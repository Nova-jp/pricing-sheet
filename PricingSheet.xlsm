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shh\Documents\pricing-sheet\"/>
    </mc:Choice>
  </mc:AlternateContent>
  <xr:revisionPtr revIDLastSave="0" documentId="13_ncr:1_{C084909A-72FB-47A4-A430-F3135DD4AAC4}" xr6:coauthVersionLast="47" xr6:coauthVersionMax="47" xr10:uidLastSave="{00000000-0000-0000-0000-000000000000}"/>
  <bookViews>
    <workbookView xWindow="-110" yWindow="-110" windowWidth="19420" windowHeight="11500" tabRatio="500" activeTab="1" xr2:uid="{00000000-000D-0000-FFFF-FFFF00000000}"/>
  </bookViews>
  <sheets>
    <sheet name="RealTime" sheetId="1" r:id="rId1"/>
    <sheet name="pricing" sheetId="2" r:id="rId2"/>
    <sheet name="Historical" sheetId="3" r:id="rId3"/>
    <sheet name="Calc" sheetId="4" r:id="rId4"/>
    <sheet name="_xlwings.conf" sheetId="5" r:id="rId5"/>
  </sheets>
  <functionGroups builtInGroupCount="19">
    <functionGroup name="xlwings"/>
  </functionGroups>
  <calcPr calcId="191029" calcMode="manual"/>
  <extLst>
    <ext xmlns:x14="http://schemas.microsoft.com/office/spreadsheetml/2009/9/main" uri="{8193D73E-4604-4355-AFF4-8A2333D13BE4}">
      <x14:definedNames>
        <x14:definedName name="BucketedDelta">
          <x14:argumentDescriptions count="1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</x14:argumentDescriptions>
        </x14:definedName>
        <x14:definedName name="FairRate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HistoricalOutright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NotionalForDelta">
          <x14:argumentDescriptions count="12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</x14:argumentDescriptions>
        </x14:definedName>
        <x14:definedName name="Ping">
          <x14:argumentDescriptions count="1">
            <x14:argumentDescription index="0">Positional argument 1</x14:argumentDescription>
          </x14:argumentDescriptions>
        </x14:definedName>
        <x14:definedName name="SwapAnnuityDelta">
          <x14:argumentDescriptions count="12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</x14:argumentDescriptions>
        </x14:definedName>
        <x14:definedName name="SwapDelta">
          <x14:argumentDescriptions count="1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</x14:argumentDescriptions>
        </x14:definedName>
        <x14:definedName name="SwapPV">
          <x14:argumentDescriptions count="1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M201" i="2" l="1"/>
  <c r="BL201" i="2"/>
  <c r="BK201" i="2"/>
  <c r="BJ201" i="2"/>
  <c r="BI201" i="2"/>
  <c r="BH201" i="2"/>
  <c r="BG201" i="2"/>
  <c r="BF201" i="2"/>
  <c r="BE201" i="2"/>
  <c r="BD201" i="2"/>
  <c r="BC201" i="2"/>
  <c r="BB201" i="2"/>
  <c r="BA201" i="2"/>
  <c r="AZ201" i="2"/>
  <c r="AY201" i="2"/>
  <c r="AX201" i="2"/>
  <c r="AW201" i="2"/>
  <c r="AV201" i="2"/>
  <c r="AU201" i="2"/>
  <c r="AT201" i="2"/>
  <c r="AS201" i="2"/>
  <c r="AR201" i="2"/>
  <c r="AQ201" i="2"/>
  <c r="AP201" i="2"/>
  <c r="AO201" i="2"/>
  <c r="AN201" i="2"/>
  <c r="AM201" i="2"/>
  <c r="AL201" i="2"/>
  <c r="AK201" i="2"/>
  <c r="AJ201" i="2"/>
  <c r="AI201" i="2"/>
  <c r="AH201" i="2"/>
  <c r="AG201" i="2"/>
  <c r="AF201" i="2"/>
  <c r="AE201" i="2"/>
  <c r="AD201" i="2"/>
  <c r="AC201" i="2"/>
  <c r="AB201" i="2"/>
  <c r="AA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Z4" i="2"/>
  <c r="F4" i="2"/>
  <c r="Z3" i="2"/>
  <c r="F3" i="2"/>
  <c r="Z2" i="2"/>
  <c r="R2" i="2"/>
  <c r="F2" i="2"/>
  <c r="I6" i="1" a="1"/>
  <c r="J1" i="3"/>
  <c r="F1" i="3"/>
  <c r="B1" i="3"/>
  <c r="V3" i="2"/>
  <c r="U3" i="2"/>
  <c r="Q2" i="2"/>
  <c r="Q4" i="2"/>
  <c r="U2" i="2"/>
  <c r="Z1" i="2"/>
  <c r="V4" i="2"/>
  <c r="V2" i="2"/>
  <c r="U4" i="2"/>
  <c r="W4" i="2"/>
  <c r="W3" i="2"/>
  <c r="Q3" i="2"/>
  <c r="W2" i="2"/>
  <c r="R5" i="2" l="1"/>
  <c r="I6" i="1"/>
  <c r="Z201" i="2"/>
  <c r="R169" i="2"/>
  <c r="R194" i="2"/>
  <c r="R9" i="2"/>
  <c r="S73" i="2"/>
  <c r="R103" i="2"/>
  <c r="R124" i="2"/>
  <c r="R133" i="2"/>
  <c r="R165" i="2"/>
  <c r="S165" i="2"/>
  <c r="S57" i="2"/>
  <c r="R145" i="2"/>
  <c r="S177" i="2"/>
  <c r="R177" i="2"/>
  <c r="S173" i="2"/>
  <c r="R173" i="2"/>
  <c r="R141" i="2"/>
  <c r="R18" i="2"/>
  <c r="R153" i="2"/>
  <c r="R14" i="2"/>
  <c r="R98" i="2"/>
  <c r="R157" i="2"/>
  <c r="S180" i="2"/>
  <c r="R180" i="2"/>
  <c r="S183" i="2"/>
  <c r="R183" i="2"/>
  <c r="R149" i="2"/>
  <c r="R161" i="2"/>
  <c r="R108" i="2"/>
  <c r="R117" i="2"/>
  <c r="S89" i="2"/>
  <c r="R119" i="2"/>
  <c r="R137" i="2"/>
  <c r="S185" i="2"/>
  <c r="R185" i="2"/>
  <c r="R13" i="2"/>
  <c r="S45" i="2"/>
  <c r="S93" i="2"/>
  <c r="R105" i="2"/>
  <c r="R121" i="2"/>
  <c r="R102" i="2"/>
  <c r="R116" i="2"/>
  <c r="R166" i="2"/>
  <c r="S166" i="2"/>
  <c r="R168" i="2"/>
  <c r="S179" i="2"/>
  <c r="R179" i="2"/>
  <c r="R17" i="2"/>
  <c r="S49" i="2"/>
  <c r="S65" i="2"/>
  <c r="S81" i="2"/>
  <c r="R97" i="2"/>
  <c r="R109" i="2"/>
  <c r="R111" i="2"/>
  <c r="R125" i="2"/>
  <c r="R127" i="2"/>
  <c r="S175" i="2"/>
  <c r="R175" i="2"/>
  <c r="S184" i="2"/>
  <c r="R184" i="2"/>
  <c r="R190" i="2"/>
  <c r="R198" i="2"/>
  <c r="R112" i="2"/>
  <c r="S171" i="2"/>
  <c r="S77" i="2"/>
  <c r="R107" i="2"/>
  <c r="S176" i="2"/>
  <c r="R176" i="2"/>
  <c r="S182" i="2"/>
  <c r="R182" i="2"/>
  <c r="S6" i="2"/>
  <c r="R104" i="2"/>
  <c r="R120" i="2"/>
  <c r="S181" i="2"/>
  <c r="R181" i="2"/>
  <c r="R128" i="2"/>
  <c r="S61" i="2"/>
  <c r="R123" i="2"/>
  <c r="R187" i="2"/>
  <c r="S5" i="2"/>
  <c r="S53" i="2"/>
  <c r="S69" i="2"/>
  <c r="S85" i="2"/>
  <c r="R101" i="2"/>
  <c r="S101" i="2"/>
  <c r="R113" i="2"/>
  <c r="R115" i="2"/>
  <c r="R129" i="2"/>
  <c r="R131" i="2"/>
  <c r="R135" i="2"/>
  <c r="R139" i="2"/>
  <c r="R143" i="2"/>
  <c r="R147" i="2"/>
  <c r="R151" i="2"/>
  <c r="R155" i="2"/>
  <c r="R159" i="2"/>
  <c r="R163" i="2"/>
  <c r="S174" i="2"/>
  <c r="R174" i="2"/>
  <c r="S178" i="2"/>
  <c r="R178" i="2"/>
  <c r="R186" i="2"/>
  <c r="S186" i="2"/>
  <c r="R12" i="2"/>
  <c r="R16" i="2"/>
  <c r="S48" i="2"/>
  <c r="S52" i="2"/>
  <c r="S56" i="2"/>
  <c r="S60" i="2"/>
  <c r="S64" i="2"/>
  <c r="S68" i="2"/>
  <c r="S72" i="2"/>
  <c r="S76" i="2"/>
  <c r="S80" i="2"/>
  <c r="S84" i="2"/>
  <c r="S88" i="2"/>
  <c r="S92" i="2"/>
  <c r="R96" i="2"/>
  <c r="R100" i="2"/>
  <c r="R189" i="2"/>
  <c r="R193" i="2"/>
  <c r="R197" i="2"/>
  <c r="R132" i="2"/>
  <c r="R136" i="2"/>
  <c r="R140" i="2"/>
  <c r="R144" i="2"/>
  <c r="R148" i="2"/>
  <c r="R152" i="2"/>
  <c r="R156" i="2"/>
  <c r="R160" i="2"/>
  <c r="R164" i="2"/>
  <c r="S164" i="2"/>
  <c r="R170" i="2"/>
  <c r="S7" i="2"/>
  <c r="R11" i="2"/>
  <c r="R15" i="2"/>
  <c r="R19" i="2"/>
  <c r="R95" i="2"/>
  <c r="R99" i="2"/>
  <c r="R188" i="2"/>
  <c r="R192" i="2"/>
  <c r="R196" i="2"/>
  <c r="R200" i="2"/>
  <c r="R191" i="2"/>
  <c r="R195" i="2"/>
  <c r="R199" i="2"/>
  <c r="R106" i="2"/>
  <c r="R110" i="2"/>
  <c r="R114" i="2"/>
  <c r="R118" i="2"/>
  <c r="R122" i="2"/>
  <c r="R126" i="2"/>
  <c r="R130" i="2"/>
  <c r="R134" i="2"/>
  <c r="R138" i="2"/>
  <c r="R142" i="2"/>
  <c r="R146" i="2"/>
  <c r="R150" i="2"/>
  <c r="R154" i="2"/>
  <c r="R158" i="2"/>
  <c r="R162" i="2"/>
  <c r="R167" i="2"/>
  <c r="S167" i="2"/>
  <c r="S172" i="2"/>
  <c r="R172" i="2"/>
  <c r="S107" i="2"/>
  <c r="S115" i="2"/>
  <c r="S123" i="2"/>
  <c r="S131" i="2"/>
  <c r="S139" i="2"/>
  <c r="S147" i="2"/>
  <c r="S155" i="2"/>
  <c r="S168" i="2"/>
  <c r="S169" i="2"/>
  <c r="S192" i="2"/>
  <c r="S200" i="2"/>
  <c r="S125" i="2"/>
  <c r="S149" i="2"/>
  <c r="R171" i="2"/>
  <c r="S3" i="2"/>
  <c r="S122" i="2"/>
  <c r="S130" i="2"/>
  <c r="S146" i="2"/>
  <c r="S154" i="2"/>
  <c r="S163" i="2"/>
  <c r="S191" i="2"/>
  <c r="S10" i="2"/>
  <c r="S105" i="2"/>
  <c r="S113" i="2"/>
  <c r="S121" i="2"/>
  <c r="S129" i="2"/>
  <c r="S137" i="2"/>
  <c r="S145" i="2"/>
  <c r="S153" i="2"/>
  <c r="S162" i="2"/>
  <c r="S190" i="2"/>
  <c r="S198" i="2"/>
  <c r="S194" i="2"/>
  <c r="S4" i="2"/>
  <c r="R3" i="2"/>
  <c r="S106" i="2"/>
  <c r="S47" i="2"/>
  <c r="S51" i="2"/>
  <c r="S55" i="2"/>
  <c r="S59" i="2"/>
  <c r="S63" i="2"/>
  <c r="S67" i="2"/>
  <c r="S71" i="2"/>
  <c r="S75" i="2"/>
  <c r="S79" i="2"/>
  <c r="S83" i="2"/>
  <c r="S87" i="2"/>
  <c r="S91" i="2"/>
  <c r="S104" i="2"/>
  <c r="S112" i="2"/>
  <c r="S120" i="2"/>
  <c r="S128" i="2"/>
  <c r="S136" i="2"/>
  <c r="S144" i="2"/>
  <c r="S152" i="2"/>
  <c r="S161" i="2"/>
  <c r="S189" i="2"/>
  <c r="S197" i="2"/>
  <c r="S157" i="2"/>
  <c r="R4" i="2"/>
  <c r="S11" i="2"/>
  <c r="S114" i="2"/>
  <c r="S138" i="2"/>
  <c r="S199" i="2"/>
  <c r="R10" i="2"/>
  <c r="S9" i="2"/>
  <c r="S8" i="2"/>
  <c r="R8" i="2"/>
  <c r="S103" i="2"/>
  <c r="S111" i="2"/>
  <c r="S119" i="2"/>
  <c r="S127" i="2"/>
  <c r="S135" i="2"/>
  <c r="S143" i="2"/>
  <c r="S151" i="2"/>
  <c r="S159" i="2"/>
  <c r="S160" i="2"/>
  <c r="S188" i="2"/>
  <c r="S196" i="2"/>
  <c r="S109" i="2"/>
  <c r="S117" i="2"/>
  <c r="S133" i="2"/>
  <c r="S141" i="2"/>
  <c r="R7" i="2"/>
  <c r="S46" i="2"/>
  <c r="S50" i="2"/>
  <c r="S54" i="2"/>
  <c r="S58" i="2"/>
  <c r="S62" i="2"/>
  <c r="S66" i="2"/>
  <c r="S70" i="2"/>
  <c r="S74" i="2"/>
  <c r="S78" i="2"/>
  <c r="S82" i="2"/>
  <c r="S86" i="2"/>
  <c r="S90" i="2"/>
  <c r="S94" i="2"/>
  <c r="S102" i="2"/>
  <c r="S110" i="2"/>
  <c r="S118" i="2"/>
  <c r="S126" i="2"/>
  <c r="S134" i="2"/>
  <c r="S142" i="2"/>
  <c r="S150" i="2"/>
  <c r="S158" i="2"/>
  <c r="S187" i="2"/>
  <c r="S195" i="2"/>
  <c r="R6" i="2"/>
  <c r="S108" i="2"/>
  <c r="S116" i="2"/>
  <c r="S124" i="2"/>
  <c r="S132" i="2"/>
  <c r="S140" i="2"/>
  <c r="S148" i="2"/>
  <c r="S156" i="2"/>
  <c r="S170" i="2"/>
  <c r="S193" i="2"/>
  <c r="S23" i="2"/>
  <c r="R23" i="2"/>
  <c r="S43" i="2"/>
  <c r="R43" i="2"/>
  <c r="S15" i="2"/>
  <c r="S22" i="2"/>
  <c r="R22" i="2"/>
  <c r="S26" i="2"/>
  <c r="R26" i="2"/>
  <c r="S30" i="2"/>
  <c r="R30" i="2"/>
  <c r="S34" i="2"/>
  <c r="R34" i="2"/>
  <c r="S38" i="2"/>
  <c r="R38" i="2"/>
  <c r="S42" i="2"/>
  <c r="R42" i="2"/>
  <c r="S98" i="2"/>
  <c r="S97" i="2"/>
  <c r="S35" i="2"/>
  <c r="R35" i="2"/>
  <c r="S39" i="2"/>
  <c r="R39" i="2"/>
  <c r="S14" i="2"/>
  <c r="S13" i="2"/>
  <c r="S21" i="2"/>
  <c r="R21" i="2"/>
  <c r="S25" i="2"/>
  <c r="R25" i="2"/>
  <c r="S29" i="2"/>
  <c r="R29" i="2"/>
  <c r="S33" i="2"/>
  <c r="R33" i="2"/>
  <c r="S37" i="2"/>
  <c r="R37" i="2"/>
  <c r="S41" i="2"/>
  <c r="R41" i="2"/>
  <c r="S16" i="2"/>
  <c r="S12" i="2"/>
  <c r="S20" i="2"/>
  <c r="R20" i="2"/>
  <c r="S17" i="2"/>
  <c r="S27" i="2"/>
  <c r="R27" i="2"/>
  <c r="S31" i="2"/>
  <c r="R31" i="2"/>
  <c r="S99" i="2"/>
  <c r="S44" i="2"/>
  <c r="R44" i="2"/>
  <c r="S19" i="2"/>
  <c r="S24" i="2"/>
  <c r="R24" i="2"/>
  <c r="S28" i="2"/>
  <c r="R28" i="2"/>
  <c r="S32" i="2"/>
  <c r="R32" i="2"/>
  <c r="S36" i="2"/>
  <c r="R36" i="2"/>
  <c r="S40" i="2"/>
  <c r="R40" i="2"/>
  <c r="S2" i="2"/>
  <c r="S18" i="2"/>
  <c r="S96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S95" i="2"/>
  <c r="S100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<sst xmlns="http://schemas.openxmlformats.org/spreadsheetml/2006/main" count="123" uniqueCount="100">
  <si>
    <t>Ticker</t>
  </si>
  <si>
    <t>Value</t>
  </si>
  <si>
    <t>O/N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</si>
  <si>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</si>
  <si>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</si>
  <si>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</si>
  <si>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</si>
  <si>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</si>
  <si>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</si>
  <si>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</si>
  <si>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</si>
  <si>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</si>
  <si>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</si>
  <si>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</si>
  <si>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</si>
  <si>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</si>
  <si>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15M</t>
  </si>
  <si>
    <t>18M</t>
  </si>
  <si>
    <t>21M</t>
  </si>
  <si>
    <t>24M</t>
  </si>
  <si>
    <t>36M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</si>
  <si>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</si>
  <si>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</si>
  <si>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</si>
  <si>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</si>
  <si>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</si>
  <si>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</si>
  <si>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</si>
  <si>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</si>
  <si>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</si>
  <si>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</si>
  <si>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</si>
  <si>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</si>
  <si>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</si>
  <si>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35Y</t>
  </si>
  <si>
    <t>40Y</t>
  </si>
  <si>
    <t>M1</t>
  </si>
  <si>
    <t>M2</t>
  </si>
  <si>
    <t>M3</t>
  </si>
  <si>
    <t>M4</t>
  </si>
  <si>
    <t>M5</t>
  </si>
  <si>
    <t>M6</t>
  </si>
  <si>
    <t>M7</t>
  </si>
  <si>
    <t>M8</t>
  </si>
  <si>
    <t>include_15_18_21m</t>
  </si>
  <si>
    <t>flag</t>
  </si>
  <si>
    <t>risk_flag</t>
  </si>
  <si>
    <t>remarks</t>
  </si>
  <si>
    <t>notional</t>
  </si>
  <si>
    <t>delta</t>
  </si>
  <si>
    <t>adj_notional</t>
  </si>
  <si>
    <t>start</t>
  </si>
  <si>
    <t>tenor</t>
  </si>
  <si>
    <t>end</t>
  </si>
  <si>
    <t>fix rate</t>
  </si>
  <si>
    <t>fix freq</t>
  </si>
  <si>
    <t>fix dcf</t>
  </si>
  <si>
    <t>index</t>
  </si>
  <si>
    <t>float freq</t>
  </si>
  <si>
    <t>float dcf</t>
  </si>
  <si>
    <t>roll conv</t>
  </si>
  <si>
    <t>target fixrate</t>
  </si>
  <si>
    <t>spred</t>
  </si>
  <si>
    <t>fly</t>
  </si>
  <si>
    <t>pay/rec</t>
  </si>
  <si>
    <t>PV</t>
  </si>
  <si>
    <t>delta(annuity)</t>
  </si>
  <si>
    <t>test</t>
  </si>
  <si>
    <t>PA</t>
  </si>
  <si>
    <t>act/365fixed</t>
  </si>
  <si>
    <t>JSCC</t>
  </si>
  <si>
    <t>STD</t>
  </si>
  <si>
    <t>PAY</t>
  </si>
  <si>
    <t>5y</t>
  </si>
  <si>
    <t>10y</t>
  </si>
  <si>
    <t>TOTAL</t>
  </si>
  <si>
    <t>2Y</t>
  </si>
  <si>
    <t>2s10s Curve</t>
  </si>
  <si>
    <t>Date</t>
  </si>
  <si>
    <t>Spread</t>
  </si>
  <si>
    <t>2s5s10s Fly</t>
  </si>
  <si>
    <t>Fly</t>
  </si>
  <si>
    <t>RealTimeValue</t>
  </si>
  <si>
    <t>Interpreter_Win</t>
  </si>
  <si>
    <t>python</t>
  </si>
  <si>
    <t>Interpreter_Mac</t>
  </si>
  <si>
    <t>PYTHONPATH</t>
  </si>
  <si>
    <t>Conda Path</t>
  </si>
  <si>
    <t>Conda Env</t>
  </si>
  <si>
    <t>UDF Modules</t>
  </si>
  <si>
    <t>swap_pricing.udf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</si>
  <si>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</si>
  <si>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</si>
  <si>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</si>
  <si>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</si>
  <si>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</si>
  <si>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 (remove the leading underscore).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</si>
  <si>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</si>
  <si>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</si>
  <si>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ValueError: tenor と end
    raise ValueError("tenor と end のどちらか一方だけを指定してください")
  File "c:\users\nishh\documents\pricing-sheet\swap_pricing\schedule.py", line 65, in generate_ql_schedule
                     ^^^^^^^^^^^^^^^^^^^^^^^^^^^^^^^^^^^^^^^^^^^^^^^^^^^^^^^^^^^^^^^^^^^^^^
    fixed_schedule = generate_ql_schedule(start, fix_freq, roll_conv, tenor=tenor, end=end)
  File "c:\users\nishh\documents\pricing-sheet\swap_pricing\swap_pricer.py", line 62, in _build_swap
                 ^^^^^^^^^^^^
    probe_swap = _build_swap(
  File "c:\users\nishh\documents\pricing-sheet\swap_pricing\swap_pricer.py", line 125, in price_swap
             ^^^^^^^^^^^
    result = price_swap(
  File "c:\users\nishh\documents\pricing-sheet\swap_pricing\udf.py", line 129, in SwapPV
          ^^^^^^^^^^^
    ret = func(*args)
  File "C:\Users\nishh\.venvs\pricing-sheet-win\Lib\site-packages\xlwings\udfs.py", line 565, in call_udf
          ^^^^^^^^^^^^^^^^^^^^^^^^^^^^^^^^^^^^^^^^^^^^^^^^^^^^^^^^^^^^^^^^^
    res = call_udf(script, fname, args, this_workbook, FromVariant(caller))
  File "C:\Users\nishh\.venvs\pricing-sheet-win\Lib\site-packages\xlwings\com_server.py", line 235, in CallUDF
           ^^^^^^^^^^^
    return func(*args)
  File "C:\Users\nishh\.venvs\pricing-sheet-win\Lib\site-packages\win32com\server\policy.py", line 631, in _invokeex_
                     ^^^^^^^^^^^^^^^^^^^^^^^^^^^^^^^^^^^^^^^^^^^^^^^^^^^^^^^
    return S_OK, -1, self._invokeex_(dispid, lcid, wFlags, args, None, None)
  File "C:\Users\nishh\.venvs\pricing-sheet-win\Lib\site-packages\win32com\server\policy.py", line 303, in _invoke_
           ^^^^^^^^^^^^^^^^^^^^^^^^^^^^^^^^^^^^^^^^^
    return self._invoke_(dispid, lcid, wFlags, args)
  File "C:\Users\nishh\.venvs\pricing-sheet-win\Lib\site-packages\win32com\server\policy.py", line 298, in _Invoke_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</si>
</sst>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ＭＳ Ｐゴシック"/>
      <family val="2"/>
      <scheme val="minor"/>
    </font>
    <font>
      <sz val="10"/>
      <color theme="1"/>
      <name val="Arial"/>
      <family val="2"/>
    </font>
    <font>
      <b/>
      <sz val="12"/>
      <color theme="1"/>
      <name val="ＭＳ Ｐゴシック"/>
      <family val="2"/>
      <scheme val="minor"/>
    </font>
    <font>
      <sz val="12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7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</cellStyleXfs>
  <cellXfs count="5">
    <xf numFmtId="0" fontId="0" fillId="0" borderId="0" xfId="0"/>
    <xf numFmtId="0" fontId="0" fillId="0" borderId="0" xfId="6" applyFont="1" applyAlignment="1">
      <alignment vertical="center"/>
    </xf>
    <xf numFmtId="0" fontId="2" fillId="0" borderId="0" xfId="6" applyFont="1" applyAlignment="1">
      <alignment vertical="center"/>
    </xf>
    <xf numFmtId="14" fontId="0" fillId="0" borderId="0" xfId="6" applyNumberFormat="1" applyFont="1"/>
    <xf numFmtId="3" fontId="0" fillId="0" borderId="0" xfId="0" applyNumberFormat="1"/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6" xr:uid="{00000000-0005-0000-0000-000000000000}"/>
    <cellStyle name="Percent" xfId="1" xr:uid="{00000000-0005-0000-0000-000001000000}"/>
    <cellStyle name="標準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5"/>
  <sheetViews>
    <sheetView workbookViewId="0">
      <selection activeCell="I7" sqref="I7"/>
    </sheetView>
  </sheetViews>
  <sheetFormatPr defaultRowHeight="14" x14ac:dyDescent="0.2"/>
  <sheetData>
    <row r="1" spans="1:9" x14ac:dyDescent="0.2">
      <c r="A1" t="s">
        <v>0</v>
      </c>
      <c r="B1" t="s">
        <v>1</v>
      </c>
    </row>
    <row r="2" spans="1:9" x14ac:dyDescent="0.2">
      <c r="A2" t="s">
        <v>2</v>
      </c>
    </row>
    <row r="3" spans="1:9" x14ac:dyDescent="0.2">
      <c r="A3" t="s">
        <v>3</v>
      </c>
      <c r="B3">
        <v>0.9788</v>
      </c>
    </row>
    <row r="4" spans="1:9" x14ac:dyDescent="0.2">
      <c r="A4" t="s">
        <v>4</v>
      </c>
      <c r="B4">
        <v>0.97924999999999995</v>
      </c>
    </row>
    <row r="5" spans="1:9" x14ac:dyDescent="0.2">
      <c r="A5" t="s">
        <v>5</v>
      </c>
      <c r="B5">
        <v>1.0298400000000001</v>
      </c>
    </row>
    <row r="6" spans="1:9" x14ac:dyDescent="0.2">
      <c r="A6" t="s">
        <v>6</v>
      </c>
      <c r="B6">
        <v>1.075</v>
      </c>
      <c r="I6" cm="1">
        <f t="array" ref="I6">Ping(2)</f>
        <v>4</v>
      </c>
    </row>
    <row r="7" spans="1:9" x14ac:dyDescent="0.2">
      <c r="A7" t="s">
        <v>7</v>
      </c>
      <c r="B7">
        <v>1.1150599999999999</v>
      </c>
    </row>
    <row r="8" spans="1:9" x14ac:dyDescent="0.2">
      <c r="A8" t="s">
        <v>8</v>
      </c>
      <c r="B8">
        <v>1.15455</v>
      </c>
    </row>
    <row r="9" spans="1:9" x14ac:dyDescent="0.2">
      <c r="A9" t="s">
        <v>9</v>
      </c>
      <c r="B9">
        <v>1.1937</v>
      </c>
    </row>
    <row r="10" spans="1:9" x14ac:dyDescent="0.2">
      <c r="A10" t="s">
        <v>10</v>
      </c>
      <c r="B10">
        <v>1.2267600000000001</v>
      </c>
    </row>
    <row r="11" spans="1:9" x14ac:dyDescent="0.2">
      <c r="A11" t="s">
        <v>11</v>
      </c>
      <c r="B11">
        <v>1.26125</v>
      </c>
    </row>
    <row r="12" spans="1:9" x14ac:dyDescent="0.2">
      <c r="A12" t="s">
        <v>12</v>
      </c>
      <c r="B12">
        <v>1.2945</v>
      </c>
    </row>
    <row r="13" spans="1:9" x14ac:dyDescent="0.2">
      <c r="A13" t="s">
        <v>13</v>
      </c>
      <c r="B13">
        <v>1.329</v>
      </c>
    </row>
    <row r="14" spans="1:9" x14ac:dyDescent="0.2">
      <c r="A14" t="s">
        <v>14</v>
      </c>
      <c r="B14">
        <v>1.3586100000000001</v>
      </c>
    </row>
    <row r="15" spans="1:9" x14ac:dyDescent="0.2">
      <c r="A15" t="s">
        <v>15</v>
      </c>
      <c r="B15">
        <v>1.3876299999999999</v>
      </c>
    </row>
    <row r="16" spans="1:9" x14ac:dyDescent="0.2">
      <c r="A16" t="s">
        <v>16</v>
      </c>
      <c r="B16">
        <v>1.4628099999999999</v>
      </c>
    </row>
    <row r="17" spans="1:2" x14ac:dyDescent="0.2">
      <c r="A17" t="s">
        <v>17</v>
      </c>
      <c r="B17">
        <v>1.53125</v>
      </c>
    </row>
    <row r="18" spans="1:2" x14ac:dyDescent="0.2">
      <c r="A18" t="s">
        <v>18</v>
      </c>
    </row>
    <row r="19" spans="1:2" x14ac:dyDescent="0.2">
      <c r="A19" t="s">
        <v>19</v>
      </c>
      <c r="B19">
        <v>1.6512500000000001</v>
      </c>
    </row>
    <row r="20" spans="1:2" x14ac:dyDescent="0.2">
      <c r="A20" t="s">
        <v>20</v>
      </c>
      <c r="B20">
        <v>1.82542</v>
      </c>
    </row>
    <row r="21" spans="1:2" x14ac:dyDescent="0.2">
      <c r="A21" t="s">
        <v>21</v>
      </c>
      <c r="B21">
        <v>1.97058</v>
      </c>
    </row>
    <row r="22" spans="1:2" x14ac:dyDescent="0.2">
      <c r="A22" t="s">
        <v>22</v>
      </c>
      <c r="B22">
        <v>2.1030799999999998</v>
      </c>
    </row>
    <row r="23" spans="1:2" x14ac:dyDescent="0.2">
      <c r="A23" t="s">
        <v>23</v>
      </c>
      <c r="B23">
        <v>2.2254200000000002</v>
      </c>
    </row>
    <row r="24" spans="1:2" x14ac:dyDescent="0.2">
      <c r="A24" t="s">
        <v>24</v>
      </c>
      <c r="B24">
        <v>2.34192</v>
      </c>
    </row>
    <row r="25" spans="1:2" x14ac:dyDescent="0.2">
      <c r="A25" t="s">
        <v>25</v>
      </c>
      <c r="B25">
        <v>2.4530799999999999</v>
      </c>
    </row>
    <row r="26" spans="1:2" x14ac:dyDescent="0.2">
      <c r="A26" t="s">
        <v>26</v>
      </c>
      <c r="B26">
        <v>2.5583800000000001</v>
      </c>
    </row>
    <row r="27" spans="1:2" x14ac:dyDescent="0.2">
      <c r="A27" t="s">
        <v>27</v>
      </c>
      <c r="B27">
        <v>2.6567599999999998</v>
      </c>
    </row>
    <row r="28" spans="1:2" x14ac:dyDescent="0.2">
      <c r="A28" t="s">
        <v>28</v>
      </c>
      <c r="B28">
        <v>2.7483300000000002</v>
      </c>
    </row>
    <row r="29" spans="1:2" x14ac:dyDescent="0.2">
      <c r="A29" t="s">
        <v>29</v>
      </c>
      <c r="B29">
        <v>2.8319200000000002</v>
      </c>
    </row>
    <row r="30" spans="1:2" x14ac:dyDescent="0.2">
      <c r="A30" t="s">
        <v>30</v>
      </c>
      <c r="B30">
        <v>3.0447799999999998</v>
      </c>
    </row>
    <row r="31" spans="1:2" x14ac:dyDescent="0.2">
      <c r="A31" t="s">
        <v>31</v>
      </c>
      <c r="B31">
        <v>3.2966899999999999</v>
      </c>
    </row>
    <row r="32" spans="1:2" x14ac:dyDescent="0.2">
      <c r="A32" t="s">
        <v>32</v>
      </c>
      <c r="B32">
        <v>3.4275000000000002</v>
      </c>
    </row>
    <row r="33" spans="1:2" x14ac:dyDescent="0.2">
      <c r="A33" t="s">
        <v>33</v>
      </c>
      <c r="B33">
        <v>3.48211</v>
      </c>
    </row>
    <row r="34" spans="1:2" x14ac:dyDescent="0.2">
      <c r="A34" t="s">
        <v>34</v>
      </c>
      <c r="B34">
        <v>3.49688</v>
      </c>
    </row>
    <row r="35" spans="1:2" x14ac:dyDescent="0.2">
      <c r="A35" t="s">
        <v>35</v>
      </c>
      <c r="B35">
        <v>3.4909400000000002</v>
      </c>
    </row>
    <row r="36" spans="1:2" x14ac:dyDescent="0.2">
      <c r="A36" t="s">
        <v>36</v>
      </c>
    </row>
    <row r="37" spans="1:2" x14ac:dyDescent="0.2">
      <c r="A37" t="s">
        <v>37</v>
      </c>
    </row>
    <row r="38" spans="1:2" x14ac:dyDescent="0.2">
      <c r="A38" t="s">
        <v>38</v>
      </c>
    </row>
    <row r="39" spans="1:2" x14ac:dyDescent="0.2">
      <c r="A39" t="s">
        <v>39</v>
      </c>
    </row>
    <row r="40" spans="1:2" x14ac:dyDescent="0.2">
      <c r="A40" t="s">
        <v>40</v>
      </c>
    </row>
    <row r="41" spans="1:2" x14ac:dyDescent="0.2">
      <c r="A41" t="s">
        <v>41</v>
      </c>
    </row>
    <row r="42" spans="1:2" x14ac:dyDescent="0.2">
      <c r="A42" t="s">
        <v>42</v>
      </c>
    </row>
    <row r="43" spans="1:2" x14ac:dyDescent="0.2">
      <c r="A43" t="s">
        <v>43</v>
      </c>
    </row>
    <row r="45" spans="1:2" x14ac:dyDescent="0.2">
      <c r="A45" t="s">
        <v>44</v>
      </c>
      <c r="B45" t="b">
        <v>0</v>
      </c>
    </row>
  </sheetData>
  <phoneticPr fontId="4"/>
  <dataValidations count="1">
    <dataValidation type="list" sqref="B44" xr:uid="{00000000-0002-0000-0000-000000000000}">
      <formula1>"TRUE,FALSE"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M201"/>
  <sheetViews>
    <sheetView tabSelected="1" workbookViewId="0">
      <selection activeCell="K10" sqref="K10"/>
    </sheetView>
  </sheetViews>
  <sheetFormatPr defaultRowHeight="14" x14ac:dyDescent="0.2"/>
  <cols>
    <col min="3" max="3" width="7.4140625" customWidth="1"/>
    <col min="4" max="4" width="12.58203125" bestFit="1" customWidth="1"/>
    <col min="6" max="6" width="9.4140625" customWidth="1"/>
    <col min="7" max="7" width="11.25" bestFit="1" customWidth="1"/>
    <col min="9" max="9" width="11.25" bestFit="1" customWidth="1"/>
  </cols>
  <sheetData>
    <row r="1" spans="1:26" x14ac:dyDescent="0.2">
      <c r="A1" t="s">
        <v>45</v>
      </c>
      <c r="B1" t="s">
        <v>46</v>
      </c>
      <c r="C1" t="s">
        <v>47</v>
      </c>
      <c r="D1" t="s">
        <v>48</v>
      </c>
      <c r="E1" t="s">
        <v>49</v>
      </c>
      <c r="F1" t="s">
        <v>50</v>
      </c>
      <c r="G1" t="s">
        <v>51</v>
      </c>
      <c r="H1" t="s">
        <v>52</v>
      </c>
      <c r="I1" t="s">
        <v>53</v>
      </c>
      <c r="J1" t="s">
        <v>54</v>
      </c>
      <c r="K1" t="s">
        <v>55</v>
      </c>
      <c r="L1" t="s">
        <v>56</v>
      </c>
      <c r="M1" t="s">
        <v>57</v>
      </c>
      <c r="N1" t="s">
        <v>58</v>
      </c>
      <c r="O1" t="s">
        <v>59</v>
      </c>
      <c r="P1" t="s">
        <v>60</v>
      </c>
      <c r="Q1" t="s">
        <v>61</v>
      </c>
      <c r="R1" t="s">
        <v>62</v>
      </c>
      <c r="S1" t="s">
        <v>63</v>
      </c>
      <c r="T1" t="s">
        <v>64</v>
      </c>
      <c r="U1" t="s">
        <v>65</v>
      </c>
      <c r="V1" t="s">
        <v>49</v>
      </c>
      <c r="W1" t="s">
        <v>66</v>
      </c>
      <c r="Z1" t="str">
        <f ca="1">INDEX(BucketedDelta($G2,$H2,$I2,$K2,$L2,$N2,$O2,$P2,$D2,$T2,$J2,RealTime!$A$2:$B$43,TODAY(),TRUE),1,0)</f>
        <v>1w</v>
      </c>
    </row>
    <row r="2" spans="1:26" x14ac:dyDescent="0.2">
      <c r="A2">
        <v>1</v>
      </c>
      <c r="B2">
        <v>0</v>
      </c>
      <c r="C2" t="s">
        <v>67</v>
      </c>
      <c r="D2" s="4">
        <v>1000000000</v>
      </c>
      <c r="F2" t="str">
        <f ca="1">IF($E2="","",NotionalForDelta($E2,$G2,$H2,$I2,$K2,$L2,$N2,$O2,$P2,$T2,RealTime!$A$2:$B$43,TODAY()))</f>
        <v/>
      </c>
      <c r="G2" s="3">
        <v>46273</v>
      </c>
      <c r="I2" s="3">
        <v>46303</v>
      </c>
      <c r="K2" t="s">
        <v>68</v>
      </c>
      <c r="L2" t="s">
        <v>69</v>
      </c>
      <c r="M2" t="s">
        <v>70</v>
      </c>
      <c r="N2" t="s">
        <v>68</v>
      </c>
      <c r="O2" t="s">
        <v>69</v>
      </c>
      <c r="P2" t="s">
        <v>71</v>
      </c>
      <c r="Q2">
        <f ca="1">FairRate($G2,$H2,$I2,$K2,$L2,$N2,$O2,$P2,RealTime!$A$2:$B$43,TODAY())</f>
        <v>0.97815339717801286</v>
      </c>
      <c r="R2" t="str">
        <f t="shared" ref="R2:R33" si="0">IF(ISNUMBER(Q1),Q2-Q1,"")</f>
        <v/>
      </c>
      <c r="S2" t="str">
        <f t="shared" ref="S2:S33" ca="1" si="1">IF(AND(ISNUMBER(Q1),ISNUMBER(Q3)),2*Q2-Q1-Q3,"")</f>
        <v/>
      </c>
      <c r="T2" t="s">
        <v>72</v>
      </c>
      <c r="U2">
        <f ca="1">SwapPV($G2,$H2,$I2,$K2,$L2,$N2,$O2,$P2,$D2,$T2,$J2,RealTime!$A$2:$B$43,TODAY())</f>
        <v>0</v>
      </c>
      <c r="V2">
        <f ca="1">SwapDelta($G2,$H2,$I2,$K2,$L2,$N2,$O2,$P2,$D2,$T2,$J2,RealTime!$A$2:$B$43,TODAY())</f>
        <v>8.212481587088899E-3</v>
      </c>
      <c r="W2">
        <f ca="1">SwapAnnuityDelta($G2,$H2,$I2,$K2,$L2,$N2,$O2,$P2,$D2,$T2,RealTime!$A$2:$B$43,TODAY())</f>
        <v>8.2121350940514252E-3</v>
      </c>
      <c r="Z2" t="str">
        <f ca="1">IF($B2=1,BucketedDelta($G2,$H2,$I2,$K2,$L2,$N2,$O2,$P2,$D2,$T2,$J2,RealTime!$A$2:$B$43,TODAY(),FALSE),"")</f>
        <v/>
      </c>
    </row>
    <row r="3" spans="1:26" x14ac:dyDescent="0.2">
      <c r="A3">
        <v>1</v>
      </c>
      <c r="B3">
        <v>0</v>
      </c>
      <c r="C3" t="s">
        <v>67</v>
      </c>
      <c r="D3" s="4">
        <v>1000000000</v>
      </c>
      <c r="F3" t="str">
        <f ca="1">IF($E3="","",NotionalForDelta($E3,$G3,$H3,$I3,$K3,$L3,$N3,$O3,$P3,$T3,RealTime!$A$2:$B$43,TODAY()))</f>
        <v/>
      </c>
      <c r="G3" s="3">
        <v>46273</v>
      </c>
      <c r="H3" t="s">
        <v>73</v>
      </c>
      <c r="I3" s="3"/>
      <c r="K3" t="s">
        <v>68</v>
      </c>
      <c r="L3" t="s">
        <v>69</v>
      </c>
      <c r="M3" t="s">
        <v>70</v>
      </c>
      <c r="N3" t="s">
        <v>68</v>
      </c>
      <c r="O3" t="s">
        <v>69</v>
      </c>
      <c r="P3" t="s">
        <v>71</v>
      </c>
      <c r="Q3">
        <f ca="1">FairRate($G3,$H3,$I3,$K3,$L3,$N3,$O3,$P3,RealTime!$A$2:$B$43,TODAY())</f>
        <v>2.1020903298637252</v>
      </c>
      <c r="R3">
        <f t="shared" ca="1" si="0"/>
        <v>1.1239369326857123</v>
      </c>
      <c r="S3">
        <f t="shared" ca="1" si="1"/>
        <v>0.57004111641039845</v>
      </c>
      <c r="T3" t="s">
        <v>72</v>
      </c>
      <c r="U3">
        <f ca="1">SwapPV($G3,$H3,$I3,$K3,$L3,$N3,$O3,$P3,$D3,$T3,$J3,RealTime!$A$2:$B$43,TODAY())</f>
        <v>-4.4703483581542969E-8</v>
      </c>
      <c r="V3">
        <f ca="1">SwapDelta($G3,$H3,$I3,$K3,$L3,$N3,$O3,$P3,$D3,$T3,$J3,RealTime!$A$2:$B$43,TODAY())</f>
        <v>0.47272903061778843</v>
      </c>
      <c r="W3">
        <f ca="1">SwapAnnuityDelta($G3,$H3,$I3,$K3,$L3,$N3,$O3,$P3,$D3,$T3,RealTime!$A$2:$B$43,TODAY())</f>
        <v>0.47287123058418101</v>
      </c>
      <c r="Z3" t="str">
        <f ca="1">IF($B3=1,BucketedDelta($G3,$H3,$I3,$K3,$L3,$N3,$O3,$P3,$D3,$T3,$J3,RealTime!$A$2:$B$43,TODAY(),FALSE),"")</f>
        <v/>
      </c>
    </row>
    <row r="4" spans="1:26" x14ac:dyDescent="0.2">
      <c r="A4">
        <v>1</v>
      </c>
      <c r="B4">
        <v>0</v>
      </c>
      <c r="C4" t="s">
        <v>67</v>
      </c>
      <c r="D4" s="4">
        <v>1000000000</v>
      </c>
      <c r="F4" t="str">
        <f ca="1">IF($E4="","",NotionalForDelta($E4,$G4,$H4,$I4,$K4,$L4,$N4,$O4,$P4,$T4,RealTime!$A$2:$B$43,TODAY()))</f>
        <v/>
      </c>
      <c r="G4" s="3">
        <v>46273</v>
      </c>
      <c r="H4" t="s">
        <v>74</v>
      </c>
      <c r="I4" s="3"/>
      <c r="K4" t="s">
        <v>68</v>
      </c>
      <c r="L4" t="s">
        <v>69</v>
      </c>
      <c r="M4" t="s">
        <v>70</v>
      </c>
      <c r="N4" t="s">
        <v>68</v>
      </c>
      <c r="O4" t="s">
        <v>69</v>
      </c>
      <c r="P4" t="s">
        <v>71</v>
      </c>
      <c r="Q4">
        <f ca="1">FairRate($G4,$H4,$I4,$K4,$L4,$N4,$O4,$P4,RealTime!$A$2:$B$43,TODAY())</f>
        <v>2.6559861461390391</v>
      </c>
      <c r="R4">
        <f t="shared" ca="1" si="0"/>
        <v>0.55389581627531381</v>
      </c>
      <c r="S4" t="str">
        <f t="shared" ca="1" si="1"/>
        <v/>
      </c>
      <c r="T4" t="s">
        <v>72</v>
      </c>
      <c r="U4">
        <f ca="1">SwapPV($G4,$H4,$I4,$K4,$L4,$N4,$O4,$P4,$D4,$T4,$J4,RealTime!$A$2:$B$43,TODAY())</f>
        <v>1.4901161193847656E-7</v>
      </c>
      <c r="V4">
        <f ca="1">SwapDelta($G4,$H4,$I4,$K4,$L4,$N4,$O4,$P4,$D4,$T4,$J4,RealTime!$A$2:$B$43,TODAY())</f>
        <v>0.88328111180526014</v>
      </c>
      <c r="W4">
        <f ca="1">SwapAnnuityDelta($G4,$H4,$I4,$K4,$L4,$N4,$O4,$P4,$D4,$T4,RealTime!$A$2:$B$43,TODAY())</f>
        <v>0.88376052161010288</v>
      </c>
      <c r="Z4" t="str">
        <f ca="1">IF($B4=1,BucketedDelta($G4,$H4,$I4,$K4,$L4,$N4,$O4,$P4,$D4,$T4,$J4,RealTime!$A$2:$B$43,TODAY(),FALSE),"")</f>
        <v/>
      </c>
    </row>
    <row r="5" spans="1:26" x14ac:dyDescent="0.2">
      <c r="F5" t="str">
        <f ca="1">IF($E5="","",NotionalForDelta($E5,$G5,$H5,$I5,$K5,$L5,$N5,$O5,$P5,$T5,RealTime!$A$2:$B$43,TODAY()))</f>
        <v/>
      </c>
      <c r="R5">
        <f ca="1">IF(ISNUMBER(Q4),Q5-Q4,"")</f>
        <v>-2.6559861461390391</v>
      </c>
      <c r="S5" t="str">
        <f t="shared" ca="1" si="1"/>
        <v/>
      </c>
    </row>
    <row r="6" spans="1:26" x14ac:dyDescent="0.2">
      <c r="F6" t="str">
        <f ca="1">IF($E6="","",NotionalForDelta($E6,$G6,$H6,$I6,$K6,$L6,$N6,$O6,$P6,$T6,RealTime!$A$2:$B$43,TODAY()))</f>
        <v/>
      </c>
      <c r="R6" t="str">
        <f t="shared" si="0"/>
        <v/>
      </c>
      <c r="S6" t="str">
        <f t="shared" si="1"/>
        <v/>
      </c>
    </row>
    <row r="7" spans="1:26" x14ac:dyDescent="0.2">
      <c r="F7" t="str">
        <f ca="1">IF($E7="","",NotionalForDelta($E7,$G7,$H7,$I7,$K7,$L7,$N7,$O7,$P7,$T7,RealTime!$A$2:$B$43,TODAY()))</f>
        <v/>
      </c>
      <c r="R7" t="str">
        <f t="shared" si="0"/>
        <v/>
      </c>
      <c r="S7" t="str">
        <f t="shared" si="1"/>
        <v/>
      </c>
    </row>
    <row r="8" spans="1:26" x14ac:dyDescent="0.2">
      <c r="F8" t="str">
        <f ca="1">IF($E8="","",NotionalForDelta($E8,$G8,$H8,$I8,$K8,$L8,$N8,$O8,$P8,$T8,RealTime!$A$2:$B$43,TODAY()))</f>
        <v/>
      </c>
      <c r="R8" t="str">
        <f t="shared" si="0"/>
        <v/>
      </c>
      <c r="S8" t="str">
        <f t="shared" si="1"/>
        <v/>
      </c>
    </row>
    <row r="9" spans="1:26" x14ac:dyDescent="0.2">
      <c r="F9" t="str">
        <f ca="1">IF($E9="","",NotionalForDelta($E9,$G9,$H9,$I9,$K9,$L9,$N9,$O9,$P9,$T9,RealTime!$A$2:$B$43,TODAY()))</f>
        <v/>
      </c>
      <c r="R9" t="str">
        <f t="shared" si="0"/>
        <v/>
      </c>
      <c r="S9" t="str">
        <f t="shared" si="1"/>
        <v/>
      </c>
      <c r="U9" t="s">
        <v>99</v>
      </c>
    </row>
    <row r="10" spans="1:26" x14ac:dyDescent="0.2">
      <c r="F10" t="str">
        <f ca="1">IF($E10="","",NotionalForDelta($E10,$G10,$H10,$I10,$K10,$L10,$N10,$O10,$P10,$T10,RealTime!$A$2:$B$43,TODAY()))</f>
        <v/>
      </c>
      <c r="R10" t="str">
        <f t="shared" si="0"/>
        <v/>
      </c>
      <c r="S10" t="str">
        <f t="shared" si="1"/>
        <v/>
      </c>
    </row>
    <row r="11" spans="1:26" x14ac:dyDescent="0.2">
      <c r="F11" t="str">
        <f ca="1">IF($E11="","",NotionalForDelta($E11,$G11,$H11,$I11,$K11,$L11,$N11,$O11,$P11,$T11,RealTime!$A$2:$B$43,TODAY()))</f>
        <v/>
      </c>
      <c r="R11" t="str">
        <f t="shared" si="0"/>
        <v/>
      </c>
      <c r="S11" t="str">
        <f t="shared" si="1"/>
        <v/>
      </c>
    </row>
    <row r="12" spans="1:26" x14ac:dyDescent="0.2">
      <c r="F12" t="str">
        <f ca="1">IF($E12="","",NotionalForDelta($E12,$G12,$H12,$I12,$K12,$L12,$N12,$O12,$P12,$T12,RealTime!$A$2:$B$43,TODAY()))</f>
        <v/>
      </c>
      <c r="R12" t="str">
        <f t="shared" si="0"/>
        <v/>
      </c>
      <c r="S12" t="str">
        <f t="shared" si="1"/>
        <v/>
      </c>
    </row>
    <row r="13" spans="1:26" x14ac:dyDescent="0.2">
      <c r="F13" t="str">
        <f ca="1">IF($E13="","",NotionalForDelta($E13,$G13,$H13,$I13,$K13,$L13,$N13,$O13,$P13,$T13,RealTime!$A$2:$B$43,TODAY()))</f>
        <v/>
      </c>
      <c r="R13" t="str">
        <f t="shared" si="0"/>
        <v/>
      </c>
      <c r="S13" t="str">
        <f t="shared" si="1"/>
        <v/>
      </c>
    </row>
    <row r="14" spans="1:26" x14ac:dyDescent="0.2">
      <c r="F14" t="str">
        <f ca="1">IF($E14="","",NotionalForDelta($E14,$G14,$H14,$I14,$K14,$L14,$N14,$O14,$P14,$T14,RealTime!$A$2:$B$43,TODAY()))</f>
        <v/>
      </c>
      <c r="R14" t="str">
        <f t="shared" si="0"/>
        <v/>
      </c>
      <c r="S14" t="str">
        <f t="shared" si="1"/>
        <v/>
      </c>
    </row>
    <row r="15" spans="1:26" x14ac:dyDescent="0.2">
      <c r="F15" t="str">
        <f ca="1">IF($E15="","",NotionalForDelta($E15,$G15,$H15,$I15,$K15,$L15,$N15,$O15,$P15,$T15,RealTime!$A$2:$B$43,TODAY()))</f>
        <v/>
      </c>
      <c r="R15" t="str">
        <f t="shared" si="0"/>
        <v/>
      </c>
      <c r="S15" t="str">
        <f t="shared" si="1"/>
        <v/>
      </c>
    </row>
    <row r="16" spans="1:26" x14ac:dyDescent="0.2">
      <c r="F16" t="str">
        <f ca="1">IF($E16="","",NotionalForDelta($E16,$G16,$H16,$I16,$K16,$L16,$N16,$O16,$P16,$T16,RealTime!$A$2:$B$43,TODAY()))</f>
        <v/>
      </c>
      <c r="R16" t="str">
        <f t="shared" si="0"/>
        <v/>
      </c>
      <c r="S16" t="str">
        <f t="shared" si="1"/>
        <v/>
      </c>
    </row>
    <row r="17" spans="6:19" x14ac:dyDescent="0.2">
      <c r="F17" t="str">
        <f ca="1">IF($E17="","",NotionalForDelta($E17,$G17,$H17,$I17,$K17,$L17,$N17,$O17,$P17,$T17,RealTime!$A$2:$B$43,TODAY()))</f>
        <v/>
      </c>
      <c r="R17" t="str">
        <f t="shared" si="0"/>
        <v/>
      </c>
      <c r="S17" t="str">
        <f t="shared" si="1"/>
        <v/>
      </c>
    </row>
    <row r="18" spans="6:19" x14ac:dyDescent="0.2">
      <c r="F18" t="str">
        <f ca="1">IF($E18="","",NotionalForDelta($E18,$G18,$H18,$I18,$K18,$L18,$N18,$O18,$P18,$T18,RealTime!$A$2:$B$43,TODAY()))</f>
        <v/>
      </c>
      <c r="R18" t="str">
        <f t="shared" si="0"/>
        <v/>
      </c>
      <c r="S18" t="str">
        <f t="shared" si="1"/>
        <v/>
      </c>
    </row>
    <row r="19" spans="6:19" x14ac:dyDescent="0.2">
      <c r="F19" t="str">
        <f ca="1">IF($E19="","",NotionalForDelta($E19,$G19,$H19,$I19,$K19,$L19,$N19,$O19,$P19,$T19,RealTime!$A$2:$B$43,TODAY()))</f>
        <v/>
      </c>
      <c r="R19" t="str">
        <f t="shared" si="0"/>
        <v/>
      </c>
      <c r="S19" t="str">
        <f t="shared" si="1"/>
        <v/>
      </c>
    </row>
    <row r="20" spans="6:19" x14ac:dyDescent="0.2">
      <c r="F20" t="str">
        <f ca="1">IF($E20="","",NotionalForDelta($E20,$G20,$H20,$I20,$K20,$L20,$N20,$O20,$P20,$T20,RealTime!$A$2:$B$43,TODAY()))</f>
        <v/>
      </c>
      <c r="R20" t="str">
        <f t="shared" si="0"/>
        <v/>
      </c>
      <c r="S20" t="str">
        <f t="shared" si="1"/>
        <v/>
      </c>
    </row>
    <row r="21" spans="6:19" x14ac:dyDescent="0.2">
      <c r="F21" t="str">
        <f ca="1">IF($E21="","",NotionalForDelta($E21,$G21,$H21,$I21,$K21,$L21,$N21,$O21,$P21,$T21,RealTime!$A$2:$B$43,TODAY()))</f>
        <v/>
      </c>
      <c r="R21" t="str">
        <f t="shared" si="0"/>
        <v/>
      </c>
      <c r="S21" t="str">
        <f t="shared" si="1"/>
        <v/>
      </c>
    </row>
    <row r="22" spans="6:19" x14ac:dyDescent="0.2">
      <c r="F22" t="str">
        <f ca="1">IF($E22="","",NotionalForDelta($E22,$G22,$H22,$I22,$K22,$L22,$N22,$O22,$P22,$T22,RealTime!$A$2:$B$43,TODAY()))</f>
        <v/>
      </c>
      <c r="R22" t="str">
        <f t="shared" si="0"/>
        <v/>
      </c>
      <c r="S22" t="str">
        <f t="shared" si="1"/>
        <v/>
      </c>
    </row>
    <row r="23" spans="6:19" x14ac:dyDescent="0.2">
      <c r="F23" t="str">
        <f ca="1">IF($E23="","",NotionalForDelta($E23,$G23,$H23,$I23,$K23,$L23,$N23,$O23,$P23,$T23,RealTime!$A$2:$B$43,TODAY()))</f>
        <v/>
      </c>
      <c r="R23" t="str">
        <f t="shared" si="0"/>
        <v/>
      </c>
      <c r="S23" t="str">
        <f t="shared" si="1"/>
        <v/>
      </c>
    </row>
    <row r="24" spans="6:19" x14ac:dyDescent="0.2">
      <c r="F24" t="str">
        <f ca="1">IF($E24="","",NotionalForDelta($E24,$G24,$H24,$I24,$K24,$L24,$N24,$O24,$P24,$T24,RealTime!$A$2:$B$43,TODAY()))</f>
        <v/>
      </c>
      <c r="R24" t="str">
        <f t="shared" si="0"/>
        <v/>
      </c>
      <c r="S24" t="str">
        <f t="shared" si="1"/>
        <v/>
      </c>
    </row>
    <row r="25" spans="6:19" x14ac:dyDescent="0.2">
      <c r="F25" t="str">
        <f ca="1">IF($E25="","",NotionalForDelta($E25,$G25,$H25,$I25,$K25,$L25,$N25,$O25,$P25,$T25,RealTime!$A$2:$B$43,TODAY()))</f>
        <v/>
      </c>
      <c r="R25" t="str">
        <f t="shared" si="0"/>
        <v/>
      </c>
      <c r="S25" t="str">
        <f t="shared" si="1"/>
        <v/>
      </c>
    </row>
    <row r="26" spans="6:19" x14ac:dyDescent="0.2">
      <c r="F26" t="str">
        <f ca="1">IF($E26="","",NotionalForDelta($E26,$G26,$H26,$I26,$K26,$L26,$N26,$O26,$P26,$T26,RealTime!$A$2:$B$43,TODAY()))</f>
        <v/>
      </c>
      <c r="R26" t="str">
        <f t="shared" si="0"/>
        <v/>
      </c>
      <c r="S26" t="str">
        <f t="shared" si="1"/>
        <v/>
      </c>
    </row>
    <row r="27" spans="6:19" x14ac:dyDescent="0.2">
      <c r="F27" t="str">
        <f ca="1">IF($E27="","",NotionalForDelta($E27,$G27,$H27,$I27,$K27,$L27,$N27,$O27,$P27,$T27,RealTime!$A$2:$B$43,TODAY()))</f>
        <v/>
      </c>
      <c r="R27" t="str">
        <f t="shared" si="0"/>
        <v/>
      </c>
      <c r="S27" t="str">
        <f t="shared" si="1"/>
        <v/>
      </c>
    </row>
    <row r="28" spans="6:19" x14ac:dyDescent="0.2">
      <c r="F28" t="str">
        <f ca="1">IF($E28="","",NotionalForDelta($E28,$G28,$H28,$I28,$K28,$L28,$N28,$O28,$P28,$T28,RealTime!$A$2:$B$43,TODAY()))</f>
        <v/>
      </c>
      <c r="R28" t="str">
        <f t="shared" si="0"/>
        <v/>
      </c>
      <c r="S28" t="str">
        <f t="shared" si="1"/>
        <v/>
      </c>
    </row>
    <row r="29" spans="6:19" x14ac:dyDescent="0.2">
      <c r="F29" t="str">
        <f ca="1">IF($E29="","",NotionalForDelta($E29,$G29,$H29,$I29,$K29,$L29,$N29,$O29,$P29,$T29,RealTime!$A$2:$B$43,TODAY()))</f>
        <v/>
      </c>
      <c r="R29" t="str">
        <f t="shared" si="0"/>
        <v/>
      </c>
      <c r="S29" t="str">
        <f t="shared" si="1"/>
        <v/>
      </c>
    </row>
    <row r="30" spans="6:19" x14ac:dyDescent="0.2">
      <c r="F30" t="str">
        <f ca="1">IF($E30="","",NotionalForDelta($E30,$G30,$H30,$I30,$K30,$L30,$N30,$O30,$P30,$T30,RealTime!$A$2:$B$43,TODAY()))</f>
        <v/>
      </c>
      <c r="R30" t="str">
        <f t="shared" si="0"/>
        <v/>
      </c>
      <c r="S30" t="str">
        <f t="shared" si="1"/>
        <v/>
      </c>
    </row>
    <row r="31" spans="6:19" x14ac:dyDescent="0.2">
      <c r="F31" t="str">
        <f ca="1">IF($E31="","",NotionalForDelta($E31,$G31,$H31,$I31,$K31,$L31,$N31,$O31,$P31,$T31,RealTime!$A$2:$B$43,TODAY()))</f>
        <v/>
      </c>
      <c r="R31" t="str">
        <f t="shared" si="0"/>
        <v/>
      </c>
      <c r="S31" t="str">
        <f t="shared" si="1"/>
        <v/>
      </c>
    </row>
    <row r="32" spans="6:19" x14ac:dyDescent="0.2">
      <c r="F32" t="str">
        <f ca="1">IF($E32="","",NotionalForDelta($E32,$G32,$H32,$I32,$K32,$L32,$N32,$O32,$P32,$T32,RealTime!$A$2:$B$43,TODAY()))</f>
        <v/>
      </c>
      <c r="R32" t="str">
        <f t="shared" si="0"/>
        <v/>
      </c>
      <c r="S32" t="str">
        <f t="shared" si="1"/>
        <v/>
      </c>
    </row>
    <row r="33" spans="6:19" x14ac:dyDescent="0.2">
      <c r="F33" t="str">
        <f ca="1">IF($E33="","",NotionalForDelta($E33,$G33,$H33,$I33,$K33,$L33,$N33,$O33,$P33,$T33,RealTime!$A$2:$B$43,TODAY()))</f>
        <v/>
      </c>
      <c r="R33" t="str">
        <f t="shared" si="0"/>
        <v/>
      </c>
      <c r="S33" t="str">
        <f t="shared" si="1"/>
        <v/>
      </c>
    </row>
    <row r="34" spans="6:19" x14ac:dyDescent="0.2">
      <c r="F34" t="str">
        <f ca="1">IF($E34="","",NotionalForDelta($E34,$G34,$H34,$I34,$K34,$L34,$N34,$O34,$P34,$T34,RealTime!$A$2:$B$43,TODAY()))</f>
        <v/>
      </c>
      <c r="R34" t="str">
        <f t="shared" ref="R34:R65" si="2">IF(ISNUMBER(Q33),Q34-Q33,"")</f>
        <v/>
      </c>
      <c r="S34" t="str">
        <f t="shared" ref="S34:S65" si="3">IF(AND(ISNUMBER(Q33),ISNUMBER(Q35)),2*Q34-Q33-Q35,"")</f>
        <v/>
      </c>
    </row>
    <row r="35" spans="6:19" x14ac:dyDescent="0.2">
      <c r="F35" t="str">
        <f ca="1">IF($E35="","",NotionalForDelta($E35,$G35,$H35,$I35,$K35,$L35,$N35,$O35,$P35,$T35,RealTime!$A$2:$B$43,TODAY()))</f>
        <v/>
      </c>
      <c r="R35" t="str">
        <f t="shared" si="2"/>
        <v/>
      </c>
      <c r="S35" t="str">
        <f t="shared" si="3"/>
        <v/>
      </c>
    </row>
    <row r="36" spans="6:19" x14ac:dyDescent="0.2">
      <c r="F36" t="str">
        <f ca="1">IF($E36="","",NotionalForDelta($E36,$G36,$H36,$I36,$K36,$L36,$N36,$O36,$P36,$T36,RealTime!$A$2:$B$43,TODAY()))</f>
        <v/>
      </c>
      <c r="R36" t="str">
        <f t="shared" si="2"/>
        <v/>
      </c>
      <c r="S36" t="str">
        <f t="shared" si="3"/>
        <v/>
      </c>
    </row>
    <row r="37" spans="6:19" x14ac:dyDescent="0.2">
      <c r="F37" t="str">
        <f ca="1">IF($E37="","",NotionalForDelta($E37,$G37,$H37,$I37,$K37,$L37,$N37,$O37,$P37,$T37,RealTime!$A$2:$B$43,TODAY()))</f>
        <v/>
      </c>
      <c r="R37" t="str">
        <f t="shared" si="2"/>
        <v/>
      </c>
      <c r="S37" t="str">
        <f t="shared" si="3"/>
        <v/>
      </c>
    </row>
    <row r="38" spans="6:19" x14ac:dyDescent="0.2">
      <c r="F38" t="str">
        <f ca="1">IF($E38="","",NotionalForDelta($E38,$G38,$H38,$I38,$K38,$L38,$N38,$O38,$P38,$T38,RealTime!$A$2:$B$43,TODAY()))</f>
        <v/>
      </c>
      <c r="R38" t="str">
        <f t="shared" si="2"/>
        <v/>
      </c>
      <c r="S38" t="str">
        <f t="shared" si="3"/>
        <v/>
      </c>
    </row>
    <row r="39" spans="6:19" x14ac:dyDescent="0.2">
      <c r="F39" t="str">
        <f ca="1">IF($E39="","",NotionalForDelta($E39,$G39,$H39,$I39,$K39,$L39,$N39,$O39,$P39,$T39,RealTime!$A$2:$B$43,TODAY()))</f>
        <v/>
      </c>
      <c r="R39" t="str">
        <f t="shared" si="2"/>
        <v/>
      </c>
      <c r="S39" t="str">
        <f t="shared" si="3"/>
        <v/>
      </c>
    </row>
    <row r="40" spans="6:19" x14ac:dyDescent="0.2">
      <c r="F40" t="str">
        <f ca="1">IF($E40="","",NotionalForDelta($E40,$G40,$H40,$I40,$K40,$L40,$N40,$O40,$P40,$T40,RealTime!$A$2:$B$43,TODAY()))</f>
        <v/>
      </c>
      <c r="R40" t="str">
        <f t="shared" si="2"/>
        <v/>
      </c>
      <c r="S40" t="str">
        <f t="shared" si="3"/>
        <v/>
      </c>
    </row>
    <row r="41" spans="6:19" x14ac:dyDescent="0.2">
      <c r="F41" t="str">
        <f ca="1">IF($E41="","",NotionalForDelta($E41,$G41,$H41,$I41,$K41,$L41,$N41,$O41,$P41,$T41,RealTime!$A$2:$B$43,TODAY()))</f>
        <v/>
      </c>
      <c r="R41" t="str">
        <f t="shared" si="2"/>
        <v/>
      </c>
      <c r="S41" t="str">
        <f t="shared" si="3"/>
        <v/>
      </c>
    </row>
    <row r="42" spans="6:19" x14ac:dyDescent="0.2">
      <c r="F42" t="str">
        <f ca="1">IF($E42="","",NotionalForDelta($E42,$G42,$H42,$I42,$K42,$L42,$N42,$O42,$P42,$T42,RealTime!$A$2:$B$43,TODAY()))</f>
        <v/>
      </c>
      <c r="R42" t="str">
        <f t="shared" si="2"/>
        <v/>
      </c>
      <c r="S42" t="str">
        <f t="shared" si="3"/>
        <v/>
      </c>
    </row>
    <row r="43" spans="6:19" x14ac:dyDescent="0.2">
      <c r="F43" t="str">
        <f ca="1">IF($E43="","",NotionalForDelta($E43,$G43,$H43,$I43,$K43,$L43,$N43,$O43,$P43,$T43,RealTime!$A$2:$B$43,TODAY()))</f>
        <v/>
      </c>
      <c r="R43" t="str">
        <f t="shared" si="2"/>
        <v/>
      </c>
      <c r="S43" t="str">
        <f t="shared" si="3"/>
        <v/>
      </c>
    </row>
    <row r="44" spans="6:19" x14ac:dyDescent="0.2">
      <c r="F44" t="str">
        <f ca="1">IF($E44="","",NotionalForDelta($E44,$G44,$H44,$I44,$K44,$L44,$N44,$O44,$P44,$T44,RealTime!$A$2:$B$43,TODAY()))</f>
        <v/>
      </c>
      <c r="R44" t="str">
        <f t="shared" si="2"/>
        <v/>
      </c>
      <c r="S44" t="str">
        <f t="shared" si="3"/>
        <v/>
      </c>
    </row>
    <row r="45" spans="6:19" x14ac:dyDescent="0.2">
      <c r="F45" t="str">
        <f ca="1">IF($E45="","",NotionalForDelta($E45,$G45,$H45,$I45,$K45,$L45,$N45,$O45,$P45,$T45,RealTime!$A$2:$B$43,TODAY()))</f>
        <v/>
      </c>
      <c r="R45" t="str">
        <f t="shared" si="2"/>
        <v/>
      </c>
      <c r="S45" t="str">
        <f t="shared" si="3"/>
        <v/>
      </c>
    </row>
    <row r="46" spans="6:19" x14ac:dyDescent="0.2">
      <c r="F46" t="str">
        <f ca="1">IF($E46="","",NotionalForDelta($E46,$G46,$H46,$I46,$K46,$L46,$N46,$O46,$P46,$T46,RealTime!$A$2:$B$43,TODAY()))</f>
        <v/>
      </c>
      <c r="R46" t="str">
        <f t="shared" si="2"/>
        <v/>
      </c>
      <c r="S46" t="str">
        <f t="shared" si="3"/>
        <v/>
      </c>
    </row>
    <row r="47" spans="6:19" x14ac:dyDescent="0.2">
      <c r="F47" t="str">
        <f ca="1">IF($E47="","",NotionalForDelta($E47,$G47,$H47,$I47,$K47,$L47,$N47,$O47,$P47,$T47,RealTime!$A$2:$B$43,TODAY()))</f>
        <v/>
      </c>
      <c r="R47" t="str">
        <f t="shared" si="2"/>
        <v/>
      </c>
      <c r="S47" t="str">
        <f t="shared" si="3"/>
        <v/>
      </c>
    </row>
    <row r="48" spans="6:19" x14ac:dyDescent="0.2">
      <c r="F48" t="str">
        <f ca="1">IF($E48="","",NotionalForDelta($E48,$G48,$H48,$I48,$K48,$L48,$N48,$O48,$P48,$T48,RealTime!$A$2:$B$43,TODAY()))</f>
        <v/>
      </c>
      <c r="R48" t="str">
        <f t="shared" si="2"/>
        <v/>
      </c>
      <c r="S48" t="str">
        <f t="shared" si="3"/>
        <v/>
      </c>
    </row>
    <row r="49" spans="6:19" x14ac:dyDescent="0.2">
      <c r="F49" t="str">
        <f ca="1">IF($E49="","",NotionalForDelta($E49,$G49,$H49,$I49,$K49,$L49,$N49,$O49,$P49,$T49,RealTime!$A$2:$B$43,TODAY()))</f>
        <v/>
      </c>
      <c r="R49" t="str">
        <f t="shared" si="2"/>
        <v/>
      </c>
      <c r="S49" t="str">
        <f t="shared" si="3"/>
        <v/>
      </c>
    </row>
    <row r="50" spans="6:19" x14ac:dyDescent="0.2">
      <c r="F50" t="str">
        <f ca="1">IF($E50="","",NotionalForDelta($E50,$G50,$H50,$I50,$K50,$L50,$N50,$O50,$P50,$T50,RealTime!$A$2:$B$43,TODAY()))</f>
        <v/>
      </c>
      <c r="R50" t="str">
        <f t="shared" si="2"/>
        <v/>
      </c>
      <c r="S50" t="str">
        <f t="shared" si="3"/>
        <v/>
      </c>
    </row>
    <row r="51" spans="6:19" x14ac:dyDescent="0.2">
      <c r="F51" t="str">
        <f ca="1">IF($E51="","",NotionalForDelta($E51,$G51,$H51,$I51,$K51,$L51,$N51,$O51,$P51,$T51,RealTime!$A$2:$B$43,TODAY()))</f>
        <v/>
      </c>
      <c r="R51" t="str">
        <f t="shared" si="2"/>
        <v/>
      </c>
      <c r="S51" t="str">
        <f t="shared" si="3"/>
        <v/>
      </c>
    </row>
    <row r="52" spans="6:19" x14ac:dyDescent="0.2">
      <c r="F52" t="str">
        <f ca="1">IF($E52="","",NotionalForDelta($E52,$G52,$H52,$I52,$K52,$L52,$N52,$O52,$P52,$T52,RealTime!$A$2:$B$43,TODAY()))</f>
        <v/>
      </c>
      <c r="R52" t="str">
        <f t="shared" si="2"/>
        <v/>
      </c>
      <c r="S52" t="str">
        <f t="shared" si="3"/>
        <v/>
      </c>
    </row>
    <row r="53" spans="6:19" x14ac:dyDescent="0.2">
      <c r="F53" t="str">
        <f ca="1">IF($E53="","",NotionalForDelta($E53,$G53,$H53,$I53,$K53,$L53,$N53,$O53,$P53,$T53,RealTime!$A$2:$B$43,TODAY()))</f>
        <v/>
      </c>
      <c r="R53" t="str">
        <f t="shared" si="2"/>
        <v/>
      </c>
      <c r="S53" t="str">
        <f t="shared" si="3"/>
        <v/>
      </c>
    </row>
    <row r="54" spans="6:19" x14ac:dyDescent="0.2">
      <c r="F54" t="str">
        <f ca="1">IF($E54="","",NotionalForDelta($E54,$G54,$H54,$I54,$K54,$L54,$N54,$O54,$P54,$T54,RealTime!$A$2:$B$43,TODAY()))</f>
        <v/>
      </c>
      <c r="R54" t="str">
        <f t="shared" si="2"/>
        <v/>
      </c>
      <c r="S54" t="str">
        <f t="shared" si="3"/>
        <v/>
      </c>
    </row>
    <row r="55" spans="6:19" x14ac:dyDescent="0.2">
      <c r="F55" t="str">
        <f ca="1">IF($E55="","",NotionalForDelta($E55,$G55,$H55,$I55,$K55,$L55,$N55,$O55,$P55,$T55,RealTime!$A$2:$B$43,TODAY()))</f>
        <v/>
      </c>
      <c r="R55" t="str">
        <f t="shared" si="2"/>
        <v/>
      </c>
      <c r="S55" t="str">
        <f t="shared" si="3"/>
        <v/>
      </c>
    </row>
    <row r="56" spans="6:19" x14ac:dyDescent="0.2">
      <c r="F56" t="str">
        <f ca="1">IF($E56="","",NotionalForDelta($E56,$G56,$H56,$I56,$K56,$L56,$N56,$O56,$P56,$T56,RealTime!$A$2:$B$43,TODAY()))</f>
        <v/>
      </c>
      <c r="R56" t="str">
        <f t="shared" si="2"/>
        <v/>
      </c>
      <c r="S56" t="str">
        <f t="shared" si="3"/>
        <v/>
      </c>
    </row>
    <row r="57" spans="6:19" x14ac:dyDescent="0.2">
      <c r="F57" t="str">
        <f ca="1">IF($E57="","",NotionalForDelta($E57,$G57,$H57,$I57,$K57,$L57,$N57,$O57,$P57,$T57,RealTime!$A$2:$B$43,TODAY()))</f>
        <v/>
      </c>
      <c r="R57" t="str">
        <f t="shared" si="2"/>
        <v/>
      </c>
      <c r="S57" t="str">
        <f t="shared" si="3"/>
        <v/>
      </c>
    </row>
    <row r="58" spans="6:19" x14ac:dyDescent="0.2">
      <c r="F58" t="str">
        <f ca="1">IF($E58="","",NotionalForDelta($E58,$G58,$H58,$I58,$K58,$L58,$N58,$O58,$P58,$T58,RealTime!$A$2:$B$43,TODAY()))</f>
        <v/>
      </c>
      <c r="R58" t="str">
        <f t="shared" si="2"/>
        <v/>
      </c>
      <c r="S58" t="str">
        <f t="shared" si="3"/>
        <v/>
      </c>
    </row>
    <row r="59" spans="6:19" x14ac:dyDescent="0.2">
      <c r="F59" t="str">
        <f ca="1">IF($E59="","",NotionalForDelta($E59,$G59,$H59,$I59,$K59,$L59,$N59,$O59,$P59,$T59,RealTime!$A$2:$B$43,TODAY()))</f>
        <v/>
      </c>
      <c r="R59" t="str">
        <f t="shared" si="2"/>
        <v/>
      </c>
      <c r="S59" t="str">
        <f t="shared" si="3"/>
        <v/>
      </c>
    </row>
    <row r="60" spans="6:19" x14ac:dyDescent="0.2">
      <c r="F60" t="str">
        <f ca="1">IF($E60="","",NotionalForDelta($E60,$G60,$H60,$I60,$K60,$L60,$N60,$O60,$P60,$T60,RealTime!$A$2:$B$43,TODAY()))</f>
        <v/>
      </c>
      <c r="R60" t="str">
        <f t="shared" si="2"/>
        <v/>
      </c>
      <c r="S60" t="str">
        <f t="shared" si="3"/>
        <v/>
      </c>
    </row>
    <row r="61" spans="6:19" x14ac:dyDescent="0.2">
      <c r="F61" t="str">
        <f ca="1">IF($E61="","",NotionalForDelta($E61,$G61,$H61,$I61,$K61,$L61,$N61,$O61,$P61,$T61,RealTime!$A$2:$B$43,TODAY()))</f>
        <v/>
      </c>
      <c r="R61" t="str">
        <f t="shared" si="2"/>
        <v/>
      </c>
      <c r="S61" t="str">
        <f t="shared" si="3"/>
        <v/>
      </c>
    </row>
    <row r="62" spans="6:19" x14ac:dyDescent="0.2">
      <c r="F62" t="str">
        <f ca="1">IF($E62="","",NotionalForDelta($E62,$G62,$H62,$I62,$K62,$L62,$N62,$O62,$P62,$T62,RealTime!$A$2:$B$43,TODAY()))</f>
        <v/>
      </c>
      <c r="R62" t="str">
        <f t="shared" si="2"/>
        <v/>
      </c>
      <c r="S62" t="str">
        <f t="shared" si="3"/>
        <v/>
      </c>
    </row>
    <row r="63" spans="6:19" x14ac:dyDescent="0.2">
      <c r="F63" t="str">
        <f ca="1">IF($E63="","",NotionalForDelta($E63,$G63,$H63,$I63,$K63,$L63,$N63,$O63,$P63,$T63,RealTime!$A$2:$B$43,TODAY()))</f>
        <v/>
      </c>
      <c r="R63" t="str">
        <f t="shared" si="2"/>
        <v/>
      </c>
      <c r="S63" t="str">
        <f t="shared" si="3"/>
        <v/>
      </c>
    </row>
    <row r="64" spans="6:19" x14ac:dyDescent="0.2">
      <c r="F64" t="str">
        <f ca="1">IF($E64="","",NotionalForDelta($E64,$G64,$H64,$I64,$K64,$L64,$N64,$O64,$P64,$T64,RealTime!$A$2:$B$43,TODAY()))</f>
        <v/>
      </c>
      <c r="R64" t="str">
        <f t="shared" si="2"/>
        <v/>
      </c>
      <c r="S64" t="str">
        <f t="shared" si="3"/>
        <v/>
      </c>
    </row>
    <row r="65" spans="6:19" x14ac:dyDescent="0.2">
      <c r="F65" t="str">
        <f ca="1">IF($E65="","",NotionalForDelta($E65,$G65,$H65,$I65,$K65,$L65,$N65,$O65,$P65,$T65,RealTime!$A$2:$B$43,TODAY()))</f>
        <v/>
      </c>
      <c r="R65" t="str">
        <f t="shared" si="2"/>
        <v/>
      </c>
      <c r="S65" t="str">
        <f t="shared" si="3"/>
        <v/>
      </c>
    </row>
    <row r="66" spans="6:19" x14ac:dyDescent="0.2">
      <c r="F66" t="str">
        <f ca="1">IF($E66="","",NotionalForDelta($E66,$G66,$H66,$I66,$K66,$L66,$N66,$O66,$P66,$T66,RealTime!$A$2:$B$43,TODAY()))</f>
        <v/>
      </c>
      <c r="R66" t="str">
        <f t="shared" ref="R66:R97" si="4">IF(ISNUMBER(Q65),Q66-Q65,"")</f>
        <v/>
      </c>
      <c r="S66" t="str">
        <f t="shared" ref="S66:S97" si="5">IF(AND(ISNUMBER(Q65),ISNUMBER(Q67)),2*Q66-Q65-Q67,"")</f>
        <v/>
      </c>
    </row>
    <row r="67" spans="6:19" x14ac:dyDescent="0.2">
      <c r="F67" t="str">
        <f ca="1">IF($E67="","",NotionalForDelta($E67,$G67,$H67,$I67,$K67,$L67,$N67,$O67,$P67,$T67,RealTime!$A$2:$B$43,TODAY()))</f>
        <v/>
      </c>
      <c r="R67" t="str">
        <f t="shared" si="4"/>
        <v/>
      </c>
      <c r="S67" t="str">
        <f t="shared" si="5"/>
        <v/>
      </c>
    </row>
    <row r="68" spans="6:19" x14ac:dyDescent="0.2">
      <c r="F68" t="str">
        <f ca="1">IF($E68="","",NotionalForDelta($E68,$G68,$H68,$I68,$K68,$L68,$N68,$O68,$P68,$T68,RealTime!$A$2:$B$43,TODAY()))</f>
        <v/>
      </c>
      <c r="R68" t="str">
        <f t="shared" si="4"/>
        <v/>
      </c>
      <c r="S68" t="str">
        <f t="shared" si="5"/>
        <v/>
      </c>
    </row>
    <row r="69" spans="6:19" x14ac:dyDescent="0.2">
      <c r="F69" t="str">
        <f ca="1">IF($E69="","",NotionalForDelta($E69,$G69,$H69,$I69,$K69,$L69,$N69,$O69,$P69,$T69,RealTime!$A$2:$B$43,TODAY()))</f>
        <v/>
      </c>
      <c r="R69" t="str">
        <f t="shared" si="4"/>
        <v/>
      </c>
      <c r="S69" t="str">
        <f t="shared" si="5"/>
        <v/>
      </c>
    </row>
    <row r="70" spans="6:19" x14ac:dyDescent="0.2">
      <c r="F70" t="str">
        <f ca="1">IF($E70="","",NotionalForDelta($E70,$G70,$H70,$I70,$K70,$L70,$N70,$O70,$P70,$T70,RealTime!$A$2:$B$43,TODAY()))</f>
        <v/>
      </c>
      <c r="R70" t="str">
        <f t="shared" si="4"/>
        <v/>
      </c>
      <c r="S70" t="str">
        <f t="shared" si="5"/>
        <v/>
      </c>
    </row>
    <row r="71" spans="6:19" x14ac:dyDescent="0.2">
      <c r="F71" t="str">
        <f ca="1">IF($E71="","",NotionalForDelta($E71,$G71,$H71,$I71,$K71,$L71,$N71,$O71,$P71,$T71,RealTime!$A$2:$B$43,TODAY()))</f>
        <v/>
      </c>
      <c r="R71" t="str">
        <f t="shared" si="4"/>
        <v/>
      </c>
      <c r="S71" t="str">
        <f t="shared" si="5"/>
        <v/>
      </c>
    </row>
    <row r="72" spans="6:19" x14ac:dyDescent="0.2">
      <c r="F72" t="str">
        <f ca="1">IF($E72="","",NotionalForDelta($E72,$G72,$H72,$I72,$K72,$L72,$N72,$O72,$P72,$T72,RealTime!$A$2:$B$43,TODAY()))</f>
        <v/>
      </c>
      <c r="R72" t="str">
        <f t="shared" si="4"/>
        <v/>
      </c>
      <c r="S72" t="str">
        <f t="shared" si="5"/>
        <v/>
      </c>
    </row>
    <row r="73" spans="6:19" x14ac:dyDescent="0.2">
      <c r="F73" t="str">
        <f ca="1">IF($E73="","",NotionalForDelta($E73,$G73,$H73,$I73,$K73,$L73,$N73,$O73,$P73,$T73,RealTime!$A$2:$B$43,TODAY()))</f>
        <v/>
      </c>
      <c r="R73" t="str">
        <f t="shared" si="4"/>
        <v/>
      </c>
      <c r="S73" t="str">
        <f t="shared" si="5"/>
        <v/>
      </c>
    </row>
    <row r="74" spans="6:19" x14ac:dyDescent="0.2">
      <c r="F74" t="str">
        <f ca="1">IF($E74="","",NotionalForDelta($E74,$G74,$H74,$I74,$K74,$L74,$N74,$O74,$P74,$T74,RealTime!$A$2:$B$43,TODAY()))</f>
        <v/>
      </c>
      <c r="R74" t="str">
        <f t="shared" si="4"/>
        <v/>
      </c>
      <c r="S74" t="str">
        <f t="shared" si="5"/>
        <v/>
      </c>
    </row>
    <row r="75" spans="6:19" x14ac:dyDescent="0.2">
      <c r="F75" t="str">
        <f ca="1">IF($E75="","",NotionalForDelta($E75,$G75,$H75,$I75,$K75,$L75,$N75,$O75,$P75,$T75,RealTime!$A$2:$B$43,TODAY()))</f>
        <v/>
      </c>
      <c r="R75" t="str">
        <f t="shared" si="4"/>
        <v/>
      </c>
      <c r="S75" t="str">
        <f t="shared" si="5"/>
        <v/>
      </c>
    </row>
    <row r="76" spans="6:19" x14ac:dyDescent="0.2">
      <c r="F76" t="str">
        <f ca="1">IF($E76="","",NotionalForDelta($E76,$G76,$H76,$I76,$K76,$L76,$N76,$O76,$P76,$T76,RealTime!$A$2:$B$43,TODAY()))</f>
        <v/>
      </c>
      <c r="R76" t="str">
        <f t="shared" si="4"/>
        <v/>
      </c>
      <c r="S76" t="str">
        <f t="shared" si="5"/>
        <v/>
      </c>
    </row>
    <row r="77" spans="6:19" x14ac:dyDescent="0.2">
      <c r="F77" t="str">
        <f ca="1">IF($E77="","",NotionalForDelta($E77,$G77,$H77,$I77,$K77,$L77,$N77,$O77,$P77,$T77,RealTime!$A$2:$B$43,TODAY()))</f>
        <v/>
      </c>
      <c r="R77" t="str">
        <f t="shared" si="4"/>
        <v/>
      </c>
      <c r="S77" t="str">
        <f t="shared" si="5"/>
        <v/>
      </c>
    </row>
    <row r="78" spans="6:19" x14ac:dyDescent="0.2">
      <c r="F78" t="str">
        <f ca="1">IF($E78="","",NotionalForDelta($E78,$G78,$H78,$I78,$K78,$L78,$N78,$O78,$P78,$T78,RealTime!$A$2:$B$43,TODAY()))</f>
        <v/>
      </c>
      <c r="R78" t="str">
        <f t="shared" si="4"/>
        <v/>
      </c>
      <c r="S78" t="str">
        <f t="shared" si="5"/>
        <v/>
      </c>
    </row>
    <row r="79" spans="6:19" x14ac:dyDescent="0.2">
      <c r="F79" t="str">
        <f ca="1">IF($E79="","",NotionalForDelta($E79,$G79,$H79,$I79,$K79,$L79,$N79,$O79,$P79,$T79,RealTime!$A$2:$B$43,TODAY()))</f>
        <v/>
      </c>
      <c r="R79" t="str">
        <f t="shared" si="4"/>
        <v/>
      </c>
      <c r="S79" t="str">
        <f t="shared" si="5"/>
        <v/>
      </c>
    </row>
    <row r="80" spans="6:19" x14ac:dyDescent="0.2">
      <c r="F80" t="str">
        <f ca="1">IF($E80="","",NotionalForDelta($E80,$G80,$H80,$I80,$K80,$L80,$N80,$O80,$P80,$T80,RealTime!$A$2:$B$43,TODAY()))</f>
        <v/>
      </c>
      <c r="R80" t="str">
        <f t="shared" si="4"/>
        <v/>
      </c>
      <c r="S80" t="str">
        <f t="shared" si="5"/>
        <v/>
      </c>
    </row>
    <row r="81" spans="6:19" x14ac:dyDescent="0.2">
      <c r="F81" t="str">
        <f ca="1">IF($E81="","",NotionalForDelta($E81,$G81,$H81,$I81,$K81,$L81,$N81,$O81,$P81,$T81,RealTime!$A$2:$B$43,TODAY()))</f>
        <v/>
      </c>
      <c r="R81" t="str">
        <f t="shared" si="4"/>
        <v/>
      </c>
      <c r="S81" t="str">
        <f t="shared" si="5"/>
        <v/>
      </c>
    </row>
    <row r="82" spans="6:19" x14ac:dyDescent="0.2">
      <c r="F82" t="str">
        <f ca="1">IF($E82="","",NotionalForDelta($E82,$G82,$H82,$I82,$K82,$L82,$N82,$O82,$P82,$T82,RealTime!$A$2:$B$43,TODAY()))</f>
        <v/>
      </c>
      <c r="R82" t="str">
        <f t="shared" si="4"/>
        <v/>
      </c>
      <c r="S82" t="str">
        <f t="shared" si="5"/>
        <v/>
      </c>
    </row>
    <row r="83" spans="6:19" x14ac:dyDescent="0.2">
      <c r="F83" t="str">
        <f ca="1">IF($E83="","",NotionalForDelta($E83,$G83,$H83,$I83,$K83,$L83,$N83,$O83,$P83,$T83,RealTime!$A$2:$B$43,TODAY()))</f>
        <v/>
      </c>
      <c r="R83" t="str">
        <f t="shared" si="4"/>
        <v/>
      </c>
      <c r="S83" t="str">
        <f t="shared" si="5"/>
        <v/>
      </c>
    </row>
    <row r="84" spans="6:19" x14ac:dyDescent="0.2">
      <c r="F84" t="str">
        <f ca="1">IF($E84="","",NotionalForDelta($E84,$G84,$H84,$I84,$K84,$L84,$N84,$O84,$P84,$T84,RealTime!$A$2:$B$43,TODAY()))</f>
        <v/>
      </c>
      <c r="R84" t="str">
        <f t="shared" si="4"/>
        <v/>
      </c>
      <c r="S84" t="str">
        <f t="shared" si="5"/>
        <v/>
      </c>
    </row>
    <row r="85" spans="6:19" x14ac:dyDescent="0.2">
      <c r="F85" t="str">
        <f ca="1">IF($E85="","",NotionalForDelta($E85,$G85,$H85,$I85,$K85,$L85,$N85,$O85,$P85,$T85,RealTime!$A$2:$B$43,TODAY()))</f>
        <v/>
      </c>
      <c r="R85" t="str">
        <f t="shared" si="4"/>
        <v/>
      </c>
      <c r="S85" t="str">
        <f t="shared" si="5"/>
        <v/>
      </c>
    </row>
    <row r="86" spans="6:19" x14ac:dyDescent="0.2">
      <c r="F86" t="str">
        <f ca="1">IF($E86="","",NotionalForDelta($E86,$G86,$H86,$I86,$K86,$L86,$N86,$O86,$P86,$T86,RealTime!$A$2:$B$43,TODAY()))</f>
        <v/>
      </c>
      <c r="R86" t="str">
        <f t="shared" si="4"/>
        <v/>
      </c>
      <c r="S86" t="str">
        <f t="shared" si="5"/>
        <v/>
      </c>
    </row>
    <row r="87" spans="6:19" x14ac:dyDescent="0.2">
      <c r="F87" t="str">
        <f ca="1">IF($E87="","",NotionalForDelta($E87,$G87,$H87,$I87,$K87,$L87,$N87,$O87,$P87,$T87,RealTime!$A$2:$B$43,TODAY()))</f>
        <v/>
      </c>
      <c r="R87" t="str">
        <f t="shared" si="4"/>
        <v/>
      </c>
      <c r="S87" t="str">
        <f t="shared" si="5"/>
        <v/>
      </c>
    </row>
    <row r="88" spans="6:19" x14ac:dyDescent="0.2">
      <c r="F88" t="str">
        <f ca="1">IF($E88="","",NotionalForDelta($E88,$G88,$H88,$I88,$K88,$L88,$N88,$O88,$P88,$T88,RealTime!$A$2:$B$43,TODAY()))</f>
        <v/>
      </c>
      <c r="R88" t="str">
        <f t="shared" si="4"/>
        <v/>
      </c>
      <c r="S88" t="str">
        <f t="shared" si="5"/>
        <v/>
      </c>
    </row>
    <row r="89" spans="6:19" x14ac:dyDescent="0.2">
      <c r="F89" t="str">
        <f ca="1">IF($E89="","",NotionalForDelta($E89,$G89,$H89,$I89,$K89,$L89,$N89,$O89,$P89,$T89,RealTime!$A$2:$B$43,TODAY()))</f>
        <v/>
      </c>
      <c r="R89" t="str">
        <f t="shared" si="4"/>
        <v/>
      </c>
      <c r="S89" t="str">
        <f t="shared" si="5"/>
        <v/>
      </c>
    </row>
    <row r="90" spans="6:19" x14ac:dyDescent="0.2">
      <c r="F90" t="str">
        <f ca="1">IF($E90="","",NotionalForDelta($E90,$G90,$H90,$I90,$K90,$L90,$N90,$O90,$P90,$T90,RealTime!$A$2:$B$43,TODAY()))</f>
        <v/>
      </c>
      <c r="R90" t="str">
        <f t="shared" si="4"/>
        <v/>
      </c>
      <c r="S90" t="str">
        <f t="shared" si="5"/>
        <v/>
      </c>
    </row>
    <row r="91" spans="6:19" x14ac:dyDescent="0.2">
      <c r="F91" t="str">
        <f ca="1">IF($E91="","",NotionalForDelta($E91,$G91,$H91,$I91,$K91,$L91,$N91,$O91,$P91,$T91,RealTime!$A$2:$B$43,TODAY()))</f>
        <v/>
      </c>
      <c r="R91" t="str">
        <f t="shared" si="4"/>
        <v/>
      </c>
      <c r="S91" t="str">
        <f t="shared" si="5"/>
        <v/>
      </c>
    </row>
    <row r="92" spans="6:19" x14ac:dyDescent="0.2">
      <c r="F92" t="str">
        <f ca="1">IF($E92="","",NotionalForDelta($E92,$G92,$H92,$I92,$K92,$L92,$N92,$O92,$P92,$T92,RealTime!$A$2:$B$43,TODAY()))</f>
        <v/>
      </c>
      <c r="R92" t="str">
        <f t="shared" si="4"/>
        <v/>
      </c>
      <c r="S92" t="str">
        <f t="shared" si="5"/>
        <v/>
      </c>
    </row>
    <row r="93" spans="6:19" x14ac:dyDescent="0.2">
      <c r="F93" t="str">
        <f ca="1">IF($E93="","",NotionalForDelta($E93,$G93,$H93,$I93,$K93,$L93,$N93,$O93,$P93,$T93,RealTime!$A$2:$B$43,TODAY()))</f>
        <v/>
      </c>
      <c r="R93" t="str">
        <f t="shared" si="4"/>
        <v/>
      </c>
      <c r="S93" t="str">
        <f t="shared" si="5"/>
        <v/>
      </c>
    </row>
    <row r="94" spans="6:19" x14ac:dyDescent="0.2">
      <c r="F94" t="str">
        <f ca="1">IF($E94="","",NotionalForDelta($E94,$G94,$H94,$I94,$K94,$L94,$N94,$O94,$P94,$T94,RealTime!$A$2:$B$43,TODAY()))</f>
        <v/>
      </c>
      <c r="R94" t="str">
        <f t="shared" si="4"/>
        <v/>
      </c>
      <c r="S94" t="str">
        <f t="shared" si="5"/>
        <v/>
      </c>
    </row>
    <row r="95" spans="6:19" x14ac:dyDescent="0.2">
      <c r="F95" t="str">
        <f ca="1">IF($E95="","",NotionalForDelta($E95,$G95,$H95,$I95,$K95,$L95,$N95,$O95,$P95,$T95,RealTime!$A$2:$B$43,TODAY()))</f>
        <v/>
      </c>
      <c r="R95" t="str">
        <f t="shared" si="4"/>
        <v/>
      </c>
      <c r="S95" t="str">
        <f t="shared" si="5"/>
        <v/>
      </c>
    </row>
    <row r="96" spans="6:19" x14ac:dyDescent="0.2">
      <c r="F96" t="str">
        <f ca="1">IF($E96="","",NotionalForDelta($E96,$G96,$H96,$I96,$K96,$L96,$N96,$O96,$P96,$T96,RealTime!$A$2:$B$43,TODAY()))</f>
        <v/>
      </c>
      <c r="R96" t="str">
        <f t="shared" si="4"/>
        <v/>
      </c>
      <c r="S96" t="str">
        <f t="shared" si="5"/>
        <v/>
      </c>
    </row>
    <row r="97" spans="1:19" x14ac:dyDescent="0.2">
      <c r="F97" t="str">
        <f ca="1">IF($E97="","",NotionalForDelta($E97,$G97,$H97,$I97,$K97,$L97,$N97,$O97,$P97,$T97,RealTime!$A$2:$B$43,TODAY()))</f>
        <v/>
      </c>
      <c r="R97" t="str">
        <f t="shared" si="4"/>
        <v/>
      </c>
      <c r="S97" t="str">
        <f t="shared" si="5"/>
        <v/>
      </c>
    </row>
    <row r="98" spans="1:19" x14ac:dyDescent="0.2">
      <c r="F98" t="str">
        <f ca="1">IF($E98="","",NotionalForDelta($E98,$G98,$H98,$I98,$K98,$L98,$N98,$O98,$P98,$T98,RealTime!$A$2:$B$43,TODAY()))</f>
        <v/>
      </c>
      <c r="R98" t="str">
        <f t="shared" ref="R98:R129" si="6">IF(ISNUMBER(Q97),Q98-Q97,"")</f>
        <v/>
      </c>
      <c r="S98" t="str">
        <f t="shared" ref="S98:S129" si="7">IF(AND(ISNUMBER(Q97),ISNUMBER(Q99)),2*Q98-Q97-Q99,"")</f>
        <v/>
      </c>
    </row>
    <row r="99" spans="1:19" x14ac:dyDescent="0.2">
      <c r="F99" t="str">
        <f ca="1">IF($E99="","",NotionalForDelta($E99,$G99,$H99,$I99,$K99,$L99,$N99,$O99,$P99,$T99,RealTime!$A$2:$B$43,TODAY()))</f>
        <v/>
      </c>
      <c r="R99" t="str">
        <f t="shared" si="6"/>
        <v/>
      </c>
      <c r="S99" t="str">
        <f t="shared" si="7"/>
        <v/>
      </c>
    </row>
    <row r="100" spans="1:19" x14ac:dyDescent="0.2">
      <c r="A100">
        <v>0</v>
      </c>
      <c r="F100" t="str">
        <f ca="1">IF($E100="","",NotionalForDelta($E100,$G100,$H100,$I100,$K100,$L100,$N100,$O100,$P100,$T100,RealTime!$A$2:$B$43,TODAY()))</f>
        <v/>
      </c>
      <c r="R100" t="str">
        <f t="shared" si="6"/>
        <v/>
      </c>
      <c r="S100" t="str">
        <f t="shared" si="7"/>
        <v/>
      </c>
    </row>
    <row r="101" spans="1:19" x14ac:dyDescent="0.2">
      <c r="F101" t="str">
        <f ca="1">IF($E101="","",NotionalForDelta($E101,$G101,$H101,$I101,$K101,$L101,$N101,$O101,$P101,$T101,RealTime!$A$2:$B$43,TODAY()))</f>
        <v/>
      </c>
      <c r="R101" t="str">
        <f t="shared" si="6"/>
        <v/>
      </c>
      <c r="S101" t="str">
        <f t="shared" si="7"/>
        <v/>
      </c>
    </row>
    <row r="102" spans="1:19" x14ac:dyDescent="0.2">
      <c r="F102" t="str">
        <f ca="1">IF($E102="","",NotionalForDelta($E102,$G102,$H102,$I102,$K102,$L102,$N102,$O102,$P102,$T102,RealTime!$A$2:$B$43,TODAY()))</f>
        <v/>
      </c>
      <c r="R102" t="str">
        <f t="shared" si="6"/>
        <v/>
      </c>
      <c r="S102" t="str">
        <f t="shared" si="7"/>
        <v/>
      </c>
    </row>
    <row r="103" spans="1:19" x14ac:dyDescent="0.2">
      <c r="F103" t="str">
        <f ca="1">IF($E103="","",NotionalForDelta($E103,$G103,$H103,$I103,$K103,$L103,$N103,$O103,$P103,$T103,RealTime!$A$2:$B$43,TODAY()))</f>
        <v/>
      </c>
      <c r="R103" t="str">
        <f t="shared" si="6"/>
        <v/>
      </c>
      <c r="S103" t="str">
        <f t="shared" si="7"/>
        <v/>
      </c>
    </row>
    <row r="104" spans="1:19" x14ac:dyDescent="0.2">
      <c r="F104" t="str">
        <f ca="1">IF($E104="","",NotionalForDelta($E104,$G104,$H104,$I104,$K104,$L104,$N104,$O104,$P104,$T104,RealTime!$A$2:$B$43,TODAY()))</f>
        <v/>
      </c>
      <c r="R104" t="str">
        <f t="shared" si="6"/>
        <v/>
      </c>
      <c r="S104" t="str">
        <f t="shared" si="7"/>
        <v/>
      </c>
    </row>
    <row r="105" spans="1:19" x14ac:dyDescent="0.2">
      <c r="F105" t="str">
        <f ca="1">IF($E105="","",NotionalForDelta($E105,$G105,$H105,$I105,$K105,$L105,$N105,$O105,$P105,$T105,RealTime!$A$2:$B$43,TODAY()))</f>
        <v/>
      </c>
      <c r="R105" t="str">
        <f t="shared" si="6"/>
        <v/>
      </c>
      <c r="S105" t="str">
        <f t="shared" si="7"/>
        <v/>
      </c>
    </row>
    <row r="106" spans="1:19" x14ac:dyDescent="0.2">
      <c r="F106" t="str">
        <f ca="1">IF($E106="","",NotionalForDelta($E106,$G106,$H106,$I106,$K106,$L106,$N106,$O106,$P106,$T106,RealTime!$A$2:$B$43,TODAY()))</f>
        <v/>
      </c>
      <c r="R106" t="str">
        <f t="shared" si="6"/>
        <v/>
      </c>
      <c r="S106" t="str">
        <f t="shared" si="7"/>
        <v/>
      </c>
    </row>
    <row r="107" spans="1:19" x14ac:dyDescent="0.2">
      <c r="F107" t="str">
        <f ca="1">IF($E107="","",NotionalForDelta($E107,$G107,$H107,$I107,$K107,$L107,$N107,$O107,$P107,$T107,RealTime!$A$2:$B$43,TODAY()))</f>
        <v/>
      </c>
      <c r="R107" t="str">
        <f t="shared" si="6"/>
        <v/>
      </c>
      <c r="S107" t="str">
        <f t="shared" si="7"/>
        <v/>
      </c>
    </row>
    <row r="108" spans="1:19" x14ac:dyDescent="0.2">
      <c r="F108" t="str">
        <f ca="1">IF($E108="","",NotionalForDelta($E108,$G108,$H108,$I108,$K108,$L108,$N108,$O108,$P108,$T108,RealTime!$A$2:$B$43,TODAY()))</f>
        <v/>
      </c>
      <c r="R108" t="str">
        <f t="shared" si="6"/>
        <v/>
      </c>
      <c r="S108" t="str">
        <f t="shared" si="7"/>
        <v/>
      </c>
    </row>
    <row r="109" spans="1:19" x14ac:dyDescent="0.2">
      <c r="F109" t="str">
        <f ca="1">IF($E109="","",NotionalForDelta($E109,$G109,$H109,$I109,$K109,$L109,$N109,$O109,$P109,$T109,RealTime!$A$2:$B$43,TODAY()))</f>
        <v/>
      </c>
      <c r="R109" t="str">
        <f t="shared" si="6"/>
        <v/>
      </c>
      <c r="S109" t="str">
        <f t="shared" si="7"/>
        <v/>
      </c>
    </row>
    <row r="110" spans="1:19" x14ac:dyDescent="0.2">
      <c r="F110" t="str">
        <f ca="1">IF($E110="","",NotionalForDelta($E110,$G110,$H110,$I110,$K110,$L110,$N110,$O110,$P110,$T110,RealTime!$A$2:$B$43,TODAY()))</f>
        <v/>
      </c>
      <c r="R110" t="str">
        <f t="shared" si="6"/>
        <v/>
      </c>
      <c r="S110" t="str">
        <f t="shared" si="7"/>
        <v/>
      </c>
    </row>
    <row r="111" spans="1:19" x14ac:dyDescent="0.2">
      <c r="F111" t="str">
        <f ca="1">IF($E111="","",NotionalForDelta($E111,$G111,$H111,$I111,$K111,$L111,$N111,$O111,$P111,$T111,RealTime!$A$2:$B$43,TODAY()))</f>
        <v/>
      </c>
      <c r="R111" t="str">
        <f t="shared" si="6"/>
        <v/>
      </c>
      <c r="S111" t="str">
        <f t="shared" si="7"/>
        <v/>
      </c>
    </row>
    <row r="112" spans="1:19" x14ac:dyDescent="0.2">
      <c r="F112" t="str">
        <f ca="1">IF($E112="","",NotionalForDelta($E112,$G112,$H112,$I112,$K112,$L112,$N112,$O112,$P112,$T112,RealTime!$A$2:$B$43,TODAY()))</f>
        <v/>
      </c>
      <c r="R112" t="str">
        <f t="shared" si="6"/>
        <v/>
      </c>
      <c r="S112" t="str">
        <f t="shared" si="7"/>
        <v/>
      </c>
    </row>
    <row r="113" spans="6:19" x14ac:dyDescent="0.2">
      <c r="F113" t="str">
        <f ca="1">IF($E113="","",NotionalForDelta($E113,$G113,$H113,$I113,$K113,$L113,$N113,$O113,$P113,$T113,RealTime!$A$2:$B$43,TODAY()))</f>
        <v/>
      </c>
      <c r="R113" t="str">
        <f t="shared" si="6"/>
        <v/>
      </c>
      <c r="S113" t="str">
        <f t="shared" si="7"/>
        <v/>
      </c>
    </row>
    <row r="114" spans="6:19" x14ac:dyDescent="0.2">
      <c r="F114" t="str">
        <f ca="1">IF($E114="","",NotionalForDelta($E114,$G114,$H114,$I114,$K114,$L114,$N114,$O114,$P114,$T114,RealTime!$A$2:$B$43,TODAY()))</f>
        <v/>
      </c>
      <c r="R114" t="str">
        <f t="shared" si="6"/>
        <v/>
      </c>
      <c r="S114" t="str">
        <f t="shared" si="7"/>
        <v/>
      </c>
    </row>
    <row r="115" spans="6:19" x14ac:dyDescent="0.2">
      <c r="F115" t="str">
        <f ca="1">IF($E115="","",NotionalForDelta($E115,$G115,$H115,$I115,$K115,$L115,$N115,$O115,$P115,$T115,RealTime!$A$2:$B$43,TODAY()))</f>
        <v/>
      </c>
      <c r="R115" t="str">
        <f t="shared" si="6"/>
        <v/>
      </c>
      <c r="S115" t="str">
        <f t="shared" si="7"/>
        <v/>
      </c>
    </row>
    <row r="116" spans="6:19" x14ac:dyDescent="0.2">
      <c r="F116" t="str">
        <f ca="1">IF($E116="","",NotionalForDelta($E116,$G116,$H116,$I116,$K116,$L116,$N116,$O116,$P116,$T116,RealTime!$A$2:$B$43,TODAY()))</f>
        <v/>
      </c>
      <c r="R116" t="str">
        <f t="shared" si="6"/>
        <v/>
      </c>
      <c r="S116" t="str">
        <f t="shared" si="7"/>
        <v/>
      </c>
    </row>
    <row r="117" spans="6:19" x14ac:dyDescent="0.2">
      <c r="F117" t="str">
        <f ca="1">IF($E117="","",NotionalForDelta($E117,$G117,$H117,$I117,$K117,$L117,$N117,$O117,$P117,$T117,RealTime!$A$2:$B$43,TODAY()))</f>
        <v/>
      </c>
      <c r="R117" t="str">
        <f t="shared" si="6"/>
        <v/>
      </c>
      <c r="S117" t="str">
        <f t="shared" si="7"/>
        <v/>
      </c>
    </row>
    <row r="118" spans="6:19" x14ac:dyDescent="0.2">
      <c r="F118" t="str">
        <f ca="1">IF($E118="","",NotionalForDelta($E118,$G118,$H118,$I118,$K118,$L118,$N118,$O118,$P118,$T118,RealTime!$A$2:$B$43,TODAY()))</f>
        <v/>
      </c>
      <c r="R118" t="str">
        <f t="shared" si="6"/>
        <v/>
      </c>
      <c r="S118" t="str">
        <f t="shared" si="7"/>
        <v/>
      </c>
    </row>
    <row r="119" spans="6:19" x14ac:dyDescent="0.2">
      <c r="F119" t="str">
        <f ca="1">IF($E119="","",NotionalForDelta($E119,$G119,$H119,$I119,$K119,$L119,$N119,$O119,$P119,$T119,RealTime!$A$2:$B$43,TODAY()))</f>
        <v/>
      </c>
      <c r="R119" t="str">
        <f t="shared" si="6"/>
        <v/>
      </c>
      <c r="S119" t="str">
        <f t="shared" si="7"/>
        <v/>
      </c>
    </row>
    <row r="120" spans="6:19" x14ac:dyDescent="0.2">
      <c r="F120" t="str">
        <f ca="1">IF($E120="","",NotionalForDelta($E120,$G120,$H120,$I120,$K120,$L120,$N120,$O120,$P120,$T120,RealTime!$A$2:$B$43,TODAY()))</f>
        <v/>
      </c>
      <c r="R120" t="str">
        <f t="shared" si="6"/>
        <v/>
      </c>
      <c r="S120" t="str">
        <f t="shared" si="7"/>
        <v/>
      </c>
    </row>
    <row r="121" spans="6:19" x14ac:dyDescent="0.2">
      <c r="F121" t="str">
        <f ca="1">IF($E121="","",NotionalForDelta($E121,$G121,$H121,$I121,$K121,$L121,$N121,$O121,$P121,$T121,RealTime!$A$2:$B$43,TODAY()))</f>
        <v/>
      </c>
      <c r="R121" t="str">
        <f t="shared" si="6"/>
        <v/>
      </c>
      <c r="S121" t="str">
        <f t="shared" si="7"/>
        <v/>
      </c>
    </row>
    <row r="122" spans="6:19" x14ac:dyDescent="0.2">
      <c r="F122" t="str">
        <f ca="1">IF($E122="","",NotionalForDelta($E122,$G122,$H122,$I122,$K122,$L122,$N122,$O122,$P122,$T122,RealTime!$A$2:$B$43,TODAY()))</f>
        <v/>
      </c>
      <c r="R122" t="str">
        <f t="shared" si="6"/>
        <v/>
      </c>
      <c r="S122" t="str">
        <f t="shared" si="7"/>
        <v/>
      </c>
    </row>
    <row r="123" spans="6:19" x14ac:dyDescent="0.2">
      <c r="F123" t="str">
        <f ca="1">IF($E123="","",NotionalForDelta($E123,$G123,$H123,$I123,$K123,$L123,$N123,$O123,$P123,$T123,RealTime!$A$2:$B$43,TODAY()))</f>
        <v/>
      </c>
      <c r="R123" t="str">
        <f t="shared" si="6"/>
        <v/>
      </c>
      <c r="S123" t="str">
        <f t="shared" si="7"/>
        <v/>
      </c>
    </row>
    <row r="124" spans="6:19" x14ac:dyDescent="0.2">
      <c r="F124" t="str">
        <f ca="1">IF($E124="","",NotionalForDelta($E124,$G124,$H124,$I124,$K124,$L124,$N124,$O124,$P124,$T124,RealTime!$A$2:$B$43,TODAY()))</f>
        <v/>
      </c>
      <c r="R124" t="str">
        <f t="shared" si="6"/>
        <v/>
      </c>
      <c r="S124" t="str">
        <f t="shared" si="7"/>
        <v/>
      </c>
    </row>
    <row r="125" spans="6:19" x14ac:dyDescent="0.2">
      <c r="F125" t="str">
        <f ca="1">IF($E125="","",NotionalForDelta($E125,$G125,$H125,$I125,$K125,$L125,$N125,$O125,$P125,$T125,RealTime!$A$2:$B$43,TODAY()))</f>
        <v/>
      </c>
      <c r="R125" t="str">
        <f t="shared" si="6"/>
        <v/>
      </c>
      <c r="S125" t="str">
        <f t="shared" si="7"/>
        <v/>
      </c>
    </row>
    <row r="126" spans="6:19" x14ac:dyDescent="0.2">
      <c r="F126" t="str">
        <f ca="1">IF($E126="","",NotionalForDelta($E126,$G126,$H126,$I126,$K126,$L126,$N126,$O126,$P126,$T126,RealTime!$A$2:$B$43,TODAY()))</f>
        <v/>
      </c>
      <c r="R126" t="str">
        <f t="shared" si="6"/>
        <v/>
      </c>
      <c r="S126" t="str">
        <f t="shared" si="7"/>
        <v/>
      </c>
    </row>
    <row r="127" spans="6:19" x14ac:dyDescent="0.2">
      <c r="F127" t="str">
        <f ca="1">IF($E127="","",NotionalForDelta($E127,$G127,$H127,$I127,$K127,$L127,$N127,$O127,$P127,$T127,RealTime!$A$2:$B$43,TODAY()))</f>
        <v/>
      </c>
      <c r="R127" t="str">
        <f t="shared" si="6"/>
        <v/>
      </c>
      <c r="S127" t="str">
        <f t="shared" si="7"/>
        <v/>
      </c>
    </row>
    <row r="128" spans="6:19" x14ac:dyDescent="0.2">
      <c r="F128" t="str">
        <f ca="1">IF($E128="","",NotionalForDelta($E128,$G128,$H128,$I128,$K128,$L128,$N128,$O128,$P128,$T128,RealTime!$A$2:$B$43,TODAY()))</f>
        <v/>
      </c>
      <c r="R128" t="str">
        <f t="shared" si="6"/>
        <v/>
      </c>
      <c r="S128" t="str">
        <f t="shared" si="7"/>
        <v/>
      </c>
    </row>
    <row r="129" spans="6:19" x14ac:dyDescent="0.2">
      <c r="F129" t="str">
        <f ca="1">IF($E129="","",NotionalForDelta($E129,$G129,$H129,$I129,$K129,$L129,$N129,$O129,$P129,$T129,RealTime!$A$2:$B$43,TODAY()))</f>
        <v/>
      </c>
      <c r="R129" t="str">
        <f t="shared" si="6"/>
        <v/>
      </c>
      <c r="S129" t="str">
        <f t="shared" si="7"/>
        <v/>
      </c>
    </row>
    <row r="130" spans="6:19" x14ac:dyDescent="0.2">
      <c r="F130" t="str">
        <f ca="1">IF($E130="","",NotionalForDelta($E130,$G130,$H130,$I130,$K130,$L130,$N130,$O130,$P130,$T130,RealTime!$A$2:$B$43,TODAY()))</f>
        <v/>
      </c>
      <c r="R130" t="str">
        <f t="shared" ref="R130:R161" si="8">IF(ISNUMBER(Q129),Q130-Q129,"")</f>
        <v/>
      </c>
      <c r="S130" t="str">
        <f t="shared" ref="S130:S161" si="9">IF(AND(ISNUMBER(Q129),ISNUMBER(Q131)),2*Q130-Q129-Q131,"")</f>
        <v/>
      </c>
    </row>
    <row r="131" spans="6:19" x14ac:dyDescent="0.2">
      <c r="F131" t="str">
        <f ca="1">IF($E131="","",NotionalForDelta($E131,$G131,$H131,$I131,$K131,$L131,$N131,$O131,$P131,$T131,RealTime!$A$2:$B$43,TODAY()))</f>
        <v/>
      </c>
      <c r="R131" t="str">
        <f t="shared" si="8"/>
        <v/>
      </c>
      <c r="S131" t="str">
        <f t="shared" si="9"/>
        <v/>
      </c>
    </row>
    <row r="132" spans="6:19" x14ac:dyDescent="0.2">
      <c r="F132" t="str">
        <f ca="1">IF($E132="","",NotionalForDelta($E132,$G132,$H132,$I132,$K132,$L132,$N132,$O132,$P132,$T132,RealTime!$A$2:$B$43,TODAY()))</f>
        <v/>
      </c>
      <c r="R132" t="str">
        <f t="shared" si="8"/>
        <v/>
      </c>
      <c r="S132" t="str">
        <f t="shared" si="9"/>
        <v/>
      </c>
    </row>
    <row r="133" spans="6:19" x14ac:dyDescent="0.2">
      <c r="F133" t="str">
        <f ca="1">IF($E133="","",NotionalForDelta($E133,$G133,$H133,$I133,$K133,$L133,$N133,$O133,$P133,$T133,RealTime!$A$2:$B$43,TODAY()))</f>
        <v/>
      </c>
      <c r="R133" t="str">
        <f t="shared" si="8"/>
        <v/>
      </c>
      <c r="S133" t="str">
        <f t="shared" si="9"/>
        <v/>
      </c>
    </row>
    <row r="134" spans="6:19" x14ac:dyDescent="0.2">
      <c r="F134" t="str">
        <f ca="1">IF($E134="","",NotionalForDelta($E134,$G134,$H134,$I134,$K134,$L134,$N134,$O134,$P134,$T134,RealTime!$A$2:$B$43,TODAY()))</f>
        <v/>
      </c>
      <c r="R134" t="str">
        <f t="shared" si="8"/>
        <v/>
      </c>
      <c r="S134" t="str">
        <f t="shared" si="9"/>
        <v/>
      </c>
    </row>
    <row r="135" spans="6:19" x14ac:dyDescent="0.2">
      <c r="F135" t="str">
        <f ca="1">IF($E135="","",NotionalForDelta($E135,$G135,$H135,$I135,$K135,$L135,$N135,$O135,$P135,$T135,RealTime!$A$2:$B$43,TODAY()))</f>
        <v/>
      </c>
      <c r="R135" t="str">
        <f t="shared" si="8"/>
        <v/>
      </c>
      <c r="S135" t="str">
        <f t="shared" si="9"/>
        <v/>
      </c>
    </row>
    <row r="136" spans="6:19" x14ac:dyDescent="0.2">
      <c r="F136" t="str">
        <f ca="1">IF($E136="","",NotionalForDelta($E136,$G136,$H136,$I136,$K136,$L136,$N136,$O136,$P136,$T136,RealTime!$A$2:$B$43,TODAY()))</f>
        <v/>
      </c>
      <c r="R136" t="str">
        <f t="shared" si="8"/>
        <v/>
      </c>
      <c r="S136" t="str">
        <f t="shared" si="9"/>
        <v/>
      </c>
    </row>
    <row r="137" spans="6:19" x14ac:dyDescent="0.2">
      <c r="F137" t="str">
        <f ca="1">IF($E137="","",NotionalForDelta($E137,$G137,$H137,$I137,$K137,$L137,$N137,$O137,$P137,$T137,RealTime!$A$2:$B$43,TODAY()))</f>
        <v/>
      </c>
      <c r="R137" t="str">
        <f t="shared" si="8"/>
        <v/>
      </c>
      <c r="S137" t="str">
        <f t="shared" si="9"/>
        <v/>
      </c>
    </row>
    <row r="138" spans="6:19" x14ac:dyDescent="0.2">
      <c r="F138" t="str">
        <f ca="1">IF($E138="","",NotionalForDelta($E138,$G138,$H138,$I138,$K138,$L138,$N138,$O138,$P138,$T138,RealTime!$A$2:$B$43,TODAY()))</f>
        <v/>
      </c>
      <c r="R138" t="str">
        <f t="shared" si="8"/>
        <v/>
      </c>
      <c r="S138" t="str">
        <f t="shared" si="9"/>
        <v/>
      </c>
    </row>
    <row r="139" spans="6:19" x14ac:dyDescent="0.2">
      <c r="F139" t="str">
        <f ca="1">IF($E139="","",NotionalForDelta($E139,$G139,$H139,$I139,$K139,$L139,$N139,$O139,$P139,$T139,RealTime!$A$2:$B$43,TODAY()))</f>
        <v/>
      </c>
      <c r="R139" t="str">
        <f t="shared" si="8"/>
        <v/>
      </c>
      <c r="S139" t="str">
        <f t="shared" si="9"/>
        <v/>
      </c>
    </row>
    <row r="140" spans="6:19" x14ac:dyDescent="0.2">
      <c r="F140" t="str">
        <f ca="1">IF($E140="","",NotionalForDelta($E140,$G140,$H140,$I140,$K140,$L140,$N140,$O140,$P140,$T140,RealTime!$A$2:$B$43,TODAY()))</f>
        <v/>
      </c>
      <c r="R140" t="str">
        <f t="shared" si="8"/>
        <v/>
      </c>
      <c r="S140" t="str">
        <f t="shared" si="9"/>
        <v/>
      </c>
    </row>
    <row r="141" spans="6:19" x14ac:dyDescent="0.2">
      <c r="F141" t="str">
        <f ca="1">IF($E141="","",NotionalForDelta($E141,$G141,$H141,$I141,$K141,$L141,$N141,$O141,$P141,$T141,RealTime!$A$2:$B$43,TODAY()))</f>
        <v/>
      </c>
      <c r="R141" t="str">
        <f t="shared" si="8"/>
        <v/>
      </c>
      <c r="S141" t="str">
        <f t="shared" si="9"/>
        <v/>
      </c>
    </row>
    <row r="142" spans="6:19" x14ac:dyDescent="0.2">
      <c r="F142" t="str">
        <f ca="1">IF($E142="","",NotionalForDelta($E142,$G142,$H142,$I142,$K142,$L142,$N142,$O142,$P142,$T142,RealTime!$A$2:$B$43,TODAY()))</f>
        <v/>
      </c>
      <c r="R142" t="str">
        <f t="shared" si="8"/>
        <v/>
      </c>
      <c r="S142" t="str">
        <f t="shared" si="9"/>
        <v/>
      </c>
    </row>
    <row r="143" spans="6:19" x14ac:dyDescent="0.2">
      <c r="F143" t="str">
        <f ca="1">IF($E143="","",NotionalForDelta($E143,$G143,$H143,$I143,$K143,$L143,$N143,$O143,$P143,$T143,RealTime!$A$2:$B$43,TODAY()))</f>
        <v/>
      </c>
      <c r="R143" t="str">
        <f t="shared" si="8"/>
        <v/>
      </c>
      <c r="S143" t="str">
        <f t="shared" si="9"/>
        <v/>
      </c>
    </row>
    <row r="144" spans="6:19" x14ac:dyDescent="0.2">
      <c r="F144" t="str">
        <f ca="1">IF($E144="","",NotionalForDelta($E144,$G144,$H144,$I144,$K144,$L144,$N144,$O144,$P144,$T144,RealTime!$A$2:$B$43,TODAY()))</f>
        <v/>
      </c>
      <c r="R144" t="str">
        <f t="shared" si="8"/>
        <v/>
      </c>
      <c r="S144" t="str">
        <f t="shared" si="9"/>
        <v/>
      </c>
    </row>
    <row r="145" spans="6:19" x14ac:dyDescent="0.2">
      <c r="F145" t="str">
        <f ca="1">IF($E145="","",NotionalForDelta($E145,$G145,$H145,$I145,$K145,$L145,$N145,$O145,$P145,$T145,RealTime!$A$2:$B$43,TODAY()))</f>
        <v/>
      </c>
      <c r="R145" t="str">
        <f t="shared" si="8"/>
        <v/>
      </c>
      <c r="S145" t="str">
        <f t="shared" si="9"/>
        <v/>
      </c>
    </row>
    <row r="146" spans="6:19" x14ac:dyDescent="0.2">
      <c r="F146" t="str">
        <f ca="1">IF($E146="","",NotionalForDelta($E146,$G146,$H146,$I146,$K146,$L146,$N146,$O146,$P146,$T146,RealTime!$A$2:$B$43,TODAY()))</f>
        <v/>
      </c>
      <c r="R146" t="str">
        <f t="shared" si="8"/>
        <v/>
      </c>
      <c r="S146" t="str">
        <f t="shared" si="9"/>
        <v/>
      </c>
    </row>
    <row r="147" spans="6:19" x14ac:dyDescent="0.2">
      <c r="F147" t="str">
        <f ca="1">IF($E147="","",NotionalForDelta($E147,$G147,$H147,$I147,$K147,$L147,$N147,$O147,$P147,$T147,RealTime!$A$2:$B$43,TODAY()))</f>
        <v/>
      </c>
      <c r="R147" t="str">
        <f t="shared" si="8"/>
        <v/>
      </c>
      <c r="S147" t="str">
        <f t="shared" si="9"/>
        <v/>
      </c>
    </row>
    <row r="148" spans="6:19" x14ac:dyDescent="0.2">
      <c r="F148" t="str">
        <f ca="1">IF($E148="","",NotionalForDelta($E148,$G148,$H148,$I148,$K148,$L148,$N148,$O148,$P148,$T148,RealTime!$A$2:$B$43,TODAY()))</f>
        <v/>
      </c>
      <c r="R148" t="str">
        <f t="shared" si="8"/>
        <v/>
      </c>
      <c r="S148" t="str">
        <f t="shared" si="9"/>
        <v/>
      </c>
    </row>
    <row r="149" spans="6:19" x14ac:dyDescent="0.2">
      <c r="F149" t="str">
        <f ca="1">IF($E149="","",NotionalForDelta($E149,$G149,$H149,$I149,$K149,$L149,$N149,$O149,$P149,$T149,RealTime!$A$2:$B$43,TODAY()))</f>
        <v/>
      </c>
      <c r="R149" t="str">
        <f t="shared" si="8"/>
        <v/>
      </c>
      <c r="S149" t="str">
        <f t="shared" si="9"/>
        <v/>
      </c>
    </row>
    <row r="150" spans="6:19" x14ac:dyDescent="0.2">
      <c r="F150" t="str">
        <f ca="1">IF($E150="","",NotionalForDelta($E150,$G150,$H150,$I150,$K150,$L150,$N150,$O150,$P150,$T150,RealTime!$A$2:$B$43,TODAY()))</f>
        <v/>
      </c>
      <c r="R150" t="str">
        <f t="shared" si="8"/>
        <v/>
      </c>
      <c r="S150" t="str">
        <f t="shared" si="9"/>
        <v/>
      </c>
    </row>
    <row r="151" spans="6:19" x14ac:dyDescent="0.2">
      <c r="F151" t="str">
        <f ca="1">IF($E151="","",NotionalForDelta($E151,$G151,$H151,$I151,$K151,$L151,$N151,$O151,$P151,$T151,RealTime!$A$2:$B$43,TODAY()))</f>
        <v/>
      </c>
      <c r="R151" t="str">
        <f t="shared" si="8"/>
        <v/>
      </c>
      <c r="S151" t="str">
        <f t="shared" si="9"/>
        <v/>
      </c>
    </row>
    <row r="152" spans="6:19" x14ac:dyDescent="0.2">
      <c r="F152" t="str">
        <f ca="1">IF($E152="","",NotionalForDelta($E152,$G152,$H152,$I152,$K152,$L152,$N152,$O152,$P152,$T152,RealTime!$A$2:$B$43,TODAY()))</f>
        <v/>
      </c>
      <c r="R152" t="str">
        <f t="shared" si="8"/>
        <v/>
      </c>
      <c r="S152" t="str">
        <f t="shared" si="9"/>
        <v/>
      </c>
    </row>
    <row r="153" spans="6:19" x14ac:dyDescent="0.2">
      <c r="F153" t="str">
        <f ca="1">IF($E153="","",NotionalForDelta($E153,$G153,$H153,$I153,$K153,$L153,$N153,$O153,$P153,$T153,RealTime!$A$2:$B$43,TODAY()))</f>
        <v/>
      </c>
      <c r="R153" t="str">
        <f t="shared" si="8"/>
        <v/>
      </c>
      <c r="S153" t="str">
        <f t="shared" si="9"/>
        <v/>
      </c>
    </row>
    <row r="154" spans="6:19" x14ac:dyDescent="0.2">
      <c r="F154" t="str">
        <f ca="1">IF($E154="","",NotionalForDelta($E154,$G154,$H154,$I154,$K154,$L154,$N154,$O154,$P154,$T154,RealTime!$A$2:$B$43,TODAY()))</f>
        <v/>
      </c>
      <c r="R154" t="str">
        <f t="shared" si="8"/>
        <v/>
      </c>
      <c r="S154" t="str">
        <f t="shared" si="9"/>
        <v/>
      </c>
    </row>
    <row r="155" spans="6:19" x14ac:dyDescent="0.2">
      <c r="F155" t="str">
        <f ca="1">IF($E155="","",NotionalForDelta($E155,$G155,$H155,$I155,$K155,$L155,$N155,$O155,$P155,$T155,RealTime!$A$2:$B$43,TODAY()))</f>
        <v/>
      </c>
      <c r="R155" t="str">
        <f t="shared" si="8"/>
        <v/>
      </c>
      <c r="S155" t="str">
        <f t="shared" si="9"/>
        <v/>
      </c>
    </row>
    <row r="156" spans="6:19" x14ac:dyDescent="0.2">
      <c r="F156" t="str">
        <f ca="1">IF($E156="","",NotionalForDelta($E156,$G156,$H156,$I156,$K156,$L156,$N156,$O156,$P156,$T156,RealTime!$A$2:$B$43,TODAY()))</f>
        <v/>
      </c>
      <c r="R156" t="str">
        <f t="shared" si="8"/>
        <v/>
      </c>
      <c r="S156" t="str">
        <f t="shared" si="9"/>
        <v/>
      </c>
    </row>
    <row r="157" spans="6:19" x14ac:dyDescent="0.2">
      <c r="F157" t="str">
        <f ca="1">IF($E157="","",NotionalForDelta($E157,$G157,$H157,$I157,$K157,$L157,$N157,$O157,$P157,$T157,RealTime!$A$2:$B$43,TODAY()))</f>
        <v/>
      </c>
      <c r="R157" t="str">
        <f t="shared" si="8"/>
        <v/>
      </c>
      <c r="S157" t="str">
        <f t="shared" si="9"/>
        <v/>
      </c>
    </row>
    <row r="158" spans="6:19" x14ac:dyDescent="0.2">
      <c r="F158" t="str">
        <f ca="1">IF($E158="","",NotionalForDelta($E158,$G158,$H158,$I158,$K158,$L158,$N158,$O158,$P158,$T158,RealTime!$A$2:$B$43,TODAY()))</f>
        <v/>
      </c>
      <c r="R158" t="str">
        <f t="shared" si="8"/>
        <v/>
      </c>
      <c r="S158" t="str">
        <f t="shared" si="9"/>
        <v/>
      </c>
    </row>
    <row r="159" spans="6:19" x14ac:dyDescent="0.2">
      <c r="F159" t="str">
        <f ca="1">IF($E159="","",NotionalForDelta($E159,$G159,$H159,$I159,$K159,$L159,$N159,$O159,$P159,$T159,RealTime!$A$2:$B$43,TODAY()))</f>
        <v/>
      </c>
      <c r="R159" t="str">
        <f t="shared" si="8"/>
        <v/>
      </c>
      <c r="S159" t="str">
        <f t="shared" si="9"/>
        <v/>
      </c>
    </row>
    <row r="160" spans="6:19" x14ac:dyDescent="0.2">
      <c r="F160" t="str">
        <f ca="1">IF($E160="","",NotionalForDelta($E160,$G160,$H160,$I160,$K160,$L160,$N160,$O160,$P160,$T160,RealTime!$A$2:$B$43,TODAY()))</f>
        <v/>
      </c>
      <c r="R160" t="str">
        <f t="shared" si="8"/>
        <v/>
      </c>
      <c r="S160" t="str">
        <f t="shared" si="9"/>
        <v/>
      </c>
    </row>
    <row r="161" spans="6:19" x14ac:dyDescent="0.2">
      <c r="F161" t="str">
        <f ca="1">IF($E161="","",NotionalForDelta($E161,$G161,$H161,$I161,$K161,$L161,$N161,$O161,$P161,$T161,RealTime!$A$2:$B$43,TODAY()))</f>
        <v/>
      </c>
      <c r="R161" t="str">
        <f t="shared" si="8"/>
        <v/>
      </c>
      <c r="S161" t="str">
        <f t="shared" si="9"/>
        <v/>
      </c>
    </row>
    <row r="162" spans="6:19" x14ac:dyDescent="0.2">
      <c r="F162" t="str">
        <f ca="1">IF($E162="","",NotionalForDelta($E162,$G162,$H162,$I162,$K162,$L162,$N162,$O162,$P162,$T162,RealTime!$A$2:$B$43,TODAY()))</f>
        <v/>
      </c>
      <c r="R162" t="str">
        <f t="shared" ref="R162:R193" si="10">IF(ISNUMBER(Q161),Q162-Q161,"")</f>
        <v/>
      </c>
      <c r="S162" t="str">
        <f t="shared" ref="S162:S193" si="11">IF(AND(ISNUMBER(Q161),ISNUMBER(Q163)),2*Q162-Q161-Q163,"")</f>
        <v/>
      </c>
    </row>
    <row r="163" spans="6:19" x14ac:dyDescent="0.2">
      <c r="F163" t="str">
        <f ca="1">IF($E163="","",NotionalForDelta($E163,$G163,$H163,$I163,$K163,$L163,$N163,$O163,$P163,$T163,RealTime!$A$2:$B$43,TODAY()))</f>
        <v/>
      </c>
      <c r="R163" t="str">
        <f t="shared" si="10"/>
        <v/>
      </c>
      <c r="S163" t="str">
        <f t="shared" si="11"/>
        <v/>
      </c>
    </row>
    <row r="164" spans="6:19" x14ac:dyDescent="0.2">
      <c r="F164" t="str">
        <f ca="1">IF($E164="","",NotionalForDelta($E164,$G164,$H164,$I164,$K164,$L164,$N164,$O164,$P164,$T164,RealTime!$A$2:$B$43,TODAY()))</f>
        <v/>
      </c>
      <c r="R164" t="str">
        <f t="shared" si="10"/>
        <v/>
      </c>
      <c r="S164" t="str">
        <f t="shared" si="11"/>
        <v/>
      </c>
    </row>
    <row r="165" spans="6:19" x14ac:dyDescent="0.2">
      <c r="F165" t="str">
        <f ca="1">IF($E165="","",NotionalForDelta($E165,$G165,$H165,$I165,$K165,$L165,$N165,$O165,$P165,$T165,RealTime!$A$2:$B$43,TODAY()))</f>
        <v/>
      </c>
      <c r="R165" t="str">
        <f t="shared" si="10"/>
        <v/>
      </c>
      <c r="S165" t="str">
        <f t="shared" si="11"/>
        <v/>
      </c>
    </row>
    <row r="166" spans="6:19" x14ac:dyDescent="0.2">
      <c r="F166" t="str">
        <f ca="1">IF($E166="","",NotionalForDelta($E166,$G166,$H166,$I166,$K166,$L166,$N166,$O166,$P166,$T166,RealTime!$A$2:$B$43,TODAY()))</f>
        <v/>
      </c>
      <c r="R166" t="str">
        <f t="shared" si="10"/>
        <v/>
      </c>
      <c r="S166" t="str">
        <f t="shared" si="11"/>
        <v/>
      </c>
    </row>
    <row r="167" spans="6:19" x14ac:dyDescent="0.2">
      <c r="F167" t="str">
        <f ca="1">IF($E167="","",NotionalForDelta($E167,$G167,$H167,$I167,$K167,$L167,$N167,$O167,$P167,$T167,RealTime!$A$2:$B$43,TODAY()))</f>
        <v/>
      </c>
      <c r="R167" t="str">
        <f t="shared" si="10"/>
        <v/>
      </c>
      <c r="S167" t="str">
        <f t="shared" si="11"/>
        <v/>
      </c>
    </row>
    <row r="168" spans="6:19" x14ac:dyDescent="0.2">
      <c r="F168" t="str">
        <f ca="1">IF($E168="","",NotionalForDelta($E168,$G168,$H168,$I168,$K168,$L168,$N168,$O168,$P168,$T168,RealTime!$A$2:$B$43,TODAY()))</f>
        <v/>
      </c>
      <c r="R168" t="str">
        <f t="shared" si="10"/>
        <v/>
      </c>
      <c r="S168" t="str">
        <f t="shared" si="11"/>
        <v/>
      </c>
    </row>
    <row r="169" spans="6:19" x14ac:dyDescent="0.2">
      <c r="F169" t="str">
        <f ca="1">IF($E169="","",NotionalForDelta($E169,$G169,$H169,$I169,$K169,$L169,$N169,$O169,$P169,$T169,RealTime!$A$2:$B$43,TODAY()))</f>
        <v/>
      </c>
      <c r="R169" t="str">
        <f t="shared" si="10"/>
        <v/>
      </c>
      <c r="S169" t="str">
        <f t="shared" si="11"/>
        <v/>
      </c>
    </row>
    <row r="170" spans="6:19" x14ac:dyDescent="0.2">
      <c r="F170" t="str">
        <f ca="1">IF($E170="","",NotionalForDelta($E170,$G170,$H170,$I170,$K170,$L170,$N170,$O170,$P170,$T170,RealTime!$A$2:$B$43,TODAY()))</f>
        <v/>
      </c>
      <c r="R170" t="str">
        <f t="shared" si="10"/>
        <v/>
      </c>
      <c r="S170" t="str">
        <f t="shared" si="11"/>
        <v/>
      </c>
    </row>
    <row r="171" spans="6:19" x14ac:dyDescent="0.2">
      <c r="F171" t="str">
        <f ca="1">IF($E171="","",NotionalForDelta($E171,$G171,$H171,$I171,$K171,$L171,$N171,$O171,$P171,$T171,RealTime!$A$2:$B$43,TODAY()))</f>
        <v/>
      </c>
      <c r="R171" t="str">
        <f t="shared" si="10"/>
        <v/>
      </c>
      <c r="S171" t="str">
        <f t="shared" si="11"/>
        <v/>
      </c>
    </row>
    <row r="172" spans="6:19" x14ac:dyDescent="0.2">
      <c r="F172" t="str">
        <f ca="1">IF($E172="","",NotionalForDelta($E172,$G172,$H172,$I172,$K172,$L172,$N172,$O172,$P172,$T172,RealTime!$A$2:$B$43,TODAY()))</f>
        <v/>
      </c>
      <c r="R172" t="str">
        <f t="shared" si="10"/>
        <v/>
      </c>
      <c r="S172" t="str">
        <f t="shared" si="11"/>
        <v/>
      </c>
    </row>
    <row r="173" spans="6:19" x14ac:dyDescent="0.2">
      <c r="F173" t="str">
        <f ca="1">IF($E173="","",NotionalForDelta($E173,$G173,$H173,$I173,$K173,$L173,$N173,$O173,$P173,$T173,RealTime!$A$2:$B$43,TODAY()))</f>
        <v/>
      </c>
      <c r="R173" t="str">
        <f t="shared" si="10"/>
        <v/>
      </c>
      <c r="S173" t="str">
        <f t="shared" si="11"/>
        <v/>
      </c>
    </row>
    <row r="174" spans="6:19" x14ac:dyDescent="0.2">
      <c r="F174" t="str">
        <f ca="1">IF($E174="","",NotionalForDelta($E174,$G174,$H174,$I174,$K174,$L174,$N174,$O174,$P174,$T174,RealTime!$A$2:$B$43,TODAY()))</f>
        <v/>
      </c>
      <c r="R174" t="str">
        <f t="shared" si="10"/>
        <v/>
      </c>
      <c r="S174" t="str">
        <f t="shared" si="11"/>
        <v/>
      </c>
    </row>
    <row r="175" spans="6:19" x14ac:dyDescent="0.2">
      <c r="F175" t="str">
        <f ca="1">IF($E175="","",NotionalForDelta($E175,$G175,$H175,$I175,$K175,$L175,$N175,$O175,$P175,$T175,RealTime!$A$2:$B$43,TODAY()))</f>
        <v/>
      </c>
      <c r="R175" t="str">
        <f t="shared" si="10"/>
        <v/>
      </c>
      <c r="S175" t="str">
        <f t="shared" si="11"/>
        <v/>
      </c>
    </row>
    <row r="176" spans="6:19" x14ac:dyDescent="0.2">
      <c r="F176" t="str">
        <f ca="1">IF($E176="","",NotionalForDelta($E176,$G176,$H176,$I176,$K176,$L176,$N176,$O176,$P176,$T176,RealTime!$A$2:$B$43,TODAY()))</f>
        <v/>
      </c>
      <c r="R176" t="str">
        <f t="shared" si="10"/>
        <v/>
      </c>
      <c r="S176" t="str">
        <f t="shared" si="11"/>
        <v/>
      </c>
    </row>
    <row r="177" spans="6:19" x14ac:dyDescent="0.2">
      <c r="F177" t="str">
        <f ca="1">IF($E177="","",NotionalForDelta($E177,$G177,$H177,$I177,$K177,$L177,$N177,$O177,$P177,$T177,RealTime!$A$2:$B$43,TODAY()))</f>
        <v/>
      </c>
      <c r="R177" t="str">
        <f t="shared" si="10"/>
        <v/>
      </c>
      <c r="S177" t="str">
        <f t="shared" si="11"/>
        <v/>
      </c>
    </row>
    <row r="178" spans="6:19" x14ac:dyDescent="0.2">
      <c r="F178" t="str">
        <f ca="1">IF($E178="","",NotionalForDelta($E178,$G178,$H178,$I178,$K178,$L178,$N178,$O178,$P178,$T178,RealTime!$A$2:$B$43,TODAY()))</f>
        <v/>
      </c>
      <c r="R178" t="str">
        <f t="shared" si="10"/>
        <v/>
      </c>
      <c r="S178" t="str">
        <f t="shared" si="11"/>
        <v/>
      </c>
    </row>
    <row r="179" spans="6:19" x14ac:dyDescent="0.2">
      <c r="F179" t="str">
        <f ca="1">IF($E179="","",NotionalForDelta($E179,$G179,$H179,$I179,$K179,$L179,$N179,$O179,$P179,$T179,RealTime!$A$2:$B$43,TODAY()))</f>
        <v/>
      </c>
      <c r="R179" t="str">
        <f t="shared" si="10"/>
        <v/>
      </c>
      <c r="S179" t="str">
        <f t="shared" si="11"/>
        <v/>
      </c>
    </row>
    <row r="180" spans="6:19" x14ac:dyDescent="0.2">
      <c r="F180" t="str">
        <f ca="1">IF($E180="","",NotionalForDelta($E180,$G180,$H180,$I180,$K180,$L180,$N180,$O180,$P180,$T180,RealTime!$A$2:$B$43,TODAY()))</f>
        <v/>
      </c>
      <c r="R180" t="str">
        <f t="shared" si="10"/>
        <v/>
      </c>
      <c r="S180" t="str">
        <f t="shared" si="11"/>
        <v/>
      </c>
    </row>
    <row r="181" spans="6:19" x14ac:dyDescent="0.2">
      <c r="F181" t="str">
        <f ca="1">IF($E181="","",NotionalForDelta($E181,$G181,$H181,$I181,$K181,$L181,$N181,$O181,$P181,$T181,RealTime!$A$2:$B$43,TODAY()))</f>
        <v/>
      </c>
      <c r="R181" t="str">
        <f t="shared" si="10"/>
        <v/>
      </c>
      <c r="S181" t="str">
        <f t="shared" si="11"/>
        <v/>
      </c>
    </row>
    <row r="182" spans="6:19" x14ac:dyDescent="0.2">
      <c r="F182" t="str">
        <f ca="1">IF($E182="","",NotionalForDelta($E182,$G182,$H182,$I182,$K182,$L182,$N182,$O182,$P182,$T182,RealTime!$A$2:$B$43,TODAY()))</f>
        <v/>
      </c>
      <c r="R182" t="str">
        <f t="shared" si="10"/>
        <v/>
      </c>
      <c r="S182" t="str">
        <f t="shared" si="11"/>
        <v/>
      </c>
    </row>
    <row r="183" spans="6:19" x14ac:dyDescent="0.2">
      <c r="F183" t="str">
        <f ca="1">IF($E183="","",NotionalForDelta($E183,$G183,$H183,$I183,$K183,$L183,$N183,$O183,$P183,$T183,RealTime!$A$2:$B$43,TODAY()))</f>
        <v/>
      </c>
      <c r="R183" t="str">
        <f t="shared" si="10"/>
        <v/>
      </c>
      <c r="S183" t="str">
        <f t="shared" si="11"/>
        <v/>
      </c>
    </row>
    <row r="184" spans="6:19" x14ac:dyDescent="0.2">
      <c r="F184" t="str">
        <f ca="1">IF($E184="","",NotionalForDelta($E184,$G184,$H184,$I184,$K184,$L184,$N184,$O184,$P184,$T184,RealTime!$A$2:$B$43,TODAY()))</f>
        <v/>
      </c>
      <c r="R184" t="str">
        <f t="shared" si="10"/>
        <v/>
      </c>
      <c r="S184" t="str">
        <f t="shared" si="11"/>
        <v/>
      </c>
    </row>
    <row r="185" spans="6:19" x14ac:dyDescent="0.2">
      <c r="F185" t="str">
        <f ca="1">IF($E185="","",NotionalForDelta($E185,$G185,$H185,$I185,$K185,$L185,$N185,$O185,$P185,$T185,RealTime!$A$2:$B$43,TODAY()))</f>
        <v/>
      </c>
      <c r="R185" t="str">
        <f t="shared" si="10"/>
        <v/>
      </c>
      <c r="S185" t="str">
        <f t="shared" si="11"/>
        <v/>
      </c>
    </row>
    <row r="186" spans="6:19" x14ac:dyDescent="0.2">
      <c r="F186" t="str">
        <f ca="1">IF($E186="","",NotionalForDelta($E186,$G186,$H186,$I186,$K186,$L186,$N186,$O186,$P186,$T186,RealTime!$A$2:$B$43,TODAY()))</f>
        <v/>
      </c>
      <c r="R186" t="str">
        <f t="shared" si="10"/>
        <v/>
      </c>
      <c r="S186" t="str">
        <f t="shared" si="11"/>
        <v/>
      </c>
    </row>
    <row r="187" spans="6:19" x14ac:dyDescent="0.2">
      <c r="F187" t="str">
        <f ca="1">IF($E187="","",NotionalForDelta($E187,$G187,$H187,$I187,$K187,$L187,$N187,$O187,$P187,$T187,RealTime!$A$2:$B$43,TODAY()))</f>
        <v/>
      </c>
      <c r="R187" t="str">
        <f t="shared" si="10"/>
        <v/>
      </c>
      <c r="S187" t="str">
        <f t="shared" si="11"/>
        <v/>
      </c>
    </row>
    <row r="188" spans="6:19" x14ac:dyDescent="0.2">
      <c r="F188" t="str">
        <f ca="1">IF($E188="","",NotionalForDelta($E188,$G188,$H188,$I188,$K188,$L188,$N188,$O188,$P188,$T188,RealTime!$A$2:$B$43,TODAY()))</f>
        <v/>
      </c>
      <c r="R188" t="str">
        <f t="shared" si="10"/>
        <v/>
      </c>
      <c r="S188" t="str">
        <f t="shared" si="11"/>
        <v/>
      </c>
    </row>
    <row r="189" spans="6:19" x14ac:dyDescent="0.2">
      <c r="F189" t="str">
        <f ca="1">IF($E189="","",NotionalForDelta($E189,$G189,$H189,$I189,$K189,$L189,$N189,$O189,$P189,$T189,RealTime!$A$2:$B$43,TODAY()))</f>
        <v/>
      </c>
      <c r="R189" t="str">
        <f t="shared" si="10"/>
        <v/>
      </c>
      <c r="S189" t="str">
        <f t="shared" si="11"/>
        <v/>
      </c>
    </row>
    <row r="190" spans="6:19" x14ac:dyDescent="0.2">
      <c r="F190" t="str">
        <f ca="1">IF($E190="","",NotionalForDelta($E190,$G190,$H190,$I190,$K190,$L190,$N190,$O190,$P190,$T190,RealTime!$A$2:$B$43,TODAY()))</f>
        <v/>
      </c>
      <c r="R190" t="str">
        <f t="shared" si="10"/>
        <v/>
      </c>
      <c r="S190" t="str">
        <f t="shared" si="11"/>
        <v/>
      </c>
    </row>
    <row r="191" spans="6:19" x14ac:dyDescent="0.2">
      <c r="F191" t="str">
        <f ca="1">IF($E191="","",NotionalForDelta($E191,$G191,$H191,$I191,$K191,$L191,$N191,$O191,$P191,$T191,RealTime!$A$2:$B$43,TODAY()))</f>
        <v/>
      </c>
      <c r="R191" t="str">
        <f t="shared" si="10"/>
        <v/>
      </c>
      <c r="S191" t="str">
        <f t="shared" si="11"/>
        <v/>
      </c>
    </row>
    <row r="192" spans="6:19" x14ac:dyDescent="0.2">
      <c r="F192" t="str">
        <f ca="1">IF($E192="","",NotionalForDelta($E192,$G192,$H192,$I192,$K192,$L192,$N192,$O192,$P192,$T192,RealTime!$A$2:$B$43,TODAY()))</f>
        <v/>
      </c>
      <c r="R192" t="str">
        <f t="shared" si="10"/>
        <v/>
      </c>
      <c r="S192" t="str">
        <f t="shared" si="11"/>
        <v/>
      </c>
    </row>
    <row r="193" spans="6:65" x14ac:dyDescent="0.2">
      <c r="F193" t="str">
        <f ca="1">IF($E193="","",NotionalForDelta($E193,$G193,$H193,$I193,$K193,$L193,$N193,$O193,$P193,$T193,RealTime!$A$2:$B$43,TODAY()))</f>
        <v/>
      </c>
      <c r="R193" t="str">
        <f t="shared" si="10"/>
        <v/>
      </c>
      <c r="S193" t="str">
        <f t="shared" si="11"/>
        <v/>
      </c>
    </row>
    <row r="194" spans="6:65" x14ac:dyDescent="0.2">
      <c r="F194" t="str">
        <f ca="1">IF($E194="","",NotionalForDelta($E194,$G194,$H194,$I194,$K194,$L194,$N194,$O194,$P194,$T194,RealTime!$A$2:$B$43,TODAY()))</f>
        <v/>
      </c>
      <c r="R194" t="str">
        <f t="shared" ref="R194:R200" si="12">IF(ISNUMBER(Q193),Q194-Q193,"")</f>
        <v/>
      </c>
      <c r="S194" t="str">
        <f t="shared" ref="S194:S200" si="13">IF(AND(ISNUMBER(Q193),ISNUMBER(Q195)),2*Q194-Q193-Q195,"")</f>
        <v/>
      </c>
    </row>
    <row r="195" spans="6:65" x14ac:dyDescent="0.2">
      <c r="F195" t="str">
        <f ca="1">IF($E195="","",NotionalForDelta($E195,$G195,$H195,$I195,$K195,$L195,$N195,$O195,$P195,$T195,RealTime!$A$2:$B$43,TODAY()))</f>
        <v/>
      </c>
      <c r="R195" t="str">
        <f t="shared" si="12"/>
        <v/>
      </c>
      <c r="S195" t="str">
        <f t="shared" si="13"/>
        <v/>
      </c>
    </row>
    <row r="196" spans="6:65" x14ac:dyDescent="0.2">
      <c r="F196" t="str">
        <f ca="1">IF($E196="","",NotionalForDelta($E196,$G196,$H196,$I196,$K196,$L196,$N196,$O196,$P196,$T196,RealTime!$A$2:$B$43,TODAY()))</f>
        <v/>
      </c>
      <c r="R196" t="str">
        <f t="shared" si="12"/>
        <v/>
      </c>
      <c r="S196" t="str">
        <f t="shared" si="13"/>
        <v/>
      </c>
    </row>
    <row r="197" spans="6:65" x14ac:dyDescent="0.2">
      <c r="F197" t="str">
        <f ca="1">IF($E197="","",NotionalForDelta($E197,$G197,$H197,$I197,$K197,$L197,$N197,$O197,$P197,$T197,RealTime!$A$2:$B$43,TODAY()))</f>
        <v/>
      </c>
      <c r="R197" t="str">
        <f t="shared" si="12"/>
        <v/>
      </c>
      <c r="S197" t="str">
        <f t="shared" si="13"/>
        <v/>
      </c>
    </row>
    <row r="198" spans="6:65" x14ac:dyDescent="0.2">
      <c r="F198" t="str">
        <f ca="1">IF($E198="","",NotionalForDelta($E198,$G198,$H198,$I198,$K198,$L198,$N198,$O198,$P198,$T198,RealTime!$A$2:$B$43,TODAY()))</f>
        <v/>
      </c>
      <c r="R198" t="str">
        <f t="shared" si="12"/>
        <v/>
      </c>
      <c r="S198" t="str">
        <f t="shared" si="13"/>
        <v/>
      </c>
    </row>
    <row r="199" spans="6:65" x14ac:dyDescent="0.2">
      <c r="F199" t="str">
        <f ca="1">IF($E199="","",NotionalForDelta($E199,$G199,$H199,$I199,$K199,$L199,$N199,$O199,$P199,$T199,RealTime!$A$2:$B$43,TODAY()))</f>
        <v/>
      </c>
      <c r="R199" t="str">
        <f t="shared" si="12"/>
        <v/>
      </c>
      <c r="S199" t="str">
        <f t="shared" si="13"/>
        <v/>
      </c>
    </row>
    <row r="200" spans="6:65" x14ac:dyDescent="0.2">
      <c r="F200" t="str">
        <f ca="1">IF($E200="","",NotionalForDelta($E200,$G200,$H200,$I200,$K200,$L200,$N200,$O200,$P200,$T200,RealTime!$A$2:$B$43,TODAY()))</f>
        <v/>
      </c>
      <c r="R200" t="str">
        <f t="shared" si="12"/>
        <v/>
      </c>
      <c r="S200" t="str">
        <f t="shared" si="13"/>
        <v/>
      </c>
    </row>
    <row r="201" spans="6:65" x14ac:dyDescent="0.2">
      <c r="Y201" t="s">
        <v>75</v>
      </c>
      <c r="Z201">
        <f t="shared" ref="Z201:BM201" ca="1" si="14">SUM(Z2:Z200)</f>
        <v>0</v>
      </c>
      <c r="AA201">
        <f t="shared" si="14"/>
        <v>0</v>
      </c>
      <c r="AB201">
        <f t="shared" si="14"/>
        <v>0</v>
      </c>
      <c r="AC201">
        <f t="shared" si="14"/>
        <v>0</v>
      </c>
      <c r="AD201">
        <f t="shared" si="14"/>
        <v>0</v>
      </c>
      <c r="AE201">
        <f t="shared" si="14"/>
        <v>0</v>
      </c>
      <c r="AF201">
        <f t="shared" si="14"/>
        <v>0</v>
      </c>
      <c r="AG201">
        <f t="shared" si="14"/>
        <v>0</v>
      </c>
      <c r="AH201">
        <f t="shared" si="14"/>
        <v>0</v>
      </c>
      <c r="AI201">
        <f t="shared" si="14"/>
        <v>0</v>
      </c>
      <c r="AJ201">
        <f t="shared" si="14"/>
        <v>0</v>
      </c>
      <c r="AK201">
        <f t="shared" si="14"/>
        <v>0</v>
      </c>
      <c r="AL201">
        <f t="shared" si="14"/>
        <v>0</v>
      </c>
      <c r="AM201">
        <f t="shared" si="14"/>
        <v>0</v>
      </c>
      <c r="AN201">
        <f t="shared" si="14"/>
        <v>0</v>
      </c>
      <c r="AO201">
        <f t="shared" si="14"/>
        <v>0</v>
      </c>
      <c r="AP201">
        <f t="shared" si="14"/>
        <v>0</v>
      </c>
      <c r="AQ201">
        <f t="shared" si="14"/>
        <v>0</v>
      </c>
      <c r="AR201">
        <f t="shared" si="14"/>
        <v>0</v>
      </c>
      <c r="AS201">
        <f t="shared" si="14"/>
        <v>0</v>
      </c>
      <c r="AT201">
        <f t="shared" si="14"/>
        <v>0</v>
      </c>
      <c r="AU201">
        <f t="shared" si="14"/>
        <v>0</v>
      </c>
      <c r="AV201">
        <f t="shared" si="14"/>
        <v>0</v>
      </c>
      <c r="AW201">
        <f t="shared" si="14"/>
        <v>0</v>
      </c>
      <c r="AX201">
        <f t="shared" si="14"/>
        <v>0</v>
      </c>
      <c r="AY201">
        <f t="shared" si="14"/>
        <v>0</v>
      </c>
      <c r="AZ201">
        <f t="shared" si="14"/>
        <v>0</v>
      </c>
      <c r="BA201">
        <f t="shared" si="14"/>
        <v>0</v>
      </c>
      <c r="BB201">
        <f t="shared" si="14"/>
        <v>0</v>
      </c>
      <c r="BC201">
        <f t="shared" si="14"/>
        <v>0</v>
      </c>
      <c r="BD201">
        <f t="shared" si="14"/>
        <v>0</v>
      </c>
      <c r="BE201">
        <f t="shared" si="14"/>
        <v>0</v>
      </c>
      <c r="BF201">
        <f t="shared" si="14"/>
        <v>0</v>
      </c>
      <c r="BG201">
        <f t="shared" si="14"/>
        <v>0</v>
      </c>
      <c r="BH201">
        <f t="shared" si="14"/>
        <v>0</v>
      </c>
      <c r="BI201">
        <f t="shared" si="14"/>
        <v>0</v>
      </c>
      <c r="BJ201">
        <f t="shared" si="14"/>
        <v>0</v>
      </c>
      <c r="BK201">
        <f t="shared" si="14"/>
        <v>0</v>
      </c>
      <c r="BL201">
        <f t="shared" si="14"/>
        <v>0</v>
      </c>
      <c r="BM201">
        <f t="shared" si="14"/>
        <v>0</v>
      </c>
    </row>
  </sheetData>
  <phoneticPr fontId="4"/>
  <dataValidations count="5">
    <dataValidation type="list" sqref="K2:K200 N2:N200" xr:uid="{00000000-0002-0000-0100-000000000000}">
      <formula1>"PA,SA,QA,1m"</formula1>
    </dataValidation>
    <dataValidation type="list" sqref="L2:L200 O2:O200" xr:uid="{00000000-0002-0000-0100-000002000000}">
      <formula1>"act/365fixed,30/360"</formula1>
    </dataValidation>
    <dataValidation type="list" sqref="M2:M200" xr:uid="{00000000-0002-0000-0100-000004000000}">
      <formula1>"JSCC"</formula1>
    </dataValidation>
    <dataValidation type="list" sqref="P2:P200" xr:uid="{00000000-0002-0000-0100-000005000000}">
      <formula1>"STD,EOM,IMM"</formula1>
    </dataValidation>
    <dataValidation type="list" sqref="T2:T200" xr:uid="{00000000-0002-0000-0100-000006000000}">
      <formula1>"PAY,REC"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1"/>
  <sheetViews>
    <sheetView workbookViewId="0"/>
  </sheetViews>
  <sheetFormatPr defaultRowHeight="14" x14ac:dyDescent="0.2"/>
  <sheetData>
    <row r="1" spans="1:19" x14ac:dyDescent="0.2">
      <c r="A1" t="s">
        <v>76</v>
      </c>
      <c r="B1" t="str">
        <f>HistoricalOutright("2y","PA","act/365fixed","PA","act/365fixed","STD")</f>
        <v>Date</v>
      </c>
      <c r="E1" t="s">
        <v>22</v>
      </c>
      <c r="F1" t="str">
        <f>HistoricalOutright("5y","PA","act/365fixed","PA","act/365fixed","STD")</f>
        <v>Date</v>
      </c>
      <c r="I1" t="s">
        <v>27</v>
      </c>
      <c r="J1" t="str">
        <f>HistoricalOutright("10y","PA","act/365fixed","PA","act/365fixed","STD")</f>
        <v>Date</v>
      </c>
      <c r="M1" t="s">
        <v>77</v>
      </c>
      <c r="N1" t="s">
        <v>78</v>
      </c>
      <c r="O1" t="s">
        <v>79</v>
      </c>
      <c r="Q1" t="s">
        <v>80</v>
      </c>
      <c r="R1" t="s">
        <v>78</v>
      </c>
      <c r="S1" t="s">
        <v>81</v>
      </c>
    </row>
  </sheetData>
  <phoneticPr fontId="4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1"/>
  <sheetViews>
    <sheetView workbookViewId="0">
      <selection activeCell="F18" sqref="F18"/>
    </sheetView>
  </sheetViews>
  <sheetFormatPr defaultRowHeight="14" x14ac:dyDescent="0.2"/>
  <sheetData>
    <row r="1" spans="1:2" x14ac:dyDescent="0.2">
      <c r="A1" t="s">
        <v>0</v>
      </c>
      <c r="B1" t="s">
        <v>82</v>
      </c>
    </row>
  </sheetData>
  <phoneticPr fontId="4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B17"/>
  <sheetViews>
    <sheetView workbookViewId="0"/>
  </sheetViews>
  <sheetFormatPr defaultColWidth="8.83203125" defaultRowHeight="14" x14ac:dyDescent="0.2"/>
  <cols>
    <col min="1" max="1" width="14.75" style="1" customWidth="1"/>
    <col min="2" max="2" width="9.25" style="1" customWidth="1"/>
    <col min="3" max="3" width="8.83203125" style="1" customWidth="1"/>
    <col min="4" max="16384" width="8.83203125" style="1"/>
  </cols>
  <sheetData>
    <row r="1" spans="1:2" ht="15.65" customHeight="1" x14ac:dyDescent="0.2">
      <c r="A1" s="1" t="s">
        <v>83</v>
      </c>
      <c r="B1" s="1" t="s">
        <v>84</v>
      </c>
    </row>
    <row r="2" spans="1:2" ht="15.65" customHeight="1" x14ac:dyDescent="0.2">
      <c r="A2" s="1" t="s">
        <v>85</v>
      </c>
    </row>
    <row r="3" spans="1:2" ht="15.65" customHeight="1" x14ac:dyDescent="0.2">
      <c r="A3" s="1" t="s">
        <v>86</v>
      </c>
    </row>
    <row r="4" spans="1:2" ht="15.65" customHeight="1" x14ac:dyDescent="0.2">
      <c r="A4" s="1" t="s">
        <v>87</v>
      </c>
    </row>
    <row r="5" spans="1:2" ht="15.65" customHeight="1" x14ac:dyDescent="0.2">
      <c r="A5" s="1" t="s">
        <v>88</v>
      </c>
    </row>
    <row r="6" spans="1:2" ht="15.65" customHeight="1" x14ac:dyDescent="0.2">
      <c r="A6" s="1" t="s">
        <v>89</v>
      </c>
      <c r="B6" t="s">
        <v>90</v>
      </c>
    </row>
    <row r="7" spans="1:2" ht="15.65" customHeight="1" x14ac:dyDescent="0.2">
      <c r="A7" s="1" t="s">
        <v>91</v>
      </c>
      <c r="B7" s="1" t="b">
        <v>0</v>
      </c>
    </row>
    <row r="8" spans="1:2" ht="15.65" customHeight="1" x14ac:dyDescent="0.2">
      <c r="A8" s="1" t="s">
        <v>92</v>
      </c>
      <c r="B8" s="1" t="b">
        <v>0</v>
      </c>
    </row>
    <row r="9" spans="1:2" ht="15.65" customHeight="1" x14ac:dyDescent="0.2">
      <c r="A9" s="1" t="s">
        <v>93</v>
      </c>
      <c r="B9" s="1" t="b">
        <v>0</v>
      </c>
    </row>
    <row r="13" spans="1:2" ht="15.65" customHeight="1" x14ac:dyDescent="0.2">
      <c r="A13" s="2" t="s">
        <v>94</v>
      </c>
    </row>
    <row r="14" spans="1:2" ht="15.65" customHeight="1" x14ac:dyDescent="0.2">
      <c r="A14" s="1" t="s">
        <v>95</v>
      </c>
    </row>
    <row r="15" spans="1:2" ht="15.65" customHeight="1" x14ac:dyDescent="0.2">
      <c r="A15" s="1" t="s">
        <v>96</v>
      </c>
    </row>
    <row r="16" spans="1:2" ht="15.65" customHeight="1" x14ac:dyDescent="0.2">
      <c r="A16" s="1" t="s">
        <v>97</v>
      </c>
    </row>
    <row r="17" spans="1:1" ht="15.65" customHeight="1" x14ac:dyDescent="0.2">
      <c r="A17" s="1" t="s">
        <v>98</v>
      </c>
    </row>
  </sheetData>
  <phoneticPr fontId="4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RealTime</vt:lpstr>
      <vt:lpstr>pricing</vt:lpstr>
      <vt:lpstr>Historical</vt:lpstr>
      <vt:lpstr>Calc</vt:lpstr>
      <vt:lpstr>_xlwings.conf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寛人 西原</cp:lastModifiedBy>
  <dcterms:created xsi:type="dcterms:W3CDTF">2015-01-25T11:31:25Z</dcterms:created>
  <dcterms:modified xsi:type="dcterms:W3CDTF">2026-09-06T02:38:33Z</dcterms:modified>
</cp:coreProperties>
</file>