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shh\Documents\pricing-sheet\"/>
    </mc:Choice>
  </mc:AlternateContent>
  <xr:revisionPtr revIDLastSave="0" documentId="13_ncr:1_{9741BC70-7AED-433E-87FF-1D607BDE70A0}" xr6:coauthVersionLast="47" xr6:coauthVersionMax="47" xr10:uidLastSave="{00000000-0000-0000-0000-000000000000}"/>
  <bookViews>
    <workbookView xWindow="-110" yWindow="-110" windowWidth="19420" windowHeight="11500" tabRatio="500" xr2:uid="{00000000-000D-0000-FFFF-FFFF00000000}"/>
  </bookViews>
  <sheets>
    <sheet name="RealTime" sheetId="1" r:id="rId1"/>
    <sheet name="pricing" sheetId="2" r:id="rId2"/>
    <sheet name="Historical" sheetId="3" r:id="rId3"/>
    <sheet name="Calc" sheetId="4" r:id="rId4"/>
    <sheet name="_xlwings.conf" sheetId="5" r:id="rId5"/>
  </sheets>
  <functionGroups builtInGroupCount="19">
    <functionGroup name="xlwings"/>
  </functionGroups>
  <calcPr calcId="191029" calcMode="manual"/>
  <extLst>
    <ext xmlns:x14="http://schemas.microsoft.com/office/spreadsheetml/2009/9/main" uri="{8193D73E-4604-4355-AFF4-8A2333D13BE4}">
      <x14:definedNames>
        <x14:definedName name="BucketedDelta">
          <x14:argumentDescriptions count="1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</x14:argumentDescriptions>
        </x14:definedName>
        <x14:definedName name="FairRate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HistoricalOutright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NotionalFor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Annuity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Delta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SwapPV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M201" i="2" l="1"/>
  <c r="BL201" i="2"/>
  <c r="BK201" i="2"/>
  <c r="BJ201" i="2"/>
  <c r="BI201" i="2"/>
  <c r="BH201" i="2"/>
  <c r="BG201" i="2"/>
  <c r="BF201" i="2"/>
  <c r="BE201" i="2"/>
  <c r="BD201" i="2"/>
  <c r="BC201" i="2"/>
  <c r="BB201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0" i="2"/>
  <c r="F200" i="2"/>
  <c r="Z199" i="2"/>
  <c r="F199" i="2"/>
  <c r="Z198" i="2"/>
  <c r="F198" i="2"/>
  <c r="Z197" i="2"/>
  <c r="F197" i="2"/>
  <c r="Z196" i="2"/>
  <c r="F196" i="2"/>
  <c r="Z195" i="2"/>
  <c r="F195" i="2"/>
  <c r="Z194" i="2"/>
  <c r="F194" i="2"/>
  <c r="Z193" i="2"/>
  <c r="F193" i="2"/>
  <c r="Z192" i="2"/>
  <c r="F192" i="2"/>
  <c r="Z191" i="2"/>
  <c r="F191" i="2"/>
  <c r="Z190" i="2"/>
  <c r="F190" i="2"/>
  <c r="Z189" i="2"/>
  <c r="F189" i="2"/>
  <c r="Z188" i="2"/>
  <c r="F188" i="2"/>
  <c r="Z187" i="2"/>
  <c r="F187" i="2"/>
  <c r="Z186" i="2"/>
  <c r="F186" i="2"/>
  <c r="Z185" i="2"/>
  <c r="F185" i="2"/>
  <c r="Z184" i="2"/>
  <c r="F184" i="2"/>
  <c r="Z183" i="2"/>
  <c r="F183" i="2"/>
  <c r="Z182" i="2"/>
  <c r="F182" i="2"/>
  <c r="Z181" i="2"/>
  <c r="F181" i="2"/>
  <c r="Z180" i="2"/>
  <c r="F180" i="2"/>
  <c r="Z179" i="2"/>
  <c r="F179" i="2"/>
  <c r="Z178" i="2"/>
  <c r="F178" i="2"/>
  <c r="Z177" i="2"/>
  <c r="F177" i="2"/>
  <c r="Z176" i="2"/>
  <c r="F176" i="2"/>
  <c r="Z175" i="2"/>
  <c r="F175" i="2"/>
  <c r="Z174" i="2"/>
  <c r="F174" i="2"/>
  <c r="Z173" i="2"/>
  <c r="F173" i="2"/>
  <c r="Z172" i="2"/>
  <c r="F172" i="2"/>
  <c r="Z171" i="2"/>
  <c r="F171" i="2"/>
  <c r="Z170" i="2"/>
  <c r="F170" i="2"/>
  <c r="Z169" i="2"/>
  <c r="F169" i="2"/>
  <c r="Z168" i="2"/>
  <c r="F168" i="2"/>
  <c r="Z167" i="2"/>
  <c r="F167" i="2"/>
  <c r="Z166" i="2"/>
  <c r="F166" i="2"/>
  <c r="Z165" i="2"/>
  <c r="F165" i="2"/>
  <c r="Z164" i="2"/>
  <c r="F164" i="2"/>
  <c r="Z163" i="2"/>
  <c r="F163" i="2"/>
  <c r="Z162" i="2"/>
  <c r="F162" i="2"/>
  <c r="Z161" i="2"/>
  <c r="F161" i="2"/>
  <c r="Z160" i="2"/>
  <c r="F160" i="2"/>
  <c r="Z159" i="2"/>
  <c r="F159" i="2"/>
  <c r="Z158" i="2"/>
  <c r="F158" i="2"/>
  <c r="Z157" i="2"/>
  <c r="F157" i="2"/>
  <c r="Z156" i="2"/>
  <c r="F156" i="2"/>
  <c r="Z155" i="2"/>
  <c r="F155" i="2"/>
  <c r="Z154" i="2"/>
  <c r="F154" i="2"/>
  <c r="Z153" i="2"/>
  <c r="F153" i="2"/>
  <c r="Z152" i="2"/>
  <c r="F152" i="2"/>
  <c r="Z151" i="2"/>
  <c r="F151" i="2"/>
  <c r="Z150" i="2"/>
  <c r="F150" i="2"/>
  <c r="Z149" i="2"/>
  <c r="F149" i="2"/>
  <c r="Z148" i="2"/>
  <c r="F148" i="2"/>
  <c r="Z147" i="2"/>
  <c r="F147" i="2"/>
  <c r="Z146" i="2"/>
  <c r="F146" i="2"/>
  <c r="Z145" i="2"/>
  <c r="F145" i="2"/>
  <c r="Z144" i="2"/>
  <c r="F144" i="2"/>
  <c r="Z143" i="2"/>
  <c r="F143" i="2"/>
  <c r="Z142" i="2"/>
  <c r="F142" i="2"/>
  <c r="Z141" i="2"/>
  <c r="F141" i="2"/>
  <c r="Z140" i="2"/>
  <c r="F140" i="2"/>
  <c r="Z139" i="2"/>
  <c r="F139" i="2"/>
  <c r="Z138" i="2"/>
  <c r="F138" i="2"/>
  <c r="Z137" i="2"/>
  <c r="F137" i="2"/>
  <c r="Z136" i="2"/>
  <c r="F136" i="2"/>
  <c r="Z135" i="2"/>
  <c r="F135" i="2"/>
  <c r="Z134" i="2"/>
  <c r="F134" i="2"/>
  <c r="Z133" i="2"/>
  <c r="F133" i="2"/>
  <c r="Z132" i="2"/>
  <c r="F132" i="2"/>
  <c r="Z131" i="2"/>
  <c r="F131" i="2"/>
  <c r="Z130" i="2"/>
  <c r="F130" i="2"/>
  <c r="Z129" i="2"/>
  <c r="F129" i="2"/>
  <c r="Z128" i="2"/>
  <c r="F128" i="2"/>
  <c r="Z127" i="2"/>
  <c r="F127" i="2"/>
  <c r="Z126" i="2"/>
  <c r="F126" i="2"/>
  <c r="Z125" i="2"/>
  <c r="F125" i="2"/>
  <c r="Z124" i="2"/>
  <c r="F124" i="2"/>
  <c r="Z123" i="2"/>
  <c r="F123" i="2"/>
  <c r="Z122" i="2"/>
  <c r="F122" i="2"/>
  <c r="Z121" i="2"/>
  <c r="F121" i="2"/>
  <c r="Z120" i="2"/>
  <c r="F120" i="2"/>
  <c r="Z119" i="2"/>
  <c r="F119" i="2"/>
  <c r="Z118" i="2"/>
  <c r="F118" i="2"/>
  <c r="Z117" i="2"/>
  <c r="F117" i="2"/>
  <c r="Z116" i="2"/>
  <c r="F116" i="2"/>
  <c r="Z115" i="2"/>
  <c r="F115" i="2"/>
  <c r="Z114" i="2"/>
  <c r="F114" i="2"/>
  <c r="Z113" i="2"/>
  <c r="F113" i="2"/>
  <c r="Z112" i="2"/>
  <c r="F112" i="2"/>
  <c r="Z111" i="2"/>
  <c r="F111" i="2"/>
  <c r="Z110" i="2"/>
  <c r="F110" i="2"/>
  <c r="Z109" i="2"/>
  <c r="F109" i="2"/>
  <c r="Z108" i="2"/>
  <c r="F108" i="2"/>
  <c r="Z107" i="2"/>
  <c r="F107" i="2"/>
  <c r="Z106" i="2"/>
  <c r="F106" i="2"/>
  <c r="Z105" i="2"/>
  <c r="F105" i="2"/>
  <c r="Z104" i="2"/>
  <c r="F104" i="2"/>
  <c r="Z103" i="2"/>
  <c r="F103" i="2"/>
  <c r="Z102" i="2"/>
  <c r="F102" i="2"/>
  <c r="Z101" i="2"/>
  <c r="F101" i="2"/>
  <c r="Z100" i="2"/>
  <c r="F100" i="2"/>
  <c r="Z99" i="2"/>
  <c r="F99" i="2"/>
  <c r="Z98" i="2"/>
  <c r="F98" i="2"/>
  <c r="Z97" i="2"/>
  <c r="F97" i="2"/>
  <c r="Z96" i="2"/>
  <c r="F96" i="2"/>
  <c r="Z95" i="2"/>
  <c r="F95" i="2"/>
  <c r="Z94" i="2"/>
  <c r="F94" i="2"/>
  <c r="Z93" i="2"/>
  <c r="F93" i="2"/>
  <c r="Z92" i="2"/>
  <c r="F92" i="2"/>
  <c r="Z91" i="2"/>
  <c r="F91" i="2"/>
  <c r="Z90" i="2"/>
  <c r="F90" i="2"/>
  <c r="Z89" i="2"/>
  <c r="F89" i="2"/>
  <c r="Z88" i="2"/>
  <c r="F88" i="2"/>
  <c r="Z87" i="2"/>
  <c r="F87" i="2"/>
  <c r="Z86" i="2"/>
  <c r="F86" i="2"/>
  <c r="Z85" i="2"/>
  <c r="F85" i="2"/>
  <c r="Z84" i="2"/>
  <c r="F84" i="2"/>
  <c r="Z83" i="2"/>
  <c r="F83" i="2"/>
  <c r="Z82" i="2"/>
  <c r="F82" i="2"/>
  <c r="Z81" i="2"/>
  <c r="F81" i="2"/>
  <c r="Z80" i="2"/>
  <c r="F80" i="2"/>
  <c r="Z79" i="2"/>
  <c r="F79" i="2"/>
  <c r="Z78" i="2"/>
  <c r="F78" i="2"/>
  <c r="Z77" i="2"/>
  <c r="F77" i="2"/>
  <c r="Z76" i="2"/>
  <c r="F76" i="2"/>
  <c r="Z75" i="2"/>
  <c r="F75" i="2"/>
  <c r="Z74" i="2"/>
  <c r="F74" i="2"/>
  <c r="Z73" i="2"/>
  <c r="F73" i="2"/>
  <c r="Z72" i="2"/>
  <c r="F72" i="2"/>
  <c r="Z71" i="2"/>
  <c r="F71" i="2"/>
  <c r="Z70" i="2"/>
  <c r="F70" i="2"/>
  <c r="Z69" i="2"/>
  <c r="F69" i="2"/>
  <c r="Z68" i="2"/>
  <c r="F68" i="2"/>
  <c r="Z67" i="2"/>
  <c r="F67" i="2"/>
  <c r="Z66" i="2"/>
  <c r="F66" i="2"/>
  <c r="Z65" i="2"/>
  <c r="F65" i="2"/>
  <c r="Z64" i="2"/>
  <c r="F64" i="2"/>
  <c r="Z63" i="2"/>
  <c r="F63" i="2"/>
  <c r="Z62" i="2"/>
  <c r="F62" i="2"/>
  <c r="Z61" i="2"/>
  <c r="F61" i="2"/>
  <c r="Z60" i="2"/>
  <c r="F60" i="2"/>
  <c r="Z59" i="2"/>
  <c r="F59" i="2"/>
  <c r="Z58" i="2"/>
  <c r="F58" i="2"/>
  <c r="Z57" i="2"/>
  <c r="F57" i="2"/>
  <c r="Z56" i="2"/>
  <c r="F56" i="2"/>
  <c r="Z55" i="2"/>
  <c r="F55" i="2"/>
  <c r="Z54" i="2"/>
  <c r="F54" i="2"/>
  <c r="Z53" i="2"/>
  <c r="F53" i="2"/>
  <c r="Z52" i="2"/>
  <c r="F52" i="2"/>
  <c r="Z51" i="2"/>
  <c r="F51" i="2"/>
  <c r="Z50" i="2"/>
  <c r="F50" i="2"/>
  <c r="Z49" i="2"/>
  <c r="F49" i="2"/>
  <c r="Z48" i="2"/>
  <c r="F48" i="2"/>
  <c r="Z47" i="2"/>
  <c r="F47" i="2"/>
  <c r="Z46" i="2"/>
  <c r="F46" i="2"/>
  <c r="Z45" i="2"/>
  <c r="F45" i="2"/>
  <c r="Z44" i="2"/>
  <c r="F44" i="2"/>
  <c r="Z43" i="2"/>
  <c r="F43" i="2"/>
  <c r="Z42" i="2"/>
  <c r="F42" i="2"/>
  <c r="Z41" i="2"/>
  <c r="F41" i="2"/>
  <c r="Z40" i="2"/>
  <c r="F40" i="2"/>
  <c r="Z39" i="2"/>
  <c r="F39" i="2"/>
  <c r="Z38" i="2"/>
  <c r="F38" i="2"/>
  <c r="Z37" i="2"/>
  <c r="F37" i="2"/>
  <c r="Z36" i="2"/>
  <c r="F36" i="2"/>
  <c r="Z35" i="2"/>
  <c r="F35" i="2"/>
  <c r="Z34" i="2"/>
  <c r="F34" i="2"/>
  <c r="Z33" i="2"/>
  <c r="F33" i="2"/>
  <c r="Z32" i="2"/>
  <c r="F32" i="2"/>
  <c r="Z31" i="2"/>
  <c r="F31" i="2"/>
  <c r="Z30" i="2"/>
  <c r="F30" i="2"/>
  <c r="Z29" i="2"/>
  <c r="F29" i="2"/>
  <c r="Z28" i="2"/>
  <c r="F28" i="2"/>
  <c r="Z27" i="2"/>
  <c r="F27" i="2"/>
  <c r="Z26" i="2"/>
  <c r="F26" i="2"/>
  <c r="Z25" i="2"/>
  <c r="F25" i="2"/>
  <c r="Z24" i="2"/>
  <c r="F24" i="2"/>
  <c r="Z23" i="2"/>
  <c r="F23" i="2"/>
  <c r="Z22" i="2"/>
  <c r="F22" i="2"/>
  <c r="Z21" i="2"/>
  <c r="F21" i="2"/>
  <c r="Z20" i="2"/>
  <c r="F20" i="2"/>
  <c r="Z19" i="2"/>
  <c r="F19" i="2"/>
  <c r="Z18" i="2"/>
  <c r="F18" i="2"/>
  <c r="Z17" i="2"/>
  <c r="F17" i="2"/>
  <c r="Z16" i="2"/>
  <c r="F16" i="2"/>
  <c r="Z15" i="2"/>
  <c r="F15" i="2"/>
  <c r="Z14" i="2"/>
  <c r="F14" i="2"/>
  <c r="Z13" i="2"/>
  <c r="F13" i="2"/>
  <c r="Z12" i="2"/>
  <c r="F12" i="2"/>
  <c r="Z11" i="2"/>
  <c r="F11" i="2"/>
  <c r="Z10" i="2"/>
  <c r="F10" i="2"/>
  <c r="Z9" i="2"/>
  <c r="F9" i="2"/>
  <c r="Z8" i="2"/>
  <c r="F8" i="2"/>
  <c r="Z7" i="2"/>
  <c r="F7" i="2"/>
  <c r="Z6" i="2"/>
  <c r="F6" i="2"/>
  <c r="Z5" i="2"/>
  <c r="F5" i="2"/>
  <c r="Z4" i="2"/>
  <c r="F4" i="2"/>
  <c r="Z3" i="2"/>
  <c r="F3" i="2"/>
  <c r="Z2" i="2"/>
  <c r="R2" i="2"/>
  <c r="F2" i="2"/>
  <c r="J1" i="3"/>
  <c r="F1" i="3"/>
  <c r="W199" i="2"/>
  <c r="U198" i="2"/>
  <c r="Q197" i="2"/>
  <c r="W194" i="2"/>
  <c r="U193" i="2"/>
  <c r="Q192" i="2"/>
  <c r="W189" i="2"/>
  <c r="U188" i="2"/>
  <c r="W185" i="2"/>
  <c r="U184" i="2"/>
  <c r="W181" i="2"/>
  <c r="U180" i="2"/>
  <c r="W177" i="2"/>
  <c r="U176" i="2"/>
  <c r="W173" i="2"/>
  <c r="U172" i="2"/>
  <c r="W169" i="2"/>
  <c r="U168" i="2"/>
  <c r="W165" i="2"/>
  <c r="U164" i="2"/>
  <c r="W161" i="2"/>
  <c r="U160" i="2"/>
  <c r="W157" i="2"/>
  <c r="U156" i="2"/>
  <c r="W153" i="2"/>
  <c r="U152" i="2"/>
  <c r="W149" i="2"/>
  <c r="U148" i="2"/>
  <c r="W145" i="2"/>
  <c r="U144" i="2"/>
  <c r="W141" i="2"/>
  <c r="U140" i="2"/>
  <c r="W137" i="2"/>
  <c r="U136" i="2"/>
  <c r="W133" i="2"/>
  <c r="U132" i="2"/>
  <c r="W129" i="2"/>
  <c r="U128" i="2"/>
  <c r="W125" i="2"/>
  <c r="U124" i="2"/>
  <c r="W121" i="2"/>
  <c r="U120" i="2"/>
  <c r="W117" i="2"/>
  <c r="U116" i="2"/>
  <c r="W113" i="2"/>
  <c r="U112" i="2"/>
  <c r="W109" i="2"/>
  <c r="U108" i="2"/>
  <c r="W105" i="2"/>
  <c r="U104" i="2"/>
  <c r="W101" i="2"/>
  <c r="U100" i="2"/>
  <c r="W97" i="2"/>
  <c r="U96" i="2"/>
  <c r="W93" i="2"/>
  <c r="U92" i="2"/>
  <c r="W89" i="2"/>
  <c r="U88" i="2"/>
  <c r="W85" i="2"/>
  <c r="U84" i="2"/>
  <c r="W81" i="2"/>
  <c r="U80" i="2"/>
  <c r="W77" i="2"/>
  <c r="U76" i="2"/>
  <c r="W73" i="2"/>
  <c r="U72" i="2"/>
  <c r="W69" i="2"/>
  <c r="U68" i="2"/>
  <c r="W65" i="2"/>
  <c r="U64" i="2"/>
  <c r="W61" i="2"/>
  <c r="U60" i="2"/>
  <c r="W57" i="2"/>
  <c r="U56" i="2"/>
  <c r="W53" i="2"/>
  <c r="U52" i="2"/>
  <c r="W49" i="2"/>
  <c r="U48" i="2"/>
  <c r="W45" i="2"/>
  <c r="V44" i="2"/>
  <c r="Q43" i="2"/>
  <c r="V40" i="2"/>
  <c r="Q39" i="2"/>
  <c r="V36" i="2"/>
  <c r="Q35" i="2"/>
  <c r="V32" i="2"/>
  <c r="Q31" i="2"/>
  <c r="V28" i="2"/>
  <c r="Q27" i="2"/>
  <c r="V24" i="2"/>
  <c r="Q23" i="2"/>
  <c r="V20" i="2"/>
  <c r="B1" i="3"/>
  <c r="V199" i="2"/>
  <c r="W195" i="2"/>
  <c r="V194" i="2"/>
  <c r="Q193" i="2"/>
  <c r="V189" i="2"/>
  <c r="Q188" i="2"/>
  <c r="V185" i="2"/>
  <c r="Q184" i="2"/>
  <c r="V181" i="2"/>
  <c r="Q180" i="2"/>
  <c r="V177" i="2"/>
  <c r="Q176" i="2"/>
  <c r="V173" i="2"/>
  <c r="Q172" i="2"/>
  <c r="V169" i="2"/>
  <c r="Q168" i="2"/>
  <c r="V165" i="2"/>
  <c r="Q164" i="2"/>
  <c r="V161" i="2"/>
  <c r="Q160" i="2"/>
  <c r="V157" i="2"/>
  <c r="Q156" i="2"/>
  <c r="V153" i="2"/>
  <c r="Q152" i="2"/>
  <c r="V149" i="2"/>
  <c r="Q148" i="2"/>
  <c r="V145" i="2"/>
  <c r="Q144" i="2"/>
  <c r="V141" i="2"/>
  <c r="Q140" i="2"/>
  <c r="V137" i="2"/>
  <c r="Q136" i="2"/>
  <c r="V133" i="2"/>
  <c r="Q132" i="2"/>
  <c r="V129" i="2"/>
  <c r="Q128" i="2"/>
  <c r="V125" i="2"/>
  <c r="Q124" i="2"/>
  <c r="V121" i="2"/>
  <c r="Q120" i="2"/>
  <c r="V117" i="2"/>
  <c r="Q116" i="2"/>
  <c r="V113" i="2"/>
  <c r="Q112" i="2"/>
  <c r="V109" i="2"/>
  <c r="Q108" i="2"/>
  <c r="V105" i="2"/>
  <c r="Q104" i="2"/>
  <c r="V101" i="2"/>
  <c r="Q100" i="2"/>
  <c r="V97" i="2"/>
  <c r="Q96" i="2"/>
  <c r="V93" i="2"/>
  <c r="Q92" i="2"/>
  <c r="V89" i="2"/>
  <c r="Q88" i="2"/>
  <c r="V85" i="2"/>
  <c r="Q84" i="2"/>
  <c r="V81" i="2"/>
  <c r="Q80" i="2"/>
  <c r="V77" i="2"/>
  <c r="Q76" i="2"/>
  <c r="V73" i="2"/>
  <c r="Q72" i="2"/>
  <c r="V69" i="2"/>
  <c r="Q68" i="2"/>
  <c r="V65" i="2"/>
  <c r="Q64" i="2"/>
  <c r="V61" i="2"/>
  <c r="Q60" i="2"/>
  <c r="V57" i="2"/>
  <c r="Q56" i="2"/>
  <c r="V53" i="2"/>
  <c r="Q52" i="2"/>
  <c r="V49" i="2"/>
  <c r="Q48" i="2"/>
  <c r="V45" i="2"/>
  <c r="U44" i="2"/>
  <c r="W41" i="2"/>
  <c r="U40" i="2"/>
  <c r="W37" i="2"/>
  <c r="U36" i="2"/>
  <c r="W33" i="2"/>
  <c r="U32" i="2"/>
  <c r="W29" i="2"/>
  <c r="U28" i="2"/>
  <c r="W200" i="2"/>
  <c r="U199" i="2"/>
  <c r="Q198" i="2"/>
  <c r="V195" i="2"/>
  <c r="U194" i="2"/>
  <c r="W190" i="2"/>
  <c r="U189" i="2"/>
  <c r="W186" i="2"/>
  <c r="U185" i="2"/>
  <c r="W182" i="2"/>
  <c r="U181" i="2"/>
  <c r="W178" i="2"/>
  <c r="U177" i="2"/>
  <c r="W174" i="2"/>
  <c r="U173" i="2"/>
  <c r="W170" i="2"/>
  <c r="U169" i="2"/>
  <c r="W166" i="2"/>
  <c r="U165" i="2"/>
  <c r="W162" i="2"/>
  <c r="U161" i="2"/>
  <c r="W158" i="2"/>
  <c r="U157" i="2"/>
  <c r="W154" i="2"/>
  <c r="U153" i="2"/>
  <c r="W150" i="2"/>
  <c r="U149" i="2"/>
  <c r="W146" i="2"/>
  <c r="U145" i="2"/>
  <c r="W142" i="2"/>
  <c r="U141" i="2"/>
  <c r="W138" i="2"/>
  <c r="U137" i="2"/>
  <c r="W134" i="2"/>
  <c r="U133" i="2"/>
  <c r="W130" i="2"/>
  <c r="U129" i="2"/>
  <c r="W126" i="2"/>
  <c r="U125" i="2"/>
  <c r="W122" i="2"/>
  <c r="U121" i="2"/>
  <c r="W118" i="2"/>
  <c r="U117" i="2"/>
  <c r="W114" i="2"/>
  <c r="U113" i="2"/>
  <c r="W110" i="2"/>
  <c r="U109" i="2"/>
  <c r="W106" i="2"/>
  <c r="U105" i="2"/>
  <c r="W102" i="2"/>
  <c r="U101" i="2"/>
  <c r="W98" i="2"/>
  <c r="U97" i="2"/>
  <c r="W94" i="2"/>
  <c r="U93" i="2"/>
  <c r="W90" i="2"/>
  <c r="U89" i="2"/>
  <c r="W86" i="2"/>
  <c r="U85" i="2"/>
  <c r="W82" i="2"/>
  <c r="U81" i="2"/>
  <c r="W78" i="2"/>
  <c r="U77" i="2"/>
  <c r="W74" i="2"/>
  <c r="U73" i="2"/>
  <c r="W70" i="2"/>
  <c r="U69" i="2"/>
  <c r="W66" i="2"/>
  <c r="U65" i="2"/>
  <c r="W62" i="2"/>
  <c r="U61" i="2"/>
  <c r="W58" i="2"/>
  <c r="U57" i="2"/>
  <c r="W54" i="2"/>
  <c r="U53" i="2"/>
  <c r="W50" i="2"/>
  <c r="U49" i="2"/>
  <c r="W46" i="2"/>
  <c r="U45" i="2"/>
  <c r="Q44" i="2"/>
  <c r="V41" i="2"/>
  <c r="Q40" i="2"/>
  <c r="V37" i="2"/>
  <c r="Q36" i="2"/>
  <c r="V33" i="2"/>
  <c r="Q32" i="2"/>
  <c r="V29" i="2"/>
  <c r="Q28" i="2"/>
  <c r="V25" i="2"/>
  <c r="Q24" i="2"/>
  <c r="V21" i="2"/>
  <c r="Q20" i="2"/>
  <c r="V17" i="2"/>
  <c r="Q16" i="2"/>
  <c r="V13" i="2"/>
  <c r="Q12" i="2"/>
  <c r="V9" i="2"/>
  <c r="Q8" i="2"/>
  <c r="V5" i="2"/>
  <c r="Q4" i="2"/>
  <c r="Q199" i="2"/>
  <c r="W196" i="2"/>
  <c r="U195" i="2"/>
  <c r="Q194" i="2"/>
  <c r="W191" i="2"/>
  <c r="V190" i="2"/>
  <c r="Q189" i="2"/>
  <c r="V186" i="2"/>
  <c r="Q185" i="2"/>
  <c r="V182" i="2"/>
  <c r="Q181" i="2"/>
  <c r="V178" i="2"/>
  <c r="Q177" i="2"/>
  <c r="V174" i="2"/>
  <c r="Q173" i="2"/>
  <c r="V170" i="2"/>
  <c r="Q169" i="2"/>
  <c r="V166" i="2"/>
  <c r="Q165" i="2"/>
  <c r="V162" i="2"/>
  <c r="Q161" i="2"/>
  <c r="V158" i="2"/>
  <c r="Q157" i="2"/>
  <c r="V154" i="2"/>
  <c r="Q153" i="2"/>
  <c r="V150" i="2"/>
  <c r="V200" i="2"/>
  <c r="U200" i="2"/>
  <c r="V196" i="2"/>
  <c r="W192" i="2"/>
  <c r="V191" i="2"/>
  <c r="U190" i="2"/>
  <c r="W187" i="2"/>
  <c r="U186" i="2"/>
  <c r="W183" i="2"/>
  <c r="U182" i="2"/>
  <c r="W179" i="2"/>
  <c r="U178" i="2"/>
  <c r="W175" i="2"/>
  <c r="U174" i="2"/>
  <c r="W171" i="2"/>
  <c r="U170" i="2"/>
  <c r="W167" i="2"/>
  <c r="U166" i="2"/>
  <c r="W163" i="2"/>
  <c r="U162" i="2"/>
  <c r="W159" i="2"/>
  <c r="U158" i="2"/>
  <c r="W155" i="2"/>
  <c r="U154" i="2"/>
  <c r="W151" i="2"/>
  <c r="U150" i="2"/>
  <c r="W147" i="2"/>
  <c r="U146" i="2"/>
  <c r="W143" i="2"/>
  <c r="U142" i="2"/>
  <c r="W139" i="2"/>
  <c r="U138" i="2"/>
  <c r="W135" i="2"/>
  <c r="U134" i="2"/>
  <c r="W131" i="2"/>
  <c r="U130" i="2"/>
  <c r="W127" i="2"/>
  <c r="U126" i="2"/>
  <c r="W123" i="2"/>
  <c r="Q200" i="2"/>
  <c r="W197" i="2"/>
  <c r="U196" i="2"/>
  <c r="Q195" i="2"/>
  <c r="V192" i="2"/>
  <c r="U191" i="2"/>
  <c r="Q190" i="2"/>
  <c r="V187" i="2"/>
  <c r="Q186" i="2"/>
  <c r="V183" i="2"/>
  <c r="W198" i="2"/>
  <c r="V197" i="2"/>
  <c r="Q196" i="2"/>
  <c r="W193" i="2"/>
  <c r="U192" i="2"/>
  <c r="W188" i="2"/>
  <c r="U187" i="2"/>
  <c r="W184" i="2"/>
  <c r="U183" i="2"/>
  <c r="W180" i="2"/>
  <c r="U179" i="2"/>
  <c r="W176" i="2"/>
  <c r="U175" i="2"/>
  <c r="W172" i="2"/>
  <c r="U171" i="2"/>
  <c r="W168" i="2"/>
  <c r="U167" i="2"/>
  <c r="W164" i="2"/>
  <c r="U163" i="2"/>
  <c r="W160" i="2"/>
  <c r="U159" i="2"/>
  <c r="W156" i="2"/>
  <c r="U155" i="2"/>
  <c r="W152" i="2"/>
  <c r="U151" i="2"/>
  <c r="W148" i="2"/>
  <c r="U147" i="2"/>
  <c r="W144" i="2"/>
  <c r="U143" i="2"/>
  <c r="W140" i="2"/>
  <c r="U139" i="2"/>
  <c r="W136" i="2"/>
  <c r="U135" i="2"/>
  <c r="W132" i="2"/>
  <c r="U131" i="2"/>
  <c r="W128" i="2"/>
  <c r="U127" i="2"/>
  <c r="W124" i="2"/>
  <c r="U123" i="2"/>
  <c r="W120" i="2"/>
  <c r="U119" i="2"/>
  <c r="W116" i="2"/>
  <c r="U115" i="2"/>
  <c r="W112" i="2"/>
  <c r="U111" i="2"/>
  <c r="W108" i="2"/>
  <c r="U107" i="2"/>
  <c r="W104" i="2"/>
  <c r="U103" i="2"/>
  <c r="W100" i="2"/>
  <c r="U99" i="2"/>
  <c r="W96" i="2"/>
  <c r="U95" i="2"/>
  <c r="W92" i="2"/>
  <c r="U91" i="2"/>
  <c r="W88" i="2"/>
  <c r="U87" i="2"/>
  <c r="W84" i="2"/>
  <c r="U83" i="2"/>
  <c r="W80" i="2"/>
  <c r="U79" i="2"/>
  <c r="W76" i="2"/>
  <c r="U75" i="2"/>
  <c r="W72" i="2"/>
  <c r="U71" i="2"/>
  <c r="W68" i="2"/>
  <c r="U67" i="2"/>
  <c r="W64" i="2"/>
  <c r="U63" i="2"/>
  <c r="W60" i="2"/>
  <c r="U59" i="2"/>
  <c r="W56" i="2"/>
  <c r="U55" i="2"/>
  <c r="W52" i="2"/>
  <c r="U51" i="2"/>
  <c r="W48" i="2"/>
  <c r="U47" i="2"/>
  <c r="V43" i="2"/>
  <c r="Q42" i="2"/>
  <c r="V39" i="2"/>
  <c r="Q38" i="2"/>
  <c r="V35" i="2"/>
  <c r="Q34" i="2"/>
  <c r="V31" i="2"/>
  <c r="Q30" i="2"/>
  <c r="V27" i="2"/>
  <c r="Q26" i="2"/>
  <c r="V23" i="2"/>
  <c r="Q22" i="2"/>
  <c r="V19" i="2"/>
  <c r="Q18" i="2"/>
  <c r="V15" i="2"/>
  <c r="Q14" i="2"/>
  <c r="V11" i="2"/>
  <c r="Q10" i="2"/>
  <c r="V7" i="2"/>
  <c r="V193" i="2"/>
  <c r="Q187" i="2"/>
  <c r="Q149" i="2"/>
  <c r="V142" i="2"/>
  <c r="V135" i="2"/>
  <c r="Q133" i="2"/>
  <c r="V126" i="2"/>
  <c r="Q122" i="2"/>
  <c r="Q118" i="2"/>
  <c r="Q114" i="2"/>
  <c r="Q110" i="2"/>
  <c r="Q106" i="2"/>
  <c r="Q102" i="2"/>
  <c r="Q98" i="2"/>
  <c r="Q94" i="2"/>
  <c r="Q90" i="2"/>
  <c r="Q86" i="2"/>
  <c r="Q82" i="2"/>
  <c r="Q78" i="2"/>
  <c r="Q74" i="2"/>
  <c r="Q70" i="2"/>
  <c r="Q66" i="2"/>
  <c r="Q62" i="2"/>
  <c r="Q58" i="2"/>
  <c r="Q54" i="2"/>
  <c r="Q50" i="2"/>
  <c r="Q46" i="2"/>
  <c r="U42" i="2"/>
  <c r="U38" i="2"/>
  <c r="U34" i="2"/>
  <c r="U30" i="2"/>
  <c r="U26" i="2"/>
  <c r="W24" i="2"/>
  <c r="W22" i="2"/>
  <c r="Q19" i="2"/>
  <c r="W17" i="2"/>
  <c r="V14" i="2"/>
  <c r="Q11" i="2"/>
  <c r="W9" i="2"/>
  <c r="V6" i="2"/>
  <c r="V3" i="2"/>
  <c r="U14" i="2"/>
  <c r="U6" i="2"/>
  <c r="U3" i="2"/>
  <c r="W20" i="2"/>
  <c r="Q9" i="2"/>
  <c r="V132" i="2"/>
  <c r="Q130" i="2"/>
  <c r="Q119" i="2"/>
  <c r="Q111" i="2"/>
  <c r="Q93" i="2"/>
  <c r="Q87" i="2"/>
  <c r="Q178" i="2"/>
  <c r="V175" i="2"/>
  <c r="Q170" i="2"/>
  <c r="V167" i="2"/>
  <c r="Q162" i="2"/>
  <c r="V159" i="2"/>
  <c r="Q154" i="2"/>
  <c r="V151" i="2"/>
  <c r="V144" i="2"/>
  <c r="Q142" i="2"/>
  <c r="Q135" i="2"/>
  <c r="V128" i="2"/>
  <c r="Q126" i="2"/>
  <c r="W119" i="2"/>
  <c r="W115" i="2"/>
  <c r="W111" i="2"/>
  <c r="W107" i="2"/>
  <c r="W103" i="2"/>
  <c r="W99" i="2"/>
  <c r="W95" i="2"/>
  <c r="W91" i="2"/>
  <c r="W87" i="2"/>
  <c r="W83" i="2"/>
  <c r="W79" i="2"/>
  <c r="W75" i="2"/>
  <c r="W71" i="2"/>
  <c r="W67" i="2"/>
  <c r="W63" i="2"/>
  <c r="W59" i="2"/>
  <c r="W55" i="2"/>
  <c r="W51" i="2"/>
  <c r="W47" i="2"/>
  <c r="U24" i="2"/>
  <c r="V22" i="2"/>
  <c r="U17" i="2"/>
  <c r="W12" i="2"/>
  <c r="U9" i="2"/>
  <c r="Q2" i="2"/>
  <c r="Q17" i="2"/>
  <c r="V12" i="2"/>
  <c r="Q6" i="2"/>
  <c r="Q3" i="2"/>
  <c r="Q146" i="2"/>
  <c r="Q139" i="2"/>
  <c r="Q123" i="2"/>
  <c r="Q117" i="2"/>
  <c r="Q115" i="2"/>
  <c r="Q107" i="2"/>
  <c r="Q99" i="2"/>
  <c r="Q95" i="2"/>
  <c r="Q89" i="2"/>
  <c r="Q77" i="2"/>
  <c r="Q69" i="2"/>
  <c r="Q65" i="2"/>
  <c r="Q61" i="2"/>
  <c r="Q53" i="2"/>
  <c r="Q49" i="2"/>
  <c r="U43" i="2"/>
  <c r="U39" i="2"/>
  <c r="U35" i="2"/>
  <c r="U31" i="2"/>
  <c r="U27" i="2"/>
  <c r="W18" i="2"/>
  <c r="U12" i="2"/>
  <c r="W10" i="2"/>
  <c r="Z1" i="2"/>
  <c r="V74" i="2"/>
  <c r="V64" i="2"/>
  <c r="V56" i="2"/>
  <c r="V48" i="2"/>
  <c r="W42" i="2"/>
  <c r="W26" i="2"/>
  <c r="V16" i="2"/>
  <c r="V2" i="2"/>
  <c r="V140" i="2"/>
  <c r="V124" i="2"/>
  <c r="U114" i="2"/>
  <c r="U106" i="2"/>
  <c r="U102" i="2"/>
  <c r="U90" i="2"/>
  <c r="U78" i="2"/>
  <c r="U62" i="2"/>
  <c r="U54" i="2"/>
  <c r="W44" i="2"/>
  <c r="V34" i="2"/>
  <c r="V30" i="2"/>
  <c r="V26" i="2"/>
  <c r="U19" i="2"/>
  <c r="W14" i="2"/>
  <c r="U8" i="2"/>
  <c r="Q5" i="2"/>
  <c r="U2" i="2"/>
  <c r="Q183" i="2"/>
  <c r="V180" i="2"/>
  <c r="Q175" i="2"/>
  <c r="V172" i="2"/>
  <c r="Q167" i="2"/>
  <c r="V164" i="2"/>
  <c r="Q159" i="2"/>
  <c r="V156" i="2"/>
  <c r="Q151" i="2"/>
  <c r="V146" i="2"/>
  <c r="V139" i="2"/>
  <c r="Q137" i="2"/>
  <c r="V130" i="2"/>
  <c r="V123" i="2"/>
  <c r="V119" i="2"/>
  <c r="V115" i="2"/>
  <c r="V111" i="2"/>
  <c r="V107" i="2"/>
  <c r="V103" i="2"/>
  <c r="V99" i="2"/>
  <c r="V95" i="2"/>
  <c r="V91" i="2"/>
  <c r="V87" i="2"/>
  <c r="V83" i="2"/>
  <c r="V79" i="2"/>
  <c r="V75" i="2"/>
  <c r="V71" i="2"/>
  <c r="V67" i="2"/>
  <c r="V63" i="2"/>
  <c r="V59" i="2"/>
  <c r="V55" i="2"/>
  <c r="V51" i="2"/>
  <c r="V47" i="2"/>
  <c r="W43" i="2"/>
  <c r="W39" i="2"/>
  <c r="W35" i="2"/>
  <c r="W31" i="2"/>
  <c r="W27" i="2"/>
  <c r="U22" i="2"/>
  <c r="W15" i="2"/>
  <c r="W7" i="2"/>
  <c r="W4" i="2"/>
  <c r="V148" i="2"/>
  <c r="Q121" i="2"/>
  <c r="Q113" i="2"/>
  <c r="Q109" i="2"/>
  <c r="Q105" i="2"/>
  <c r="Q103" i="2"/>
  <c r="Q101" i="2"/>
  <c r="Q97" i="2"/>
  <c r="Q91" i="2"/>
  <c r="Q85" i="2"/>
  <c r="Q83" i="2"/>
  <c r="Q81" i="2"/>
  <c r="Q79" i="2"/>
  <c r="Q75" i="2"/>
  <c r="Q73" i="2"/>
  <c r="Q71" i="2"/>
  <c r="Q67" i="2"/>
  <c r="Q63" i="2"/>
  <c r="Q59" i="2"/>
  <c r="Q57" i="2"/>
  <c r="Q55" i="2"/>
  <c r="Q51" i="2"/>
  <c r="Q47" i="2"/>
  <c r="U41" i="2"/>
  <c r="U37" i="2"/>
  <c r="U33" i="2"/>
  <c r="U29" i="2"/>
  <c r="W25" i="2"/>
  <c r="U20" i="2"/>
  <c r="U15" i="2"/>
  <c r="U7" i="2"/>
  <c r="V4" i="2"/>
  <c r="V76" i="2"/>
  <c r="V70" i="2"/>
  <c r="V66" i="2"/>
  <c r="V62" i="2"/>
  <c r="V58" i="2"/>
  <c r="V52" i="2"/>
  <c r="V50" i="2"/>
  <c r="W38" i="2"/>
  <c r="U21" i="2"/>
  <c r="W11" i="2"/>
  <c r="V8" i="2"/>
  <c r="U197" i="2"/>
  <c r="Q138" i="2"/>
  <c r="U118" i="2"/>
  <c r="U98" i="2"/>
  <c r="U86" i="2"/>
  <c r="U70" i="2"/>
  <c r="U58" i="2"/>
  <c r="U46" i="2"/>
  <c r="V42" i="2"/>
  <c r="W40" i="2"/>
  <c r="W36" i="2"/>
  <c r="Q21" i="2"/>
  <c r="U16" i="2"/>
  <c r="U11" i="2"/>
  <c r="W6" i="2"/>
  <c r="W3" i="2"/>
  <c r="V198" i="2"/>
  <c r="V143" i="2"/>
  <c r="Q141" i="2"/>
  <c r="V134" i="2"/>
  <c r="V127" i="2"/>
  <c r="Q125" i="2"/>
  <c r="Q45" i="2"/>
  <c r="Q41" i="2"/>
  <c r="Q37" i="2"/>
  <c r="Q33" i="2"/>
  <c r="Q29" i="2"/>
  <c r="U25" i="2"/>
  <c r="W23" i="2"/>
  <c r="V18" i="2"/>
  <c r="Q15" i="2"/>
  <c r="W13" i="2"/>
  <c r="V10" i="2"/>
  <c r="Q7" i="2"/>
  <c r="U4" i="2"/>
  <c r="V188" i="2"/>
  <c r="Q182" i="2"/>
  <c r="V179" i="2"/>
  <c r="Q174" i="2"/>
  <c r="V171" i="2"/>
  <c r="Q166" i="2"/>
  <c r="V163" i="2"/>
  <c r="Q158" i="2"/>
  <c r="V155" i="2"/>
  <c r="Q150" i="2"/>
  <c r="Q143" i="2"/>
  <c r="V136" i="2"/>
  <c r="Q134" i="2"/>
  <c r="Q127" i="2"/>
  <c r="Q25" i="2"/>
  <c r="U23" i="2"/>
  <c r="W21" i="2"/>
  <c r="U18" i="2"/>
  <c r="W16" i="2"/>
  <c r="U13" i="2"/>
  <c r="U10" i="2"/>
  <c r="W8" i="2"/>
  <c r="W5" i="2"/>
  <c r="W2" i="2"/>
  <c r="Q191" i="2"/>
  <c r="Q179" i="2"/>
  <c r="V176" i="2"/>
  <c r="Q171" i="2"/>
  <c r="V168" i="2"/>
  <c r="Q163" i="2"/>
  <c r="V160" i="2"/>
  <c r="Q155" i="2"/>
  <c r="V152" i="2"/>
  <c r="V147" i="2"/>
  <c r="Q145" i="2"/>
  <c r="V138" i="2"/>
  <c r="V131" i="2"/>
  <c r="Q129" i="2"/>
  <c r="V122" i="2"/>
  <c r="V120" i="2"/>
  <c r="V118" i="2"/>
  <c r="V116" i="2"/>
  <c r="V114" i="2"/>
  <c r="V112" i="2"/>
  <c r="V110" i="2"/>
  <c r="V108" i="2"/>
  <c r="V106" i="2"/>
  <c r="V104" i="2"/>
  <c r="V102" i="2"/>
  <c r="V100" i="2"/>
  <c r="V98" i="2"/>
  <c r="V96" i="2"/>
  <c r="V94" i="2"/>
  <c r="V92" i="2"/>
  <c r="V90" i="2"/>
  <c r="V88" i="2"/>
  <c r="V86" i="2"/>
  <c r="V84" i="2"/>
  <c r="V82" i="2"/>
  <c r="V80" i="2"/>
  <c r="V78" i="2"/>
  <c r="V72" i="2"/>
  <c r="V68" i="2"/>
  <c r="V60" i="2"/>
  <c r="V54" i="2"/>
  <c r="V46" i="2"/>
  <c r="W34" i="2"/>
  <c r="W30" i="2"/>
  <c r="W19" i="2"/>
  <c r="Q13" i="2"/>
  <c r="U5" i="2"/>
  <c r="V184" i="2"/>
  <c r="Q147" i="2"/>
  <c r="Q131" i="2"/>
  <c r="U122" i="2"/>
  <c r="U110" i="2"/>
  <c r="U94" i="2"/>
  <c r="U82" i="2"/>
  <c r="U74" i="2"/>
  <c r="U66" i="2"/>
  <c r="U50" i="2"/>
  <c r="V38" i="2"/>
  <c r="W32" i="2"/>
  <c r="W28" i="2"/>
  <c r="R148" i="2" l="1"/>
  <c r="R14" i="2"/>
  <c r="R146" i="2"/>
  <c r="R156" i="2"/>
  <c r="R164" i="2"/>
  <c r="R172" i="2"/>
  <c r="R180" i="2"/>
  <c r="S192" i="2"/>
  <c r="R192" i="2"/>
  <c r="S26" i="2"/>
  <c r="R144" i="2"/>
  <c r="R151" i="2"/>
  <c r="R159" i="2"/>
  <c r="R167" i="2"/>
  <c r="R175" i="2"/>
  <c r="R183" i="2"/>
  <c r="R8" i="2"/>
  <c r="R16" i="2"/>
  <c r="R30" i="2"/>
  <c r="S34" i="2"/>
  <c r="S38" i="2"/>
  <c r="S42" i="2"/>
  <c r="R46" i="2"/>
  <c r="R142" i="2"/>
  <c r="S22" i="2"/>
  <c r="R48" i="2"/>
  <c r="S56" i="2"/>
  <c r="R60" i="2"/>
  <c r="S64" i="2"/>
  <c r="R68" i="2"/>
  <c r="S72" i="2"/>
  <c r="R76" i="2"/>
  <c r="S80" i="2"/>
  <c r="S86" i="2"/>
  <c r="S102" i="2"/>
  <c r="S104" i="2"/>
  <c r="S110" i="2"/>
  <c r="R152" i="2"/>
  <c r="R160" i="2"/>
  <c r="R168" i="2"/>
  <c r="R176" i="2"/>
  <c r="R184" i="2"/>
  <c r="R6" i="2"/>
  <c r="R50" i="2"/>
  <c r="S54" i="2"/>
  <c r="S62" i="2"/>
  <c r="S70" i="2"/>
  <c r="S78" i="2"/>
  <c r="S96" i="2"/>
  <c r="R108" i="2"/>
  <c r="R140" i="2"/>
  <c r="R147" i="2"/>
  <c r="S2" i="2"/>
  <c r="S7" i="2"/>
  <c r="S18" i="2"/>
  <c r="S3" i="2"/>
  <c r="R143" i="2"/>
  <c r="R155" i="2"/>
  <c r="R163" i="2"/>
  <c r="R171" i="2"/>
  <c r="R179" i="2"/>
  <c r="S88" i="2"/>
  <c r="S94" i="2"/>
  <c r="S10" i="2"/>
  <c r="S12" i="2"/>
  <c r="S20" i="2"/>
  <c r="R47" i="2"/>
  <c r="R67" i="2"/>
  <c r="R91" i="2"/>
  <c r="R150" i="2"/>
  <c r="R188" i="2"/>
  <c r="S11" i="2"/>
  <c r="S15" i="2"/>
  <c r="S19" i="2"/>
  <c r="S23" i="2"/>
  <c r="S27" i="2"/>
  <c r="S31" i="2"/>
  <c r="R35" i="2"/>
  <c r="R39" i="2"/>
  <c r="R43" i="2"/>
  <c r="R197" i="2"/>
  <c r="R187" i="2"/>
  <c r="S191" i="2"/>
  <c r="R191" i="2"/>
  <c r="R196" i="2"/>
  <c r="R154" i="2"/>
  <c r="R158" i="2"/>
  <c r="R162" i="2"/>
  <c r="R166" i="2"/>
  <c r="R170" i="2"/>
  <c r="R174" i="2"/>
  <c r="R178" i="2"/>
  <c r="R182" i="2"/>
  <c r="R186" i="2"/>
  <c r="R190" i="2"/>
  <c r="S195" i="2"/>
  <c r="R195" i="2"/>
  <c r="R200" i="2"/>
  <c r="S5" i="2"/>
  <c r="S9" i="2"/>
  <c r="S13" i="2"/>
  <c r="S17" i="2"/>
  <c r="S21" i="2"/>
  <c r="R25" i="2"/>
  <c r="R29" i="2"/>
  <c r="R33" i="2"/>
  <c r="R37" i="2"/>
  <c r="R41" i="2"/>
  <c r="S45" i="2"/>
  <c r="R45" i="2"/>
  <c r="R199" i="2"/>
  <c r="R49" i="2"/>
  <c r="S53" i="2"/>
  <c r="R57" i="2"/>
  <c r="S61" i="2"/>
  <c r="S69" i="2"/>
  <c r="S77" i="2"/>
  <c r="S85" i="2"/>
  <c r="S93" i="2"/>
  <c r="S101" i="2"/>
  <c r="S109" i="2"/>
  <c r="R141" i="2"/>
  <c r="R145" i="2"/>
  <c r="R149" i="2"/>
  <c r="R153" i="2"/>
  <c r="R157" i="2"/>
  <c r="R161" i="2"/>
  <c r="R165" i="2"/>
  <c r="R169" i="2"/>
  <c r="R173" i="2"/>
  <c r="R177" i="2"/>
  <c r="R181" i="2"/>
  <c r="R185" i="2"/>
  <c r="R189" i="2"/>
  <c r="R194" i="2"/>
  <c r="R24" i="2"/>
  <c r="S28" i="2"/>
  <c r="S32" i="2"/>
  <c r="S36" i="2"/>
  <c r="S40" i="2"/>
  <c r="R44" i="2"/>
  <c r="R193" i="2"/>
  <c r="S198" i="2"/>
  <c r="R198" i="2"/>
  <c r="Z201" i="2"/>
  <c r="R62" i="2"/>
  <c r="R70" i="2"/>
  <c r="R78" i="2"/>
  <c r="R102" i="2"/>
  <c r="R131" i="2"/>
  <c r="S131" i="2"/>
  <c r="S52" i="2"/>
  <c r="S92" i="2"/>
  <c r="S100" i="2"/>
  <c r="R3" i="2"/>
  <c r="R5" i="2"/>
  <c r="R7" i="2"/>
  <c r="R10" i="2"/>
  <c r="R11" i="2"/>
  <c r="R13" i="2"/>
  <c r="R18" i="2"/>
  <c r="R19" i="2"/>
  <c r="R32" i="2"/>
  <c r="R34" i="2"/>
  <c r="R36" i="2"/>
  <c r="R38" i="2"/>
  <c r="R40" i="2"/>
  <c r="R42" i="2"/>
  <c r="S59" i="2"/>
  <c r="S75" i="2"/>
  <c r="R130" i="2"/>
  <c r="S130" i="2"/>
  <c r="S14" i="2"/>
  <c r="S16" i="2"/>
  <c r="S29" i="2"/>
  <c r="S30" i="2"/>
  <c r="S33" i="2"/>
  <c r="S35" i="2"/>
  <c r="S37" i="2"/>
  <c r="S39" i="2"/>
  <c r="S41" i="2"/>
  <c r="S43" i="2"/>
  <c r="S44" i="2"/>
  <c r="S46" i="2"/>
  <c r="S47" i="2"/>
  <c r="S48" i="2"/>
  <c r="S49" i="2"/>
  <c r="S50" i="2"/>
  <c r="S58" i="2"/>
  <c r="R58" i="2"/>
  <c r="S66" i="2"/>
  <c r="R66" i="2"/>
  <c r="S74" i="2"/>
  <c r="R74" i="2"/>
  <c r="S82" i="2"/>
  <c r="R82" i="2"/>
  <c r="S90" i="2"/>
  <c r="R90" i="2"/>
  <c r="S98" i="2"/>
  <c r="R98" i="2"/>
  <c r="S106" i="2"/>
  <c r="R106" i="2"/>
  <c r="R94" i="2"/>
  <c r="R110" i="2"/>
  <c r="R53" i="2"/>
  <c r="R61" i="2"/>
  <c r="R69" i="2"/>
  <c r="R77" i="2"/>
  <c r="R93" i="2"/>
  <c r="R101" i="2"/>
  <c r="R115" i="2"/>
  <c r="S115" i="2"/>
  <c r="R123" i="2"/>
  <c r="S123" i="2"/>
  <c r="R127" i="2"/>
  <c r="S127" i="2"/>
  <c r="R139" i="2"/>
  <c r="S139" i="2"/>
  <c r="S51" i="2"/>
  <c r="R52" i="2"/>
  <c r="S68" i="2"/>
  <c r="S84" i="2"/>
  <c r="R84" i="2"/>
  <c r="R92" i="2"/>
  <c r="R100" i="2"/>
  <c r="R4" i="2"/>
  <c r="R9" i="2"/>
  <c r="R15" i="2"/>
  <c r="R17" i="2"/>
  <c r="R20" i="2"/>
  <c r="R22" i="2"/>
  <c r="R26" i="2"/>
  <c r="R27" i="2"/>
  <c r="R31" i="2"/>
  <c r="R51" i="2"/>
  <c r="R59" i="2"/>
  <c r="S83" i="2"/>
  <c r="R83" i="2"/>
  <c r="S99" i="2"/>
  <c r="R99" i="2"/>
  <c r="R118" i="2"/>
  <c r="S118" i="2"/>
  <c r="R126" i="2"/>
  <c r="S126" i="2"/>
  <c r="R138" i="2"/>
  <c r="S138" i="2"/>
  <c r="S4" i="2"/>
  <c r="S6" i="2"/>
  <c r="S8" i="2"/>
  <c r="S24" i="2"/>
  <c r="S25" i="2"/>
  <c r="S73" i="2"/>
  <c r="R73" i="2"/>
  <c r="S81" i="2"/>
  <c r="R81" i="2"/>
  <c r="S89" i="2"/>
  <c r="R89" i="2"/>
  <c r="S97" i="2"/>
  <c r="R97" i="2"/>
  <c r="S105" i="2"/>
  <c r="R105" i="2"/>
  <c r="R113" i="2"/>
  <c r="S113" i="2"/>
  <c r="R117" i="2"/>
  <c r="S117" i="2"/>
  <c r="R121" i="2"/>
  <c r="S121" i="2"/>
  <c r="R125" i="2"/>
  <c r="S125" i="2"/>
  <c r="R129" i="2"/>
  <c r="S129" i="2"/>
  <c r="R133" i="2"/>
  <c r="S133" i="2"/>
  <c r="R137" i="2"/>
  <c r="S137" i="2"/>
  <c r="R54" i="2"/>
  <c r="R86" i="2"/>
  <c r="R85" i="2"/>
  <c r="R109" i="2"/>
  <c r="R119" i="2"/>
  <c r="S119" i="2"/>
  <c r="R135" i="2"/>
  <c r="S135" i="2"/>
  <c r="S60" i="2"/>
  <c r="S76" i="2"/>
  <c r="S108" i="2"/>
  <c r="R12" i="2"/>
  <c r="R21" i="2"/>
  <c r="R23" i="2"/>
  <c r="R28" i="2"/>
  <c r="S91" i="2"/>
  <c r="S107" i="2"/>
  <c r="R107" i="2"/>
  <c r="R114" i="2"/>
  <c r="S114" i="2"/>
  <c r="R122" i="2"/>
  <c r="S122" i="2"/>
  <c r="R134" i="2"/>
  <c r="S134" i="2"/>
  <c r="S57" i="2"/>
  <c r="S65" i="2"/>
  <c r="R65" i="2"/>
  <c r="R56" i="2"/>
  <c r="R64" i="2"/>
  <c r="R72" i="2"/>
  <c r="R80" i="2"/>
  <c r="R88" i="2"/>
  <c r="R96" i="2"/>
  <c r="R104" i="2"/>
  <c r="R112" i="2"/>
  <c r="S112" i="2"/>
  <c r="S67" i="2"/>
  <c r="R75" i="2"/>
  <c r="S55" i="2"/>
  <c r="R55" i="2"/>
  <c r="S63" i="2"/>
  <c r="R63" i="2"/>
  <c r="S71" i="2"/>
  <c r="R71" i="2"/>
  <c r="S79" i="2"/>
  <c r="R79" i="2"/>
  <c r="S87" i="2"/>
  <c r="R87" i="2"/>
  <c r="S95" i="2"/>
  <c r="R95" i="2"/>
  <c r="S103" i="2"/>
  <c r="R103" i="2"/>
  <c r="S111" i="2"/>
  <c r="R111" i="2"/>
  <c r="R116" i="2"/>
  <c r="S116" i="2"/>
  <c r="R120" i="2"/>
  <c r="S120" i="2"/>
  <c r="R124" i="2"/>
  <c r="S124" i="2"/>
  <c r="R128" i="2"/>
  <c r="S128" i="2"/>
  <c r="R132" i="2"/>
  <c r="S132" i="2"/>
  <c r="R136" i="2"/>
  <c r="S136" i="2"/>
  <c r="S196" i="2"/>
  <c r="S197" i="2"/>
  <c r="S141" i="2"/>
  <c r="S144" i="2"/>
  <c r="S145" i="2"/>
  <c r="S148" i="2"/>
  <c r="S153" i="2"/>
  <c r="S154" i="2"/>
  <c r="S155" i="2"/>
  <c r="S157" i="2"/>
  <c r="S158" i="2"/>
  <c r="S166" i="2"/>
  <c r="S167" i="2"/>
  <c r="S168" i="2"/>
  <c r="S169" i="2"/>
  <c r="S171" i="2"/>
  <c r="S175" i="2"/>
  <c r="S177" i="2"/>
  <c r="S180" i="2"/>
  <c r="S199" i="2"/>
  <c r="S140" i="2"/>
  <c r="S142" i="2"/>
  <c r="S143" i="2"/>
  <c r="S146" i="2"/>
  <c r="S147" i="2"/>
  <c r="S149" i="2"/>
  <c r="S150" i="2"/>
  <c r="S151" i="2"/>
  <c r="S152" i="2"/>
  <c r="S156" i="2"/>
  <c r="S159" i="2"/>
  <c r="S160" i="2"/>
  <c r="S161" i="2"/>
  <c r="S162" i="2"/>
  <c r="S163" i="2"/>
  <c r="S164" i="2"/>
  <c r="S165" i="2"/>
  <c r="S170" i="2"/>
  <c r="S172" i="2"/>
  <c r="S173" i="2"/>
  <c r="S174" i="2"/>
  <c r="S176" i="2"/>
  <c r="S178" i="2"/>
  <c r="S179" i="2"/>
  <c r="S181" i="2"/>
  <c r="S182" i="2"/>
  <c r="S183" i="2"/>
  <c r="S184" i="2"/>
  <c r="S185" i="2"/>
  <c r="S186" i="2"/>
  <c r="S187" i="2"/>
  <c r="S188" i="2"/>
  <c r="S189" i="2"/>
  <c r="S190" i="2"/>
  <c r="S193" i="2"/>
  <c r="S194" i="2"/>
  <c r="S200" i="2"/>
</calcChain>
</file>

<file path=xl/sharedStrings.xml><?xml version="1.0" encoding="utf-8"?>
<sst xmlns="http://schemas.openxmlformats.org/spreadsheetml/2006/main" count="123" uniqueCount="100">
  <si>
    <t>Ticker</t>
  </si>
  <si>
    <t>Value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</si>
  <si>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</si>
  <si>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</si>
  <si>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</si>
  <si>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</si>
  <si>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</si>
  <si>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</si>
  <si>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</si>
  <si>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</si>
  <si>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</si>
  <si>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</si>
  <si>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</si>
  <si>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</si>
  <si>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</si>
  <si>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</si>
  <si>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</si>
  <si>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</si>
  <si>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</si>
  <si>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</si>
  <si>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</si>
  <si>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</si>
  <si>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</si>
  <si>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</si>
  <si>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</si>
  <si>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</si>
  <si>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</si>
  <si>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</si>
  <si>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</si>
  <si>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</si>
  <si>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</si>
  <si>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</si>
  <si>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</si>
  <si>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</si>
  <si>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</si>
  <si>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</si>
  <si>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</si>
  <si>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</si>
  <si>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</si>
  <si>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</si>
  <si>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</si>
  <si>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</si>
  <si>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</si>
  <si>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</si>
  <si>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include_15_18_21m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</si>
  <si>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</si>
  <si>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</si>
  <si>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</si>
  <si>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</si>
  <si>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</si>
  <si>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</si>
  <si>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</si>
  <si>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</si>
  <si>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</si>
  <si>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</si>
  <si>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</si>
  <si>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</si>
  <si>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</si>
  <si>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</si>
  <si>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float dcf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</si>
  <si>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</si>
  <si>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</si>
  <si>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</si>
  <si>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</si>
  <si>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</si>
  <si>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</si>
  <si>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</si>
  <si>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</si>
  <si>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2y</t>
  </si>
  <si>
    <t>PA</t>
  </si>
  <si>
    <t>act/365fixed</t>
  </si>
  <si>
    <t>JSCC</t>
  </si>
  <si>
    <t>STD</t>
  </si>
  <si>
    <t>PAY</t>
  </si>
  <si>
    <t>5y</t>
  </si>
  <si>
    <t>10y</t>
  </si>
  <si>
    <t>TOTAL</t>
  </si>
  <si>
    <t>2Y</t>
  </si>
  <si>
    <t>2s10s Curve</t>
  </si>
  <si>
    <t>Date</t>
  </si>
  <si>
    <t>Spread</t>
  </si>
  <si>
    <t>2s5s10s Fly</t>
  </si>
  <si>
    <t>Fly</t>
  </si>
  <si>
    <t>RealTimeValue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</si>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</sst>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5" x14ac:knownFonts="1">
    <font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4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176" fontId="0" fillId="0" borderId="0" xfId="6" applyNumberFormat="1" applyFont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tabSelected="1" workbookViewId="0">
      <selection activeCell="F8" sqref="F8"/>
    </sheetView>
  </sheetViews>
  <sheetFormatPr defaultRowHeight="14" x14ac:dyDescent="0.2"/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</row>
    <row r="3" spans="1:2" x14ac:dyDescent="0.2">
      <c r="A3" t="s">
        <v>3</v>
      </c>
      <c r="B3">
        <v>0.9788</v>
      </c>
    </row>
    <row r="4" spans="1:2" x14ac:dyDescent="0.2">
      <c r="A4" t="s">
        <v>4</v>
      </c>
      <c r="B4">
        <v>0.97924999999999995</v>
      </c>
    </row>
    <row r="5" spans="1:2" x14ac:dyDescent="0.2">
      <c r="A5" t="s">
        <v>5</v>
      </c>
      <c r="B5">
        <v>1.0298400000000001</v>
      </c>
    </row>
    <row r="6" spans="1:2" x14ac:dyDescent="0.2">
      <c r="A6" t="s">
        <v>6</v>
      </c>
      <c r="B6">
        <v>1.075</v>
      </c>
    </row>
    <row r="7" spans="1:2" x14ac:dyDescent="0.2">
      <c r="A7" t="s">
        <v>7</v>
      </c>
      <c r="B7">
        <v>1.1150599999999999</v>
      </c>
    </row>
    <row r="8" spans="1:2" x14ac:dyDescent="0.2">
      <c r="A8" t="s">
        <v>8</v>
      </c>
      <c r="B8">
        <v>1.15455</v>
      </c>
    </row>
    <row r="9" spans="1:2" x14ac:dyDescent="0.2">
      <c r="A9" t="s">
        <v>9</v>
      </c>
      <c r="B9">
        <v>1.1937</v>
      </c>
    </row>
    <row r="10" spans="1:2" x14ac:dyDescent="0.2">
      <c r="A10" t="s">
        <v>10</v>
      </c>
      <c r="B10">
        <v>1.2267600000000001</v>
      </c>
    </row>
    <row r="11" spans="1:2" x14ac:dyDescent="0.2">
      <c r="A11" t="s">
        <v>11</v>
      </c>
      <c r="B11">
        <v>1.26125</v>
      </c>
    </row>
    <row r="12" spans="1:2" x14ac:dyDescent="0.2">
      <c r="A12" t="s">
        <v>12</v>
      </c>
      <c r="B12">
        <v>1.2945</v>
      </c>
    </row>
    <row r="13" spans="1:2" x14ac:dyDescent="0.2">
      <c r="A13" t="s">
        <v>13</v>
      </c>
      <c r="B13">
        <v>1.329</v>
      </c>
    </row>
    <row r="14" spans="1:2" x14ac:dyDescent="0.2">
      <c r="A14" t="s">
        <v>14</v>
      </c>
      <c r="B14">
        <v>1.3586100000000001</v>
      </c>
    </row>
    <row r="15" spans="1:2" x14ac:dyDescent="0.2">
      <c r="A15" t="s">
        <v>15</v>
      </c>
      <c r="B15">
        <v>1.3876299999999999</v>
      </c>
    </row>
    <row r="16" spans="1:2" x14ac:dyDescent="0.2">
      <c r="A16" t="s">
        <v>16</v>
      </c>
      <c r="B16">
        <v>1.4628099999999999</v>
      </c>
    </row>
    <row r="17" spans="1:2" x14ac:dyDescent="0.2">
      <c r="A17" t="s">
        <v>17</v>
      </c>
      <c r="B17">
        <v>1.53125</v>
      </c>
    </row>
    <row r="18" spans="1:2" x14ac:dyDescent="0.2">
      <c r="A18" t="s">
        <v>18</v>
      </c>
    </row>
    <row r="19" spans="1:2" x14ac:dyDescent="0.2">
      <c r="A19" t="s">
        <v>19</v>
      </c>
      <c r="B19">
        <v>1.6512500000000001</v>
      </c>
    </row>
    <row r="20" spans="1:2" x14ac:dyDescent="0.2">
      <c r="A20" t="s">
        <v>20</v>
      </c>
      <c r="B20">
        <v>1.82542</v>
      </c>
    </row>
    <row r="21" spans="1:2" x14ac:dyDescent="0.2">
      <c r="A21" t="s">
        <v>21</v>
      </c>
      <c r="B21">
        <v>1.97058</v>
      </c>
    </row>
    <row r="22" spans="1:2" x14ac:dyDescent="0.2">
      <c r="A22" t="s">
        <v>22</v>
      </c>
      <c r="B22">
        <v>2.1030799999999998</v>
      </c>
    </row>
    <row r="23" spans="1:2" x14ac:dyDescent="0.2">
      <c r="A23" t="s">
        <v>23</v>
      </c>
      <c r="B23">
        <v>2.2254200000000002</v>
      </c>
    </row>
    <row r="24" spans="1:2" x14ac:dyDescent="0.2">
      <c r="A24" t="s">
        <v>24</v>
      </c>
      <c r="B24">
        <v>2.34192</v>
      </c>
    </row>
    <row r="25" spans="1:2" x14ac:dyDescent="0.2">
      <c r="A25" t="s">
        <v>25</v>
      </c>
      <c r="B25">
        <v>2.4530799999999999</v>
      </c>
    </row>
    <row r="26" spans="1:2" x14ac:dyDescent="0.2">
      <c r="A26" t="s">
        <v>26</v>
      </c>
      <c r="B26">
        <v>2.5583800000000001</v>
      </c>
    </row>
    <row r="27" spans="1:2" x14ac:dyDescent="0.2">
      <c r="A27" t="s">
        <v>27</v>
      </c>
      <c r="B27">
        <v>2.6567599999999998</v>
      </c>
    </row>
    <row r="28" spans="1:2" x14ac:dyDescent="0.2">
      <c r="A28" t="s">
        <v>28</v>
      </c>
      <c r="B28">
        <v>2.7483300000000002</v>
      </c>
    </row>
    <row r="29" spans="1:2" x14ac:dyDescent="0.2">
      <c r="A29" t="s">
        <v>29</v>
      </c>
      <c r="B29">
        <v>2.8319200000000002</v>
      </c>
    </row>
    <row r="30" spans="1:2" x14ac:dyDescent="0.2">
      <c r="A30" t="s">
        <v>30</v>
      </c>
      <c r="B30">
        <v>3.0447799999999998</v>
      </c>
    </row>
    <row r="31" spans="1:2" x14ac:dyDescent="0.2">
      <c r="A31" t="s">
        <v>31</v>
      </c>
      <c r="B31">
        <v>3.2966899999999999</v>
      </c>
    </row>
    <row r="32" spans="1:2" x14ac:dyDescent="0.2">
      <c r="A32" t="s">
        <v>32</v>
      </c>
      <c r="B32">
        <v>3.4275000000000002</v>
      </c>
    </row>
    <row r="33" spans="1:2" x14ac:dyDescent="0.2">
      <c r="A33" t="s">
        <v>33</v>
      </c>
      <c r="B33">
        <v>3.48211</v>
      </c>
    </row>
    <row r="34" spans="1:2" x14ac:dyDescent="0.2">
      <c r="A34" t="s">
        <v>34</v>
      </c>
      <c r="B34">
        <v>3.49688</v>
      </c>
    </row>
    <row r="35" spans="1:2" x14ac:dyDescent="0.2">
      <c r="A35" t="s">
        <v>35</v>
      </c>
      <c r="B35">
        <v>3.4909400000000002</v>
      </c>
    </row>
    <row r="36" spans="1:2" x14ac:dyDescent="0.2">
      <c r="A36" t="s">
        <v>36</v>
      </c>
    </row>
    <row r="37" spans="1:2" x14ac:dyDescent="0.2">
      <c r="A37" t="s">
        <v>37</v>
      </c>
    </row>
    <row r="38" spans="1:2" x14ac:dyDescent="0.2">
      <c r="A38" t="s">
        <v>38</v>
      </c>
    </row>
    <row r="39" spans="1:2" x14ac:dyDescent="0.2">
      <c r="A39" t="s">
        <v>39</v>
      </c>
    </row>
    <row r="40" spans="1:2" x14ac:dyDescent="0.2">
      <c r="A40" t="s">
        <v>40</v>
      </c>
    </row>
    <row r="41" spans="1:2" x14ac:dyDescent="0.2">
      <c r="A41" t="s">
        <v>41</v>
      </c>
    </row>
    <row r="42" spans="1:2" x14ac:dyDescent="0.2">
      <c r="A42" t="s">
        <v>42</v>
      </c>
    </row>
    <row r="43" spans="1:2" x14ac:dyDescent="0.2">
      <c r="A43" t="s">
        <v>43</v>
      </c>
    </row>
    <row r="45" spans="1:2" x14ac:dyDescent="0.2">
      <c r="A45" t="s">
        <v>44</v>
      </c>
      <c r="B45" t="b">
        <v>0</v>
      </c>
    </row>
  </sheetData>
  <phoneticPr fontId="4"/>
  <dataValidations count="1">
    <dataValidation type="list" sqref="B44" xr:uid="{00000000-0002-0000-0000-000000000000}">
      <formula1>"TRUE,FALSE"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M201"/>
  <sheetViews>
    <sheetView workbookViewId="0"/>
  </sheetViews>
  <sheetFormatPr defaultRowHeight="14" x14ac:dyDescent="0.2"/>
  <cols>
    <col min="3" max="3" width="13" customWidth="1"/>
    <col min="6" max="6" width="9.4140625" customWidth="1"/>
  </cols>
  <sheetData>
    <row r="1" spans="1:26" x14ac:dyDescent="0.2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49</v>
      </c>
      <c r="W1" t="s">
        <v>66</v>
      </c>
      <c r="Z1" t="str">
        <f ca="1">INDEX(BucketedDelta($G2,$H2,$I2,$K2,$L2,$N2,$O2,$P2,$D2,$T2,$J2,RealTime!$A$2:$B$43,TODAY(),TRUE),1,0)</f>
        <v>オブジェクトが必要です。</v>
      </c>
    </row>
    <row r="2" spans="1:26" x14ac:dyDescent="0.2">
      <c r="A2">
        <v>1</v>
      </c>
      <c r="B2">
        <v>0</v>
      </c>
      <c r="C2" t="s">
        <v>67</v>
      </c>
      <c r="D2">
        <v>1000000000</v>
      </c>
      <c r="F2" t="str">
        <f ca="1">IF($E2="","",NotionalForDelta($E2,$G2,$H2,$I2,$K2,$L2,$N2,$O2,$P2,$T2,RealTime!$A$2:$B$43,TODAY()))</f>
        <v/>
      </c>
      <c r="G2" s="3">
        <v>46233</v>
      </c>
      <c r="H2" t="s">
        <v>68</v>
      </c>
      <c r="I2" s="3">
        <v>46965</v>
      </c>
      <c r="K2" t="s">
        <v>69</v>
      </c>
      <c r="L2" t="s">
        <v>70</v>
      </c>
      <c r="M2" t="s">
        <v>71</v>
      </c>
      <c r="N2" t="s">
        <v>69</v>
      </c>
      <c r="O2" t="s">
        <v>70</v>
      </c>
      <c r="P2" t="s">
        <v>72</v>
      </c>
      <c r="Q2" t="str">
        <f ca="1">FairRate($G2,$H2,$I2,$K2,$L2,$N2,$O2,$P2,RealTime!$A$2:$B$43,TODAY())</f>
        <v>オブジェクトが必要です。</v>
      </c>
      <c r="R2" t="str">
        <f t="shared" ref="R2:R33" si="0">IF(ISNUMBER(Q1),Q2-Q1,"")</f>
        <v/>
      </c>
      <c r="S2" t="str">
        <f t="shared" ref="S2:S33" ca="1" si="1">IF(AND(ISNUMBER(Q1),ISNUMBER(Q3)),2*Q2-Q1-Q3,"")</f>
        <v/>
      </c>
      <c r="T2" t="s">
        <v>73</v>
      </c>
      <c r="U2" t="str">
        <f ca="1">SwapPV($G2,$H2,$I2,$K2,$L2,$N2,$O2,$P2,$D2,$T2,$J2,RealTime!$A$2:$B$43,TODAY())</f>
        <v>オブジェクトが必要です。</v>
      </c>
      <c r="V2" t="str">
        <f ca="1">SwapDelta($G2,$H2,$I2,$K2,$L2,$N2,$O2,$P2,$D2,$T2,$J2,RealTime!$A$2:$B$43,TODAY())</f>
        <v>オブジェクトが必要です。</v>
      </c>
      <c r="W2" t="str">
        <f ca="1">SwapAnnuityDelta($G2,$H2,$I2,$K2,$L2,$N2,$O2,$P2,$D2,$T2,RealTime!$A$2:$B$43,TODAY())</f>
        <v>オブジェクトが必要です。</v>
      </c>
      <c r="Z2" t="str">
        <f ca="1">IF($B2=1,BucketedDelta($G2,$H2,$I2,$K2,$L2,$N2,$O2,$P2,$D2,$T2,$J2,RealTime!$A$2:$B$43,TODAY(),FALSE),"")</f>
        <v/>
      </c>
    </row>
    <row r="3" spans="1:26" x14ac:dyDescent="0.2">
      <c r="A3">
        <v>1</v>
      </c>
      <c r="B3">
        <v>0</v>
      </c>
      <c r="C3" t="s">
        <v>67</v>
      </c>
      <c r="D3">
        <v>1000000000</v>
      </c>
      <c r="F3" t="str">
        <f ca="1">IF($E3="","",NotionalForDelta($E3,$G3,$H3,$I3,$K3,$L3,$N3,$O3,$P3,$T3,RealTime!$A$2:$B$43,TODAY()))</f>
        <v/>
      </c>
      <c r="G3" s="3">
        <v>46233</v>
      </c>
      <c r="H3" t="s">
        <v>74</v>
      </c>
      <c r="I3" s="3">
        <v>48059</v>
      </c>
      <c r="K3" t="s">
        <v>69</v>
      </c>
      <c r="L3" t="s">
        <v>70</v>
      </c>
      <c r="M3" t="s">
        <v>71</v>
      </c>
      <c r="N3" t="s">
        <v>69</v>
      </c>
      <c r="O3" t="s">
        <v>70</v>
      </c>
      <c r="P3" t="s">
        <v>72</v>
      </c>
      <c r="Q3" t="str">
        <f ca="1">FairRate($G3,$H3,$I3,$K3,$L3,$N3,$O3,$P3,RealTime!$A$2:$B$43,TODAY())</f>
        <v>オブジェクトが必要です。</v>
      </c>
      <c r="R3" t="str">
        <f t="shared" ca="1" si="0"/>
        <v/>
      </c>
      <c r="S3" t="str">
        <f t="shared" ca="1" si="1"/>
        <v/>
      </c>
      <c r="T3" t="s">
        <v>73</v>
      </c>
      <c r="U3" t="str">
        <f ca="1">SwapPV($G3,$H3,$I3,$K3,$L3,$N3,$O3,$P3,$D3,$T3,$J3,RealTime!$A$2:$B$43,TODAY())</f>
        <v>オブジェクトが必要です。</v>
      </c>
      <c r="V3" t="str">
        <f ca="1">SwapDelta($G3,$H3,$I3,$K3,$L3,$N3,$O3,$P3,$D3,$T3,$J3,RealTime!$A$2:$B$43,TODAY())</f>
        <v>オブジェクトが必要です。</v>
      </c>
      <c r="W3" t="str">
        <f ca="1">SwapAnnuityDelta($G3,$H3,$I3,$K3,$L3,$N3,$O3,$P3,$D3,$T3,RealTime!$A$2:$B$43,TODAY())</f>
        <v>オブジェクトが必要です。</v>
      </c>
      <c r="Z3" t="str">
        <f ca="1">IF($B3=1,BucketedDelta($G3,$H3,$I3,$K3,$L3,$N3,$O3,$P3,$D3,$T3,$J3,RealTime!$A$2:$B$43,TODAY(),FALSE),"")</f>
        <v/>
      </c>
    </row>
    <row r="4" spans="1:26" x14ac:dyDescent="0.2">
      <c r="A4">
        <v>1</v>
      </c>
      <c r="B4">
        <v>0</v>
      </c>
      <c r="C4" t="s">
        <v>67</v>
      </c>
      <c r="D4">
        <v>1000000000</v>
      </c>
      <c r="F4" t="str">
        <f ca="1">IF($E4="","",NotionalForDelta($E4,$G4,$H4,$I4,$K4,$L4,$N4,$O4,$P4,$T4,RealTime!$A$2:$B$43,TODAY()))</f>
        <v/>
      </c>
      <c r="G4" s="3">
        <v>46233</v>
      </c>
      <c r="H4" t="s">
        <v>75</v>
      </c>
      <c r="I4" s="3">
        <v>49886</v>
      </c>
      <c r="K4" t="s">
        <v>69</v>
      </c>
      <c r="L4" t="s">
        <v>70</v>
      </c>
      <c r="M4" t="s">
        <v>71</v>
      </c>
      <c r="N4" t="s">
        <v>69</v>
      </c>
      <c r="O4" t="s">
        <v>70</v>
      </c>
      <c r="P4" t="s">
        <v>72</v>
      </c>
      <c r="Q4" t="str">
        <f ca="1">FairRate($G4,$H4,$I4,$K4,$L4,$N4,$O4,$P4,RealTime!$A$2:$B$43,TODAY())</f>
        <v>オブジェクトが必要です。</v>
      </c>
      <c r="R4" t="str">
        <f t="shared" ca="1" si="0"/>
        <v/>
      </c>
      <c r="S4" t="str">
        <f t="shared" ca="1" si="1"/>
        <v/>
      </c>
      <c r="T4" t="s">
        <v>73</v>
      </c>
      <c r="U4" t="str">
        <f ca="1">SwapPV($G4,$H4,$I4,$K4,$L4,$N4,$O4,$P4,$D4,$T4,$J4,RealTime!$A$2:$B$43,TODAY())</f>
        <v>オブジェクトが必要です。</v>
      </c>
      <c r="V4" t="str">
        <f ca="1">SwapDelta($G4,$H4,$I4,$K4,$L4,$N4,$O4,$P4,$D4,$T4,$J4,RealTime!$A$2:$B$43,TODAY())</f>
        <v>オブジェクトが必要です。</v>
      </c>
      <c r="W4" t="str">
        <f ca="1">SwapAnnuityDelta($G4,$H4,$I4,$K4,$L4,$N4,$O4,$P4,$D4,$T4,RealTime!$A$2:$B$43,TODAY())</f>
        <v>オブジェクトが必要です。</v>
      </c>
      <c r="Z4" t="str">
        <f ca="1">IF($B4=1,BucketedDelta($G4,$H4,$I4,$K4,$L4,$N4,$O4,$P4,$D4,$T4,$J4,RealTime!$A$2:$B$43,TODAY(),FALSE),"")</f>
        <v/>
      </c>
    </row>
    <row r="5" spans="1:26" x14ac:dyDescent="0.2">
      <c r="F5" t="str">
        <f ca="1">IF($E5="","",NotionalForDelta($E5,$G5,$H5,$I5,$K5,$L5,$N5,$O5,$P5,$T5,RealTime!$A$2:$B$43,TODAY()))</f>
        <v/>
      </c>
      <c r="Q5" t="str">
        <f ca="1">FairRate($G5,$H5,$I5,$K5,$L5,$N5,$O5,$P5,RealTime!$A$2:$B$43,TODAY())</f>
        <v>オブジェクトが必要です。</v>
      </c>
      <c r="R5" t="str">
        <f t="shared" ca="1" si="0"/>
        <v/>
      </c>
      <c r="S5" t="str">
        <f t="shared" ca="1" si="1"/>
        <v/>
      </c>
      <c r="U5" t="str">
        <f ca="1">SwapPV($G5,$H5,$I5,$K5,$L5,$N5,$O5,$P5,$D5,$T5,$J5,RealTime!$A$2:$B$43,TODAY())</f>
        <v>オブジェクトが必要です。</v>
      </c>
      <c r="V5" t="str">
        <f ca="1">SwapDelta($G5,$H5,$I5,$K5,$L5,$N5,$O5,$P5,$D5,$T5,$J5,RealTime!$A$2:$B$43,TODAY())</f>
        <v>オブジェクトが必要です。</v>
      </c>
      <c r="W5" t="str">
        <f ca="1">SwapAnnuityDelta($G5,$H5,$I5,$K5,$L5,$N5,$O5,$P5,$D5,$T5,RealTime!$A$2:$B$43,TODAY())</f>
        <v>オブジェクトが必要です。</v>
      </c>
      <c r="Z5" t="str">
        <f ca="1">IF($B5=1,BucketedDelta($G5,$H5,$I5,$K5,$L5,$N5,$O5,$P5,$D5,$T5,$J5,RealTime!$A$2:$B$43,TODAY(),FALSE),"")</f>
        <v/>
      </c>
    </row>
    <row r="6" spans="1:26" x14ac:dyDescent="0.2">
      <c r="F6" t="str">
        <f ca="1">IF($E6="","",NotionalForDelta($E6,$G6,$H6,$I6,$K6,$L6,$N6,$O6,$P6,$T6,RealTime!$A$2:$B$43,TODAY()))</f>
        <v/>
      </c>
      <c r="Q6" t="str">
        <f ca="1">FairRate($G6,$H6,$I6,$K6,$L6,$N6,$O6,$P6,RealTime!$A$2:$B$43,TODAY())</f>
        <v>オブジェクトが必要です。</v>
      </c>
      <c r="R6" t="str">
        <f t="shared" ca="1" si="0"/>
        <v/>
      </c>
      <c r="S6" t="str">
        <f t="shared" ca="1" si="1"/>
        <v/>
      </c>
      <c r="U6" t="str">
        <f ca="1">SwapPV($G6,$H6,$I6,$K6,$L6,$N6,$O6,$P6,$D6,$T6,$J6,RealTime!$A$2:$B$43,TODAY())</f>
        <v>オブジェクトが必要です。</v>
      </c>
      <c r="V6" t="str">
        <f ca="1">SwapDelta($G6,$H6,$I6,$K6,$L6,$N6,$O6,$P6,$D6,$T6,$J6,RealTime!$A$2:$B$43,TODAY())</f>
        <v>オブジェクトが必要です。</v>
      </c>
      <c r="W6" t="str">
        <f ca="1">SwapAnnuityDelta($G6,$H6,$I6,$K6,$L6,$N6,$O6,$P6,$D6,$T6,RealTime!$A$2:$B$43,TODAY())</f>
        <v>オブジェクトが必要です。</v>
      </c>
      <c r="Z6" t="str">
        <f ca="1">IF($B6=1,BucketedDelta($G6,$H6,$I6,$K6,$L6,$N6,$O6,$P6,$D6,$T6,$J6,RealTime!$A$2:$B$43,TODAY(),FALSE),"")</f>
        <v/>
      </c>
    </row>
    <row r="7" spans="1:26" x14ac:dyDescent="0.2">
      <c r="F7" t="str">
        <f ca="1">IF($E7="","",NotionalForDelta($E7,$G7,$H7,$I7,$K7,$L7,$N7,$O7,$P7,$T7,RealTime!$A$2:$B$43,TODAY()))</f>
        <v/>
      </c>
      <c r="Q7" t="str">
        <f ca="1">FairRate($G7,$H7,$I7,$K7,$L7,$N7,$O7,$P7,RealTime!$A$2:$B$43,TODAY())</f>
        <v>オブジェクトが必要です。</v>
      </c>
      <c r="R7" t="str">
        <f t="shared" ca="1" si="0"/>
        <v/>
      </c>
      <c r="S7" t="str">
        <f t="shared" ca="1" si="1"/>
        <v/>
      </c>
      <c r="U7" t="str">
        <f ca="1">SwapPV($G7,$H7,$I7,$K7,$L7,$N7,$O7,$P7,$D7,$T7,$J7,RealTime!$A$2:$B$43,TODAY())</f>
        <v>オブジェクトが必要です。</v>
      </c>
      <c r="V7" t="str">
        <f ca="1">SwapDelta($G7,$H7,$I7,$K7,$L7,$N7,$O7,$P7,$D7,$T7,$J7,RealTime!$A$2:$B$43,TODAY())</f>
        <v>オブジェクトが必要です。</v>
      </c>
      <c r="W7" t="str">
        <f ca="1">SwapAnnuityDelta($G7,$H7,$I7,$K7,$L7,$N7,$O7,$P7,$D7,$T7,RealTime!$A$2:$B$43,TODAY())</f>
        <v>オブジェクトが必要です。</v>
      </c>
      <c r="Z7" t="str">
        <f ca="1">IF($B7=1,BucketedDelta($G7,$H7,$I7,$K7,$L7,$N7,$O7,$P7,$D7,$T7,$J7,RealTime!$A$2:$B$43,TODAY(),FALSE),"")</f>
        <v/>
      </c>
    </row>
    <row r="8" spans="1:26" x14ac:dyDescent="0.2">
      <c r="F8" t="str">
        <f ca="1">IF($E8="","",NotionalForDelta($E8,$G8,$H8,$I8,$K8,$L8,$N8,$O8,$P8,$T8,RealTime!$A$2:$B$43,TODAY()))</f>
        <v/>
      </c>
      <c r="Q8" t="str">
        <f ca="1">FairRate($G8,$H8,$I8,$K8,$L8,$N8,$O8,$P8,RealTime!$A$2:$B$43,TODAY())</f>
        <v>オブジェクトが必要です。</v>
      </c>
      <c r="R8" t="str">
        <f t="shared" ca="1" si="0"/>
        <v/>
      </c>
      <c r="S8" t="str">
        <f t="shared" ca="1" si="1"/>
        <v/>
      </c>
      <c r="U8" t="str">
        <f ca="1">SwapPV($G8,$H8,$I8,$K8,$L8,$N8,$O8,$P8,$D8,$T8,$J8,RealTime!$A$2:$B$43,TODAY())</f>
        <v>オブジェクトが必要です。</v>
      </c>
      <c r="V8" t="str">
        <f ca="1">SwapDelta($G8,$H8,$I8,$K8,$L8,$N8,$O8,$P8,$D8,$T8,$J8,RealTime!$A$2:$B$43,TODAY())</f>
        <v>オブジェクトが必要です。</v>
      </c>
      <c r="W8" t="str">
        <f ca="1">SwapAnnuityDelta($G8,$H8,$I8,$K8,$L8,$N8,$O8,$P8,$D8,$T8,RealTime!$A$2:$B$43,TODAY())</f>
        <v>オブジェクトが必要です。</v>
      </c>
      <c r="Z8" t="str">
        <f ca="1">IF($B8=1,BucketedDelta($G8,$H8,$I8,$K8,$L8,$N8,$O8,$P8,$D8,$T8,$J8,RealTime!$A$2:$B$43,TODAY(),FALSE),"")</f>
        <v/>
      </c>
    </row>
    <row r="9" spans="1:26" x14ac:dyDescent="0.2">
      <c r="F9" t="str">
        <f ca="1">IF($E9="","",NotionalForDelta($E9,$G9,$H9,$I9,$K9,$L9,$N9,$O9,$P9,$T9,RealTime!$A$2:$B$43,TODAY()))</f>
        <v/>
      </c>
      <c r="Q9" t="str">
        <f ca="1">FairRate($G9,$H9,$I9,$K9,$L9,$N9,$O9,$P9,RealTime!$A$2:$B$43,TODAY())</f>
        <v>オブジェクトが必要です。</v>
      </c>
      <c r="R9" t="str">
        <f t="shared" ca="1" si="0"/>
        <v/>
      </c>
      <c r="S9" t="str">
        <f t="shared" ca="1" si="1"/>
        <v/>
      </c>
      <c r="U9" t="str">
        <f ca="1">SwapPV($G9,$H9,$I9,$K9,$L9,$N9,$O9,$P9,$D9,$T9,$J9,RealTime!$A$2:$B$43,TODAY())</f>
        <v>オブジェクトが必要です。</v>
      </c>
      <c r="V9" t="str">
        <f ca="1">SwapDelta($G9,$H9,$I9,$K9,$L9,$N9,$O9,$P9,$D9,$T9,$J9,RealTime!$A$2:$B$43,TODAY())</f>
        <v>オブジェクトが必要です。</v>
      </c>
      <c r="W9" t="str">
        <f ca="1">SwapAnnuityDelta($G9,$H9,$I9,$K9,$L9,$N9,$O9,$P9,$D9,$T9,RealTime!$A$2:$B$43,TODAY())</f>
        <v>オブジェクトが必要です。</v>
      </c>
      <c r="Z9" t="str">
        <f ca="1">IF($B9=1,BucketedDelta($G9,$H9,$I9,$K9,$L9,$N9,$O9,$P9,$D9,$T9,$J9,RealTime!$A$2:$B$43,TODAY(),FALSE),"")</f>
        <v/>
      </c>
    </row>
    <row r="10" spans="1:26" x14ac:dyDescent="0.2">
      <c r="F10" t="str">
        <f ca="1">IF($E10="","",NotionalForDelta($E10,$G10,$H10,$I10,$K10,$L10,$N10,$O10,$P10,$T10,RealTime!$A$2:$B$43,TODAY()))</f>
        <v/>
      </c>
      <c r="Q10" t="str">
        <f ca="1">FairRate($G10,$H10,$I10,$K10,$L10,$N10,$O10,$P10,RealTime!$A$2:$B$43,TODAY())</f>
        <v>オブジェクトが必要です。</v>
      </c>
      <c r="R10" t="str">
        <f t="shared" ca="1" si="0"/>
        <v/>
      </c>
      <c r="S10" t="str">
        <f t="shared" ca="1" si="1"/>
        <v/>
      </c>
      <c r="U10" t="str">
        <f ca="1">SwapPV($G10,$H10,$I10,$K10,$L10,$N10,$O10,$P10,$D10,$T10,$J10,RealTime!$A$2:$B$43,TODAY())</f>
        <v>オブジェクトが必要です。</v>
      </c>
      <c r="V10" t="str">
        <f ca="1">SwapDelta($G10,$H10,$I10,$K10,$L10,$N10,$O10,$P10,$D10,$T10,$J10,RealTime!$A$2:$B$43,TODAY())</f>
        <v>オブジェクトが必要です。</v>
      </c>
      <c r="W10" t="str">
        <f ca="1">SwapAnnuityDelta($G10,$H10,$I10,$K10,$L10,$N10,$O10,$P10,$D10,$T10,RealTime!$A$2:$B$43,TODAY())</f>
        <v>オブジェクトが必要です。</v>
      </c>
      <c r="Z10" t="str">
        <f ca="1">IF($B10=1,BucketedDelta($G10,$H10,$I10,$K10,$L10,$N10,$O10,$P10,$D10,$T10,$J10,RealTime!$A$2:$B$43,TODAY(),FALSE),"")</f>
        <v/>
      </c>
    </row>
    <row r="11" spans="1:26" x14ac:dyDescent="0.2">
      <c r="F11" t="str">
        <f ca="1">IF($E11="","",NotionalForDelta($E11,$G11,$H11,$I11,$K11,$L11,$N11,$O11,$P11,$T11,RealTime!$A$2:$B$43,TODAY()))</f>
        <v/>
      </c>
      <c r="Q11" t="str">
        <f ca="1">FairRate($G11,$H11,$I11,$K11,$L11,$N11,$O11,$P11,RealTime!$A$2:$B$43,TODAY())</f>
        <v>オブジェクトが必要です。</v>
      </c>
      <c r="R11" t="str">
        <f t="shared" ca="1" si="0"/>
        <v/>
      </c>
      <c r="S11" t="str">
        <f t="shared" ca="1" si="1"/>
        <v/>
      </c>
      <c r="U11" t="str">
        <f ca="1">SwapPV($G11,$H11,$I11,$K11,$L11,$N11,$O11,$P11,$D11,$T11,$J11,RealTime!$A$2:$B$43,TODAY())</f>
        <v>オブジェクトが必要です。</v>
      </c>
      <c r="V11" t="str">
        <f ca="1">SwapDelta($G11,$H11,$I11,$K11,$L11,$N11,$O11,$P11,$D11,$T11,$J11,RealTime!$A$2:$B$43,TODAY())</f>
        <v>オブジェクトが必要です。</v>
      </c>
      <c r="W11" t="str">
        <f ca="1">SwapAnnuityDelta($G11,$H11,$I11,$K11,$L11,$N11,$O11,$P11,$D11,$T11,RealTime!$A$2:$B$43,TODAY())</f>
        <v>オブジェクトが必要です。</v>
      </c>
      <c r="Z11" t="str">
        <f ca="1">IF($B11=1,BucketedDelta($G11,$H11,$I11,$K11,$L11,$N11,$O11,$P11,$D11,$T11,$J11,RealTime!$A$2:$B$43,TODAY(),FALSE),"")</f>
        <v/>
      </c>
    </row>
    <row r="12" spans="1:26" x14ac:dyDescent="0.2">
      <c r="F12" t="str">
        <f ca="1">IF($E12="","",NotionalForDelta($E12,$G12,$H12,$I12,$K12,$L12,$N12,$O12,$P12,$T12,RealTime!$A$2:$B$43,TODAY()))</f>
        <v/>
      </c>
      <c r="Q12" t="str">
        <f ca="1">FairRate($G12,$H12,$I12,$K12,$L12,$N12,$O12,$P12,RealTime!$A$2:$B$43,TODAY())</f>
        <v>オブジェクトが必要です。</v>
      </c>
      <c r="R12" t="str">
        <f t="shared" ca="1" si="0"/>
        <v/>
      </c>
      <c r="S12" t="str">
        <f t="shared" ca="1" si="1"/>
        <v/>
      </c>
      <c r="U12" t="str">
        <f ca="1">SwapPV($G12,$H12,$I12,$K12,$L12,$N12,$O12,$P12,$D12,$T12,$J12,RealTime!$A$2:$B$43,TODAY())</f>
        <v>オブジェクトが必要です。</v>
      </c>
      <c r="V12" t="str">
        <f ca="1">SwapDelta($G12,$H12,$I12,$K12,$L12,$N12,$O12,$P12,$D12,$T12,$J12,RealTime!$A$2:$B$43,TODAY())</f>
        <v>オブジェクトが必要です。</v>
      </c>
      <c r="W12" t="str">
        <f ca="1">SwapAnnuityDelta($G12,$H12,$I12,$K12,$L12,$N12,$O12,$P12,$D12,$T12,RealTime!$A$2:$B$43,TODAY())</f>
        <v>オブジェクトが必要です。</v>
      </c>
      <c r="Z12" t="str">
        <f ca="1">IF($B12=1,BucketedDelta($G12,$H12,$I12,$K12,$L12,$N12,$O12,$P12,$D12,$T12,$J12,RealTime!$A$2:$B$43,TODAY(),FALSE),"")</f>
        <v/>
      </c>
    </row>
    <row r="13" spans="1:26" x14ac:dyDescent="0.2">
      <c r="F13" t="str">
        <f ca="1">IF($E13="","",NotionalForDelta($E13,$G13,$H13,$I13,$K13,$L13,$N13,$O13,$P13,$T13,RealTime!$A$2:$B$43,TODAY()))</f>
        <v/>
      </c>
      <c r="Q13" t="str">
        <f ca="1">FairRate($G13,$H13,$I13,$K13,$L13,$N13,$O13,$P13,RealTime!$A$2:$B$43,TODAY())</f>
        <v>オブジェクトが必要です。</v>
      </c>
      <c r="R13" t="str">
        <f t="shared" ca="1" si="0"/>
        <v/>
      </c>
      <c r="S13" t="str">
        <f t="shared" ca="1" si="1"/>
        <v/>
      </c>
      <c r="U13" t="str">
        <f ca="1">SwapPV($G13,$H13,$I13,$K13,$L13,$N13,$O13,$P13,$D13,$T13,$J13,RealTime!$A$2:$B$43,TODAY())</f>
        <v>オブジェクトが必要です。</v>
      </c>
      <c r="V13" t="str">
        <f ca="1">SwapDelta($G13,$H13,$I13,$K13,$L13,$N13,$O13,$P13,$D13,$T13,$J13,RealTime!$A$2:$B$43,TODAY())</f>
        <v>オブジェクトが必要です。</v>
      </c>
      <c r="W13" t="str">
        <f ca="1">SwapAnnuityDelta($G13,$H13,$I13,$K13,$L13,$N13,$O13,$P13,$D13,$T13,RealTime!$A$2:$B$43,TODAY())</f>
        <v>オブジェクトが必要です。</v>
      </c>
      <c r="Z13" t="str">
        <f ca="1">IF($B13=1,BucketedDelta($G13,$H13,$I13,$K13,$L13,$N13,$O13,$P13,$D13,$T13,$J13,RealTime!$A$2:$B$43,TODAY(),FALSE),"")</f>
        <v/>
      </c>
    </row>
    <row r="14" spans="1:26" x14ac:dyDescent="0.2">
      <c r="F14" t="str">
        <f ca="1">IF($E14="","",NotionalForDelta($E14,$G14,$H14,$I14,$K14,$L14,$N14,$O14,$P14,$T14,RealTime!$A$2:$B$43,TODAY()))</f>
        <v/>
      </c>
      <c r="Q14" t="str">
        <f ca="1">FairRate($G14,$H14,$I14,$K14,$L14,$N14,$O14,$P14,RealTime!$A$2:$B$43,TODAY())</f>
        <v>オブジェクトが必要です。</v>
      </c>
      <c r="R14" t="str">
        <f t="shared" ca="1" si="0"/>
        <v/>
      </c>
      <c r="S14" t="str">
        <f t="shared" ca="1" si="1"/>
        <v/>
      </c>
      <c r="U14" t="str">
        <f ca="1">SwapPV($G14,$H14,$I14,$K14,$L14,$N14,$O14,$P14,$D14,$T14,$J14,RealTime!$A$2:$B$43,TODAY())</f>
        <v>オブジェクトが必要です。</v>
      </c>
      <c r="V14" t="str">
        <f ca="1">SwapDelta($G14,$H14,$I14,$K14,$L14,$N14,$O14,$P14,$D14,$T14,$J14,RealTime!$A$2:$B$43,TODAY())</f>
        <v>オブジェクトが必要です。</v>
      </c>
      <c r="W14" t="str">
        <f ca="1">SwapAnnuityDelta($G14,$H14,$I14,$K14,$L14,$N14,$O14,$P14,$D14,$T14,RealTime!$A$2:$B$43,TODAY())</f>
        <v>オブジェクトが必要です。</v>
      </c>
      <c r="Z14" t="str">
        <f ca="1">IF($B14=1,BucketedDelta($G14,$H14,$I14,$K14,$L14,$N14,$O14,$P14,$D14,$T14,$J14,RealTime!$A$2:$B$43,TODAY(),FALSE),"")</f>
        <v/>
      </c>
    </row>
    <row r="15" spans="1:26" x14ac:dyDescent="0.2">
      <c r="F15" t="str">
        <f ca="1">IF($E15="","",NotionalForDelta($E15,$G15,$H15,$I15,$K15,$L15,$N15,$O15,$P15,$T15,RealTime!$A$2:$B$43,TODAY()))</f>
        <v/>
      </c>
      <c r="Q15" t="str">
        <f ca="1">FairRate($G15,$H15,$I15,$K15,$L15,$N15,$O15,$P15,RealTime!$A$2:$B$43,TODAY())</f>
        <v>オブジェクトが必要です。</v>
      </c>
      <c r="R15" t="str">
        <f t="shared" ca="1" si="0"/>
        <v/>
      </c>
      <c r="S15" t="str">
        <f t="shared" ca="1" si="1"/>
        <v/>
      </c>
      <c r="U15" t="str">
        <f ca="1">SwapPV($G15,$H15,$I15,$K15,$L15,$N15,$O15,$P15,$D15,$T15,$J15,RealTime!$A$2:$B$43,TODAY())</f>
        <v>オブジェクトが必要です。</v>
      </c>
      <c r="V15" t="str">
        <f ca="1">SwapDelta($G15,$H15,$I15,$K15,$L15,$N15,$O15,$P15,$D15,$T15,$J15,RealTime!$A$2:$B$43,TODAY())</f>
        <v>オブジェクトが必要です。</v>
      </c>
      <c r="W15" t="str">
        <f ca="1">SwapAnnuityDelta($G15,$H15,$I15,$K15,$L15,$N15,$O15,$P15,$D15,$T15,RealTime!$A$2:$B$43,TODAY())</f>
        <v>オブジェクトが必要です。</v>
      </c>
      <c r="Z15" t="str">
        <f ca="1">IF($B15=1,BucketedDelta($G15,$H15,$I15,$K15,$L15,$N15,$O15,$P15,$D15,$T15,$J15,RealTime!$A$2:$B$43,TODAY(),FALSE),"")</f>
        <v/>
      </c>
    </row>
    <row r="16" spans="1:26" x14ac:dyDescent="0.2">
      <c r="F16" t="str">
        <f ca="1">IF($E16="","",NotionalForDelta($E16,$G16,$H16,$I16,$K16,$L16,$N16,$O16,$P16,$T16,RealTime!$A$2:$B$43,TODAY()))</f>
        <v/>
      </c>
      <c r="Q16" t="str">
        <f ca="1">FairRate($G16,$H16,$I16,$K16,$L16,$N16,$O16,$P16,RealTime!$A$2:$B$43,TODAY())</f>
        <v>オブジェクトが必要です。</v>
      </c>
      <c r="R16" t="str">
        <f t="shared" ca="1" si="0"/>
        <v/>
      </c>
      <c r="S16" t="str">
        <f t="shared" ca="1" si="1"/>
        <v/>
      </c>
      <c r="U16" t="str">
        <f ca="1">SwapPV($G16,$H16,$I16,$K16,$L16,$N16,$O16,$P16,$D16,$T16,$J16,RealTime!$A$2:$B$43,TODAY())</f>
        <v>オブジェクトが必要です。</v>
      </c>
      <c r="V16" t="str">
        <f ca="1">SwapDelta($G16,$H16,$I16,$K16,$L16,$N16,$O16,$P16,$D16,$T16,$J16,RealTime!$A$2:$B$43,TODAY())</f>
        <v>オブジェクトが必要です。</v>
      </c>
      <c r="W16" t="str">
        <f ca="1">SwapAnnuityDelta($G16,$H16,$I16,$K16,$L16,$N16,$O16,$P16,$D16,$T16,RealTime!$A$2:$B$43,TODAY())</f>
        <v>オブジェクトが必要です。</v>
      </c>
      <c r="Z16" t="str">
        <f ca="1">IF($B16=1,BucketedDelta($G16,$H16,$I16,$K16,$L16,$N16,$O16,$P16,$D16,$T16,$J16,RealTime!$A$2:$B$43,TODAY(),FALSE),"")</f>
        <v/>
      </c>
    </row>
    <row r="17" spans="6:26" x14ac:dyDescent="0.2">
      <c r="F17" t="str">
        <f ca="1">IF($E17="","",NotionalForDelta($E17,$G17,$H17,$I17,$K17,$L17,$N17,$O17,$P17,$T17,RealTime!$A$2:$B$43,TODAY()))</f>
        <v/>
      </c>
      <c r="Q17" t="str">
        <f ca="1">FairRate($G17,$H17,$I17,$K17,$L17,$N17,$O17,$P17,RealTime!$A$2:$B$43,TODAY())</f>
        <v>オブジェクトが必要です。</v>
      </c>
      <c r="R17" t="str">
        <f t="shared" ca="1" si="0"/>
        <v/>
      </c>
      <c r="S17" t="str">
        <f t="shared" ca="1" si="1"/>
        <v/>
      </c>
      <c r="U17" t="str">
        <f ca="1">SwapPV($G17,$H17,$I17,$K17,$L17,$N17,$O17,$P17,$D17,$T17,$J17,RealTime!$A$2:$B$43,TODAY())</f>
        <v>オブジェクトが必要です。</v>
      </c>
      <c r="V17" t="str">
        <f ca="1">SwapDelta($G17,$H17,$I17,$K17,$L17,$N17,$O17,$P17,$D17,$T17,$J17,RealTime!$A$2:$B$43,TODAY())</f>
        <v>オブジェクトが必要です。</v>
      </c>
      <c r="W17" t="str">
        <f ca="1">SwapAnnuityDelta($G17,$H17,$I17,$K17,$L17,$N17,$O17,$P17,$D17,$T17,RealTime!$A$2:$B$43,TODAY())</f>
        <v>オブジェクトが必要です。</v>
      </c>
      <c r="Z17" t="str">
        <f ca="1">IF($B17=1,BucketedDelta($G17,$H17,$I17,$K17,$L17,$N17,$O17,$P17,$D17,$T17,$J17,RealTime!$A$2:$B$43,TODAY(),FALSE),"")</f>
        <v/>
      </c>
    </row>
    <row r="18" spans="6:26" x14ac:dyDescent="0.2">
      <c r="F18" t="str">
        <f ca="1">IF($E18="","",NotionalForDelta($E18,$G18,$H18,$I18,$K18,$L18,$N18,$O18,$P18,$T18,RealTime!$A$2:$B$43,TODAY()))</f>
        <v/>
      </c>
      <c r="Q18" t="str">
        <f ca="1">FairRate($G18,$H18,$I18,$K18,$L18,$N18,$O18,$P18,RealTime!$A$2:$B$43,TODAY())</f>
        <v>オブジェクトが必要です。</v>
      </c>
      <c r="R18" t="str">
        <f t="shared" ca="1" si="0"/>
        <v/>
      </c>
      <c r="S18" t="str">
        <f t="shared" ca="1" si="1"/>
        <v/>
      </c>
      <c r="U18" t="str">
        <f ca="1">SwapPV($G18,$H18,$I18,$K18,$L18,$N18,$O18,$P18,$D18,$T18,$J18,RealTime!$A$2:$B$43,TODAY())</f>
        <v>オブジェクトが必要です。</v>
      </c>
      <c r="V18" t="str">
        <f ca="1">SwapDelta($G18,$H18,$I18,$K18,$L18,$N18,$O18,$P18,$D18,$T18,$J18,RealTime!$A$2:$B$43,TODAY())</f>
        <v>オブジェクトが必要です。</v>
      </c>
      <c r="W18" t="str">
        <f ca="1">SwapAnnuityDelta($G18,$H18,$I18,$K18,$L18,$N18,$O18,$P18,$D18,$T18,RealTime!$A$2:$B$43,TODAY())</f>
        <v>オブジェクトが必要です。</v>
      </c>
      <c r="Z18" t="str">
        <f ca="1">IF($B18=1,BucketedDelta($G18,$H18,$I18,$K18,$L18,$N18,$O18,$P18,$D18,$T18,$J18,RealTime!$A$2:$B$43,TODAY(),FALSE),"")</f>
        <v/>
      </c>
    </row>
    <row r="19" spans="6:26" x14ac:dyDescent="0.2">
      <c r="F19" t="str">
        <f ca="1">IF($E19="","",NotionalForDelta($E19,$G19,$H19,$I19,$K19,$L19,$N19,$O19,$P19,$T19,RealTime!$A$2:$B$43,TODAY()))</f>
        <v/>
      </c>
      <c r="Q19" t="str">
        <f ca="1">FairRate($G19,$H19,$I19,$K19,$L19,$N19,$O19,$P19,RealTime!$A$2:$B$43,TODAY())</f>
        <v>オブジェクトが必要です。</v>
      </c>
      <c r="R19" t="str">
        <f t="shared" ca="1" si="0"/>
        <v/>
      </c>
      <c r="S19" t="str">
        <f t="shared" ca="1" si="1"/>
        <v/>
      </c>
      <c r="U19" t="str">
        <f ca="1">SwapPV($G19,$H19,$I19,$K19,$L19,$N19,$O19,$P19,$D19,$T19,$J19,RealTime!$A$2:$B$43,TODAY())</f>
        <v>オブジェクトが必要です。</v>
      </c>
      <c r="V19" t="str">
        <f ca="1">SwapDelta($G19,$H19,$I19,$K19,$L19,$N19,$O19,$P19,$D19,$T19,$J19,RealTime!$A$2:$B$43,TODAY())</f>
        <v>オブジェクトが必要です。</v>
      </c>
      <c r="W19" t="str">
        <f ca="1">SwapAnnuityDelta($G19,$H19,$I19,$K19,$L19,$N19,$O19,$P19,$D19,$T19,RealTime!$A$2:$B$43,TODAY())</f>
        <v>オブジェクトが必要です。</v>
      </c>
      <c r="Z19" t="str">
        <f ca="1">IF($B19=1,BucketedDelta($G19,$H19,$I19,$K19,$L19,$N19,$O19,$P19,$D19,$T19,$J19,RealTime!$A$2:$B$43,TODAY(),FALSE),"")</f>
        <v/>
      </c>
    </row>
    <row r="20" spans="6:26" x14ac:dyDescent="0.2">
      <c r="F20" t="str">
        <f ca="1">IF($E20="","",NotionalForDelta($E20,$G20,$H20,$I20,$K20,$L20,$N20,$O20,$P20,$T20,RealTime!$A$2:$B$43,TODAY()))</f>
        <v/>
      </c>
      <c r="Q20" t="str">
        <f ca="1">FairRate($G20,$H20,$I20,$K20,$L20,$N20,$O20,$P20,RealTime!$A$2:$B$43,TODAY())</f>
        <v>オブジェクトが必要です。</v>
      </c>
      <c r="R20" t="str">
        <f t="shared" ca="1" si="0"/>
        <v/>
      </c>
      <c r="S20" t="str">
        <f t="shared" ca="1" si="1"/>
        <v/>
      </c>
      <c r="U20" t="str">
        <f ca="1">SwapPV($G20,$H20,$I20,$K20,$L20,$N20,$O20,$P20,$D20,$T20,$J20,RealTime!$A$2:$B$43,TODAY())</f>
        <v>オブジェクトが必要です。</v>
      </c>
      <c r="V20" t="str">
        <f ca="1">SwapDelta($G20,$H20,$I20,$K20,$L20,$N20,$O20,$P20,$D20,$T20,$J20,RealTime!$A$2:$B$43,TODAY())</f>
        <v>オブジェクトが必要です。</v>
      </c>
      <c r="W20" t="str">
        <f ca="1">SwapAnnuityDelta($G20,$H20,$I20,$K20,$L20,$N20,$O20,$P20,$D20,$T20,RealTime!$A$2:$B$43,TODAY())</f>
        <v>オブジェクトが必要です。</v>
      </c>
      <c r="Z20" t="str">
        <f ca="1">IF($B20=1,BucketedDelta($G20,$H20,$I20,$K20,$L20,$N20,$O20,$P20,$D20,$T20,$J20,RealTime!$A$2:$B$43,TODAY(),FALSE),"")</f>
        <v/>
      </c>
    </row>
    <row r="21" spans="6:26" x14ac:dyDescent="0.2">
      <c r="F21" t="str">
        <f ca="1">IF($E21="","",NotionalForDelta($E21,$G21,$H21,$I21,$K21,$L21,$N21,$O21,$P21,$T21,RealTime!$A$2:$B$43,TODAY()))</f>
        <v/>
      </c>
      <c r="Q21" t="str">
        <f ca="1">FairRate($G21,$H21,$I21,$K21,$L21,$N21,$O21,$P21,RealTime!$A$2:$B$43,TODAY())</f>
        <v>オブジェクトが必要です。</v>
      </c>
      <c r="R21" t="str">
        <f t="shared" ca="1" si="0"/>
        <v/>
      </c>
      <c r="S21" t="str">
        <f t="shared" ca="1" si="1"/>
        <v/>
      </c>
      <c r="U21" t="str">
        <f ca="1">SwapPV($G21,$H21,$I21,$K21,$L21,$N21,$O21,$P21,$D21,$T21,$J21,RealTime!$A$2:$B$43,TODAY())</f>
        <v>オブジェクトが必要です。</v>
      </c>
      <c r="V21" t="str">
        <f ca="1">SwapDelta($G21,$H21,$I21,$K21,$L21,$N21,$O21,$P21,$D21,$T21,$J21,RealTime!$A$2:$B$43,TODAY())</f>
        <v>オブジェクトが必要です。</v>
      </c>
      <c r="W21" t="str">
        <f ca="1">SwapAnnuityDelta($G21,$H21,$I21,$K21,$L21,$N21,$O21,$P21,$D21,$T21,RealTime!$A$2:$B$43,TODAY())</f>
        <v>オブジェクトが必要です。</v>
      </c>
      <c r="Z21" t="str">
        <f ca="1">IF($B21=1,BucketedDelta($G21,$H21,$I21,$K21,$L21,$N21,$O21,$P21,$D21,$T21,$J21,RealTime!$A$2:$B$43,TODAY(),FALSE),"")</f>
        <v/>
      </c>
    </row>
    <row r="22" spans="6:26" x14ac:dyDescent="0.2">
      <c r="F22" t="str">
        <f ca="1">IF($E22="","",NotionalForDelta($E22,$G22,$H22,$I22,$K22,$L22,$N22,$O22,$P22,$T22,RealTime!$A$2:$B$43,TODAY()))</f>
        <v/>
      </c>
      <c r="Q22" t="str">
        <f ca="1">FairRate($G22,$H22,$I22,$K22,$L22,$N22,$O22,$P22,RealTime!$A$2:$B$43,TODAY())</f>
        <v>オブジェクトが必要です。</v>
      </c>
      <c r="R22" t="str">
        <f t="shared" ca="1" si="0"/>
        <v/>
      </c>
      <c r="S22" t="str">
        <f t="shared" ca="1" si="1"/>
        <v/>
      </c>
      <c r="U22" t="str">
        <f ca="1">SwapPV($G22,$H22,$I22,$K22,$L22,$N22,$O22,$P22,$D22,$T22,$J22,RealTime!$A$2:$B$43,TODAY())</f>
        <v>オブジェクトが必要です。</v>
      </c>
      <c r="V22" t="str">
        <f ca="1">SwapDelta($G22,$H22,$I22,$K22,$L22,$N22,$O22,$P22,$D22,$T22,$J22,RealTime!$A$2:$B$43,TODAY())</f>
        <v>オブジェクトが必要です。</v>
      </c>
      <c r="W22" t="str">
        <f ca="1">SwapAnnuityDelta($G22,$H22,$I22,$K22,$L22,$N22,$O22,$P22,$D22,$T22,RealTime!$A$2:$B$43,TODAY())</f>
        <v>オブジェクトが必要です。</v>
      </c>
      <c r="Z22" t="str">
        <f ca="1">IF($B22=1,BucketedDelta($G22,$H22,$I22,$K22,$L22,$N22,$O22,$P22,$D22,$T22,$J22,RealTime!$A$2:$B$43,TODAY(),FALSE),"")</f>
        <v/>
      </c>
    </row>
    <row r="23" spans="6:26" x14ac:dyDescent="0.2">
      <c r="F23" t="str">
        <f ca="1">IF($E23="","",NotionalForDelta($E23,$G23,$H23,$I23,$K23,$L23,$N23,$O23,$P23,$T23,RealTime!$A$2:$B$43,TODAY()))</f>
        <v/>
      </c>
      <c r="Q23" t="str">
        <f ca="1">FairRate($G23,$H23,$I23,$K23,$L23,$N23,$O23,$P23,RealTime!$A$2:$B$43,TODAY())</f>
        <v>オブジェクトが必要です。</v>
      </c>
      <c r="R23" t="str">
        <f t="shared" ca="1" si="0"/>
        <v/>
      </c>
      <c r="S23" t="str">
        <f t="shared" ca="1" si="1"/>
        <v/>
      </c>
      <c r="U23" t="str">
        <f ca="1">SwapPV($G23,$H23,$I23,$K23,$L23,$N23,$O23,$P23,$D23,$T23,$J23,RealTime!$A$2:$B$43,TODAY())</f>
        <v>オブジェクトが必要です。</v>
      </c>
      <c r="V23" t="str">
        <f ca="1">SwapDelta($G23,$H23,$I23,$K23,$L23,$N23,$O23,$P23,$D23,$T23,$J23,RealTime!$A$2:$B$43,TODAY())</f>
        <v>オブジェクトが必要です。</v>
      </c>
      <c r="W23" t="str">
        <f ca="1">SwapAnnuityDelta($G23,$H23,$I23,$K23,$L23,$N23,$O23,$P23,$D23,$T23,RealTime!$A$2:$B$43,TODAY())</f>
        <v>オブジェクトが必要です。</v>
      </c>
      <c r="Z23" t="str">
        <f ca="1">IF($B23=1,BucketedDelta($G23,$H23,$I23,$K23,$L23,$N23,$O23,$P23,$D23,$T23,$J23,RealTime!$A$2:$B$43,TODAY(),FALSE),"")</f>
        <v/>
      </c>
    </row>
    <row r="24" spans="6:26" x14ac:dyDescent="0.2">
      <c r="F24" t="str">
        <f ca="1">IF($E24="","",NotionalForDelta($E24,$G24,$H24,$I24,$K24,$L24,$N24,$O24,$P24,$T24,RealTime!$A$2:$B$43,TODAY()))</f>
        <v/>
      </c>
      <c r="Q24" t="str">
        <f ca="1">FairRate($G24,$H24,$I24,$K24,$L24,$N24,$O24,$P24,RealTime!$A$2:$B$43,TODAY())</f>
        <v>オブジェクトが必要です。</v>
      </c>
      <c r="R24" t="str">
        <f t="shared" ca="1" si="0"/>
        <v/>
      </c>
      <c r="S24" t="str">
        <f t="shared" ca="1" si="1"/>
        <v/>
      </c>
      <c r="U24" t="str">
        <f ca="1">SwapPV($G24,$H24,$I24,$K24,$L24,$N24,$O24,$P24,$D24,$T24,$J24,RealTime!$A$2:$B$43,TODAY())</f>
        <v>オブジェクトが必要です。</v>
      </c>
      <c r="V24" t="str">
        <f ca="1">SwapDelta($G24,$H24,$I24,$K24,$L24,$N24,$O24,$P24,$D24,$T24,$J24,RealTime!$A$2:$B$43,TODAY())</f>
        <v>オブジェクトが必要です。</v>
      </c>
      <c r="W24" t="str">
        <f ca="1">SwapAnnuityDelta($G24,$H24,$I24,$K24,$L24,$N24,$O24,$P24,$D24,$T24,RealTime!$A$2:$B$43,TODAY())</f>
        <v>オブジェクトが必要です。</v>
      </c>
      <c r="Z24" t="str">
        <f ca="1">IF($B24=1,BucketedDelta($G24,$H24,$I24,$K24,$L24,$N24,$O24,$P24,$D24,$T24,$J24,RealTime!$A$2:$B$43,TODAY(),FALSE),"")</f>
        <v/>
      </c>
    </row>
    <row r="25" spans="6:26" x14ac:dyDescent="0.2">
      <c r="F25" t="str">
        <f ca="1">IF($E25="","",NotionalForDelta($E25,$G25,$H25,$I25,$K25,$L25,$N25,$O25,$P25,$T25,RealTime!$A$2:$B$43,TODAY()))</f>
        <v/>
      </c>
      <c r="Q25" t="str">
        <f ca="1">FairRate($G25,$H25,$I25,$K25,$L25,$N25,$O25,$P25,RealTime!$A$2:$B$43,TODAY())</f>
        <v>オブジェクトが必要です。</v>
      </c>
      <c r="R25" t="str">
        <f t="shared" ca="1" si="0"/>
        <v/>
      </c>
      <c r="S25" t="str">
        <f t="shared" ca="1" si="1"/>
        <v/>
      </c>
      <c r="U25" t="str">
        <f ca="1">SwapPV($G25,$H25,$I25,$K25,$L25,$N25,$O25,$P25,$D25,$T25,$J25,RealTime!$A$2:$B$43,TODAY())</f>
        <v>オブジェクトが必要です。</v>
      </c>
      <c r="V25" t="str">
        <f ca="1">SwapDelta($G25,$H25,$I25,$K25,$L25,$N25,$O25,$P25,$D25,$T25,$J25,RealTime!$A$2:$B$43,TODAY())</f>
        <v>オブジェクトが必要です。</v>
      </c>
      <c r="W25" t="str">
        <f ca="1">SwapAnnuityDelta($G25,$H25,$I25,$K25,$L25,$N25,$O25,$P25,$D25,$T25,RealTime!$A$2:$B$43,TODAY())</f>
        <v>オブジェクトが必要です。</v>
      </c>
      <c r="Z25" t="str">
        <f ca="1">IF($B25=1,BucketedDelta($G25,$H25,$I25,$K25,$L25,$N25,$O25,$P25,$D25,$T25,$J25,RealTime!$A$2:$B$43,TODAY(),FALSE),"")</f>
        <v/>
      </c>
    </row>
    <row r="26" spans="6:26" x14ac:dyDescent="0.2">
      <c r="F26" t="str">
        <f ca="1">IF($E26="","",NotionalForDelta($E26,$G26,$H26,$I26,$K26,$L26,$N26,$O26,$P26,$T26,RealTime!$A$2:$B$43,TODAY()))</f>
        <v/>
      </c>
      <c r="Q26" t="str">
        <f ca="1">FairRate($G26,$H26,$I26,$K26,$L26,$N26,$O26,$P26,RealTime!$A$2:$B$43,TODAY())</f>
        <v>オブジェクトが必要です。</v>
      </c>
      <c r="R26" t="str">
        <f t="shared" ca="1" si="0"/>
        <v/>
      </c>
      <c r="S26" t="str">
        <f t="shared" ca="1" si="1"/>
        <v/>
      </c>
      <c r="U26" t="str">
        <f ca="1">SwapPV($G26,$H26,$I26,$K26,$L26,$N26,$O26,$P26,$D26,$T26,$J26,RealTime!$A$2:$B$43,TODAY())</f>
        <v>オブジェクトが必要です。</v>
      </c>
      <c r="V26" t="str">
        <f ca="1">SwapDelta($G26,$H26,$I26,$K26,$L26,$N26,$O26,$P26,$D26,$T26,$J26,RealTime!$A$2:$B$43,TODAY())</f>
        <v>オブジェクトが必要です。</v>
      </c>
      <c r="W26" t="str">
        <f ca="1">SwapAnnuityDelta($G26,$H26,$I26,$K26,$L26,$N26,$O26,$P26,$D26,$T26,RealTime!$A$2:$B$43,TODAY())</f>
        <v>オブジェクトが必要です。</v>
      </c>
      <c r="Z26" t="str">
        <f ca="1">IF($B26=1,BucketedDelta($G26,$H26,$I26,$K26,$L26,$N26,$O26,$P26,$D26,$T26,$J26,RealTime!$A$2:$B$43,TODAY(),FALSE),"")</f>
        <v/>
      </c>
    </row>
    <row r="27" spans="6:26" x14ac:dyDescent="0.2">
      <c r="F27" t="str">
        <f ca="1">IF($E27="","",NotionalForDelta($E27,$G27,$H27,$I27,$K27,$L27,$N27,$O27,$P27,$T27,RealTime!$A$2:$B$43,TODAY()))</f>
        <v/>
      </c>
      <c r="Q27" t="str">
        <f ca="1">FairRate($G27,$H27,$I27,$K27,$L27,$N27,$O27,$P27,RealTime!$A$2:$B$43,TODAY())</f>
        <v>オブジェクトが必要です。</v>
      </c>
      <c r="R27" t="str">
        <f t="shared" ca="1" si="0"/>
        <v/>
      </c>
      <c r="S27" t="str">
        <f t="shared" ca="1" si="1"/>
        <v/>
      </c>
      <c r="U27" t="str">
        <f ca="1">SwapPV($G27,$H27,$I27,$K27,$L27,$N27,$O27,$P27,$D27,$T27,$J27,RealTime!$A$2:$B$43,TODAY())</f>
        <v>オブジェクトが必要です。</v>
      </c>
      <c r="V27" t="str">
        <f ca="1">SwapDelta($G27,$H27,$I27,$K27,$L27,$N27,$O27,$P27,$D27,$T27,$J27,RealTime!$A$2:$B$43,TODAY())</f>
        <v>オブジェクトが必要です。</v>
      </c>
      <c r="W27" t="str">
        <f ca="1">SwapAnnuityDelta($G27,$H27,$I27,$K27,$L27,$N27,$O27,$P27,$D27,$T27,RealTime!$A$2:$B$43,TODAY())</f>
        <v>オブジェクトが必要です。</v>
      </c>
      <c r="Z27" t="str">
        <f ca="1">IF($B27=1,BucketedDelta($G27,$H27,$I27,$K27,$L27,$N27,$O27,$P27,$D27,$T27,$J27,RealTime!$A$2:$B$43,TODAY(),FALSE),"")</f>
        <v/>
      </c>
    </row>
    <row r="28" spans="6:26" x14ac:dyDescent="0.2">
      <c r="F28" t="str">
        <f ca="1">IF($E28="","",NotionalForDelta($E28,$G28,$H28,$I28,$K28,$L28,$N28,$O28,$P28,$T28,RealTime!$A$2:$B$43,TODAY()))</f>
        <v/>
      </c>
      <c r="Q28" t="str">
        <f ca="1">FairRate($G28,$H28,$I28,$K28,$L28,$N28,$O28,$P28,RealTime!$A$2:$B$43,TODAY())</f>
        <v>オブジェクトが必要です。</v>
      </c>
      <c r="R28" t="str">
        <f t="shared" ca="1" si="0"/>
        <v/>
      </c>
      <c r="S28" t="str">
        <f t="shared" ca="1" si="1"/>
        <v/>
      </c>
      <c r="U28" t="str">
        <f ca="1">SwapPV($G28,$H28,$I28,$K28,$L28,$N28,$O28,$P28,$D28,$T28,$J28,RealTime!$A$2:$B$43,TODAY())</f>
        <v>オブジェクトが必要です。</v>
      </c>
      <c r="V28" t="str">
        <f ca="1">SwapDelta($G28,$H28,$I28,$K28,$L28,$N28,$O28,$P28,$D28,$T28,$J28,RealTime!$A$2:$B$43,TODAY())</f>
        <v>オブジェクトが必要です。</v>
      </c>
      <c r="W28" t="str">
        <f ca="1">SwapAnnuityDelta($G28,$H28,$I28,$K28,$L28,$N28,$O28,$P28,$D28,$T28,RealTime!$A$2:$B$43,TODAY())</f>
        <v>オブジェクトが必要です。</v>
      </c>
      <c r="Z28" t="str">
        <f ca="1">IF($B28=1,BucketedDelta($G28,$H28,$I28,$K28,$L28,$N28,$O28,$P28,$D28,$T28,$J28,RealTime!$A$2:$B$43,TODAY(),FALSE),"")</f>
        <v/>
      </c>
    </row>
    <row r="29" spans="6:26" x14ac:dyDescent="0.2">
      <c r="F29" t="str">
        <f ca="1">IF($E29="","",NotionalForDelta($E29,$G29,$H29,$I29,$K29,$L29,$N29,$O29,$P29,$T29,RealTime!$A$2:$B$43,TODAY()))</f>
        <v/>
      </c>
      <c r="Q29" t="str">
        <f ca="1">FairRate($G29,$H29,$I29,$K29,$L29,$N29,$O29,$P29,RealTime!$A$2:$B$43,TODAY())</f>
        <v>オブジェクトが必要です。</v>
      </c>
      <c r="R29" t="str">
        <f t="shared" ca="1" si="0"/>
        <v/>
      </c>
      <c r="S29" t="str">
        <f t="shared" ca="1" si="1"/>
        <v/>
      </c>
      <c r="U29" t="str">
        <f ca="1">SwapPV($G29,$H29,$I29,$K29,$L29,$N29,$O29,$P29,$D29,$T29,$J29,RealTime!$A$2:$B$43,TODAY())</f>
        <v>オブジェクトが必要です。</v>
      </c>
      <c r="V29" t="str">
        <f ca="1">SwapDelta($G29,$H29,$I29,$K29,$L29,$N29,$O29,$P29,$D29,$T29,$J29,RealTime!$A$2:$B$43,TODAY())</f>
        <v>オブジェクトが必要です。</v>
      </c>
      <c r="W29" t="str">
        <f ca="1">SwapAnnuityDelta($G29,$H29,$I29,$K29,$L29,$N29,$O29,$P29,$D29,$T29,RealTime!$A$2:$B$43,TODAY())</f>
        <v>オブジェクトが必要です。</v>
      </c>
      <c r="Z29" t="str">
        <f ca="1">IF($B29=1,BucketedDelta($G29,$H29,$I29,$K29,$L29,$N29,$O29,$P29,$D29,$T29,$J29,RealTime!$A$2:$B$43,TODAY(),FALSE),"")</f>
        <v/>
      </c>
    </row>
    <row r="30" spans="6:26" x14ac:dyDescent="0.2">
      <c r="F30" t="str">
        <f ca="1">IF($E30="","",NotionalForDelta($E30,$G30,$H30,$I30,$K30,$L30,$N30,$O30,$P30,$T30,RealTime!$A$2:$B$43,TODAY()))</f>
        <v/>
      </c>
      <c r="Q30" t="str">
        <f ca="1">FairRate($G30,$H30,$I30,$K30,$L30,$N30,$O30,$P30,RealTime!$A$2:$B$43,TODAY())</f>
        <v>オブジェクトが必要です。</v>
      </c>
      <c r="R30" t="str">
        <f t="shared" ca="1" si="0"/>
        <v/>
      </c>
      <c r="S30" t="str">
        <f t="shared" ca="1" si="1"/>
        <v/>
      </c>
      <c r="U30" t="str">
        <f ca="1">SwapPV($G30,$H30,$I30,$K30,$L30,$N30,$O30,$P30,$D30,$T30,$J30,RealTime!$A$2:$B$43,TODAY())</f>
        <v>オブジェクトが必要です。</v>
      </c>
      <c r="V30" t="str">
        <f ca="1">SwapDelta($G30,$H30,$I30,$K30,$L30,$N30,$O30,$P30,$D30,$T30,$J30,RealTime!$A$2:$B$43,TODAY())</f>
        <v>オブジェクトが必要です。</v>
      </c>
      <c r="W30" t="str">
        <f ca="1">SwapAnnuityDelta($G30,$H30,$I30,$K30,$L30,$N30,$O30,$P30,$D30,$T30,RealTime!$A$2:$B$43,TODAY())</f>
        <v>オブジェクトが必要です。</v>
      </c>
      <c r="Z30" t="str">
        <f ca="1">IF($B30=1,BucketedDelta($G30,$H30,$I30,$K30,$L30,$N30,$O30,$P30,$D30,$T30,$J30,RealTime!$A$2:$B$43,TODAY(),FALSE),"")</f>
        <v/>
      </c>
    </row>
    <row r="31" spans="6:26" x14ac:dyDescent="0.2">
      <c r="F31" t="str">
        <f ca="1">IF($E31="","",NotionalForDelta($E31,$G31,$H31,$I31,$K31,$L31,$N31,$O31,$P31,$T31,RealTime!$A$2:$B$43,TODAY()))</f>
        <v/>
      </c>
      <c r="Q31" t="str">
        <f ca="1">FairRate($G31,$H31,$I31,$K31,$L31,$N31,$O31,$P31,RealTime!$A$2:$B$43,TODAY())</f>
        <v>オブジェクトが必要です。</v>
      </c>
      <c r="R31" t="str">
        <f t="shared" ca="1" si="0"/>
        <v/>
      </c>
      <c r="S31" t="str">
        <f t="shared" ca="1" si="1"/>
        <v/>
      </c>
      <c r="U31" t="str">
        <f ca="1">SwapPV($G31,$H31,$I31,$K31,$L31,$N31,$O31,$P31,$D31,$T31,$J31,RealTime!$A$2:$B$43,TODAY())</f>
        <v>オブジェクトが必要です。</v>
      </c>
      <c r="V31" t="str">
        <f ca="1">SwapDelta($G31,$H31,$I31,$K31,$L31,$N31,$O31,$P31,$D31,$T31,$J31,RealTime!$A$2:$B$43,TODAY())</f>
        <v>オブジェクトが必要です。</v>
      </c>
      <c r="W31" t="str">
        <f ca="1">SwapAnnuityDelta($G31,$H31,$I31,$K31,$L31,$N31,$O31,$P31,$D31,$T31,RealTime!$A$2:$B$43,TODAY())</f>
        <v>オブジェクトが必要です。</v>
      </c>
      <c r="Z31" t="str">
        <f ca="1">IF($B31=1,BucketedDelta($G31,$H31,$I31,$K31,$L31,$N31,$O31,$P31,$D31,$T31,$J31,RealTime!$A$2:$B$43,TODAY(),FALSE),"")</f>
        <v/>
      </c>
    </row>
    <row r="32" spans="6:26" x14ac:dyDescent="0.2">
      <c r="F32" t="str">
        <f ca="1">IF($E32="","",NotionalForDelta($E32,$G32,$H32,$I32,$K32,$L32,$N32,$O32,$P32,$T32,RealTime!$A$2:$B$43,TODAY()))</f>
        <v/>
      </c>
      <c r="Q32" t="str">
        <f ca="1">FairRate($G32,$H32,$I32,$K32,$L32,$N32,$O32,$P32,RealTime!$A$2:$B$43,TODAY())</f>
        <v>オブジェクトが必要です。</v>
      </c>
      <c r="R32" t="str">
        <f t="shared" ca="1" si="0"/>
        <v/>
      </c>
      <c r="S32" t="str">
        <f t="shared" ca="1" si="1"/>
        <v/>
      </c>
      <c r="U32" t="str">
        <f ca="1">SwapPV($G32,$H32,$I32,$K32,$L32,$N32,$O32,$P32,$D32,$T32,$J32,RealTime!$A$2:$B$43,TODAY())</f>
        <v>オブジェクトが必要です。</v>
      </c>
      <c r="V32" t="str">
        <f ca="1">SwapDelta($G32,$H32,$I32,$K32,$L32,$N32,$O32,$P32,$D32,$T32,$J32,RealTime!$A$2:$B$43,TODAY())</f>
        <v>オブジェクトが必要です。</v>
      </c>
      <c r="W32" t="str">
        <f ca="1">SwapAnnuityDelta($G32,$H32,$I32,$K32,$L32,$N32,$O32,$P32,$D32,$T32,RealTime!$A$2:$B$43,TODAY())</f>
        <v>オブジェクトが必要です。</v>
      </c>
      <c r="Z32" t="str">
        <f ca="1">IF($B32=1,BucketedDelta($G32,$H32,$I32,$K32,$L32,$N32,$O32,$P32,$D32,$T32,$J32,RealTime!$A$2:$B$43,TODAY(),FALSE),"")</f>
        <v/>
      </c>
    </row>
    <row r="33" spans="6:26" x14ac:dyDescent="0.2">
      <c r="F33" t="str">
        <f ca="1">IF($E33="","",NotionalForDelta($E33,$G33,$H33,$I33,$K33,$L33,$N33,$O33,$P33,$T33,RealTime!$A$2:$B$43,TODAY()))</f>
        <v/>
      </c>
      <c r="Q33" t="str">
        <f ca="1">FairRate($G33,$H33,$I33,$K33,$L33,$N33,$O33,$P33,RealTime!$A$2:$B$43,TODAY())</f>
        <v>オブジェクトが必要です。</v>
      </c>
      <c r="R33" t="str">
        <f t="shared" ca="1" si="0"/>
        <v/>
      </c>
      <c r="S33" t="str">
        <f t="shared" ca="1" si="1"/>
        <v/>
      </c>
      <c r="U33" t="str">
        <f ca="1">SwapPV($G33,$H33,$I33,$K33,$L33,$N33,$O33,$P33,$D33,$T33,$J33,RealTime!$A$2:$B$43,TODAY())</f>
        <v>オブジェクトが必要です。</v>
      </c>
      <c r="V33" t="str">
        <f ca="1">SwapDelta($G33,$H33,$I33,$K33,$L33,$N33,$O33,$P33,$D33,$T33,$J33,RealTime!$A$2:$B$43,TODAY())</f>
        <v>オブジェクトが必要です。</v>
      </c>
      <c r="W33" t="str">
        <f ca="1">SwapAnnuityDelta($G33,$H33,$I33,$K33,$L33,$N33,$O33,$P33,$D33,$T33,RealTime!$A$2:$B$43,TODAY())</f>
        <v>オブジェクトが必要です。</v>
      </c>
      <c r="Z33" t="str">
        <f ca="1">IF($B33=1,BucketedDelta($G33,$H33,$I33,$K33,$L33,$N33,$O33,$P33,$D33,$T33,$J33,RealTime!$A$2:$B$43,TODAY(),FALSE),"")</f>
        <v/>
      </c>
    </row>
    <row r="34" spans="6:26" x14ac:dyDescent="0.2">
      <c r="F34" t="str">
        <f ca="1">IF($E34="","",NotionalForDelta($E34,$G34,$H34,$I34,$K34,$L34,$N34,$O34,$P34,$T34,RealTime!$A$2:$B$43,TODAY()))</f>
        <v/>
      </c>
      <c r="Q34" t="str">
        <f ca="1">FairRate($G34,$H34,$I34,$K34,$L34,$N34,$O34,$P34,RealTime!$A$2:$B$43,TODAY())</f>
        <v>オブジェクトが必要です。</v>
      </c>
      <c r="R34" t="str">
        <f t="shared" ref="R34:R65" ca="1" si="2">IF(ISNUMBER(Q33),Q34-Q33,"")</f>
        <v/>
      </c>
      <c r="S34" t="str">
        <f t="shared" ref="S34:S65" ca="1" si="3">IF(AND(ISNUMBER(Q33),ISNUMBER(Q35)),2*Q34-Q33-Q35,"")</f>
        <v/>
      </c>
      <c r="U34" t="str">
        <f ca="1">SwapPV($G34,$H34,$I34,$K34,$L34,$N34,$O34,$P34,$D34,$T34,$J34,RealTime!$A$2:$B$43,TODAY())</f>
        <v>オブジェクトが必要です。</v>
      </c>
      <c r="V34" t="str">
        <f ca="1">SwapDelta($G34,$H34,$I34,$K34,$L34,$N34,$O34,$P34,$D34,$T34,$J34,RealTime!$A$2:$B$43,TODAY())</f>
        <v>オブジェクトが必要です。</v>
      </c>
      <c r="W34" t="str">
        <f ca="1">SwapAnnuityDelta($G34,$H34,$I34,$K34,$L34,$N34,$O34,$P34,$D34,$T34,RealTime!$A$2:$B$43,TODAY())</f>
        <v>オブジェクトが必要です。</v>
      </c>
      <c r="Z34" t="str">
        <f ca="1">IF($B34=1,BucketedDelta($G34,$H34,$I34,$K34,$L34,$N34,$O34,$P34,$D34,$T34,$J34,RealTime!$A$2:$B$43,TODAY(),FALSE),"")</f>
        <v/>
      </c>
    </row>
    <row r="35" spans="6:26" x14ac:dyDescent="0.2">
      <c r="F35" t="str">
        <f ca="1">IF($E35="","",NotionalForDelta($E35,$G35,$H35,$I35,$K35,$L35,$N35,$O35,$P35,$T35,RealTime!$A$2:$B$43,TODAY()))</f>
        <v/>
      </c>
      <c r="Q35" t="str">
        <f ca="1">FairRate($G35,$H35,$I35,$K35,$L35,$N35,$O35,$P35,RealTime!$A$2:$B$43,TODAY())</f>
        <v>オブジェクトが必要です。</v>
      </c>
      <c r="R35" t="str">
        <f t="shared" ca="1" si="2"/>
        <v/>
      </c>
      <c r="S35" t="str">
        <f t="shared" ca="1" si="3"/>
        <v/>
      </c>
      <c r="U35" t="str">
        <f ca="1">SwapPV($G35,$H35,$I35,$K35,$L35,$N35,$O35,$P35,$D35,$T35,$J35,RealTime!$A$2:$B$43,TODAY())</f>
        <v>オブジェクトが必要です。</v>
      </c>
      <c r="V35" t="str">
        <f ca="1">SwapDelta($G35,$H35,$I35,$K35,$L35,$N35,$O35,$P35,$D35,$T35,$J35,RealTime!$A$2:$B$43,TODAY())</f>
        <v>オブジェクトが必要です。</v>
      </c>
      <c r="W35" t="str">
        <f ca="1">SwapAnnuityDelta($G35,$H35,$I35,$K35,$L35,$N35,$O35,$P35,$D35,$T35,RealTime!$A$2:$B$43,TODAY())</f>
        <v>オブジェクトが必要です。</v>
      </c>
      <c r="Z35" t="str">
        <f ca="1">IF($B35=1,BucketedDelta($G35,$H35,$I35,$K35,$L35,$N35,$O35,$P35,$D35,$T35,$J35,RealTime!$A$2:$B$43,TODAY(),FALSE),"")</f>
        <v/>
      </c>
    </row>
    <row r="36" spans="6:26" x14ac:dyDescent="0.2">
      <c r="F36" t="str">
        <f ca="1">IF($E36="","",NotionalForDelta($E36,$G36,$H36,$I36,$K36,$L36,$N36,$O36,$P36,$T36,RealTime!$A$2:$B$43,TODAY()))</f>
        <v/>
      </c>
      <c r="Q36" t="str">
        <f ca="1">FairRate($G36,$H36,$I36,$K36,$L36,$N36,$O36,$P36,RealTime!$A$2:$B$43,TODAY())</f>
        <v>オブジェクトが必要です。</v>
      </c>
      <c r="R36" t="str">
        <f t="shared" ca="1" si="2"/>
        <v/>
      </c>
      <c r="S36" t="str">
        <f t="shared" ca="1" si="3"/>
        <v/>
      </c>
      <c r="U36" t="str">
        <f ca="1">SwapPV($G36,$H36,$I36,$K36,$L36,$N36,$O36,$P36,$D36,$T36,$J36,RealTime!$A$2:$B$43,TODAY())</f>
        <v>オブジェクトが必要です。</v>
      </c>
      <c r="V36" t="str">
        <f ca="1">SwapDelta($G36,$H36,$I36,$K36,$L36,$N36,$O36,$P36,$D36,$T36,$J36,RealTime!$A$2:$B$43,TODAY())</f>
        <v>オブジェクトが必要です。</v>
      </c>
      <c r="W36" t="str">
        <f ca="1">SwapAnnuityDelta($G36,$H36,$I36,$K36,$L36,$N36,$O36,$P36,$D36,$T36,RealTime!$A$2:$B$43,TODAY())</f>
        <v>オブジェクトが必要です。</v>
      </c>
      <c r="Z36" t="str">
        <f ca="1">IF($B36=1,BucketedDelta($G36,$H36,$I36,$K36,$L36,$N36,$O36,$P36,$D36,$T36,$J36,RealTime!$A$2:$B$43,TODAY(),FALSE),"")</f>
        <v/>
      </c>
    </row>
    <row r="37" spans="6:26" x14ac:dyDescent="0.2">
      <c r="F37" t="str">
        <f ca="1">IF($E37="","",NotionalForDelta($E37,$G37,$H37,$I37,$K37,$L37,$N37,$O37,$P37,$T37,RealTime!$A$2:$B$43,TODAY()))</f>
        <v/>
      </c>
      <c r="Q37" t="str">
        <f ca="1">FairRate($G37,$H37,$I37,$K37,$L37,$N37,$O37,$P37,RealTime!$A$2:$B$43,TODAY())</f>
        <v>オブジェクトが必要です。</v>
      </c>
      <c r="R37" t="str">
        <f t="shared" ca="1" si="2"/>
        <v/>
      </c>
      <c r="S37" t="str">
        <f t="shared" ca="1" si="3"/>
        <v/>
      </c>
      <c r="U37" t="str">
        <f ca="1">SwapPV($G37,$H37,$I37,$K37,$L37,$N37,$O37,$P37,$D37,$T37,$J37,RealTime!$A$2:$B$43,TODAY())</f>
        <v>オブジェクトが必要です。</v>
      </c>
      <c r="V37" t="str">
        <f ca="1">SwapDelta($G37,$H37,$I37,$K37,$L37,$N37,$O37,$P37,$D37,$T37,$J37,RealTime!$A$2:$B$43,TODAY())</f>
        <v>オブジェクトが必要です。</v>
      </c>
      <c r="W37" t="str">
        <f ca="1">SwapAnnuityDelta($G37,$H37,$I37,$K37,$L37,$N37,$O37,$P37,$D37,$T37,RealTime!$A$2:$B$43,TODAY())</f>
        <v>オブジェクトが必要です。</v>
      </c>
      <c r="Z37" t="str">
        <f ca="1">IF($B37=1,BucketedDelta($G37,$H37,$I37,$K37,$L37,$N37,$O37,$P37,$D37,$T37,$J37,RealTime!$A$2:$B$43,TODAY(),FALSE),"")</f>
        <v/>
      </c>
    </row>
    <row r="38" spans="6:26" x14ac:dyDescent="0.2">
      <c r="F38" t="str">
        <f ca="1">IF($E38="","",NotionalForDelta($E38,$G38,$H38,$I38,$K38,$L38,$N38,$O38,$P38,$T38,RealTime!$A$2:$B$43,TODAY()))</f>
        <v/>
      </c>
      <c r="Q38" t="str">
        <f ca="1">FairRate($G38,$H38,$I38,$K38,$L38,$N38,$O38,$P38,RealTime!$A$2:$B$43,TODAY())</f>
        <v>オブジェクトが必要です。</v>
      </c>
      <c r="R38" t="str">
        <f t="shared" ca="1" si="2"/>
        <v/>
      </c>
      <c r="S38" t="str">
        <f t="shared" ca="1" si="3"/>
        <v/>
      </c>
      <c r="U38" t="str">
        <f ca="1">SwapPV($G38,$H38,$I38,$K38,$L38,$N38,$O38,$P38,$D38,$T38,$J38,RealTime!$A$2:$B$43,TODAY())</f>
        <v>オブジェクトが必要です。</v>
      </c>
      <c r="V38" t="str">
        <f ca="1">SwapDelta($G38,$H38,$I38,$K38,$L38,$N38,$O38,$P38,$D38,$T38,$J38,RealTime!$A$2:$B$43,TODAY())</f>
        <v>オブジェクトが必要です。</v>
      </c>
      <c r="W38" t="str">
        <f ca="1">SwapAnnuityDelta($G38,$H38,$I38,$K38,$L38,$N38,$O38,$P38,$D38,$T38,RealTime!$A$2:$B$43,TODAY())</f>
        <v>オブジェクトが必要です。</v>
      </c>
      <c r="Z38" t="str">
        <f ca="1">IF($B38=1,BucketedDelta($G38,$H38,$I38,$K38,$L38,$N38,$O38,$P38,$D38,$T38,$J38,RealTime!$A$2:$B$43,TODAY(),FALSE),"")</f>
        <v/>
      </c>
    </row>
    <row r="39" spans="6:26" x14ac:dyDescent="0.2">
      <c r="F39" t="str">
        <f ca="1">IF($E39="","",NotionalForDelta($E39,$G39,$H39,$I39,$K39,$L39,$N39,$O39,$P39,$T39,RealTime!$A$2:$B$43,TODAY()))</f>
        <v/>
      </c>
      <c r="Q39" t="str">
        <f ca="1">FairRate($G39,$H39,$I39,$K39,$L39,$N39,$O39,$P39,RealTime!$A$2:$B$43,TODAY())</f>
        <v>オブジェクトが必要です。</v>
      </c>
      <c r="R39" t="str">
        <f t="shared" ca="1" si="2"/>
        <v/>
      </c>
      <c r="S39" t="str">
        <f t="shared" ca="1" si="3"/>
        <v/>
      </c>
      <c r="U39" t="str">
        <f ca="1">SwapPV($G39,$H39,$I39,$K39,$L39,$N39,$O39,$P39,$D39,$T39,$J39,RealTime!$A$2:$B$43,TODAY())</f>
        <v>オブジェクトが必要です。</v>
      </c>
      <c r="V39" t="str">
        <f ca="1">SwapDelta($G39,$H39,$I39,$K39,$L39,$N39,$O39,$P39,$D39,$T39,$J39,RealTime!$A$2:$B$43,TODAY())</f>
        <v>オブジェクトが必要です。</v>
      </c>
      <c r="W39" t="str">
        <f ca="1">SwapAnnuityDelta($G39,$H39,$I39,$K39,$L39,$N39,$O39,$P39,$D39,$T39,RealTime!$A$2:$B$43,TODAY())</f>
        <v>オブジェクトが必要です。</v>
      </c>
      <c r="Z39" t="str">
        <f ca="1">IF($B39=1,BucketedDelta($G39,$H39,$I39,$K39,$L39,$N39,$O39,$P39,$D39,$T39,$J39,RealTime!$A$2:$B$43,TODAY(),FALSE),"")</f>
        <v/>
      </c>
    </row>
    <row r="40" spans="6:26" x14ac:dyDescent="0.2">
      <c r="F40" t="str">
        <f ca="1">IF($E40="","",NotionalForDelta($E40,$G40,$H40,$I40,$K40,$L40,$N40,$O40,$P40,$T40,RealTime!$A$2:$B$43,TODAY()))</f>
        <v/>
      </c>
      <c r="Q40" t="str">
        <f ca="1">FairRate($G40,$H40,$I40,$K40,$L40,$N40,$O40,$P40,RealTime!$A$2:$B$43,TODAY())</f>
        <v>オブジェクトが必要です。</v>
      </c>
      <c r="R40" t="str">
        <f t="shared" ca="1" si="2"/>
        <v/>
      </c>
      <c r="S40" t="str">
        <f t="shared" ca="1" si="3"/>
        <v/>
      </c>
      <c r="U40" t="str">
        <f ca="1">SwapPV($G40,$H40,$I40,$K40,$L40,$N40,$O40,$P40,$D40,$T40,$J40,RealTime!$A$2:$B$43,TODAY())</f>
        <v>オブジェクトが必要です。</v>
      </c>
      <c r="V40" t="str">
        <f ca="1">SwapDelta($G40,$H40,$I40,$K40,$L40,$N40,$O40,$P40,$D40,$T40,$J40,RealTime!$A$2:$B$43,TODAY())</f>
        <v>オブジェクトが必要です。</v>
      </c>
      <c r="W40" t="str">
        <f ca="1">SwapAnnuityDelta($G40,$H40,$I40,$K40,$L40,$N40,$O40,$P40,$D40,$T40,RealTime!$A$2:$B$43,TODAY())</f>
        <v>オブジェクトが必要です。</v>
      </c>
      <c r="Z40" t="str">
        <f ca="1">IF($B40=1,BucketedDelta($G40,$H40,$I40,$K40,$L40,$N40,$O40,$P40,$D40,$T40,$J40,RealTime!$A$2:$B$43,TODAY(),FALSE),"")</f>
        <v/>
      </c>
    </row>
    <row r="41" spans="6:26" x14ac:dyDescent="0.2">
      <c r="F41" t="str">
        <f ca="1">IF($E41="","",NotionalForDelta($E41,$G41,$H41,$I41,$K41,$L41,$N41,$O41,$P41,$T41,RealTime!$A$2:$B$43,TODAY()))</f>
        <v/>
      </c>
      <c r="Q41" t="str">
        <f ca="1">FairRate($G41,$H41,$I41,$K41,$L41,$N41,$O41,$P41,RealTime!$A$2:$B$43,TODAY())</f>
        <v>オブジェクトが必要です。</v>
      </c>
      <c r="R41" t="str">
        <f t="shared" ca="1" si="2"/>
        <v/>
      </c>
      <c r="S41" t="str">
        <f t="shared" ca="1" si="3"/>
        <v/>
      </c>
      <c r="U41" t="str">
        <f ca="1">SwapPV($G41,$H41,$I41,$K41,$L41,$N41,$O41,$P41,$D41,$T41,$J41,RealTime!$A$2:$B$43,TODAY())</f>
        <v>オブジェクトが必要です。</v>
      </c>
      <c r="V41" t="str">
        <f ca="1">SwapDelta($G41,$H41,$I41,$K41,$L41,$N41,$O41,$P41,$D41,$T41,$J41,RealTime!$A$2:$B$43,TODAY())</f>
        <v>オブジェクトが必要です。</v>
      </c>
      <c r="W41" t="str">
        <f ca="1">SwapAnnuityDelta($G41,$H41,$I41,$K41,$L41,$N41,$O41,$P41,$D41,$T41,RealTime!$A$2:$B$43,TODAY())</f>
        <v>オブジェクトが必要です。</v>
      </c>
      <c r="Z41" t="str">
        <f ca="1">IF($B41=1,BucketedDelta($G41,$H41,$I41,$K41,$L41,$N41,$O41,$P41,$D41,$T41,$J41,RealTime!$A$2:$B$43,TODAY(),FALSE),"")</f>
        <v/>
      </c>
    </row>
    <row r="42" spans="6:26" x14ac:dyDescent="0.2">
      <c r="F42" t="str">
        <f ca="1">IF($E42="","",NotionalForDelta($E42,$G42,$H42,$I42,$K42,$L42,$N42,$O42,$P42,$T42,RealTime!$A$2:$B$43,TODAY()))</f>
        <v/>
      </c>
      <c r="Q42" t="str">
        <f ca="1">FairRate($G42,$H42,$I42,$K42,$L42,$N42,$O42,$P42,RealTime!$A$2:$B$43,TODAY())</f>
        <v>オブジェクトが必要です。</v>
      </c>
      <c r="R42" t="str">
        <f t="shared" ca="1" si="2"/>
        <v/>
      </c>
      <c r="S42" t="str">
        <f t="shared" ca="1" si="3"/>
        <v/>
      </c>
      <c r="U42" t="str">
        <f ca="1">SwapPV($G42,$H42,$I42,$K42,$L42,$N42,$O42,$P42,$D42,$T42,$J42,RealTime!$A$2:$B$43,TODAY())</f>
        <v>オブジェクトが必要です。</v>
      </c>
      <c r="V42" t="str">
        <f ca="1">SwapDelta($G42,$H42,$I42,$K42,$L42,$N42,$O42,$P42,$D42,$T42,$J42,RealTime!$A$2:$B$43,TODAY())</f>
        <v>オブジェクトが必要です。</v>
      </c>
      <c r="W42" t="str">
        <f ca="1">SwapAnnuityDelta($G42,$H42,$I42,$K42,$L42,$N42,$O42,$P42,$D42,$T42,RealTime!$A$2:$B$43,TODAY())</f>
        <v>オブジェクトが必要です。</v>
      </c>
      <c r="Z42" t="str">
        <f ca="1">IF($B42=1,BucketedDelta($G42,$H42,$I42,$K42,$L42,$N42,$O42,$P42,$D42,$T42,$J42,RealTime!$A$2:$B$43,TODAY(),FALSE),"")</f>
        <v/>
      </c>
    </row>
    <row r="43" spans="6:26" x14ac:dyDescent="0.2">
      <c r="F43" t="str">
        <f ca="1">IF($E43="","",NotionalForDelta($E43,$G43,$H43,$I43,$K43,$L43,$N43,$O43,$P43,$T43,RealTime!$A$2:$B$43,TODAY()))</f>
        <v/>
      </c>
      <c r="Q43" t="str">
        <f ca="1">FairRate($G43,$H43,$I43,$K43,$L43,$N43,$O43,$P43,RealTime!$A$2:$B$43,TODAY())</f>
        <v>オブジェクトが必要です。</v>
      </c>
      <c r="R43" t="str">
        <f t="shared" ca="1" si="2"/>
        <v/>
      </c>
      <c r="S43" t="str">
        <f t="shared" ca="1" si="3"/>
        <v/>
      </c>
      <c r="U43" t="str">
        <f ca="1">SwapPV($G43,$H43,$I43,$K43,$L43,$N43,$O43,$P43,$D43,$T43,$J43,RealTime!$A$2:$B$43,TODAY())</f>
        <v>オブジェクトが必要です。</v>
      </c>
      <c r="V43" t="str">
        <f ca="1">SwapDelta($G43,$H43,$I43,$K43,$L43,$N43,$O43,$P43,$D43,$T43,$J43,RealTime!$A$2:$B$43,TODAY())</f>
        <v>オブジェクトが必要です。</v>
      </c>
      <c r="W43" t="str">
        <f ca="1">SwapAnnuityDelta($G43,$H43,$I43,$K43,$L43,$N43,$O43,$P43,$D43,$T43,RealTime!$A$2:$B$43,TODAY())</f>
        <v>オブジェクトが必要です。</v>
      </c>
      <c r="Z43" t="str">
        <f ca="1">IF($B43=1,BucketedDelta($G43,$H43,$I43,$K43,$L43,$N43,$O43,$P43,$D43,$T43,$J43,RealTime!$A$2:$B$43,TODAY(),FALSE),"")</f>
        <v/>
      </c>
    </row>
    <row r="44" spans="6:26" x14ac:dyDescent="0.2">
      <c r="F44" t="str">
        <f ca="1">IF($E44="","",NotionalForDelta($E44,$G44,$H44,$I44,$K44,$L44,$N44,$O44,$P44,$T44,RealTime!$A$2:$B$43,TODAY()))</f>
        <v/>
      </c>
      <c r="Q44" t="str">
        <f ca="1">FairRate($G44,$H44,$I44,$K44,$L44,$N44,$O44,$P44,RealTime!$A$2:$B$43,TODAY())</f>
        <v>オブジェクトが必要です。</v>
      </c>
      <c r="R44" t="str">
        <f t="shared" ca="1" si="2"/>
        <v/>
      </c>
      <c r="S44" t="str">
        <f t="shared" ca="1" si="3"/>
        <v/>
      </c>
      <c r="U44" t="str">
        <f ca="1">SwapPV($G44,$H44,$I44,$K44,$L44,$N44,$O44,$P44,$D44,$T44,$J44,RealTime!$A$2:$B$43,TODAY())</f>
        <v>オブジェクトが必要です。</v>
      </c>
      <c r="V44" t="str">
        <f ca="1">SwapDelta($G44,$H44,$I44,$K44,$L44,$N44,$O44,$P44,$D44,$T44,$J44,RealTime!$A$2:$B$43,TODAY())</f>
        <v>オブジェクトが必要です。</v>
      </c>
      <c r="W44" t="str">
        <f ca="1">SwapAnnuityDelta($G44,$H44,$I44,$K44,$L44,$N44,$O44,$P44,$D44,$T44,RealTime!$A$2:$B$43,TODAY())</f>
        <v>オブジェクトが必要です。</v>
      </c>
      <c r="Z44" t="str">
        <f ca="1">IF($B44=1,BucketedDelta($G44,$H44,$I44,$K44,$L44,$N44,$O44,$P44,$D44,$T44,$J44,RealTime!$A$2:$B$43,TODAY(),FALSE),"")</f>
        <v/>
      </c>
    </row>
    <row r="45" spans="6:26" x14ac:dyDescent="0.2">
      <c r="F45" t="str">
        <f ca="1">IF($E45="","",NotionalForDelta($E45,$G45,$H45,$I45,$K45,$L45,$N45,$O45,$P45,$T45,RealTime!$A$2:$B$43,TODAY()))</f>
        <v/>
      </c>
      <c r="Q45" t="str">
        <f ca="1">FairRate($G45,$H45,$I45,$K45,$L45,$N45,$O45,$P45,RealTime!$A$2:$B$43,TODAY())</f>
        <v>オブジェクトが必要です。</v>
      </c>
      <c r="R45" t="str">
        <f t="shared" ca="1" si="2"/>
        <v/>
      </c>
      <c r="S45" t="str">
        <f t="shared" ca="1" si="3"/>
        <v/>
      </c>
      <c r="U45" t="str">
        <f ca="1">SwapPV($G45,$H45,$I45,$K45,$L45,$N45,$O45,$P45,$D45,$T45,$J45,RealTime!$A$2:$B$43,TODAY())</f>
        <v>オブジェクトが必要です。</v>
      </c>
      <c r="V45" t="str">
        <f ca="1">SwapDelta($G45,$H45,$I45,$K45,$L45,$N45,$O45,$P45,$D45,$T45,$J45,RealTime!$A$2:$B$43,TODAY())</f>
        <v>オブジェクトが必要です。</v>
      </c>
      <c r="W45" t="str">
        <f ca="1">SwapAnnuityDelta($G45,$H45,$I45,$K45,$L45,$N45,$O45,$P45,$D45,$T45,RealTime!$A$2:$B$43,TODAY())</f>
        <v>オブジェクトが必要です。</v>
      </c>
      <c r="Z45" t="str">
        <f ca="1">IF($B45=1,BucketedDelta($G45,$H45,$I45,$K45,$L45,$N45,$O45,$P45,$D45,$T45,$J45,RealTime!$A$2:$B$43,TODAY(),FALSE),"")</f>
        <v/>
      </c>
    </row>
    <row r="46" spans="6:26" x14ac:dyDescent="0.2">
      <c r="F46" t="str">
        <f ca="1">IF($E46="","",NotionalForDelta($E46,$G46,$H46,$I46,$K46,$L46,$N46,$O46,$P46,$T46,RealTime!$A$2:$B$43,TODAY()))</f>
        <v/>
      </c>
      <c r="Q46" t="str">
        <f ca="1">FairRate($G46,$H46,$I46,$K46,$L46,$N46,$O46,$P46,RealTime!$A$2:$B$43,TODAY())</f>
        <v>オブジェクトが必要です。</v>
      </c>
      <c r="R46" t="str">
        <f t="shared" ca="1" si="2"/>
        <v/>
      </c>
      <c r="S46" t="str">
        <f t="shared" ca="1" si="3"/>
        <v/>
      </c>
      <c r="U46" t="str">
        <f ca="1">SwapPV($G46,$H46,$I46,$K46,$L46,$N46,$O46,$P46,$D46,$T46,$J46,RealTime!$A$2:$B$43,TODAY())</f>
        <v>オブジェクトが必要です。</v>
      </c>
      <c r="V46" t="str">
        <f ca="1">SwapDelta($G46,$H46,$I46,$K46,$L46,$N46,$O46,$P46,$D46,$T46,$J46,RealTime!$A$2:$B$43,TODAY())</f>
        <v>オブジェクトが必要です。</v>
      </c>
      <c r="W46" t="str">
        <f ca="1">SwapAnnuityDelta($G46,$H46,$I46,$K46,$L46,$N46,$O46,$P46,$D46,$T46,RealTime!$A$2:$B$43,TODAY())</f>
        <v>オブジェクトが必要です。</v>
      </c>
      <c r="Z46" t="str">
        <f ca="1">IF($B46=1,BucketedDelta($G46,$H46,$I46,$K46,$L46,$N46,$O46,$P46,$D46,$T46,$J46,RealTime!$A$2:$B$43,TODAY(),FALSE),"")</f>
        <v/>
      </c>
    </row>
    <row r="47" spans="6:26" x14ac:dyDescent="0.2">
      <c r="F47" t="str">
        <f ca="1">IF($E47="","",NotionalForDelta($E47,$G47,$H47,$I47,$K47,$L47,$N47,$O47,$P47,$T47,RealTime!$A$2:$B$43,TODAY()))</f>
        <v/>
      </c>
      <c r="Q47" t="str">
        <f ca="1">FairRate($G47,$H47,$I47,$K47,$L47,$N47,$O47,$P47,RealTime!$A$2:$B$43,TODAY())</f>
        <v>オブジェクトが必要です。</v>
      </c>
      <c r="R47" t="str">
        <f t="shared" ca="1" si="2"/>
        <v/>
      </c>
      <c r="S47" t="str">
        <f t="shared" ca="1" si="3"/>
        <v/>
      </c>
      <c r="U47" t="str">
        <f ca="1">SwapPV($G47,$H47,$I47,$K47,$L47,$N47,$O47,$P47,$D47,$T47,$J47,RealTime!$A$2:$B$43,TODAY())</f>
        <v>オブジェクトが必要です。</v>
      </c>
      <c r="V47" t="str">
        <f ca="1">SwapDelta($G47,$H47,$I47,$K47,$L47,$N47,$O47,$P47,$D47,$T47,$J47,RealTime!$A$2:$B$43,TODAY())</f>
        <v>オブジェクトが必要です。</v>
      </c>
      <c r="W47" t="str">
        <f ca="1">SwapAnnuityDelta($G47,$H47,$I47,$K47,$L47,$N47,$O47,$P47,$D47,$T47,RealTime!$A$2:$B$43,TODAY())</f>
        <v>オブジェクトが必要です。</v>
      </c>
      <c r="Z47" t="str">
        <f ca="1">IF($B47=1,BucketedDelta($G47,$H47,$I47,$K47,$L47,$N47,$O47,$P47,$D47,$T47,$J47,RealTime!$A$2:$B$43,TODAY(),FALSE),"")</f>
        <v/>
      </c>
    </row>
    <row r="48" spans="6:26" x14ac:dyDescent="0.2">
      <c r="F48" t="str">
        <f ca="1">IF($E48="","",NotionalForDelta($E48,$G48,$H48,$I48,$K48,$L48,$N48,$O48,$P48,$T48,RealTime!$A$2:$B$43,TODAY()))</f>
        <v/>
      </c>
      <c r="Q48" t="str">
        <f ca="1">FairRate($G48,$H48,$I48,$K48,$L48,$N48,$O48,$P48,RealTime!$A$2:$B$43,TODAY())</f>
        <v>オブジェクトが必要です。</v>
      </c>
      <c r="R48" t="str">
        <f t="shared" ca="1" si="2"/>
        <v/>
      </c>
      <c r="S48" t="str">
        <f t="shared" ca="1" si="3"/>
        <v/>
      </c>
      <c r="U48" t="str">
        <f ca="1">SwapPV($G48,$H48,$I48,$K48,$L48,$N48,$O48,$P48,$D48,$T48,$J48,RealTime!$A$2:$B$43,TODAY())</f>
        <v>オブジェクトが必要です。</v>
      </c>
      <c r="V48" t="str">
        <f ca="1">SwapDelta($G48,$H48,$I48,$K48,$L48,$N48,$O48,$P48,$D48,$T48,$J48,RealTime!$A$2:$B$43,TODAY())</f>
        <v>オブジェクトが必要です。</v>
      </c>
      <c r="W48" t="str">
        <f ca="1">SwapAnnuityDelta($G48,$H48,$I48,$K48,$L48,$N48,$O48,$P48,$D48,$T48,RealTime!$A$2:$B$43,TODAY())</f>
        <v>オブジェクトが必要です。</v>
      </c>
      <c r="Z48" t="str">
        <f ca="1">IF($B48=1,BucketedDelta($G48,$H48,$I48,$K48,$L48,$N48,$O48,$P48,$D48,$T48,$J48,RealTime!$A$2:$B$43,TODAY(),FALSE),"")</f>
        <v/>
      </c>
    </row>
    <row r="49" spans="6:26" x14ac:dyDescent="0.2">
      <c r="F49" t="str">
        <f ca="1">IF($E49="","",NotionalForDelta($E49,$G49,$H49,$I49,$K49,$L49,$N49,$O49,$P49,$T49,RealTime!$A$2:$B$43,TODAY()))</f>
        <v/>
      </c>
      <c r="Q49" t="str">
        <f ca="1">FairRate($G49,$H49,$I49,$K49,$L49,$N49,$O49,$P49,RealTime!$A$2:$B$43,TODAY())</f>
        <v>オブジェクトが必要です。</v>
      </c>
      <c r="R49" t="str">
        <f t="shared" ca="1" si="2"/>
        <v/>
      </c>
      <c r="S49" t="str">
        <f t="shared" ca="1" si="3"/>
        <v/>
      </c>
      <c r="U49" t="str">
        <f ca="1">SwapPV($G49,$H49,$I49,$K49,$L49,$N49,$O49,$P49,$D49,$T49,$J49,RealTime!$A$2:$B$43,TODAY())</f>
        <v>オブジェクトが必要です。</v>
      </c>
      <c r="V49" t="str">
        <f ca="1">SwapDelta($G49,$H49,$I49,$K49,$L49,$N49,$O49,$P49,$D49,$T49,$J49,RealTime!$A$2:$B$43,TODAY())</f>
        <v>オブジェクトが必要です。</v>
      </c>
      <c r="W49" t="str">
        <f ca="1">SwapAnnuityDelta($G49,$H49,$I49,$K49,$L49,$N49,$O49,$P49,$D49,$T49,RealTime!$A$2:$B$43,TODAY())</f>
        <v>オブジェクトが必要です。</v>
      </c>
      <c r="Z49" t="str">
        <f ca="1">IF($B49=1,BucketedDelta($G49,$H49,$I49,$K49,$L49,$N49,$O49,$P49,$D49,$T49,$J49,RealTime!$A$2:$B$43,TODAY(),FALSE),"")</f>
        <v/>
      </c>
    </row>
    <row r="50" spans="6:26" x14ac:dyDescent="0.2">
      <c r="F50" t="str">
        <f ca="1">IF($E50="","",NotionalForDelta($E50,$G50,$H50,$I50,$K50,$L50,$N50,$O50,$P50,$T50,RealTime!$A$2:$B$43,TODAY()))</f>
        <v/>
      </c>
      <c r="Q50" t="str">
        <f ca="1">FairRate($G50,$H50,$I50,$K50,$L50,$N50,$O50,$P50,RealTime!$A$2:$B$43,TODAY())</f>
        <v>オブジェクトが必要です。</v>
      </c>
      <c r="R50" t="str">
        <f t="shared" ca="1" si="2"/>
        <v/>
      </c>
      <c r="S50" t="str">
        <f t="shared" ca="1" si="3"/>
        <v/>
      </c>
      <c r="U50" t="str">
        <f ca="1">SwapPV($G50,$H50,$I50,$K50,$L50,$N50,$O50,$P50,$D50,$T50,$J50,RealTime!$A$2:$B$43,TODAY())</f>
        <v>オブジェクトが必要です。</v>
      </c>
      <c r="V50" t="str">
        <f ca="1">SwapDelta($G50,$H50,$I50,$K50,$L50,$N50,$O50,$P50,$D50,$T50,$J50,RealTime!$A$2:$B$43,TODAY())</f>
        <v>オブジェクトが必要です。</v>
      </c>
      <c r="W50" t="str">
        <f ca="1">SwapAnnuityDelta($G50,$H50,$I50,$K50,$L50,$N50,$O50,$P50,$D50,$T50,RealTime!$A$2:$B$43,TODAY())</f>
        <v>オブジェクトが必要です。</v>
      </c>
      <c r="Z50" t="str">
        <f ca="1">IF($B50=1,BucketedDelta($G50,$H50,$I50,$K50,$L50,$N50,$O50,$P50,$D50,$T50,$J50,RealTime!$A$2:$B$43,TODAY(),FALSE),"")</f>
        <v/>
      </c>
    </row>
    <row r="51" spans="6:26" x14ac:dyDescent="0.2">
      <c r="F51" t="str">
        <f ca="1">IF($E51="","",NotionalForDelta($E51,$G51,$H51,$I51,$K51,$L51,$N51,$O51,$P51,$T51,RealTime!$A$2:$B$43,TODAY()))</f>
        <v/>
      </c>
      <c r="Q51" t="str">
        <f ca="1">FairRate($G51,$H51,$I51,$K51,$L51,$N51,$O51,$P51,RealTime!$A$2:$B$43,TODAY())</f>
        <v>オブジェクトが必要です。</v>
      </c>
      <c r="R51" t="str">
        <f t="shared" ca="1" si="2"/>
        <v/>
      </c>
      <c r="S51" t="str">
        <f t="shared" ca="1" si="3"/>
        <v/>
      </c>
      <c r="U51" t="str">
        <f ca="1">SwapPV($G51,$H51,$I51,$K51,$L51,$N51,$O51,$P51,$D51,$T51,$J51,RealTime!$A$2:$B$43,TODAY())</f>
        <v>オブジェクトが必要です。</v>
      </c>
      <c r="V51" t="str">
        <f ca="1">SwapDelta($G51,$H51,$I51,$K51,$L51,$N51,$O51,$P51,$D51,$T51,$J51,RealTime!$A$2:$B$43,TODAY())</f>
        <v>オブジェクトが必要です。</v>
      </c>
      <c r="W51" t="str">
        <f ca="1">SwapAnnuityDelta($G51,$H51,$I51,$K51,$L51,$N51,$O51,$P51,$D51,$T51,RealTime!$A$2:$B$43,TODAY())</f>
        <v>オブジェクトが必要です。</v>
      </c>
      <c r="Z51" t="str">
        <f ca="1">IF($B51=1,BucketedDelta($G51,$H51,$I51,$K51,$L51,$N51,$O51,$P51,$D51,$T51,$J51,RealTime!$A$2:$B$43,TODAY(),FALSE),"")</f>
        <v/>
      </c>
    </row>
    <row r="52" spans="6:26" x14ac:dyDescent="0.2">
      <c r="F52" t="str">
        <f ca="1">IF($E52="","",NotionalForDelta($E52,$G52,$H52,$I52,$K52,$L52,$N52,$O52,$P52,$T52,RealTime!$A$2:$B$43,TODAY()))</f>
        <v/>
      </c>
      <c r="Q52" t="str">
        <f ca="1">FairRate($G52,$H52,$I52,$K52,$L52,$N52,$O52,$P52,RealTime!$A$2:$B$43,TODAY())</f>
        <v>オブジェクトが必要です。</v>
      </c>
      <c r="R52" t="str">
        <f t="shared" ca="1" si="2"/>
        <v/>
      </c>
      <c r="S52" t="str">
        <f t="shared" ca="1" si="3"/>
        <v/>
      </c>
      <c r="U52" t="str">
        <f ca="1">SwapPV($G52,$H52,$I52,$K52,$L52,$N52,$O52,$P52,$D52,$T52,$J52,RealTime!$A$2:$B$43,TODAY())</f>
        <v>オブジェクトが必要です。</v>
      </c>
      <c r="V52" t="str">
        <f ca="1">SwapDelta($G52,$H52,$I52,$K52,$L52,$N52,$O52,$P52,$D52,$T52,$J52,RealTime!$A$2:$B$43,TODAY())</f>
        <v>オブジェクトが必要です。</v>
      </c>
      <c r="W52" t="str">
        <f ca="1">SwapAnnuityDelta($G52,$H52,$I52,$K52,$L52,$N52,$O52,$P52,$D52,$T52,RealTime!$A$2:$B$43,TODAY())</f>
        <v>オブジェクトが必要です。</v>
      </c>
      <c r="Z52" t="str">
        <f ca="1">IF($B52=1,BucketedDelta($G52,$H52,$I52,$K52,$L52,$N52,$O52,$P52,$D52,$T52,$J52,RealTime!$A$2:$B$43,TODAY(),FALSE),"")</f>
        <v/>
      </c>
    </row>
    <row r="53" spans="6:26" x14ac:dyDescent="0.2">
      <c r="F53" t="str">
        <f ca="1">IF($E53="","",NotionalForDelta($E53,$G53,$H53,$I53,$K53,$L53,$N53,$O53,$P53,$T53,RealTime!$A$2:$B$43,TODAY()))</f>
        <v/>
      </c>
      <c r="Q53" t="str">
        <f ca="1">FairRate($G53,$H53,$I53,$K53,$L53,$N53,$O53,$P53,RealTime!$A$2:$B$43,TODAY())</f>
        <v>オブジェクトが必要です。</v>
      </c>
      <c r="R53" t="str">
        <f t="shared" ca="1" si="2"/>
        <v/>
      </c>
      <c r="S53" t="str">
        <f t="shared" ca="1" si="3"/>
        <v/>
      </c>
      <c r="U53" t="str">
        <f ca="1">SwapPV($G53,$H53,$I53,$K53,$L53,$N53,$O53,$P53,$D53,$T53,$J53,RealTime!$A$2:$B$43,TODAY())</f>
        <v>オブジェクトが必要です。</v>
      </c>
      <c r="V53" t="str">
        <f ca="1">SwapDelta($G53,$H53,$I53,$K53,$L53,$N53,$O53,$P53,$D53,$T53,$J53,RealTime!$A$2:$B$43,TODAY())</f>
        <v>オブジェクトが必要です。</v>
      </c>
      <c r="W53" t="str">
        <f ca="1">SwapAnnuityDelta($G53,$H53,$I53,$K53,$L53,$N53,$O53,$P53,$D53,$T53,RealTime!$A$2:$B$43,TODAY())</f>
        <v>オブジェクトが必要です。</v>
      </c>
      <c r="Z53" t="str">
        <f ca="1">IF($B53=1,BucketedDelta($G53,$H53,$I53,$K53,$L53,$N53,$O53,$P53,$D53,$T53,$J53,RealTime!$A$2:$B$43,TODAY(),FALSE),"")</f>
        <v/>
      </c>
    </row>
    <row r="54" spans="6:26" x14ac:dyDescent="0.2">
      <c r="F54" t="str">
        <f ca="1">IF($E54="","",NotionalForDelta($E54,$G54,$H54,$I54,$K54,$L54,$N54,$O54,$P54,$T54,RealTime!$A$2:$B$43,TODAY()))</f>
        <v/>
      </c>
      <c r="Q54" t="str">
        <f ca="1">FairRate($G54,$H54,$I54,$K54,$L54,$N54,$O54,$P54,RealTime!$A$2:$B$43,TODAY())</f>
        <v>オブジェクトが必要です。</v>
      </c>
      <c r="R54" t="str">
        <f t="shared" ca="1" si="2"/>
        <v/>
      </c>
      <c r="S54" t="str">
        <f t="shared" ca="1" si="3"/>
        <v/>
      </c>
      <c r="U54" t="str">
        <f ca="1">SwapPV($G54,$H54,$I54,$K54,$L54,$N54,$O54,$P54,$D54,$T54,$J54,RealTime!$A$2:$B$43,TODAY())</f>
        <v>オブジェクトが必要です。</v>
      </c>
      <c r="V54" t="str">
        <f ca="1">SwapDelta($G54,$H54,$I54,$K54,$L54,$N54,$O54,$P54,$D54,$T54,$J54,RealTime!$A$2:$B$43,TODAY())</f>
        <v>オブジェクトが必要です。</v>
      </c>
      <c r="W54" t="str">
        <f ca="1">SwapAnnuityDelta($G54,$H54,$I54,$K54,$L54,$N54,$O54,$P54,$D54,$T54,RealTime!$A$2:$B$43,TODAY())</f>
        <v>オブジェクトが必要です。</v>
      </c>
      <c r="Z54" t="str">
        <f ca="1">IF($B54=1,BucketedDelta($G54,$H54,$I54,$K54,$L54,$N54,$O54,$P54,$D54,$T54,$J54,RealTime!$A$2:$B$43,TODAY(),FALSE),"")</f>
        <v/>
      </c>
    </row>
    <row r="55" spans="6:26" x14ac:dyDescent="0.2">
      <c r="F55" t="str">
        <f ca="1">IF($E55="","",NotionalForDelta($E55,$G55,$H55,$I55,$K55,$L55,$N55,$O55,$P55,$T55,RealTime!$A$2:$B$43,TODAY()))</f>
        <v/>
      </c>
      <c r="Q55" t="str">
        <f ca="1">FairRate($G55,$H55,$I55,$K55,$L55,$N55,$O55,$P55,RealTime!$A$2:$B$43,TODAY())</f>
        <v>オブジェクトが必要です。</v>
      </c>
      <c r="R55" t="str">
        <f t="shared" ca="1" si="2"/>
        <v/>
      </c>
      <c r="S55" t="str">
        <f t="shared" ca="1" si="3"/>
        <v/>
      </c>
      <c r="U55" t="str">
        <f ca="1">SwapPV($G55,$H55,$I55,$K55,$L55,$N55,$O55,$P55,$D55,$T55,$J55,RealTime!$A$2:$B$43,TODAY())</f>
        <v>オブジェクトが必要です。</v>
      </c>
      <c r="V55" t="str">
        <f ca="1">SwapDelta($G55,$H55,$I55,$K55,$L55,$N55,$O55,$P55,$D55,$T55,$J55,RealTime!$A$2:$B$43,TODAY())</f>
        <v>オブジェクトが必要です。</v>
      </c>
      <c r="W55" t="str">
        <f ca="1">SwapAnnuityDelta($G55,$H55,$I55,$K55,$L55,$N55,$O55,$P55,$D55,$T55,RealTime!$A$2:$B$43,TODAY())</f>
        <v>オブジェクトが必要です。</v>
      </c>
      <c r="Z55" t="str">
        <f ca="1">IF($B55=1,BucketedDelta($G55,$H55,$I55,$K55,$L55,$N55,$O55,$P55,$D55,$T55,$J55,RealTime!$A$2:$B$43,TODAY(),FALSE),"")</f>
        <v/>
      </c>
    </row>
    <row r="56" spans="6:26" x14ac:dyDescent="0.2">
      <c r="F56" t="str">
        <f ca="1">IF($E56="","",NotionalForDelta($E56,$G56,$H56,$I56,$K56,$L56,$N56,$O56,$P56,$T56,RealTime!$A$2:$B$43,TODAY()))</f>
        <v/>
      </c>
      <c r="Q56" t="str">
        <f ca="1">FairRate($G56,$H56,$I56,$K56,$L56,$N56,$O56,$P56,RealTime!$A$2:$B$43,TODAY())</f>
        <v>オブジェクトが必要です。</v>
      </c>
      <c r="R56" t="str">
        <f t="shared" ca="1" si="2"/>
        <v/>
      </c>
      <c r="S56" t="str">
        <f t="shared" ca="1" si="3"/>
        <v/>
      </c>
      <c r="U56" t="str">
        <f ca="1">SwapPV($G56,$H56,$I56,$K56,$L56,$N56,$O56,$P56,$D56,$T56,$J56,RealTime!$A$2:$B$43,TODAY())</f>
        <v>オブジェクトが必要です。</v>
      </c>
      <c r="V56" t="str">
        <f ca="1">SwapDelta($G56,$H56,$I56,$K56,$L56,$N56,$O56,$P56,$D56,$T56,$J56,RealTime!$A$2:$B$43,TODAY())</f>
        <v>オブジェクトが必要です。</v>
      </c>
      <c r="W56" t="str">
        <f ca="1">SwapAnnuityDelta($G56,$H56,$I56,$K56,$L56,$N56,$O56,$P56,$D56,$T56,RealTime!$A$2:$B$43,TODAY())</f>
        <v>オブジェクトが必要です。</v>
      </c>
      <c r="Z56" t="str">
        <f ca="1">IF($B56=1,BucketedDelta($G56,$H56,$I56,$K56,$L56,$N56,$O56,$P56,$D56,$T56,$J56,RealTime!$A$2:$B$43,TODAY(),FALSE),"")</f>
        <v/>
      </c>
    </row>
    <row r="57" spans="6:26" x14ac:dyDescent="0.2">
      <c r="F57" t="str">
        <f ca="1">IF($E57="","",NotionalForDelta($E57,$G57,$H57,$I57,$K57,$L57,$N57,$O57,$P57,$T57,RealTime!$A$2:$B$43,TODAY()))</f>
        <v/>
      </c>
      <c r="Q57" t="str">
        <f ca="1">FairRate($G57,$H57,$I57,$K57,$L57,$N57,$O57,$P57,RealTime!$A$2:$B$43,TODAY())</f>
        <v>オブジェクトが必要です。</v>
      </c>
      <c r="R57" t="str">
        <f t="shared" ca="1" si="2"/>
        <v/>
      </c>
      <c r="S57" t="str">
        <f t="shared" ca="1" si="3"/>
        <v/>
      </c>
      <c r="U57" t="str">
        <f ca="1">SwapPV($G57,$H57,$I57,$K57,$L57,$N57,$O57,$P57,$D57,$T57,$J57,RealTime!$A$2:$B$43,TODAY())</f>
        <v>オブジェクトが必要です。</v>
      </c>
      <c r="V57" t="str">
        <f ca="1">SwapDelta($G57,$H57,$I57,$K57,$L57,$N57,$O57,$P57,$D57,$T57,$J57,RealTime!$A$2:$B$43,TODAY())</f>
        <v>オブジェクトが必要です。</v>
      </c>
      <c r="W57" t="str">
        <f ca="1">SwapAnnuityDelta($G57,$H57,$I57,$K57,$L57,$N57,$O57,$P57,$D57,$T57,RealTime!$A$2:$B$43,TODAY())</f>
        <v>オブジェクトが必要です。</v>
      </c>
      <c r="Z57" t="str">
        <f ca="1">IF($B57=1,BucketedDelta($G57,$H57,$I57,$K57,$L57,$N57,$O57,$P57,$D57,$T57,$J57,RealTime!$A$2:$B$43,TODAY(),FALSE),"")</f>
        <v/>
      </c>
    </row>
    <row r="58" spans="6:26" x14ac:dyDescent="0.2">
      <c r="F58" t="str">
        <f ca="1">IF($E58="","",NotionalForDelta($E58,$G58,$H58,$I58,$K58,$L58,$N58,$O58,$P58,$T58,RealTime!$A$2:$B$43,TODAY()))</f>
        <v/>
      </c>
      <c r="Q58" t="str">
        <f ca="1">FairRate($G58,$H58,$I58,$K58,$L58,$N58,$O58,$P58,RealTime!$A$2:$B$43,TODAY())</f>
        <v>オブジェクトが必要です。</v>
      </c>
      <c r="R58" t="str">
        <f t="shared" ca="1" si="2"/>
        <v/>
      </c>
      <c r="S58" t="str">
        <f t="shared" ca="1" si="3"/>
        <v/>
      </c>
      <c r="U58" t="str">
        <f ca="1">SwapPV($G58,$H58,$I58,$K58,$L58,$N58,$O58,$P58,$D58,$T58,$J58,RealTime!$A$2:$B$43,TODAY())</f>
        <v>オブジェクトが必要です。</v>
      </c>
      <c r="V58" t="str">
        <f ca="1">SwapDelta($G58,$H58,$I58,$K58,$L58,$N58,$O58,$P58,$D58,$T58,$J58,RealTime!$A$2:$B$43,TODAY())</f>
        <v>オブジェクトが必要です。</v>
      </c>
      <c r="W58" t="str">
        <f ca="1">SwapAnnuityDelta($G58,$H58,$I58,$K58,$L58,$N58,$O58,$P58,$D58,$T58,RealTime!$A$2:$B$43,TODAY())</f>
        <v>オブジェクトが必要です。</v>
      </c>
      <c r="Z58" t="str">
        <f ca="1">IF($B58=1,BucketedDelta($G58,$H58,$I58,$K58,$L58,$N58,$O58,$P58,$D58,$T58,$J58,RealTime!$A$2:$B$43,TODAY(),FALSE),"")</f>
        <v/>
      </c>
    </row>
    <row r="59" spans="6:26" x14ac:dyDescent="0.2">
      <c r="F59" t="str">
        <f ca="1">IF($E59="","",NotionalForDelta($E59,$G59,$H59,$I59,$K59,$L59,$N59,$O59,$P59,$T59,RealTime!$A$2:$B$43,TODAY()))</f>
        <v/>
      </c>
      <c r="Q59" t="str">
        <f ca="1">FairRate($G59,$H59,$I59,$K59,$L59,$N59,$O59,$P59,RealTime!$A$2:$B$43,TODAY())</f>
        <v>オブジェクトが必要です。</v>
      </c>
      <c r="R59" t="str">
        <f t="shared" ca="1" si="2"/>
        <v/>
      </c>
      <c r="S59" t="str">
        <f t="shared" ca="1" si="3"/>
        <v/>
      </c>
      <c r="U59" t="str">
        <f ca="1">SwapPV($G59,$H59,$I59,$K59,$L59,$N59,$O59,$P59,$D59,$T59,$J59,RealTime!$A$2:$B$43,TODAY())</f>
        <v>オブジェクトが必要です。</v>
      </c>
      <c r="V59" t="str">
        <f ca="1">SwapDelta($G59,$H59,$I59,$K59,$L59,$N59,$O59,$P59,$D59,$T59,$J59,RealTime!$A$2:$B$43,TODAY())</f>
        <v>オブジェクトが必要です。</v>
      </c>
      <c r="W59" t="str">
        <f ca="1">SwapAnnuityDelta($G59,$H59,$I59,$K59,$L59,$N59,$O59,$P59,$D59,$T59,RealTime!$A$2:$B$43,TODAY())</f>
        <v>オブジェクトが必要です。</v>
      </c>
      <c r="Z59" t="str">
        <f ca="1">IF($B59=1,BucketedDelta($G59,$H59,$I59,$K59,$L59,$N59,$O59,$P59,$D59,$T59,$J59,RealTime!$A$2:$B$43,TODAY(),FALSE),"")</f>
        <v/>
      </c>
    </row>
    <row r="60" spans="6:26" x14ac:dyDescent="0.2">
      <c r="F60" t="str">
        <f ca="1">IF($E60="","",NotionalForDelta($E60,$G60,$H60,$I60,$K60,$L60,$N60,$O60,$P60,$T60,RealTime!$A$2:$B$43,TODAY()))</f>
        <v/>
      </c>
      <c r="Q60" t="str">
        <f ca="1">FairRate($G60,$H60,$I60,$K60,$L60,$N60,$O60,$P60,RealTime!$A$2:$B$43,TODAY())</f>
        <v>オブジェクトが必要です。</v>
      </c>
      <c r="R60" t="str">
        <f t="shared" ca="1" si="2"/>
        <v/>
      </c>
      <c r="S60" t="str">
        <f t="shared" ca="1" si="3"/>
        <v/>
      </c>
      <c r="U60" t="str">
        <f ca="1">SwapPV($G60,$H60,$I60,$K60,$L60,$N60,$O60,$P60,$D60,$T60,$J60,RealTime!$A$2:$B$43,TODAY())</f>
        <v>オブジェクトが必要です。</v>
      </c>
      <c r="V60" t="str">
        <f ca="1">SwapDelta($G60,$H60,$I60,$K60,$L60,$N60,$O60,$P60,$D60,$T60,$J60,RealTime!$A$2:$B$43,TODAY())</f>
        <v>オブジェクトが必要です。</v>
      </c>
      <c r="W60" t="str">
        <f ca="1">SwapAnnuityDelta($G60,$H60,$I60,$K60,$L60,$N60,$O60,$P60,$D60,$T60,RealTime!$A$2:$B$43,TODAY())</f>
        <v>オブジェクトが必要です。</v>
      </c>
      <c r="Z60" t="str">
        <f ca="1">IF($B60=1,BucketedDelta($G60,$H60,$I60,$K60,$L60,$N60,$O60,$P60,$D60,$T60,$J60,RealTime!$A$2:$B$43,TODAY(),FALSE),"")</f>
        <v/>
      </c>
    </row>
    <row r="61" spans="6:26" x14ac:dyDescent="0.2">
      <c r="F61" t="str">
        <f ca="1">IF($E61="","",NotionalForDelta($E61,$G61,$H61,$I61,$K61,$L61,$N61,$O61,$P61,$T61,RealTime!$A$2:$B$43,TODAY()))</f>
        <v/>
      </c>
      <c r="Q61" t="str">
        <f ca="1">FairRate($G61,$H61,$I61,$K61,$L61,$N61,$O61,$P61,RealTime!$A$2:$B$43,TODAY())</f>
        <v>オブジェクトが必要です。</v>
      </c>
      <c r="R61" t="str">
        <f t="shared" ca="1" si="2"/>
        <v/>
      </c>
      <c r="S61" t="str">
        <f t="shared" ca="1" si="3"/>
        <v/>
      </c>
      <c r="U61" t="str">
        <f ca="1">SwapPV($G61,$H61,$I61,$K61,$L61,$N61,$O61,$P61,$D61,$T61,$J61,RealTime!$A$2:$B$43,TODAY())</f>
        <v>オブジェクトが必要です。</v>
      </c>
      <c r="V61" t="str">
        <f ca="1">SwapDelta($G61,$H61,$I61,$K61,$L61,$N61,$O61,$P61,$D61,$T61,$J61,RealTime!$A$2:$B$43,TODAY())</f>
        <v>オブジェクトが必要です。</v>
      </c>
      <c r="W61" t="str">
        <f ca="1">SwapAnnuityDelta($G61,$H61,$I61,$K61,$L61,$N61,$O61,$P61,$D61,$T61,RealTime!$A$2:$B$43,TODAY())</f>
        <v>オブジェクトが必要です。</v>
      </c>
      <c r="Z61" t="str">
        <f ca="1">IF($B61=1,BucketedDelta($G61,$H61,$I61,$K61,$L61,$N61,$O61,$P61,$D61,$T61,$J61,RealTime!$A$2:$B$43,TODAY(),FALSE),"")</f>
        <v/>
      </c>
    </row>
    <row r="62" spans="6:26" x14ac:dyDescent="0.2">
      <c r="F62" t="str">
        <f ca="1">IF($E62="","",NotionalForDelta($E62,$G62,$H62,$I62,$K62,$L62,$N62,$O62,$P62,$T62,RealTime!$A$2:$B$43,TODAY()))</f>
        <v/>
      </c>
      <c r="Q62" t="str">
        <f ca="1">FairRate($G62,$H62,$I62,$K62,$L62,$N62,$O62,$P62,RealTime!$A$2:$B$43,TODAY())</f>
        <v>オブジェクトが必要です。</v>
      </c>
      <c r="R62" t="str">
        <f t="shared" ca="1" si="2"/>
        <v/>
      </c>
      <c r="S62" t="str">
        <f t="shared" ca="1" si="3"/>
        <v/>
      </c>
      <c r="U62" t="str">
        <f ca="1">SwapPV($G62,$H62,$I62,$K62,$L62,$N62,$O62,$P62,$D62,$T62,$J62,RealTime!$A$2:$B$43,TODAY())</f>
        <v>オブジェクトが必要です。</v>
      </c>
      <c r="V62" t="str">
        <f ca="1">SwapDelta($G62,$H62,$I62,$K62,$L62,$N62,$O62,$P62,$D62,$T62,$J62,RealTime!$A$2:$B$43,TODAY())</f>
        <v>オブジェクトが必要です。</v>
      </c>
      <c r="W62" t="str">
        <f ca="1">SwapAnnuityDelta($G62,$H62,$I62,$K62,$L62,$N62,$O62,$P62,$D62,$T62,RealTime!$A$2:$B$43,TODAY())</f>
        <v>オブジェクトが必要です。</v>
      </c>
      <c r="Z62" t="str">
        <f ca="1">IF($B62=1,BucketedDelta($G62,$H62,$I62,$K62,$L62,$N62,$O62,$P62,$D62,$T62,$J62,RealTime!$A$2:$B$43,TODAY(),FALSE),"")</f>
        <v/>
      </c>
    </row>
    <row r="63" spans="6:26" x14ac:dyDescent="0.2">
      <c r="F63" t="str">
        <f ca="1">IF($E63="","",NotionalForDelta($E63,$G63,$H63,$I63,$K63,$L63,$N63,$O63,$P63,$T63,RealTime!$A$2:$B$43,TODAY()))</f>
        <v/>
      </c>
      <c r="Q63" t="str">
        <f ca="1">FairRate($G63,$H63,$I63,$K63,$L63,$N63,$O63,$P63,RealTime!$A$2:$B$43,TODAY())</f>
        <v>オブジェクトが必要です。</v>
      </c>
      <c r="R63" t="str">
        <f t="shared" ca="1" si="2"/>
        <v/>
      </c>
      <c r="S63" t="str">
        <f t="shared" ca="1" si="3"/>
        <v/>
      </c>
      <c r="U63" t="str">
        <f ca="1">SwapPV($G63,$H63,$I63,$K63,$L63,$N63,$O63,$P63,$D63,$T63,$J63,RealTime!$A$2:$B$43,TODAY())</f>
        <v>オブジェクトが必要です。</v>
      </c>
      <c r="V63" t="str">
        <f ca="1">SwapDelta($G63,$H63,$I63,$K63,$L63,$N63,$O63,$P63,$D63,$T63,$J63,RealTime!$A$2:$B$43,TODAY())</f>
        <v>オブジェクトが必要です。</v>
      </c>
      <c r="W63" t="str">
        <f ca="1">SwapAnnuityDelta($G63,$H63,$I63,$K63,$L63,$N63,$O63,$P63,$D63,$T63,RealTime!$A$2:$B$43,TODAY())</f>
        <v>オブジェクトが必要です。</v>
      </c>
      <c r="Z63" t="str">
        <f ca="1">IF($B63=1,BucketedDelta($G63,$H63,$I63,$K63,$L63,$N63,$O63,$P63,$D63,$T63,$J63,RealTime!$A$2:$B$43,TODAY(),FALSE),"")</f>
        <v/>
      </c>
    </row>
    <row r="64" spans="6:26" x14ac:dyDescent="0.2">
      <c r="F64" t="str">
        <f ca="1">IF($E64="","",NotionalForDelta($E64,$G64,$H64,$I64,$K64,$L64,$N64,$O64,$P64,$T64,RealTime!$A$2:$B$43,TODAY()))</f>
        <v/>
      </c>
      <c r="Q64" t="str">
        <f ca="1">FairRate($G64,$H64,$I64,$K64,$L64,$N64,$O64,$P64,RealTime!$A$2:$B$43,TODAY())</f>
        <v>オブジェクトが必要です。</v>
      </c>
      <c r="R64" t="str">
        <f t="shared" ca="1" si="2"/>
        <v/>
      </c>
      <c r="S64" t="str">
        <f t="shared" ca="1" si="3"/>
        <v/>
      </c>
      <c r="U64" t="str">
        <f ca="1">SwapPV($G64,$H64,$I64,$K64,$L64,$N64,$O64,$P64,$D64,$T64,$J64,RealTime!$A$2:$B$43,TODAY())</f>
        <v>オブジェクトが必要です。</v>
      </c>
      <c r="V64" t="str">
        <f ca="1">SwapDelta($G64,$H64,$I64,$K64,$L64,$N64,$O64,$P64,$D64,$T64,$J64,RealTime!$A$2:$B$43,TODAY())</f>
        <v>オブジェクトが必要です。</v>
      </c>
      <c r="W64" t="str">
        <f ca="1">SwapAnnuityDelta($G64,$H64,$I64,$K64,$L64,$N64,$O64,$P64,$D64,$T64,RealTime!$A$2:$B$43,TODAY())</f>
        <v>オブジェクトが必要です。</v>
      </c>
      <c r="Z64" t="str">
        <f ca="1">IF($B64=1,BucketedDelta($G64,$H64,$I64,$K64,$L64,$N64,$O64,$P64,$D64,$T64,$J64,RealTime!$A$2:$B$43,TODAY(),FALSE),"")</f>
        <v/>
      </c>
    </row>
    <row r="65" spans="6:26" x14ac:dyDescent="0.2">
      <c r="F65" t="str">
        <f ca="1">IF($E65="","",NotionalForDelta($E65,$G65,$H65,$I65,$K65,$L65,$N65,$O65,$P65,$T65,RealTime!$A$2:$B$43,TODAY()))</f>
        <v/>
      </c>
      <c r="Q65" t="str">
        <f ca="1">FairRate($G65,$H65,$I65,$K65,$L65,$N65,$O65,$P65,RealTime!$A$2:$B$43,TODAY())</f>
        <v>オブジェクトが必要です。</v>
      </c>
      <c r="R65" t="str">
        <f t="shared" ca="1" si="2"/>
        <v/>
      </c>
      <c r="S65" t="str">
        <f t="shared" ca="1" si="3"/>
        <v/>
      </c>
      <c r="U65" t="str">
        <f ca="1">SwapPV($G65,$H65,$I65,$K65,$L65,$N65,$O65,$P65,$D65,$T65,$J65,RealTime!$A$2:$B$43,TODAY())</f>
        <v>オブジェクトが必要です。</v>
      </c>
      <c r="V65" t="str">
        <f ca="1">SwapDelta($G65,$H65,$I65,$K65,$L65,$N65,$O65,$P65,$D65,$T65,$J65,RealTime!$A$2:$B$43,TODAY())</f>
        <v>オブジェクトが必要です。</v>
      </c>
      <c r="W65" t="str">
        <f ca="1">SwapAnnuityDelta($G65,$H65,$I65,$K65,$L65,$N65,$O65,$P65,$D65,$T65,RealTime!$A$2:$B$43,TODAY())</f>
        <v>オブジェクトが必要です。</v>
      </c>
      <c r="Z65" t="str">
        <f ca="1">IF($B65=1,BucketedDelta($G65,$H65,$I65,$K65,$L65,$N65,$O65,$P65,$D65,$T65,$J65,RealTime!$A$2:$B$43,TODAY(),FALSE),"")</f>
        <v/>
      </c>
    </row>
    <row r="66" spans="6:26" x14ac:dyDescent="0.2">
      <c r="F66" t="str">
        <f ca="1">IF($E66="","",NotionalForDelta($E66,$G66,$H66,$I66,$K66,$L66,$N66,$O66,$P66,$T66,RealTime!$A$2:$B$43,TODAY()))</f>
        <v/>
      </c>
      <c r="Q66" t="str">
        <f ca="1">FairRate($G66,$H66,$I66,$K66,$L66,$N66,$O66,$P66,RealTime!$A$2:$B$43,TODAY())</f>
        <v>オブジェクトが必要です。</v>
      </c>
      <c r="R66" t="str">
        <f t="shared" ref="R66:R97" ca="1" si="4">IF(ISNUMBER(Q65),Q66-Q65,"")</f>
        <v/>
      </c>
      <c r="S66" t="str">
        <f t="shared" ref="S66:S97" ca="1" si="5">IF(AND(ISNUMBER(Q65),ISNUMBER(Q67)),2*Q66-Q65-Q67,"")</f>
        <v/>
      </c>
      <c r="U66" t="str">
        <f ca="1">SwapPV($G66,$H66,$I66,$K66,$L66,$N66,$O66,$P66,$D66,$T66,$J66,RealTime!$A$2:$B$43,TODAY())</f>
        <v>オブジェクトが必要です。</v>
      </c>
      <c r="V66" t="str">
        <f ca="1">SwapDelta($G66,$H66,$I66,$K66,$L66,$N66,$O66,$P66,$D66,$T66,$J66,RealTime!$A$2:$B$43,TODAY())</f>
        <v>オブジェクトが必要です。</v>
      </c>
      <c r="W66" t="str">
        <f ca="1">SwapAnnuityDelta($G66,$H66,$I66,$K66,$L66,$N66,$O66,$P66,$D66,$T66,RealTime!$A$2:$B$43,TODAY())</f>
        <v>オブジェクトが必要です。</v>
      </c>
      <c r="Z66" t="str">
        <f ca="1">IF($B66=1,BucketedDelta($G66,$H66,$I66,$K66,$L66,$N66,$O66,$P66,$D66,$T66,$J66,RealTime!$A$2:$B$43,TODAY(),FALSE),"")</f>
        <v/>
      </c>
    </row>
    <row r="67" spans="6:26" x14ac:dyDescent="0.2">
      <c r="F67" t="str">
        <f ca="1">IF($E67="","",NotionalForDelta($E67,$G67,$H67,$I67,$K67,$L67,$N67,$O67,$P67,$T67,RealTime!$A$2:$B$43,TODAY()))</f>
        <v/>
      </c>
      <c r="Q67" t="str">
        <f ca="1">FairRate($G67,$H67,$I67,$K67,$L67,$N67,$O67,$P67,RealTime!$A$2:$B$43,TODAY())</f>
        <v>オブジェクトが必要です。</v>
      </c>
      <c r="R67" t="str">
        <f t="shared" ca="1" si="4"/>
        <v/>
      </c>
      <c r="S67" t="str">
        <f t="shared" ca="1" si="5"/>
        <v/>
      </c>
      <c r="U67" t="str">
        <f ca="1">SwapPV($G67,$H67,$I67,$K67,$L67,$N67,$O67,$P67,$D67,$T67,$J67,RealTime!$A$2:$B$43,TODAY())</f>
        <v>オブジェクトが必要です。</v>
      </c>
      <c r="V67" t="str">
        <f ca="1">SwapDelta($G67,$H67,$I67,$K67,$L67,$N67,$O67,$P67,$D67,$T67,$J67,RealTime!$A$2:$B$43,TODAY())</f>
        <v>オブジェクトが必要です。</v>
      </c>
      <c r="W67" t="str">
        <f ca="1">SwapAnnuityDelta($G67,$H67,$I67,$K67,$L67,$N67,$O67,$P67,$D67,$T67,RealTime!$A$2:$B$43,TODAY())</f>
        <v>オブジェクトが必要です。</v>
      </c>
      <c r="Z67" t="str">
        <f ca="1">IF($B67=1,BucketedDelta($G67,$H67,$I67,$K67,$L67,$N67,$O67,$P67,$D67,$T67,$J67,RealTime!$A$2:$B$43,TODAY(),FALSE),"")</f>
        <v/>
      </c>
    </row>
    <row r="68" spans="6:26" x14ac:dyDescent="0.2">
      <c r="F68" t="str">
        <f ca="1">IF($E68="","",NotionalForDelta($E68,$G68,$H68,$I68,$K68,$L68,$N68,$O68,$P68,$T68,RealTime!$A$2:$B$43,TODAY()))</f>
        <v/>
      </c>
      <c r="Q68" t="str">
        <f ca="1">FairRate($G68,$H68,$I68,$K68,$L68,$N68,$O68,$P68,RealTime!$A$2:$B$43,TODAY())</f>
        <v>オブジェクトが必要です。</v>
      </c>
      <c r="R68" t="str">
        <f t="shared" ca="1" si="4"/>
        <v/>
      </c>
      <c r="S68" t="str">
        <f t="shared" ca="1" si="5"/>
        <v/>
      </c>
      <c r="U68" t="str">
        <f ca="1">SwapPV($G68,$H68,$I68,$K68,$L68,$N68,$O68,$P68,$D68,$T68,$J68,RealTime!$A$2:$B$43,TODAY())</f>
        <v>オブジェクトが必要です。</v>
      </c>
      <c r="V68" t="str">
        <f ca="1">SwapDelta($G68,$H68,$I68,$K68,$L68,$N68,$O68,$P68,$D68,$T68,$J68,RealTime!$A$2:$B$43,TODAY())</f>
        <v>オブジェクトが必要です。</v>
      </c>
      <c r="W68" t="str">
        <f ca="1">SwapAnnuityDelta($G68,$H68,$I68,$K68,$L68,$N68,$O68,$P68,$D68,$T68,RealTime!$A$2:$B$43,TODAY())</f>
        <v>オブジェクトが必要です。</v>
      </c>
      <c r="Z68" t="str">
        <f ca="1">IF($B68=1,BucketedDelta($G68,$H68,$I68,$K68,$L68,$N68,$O68,$P68,$D68,$T68,$J68,RealTime!$A$2:$B$43,TODAY(),FALSE),"")</f>
        <v/>
      </c>
    </row>
    <row r="69" spans="6:26" x14ac:dyDescent="0.2">
      <c r="F69" t="str">
        <f ca="1">IF($E69="","",NotionalForDelta($E69,$G69,$H69,$I69,$K69,$L69,$N69,$O69,$P69,$T69,RealTime!$A$2:$B$43,TODAY()))</f>
        <v/>
      </c>
      <c r="Q69" t="str">
        <f ca="1">FairRate($G69,$H69,$I69,$K69,$L69,$N69,$O69,$P69,RealTime!$A$2:$B$43,TODAY())</f>
        <v>オブジェクトが必要です。</v>
      </c>
      <c r="R69" t="str">
        <f t="shared" ca="1" si="4"/>
        <v/>
      </c>
      <c r="S69" t="str">
        <f t="shared" ca="1" si="5"/>
        <v/>
      </c>
      <c r="U69" t="str">
        <f ca="1">SwapPV($G69,$H69,$I69,$K69,$L69,$N69,$O69,$P69,$D69,$T69,$J69,RealTime!$A$2:$B$43,TODAY())</f>
        <v>オブジェクトが必要です。</v>
      </c>
      <c r="V69" t="str">
        <f ca="1">SwapDelta($G69,$H69,$I69,$K69,$L69,$N69,$O69,$P69,$D69,$T69,$J69,RealTime!$A$2:$B$43,TODAY())</f>
        <v>オブジェクトが必要です。</v>
      </c>
      <c r="W69" t="str">
        <f ca="1">SwapAnnuityDelta($G69,$H69,$I69,$K69,$L69,$N69,$O69,$P69,$D69,$T69,RealTime!$A$2:$B$43,TODAY())</f>
        <v>オブジェクトが必要です。</v>
      </c>
      <c r="Z69" t="str">
        <f ca="1">IF($B69=1,BucketedDelta($G69,$H69,$I69,$K69,$L69,$N69,$O69,$P69,$D69,$T69,$J69,RealTime!$A$2:$B$43,TODAY(),FALSE),"")</f>
        <v/>
      </c>
    </row>
    <row r="70" spans="6:26" x14ac:dyDescent="0.2">
      <c r="F70" t="str">
        <f ca="1">IF($E70="","",NotionalForDelta($E70,$G70,$H70,$I70,$K70,$L70,$N70,$O70,$P70,$T70,RealTime!$A$2:$B$43,TODAY()))</f>
        <v/>
      </c>
      <c r="Q70" t="str">
        <f ca="1">FairRate($G70,$H70,$I70,$K70,$L70,$N70,$O70,$P70,RealTime!$A$2:$B$43,TODAY())</f>
        <v>オブジェクトが必要です。</v>
      </c>
      <c r="R70" t="str">
        <f t="shared" ca="1" si="4"/>
        <v/>
      </c>
      <c r="S70" t="str">
        <f t="shared" ca="1" si="5"/>
        <v/>
      </c>
      <c r="U70" t="str">
        <f ca="1">SwapPV($G70,$H70,$I70,$K70,$L70,$N70,$O70,$P70,$D70,$T70,$J70,RealTime!$A$2:$B$43,TODAY())</f>
        <v>オブジェクトが必要です。</v>
      </c>
      <c r="V70" t="str">
        <f ca="1">SwapDelta($G70,$H70,$I70,$K70,$L70,$N70,$O70,$P70,$D70,$T70,$J70,RealTime!$A$2:$B$43,TODAY())</f>
        <v>オブジェクトが必要です。</v>
      </c>
      <c r="W70" t="str">
        <f ca="1">SwapAnnuityDelta($G70,$H70,$I70,$K70,$L70,$N70,$O70,$P70,$D70,$T70,RealTime!$A$2:$B$43,TODAY())</f>
        <v>オブジェクトが必要です。</v>
      </c>
      <c r="Z70" t="str">
        <f ca="1">IF($B70=1,BucketedDelta($G70,$H70,$I70,$K70,$L70,$N70,$O70,$P70,$D70,$T70,$J70,RealTime!$A$2:$B$43,TODAY(),FALSE),"")</f>
        <v/>
      </c>
    </row>
    <row r="71" spans="6:26" x14ac:dyDescent="0.2">
      <c r="F71" t="str">
        <f ca="1">IF($E71="","",NotionalForDelta($E71,$G71,$H71,$I71,$K71,$L71,$N71,$O71,$P71,$T71,RealTime!$A$2:$B$43,TODAY()))</f>
        <v/>
      </c>
      <c r="Q71" t="str">
        <f ca="1">FairRate($G71,$H71,$I71,$K71,$L71,$N71,$O71,$P71,RealTime!$A$2:$B$43,TODAY())</f>
        <v>オブジェクトが必要です。</v>
      </c>
      <c r="R71" t="str">
        <f t="shared" ca="1" si="4"/>
        <v/>
      </c>
      <c r="S71" t="str">
        <f t="shared" ca="1" si="5"/>
        <v/>
      </c>
      <c r="U71" t="str">
        <f ca="1">SwapPV($G71,$H71,$I71,$K71,$L71,$N71,$O71,$P71,$D71,$T71,$J71,RealTime!$A$2:$B$43,TODAY())</f>
        <v>オブジェクトが必要です。</v>
      </c>
      <c r="V71" t="str">
        <f ca="1">SwapDelta($G71,$H71,$I71,$K71,$L71,$N71,$O71,$P71,$D71,$T71,$J71,RealTime!$A$2:$B$43,TODAY())</f>
        <v>オブジェクトが必要です。</v>
      </c>
      <c r="W71" t="str">
        <f ca="1">SwapAnnuityDelta($G71,$H71,$I71,$K71,$L71,$N71,$O71,$P71,$D71,$T71,RealTime!$A$2:$B$43,TODAY())</f>
        <v>オブジェクトが必要です。</v>
      </c>
      <c r="Z71" t="str">
        <f ca="1">IF($B71=1,BucketedDelta($G71,$H71,$I71,$K71,$L71,$N71,$O71,$P71,$D71,$T71,$J71,RealTime!$A$2:$B$43,TODAY(),FALSE),"")</f>
        <v/>
      </c>
    </row>
    <row r="72" spans="6:26" x14ac:dyDescent="0.2">
      <c r="F72" t="str">
        <f ca="1">IF($E72="","",NotionalForDelta($E72,$G72,$H72,$I72,$K72,$L72,$N72,$O72,$P72,$T72,RealTime!$A$2:$B$43,TODAY()))</f>
        <v/>
      </c>
      <c r="Q72" t="str">
        <f ca="1">FairRate($G72,$H72,$I72,$K72,$L72,$N72,$O72,$P72,RealTime!$A$2:$B$43,TODAY())</f>
        <v>オブジェクトが必要です。</v>
      </c>
      <c r="R72" t="str">
        <f t="shared" ca="1" si="4"/>
        <v/>
      </c>
      <c r="S72" t="str">
        <f t="shared" ca="1" si="5"/>
        <v/>
      </c>
      <c r="U72" t="str">
        <f ca="1">SwapPV($G72,$H72,$I72,$K72,$L72,$N72,$O72,$P72,$D72,$T72,$J72,RealTime!$A$2:$B$43,TODAY())</f>
        <v>オブジェクトが必要です。</v>
      </c>
      <c r="V72" t="str">
        <f ca="1">SwapDelta($G72,$H72,$I72,$K72,$L72,$N72,$O72,$P72,$D72,$T72,$J72,RealTime!$A$2:$B$43,TODAY())</f>
        <v>オブジェクトが必要です。</v>
      </c>
      <c r="W72" t="str">
        <f ca="1">SwapAnnuityDelta($G72,$H72,$I72,$K72,$L72,$N72,$O72,$P72,$D72,$T72,RealTime!$A$2:$B$43,TODAY())</f>
        <v>オブジェクトが必要です。</v>
      </c>
      <c r="Z72" t="str">
        <f ca="1">IF($B72=1,BucketedDelta($G72,$H72,$I72,$K72,$L72,$N72,$O72,$P72,$D72,$T72,$J72,RealTime!$A$2:$B$43,TODAY(),FALSE),"")</f>
        <v/>
      </c>
    </row>
    <row r="73" spans="6:26" x14ac:dyDescent="0.2">
      <c r="F73" t="str">
        <f ca="1">IF($E73="","",NotionalForDelta($E73,$G73,$H73,$I73,$K73,$L73,$N73,$O73,$P73,$T73,RealTime!$A$2:$B$43,TODAY()))</f>
        <v/>
      </c>
      <c r="Q73" t="str">
        <f ca="1">FairRate($G73,$H73,$I73,$K73,$L73,$N73,$O73,$P73,RealTime!$A$2:$B$43,TODAY())</f>
        <v>オブジェクトが必要です。</v>
      </c>
      <c r="R73" t="str">
        <f t="shared" ca="1" si="4"/>
        <v/>
      </c>
      <c r="S73" t="str">
        <f t="shared" ca="1" si="5"/>
        <v/>
      </c>
      <c r="U73" t="str">
        <f ca="1">SwapPV($G73,$H73,$I73,$K73,$L73,$N73,$O73,$P73,$D73,$T73,$J73,RealTime!$A$2:$B$43,TODAY())</f>
        <v>オブジェクトが必要です。</v>
      </c>
      <c r="V73" t="str">
        <f ca="1">SwapDelta($G73,$H73,$I73,$K73,$L73,$N73,$O73,$P73,$D73,$T73,$J73,RealTime!$A$2:$B$43,TODAY())</f>
        <v>オブジェクトが必要です。</v>
      </c>
      <c r="W73" t="str">
        <f ca="1">SwapAnnuityDelta($G73,$H73,$I73,$K73,$L73,$N73,$O73,$P73,$D73,$T73,RealTime!$A$2:$B$43,TODAY())</f>
        <v>オブジェクトが必要です。</v>
      </c>
      <c r="Z73" t="str">
        <f ca="1">IF($B73=1,BucketedDelta($G73,$H73,$I73,$K73,$L73,$N73,$O73,$P73,$D73,$T73,$J73,RealTime!$A$2:$B$43,TODAY(),FALSE),"")</f>
        <v/>
      </c>
    </row>
    <row r="74" spans="6:26" x14ac:dyDescent="0.2">
      <c r="F74" t="str">
        <f ca="1">IF($E74="","",NotionalForDelta($E74,$G74,$H74,$I74,$K74,$L74,$N74,$O74,$P74,$T74,RealTime!$A$2:$B$43,TODAY()))</f>
        <v/>
      </c>
      <c r="Q74" t="str">
        <f ca="1">FairRate($G74,$H74,$I74,$K74,$L74,$N74,$O74,$P74,RealTime!$A$2:$B$43,TODAY())</f>
        <v>オブジェクトが必要です。</v>
      </c>
      <c r="R74" t="str">
        <f t="shared" ca="1" si="4"/>
        <v/>
      </c>
      <c r="S74" t="str">
        <f t="shared" ca="1" si="5"/>
        <v/>
      </c>
      <c r="U74" t="str">
        <f ca="1">SwapPV($G74,$H74,$I74,$K74,$L74,$N74,$O74,$P74,$D74,$T74,$J74,RealTime!$A$2:$B$43,TODAY())</f>
        <v>オブジェクトが必要です。</v>
      </c>
      <c r="V74" t="str">
        <f ca="1">SwapDelta($G74,$H74,$I74,$K74,$L74,$N74,$O74,$P74,$D74,$T74,$J74,RealTime!$A$2:$B$43,TODAY())</f>
        <v>オブジェクトが必要です。</v>
      </c>
      <c r="W74" t="str">
        <f ca="1">SwapAnnuityDelta($G74,$H74,$I74,$K74,$L74,$N74,$O74,$P74,$D74,$T74,RealTime!$A$2:$B$43,TODAY())</f>
        <v>オブジェクトが必要です。</v>
      </c>
      <c r="Z74" t="str">
        <f ca="1">IF($B74=1,BucketedDelta($G74,$H74,$I74,$K74,$L74,$N74,$O74,$P74,$D74,$T74,$J74,RealTime!$A$2:$B$43,TODAY(),FALSE),"")</f>
        <v/>
      </c>
    </row>
    <row r="75" spans="6:26" x14ac:dyDescent="0.2">
      <c r="F75" t="str">
        <f ca="1">IF($E75="","",NotionalForDelta($E75,$G75,$H75,$I75,$K75,$L75,$N75,$O75,$P75,$T75,RealTime!$A$2:$B$43,TODAY()))</f>
        <v/>
      </c>
      <c r="Q75" t="str">
        <f ca="1">FairRate($G75,$H75,$I75,$K75,$L75,$N75,$O75,$P75,RealTime!$A$2:$B$43,TODAY())</f>
        <v>オブジェクトが必要です。</v>
      </c>
      <c r="R75" t="str">
        <f t="shared" ca="1" si="4"/>
        <v/>
      </c>
      <c r="S75" t="str">
        <f t="shared" ca="1" si="5"/>
        <v/>
      </c>
      <c r="U75" t="str">
        <f ca="1">SwapPV($G75,$H75,$I75,$K75,$L75,$N75,$O75,$P75,$D75,$T75,$J75,RealTime!$A$2:$B$43,TODAY())</f>
        <v>オブジェクトが必要です。</v>
      </c>
      <c r="V75" t="str">
        <f ca="1">SwapDelta($G75,$H75,$I75,$K75,$L75,$N75,$O75,$P75,$D75,$T75,$J75,RealTime!$A$2:$B$43,TODAY())</f>
        <v>オブジェクトが必要です。</v>
      </c>
      <c r="W75" t="str">
        <f ca="1">SwapAnnuityDelta($G75,$H75,$I75,$K75,$L75,$N75,$O75,$P75,$D75,$T75,RealTime!$A$2:$B$43,TODAY())</f>
        <v>オブジェクトが必要です。</v>
      </c>
      <c r="Z75" t="str">
        <f ca="1">IF($B75=1,BucketedDelta($G75,$H75,$I75,$K75,$L75,$N75,$O75,$P75,$D75,$T75,$J75,RealTime!$A$2:$B$43,TODAY(),FALSE),"")</f>
        <v/>
      </c>
    </row>
    <row r="76" spans="6:26" x14ac:dyDescent="0.2">
      <c r="F76" t="str">
        <f ca="1">IF($E76="","",NotionalForDelta($E76,$G76,$H76,$I76,$K76,$L76,$N76,$O76,$P76,$T76,RealTime!$A$2:$B$43,TODAY()))</f>
        <v/>
      </c>
      <c r="Q76" t="str">
        <f ca="1">FairRate($G76,$H76,$I76,$K76,$L76,$N76,$O76,$P76,RealTime!$A$2:$B$43,TODAY())</f>
        <v>オブジェクトが必要です。</v>
      </c>
      <c r="R76" t="str">
        <f t="shared" ca="1" si="4"/>
        <v/>
      </c>
      <c r="S76" t="str">
        <f t="shared" ca="1" si="5"/>
        <v/>
      </c>
      <c r="U76" t="str">
        <f ca="1">SwapPV($G76,$H76,$I76,$K76,$L76,$N76,$O76,$P76,$D76,$T76,$J76,RealTime!$A$2:$B$43,TODAY())</f>
        <v>オブジェクトが必要です。</v>
      </c>
      <c r="V76" t="str">
        <f ca="1">SwapDelta($G76,$H76,$I76,$K76,$L76,$N76,$O76,$P76,$D76,$T76,$J76,RealTime!$A$2:$B$43,TODAY())</f>
        <v>オブジェクトが必要です。</v>
      </c>
      <c r="W76" t="str">
        <f ca="1">SwapAnnuityDelta($G76,$H76,$I76,$K76,$L76,$N76,$O76,$P76,$D76,$T76,RealTime!$A$2:$B$43,TODAY())</f>
        <v>オブジェクトが必要です。</v>
      </c>
      <c r="Z76" t="str">
        <f ca="1">IF($B76=1,BucketedDelta($G76,$H76,$I76,$K76,$L76,$N76,$O76,$P76,$D76,$T76,$J76,RealTime!$A$2:$B$43,TODAY(),FALSE),"")</f>
        <v/>
      </c>
    </row>
    <row r="77" spans="6:26" x14ac:dyDescent="0.2">
      <c r="F77" t="str">
        <f ca="1">IF($E77="","",NotionalForDelta($E77,$G77,$H77,$I77,$K77,$L77,$N77,$O77,$P77,$T77,RealTime!$A$2:$B$43,TODAY()))</f>
        <v/>
      </c>
      <c r="Q77" t="str">
        <f ca="1">FairRate($G77,$H77,$I77,$K77,$L77,$N77,$O77,$P77,RealTime!$A$2:$B$43,TODAY())</f>
        <v>オブジェクトが必要です。</v>
      </c>
      <c r="R77" t="str">
        <f t="shared" ca="1" si="4"/>
        <v/>
      </c>
      <c r="S77" t="str">
        <f t="shared" ca="1" si="5"/>
        <v/>
      </c>
      <c r="U77" t="str">
        <f ca="1">SwapPV($G77,$H77,$I77,$K77,$L77,$N77,$O77,$P77,$D77,$T77,$J77,RealTime!$A$2:$B$43,TODAY())</f>
        <v>オブジェクトが必要です。</v>
      </c>
      <c r="V77" t="str">
        <f ca="1">SwapDelta($G77,$H77,$I77,$K77,$L77,$N77,$O77,$P77,$D77,$T77,$J77,RealTime!$A$2:$B$43,TODAY())</f>
        <v>オブジェクトが必要です。</v>
      </c>
      <c r="W77" t="str">
        <f ca="1">SwapAnnuityDelta($G77,$H77,$I77,$K77,$L77,$N77,$O77,$P77,$D77,$T77,RealTime!$A$2:$B$43,TODAY())</f>
        <v>オブジェクトが必要です。</v>
      </c>
      <c r="Z77" t="str">
        <f ca="1">IF($B77=1,BucketedDelta($G77,$H77,$I77,$K77,$L77,$N77,$O77,$P77,$D77,$T77,$J77,RealTime!$A$2:$B$43,TODAY(),FALSE),"")</f>
        <v/>
      </c>
    </row>
    <row r="78" spans="6:26" x14ac:dyDescent="0.2">
      <c r="F78" t="str">
        <f ca="1">IF($E78="","",NotionalForDelta($E78,$G78,$H78,$I78,$K78,$L78,$N78,$O78,$P78,$T78,RealTime!$A$2:$B$43,TODAY()))</f>
        <v/>
      </c>
      <c r="Q78" t="str">
        <f ca="1">FairRate($G78,$H78,$I78,$K78,$L78,$N78,$O78,$P78,RealTime!$A$2:$B$43,TODAY())</f>
        <v>オブジェクトが必要です。</v>
      </c>
      <c r="R78" t="str">
        <f t="shared" ca="1" si="4"/>
        <v/>
      </c>
      <c r="S78" t="str">
        <f t="shared" ca="1" si="5"/>
        <v/>
      </c>
      <c r="U78" t="str">
        <f ca="1">SwapPV($G78,$H78,$I78,$K78,$L78,$N78,$O78,$P78,$D78,$T78,$J78,RealTime!$A$2:$B$43,TODAY())</f>
        <v>オブジェクトが必要です。</v>
      </c>
      <c r="V78" t="str">
        <f ca="1">SwapDelta($G78,$H78,$I78,$K78,$L78,$N78,$O78,$P78,$D78,$T78,$J78,RealTime!$A$2:$B$43,TODAY())</f>
        <v>オブジェクトが必要です。</v>
      </c>
      <c r="W78" t="str">
        <f ca="1">SwapAnnuityDelta($G78,$H78,$I78,$K78,$L78,$N78,$O78,$P78,$D78,$T78,RealTime!$A$2:$B$43,TODAY())</f>
        <v>オブジェクトが必要です。</v>
      </c>
      <c r="Z78" t="str">
        <f ca="1">IF($B78=1,BucketedDelta($G78,$H78,$I78,$K78,$L78,$N78,$O78,$P78,$D78,$T78,$J78,RealTime!$A$2:$B$43,TODAY(),FALSE),"")</f>
        <v/>
      </c>
    </row>
    <row r="79" spans="6:26" x14ac:dyDescent="0.2">
      <c r="F79" t="str">
        <f ca="1">IF($E79="","",NotionalForDelta($E79,$G79,$H79,$I79,$K79,$L79,$N79,$O79,$P79,$T79,RealTime!$A$2:$B$43,TODAY()))</f>
        <v/>
      </c>
      <c r="Q79" t="str">
        <f ca="1">FairRate($G79,$H79,$I79,$K79,$L79,$N79,$O79,$P79,RealTime!$A$2:$B$43,TODAY())</f>
        <v>オブジェクトが必要です。</v>
      </c>
      <c r="R79" t="str">
        <f t="shared" ca="1" si="4"/>
        <v/>
      </c>
      <c r="S79" t="str">
        <f t="shared" ca="1" si="5"/>
        <v/>
      </c>
      <c r="U79" t="str">
        <f ca="1">SwapPV($G79,$H79,$I79,$K79,$L79,$N79,$O79,$P79,$D79,$T79,$J79,RealTime!$A$2:$B$43,TODAY())</f>
        <v>オブジェクトが必要です。</v>
      </c>
      <c r="V79" t="str">
        <f ca="1">SwapDelta($G79,$H79,$I79,$K79,$L79,$N79,$O79,$P79,$D79,$T79,$J79,RealTime!$A$2:$B$43,TODAY())</f>
        <v>オブジェクトが必要です。</v>
      </c>
      <c r="W79" t="str">
        <f ca="1">SwapAnnuityDelta($G79,$H79,$I79,$K79,$L79,$N79,$O79,$P79,$D79,$T79,RealTime!$A$2:$B$43,TODAY())</f>
        <v>オブジェクトが必要です。</v>
      </c>
      <c r="Z79" t="str">
        <f ca="1">IF($B79=1,BucketedDelta($G79,$H79,$I79,$K79,$L79,$N79,$O79,$P79,$D79,$T79,$J79,RealTime!$A$2:$B$43,TODAY(),FALSE),"")</f>
        <v/>
      </c>
    </row>
    <row r="80" spans="6:26" x14ac:dyDescent="0.2">
      <c r="F80" t="str">
        <f ca="1">IF($E80="","",NotionalForDelta($E80,$G80,$H80,$I80,$K80,$L80,$N80,$O80,$P80,$T80,RealTime!$A$2:$B$43,TODAY()))</f>
        <v/>
      </c>
      <c r="Q80" t="str">
        <f ca="1">FairRate($G80,$H80,$I80,$K80,$L80,$N80,$O80,$P80,RealTime!$A$2:$B$43,TODAY())</f>
        <v>オブジェクトが必要です。</v>
      </c>
      <c r="R80" t="str">
        <f t="shared" ca="1" si="4"/>
        <v/>
      </c>
      <c r="S80" t="str">
        <f t="shared" ca="1" si="5"/>
        <v/>
      </c>
      <c r="U80" t="str">
        <f ca="1">SwapPV($G80,$H80,$I80,$K80,$L80,$N80,$O80,$P80,$D80,$T80,$J80,RealTime!$A$2:$B$43,TODAY())</f>
        <v>オブジェクトが必要です。</v>
      </c>
      <c r="V80" t="str">
        <f ca="1">SwapDelta($G80,$H80,$I80,$K80,$L80,$N80,$O80,$P80,$D80,$T80,$J80,RealTime!$A$2:$B$43,TODAY())</f>
        <v>オブジェクトが必要です。</v>
      </c>
      <c r="W80" t="str">
        <f ca="1">SwapAnnuityDelta($G80,$H80,$I80,$K80,$L80,$N80,$O80,$P80,$D80,$T80,RealTime!$A$2:$B$43,TODAY())</f>
        <v>オブジェクトが必要です。</v>
      </c>
      <c r="Z80" t="str">
        <f ca="1">IF($B80=1,BucketedDelta($G80,$H80,$I80,$K80,$L80,$N80,$O80,$P80,$D80,$T80,$J80,RealTime!$A$2:$B$43,TODAY(),FALSE),"")</f>
        <v/>
      </c>
    </row>
    <row r="81" spans="6:26" x14ac:dyDescent="0.2">
      <c r="F81" t="str">
        <f ca="1">IF($E81="","",NotionalForDelta($E81,$G81,$H81,$I81,$K81,$L81,$N81,$O81,$P81,$T81,RealTime!$A$2:$B$43,TODAY()))</f>
        <v/>
      </c>
      <c r="Q81" t="str">
        <f ca="1">FairRate($G81,$H81,$I81,$K81,$L81,$N81,$O81,$P81,RealTime!$A$2:$B$43,TODAY())</f>
        <v>オブジェクトが必要です。</v>
      </c>
      <c r="R81" t="str">
        <f t="shared" ca="1" si="4"/>
        <v/>
      </c>
      <c r="S81" t="str">
        <f t="shared" ca="1" si="5"/>
        <v/>
      </c>
      <c r="U81" t="str">
        <f ca="1">SwapPV($G81,$H81,$I81,$K81,$L81,$N81,$O81,$P81,$D81,$T81,$J81,RealTime!$A$2:$B$43,TODAY())</f>
        <v>オブジェクトが必要です。</v>
      </c>
      <c r="V81" t="str">
        <f ca="1">SwapDelta($G81,$H81,$I81,$K81,$L81,$N81,$O81,$P81,$D81,$T81,$J81,RealTime!$A$2:$B$43,TODAY())</f>
        <v>オブジェクトが必要です。</v>
      </c>
      <c r="W81" t="str">
        <f ca="1">SwapAnnuityDelta($G81,$H81,$I81,$K81,$L81,$N81,$O81,$P81,$D81,$T81,RealTime!$A$2:$B$43,TODAY())</f>
        <v>オブジェクトが必要です。</v>
      </c>
      <c r="Z81" t="str">
        <f ca="1">IF($B81=1,BucketedDelta($G81,$H81,$I81,$K81,$L81,$N81,$O81,$P81,$D81,$T81,$J81,RealTime!$A$2:$B$43,TODAY(),FALSE),"")</f>
        <v/>
      </c>
    </row>
    <row r="82" spans="6:26" x14ac:dyDescent="0.2">
      <c r="F82" t="str">
        <f ca="1">IF($E82="","",NotionalForDelta($E82,$G82,$H82,$I82,$K82,$L82,$N82,$O82,$P82,$T82,RealTime!$A$2:$B$43,TODAY()))</f>
        <v/>
      </c>
      <c r="Q82" t="str">
        <f ca="1">FairRate($G82,$H82,$I82,$K82,$L82,$N82,$O82,$P82,RealTime!$A$2:$B$43,TODAY())</f>
        <v>オブジェクトが必要です。</v>
      </c>
      <c r="R82" t="str">
        <f t="shared" ca="1" si="4"/>
        <v/>
      </c>
      <c r="S82" t="str">
        <f t="shared" ca="1" si="5"/>
        <v/>
      </c>
      <c r="U82" t="str">
        <f ca="1">SwapPV($G82,$H82,$I82,$K82,$L82,$N82,$O82,$P82,$D82,$T82,$J82,RealTime!$A$2:$B$43,TODAY())</f>
        <v>オブジェクトが必要です。</v>
      </c>
      <c r="V82" t="str">
        <f ca="1">SwapDelta($G82,$H82,$I82,$K82,$L82,$N82,$O82,$P82,$D82,$T82,$J82,RealTime!$A$2:$B$43,TODAY())</f>
        <v>オブジェクトが必要です。</v>
      </c>
      <c r="W82" t="str">
        <f ca="1">SwapAnnuityDelta($G82,$H82,$I82,$K82,$L82,$N82,$O82,$P82,$D82,$T82,RealTime!$A$2:$B$43,TODAY())</f>
        <v>オブジェクトが必要です。</v>
      </c>
      <c r="Z82" t="str">
        <f ca="1">IF($B82=1,BucketedDelta($G82,$H82,$I82,$K82,$L82,$N82,$O82,$P82,$D82,$T82,$J82,RealTime!$A$2:$B$43,TODAY(),FALSE),"")</f>
        <v/>
      </c>
    </row>
    <row r="83" spans="6:26" x14ac:dyDescent="0.2">
      <c r="F83" t="str">
        <f ca="1">IF($E83="","",NotionalForDelta($E83,$G83,$H83,$I83,$K83,$L83,$N83,$O83,$P83,$T83,RealTime!$A$2:$B$43,TODAY()))</f>
        <v/>
      </c>
      <c r="Q83" t="str">
        <f ca="1">FairRate($G83,$H83,$I83,$K83,$L83,$N83,$O83,$P83,RealTime!$A$2:$B$43,TODAY())</f>
        <v>オブジェクトが必要です。</v>
      </c>
      <c r="R83" t="str">
        <f t="shared" ca="1" si="4"/>
        <v/>
      </c>
      <c r="S83" t="str">
        <f t="shared" ca="1" si="5"/>
        <v/>
      </c>
      <c r="U83" t="str">
        <f ca="1">SwapPV($G83,$H83,$I83,$K83,$L83,$N83,$O83,$P83,$D83,$T83,$J83,RealTime!$A$2:$B$43,TODAY())</f>
        <v>オブジェクトが必要です。</v>
      </c>
      <c r="V83" t="str">
        <f ca="1">SwapDelta($G83,$H83,$I83,$K83,$L83,$N83,$O83,$P83,$D83,$T83,$J83,RealTime!$A$2:$B$43,TODAY())</f>
        <v>オブジェクトが必要です。</v>
      </c>
      <c r="W83" t="str">
        <f ca="1">SwapAnnuityDelta($G83,$H83,$I83,$K83,$L83,$N83,$O83,$P83,$D83,$T83,RealTime!$A$2:$B$43,TODAY())</f>
        <v>オブジェクトが必要です。</v>
      </c>
      <c r="Z83" t="str">
        <f ca="1">IF($B83=1,BucketedDelta($G83,$H83,$I83,$K83,$L83,$N83,$O83,$P83,$D83,$T83,$J83,RealTime!$A$2:$B$43,TODAY(),FALSE),"")</f>
        <v/>
      </c>
    </row>
    <row r="84" spans="6:26" x14ac:dyDescent="0.2">
      <c r="F84" t="str">
        <f ca="1">IF($E84="","",NotionalForDelta($E84,$G84,$H84,$I84,$K84,$L84,$N84,$O84,$P84,$T84,RealTime!$A$2:$B$43,TODAY()))</f>
        <v/>
      </c>
      <c r="Q84" t="str">
        <f ca="1">FairRate($G84,$H84,$I84,$K84,$L84,$N84,$O84,$P84,RealTime!$A$2:$B$43,TODAY())</f>
        <v>オブジェクトが必要です。</v>
      </c>
      <c r="R84" t="str">
        <f t="shared" ca="1" si="4"/>
        <v/>
      </c>
      <c r="S84" t="str">
        <f t="shared" ca="1" si="5"/>
        <v/>
      </c>
      <c r="U84" t="str">
        <f ca="1">SwapPV($G84,$H84,$I84,$K84,$L84,$N84,$O84,$P84,$D84,$T84,$J84,RealTime!$A$2:$B$43,TODAY())</f>
        <v>オブジェクトが必要です。</v>
      </c>
      <c r="V84" t="str">
        <f ca="1">SwapDelta($G84,$H84,$I84,$K84,$L84,$N84,$O84,$P84,$D84,$T84,$J84,RealTime!$A$2:$B$43,TODAY())</f>
        <v>オブジェクトが必要です。</v>
      </c>
      <c r="W84" t="str">
        <f ca="1">SwapAnnuityDelta($G84,$H84,$I84,$K84,$L84,$N84,$O84,$P84,$D84,$T84,RealTime!$A$2:$B$43,TODAY())</f>
        <v>オブジェクトが必要です。</v>
      </c>
      <c r="Z84" t="str">
        <f ca="1">IF($B84=1,BucketedDelta($G84,$H84,$I84,$K84,$L84,$N84,$O84,$P84,$D84,$T84,$J84,RealTime!$A$2:$B$43,TODAY(),FALSE),"")</f>
        <v/>
      </c>
    </row>
    <row r="85" spans="6:26" x14ac:dyDescent="0.2">
      <c r="F85" t="str">
        <f ca="1">IF($E85="","",NotionalForDelta($E85,$G85,$H85,$I85,$K85,$L85,$N85,$O85,$P85,$T85,RealTime!$A$2:$B$43,TODAY()))</f>
        <v/>
      </c>
      <c r="Q85" t="str">
        <f ca="1">FairRate($G85,$H85,$I85,$K85,$L85,$N85,$O85,$P85,RealTime!$A$2:$B$43,TODAY())</f>
        <v>オブジェクトが必要です。</v>
      </c>
      <c r="R85" t="str">
        <f t="shared" ca="1" si="4"/>
        <v/>
      </c>
      <c r="S85" t="str">
        <f t="shared" ca="1" si="5"/>
        <v/>
      </c>
      <c r="U85" t="str">
        <f ca="1">SwapPV($G85,$H85,$I85,$K85,$L85,$N85,$O85,$P85,$D85,$T85,$J85,RealTime!$A$2:$B$43,TODAY())</f>
        <v>オブジェクトが必要です。</v>
      </c>
      <c r="V85" t="str">
        <f ca="1">SwapDelta($G85,$H85,$I85,$K85,$L85,$N85,$O85,$P85,$D85,$T85,$J85,RealTime!$A$2:$B$43,TODAY())</f>
        <v>オブジェクトが必要です。</v>
      </c>
      <c r="W85" t="str">
        <f ca="1">SwapAnnuityDelta($G85,$H85,$I85,$K85,$L85,$N85,$O85,$P85,$D85,$T85,RealTime!$A$2:$B$43,TODAY())</f>
        <v>オブジェクトが必要です。</v>
      </c>
      <c r="Z85" t="str">
        <f ca="1">IF($B85=1,BucketedDelta($G85,$H85,$I85,$K85,$L85,$N85,$O85,$P85,$D85,$T85,$J85,RealTime!$A$2:$B$43,TODAY(),FALSE),"")</f>
        <v/>
      </c>
    </row>
    <row r="86" spans="6:26" x14ac:dyDescent="0.2">
      <c r="F86" t="str">
        <f ca="1">IF($E86="","",NotionalForDelta($E86,$G86,$H86,$I86,$K86,$L86,$N86,$O86,$P86,$T86,RealTime!$A$2:$B$43,TODAY()))</f>
        <v/>
      </c>
      <c r="Q86" t="str">
        <f ca="1">FairRate($G86,$H86,$I86,$K86,$L86,$N86,$O86,$P86,RealTime!$A$2:$B$43,TODAY())</f>
        <v>オブジェクトが必要です。</v>
      </c>
      <c r="R86" t="str">
        <f t="shared" ca="1" si="4"/>
        <v/>
      </c>
      <c r="S86" t="str">
        <f t="shared" ca="1" si="5"/>
        <v/>
      </c>
      <c r="U86" t="str">
        <f ca="1">SwapPV($G86,$H86,$I86,$K86,$L86,$N86,$O86,$P86,$D86,$T86,$J86,RealTime!$A$2:$B$43,TODAY())</f>
        <v>オブジェクトが必要です。</v>
      </c>
      <c r="V86" t="str">
        <f ca="1">SwapDelta($G86,$H86,$I86,$K86,$L86,$N86,$O86,$P86,$D86,$T86,$J86,RealTime!$A$2:$B$43,TODAY())</f>
        <v>オブジェクトが必要です。</v>
      </c>
      <c r="W86" t="str">
        <f ca="1">SwapAnnuityDelta($G86,$H86,$I86,$K86,$L86,$N86,$O86,$P86,$D86,$T86,RealTime!$A$2:$B$43,TODAY())</f>
        <v>オブジェクトが必要です。</v>
      </c>
      <c r="Z86" t="str">
        <f ca="1">IF($B86=1,BucketedDelta($G86,$H86,$I86,$K86,$L86,$N86,$O86,$P86,$D86,$T86,$J86,RealTime!$A$2:$B$43,TODAY(),FALSE),"")</f>
        <v/>
      </c>
    </row>
    <row r="87" spans="6:26" x14ac:dyDescent="0.2">
      <c r="F87" t="str">
        <f ca="1">IF($E87="","",NotionalForDelta($E87,$G87,$H87,$I87,$K87,$L87,$N87,$O87,$P87,$T87,RealTime!$A$2:$B$43,TODAY()))</f>
        <v/>
      </c>
      <c r="Q87" t="str">
        <f ca="1">FairRate($G87,$H87,$I87,$K87,$L87,$N87,$O87,$P87,RealTime!$A$2:$B$43,TODAY())</f>
        <v>オブジェクトが必要です。</v>
      </c>
      <c r="R87" t="str">
        <f t="shared" ca="1" si="4"/>
        <v/>
      </c>
      <c r="S87" t="str">
        <f t="shared" ca="1" si="5"/>
        <v/>
      </c>
      <c r="U87" t="str">
        <f ca="1">SwapPV($G87,$H87,$I87,$K87,$L87,$N87,$O87,$P87,$D87,$T87,$J87,RealTime!$A$2:$B$43,TODAY())</f>
        <v>オブジェクトが必要です。</v>
      </c>
      <c r="V87" t="str">
        <f ca="1">SwapDelta($G87,$H87,$I87,$K87,$L87,$N87,$O87,$P87,$D87,$T87,$J87,RealTime!$A$2:$B$43,TODAY())</f>
        <v>オブジェクトが必要です。</v>
      </c>
      <c r="W87" t="str">
        <f ca="1">SwapAnnuityDelta($G87,$H87,$I87,$K87,$L87,$N87,$O87,$P87,$D87,$T87,RealTime!$A$2:$B$43,TODAY())</f>
        <v>オブジェクトが必要です。</v>
      </c>
      <c r="Z87" t="str">
        <f ca="1">IF($B87=1,BucketedDelta($G87,$H87,$I87,$K87,$L87,$N87,$O87,$P87,$D87,$T87,$J87,RealTime!$A$2:$B$43,TODAY(),FALSE),"")</f>
        <v/>
      </c>
    </row>
    <row r="88" spans="6:26" x14ac:dyDescent="0.2">
      <c r="F88" t="str">
        <f ca="1">IF($E88="","",NotionalForDelta($E88,$G88,$H88,$I88,$K88,$L88,$N88,$O88,$P88,$T88,RealTime!$A$2:$B$43,TODAY()))</f>
        <v/>
      </c>
      <c r="Q88" t="str">
        <f ca="1">FairRate($G88,$H88,$I88,$K88,$L88,$N88,$O88,$P88,RealTime!$A$2:$B$43,TODAY())</f>
        <v>オブジェクトが必要です。</v>
      </c>
      <c r="R88" t="str">
        <f t="shared" ca="1" si="4"/>
        <v/>
      </c>
      <c r="S88" t="str">
        <f t="shared" ca="1" si="5"/>
        <v/>
      </c>
      <c r="U88" t="str">
        <f ca="1">SwapPV($G88,$H88,$I88,$K88,$L88,$N88,$O88,$P88,$D88,$T88,$J88,RealTime!$A$2:$B$43,TODAY())</f>
        <v>オブジェクトが必要です。</v>
      </c>
      <c r="V88" t="str">
        <f ca="1">SwapDelta($G88,$H88,$I88,$K88,$L88,$N88,$O88,$P88,$D88,$T88,$J88,RealTime!$A$2:$B$43,TODAY())</f>
        <v>オブジェクトが必要です。</v>
      </c>
      <c r="W88" t="str">
        <f ca="1">SwapAnnuityDelta($G88,$H88,$I88,$K88,$L88,$N88,$O88,$P88,$D88,$T88,RealTime!$A$2:$B$43,TODAY())</f>
        <v>オブジェクトが必要です。</v>
      </c>
      <c r="Z88" t="str">
        <f ca="1">IF($B88=1,BucketedDelta($G88,$H88,$I88,$K88,$L88,$N88,$O88,$P88,$D88,$T88,$J88,RealTime!$A$2:$B$43,TODAY(),FALSE),"")</f>
        <v/>
      </c>
    </row>
    <row r="89" spans="6:26" x14ac:dyDescent="0.2">
      <c r="F89" t="str">
        <f ca="1">IF($E89="","",NotionalForDelta($E89,$G89,$H89,$I89,$K89,$L89,$N89,$O89,$P89,$T89,RealTime!$A$2:$B$43,TODAY()))</f>
        <v/>
      </c>
      <c r="Q89" t="str">
        <f ca="1">FairRate($G89,$H89,$I89,$K89,$L89,$N89,$O89,$P89,RealTime!$A$2:$B$43,TODAY())</f>
        <v>オブジェクトが必要です。</v>
      </c>
      <c r="R89" t="str">
        <f t="shared" ca="1" si="4"/>
        <v/>
      </c>
      <c r="S89" t="str">
        <f t="shared" ca="1" si="5"/>
        <v/>
      </c>
      <c r="U89" t="str">
        <f ca="1">SwapPV($G89,$H89,$I89,$K89,$L89,$N89,$O89,$P89,$D89,$T89,$J89,RealTime!$A$2:$B$43,TODAY())</f>
        <v>オブジェクトが必要です。</v>
      </c>
      <c r="V89" t="str">
        <f ca="1">SwapDelta($G89,$H89,$I89,$K89,$L89,$N89,$O89,$P89,$D89,$T89,$J89,RealTime!$A$2:$B$43,TODAY())</f>
        <v>オブジェクトが必要です。</v>
      </c>
      <c r="W89" t="str">
        <f ca="1">SwapAnnuityDelta($G89,$H89,$I89,$K89,$L89,$N89,$O89,$P89,$D89,$T89,RealTime!$A$2:$B$43,TODAY())</f>
        <v>オブジェクトが必要です。</v>
      </c>
      <c r="Z89" t="str">
        <f ca="1">IF($B89=1,BucketedDelta($G89,$H89,$I89,$K89,$L89,$N89,$O89,$P89,$D89,$T89,$J89,RealTime!$A$2:$B$43,TODAY(),FALSE),"")</f>
        <v/>
      </c>
    </row>
    <row r="90" spans="6:26" x14ac:dyDescent="0.2">
      <c r="F90" t="str">
        <f ca="1">IF($E90="","",NotionalForDelta($E90,$G90,$H90,$I90,$K90,$L90,$N90,$O90,$P90,$T90,RealTime!$A$2:$B$43,TODAY()))</f>
        <v/>
      </c>
      <c r="Q90" t="str">
        <f ca="1">FairRate($G90,$H90,$I90,$K90,$L90,$N90,$O90,$P90,RealTime!$A$2:$B$43,TODAY())</f>
        <v>オブジェクトが必要です。</v>
      </c>
      <c r="R90" t="str">
        <f t="shared" ca="1" si="4"/>
        <v/>
      </c>
      <c r="S90" t="str">
        <f t="shared" ca="1" si="5"/>
        <v/>
      </c>
      <c r="U90" t="str">
        <f ca="1">SwapPV($G90,$H90,$I90,$K90,$L90,$N90,$O90,$P90,$D90,$T90,$J90,RealTime!$A$2:$B$43,TODAY())</f>
        <v>オブジェクトが必要です。</v>
      </c>
      <c r="V90" t="str">
        <f ca="1">SwapDelta($G90,$H90,$I90,$K90,$L90,$N90,$O90,$P90,$D90,$T90,$J90,RealTime!$A$2:$B$43,TODAY())</f>
        <v>オブジェクトが必要です。</v>
      </c>
      <c r="W90" t="str">
        <f ca="1">SwapAnnuityDelta($G90,$H90,$I90,$K90,$L90,$N90,$O90,$P90,$D90,$T90,RealTime!$A$2:$B$43,TODAY())</f>
        <v>オブジェクトが必要です。</v>
      </c>
      <c r="Z90" t="str">
        <f ca="1">IF($B90=1,BucketedDelta($G90,$H90,$I90,$K90,$L90,$N90,$O90,$P90,$D90,$T90,$J90,RealTime!$A$2:$B$43,TODAY(),FALSE),"")</f>
        <v/>
      </c>
    </row>
    <row r="91" spans="6:26" x14ac:dyDescent="0.2">
      <c r="F91" t="str">
        <f ca="1">IF($E91="","",NotionalForDelta($E91,$G91,$H91,$I91,$K91,$L91,$N91,$O91,$P91,$T91,RealTime!$A$2:$B$43,TODAY()))</f>
        <v/>
      </c>
      <c r="Q91" t="str">
        <f ca="1">FairRate($G91,$H91,$I91,$K91,$L91,$N91,$O91,$P91,RealTime!$A$2:$B$43,TODAY())</f>
        <v>オブジェクトが必要です。</v>
      </c>
      <c r="R91" t="str">
        <f t="shared" ca="1" si="4"/>
        <v/>
      </c>
      <c r="S91" t="str">
        <f t="shared" ca="1" si="5"/>
        <v/>
      </c>
      <c r="U91" t="str">
        <f ca="1">SwapPV($G91,$H91,$I91,$K91,$L91,$N91,$O91,$P91,$D91,$T91,$J91,RealTime!$A$2:$B$43,TODAY())</f>
        <v>オブジェクトが必要です。</v>
      </c>
      <c r="V91" t="str">
        <f ca="1">SwapDelta($G91,$H91,$I91,$K91,$L91,$N91,$O91,$P91,$D91,$T91,$J91,RealTime!$A$2:$B$43,TODAY())</f>
        <v>オブジェクトが必要です。</v>
      </c>
      <c r="W91" t="str">
        <f ca="1">SwapAnnuityDelta($G91,$H91,$I91,$K91,$L91,$N91,$O91,$P91,$D91,$T91,RealTime!$A$2:$B$43,TODAY())</f>
        <v>オブジェクトが必要です。</v>
      </c>
      <c r="Z91" t="str">
        <f ca="1">IF($B91=1,BucketedDelta($G91,$H91,$I91,$K91,$L91,$N91,$O91,$P91,$D91,$T91,$J91,RealTime!$A$2:$B$43,TODAY(),FALSE),"")</f>
        <v/>
      </c>
    </row>
    <row r="92" spans="6:26" x14ac:dyDescent="0.2">
      <c r="F92" t="str">
        <f ca="1">IF($E92="","",NotionalForDelta($E92,$G92,$H92,$I92,$K92,$L92,$N92,$O92,$P92,$T92,RealTime!$A$2:$B$43,TODAY()))</f>
        <v/>
      </c>
      <c r="Q92" t="str">
        <f ca="1">FairRate($G92,$H92,$I92,$K92,$L92,$N92,$O92,$P92,RealTime!$A$2:$B$43,TODAY())</f>
        <v>オブジェクトが必要です。</v>
      </c>
      <c r="R92" t="str">
        <f t="shared" ca="1" si="4"/>
        <v/>
      </c>
      <c r="S92" t="str">
        <f t="shared" ca="1" si="5"/>
        <v/>
      </c>
      <c r="U92" t="str">
        <f ca="1">SwapPV($G92,$H92,$I92,$K92,$L92,$N92,$O92,$P92,$D92,$T92,$J92,RealTime!$A$2:$B$43,TODAY())</f>
        <v>オブジェクトが必要です。</v>
      </c>
      <c r="V92" t="str">
        <f ca="1">SwapDelta($G92,$H92,$I92,$K92,$L92,$N92,$O92,$P92,$D92,$T92,$J92,RealTime!$A$2:$B$43,TODAY())</f>
        <v>オブジェクトが必要です。</v>
      </c>
      <c r="W92" t="str">
        <f ca="1">SwapAnnuityDelta($G92,$H92,$I92,$K92,$L92,$N92,$O92,$P92,$D92,$T92,RealTime!$A$2:$B$43,TODAY())</f>
        <v>オブジェクトが必要です。</v>
      </c>
      <c r="Z92" t="str">
        <f ca="1">IF($B92=1,BucketedDelta($G92,$H92,$I92,$K92,$L92,$N92,$O92,$P92,$D92,$T92,$J92,RealTime!$A$2:$B$43,TODAY(),FALSE),"")</f>
        <v/>
      </c>
    </row>
    <row r="93" spans="6:26" x14ac:dyDescent="0.2">
      <c r="F93" t="str">
        <f ca="1">IF($E93="","",NotionalForDelta($E93,$G93,$H93,$I93,$K93,$L93,$N93,$O93,$P93,$T93,RealTime!$A$2:$B$43,TODAY()))</f>
        <v/>
      </c>
      <c r="Q93" t="str">
        <f ca="1">FairRate($G93,$H93,$I93,$K93,$L93,$N93,$O93,$P93,RealTime!$A$2:$B$43,TODAY())</f>
        <v>オブジェクトが必要です。</v>
      </c>
      <c r="R93" t="str">
        <f t="shared" ca="1" si="4"/>
        <v/>
      </c>
      <c r="S93" t="str">
        <f t="shared" ca="1" si="5"/>
        <v/>
      </c>
      <c r="U93" t="str">
        <f ca="1">SwapPV($G93,$H93,$I93,$K93,$L93,$N93,$O93,$P93,$D93,$T93,$J93,RealTime!$A$2:$B$43,TODAY())</f>
        <v>オブジェクトが必要です。</v>
      </c>
      <c r="V93" t="str">
        <f ca="1">SwapDelta($G93,$H93,$I93,$K93,$L93,$N93,$O93,$P93,$D93,$T93,$J93,RealTime!$A$2:$B$43,TODAY())</f>
        <v>オブジェクトが必要です。</v>
      </c>
      <c r="W93" t="str">
        <f ca="1">SwapAnnuityDelta($G93,$H93,$I93,$K93,$L93,$N93,$O93,$P93,$D93,$T93,RealTime!$A$2:$B$43,TODAY())</f>
        <v>オブジェクトが必要です。</v>
      </c>
      <c r="Z93" t="str">
        <f ca="1">IF($B93=1,BucketedDelta($G93,$H93,$I93,$K93,$L93,$N93,$O93,$P93,$D93,$T93,$J93,RealTime!$A$2:$B$43,TODAY(),FALSE),"")</f>
        <v/>
      </c>
    </row>
    <row r="94" spans="6:26" x14ac:dyDescent="0.2">
      <c r="F94" t="str">
        <f ca="1">IF($E94="","",NotionalForDelta($E94,$G94,$H94,$I94,$K94,$L94,$N94,$O94,$P94,$T94,RealTime!$A$2:$B$43,TODAY()))</f>
        <v/>
      </c>
      <c r="Q94" t="str">
        <f ca="1">FairRate($G94,$H94,$I94,$K94,$L94,$N94,$O94,$P94,RealTime!$A$2:$B$43,TODAY())</f>
        <v>オブジェクトが必要です。</v>
      </c>
      <c r="R94" t="str">
        <f t="shared" ca="1" si="4"/>
        <v/>
      </c>
      <c r="S94" t="str">
        <f t="shared" ca="1" si="5"/>
        <v/>
      </c>
      <c r="U94" t="str">
        <f ca="1">SwapPV($G94,$H94,$I94,$K94,$L94,$N94,$O94,$P94,$D94,$T94,$J94,RealTime!$A$2:$B$43,TODAY())</f>
        <v>オブジェクトが必要です。</v>
      </c>
      <c r="V94" t="str">
        <f ca="1">SwapDelta($G94,$H94,$I94,$K94,$L94,$N94,$O94,$P94,$D94,$T94,$J94,RealTime!$A$2:$B$43,TODAY())</f>
        <v>オブジェクトが必要です。</v>
      </c>
      <c r="W94" t="str">
        <f ca="1">SwapAnnuityDelta($G94,$H94,$I94,$K94,$L94,$N94,$O94,$P94,$D94,$T94,RealTime!$A$2:$B$43,TODAY())</f>
        <v>オブジェクトが必要です。</v>
      </c>
      <c r="Z94" t="str">
        <f ca="1">IF($B94=1,BucketedDelta($G94,$H94,$I94,$K94,$L94,$N94,$O94,$P94,$D94,$T94,$J94,RealTime!$A$2:$B$43,TODAY(),FALSE),"")</f>
        <v/>
      </c>
    </row>
    <row r="95" spans="6:26" x14ac:dyDescent="0.2">
      <c r="F95" t="str">
        <f ca="1">IF($E95="","",NotionalForDelta($E95,$G95,$H95,$I95,$K95,$L95,$N95,$O95,$P95,$T95,RealTime!$A$2:$B$43,TODAY()))</f>
        <v/>
      </c>
      <c r="Q95" t="str">
        <f ca="1">FairRate($G95,$H95,$I95,$K95,$L95,$N95,$O95,$P95,RealTime!$A$2:$B$43,TODAY())</f>
        <v>オブジェクトが必要です。</v>
      </c>
      <c r="R95" t="str">
        <f t="shared" ca="1" si="4"/>
        <v/>
      </c>
      <c r="S95" t="str">
        <f t="shared" ca="1" si="5"/>
        <v/>
      </c>
      <c r="U95" t="str">
        <f ca="1">SwapPV($G95,$H95,$I95,$K95,$L95,$N95,$O95,$P95,$D95,$T95,$J95,RealTime!$A$2:$B$43,TODAY())</f>
        <v>オブジェクトが必要です。</v>
      </c>
      <c r="V95" t="str">
        <f ca="1">SwapDelta($G95,$H95,$I95,$K95,$L95,$N95,$O95,$P95,$D95,$T95,$J95,RealTime!$A$2:$B$43,TODAY())</f>
        <v>オブジェクトが必要です。</v>
      </c>
      <c r="W95" t="str">
        <f ca="1">SwapAnnuityDelta($G95,$H95,$I95,$K95,$L95,$N95,$O95,$P95,$D95,$T95,RealTime!$A$2:$B$43,TODAY())</f>
        <v>オブジェクトが必要です。</v>
      </c>
      <c r="Z95" t="str">
        <f ca="1">IF($B95=1,BucketedDelta($G95,$H95,$I95,$K95,$L95,$N95,$O95,$P95,$D95,$T95,$J95,RealTime!$A$2:$B$43,TODAY(),FALSE),"")</f>
        <v/>
      </c>
    </row>
    <row r="96" spans="6:26" x14ac:dyDescent="0.2">
      <c r="F96" t="str">
        <f ca="1">IF($E96="","",NotionalForDelta($E96,$G96,$H96,$I96,$K96,$L96,$N96,$O96,$P96,$T96,RealTime!$A$2:$B$43,TODAY()))</f>
        <v/>
      </c>
      <c r="Q96" t="str">
        <f ca="1">FairRate($G96,$H96,$I96,$K96,$L96,$N96,$O96,$P96,RealTime!$A$2:$B$43,TODAY())</f>
        <v>オブジェクトが必要です。</v>
      </c>
      <c r="R96" t="str">
        <f t="shared" ca="1" si="4"/>
        <v/>
      </c>
      <c r="S96" t="str">
        <f t="shared" ca="1" si="5"/>
        <v/>
      </c>
      <c r="U96" t="str">
        <f ca="1">SwapPV($G96,$H96,$I96,$K96,$L96,$N96,$O96,$P96,$D96,$T96,$J96,RealTime!$A$2:$B$43,TODAY())</f>
        <v>オブジェクトが必要です。</v>
      </c>
      <c r="V96" t="str">
        <f ca="1">SwapDelta($G96,$H96,$I96,$K96,$L96,$N96,$O96,$P96,$D96,$T96,$J96,RealTime!$A$2:$B$43,TODAY())</f>
        <v>オブジェクトが必要です。</v>
      </c>
      <c r="W96" t="str">
        <f ca="1">SwapAnnuityDelta($G96,$H96,$I96,$K96,$L96,$N96,$O96,$P96,$D96,$T96,RealTime!$A$2:$B$43,TODAY())</f>
        <v>オブジェクトが必要です。</v>
      </c>
      <c r="Z96" t="str">
        <f ca="1">IF($B96=1,BucketedDelta($G96,$H96,$I96,$K96,$L96,$N96,$O96,$P96,$D96,$T96,$J96,RealTime!$A$2:$B$43,TODAY(),FALSE),"")</f>
        <v/>
      </c>
    </row>
    <row r="97" spans="1:26" x14ac:dyDescent="0.2">
      <c r="F97" t="str">
        <f ca="1">IF($E97="","",NotionalForDelta($E97,$G97,$H97,$I97,$K97,$L97,$N97,$O97,$P97,$T97,RealTime!$A$2:$B$43,TODAY()))</f>
        <v/>
      </c>
      <c r="Q97" t="str">
        <f ca="1">FairRate($G97,$H97,$I97,$K97,$L97,$N97,$O97,$P97,RealTime!$A$2:$B$43,TODAY())</f>
        <v>オブジェクトが必要です。</v>
      </c>
      <c r="R97" t="str">
        <f t="shared" ca="1" si="4"/>
        <v/>
      </c>
      <c r="S97" t="str">
        <f t="shared" ca="1" si="5"/>
        <v/>
      </c>
      <c r="U97" t="str">
        <f ca="1">SwapPV($G97,$H97,$I97,$K97,$L97,$N97,$O97,$P97,$D97,$T97,$J97,RealTime!$A$2:$B$43,TODAY())</f>
        <v>オブジェクトが必要です。</v>
      </c>
      <c r="V97" t="str">
        <f ca="1">SwapDelta($G97,$H97,$I97,$K97,$L97,$N97,$O97,$P97,$D97,$T97,$J97,RealTime!$A$2:$B$43,TODAY())</f>
        <v>オブジェクトが必要です。</v>
      </c>
      <c r="W97" t="str">
        <f ca="1">SwapAnnuityDelta($G97,$H97,$I97,$K97,$L97,$N97,$O97,$P97,$D97,$T97,RealTime!$A$2:$B$43,TODAY())</f>
        <v>オブジェクトが必要です。</v>
      </c>
      <c r="Z97" t="str">
        <f ca="1">IF($B97=1,BucketedDelta($G97,$H97,$I97,$K97,$L97,$N97,$O97,$P97,$D97,$T97,$J97,RealTime!$A$2:$B$43,TODAY(),FALSE),"")</f>
        <v/>
      </c>
    </row>
    <row r="98" spans="1:26" x14ac:dyDescent="0.2">
      <c r="F98" t="str">
        <f ca="1">IF($E98="","",NotionalForDelta($E98,$G98,$H98,$I98,$K98,$L98,$N98,$O98,$P98,$T98,RealTime!$A$2:$B$43,TODAY()))</f>
        <v/>
      </c>
      <c r="Q98" t="str">
        <f ca="1">FairRate($G98,$H98,$I98,$K98,$L98,$N98,$O98,$P98,RealTime!$A$2:$B$43,TODAY())</f>
        <v>オブジェクトが必要です。</v>
      </c>
      <c r="R98" t="str">
        <f t="shared" ref="R98:R129" ca="1" si="6">IF(ISNUMBER(Q97),Q98-Q97,"")</f>
        <v/>
      </c>
      <c r="S98" t="str">
        <f t="shared" ref="S98:S129" ca="1" si="7">IF(AND(ISNUMBER(Q97),ISNUMBER(Q99)),2*Q98-Q97-Q99,"")</f>
        <v/>
      </c>
      <c r="U98" t="str">
        <f ca="1">SwapPV($G98,$H98,$I98,$K98,$L98,$N98,$O98,$P98,$D98,$T98,$J98,RealTime!$A$2:$B$43,TODAY())</f>
        <v>オブジェクトが必要です。</v>
      </c>
      <c r="V98" t="str">
        <f ca="1">SwapDelta($G98,$H98,$I98,$K98,$L98,$N98,$O98,$P98,$D98,$T98,$J98,RealTime!$A$2:$B$43,TODAY())</f>
        <v>オブジェクトが必要です。</v>
      </c>
      <c r="W98" t="str">
        <f ca="1">SwapAnnuityDelta($G98,$H98,$I98,$K98,$L98,$N98,$O98,$P98,$D98,$T98,RealTime!$A$2:$B$43,TODAY())</f>
        <v>オブジェクトが必要です。</v>
      </c>
      <c r="Z98" t="str">
        <f ca="1">IF($B98=1,BucketedDelta($G98,$H98,$I98,$K98,$L98,$N98,$O98,$P98,$D98,$T98,$J98,RealTime!$A$2:$B$43,TODAY(),FALSE),"")</f>
        <v/>
      </c>
    </row>
    <row r="99" spans="1:26" x14ac:dyDescent="0.2">
      <c r="F99" t="str">
        <f ca="1">IF($E99="","",NotionalForDelta($E99,$G99,$H99,$I99,$K99,$L99,$N99,$O99,$P99,$T99,RealTime!$A$2:$B$43,TODAY()))</f>
        <v/>
      </c>
      <c r="Q99" t="str">
        <f ca="1">FairRate($G99,$H99,$I99,$K99,$L99,$N99,$O99,$P99,RealTime!$A$2:$B$43,TODAY())</f>
        <v>オブジェクトが必要です。</v>
      </c>
      <c r="R99" t="str">
        <f t="shared" ca="1" si="6"/>
        <v/>
      </c>
      <c r="S99" t="str">
        <f t="shared" ca="1" si="7"/>
        <v/>
      </c>
      <c r="U99" t="str">
        <f ca="1">SwapPV($G99,$H99,$I99,$K99,$L99,$N99,$O99,$P99,$D99,$T99,$J99,RealTime!$A$2:$B$43,TODAY())</f>
        <v>オブジェクトが必要です。</v>
      </c>
      <c r="V99" t="str">
        <f ca="1">SwapDelta($G99,$H99,$I99,$K99,$L99,$N99,$O99,$P99,$D99,$T99,$J99,RealTime!$A$2:$B$43,TODAY())</f>
        <v>オブジェクトが必要です。</v>
      </c>
      <c r="W99" t="str">
        <f ca="1">SwapAnnuityDelta($G99,$H99,$I99,$K99,$L99,$N99,$O99,$P99,$D99,$T99,RealTime!$A$2:$B$43,TODAY())</f>
        <v>オブジェクトが必要です。</v>
      </c>
      <c r="Z99" t="str">
        <f ca="1">IF($B99=1,BucketedDelta($G99,$H99,$I99,$K99,$L99,$N99,$O99,$P99,$D99,$T99,$J99,RealTime!$A$2:$B$43,TODAY(),FALSE),"")</f>
        <v/>
      </c>
    </row>
    <row r="100" spans="1:26" x14ac:dyDescent="0.2">
      <c r="A100">
        <v>0</v>
      </c>
      <c r="F100" t="str">
        <f ca="1">IF($E100="","",NotionalForDelta($E100,$G100,$H100,$I100,$K100,$L100,$N100,$O100,$P100,$T100,RealTime!$A$2:$B$43,TODAY()))</f>
        <v/>
      </c>
      <c r="Q100" t="str">
        <f ca="1">FairRate($G100,$H100,$I100,$K100,$L100,$N100,$O100,$P100,RealTime!$A$2:$B$43,TODAY())</f>
        <v>オブジェクトが必要です。</v>
      </c>
      <c r="R100" t="str">
        <f t="shared" ca="1" si="6"/>
        <v/>
      </c>
      <c r="S100" t="str">
        <f t="shared" ca="1" si="7"/>
        <v/>
      </c>
      <c r="U100" t="str">
        <f ca="1">SwapPV($G100,$H100,$I100,$K100,$L100,$N100,$O100,$P100,$D100,$T100,$J100,RealTime!$A$2:$B$43,TODAY())</f>
        <v>オブジェクトが必要です。</v>
      </c>
      <c r="V100" t="str">
        <f ca="1">SwapDelta($G100,$H100,$I100,$K100,$L100,$N100,$O100,$P100,$D100,$T100,$J100,RealTime!$A$2:$B$43,TODAY())</f>
        <v>オブジェクトが必要です。</v>
      </c>
      <c r="W100" t="str">
        <f ca="1">SwapAnnuityDelta($G100,$H100,$I100,$K100,$L100,$N100,$O100,$P100,$D100,$T100,RealTime!$A$2:$B$43,TODAY())</f>
        <v>オブジェクトが必要です。</v>
      </c>
      <c r="Z100" t="str">
        <f ca="1">IF($B100=1,BucketedDelta($G100,$H100,$I100,$K100,$L100,$N100,$O100,$P100,$D100,$T100,$J100,RealTime!$A$2:$B$43,TODAY(),FALSE),"")</f>
        <v/>
      </c>
    </row>
    <row r="101" spans="1:26" x14ac:dyDescent="0.2">
      <c r="F101" t="str">
        <f ca="1">IF($E101="","",NotionalForDelta($E101,$G101,$H101,$I101,$K101,$L101,$N101,$O101,$P101,$T101,RealTime!$A$2:$B$43,TODAY()))</f>
        <v/>
      </c>
      <c r="Q101" t="str">
        <f ca="1">FairRate($G101,$H101,$I101,$K101,$L101,$N101,$O101,$P101,RealTime!$A$2:$B$43,TODAY())</f>
        <v>オブジェクトが必要です。</v>
      </c>
      <c r="R101" t="str">
        <f t="shared" ca="1" si="6"/>
        <v/>
      </c>
      <c r="S101" t="str">
        <f t="shared" ca="1" si="7"/>
        <v/>
      </c>
      <c r="U101" t="str">
        <f ca="1">SwapPV($G101,$H101,$I101,$K101,$L101,$N101,$O101,$P101,$D101,$T101,$J101,RealTime!$A$2:$B$43,TODAY())</f>
        <v>オブジェクトが必要です。</v>
      </c>
      <c r="V101" t="str">
        <f ca="1">SwapDelta($G101,$H101,$I101,$K101,$L101,$N101,$O101,$P101,$D101,$T101,$J101,RealTime!$A$2:$B$43,TODAY())</f>
        <v>オブジェクトが必要です。</v>
      </c>
      <c r="W101" t="str">
        <f ca="1">SwapAnnuityDelta($G101,$H101,$I101,$K101,$L101,$N101,$O101,$P101,$D101,$T101,RealTime!$A$2:$B$43,TODAY())</f>
        <v>オブジェクトが必要です。</v>
      </c>
      <c r="Z101" t="str">
        <f ca="1">IF($B101=1,BucketedDelta($G101,$H101,$I101,$K101,$L101,$N101,$O101,$P101,$D101,$T101,$J101,RealTime!$A$2:$B$43,TODAY(),FALSE),"")</f>
        <v/>
      </c>
    </row>
    <row r="102" spans="1:26" x14ac:dyDescent="0.2">
      <c r="F102" t="str">
        <f ca="1">IF($E102="","",NotionalForDelta($E102,$G102,$H102,$I102,$K102,$L102,$N102,$O102,$P102,$T102,RealTime!$A$2:$B$43,TODAY()))</f>
        <v/>
      </c>
      <c r="Q102" t="str">
        <f ca="1">FairRate($G102,$H102,$I102,$K102,$L102,$N102,$O102,$P102,RealTime!$A$2:$B$43,TODAY())</f>
        <v>オブジェクトが必要です。</v>
      </c>
      <c r="R102" t="str">
        <f t="shared" ca="1" si="6"/>
        <v/>
      </c>
      <c r="S102" t="str">
        <f t="shared" ca="1" si="7"/>
        <v/>
      </c>
      <c r="U102" t="str">
        <f ca="1">SwapPV($G102,$H102,$I102,$K102,$L102,$N102,$O102,$P102,$D102,$T102,$J102,RealTime!$A$2:$B$43,TODAY())</f>
        <v>オブジェクトが必要です。</v>
      </c>
      <c r="V102" t="str">
        <f ca="1">SwapDelta($G102,$H102,$I102,$K102,$L102,$N102,$O102,$P102,$D102,$T102,$J102,RealTime!$A$2:$B$43,TODAY())</f>
        <v>オブジェクトが必要です。</v>
      </c>
      <c r="W102" t="str">
        <f ca="1">SwapAnnuityDelta($G102,$H102,$I102,$K102,$L102,$N102,$O102,$P102,$D102,$T102,RealTime!$A$2:$B$43,TODAY())</f>
        <v>オブジェクトが必要です。</v>
      </c>
      <c r="Z102" t="str">
        <f ca="1">IF($B102=1,BucketedDelta($G102,$H102,$I102,$K102,$L102,$N102,$O102,$P102,$D102,$T102,$J102,RealTime!$A$2:$B$43,TODAY(),FALSE),"")</f>
        <v/>
      </c>
    </row>
    <row r="103" spans="1:26" x14ac:dyDescent="0.2">
      <c r="F103" t="str">
        <f ca="1">IF($E103="","",NotionalForDelta($E103,$G103,$H103,$I103,$K103,$L103,$N103,$O103,$P103,$T103,RealTime!$A$2:$B$43,TODAY()))</f>
        <v/>
      </c>
      <c r="Q103" t="str">
        <f ca="1">FairRate($G103,$H103,$I103,$K103,$L103,$N103,$O103,$P103,RealTime!$A$2:$B$43,TODAY())</f>
        <v>オブジェクトが必要です。</v>
      </c>
      <c r="R103" t="str">
        <f t="shared" ca="1" si="6"/>
        <v/>
      </c>
      <c r="S103" t="str">
        <f t="shared" ca="1" si="7"/>
        <v/>
      </c>
      <c r="U103" t="str">
        <f ca="1">SwapPV($G103,$H103,$I103,$K103,$L103,$N103,$O103,$P103,$D103,$T103,$J103,RealTime!$A$2:$B$43,TODAY())</f>
        <v>オブジェクトが必要です。</v>
      </c>
      <c r="V103" t="str">
        <f ca="1">SwapDelta($G103,$H103,$I103,$K103,$L103,$N103,$O103,$P103,$D103,$T103,$J103,RealTime!$A$2:$B$43,TODAY())</f>
        <v>オブジェクトが必要です。</v>
      </c>
      <c r="W103" t="str">
        <f ca="1">SwapAnnuityDelta($G103,$H103,$I103,$K103,$L103,$N103,$O103,$P103,$D103,$T103,RealTime!$A$2:$B$43,TODAY())</f>
        <v>オブジェクトが必要です。</v>
      </c>
      <c r="Z103" t="str">
        <f ca="1">IF($B103=1,BucketedDelta($G103,$H103,$I103,$K103,$L103,$N103,$O103,$P103,$D103,$T103,$J103,RealTime!$A$2:$B$43,TODAY(),FALSE),"")</f>
        <v/>
      </c>
    </row>
    <row r="104" spans="1:26" x14ac:dyDescent="0.2">
      <c r="F104" t="str">
        <f ca="1">IF($E104="","",NotionalForDelta($E104,$G104,$H104,$I104,$K104,$L104,$N104,$O104,$P104,$T104,RealTime!$A$2:$B$43,TODAY()))</f>
        <v/>
      </c>
      <c r="Q104" t="str">
        <f ca="1">FairRate($G104,$H104,$I104,$K104,$L104,$N104,$O104,$P104,RealTime!$A$2:$B$43,TODAY())</f>
        <v>オブジェクトが必要です。</v>
      </c>
      <c r="R104" t="str">
        <f t="shared" ca="1" si="6"/>
        <v/>
      </c>
      <c r="S104" t="str">
        <f t="shared" ca="1" si="7"/>
        <v/>
      </c>
      <c r="U104" t="str">
        <f ca="1">SwapPV($G104,$H104,$I104,$K104,$L104,$N104,$O104,$P104,$D104,$T104,$J104,RealTime!$A$2:$B$43,TODAY())</f>
        <v>オブジェクトが必要です。</v>
      </c>
      <c r="V104" t="str">
        <f ca="1">SwapDelta($G104,$H104,$I104,$K104,$L104,$N104,$O104,$P104,$D104,$T104,$J104,RealTime!$A$2:$B$43,TODAY())</f>
        <v>オブジェクトが必要です。</v>
      </c>
      <c r="W104" t="str">
        <f ca="1">SwapAnnuityDelta($G104,$H104,$I104,$K104,$L104,$N104,$O104,$P104,$D104,$T104,RealTime!$A$2:$B$43,TODAY())</f>
        <v>オブジェクトが必要です。</v>
      </c>
      <c r="Z104" t="str">
        <f ca="1">IF($B104=1,BucketedDelta($G104,$H104,$I104,$K104,$L104,$N104,$O104,$P104,$D104,$T104,$J104,RealTime!$A$2:$B$43,TODAY(),FALSE),"")</f>
        <v/>
      </c>
    </row>
    <row r="105" spans="1:26" x14ac:dyDescent="0.2">
      <c r="F105" t="str">
        <f ca="1">IF($E105="","",NotionalForDelta($E105,$G105,$H105,$I105,$K105,$L105,$N105,$O105,$P105,$T105,RealTime!$A$2:$B$43,TODAY()))</f>
        <v/>
      </c>
      <c r="Q105" t="str">
        <f ca="1">FairRate($G105,$H105,$I105,$K105,$L105,$N105,$O105,$P105,RealTime!$A$2:$B$43,TODAY())</f>
        <v>オブジェクトが必要です。</v>
      </c>
      <c r="R105" t="str">
        <f t="shared" ca="1" si="6"/>
        <v/>
      </c>
      <c r="S105" t="str">
        <f t="shared" ca="1" si="7"/>
        <v/>
      </c>
      <c r="U105" t="str">
        <f ca="1">SwapPV($G105,$H105,$I105,$K105,$L105,$N105,$O105,$P105,$D105,$T105,$J105,RealTime!$A$2:$B$43,TODAY())</f>
        <v>オブジェクトが必要です。</v>
      </c>
      <c r="V105" t="str">
        <f ca="1">SwapDelta($G105,$H105,$I105,$K105,$L105,$N105,$O105,$P105,$D105,$T105,$J105,RealTime!$A$2:$B$43,TODAY())</f>
        <v>オブジェクトが必要です。</v>
      </c>
      <c r="W105" t="str">
        <f ca="1">SwapAnnuityDelta($G105,$H105,$I105,$K105,$L105,$N105,$O105,$P105,$D105,$T105,RealTime!$A$2:$B$43,TODAY())</f>
        <v>オブジェクトが必要です。</v>
      </c>
      <c r="Z105" t="str">
        <f ca="1">IF($B105=1,BucketedDelta($G105,$H105,$I105,$K105,$L105,$N105,$O105,$P105,$D105,$T105,$J105,RealTime!$A$2:$B$43,TODAY(),FALSE),"")</f>
        <v/>
      </c>
    </row>
    <row r="106" spans="1:26" x14ac:dyDescent="0.2">
      <c r="F106" t="str">
        <f ca="1">IF($E106="","",NotionalForDelta($E106,$G106,$H106,$I106,$K106,$L106,$N106,$O106,$P106,$T106,RealTime!$A$2:$B$43,TODAY()))</f>
        <v/>
      </c>
      <c r="Q106" t="str">
        <f ca="1">FairRate($G106,$H106,$I106,$K106,$L106,$N106,$O106,$P106,RealTime!$A$2:$B$43,TODAY())</f>
        <v>オブジェクトが必要です。</v>
      </c>
      <c r="R106" t="str">
        <f t="shared" ca="1" si="6"/>
        <v/>
      </c>
      <c r="S106" t="str">
        <f t="shared" ca="1" si="7"/>
        <v/>
      </c>
      <c r="U106" t="str">
        <f ca="1">SwapPV($G106,$H106,$I106,$K106,$L106,$N106,$O106,$P106,$D106,$T106,$J106,RealTime!$A$2:$B$43,TODAY())</f>
        <v>オブジェクトが必要です。</v>
      </c>
      <c r="V106" t="str">
        <f ca="1">SwapDelta($G106,$H106,$I106,$K106,$L106,$N106,$O106,$P106,$D106,$T106,$J106,RealTime!$A$2:$B$43,TODAY())</f>
        <v>オブジェクトが必要です。</v>
      </c>
      <c r="W106" t="str">
        <f ca="1">SwapAnnuityDelta($G106,$H106,$I106,$K106,$L106,$N106,$O106,$P106,$D106,$T106,RealTime!$A$2:$B$43,TODAY())</f>
        <v>オブジェクトが必要です。</v>
      </c>
      <c r="Z106" t="str">
        <f ca="1">IF($B106=1,BucketedDelta($G106,$H106,$I106,$K106,$L106,$N106,$O106,$P106,$D106,$T106,$J106,RealTime!$A$2:$B$43,TODAY(),FALSE),"")</f>
        <v/>
      </c>
    </row>
    <row r="107" spans="1:26" x14ac:dyDescent="0.2">
      <c r="F107" t="str">
        <f ca="1">IF($E107="","",NotionalForDelta($E107,$G107,$H107,$I107,$K107,$L107,$N107,$O107,$P107,$T107,RealTime!$A$2:$B$43,TODAY()))</f>
        <v/>
      </c>
      <c r="Q107" t="str">
        <f ca="1">FairRate($G107,$H107,$I107,$K107,$L107,$N107,$O107,$P107,RealTime!$A$2:$B$43,TODAY())</f>
        <v>オブジェクトが必要です。</v>
      </c>
      <c r="R107" t="str">
        <f t="shared" ca="1" si="6"/>
        <v/>
      </c>
      <c r="S107" t="str">
        <f t="shared" ca="1" si="7"/>
        <v/>
      </c>
      <c r="U107" t="str">
        <f ca="1">SwapPV($G107,$H107,$I107,$K107,$L107,$N107,$O107,$P107,$D107,$T107,$J107,RealTime!$A$2:$B$43,TODAY())</f>
        <v>オブジェクトが必要です。</v>
      </c>
      <c r="V107" t="str">
        <f ca="1">SwapDelta($G107,$H107,$I107,$K107,$L107,$N107,$O107,$P107,$D107,$T107,$J107,RealTime!$A$2:$B$43,TODAY())</f>
        <v>オブジェクトが必要です。</v>
      </c>
      <c r="W107" t="str">
        <f ca="1">SwapAnnuityDelta($G107,$H107,$I107,$K107,$L107,$N107,$O107,$P107,$D107,$T107,RealTime!$A$2:$B$43,TODAY())</f>
        <v>オブジェクトが必要です。</v>
      </c>
      <c r="Z107" t="str">
        <f ca="1">IF($B107=1,BucketedDelta($G107,$H107,$I107,$K107,$L107,$N107,$O107,$P107,$D107,$T107,$J107,RealTime!$A$2:$B$43,TODAY(),FALSE),"")</f>
        <v/>
      </c>
    </row>
    <row r="108" spans="1:26" x14ac:dyDescent="0.2">
      <c r="F108" t="str">
        <f ca="1">IF($E108="","",NotionalForDelta($E108,$G108,$H108,$I108,$K108,$L108,$N108,$O108,$P108,$T108,RealTime!$A$2:$B$43,TODAY()))</f>
        <v/>
      </c>
      <c r="Q108" t="str">
        <f ca="1">FairRate($G108,$H108,$I108,$K108,$L108,$N108,$O108,$P108,RealTime!$A$2:$B$43,TODAY())</f>
        <v>オブジェクトが必要です。</v>
      </c>
      <c r="R108" t="str">
        <f t="shared" ca="1" si="6"/>
        <v/>
      </c>
      <c r="S108" t="str">
        <f t="shared" ca="1" si="7"/>
        <v/>
      </c>
      <c r="U108" t="str">
        <f ca="1">SwapPV($G108,$H108,$I108,$K108,$L108,$N108,$O108,$P108,$D108,$T108,$J108,RealTime!$A$2:$B$43,TODAY())</f>
        <v>オブジェクトが必要です。</v>
      </c>
      <c r="V108" t="str">
        <f ca="1">SwapDelta($G108,$H108,$I108,$K108,$L108,$N108,$O108,$P108,$D108,$T108,$J108,RealTime!$A$2:$B$43,TODAY())</f>
        <v>オブジェクトが必要です。</v>
      </c>
      <c r="W108" t="str">
        <f ca="1">SwapAnnuityDelta($G108,$H108,$I108,$K108,$L108,$N108,$O108,$P108,$D108,$T108,RealTime!$A$2:$B$43,TODAY())</f>
        <v>オブジェクトが必要です。</v>
      </c>
      <c r="Z108" t="str">
        <f ca="1">IF($B108=1,BucketedDelta($G108,$H108,$I108,$K108,$L108,$N108,$O108,$P108,$D108,$T108,$J108,RealTime!$A$2:$B$43,TODAY(),FALSE),"")</f>
        <v/>
      </c>
    </row>
    <row r="109" spans="1:26" x14ac:dyDescent="0.2">
      <c r="F109" t="str">
        <f ca="1">IF($E109="","",NotionalForDelta($E109,$G109,$H109,$I109,$K109,$L109,$N109,$O109,$P109,$T109,RealTime!$A$2:$B$43,TODAY()))</f>
        <v/>
      </c>
      <c r="Q109" t="str">
        <f ca="1">FairRate($G109,$H109,$I109,$K109,$L109,$N109,$O109,$P109,RealTime!$A$2:$B$43,TODAY())</f>
        <v>オブジェクトが必要です。</v>
      </c>
      <c r="R109" t="str">
        <f t="shared" ca="1" si="6"/>
        <v/>
      </c>
      <c r="S109" t="str">
        <f t="shared" ca="1" si="7"/>
        <v/>
      </c>
      <c r="U109" t="str">
        <f ca="1">SwapPV($G109,$H109,$I109,$K109,$L109,$N109,$O109,$P109,$D109,$T109,$J109,RealTime!$A$2:$B$43,TODAY())</f>
        <v>オブジェクトが必要です。</v>
      </c>
      <c r="V109" t="str">
        <f ca="1">SwapDelta($G109,$H109,$I109,$K109,$L109,$N109,$O109,$P109,$D109,$T109,$J109,RealTime!$A$2:$B$43,TODAY())</f>
        <v>オブジェクトが必要です。</v>
      </c>
      <c r="W109" t="str">
        <f ca="1">SwapAnnuityDelta($G109,$H109,$I109,$K109,$L109,$N109,$O109,$P109,$D109,$T109,RealTime!$A$2:$B$43,TODAY())</f>
        <v>オブジェクトが必要です。</v>
      </c>
      <c r="Z109" t="str">
        <f ca="1">IF($B109=1,BucketedDelta($G109,$H109,$I109,$K109,$L109,$N109,$O109,$P109,$D109,$T109,$J109,RealTime!$A$2:$B$43,TODAY(),FALSE),"")</f>
        <v/>
      </c>
    </row>
    <row r="110" spans="1:26" x14ac:dyDescent="0.2">
      <c r="F110" t="str">
        <f ca="1">IF($E110="","",NotionalForDelta($E110,$G110,$H110,$I110,$K110,$L110,$N110,$O110,$P110,$T110,RealTime!$A$2:$B$43,TODAY()))</f>
        <v/>
      </c>
      <c r="Q110" t="str">
        <f ca="1">FairRate($G110,$H110,$I110,$K110,$L110,$N110,$O110,$P110,RealTime!$A$2:$B$43,TODAY())</f>
        <v>オブジェクトが必要です。</v>
      </c>
      <c r="R110" t="str">
        <f t="shared" ca="1" si="6"/>
        <v/>
      </c>
      <c r="S110" t="str">
        <f t="shared" ca="1" si="7"/>
        <v/>
      </c>
      <c r="U110" t="str">
        <f ca="1">SwapPV($G110,$H110,$I110,$K110,$L110,$N110,$O110,$P110,$D110,$T110,$J110,RealTime!$A$2:$B$43,TODAY())</f>
        <v>オブジェクトが必要です。</v>
      </c>
      <c r="V110" t="str">
        <f ca="1">SwapDelta($G110,$H110,$I110,$K110,$L110,$N110,$O110,$P110,$D110,$T110,$J110,RealTime!$A$2:$B$43,TODAY())</f>
        <v>オブジェクトが必要です。</v>
      </c>
      <c r="W110" t="str">
        <f ca="1">SwapAnnuityDelta($G110,$H110,$I110,$K110,$L110,$N110,$O110,$P110,$D110,$T110,RealTime!$A$2:$B$43,TODAY())</f>
        <v>オブジェクトが必要です。</v>
      </c>
      <c r="Z110" t="str">
        <f ca="1">IF($B110=1,BucketedDelta($G110,$H110,$I110,$K110,$L110,$N110,$O110,$P110,$D110,$T110,$J110,RealTime!$A$2:$B$43,TODAY(),FALSE),"")</f>
        <v/>
      </c>
    </row>
    <row r="111" spans="1:26" x14ac:dyDescent="0.2">
      <c r="F111" t="str">
        <f ca="1">IF($E111="","",NotionalForDelta($E111,$G111,$H111,$I111,$K111,$L111,$N111,$O111,$P111,$T111,RealTime!$A$2:$B$43,TODAY()))</f>
        <v/>
      </c>
      <c r="Q111" t="str">
        <f ca="1">FairRate($G111,$H111,$I111,$K111,$L111,$N111,$O111,$P111,RealTime!$A$2:$B$43,TODAY())</f>
        <v>オブジェクトが必要です。</v>
      </c>
      <c r="R111" t="str">
        <f t="shared" ca="1" si="6"/>
        <v/>
      </c>
      <c r="S111" t="str">
        <f t="shared" ca="1" si="7"/>
        <v/>
      </c>
      <c r="U111" t="str">
        <f ca="1">SwapPV($G111,$H111,$I111,$K111,$L111,$N111,$O111,$P111,$D111,$T111,$J111,RealTime!$A$2:$B$43,TODAY())</f>
        <v>オブジェクトが必要です。</v>
      </c>
      <c r="V111" t="str">
        <f ca="1">SwapDelta($G111,$H111,$I111,$K111,$L111,$N111,$O111,$P111,$D111,$T111,$J111,RealTime!$A$2:$B$43,TODAY())</f>
        <v>オブジェクトが必要です。</v>
      </c>
      <c r="W111" t="str">
        <f ca="1">SwapAnnuityDelta($G111,$H111,$I111,$K111,$L111,$N111,$O111,$P111,$D111,$T111,RealTime!$A$2:$B$43,TODAY())</f>
        <v>オブジェクトが必要です。</v>
      </c>
      <c r="Z111" t="str">
        <f ca="1">IF($B111=1,BucketedDelta($G111,$H111,$I111,$K111,$L111,$N111,$O111,$P111,$D111,$T111,$J111,RealTime!$A$2:$B$43,TODAY(),FALSE),"")</f>
        <v/>
      </c>
    </row>
    <row r="112" spans="1:26" x14ac:dyDescent="0.2">
      <c r="F112" t="str">
        <f ca="1">IF($E112="","",NotionalForDelta($E112,$G112,$H112,$I112,$K112,$L112,$N112,$O112,$P112,$T112,RealTime!$A$2:$B$43,TODAY()))</f>
        <v/>
      </c>
      <c r="Q112" t="str">
        <f ca="1">FairRate($G112,$H112,$I112,$K112,$L112,$N112,$O112,$P112,RealTime!$A$2:$B$43,TODAY())</f>
        <v>オブジェクトが必要です。</v>
      </c>
      <c r="R112" t="str">
        <f t="shared" ca="1" si="6"/>
        <v/>
      </c>
      <c r="S112" t="str">
        <f t="shared" ca="1" si="7"/>
        <v/>
      </c>
      <c r="U112" t="str">
        <f ca="1">SwapPV($G112,$H112,$I112,$K112,$L112,$N112,$O112,$P112,$D112,$T112,$J112,RealTime!$A$2:$B$43,TODAY())</f>
        <v>オブジェクトが必要です。</v>
      </c>
      <c r="V112" t="str">
        <f ca="1">SwapDelta($G112,$H112,$I112,$K112,$L112,$N112,$O112,$P112,$D112,$T112,$J112,RealTime!$A$2:$B$43,TODAY())</f>
        <v>オブジェクトが必要です。</v>
      </c>
      <c r="W112" t="str">
        <f ca="1">SwapAnnuityDelta($G112,$H112,$I112,$K112,$L112,$N112,$O112,$P112,$D112,$T112,RealTime!$A$2:$B$43,TODAY())</f>
        <v>オブジェクトが必要です。</v>
      </c>
      <c r="Z112" t="str">
        <f ca="1">IF($B112=1,BucketedDelta($G112,$H112,$I112,$K112,$L112,$N112,$O112,$P112,$D112,$T112,$J112,RealTime!$A$2:$B$43,TODAY(),FALSE),"")</f>
        <v/>
      </c>
    </row>
    <row r="113" spans="6:26" x14ac:dyDescent="0.2">
      <c r="F113" t="str">
        <f ca="1">IF($E113="","",NotionalForDelta($E113,$G113,$H113,$I113,$K113,$L113,$N113,$O113,$P113,$T113,RealTime!$A$2:$B$43,TODAY()))</f>
        <v/>
      </c>
      <c r="Q113" t="str">
        <f ca="1">FairRate($G113,$H113,$I113,$K113,$L113,$N113,$O113,$P113,RealTime!$A$2:$B$43,TODAY())</f>
        <v>オブジェクトが必要です。</v>
      </c>
      <c r="R113" t="str">
        <f t="shared" ca="1" si="6"/>
        <v/>
      </c>
      <c r="S113" t="str">
        <f t="shared" ca="1" si="7"/>
        <v/>
      </c>
      <c r="U113" t="str">
        <f ca="1">SwapPV($G113,$H113,$I113,$K113,$L113,$N113,$O113,$P113,$D113,$T113,$J113,RealTime!$A$2:$B$43,TODAY())</f>
        <v>オブジェクトが必要です。</v>
      </c>
      <c r="V113" t="str">
        <f ca="1">SwapDelta($G113,$H113,$I113,$K113,$L113,$N113,$O113,$P113,$D113,$T113,$J113,RealTime!$A$2:$B$43,TODAY())</f>
        <v>オブジェクトが必要です。</v>
      </c>
      <c r="W113" t="str">
        <f ca="1">SwapAnnuityDelta($G113,$H113,$I113,$K113,$L113,$N113,$O113,$P113,$D113,$T113,RealTime!$A$2:$B$43,TODAY())</f>
        <v>オブジェクトが必要です。</v>
      </c>
      <c r="Z113" t="str">
        <f ca="1">IF($B113=1,BucketedDelta($G113,$H113,$I113,$K113,$L113,$N113,$O113,$P113,$D113,$T113,$J113,RealTime!$A$2:$B$43,TODAY(),FALSE),"")</f>
        <v/>
      </c>
    </row>
    <row r="114" spans="6:26" x14ac:dyDescent="0.2">
      <c r="F114" t="str">
        <f ca="1">IF($E114="","",NotionalForDelta($E114,$G114,$H114,$I114,$K114,$L114,$N114,$O114,$P114,$T114,RealTime!$A$2:$B$43,TODAY()))</f>
        <v/>
      </c>
      <c r="Q114" t="str">
        <f ca="1">FairRate($G114,$H114,$I114,$K114,$L114,$N114,$O114,$P114,RealTime!$A$2:$B$43,TODAY())</f>
        <v>オブジェクトが必要です。</v>
      </c>
      <c r="R114" t="str">
        <f t="shared" ca="1" si="6"/>
        <v/>
      </c>
      <c r="S114" t="str">
        <f t="shared" ca="1" si="7"/>
        <v/>
      </c>
      <c r="U114" t="str">
        <f ca="1">SwapPV($G114,$H114,$I114,$K114,$L114,$N114,$O114,$P114,$D114,$T114,$J114,RealTime!$A$2:$B$43,TODAY())</f>
        <v>オブジェクトが必要です。</v>
      </c>
      <c r="V114" t="str">
        <f ca="1">SwapDelta($G114,$H114,$I114,$K114,$L114,$N114,$O114,$P114,$D114,$T114,$J114,RealTime!$A$2:$B$43,TODAY())</f>
        <v>オブジェクトが必要です。</v>
      </c>
      <c r="W114" t="str">
        <f ca="1">SwapAnnuityDelta($G114,$H114,$I114,$K114,$L114,$N114,$O114,$P114,$D114,$T114,RealTime!$A$2:$B$43,TODAY())</f>
        <v>オブジェクトが必要です。</v>
      </c>
      <c r="Z114" t="str">
        <f ca="1">IF($B114=1,BucketedDelta($G114,$H114,$I114,$K114,$L114,$N114,$O114,$P114,$D114,$T114,$J114,RealTime!$A$2:$B$43,TODAY(),FALSE),"")</f>
        <v/>
      </c>
    </row>
    <row r="115" spans="6:26" x14ac:dyDescent="0.2">
      <c r="F115" t="str">
        <f ca="1">IF($E115="","",NotionalForDelta($E115,$G115,$H115,$I115,$K115,$L115,$N115,$O115,$P115,$T115,RealTime!$A$2:$B$43,TODAY()))</f>
        <v/>
      </c>
      <c r="Q115" t="str">
        <f ca="1">FairRate($G115,$H115,$I115,$K115,$L115,$N115,$O115,$P115,RealTime!$A$2:$B$43,TODAY())</f>
        <v>オブジェクトが必要です。</v>
      </c>
      <c r="R115" t="str">
        <f t="shared" ca="1" si="6"/>
        <v/>
      </c>
      <c r="S115" t="str">
        <f t="shared" ca="1" si="7"/>
        <v/>
      </c>
      <c r="U115" t="str">
        <f ca="1">SwapPV($G115,$H115,$I115,$K115,$L115,$N115,$O115,$P115,$D115,$T115,$J115,RealTime!$A$2:$B$43,TODAY())</f>
        <v>オブジェクトが必要です。</v>
      </c>
      <c r="V115" t="str">
        <f ca="1">SwapDelta($G115,$H115,$I115,$K115,$L115,$N115,$O115,$P115,$D115,$T115,$J115,RealTime!$A$2:$B$43,TODAY())</f>
        <v>オブジェクトが必要です。</v>
      </c>
      <c r="W115" t="str">
        <f ca="1">SwapAnnuityDelta($G115,$H115,$I115,$K115,$L115,$N115,$O115,$P115,$D115,$T115,RealTime!$A$2:$B$43,TODAY())</f>
        <v>オブジェクトが必要です。</v>
      </c>
      <c r="Z115" t="str">
        <f ca="1">IF($B115=1,BucketedDelta($G115,$H115,$I115,$K115,$L115,$N115,$O115,$P115,$D115,$T115,$J115,RealTime!$A$2:$B$43,TODAY(),FALSE),"")</f>
        <v/>
      </c>
    </row>
    <row r="116" spans="6:26" x14ac:dyDescent="0.2">
      <c r="F116" t="str">
        <f ca="1">IF($E116="","",NotionalForDelta($E116,$G116,$H116,$I116,$K116,$L116,$N116,$O116,$P116,$T116,RealTime!$A$2:$B$43,TODAY()))</f>
        <v/>
      </c>
      <c r="Q116" t="str">
        <f ca="1">FairRate($G116,$H116,$I116,$K116,$L116,$N116,$O116,$P116,RealTime!$A$2:$B$43,TODAY())</f>
        <v>オブジェクトが必要です。</v>
      </c>
      <c r="R116" t="str">
        <f t="shared" ca="1" si="6"/>
        <v/>
      </c>
      <c r="S116" t="str">
        <f t="shared" ca="1" si="7"/>
        <v/>
      </c>
      <c r="U116" t="str">
        <f ca="1">SwapPV($G116,$H116,$I116,$K116,$L116,$N116,$O116,$P116,$D116,$T116,$J116,RealTime!$A$2:$B$43,TODAY())</f>
        <v>オブジェクトが必要です。</v>
      </c>
      <c r="V116" t="str">
        <f ca="1">SwapDelta($G116,$H116,$I116,$K116,$L116,$N116,$O116,$P116,$D116,$T116,$J116,RealTime!$A$2:$B$43,TODAY())</f>
        <v>オブジェクトが必要です。</v>
      </c>
      <c r="W116" t="str">
        <f ca="1">SwapAnnuityDelta($G116,$H116,$I116,$K116,$L116,$N116,$O116,$P116,$D116,$T116,RealTime!$A$2:$B$43,TODAY())</f>
        <v>オブジェクトが必要です。</v>
      </c>
      <c r="Z116" t="str">
        <f ca="1">IF($B116=1,BucketedDelta($G116,$H116,$I116,$K116,$L116,$N116,$O116,$P116,$D116,$T116,$J116,RealTime!$A$2:$B$43,TODAY(),FALSE),"")</f>
        <v/>
      </c>
    </row>
    <row r="117" spans="6:26" x14ac:dyDescent="0.2">
      <c r="F117" t="str">
        <f ca="1">IF($E117="","",NotionalForDelta($E117,$G117,$H117,$I117,$K117,$L117,$N117,$O117,$P117,$T117,RealTime!$A$2:$B$43,TODAY()))</f>
        <v/>
      </c>
      <c r="Q117" t="str">
        <f ca="1">FairRate($G117,$H117,$I117,$K117,$L117,$N117,$O117,$P117,RealTime!$A$2:$B$43,TODAY())</f>
        <v>オブジェクトが必要です。</v>
      </c>
      <c r="R117" t="str">
        <f t="shared" ca="1" si="6"/>
        <v/>
      </c>
      <c r="S117" t="str">
        <f t="shared" ca="1" si="7"/>
        <v/>
      </c>
      <c r="U117" t="str">
        <f ca="1">SwapPV($G117,$H117,$I117,$K117,$L117,$N117,$O117,$P117,$D117,$T117,$J117,RealTime!$A$2:$B$43,TODAY())</f>
        <v>オブジェクトが必要です。</v>
      </c>
      <c r="V117" t="str">
        <f ca="1">SwapDelta($G117,$H117,$I117,$K117,$L117,$N117,$O117,$P117,$D117,$T117,$J117,RealTime!$A$2:$B$43,TODAY())</f>
        <v>オブジェクトが必要です。</v>
      </c>
      <c r="W117" t="str">
        <f ca="1">SwapAnnuityDelta($G117,$H117,$I117,$K117,$L117,$N117,$O117,$P117,$D117,$T117,RealTime!$A$2:$B$43,TODAY())</f>
        <v>オブジェクトが必要です。</v>
      </c>
      <c r="Z117" t="str">
        <f ca="1">IF($B117=1,BucketedDelta($G117,$H117,$I117,$K117,$L117,$N117,$O117,$P117,$D117,$T117,$J117,RealTime!$A$2:$B$43,TODAY(),FALSE),"")</f>
        <v/>
      </c>
    </row>
    <row r="118" spans="6:26" x14ac:dyDescent="0.2">
      <c r="F118" t="str">
        <f ca="1">IF($E118="","",NotionalForDelta($E118,$G118,$H118,$I118,$K118,$L118,$N118,$O118,$P118,$T118,RealTime!$A$2:$B$43,TODAY()))</f>
        <v/>
      </c>
      <c r="Q118" t="str">
        <f ca="1">FairRate($G118,$H118,$I118,$K118,$L118,$N118,$O118,$P118,RealTime!$A$2:$B$43,TODAY())</f>
        <v>オブジェクトが必要です。</v>
      </c>
      <c r="R118" t="str">
        <f t="shared" ca="1" si="6"/>
        <v/>
      </c>
      <c r="S118" t="str">
        <f t="shared" ca="1" si="7"/>
        <v/>
      </c>
      <c r="U118" t="str">
        <f ca="1">SwapPV($G118,$H118,$I118,$K118,$L118,$N118,$O118,$P118,$D118,$T118,$J118,RealTime!$A$2:$B$43,TODAY())</f>
        <v>オブジェクトが必要です。</v>
      </c>
      <c r="V118" t="str">
        <f ca="1">SwapDelta($G118,$H118,$I118,$K118,$L118,$N118,$O118,$P118,$D118,$T118,$J118,RealTime!$A$2:$B$43,TODAY())</f>
        <v>オブジェクトが必要です。</v>
      </c>
      <c r="W118" t="str">
        <f ca="1">SwapAnnuityDelta($G118,$H118,$I118,$K118,$L118,$N118,$O118,$P118,$D118,$T118,RealTime!$A$2:$B$43,TODAY())</f>
        <v>オブジェクトが必要です。</v>
      </c>
      <c r="Z118" t="str">
        <f ca="1">IF($B118=1,BucketedDelta($G118,$H118,$I118,$K118,$L118,$N118,$O118,$P118,$D118,$T118,$J118,RealTime!$A$2:$B$43,TODAY(),FALSE),"")</f>
        <v/>
      </c>
    </row>
    <row r="119" spans="6:26" x14ac:dyDescent="0.2">
      <c r="F119" t="str">
        <f ca="1">IF($E119="","",NotionalForDelta($E119,$G119,$H119,$I119,$K119,$L119,$N119,$O119,$P119,$T119,RealTime!$A$2:$B$43,TODAY()))</f>
        <v/>
      </c>
      <c r="Q119" t="str">
        <f ca="1">FairRate($G119,$H119,$I119,$K119,$L119,$N119,$O119,$P119,RealTime!$A$2:$B$43,TODAY())</f>
        <v>オブジェクトが必要です。</v>
      </c>
      <c r="R119" t="str">
        <f t="shared" ca="1" si="6"/>
        <v/>
      </c>
      <c r="S119" t="str">
        <f t="shared" ca="1" si="7"/>
        <v/>
      </c>
      <c r="U119" t="str">
        <f ca="1">SwapPV($G119,$H119,$I119,$K119,$L119,$N119,$O119,$P119,$D119,$T119,$J119,RealTime!$A$2:$B$43,TODAY())</f>
        <v>オブジェクトが必要です。</v>
      </c>
      <c r="V119" t="str">
        <f ca="1">SwapDelta($G119,$H119,$I119,$K119,$L119,$N119,$O119,$P119,$D119,$T119,$J119,RealTime!$A$2:$B$43,TODAY())</f>
        <v>オブジェクトが必要です。</v>
      </c>
      <c r="W119" t="str">
        <f ca="1">SwapAnnuityDelta($G119,$H119,$I119,$K119,$L119,$N119,$O119,$P119,$D119,$T119,RealTime!$A$2:$B$43,TODAY())</f>
        <v>オブジェクトが必要です。</v>
      </c>
      <c r="Z119" t="str">
        <f ca="1">IF($B119=1,BucketedDelta($G119,$H119,$I119,$K119,$L119,$N119,$O119,$P119,$D119,$T119,$J119,RealTime!$A$2:$B$43,TODAY(),FALSE),"")</f>
        <v/>
      </c>
    </row>
    <row r="120" spans="6:26" x14ac:dyDescent="0.2">
      <c r="F120" t="str">
        <f ca="1">IF($E120="","",NotionalForDelta($E120,$G120,$H120,$I120,$K120,$L120,$N120,$O120,$P120,$T120,RealTime!$A$2:$B$43,TODAY()))</f>
        <v/>
      </c>
      <c r="Q120" t="str">
        <f ca="1">FairRate($G120,$H120,$I120,$K120,$L120,$N120,$O120,$P120,RealTime!$A$2:$B$43,TODAY())</f>
        <v>オブジェクトが必要です。</v>
      </c>
      <c r="R120" t="str">
        <f t="shared" ca="1" si="6"/>
        <v/>
      </c>
      <c r="S120" t="str">
        <f t="shared" ca="1" si="7"/>
        <v/>
      </c>
      <c r="U120" t="str">
        <f ca="1">SwapPV($G120,$H120,$I120,$K120,$L120,$N120,$O120,$P120,$D120,$T120,$J120,RealTime!$A$2:$B$43,TODAY())</f>
        <v>オブジェクトが必要です。</v>
      </c>
      <c r="V120" t="str">
        <f ca="1">SwapDelta($G120,$H120,$I120,$K120,$L120,$N120,$O120,$P120,$D120,$T120,$J120,RealTime!$A$2:$B$43,TODAY())</f>
        <v>オブジェクトが必要です。</v>
      </c>
      <c r="W120" t="str">
        <f ca="1">SwapAnnuityDelta($G120,$H120,$I120,$K120,$L120,$N120,$O120,$P120,$D120,$T120,RealTime!$A$2:$B$43,TODAY())</f>
        <v>オブジェクトが必要です。</v>
      </c>
      <c r="Z120" t="str">
        <f ca="1">IF($B120=1,BucketedDelta($G120,$H120,$I120,$K120,$L120,$N120,$O120,$P120,$D120,$T120,$J120,RealTime!$A$2:$B$43,TODAY(),FALSE),"")</f>
        <v/>
      </c>
    </row>
    <row r="121" spans="6:26" x14ac:dyDescent="0.2">
      <c r="F121" t="str">
        <f ca="1">IF($E121="","",NotionalForDelta($E121,$G121,$H121,$I121,$K121,$L121,$N121,$O121,$P121,$T121,RealTime!$A$2:$B$43,TODAY()))</f>
        <v/>
      </c>
      <c r="Q121" t="str">
        <f ca="1">FairRate($G121,$H121,$I121,$K121,$L121,$N121,$O121,$P121,RealTime!$A$2:$B$43,TODAY())</f>
        <v>オブジェクトが必要です。</v>
      </c>
      <c r="R121" t="str">
        <f t="shared" ca="1" si="6"/>
        <v/>
      </c>
      <c r="S121" t="str">
        <f t="shared" ca="1" si="7"/>
        <v/>
      </c>
      <c r="U121" t="str">
        <f ca="1">SwapPV($G121,$H121,$I121,$K121,$L121,$N121,$O121,$P121,$D121,$T121,$J121,RealTime!$A$2:$B$43,TODAY())</f>
        <v>オブジェクトが必要です。</v>
      </c>
      <c r="V121" t="str">
        <f ca="1">SwapDelta($G121,$H121,$I121,$K121,$L121,$N121,$O121,$P121,$D121,$T121,$J121,RealTime!$A$2:$B$43,TODAY())</f>
        <v>オブジェクトが必要です。</v>
      </c>
      <c r="W121" t="str">
        <f ca="1">SwapAnnuityDelta($G121,$H121,$I121,$K121,$L121,$N121,$O121,$P121,$D121,$T121,RealTime!$A$2:$B$43,TODAY())</f>
        <v>オブジェクトが必要です。</v>
      </c>
      <c r="Z121" t="str">
        <f ca="1">IF($B121=1,BucketedDelta($G121,$H121,$I121,$K121,$L121,$N121,$O121,$P121,$D121,$T121,$J121,RealTime!$A$2:$B$43,TODAY(),FALSE),"")</f>
        <v/>
      </c>
    </row>
    <row r="122" spans="6:26" x14ac:dyDescent="0.2">
      <c r="F122" t="str">
        <f ca="1">IF($E122="","",NotionalForDelta($E122,$G122,$H122,$I122,$K122,$L122,$N122,$O122,$P122,$T122,RealTime!$A$2:$B$43,TODAY()))</f>
        <v/>
      </c>
      <c r="Q122" t="str">
        <f ca="1">FairRate($G122,$H122,$I122,$K122,$L122,$N122,$O122,$P122,RealTime!$A$2:$B$43,TODAY())</f>
        <v>オブジェクトが必要です。</v>
      </c>
      <c r="R122" t="str">
        <f t="shared" ca="1" si="6"/>
        <v/>
      </c>
      <c r="S122" t="str">
        <f t="shared" ca="1" si="7"/>
        <v/>
      </c>
      <c r="U122" t="str">
        <f ca="1">SwapPV($G122,$H122,$I122,$K122,$L122,$N122,$O122,$P122,$D122,$T122,$J122,RealTime!$A$2:$B$43,TODAY())</f>
        <v>オブジェクトが必要です。</v>
      </c>
      <c r="V122" t="str">
        <f ca="1">SwapDelta($G122,$H122,$I122,$K122,$L122,$N122,$O122,$P122,$D122,$T122,$J122,RealTime!$A$2:$B$43,TODAY())</f>
        <v>オブジェクトが必要です。</v>
      </c>
      <c r="W122" t="str">
        <f ca="1">SwapAnnuityDelta($G122,$H122,$I122,$K122,$L122,$N122,$O122,$P122,$D122,$T122,RealTime!$A$2:$B$43,TODAY())</f>
        <v>オブジェクトが必要です。</v>
      </c>
      <c r="Z122" t="str">
        <f ca="1">IF($B122=1,BucketedDelta($G122,$H122,$I122,$K122,$L122,$N122,$O122,$P122,$D122,$T122,$J122,RealTime!$A$2:$B$43,TODAY(),FALSE),"")</f>
        <v/>
      </c>
    </row>
    <row r="123" spans="6:26" x14ac:dyDescent="0.2">
      <c r="F123" t="str">
        <f ca="1">IF($E123="","",NotionalForDelta($E123,$G123,$H123,$I123,$K123,$L123,$N123,$O123,$P123,$T123,RealTime!$A$2:$B$43,TODAY()))</f>
        <v/>
      </c>
      <c r="Q123" t="str">
        <f ca="1">FairRate($G123,$H123,$I123,$K123,$L123,$N123,$O123,$P123,RealTime!$A$2:$B$43,TODAY())</f>
        <v>オブジェクトが必要です。</v>
      </c>
      <c r="R123" t="str">
        <f t="shared" ca="1" si="6"/>
        <v/>
      </c>
      <c r="S123" t="str">
        <f t="shared" ca="1" si="7"/>
        <v/>
      </c>
      <c r="U123" t="str">
        <f ca="1">SwapPV($G123,$H123,$I123,$K123,$L123,$N123,$O123,$P123,$D123,$T123,$J123,RealTime!$A$2:$B$43,TODAY())</f>
        <v>オブジェクトが必要です。</v>
      </c>
      <c r="V123" t="str">
        <f ca="1">SwapDelta($G123,$H123,$I123,$K123,$L123,$N123,$O123,$P123,$D123,$T123,$J123,RealTime!$A$2:$B$43,TODAY())</f>
        <v>オブジェクトが必要です。</v>
      </c>
      <c r="W123" t="str">
        <f ca="1">SwapAnnuityDelta($G123,$H123,$I123,$K123,$L123,$N123,$O123,$P123,$D123,$T123,RealTime!$A$2:$B$43,TODAY())</f>
        <v>オブジェクトが必要です。</v>
      </c>
      <c r="Z123" t="str">
        <f ca="1">IF($B123=1,BucketedDelta($G123,$H123,$I123,$K123,$L123,$N123,$O123,$P123,$D123,$T123,$J123,RealTime!$A$2:$B$43,TODAY(),FALSE),"")</f>
        <v/>
      </c>
    </row>
    <row r="124" spans="6:26" x14ac:dyDescent="0.2">
      <c r="F124" t="str">
        <f ca="1">IF($E124="","",NotionalForDelta($E124,$G124,$H124,$I124,$K124,$L124,$N124,$O124,$P124,$T124,RealTime!$A$2:$B$43,TODAY()))</f>
        <v/>
      </c>
      <c r="Q124" t="str">
        <f ca="1">FairRate($G124,$H124,$I124,$K124,$L124,$N124,$O124,$P124,RealTime!$A$2:$B$43,TODAY())</f>
        <v>オブジェクトが必要です。</v>
      </c>
      <c r="R124" t="str">
        <f t="shared" ca="1" si="6"/>
        <v/>
      </c>
      <c r="S124" t="str">
        <f t="shared" ca="1" si="7"/>
        <v/>
      </c>
      <c r="U124" t="str">
        <f ca="1">SwapPV($G124,$H124,$I124,$K124,$L124,$N124,$O124,$P124,$D124,$T124,$J124,RealTime!$A$2:$B$43,TODAY())</f>
        <v>オブジェクトが必要です。</v>
      </c>
      <c r="V124" t="str">
        <f ca="1">SwapDelta($G124,$H124,$I124,$K124,$L124,$N124,$O124,$P124,$D124,$T124,$J124,RealTime!$A$2:$B$43,TODAY())</f>
        <v>オブジェクトが必要です。</v>
      </c>
      <c r="W124" t="str">
        <f ca="1">SwapAnnuityDelta($G124,$H124,$I124,$K124,$L124,$N124,$O124,$P124,$D124,$T124,RealTime!$A$2:$B$43,TODAY())</f>
        <v>オブジェクトが必要です。</v>
      </c>
      <c r="Z124" t="str">
        <f ca="1">IF($B124=1,BucketedDelta($G124,$H124,$I124,$K124,$L124,$N124,$O124,$P124,$D124,$T124,$J124,RealTime!$A$2:$B$43,TODAY(),FALSE),"")</f>
        <v/>
      </c>
    </row>
    <row r="125" spans="6:26" x14ac:dyDescent="0.2">
      <c r="F125" t="str">
        <f ca="1">IF($E125="","",NotionalForDelta($E125,$G125,$H125,$I125,$K125,$L125,$N125,$O125,$P125,$T125,RealTime!$A$2:$B$43,TODAY()))</f>
        <v/>
      </c>
      <c r="Q125" t="str">
        <f ca="1">FairRate($G125,$H125,$I125,$K125,$L125,$N125,$O125,$P125,RealTime!$A$2:$B$43,TODAY())</f>
        <v>オブジェクトが必要です。</v>
      </c>
      <c r="R125" t="str">
        <f t="shared" ca="1" si="6"/>
        <v/>
      </c>
      <c r="S125" t="str">
        <f t="shared" ca="1" si="7"/>
        <v/>
      </c>
      <c r="U125" t="str">
        <f ca="1">SwapPV($G125,$H125,$I125,$K125,$L125,$N125,$O125,$P125,$D125,$T125,$J125,RealTime!$A$2:$B$43,TODAY())</f>
        <v>オブジェクトが必要です。</v>
      </c>
      <c r="V125" t="str">
        <f ca="1">SwapDelta($G125,$H125,$I125,$K125,$L125,$N125,$O125,$P125,$D125,$T125,$J125,RealTime!$A$2:$B$43,TODAY())</f>
        <v>オブジェクトが必要です。</v>
      </c>
      <c r="W125" t="str">
        <f ca="1">SwapAnnuityDelta($G125,$H125,$I125,$K125,$L125,$N125,$O125,$P125,$D125,$T125,RealTime!$A$2:$B$43,TODAY())</f>
        <v>オブジェクトが必要です。</v>
      </c>
      <c r="Z125" t="str">
        <f ca="1">IF($B125=1,BucketedDelta($G125,$H125,$I125,$K125,$L125,$N125,$O125,$P125,$D125,$T125,$J125,RealTime!$A$2:$B$43,TODAY(),FALSE),"")</f>
        <v/>
      </c>
    </row>
    <row r="126" spans="6:26" x14ac:dyDescent="0.2">
      <c r="F126" t="str">
        <f ca="1">IF($E126="","",NotionalForDelta($E126,$G126,$H126,$I126,$K126,$L126,$N126,$O126,$P126,$T126,RealTime!$A$2:$B$43,TODAY()))</f>
        <v/>
      </c>
      <c r="Q126" t="str">
        <f ca="1">FairRate($G126,$H126,$I126,$K126,$L126,$N126,$O126,$P126,RealTime!$A$2:$B$43,TODAY())</f>
        <v>オブジェクトが必要です。</v>
      </c>
      <c r="R126" t="str">
        <f t="shared" ca="1" si="6"/>
        <v/>
      </c>
      <c r="S126" t="str">
        <f t="shared" ca="1" si="7"/>
        <v/>
      </c>
      <c r="U126" t="str">
        <f ca="1">SwapPV($G126,$H126,$I126,$K126,$L126,$N126,$O126,$P126,$D126,$T126,$J126,RealTime!$A$2:$B$43,TODAY())</f>
        <v>オブジェクトが必要です。</v>
      </c>
      <c r="V126" t="str">
        <f ca="1">SwapDelta($G126,$H126,$I126,$K126,$L126,$N126,$O126,$P126,$D126,$T126,$J126,RealTime!$A$2:$B$43,TODAY())</f>
        <v>オブジェクトが必要です。</v>
      </c>
      <c r="W126" t="str">
        <f ca="1">SwapAnnuityDelta($G126,$H126,$I126,$K126,$L126,$N126,$O126,$P126,$D126,$T126,RealTime!$A$2:$B$43,TODAY())</f>
        <v>オブジェクトが必要です。</v>
      </c>
      <c r="Z126" t="str">
        <f ca="1">IF($B126=1,BucketedDelta($G126,$H126,$I126,$K126,$L126,$N126,$O126,$P126,$D126,$T126,$J126,RealTime!$A$2:$B$43,TODAY(),FALSE),"")</f>
        <v/>
      </c>
    </row>
    <row r="127" spans="6:26" x14ac:dyDescent="0.2">
      <c r="F127" t="str">
        <f ca="1">IF($E127="","",NotionalForDelta($E127,$G127,$H127,$I127,$K127,$L127,$N127,$O127,$P127,$T127,RealTime!$A$2:$B$43,TODAY()))</f>
        <v/>
      </c>
      <c r="Q127" t="str">
        <f ca="1">FairRate($G127,$H127,$I127,$K127,$L127,$N127,$O127,$P127,RealTime!$A$2:$B$43,TODAY())</f>
        <v>オブジェクトが必要です。</v>
      </c>
      <c r="R127" t="str">
        <f t="shared" ca="1" si="6"/>
        <v/>
      </c>
      <c r="S127" t="str">
        <f t="shared" ca="1" si="7"/>
        <v/>
      </c>
      <c r="U127" t="str">
        <f ca="1">SwapPV($G127,$H127,$I127,$K127,$L127,$N127,$O127,$P127,$D127,$T127,$J127,RealTime!$A$2:$B$43,TODAY())</f>
        <v>オブジェクトが必要です。</v>
      </c>
      <c r="V127" t="str">
        <f ca="1">SwapDelta($G127,$H127,$I127,$K127,$L127,$N127,$O127,$P127,$D127,$T127,$J127,RealTime!$A$2:$B$43,TODAY())</f>
        <v>オブジェクトが必要です。</v>
      </c>
      <c r="W127" t="str">
        <f ca="1">SwapAnnuityDelta($G127,$H127,$I127,$K127,$L127,$N127,$O127,$P127,$D127,$T127,RealTime!$A$2:$B$43,TODAY())</f>
        <v>オブジェクトが必要です。</v>
      </c>
      <c r="Z127" t="str">
        <f ca="1">IF($B127=1,BucketedDelta($G127,$H127,$I127,$K127,$L127,$N127,$O127,$P127,$D127,$T127,$J127,RealTime!$A$2:$B$43,TODAY(),FALSE),"")</f>
        <v/>
      </c>
    </row>
    <row r="128" spans="6:26" x14ac:dyDescent="0.2">
      <c r="F128" t="str">
        <f ca="1">IF($E128="","",NotionalForDelta($E128,$G128,$H128,$I128,$K128,$L128,$N128,$O128,$P128,$T128,RealTime!$A$2:$B$43,TODAY()))</f>
        <v/>
      </c>
      <c r="Q128" t="str">
        <f ca="1">FairRate($G128,$H128,$I128,$K128,$L128,$N128,$O128,$P128,RealTime!$A$2:$B$43,TODAY())</f>
        <v>オブジェクトが必要です。</v>
      </c>
      <c r="R128" t="str">
        <f t="shared" ca="1" si="6"/>
        <v/>
      </c>
      <c r="S128" t="str">
        <f t="shared" ca="1" si="7"/>
        <v/>
      </c>
      <c r="U128" t="str">
        <f ca="1">SwapPV($G128,$H128,$I128,$K128,$L128,$N128,$O128,$P128,$D128,$T128,$J128,RealTime!$A$2:$B$43,TODAY())</f>
        <v>オブジェクトが必要です。</v>
      </c>
      <c r="V128" t="str">
        <f ca="1">SwapDelta($G128,$H128,$I128,$K128,$L128,$N128,$O128,$P128,$D128,$T128,$J128,RealTime!$A$2:$B$43,TODAY())</f>
        <v>オブジェクトが必要です。</v>
      </c>
      <c r="W128" t="str">
        <f ca="1">SwapAnnuityDelta($G128,$H128,$I128,$K128,$L128,$N128,$O128,$P128,$D128,$T128,RealTime!$A$2:$B$43,TODAY())</f>
        <v>オブジェクトが必要です。</v>
      </c>
      <c r="Z128" t="str">
        <f ca="1">IF($B128=1,BucketedDelta($G128,$H128,$I128,$K128,$L128,$N128,$O128,$P128,$D128,$T128,$J128,RealTime!$A$2:$B$43,TODAY(),FALSE),"")</f>
        <v/>
      </c>
    </row>
    <row r="129" spans="6:26" x14ac:dyDescent="0.2">
      <c r="F129" t="str">
        <f ca="1">IF($E129="","",NotionalForDelta($E129,$G129,$H129,$I129,$K129,$L129,$N129,$O129,$P129,$T129,RealTime!$A$2:$B$43,TODAY()))</f>
        <v/>
      </c>
      <c r="Q129" t="str">
        <f ca="1">FairRate($G129,$H129,$I129,$K129,$L129,$N129,$O129,$P129,RealTime!$A$2:$B$43,TODAY())</f>
        <v>オブジェクトが必要です。</v>
      </c>
      <c r="R129" t="str">
        <f t="shared" ca="1" si="6"/>
        <v/>
      </c>
      <c r="S129" t="str">
        <f t="shared" ca="1" si="7"/>
        <v/>
      </c>
      <c r="U129" t="str">
        <f ca="1">SwapPV($G129,$H129,$I129,$K129,$L129,$N129,$O129,$P129,$D129,$T129,$J129,RealTime!$A$2:$B$43,TODAY())</f>
        <v>オブジェクトが必要です。</v>
      </c>
      <c r="V129" t="str">
        <f ca="1">SwapDelta($G129,$H129,$I129,$K129,$L129,$N129,$O129,$P129,$D129,$T129,$J129,RealTime!$A$2:$B$43,TODAY())</f>
        <v>オブジェクトが必要です。</v>
      </c>
      <c r="W129" t="str">
        <f ca="1">SwapAnnuityDelta($G129,$H129,$I129,$K129,$L129,$N129,$O129,$P129,$D129,$T129,RealTime!$A$2:$B$43,TODAY())</f>
        <v>オブジェクトが必要です。</v>
      </c>
      <c r="Z129" t="str">
        <f ca="1">IF($B129=1,BucketedDelta($G129,$H129,$I129,$K129,$L129,$N129,$O129,$P129,$D129,$T129,$J129,RealTime!$A$2:$B$43,TODAY(),FALSE),"")</f>
        <v/>
      </c>
    </row>
    <row r="130" spans="6:26" x14ac:dyDescent="0.2">
      <c r="F130" t="str">
        <f ca="1">IF($E130="","",NotionalForDelta($E130,$G130,$H130,$I130,$K130,$L130,$N130,$O130,$P130,$T130,RealTime!$A$2:$B$43,TODAY()))</f>
        <v/>
      </c>
      <c r="Q130" t="str">
        <f ca="1">FairRate($G130,$H130,$I130,$K130,$L130,$N130,$O130,$P130,RealTime!$A$2:$B$43,TODAY())</f>
        <v>オブジェクトが必要です。</v>
      </c>
      <c r="R130" t="str">
        <f t="shared" ref="R130:R161" ca="1" si="8">IF(ISNUMBER(Q129),Q130-Q129,"")</f>
        <v/>
      </c>
      <c r="S130" t="str">
        <f t="shared" ref="S130:S161" ca="1" si="9">IF(AND(ISNUMBER(Q129),ISNUMBER(Q131)),2*Q130-Q129-Q131,"")</f>
        <v/>
      </c>
      <c r="U130" t="str">
        <f ca="1">SwapPV($G130,$H130,$I130,$K130,$L130,$N130,$O130,$P130,$D130,$T130,$J130,RealTime!$A$2:$B$43,TODAY())</f>
        <v>オブジェクトが必要です。</v>
      </c>
      <c r="V130" t="str">
        <f ca="1">SwapDelta($G130,$H130,$I130,$K130,$L130,$N130,$O130,$P130,$D130,$T130,$J130,RealTime!$A$2:$B$43,TODAY())</f>
        <v>オブジェクトが必要です。</v>
      </c>
      <c r="W130" t="str">
        <f ca="1">SwapAnnuityDelta($G130,$H130,$I130,$K130,$L130,$N130,$O130,$P130,$D130,$T130,RealTime!$A$2:$B$43,TODAY())</f>
        <v>オブジェクトが必要です。</v>
      </c>
      <c r="Z130" t="str">
        <f ca="1">IF($B130=1,BucketedDelta($G130,$H130,$I130,$K130,$L130,$N130,$O130,$P130,$D130,$T130,$J130,RealTime!$A$2:$B$43,TODAY(),FALSE),"")</f>
        <v/>
      </c>
    </row>
    <row r="131" spans="6:26" x14ac:dyDescent="0.2">
      <c r="F131" t="str">
        <f ca="1">IF($E131="","",NotionalForDelta($E131,$G131,$H131,$I131,$K131,$L131,$N131,$O131,$P131,$T131,RealTime!$A$2:$B$43,TODAY()))</f>
        <v/>
      </c>
      <c r="Q131" t="str">
        <f ca="1">FairRate($G131,$H131,$I131,$K131,$L131,$N131,$O131,$P131,RealTime!$A$2:$B$43,TODAY())</f>
        <v>オブジェクトが必要です。</v>
      </c>
      <c r="R131" t="str">
        <f t="shared" ca="1" si="8"/>
        <v/>
      </c>
      <c r="S131" t="str">
        <f t="shared" ca="1" si="9"/>
        <v/>
      </c>
      <c r="U131" t="str">
        <f ca="1">SwapPV($G131,$H131,$I131,$K131,$L131,$N131,$O131,$P131,$D131,$T131,$J131,RealTime!$A$2:$B$43,TODAY())</f>
        <v>オブジェクトが必要です。</v>
      </c>
      <c r="V131" t="str">
        <f ca="1">SwapDelta($G131,$H131,$I131,$K131,$L131,$N131,$O131,$P131,$D131,$T131,$J131,RealTime!$A$2:$B$43,TODAY())</f>
        <v>オブジェクトが必要です。</v>
      </c>
      <c r="W131" t="str">
        <f ca="1">SwapAnnuityDelta($G131,$H131,$I131,$K131,$L131,$N131,$O131,$P131,$D131,$T131,RealTime!$A$2:$B$43,TODAY())</f>
        <v>オブジェクトが必要です。</v>
      </c>
      <c r="Z131" t="str">
        <f ca="1">IF($B131=1,BucketedDelta($G131,$H131,$I131,$K131,$L131,$N131,$O131,$P131,$D131,$T131,$J131,RealTime!$A$2:$B$43,TODAY(),FALSE),"")</f>
        <v/>
      </c>
    </row>
    <row r="132" spans="6:26" x14ac:dyDescent="0.2">
      <c r="F132" t="str">
        <f ca="1">IF($E132="","",NotionalForDelta($E132,$G132,$H132,$I132,$K132,$L132,$N132,$O132,$P132,$T132,RealTime!$A$2:$B$43,TODAY()))</f>
        <v/>
      </c>
      <c r="Q132" t="str">
        <f ca="1">FairRate($G132,$H132,$I132,$K132,$L132,$N132,$O132,$P132,RealTime!$A$2:$B$43,TODAY())</f>
        <v>オブジェクトが必要です。</v>
      </c>
      <c r="R132" t="str">
        <f t="shared" ca="1" si="8"/>
        <v/>
      </c>
      <c r="S132" t="str">
        <f t="shared" ca="1" si="9"/>
        <v/>
      </c>
      <c r="U132" t="str">
        <f ca="1">SwapPV($G132,$H132,$I132,$K132,$L132,$N132,$O132,$P132,$D132,$T132,$J132,RealTime!$A$2:$B$43,TODAY())</f>
        <v>オブジェクトが必要です。</v>
      </c>
      <c r="V132" t="str">
        <f ca="1">SwapDelta($G132,$H132,$I132,$K132,$L132,$N132,$O132,$P132,$D132,$T132,$J132,RealTime!$A$2:$B$43,TODAY())</f>
        <v>オブジェクトが必要です。</v>
      </c>
      <c r="W132" t="str">
        <f ca="1">SwapAnnuityDelta($G132,$H132,$I132,$K132,$L132,$N132,$O132,$P132,$D132,$T132,RealTime!$A$2:$B$43,TODAY())</f>
        <v>オブジェクトが必要です。</v>
      </c>
      <c r="Z132" t="str">
        <f ca="1">IF($B132=1,BucketedDelta($G132,$H132,$I132,$K132,$L132,$N132,$O132,$P132,$D132,$T132,$J132,RealTime!$A$2:$B$43,TODAY(),FALSE),"")</f>
        <v/>
      </c>
    </row>
    <row r="133" spans="6:26" x14ac:dyDescent="0.2">
      <c r="F133" t="str">
        <f ca="1">IF($E133="","",NotionalForDelta($E133,$G133,$H133,$I133,$K133,$L133,$N133,$O133,$P133,$T133,RealTime!$A$2:$B$43,TODAY()))</f>
        <v/>
      </c>
      <c r="Q133" t="str">
        <f ca="1">FairRate($G133,$H133,$I133,$K133,$L133,$N133,$O133,$P133,RealTime!$A$2:$B$43,TODAY())</f>
        <v>オブジェクトが必要です。</v>
      </c>
      <c r="R133" t="str">
        <f t="shared" ca="1" si="8"/>
        <v/>
      </c>
      <c r="S133" t="str">
        <f t="shared" ca="1" si="9"/>
        <v/>
      </c>
      <c r="U133" t="str">
        <f ca="1">SwapPV($G133,$H133,$I133,$K133,$L133,$N133,$O133,$P133,$D133,$T133,$J133,RealTime!$A$2:$B$43,TODAY())</f>
        <v>オブジェクトが必要です。</v>
      </c>
      <c r="V133" t="str">
        <f ca="1">SwapDelta($G133,$H133,$I133,$K133,$L133,$N133,$O133,$P133,$D133,$T133,$J133,RealTime!$A$2:$B$43,TODAY())</f>
        <v>オブジェクトが必要です。</v>
      </c>
      <c r="W133" t="str">
        <f ca="1">SwapAnnuityDelta($G133,$H133,$I133,$K133,$L133,$N133,$O133,$P133,$D133,$T133,RealTime!$A$2:$B$43,TODAY())</f>
        <v>オブジェクトが必要です。</v>
      </c>
      <c r="Z133" t="str">
        <f ca="1">IF($B133=1,BucketedDelta($G133,$H133,$I133,$K133,$L133,$N133,$O133,$P133,$D133,$T133,$J133,RealTime!$A$2:$B$43,TODAY(),FALSE),"")</f>
        <v/>
      </c>
    </row>
    <row r="134" spans="6:26" x14ac:dyDescent="0.2">
      <c r="F134" t="str">
        <f ca="1">IF($E134="","",NotionalForDelta($E134,$G134,$H134,$I134,$K134,$L134,$N134,$O134,$P134,$T134,RealTime!$A$2:$B$43,TODAY()))</f>
        <v/>
      </c>
      <c r="Q134" t="str">
        <f ca="1">FairRate($G134,$H134,$I134,$K134,$L134,$N134,$O134,$P134,RealTime!$A$2:$B$43,TODAY())</f>
        <v>オブジェクトが必要です。</v>
      </c>
      <c r="R134" t="str">
        <f t="shared" ca="1" si="8"/>
        <v/>
      </c>
      <c r="S134" t="str">
        <f t="shared" ca="1" si="9"/>
        <v/>
      </c>
      <c r="U134" t="str">
        <f ca="1">SwapPV($G134,$H134,$I134,$K134,$L134,$N134,$O134,$P134,$D134,$T134,$J134,RealTime!$A$2:$B$43,TODAY())</f>
        <v>オブジェクトが必要です。</v>
      </c>
      <c r="V134" t="str">
        <f ca="1">SwapDelta($G134,$H134,$I134,$K134,$L134,$N134,$O134,$P134,$D134,$T134,$J134,RealTime!$A$2:$B$43,TODAY())</f>
        <v>オブジェクトが必要です。</v>
      </c>
      <c r="W134" t="str">
        <f ca="1">SwapAnnuityDelta($G134,$H134,$I134,$K134,$L134,$N134,$O134,$P134,$D134,$T134,RealTime!$A$2:$B$43,TODAY())</f>
        <v>オブジェクトが必要です。</v>
      </c>
      <c r="Z134" t="str">
        <f ca="1">IF($B134=1,BucketedDelta($G134,$H134,$I134,$K134,$L134,$N134,$O134,$P134,$D134,$T134,$J134,RealTime!$A$2:$B$43,TODAY(),FALSE),"")</f>
        <v/>
      </c>
    </row>
    <row r="135" spans="6:26" x14ac:dyDescent="0.2">
      <c r="F135" t="str">
        <f ca="1">IF($E135="","",NotionalForDelta($E135,$G135,$H135,$I135,$K135,$L135,$N135,$O135,$P135,$T135,RealTime!$A$2:$B$43,TODAY()))</f>
        <v/>
      </c>
      <c r="Q135" t="str">
        <f ca="1">FairRate($G135,$H135,$I135,$K135,$L135,$N135,$O135,$P135,RealTime!$A$2:$B$43,TODAY())</f>
        <v>オブジェクトが必要です。</v>
      </c>
      <c r="R135" t="str">
        <f t="shared" ca="1" si="8"/>
        <v/>
      </c>
      <c r="S135" t="str">
        <f t="shared" ca="1" si="9"/>
        <v/>
      </c>
      <c r="U135" t="str">
        <f ca="1">SwapPV($G135,$H135,$I135,$K135,$L135,$N135,$O135,$P135,$D135,$T135,$J135,RealTime!$A$2:$B$43,TODAY())</f>
        <v>オブジェクトが必要です。</v>
      </c>
      <c r="V135" t="str">
        <f ca="1">SwapDelta($G135,$H135,$I135,$K135,$L135,$N135,$O135,$P135,$D135,$T135,$J135,RealTime!$A$2:$B$43,TODAY())</f>
        <v>オブジェクトが必要です。</v>
      </c>
      <c r="W135" t="str">
        <f ca="1">SwapAnnuityDelta($G135,$H135,$I135,$K135,$L135,$N135,$O135,$P135,$D135,$T135,RealTime!$A$2:$B$43,TODAY())</f>
        <v>オブジェクトが必要です。</v>
      </c>
      <c r="Z135" t="str">
        <f ca="1">IF($B135=1,BucketedDelta($G135,$H135,$I135,$K135,$L135,$N135,$O135,$P135,$D135,$T135,$J135,RealTime!$A$2:$B$43,TODAY(),FALSE),"")</f>
        <v/>
      </c>
    </row>
    <row r="136" spans="6:26" x14ac:dyDescent="0.2">
      <c r="F136" t="str">
        <f ca="1">IF($E136="","",NotionalForDelta($E136,$G136,$H136,$I136,$K136,$L136,$N136,$O136,$P136,$T136,RealTime!$A$2:$B$43,TODAY()))</f>
        <v/>
      </c>
      <c r="Q136" t="str">
        <f ca="1">FairRate($G136,$H136,$I136,$K136,$L136,$N136,$O136,$P136,RealTime!$A$2:$B$43,TODAY())</f>
        <v>オブジェクトが必要です。</v>
      </c>
      <c r="R136" t="str">
        <f t="shared" ca="1" si="8"/>
        <v/>
      </c>
      <c r="S136" t="str">
        <f t="shared" ca="1" si="9"/>
        <v/>
      </c>
      <c r="U136" t="str">
        <f ca="1">SwapPV($G136,$H136,$I136,$K136,$L136,$N136,$O136,$P136,$D136,$T136,$J136,RealTime!$A$2:$B$43,TODAY())</f>
        <v>オブジェクトが必要です。</v>
      </c>
      <c r="V136" t="str">
        <f ca="1">SwapDelta($G136,$H136,$I136,$K136,$L136,$N136,$O136,$P136,$D136,$T136,$J136,RealTime!$A$2:$B$43,TODAY())</f>
        <v>オブジェクトが必要です。</v>
      </c>
      <c r="W136" t="str">
        <f ca="1">SwapAnnuityDelta($G136,$H136,$I136,$K136,$L136,$N136,$O136,$P136,$D136,$T136,RealTime!$A$2:$B$43,TODAY())</f>
        <v>オブジェクトが必要です。</v>
      </c>
      <c r="Z136" t="str">
        <f ca="1">IF($B136=1,BucketedDelta($G136,$H136,$I136,$K136,$L136,$N136,$O136,$P136,$D136,$T136,$J136,RealTime!$A$2:$B$43,TODAY(),FALSE),"")</f>
        <v/>
      </c>
    </row>
    <row r="137" spans="6:26" x14ac:dyDescent="0.2">
      <c r="F137" t="str">
        <f ca="1">IF($E137="","",NotionalForDelta($E137,$G137,$H137,$I137,$K137,$L137,$N137,$O137,$P137,$T137,RealTime!$A$2:$B$43,TODAY()))</f>
        <v/>
      </c>
      <c r="Q137" t="str">
        <f ca="1">FairRate($G137,$H137,$I137,$K137,$L137,$N137,$O137,$P137,RealTime!$A$2:$B$43,TODAY())</f>
        <v>オブジェクトが必要です。</v>
      </c>
      <c r="R137" t="str">
        <f t="shared" ca="1" si="8"/>
        <v/>
      </c>
      <c r="S137" t="str">
        <f t="shared" ca="1" si="9"/>
        <v/>
      </c>
      <c r="U137" t="str">
        <f ca="1">SwapPV($G137,$H137,$I137,$K137,$L137,$N137,$O137,$P137,$D137,$T137,$J137,RealTime!$A$2:$B$43,TODAY())</f>
        <v>オブジェクトが必要です。</v>
      </c>
      <c r="V137" t="str">
        <f ca="1">SwapDelta($G137,$H137,$I137,$K137,$L137,$N137,$O137,$P137,$D137,$T137,$J137,RealTime!$A$2:$B$43,TODAY())</f>
        <v>オブジェクトが必要です。</v>
      </c>
      <c r="W137" t="str">
        <f ca="1">SwapAnnuityDelta($G137,$H137,$I137,$K137,$L137,$N137,$O137,$P137,$D137,$T137,RealTime!$A$2:$B$43,TODAY())</f>
        <v>オブジェクトが必要です。</v>
      </c>
      <c r="Z137" t="str">
        <f ca="1">IF($B137=1,BucketedDelta($G137,$H137,$I137,$K137,$L137,$N137,$O137,$P137,$D137,$T137,$J137,RealTime!$A$2:$B$43,TODAY(),FALSE),"")</f>
        <v/>
      </c>
    </row>
    <row r="138" spans="6:26" x14ac:dyDescent="0.2">
      <c r="F138" t="str">
        <f ca="1">IF($E138="","",NotionalForDelta($E138,$G138,$H138,$I138,$K138,$L138,$N138,$O138,$P138,$T138,RealTime!$A$2:$B$43,TODAY()))</f>
        <v/>
      </c>
      <c r="Q138" t="str">
        <f ca="1">FairRate($G138,$H138,$I138,$K138,$L138,$N138,$O138,$P138,RealTime!$A$2:$B$43,TODAY())</f>
        <v>オブジェクトが必要です。</v>
      </c>
      <c r="R138" t="str">
        <f t="shared" ca="1" si="8"/>
        <v/>
      </c>
      <c r="S138" t="str">
        <f t="shared" ca="1" si="9"/>
        <v/>
      </c>
      <c r="U138" t="str">
        <f ca="1">SwapPV($G138,$H138,$I138,$K138,$L138,$N138,$O138,$P138,$D138,$T138,$J138,RealTime!$A$2:$B$43,TODAY())</f>
        <v>オブジェクトが必要です。</v>
      </c>
      <c r="V138" t="str">
        <f ca="1">SwapDelta($G138,$H138,$I138,$K138,$L138,$N138,$O138,$P138,$D138,$T138,$J138,RealTime!$A$2:$B$43,TODAY())</f>
        <v>オブジェクトが必要です。</v>
      </c>
      <c r="W138" t="str">
        <f ca="1">SwapAnnuityDelta($G138,$H138,$I138,$K138,$L138,$N138,$O138,$P138,$D138,$T138,RealTime!$A$2:$B$43,TODAY())</f>
        <v>オブジェクトが必要です。</v>
      </c>
      <c r="Z138" t="str">
        <f ca="1">IF($B138=1,BucketedDelta($G138,$H138,$I138,$K138,$L138,$N138,$O138,$P138,$D138,$T138,$J138,RealTime!$A$2:$B$43,TODAY(),FALSE),"")</f>
        <v/>
      </c>
    </row>
    <row r="139" spans="6:26" x14ac:dyDescent="0.2">
      <c r="F139" t="str">
        <f ca="1">IF($E139="","",NotionalForDelta($E139,$G139,$H139,$I139,$K139,$L139,$N139,$O139,$P139,$T139,RealTime!$A$2:$B$43,TODAY()))</f>
        <v/>
      </c>
      <c r="Q139" t="str">
        <f ca="1">FairRate($G139,$H139,$I139,$K139,$L139,$N139,$O139,$P139,RealTime!$A$2:$B$43,TODAY())</f>
        <v>オブジェクトが必要です。</v>
      </c>
      <c r="R139" t="str">
        <f t="shared" ca="1" si="8"/>
        <v/>
      </c>
      <c r="S139" t="str">
        <f t="shared" ca="1" si="9"/>
        <v/>
      </c>
      <c r="U139" t="str">
        <f ca="1">SwapPV($G139,$H139,$I139,$K139,$L139,$N139,$O139,$P139,$D139,$T139,$J139,RealTime!$A$2:$B$43,TODAY())</f>
        <v>オブジェクトが必要です。</v>
      </c>
      <c r="V139" t="str">
        <f ca="1">SwapDelta($G139,$H139,$I139,$K139,$L139,$N139,$O139,$P139,$D139,$T139,$J139,RealTime!$A$2:$B$43,TODAY())</f>
        <v>オブジェクトが必要です。</v>
      </c>
      <c r="W139" t="str">
        <f ca="1">SwapAnnuityDelta($G139,$H139,$I139,$K139,$L139,$N139,$O139,$P139,$D139,$T139,RealTime!$A$2:$B$43,TODAY())</f>
        <v>オブジェクトが必要です。</v>
      </c>
      <c r="Z139" t="str">
        <f ca="1">IF($B139=1,BucketedDelta($G139,$H139,$I139,$K139,$L139,$N139,$O139,$P139,$D139,$T139,$J139,RealTime!$A$2:$B$43,TODAY(),FALSE),"")</f>
        <v/>
      </c>
    </row>
    <row r="140" spans="6:26" x14ac:dyDescent="0.2">
      <c r="F140" t="str">
        <f ca="1">IF($E140="","",NotionalForDelta($E140,$G140,$H140,$I140,$K140,$L140,$N140,$O140,$P140,$T140,RealTime!$A$2:$B$43,TODAY()))</f>
        <v/>
      </c>
      <c r="Q140" t="str">
        <f ca="1">FairRate($G140,$H140,$I140,$K140,$L140,$N140,$O140,$P140,RealTime!$A$2:$B$43,TODAY())</f>
        <v>オブジェクトが必要です。</v>
      </c>
      <c r="R140" t="str">
        <f t="shared" ca="1" si="8"/>
        <v/>
      </c>
      <c r="S140" t="str">
        <f t="shared" ca="1" si="9"/>
        <v/>
      </c>
      <c r="U140" t="str">
        <f ca="1">SwapPV($G140,$H140,$I140,$K140,$L140,$N140,$O140,$P140,$D140,$T140,$J140,RealTime!$A$2:$B$43,TODAY())</f>
        <v>オブジェクトが必要です。</v>
      </c>
      <c r="V140" t="str">
        <f ca="1">SwapDelta($G140,$H140,$I140,$K140,$L140,$N140,$O140,$P140,$D140,$T140,$J140,RealTime!$A$2:$B$43,TODAY())</f>
        <v>オブジェクトが必要です。</v>
      </c>
      <c r="W140" t="str">
        <f ca="1">SwapAnnuityDelta($G140,$H140,$I140,$K140,$L140,$N140,$O140,$P140,$D140,$T140,RealTime!$A$2:$B$43,TODAY())</f>
        <v>オブジェクトが必要です。</v>
      </c>
      <c r="Z140" t="str">
        <f ca="1">IF($B140=1,BucketedDelta($G140,$H140,$I140,$K140,$L140,$N140,$O140,$P140,$D140,$T140,$J140,RealTime!$A$2:$B$43,TODAY(),FALSE),"")</f>
        <v/>
      </c>
    </row>
    <row r="141" spans="6:26" x14ac:dyDescent="0.2">
      <c r="F141" t="str">
        <f ca="1">IF($E141="","",NotionalForDelta($E141,$G141,$H141,$I141,$K141,$L141,$N141,$O141,$P141,$T141,RealTime!$A$2:$B$43,TODAY()))</f>
        <v/>
      </c>
      <c r="Q141" t="str">
        <f ca="1">FairRate($G141,$H141,$I141,$K141,$L141,$N141,$O141,$P141,RealTime!$A$2:$B$43,TODAY())</f>
        <v>オブジェクトが必要です。</v>
      </c>
      <c r="R141" t="str">
        <f t="shared" ca="1" si="8"/>
        <v/>
      </c>
      <c r="S141" t="str">
        <f t="shared" ca="1" si="9"/>
        <v/>
      </c>
      <c r="U141" t="str">
        <f ca="1">SwapPV($G141,$H141,$I141,$K141,$L141,$N141,$O141,$P141,$D141,$T141,$J141,RealTime!$A$2:$B$43,TODAY())</f>
        <v>オブジェクトが必要です。</v>
      </c>
      <c r="V141" t="str">
        <f ca="1">SwapDelta($G141,$H141,$I141,$K141,$L141,$N141,$O141,$P141,$D141,$T141,$J141,RealTime!$A$2:$B$43,TODAY())</f>
        <v>オブジェクトが必要です。</v>
      </c>
      <c r="W141" t="str">
        <f ca="1">SwapAnnuityDelta($G141,$H141,$I141,$K141,$L141,$N141,$O141,$P141,$D141,$T141,RealTime!$A$2:$B$43,TODAY())</f>
        <v>オブジェクトが必要です。</v>
      </c>
      <c r="Z141" t="str">
        <f ca="1">IF($B141=1,BucketedDelta($G141,$H141,$I141,$K141,$L141,$N141,$O141,$P141,$D141,$T141,$J141,RealTime!$A$2:$B$43,TODAY(),FALSE),"")</f>
        <v/>
      </c>
    </row>
    <row r="142" spans="6:26" x14ac:dyDescent="0.2">
      <c r="F142" t="str">
        <f ca="1">IF($E142="","",NotionalForDelta($E142,$G142,$H142,$I142,$K142,$L142,$N142,$O142,$P142,$T142,RealTime!$A$2:$B$43,TODAY()))</f>
        <v/>
      </c>
      <c r="Q142" t="str">
        <f ca="1">FairRate($G142,$H142,$I142,$K142,$L142,$N142,$O142,$P142,RealTime!$A$2:$B$43,TODAY())</f>
        <v>オブジェクトが必要です。</v>
      </c>
      <c r="R142" t="str">
        <f t="shared" ca="1" si="8"/>
        <v/>
      </c>
      <c r="S142" t="str">
        <f t="shared" ca="1" si="9"/>
        <v/>
      </c>
      <c r="U142" t="str">
        <f ca="1">SwapPV($G142,$H142,$I142,$K142,$L142,$N142,$O142,$P142,$D142,$T142,$J142,RealTime!$A$2:$B$43,TODAY())</f>
        <v>オブジェクトが必要です。</v>
      </c>
      <c r="V142" t="str">
        <f ca="1">SwapDelta($G142,$H142,$I142,$K142,$L142,$N142,$O142,$P142,$D142,$T142,$J142,RealTime!$A$2:$B$43,TODAY())</f>
        <v>オブジェクトが必要です。</v>
      </c>
      <c r="W142" t="str">
        <f ca="1">SwapAnnuityDelta($G142,$H142,$I142,$K142,$L142,$N142,$O142,$P142,$D142,$T142,RealTime!$A$2:$B$43,TODAY())</f>
        <v>オブジェクトが必要です。</v>
      </c>
      <c r="Z142" t="str">
        <f ca="1">IF($B142=1,BucketedDelta($G142,$H142,$I142,$K142,$L142,$N142,$O142,$P142,$D142,$T142,$J142,RealTime!$A$2:$B$43,TODAY(),FALSE),"")</f>
        <v/>
      </c>
    </row>
    <row r="143" spans="6:26" x14ac:dyDescent="0.2">
      <c r="F143" t="str">
        <f ca="1">IF($E143="","",NotionalForDelta($E143,$G143,$H143,$I143,$K143,$L143,$N143,$O143,$P143,$T143,RealTime!$A$2:$B$43,TODAY()))</f>
        <v/>
      </c>
      <c r="Q143" t="str">
        <f ca="1">FairRate($G143,$H143,$I143,$K143,$L143,$N143,$O143,$P143,RealTime!$A$2:$B$43,TODAY())</f>
        <v>オブジェクトが必要です。</v>
      </c>
      <c r="R143" t="str">
        <f t="shared" ca="1" si="8"/>
        <v/>
      </c>
      <c r="S143" t="str">
        <f t="shared" ca="1" si="9"/>
        <v/>
      </c>
      <c r="U143" t="str">
        <f ca="1">SwapPV($G143,$H143,$I143,$K143,$L143,$N143,$O143,$P143,$D143,$T143,$J143,RealTime!$A$2:$B$43,TODAY())</f>
        <v>オブジェクトが必要です。</v>
      </c>
      <c r="V143" t="str">
        <f ca="1">SwapDelta($G143,$H143,$I143,$K143,$L143,$N143,$O143,$P143,$D143,$T143,$J143,RealTime!$A$2:$B$43,TODAY())</f>
        <v>オブジェクトが必要です。</v>
      </c>
      <c r="W143" t="str">
        <f ca="1">SwapAnnuityDelta($G143,$H143,$I143,$K143,$L143,$N143,$O143,$P143,$D143,$T143,RealTime!$A$2:$B$43,TODAY())</f>
        <v>オブジェクトが必要です。</v>
      </c>
      <c r="Z143" t="str">
        <f ca="1">IF($B143=1,BucketedDelta($G143,$H143,$I143,$K143,$L143,$N143,$O143,$P143,$D143,$T143,$J143,RealTime!$A$2:$B$43,TODAY(),FALSE),"")</f>
        <v/>
      </c>
    </row>
    <row r="144" spans="6:26" x14ac:dyDescent="0.2">
      <c r="F144" t="str">
        <f ca="1">IF($E144="","",NotionalForDelta($E144,$G144,$H144,$I144,$K144,$L144,$N144,$O144,$P144,$T144,RealTime!$A$2:$B$43,TODAY()))</f>
        <v/>
      </c>
      <c r="Q144" t="str">
        <f ca="1">FairRate($G144,$H144,$I144,$K144,$L144,$N144,$O144,$P144,RealTime!$A$2:$B$43,TODAY())</f>
        <v>オブジェクトが必要です。</v>
      </c>
      <c r="R144" t="str">
        <f t="shared" ca="1" si="8"/>
        <v/>
      </c>
      <c r="S144" t="str">
        <f t="shared" ca="1" si="9"/>
        <v/>
      </c>
      <c r="U144" t="str">
        <f ca="1">SwapPV($G144,$H144,$I144,$K144,$L144,$N144,$O144,$P144,$D144,$T144,$J144,RealTime!$A$2:$B$43,TODAY())</f>
        <v>オブジェクトが必要です。</v>
      </c>
      <c r="V144" t="str">
        <f ca="1">SwapDelta($G144,$H144,$I144,$K144,$L144,$N144,$O144,$P144,$D144,$T144,$J144,RealTime!$A$2:$B$43,TODAY())</f>
        <v>オブジェクトが必要です。</v>
      </c>
      <c r="W144" t="str">
        <f ca="1">SwapAnnuityDelta($G144,$H144,$I144,$K144,$L144,$N144,$O144,$P144,$D144,$T144,RealTime!$A$2:$B$43,TODAY())</f>
        <v>オブジェクトが必要です。</v>
      </c>
      <c r="Z144" t="str">
        <f ca="1">IF($B144=1,BucketedDelta($G144,$H144,$I144,$K144,$L144,$N144,$O144,$P144,$D144,$T144,$J144,RealTime!$A$2:$B$43,TODAY(),FALSE),"")</f>
        <v/>
      </c>
    </row>
    <row r="145" spans="6:26" x14ac:dyDescent="0.2">
      <c r="F145" t="str">
        <f ca="1">IF($E145="","",NotionalForDelta($E145,$G145,$H145,$I145,$K145,$L145,$N145,$O145,$P145,$T145,RealTime!$A$2:$B$43,TODAY()))</f>
        <v/>
      </c>
      <c r="Q145" t="str">
        <f ca="1">FairRate($G145,$H145,$I145,$K145,$L145,$N145,$O145,$P145,RealTime!$A$2:$B$43,TODAY())</f>
        <v>オブジェクトが必要です。</v>
      </c>
      <c r="R145" t="str">
        <f t="shared" ca="1" si="8"/>
        <v/>
      </c>
      <c r="S145" t="str">
        <f t="shared" ca="1" si="9"/>
        <v/>
      </c>
      <c r="U145" t="str">
        <f ca="1">SwapPV($G145,$H145,$I145,$K145,$L145,$N145,$O145,$P145,$D145,$T145,$J145,RealTime!$A$2:$B$43,TODAY())</f>
        <v>オブジェクトが必要です。</v>
      </c>
      <c r="V145" t="str">
        <f ca="1">SwapDelta($G145,$H145,$I145,$K145,$L145,$N145,$O145,$P145,$D145,$T145,$J145,RealTime!$A$2:$B$43,TODAY())</f>
        <v>オブジェクトが必要です。</v>
      </c>
      <c r="W145" t="str">
        <f ca="1">SwapAnnuityDelta($G145,$H145,$I145,$K145,$L145,$N145,$O145,$P145,$D145,$T145,RealTime!$A$2:$B$43,TODAY())</f>
        <v>オブジェクトが必要です。</v>
      </c>
      <c r="Z145" t="str">
        <f ca="1">IF($B145=1,BucketedDelta($G145,$H145,$I145,$K145,$L145,$N145,$O145,$P145,$D145,$T145,$J145,RealTime!$A$2:$B$43,TODAY(),FALSE),"")</f>
        <v/>
      </c>
    </row>
    <row r="146" spans="6:26" x14ac:dyDescent="0.2">
      <c r="F146" t="str">
        <f ca="1">IF($E146="","",NotionalForDelta($E146,$G146,$H146,$I146,$K146,$L146,$N146,$O146,$P146,$T146,RealTime!$A$2:$B$43,TODAY()))</f>
        <v/>
      </c>
      <c r="Q146" t="str">
        <f ca="1">FairRate($G146,$H146,$I146,$K146,$L146,$N146,$O146,$P146,RealTime!$A$2:$B$43,TODAY())</f>
        <v>オブジェクトが必要です。</v>
      </c>
      <c r="R146" t="str">
        <f t="shared" ca="1" si="8"/>
        <v/>
      </c>
      <c r="S146" t="str">
        <f t="shared" ca="1" si="9"/>
        <v/>
      </c>
      <c r="U146" t="str">
        <f ca="1">SwapPV($G146,$H146,$I146,$K146,$L146,$N146,$O146,$P146,$D146,$T146,$J146,RealTime!$A$2:$B$43,TODAY())</f>
        <v>オブジェクトが必要です。</v>
      </c>
      <c r="V146" t="str">
        <f ca="1">SwapDelta($G146,$H146,$I146,$K146,$L146,$N146,$O146,$P146,$D146,$T146,$J146,RealTime!$A$2:$B$43,TODAY())</f>
        <v>オブジェクトが必要です。</v>
      </c>
      <c r="W146" t="str">
        <f ca="1">SwapAnnuityDelta($G146,$H146,$I146,$K146,$L146,$N146,$O146,$P146,$D146,$T146,RealTime!$A$2:$B$43,TODAY())</f>
        <v>オブジェクトが必要です。</v>
      </c>
      <c r="Z146" t="str">
        <f ca="1">IF($B146=1,BucketedDelta($G146,$H146,$I146,$K146,$L146,$N146,$O146,$P146,$D146,$T146,$J146,RealTime!$A$2:$B$43,TODAY(),FALSE),"")</f>
        <v/>
      </c>
    </row>
    <row r="147" spans="6:26" x14ac:dyDescent="0.2">
      <c r="F147" t="str">
        <f ca="1">IF($E147="","",NotionalForDelta($E147,$G147,$H147,$I147,$K147,$L147,$N147,$O147,$P147,$T147,RealTime!$A$2:$B$43,TODAY()))</f>
        <v/>
      </c>
      <c r="Q147" t="str">
        <f ca="1">FairRate($G147,$H147,$I147,$K147,$L147,$N147,$O147,$P147,RealTime!$A$2:$B$43,TODAY())</f>
        <v>オブジェクトが必要です。</v>
      </c>
      <c r="R147" t="str">
        <f t="shared" ca="1" si="8"/>
        <v/>
      </c>
      <c r="S147" t="str">
        <f t="shared" ca="1" si="9"/>
        <v/>
      </c>
      <c r="U147" t="str">
        <f ca="1">SwapPV($G147,$H147,$I147,$K147,$L147,$N147,$O147,$P147,$D147,$T147,$J147,RealTime!$A$2:$B$43,TODAY())</f>
        <v>オブジェクトが必要です。</v>
      </c>
      <c r="V147" t="str">
        <f ca="1">SwapDelta($G147,$H147,$I147,$K147,$L147,$N147,$O147,$P147,$D147,$T147,$J147,RealTime!$A$2:$B$43,TODAY())</f>
        <v>オブジェクトが必要です。</v>
      </c>
      <c r="W147" t="str">
        <f ca="1">SwapAnnuityDelta($G147,$H147,$I147,$K147,$L147,$N147,$O147,$P147,$D147,$T147,RealTime!$A$2:$B$43,TODAY())</f>
        <v>オブジェクトが必要です。</v>
      </c>
      <c r="Z147" t="str">
        <f ca="1">IF($B147=1,BucketedDelta($G147,$H147,$I147,$K147,$L147,$N147,$O147,$P147,$D147,$T147,$J147,RealTime!$A$2:$B$43,TODAY(),FALSE),"")</f>
        <v/>
      </c>
    </row>
    <row r="148" spans="6:26" x14ac:dyDescent="0.2">
      <c r="F148" t="str">
        <f ca="1">IF($E148="","",NotionalForDelta($E148,$G148,$H148,$I148,$K148,$L148,$N148,$O148,$P148,$T148,RealTime!$A$2:$B$43,TODAY()))</f>
        <v/>
      </c>
      <c r="Q148" t="str">
        <f ca="1">FairRate($G148,$H148,$I148,$K148,$L148,$N148,$O148,$P148,RealTime!$A$2:$B$43,TODAY())</f>
        <v>オブジェクトが必要です。</v>
      </c>
      <c r="R148" t="str">
        <f t="shared" ca="1" si="8"/>
        <v/>
      </c>
      <c r="S148" t="str">
        <f t="shared" ca="1" si="9"/>
        <v/>
      </c>
      <c r="U148" t="str">
        <f ca="1">SwapPV($G148,$H148,$I148,$K148,$L148,$N148,$O148,$P148,$D148,$T148,$J148,RealTime!$A$2:$B$43,TODAY())</f>
        <v>オブジェクトが必要です。</v>
      </c>
      <c r="V148" t="str">
        <f ca="1">SwapDelta($G148,$H148,$I148,$K148,$L148,$N148,$O148,$P148,$D148,$T148,$J148,RealTime!$A$2:$B$43,TODAY())</f>
        <v>オブジェクトが必要です。</v>
      </c>
      <c r="W148" t="str">
        <f ca="1">SwapAnnuityDelta($G148,$H148,$I148,$K148,$L148,$N148,$O148,$P148,$D148,$T148,RealTime!$A$2:$B$43,TODAY())</f>
        <v>オブジェクトが必要です。</v>
      </c>
      <c r="Z148" t="str">
        <f ca="1">IF($B148=1,BucketedDelta($G148,$H148,$I148,$K148,$L148,$N148,$O148,$P148,$D148,$T148,$J148,RealTime!$A$2:$B$43,TODAY(),FALSE),"")</f>
        <v/>
      </c>
    </row>
    <row r="149" spans="6:26" x14ac:dyDescent="0.2">
      <c r="F149" t="str">
        <f ca="1">IF($E149="","",NotionalForDelta($E149,$G149,$H149,$I149,$K149,$L149,$N149,$O149,$P149,$T149,RealTime!$A$2:$B$43,TODAY()))</f>
        <v/>
      </c>
      <c r="Q149" t="str">
        <f ca="1">FairRate($G149,$H149,$I149,$K149,$L149,$N149,$O149,$P149,RealTime!$A$2:$B$43,TODAY())</f>
        <v>オブジェクトが必要です。</v>
      </c>
      <c r="R149" t="str">
        <f t="shared" ca="1" si="8"/>
        <v/>
      </c>
      <c r="S149" t="str">
        <f t="shared" ca="1" si="9"/>
        <v/>
      </c>
      <c r="U149" t="str">
        <f ca="1">SwapPV($G149,$H149,$I149,$K149,$L149,$N149,$O149,$P149,$D149,$T149,$J149,RealTime!$A$2:$B$43,TODAY())</f>
        <v>オブジェクトが必要です。</v>
      </c>
      <c r="V149" t="str">
        <f ca="1">SwapDelta($G149,$H149,$I149,$K149,$L149,$N149,$O149,$P149,$D149,$T149,$J149,RealTime!$A$2:$B$43,TODAY())</f>
        <v>オブジェクトが必要です。</v>
      </c>
      <c r="W149" t="str">
        <f ca="1">SwapAnnuityDelta($G149,$H149,$I149,$K149,$L149,$N149,$O149,$P149,$D149,$T149,RealTime!$A$2:$B$43,TODAY())</f>
        <v>オブジェクトが必要です。</v>
      </c>
      <c r="Z149" t="str">
        <f ca="1">IF($B149=1,BucketedDelta($G149,$H149,$I149,$K149,$L149,$N149,$O149,$P149,$D149,$T149,$J149,RealTime!$A$2:$B$43,TODAY(),FALSE),"")</f>
        <v/>
      </c>
    </row>
    <row r="150" spans="6:26" x14ac:dyDescent="0.2">
      <c r="F150" t="str">
        <f ca="1">IF($E150="","",NotionalForDelta($E150,$G150,$H150,$I150,$K150,$L150,$N150,$O150,$P150,$T150,RealTime!$A$2:$B$43,TODAY()))</f>
        <v/>
      </c>
      <c r="Q150" t="str">
        <f ca="1">FairRate($G150,$H150,$I150,$K150,$L150,$N150,$O150,$P150,RealTime!$A$2:$B$43,TODAY())</f>
        <v>オブジェクトが必要です。</v>
      </c>
      <c r="R150" t="str">
        <f t="shared" ca="1" si="8"/>
        <v/>
      </c>
      <c r="S150" t="str">
        <f t="shared" ca="1" si="9"/>
        <v/>
      </c>
      <c r="U150" t="str">
        <f ca="1">SwapPV($G150,$H150,$I150,$K150,$L150,$N150,$O150,$P150,$D150,$T150,$J150,RealTime!$A$2:$B$43,TODAY())</f>
        <v>オブジェクトが必要です。</v>
      </c>
      <c r="V150" t="str">
        <f ca="1">SwapDelta($G150,$H150,$I150,$K150,$L150,$N150,$O150,$P150,$D150,$T150,$J150,RealTime!$A$2:$B$43,TODAY())</f>
        <v>オブジェクトが必要です。</v>
      </c>
      <c r="W150" t="str">
        <f ca="1">SwapAnnuityDelta($G150,$H150,$I150,$K150,$L150,$N150,$O150,$P150,$D150,$T150,RealTime!$A$2:$B$43,TODAY())</f>
        <v>オブジェクトが必要です。</v>
      </c>
      <c r="Z150" t="str">
        <f ca="1">IF($B150=1,BucketedDelta($G150,$H150,$I150,$K150,$L150,$N150,$O150,$P150,$D150,$T150,$J150,RealTime!$A$2:$B$43,TODAY(),FALSE),"")</f>
        <v/>
      </c>
    </row>
    <row r="151" spans="6:26" x14ac:dyDescent="0.2">
      <c r="F151" t="str">
        <f ca="1">IF($E151="","",NotionalForDelta($E151,$G151,$H151,$I151,$K151,$L151,$N151,$O151,$P151,$T151,RealTime!$A$2:$B$43,TODAY()))</f>
        <v/>
      </c>
      <c r="Q151" t="str">
        <f ca="1">FairRate($G151,$H151,$I151,$K151,$L151,$N151,$O151,$P151,RealTime!$A$2:$B$43,TODAY())</f>
        <v>オブジェクトが必要です。</v>
      </c>
      <c r="R151" t="str">
        <f t="shared" ca="1" si="8"/>
        <v/>
      </c>
      <c r="S151" t="str">
        <f t="shared" ca="1" si="9"/>
        <v/>
      </c>
      <c r="U151" t="str">
        <f ca="1">SwapPV($G151,$H151,$I151,$K151,$L151,$N151,$O151,$P151,$D151,$T151,$J151,RealTime!$A$2:$B$43,TODAY())</f>
        <v>オブジェクトが必要です。</v>
      </c>
      <c r="V151" t="str">
        <f ca="1">SwapDelta($G151,$H151,$I151,$K151,$L151,$N151,$O151,$P151,$D151,$T151,$J151,RealTime!$A$2:$B$43,TODAY())</f>
        <v>オブジェクトが必要です。</v>
      </c>
      <c r="W151" t="str">
        <f ca="1">SwapAnnuityDelta($G151,$H151,$I151,$K151,$L151,$N151,$O151,$P151,$D151,$T151,RealTime!$A$2:$B$43,TODAY())</f>
        <v>オブジェクトが必要です。</v>
      </c>
      <c r="Z151" t="str">
        <f ca="1">IF($B151=1,BucketedDelta($G151,$H151,$I151,$K151,$L151,$N151,$O151,$P151,$D151,$T151,$J151,RealTime!$A$2:$B$43,TODAY(),FALSE),"")</f>
        <v/>
      </c>
    </row>
    <row r="152" spans="6:26" x14ac:dyDescent="0.2">
      <c r="F152" t="str">
        <f ca="1">IF($E152="","",NotionalForDelta($E152,$G152,$H152,$I152,$K152,$L152,$N152,$O152,$P152,$T152,RealTime!$A$2:$B$43,TODAY()))</f>
        <v/>
      </c>
      <c r="Q152" t="str">
        <f ca="1">FairRate($G152,$H152,$I152,$K152,$L152,$N152,$O152,$P152,RealTime!$A$2:$B$43,TODAY())</f>
        <v>オブジェクトが必要です。</v>
      </c>
      <c r="R152" t="str">
        <f t="shared" ca="1" si="8"/>
        <v/>
      </c>
      <c r="S152" t="str">
        <f t="shared" ca="1" si="9"/>
        <v/>
      </c>
      <c r="U152" t="str">
        <f ca="1">SwapPV($G152,$H152,$I152,$K152,$L152,$N152,$O152,$P152,$D152,$T152,$J152,RealTime!$A$2:$B$43,TODAY())</f>
        <v>オブジェクトが必要です。</v>
      </c>
      <c r="V152" t="str">
        <f ca="1">SwapDelta($G152,$H152,$I152,$K152,$L152,$N152,$O152,$P152,$D152,$T152,$J152,RealTime!$A$2:$B$43,TODAY())</f>
        <v>オブジェクトが必要です。</v>
      </c>
      <c r="W152" t="str">
        <f ca="1">SwapAnnuityDelta($G152,$H152,$I152,$K152,$L152,$N152,$O152,$P152,$D152,$T152,RealTime!$A$2:$B$43,TODAY())</f>
        <v>オブジェクトが必要です。</v>
      </c>
      <c r="Z152" t="str">
        <f ca="1">IF($B152=1,BucketedDelta($G152,$H152,$I152,$K152,$L152,$N152,$O152,$P152,$D152,$T152,$J152,RealTime!$A$2:$B$43,TODAY(),FALSE),"")</f>
        <v/>
      </c>
    </row>
    <row r="153" spans="6:26" x14ac:dyDescent="0.2">
      <c r="F153" t="str">
        <f ca="1">IF($E153="","",NotionalForDelta($E153,$G153,$H153,$I153,$K153,$L153,$N153,$O153,$P153,$T153,RealTime!$A$2:$B$43,TODAY()))</f>
        <v/>
      </c>
      <c r="Q153" t="str">
        <f ca="1">FairRate($G153,$H153,$I153,$K153,$L153,$N153,$O153,$P153,RealTime!$A$2:$B$43,TODAY())</f>
        <v>オブジェクトが必要です。</v>
      </c>
      <c r="R153" t="str">
        <f t="shared" ca="1" si="8"/>
        <v/>
      </c>
      <c r="S153" t="str">
        <f t="shared" ca="1" si="9"/>
        <v/>
      </c>
      <c r="U153" t="str">
        <f ca="1">SwapPV($G153,$H153,$I153,$K153,$L153,$N153,$O153,$P153,$D153,$T153,$J153,RealTime!$A$2:$B$43,TODAY())</f>
        <v>オブジェクトが必要です。</v>
      </c>
      <c r="V153" t="str">
        <f ca="1">SwapDelta($G153,$H153,$I153,$K153,$L153,$N153,$O153,$P153,$D153,$T153,$J153,RealTime!$A$2:$B$43,TODAY())</f>
        <v>オブジェクトが必要です。</v>
      </c>
      <c r="W153" t="str">
        <f ca="1">SwapAnnuityDelta($G153,$H153,$I153,$K153,$L153,$N153,$O153,$P153,$D153,$T153,RealTime!$A$2:$B$43,TODAY())</f>
        <v>オブジェクトが必要です。</v>
      </c>
      <c r="Z153" t="str">
        <f ca="1">IF($B153=1,BucketedDelta($G153,$H153,$I153,$K153,$L153,$N153,$O153,$P153,$D153,$T153,$J153,RealTime!$A$2:$B$43,TODAY(),FALSE),"")</f>
        <v/>
      </c>
    </row>
    <row r="154" spans="6:26" x14ac:dyDescent="0.2">
      <c r="F154" t="str">
        <f ca="1">IF($E154="","",NotionalForDelta($E154,$G154,$H154,$I154,$K154,$L154,$N154,$O154,$P154,$T154,RealTime!$A$2:$B$43,TODAY()))</f>
        <v/>
      </c>
      <c r="Q154" t="str">
        <f ca="1">FairRate($G154,$H154,$I154,$K154,$L154,$N154,$O154,$P154,RealTime!$A$2:$B$43,TODAY())</f>
        <v>オブジェクトが必要です。</v>
      </c>
      <c r="R154" t="str">
        <f t="shared" ca="1" si="8"/>
        <v/>
      </c>
      <c r="S154" t="str">
        <f t="shared" ca="1" si="9"/>
        <v/>
      </c>
      <c r="U154" t="str">
        <f ca="1">SwapPV($G154,$H154,$I154,$K154,$L154,$N154,$O154,$P154,$D154,$T154,$J154,RealTime!$A$2:$B$43,TODAY())</f>
        <v>オブジェクトが必要です。</v>
      </c>
      <c r="V154" t="str">
        <f ca="1">SwapDelta($G154,$H154,$I154,$K154,$L154,$N154,$O154,$P154,$D154,$T154,$J154,RealTime!$A$2:$B$43,TODAY())</f>
        <v>オブジェクトが必要です。</v>
      </c>
      <c r="W154" t="str">
        <f ca="1">SwapAnnuityDelta($G154,$H154,$I154,$K154,$L154,$N154,$O154,$P154,$D154,$T154,RealTime!$A$2:$B$43,TODAY())</f>
        <v>オブジェクトが必要です。</v>
      </c>
      <c r="Z154" t="str">
        <f ca="1">IF($B154=1,BucketedDelta($G154,$H154,$I154,$K154,$L154,$N154,$O154,$P154,$D154,$T154,$J154,RealTime!$A$2:$B$43,TODAY(),FALSE),"")</f>
        <v/>
      </c>
    </row>
    <row r="155" spans="6:26" x14ac:dyDescent="0.2">
      <c r="F155" t="str">
        <f ca="1">IF($E155="","",NotionalForDelta($E155,$G155,$H155,$I155,$K155,$L155,$N155,$O155,$P155,$T155,RealTime!$A$2:$B$43,TODAY()))</f>
        <v/>
      </c>
      <c r="Q155" t="str">
        <f ca="1">FairRate($G155,$H155,$I155,$K155,$L155,$N155,$O155,$P155,RealTime!$A$2:$B$43,TODAY())</f>
        <v>オブジェクトが必要です。</v>
      </c>
      <c r="R155" t="str">
        <f t="shared" ca="1" si="8"/>
        <v/>
      </c>
      <c r="S155" t="str">
        <f t="shared" ca="1" si="9"/>
        <v/>
      </c>
      <c r="U155" t="str">
        <f ca="1">SwapPV($G155,$H155,$I155,$K155,$L155,$N155,$O155,$P155,$D155,$T155,$J155,RealTime!$A$2:$B$43,TODAY())</f>
        <v>オブジェクトが必要です。</v>
      </c>
      <c r="V155" t="str">
        <f ca="1">SwapDelta($G155,$H155,$I155,$K155,$L155,$N155,$O155,$P155,$D155,$T155,$J155,RealTime!$A$2:$B$43,TODAY())</f>
        <v>オブジェクトが必要です。</v>
      </c>
      <c r="W155" t="str">
        <f ca="1">SwapAnnuityDelta($G155,$H155,$I155,$K155,$L155,$N155,$O155,$P155,$D155,$T155,RealTime!$A$2:$B$43,TODAY())</f>
        <v>オブジェクトが必要です。</v>
      </c>
      <c r="Z155" t="str">
        <f ca="1">IF($B155=1,BucketedDelta($G155,$H155,$I155,$K155,$L155,$N155,$O155,$P155,$D155,$T155,$J155,RealTime!$A$2:$B$43,TODAY(),FALSE),"")</f>
        <v/>
      </c>
    </row>
    <row r="156" spans="6:26" x14ac:dyDescent="0.2">
      <c r="F156" t="str">
        <f ca="1">IF($E156="","",NotionalForDelta($E156,$G156,$H156,$I156,$K156,$L156,$N156,$O156,$P156,$T156,RealTime!$A$2:$B$43,TODAY()))</f>
        <v/>
      </c>
      <c r="Q156" t="str">
        <f ca="1">FairRate($G156,$H156,$I156,$K156,$L156,$N156,$O156,$P156,RealTime!$A$2:$B$43,TODAY())</f>
        <v>オブジェクトが必要です。</v>
      </c>
      <c r="R156" t="str">
        <f t="shared" ca="1" si="8"/>
        <v/>
      </c>
      <c r="S156" t="str">
        <f t="shared" ca="1" si="9"/>
        <v/>
      </c>
      <c r="U156" t="str">
        <f ca="1">SwapPV($G156,$H156,$I156,$K156,$L156,$N156,$O156,$P156,$D156,$T156,$J156,RealTime!$A$2:$B$43,TODAY())</f>
        <v>オブジェクトが必要です。</v>
      </c>
      <c r="V156" t="str">
        <f ca="1">SwapDelta($G156,$H156,$I156,$K156,$L156,$N156,$O156,$P156,$D156,$T156,$J156,RealTime!$A$2:$B$43,TODAY())</f>
        <v>オブジェクトが必要です。</v>
      </c>
      <c r="W156" t="str">
        <f ca="1">SwapAnnuityDelta($G156,$H156,$I156,$K156,$L156,$N156,$O156,$P156,$D156,$T156,RealTime!$A$2:$B$43,TODAY())</f>
        <v>オブジェクトが必要です。</v>
      </c>
      <c r="Z156" t="str">
        <f ca="1">IF($B156=1,BucketedDelta($G156,$H156,$I156,$K156,$L156,$N156,$O156,$P156,$D156,$T156,$J156,RealTime!$A$2:$B$43,TODAY(),FALSE),"")</f>
        <v/>
      </c>
    </row>
    <row r="157" spans="6:26" x14ac:dyDescent="0.2">
      <c r="F157" t="str">
        <f ca="1">IF($E157="","",NotionalForDelta($E157,$G157,$H157,$I157,$K157,$L157,$N157,$O157,$P157,$T157,RealTime!$A$2:$B$43,TODAY()))</f>
        <v/>
      </c>
      <c r="Q157" t="str">
        <f ca="1">FairRate($G157,$H157,$I157,$K157,$L157,$N157,$O157,$P157,RealTime!$A$2:$B$43,TODAY())</f>
        <v>オブジェクトが必要です。</v>
      </c>
      <c r="R157" t="str">
        <f t="shared" ca="1" si="8"/>
        <v/>
      </c>
      <c r="S157" t="str">
        <f t="shared" ca="1" si="9"/>
        <v/>
      </c>
      <c r="U157" t="str">
        <f ca="1">SwapPV($G157,$H157,$I157,$K157,$L157,$N157,$O157,$P157,$D157,$T157,$J157,RealTime!$A$2:$B$43,TODAY())</f>
        <v>オブジェクトが必要です。</v>
      </c>
      <c r="V157" t="str">
        <f ca="1">SwapDelta($G157,$H157,$I157,$K157,$L157,$N157,$O157,$P157,$D157,$T157,$J157,RealTime!$A$2:$B$43,TODAY())</f>
        <v>オブジェクトが必要です。</v>
      </c>
      <c r="W157" t="str">
        <f ca="1">SwapAnnuityDelta($G157,$H157,$I157,$K157,$L157,$N157,$O157,$P157,$D157,$T157,RealTime!$A$2:$B$43,TODAY())</f>
        <v>オブジェクトが必要です。</v>
      </c>
      <c r="Z157" t="str">
        <f ca="1">IF($B157=1,BucketedDelta($G157,$H157,$I157,$K157,$L157,$N157,$O157,$P157,$D157,$T157,$J157,RealTime!$A$2:$B$43,TODAY(),FALSE),"")</f>
        <v/>
      </c>
    </row>
    <row r="158" spans="6:26" x14ac:dyDescent="0.2">
      <c r="F158" t="str">
        <f ca="1">IF($E158="","",NotionalForDelta($E158,$G158,$H158,$I158,$K158,$L158,$N158,$O158,$P158,$T158,RealTime!$A$2:$B$43,TODAY()))</f>
        <v/>
      </c>
      <c r="Q158" t="str">
        <f ca="1">FairRate($G158,$H158,$I158,$K158,$L158,$N158,$O158,$P158,RealTime!$A$2:$B$43,TODAY())</f>
        <v>オブジェクトが必要です。</v>
      </c>
      <c r="R158" t="str">
        <f t="shared" ca="1" si="8"/>
        <v/>
      </c>
      <c r="S158" t="str">
        <f t="shared" ca="1" si="9"/>
        <v/>
      </c>
      <c r="U158" t="str">
        <f ca="1">SwapPV($G158,$H158,$I158,$K158,$L158,$N158,$O158,$P158,$D158,$T158,$J158,RealTime!$A$2:$B$43,TODAY())</f>
        <v>オブジェクトが必要です。</v>
      </c>
      <c r="V158" t="str">
        <f ca="1">SwapDelta($G158,$H158,$I158,$K158,$L158,$N158,$O158,$P158,$D158,$T158,$J158,RealTime!$A$2:$B$43,TODAY())</f>
        <v>オブジェクトが必要です。</v>
      </c>
      <c r="W158" t="str">
        <f ca="1">SwapAnnuityDelta($G158,$H158,$I158,$K158,$L158,$N158,$O158,$P158,$D158,$T158,RealTime!$A$2:$B$43,TODAY())</f>
        <v>オブジェクトが必要です。</v>
      </c>
      <c r="Z158" t="str">
        <f ca="1">IF($B158=1,BucketedDelta($G158,$H158,$I158,$K158,$L158,$N158,$O158,$P158,$D158,$T158,$J158,RealTime!$A$2:$B$43,TODAY(),FALSE),"")</f>
        <v/>
      </c>
    </row>
    <row r="159" spans="6:26" x14ac:dyDescent="0.2">
      <c r="F159" t="str">
        <f ca="1">IF($E159="","",NotionalForDelta($E159,$G159,$H159,$I159,$K159,$L159,$N159,$O159,$P159,$T159,RealTime!$A$2:$B$43,TODAY()))</f>
        <v/>
      </c>
      <c r="Q159" t="str">
        <f ca="1">FairRate($G159,$H159,$I159,$K159,$L159,$N159,$O159,$P159,RealTime!$A$2:$B$43,TODAY())</f>
        <v>オブジェクトが必要です。</v>
      </c>
      <c r="R159" t="str">
        <f t="shared" ca="1" si="8"/>
        <v/>
      </c>
      <c r="S159" t="str">
        <f t="shared" ca="1" si="9"/>
        <v/>
      </c>
      <c r="U159" t="str">
        <f ca="1">SwapPV($G159,$H159,$I159,$K159,$L159,$N159,$O159,$P159,$D159,$T159,$J159,RealTime!$A$2:$B$43,TODAY())</f>
        <v>オブジェクトが必要です。</v>
      </c>
      <c r="V159" t="str">
        <f ca="1">SwapDelta($G159,$H159,$I159,$K159,$L159,$N159,$O159,$P159,$D159,$T159,$J159,RealTime!$A$2:$B$43,TODAY())</f>
        <v>オブジェクトが必要です。</v>
      </c>
      <c r="W159" t="str">
        <f ca="1">SwapAnnuityDelta($G159,$H159,$I159,$K159,$L159,$N159,$O159,$P159,$D159,$T159,RealTime!$A$2:$B$43,TODAY())</f>
        <v>オブジェクトが必要です。</v>
      </c>
      <c r="Z159" t="str">
        <f ca="1">IF($B159=1,BucketedDelta($G159,$H159,$I159,$K159,$L159,$N159,$O159,$P159,$D159,$T159,$J159,RealTime!$A$2:$B$43,TODAY(),FALSE),"")</f>
        <v/>
      </c>
    </row>
    <row r="160" spans="6:26" x14ac:dyDescent="0.2">
      <c r="F160" t="str">
        <f ca="1">IF($E160="","",NotionalForDelta($E160,$G160,$H160,$I160,$K160,$L160,$N160,$O160,$P160,$T160,RealTime!$A$2:$B$43,TODAY()))</f>
        <v/>
      </c>
      <c r="Q160" t="str">
        <f ca="1">FairRate($G160,$H160,$I160,$K160,$L160,$N160,$O160,$P160,RealTime!$A$2:$B$43,TODAY())</f>
        <v>オブジェクトが必要です。</v>
      </c>
      <c r="R160" t="str">
        <f t="shared" ca="1" si="8"/>
        <v/>
      </c>
      <c r="S160" t="str">
        <f t="shared" ca="1" si="9"/>
        <v/>
      </c>
      <c r="U160" t="str">
        <f ca="1">SwapPV($G160,$H160,$I160,$K160,$L160,$N160,$O160,$P160,$D160,$T160,$J160,RealTime!$A$2:$B$43,TODAY())</f>
        <v>オブジェクトが必要です。</v>
      </c>
      <c r="V160" t="str">
        <f ca="1">SwapDelta($G160,$H160,$I160,$K160,$L160,$N160,$O160,$P160,$D160,$T160,$J160,RealTime!$A$2:$B$43,TODAY())</f>
        <v>オブジェクトが必要です。</v>
      </c>
      <c r="W160" t="str">
        <f ca="1">SwapAnnuityDelta($G160,$H160,$I160,$K160,$L160,$N160,$O160,$P160,$D160,$T160,RealTime!$A$2:$B$43,TODAY())</f>
        <v>オブジェクトが必要です。</v>
      </c>
      <c r="Z160" t="str">
        <f ca="1">IF($B160=1,BucketedDelta($G160,$H160,$I160,$K160,$L160,$N160,$O160,$P160,$D160,$T160,$J160,RealTime!$A$2:$B$43,TODAY(),FALSE),"")</f>
        <v/>
      </c>
    </row>
    <row r="161" spans="6:26" x14ac:dyDescent="0.2">
      <c r="F161" t="str">
        <f ca="1">IF($E161="","",NotionalForDelta($E161,$G161,$H161,$I161,$K161,$L161,$N161,$O161,$P161,$T161,RealTime!$A$2:$B$43,TODAY()))</f>
        <v/>
      </c>
      <c r="Q161" t="str">
        <f ca="1">FairRate($G161,$H161,$I161,$K161,$L161,$N161,$O161,$P161,RealTime!$A$2:$B$43,TODAY())</f>
        <v>オブジェクトが必要です。</v>
      </c>
      <c r="R161" t="str">
        <f t="shared" ca="1" si="8"/>
        <v/>
      </c>
      <c r="S161" t="str">
        <f t="shared" ca="1" si="9"/>
        <v/>
      </c>
      <c r="U161" t="str">
        <f ca="1">SwapPV($G161,$H161,$I161,$K161,$L161,$N161,$O161,$P161,$D161,$T161,$J161,RealTime!$A$2:$B$43,TODAY())</f>
        <v>オブジェクトが必要です。</v>
      </c>
      <c r="V161" t="str">
        <f ca="1">SwapDelta($G161,$H161,$I161,$K161,$L161,$N161,$O161,$P161,$D161,$T161,$J161,RealTime!$A$2:$B$43,TODAY())</f>
        <v>オブジェクトが必要です。</v>
      </c>
      <c r="W161" t="str">
        <f ca="1">SwapAnnuityDelta($G161,$H161,$I161,$K161,$L161,$N161,$O161,$P161,$D161,$T161,RealTime!$A$2:$B$43,TODAY())</f>
        <v>オブジェクトが必要です。</v>
      </c>
      <c r="Z161" t="str">
        <f ca="1">IF($B161=1,BucketedDelta($G161,$H161,$I161,$K161,$L161,$N161,$O161,$P161,$D161,$T161,$J161,RealTime!$A$2:$B$43,TODAY(),FALSE),"")</f>
        <v/>
      </c>
    </row>
    <row r="162" spans="6:26" x14ac:dyDescent="0.2">
      <c r="F162" t="str">
        <f ca="1">IF($E162="","",NotionalForDelta($E162,$G162,$H162,$I162,$K162,$L162,$N162,$O162,$P162,$T162,RealTime!$A$2:$B$43,TODAY()))</f>
        <v/>
      </c>
      <c r="Q162" t="str">
        <f ca="1">FairRate($G162,$H162,$I162,$K162,$L162,$N162,$O162,$P162,RealTime!$A$2:$B$43,TODAY())</f>
        <v>オブジェクトが必要です。</v>
      </c>
      <c r="R162" t="str">
        <f t="shared" ref="R162:R193" ca="1" si="10">IF(ISNUMBER(Q161),Q162-Q161,"")</f>
        <v/>
      </c>
      <c r="S162" t="str">
        <f t="shared" ref="S162:S193" ca="1" si="11">IF(AND(ISNUMBER(Q161),ISNUMBER(Q163)),2*Q162-Q161-Q163,"")</f>
        <v/>
      </c>
      <c r="U162" t="str">
        <f ca="1">SwapPV($G162,$H162,$I162,$K162,$L162,$N162,$O162,$P162,$D162,$T162,$J162,RealTime!$A$2:$B$43,TODAY())</f>
        <v>オブジェクトが必要です。</v>
      </c>
      <c r="V162" t="str">
        <f ca="1">SwapDelta($G162,$H162,$I162,$K162,$L162,$N162,$O162,$P162,$D162,$T162,$J162,RealTime!$A$2:$B$43,TODAY())</f>
        <v>オブジェクトが必要です。</v>
      </c>
      <c r="W162" t="str">
        <f ca="1">SwapAnnuityDelta($G162,$H162,$I162,$K162,$L162,$N162,$O162,$P162,$D162,$T162,RealTime!$A$2:$B$43,TODAY())</f>
        <v>オブジェクトが必要です。</v>
      </c>
      <c r="Z162" t="str">
        <f ca="1">IF($B162=1,BucketedDelta($G162,$H162,$I162,$K162,$L162,$N162,$O162,$P162,$D162,$T162,$J162,RealTime!$A$2:$B$43,TODAY(),FALSE),"")</f>
        <v/>
      </c>
    </row>
    <row r="163" spans="6:26" x14ac:dyDescent="0.2">
      <c r="F163" t="str">
        <f ca="1">IF($E163="","",NotionalForDelta($E163,$G163,$H163,$I163,$K163,$L163,$N163,$O163,$P163,$T163,RealTime!$A$2:$B$43,TODAY()))</f>
        <v/>
      </c>
      <c r="Q163" t="str">
        <f ca="1">FairRate($G163,$H163,$I163,$K163,$L163,$N163,$O163,$P163,RealTime!$A$2:$B$43,TODAY())</f>
        <v>オブジェクトが必要です。</v>
      </c>
      <c r="R163" t="str">
        <f t="shared" ca="1" si="10"/>
        <v/>
      </c>
      <c r="S163" t="str">
        <f t="shared" ca="1" si="11"/>
        <v/>
      </c>
      <c r="U163" t="str">
        <f ca="1">SwapPV($G163,$H163,$I163,$K163,$L163,$N163,$O163,$P163,$D163,$T163,$J163,RealTime!$A$2:$B$43,TODAY())</f>
        <v>オブジェクトが必要です。</v>
      </c>
      <c r="V163" t="str">
        <f ca="1">SwapDelta($G163,$H163,$I163,$K163,$L163,$N163,$O163,$P163,$D163,$T163,$J163,RealTime!$A$2:$B$43,TODAY())</f>
        <v>オブジェクトが必要です。</v>
      </c>
      <c r="W163" t="str">
        <f ca="1">SwapAnnuityDelta($G163,$H163,$I163,$K163,$L163,$N163,$O163,$P163,$D163,$T163,RealTime!$A$2:$B$43,TODAY())</f>
        <v>オブジェクトが必要です。</v>
      </c>
      <c r="Z163" t="str">
        <f ca="1">IF($B163=1,BucketedDelta($G163,$H163,$I163,$K163,$L163,$N163,$O163,$P163,$D163,$T163,$J163,RealTime!$A$2:$B$43,TODAY(),FALSE),"")</f>
        <v/>
      </c>
    </row>
    <row r="164" spans="6:26" x14ac:dyDescent="0.2">
      <c r="F164" t="str">
        <f ca="1">IF($E164="","",NotionalForDelta($E164,$G164,$H164,$I164,$K164,$L164,$N164,$O164,$P164,$T164,RealTime!$A$2:$B$43,TODAY()))</f>
        <v/>
      </c>
      <c r="Q164" t="str">
        <f ca="1">FairRate($G164,$H164,$I164,$K164,$L164,$N164,$O164,$P164,RealTime!$A$2:$B$43,TODAY())</f>
        <v>オブジェクトが必要です。</v>
      </c>
      <c r="R164" t="str">
        <f t="shared" ca="1" si="10"/>
        <v/>
      </c>
      <c r="S164" t="str">
        <f t="shared" ca="1" si="11"/>
        <v/>
      </c>
      <c r="U164" t="str">
        <f ca="1">SwapPV($G164,$H164,$I164,$K164,$L164,$N164,$O164,$P164,$D164,$T164,$J164,RealTime!$A$2:$B$43,TODAY())</f>
        <v>オブジェクトが必要です。</v>
      </c>
      <c r="V164" t="str">
        <f ca="1">SwapDelta($G164,$H164,$I164,$K164,$L164,$N164,$O164,$P164,$D164,$T164,$J164,RealTime!$A$2:$B$43,TODAY())</f>
        <v>オブジェクトが必要です。</v>
      </c>
      <c r="W164" t="str">
        <f ca="1">SwapAnnuityDelta($G164,$H164,$I164,$K164,$L164,$N164,$O164,$P164,$D164,$T164,RealTime!$A$2:$B$43,TODAY())</f>
        <v>オブジェクトが必要です。</v>
      </c>
      <c r="Z164" t="str">
        <f ca="1">IF($B164=1,BucketedDelta($G164,$H164,$I164,$K164,$L164,$N164,$O164,$P164,$D164,$T164,$J164,RealTime!$A$2:$B$43,TODAY(),FALSE),"")</f>
        <v/>
      </c>
    </row>
    <row r="165" spans="6:26" x14ac:dyDescent="0.2">
      <c r="F165" t="str">
        <f ca="1">IF($E165="","",NotionalForDelta($E165,$G165,$H165,$I165,$K165,$L165,$N165,$O165,$P165,$T165,RealTime!$A$2:$B$43,TODAY()))</f>
        <v/>
      </c>
      <c r="Q165" t="str">
        <f ca="1">FairRate($G165,$H165,$I165,$K165,$L165,$N165,$O165,$P165,RealTime!$A$2:$B$43,TODAY())</f>
        <v>オブジェクトが必要です。</v>
      </c>
      <c r="R165" t="str">
        <f t="shared" ca="1" si="10"/>
        <v/>
      </c>
      <c r="S165" t="str">
        <f t="shared" ca="1" si="11"/>
        <v/>
      </c>
      <c r="U165" t="str">
        <f ca="1">SwapPV($G165,$H165,$I165,$K165,$L165,$N165,$O165,$P165,$D165,$T165,$J165,RealTime!$A$2:$B$43,TODAY())</f>
        <v>オブジェクトが必要です。</v>
      </c>
      <c r="V165" t="str">
        <f ca="1">SwapDelta($G165,$H165,$I165,$K165,$L165,$N165,$O165,$P165,$D165,$T165,$J165,RealTime!$A$2:$B$43,TODAY())</f>
        <v>オブジェクトが必要です。</v>
      </c>
      <c r="W165" t="str">
        <f ca="1">SwapAnnuityDelta($G165,$H165,$I165,$K165,$L165,$N165,$O165,$P165,$D165,$T165,RealTime!$A$2:$B$43,TODAY())</f>
        <v>オブジェクトが必要です。</v>
      </c>
      <c r="Z165" t="str">
        <f ca="1">IF($B165=1,BucketedDelta($G165,$H165,$I165,$K165,$L165,$N165,$O165,$P165,$D165,$T165,$J165,RealTime!$A$2:$B$43,TODAY(),FALSE),"")</f>
        <v/>
      </c>
    </row>
    <row r="166" spans="6:26" x14ac:dyDescent="0.2">
      <c r="F166" t="str">
        <f ca="1">IF($E166="","",NotionalForDelta($E166,$G166,$H166,$I166,$K166,$L166,$N166,$O166,$P166,$T166,RealTime!$A$2:$B$43,TODAY()))</f>
        <v/>
      </c>
      <c r="Q166" t="str">
        <f ca="1">FairRate($G166,$H166,$I166,$K166,$L166,$N166,$O166,$P166,RealTime!$A$2:$B$43,TODAY())</f>
        <v>オブジェクトが必要です。</v>
      </c>
      <c r="R166" t="str">
        <f t="shared" ca="1" si="10"/>
        <v/>
      </c>
      <c r="S166" t="str">
        <f t="shared" ca="1" si="11"/>
        <v/>
      </c>
      <c r="U166" t="str">
        <f ca="1">SwapPV($G166,$H166,$I166,$K166,$L166,$N166,$O166,$P166,$D166,$T166,$J166,RealTime!$A$2:$B$43,TODAY())</f>
        <v>オブジェクトが必要です。</v>
      </c>
      <c r="V166" t="str">
        <f ca="1">SwapDelta($G166,$H166,$I166,$K166,$L166,$N166,$O166,$P166,$D166,$T166,$J166,RealTime!$A$2:$B$43,TODAY())</f>
        <v>オブジェクトが必要です。</v>
      </c>
      <c r="W166" t="str">
        <f ca="1">SwapAnnuityDelta($G166,$H166,$I166,$K166,$L166,$N166,$O166,$P166,$D166,$T166,RealTime!$A$2:$B$43,TODAY())</f>
        <v>オブジェクトが必要です。</v>
      </c>
      <c r="Z166" t="str">
        <f ca="1">IF($B166=1,BucketedDelta($G166,$H166,$I166,$K166,$L166,$N166,$O166,$P166,$D166,$T166,$J166,RealTime!$A$2:$B$43,TODAY(),FALSE),"")</f>
        <v/>
      </c>
    </row>
    <row r="167" spans="6:26" x14ac:dyDescent="0.2">
      <c r="F167" t="str">
        <f ca="1">IF($E167="","",NotionalForDelta($E167,$G167,$H167,$I167,$K167,$L167,$N167,$O167,$P167,$T167,RealTime!$A$2:$B$43,TODAY()))</f>
        <v/>
      </c>
      <c r="Q167" t="str">
        <f ca="1">FairRate($G167,$H167,$I167,$K167,$L167,$N167,$O167,$P167,RealTime!$A$2:$B$43,TODAY())</f>
        <v>オブジェクトが必要です。</v>
      </c>
      <c r="R167" t="str">
        <f t="shared" ca="1" si="10"/>
        <v/>
      </c>
      <c r="S167" t="str">
        <f t="shared" ca="1" si="11"/>
        <v/>
      </c>
      <c r="U167" t="str">
        <f ca="1">SwapPV($G167,$H167,$I167,$K167,$L167,$N167,$O167,$P167,$D167,$T167,$J167,RealTime!$A$2:$B$43,TODAY())</f>
        <v>オブジェクトが必要です。</v>
      </c>
      <c r="V167" t="str">
        <f ca="1">SwapDelta($G167,$H167,$I167,$K167,$L167,$N167,$O167,$P167,$D167,$T167,$J167,RealTime!$A$2:$B$43,TODAY())</f>
        <v>オブジェクトが必要です。</v>
      </c>
      <c r="W167" t="str">
        <f ca="1">SwapAnnuityDelta($G167,$H167,$I167,$K167,$L167,$N167,$O167,$P167,$D167,$T167,RealTime!$A$2:$B$43,TODAY())</f>
        <v>オブジェクトが必要です。</v>
      </c>
      <c r="Z167" t="str">
        <f ca="1">IF($B167=1,BucketedDelta($G167,$H167,$I167,$K167,$L167,$N167,$O167,$P167,$D167,$T167,$J167,RealTime!$A$2:$B$43,TODAY(),FALSE),"")</f>
        <v/>
      </c>
    </row>
    <row r="168" spans="6:26" x14ac:dyDescent="0.2">
      <c r="F168" t="str">
        <f ca="1">IF($E168="","",NotionalForDelta($E168,$G168,$H168,$I168,$K168,$L168,$N168,$O168,$P168,$T168,RealTime!$A$2:$B$43,TODAY()))</f>
        <v/>
      </c>
      <c r="Q168" t="str">
        <f ca="1">FairRate($G168,$H168,$I168,$K168,$L168,$N168,$O168,$P168,RealTime!$A$2:$B$43,TODAY())</f>
        <v>オブジェクトが必要です。</v>
      </c>
      <c r="R168" t="str">
        <f t="shared" ca="1" si="10"/>
        <v/>
      </c>
      <c r="S168" t="str">
        <f t="shared" ca="1" si="11"/>
        <v/>
      </c>
      <c r="U168" t="str">
        <f ca="1">SwapPV($G168,$H168,$I168,$K168,$L168,$N168,$O168,$P168,$D168,$T168,$J168,RealTime!$A$2:$B$43,TODAY())</f>
        <v>オブジェクトが必要です。</v>
      </c>
      <c r="V168" t="str">
        <f ca="1">SwapDelta($G168,$H168,$I168,$K168,$L168,$N168,$O168,$P168,$D168,$T168,$J168,RealTime!$A$2:$B$43,TODAY())</f>
        <v>オブジェクトが必要です。</v>
      </c>
      <c r="W168" t="str">
        <f ca="1">SwapAnnuityDelta($G168,$H168,$I168,$K168,$L168,$N168,$O168,$P168,$D168,$T168,RealTime!$A$2:$B$43,TODAY())</f>
        <v>オブジェクトが必要です。</v>
      </c>
      <c r="Z168" t="str">
        <f ca="1">IF($B168=1,BucketedDelta($G168,$H168,$I168,$K168,$L168,$N168,$O168,$P168,$D168,$T168,$J168,RealTime!$A$2:$B$43,TODAY(),FALSE),"")</f>
        <v/>
      </c>
    </row>
    <row r="169" spans="6:26" x14ac:dyDescent="0.2">
      <c r="F169" t="str">
        <f ca="1">IF($E169="","",NotionalForDelta($E169,$G169,$H169,$I169,$K169,$L169,$N169,$O169,$P169,$T169,RealTime!$A$2:$B$43,TODAY()))</f>
        <v/>
      </c>
      <c r="Q169" t="str">
        <f ca="1">FairRate($G169,$H169,$I169,$K169,$L169,$N169,$O169,$P169,RealTime!$A$2:$B$43,TODAY())</f>
        <v>オブジェクトが必要です。</v>
      </c>
      <c r="R169" t="str">
        <f t="shared" ca="1" si="10"/>
        <v/>
      </c>
      <c r="S169" t="str">
        <f t="shared" ca="1" si="11"/>
        <v/>
      </c>
      <c r="U169" t="str">
        <f ca="1">SwapPV($G169,$H169,$I169,$K169,$L169,$N169,$O169,$P169,$D169,$T169,$J169,RealTime!$A$2:$B$43,TODAY())</f>
        <v>オブジェクトが必要です。</v>
      </c>
      <c r="V169" t="str">
        <f ca="1">SwapDelta($G169,$H169,$I169,$K169,$L169,$N169,$O169,$P169,$D169,$T169,$J169,RealTime!$A$2:$B$43,TODAY())</f>
        <v>オブジェクトが必要です。</v>
      </c>
      <c r="W169" t="str">
        <f ca="1">SwapAnnuityDelta($G169,$H169,$I169,$K169,$L169,$N169,$O169,$P169,$D169,$T169,RealTime!$A$2:$B$43,TODAY())</f>
        <v>オブジェクトが必要です。</v>
      </c>
      <c r="Z169" t="str">
        <f ca="1">IF($B169=1,BucketedDelta($G169,$H169,$I169,$K169,$L169,$N169,$O169,$P169,$D169,$T169,$J169,RealTime!$A$2:$B$43,TODAY(),FALSE),"")</f>
        <v/>
      </c>
    </row>
    <row r="170" spans="6:26" x14ac:dyDescent="0.2">
      <c r="F170" t="str">
        <f ca="1">IF($E170="","",NotionalForDelta($E170,$G170,$H170,$I170,$K170,$L170,$N170,$O170,$P170,$T170,RealTime!$A$2:$B$43,TODAY()))</f>
        <v/>
      </c>
      <c r="Q170" t="str">
        <f ca="1">FairRate($G170,$H170,$I170,$K170,$L170,$N170,$O170,$P170,RealTime!$A$2:$B$43,TODAY())</f>
        <v>オブジェクトが必要です。</v>
      </c>
      <c r="R170" t="str">
        <f t="shared" ca="1" si="10"/>
        <v/>
      </c>
      <c r="S170" t="str">
        <f t="shared" ca="1" si="11"/>
        <v/>
      </c>
      <c r="U170" t="str">
        <f ca="1">SwapPV($G170,$H170,$I170,$K170,$L170,$N170,$O170,$P170,$D170,$T170,$J170,RealTime!$A$2:$B$43,TODAY())</f>
        <v>オブジェクトが必要です。</v>
      </c>
      <c r="V170" t="str">
        <f ca="1">SwapDelta($G170,$H170,$I170,$K170,$L170,$N170,$O170,$P170,$D170,$T170,$J170,RealTime!$A$2:$B$43,TODAY())</f>
        <v>オブジェクトが必要です。</v>
      </c>
      <c r="W170" t="str">
        <f ca="1">SwapAnnuityDelta($G170,$H170,$I170,$K170,$L170,$N170,$O170,$P170,$D170,$T170,RealTime!$A$2:$B$43,TODAY())</f>
        <v>オブジェクトが必要です。</v>
      </c>
      <c r="Z170" t="str">
        <f ca="1">IF($B170=1,BucketedDelta($G170,$H170,$I170,$K170,$L170,$N170,$O170,$P170,$D170,$T170,$J170,RealTime!$A$2:$B$43,TODAY(),FALSE),"")</f>
        <v/>
      </c>
    </row>
    <row r="171" spans="6:26" x14ac:dyDescent="0.2">
      <c r="F171" t="str">
        <f ca="1">IF($E171="","",NotionalForDelta($E171,$G171,$H171,$I171,$K171,$L171,$N171,$O171,$P171,$T171,RealTime!$A$2:$B$43,TODAY()))</f>
        <v/>
      </c>
      <c r="Q171" t="str">
        <f ca="1">FairRate($G171,$H171,$I171,$K171,$L171,$N171,$O171,$P171,RealTime!$A$2:$B$43,TODAY())</f>
        <v>オブジェクトが必要です。</v>
      </c>
      <c r="R171" t="str">
        <f t="shared" ca="1" si="10"/>
        <v/>
      </c>
      <c r="S171" t="str">
        <f t="shared" ca="1" si="11"/>
        <v/>
      </c>
      <c r="U171" t="str">
        <f ca="1">SwapPV($G171,$H171,$I171,$K171,$L171,$N171,$O171,$P171,$D171,$T171,$J171,RealTime!$A$2:$B$43,TODAY())</f>
        <v>オブジェクトが必要です。</v>
      </c>
      <c r="V171" t="str">
        <f ca="1">SwapDelta($G171,$H171,$I171,$K171,$L171,$N171,$O171,$P171,$D171,$T171,$J171,RealTime!$A$2:$B$43,TODAY())</f>
        <v>オブジェクトが必要です。</v>
      </c>
      <c r="W171" t="str">
        <f ca="1">SwapAnnuityDelta($G171,$H171,$I171,$K171,$L171,$N171,$O171,$P171,$D171,$T171,RealTime!$A$2:$B$43,TODAY())</f>
        <v>オブジェクトが必要です。</v>
      </c>
      <c r="Z171" t="str">
        <f ca="1">IF($B171=1,BucketedDelta($G171,$H171,$I171,$K171,$L171,$N171,$O171,$P171,$D171,$T171,$J171,RealTime!$A$2:$B$43,TODAY(),FALSE),"")</f>
        <v/>
      </c>
    </row>
    <row r="172" spans="6:26" x14ac:dyDescent="0.2">
      <c r="F172" t="str">
        <f ca="1">IF($E172="","",NotionalForDelta($E172,$G172,$H172,$I172,$K172,$L172,$N172,$O172,$P172,$T172,RealTime!$A$2:$B$43,TODAY()))</f>
        <v/>
      </c>
      <c r="Q172" t="str">
        <f ca="1">FairRate($G172,$H172,$I172,$K172,$L172,$N172,$O172,$P172,RealTime!$A$2:$B$43,TODAY())</f>
        <v>オブジェクトが必要です。</v>
      </c>
      <c r="R172" t="str">
        <f t="shared" ca="1" si="10"/>
        <v/>
      </c>
      <c r="S172" t="str">
        <f t="shared" ca="1" si="11"/>
        <v/>
      </c>
      <c r="U172" t="str">
        <f ca="1">SwapPV($G172,$H172,$I172,$K172,$L172,$N172,$O172,$P172,$D172,$T172,$J172,RealTime!$A$2:$B$43,TODAY())</f>
        <v>オブジェクトが必要です。</v>
      </c>
      <c r="V172" t="str">
        <f ca="1">SwapDelta($G172,$H172,$I172,$K172,$L172,$N172,$O172,$P172,$D172,$T172,$J172,RealTime!$A$2:$B$43,TODAY())</f>
        <v>オブジェクトが必要です。</v>
      </c>
      <c r="W172" t="str">
        <f ca="1">SwapAnnuityDelta($G172,$H172,$I172,$K172,$L172,$N172,$O172,$P172,$D172,$T172,RealTime!$A$2:$B$43,TODAY())</f>
        <v>オブジェクトが必要です。</v>
      </c>
      <c r="Z172" t="str">
        <f ca="1">IF($B172=1,BucketedDelta($G172,$H172,$I172,$K172,$L172,$N172,$O172,$P172,$D172,$T172,$J172,RealTime!$A$2:$B$43,TODAY(),FALSE),"")</f>
        <v/>
      </c>
    </row>
    <row r="173" spans="6:26" x14ac:dyDescent="0.2">
      <c r="F173" t="str">
        <f ca="1">IF($E173="","",NotionalForDelta($E173,$G173,$H173,$I173,$K173,$L173,$N173,$O173,$P173,$T173,RealTime!$A$2:$B$43,TODAY()))</f>
        <v/>
      </c>
      <c r="Q173" t="str">
        <f ca="1">FairRate($G173,$H173,$I173,$K173,$L173,$N173,$O173,$P173,RealTime!$A$2:$B$43,TODAY())</f>
        <v>オブジェクトが必要です。</v>
      </c>
      <c r="R173" t="str">
        <f t="shared" ca="1" si="10"/>
        <v/>
      </c>
      <c r="S173" t="str">
        <f t="shared" ca="1" si="11"/>
        <v/>
      </c>
      <c r="U173" t="str">
        <f ca="1">SwapPV($G173,$H173,$I173,$K173,$L173,$N173,$O173,$P173,$D173,$T173,$J173,RealTime!$A$2:$B$43,TODAY())</f>
        <v>オブジェクトが必要です。</v>
      </c>
      <c r="V173" t="str">
        <f ca="1">SwapDelta($G173,$H173,$I173,$K173,$L173,$N173,$O173,$P173,$D173,$T173,$J173,RealTime!$A$2:$B$43,TODAY())</f>
        <v>オブジェクトが必要です。</v>
      </c>
      <c r="W173" t="str">
        <f ca="1">SwapAnnuityDelta($G173,$H173,$I173,$K173,$L173,$N173,$O173,$P173,$D173,$T173,RealTime!$A$2:$B$43,TODAY())</f>
        <v>オブジェクトが必要です。</v>
      </c>
      <c r="Z173" t="str">
        <f ca="1">IF($B173=1,BucketedDelta($G173,$H173,$I173,$K173,$L173,$N173,$O173,$P173,$D173,$T173,$J173,RealTime!$A$2:$B$43,TODAY(),FALSE),"")</f>
        <v/>
      </c>
    </row>
    <row r="174" spans="6:26" x14ac:dyDescent="0.2">
      <c r="F174" t="str">
        <f ca="1">IF($E174="","",NotionalForDelta($E174,$G174,$H174,$I174,$K174,$L174,$N174,$O174,$P174,$T174,RealTime!$A$2:$B$43,TODAY()))</f>
        <v/>
      </c>
      <c r="Q174" t="str">
        <f ca="1">FairRate($G174,$H174,$I174,$K174,$L174,$N174,$O174,$P174,RealTime!$A$2:$B$43,TODAY())</f>
        <v>オブジェクトが必要です。</v>
      </c>
      <c r="R174" t="str">
        <f t="shared" ca="1" si="10"/>
        <v/>
      </c>
      <c r="S174" t="str">
        <f t="shared" ca="1" si="11"/>
        <v/>
      </c>
      <c r="U174" t="str">
        <f ca="1">SwapPV($G174,$H174,$I174,$K174,$L174,$N174,$O174,$P174,$D174,$T174,$J174,RealTime!$A$2:$B$43,TODAY())</f>
        <v>オブジェクトが必要です。</v>
      </c>
      <c r="V174" t="str">
        <f ca="1">SwapDelta($G174,$H174,$I174,$K174,$L174,$N174,$O174,$P174,$D174,$T174,$J174,RealTime!$A$2:$B$43,TODAY())</f>
        <v>オブジェクトが必要です。</v>
      </c>
      <c r="W174" t="str">
        <f ca="1">SwapAnnuityDelta($G174,$H174,$I174,$K174,$L174,$N174,$O174,$P174,$D174,$T174,RealTime!$A$2:$B$43,TODAY())</f>
        <v>オブジェクトが必要です。</v>
      </c>
      <c r="Z174" t="str">
        <f ca="1">IF($B174=1,BucketedDelta($G174,$H174,$I174,$K174,$L174,$N174,$O174,$P174,$D174,$T174,$J174,RealTime!$A$2:$B$43,TODAY(),FALSE),"")</f>
        <v/>
      </c>
    </row>
    <row r="175" spans="6:26" x14ac:dyDescent="0.2">
      <c r="F175" t="str">
        <f ca="1">IF($E175="","",NotionalForDelta($E175,$G175,$H175,$I175,$K175,$L175,$N175,$O175,$P175,$T175,RealTime!$A$2:$B$43,TODAY()))</f>
        <v/>
      </c>
      <c r="Q175" t="str">
        <f ca="1">FairRate($G175,$H175,$I175,$K175,$L175,$N175,$O175,$P175,RealTime!$A$2:$B$43,TODAY())</f>
        <v>オブジェクトが必要です。</v>
      </c>
      <c r="R175" t="str">
        <f t="shared" ca="1" si="10"/>
        <v/>
      </c>
      <c r="S175" t="str">
        <f t="shared" ca="1" si="11"/>
        <v/>
      </c>
      <c r="U175" t="str">
        <f ca="1">SwapPV($G175,$H175,$I175,$K175,$L175,$N175,$O175,$P175,$D175,$T175,$J175,RealTime!$A$2:$B$43,TODAY())</f>
        <v>オブジェクトが必要です。</v>
      </c>
      <c r="V175" t="str">
        <f ca="1">SwapDelta($G175,$H175,$I175,$K175,$L175,$N175,$O175,$P175,$D175,$T175,$J175,RealTime!$A$2:$B$43,TODAY())</f>
        <v>オブジェクトが必要です。</v>
      </c>
      <c r="W175" t="str">
        <f ca="1">SwapAnnuityDelta($G175,$H175,$I175,$K175,$L175,$N175,$O175,$P175,$D175,$T175,RealTime!$A$2:$B$43,TODAY())</f>
        <v>オブジェクトが必要です。</v>
      </c>
      <c r="Z175" t="str">
        <f ca="1">IF($B175=1,BucketedDelta($G175,$H175,$I175,$K175,$L175,$N175,$O175,$P175,$D175,$T175,$J175,RealTime!$A$2:$B$43,TODAY(),FALSE),"")</f>
        <v/>
      </c>
    </row>
    <row r="176" spans="6:26" x14ac:dyDescent="0.2">
      <c r="F176" t="str">
        <f ca="1">IF($E176="","",NotionalForDelta($E176,$G176,$H176,$I176,$K176,$L176,$N176,$O176,$P176,$T176,RealTime!$A$2:$B$43,TODAY()))</f>
        <v/>
      </c>
      <c r="Q176" t="str">
        <f ca="1">FairRate($G176,$H176,$I176,$K176,$L176,$N176,$O176,$P176,RealTime!$A$2:$B$43,TODAY())</f>
        <v>オブジェクトが必要です。</v>
      </c>
      <c r="R176" t="str">
        <f t="shared" ca="1" si="10"/>
        <v/>
      </c>
      <c r="S176" t="str">
        <f t="shared" ca="1" si="11"/>
        <v/>
      </c>
      <c r="U176" t="str">
        <f ca="1">SwapPV($G176,$H176,$I176,$K176,$L176,$N176,$O176,$P176,$D176,$T176,$J176,RealTime!$A$2:$B$43,TODAY())</f>
        <v>オブジェクトが必要です。</v>
      </c>
      <c r="V176" t="str">
        <f ca="1">SwapDelta($G176,$H176,$I176,$K176,$L176,$N176,$O176,$P176,$D176,$T176,$J176,RealTime!$A$2:$B$43,TODAY())</f>
        <v>オブジェクトが必要です。</v>
      </c>
      <c r="W176" t="str">
        <f ca="1">SwapAnnuityDelta($G176,$H176,$I176,$K176,$L176,$N176,$O176,$P176,$D176,$T176,RealTime!$A$2:$B$43,TODAY())</f>
        <v>オブジェクトが必要です。</v>
      </c>
      <c r="Z176" t="str">
        <f ca="1">IF($B176=1,BucketedDelta($G176,$H176,$I176,$K176,$L176,$N176,$O176,$P176,$D176,$T176,$J176,RealTime!$A$2:$B$43,TODAY(),FALSE),"")</f>
        <v/>
      </c>
    </row>
    <row r="177" spans="6:26" x14ac:dyDescent="0.2">
      <c r="F177" t="str">
        <f ca="1">IF($E177="","",NotionalForDelta($E177,$G177,$H177,$I177,$K177,$L177,$N177,$O177,$P177,$T177,RealTime!$A$2:$B$43,TODAY()))</f>
        <v/>
      </c>
      <c r="Q177" t="str">
        <f ca="1">FairRate($G177,$H177,$I177,$K177,$L177,$N177,$O177,$P177,RealTime!$A$2:$B$43,TODAY())</f>
        <v>オブジェクトが必要です。</v>
      </c>
      <c r="R177" t="str">
        <f t="shared" ca="1" si="10"/>
        <v/>
      </c>
      <c r="S177" t="str">
        <f t="shared" ca="1" si="11"/>
        <v/>
      </c>
      <c r="U177" t="str">
        <f ca="1">SwapPV($G177,$H177,$I177,$K177,$L177,$N177,$O177,$P177,$D177,$T177,$J177,RealTime!$A$2:$B$43,TODAY())</f>
        <v>オブジェクトが必要です。</v>
      </c>
      <c r="V177" t="str">
        <f ca="1">SwapDelta($G177,$H177,$I177,$K177,$L177,$N177,$O177,$P177,$D177,$T177,$J177,RealTime!$A$2:$B$43,TODAY())</f>
        <v>オブジェクトが必要です。</v>
      </c>
      <c r="W177" t="str">
        <f ca="1">SwapAnnuityDelta($G177,$H177,$I177,$K177,$L177,$N177,$O177,$P177,$D177,$T177,RealTime!$A$2:$B$43,TODAY())</f>
        <v>オブジェクトが必要です。</v>
      </c>
      <c r="Z177" t="str">
        <f ca="1">IF($B177=1,BucketedDelta($G177,$H177,$I177,$K177,$L177,$N177,$O177,$P177,$D177,$T177,$J177,RealTime!$A$2:$B$43,TODAY(),FALSE),"")</f>
        <v/>
      </c>
    </row>
    <row r="178" spans="6:26" x14ac:dyDescent="0.2">
      <c r="F178" t="str">
        <f ca="1">IF($E178="","",NotionalForDelta($E178,$G178,$H178,$I178,$K178,$L178,$N178,$O178,$P178,$T178,RealTime!$A$2:$B$43,TODAY()))</f>
        <v/>
      </c>
      <c r="Q178" t="str">
        <f ca="1">FairRate($G178,$H178,$I178,$K178,$L178,$N178,$O178,$P178,RealTime!$A$2:$B$43,TODAY())</f>
        <v>オブジェクトが必要です。</v>
      </c>
      <c r="R178" t="str">
        <f t="shared" ca="1" si="10"/>
        <v/>
      </c>
      <c r="S178" t="str">
        <f t="shared" ca="1" si="11"/>
        <v/>
      </c>
      <c r="U178" t="str">
        <f ca="1">SwapPV($G178,$H178,$I178,$K178,$L178,$N178,$O178,$P178,$D178,$T178,$J178,RealTime!$A$2:$B$43,TODAY())</f>
        <v>オブジェクトが必要です。</v>
      </c>
      <c r="V178" t="str">
        <f ca="1">SwapDelta($G178,$H178,$I178,$K178,$L178,$N178,$O178,$P178,$D178,$T178,$J178,RealTime!$A$2:$B$43,TODAY())</f>
        <v>オブジェクトが必要です。</v>
      </c>
      <c r="W178" t="str">
        <f ca="1">SwapAnnuityDelta($G178,$H178,$I178,$K178,$L178,$N178,$O178,$P178,$D178,$T178,RealTime!$A$2:$B$43,TODAY())</f>
        <v>オブジェクトが必要です。</v>
      </c>
      <c r="Z178" t="str">
        <f ca="1">IF($B178=1,BucketedDelta($G178,$H178,$I178,$K178,$L178,$N178,$O178,$P178,$D178,$T178,$J178,RealTime!$A$2:$B$43,TODAY(),FALSE),"")</f>
        <v/>
      </c>
    </row>
    <row r="179" spans="6:26" x14ac:dyDescent="0.2">
      <c r="F179" t="str">
        <f ca="1">IF($E179="","",NotionalForDelta($E179,$G179,$H179,$I179,$K179,$L179,$N179,$O179,$P179,$T179,RealTime!$A$2:$B$43,TODAY()))</f>
        <v/>
      </c>
      <c r="Q179" t="str">
        <f ca="1">FairRate($G179,$H179,$I179,$K179,$L179,$N179,$O179,$P179,RealTime!$A$2:$B$43,TODAY())</f>
        <v>オブジェクトが必要です。</v>
      </c>
      <c r="R179" t="str">
        <f t="shared" ca="1" si="10"/>
        <v/>
      </c>
      <c r="S179" t="str">
        <f t="shared" ca="1" si="11"/>
        <v/>
      </c>
      <c r="U179" t="str">
        <f ca="1">SwapPV($G179,$H179,$I179,$K179,$L179,$N179,$O179,$P179,$D179,$T179,$J179,RealTime!$A$2:$B$43,TODAY())</f>
        <v>オブジェクトが必要です。</v>
      </c>
      <c r="V179" t="str">
        <f ca="1">SwapDelta($G179,$H179,$I179,$K179,$L179,$N179,$O179,$P179,$D179,$T179,$J179,RealTime!$A$2:$B$43,TODAY())</f>
        <v>オブジェクトが必要です。</v>
      </c>
      <c r="W179" t="str">
        <f ca="1">SwapAnnuityDelta($G179,$H179,$I179,$K179,$L179,$N179,$O179,$P179,$D179,$T179,RealTime!$A$2:$B$43,TODAY())</f>
        <v>オブジェクトが必要です。</v>
      </c>
      <c r="Z179" t="str">
        <f ca="1">IF($B179=1,BucketedDelta($G179,$H179,$I179,$K179,$L179,$N179,$O179,$P179,$D179,$T179,$J179,RealTime!$A$2:$B$43,TODAY(),FALSE),"")</f>
        <v/>
      </c>
    </row>
    <row r="180" spans="6:26" x14ac:dyDescent="0.2">
      <c r="F180" t="str">
        <f ca="1">IF($E180="","",NotionalForDelta($E180,$G180,$H180,$I180,$K180,$L180,$N180,$O180,$P180,$T180,RealTime!$A$2:$B$43,TODAY()))</f>
        <v/>
      </c>
      <c r="Q180" t="str">
        <f ca="1">FairRate($G180,$H180,$I180,$K180,$L180,$N180,$O180,$P180,RealTime!$A$2:$B$43,TODAY())</f>
        <v>オブジェクトが必要です。</v>
      </c>
      <c r="R180" t="str">
        <f t="shared" ca="1" si="10"/>
        <v/>
      </c>
      <c r="S180" t="str">
        <f t="shared" ca="1" si="11"/>
        <v/>
      </c>
      <c r="U180" t="str">
        <f ca="1">SwapPV($G180,$H180,$I180,$K180,$L180,$N180,$O180,$P180,$D180,$T180,$J180,RealTime!$A$2:$B$43,TODAY())</f>
        <v>オブジェクトが必要です。</v>
      </c>
      <c r="V180" t="str">
        <f ca="1">SwapDelta($G180,$H180,$I180,$K180,$L180,$N180,$O180,$P180,$D180,$T180,$J180,RealTime!$A$2:$B$43,TODAY())</f>
        <v>オブジェクトが必要です。</v>
      </c>
      <c r="W180" t="str">
        <f ca="1">SwapAnnuityDelta($G180,$H180,$I180,$K180,$L180,$N180,$O180,$P180,$D180,$T180,RealTime!$A$2:$B$43,TODAY())</f>
        <v>オブジェクトが必要です。</v>
      </c>
      <c r="Z180" t="str">
        <f ca="1">IF($B180=1,BucketedDelta($G180,$H180,$I180,$K180,$L180,$N180,$O180,$P180,$D180,$T180,$J180,RealTime!$A$2:$B$43,TODAY(),FALSE),"")</f>
        <v/>
      </c>
    </row>
    <row r="181" spans="6:26" x14ac:dyDescent="0.2">
      <c r="F181" t="str">
        <f ca="1">IF($E181="","",NotionalForDelta($E181,$G181,$H181,$I181,$K181,$L181,$N181,$O181,$P181,$T181,RealTime!$A$2:$B$43,TODAY()))</f>
        <v/>
      </c>
      <c r="Q181" t="str">
        <f ca="1">FairRate($G181,$H181,$I181,$K181,$L181,$N181,$O181,$P181,RealTime!$A$2:$B$43,TODAY())</f>
        <v>オブジェクトが必要です。</v>
      </c>
      <c r="R181" t="str">
        <f t="shared" ca="1" si="10"/>
        <v/>
      </c>
      <c r="S181" t="str">
        <f t="shared" ca="1" si="11"/>
        <v/>
      </c>
      <c r="U181" t="str">
        <f ca="1">SwapPV($G181,$H181,$I181,$K181,$L181,$N181,$O181,$P181,$D181,$T181,$J181,RealTime!$A$2:$B$43,TODAY())</f>
        <v>オブジェクトが必要です。</v>
      </c>
      <c r="V181" t="str">
        <f ca="1">SwapDelta($G181,$H181,$I181,$K181,$L181,$N181,$O181,$P181,$D181,$T181,$J181,RealTime!$A$2:$B$43,TODAY())</f>
        <v>オブジェクトが必要です。</v>
      </c>
      <c r="W181" t="str">
        <f ca="1">SwapAnnuityDelta($G181,$H181,$I181,$K181,$L181,$N181,$O181,$P181,$D181,$T181,RealTime!$A$2:$B$43,TODAY())</f>
        <v>オブジェクトが必要です。</v>
      </c>
      <c r="Z181" t="str">
        <f ca="1">IF($B181=1,BucketedDelta($G181,$H181,$I181,$K181,$L181,$N181,$O181,$P181,$D181,$T181,$J181,RealTime!$A$2:$B$43,TODAY(),FALSE),"")</f>
        <v/>
      </c>
    </row>
    <row r="182" spans="6:26" x14ac:dyDescent="0.2">
      <c r="F182" t="str">
        <f ca="1">IF($E182="","",NotionalForDelta($E182,$G182,$H182,$I182,$K182,$L182,$N182,$O182,$P182,$T182,RealTime!$A$2:$B$43,TODAY()))</f>
        <v/>
      </c>
      <c r="Q182" t="str">
        <f ca="1">FairRate($G182,$H182,$I182,$K182,$L182,$N182,$O182,$P182,RealTime!$A$2:$B$43,TODAY())</f>
        <v>オブジェクトが必要です。</v>
      </c>
      <c r="R182" t="str">
        <f t="shared" ca="1" si="10"/>
        <v/>
      </c>
      <c r="S182" t="str">
        <f t="shared" ca="1" si="11"/>
        <v/>
      </c>
      <c r="U182" t="str">
        <f ca="1">SwapPV($G182,$H182,$I182,$K182,$L182,$N182,$O182,$P182,$D182,$T182,$J182,RealTime!$A$2:$B$43,TODAY())</f>
        <v>オブジェクトが必要です。</v>
      </c>
      <c r="V182" t="str">
        <f ca="1">SwapDelta($G182,$H182,$I182,$K182,$L182,$N182,$O182,$P182,$D182,$T182,$J182,RealTime!$A$2:$B$43,TODAY())</f>
        <v>オブジェクトが必要です。</v>
      </c>
      <c r="W182" t="str">
        <f ca="1">SwapAnnuityDelta($G182,$H182,$I182,$K182,$L182,$N182,$O182,$P182,$D182,$T182,RealTime!$A$2:$B$43,TODAY())</f>
        <v>オブジェクトが必要です。</v>
      </c>
      <c r="Z182" t="str">
        <f ca="1">IF($B182=1,BucketedDelta($G182,$H182,$I182,$K182,$L182,$N182,$O182,$P182,$D182,$T182,$J182,RealTime!$A$2:$B$43,TODAY(),FALSE),"")</f>
        <v/>
      </c>
    </row>
    <row r="183" spans="6:26" x14ac:dyDescent="0.2">
      <c r="F183" t="str">
        <f ca="1">IF($E183="","",NotionalForDelta($E183,$G183,$H183,$I183,$K183,$L183,$N183,$O183,$P183,$T183,RealTime!$A$2:$B$43,TODAY()))</f>
        <v/>
      </c>
      <c r="Q183" t="str">
        <f ca="1">FairRate($G183,$H183,$I183,$K183,$L183,$N183,$O183,$P183,RealTime!$A$2:$B$43,TODAY())</f>
        <v>オブジェクトが必要です。</v>
      </c>
      <c r="R183" t="str">
        <f t="shared" ca="1" si="10"/>
        <v/>
      </c>
      <c r="S183" t="str">
        <f t="shared" ca="1" si="11"/>
        <v/>
      </c>
      <c r="U183" t="str">
        <f ca="1">SwapPV($G183,$H183,$I183,$K183,$L183,$N183,$O183,$P183,$D183,$T183,$J183,RealTime!$A$2:$B$43,TODAY())</f>
        <v>オブジェクトが必要です。</v>
      </c>
      <c r="V183" t="str">
        <f ca="1">SwapDelta($G183,$H183,$I183,$K183,$L183,$N183,$O183,$P183,$D183,$T183,$J183,RealTime!$A$2:$B$43,TODAY())</f>
        <v>オブジェクトが必要です。</v>
      </c>
      <c r="W183" t="str">
        <f ca="1">SwapAnnuityDelta($G183,$H183,$I183,$K183,$L183,$N183,$O183,$P183,$D183,$T183,RealTime!$A$2:$B$43,TODAY())</f>
        <v>オブジェクトが必要です。</v>
      </c>
      <c r="Z183" t="str">
        <f ca="1">IF($B183=1,BucketedDelta($G183,$H183,$I183,$K183,$L183,$N183,$O183,$P183,$D183,$T183,$J183,RealTime!$A$2:$B$43,TODAY(),FALSE),"")</f>
        <v/>
      </c>
    </row>
    <row r="184" spans="6:26" x14ac:dyDescent="0.2">
      <c r="F184" t="str">
        <f ca="1">IF($E184="","",NotionalForDelta($E184,$G184,$H184,$I184,$K184,$L184,$N184,$O184,$P184,$T184,RealTime!$A$2:$B$43,TODAY()))</f>
        <v/>
      </c>
      <c r="Q184" t="str">
        <f ca="1">FairRate($G184,$H184,$I184,$K184,$L184,$N184,$O184,$P184,RealTime!$A$2:$B$43,TODAY())</f>
        <v>オブジェクトが必要です。</v>
      </c>
      <c r="R184" t="str">
        <f t="shared" ca="1" si="10"/>
        <v/>
      </c>
      <c r="S184" t="str">
        <f t="shared" ca="1" si="11"/>
        <v/>
      </c>
      <c r="U184" t="str">
        <f ca="1">SwapPV($G184,$H184,$I184,$K184,$L184,$N184,$O184,$P184,$D184,$T184,$J184,RealTime!$A$2:$B$43,TODAY())</f>
        <v>オブジェクトが必要です。</v>
      </c>
      <c r="V184" t="str">
        <f ca="1">SwapDelta($G184,$H184,$I184,$K184,$L184,$N184,$O184,$P184,$D184,$T184,$J184,RealTime!$A$2:$B$43,TODAY())</f>
        <v>オブジェクトが必要です。</v>
      </c>
      <c r="W184" t="str">
        <f ca="1">SwapAnnuityDelta($G184,$H184,$I184,$K184,$L184,$N184,$O184,$P184,$D184,$T184,RealTime!$A$2:$B$43,TODAY())</f>
        <v>オブジェクトが必要です。</v>
      </c>
      <c r="Z184" t="str">
        <f ca="1">IF($B184=1,BucketedDelta($G184,$H184,$I184,$K184,$L184,$N184,$O184,$P184,$D184,$T184,$J184,RealTime!$A$2:$B$43,TODAY(),FALSE),"")</f>
        <v/>
      </c>
    </row>
    <row r="185" spans="6:26" x14ac:dyDescent="0.2">
      <c r="F185" t="str">
        <f ca="1">IF($E185="","",NotionalForDelta($E185,$G185,$H185,$I185,$K185,$L185,$N185,$O185,$P185,$T185,RealTime!$A$2:$B$43,TODAY()))</f>
        <v/>
      </c>
      <c r="Q185" t="str">
        <f ca="1">FairRate($G185,$H185,$I185,$K185,$L185,$N185,$O185,$P185,RealTime!$A$2:$B$43,TODAY())</f>
        <v>オブジェクトが必要です。</v>
      </c>
      <c r="R185" t="str">
        <f t="shared" ca="1" si="10"/>
        <v/>
      </c>
      <c r="S185" t="str">
        <f t="shared" ca="1" si="11"/>
        <v/>
      </c>
      <c r="U185" t="str">
        <f ca="1">SwapPV($G185,$H185,$I185,$K185,$L185,$N185,$O185,$P185,$D185,$T185,$J185,RealTime!$A$2:$B$43,TODAY())</f>
        <v>オブジェクトが必要です。</v>
      </c>
      <c r="V185" t="str">
        <f ca="1">SwapDelta($G185,$H185,$I185,$K185,$L185,$N185,$O185,$P185,$D185,$T185,$J185,RealTime!$A$2:$B$43,TODAY())</f>
        <v>オブジェクトが必要です。</v>
      </c>
      <c r="W185" t="str">
        <f ca="1">SwapAnnuityDelta($G185,$H185,$I185,$K185,$L185,$N185,$O185,$P185,$D185,$T185,RealTime!$A$2:$B$43,TODAY())</f>
        <v>オブジェクトが必要です。</v>
      </c>
      <c r="Z185" t="str">
        <f ca="1">IF($B185=1,BucketedDelta($G185,$H185,$I185,$K185,$L185,$N185,$O185,$P185,$D185,$T185,$J185,RealTime!$A$2:$B$43,TODAY(),FALSE),"")</f>
        <v/>
      </c>
    </row>
    <row r="186" spans="6:26" x14ac:dyDescent="0.2">
      <c r="F186" t="str">
        <f ca="1">IF($E186="","",NotionalForDelta($E186,$G186,$H186,$I186,$K186,$L186,$N186,$O186,$P186,$T186,RealTime!$A$2:$B$43,TODAY()))</f>
        <v/>
      </c>
      <c r="Q186" t="str">
        <f ca="1">FairRate($G186,$H186,$I186,$K186,$L186,$N186,$O186,$P186,RealTime!$A$2:$B$43,TODAY())</f>
        <v>オブジェクトが必要です。</v>
      </c>
      <c r="R186" t="str">
        <f t="shared" ca="1" si="10"/>
        <v/>
      </c>
      <c r="S186" t="str">
        <f t="shared" ca="1" si="11"/>
        <v/>
      </c>
      <c r="U186" t="str">
        <f ca="1">SwapPV($G186,$H186,$I186,$K186,$L186,$N186,$O186,$P186,$D186,$T186,$J186,RealTime!$A$2:$B$43,TODAY())</f>
        <v>オブジェクトが必要です。</v>
      </c>
      <c r="V186" t="str">
        <f ca="1">SwapDelta($G186,$H186,$I186,$K186,$L186,$N186,$O186,$P186,$D186,$T186,$J186,RealTime!$A$2:$B$43,TODAY())</f>
        <v>オブジェクトが必要です。</v>
      </c>
      <c r="W186" t="str">
        <f ca="1">SwapAnnuityDelta($G186,$H186,$I186,$K186,$L186,$N186,$O186,$P186,$D186,$T186,RealTime!$A$2:$B$43,TODAY())</f>
        <v>オブジェクトが必要です。</v>
      </c>
      <c r="Z186" t="str">
        <f ca="1">IF($B186=1,BucketedDelta($G186,$H186,$I186,$K186,$L186,$N186,$O186,$P186,$D186,$T186,$J186,RealTime!$A$2:$B$43,TODAY(),FALSE),"")</f>
        <v/>
      </c>
    </row>
    <row r="187" spans="6:26" x14ac:dyDescent="0.2">
      <c r="F187" t="str">
        <f ca="1">IF($E187="","",NotionalForDelta($E187,$G187,$H187,$I187,$K187,$L187,$N187,$O187,$P187,$T187,RealTime!$A$2:$B$43,TODAY()))</f>
        <v/>
      </c>
      <c r="Q187" t="str">
        <f ca="1">FairRate($G187,$H187,$I187,$K187,$L187,$N187,$O187,$P187,RealTime!$A$2:$B$43,TODAY())</f>
        <v>オブジェクトが必要です。</v>
      </c>
      <c r="R187" t="str">
        <f t="shared" ca="1" si="10"/>
        <v/>
      </c>
      <c r="S187" t="str">
        <f t="shared" ca="1" si="11"/>
        <v/>
      </c>
      <c r="U187" t="str">
        <f ca="1">SwapPV($G187,$H187,$I187,$K187,$L187,$N187,$O187,$P187,$D187,$T187,$J187,RealTime!$A$2:$B$43,TODAY())</f>
        <v>オブジェクトが必要です。</v>
      </c>
      <c r="V187" t="str">
        <f ca="1">SwapDelta($G187,$H187,$I187,$K187,$L187,$N187,$O187,$P187,$D187,$T187,$J187,RealTime!$A$2:$B$43,TODAY())</f>
        <v>オブジェクトが必要です。</v>
      </c>
      <c r="W187" t="str">
        <f ca="1">SwapAnnuityDelta($G187,$H187,$I187,$K187,$L187,$N187,$O187,$P187,$D187,$T187,RealTime!$A$2:$B$43,TODAY())</f>
        <v>オブジェクトが必要です。</v>
      </c>
      <c r="Z187" t="str">
        <f ca="1">IF($B187=1,BucketedDelta($G187,$H187,$I187,$K187,$L187,$N187,$O187,$P187,$D187,$T187,$J187,RealTime!$A$2:$B$43,TODAY(),FALSE),"")</f>
        <v/>
      </c>
    </row>
    <row r="188" spans="6:26" x14ac:dyDescent="0.2">
      <c r="F188" t="str">
        <f ca="1">IF($E188="","",NotionalForDelta($E188,$G188,$H188,$I188,$K188,$L188,$N188,$O188,$P188,$T188,RealTime!$A$2:$B$43,TODAY()))</f>
        <v/>
      </c>
      <c r="Q188" t="str">
        <f ca="1">FairRate($G188,$H188,$I188,$K188,$L188,$N188,$O188,$P188,RealTime!$A$2:$B$43,TODAY())</f>
        <v>オブジェクトが必要です。</v>
      </c>
      <c r="R188" t="str">
        <f t="shared" ca="1" si="10"/>
        <v/>
      </c>
      <c r="S188" t="str">
        <f t="shared" ca="1" si="11"/>
        <v/>
      </c>
      <c r="U188" t="str">
        <f ca="1">SwapPV($G188,$H188,$I188,$K188,$L188,$N188,$O188,$P188,$D188,$T188,$J188,RealTime!$A$2:$B$43,TODAY())</f>
        <v>オブジェクトが必要です。</v>
      </c>
      <c r="V188" t="str">
        <f ca="1">SwapDelta($G188,$H188,$I188,$K188,$L188,$N188,$O188,$P188,$D188,$T188,$J188,RealTime!$A$2:$B$43,TODAY())</f>
        <v>オブジェクトが必要です。</v>
      </c>
      <c r="W188" t="str">
        <f ca="1">SwapAnnuityDelta($G188,$H188,$I188,$K188,$L188,$N188,$O188,$P188,$D188,$T188,RealTime!$A$2:$B$43,TODAY())</f>
        <v>オブジェクトが必要です。</v>
      </c>
      <c r="Z188" t="str">
        <f ca="1">IF($B188=1,BucketedDelta($G188,$H188,$I188,$K188,$L188,$N188,$O188,$P188,$D188,$T188,$J188,RealTime!$A$2:$B$43,TODAY(),FALSE),"")</f>
        <v/>
      </c>
    </row>
    <row r="189" spans="6:26" x14ac:dyDescent="0.2">
      <c r="F189" t="str">
        <f ca="1">IF($E189="","",NotionalForDelta($E189,$G189,$H189,$I189,$K189,$L189,$N189,$O189,$P189,$T189,RealTime!$A$2:$B$43,TODAY()))</f>
        <v/>
      </c>
      <c r="Q189" t="str">
        <f ca="1">FairRate($G189,$H189,$I189,$K189,$L189,$N189,$O189,$P189,RealTime!$A$2:$B$43,TODAY())</f>
        <v>オブジェクトが必要です。</v>
      </c>
      <c r="R189" t="str">
        <f t="shared" ca="1" si="10"/>
        <v/>
      </c>
      <c r="S189" t="str">
        <f t="shared" ca="1" si="11"/>
        <v/>
      </c>
      <c r="U189" t="str">
        <f ca="1">SwapPV($G189,$H189,$I189,$K189,$L189,$N189,$O189,$P189,$D189,$T189,$J189,RealTime!$A$2:$B$43,TODAY())</f>
        <v>オブジェクトが必要です。</v>
      </c>
      <c r="V189" t="str">
        <f ca="1">SwapDelta($G189,$H189,$I189,$K189,$L189,$N189,$O189,$P189,$D189,$T189,$J189,RealTime!$A$2:$B$43,TODAY())</f>
        <v>オブジェクトが必要です。</v>
      </c>
      <c r="W189" t="str">
        <f ca="1">SwapAnnuityDelta($G189,$H189,$I189,$K189,$L189,$N189,$O189,$P189,$D189,$T189,RealTime!$A$2:$B$43,TODAY())</f>
        <v>オブジェクトが必要です。</v>
      </c>
      <c r="Z189" t="str">
        <f ca="1">IF($B189=1,BucketedDelta($G189,$H189,$I189,$K189,$L189,$N189,$O189,$P189,$D189,$T189,$J189,RealTime!$A$2:$B$43,TODAY(),FALSE),"")</f>
        <v/>
      </c>
    </row>
    <row r="190" spans="6:26" x14ac:dyDescent="0.2">
      <c r="F190" t="str">
        <f ca="1">IF($E190="","",NotionalForDelta($E190,$G190,$H190,$I190,$K190,$L190,$N190,$O190,$P190,$T190,RealTime!$A$2:$B$43,TODAY()))</f>
        <v/>
      </c>
      <c r="Q190" t="str">
        <f ca="1">FairRate($G190,$H190,$I190,$K190,$L190,$N190,$O190,$P190,RealTime!$A$2:$B$43,TODAY())</f>
        <v>オブジェクトが必要です。</v>
      </c>
      <c r="R190" t="str">
        <f t="shared" ca="1" si="10"/>
        <v/>
      </c>
      <c r="S190" t="str">
        <f t="shared" ca="1" si="11"/>
        <v/>
      </c>
      <c r="U190" t="str">
        <f ca="1">SwapPV($G190,$H190,$I190,$K190,$L190,$N190,$O190,$P190,$D190,$T190,$J190,RealTime!$A$2:$B$43,TODAY())</f>
        <v>オブジェクトが必要です。</v>
      </c>
      <c r="V190" t="str">
        <f ca="1">SwapDelta($G190,$H190,$I190,$K190,$L190,$N190,$O190,$P190,$D190,$T190,$J190,RealTime!$A$2:$B$43,TODAY())</f>
        <v>オブジェクトが必要です。</v>
      </c>
      <c r="W190" t="str">
        <f ca="1">SwapAnnuityDelta($G190,$H190,$I190,$K190,$L190,$N190,$O190,$P190,$D190,$T190,RealTime!$A$2:$B$43,TODAY())</f>
        <v>オブジェクトが必要です。</v>
      </c>
      <c r="Z190" t="str">
        <f ca="1">IF($B190=1,BucketedDelta($G190,$H190,$I190,$K190,$L190,$N190,$O190,$P190,$D190,$T190,$J190,RealTime!$A$2:$B$43,TODAY(),FALSE),"")</f>
        <v/>
      </c>
    </row>
    <row r="191" spans="6:26" x14ac:dyDescent="0.2">
      <c r="F191" t="str">
        <f ca="1">IF($E191="","",NotionalForDelta($E191,$G191,$H191,$I191,$K191,$L191,$N191,$O191,$P191,$T191,RealTime!$A$2:$B$43,TODAY()))</f>
        <v/>
      </c>
      <c r="Q191" t="str">
        <f ca="1">FairRate($G191,$H191,$I191,$K191,$L191,$N191,$O191,$P191,RealTime!$A$2:$B$43,TODAY())</f>
        <v>オブジェクトが必要です。</v>
      </c>
      <c r="R191" t="str">
        <f t="shared" ca="1" si="10"/>
        <v/>
      </c>
      <c r="S191" t="str">
        <f t="shared" ca="1" si="11"/>
        <v/>
      </c>
      <c r="U191" t="str">
        <f ca="1">SwapPV($G191,$H191,$I191,$K191,$L191,$N191,$O191,$P191,$D191,$T191,$J191,RealTime!$A$2:$B$43,TODAY())</f>
        <v>オブジェクトが必要です。</v>
      </c>
      <c r="V191" t="str">
        <f ca="1">SwapDelta($G191,$H191,$I191,$K191,$L191,$N191,$O191,$P191,$D191,$T191,$J191,RealTime!$A$2:$B$43,TODAY())</f>
        <v>オブジェクトが必要です。</v>
      </c>
      <c r="W191" t="str">
        <f ca="1">SwapAnnuityDelta($G191,$H191,$I191,$K191,$L191,$N191,$O191,$P191,$D191,$T191,RealTime!$A$2:$B$43,TODAY())</f>
        <v>オブジェクトが必要です。</v>
      </c>
      <c r="Z191" t="str">
        <f ca="1">IF($B191=1,BucketedDelta($G191,$H191,$I191,$K191,$L191,$N191,$O191,$P191,$D191,$T191,$J191,RealTime!$A$2:$B$43,TODAY(),FALSE),"")</f>
        <v/>
      </c>
    </row>
    <row r="192" spans="6:26" x14ac:dyDescent="0.2">
      <c r="F192" t="str">
        <f ca="1">IF($E192="","",NotionalForDelta($E192,$G192,$H192,$I192,$K192,$L192,$N192,$O192,$P192,$T192,RealTime!$A$2:$B$43,TODAY()))</f>
        <v/>
      </c>
      <c r="Q192" t="str">
        <f ca="1">FairRate($G192,$H192,$I192,$K192,$L192,$N192,$O192,$P192,RealTime!$A$2:$B$43,TODAY())</f>
        <v>オブジェクトが必要です。</v>
      </c>
      <c r="R192" t="str">
        <f t="shared" ca="1" si="10"/>
        <v/>
      </c>
      <c r="S192" t="str">
        <f t="shared" ca="1" si="11"/>
        <v/>
      </c>
      <c r="U192" t="str">
        <f ca="1">SwapPV($G192,$H192,$I192,$K192,$L192,$N192,$O192,$P192,$D192,$T192,$J192,RealTime!$A$2:$B$43,TODAY())</f>
        <v>オブジェクトが必要です。</v>
      </c>
      <c r="V192" t="str">
        <f ca="1">SwapDelta($G192,$H192,$I192,$K192,$L192,$N192,$O192,$P192,$D192,$T192,$J192,RealTime!$A$2:$B$43,TODAY())</f>
        <v>オブジェクトが必要です。</v>
      </c>
      <c r="W192" t="str">
        <f ca="1">SwapAnnuityDelta($G192,$H192,$I192,$K192,$L192,$N192,$O192,$P192,$D192,$T192,RealTime!$A$2:$B$43,TODAY())</f>
        <v>オブジェクトが必要です。</v>
      </c>
      <c r="Z192" t="str">
        <f ca="1">IF($B192=1,BucketedDelta($G192,$H192,$I192,$K192,$L192,$N192,$O192,$P192,$D192,$T192,$J192,RealTime!$A$2:$B$43,TODAY(),FALSE),"")</f>
        <v/>
      </c>
    </row>
    <row r="193" spans="6:65" x14ac:dyDescent="0.2">
      <c r="F193" t="str">
        <f ca="1">IF($E193="","",NotionalForDelta($E193,$G193,$H193,$I193,$K193,$L193,$N193,$O193,$P193,$T193,RealTime!$A$2:$B$43,TODAY()))</f>
        <v/>
      </c>
      <c r="Q193" t="str">
        <f ca="1">FairRate($G193,$H193,$I193,$K193,$L193,$N193,$O193,$P193,RealTime!$A$2:$B$43,TODAY())</f>
        <v>オブジェクトが必要です。</v>
      </c>
      <c r="R193" t="str">
        <f t="shared" ca="1" si="10"/>
        <v/>
      </c>
      <c r="S193" t="str">
        <f t="shared" ca="1" si="11"/>
        <v/>
      </c>
      <c r="U193" t="str">
        <f ca="1">SwapPV($G193,$H193,$I193,$K193,$L193,$N193,$O193,$P193,$D193,$T193,$J193,RealTime!$A$2:$B$43,TODAY())</f>
        <v>オブジェクトが必要です。</v>
      </c>
      <c r="V193" t="str">
        <f ca="1">SwapDelta($G193,$H193,$I193,$K193,$L193,$N193,$O193,$P193,$D193,$T193,$J193,RealTime!$A$2:$B$43,TODAY())</f>
        <v>オブジェクトが必要です。</v>
      </c>
      <c r="W193" t="str">
        <f ca="1">SwapAnnuityDelta($G193,$H193,$I193,$K193,$L193,$N193,$O193,$P193,$D193,$T193,RealTime!$A$2:$B$43,TODAY())</f>
        <v>オブジェクトが必要です。</v>
      </c>
      <c r="Z193" t="str">
        <f ca="1">IF($B193=1,BucketedDelta($G193,$H193,$I193,$K193,$L193,$N193,$O193,$P193,$D193,$T193,$J193,RealTime!$A$2:$B$43,TODAY(),FALSE),"")</f>
        <v/>
      </c>
    </row>
    <row r="194" spans="6:65" x14ac:dyDescent="0.2">
      <c r="F194" t="str">
        <f ca="1">IF($E194="","",NotionalForDelta($E194,$G194,$H194,$I194,$K194,$L194,$N194,$O194,$P194,$T194,RealTime!$A$2:$B$43,TODAY()))</f>
        <v/>
      </c>
      <c r="Q194" t="str">
        <f ca="1">FairRate($G194,$H194,$I194,$K194,$L194,$N194,$O194,$P194,RealTime!$A$2:$B$43,TODAY())</f>
        <v>オブジェクトが必要です。</v>
      </c>
      <c r="R194" t="str">
        <f t="shared" ref="R194:R200" ca="1" si="12">IF(ISNUMBER(Q193),Q194-Q193,"")</f>
        <v/>
      </c>
      <c r="S194" t="str">
        <f t="shared" ref="S194:S200" ca="1" si="13">IF(AND(ISNUMBER(Q193),ISNUMBER(Q195)),2*Q194-Q193-Q195,"")</f>
        <v/>
      </c>
      <c r="U194" t="str">
        <f ca="1">SwapPV($G194,$H194,$I194,$K194,$L194,$N194,$O194,$P194,$D194,$T194,$J194,RealTime!$A$2:$B$43,TODAY())</f>
        <v>オブジェクトが必要です。</v>
      </c>
      <c r="V194" t="str">
        <f ca="1">SwapDelta($G194,$H194,$I194,$K194,$L194,$N194,$O194,$P194,$D194,$T194,$J194,RealTime!$A$2:$B$43,TODAY())</f>
        <v>オブジェクトが必要です。</v>
      </c>
      <c r="W194" t="str">
        <f ca="1">SwapAnnuityDelta($G194,$H194,$I194,$K194,$L194,$N194,$O194,$P194,$D194,$T194,RealTime!$A$2:$B$43,TODAY())</f>
        <v>オブジェクトが必要です。</v>
      </c>
      <c r="Z194" t="str">
        <f ca="1">IF($B194=1,BucketedDelta($G194,$H194,$I194,$K194,$L194,$N194,$O194,$P194,$D194,$T194,$J194,RealTime!$A$2:$B$43,TODAY(),FALSE),"")</f>
        <v/>
      </c>
    </row>
    <row r="195" spans="6:65" x14ac:dyDescent="0.2">
      <c r="F195" t="str">
        <f ca="1">IF($E195="","",NotionalForDelta($E195,$G195,$H195,$I195,$K195,$L195,$N195,$O195,$P195,$T195,RealTime!$A$2:$B$43,TODAY()))</f>
        <v/>
      </c>
      <c r="Q195" t="str">
        <f ca="1">FairRate($G195,$H195,$I195,$K195,$L195,$N195,$O195,$P195,RealTime!$A$2:$B$43,TODAY())</f>
        <v>オブジェクトが必要です。</v>
      </c>
      <c r="R195" t="str">
        <f t="shared" ca="1" si="12"/>
        <v/>
      </c>
      <c r="S195" t="str">
        <f t="shared" ca="1" si="13"/>
        <v/>
      </c>
      <c r="U195" t="str">
        <f ca="1">SwapPV($G195,$H195,$I195,$K195,$L195,$N195,$O195,$P195,$D195,$T195,$J195,RealTime!$A$2:$B$43,TODAY())</f>
        <v>オブジェクトが必要です。</v>
      </c>
      <c r="V195" t="str">
        <f ca="1">SwapDelta($G195,$H195,$I195,$K195,$L195,$N195,$O195,$P195,$D195,$T195,$J195,RealTime!$A$2:$B$43,TODAY())</f>
        <v>オブジェクトが必要です。</v>
      </c>
      <c r="W195" t="str">
        <f ca="1">SwapAnnuityDelta($G195,$H195,$I195,$K195,$L195,$N195,$O195,$P195,$D195,$T195,RealTime!$A$2:$B$43,TODAY())</f>
        <v>オブジェクトが必要です。</v>
      </c>
      <c r="Z195" t="str">
        <f ca="1">IF($B195=1,BucketedDelta($G195,$H195,$I195,$K195,$L195,$N195,$O195,$P195,$D195,$T195,$J195,RealTime!$A$2:$B$43,TODAY(),FALSE),"")</f>
        <v/>
      </c>
    </row>
    <row r="196" spans="6:65" x14ac:dyDescent="0.2">
      <c r="F196" t="str">
        <f ca="1">IF($E196="","",NotionalForDelta($E196,$G196,$H196,$I196,$K196,$L196,$N196,$O196,$P196,$T196,RealTime!$A$2:$B$43,TODAY()))</f>
        <v/>
      </c>
      <c r="Q196" t="str">
        <f ca="1">FairRate($G196,$H196,$I196,$K196,$L196,$N196,$O196,$P196,RealTime!$A$2:$B$43,TODAY())</f>
        <v>オブジェクトが必要です。</v>
      </c>
      <c r="R196" t="str">
        <f t="shared" ca="1" si="12"/>
        <v/>
      </c>
      <c r="S196" t="str">
        <f t="shared" ca="1" si="13"/>
        <v/>
      </c>
      <c r="U196" t="str">
        <f ca="1">SwapPV($G196,$H196,$I196,$K196,$L196,$N196,$O196,$P196,$D196,$T196,$J196,RealTime!$A$2:$B$43,TODAY())</f>
        <v>オブジェクトが必要です。</v>
      </c>
      <c r="V196" t="str">
        <f ca="1">SwapDelta($G196,$H196,$I196,$K196,$L196,$N196,$O196,$P196,$D196,$T196,$J196,RealTime!$A$2:$B$43,TODAY())</f>
        <v>オブジェクトが必要です。</v>
      </c>
      <c r="W196" t="str">
        <f ca="1">SwapAnnuityDelta($G196,$H196,$I196,$K196,$L196,$N196,$O196,$P196,$D196,$T196,RealTime!$A$2:$B$43,TODAY())</f>
        <v>オブジェクトが必要です。</v>
      </c>
      <c r="Z196" t="str">
        <f ca="1">IF($B196=1,BucketedDelta($G196,$H196,$I196,$K196,$L196,$N196,$O196,$P196,$D196,$T196,$J196,RealTime!$A$2:$B$43,TODAY(),FALSE),"")</f>
        <v/>
      </c>
    </row>
    <row r="197" spans="6:65" x14ac:dyDescent="0.2">
      <c r="F197" t="str">
        <f ca="1">IF($E197="","",NotionalForDelta($E197,$G197,$H197,$I197,$K197,$L197,$N197,$O197,$P197,$T197,RealTime!$A$2:$B$43,TODAY()))</f>
        <v/>
      </c>
      <c r="Q197" t="str">
        <f ca="1">FairRate($G197,$H197,$I197,$K197,$L197,$N197,$O197,$P197,RealTime!$A$2:$B$43,TODAY())</f>
        <v>オブジェクトが必要です。</v>
      </c>
      <c r="R197" t="str">
        <f t="shared" ca="1" si="12"/>
        <v/>
      </c>
      <c r="S197" t="str">
        <f t="shared" ca="1" si="13"/>
        <v/>
      </c>
      <c r="U197" t="str">
        <f ca="1">SwapPV($G197,$H197,$I197,$K197,$L197,$N197,$O197,$P197,$D197,$T197,$J197,RealTime!$A$2:$B$43,TODAY())</f>
        <v>オブジェクトが必要です。</v>
      </c>
      <c r="V197" t="str">
        <f ca="1">SwapDelta($G197,$H197,$I197,$K197,$L197,$N197,$O197,$P197,$D197,$T197,$J197,RealTime!$A$2:$B$43,TODAY())</f>
        <v>オブジェクトが必要です。</v>
      </c>
      <c r="W197" t="str">
        <f ca="1">SwapAnnuityDelta($G197,$H197,$I197,$K197,$L197,$N197,$O197,$P197,$D197,$T197,RealTime!$A$2:$B$43,TODAY())</f>
        <v>オブジェクトが必要です。</v>
      </c>
      <c r="Z197" t="str">
        <f ca="1">IF($B197=1,BucketedDelta($G197,$H197,$I197,$K197,$L197,$N197,$O197,$P197,$D197,$T197,$J197,RealTime!$A$2:$B$43,TODAY(),FALSE),"")</f>
        <v/>
      </c>
    </row>
    <row r="198" spans="6:65" x14ac:dyDescent="0.2">
      <c r="F198" t="str">
        <f ca="1">IF($E198="","",NotionalForDelta($E198,$G198,$H198,$I198,$K198,$L198,$N198,$O198,$P198,$T198,RealTime!$A$2:$B$43,TODAY()))</f>
        <v/>
      </c>
      <c r="Q198" t="str">
        <f ca="1">FairRate($G198,$H198,$I198,$K198,$L198,$N198,$O198,$P198,RealTime!$A$2:$B$43,TODAY())</f>
        <v>オブジェクトが必要です。</v>
      </c>
      <c r="R198" t="str">
        <f t="shared" ca="1" si="12"/>
        <v/>
      </c>
      <c r="S198" t="str">
        <f t="shared" ca="1" si="13"/>
        <v/>
      </c>
      <c r="U198" t="str">
        <f ca="1">SwapPV($G198,$H198,$I198,$K198,$L198,$N198,$O198,$P198,$D198,$T198,$J198,RealTime!$A$2:$B$43,TODAY())</f>
        <v>オブジェクトが必要です。</v>
      </c>
      <c r="V198" t="str">
        <f ca="1">SwapDelta($G198,$H198,$I198,$K198,$L198,$N198,$O198,$P198,$D198,$T198,$J198,RealTime!$A$2:$B$43,TODAY())</f>
        <v>オブジェクトが必要です。</v>
      </c>
      <c r="W198" t="str">
        <f ca="1">SwapAnnuityDelta($G198,$H198,$I198,$K198,$L198,$N198,$O198,$P198,$D198,$T198,RealTime!$A$2:$B$43,TODAY())</f>
        <v>オブジェクトが必要です。</v>
      </c>
      <c r="Z198" t="str">
        <f ca="1">IF($B198=1,BucketedDelta($G198,$H198,$I198,$K198,$L198,$N198,$O198,$P198,$D198,$T198,$J198,RealTime!$A$2:$B$43,TODAY(),FALSE),"")</f>
        <v/>
      </c>
    </row>
    <row r="199" spans="6:65" x14ac:dyDescent="0.2">
      <c r="F199" t="str">
        <f ca="1">IF($E199="","",NotionalForDelta($E199,$G199,$H199,$I199,$K199,$L199,$N199,$O199,$P199,$T199,RealTime!$A$2:$B$43,TODAY()))</f>
        <v/>
      </c>
      <c r="Q199" t="str">
        <f ca="1">FairRate($G199,$H199,$I199,$K199,$L199,$N199,$O199,$P199,RealTime!$A$2:$B$43,TODAY())</f>
        <v>オブジェクトが必要です。</v>
      </c>
      <c r="R199" t="str">
        <f t="shared" ca="1" si="12"/>
        <v/>
      </c>
      <c r="S199" t="str">
        <f t="shared" ca="1" si="13"/>
        <v/>
      </c>
      <c r="U199" t="str">
        <f ca="1">SwapPV($G199,$H199,$I199,$K199,$L199,$N199,$O199,$P199,$D199,$T199,$J199,RealTime!$A$2:$B$43,TODAY())</f>
        <v>オブジェクトが必要です。</v>
      </c>
      <c r="V199" t="str">
        <f ca="1">SwapDelta($G199,$H199,$I199,$K199,$L199,$N199,$O199,$P199,$D199,$T199,$J199,RealTime!$A$2:$B$43,TODAY())</f>
        <v>オブジェクトが必要です。</v>
      </c>
      <c r="W199" t="str">
        <f ca="1">SwapAnnuityDelta($G199,$H199,$I199,$K199,$L199,$N199,$O199,$P199,$D199,$T199,RealTime!$A$2:$B$43,TODAY())</f>
        <v>オブジェクトが必要です。</v>
      </c>
      <c r="Z199" t="str">
        <f ca="1">IF($B199=1,BucketedDelta($G199,$H199,$I199,$K199,$L199,$N199,$O199,$P199,$D199,$T199,$J199,RealTime!$A$2:$B$43,TODAY(),FALSE),"")</f>
        <v/>
      </c>
    </row>
    <row r="200" spans="6:65" x14ac:dyDescent="0.2">
      <c r="F200" t="str">
        <f ca="1">IF($E200="","",NotionalForDelta($E200,$G200,$H200,$I200,$K200,$L200,$N200,$O200,$P200,$T200,RealTime!$A$2:$B$43,TODAY()))</f>
        <v/>
      </c>
      <c r="Q200" t="str">
        <f ca="1">FairRate($G200,$H200,$I200,$K200,$L200,$N200,$O200,$P200,RealTime!$A$2:$B$43,TODAY())</f>
        <v>オブジェクトが必要です。</v>
      </c>
      <c r="R200" t="str">
        <f t="shared" ca="1" si="12"/>
        <v/>
      </c>
      <c r="S200" t="str">
        <f t="shared" ca="1" si="13"/>
        <v/>
      </c>
      <c r="U200" t="str">
        <f ca="1">SwapPV($G200,$H200,$I200,$K200,$L200,$N200,$O200,$P200,$D200,$T200,$J200,RealTime!$A$2:$B$43,TODAY())</f>
        <v>オブジェクトが必要です。</v>
      </c>
      <c r="V200" t="str">
        <f ca="1">SwapDelta($G200,$H200,$I200,$K200,$L200,$N200,$O200,$P200,$D200,$T200,$J200,RealTime!$A$2:$B$43,TODAY())</f>
        <v>オブジェクトが必要です。</v>
      </c>
      <c r="W200" t="str">
        <f ca="1">SwapAnnuityDelta($G200,$H200,$I200,$K200,$L200,$N200,$O200,$P200,$D200,$T200,RealTime!$A$2:$B$43,TODAY())</f>
        <v>オブジェクトが必要です。</v>
      </c>
      <c r="Z200" t="str">
        <f ca="1">IF($B200=1,BucketedDelta($G200,$H200,$I200,$K200,$L200,$N200,$O200,$P200,$D200,$T200,$J200,RealTime!$A$2:$B$43,TODAY(),FALSE),"")</f>
        <v/>
      </c>
    </row>
    <row r="201" spans="6:65" x14ac:dyDescent="0.2">
      <c r="Y201" t="s">
        <v>76</v>
      </c>
      <c r="Z201">
        <f t="shared" ref="Z201:BM201" ca="1" si="14">SUM(Z2:Z200)</f>
        <v>0</v>
      </c>
      <c r="AA201">
        <f t="shared" si="14"/>
        <v>0</v>
      </c>
      <c r="AB201">
        <f t="shared" si="14"/>
        <v>0</v>
      </c>
      <c r="AC201">
        <f t="shared" si="14"/>
        <v>0</v>
      </c>
      <c r="AD201">
        <f t="shared" si="14"/>
        <v>0</v>
      </c>
      <c r="AE201">
        <f t="shared" si="14"/>
        <v>0</v>
      </c>
      <c r="AF201">
        <f t="shared" si="14"/>
        <v>0</v>
      </c>
      <c r="AG201">
        <f t="shared" si="14"/>
        <v>0</v>
      </c>
      <c r="AH201">
        <f t="shared" si="14"/>
        <v>0</v>
      </c>
      <c r="AI201">
        <f t="shared" si="14"/>
        <v>0</v>
      </c>
      <c r="AJ201">
        <f t="shared" si="14"/>
        <v>0</v>
      </c>
      <c r="AK201">
        <f t="shared" si="14"/>
        <v>0</v>
      </c>
      <c r="AL201">
        <f t="shared" si="14"/>
        <v>0</v>
      </c>
      <c r="AM201">
        <f t="shared" si="14"/>
        <v>0</v>
      </c>
      <c r="AN201">
        <f t="shared" si="14"/>
        <v>0</v>
      </c>
      <c r="AO201">
        <f t="shared" si="14"/>
        <v>0</v>
      </c>
      <c r="AP201">
        <f t="shared" si="14"/>
        <v>0</v>
      </c>
      <c r="AQ201">
        <f t="shared" si="14"/>
        <v>0</v>
      </c>
      <c r="AR201">
        <f t="shared" si="14"/>
        <v>0</v>
      </c>
      <c r="AS201">
        <f t="shared" si="14"/>
        <v>0</v>
      </c>
      <c r="AT201">
        <f t="shared" si="14"/>
        <v>0</v>
      </c>
      <c r="AU201">
        <f t="shared" si="14"/>
        <v>0</v>
      </c>
      <c r="AV201">
        <f t="shared" si="14"/>
        <v>0</v>
      </c>
      <c r="AW201">
        <f t="shared" si="14"/>
        <v>0</v>
      </c>
      <c r="AX201">
        <f t="shared" si="14"/>
        <v>0</v>
      </c>
      <c r="AY201">
        <f t="shared" si="14"/>
        <v>0</v>
      </c>
      <c r="AZ201">
        <f t="shared" si="14"/>
        <v>0</v>
      </c>
      <c r="BA201">
        <f t="shared" si="14"/>
        <v>0</v>
      </c>
      <c r="BB201">
        <f t="shared" si="14"/>
        <v>0</v>
      </c>
      <c r="BC201">
        <f t="shared" si="14"/>
        <v>0</v>
      </c>
      <c r="BD201">
        <f t="shared" si="14"/>
        <v>0</v>
      </c>
      <c r="BE201">
        <f t="shared" si="14"/>
        <v>0</v>
      </c>
      <c r="BF201">
        <f t="shared" si="14"/>
        <v>0</v>
      </c>
      <c r="BG201">
        <f t="shared" si="14"/>
        <v>0</v>
      </c>
      <c r="BH201">
        <f t="shared" si="14"/>
        <v>0</v>
      </c>
      <c r="BI201">
        <f t="shared" si="14"/>
        <v>0</v>
      </c>
      <c r="BJ201">
        <f t="shared" si="14"/>
        <v>0</v>
      </c>
      <c r="BK201">
        <f t="shared" si="14"/>
        <v>0</v>
      </c>
      <c r="BL201">
        <f t="shared" si="14"/>
        <v>0</v>
      </c>
      <c r="BM201">
        <f t="shared" si="14"/>
        <v>0</v>
      </c>
    </row>
  </sheetData>
  <phoneticPr fontId="4"/>
  <dataValidations count="5">
    <dataValidation type="list" sqref="K2:K200 N2:N200" xr:uid="{00000000-0002-0000-0100-000000000000}">
      <formula1>"PA,SA,QA,1m"</formula1>
    </dataValidation>
    <dataValidation type="list" sqref="L2:L200 O2:O200" xr:uid="{00000000-0002-0000-0100-000002000000}">
      <formula1>"act/365fixed,30/360"</formula1>
    </dataValidation>
    <dataValidation type="list" sqref="M2:M200" xr:uid="{00000000-0002-0000-0100-000004000000}">
      <formula1>"JSCC"</formula1>
    </dataValidation>
    <dataValidation type="list" sqref="P2:P200" xr:uid="{00000000-0002-0000-0100-000005000000}">
      <formula1>"STD,EOM,IMM"</formula1>
    </dataValidation>
    <dataValidation type="list" sqref="T2:T200" xr:uid="{00000000-0002-0000-0100-000006000000}">
      <formula1>"PAY,REC"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1"/>
  <sheetViews>
    <sheetView workbookViewId="0"/>
  </sheetViews>
  <sheetFormatPr defaultRowHeight="14" x14ac:dyDescent="0.2"/>
  <sheetData>
    <row r="1" spans="1:19" x14ac:dyDescent="0.2">
      <c r="A1" t="s">
        <v>77</v>
      </c>
      <c r="B1" t="str">
        <f>HistoricalOutright("2y","PA","act/365fixed","PA","act/365fixed","STD")</f>
        <v>オブジェクトが必要です。</v>
      </c>
      <c r="E1" t="s">
        <v>22</v>
      </c>
      <c r="F1" t="str">
        <f>HistoricalOutright("5y","PA","act/365fixed","PA","act/365fixed","STD")</f>
        <v>オブジェクトが必要です。</v>
      </c>
      <c r="I1" t="s">
        <v>27</v>
      </c>
      <c r="J1" t="str">
        <f>HistoricalOutright("10y","PA","act/365fixed","PA","act/365fixed","STD")</f>
        <v>オブジェクトが必要です。</v>
      </c>
      <c r="M1" t="s">
        <v>78</v>
      </c>
      <c r="N1" t="s">
        <v>79</v>
      </c>
      <c r="O1" t="s">
        <v>80</v>
      </c>
      <c r="Q1" t="s">
        <v>81</v>
      </c>
      <c r="R1" t="s">
        <v>79</v>
      </c>
      <c r="S1" t="s">
        <v>82</v>
      </c>
    </row>
  </sheetData>
  <phoneticPr fontId="4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1"/>
  <sheetViews>
    <sheetView workbookViewId="0"/>
  </sheetViews>
  <sheetFormatPr defaultRowHeight="14" x14ac:dyDescent="0.2"/>
  <sheetData>
    <row r="1" spans="1:2" x14ac:dyDescent="0.2">
      <c r="A1" t="s">
        <v>0</v>
      </c>
      <c r="B1" t="s">
        <v>83</v>
      </c>
    </row>
  </sheetData>
  <phoneticPr fontId="4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83203125" defaultRowHeight="14" x14ac:dyDescent="0.2"/>
  <cols>
    <col min="1" max="1" width="14.75" style="1" customWidth="1"/>
    <col min="2" max="2" width="9.25" style="1" customWidth="1"/>
    <col min="3" max="3" width="8.83203125" style="1" customWidth="1"/>
    <col min="4" max="16384" width="8.83203125" style="1"/>
  </cols>
  <sheetData>
    <row r="1" spans="1:2" ht="15.65" customHeight="1" x14ac:dyDescent="0.2">
      <c r="A1" s="1" t="s">
        <v>84</v>
      </c>
      <c r="B1" s="1" t="s">
        <v>85</v>
      </c>
    </row>
    <row r="2" spans="1:2" ht="15.65" customHeight="1" x14ac:dyDescent="0.2">
      <c r="A2" s="1" t="s">
        <v>86</v>
      </c>
    </row>
    <row r="3" spans="1:2" ht="15.65" customHeight="1" x14ac:dyDescent="0.2">
      <c r="A3" s="1" t="s">
        <v>87</v>
      </c>
    </row>
    <row r="4" spans="1:2" ht="15.65" customHeight="1" x14ac:dyDescent="0.2">
      <c r="A4" s="1" t="s">
        <v>88</v>
      </c>
    </row>
    <row r="5" spans="1:2" ht="15.65" customHeight="1" x14ac:dyDescent="0.2">
      <c r="A5" s="1" t="s">
        <v>89</v>
      </c>
    </row>
    <row r="6" spans="1:2" ht="15.65" customHeight="1" x14ac:dyDescent="0.2">
      <c r="A6" s="1" t="s">
        <v>90</v>
      </c>
      <c r="B6" t="s">
        <v>91</v>
      </c>
    </row>
    <row r="7" spans="1:2" ht="15.65" customHeight="1" x14ac:dyDescent="0.2">
      <c r="A7" s="1" t="s">
        <v>92</v>
      </c>
      <c r="B7" s="1" t="b">
        <v>0</v>
      </c>
    </row>
    <row r="8" spans="1:2" ht="15.65" customHeight="1" x14ac:dyDescent="0.2">
      <c r="A8" s="1" t="s">
        <v>93</v>
      </c>
      <c r="B8" s="1" t="b">
        <v>0</v>
      </c>
    </row>
    <row r="9" spans="1:2" ht="15.65" customHeight="1" x14ac:dyDescent="0.2">
      <c r="A9" s="1" t="s">
        <v>94</v>
      </c>
      <c r="B9" s="1" t="b">
        <v>0</v>
      </c>
    </row>
    <row r="13" spans="1:2" ht="15.65" customHeight="1" x14ac:dyDescent="0.2">
      <c r="A13" s="2" t="s">
        <v>95</v>
      </c>
    </row>
    <row r="14" spans="1:2" ht="15.65" customHeight="1" x14ac:dyDescent="0.2">
      <c r="A14" s="1" t="s">
        <v>96</v>
      </c>
    </row>
    <row r="15" spans="1:2" ht="15.65" customHeight="1" x14ac:dyDescent="0.2">
      <c r="A15" s="1" t="s">
        <v>97</v>
      </c>
    </row>
    <row r="16" spans="1:2" ht="15.65" customHeight="1" x14ac:dyDescent="0.2">
      <c r="A16" s="1" t="s">
        <v>98</v>
      </c>
    </row>
    <row r="17" spans="1:1" ht="15.65" customHeight="1" x14ac:dyDescent="0.2">
      <c r="A17" s="1" t="s">
        <v>99</v>
      </c>
    </row>
  </sheetData>
  <phoneticPr fontId="4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RealTime</vt:lpstr>
      <vt:lpstr>pricing</vt:lpstr>
      <vt:lpstr>Historical</vt:lpstr>
      <vt:lpstr>Calc</vt:lpstr>
      <vt:lpstr>_xlwings.conf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寛人 西原</cp:lastModifiedBy>
  <dcterms:created xsi:type="dcterms:W3CDTF">2015-01-25T11:31:25Z</dcterms:created>
  <dcterms:modified xsi:type="dcterms:W3CDTF">2026-08-30T13:21:21Z</dcterms:modified>
</cp:coreProperties>
</file>