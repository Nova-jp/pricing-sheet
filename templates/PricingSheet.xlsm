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2BE7BBE5-194B-44E3-BC24-77DC93485ADA}" xr6:coauthVersionLast="47" xr6:coauthVersionMax="47" xr10:uidLastSave="{00000000-0000-0000-0000-000000000000}"/>
  <bookViews>
    <workbookView xWindow="2580" yWindow="2580" windowWidth="14400" windowHeight="8170" tabRatio="500" activeTab="2" xr2:uid="{00000000-000D-0000-FFFF-FFFF00000000}"/>
  </bookViews>
  <sheets>
    <sheet name="Main" sheetId="8" r:id="rId1"/>
    <sheet name="RealTime" sheetId="1" r:id="rId2"/>
    <sheet name="pricing" sheetId="2" r:id="rId3"/>
    <sheet name="HistChart" sheetId="7" r:id="rId4"/>
    <sheet name="BOJ" sheetId="9" r:id="rId5"/>
    <sheet name="Historical" sheetId="3" r:id="rId6"/>
    <sheet name="Calc" sheetId="4" r:id="rId7"/>
    <sheet name="_xlwings.conf" sheetId="5" r:id="rId8"/>
  </sheets>
  <functionGroups builtInGroupCount="19">
    <functionGroup name="xlwings"/>
  </functionGroups>
  <externalReferences>
    <externalReference r:id="rId9"/>
  </externalReference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n" hidden="1" xlm="1">#NAME?</definedName>
    <definedName name="_xlpm.r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HistChart_Date">HistChart!$P$29:INDEX(HistChart!$P:$P,ROW(HistChart!$P$28)+ROWS(_xlfn.ANCHORARRAY(HistChart!$P$28))-1)</definedName>
    <definedName name="HistChart_S1">HistChart!$Q$29:INDEX(HistChart!$Q:$Q,ROW(HistChart!$P$28)+ROWS(_xlfn.ANCHORARRAY(HistChart!$P$28))-1)</definedName>
    <definedName name="HistChart_S2">HistChart!$R$29:INDEX(HistChart!$R:$R,ROW(HistChart!$P$28)+ROWS(_xlfn.ANCHORARRAY(HistChart!$P$28))-1)</definedName>
    <definedName name="HistChart_S3">HistChart!$S$29:INDEX(HistChart!$S:$S,ROW(HistChart!$P$28)+ROWS(_xlfn.ANCHORARRAY(HistChart!$P$28))-1)</definedName>
    <definedName name="評価日">Main!$B$3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wapAnnuity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Delt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wapPV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3" l="1" a="1"/>
  <c r="J1" i="3"/>
  <c r="F1" i="3" a="1"/>
  <c r="F1" i="3"/>
  <c r="B1" i="3" a="1"/>
  <c r="B1" i="3"/>
  <c r="F16" i="9"/>
  <c r="F15" i="9"/>
  <c r="F14" i="9"/>
  <c r="F13" i="9"/>
  <c r="F12" i="9"/>
  <c r="F11" i="9"/>
  <c r="F10" i="9"/>
  <c r="F9" i="9"/>
  <c r="F8" i="9"/>
  <c r="F7" i="9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V4" i="2"/>
  <c r="U4" i="2"/>
  <c r="T4" i="2"/>
  <c r="V3" i="2"/>
  <c r="U3" i="2"/>
  <c r="T3" i="2"/>
  <c r="V2" i="2"/>
  <c r="U2" i="2"/>
  <c r="T2" i="2"/>
  <c r="B4" i="8"/>
  <c r="B33" i="9"/>
  <c r="A33" i="9"/>
  <c r="B32" i="9"/>
  <c r="A32" i="9"/>
  <c r="B31" i="9"/>
  <c r="A31" i="9"/>
  <c r="B30" i="9"/>
  <c r="A30" i="9"/>
  <c r="B29" i="9"/>
  <c r="A29" i="9"/>
  <c r="B28" i="9"/>
  <c r="A28" i="9"/>
  <c r="B27" i="9"/>
  <c r="A27" i="9"/>
  <c r="B26" i="9"/>
  <c r="A26" i="9"/>
  <c r="B25" i="9"/>
  <c r="A25" i="9"/>
  <c r="B24" i="9"/>
  <c r="A24" i="9"/>
  <c r="B23" i="9"/>
  <c r="A23" i="9"/>
  <c r="B22" i="9"/>
  <c r="A22" i="9"/>
  <c r="B21" i="9"/>
  <c r="A21" i="9"/>
  <c r="E16" i="9"/>
  <c r="C16" i="9"/>
  <c r="B16" i="9"/>
  <c r="A16" i="9"/>
  <c r="E15" i="9"/>
  <c r="H15" i="9" s="1"/>
  <c r="C15" i="9"/>
  <c r="B15" i="9"/>
  <c r="A15" i="9"/>
  <c r="E14" i="9"/>
  <c r="C14" i="9"/>
  <c r="B14" i="9"/>
  <c r="A14" i="9"/>
  <c r="E13" i="9"/>
  <c r="H13" i="9" s="1"/>
  <c r="C13" i="9"/>
  <c r="B13" i="9"/>
  <c r="A13" i="9"/>
  <c r="E12" i="9"/>
  <c r="C12" i="9"/>
  <c r="B12" i="9"/>
  <c r="A12" i="9"/>
  <c r="E11" i="9"/>
  <c r="H11" i="9" s="1"/>
  <c r="C11" i="9"/>
  <c r="B11" i="9"/>
  <c r="A11" i="9"/>
  <c r="E10" i="9"/>
  <c r="C10" i="9"/>
  <c r="B10" i="9"/>
  <c r="A10" i="9"/>
  <c r="E9" i="9"/>
  <c r="H9" i="9" s="1"/>
  <c r="C9" i="9"/>
  <c r="B9" i="9"/>
  <c r="A9" i="9"/>
  <c r="E8" i="9"/>
  <c r="C8" i="9"/>
  <c r="B8" i="9"/>
  <c r="A8" i="9"/>
  <c r="E7" i="9"/>
  <c r="H8" i="9" s="1"/>
  <c r="C7" i="9"/>
  <c r="B7" i="9"/>
  <c r="A7" i="9"/>
  <c r="B3" i="9"/>
  <c r="B2" i="9"/>
  <c r="D2" i="1"/>
  <c r="D36" i="1"/>
  <c r="E36" i="1"/>
  <c r="F36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37" i="1"/>
  <c r="C21" i="9" a="1"/>
  <c r="H10" i="9" l="1"/>
  <c r="H12" i="9"/>
  <c r="H14" i="9"/>
  <c r="D22" i="9"/>
  <c r="C21" i="9"/>
  <c r="D21" i="9" s="1"/>
  <c r="D30" i="9"/>
  <c r="D23" i="9"/>
  <c r="D31" i="9"/>
  <c r="D28" i="9"/>
  <c r="D29" i="9"/>
  <c r="D26" i="9"/>
  <c r="H7" i="9"/>
  <c r="D33" i="9"/>
  <c r="D24" i="9"/>
  <c r="D25" i="9"/>
  <c r="H16" i="9"/>
  <c r="D27" i="9"/>
  <c r="D32" i="9"/>
  <c r="G7" i="9"/>
  <c r="G9" i="9"/>
  <c r="G14" i="9"/>
  <c r="G11" i="9"/>
  <c r="G8" i="9"/>
  <c r="G16" i="9"/>
  <c r="G15" i="9"/>
  <c r="G12" i="9"/>
  <c r="G13" i="9"/>
  <c r="G10" i="9"/>
  <c r="D7" i="9"/>
  <c r="D8" i="9"/>
  <c r="D9" i="9"/>
  <c r="D10" i="9"/>
  <c r="D15" i="9"/>
  <c r="D11" i="9"/>
  <c r="D12" i="9"/>
  <c r="D13" i="9"/>
  <c r="D14" i="9"/>
  <c r="D16" i="9"/>
  <c r="D3" i="1" l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Q2" i="2"/>
  <c r="R200" i="2"/>
  <c r="Q200" i="2"/>
  <c r="R199" i="2"/>
  <c r="Q199" i="2"/>
  <c r="R198" i="2"/>
  <c r="Q198" i="2"/>
  <c r="R197" i="2"/>
  <c r="Q197" i="2"/>
  <c r="R196" i="2"/>
  <c r="Q196" i="2"/>
  <c r="R195" i="2"/>
  <c r="Q195" i="2"/>
  <c r="R194" i="2"/>
  <c r="Q194" i="2"/>
  <c r="R193" i="2"/>
  <c r="Q193" i="2"/>
  <c r="R192" i="2"/>
  <c r="Q192" i="2"/>
  <c r="R191" i="2"/>
  <c r="Q191" i="2"/>
  <c r="R190" i="2"/>
  <c r="Q190" i="2"/>
  <c r="R189" i="2"/>
  <c r="Q189" i="2"/>
  <c r="R188" i="2"/>
  <c r="Q188" i="2"/>
  <c r="R187" i="2"/>
  <c r="Q187" i="2"/>
  <c r="R186" i="2"/>
  <c r="Q186" i="2"/>
  <c r="R185" i="2"/>
  <c r="Q185" i="2"/>
  <c r="R184" i="2"/>
  <c r="Q184" i="2"/>
  <c r="R183" i="2"/>
  <c r="Q183" i="2"/>
  <c r="R182" i="2"/>
  <c r="Q182" i="2"/>
  <c r="R181" i="2"/>
  <c r="Q181" i="2"/>
  <c r="R180" i="2"/>
  <c r="Q180" i="2"/>
  <c r="R179" i="2"/>
  <c r="Q179" i="2"/>
  <c r="R178" i="2"/>
  <c r="Q178" i="2"/>
  <c r="R177" i="2"/>
  <c r="Q177" i="2"/>
  <c r="R176" i="2"/>
  <c r="Q176" i="2"/>
  <c r="R175" i="2"/>
  <c r="Q175" i="2"/>
  <c r="R174" i="2"/>
  <c r="Q174" i="2"/>
  <c r="R173" i="2"/>
  <c r="Q173" i="2"/>
  <c r="R172" i="2"/>
  <c r="Q172" i="2"/>
  <c r="R171" i="2"/>
  <c r="Q171" i="2"/>
  <c r="R170" i="2"/>
  <c r="Q170" i="2"/>
  <c r="R169" i="2"/>
  <c r="Q169" i="2"/>
  <c r="R168" i="2"/>
  <c r="Q168" i="2"/>
  <c r="R167" i="2"/>
  <c r="Q167" i="2"/>
  <c r="R166" i="2"/>
  <c r="Q166" i="2"/>
  <c r="R165" i="2"/>
  <c r="Q165" i="2"/>
  <c r="R164" i="2"/>
  <c r="Q164" i="2"/>
  <c r="R163" i="2"/>
  <c r="Q163" i="2"/>
  <c r="R162" i="2"/>
  <c r="Q162" i="2"/>
  <c r="R161" i="2"/>
  <c r="Q161" i="2"/>
  <c r="R160" i="2"/>
  <c r="Q160" i="2"/>
  <c r="R159" i="2"/>
  <c r="Q159" i="2"/>
  <c r="R158" i="2"/>
  <c r="Q158" i="2"/>
  <c r="R157" i="2"/>
  <c r="Q157" i="2"/>
  <c r="R156" i="2"/>
  <c r="Q156" i="2"/>
  <c r="R155" i="2"/>
  <c r="Q155" i="2"/>
  <c r="R154" i="2"/>
  <c r="Q154" i="2"/>
  <c r="R153" i="2"/>
  <c r="Q153" i="2"/>
  <c r="R152" i="2"/>
  <c r="Q152" i="2"/>
  <c r="R151" i="2"/>
  <c r="Q151" i="2"/>
  <c r="R150" i="2"/>
  <c r="Q150" i="2"/>
  <c r="R149" i="2"/>
  <c r="Q149" i="2"/>
  <c r="R148" i="2"/>
  <c r="Q148" i="2"/>
  <c r="R147" i="2"/>
  <c r="Q147" i="2"/>
  <c r="R146" i="2"/>
  <c r="Q146" i="2"/>
  <c r="R145" i="2"/>
  <c r="Q145" i="2"/>
  <c r="R144" i="2"/>
  <c r="Q144" i="2"/>
  <c r="R143" i="2"/>
  <c r="Q143" i="2"/>
  <c r="R142" i="2"/>
  <c r="Q142" i="2"/>
  <c r="R141" i="2"/>
  <c r="Q141" i="2"/>
  <c r="R140" i="2"/>
  <c r="Q140" i="2"/>
  <c r="R139" i="2"/>
  <c r="Q139" i="2"/>
  <c r="R138" i="2"/>
  <c r="Q138" i="2"/>
  <c r="R137" i="2"/>
  <c r="Q137" i="2"/>
  <c r="R136" i="2"/>
  <c r="Q136" i="2"/>
  <c r="R135" i="2"/>
  <c r="Q135" i="2"/>
  <c r="R134" i="2"/>
  <c r="Q134" i="2"/>
  <c r="R133" i="2"/>
  <c r="Q133" i="2"/>
  <c r="R132" i="2"/>
  <c r="Q132" i="2"/>
  <c r="R131" i="2"/>
  <c r="Q131" i="2"/>
  <c r="R130" i="2"/>
  <c r="Q130" i="2"/>
  <c r="R129" i="2"/>
  <c r="Q129" i="2"/>
  <c r="R128" i="2"/>
  <c r="Q128" i="2"/>
  <c r="R127" i="2"/>
  <c r="Q127" i="2"/>
  <c r="R126" i="2"/>
  <c r="Q126" i="2"/>
  <c r="R125" i="2"/>
  <c r="Q125" i="2"/>
  <c r="R124" i="2"/>
  <c r="Q124" i="2"/>
  <c r="R123" i="2"/>
  <c r="Q123" i="2"/>
  <c r="R122" i="2"/>
  <c r="Q122" i="2"/>
  <c r="R121" i="2"/>
  <c r="Q121" i="2"/>
  <c r="R120" i="2"/>
  <c r="Q120" i="2"/>
  <c r="R119" i="2"/>
  <c r="Q119" i="2"/>
  <c r="R118" i="2"/>
  <c r="Q118" i="2"/>
  <c r="R117" i="2"/>
  <c r="Q117" i="2"/>
  <c r="R116" i="2"/>
  <c r="Q116" i="2"/>
  <c r="R115" i="2"/>
  <c r="Q115" i="2"/>
  <c r="R114" i="2"/>
  <c r="Q114" i="2"/>
  <c r="R113" i="2"/>
  <c r="Q113" i="2"/>
  <c r="R112" i="2"/>
  <c r="Q112" i="2"/>
  <c r="R111" i="2"/>
  <c r="Q111" i="2"/>
  <c r="R110" i="2"/>
  <c r="Q110" i="2"/>
  <c r="R109" i="2"/>
  <c r="Q109" i="2"/>
  <c r="R108" i="2"/>
  <c r="Q108" i="2"/>
  <c r="R107" i="2"/>
  <c r="Q107" i="2"/>
  <c r="R106" i="2"/>
  <c r="Q106" i="2"/>
  <c r="R105" i="2"/>
  <c r="Q105" i="2"/>
  <c r="R104" i="2"/>
  <c r="Q104" i="2"/>
  <c r="R103" i="2"/>
  <c r="Q103" i="2"/>
  <c r="R102" i="2"/>
  <c r="Q102" i="2"/>
  <c r="R101" i="2"/>
  <c r="Q101" i="2"/>
  <c r="R100" i="2"/>
  <c r="Q100" i="2"/>
  <c r="R99" i="2"/>
  <c r="Q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R34" i="2"/>
  <c r="Q34" i="2"/>
  <c r="R33" i="2"/>
  <c r="Q33" i="2"/>
  <c r="R32" i="2"/>
  <c r="Q32" i="2"/>
  <c r="R31" i="2"/>
  <c r="Q31" i="2"/>
  <c r="R30" i="2"/>
  <c r="Q30" i="2"/>
  <c r="R29" i="2"/>
  <c r="Q26" i="2"/>
  <c r="R25" i="2"/>
  <c r="Q23" i="2"/>
  <c r="Q22" i="2"/>
  <c r="R21" i="2"/>
  <c r="Q18" i="2"/>
  <c r="R17" i="2"/>
  <c r="Q15" i="2"/>
  <c r="Q14" i="2"/>
  <c r="R13" i="2"/>
  <c r="Q13" i="2"/>
  <c r="Q10" i="2"/>
  <c r="R9" i="2"/>
  <c r="Q7" i="2"/>
  <c r="B3" i="7"/>
  <c r="Q29" i="2"/>
  <c r="R28" i="2"/>
  <c r="Q27" i="2"/>
  <c r="R26" i="2"/>
  <c r="Q25" i="2"/>
  <c r="R24" i="2"/>
  <c r="Q21" i="2"/>
  <c r="R20" i="2"/>
  <c r="Q19" i="2"/>
  <c r="R18" i="2"/>
  <c r="Q17" i="2"/>
  <c r="R16" i="2"/>
  <c r="R12" i="2"/>
  <c r="R11" i="2"/>
  <c r="R10" i="2"/>
  <c r="Q9" i="2"/>
  <c r="R8" i="2"/>
  <c r="R14" i="2" l="1"/>
  <c r="Q11" i="2"/>
  <c r="R7" i="2"/>
  <c r="R19" i="2"/>
  <c r="Q8" i="2"/>
  <c r="Q12" i="2"/>
  <c r="Q16" i="2"/>
  <c r="Q20" i="2"/>
  <c r="Q24" i="2"/>
  <c r="Q28" i="2"/>
  <c r="R22" i="2"/>
  <c r="R15" i="2"/>
  <c r="R27" i="2"/>
  <c r="R23" i="2"/>
  <c r="R5" i="2"/>
  <c r="Q5" i="2"/>
  <c r="Q6" i="2"/>
  <c r="R6" i="2"/>
  <c r="R2" i="2"/>
  <c r="Q4" i="2"/>
  <c r="R4" i="2"/>
  <c r="Q3" i="2"/>
  <c r="R3" i="2"/>
  <c r="AC2" i="2"/>
  <c r="O30" i="2" a="1"/>
  <c r="O30" i="2" s="1"/>
  <c r="O29" i="2" a="1"/>
  <c r="O29" i="2" s="1"/>
  <c r="O28" i="2" a="1"/>
  <c r="O28" i="2" s="1"/>
  <c r="O27" i="2" a="1"/>
  <c r="O27" i="2" s="1"/>
  <c r="O26" i="2" a="1"/>
  <c r="O26" i="2" s="1"/>
  <c r="O25" i="2" a="1"/>
  <c r="O25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17" i="2" a="1"/>
  <c r="O17" i="2" s="1"/>
  <c r="O16" i="2" a="1"/>
  <c r="O16" i="2" s="1"/>
  <c r="O15" i="2" a="1"/>
  <c r="O15" i="2" s="1"/>
  <c r="O14" i="2" a="1"/>
  <c r="O14" i="2" s="1"/>
  <c r="O13" i="2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O6" i="2" a="1"/>
  <c r="O6" i="2" s="1"/>
  <c r="C23" i="7"/>
  <c r="K23" i="7" s="1" a="1"/>
  <c r="K23" i="7" s="1"/>
  <c r="C22" i="7"/>
  <c r="J22" i="7" s="1" a="1"/>
  <c r="J22" i="7" s="1"/>
  <c r="C21" i="7"/>
  <c r="C20" i="7"/>
  <c r="I20" i="7" s="1" a="1"/>
  <c r="I20" i="7" s="1"/>
  <c r="C19" i="7"/>
  <c r="K19" i="7" s="1" a="1"/>
  <c r="K19" i="7" s="1"/>
  <c r="C18" i="7"/>
  <c r="C17" i="7"/>
  <c r="I17" i="7" s="1" a="1"/>
  <c r="I17" i="7" s="1"/>
  <c r="C16" i="7"/>
  <c r="C15" i="7"/>
  <c r="H11" i="7"/>
  <c r="I11" i="7" s="1"/>
  <c r="S28" i="7" s="1"/>
  <c r="H10" i="7"/>
  <c r="I10" i="7" s="1"/>
  <c r="R28" i="7" s="1"/>
  <c r="H9" i="7"/>
  <c r="I9" i="7" s="1"/>
  <c r="Q28" i="7" s="1"/>
  <c r="F21" i="7" l="1" a="1"/>
  <c r="F21" i="7" s="1"/>
  <c r="E18" i="7" a="1"/>
  <c r="E18" i="7" s="1"/>
  <c r="H21" i="7" a="1"/>
  <c r="H21" i="7" s="1"/>
  <c r="D18" i="7" a="1"/>
  <c r="D18" i="7" s="1"/>
  <c r="D15" i="7" a="1"/>
  <c r="D15" i="7" s="1"/>
  <c r="K15" i="7" a="1"/>
  <c r="K15" i="7" s="1"/>
  <c r="E15" i="7" a="1"/>
  <c r="E15" i="7" s="1"/>
  <c r="F20" i="7" a="1"/>
  <c r="F20" i="7" s="1"/>
  <c r="I18" i="7" a="1"/>
  <c r="I18" i="7" s="1"/>
  <c r="J20" i="7" a="1"/>
  <c r="J20" i="7" s="1"/>
  <c r="J18" i="7" a="1"/>
  <c r="J18" i="7" s="1"/>
  <c r="I16" i="7" a="1"/>
  <c r="I16" i="7" s="1"/>
  <c r="D16" i="7" a="1"/>
  <c r="D16" i="7" s="1"/>
  <c r="H15" i="7" a="1"/>
  <c r="H15" i="7" s="1"/>
  <c r="I21" i="7" a="1"/>
  <c r="I21" i="7" s="1"/>
  <c r="F23" i="7" a="1"/>
  <c r="F23" i="7" s="1"/>
  <c r="E23" i="7" a="1"/>
  <c r="E23" i="7" s="1"/>
  <c r="K16" i="7" a="1"/>
  <c r="K16" i="7" s="1"/>
  <c r="I15" i="7" a="1"/>
  <c r="I15" i="7" s="1"/>
  <c r="E16" i="7" a="1"/>
  <c r="E16" i="7" s="1"/>
  <c r="F17" i="7" a="1"/>
  <c r="F17" i="7" s="1"/>
  <c r="F18" i="7" a="1"/>
  <c r="F18" i="7" s="1"/>
  <c r="K18" i="7" a="1"/>
  <c r="K18" i="7" s="1"/>
  <c r="D21" i="7" a="1"/>
  <c r="D21" i="7" s="1"/>
  <c r="I23" i="7" a="1"/>
  <c r="I23" i="7" s="1"/>
  <c r="F15" i="7" a="1"/>
  <c r="F15" i="7" s="1"/>
  <c r="J17" i="7" a="1"/>
  <c r="J17" i="7" s="1"/>
  <c r="J21" i="7" a="1"/>
  <c r="J21" i="7" s="1"/>
  <c r="J15" i="7" a="1"/>
  <c r="J15" i="7" s="1"/>
  <c r="H16" i="7" a="1"/>
  <c r="H16" i="7" s="1"/>
  <c r="H18" i="7" a="1"/>
  <c r="H18" i="7" s="1"/>
  <c r="E21" i="7" a="1"/>
  <c r="E21" i="7" s="1"/>
  <c r="K21" i="7" a="1"/>
  <c r="K21" i="7" s="1"/>
  <c r="J23" i="7" a="1"/>
  <c r="J23" i="7" s="1"/>
  <c r="G19" i="7" a="1"/>
  <c r="G19" i="7" s="1"/>
  <c r="G22" i="7" a="1"/>
  <c r="G22" i="7" s="1"/>
  <c r="H19" i="7" a="1"/>
  <c r="H19" i="7" s="1"/>
  <c r="G15" i="7" a="1"/>
  <c r="G15" i="7" s="1"/>
  <c r="D17" i="7" a="1"/>
  <c r="D17" i="7" s="1"/>
  <c r="K17" i="7" a="1"/>
  <c r="K17" i="7" s="1"/>
  <c r="I19" i="7" a="1"/>
  <c r="I19" i="7" s="1"/>
  <c r="G23" i="7" a="1"/>
  <c r="G23" i="7" s="1"/>
  <c r="G20" i="7" a="1"/>
  <c r="G20" i="7" s="1"/>
  <c r="B6" i="7" a="1"/>
  <c r="B6" i="7" s="1"/>
  <c r="B7" i="7" s="1"/>
  <c r="H17" i="7" a="1"/>
  <c r="H17" i="7" s="1"/>
  <c r="E19" i="7" a="1"/>
  <c r="E19" i="7" s="1"/>
  <c r="F16" i="7" a="1"/>
  <c r="F16" i="7" s="1"/>
  <c r="J16" i="7" a="1"/>
  <c r="J16" i="7" s="1"/>
  <c r="G18" i="7" a="1"/>
  <c r="G18" i="7" s="1"/>
  <c r="D20" i="7" a="1"/>
  <c r="D20" i="7" s="1"/>
  <c r="H20" i="7" a="1"/>
  <c r="H20" i="7" s="1"/>
  <c r="K20" i="7" a="1"/>
  <c r="K20" i="7" s="1"/>
  <c r="E22" i="7" a="1"/>
  <c r="E22" i="7" s="1"/>
  <c r="I22" i="7" a="1"/>
  <c r="I22" i="7" s="1"/>
  <c r="D19" i="7" a="1"/>
  <c r="D19" i="7" s="1"/>
  <c r="H22" i="7" a="1"/>
  <c r="H22" i="7" s="1"/>
  <c r="F19" i="7" a="1"/>
  <c r="F19" i="7" s="1"/>
  <c r="J19" i="7" a="1"/>
  <c r="J19" i="7" s="1"/>
  <c r="G21" i="7" a="1"/>
  <c r="G21" i="7" s="1"/>
  <c r="D23" i="7" a="1"/>
  <c r="D23" i="7" s="1"/>
  <c r="H23" i="7" a="1"/>
  <c r="H23" i="7" s="1"/>
  <c r="G17" i="7" a="1"/>
  <c r="G17" i="7" s="1"/>
  <c r="D22" i="7" a="1"/>
  <c r="D22" i="7" s="1"/>
  <c r="K22" i="7" a="1"/>
  <c r="K22" i="7" s="1"/>
  <c r="E17" i="7" a="1"/>
  <c r="E17" i="7" s="1"/>
  <c r="G16" i="7" a="1"/>
  <c r="G16" i="7" s="1"/>
  <c r="E20" i="7" a="1"/>
  <c r="E20" i="7" s="1"/>
  <c r="F22" i="7" a="1"/>
  <c r="F22" i="7" s="1"/>
  <c r="N2" i="3" l="1" a="1"/>
  <c r="N2" i="3" s="1"/>
  <c r="R2" i="3" a="1"/>
  <c r="R2" i="3" s="1"/>
  <c r="O2" i="2" a="1"/>
  <c r="O2" i="2" s="1"/>
  <c r="O5" i="2" l="1" a="1"/>
  <c r="O5" i="2" s="1"/>
  <c r="O3" i="2" a="1"/>
  <c r="O3" i="2" s="1"/>
  <c r="O4" i="2" a="1"/>
  <c r="O4" i="2" s="1"/>
  <c r="O31" i="2" a="1"/>
  <c r="O31" i="2" s="1"/>
  <c r="O32" i="2" a="1"/>
  <c r="O32" i="2"/>
  <c r="O33" i="2" a="1"/>
  <c r="O33" i="2"/>
  <c r="O34" i="2" a="1"/>
  <c r="O34" i="2" s="1"/>
  <c r="O35" i="2" a="1"/>
  <c r="O35" i="2" s="1"/>
  <c r="O36" i="2" a="1"/>
  <c r="O36" i="2"/>
  <c r="O37" i="2" a="1"/>
  <c r="O37" i="2"/>
  <c r="O38" i="2" a="1"/>
  <c r="O38" i="2" s="1"/>
  <c r="O39" i="2" a="1"/>
  <c r="O39" i="2" s="1"/>
  <c r="O40" i="2" a="1"/>
  <c r="O40" i="2"/>
  <c r="O41" i="2" a="1"/>
  <c r="O41" i="2"/>
  <c r="O42" i="2" a="1"/>
  <c r="O42" i="2" s="1"/>
  <c r="O43" i="2" a="1"/>
  <c r="O43" i="2" s="1"/>
  <c r="O44" i="2" a="1"/>
  <c r="O44" i="2"/>
  <c r="O45" i="2" a="1"/>
  <c r="O45" i="2"/>
  <c r="O46" i="2" a="1"/>
  <c r="O46" i="2" s="1"/>
  <c r="O47" i="2" a="1"/>
  <c r="O47" i="2" s="1"/>
  <c r="O48" i="2" a="1"/>
  <c r="O48" i="2"/>
  <c r="O49" i="2" a="1"/>
  <c r="O49" i="2"/>
  <c r="O50" i="2" a="1"/>
  <c r="O50" i="2" s="1"/>
  <c r="O51" i="2" a="1"/>
  <c r="O51" i="2" s="1"/>
  <c r="O52" i="2" a="1"/>
  <c r="O52" i="2"/>
  <c r="O53" i="2" a="1"/>
  <c r="O53" i="2"/>
  <c r="O54" i="2" a="1"/>
  <c r="O54" i="2" s="1"/>
  <c r="O55" i="2" a="1"/>
  <c r="O55" i="2" s="1"/>
  <c r="O56" i="2" a="1"/>
  <c r="O56" i="2"/>
  <c r="O57" i="2" a="1"/>
  <c r="O57" i="2"/>
  <c r="O58" i="2" a="1"/>
  <c r="O58" i="2" s="1"/>
  <c r="O59" i="2" a="1"/>
  <c r="O59" i="2" s="1"/>
  <c r="O60" i="2" a="1"/>
  <c r="O60" i="2"/>
  <c r="O61" i="2" a="1"/>
  <c r="O61" i="2"/>
  <c r="O62" i="2" a="1"/>
  <c r="O62" i="2" s="1"/>
  <c r="O63" i="2" a="1"/>
  <c r="O63" i="2" s="1"/>
  <c r="O64" i="2" a="1"/>
  <c r="O64" i="2"/>
  <c r="O65" i="2" a="1"/>
  <c r="O65" i="2"/>
  <c r="O66" i="2" a="1"/>
  <c r="O66" i="2" s="1"/>
  <c r="O67" i="2" a="1"/>
  <c r="O67" i="2" s="1"/>
  <c r="O68" i="2" a="1"/>
  <c r="O68" i="2"/>
  <c r="O69" i="2" a="1"/>
  <c r="O69" i="2"/>
  <c r="O70" i="2" a="1"/>
  <c r="O70" i="2" s="1"/>
  <c r="O71" i="2" a="1"/>
  <c r="O71" i="2" s="1"/>
  <c r="O72" i="2" a="1"/>
  <c r="O72" i="2"/>
  <c r="O73" i="2" a="1"/>
  <c r="O73" i="2"/>
  <c r="O74" i="2" a="1"/>
  <c r="O74" i="2" s="1"/>
  <c r="O75" i="2" a="1"/>
  <c r="O75" i="2" s="1"/>
  <c r="O76" i="2" a="1"/>
  <c r="O76" i="2"/>
  <c r="O77" i="2" a="1"/>
  <c r="O77" i="2"/>
  <c r="O78" i="2" a="1"/>
  <c r="O78" i="2" s="1"/>
  <c r="O79" i="2" a="1"/>
  <c r="O79" i="2" s="1"/>
  <c r="O80" i="2" a="1"/>
  <c r="O80" i="2"/>
  <c r="O81" i="2" a="1"/>
  <c r="O81" i="2"/>
  <c r="O82" i="2" a="1"/>
  <c r="O82" i="2" s="1"/>
  <c r="O83" i="2" a="1"/>
  <c r="O83" i="2" s="1"/>
  <c r="O84" i="2" a="1"/>
  <c r="O84" i="2"/>
  <c r="O85" i="2" a="1"/>
  <c r="O85" i="2"/>
  <c r="O86" i="2" a="1"/>
  <c r="O86" i="2" s="1"/>
  <c r="O87" i="2" a="1"/>
  <c r="O87" i="2" s="1"/>
  <c r="O88" i="2" a="1"/>
  <c r="O88" i="2"/>
  <c r="O89" i="2" a="1"/>
  <c r="O89" i="2"/>
  <c r="O90" i="2" a="1"/>
  <c r="O90" i="2" s="1"/>
  <c r="O91" i="2" a="1"/>
  <c r="O91" i="2" s="1"/>
  <c r="O92" i="2" a="1"/>
  <c r="O92" i="2"/>
  <c r="O93" i="2" a="1"/>
  <c r="O93" i="2"/>
  <c r="O94" i="2" a="1"/>
  <c r="O94" i="2" s="1"/>
  <c r="O95" i="2" a="1"/>
  <c r="O95" i="2" s="1"/>
  <c r="O96" i="2" a="1"/>
  <c r="O96" i="2"/>
  <c r="O97" i="2" a="1"/>
  <c r="O97" i="2"/>
  <c r="O98" i="2" a="1"/>
  <c r="O98" i="2" s="1"/>
  <c r="O99" i="2" a="1"/>
  <c r="O99" i="2" s="1"/>
  <c r="O100" i="2" a="1"/>
  <c r="O100" i="2"/>
  <c r="O101" i="2" a="1"/>
  <c r="O101" i="2"/>
  <c r="O102" i="2" a="1"/>
  <c r="O102" i="2" s="1"/>
  <c r="O103" i="2" a="1"/>
  <c r="O103" i="2" s="1"/>
  <c r="O104" i="2" a="1"/>
  <c r="O104" i="2"/>
  <c r="O105" i="2" a="1"/>
  <c r="O105" i="2"/>
  <c r="O106" i="2" a="1"/>
  <c r="O106" i="2" s="1"/>
  <c r="O107" i="2" a="1"/>
  <c r="O107" i="2" s="1"/>
  <c r="O108" i="2" a="1"/>
  <c r="O108" i="2"/>
  <c r="O109" i="2" a="1"/>
  <c r="O109" i="2"/>
  <c r="O110" i="2" a="1"/>
  <c r="O110" i="2" s="1"/>
  <c r="O111" i="2" a="1"/>
  <c r="O111" i="2" s="1"/>
  <c r="O112" i="2" a="1"/>
  <c r="O112" i="2"/>
  <c r="O113" i="2" a="1"/>
  <c r="O113" i="2"/>
  <c r="O114" i="2" a="1"/>
  <c r="O114" i="2" s="1"/>
  <c r="O115" i="2" a="1"/>
  <c r="O115" i="2" s="1"/>
  <c r="O116" i="2" a="1"/>
  <c r="O116" i="2"/>
  <c r="O117" i="2" a="1"/>
  <c r="O117" i="2"/>
  <c r="O118" i="2" a="1"/>
  <c r="O118" i="2" s="1"/>
  <c r="O119" i="2" a="1"/>
  <c r="O119" i="2" s="1"/>
  <c r="O120" i="2" a="1"/>
  <c r="O120" i="2"/>
  <c r="O121" i="2" a="1"/>
  <c r="O121" i="2"/>
  <c r="O122" i="2" a="1"/>
  <c r="O122" i="2" s="1"/>
  <c r="O123" i="2" a="1"/>
  <c r="O123" i="2" s="1"/>
  <c r="O124" i="2" a="1"/>
  <c r="O124" i="2"/>
  <c r="O125" i="2" a="1"/>
  <c r="O125" i="2"/>
  <c r="O126" i="2" a="1"/>
  <c r="O126" i="2" s="1"/>
  <c r="O127" i="2" a="1"/>
  <c r="O127" i="2" s="1"/>
  <c r="O128" i="2" a="1"/>
  <c r="O128" i="2"/>
  <c r="O129" i="2" a="1"/>
  <c r="O129" i="2"/>
  <c r="O130" i="2" a="1"/>
  <c r="O130" i="2" s="1"/>
  <c r="O131" i="2" a="1"/>
  <c r="O131" i="2" s="1"/>
  <c r="O132" i="2" a="1"/>
  <c r="O132" i="2"/>
  <c r="O133" i="2" a="1"/>
  <c r="O133" i="2"/>
  <c r="O134" i="2" a="1"/>
  <c r="O134" i="2" s="1"/>
  <c r="O135" i="2" a="1"/>
  <c r="O135" i="2" s="1"/>
  <c r="O136" i="2" a="1"/>
  <c r="O136" i="2"/>
  <c r="O137" i="2" a="1"/>
  <c r="O137" i="2"/>
  <c r="O138" i="2" a="1"/>
  <c r="O138" i="2" s="1"/>
  <c r="O139" i="2" a="1"/>
  <c r="O139" i="2" s="1"/>
  <c r="O140" i="2" a="1"/>
  <c r="O140" i="2"/>
  <c r="O141" i="2" a="1"/>
  <c r="O141" i="2"/>
  <c r="O142" i="2" a="1"/>
  <c r="O142" i="2" s="1"/>
  <c r="O143" i="2" a="1"/>
  <c r="O143" i="2" s="1"/>
  <c r="O144" i="2" a="1"/>
  <c r="O144" i="2"/>
  <c r="O145" i="2" a="1"/>
  <c r="O145" i="2"/>
  <c r="O146" i="2" a="1"/>
  <c r="O146" i="2" s="1"/>
  <c r="O147" i="2" a="1"/>
  <c r="O147" i="2" s="1"/>
  <c r="O148" i="2" a="1"/>
  <c r="O148" i="2"/>
  <c r="O149" i="2" a="1"/>
  <c r="O149" i="2"/>
  <c r="O150" i="2" a="1"/>
  <c r="O150" i="2" s="1"/>
  <c r="O151" i="2" a="1"/>
  <c r="O151" i="2" s="1"/>
  <c r="O152" i="2" a="1"/>
  <c r="O152" i="2"/>
  <c r="O153" i="2" a="1"/>
  <c r="O153" i="2"/>
  <c r="O154" i="2" a="1"/>
  <c r="O154" i="2" s="1"/>
  <c r="O155" i="2" a="1"/>
  <c r="O155" i="2" s="1"/>
  <c r="O156" i="2" a="1"/>
  <c r="O156" i="2"/>
  <c r="O157" i="2" a="1"/>
  <c r="O157" i="2"/>
  <c r="O158" i="2" a="1"/>
  <c r="O158" i="2" s="1"/>
  <c r="O159" i="2" a="1"/>
  <c r="O159" i="2" s="1"/>
  <c r="O160" i="2" a="1"/>
  <c r="O160" i="2"/>
  <c r="O161" i="2" a="1"/>
  <c r="O161" i="2" s="1"/>
  <c r="O162" i="2" a="1"/>
  <c r="O162" i="2" s="1"/>
  <c r="O163" i="2" a="1"/>
  <c r="O163" i="2" s="1"/>
  <c r="O164" i="2" a="1"/>
  <c r="O164" i="2"/>
  <c r="O165" i="2" a="1"/>
  <c r="O165" i="2"/>
  <c r="O166" i="2" a="1"/>
  <c r="O166" i="2" s="1"/>
  <c r="O167" i="2" a="1"/>
  <c r="O167" i="2" s="1"/>
  <c r="O168" i="2" a="1"/>
  <c r="O168" i="2"/>
  <c r="O169" i="2" a="1"/>
  <c r="O169" i="2"/>
  <c r="O170" i="2" a="1"/>
  <c r="O170" i="2" s="1"/>
  <c r="O171" i="2" a="1"/>
  <c r="O171" i="2" s="1"/>
  <c r="O172" i="2" a="1"/>
  <c r="O172" i="2"/>
  <c r="O173" i="2" a="1"/>
  <c r="O173" i="2"/>
  <c r="O174" i="2" a="1"/>
  <c r="O174" i="2" s="1"/>
  <c r="O175" i="2" a="1"/>
  <c r="O175" i="2" s="1"/>
  <c r="O176" i="2" a="1"/>
  <c r="O176" i="2"/>
  <c r="O177" i="2" a="1"/>
  <c r="O177" i="2"/>
  <c r="O178" i="2" a="1"/>
  <c r="O178" i="2" s="1"/>
  <c r="O179" i="2" a="1"/>
  <c r="O179" i="2" s="1"/>
  <c r="O180" i="2" a="1"/>
  <c r="O180" i="2"/>
  <c r="O181" i="2" a="1"/>
  <c r="O181" i="2"/>
  <c r="O182" i="2" a="1"/>
  <c r="O182" i="2" s="1"/>
  <c r="O183" i="2" a="1"/>
  <c r="O183" i="2" s="1"/>
  <c r="O184" i="2" a="1"/>
  <c r="O184" i="2"/>
  <c r="O185" i="2" a="1"/>
  <c r="O185" i="2"/>
  <c r="O186" i="2" a="1"/>
  <c r="O186" i="2" s="1"/>
  <c r="O187" i="2" a="1"/>
  <c r="O187" i="2" s="1"/>
  <c r="O188" i="2" a="1"/>
  <c r="O188" i="2"/>
  <c r="O189" i="2" a="1"/>
  <c r="O189" i="2"/>
  <c r="O190" i="2" a="1"/>
  <c r="O190" i="2" s="1"/>
  <c r="O191" i="2" a="1"/>
  <c r="O191" i="2" s="1"/>
  <c r="O192" i="2" a="1"/>
  <c r="O192" i="2"/>
  <c r="O193" i="2" a="1"/>
  <c r="O193" i="2"/>
  <c r="O194" i="2" a="1"/>
  <c r="O194" i="2"/>
  <c r="O195" i="2" a="1"/>
  <c r="O195" i="2" s="1"/>
  <c r="O196" i="2" a="1"/>
  <c r="O196" i="2"/>
  <c r="O197" i="2" a="1"/>
  <c r="O197" i="2"/>
  <c r="O198" i="2" a="1"/>
  <c r="O198" i="2" s="1"/>
  <c r="O199" i="2" a="1"/>
  <c r="O199" i="2" s="1"/>
  <c r="O200" i="2" a="1"/>
  <c r="O200" i="2"/>
  <c r="Y1" i="2" a="1"/>
  <c r="F28" i="7" a="1"/>
  <c r="A28" i="7" a="1"/>
  <c r="P28" i="7" a="1"/>
  <c r="K28" i="7" a="1"/>
  <c r="AA43" i="2" l="1"/>
  <c r="AA7" i="2"/>
  <c r="AA18" i="2"/>
  <c r="AA33" i="2"/>
  <c r="AA13" i="2"/>
  <c r="AA28" i="2"/>
  <c r="AA22" i="2"/>
  <c r="AA35" i="2"/>
  <c r="AA30" i="2"/>
  <c r="AA10" i="2"/>
  <c r="AA25" i="2"/>
  <c r="AA4" i="2"/>
  <c r="AA12" i="2"/>
  <c r="AA20" i="2"/>
  <c r="AA23" i="2"/>
  <c r="AA21" i="2"/>
  <c r="AA27" i="2"/>
  <c r="AA6" i="2"/>
  <c r="AA31" i="2"/>
  <c r="AA17" i="2"/>
  <c r="AA40" i="2"/>
  <c r="AA29" i="2"/>
  <c r="AA14" i="2"/>
  <c r="AA9" i="2"/>
  <c r="AA32" i="2"/>
  <c r="AA24" i="2"/>
  <c r="AA15" i="2"/>
  <c r="AA19" i="2"/>
  <c r="AA11" i="2"/>
  <c r="AA36" i="2"/>
  <c r="AA37" i="2"/>
  <c r="AA8" i="2"/>
  <c r="AA38" i="2"/>
  <c r="AA3" i="2"/>
  <c r="AA42" i="2"/>
  <c r="AA5" i="2"/>
  <c r="AA39" i="2"/>
  <c r="AA16" i="2"/>
  <c r="AA2" i="2"/>
  <c r="AA34" i="2"/>
  <c r="AA26" i="2"/>
  <c r="AA41" i="2"/>
  <c r="Y1" i="2"/>
  <c r="AC1" i="2"/>
  <c r="K28" i="7"/>
  <c r="S29" i="7" a="1"/>
  <c r="S29" i="7" s="1"/>
  <c r="P28" i="7"/>
  <c r="A28" i="7"/>
  <c r="Q29" i="7" a="1"/>
  <c r="Q29" i="7" s="1"/>
  <c r="F28" i="7"/>
  <c r="R29" i="7" a="1"/>
  <c r="R2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<sst xmlns="http://schemas.openxmlformats.org/spreadsheetml/2006/main" count="305" uniqueCount="163">
  <si>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</si>
  <si>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</si>
  <si>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</si>
  <si>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</si>
  <si>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</si>
  <si>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</si>
  <si>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</si>
  <si>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</si>
  <si>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</si>
  <si>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</si>
  <si>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</si>
  <si>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</si>
  <si>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</si>
  <si>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</si>
  <si>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</si>
  <si>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</si>
  <si>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</si>
  <si>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</si>
  <si>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</si>
  <si>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</si>
  <si>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</si>
  <si>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</si>
  <si>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</si>
  <si>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</si>
  <si>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</si>
  <si>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</si>
  <si>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</si>
  <si>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</si>
  <si>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</si>
  <si>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</si>
  <si>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</si>
  <si>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</si>
  <si>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</si>
  <si>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</si>
  <si>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</si>
  <si>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</si>
  <si>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</si>
  <si>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</si>
  <si>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</si>
  <si>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</si>
  <si>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</si>
  <si>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</si>
  <si>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</si>
  <si>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</si>
  <si>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</si>
  <si>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</si>
  <si>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</si>
  <si>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</si>
  <si>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</si>
  <si>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</si>
  <si>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</si>
  <si>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</si>
  <si>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</si>
  <si>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</si>
  <si>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</si>
  <si>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</si>
  <si>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</si>
  <si>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</si>
  <si>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</si>
  <si>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</si>
  <si>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</si>
  <si>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</si>
  <si>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2Y</t>
  </si>
  <si>
    <t>2s10s Curve</t>
  </si>
  <si>
    <t>Date</t>
  </si>
  <si>
    <t>Spread</t>
  </si>
  <si>
    <t>2s5s10s Fly</t>
  </si>
  <si>
    <t>Fly</t>
  </si>
  <si>
    <t>RealTimeValue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</si>
  <si>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</si>
  <si>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</si>
  <si>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</si>
  <si>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</si>
  <si>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</si>
  <si>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</si>
  <si>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</si>
  <si>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</si>
  <si>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</si>
  <si>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</si>
  <si>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</si>
  <si>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</si>
  <si>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</si>
  <si>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</si>
  <si>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</si>
  <si>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</si>
  <si>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12M</t>
    <phoneticPr fontId="4"/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</si>
  <si>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</si>
  <si>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</si>
  <si>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</si>
  <si>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</si>
  <si>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</si>
  <si>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</si>
  <si>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</si>
  <si>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</si>
  <si>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</si>
  <si>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</si>
  <si>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</si>
  <si>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</si>
  <si>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</si>
  <si>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</si>
  <si>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</si>
  <si>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</si>
  <si>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</si>
  <si>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</si>
  <si>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</si>
  <si>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ROLLING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</si>
  <si>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</si>
  <si>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</si>
  <si>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</si>
  <si>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</si>
  <si>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</si>
  <si>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</si>
  <si>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</si>
  <si>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</si>
  <si>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</si>
  <si>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</si>
  <si>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</si>
  <si>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</si>
  <si>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</si>
  <si>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</si>
  <si>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</si>
  <si>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</si>
  <si>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</si>
  <si>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</si>
  <si>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</si>
  <si>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空欄=今日(RealTimeのライブのレート)。過去日=ヒストリカルDBのその日のレート。全UDFがこのセルを参照する</t>
  </si>
  <si>
    <t>マーケット</t>
  </si>
  <si>
    <t>合計(テナー別)</t>
  </si>
  <si>
    <t>参考: delta(V列)合計</t>
  </si>
  <si>
    <t>Mainシートの評価日に連動(空欄=今日)</t>
    <phoneticPr fontId="4"/>
  </si>
  <si>
    <t>Start</t>
  </si>
  <si>
    <t>End</t>
  </si>
  <si>
    <t>RD</t>
  </si>
  <si>
    <t>RD</t>
    <phoneticPr fontId="4"/>
  </si>
  <si>
    <t>M1</t>
    <phoneticPr fontId="4"/>
  </si>
  <si>
    <t>M2</t>
    <phoneticPr fontId="4"/>
  </si>
  <si>
    <t>M3</t>
    <phoneticPr fontId="4"/>
  </si>
  <si>
    <t>M4</t>
    <phoneticPr fontId="4"/>
  </si>
  <si>
    <t>M5</t>
    <phoneticPr fontId="4"/>
  </si>
  <si>
    <t>M6</t>
    <phoneticPr fontId="4"/>
  </si>
  <si>
    <t>M7</t>
    <phoneticPr fontId="4"/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</si>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</sst>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00"/>
    <numFmt numFmtId="178" formatCode="0.000"/>
    <numFmt numFmtId="179" formatCode="0.0"/>
  </numFmts>
  <fonts count="8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0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HistChart!$Q$28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HistChart!$R$28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HistChart!$S$28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HistChart!$B$6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27</xdr:col>
      <xdr:colOff>184150</xdr:colOff>
      <xdr:row>29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istorical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設定"/>
      <sheetName val="Vol設定"/>
      <sheetName val="Mid"/>
      <sheetName val="Fixing"/>
      <sheetName val="Vol"/>
      <sheetName val="VolMatrix"/>
      <sheetName val="銘柄"/>
      <sheetName val="Raw"/>
      <sheetName val="RawFixing"/>
      <sheetName val="RawV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C4"/>
  <sheetViews>
    <sheetView workbookViewId="0">
      <selection activeCell="C8" sqref="C8"/>
    </sheetView>
  </sheetViews>
  <sheetFormatPr defaultRowHeight="14" x14ac:dyDescent="0.2"/>
  <cols>
    <col min="1" max="1" width="12.58203125" customWidth="1"/>
    <col min="2" max="2" width="14.58203125" customWidth="1"/>
  </cols>
  <sheetData>
    <row r="1" spans="1:3" x14ac:dyDescent="0.2">
      <c r="A1" s="6" t="s">
        <v>123</v>
      </c>
    </row>
    <row r="3" spans="1:3" x14ac:dyDescent="0.2">
      <c r="A3" t="s">
        <v>124</v>
      </c>
      <c r="B3" s="16"/>
      <c r="C3" t="s">
        <v>125</v>
      </c>
    </row>
    <row r="4" spans="1:3" x14ac:dyDescent="0.2">
      <c r="A4" t="s">
        <v>126</v>
      </c>
      <c r="B4">
        <f ca="1">MarketInfo(RealTime!$B$2:$D$45,評価日)</f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5"/>
  <sheetViews>
    <sheetView workbookViewId="0">
      <selection activeCell="H16" sqref="H16"/>
    </sheetView>
  </sheetViews>
  <sheetFormatPr defaultRowHeight="14" x14ac:dyDescent="0.2"/>
  <cols>
    <col min="5" max="7" width="11.25" bestFit="1" customWidth="1"/>
  </cols>
  <sheetData>
    <row r="1" spans="2:6" x14ac:dyDescent="0.2">
      <c r="C1" t="s">
        <v>0</v>
      </c>
      <c r="D1" t="s">
        <v>1</v>
      </c>
      <c r="E1" t="s">
        <v>130</v>
      </c>
      <c r="F1" t="s">
        <v>131</v>
      </c>
    </row>
    <row r="2" spans="2:6" x14ac:dyDescent="0.2">
      <c r="C2" t="s">
        <v>2</v>
      </c>
      <c r="D2">
        <f ca="1">(_xll.RtGet("IDN","JP1DONI=TRDT","BID")+_xll.RtGet("IDN","JP1DONI=TRDT","ASK"))/2</f>
      </c>
      <c r="E2" s="5"/>
      <c r="F2" s="5"/>
    </row>
    <row r="3" spans="2:6" x14ac:dyDescent="0.2">
      <c r="B3">
        <v>1</v>
      </c>
      <c r="C3" t="s">
        <v>3</v>
      </c>
      <c r="D3" cm="1">
        <f t="array" aca="1" ref="D3" ca="1">(_xll.RtGet("IDN","JP"&amp;C3&amp;"ONI=TRDT","BID")+_xll.RtGet("IDN","JP"&amp;C3&amp;"ONI=TRDT","ASK"))/2</f>
      </c>
      <c r="E3" s="5"/>
      <c r="F3" s="5"/>
    </row>
    <row r="4" spans="2:6" x14ac:dyDescent="0.2">
      <c r="B4">
        <v>1</v>
      </c>
      <c r="C4" t="s">
        <v>4</v>
      </c>
      <c r="D4" cm="1">
        <f t="array" aca="1" ref="D4" ca="1">(_xll.RtGet("IDN","JP"&amp;C4&amp;"ONI=TRDT","BID")+_xll.RtGet("IDN","JP"&amp;C4&amp;"ONI=TRDT","ASK"))/2</f>
      </c>
      <c r="E4" s="5"/>
      <c r="F4" s="5"/>
    </row>
    <row r="5" spans="2:6" x14ac:dyDescent="0.2">
      <c r="B5">
        <v>1</v>
      </c>
      <c r="C5" t="s">
        <v>5</v>
      </c>
      <c r="D5" cm="1">
        <f t="array" aca="1" ref="D5" ca="1">(_xll.RtGet("IDN","JP"&amp;C5&amp;"ONI=TRDT","BID")+_xll.RtGet("IDN","JP"&amp;C5&amp;"ONI=TRDT","ASK"))/2</f>
      </c>
      <c r="E5" s="5"/>
      <c r="F5" s="5"/>
    </row>
    <row r="6" spans="2:6" x14ac:dyDescent="0.2">
      <c r="B6">
        <v>1</v>
      </c>
      <c r="C6" t="s">
        <v>6</v>
      </c>
      <c r="D6" cm="1">
        <f t="array" aca="1" ref="D6" ca="1">(_xll.RtGet("IDN","JP"&amp;C6&amp;"ONI=TRDT","BID")+_xll.RtGet("IDN","JP"&amp;C6&amp;"ONI=TRDT","ASK"))/2</f>
      </c>
      <c r="E6" s="5"/>
      <c r="F6" s="5"/>
    </row>
    <row r="7" spans="2:6" x14ac:dyDescent="0.2">
      <c r="B7">
        <v>1</v>
      </c>
      <c r="C7" t="s">
        <v>7</v>
      </c>
      <c r="D7" cm="1">
        <f t="array" aca="1" ref="D7" ca="1">(_xll.RtGet("IDN","JP"&amp;C7&amp;"ONI=TRDT","BID")+_xll.RtGet("IDN","JP"&amp;C7&amp;"ONI=TRDT","ASK"))/2</f>
      </c>
      <c r="E7" s="5"/>
      <c r="F7" s="5"/>
    </row>
    <row r="8" spans="2:6" x14ac:dyDescent="0.2">
      <c r="B8">
        <v>1</v>
      </c>
      <c r="C8" t="s">
        <v>8</v>
      </c>
      <c r="D8" cm="1">
        <f t="array" aca="1" ref="D8" ca="1">(_xll.RtGet("IDN","JP"&amp;C8&amp;"ONI=TRDT","BID")+_xll.RtGet("IDN","JP"&amp;C8&amp;"ONI=TRDT","ASK"))/2</f>
      </c>
      <c r="E8" s="5"/>
      <c r="F8" s="5"/>
    </row>
    <row r="9" spans="2:6" x14ac:dyDescent="0.2">
      <c r="B9">
        <v>1</v>
      </c>
      <c r="C9" t="s">
        <v>9</v>
      </c>
      <c r="D9" cm="1">
        <f t="array" aca="1" ref="D9" ca="1">(_xll.RtGet("IDN","JP"&amp;C9&amp;"ONI=TRDT","BID")+_xll.RtGet("IDN","JP"&amp;C9&amp;"ONI=TRDT","ASK"))/2</f>
      </c>
      <c r="E9" s="5"/>
      <c r="F9" s="5"/>
    </row>
    <row r="10" spans="2:6" x14ac:dyDescent="0.2">
      <c r="B10">
        <v>1</v>
      </c>
      <c r="C10" t="s">
        <v>10</v>
      </c>
      <c r="D10" cm="1">
        <f t="array" aca="1" ref="D10" ca="1">(_xll.RtGet("IDN","JP"&amp;C10&amp;"ONI=TRDT","BID")+_xll.RtGet("IDN","JP"&amp;C10&amp;"ONI=TRDT","ASK"))/2</f>
      </c>
      <c r="E10" s="5"/>
      <c r="F10" s="5"/>
    </row>
    <row r="11" spans="2:6" x14ac:dyDescent="0.2">
      <c r="B11">
        <v>1</v>
      </c>
      <c r="C11" t="s">
        <v>11</v>
      </c>
      <c r="D11" cm="1">
        <f t="array" aca="1" ref="D11" ca="1">(_xll.RtGet("IDN","JP"&amp;C11&amp;"ONI=TRDT","BID")+_xll.RtGet("IDN","JP"&amp;C11&amp;"ONI=TRDT","ASK"))/2</f>
      </c>
      <c r="E11" s="5"/>
      <c r="F11" s="5"/>
    </row>
    <row r="12" spans="2:6" x14ac:dyDescent="0.2">
      <c r="B12">
        <v>1</v>
      </c>
      <c r="C12" t="s">
        <v>12</v>
      </c>
      <c r="D12" cm="1">
        <f t="array" aca="1" ref="D12" ca="1">(_xll.RtGet("IDN","JP"&amp;C12&amp;"ONI=TRDT","BID")+_xll.RtGet("IDN","JP"&amp;C12&amp;"ONI=TRDT","ASK"))/2</f>
      </c>
      <c r="E12" s="5"/>
      <c r="F12" s="5"/>
    </row>
    <row r="13" spans="2:6" x14ac:dyDescent="0.2">
      <c r="B13">
        <v>1</v>
      </c>
      <c r="C13" t="s">
        <v>13</v>
      </c>
      <c r="D13" cm="1">
        <f t="array" aca="1" ref="D13" ca="1">(_xll.RtGet("IDN","JP"&amp;C13&amp;"ONI=TRDT","BID")+_xll.RtGet("IDN","JP"&amp;C13&amp;"ONI=TRDT","ASK"))/2</f>
      </c>
      <c r="E13" s="5"/>
      <c r="F13" s="5"/>
    </row>
    <row r="14" spans="2:6" x14ac:dyDescent="0.2">
      <c r="B14">
        <v>1</v>
      </c>
      <c r="C14" t="s">
        <v>14</v>
      </c>
      <c r="D14" cm="1">
        <f t="array" aca="1" ref="D14" ca="1">(_xll.RtGet("IDN","JP"&amp;C14&amp;"ONI=TRDT","BID")+_xll.RtGet("IDN","JP"&amp;C14&amp;"ONI=TRDT","ASK"))/2</f>
      </c>
      <c r="E14" s="5"/>
      <c r="F14" s="5"/>
    </row>
    <row r="15" spans="2:6" x14ac:dyDescent="0.2">
      <c r="B15">
        <v>1</v>
      </c>
      <c r="C15" t="s">
        <v>85</v>
      </c>
      <c r="D15" cm="1">
        <f t="array" aca="1" ref="D15" ca="1">(_xll.RtGet("IDN","JP"&amp;C15&amp;"ONI=TRDT","BID")+_xll.RtGet("IDN","JP"&amp;C15&amp;"ONI=TRDT","ASK"))/2</f>
      </c>
      <c r="E15" s="5"/>
      <c r="F15" s="5"/>
    </row>
    <row r="16" spans="2:6" x14ac:dyDescent="0.2">
      <c r="B16">
        <v>1</v>
      </c>
      <c r="C16" t="s">
        <v>15</v>
      </c>
      <c r="D16" cm="1">
        <f t="array" aca="1" ref="D16" ca="1">(_xll.RtGet("IDN","JP"&amp;C16&amp;"ONI=TRDT","BID")+_xll.RtGet("IDN","JP"&amp;C16&amp;"ONI=TRDT","ASK"))/2</f>
      </c>
      <c r="E16" s="5"/>
      <c r="F16" s="5"/>
    </row>
    <row r="17" spans="2:6" x14ac:dyDescent="0.2">
      <c r="B17">
        <v>1</v>
      </c>
      <c r="C17" t="s">
        <v>16</v>
      </c>
      <c r="D17" cm="1">
        <f t="array" aca="1" ref="D17" ca="1">(_xll.RtGet("IDN","JP"&amp;C17&amp;"ONI=TRDT","BID")+_xll.RtGet("IDN","JP"&amp;C17&amp;"ONI=TRDT","ASK"))/2</f>
      </c>
      <c r="E17" s="5"/>
      <c r="F17" s="5"/>
    </row>
    <row r="18" spans="2:6" x14ac:dyDescent="0.2">
      <c r="B18">
        <v>1</v>
      </c>
      <c r="C18" t="s">
        <v>17</v>
      </c>
      <c r="D18" cm="1">
        <f t="array" aca="1" ref="D18" ca="1">(_xll.RtGet("IDN","JP"&amp;C18&amp;"ONI=TRDT","BID")+_xll.RtGet("IDN","JP"&amp;C18&amp;"ONI=TRDT","ASK"))/2</f>
      </c>
      <c r="E18" s="5"/>
      <c r="F18" s="5"/>
    </row>
    <row r="19" spans="2:6" x14ac:dyDescent="0.2">
      <c r="B19">
        <v>1</v>
      </c>
      <c r="C19" t="s">
        <v>18</v>
      </c>
      <c r="D19" cm="1">
        <f t="array" aca="1" ref="D19" ca="1">(_xll.RtGet("IDN","JP"&amp;C19&amp;"ONI=TRDT","BID")+_xll.RtGet("IDN","JP"&amp;C19&amp;"ONI=TRDT","ASK"))/2</f>
      </c>
      <c r="E19" s="5"/>
      <c r="F19" s="5"/>
    </row>
    <row r="20" spans="2:6" x14ac:dyDescent="0.2">
      <c r="B20">
        <v>1</v>
      </c>
      <c r="C20" t="s">
        <v>19</v>
      </c>
      <c r="D20" cm="1">
        <f t="array" aca="1" ref="D20" ca="1">(_xll.RtGet("IDN","JP"&amp;C20&amp;"ONI=TRDT","BID")+_xll.RtGet("IDN","JP"&amp;C20&amp;"ONI=TRDT","ASK"))/2</f>
      </c>
      <c r="E20" s="5"/>
      <c r="F20" s="5"/>
    </row>
    <row r="21" spans="2:6" x14ac:dyDescent="0.2">
      <c r="B21">
        <v>1</v>
      </c>
      <c r="C21" t="s">
        <v>20</v>
      </c>
      <c r="D21" cm="1">
        <f t="array" aca="1" ref="D21" ca="1">(_xll.RtGet("IDN","JP"&amp;C21&amp;"ONI=TRDT","BID")+_xll.RtGet("IDN","JP"&amp;C21&amp;"ONI=TRDT","ASK"))/2</f>
      </c>
      <c r="E21" s="5"/>
      <c r="F21" s="5"/>
    </row>
    <row r="22" spans="2:6" x14ac:dyDescent="0.2">
      <c r="B22">
        <v>1</v>
      </c>
      <c r="C22" t="s">
        <v>21</v>
      </c>
      <c r="D22" cm="1">
        <f t="array" aca="1" ref="D22" ca="1">(_xll.RtGet("IDN","JP"&amp;C22&amp;"ONI=TRDT","BID")+_xll.RtGet("IDN","JP"&amp;C22&amp;"ONI=TRDT","ASK"))/2</f>
      </c>
      <c r="E22" s="5"/>
      <c r="F22" s="5"/>
    </row>
    <row r="23" spans="2:6" x14ac:dyDescent="0.2">
      <c r="B23">
        <v>1</v>
      </c>
      <c r="C23" t="s">
        <v>22</v>
      </c>
      <c r="D23" cm="1">
        <f t="array" aca="1" ref="D23" ca="1">(_xll.RtGet("IDN","JP"&amp;C23&amp;"ONI=TRDT","BID")+_xll.RtGet("IDN","JP"&amp;C23&amp;"ONI=TRDT","ASK"))/2</f>
      </c>
      <c r="E23" s="5"/>
      <c r="F23" s="5"/>
    </row>
    <row r="24" spans="2:6" x14ac:dyDescent="0.2">
      <c r="B24">
        <v>1</v>
      </c>
      <c r="C24" t="s">
        <v>23</v>
      </c>
      <c r="D24" cm="1">
        <f t="array" aca="1" ref="D24" ca="1">(_xll.RtGet("IDN","JP"&amp;C24&amp;"ONI=TRDT","BID")+_xll.RtGet("IDN","JP"&amp;C24&amp;"ONI=TRDT","ASK"))/2</f>
      </c>
      <c r="E24" s="5"/>
      <c r="F24" s="5"/>
    </row>
    <row r="25" spans="2:6" x14ac:dyDescent="0.2">
      <c r="B25">
        <v>1</v>
      </c>
      <c r="C25" t="s">
        <v>24</v>
      </c>
      <c r="D25" cm="1">
        <f t="array" aca="1" ref="D25" ca="1">(_xll.RtGet("IDN","JP"&amp;C25&amp;"ONI=TRDT","BID")+_xll.RtGet("IDN","JP"&amp;C25&amp;"ONI=TRDT","ASK"))/2</f>
      </c>
      <c r="E25" s="5"/>
      <c r="F25" s="5"/>
    </row>
    <row r="26" spans="2:6" x14ac:dyDescent="0.2">
      <c r="B26">
        <v>1</v>
      </c>
      <c r="C26" t="s">
        <v>25</v>
      </c>
      <c r="D26" cm="1">
        <f t="array" aca="1" ref="D26" ca="1">(_xll.RtGet("IDN","JP"&amp;C26&amp;"ONI=TRDT","BID")+_xll.RtGet("IDN","JP"&amp;C26&amp;"ONI=TRDT","ASK"))/2</f>
      </c>
      <c r="E26" s="5"/>
      <c r="F26" s="5"/>
    </row>
    <row r="27" spans="2:6" x14ac:dyDescent="0.2">
      <c r="B27">
        <v>1</v>
      </c>
      <c r="C27" t="s">
        <v>26</v>
      </c>
      <c r="D27" cm="1">
        <f t="array" aca="1" ref="D27" ca="1">(_xll.RtGet("IDN","JP"&amp;C27&amp;"ONI=TRDT","BID")+_xll.RtGet("IDN","JP"&amp;C27&amp;"ONI=TRDT","ASK"))/2</f>
      </c>
      <c r="E27" s="5"/>
      <c r="F27" s="5"/>
    </row>
    <row r="28" spans="2:6" x14ac:dyDescent="0.2">
      <c r="B28">
        <v>1</v>
      </c>
      <c r="C28" t="s">
        <v>27</v>
      </c>
      <c r="D28" cm="1">
        <f t="array" aca="1" ref="D28" ca="1">(_xll.RtGet("IDN","JP"&amp;C28&amp;"ONI=TRDT","BID")+_xll.RtGet("IDN","JP"&amp;C28&amp;"ONI=TRDT","ASK"))/2</f>
      </c>
      <c r="E28" s="5"/>
      <c r="F28" s="5"/>
    </row>
    <row r="29" spans="2:6" x14ac:dyDescent="0.2">
      <c r="B29">
        <v>1</v>
      </c>
      <c r="C29" t="s">
        <v>28</v>
      </c>
      <c r="D29" cm="1">
        <f t="array" aca="1" ref="D29" ca="1">(_xll.RtGet("IDN","JP"&amp;C29&amp;"ONI=TRDT","BID")+_xll.RtGet("IDN","JP"&amp;C29&amp;"ONI=TRDT","ASK"))/2</f>
      </c>
      <c r="E29" s="5"/>
      <c r="F29" s="5"/>
    </row>
    <row r="30" spans="2:6" x14ac:dyDescent="0.2">
      <c r="B30">
        <v>1</v>
      </c>
      <c r="C30" t="s">
        <v>29</v>
      </c>
      <c r="D30" cm="1">
        <f t="array" aca="1" ref="D30" ca="1">(_xll.RtGet("IDN","JP"&amp;C30&amp;"ONI=TRDT","BID")+_xll.RtGet("IDN","JP"&amp;C30&amp;"ONI=TRDT","ASK"))/2</f>
      </c>
      <c r="E30" s="5"/>
      <c r="F30" s="5"/>
    </row>
    <row r="31" spans="2:6" x14ac:dyDescent="0.2">
      <c r="B31">
        <v>1</v>
      </c>
      <c r="C31" t="s">
        <v>30</v>
      </c>
      <c r="D31" cm="1">
        <f t="array" aca="1" ref="D31" ca="1">(_xll.RtGet("IDN","JP"&amp;C31&amp;"ONI=TRDT","BID")+_xll.RtGet("IDN","JP"&amp;C31&amp;"ONI=TRDT","ASK"))/2</f>
      </c>
      <c r="E31" s="5"/>
      <c r="F31" s="5"/>
    </row>
    <row r="32" spans="2:6" x14ac:dyDescent="0.2">
      <c r="B32">
        <v>1</v>
      </c>
      <c r="C32" t="s">
        <v>31</v>
      </c>
      <c r="D32" cm="1">
        <f t="array" aca="1" ref="D32" ca="1">(_xll.RtGet("IDN","JP"&amp;C32&amp;"ONI=TRDT","BID")+_xll.RtGet("IDN","JP"&amp;C32&amp;"ONI=TRDT","ASK"))/2</f>
      </c>
      <c r="E32" s="5"/>
      <c r="F32" s="5"/>
    </row>
    <row r="33" spans="1:6" x14ac:dyDescent="0.2">
      <c r="B33">
        <v>1</v>
      </c>
      <c r="C33" t="s">
        <v>32</v>
      </c>
      <c r="D33" cm="1">
        <f t="array" aca="1" ref="D33" ca="1">(_xll.RtGet("IDN","JP"&amp;C33&amp;"ONI=TRDT","BID")+_xll.RtGet("IDN","JP"&amp;C33&amp;"ONI=TRDT","ASK"))/2</f>
      </c>
      <c r="E33" s="5"/>
      <c r="F33" s="5"/>
    </row>
    <row r="34" spans="1:6" x14ac:dyDescent="0.2">
      <c r="B34">
        <v>1</v>
      </c>
      <c r="C34" t="s">
        <v>33</v>
      </c>
      <c r="D34" cm="1">
        <f t="array" aca="1" ref="D34" ca="1">(_xll.RtGet("IDN","JP"&amp;C34&amp;"ONI=TRDT","BID")+_xll.RtGet("IDN","JP"&amp;C34&amp;"ONI=TRDT","ASK"))/2</f>
      </c>
      <c r="E34" s="5"/>
      <c r="F34" s="5"/>
    </row>
    <row r="35" spans="1:6" x14ac:dyDescent="0.2">
      <c r="B35">
        <v>1</v>
      </c>
      <c r="C35" t="s">
        <v>34</v>
      </c>
      <c r="D35" cm="1">
        <f t="array" aca="1" ref="D35" ca="1">(_xll.RtGet("IDN","JP"&amp;C35&amp;"ONI=TRDT","BID")+_xll.RtGet("IDN","JP"&amp;C35&amp;"ONI=TRDT","ASK"))/2</f>
      </c>
      <c r="E35" s="5"/>
      <c r="F35" s="5"/>
    </row>
    <row r="36" spans="1:6" x14ac:dyDescent="0.2">
      <c r="A36" t="s">
        <v>132</v>
      </c>
      <c r="B36">
        <v>0</v>
      </c>
      <c r="C36" t="s">
        <v>133</v>
      </c>
      <c r="D36">
        <f ca="1">(_xll.TR("JPBOJ"&amp;A36&amp;"ONI=TRDT","BID")+_xll.TR("JPBOJ"&amp;A36&amp;"ONI=TRDT","ASK"))/2</f>
      </c>
      <c r="E36" s="5">
        <f ca="1">_xll.TR("JPBOJ"&amp;A36&amp;"ONI=TRDT","GV1_DATE")</f>
      </c>
      <c r="F36" s="5">
        <f ca="1">_xll.TR("JPBOJ"&amp;A36&amp;"ONI=TRDT","GV2_DATE")</f>
      </c>
    </row>
    <row r="37" spans="1:6" x14ac:dyDescent="0.2">
      <c r="A37">
        <v>1</v>
      </c>
      <c r="B37">
        <v>0</v>
      </c>
      <c r="C37" t="s">
        <v>134</v>
      </c>
      <c r="D37">
        <f ca="1">(_xll.TR("JPBOJ"&amp;A37&amp;"ONI=TRDT","BID")+_xll.TR("JPBOJ"&amp;A37&amp;"ONI=TRDT","ASK"))/2</f>
      </c>
      <c r="E37" s="5">
        <f ca="1">_xll.TR("JPBOJ"&amp;A37&amp;"ONI=TRDT","GV1_DATE")</f>
      </c>
      <c r="F37" s="5">
        <f ca="1">_xll.TR("JPBOJ"&amp;A37&amp;"ONI=TRDT","GV2_DATE")</f>
      </c>
    </row>
    <row r="38" spans="1:6" x14ac:dyDescent="0.2">
      <c r="A38">
        <v>2</v>
      </c>
      <c r="B38">
        <v>0</v>
      </c>
      <c r="C38" t="s">
        <v>135</v>
      </c>
      <c r="D38">
        <f ca="1">(_xll.TR("JPBOJ"&amp;A38&amp;"ONI=TRDT","BID")+_xll.TR("JPBOJ"&amp;A38&amp;"ONI=TRDT","ASK"))/2</f>
      </c>
      <c r="E38" s="5">
        <f ca="1">_xll.TR("JPBOJ"&amp;A38&amp;"ONI=TRDT","GV1_DATE")</f>
      </c>
      <c r="F38" s="5">
        <f ca="1">_xll.TR("JPBOJ"&amp;A38&amp;"ONI=TRDT","GV2_DATE")</f>
      </c>
    </row>
    <row r="39" spans="1:6" x14ac:dyDescent="0.2">
      <c r="A39">
        <v>3</v>
      </c>
      <c r="B39">
        <v>0</v>
      </c>
      <c r="C39" t="s">
        <v>136</v>
      </c>
      <c r="D39">
        <f ca="1">(_xll.TR("JPBOJ"&amp;A39&amp;"ONI=TRDT","BID")+_xll.TR("JPBOJ"&amp;A39&amp;"ONI=TRDT","ASK"))/2</f>
      </c>
      <c r="E39" s="5">
        <f ca="1">_xll.TR("JPBOJ"&amp;A39&amp;"ONI=TRDT","GV1_DATE")</f>
      </c>
      <c r="F39" s="5">
        <f ca="1">_xll.TR("JPBOJ"&amp;A39&amp;"ONI=TRDT","GV2_DATE")</f>
      </c>
    </row>
    <row r="40" spans="1:6" x14ac:dyDescent="0.2">
      <c r="A40">
        <v>4</v>
      </c>
      <c r="B40">
        <v>0</v>
      </c>
      <c r="C40" t="s">
        <v>137</v>
      </c>
      <c r="D40">
        <f ca="1">(_xll.TR("JPBOJ"&amp;A40&amp;"ONI=TRDT","BID")+_xll.TR("JPBOJ"&amp;A40&amp;"ONI=TRDT","ASK"))/2</f>
      </c>
      <c r="E40" s="5">
        <f ca="1">_xll.TR("JPBOJ"&amp;A40&amp;"ONI=TRDT","GV1_DATE")</f>
      </c>
      <c r="F40" s="5">
        <f ca="1">_xll.TR("JPBOJ"&amp;A40&amp;"ONI=TRDT","GV2_DATE")</f>
      </c>
    </row>
    <row r="41" spans="1:6" x14ac:dyDescent="0.2">
      <c r="A41">
        <v>5</v>
      </c>
      <c r="B41">
        <v>0</v>
      </c>
      <c r="C41" t="s">
        <v>138</v>
      </c>
      <c r="D41">
        <f ca="1">(_xll.TR("JPBOJ"&amp;A41&amp;"ONI=TRDT","BID")+_xll.TR("JPBOJ"&amp;A41&amp;"ONI=TRDT","ASK"))/2</f>
      </c>
      <c r="E41" s="5">
        <f ca="1">_xll.TR("JPBOJ"&amp;A41&amp;"ONI=TRDT","GV1_DATE")</f>
      </c>
      <c r="F41" s="5">
        <f ca="1">_xll.TR("JPBOJ"&amp;A41&amp;"ONI=TRDT","GV2_DATE")</f>
      </c>
    </row>
    <row r="42" spans="1:6" x14ac:dyDescent="0.2">
      <c r="A42">
        <v>6</v>
      </c>
      <c r="B42">
        <v>0</v>
      </c>
      <c r="C42" t="s">
        <v>139</v>
      </c>
      <c r="D42">
        <f ca="1">(_xll.TR("JPBOJ"&amp;A42&amp;"ONI=TRDT","BID")+_xll.TR("JPBOJ"&amp;A42&amp;"ONI=TRDT","ASK"))/2</f>
      </c>
      <c r="E42" s="5">
        <f ca="1">_xll.TR("JPBOJ"&amp;A42&amp;"ONI=TRDT","GV1_DATE")</f>
      </c>
      <c r="F42" s="5">
        <f ca="1">_xll.TR("JPBOJ"&amp;A42&amp;"ONI=TRDT","GV2_DATE")</f>
      </c>
    </row>
    <row r="43" spans="1:6" x14ac:dyDescent="0.2">
      <c r="A43">
        <v>7</v>
      </c>
      <c r="B43">
        <v>0</v>
      </c>
      <c r="C43" t="s">
        <v>140</v>
      </c>
      <c r="D43">
        <f ca="1">(_xll.TR("JPBOJ"&amp;A43&amp;"ONI=TRDT","BID")+_xll.TR("JPBOJ"&amp;A43&amp;"ONI=TRDT","ASK"))/2</f>
      </c>
      <c r="E43" s="5">
        <f ca="1">_xll.TR("JPBOJ"&amp;A43&amp;"ONI=TRDT","GV1_DATE")</f>
      </c>
      <c r="F43" s="5">
        <f ca="1">_xll.TR("JPBOJ"&amp;A43&amp;"ONI=TRDT","GV2_DATE")</f>
      </c>
    </row>
    <row r="44" spans="1:6" x14ac:dyDescent="0.2">
      <c r="A44">
        <v>8</v>
      </c>
      <c r="B44">
        <v>0</v>
      </c>
      <c r="C44" t="s">
        <v>35</v>
      </c>
      <c r="D44">
        <f ca="1">(_xll.TR("JPBOJ"&amp;A44&amp;"ONI=TRDT","BID")+_xll.TR("JPBOJ"&amp;A44&amp;"ONI=TRDT","ASK"))/2</f>
      </c>
      <c r="E44" s="5">
        <f ca="1">_xll.TR("JPBOJ"&amp;A44&amp;"ONI=TRDT","GV1_DATE")</f>
      </c>
      <c r="F44" s="5">
        <f ca="1">_xll.TR("JPBOJ"&amp;A44&amp;"ONI=TRDT","GV2_DATE")</f>
      </c>
    </row>
    <row r="45" spans="1:6" x14ac:dyDescent="0.2">
      <c r="A45">
        <v>9</v>
      </c>
      <c r="B45">
        <v>0</v>
      </c>
      <c r="C45" t="s">
        <v>141</v>
      </c>
      <c r="D45">
        <f ca="1">(_xll.TR("JPBOJ"&amp;A45&amp;"ONI=TRDT","BID")+_xll.TR("JPBOJ"&amp;A45&amp;"ONI=TRDT","ASK"))/2</f>
      </c>
      <c r="E45" s="5">
        <f ca="1">_xll.TR("JPBOJ"&amp;A45&amp;"ONI=TRDT","GV1_DATE")</f>
      </c>
      <c r="F45" s="5">
        <f ca="1">_xll.TR("JPBOJ"&amp;A45&amp;"ONI=TRDT","GV2_DATE")</f>
      </c>
    </row>
  </sheetData>
  <phoneticPr fontId="4"/>
  <dataValidations count="1">
    <dataValidation type="list" sqref="D44" xr:uid="{00000000-0002-0000-0000-000000000000}">
      <formula1>"TRUE,FALSE"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200"/>
  <sheetViews>
    <sheetView tabSelected="1" topLeftCell="F1" zoomScale="65" workbookViewId="0">
      <selection activeCell="I32" sqref="I32"/>
    </sheetView>
  </sheetViews>
  <sheetFormatPr defaultRowHeight="14" x14ac:dyDescent="0.2"/>
  <cols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6" max="26" width="8.6640625" style="15"/>
    <col min="28" max="28" width="20.58203125" customWidth="1"/>
  </cols>
  <sheetData>
    <row r="1" spans="1:29" x14ac:dyDescent="0.2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40</v>
      </c>
      <c r="V1" t="s">
        <v>56</v>
      </c>
      <c r="Y1" cm="1">
        <f t="array" aca="1" ref="Y1:Z45" ca="1">RiskGrid(pricing!$A$1:$S$201,RealTime!$B$2:$D$45,評価日,_xlfn.ANCHORARRAY([1]Fixing!$A$5))</f>
      </c>
      <c r="Z1" s="15">
        <f ca="1"/>
      </c>
      <c r="AB1" t="s">
        <v>127</v>
      </c>
      <c r="AC1" s="15">
        <f ca="1">SUM(INDEX(_xlfn.ANCHORARRAY(Y1),0,2))</f>
      </c>
    </row>
    <row r="2" spans="1:29" x14ac:dyDescent="0.2">
      <c r="A2">
        <v>1</v>
      </c>
      <c r="B2">
        <v>1</v>
      </c>
      <c r="C2" t="s">
        <v>57</v>
      </c>
      <c r="D2" s="4">
        <v>10281366220.086935</v>
      </c>
      <c r="E2">
        <v>1</v>
      </c>
      <c r="F2" s="4">
        <f ca="1">IF($E2="","",NotionalForDelta($E2,$G2,$H2,$I2,$K2,$L2,$N2,$O2,$S2,RealTime!$B$2:$D$45,評価日,_xlfn.ANCHORARRAY([1]Fixing!$A$5)))</f>
      </c>
      <c r="G2" s="3" t="s">
        <v>117</v>
      </c>
      <c r="I2" s="3" t="s">
        <v>118</v>
      </c>
      <c r="K2" t="s">
        <v>86</v>
      </c>
      <c r="L2" t="s">
        <v>59</v>
      </c>
      <c r="M2" t="s">
        <v>60</v>
      </c>
      <c r="N2" t="s">
        <v>86</v>
      </c>
      <c r="O2" cm="1">
        <f t="array" ref="O2">IF($G2="","",_xlfn.LET(_xlpm.isImm,_xlfn.LAMBDA(_xlpm.x,AND(ISTEXT(_xlpm.x),LEN(TRIM(_xlpm.x))=3,ISNUMBER(SEARCH(LEFT(TRIM(_xlpm.x),1),"HMUZ")),ISNUMBER(--MID(TRIM(_xlpm.x),2,1)),ISNUMBER(--MID(TRIM(_xlpm.x),3,1)))),IF(AND(_xlpm.isImm($G2),_xlpm.isImm($I2)),"IMM","STD")))</f>
      </c>
      <c r="P2" s="15">
        <f ca="1">IF(A2=1,FairRate($G2,$H2,$I2,$K2,$L2,$N2,$O2,RealTime!$B$2:$D$45,評価日,_xlfn.ANCHORARRAY([1]Fixing!$A$5)),"")</f>
      </c>
      <c r="Q2" s="14">
        <f t="shared" ref="Q2:Q66" ca="1" si="0">IF(ISNUMBER(P1),(P2-P1)*100,"")</f>
      </c>
      <c r="R2" s="14">
        <f t="shared" ref="R2" ca="1" si="1">IF(AND(ISNUMBER(P1),ISNUMBER(P3)),(2*P2-P1-P3)*100,"")</f>
      </c>
      <c r="S2" t="s">
        <v>61</v>
      </c>
      <c r="T2">
        <f ca="1">SwapPV($G2,$H2,$I2,$K2,$L2,$N2,$O2,$D2,$S2,$J2,RealTime!$B$2:$D$45,評価日,_xlfn.ANCHORARRAY([1]Fixing!$A$5))</f>
      </c>
      <c r="U2">
        <f ca="1">SwapDelta($G2,$H2,$I2,$K2,$L2,$N2,$O2,$D2,$S2,$J2,RealTime!$B$2:$D$45,評価日,_xlfn.ANCHORARRAY([1]Fixing!$A$5))</f>
      </c>
      <c r="V2">
        <f ca="1">SwapAnnuityDelta($G2,$H2,$I2,$K2,$L2,$N2,$O2,$D2,$S2,RealTime!$B$2:$D$45,評価日,_xlfn.ANCHORARRAY([1]Fixing!$A$5))</f>
      </c>
      <c r="Y2">
        <f ca="1"/>
      </c>
      <c r="Z2" s="17">
        <f ca="1"/>
      </c>
      <c r="AA2" s="17">
        <f ca="1">Z2</f>
      </c>
      <c r="AB2" t="s">
        <v>128</v>
      </c>
      <c r="AC2" s="15">
        <f ca="1">SUMIFS(U2:U200,B2:B200,1)</f>
      </c>
    </row>
    <row r="3" spans="1:29" x14ac:dyDescent="0.2">
      <c r="A3">
        <v>1</v>
      </c>
      <c r="B3">
        <v>1</v>
      </c>
      <c r="C3" t="s">
        <v>57</v>
      </c>
      <c r="D3" s="4">
        <v>-10746942492.923746</v>
      </c>
      <c r="E3">
        <v>-1</v>
      </c>
      <c r="F3" s="4">
        <f ca="1">IF($E3="","",NotionalForDelta($E3,$G3,$H3,$I3,$K3,$L3,$N3,$O3,$S3,RealTime!$B$2:$D$45,評価日,_xlfn.ANCHORARRAY([1]Fixing!$A$5)))</f>
      </c>
      <c r="G3" s="3" t="s">
        <v>118</v>
      </c>
      <c r="I3" s="3" t="s">
        <v>119</v>
      </c>
      <c r="K3" t="s">
        <v>58</v>
      </c>
      <c r="L3" t="s">
        <v>59</v>
      </c>
      <c r="M3" t="s">
        <v>60</v>
      </c>
      <c r="N3" t="s">
        <v>58</v>
      </c>
      <c r="O3" cm="1">
        <f t="array" ref="O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P3" s="15">
        <f ca="1">IF(A3=1,FairRate($G3,$H3,$I3,$K3,$L3,$N3,$O3,RealTime!$B$2:$D$45,評価日,_xlfn.ANCHORARRAY([1]Fixing!$A$5)),"")</f>
      </c>
      <c r="Q3" s="14">
        <f t="shared" ca="1" si="0"/>
      </c>
      <c r="R3" s="14">
        <f t="shared" ref="R3" ca="1" si="2">IF(AND(ISNUMBER(P2),ISNUMBER(P4)),(2*P3-P2-P4)*100,"")</f>
      </c>
      <c r="S3" t="s">
        <v>61</v>
      </c>
      <c r="T3">
        <f ca="1">SwapPV($G3,$H3,$I3,$K3,$L3,$N3,$O3,$D3,$S3,$J3,RealTime!$B$2:$D$45,評価日,_xlfn.ANCHORARRAY([1]Fixing!$A$5))</f>
      </c>
      <c r="U3">
        <f ca="1">SwapDelta($G3,$H3,$I3,$K3,$L3,$N3,$O3,$D3,$S3,$J3,RealTime!$B$2:$D$45,評価日,_xlfn.ANCHORARRAY([1]Fixing!$A$5))</f>
      </c>
      <c r="V3">
        <f ca="1">SwapAnnuityDelta($G3,$H3,$I3,$K3,$L3,$N3,$O3,$D3,$S3,RealTime!$B$2:$D$45,評価日,_xlfn.ANCHORARRAY([1]Fixing!$A$5))</f>
      </c>
      <c r="Y3">
        <f ca="1"/>
      </c>
      <c r="Z3" s="17">
        <f ca="1"/>
      </c>
      <c r="AA3" s="17">
        <f t="shared" ref="AA3:AA43" ca="1" si="3">Z3</f>
      </c>
    </row>
    <row r="4" spans="1:29" x14ac:dyDescent="0.2">
      <c r="A4">
        <v>1</v>
      </c>
      <c r="C4" t="s">
        <v>57</v>
      </c>
      <c r="D4" s="4">
        <v>11045485964.71777</v>
      </c>
      <c r="E4">
        <v>1</v>
      </c>
      <c r="F4" s="4">
        <f ca="1">IF($E4="","",NotionalForDelta($E4,$G4,$H4,$I4,$K4,$L4,$N4,$O4,$S4,RealTime!$B$2:$D$45,評価日,_xlfn.ANCHORARRAY([1]Fixing!$A$5)))</f>
      </c>
      <c r="G4" s="3" t="s">
        <v>119</v>
      </c>
      <c r="I4" s="3" t="s">
        <v>120</v>
      </c>
      <c r="K4" t="s">
        <v>58</v>
      </c>
      <c r="L4" t="s">
        <v>59</v>
      </c>
      <c r="M4" t="s">
        <v>60</v>
      </c>
      <c r="N4" t="s">
        <v>58</v>
      </c>
      <c r="O4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5">
        <f ca="1">IF(A4=1,FairRate($G4,$H4,$I4,$K4,$L4,$N4,$O4,RealTime!$B$2:$D$45,評価日,_xlfn.ANCHORARRAY([1]Fixing!$A$5)),"")</f>
      </c>
      <c r="Q4" s="14">
        <f t="shared" ca="1" si="0"/>
      </c>
      <c r="R4" s="14">
        <f t="shared" ref="R4:R67" ca="1" si="4">IF(AND(ISNUMBER(P3),ISNUMBER(P5)),(2*P4-P3-P5)*100,"")</f>
      </c>
      <c r="S4" t="s">
        <v>61</v>
      </c>
      <c r="T4">
        <f ca="1">SwapPV($G4,$H4,$I4,$K4,$L4,$N4,$O4,$D4,$S4,$J4,RealTime!$B$2:$D$45,評価日,_xlfn.ANCHORARRAY([1]Fixing!$A$5))</f>
      </c>
      <c r="U4">
        <f ca="1">SwapDelta($G4,$H4,$I4,$K4,$L4,$N4,$O4,$D4,$S4,$J4,RealTime!$B$2:$D$45,評価日,_xlfn.ANCHORARRAY([1]Fixing!$A$5))</f>
      </c>
      <c r="V4">
        <f ca="1">SwapAnnuityDelta($G4,$H4,$I4,$K4,$L4,$N4,$O4,$D4,$S4,RealTime!$B$2:$D$45,評価日,_xlfn.ANCHORARRAY([1]Fixing!$A$5))</f>
      </c>
      <c r="Y4">
        <f ca="1"/>
      </c>
      <c r="Z4" s="17">
        <f ca="1"/>
      </c>
      <c r="AA4" s="17">
        <f t="shared" ca="1" si="3"/>
      </c>
    </row>
    <row r="5" spans="1:29" x14ac:dyDescent="0.2">
      <c r="A5">
        <v>1</v>
      </c>
      <c r="D5" s="4">
        <v>1000000000</v>
      </c>
      <c r="F5" s="4">
        <f ca="1">IF($E5="","",NotionalForDelta($E5,$G5,$H5,$I5,$K5,$L5,$N5,$O5,$S5,RealTime!$B$2:$D$45,評価日,_xlfn.ANCHORARRAY([1]Fixing!$A$5)))</f>
      </c>
      <c r="G5" s="3">
        <v>53598</v>
      </c>
      <c r="H5" t="s">
        <v>122</v>
      </c>
      <c r="K5" t="s">
        <v>58</v>
      </c>
      <c r="L5" t="s">
        <v>59</v>
      </c>
      <c r="M5" t="s">
        <v>60</v>
      </c>
      <c r="N5" t="s">
        <v>58</v>
      </c>
      <c r="O5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5">
        <f ca="1">IF(A5=1,FairRate($G5,$H5,$I5,$K5,$L5,$N5,$O5,RealTime!$B$2:$D$45,評価日,_xlfn.ANCHORARRAY([1]Fixing!$A$5)),"")</f>
      </c>
      <c r="Q5" s="14">
        <f t="shared" ca="1" si="0"/>
      </c>
      <c r="R5" s="14">
        <f t="shared" ca="1" si="4"/>
      </c>
      <c r="Y5">
        <f ca="1"/>
      </c>
      <c r="Z5" s="17">
        <f ca="1"/>
      </c>
      <c r="AA5" s="17">
        <f t="shared" ca="1" si="3"/>
      </c>
    </row>
    <row r="6" spans="1:29" x14ac:dyDescent="0.2">
      <c r="D6" s="4">
        <v>1000000000</v>
      </c>
      <c r="F6" s="4">
        <f ca="1">IF($E6="","",NotionalForDelta($E6,$G6,$H6,$I6,$K6,$L6,$N6,$O6,$S6,RealTime!$B$2:$D$45,評価日,_xlfn.ANCHORARRAY([1]Fixing!$A$5)))</f>
      </c>
      <c r="K6" t="s">
        <v>58</v>
      </c>
      <c r="L6" t="s">
        <v>59</v>
      </c>
      <c r="M6" t="s">
        <v>60</v>
      </c>
      <c r="N6" t="s">
        <v>58</v>
      </c>
      <c r="O6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5">
        <f ca="1">IF(A6=1,FairRate($G6,$H6,$I6,$K6,$L6,$N6,$O6,RealTime!$B$2:$D$45,評価日,_xlfn.ANCHORARRAY([1]Fixing!$A$5)),"")</f>
      </c>
      <c r="Q6" s="14">
        <f t="shared" ca="1" si="0"/>
      </c>
      <c r="R6" s="14">
        <f t="shared" ca="1" si="4"/>
      </c>
      <c r="Y6">
        <f ca="1"/>
      </c>
      <c r="Z6" s="17">
        <f ca="1"/>
      </c>
      <c r="AA6" s="17">
        <f t="shared" ca="1" si="3"/>
      </c>
    </row>
    <row r="7" spans="1:29" x14ac:dyDescent="0.2">
      <c r="D7" s="4">
        <v>1000000000</v>
      </c>
      <c r="F7" s="4">
        <f ca="1">IF($E7="","",NotionalForDelta($E7,$G7,$H7,$I7,$K7,$L7,$N7,$O7,$S7,RealTime!$B$2:$D$45,評価日,_xlfn.ANCHORARRAY([1]Fixing!$A$5)))</f>
      </c>
      <c r="K7" t="s">
        <v>58</v>
      </c>
      <c r="L7" t="s">
        <v>59</v>
      </c>
      <c r="M7" t="s">
        <v>60</v>
      </c>
      <c r="N7" t="s">
        <v>58</v>
      </c>
      <c r="O7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5">
        <f ca="1">IF(A7=1,FairRate($G7,$H7,$I7,$K7,$L7,$N7,$O7,RealTime!$B$2:$D$45,評価日,_xlfn.ANCHORARRAY([1]Fixing!$A$5)),"")</f>
      </c>
      <c r="Q7" s="14">
        <f t="shared" ca="1" si="0"/>
      </c>
      <c r="R7" s="14">
        <f t="shared" ca="1" si="4"/>
      </c>
      <c r="Y7">
        <f ca="1"/>
      </c>
      <c r="Z7" s="17">
        <f ca="1"/>
      </c>
      <c r="AA7" s="17">
        <f t="shared" ca="1" si="3"/>
      </c>
    </row>
    <row r="8" spans="1:29" x14ac:dyDescent="0.2">
      <c r="D8" s="4">
        <v>1000000000</v>
      </c>
      <c r="F8" s="4">
        <f ca="1">IF($E8="","",NotionalForDelta($E8,$G8,$H8,$I8,$K8,$L8,$N8,$O8,$S8,RealTime!$B$2:$D$45,評価日,_xlfn.ANCHORARRAY([1]Fixing!$A$5)))</f>
      </c>
      <c r="K8" t="s">
        <v>58</v>
      </c>
      <c r="L8" t="s">
        <v>59</v>
      </c>
      <c r="M8" t="s">
        <v>60</v>
      </c>
      <c r="N8" t="s">
        <v>58</v>
      </c>
      <c r="O8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5">
        <f ca="1">IF(A8=1,FairRate($G8,$H8,$I8,$K8,$L8,$N8,$O8,RealTime!$B$2:$D$45,評価日,_xlfn.ANCHORARRAY([1]Fixing!$A$5)),"")</f>
      </c>
      <c r="Q8" s="14">
        <f t="shared" ca="1" si="0"/>
      </c>
      <c r="R8" s="14">
        <f t="shared" ca="1" si="4"/>
      </c>
      <c r="Y8">
        <f ca="1"/>
      </c>
      <c r="Z8" s="17">
        <f ca="1"/>
      </c>
      <c r="AA8" s="17">
        <f t="shared" ca="1" si="3"/>
      </c>
    </row>
    <row r="9" spans="1:29" x14ac:dyDescent="0.2">
      <c r="D9" s="4">
        <v>1000000000</v>
      </c>
      <c r="F9" s="4">
        <f ca="1">IF($E9="","",NotionalForDelta($E9,$G9,$H9,$I9,$K9,$L9,$N9,$O9,$S9,RealTime!$B$2:$D$45,評価日,_xlfn.ANCHORARRAY([1]Fixing!$A$5)))</f>
      </c>
      <c r="K9" t="s">
        <v>58</v>
      </c>
      <c r="L9" t="s">
        <v>59</v>
      </c>
      <c r="M9" t="s">
        <v>60</v>
      </c>
      <c r="N9" t="s">
        <v>58</v>
      </c>
      <c r="O9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5">
        <f ca="1">IF(A9=1,FairRate($G9,$H9,$I9,$K9,$L9,$N9,$O9,RealTime!$B$2:$D$45,評価日,_xlfn.ANCHORARRAY([1]Fixing!$A$5)),"")</f>
      </c>
      <c r="Q9" s="14">
        <f t="shared" ca="1" si="0"/>
      </c>
      <c r="R9" s="14">
        <f t="shared" ca="1" si="4"/>
      </c>
      <c r="Y9">
        <f ca="1"/>
      </c>
      <c r="Z9" s="17">
        <f ca="1"/>
      </c>
      <c r="AA9" s="17">
        <f t="shared" ca="1" si="3"/>
      </c>
    </row>
    <row r="10" spans="1:29" x14ac:dyDescent="0.2">
      <c r="D10" s="4">
        <v>1000000000</v>
      </c>
      <c r="F10" s="4">
        <f ca="1">IF($E10="","",NotionalForDelta($E10,$G10,$H10,$I10,$K10,$L10,$N10,$O10,$S10,RealTime!$B$2:$D$45,評価日,_xlfn.ANCHORARRAY([1]Fixing!$A$5)))</f>
      </c>
      <c r="K10" t="s">
        <v>58</v>
      </c>
      <c r="L10" t="s">
        <v>59</v>
      </c>
      <c r="M10" t="s">
        <v>60</v>
      </c>
      <c r="N10" t="s">
        <v>58</v>
      </c>
      <c r="O10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5">
        <f ca="1">IF(A10=1,FairRate($G10,$H10,$I10,$K10,$L10,$N10,$O10,RealTime!$B$2:$D$45,評価日,_xlfn.ANCHORARRAY([1]Fixing!$A$5)),"")</f>
      </c>
      <c r="Q10" s="14">
        <f t="shared" ca="1" si="0"/>
      </c>
      <c r="R10" s="14">
        <f t="shared" ca="1" si="4"/>
      </c>
      <c r="Y10">
        <f ca="1"/>
      </c>
      <c r="Z10" s="17">
        <f ca="1"/>
      </c>
      <c r="AA10" s="17">
        <f t="shared" ca="1" si="3"/>
      </c>
    </row>
    <row r="11" spans="1:29" x14ac:dyDescent="0.2">
      <c r="D11" s="4">
        <v>1000000000</v>
      </c>
      <c r="F11" s="4">
        <f ca="1">IF($E11="","",NotionalForDelta($E11,$G11,$H11,$I11,$K11,$L11,$N11,$O11,$S11,RealTime!$B$2:$D$45,評価日,_xlfn.ANCHORARRAY([1]Fixing!$A$5)))</f>
      </c>
      <c r="K11" t="s">
        <v>58</v>
      </c>
      <c r="L11" t="s">
        <v>59</v>
      </c>
      <c r="M11" t="s">
        <v>60</v>
      </c>
      <c r="N11" t="s">
        <v>58</v>
      </c>
      <c r="O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5">
        <f ca="1">IF(A11=1,FairRate($G11,$H11,$I11,$K11,$L11,$N11,$O11,RealTime!$B$2:$D$45,評価日,_xlfn.ANCHORARRAY([1]Fixing!$A$5)),"")</f>
      </c>
      <c r="Q11" s="14">
        <f t="shared" ca="1" si="0"/>
      </c>
      <c r="R11" s="14">
        <f t="shared" ca="1" si="4"/>
      </c>
      <c r="Y11">
        <f ca="1"/>
      </c>
      <c r="Z11" s="17">
        <f ca="1"/>
      </c>
      <c r="AA11" s="17">
        <f t="shared" ca="1" si="3"/>
      </c>
    </row>
    <row r="12" spans="1:29" x14ac:dyDescent="0.2">
      <c r="D12" s="4">
        <v>1000000000</v>
      </c>
      <c r="F12" s="4">
        <f ca="1">IF($E12="","",NotionalForDelta($E12,$G12,$H12,$I12,$K12,$L12,$N12,$O12,$S12,RealTime!$B$2:$D$45,評価日,_xlfn.ANCHORARRAY([1]Fixing!$A$5)))</f>
      </c>
      <c r="K12" t="s">
        <v>58</v>
      </c>
      <c r="L12" t="s">
        <v>59</v>
      </c>
      <c r="M12" t="s">
        <v>60</v>
      </c>
      <c r="N12" t="s">
        <v>58</v>
      </c>
      <c r="O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5">
        <f ca="1">IF(A12=1,FairRate($G12,$H12,$I12,$K12,$L12,$N12,$O12,RealTime!$B$2:$D$45,評価日,_xlfn.ANCHORARRAY([1]Fixing!$A$5)),"")</f>
      </c>
      <c r="Q12" s="14">
        <f t="shared" ca="1" si="0"/>
      </c>
      <c r="R12" s="14">
        <f t="shared" ca="1" si="4"/>
      </c>
      <c r="Y12">
        <f ca="1"/>
      </c>
      <c r="Z12" s="17">
        <f ca="1"/>
      </c>
      <c r="AA12" s="17">
        <f t="shared" ca="1" si="3"/>
      </c>
    </row>
    <row r="13" spans="1:29" x14ac:dyDescent="0.2">
      <c r="D13" s="4">
        <v>1000000000</v>
      </c>
      <c r="F13" s="4">
        <f ca="1">IF($E13="","",NotionalForDelta($E13,$G13,$H13,$I13,$K13,$L13,$N13,$O13,$S13,RealTime!$B$2:$D$45,評価日,_xlfn.ANCHORARRAY([1]Fixing!$A$5)))</f>
      </c>
      <c r="K13" t="s">
        <v>58</v>
      </c>
      <c r="L13" t="s">
        <v>59</v>
      </c>
      <c r="M13" t="s">
        <v>60</v>
      </c>
      <c r="N13" t="s">
        <v>58</v>
      </c>
      <c r="O13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5">
        <f ca="1">IF(A13=1,FairRate($G13,$H13,$I13,$K13,$L13,$N13,$O13,RealTime!$B$2:$D$45,評価日,_xlfn.ANCHORARRAY([1]Fixing!$A$5)),"")</f>
      </c>
      <c r="Q13" s="14">
        <f t="shared" ca="1" si="0"/>
      </c>
      <c r="R13" s="14">
        <f t="shared" ca="1" si="4"/>
      </c>
      <c r="Y13">
        <f ca="1"/>
      </c>
      <c r="Z13" s="17">
        <f ca="1"/>
      </c>
      <c r="AA13" s="17">
        <f t="shared" ca="1" si="3"/>
      </c>
    </row>
    <row r="14" spans="1:29" x14ac:dyDescent="0.2">
      <c r="D14" s="4">
        <v>1000000000</v>
      </c>
      <c r="F14" s="4">
        <f ca="1">IF($E14="","",NotionalForDelta($E14,$G14,$H14,$I14,$K14,$L14,$N14,$O14,$S14,RealTime!$B$2:$D$45,評価日,_xlfn.ANCHORARRAY([1]Fixing!$A$5)))</f>
      </c>
      <c r="K14" t="s">
        <v>58</v>
      </c>
      <c r="L14" t="s">
        <v>59</v>
      </c>
      <c r="M14" t="s">
        <v>60</v>
      </c>
      <c r="N14" t="s">
        <v>58</v>
      </c>
      <c r="O14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5">
        <f ca="1">IF(A14=1,FairRate($G14,$H14,$I14,$K14,$L14,$N14,$O14,RealTime!$B$2:$D$45,評価日,_xlfn.ANCHORARRAY([1]Fixing!$A$5)),"")</f>
      </c>
      <c r="Q14" s="14">
        <f t="shared" ca="1" si="0"/>
      </c>
      <c r="R14" s="14">
        <f t="shared" ca="1" si="4"/>
      </c>
      <c r="Y14">
        <f ca="1"/>
      </c>
      <c r="Z14" s="17">
        <f ca="1"/>
      </c>
      <c r="AA14" s="17">
        <f t="shared" ca="1" si="3"/>
      </c>
    </row>
    <row r="15" spans="1:29" x14ac:dyDescent="0.2">
      <c r="D15" s="4">
        <v>1000000000</v>
      </c>
      <c r="F15" s="4">
        <f ca="1">IF($E15="","",NotionalForDelta($E15,$G15,$H15,$I15,$K15,$L15,$N15,$O15,$S15,RealTime!$B$2:$D$45,評価日,_xlfn.ANCHORARRAY([1]Fixing!$A$5)))</f>
      </c>
      <c r="K15" t="s">
        <v>58</v>
      </c>
      <c r="L15" t="s">
        <v>59</v>
      </c>
      <c r="M15" t="s">
        <v>60</v>
      </c>
      <c r="N15" t="s">
        <v>58</v>
      </c>
      <c r="O15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5">
        <f ca="1">IF(A15=1,FairRate($G15,$H15,$I15,$K15,$L15,$N15,$O15,RealTime!$B$2:$D$45,評価日,_xlfn.ANCHORARRAY([1]Fixing!$A$5)),"")</f>
      </c>
      <c r="Q15" s="14">
        <f t="shared" ca="1" si="0"/>
      </c>
      <c r="R15" s="14">
        <f t="shared" ca="1" si="4"/>
      </c>
      <c r="Y15">
        <f ca="1"/>
      </c>
      <c r="Z15" s="17">
        <f ca="1"/>
      </c>
      <c r="AA15" s="17">
        <f t="shared" ca="1" si="3"/>
      </c>
    </row>
    <row r="16" spans="1:29" x14ac:dyDescent="0.2">
      <c r="D16" s="4">
        <v>1000000000</v>
      </c>
      <c r="F16" s="4">
        <f ca="1">IF($E16="","",NotionalForDelta($E16,$G16,$H16,$I16,$K16,$L16,$N16,$O16,$S16,RealTime!$B$2:$D$45,評価日,_xlfn.ANCHORARRAY([1]Fixing!$A$5)))</f>
      </c>
      <c r="K16" t="s">
        <v>58</v>
      </c>
      <c r="L16" t="s">
        <v>59</v>
      </c>
      <c r="M16" t="s">
        <v>60</v>
      </c>
      <c r="N16" t="s">
        <v>58</v>
      </c>
      <c r="O16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5">
        <f ca="1">IF(A16=1,FairRate($G16,$H16,$I16,$K16,$L16,$N16,$O16,RealTime!$B$2:$D$45,評価日,_xlfn.ANCHORARRAY([1]Fixing!$A$5)),"")</f>
      </c>
      <c r="Q16" s="14">
        <f t="shared" ca="1" si="0"/>
      </c>
      <c r="R16" s="14">
        <f t="shared" ca="1" si="4"/>
      </c>
      <c r="Y16">
        <f ca="1"/>
      </c>
      <c r="Z16" s="17">
        <f ca="1"/>
      </c>
      <c r="AA16" s="17">
        <f t="shared" ca="1" si="3"/>
      </c>
    </row>
    <row r="17" spans="4:27" x14ac:dyDescent="0.2">
      <c r="D17" s="4">
        <v>1000000000</v>
      </c>
      <c r="F17" s="4">
        <f ca="1">IF($E17="","",NotionalForDelta($E17,$G17,$H17,$I17,$K17,$L17,$N17,$O17,$S17,RealTime!$B$2:$D$45,評価日,_xlfn.ANCHORARRAY([1]Fixing!$A$5)))</f>
      </c>
      <c r="K17" t="s">
        <v>58</v>
      </c>
      <c r="L17" t="s">
        <v>59</v>
      </c>
      <c r="M17" t="s">
        <v>60</v>
      </c>
      <c r="N17" t="s">
        <v>58</v>
      </c>
      <c r="O17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5">
        <f ca="1">IF(A17=1,FairRate($G17,$H17,$I17,$K17,$L17,$N17,$O17,RealTime!$B$2:$D$45,評価日,_xlfn.ANCHORARRAY([1]Fixing!$A$5)),"")</f>
      </c>
      <c r="Q17" s="14">
        <f t="shared" ca="1" si="0"/>
      </c>
      <c r="R17" s="14">
        <f t="shared" ca="1" si="4"/>
      </c>
      <c r="Y17">
        <f ca="1"/>
      </c>
      <c r="Z17" s="17">
        <f ca="1"/>
      </c>
      <c r="AA17" s="17">
        <f t="shared" ca="1" si="3"/>
      </c>
    </row>
    <row r="18" spans="4:27" x14ac:dyDescent="0.2">
      <c r="D18" s="4">
        <v>1000000000</v>
      </c>
      <c r="F18" s="4">
        <f ca="1">IF($E18="","",NotionalForDelta($E18,$G18,$H18,$I18,$K18,$L18,$N18,$O18,$S18,RealTime!$B$2:$D$45,評価日,_xlfn.ANCHORARRAY([1]Fixing!$A$5)))</f>
      </c>
      <c r="K18" t="s">
        <v>58</v>
      </c>
      <c r="L18" t="s">
        <v>59</v>
      </c>
      <c r="M18" t="s">
        <v>60</v>
      </c>
      <c r="N18" t="s">
        <v>58</v>
      </c>
      <c r="O18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5">
        <f ca="1">IF(A18=1,FairRate($G18,$H18,$I18,$K18,$L18,$N18,$O18,RealTime!$B$2:$D$45,評価日,_xlfn.ANCHORARRAY([1]Fixing!$A$5)),"")</f>
      </c>
      <c r="Q18" s="14">
        <f t="shared" ca="1" si="0"/>
      </c>
      <c r="R18" s="14">
        <f t="shared" ca="1" si="4"/>
      </c>
      <c r="Y18">
        <f ca="1"/>
      </c>
      <c r="Z18" s="17">
        <f ca="1"/>
      </c>
      <c r="AA18" s="17">
        <f t="shared" ca="1" si="3"/>
      </c>
    </row>
    <row r="19" spans="4:27" x14ac:dyDescent="0.2">
      <c r="D19" s="4">
        <v>1000000000</v>
      </c>
      <c r="F19" s="4">
        <f ca="1">IF($E19="","",NotionalForDelta($E19,$G19,$H19,$I19,$K19,$L19,$N19,$O19,$S19,RealTime!$B$2:$D$45,評価日,_xlfn.ANCHORARRAY([1]Fixing!$A$5)))</f>
      </c>
      <c r="K19" t="s">
        <v>58</v>
      </c>
      <c r="L19" t="s">
        <v>59</v>
      </c>
      <c r="M19" t="s">
        <v>60</v>
      </c>
      <c r="N19" t="s">
        <v>58</v>
      </c>
      <c r="O19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5">
        <f ca="1">IF(A19=1,FairRate($G19,$H19,$I19,$K19,$L19,$N19,$O19,RealTime!$B$2:$D$45,評価日,_xlfn.ANCHORARRAY([1]Fixing!$A$5)),"")</f>
      </c>
      <c r="Q19" s="14">
        <f t="shared" ca="1" si="0"/>
      </c>
      <c r="R19" s="14">
        <f t="shared" ca="1" si="4"/>
      </c>
      <c r="Y19">
        <f ca="1"/>
      </c>
      <c r="Z19" s="17">
        <f ca="1"/>
      </c>
      <c r="AA19" s="17">
        <f t="shared" ca="1" si="3"/>
      </c>
    </row>
    <row r="20" spans="4:27" x14ac:dyDescent="0.2">
      <c r="D20" s="4">
        <v>1000000000</v>
      </c>
      <c r="F20" s="4">
        <f ca="1">IF($E20="","",NotionalForDelta($E20,$G20,$H20,$I20,$K20,$L20,$N20,$O20,$S20,RealTime!$B$2:$D$45,評価日,_xlfn.ANCHORARRAY([1]Fixing!$A$5)))</f>
      </c>
      <c r="K20" t="s">
        <v>58</v>
      </c>
      <c r="L20" t="s">
        <v>59</v>
      </c>
      <c r="M20" t="s">
        <v>60</v>
      </c>
      <c r="N20" t="s">
        <v>58</v>
      </c>
      <c r="O20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5">
        <f ca="1">IF(A20=1,FairRate($G20,$H20,$I20,$K20,$L20,$N20,$O20,RealTime!$B$2:$D$45,評価日,_xlfn.ANCHORARRAY([1]Fixing!$A$5)),"")</f>
      </c>
      <c r="Q20" s="14">
        <f t="shared" ca="1" si="0"/>
      </c>
      <c r="R20" s="14">
        <f t="shared" ca="1" si="4"/>
      </c>
      <c r="Y20">
        <f ca="1"/>
      </c>
      <c r="Z20" s="17">
        <f ca="1"/>
      </c>
      <c r="AA20" s="17">
        <f t="shared" ca="1" si="3"/>
      </c>
    </row>
    <row r="21" spans="4:27" x14ac:dyDescent="0.2">
      <c r="D21" s="4">
        <v>1000000000</v>
      </c>
      <c r="F21" s="4">
        <f ca="1">IF($E21="","",NotionalForDelta($E21,$G21,$H21,$I21,$K21,$L21,$N21,$O21,$S21,RealTime!$B$2:$D$45,評価日,_xlfn.ANCHORARRAY([1]Fixing!$A$5)))</f>
      </c>
      <c r="K21" t="s">
        <v>58</v>
      </c>
      <c r="L21" t="s">
        <v>59</v>
      </c>
      <c r="M21" t="s">
        <v>60</v>
      </c>
      <c r="N21" t="s">
        <v>58</v>
      </c>
      <c r="O2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5">
        <f ca="1">IF(A21=1,FairRate($G21,$H21,$I21,$K21,$L21,$N21,$O21,RealTime!$B$2:$D$45,評価日,_xlfn.ANCHORARRAY([1]Fixing!$A$5)),"")</f>
      </c>
      <c r="Q21" s="14">
        <f t="shared" ca="1" si="0"/>
      </c>
      <c r="R21" s="14">
        <f t="shared" ca="1" si="4"/>
      </c>
      <c r="Y21">
        <f ca="1"/>
      </c>
      <c r="Z21" s="17">
        <f ca="1"/>
      </c>
      <c r="AA21" s="17">
        <f t="shared" ca="1" si="3"/>
      </c>
    </row>
    <row r="22" spans="4:27" x14ac:dyDescent="0.2">
      <c r="D22" s="4">
        <v>1000000000</v>
      </c>
      <c r="F22" s="4">
        <f ca="1">IF($E22="","",NotionalForDelta($E22,$G22,$H22,$I22,$K22,$L22,$N22,$O22,$S22,RealTime!$B$2:$D$45,評価日,_xlfn.ANCHORARRAY([1]Fixing!$A$5)))</f>
      </c>
      <c r="K22" t="s">
        <v>58</v>
      </c>
      <c r="L22" t="s">
        <v>59</v>
      </c>
      <c r="M22" t="s">
        <v>60</v>
      </c>
      <c r="N22" t="s">
        <v>58</v>
      </c>
      <c r="O2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5">
        <f ca="1">IF(A22=1,FairRate($G22,$H22,$I22,$K22,$L22,$N22,$O22,RealTime!$B$2:$D$45,評価日,_xlfn.ANCHORARRAY([1]Fixing!$A$5)),"")</f>
      </c>
      <c r="Q22" s="14">
        <f t="shared" ca="1" si="0"/>
      </c>
      <c r="R22" s="14">
        <f t="shared" ca="1" si="4"/>
      </c>
      <c r="Y22">
        <f ca="1"/>
      </c>
      <c r="Z22" s="17">
        <f ca="1"/>
      </c>
      <c r="AA22" s="17">
        <f t="shared" ca="1" si="3"/>
      </c>
    </row>
    <row r="23" spans="4:27" x14ac:dyDescent="0.2">
      <c r="D23" s="4">
        <v>1000000000</v>
      </c>
      <c r="F23" s="4">
        <f ca="1">IF($E23="","",NotionalForDelta($E23,$G23,$H23,$I23,$K23,$L23,$N23,$O23,$S23,RealTime!$B$2:$D$45,評価日,_xlfn.ANCHORARRAY([1]Fixing!$A$5)))</f>
      </c>
      <c r="K23" t="s">
        <v>58</v>
      </c>
      <c r="L23" t="s">
        <v>59</v>
      </c>
      <c r="M23" t="s">
        <v>60</v>
      </c>
      <c r="N23" t="s">
        <v>58</v>
      </c>
      <c r="O23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5">
        <f ca="1">IF(A23=1,FairRate($G23,$H23,$I23,$K23,$L23,$N23,$O23,RealTime!$B$2:$D$45,評価日,_xlfn.ANCHORARRAY([1]Fixing!$A$5)),"")</f>
      </c>
      <c r="Q23" s="14">
        <f t="shared" ca="1" si="0"/>
      </c>
      <c r="R23" s="14">
        <f t="shared" ca="1" si="4"/>
      </c>
      <c r="Y23">
        <f ca="1"/>
      </c>
      <c r="Z23" s="17">
        <f ca="1"/>
      </c>
      <c r="AA23" s="17">
        <f t="shared" ca="1" si="3"/>
      </c>
    </row>
    <row r="24" spans="4:27" x14ac:dyDescent="0.2">
      <c r="D24" s="4">
        <v>1000000000</v>
      </c>
      <c r="F24" s="4">
        <f ca="1">IF($E24="","",NotionalForDelta($E24,$G24,$H24,$I24,$K24,$L24,$N24,$O24,$S24,RealTime!$B$2:$D$45,評価日,_xlfn.ANCHORARRAY([1]Fixing!$A$5)))</f>
      </c>
      <c r="K24" t="s">
        <v>58</v>
      </c>
      <c r="L24" t="s">
        <v>59</v>
      </c>
      <c r="M24" t="s">
        <v>60</v>
      </c>
      <c r="N24" t="s">
        <v>58</v>
      </c>
      <c r="O24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5">
        <f ca="1">IF(A24=1,FairRate($G24,$H24,$I24,$K24,$L24,$N24,$O24,RealTime!$B$2:$D$45,評価日,_xlfn.ANCHORARRAY([1]Fixing!$A$5)),"")</f>
      </c>
      <c r="Q24" s="14">
        <f t="shared" ca="1" si="0"/>
      </c>
      <c r="R24" s="14">
        <f t="shared" ca="1" si="4"/>
      </c>
      <c r="Y24">
        <f ca="1"/>
      </c>
      <c r="Z24" s="17">
        <f ca="1"/>
      </c>
      <c r="AA24" s="17">
        <f t="shared" ca="1" si="3"/>
      </c>
    </row>
    <row r="25" spans="4:27" x14ac:dyDescent="0.2">
      <c r="D25" s="4">
        <v>1000000000</v>
      </c>
      <c r="F25" s="4">
        <f ca="1">IF($E25="","",NotionalForDelta($E25,$G25,$H25,$I25,$K25,$L25,$N25,$O25,$S25,RealTime!$B$2:$D$45,評価日,_xlfn.ANCHORARRAY([1]Fixing!$A$5)))</f>
      </c>
      <c r="K25" t="s">
        <v>58</v>
      </c>
      <c r="L25" t="s">
        <v>59</v>
      </c>
      <c r="M25" t="s">
        <v>60</v>
      </c>
      <c r="N25" t="s">
        <v>58</v>
      </c>
      <c r="O25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5">
        <f ca="1">IF(A25=1,FairRate($G25,$H25,$I25,$K25,$L25,$N25,$O25,RealTime!$B$2:$D$45,評価日,_xlfn.ANCHORARRAY([1]Fixing!$A$5)),"")</f>
      </c>
      <c r="Q25" s="14">
        <f t="shared" ca="1" si="0"/>
      </c>
      <c r="R25" s="14">
        <f t="shared" ca="1" si="4"/>
      </c>
      <c r="Y25">
        <f ca="1"/>
      </c>
      <c r="Z25" s="17">
        <f ca="1"/>
      </c>
      <c r="AA25" s="17">
        <f t="shared" ca="1" si="3"/>
      </c>
    </row>
    <row r="26" spans="4:27" x14ac:dyDescent="0.2">
      <c r="D26" s="4">
        <v>1000000000</v>
      </c>
      <c r="F26" s="4">
        <f ca="1">IF($E26="","",NotionalForDelta($E26,$G26,$H26,$I26,$K26,$L26,$N26,$O26,$S26,RealTime!$B$2:$D$45,評価日,_xlfn.ANCHORARRAY([1]Fixing!$A$5)))</f>
      </c>
      <c r="K26" t="s">
        <v>58</v>
      </c>
      <c r="L26" t="s">
        <v>59</v>
      </c>
      <c r="M26" t="s">
        <v>60</v>
      </c>
      <c r="N26" t="s">
        <v>58</v>
      </c>
      <c r="O26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5">
        <f ca="1">IF(A26=1,FairRate($G26,$H26,$I26,$K26,$L26,$N26,$O26,RealTime!$B$2:$D$45,評価日,_xlfn.ANCHORARRAY([1]Fixing!$A$5)),"")</f>
      </c>
      <c r="Q26" s="14">
        <f t="shared" ca="1" si="0"/>
      </c>
      <c r="R26" s="14">
        <f t="shared" ca="1" si="4"/>
      </c>
      <c r="Y26">
        <f ca="1"/>
      </c>
      <c r="Z26" s="17">
        <f ca="1"/>
      </c>
      <c r="AA26" s="17">
        <f t="shared" ca="1" si="3"/>
      </c>
    </row>
    <row r="27" spans="4:27" x14ac:dyDescent="0.2">
      <c r="D27" s="4">
        <v>1000000000</v>
      </c>
      <c r="F27" s="4">
        <f ca="1">IF($E27="","",NotionalForDelta($E27,$G27,$H27,$I27,$K27,$L27,$N27,$O27,$S27,RealTime!$B$2:$D$45,評価日,_xlfn.ANCHORARRAY([1]Fixing!$A$5)))</f>
      </c>
      <c r="K27" t="s">
        <v>58</v>
      </c>
      <c r="L27" t="s">
        <v>59</v>
      </c>
      <c r="M27" t="s">
        <v>60</v>
      </c>
      <c r="N27" t="s">
        <v>58</v>
      </c>
      <c r="O27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5">
        <f ca="1">IF(A27=1,FairRate($G27,$H27,$I27,$K27,$L27,$N27,$O27,RealTime!$B$2:$D$45,評価日,_xlfn.ANCHORARRAY([1]Fixing!$A$5)),"")</f>
      </c>
      <c r="Q27" s="14">
        <f t="shared" ca="1" si="0"/>
      </c>
      <c r="R27" s="14">
        <f t="shared" ca="1" si="4"/>
      </c>
      <c r="Y27">
        <f ca="1"/>
      </c>
      <c r="Z27" s="17">
        <f ca="1"/>
      </c>
      <c r="AA27" s="17">
        <f t="shared" ca="1" si="3"/>
      </c>
    </row>
    <row r="28" spans="4:27" x14ac:dyDescent="0.2">
      <c r="D28" s="4">
        <v>1000000000</v>
      </c>
      <c r="F28" s="4">
        <f ca="1">IF($E28="","",NotionalForDelta($E28,$G28,$H28,$I28,$K28,$L28,$N28,$O28,$S28,RealTime!$B$2:$D$45,評価日,_xlfn.ANCHORARRAY([1]Fixing!$A$5)))</f>
      </c>
      <c r="K28" t="s">
        <v>58</v>
      </c>
      <c r="L28" t="s">
        <v>59</v>
      </c>
      <c r="M28" t="s">
        <v>60</v>
      </c>
      <c r="N28" t="s">
        <v>58</v>
      </c>
      <c r="O28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5">
        <f ca="1">IF(A28=1,FairRate($G28,$H28,$I28,$K28,$L28,$N28,$O28,RealTime!$B$2:$D$45,評価日,_xlfn.ANCHORARRAY([1]Fixing!$A$5)),"")</f>
      </c>
      <c r="Q28" s="14">
        <f t="shared" ca="1" si="0"/>
      </c>
      <c r="R28" s="14">
        <f t="shared" ca="1" si="4"/>
      </c>
      <c r="Y28">
        <f ca="1"/>
      </c>
      <c r="Z28" s="17">
        <f ca="1"/>
      </c>
      <c r="AA28" s="17">
        <f t="shared" ca="1" si="3"/>
      </c>
    </row>
    <row r="29" spans="4:27" x14ac:dyDescent="0.2">
      <c r="D29" s="4">
        <v>1000000000</v>
      </c>
      <c r="F29" s="4">
        <f ca="1">IF($E29="","",NotionalForDelta($E29,$G29,$H29,$I29,$K29,$L29,$N29,$O29,$S29,RealTime!$B$2:$D$45,評価日,_xlfn.ANCHORARRAY([1]Fixing!$A$5)))</f>
      </c>
      <c r="K29" t="s">
        <v>58</v>
      </c>
      <c r="L29" t="s">
        <v>59</v>
      </c>
      <c r="M29" t="s">
        <v>60</v>
      </c>
      <c r="N29" t="s">
        <v>58</v>
      </c>
      <c r="O29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5">
        <f ca="1">IF(A29=1,FairRate($G29,$H29,$I29,$K29,$L29,$N29,$O29,RealTime!$B$2:$D$45,評価日,_xlfn.ANCHORARRAY([1]Fixing!$A$5)),"")</f>
      </c>
      <c r="Q29" s="14">
        <f t="shared" ca="1" si="0"/>
      </c>
      <c r="R29" s="14">
        <f t="shared" ca="1" si="4"/>
      </c>
      <c r="Y29">
        <f ca="1"/>
      </c>
      <c r="Z29" s="17">
        <f ca="1"/>
      </c>
      <c r="AA29" s="17">
        <f t="shared" ca="1" si="3"/>
      </c>
    </row>
    <row r="30" spans="4:27" x14ac:dyDescent="0.2">
      <c r="D30" s="4">
        <v>1000000000</v>
      </c>
      <c r="F30" s="4">
        <f ca="1">IF($E30="","",NotionalForDelta($E30,$G30,$H30,$I30,$K30,$L30,$N30,$O30,$S30,RealTime!$B$2:$D$45,評価日,_xlfn.ANCHORARRAY([1]Fixing!$A$5)))</f>
      </c>
      <c r="K30" t="s">
        <v>58</v>
      </c>
      <c r="L30" t="s">
        <v>59</v>
      </c>
      <c r="M30" t="s">
        <v>60</v>
      </c>
      <c r="N30" t="s">
        <v>58</v>
      </c>
      <c r="O30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5">
        <f ca="1">IF(A30=1,FairRate($G30,$H30,$I30,$K30,$L30,$N30,$O30,RealTime!$B$2:$D$45,評価日,_xlfn.ANCHORARRAY([1]Fixing!$A$5)),"")</f>
      </c>
      <c r="Q30" s="14">
        <f t="shared" ca="1" si="0"/>
      </c>
      <c r="R30" s="14">
        <f t="shared" ca="1" si="4"/>
      </c>
      <c r="Y30">
        <f ca="1"/>
      </c>
      <c r="Z30" s="17">
        <f ca="1"/>
      </c>
      <c r="AA30" s="17">
        <f t="shared" ca="1" si="3"/>
      </c>
    </row>
    <row r="31" spans="4:27" x14ac:dyDescent="0.2">
      <c r="F31">
        <f ca="1">IF($E31="","",NotionalForDelta($E31,$G31,$H31,$I31,$K31,$L31,$N31,$O31,$S31,RealTime!$B$2:$D$45,評価日,_xlfn.ANCHORARRAY([1]Fixing!$A$5)))</f>
      </c>
      <c r="O3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Q31" s="14">
        <f t="shared" ca="1" si="0"/>
      </c>
      <c r="R31" s="14">
        <f t="shared" ca="1" si="4"/>
      </c>
      <c r="Y31">
        <f ca="1"/>
      </c>
      <c r="Z31" s="17">
        <f ca="1"/>
      </c>
      <c r="AA31" s="17">
        <f t="shared" ca="1" si="3"/>
      </c>
    </row>
    <row r="32" spans="4:27" x14ac:dyDescent="0.2">
      <c r="F32">
        <f ca="1">IF($E32="","",NotionalForDelta($E32,$G32,$H32,$I32,$K32,$L32,$N32,$O32,$S32,RealTime!$B$2:$D$45,評価日,_xlfn.ANCHORARRAY([1]Fixing!$A$5)))</f>
      </c>
      <c r="O3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Q32" s="14">
        <f t="shared" si="0"/>
      </c>
      <c r="R32" s="14">
        <f t="shared" si="4"/>
      </c>
      <c r="Y32">
        <f ca="1"/>
      </c>
      <c r="Z32" s="17">
        <f ca="1"/>
      </c>
      <c r="AA32" s="17">
        <f t="shared" ca="1" si="3"/>
      </c>
    </row>
    <row r="33" spans="6:27" x14ac:dyDescent="0.2">
      <c r="F33">
        <f ca="1">IF($E33="","",NotionalForDelta($E33,$G33,$H33,$I33,$K33,$L33,$N33,$O33,$S33,RealTime!$B$2:$D$45,評価日,_xlfn.ANCHORARRAY([1]Fixing!$A$5)))</f>
      </c>
      <c r="O33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Q33" s="14">
        <f t="shared" si="0"/>
      </c>
      <c r="R33" s="14">
        <f t="shared" si="4"/>
      </c>
      <c r="Y33">
        <f ca="1"/>
      </c>
      <c r="Z33" s="17">
        <f ca="1"/>
      </c>
      <c r="AA33" s="17">
        <f t="shared" ca="1" si="3"/>
      </c>
    </row>
    <row r="34" spans="6:27" x14ac:dyDescent="0.2">
      <c r="F34">
        <f ca="1">IF($E34="","",NotionalForDelta($E34,$G34,$H34,$I34,$K34,$L34,$N34,$O34,$S34,RealTime!$B$2:$D$45,評価日,_xlfn.ANCHORARRAY([1]Fixing!$A$5)))</f>
      </c>
      <c r="O34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Q34" s="14">
        <f t="shared" si="0"/>
      </c>
      <c r="R34" s="14">
        <f t="shared" si="4"/>
      </c>
      <c r="Y34">
        <f ca="1"/>
      </c>
      <c r="Z34" s="17">
        <f ca="1"/>
      </c>
      <c r="AA34" s="17">
        <f t="shared" ca="1" si="3"/>
      </c>
    </row>
    <row r="35" spans="6:27" x14ac:dyDescent="0.2">
      <c r="F35">
        <f ca="1">IF($E35="","",NotionalForDelta($E35,$G35,$H35,$I35,$K35,$L35,$N35,$O35,$S35,RealTime!$B$2:$D$45,評価日,_xlfn.ANCHORARRAY([1]Fixing!$A$5)))</f>
      </c>
      <c r="O35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Q35" s="14">
        <f t="shared" si="0"/>
      </c>
      <c r="R35" s="14">
        <f t="shared" si="4"/>
      </c>
      <c r="Y35">
        <f ca="1"/>
      </c>
      <c r="Z35" s="17">
        <f ca="1"/>
      </c>
      <c r="AA35" s="17">
        <f t="shared" ca="1" si="3"/>
      </c>
    </row>
    <row r="36" spans="6:27" x14ac:dyDescent="0.2">
      <c r="F36">
        <f ca="1">IF($E36="","",NotionalForDelta($E36,$G36,$H36,$I36,$K36,$L36,$N36,$O36,$S36,RealTime!$B$2:$D$45,評価日,_xlfn.ANCHORARRAY([1]Fixing!$A$5)))</f>
      </c>
      <c r="O36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Q36" s="14">
        <f t="shared" si="0"/>
      </c>
      <c r="R36" s="14">
        <f t="shared" si="4"/>
      </c>
      <c r="Y36">
        <f ca="1"/>
      </c>
      <c r="Z36" s="17">
        <f ca="1"/>
      </c>
      <c r="AA36" s="17">
        <f t="shared" ca="1" si="3"/>
      </c>
    </row>
    <row r="37" spans="6:27" x14ac:dyDescent="0.2">
      <c r="F37">
        <f ca="1">IF($E37="","",NotionalForDelta($E37,$G37,$H37,$I37,$K37,$L37,$N37,$O37,$S37,RealTime!$B$2:$D$45,評価日,_xlfn.ANCHORARRAY([1]Fixing!$A$5)))</f>
      </c>
      <c r="O37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Q37" s="14">
        <f t="shared" si="0"/>
      </c>
      <c r="R37" s="14">
        <f t="shared" si="4"/>
      </c>
      <c r="Y37">
        <f ca="1"/>
      </c>
      <c r="Z37" s="17">
        <f ca="1"/>
      </c>
      <c r="AA37" s="17">
        <f t="shared" ca="1" si="3"/>
      </c>
    </row>
    <row r="38" spans="6:27" x14ac:dyDescent="0.2">
      <c r="F38">
        <f ca="1">IF($E38="","",NotionalForDelta($E38,$G38,$H38,$I38,$K38,$L38,$N38,$O38,$S38,RealTime!$B$2:$D$45,評価日,_xlfn.ANCHORARRAY([1]Fixing!$A$5)))</f>
      </c>
      <c r="O38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Q38" s="14">
        <f t="shared" si="0"/>
      </c>
      <c r="R38" s="14">
        <f t="shared" si="4"/>
      </c>
      <c r="Y38">
        <f ca="1"/>
      </c>
      <c r="Z38" s="17">
        <f ca="1"/>
      </c>
      <c r="AA38" s="17">
        <f t="shared" ca="1" si="3"/>
      </c>
    </row>
    <row r="39" spans="6:27" x14ac:dyDescent="0.2">
      <c r="F39">
        <f ca="1">IF($E39="","",NotionalForDelta($E39,$G39,$H39,$I39,$K39,$L39,$N39,$O39,$S39,RealTime!$B$2:$D$45,評価日,_xlfn.ANCHORARRAY([1]Fixing!$A$5)))</f>
      </c>
      <c r="O39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Q39" s="14">
        <f t="shared" si="0"/>
      </c>
      <c r="R39" s="14">
        <f t="shared" si="4"/>
      </c>
      <c r="Y39">
        <f ca="1"/>
      </c>
      <c r="Z39" s="17">
        <f ca="1"/>
      </c>
      <c r="AA39" s="17">
        <f t="shared" ca="1" si="3"/>
      </c>
    </row>
    <row r="40" spans="6:27" x14ac:dyDescent="0.2">
      <c r="F40">
        <f ca="1">IF($E40="","",NotionalForDelta($E40,$G40,$H40,$I40,$K40,$L40,$N40,$O40,$S40,RealTime!$B$2:$D$45,評価日,_xlfn.ANCHORARRAY([1]Fixing!$A$5)))</f>
      </c>
      <c r="O40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Q40" s="14">
        <f t="shared" si="0"/>
      </c>
      <c r="R40" s="14">
        <f t="shared" si="4"/>
      </c>
      <c r="Y40">
        <f ca="1"/>
      </c>
      <c r="Z40" s="17">
        <f ca="1"/>
      </c>
      <c r="AA40" s="17">
        <f t="shared" ca="1" si="3"/>
      </c>
    </row>
    <row r="41" spans="6:27" x14ac:dyDescent="0.2">
      <c r="F41">
        <f ca="1">IF($E41="","",NotionalForDelta($E41,$G41,$H41,$I41,$K41,$L41,$N41,$O41,$S41,RealTime!$B$2:$D$45,評価日,_xlfn.ANCHORARRAY([1]Fixing!$A$5)))</f>
      </c>
      <c r="O4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Q41" s="14">
        <f t="shared" si="0"/>
      </c>
      <c r="R41" s="14">
        <f t="shared" si="4"/>
      </c>
      <c r="Y41">
        <f ca="1"/>
      </c>
      <c r="Z41" s="17">
        <f ca="1"/>
      </c>
      <c r="AA41" s="17">
        <f t="shared" ca="1" si="3"/>
      </c>
    </row>
    <row r="42" spans="6:27" x14ac:dyDescent="0.2">
      <c r="F42">
        <f ca="1">IF($E42="","",NotionalForDelta($E42,$G42,$H42,$I42,$K42,$L42,$N42,$O42,$S42,RealTime!$B$2:$D$45,評価日,_xlfn.ANCHORARRAY([1]Fixing!$A$5)))</f>
      </c>
      <c r="O4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Q42" s="14">
        <f t="shared" si="0"/>
      </c>
      <c r="R42" s="14">
        <f t="shared" si="4"/>
      </c>
      <c r="Y42">
        <f ca="1"/>
      </c>
      <c r="Z42" s="17">
        <f ca="1"/>
      </c>
      <c r="AA42" s="17">
        <f t="shared" ca="1" si="3"/>
      </c>
    </row>
    <row r="43" spans="6:27" x14ac:dyDescent="0.2">
      <c r="F43">
        <f ca="1">IF($E43="","",NotionalForDelta($E43,$G43,$H43,$I43,$K43,$L43,$N43,$O43,$S43,RealTime!$B$2:$D$45,評価日,_xlfn.ANCHORARRAY([1]Fixing!$A$5)))</f>
      </c>
      <c r="O43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Q43" s="14">
        <f t="shared" si="0"/>
      </c>
      <c r="R43" s="14">
        <f t="shared" si="4"/>
      </c>
      <c r="Y43">
        <f ca="1"/>
      </c>
      <c r="Z43" s="17">
        <f ca="1"/>
      </c>
      <c r="AA43" s="17">
        <f t="shared" ca="1" si="3"/>
      </c>
    </row>
    <row r="44" spans="6:27" x14ac:dyDescent="0.2">
      <c r="F44">
        <f ca="1">IF($E44="","",NotionalForDelta($E44,$G44,$H44,$I44,$K44,$L44,$N44,$O44,$S44,RealTime!$B$2:$D$45,評価日,_xlfn.ANCHORARRAY([1]Fixing!$A$5)))</f>
      </c>
      <c r="O44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Q44" s="14">
        <f t="shared" si="0"/>
      </c>
      <c r="R44" s="14">
        <f t="shared" si="4"/>
      </c>
      <c r="Y44">
        <f ca="1"/>
      </c>
      <c r="Z44" s="15">
        <f ca="1"/>
      </c>
    </row>
    <row r="45" spans="6:27" x14ac:dyDescent="0.2">
      <c r="F45">
        <f ca="1">IF($E45="","",NotionalForDelta($E45,$G45,$H45,$I45,$K45,$L45,$N45,$O45,$S45,RealTime!$B$2:$D$45,評価日,_xlfn.ANCHORARRAY([1]Fixing!$A$5)))</f>
      </c>
      <c r="O45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Q45" s="14">
        <f t="shared" si="0"/>
      </c>
      <c r="R45" s="14">
        <f t="shared" si="4"/>
      </c>
      <c r="Y45">
        <f ca="1"/>
      </c>
      <c r="Z45" s="15">
        <f ca="1"/>
      </c>
    </row>
    <row r="46" spans="6:27" x14ac:dyDescent="0.2">
      <c r="F46">
        <f ca="1">IF($E46="","",NotionalForDelta($E46,$G46,$H46,$I46,$K46,$L46,$N46,$O46,$S46,RealTime!$B$2:$D$45,評価日,_xlfn.ANCHORARRAY([1]Fixing!$A$5)))</f>
      </c>
      <c r="O46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Q46" s="14">
        <f t="shared" si="0"/>
      </c>
      <c r="R46" s="14">
        <f t="shared" si="4"/>
      </c>
    </row>
    <row r="47" spans="6:27" x14ac:dyDescent="0.2">
      <c r="F47">
        <f ca="1">IF($E47="","",NotionalForDelta($E47,$G47,$H47,$I47,$K47,$L47,$N47,$O47,$S47,RealTime!$B$2:$D$45,評価日,_xlfn.ANCHORARRAY([1]Fixing!$A$5)))</f>
      </c>
      <c r="O47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Q47" s="14">
        <f t="shared" si="0"/>
      </c>
      <c r="R47" s="14">
        <f t="shared" si="4"/>
      </c>
    </row>
    <row r="48" spans="6:27" x14ac:dyDescent="0.2">
      <c r="F48">
        <f ca="1">IF($E48="","",NotionalForDelta($E48,$G48,$H48,$I48,$K48,$L48,$N48,$O48,$S48,RealTime!$B$2:$D$45,評価日,_xlfn.ANCHORARRAY([1]Fixing!$A$5)))</f>
      </c>
      <c r="O48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Q48" s="14">
        <f t="shared" si="0"/>
      </c>
      <c r="R48" s="14">
        <f t="shared" si="4"/>
      </c>
    </row>
    <row r="49" spans="6:18" x14ac:dyDescent="0.2">
      <c r="F49">
        <f ca="1">IF($E49="","",NotionalForDelta($E49,$G49,$H49,$I49,$K49,$L49,$N49,$O49,$S49,RealTime!$B$2:$D$45,評価日,_xlfn.ANCHORARRAY([1]Fixing!$A$5)))</f>
      </c>
      <c r="O49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Q49" s="14">
        <f t="shared" si="0"/>
      </c>
      <c r="R49" s="14">
        <f t="shared" si="4"/>
      </c>
    </row>
    <row r="50" spans="6:18" x14ac:dyDescent="0.2">
      <c r="F50">
        <f ca="1">IF($E50="","",NotionalForDelta($E50,$G50,$H50,$I50,$K50,$L50,$N50,$O50,$S50,RealTime!$B$2:$D$45,評価日,_xlfn.ANCHORARRAY([1]Fixing!$A$5)))</f>
      </c>
      <c r="O50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Q50" s="14">
        <f t="shared" si="0"/>
      </c>
      <c r="R50" s="14">
        <f t="shared" si="4"/>
      </c>
    </row>
    <row r="51" spans="6:18" x14ac:dyDescent="0.2">
      <c r="F51">
        <f ca="1">IF($E51="","",NotionalForDelta($E51,$G51,$H51,$I51,$K51,$L51,$N51,$O51,$S51,RealTime!$B$2:$D$45,評価日,_xlfn.ANCHORARRAY([1]Fixing!$A$5)))</f>
      </c>
      <c r="O5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Q51" s="14">
        <f t="shared" si="0"/>
      </c>
      <c r="R51" s="14">
        <f t="shared" si="4"/>
      </c>
    </row>
    <row r="52" spans="6:18" x14ac:dyDescent="0.2">
      <c r="F52">
        <f ca="1">IF($E52="","",NotionalForDelta($E52,$G52,$H52,$I52,$K52,$L52,$N52,$O52,$S52,RealTime!$B$2:$D$45,評価日,_xlfn.ANCHORARRAY([1]Fixing!$A$5)))</f>
      </c>
      <c r="O5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Q52" s="14">
        <f t="shared" si="0"/>
      </c>
      <c r="R52" s="14">
        <f t="shared" si="4"/>
      </c>
    </row>
    <row r="53" spans="6:18" x14ac:dyDescent="0.2">
      <c r="F53">
        <f ca="1">IF($E53="","",NotionalForDelta($E53,$G53,$H53,$I53,$K53,$L53,$N53,$O53,$S53,RealTime!$B$2:$D$45,評価日,_xlfn.ANCHORARRAY([1]Fixing!$A$5)))</f>
      </c>
      <c r="O53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Q53" s="14">
        <f t="shared" si="0"/>
      </c>
      <c r="R53" s="14">
        <f t="shared" si="4"/>
      </c>
    </row>
    <row r="54" spans="6:18" x14ac:dyDescent="0.2">
      <c r="F54">
        <f ca="1">IF($E54="","",NotionalForDelta($E54,$G54,$H54,$I54,$K54,$L54,$N54,$O54,$S54,RealTime!$B$2:$D$45,評価日,_xlfn.ANCHORARRAY([1]Fixing!$A$5)))</f>
      </c>
      <c r="O54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Q54" s="14">
        <f t="shared" si="0"/>
      </c>
      <c r="R54" s="14">
        <f t="shared" si="4"/>
      </c>
    </row>
    <row r="55" spans="6:18" x14ac:dyDescent="0.2">
      <c r="F55">
        <f ca="1">IF($E55="","",NotionalForDelta($E55,$G55,$H55,$I55,$K55,$L55,$N55,$O55,$S55,RealTime!$B$2:$D$45,評価日,_xlfn.ANCHORARRAY([1]Fixing!$A$5)))</f>
      </c>
      <c r="O55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Q55" s="14">
        <f t="shared" si="0"/>
      </c>
      <c r="R55" s="14">
        <f t="shared" si="4"/>
      </c>
    </row>
    <row r="56" spans="6:18" x14ac:dyDescent="0.2">
      <c r="F56">
        <f ca="1">IF($E56="","",NotionalForDelta($E56,$G56,$H56,$I56,$K56,$L56,$N56,$O56,$S56,RealTime!$B$2:$D$45,評価日,_xlfn.ANCHORARRAY([1]Fixing!$A$5)))</f>
      </c>
      <c r="O56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Q56" s="14">
        <f t="shared" si="0"/>
      </c>
      <c r="R56" s="14">
        <f t="shared" si="4"/>
      </c>
    </row>
    <row r="57" spans="6:18" x14ac:dyDescent="0.2">
      <c r="F57">
        <f ca="1">IF($E57="","",NotionalForDelta($E57,$G57,$H57,$I57,$K57,$L57,$N57,$O57,$S57,RealTime!$B$2:$D$45,評価日,_xlfn.ANCHORARRAY([1]Fixing!$A$5)))</f>
      </c>
      <c r="O57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Q57" s="14">
        <f t="shared" si="0"/>
      </c>
      <c r="R57" s="14">
        <f t="shared" si="4"/>
      </c>
    </row>
    <row r="58" spans="6:18" x14ac:dyDescent="0.2">
      <c r="F58">
        <f ca="1">IF($E58="","",NotionalForDelta($E58,$G58,$H58,$I58,$K58,$L58,$N58,$O58,$S58,RealTime!$B$2:$D$45,評価日,_xlfn.ANCHORARRAY([1]Fixing!$A$5)))</f>
      </c>
      <c r="O58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Q58" s="14">
        <f t="shared" si="0"/>
      </c>
      <c r="R58" s="14">
        <f t="shared" si="4"/>
      </c>
    </row>
    <row r="59" spans="6:18" x14ac:dyDescent="0.2">
      <c r="F59">
        <f ca="1">IF($E59="","",NotionalForDelta($E59,$G59,$H59,$I59,$K59,$L59,$N59,$O59,$S59,RealTime!$B$2:$D$45,評価日,_xlfn.ANCHORARRAY([1]Fixing!$A$5)))</f>
      </c>
      <c r="O59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Q59" s="14">
        <f t="shared" si="0"/>
      </c>
      <c r="R59" s="14">
        <f t="shared" si="4"/>
      </c>
    </row>
    <row r="60" spans="6:18" x14ac:dyDescent="0.2">
      <c r="F60">
        <f ca="1">IF($E60="","",NotionalForDelta($E60,$G60,$H60,$I60,$K60,$L60,$N60,$O60,$S60,RealTime!$B$2:$D$45,評価日,_xlfn.ANCHORARRAY([1]Fixing!$A$5)))</f>
      </c>
      <c r="O60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Q60" s="14">
        <f t="shared" si="0"/>
      </c>
      <c r="R60" s="14">
        <f t="shared" si="4"/>
      </c>
    </row>
    <row r="61" spans="6:18" x14ac:dyDescent="0.2">
      <c r="F61">
        <f ca="1">IF($E61="","",NotionalForDelta($E61,$G61,$H61,$I61,$K61,$L61,$N61,$O61,$S61,RealTime!$B$2:$D$45,評価日,_xlfn.ANCHORARRAY([1]Fixing!$A$5)))</f>
      </c>
      <c r="O6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Q61" s="14">
        <f t="shared" si="0"/>
      </c>
      <c r="R61" s="14">
        <f t="shared" si="4"/>
      </c>
    </row>
    <row r="62" spans="6:18" x14ac:dyDescent="0.2">
      <c r="F62">
        <f ca="1">IF($E62="","",NotionalForDelta($E62,$G62,$H62,$I62,$K62,$L62,$N62,$O62,$S62,RealTime!$B$2:$D$45,評価日,_xlfn.ANCHORARRAY([1]Fixing!$A$5)))</f>
      </c>
      <c r="O6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Q62" s="14">
        <f t="shared" si="0"/>
      </c>
      <c r="R62" s="14">
        <f t="shared" si="4"/>
      </c>
    </row>
    <row r="63" spans="6:18" x14ac:dyDescent="0.2">
      <c r="F63">
        <f ca="1">IF($E63="","",NotionalForDelta($E63,$G63,$H63,$I63,$K63,$L63,$N63,$O63,$S63,RealTime!$B$2:$D$45,評価日,_xlfn.ANCHORARRAY([1]Fixing!$A$5)))</f>
      </c>
      <c r="O63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Q63" s="14">
        <f t="shared" si="0"/>
      </c>
      <c r="R63" s="14">
        <f t="shared" si="4"/>
      </c>
    </row>
    <row r="64" spans="6:18" x14ac:dyDescent="0.2">
      <c r="F64">
        <f ca="1">IF($E64="","",NotionalForDelta($E64,$G64,$H64,$I64,$K64,$L64,$N64,$O64,$S64,RealTime!$B$2:$D$45,評価日,_xlfn.ANCHORARRAY([1]Fixing!$A$5)))</f>
      </c>
      <c r="O64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Q64" s="14">
        <f t="shared" si="0"/>
      </c>
      <c r="R64" s="14">
        <f t="shared" si="4"/>
      </c>
    </row>
    <row r="65" spans="6:18" x14ac:dyDescent="0.2">
      <c r="F65">
        <f ca="1">IF($E65="","",NotionalForDelta($E65,$G65,$H65,$I65,$K65,$L65,$N65,$O65,$S65,RealTime!$B$2:$D$45,評価日,_xlfn.ANCHORARRAY([1]Fixing!$A$5)))</f>
      </c>
      <c r="O65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Q65" s="14">
        <f t="shared" si="0"/>
      </c>
      <c r="R65" s="14">
        <f t="shared" si="4"/>
      </c>
    </row>
    <row r="66" spans="6:18" x14ac:dyDescent="0.2">
      <c r="F66">
        <f ca="1">IF($E66="","",NotionalForDelta($E66,$G66,$H66,$I66,$K66,$L66,$N66,$O66,$S66,RealTime!$B$2:$D$45,評価日,_xlfn.ANCHORARRAY([1]Fixing!$A$5)))</f>
      </c>
      <c r="O66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Q66" s="14">
        <f t="shared" si="0"/>
      </c>
      <c r="R66" s="14">
        <f t="shared" si="4"/>
      </c>
    </row>
    <row r="67" spans="6:18" x14ac:dyDescent="0.2">
      <c r="F67">
        <f ca="1">IF($E67="","",NotionalForDelta($E67,$G67,$H67,$I67,$K67,$L67,$N67,$O67,$S67,RealTime!$B$2:$D$45,評価日,_xlfn.ANCHORARRAY([1]Fixing!$A$5)))</f>
      </c>
      <c r="O67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Q67" s="14">
        <f t="shared" ref="Q67:Q130" si="5">IF(ISNUMBER(P66),(P67-P66)*100,"")</f>
      </c>
      <c r="R67" s="14">
        <f t="shared" si="4"/>
      </c>
    </row>
    <row r="68" spans="6:18" x14ac:dyDescent="0.2">
      <c r="F68">
        <f ca="1">IF($E68="","",NotionalForDelta($E68,$G68,$H68,$I68,$K68,$L68,$N68,$O68,$S68,RealTime!$B$2:$D$45,評価日,_xlfn.ANCHORARRAY([1]Fixing!$A$5)))</f>
      </c>
      <c r="O68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Q68" s="14">
        <f t="shared" si="5"/>
      </c>
      <c r="R68" s="14">
        <f t="shared" ref="R68:R131" si="6">IF(AND(ISNUMBER(P67),ISNUMBER(P69)),(2*P68-P67-P69)*100,"")</f>
      </c>
    </row>
    <row r="69" spans="6:18" x14ac:dyDescent="0.2">
      <c r="F69">
        <f ca="1">IF($E69="","",NotionalForDelta($E69,$G69,$H69,$I69,$K69,$L69,$N69,$O69,$S69,RealTime!$B$2:$D$45,評価日,_xlfn.ANCHORARRAY([1]Fixing!$A$5)))</f>
      </c>
      <c r="O69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Q69" s="14">
        <f t="shared" si="5"/>
      </c>
      <c r="R69" s="14">
        <f t="shared" si="6"/>
      </c>
    </row>
    <row r="70" spans="6:18" x14ac:dyDescent="0.2">
      <c r="F70">
        <f ca="1">IF($E70="","",NotionalForDelta($E70,$G70,$H70,$I70,$K70,$L70,$N70,$O70,$S70,RealTime!$B$2:$D$45,評価日,_xlfn.ANCHORARRAY([1]Fixing!$A$5)))</f>
      </c>
      <c r="O70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Q70" s="14">
        <f t="shared" si="5"/>
      </c>
      <c r="R70" s="14">
        <f t="shared" si="6"/>
      </c>
    </row>
    <row r="71" spans="6:18" x14ac:dyDescent="0.2">
      <c r="F71">
        <f ca="1">IF($E71="","",NotionalForDelta($E71,$G71,$H71,$I71,$K71,$L71,$N71,$O71,$S71,RealTime!$B$2:$D$45,評価日,_xlfn.ANCHORARRAY([1]Fixing!$A$5)))</f>
      </c>
      <c r="O7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Q71" s="14">
        <f t="shared" si="5"/>
      </c>
      <c r="R71" s="14">
        <f t="shared" si="6"/>
      </c>
    </row>
    <row r="72" spans="6:18" x14ac:dyDescent="0.2">
      <c r="F72">
        <f ca="1">IF($E72="","",NotionalForDelta($E72,$G72,$H72,$I72,$K72,$L72,$N72,$O72,$S72,RealTime!$B$2:$D$45,評価日,_xlfn.ANCHORARRAY([1]Fixing!$A$5)))</f>
      </c>
      <c r="O7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Q72" s="14">
        <f t="shared" si="5"/>
      </c>
      <c r="R72" s="14">
        <f t="shared" si="6"/>
      </c>
    </row>
    <row r="73" spans="6:18" x14ac:dyDescent="0.2">
      <c r="F73">
        <f ca="1">IF($E73="","",NotionalForDelta($E73,$G73,$H73,$I73,$K73,$L73,$N73,$O73,$S73,RealTime!$B$2:$D$45,評価日,_xlfn.ANCHORARRAY([1]Fixing!$A$5)))</f>
      </c>
      <c r="O73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Q73" s="14">
        <f t="shared" si="5"/>
      </c>
      <c r="R73" s="14">
        <f t="shared" si="6"/>
      </c>
    </row>
    <row r="74" spans="6:18" x14ac:dyDescent="0.2">
      <c r="F74">
        <f ca="1">IF($E74="","",NotionalForDelta($E74,$G74,$H74,$I74,$K74,$L74,$N74,$O74,$S74,RealTime!$B$2:$D$45,評価日,_xlfn.ANCHORARRAY([1]Fixing!$A$5)))</f>
      </c>
      <c r="O74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Q74" s="14">
        <f t="shared" si="5"/>
      </c>
      <c r="R74" s="14">
        <f t="shared" si="6"/>
      </c>
    </row>
    <row r="75" spans="6:18" x14ac:dyDescent="0.2">
      <c r="F75">
        <f ca="1">IF($E75="","",NotionalForDelta($E75,$G75,$H75,$I75,$K75,$L75,$N75,$O75,$S75,RealTime!$B$2:$D$45,評価日,_xlfn.ANCHORARRAY([1]Fixing!$A$5)))</f>
      </c>
      <c r="O75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Q75" s="14">
        <f t="shared" si="5"/>
      </c>
      <c r="R75" s="14">
        <f t="shared" si="6"/>
      </c>
    </row>
    <row r="76" spans="6:18" x14ac:dyDescent="0.2">
      <c r="F76">
        <f ca="1">IF($E76="","",NotionalForDelta($E76,$G76,$H76,$I76,$K76,$L76,$N76,$O76,$S76,RealTime!$B$2:$D$45,評価日,_xlfn.ANCHORARRAY([1]Fixing!$A$5)))</f>
      </c>
      <c r="O76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Q76" s="14">
        <f t="shared" si="5"/>
      </c>
      <c r="R76" s="14">
        <f t="shared" si="6"/>
      </c>
    </row>
    <row r="77" spans="6:18" x14ac:dyDescent="0.2">
      <c r="F77">
        <f ca="1">IF($E77="","",NotionalForDelta($E77,$G77,$H77,$I77,$K77,$L77,$N77,$O77,$S77,RealTime!$B$2:$D$45,評価日,_xlfn.ANCHORARRAY([1]Fixing!$A$5)))</f>
      </c>
      <c r="O77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Q77" s="14">
        <f t="shared" si="5"/>
      </c>
      <c r="R77" s="14">
        <f t="shared" si="6"/>
      </c>
    </row>
    <row r="78" spans="6:18" x14ac:dyDescent="0.2">
      <c r="F78">
        <f ca="1">IF($E78="","",NotionalForDelta($E78,$G78,$H78,$I78,$K78,$L78,$N78,$O78,$S78,RealTime!$B$2:$D$45,評価日,_xlfn.ANCHORARRAY([1]Fixing!$A$5)))</f>
      </c>
      <c r="O78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Q78" s="14">
        <f t="shared" si="5"/>
      </c>
      <c r="R78" s="14">
        <f t="shared" si="6"/>
      </c>
    </row>
    <row r="79" spans="6:18" x14ac:dyDescent="0.2">
      <c r="F79">
        <f ca="1">IF($E79="","",NotionalForDelta($E79,$G79,$H79,$I79,$K79,$L79,$N79,$O79,$S79,RealTime!$B$2:$D$45,評価日,_xlfn.ANCHORARRAY([1]Fixing!$A$5)))</f>
      </c>
      <c r="O79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Q79" s="14">
        <f t="shared" si="5"/>
      </c>
      <c r="R79" s="14">
        <f t="shared" si="6"/>
      </c>
    </row>
    <row r="80" spans="6:18" x14ac:dyDescent="0.2">
      <c r="F80">
        <f ca="1">IF($E80="","",NotionalForDelta($E80,$G80,$H80,$I80,$K80,$L80,$N80,$O80,$S80,RealTime!$B$2:$D$45,評価日,_xlfn.ANCHORARRAY([1]Fixing!$A$5)))</f>
      </c>
      <c r="O80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Q80" s="14">
        <f t="shared" si="5"/>
      </c>
      <c r="R80" s="14">
        <f t="shared" si="6"/>
      </c>
    </row>
    <row r="81" spans="6:18" x14ac:dyDescent="0.2">
      <c r="F81">
        <f ca="1">IF($E81="","",NotionalForDelta($E81,$G81,$H81,$I81,$K81,$L81,$N81,$O81,$S81,RealTime!$B$2:$D$45,評価日,_xlfn.ANCHORARRAY([1]Fixing!$A$5)))</f>
      </c>
      <c r="O8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Q81" s="14">
        <f t="shared" si="5"/>
      </c>
      <c r="R81" s="14">
        <f t="shared" si="6"/>
      </c>
    </row>
    <row r="82" spans="6:18" x14ac:dyDescent="0.2">
      <c r="F82">
        <f ca="1">IF($E82="","",NotionalForDelta($E82,$G82,$H82,$I82,$K82,$L82,$N82,$O82,$S82,RealTime!$B$2:$D$45,評価日,_xlfn.ANCHORARRAY([1]Fixing!$A$5)))</f>
      </c>
      <c r="O8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Q82" s="14">
        <f t="shared" si="5"/>
      </c>
      <c r="R82" s="14">
        <f t="shared" si="6"/>
      </c>
    </row>
    <row r="83" spans="6:18" x14ac:dyDescent="0.2">
      <c r="F83">
        <f ca="1">IF($E83="","",NotionalForDelta($E83,$G83,$H83,$I83,$K83,$L83,$N83,$O83,$S83,RealTime!$B$2:$D$45,評価日,_xlfn.ANCHORARRAY([1]Fixing!$A$5)))</f>
      </c>
      <c r="O83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Q83" s="14">
        <f t="shared" si="5"/>
      </c>
      <c r="R83" s="14">
        <f t="shared" si="6"/>
      </c>
    </row>
    <row r="84" spans="6:18" x14ac:dyDescent="0.2">
      <c r="F84">
        <f ca="1">IF($E84="","",NotionalForDelta($E84,$G84,$H84,$I84,$K84,$L84,$N84,$O84,$S84,RealTime!$B$2:$D$45,評価日,_xlfn.ANCHORARRAY([1]Fixing!$A$5)))</f>
      </c>
      <c r="O84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Q84" s="14">
        <f t="shared" si="5"/>
      </c>
      <c r="R84" s="14">
        <f t="shared" si="6"/>
      </c>
    </row>
    <row r="85" spans="6:18" x14ac:dyDescent="0.2">
      <c r="F85">
        <f ca="1">IF($E85="","",NotionalForDelta($E85,$G85,$H85,$I85,$K85,$L85,$N85,$O85,$S85,RealTime!$B$2:$D$45,評価日,_xlfn.ANCHORARRAY([1]Fixing!$A$5)))</f>
      </c>
      <c r="O85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Q85" s="14">
        <f t="shared" si="5"/>
      </c>
      <c r="R85" s="14">
        <f t="shared" si="6"/>
      </c>
    </row>
    <row r="86" spans="6:18" x14ac:dyDescent="0.2">
      <c r="F86">
        <f ca="1">IF($E86="","",NotionalForDelta($E86,$G86,$H86,$I86,$K86,$L86,$N86,$O86,$S86,RealTime!$B$2:$D$45,評価日,_xlfn.ANCHORARRAY([1]Fixing!$A$5)))</f>
      </c>
      <c r="O86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Q86" s="14">
        <f t="shared" si="5"/>
      </c>
      <c r="R86" s="14">
        <f t="shared" si="6"/>
      </c>
    </row>
    <row r="87" spans="6:18" x14ac:dyDescent="0.2">
      <c r="F87">
        <f ca="1">IF($E87="","",NotionalForDelta($E87,$G87,$H87,$I87,$K87,$L87,$N87,$O87,$S87,RealTime!$B$2:$D$45,評価日,_xlfn.ANCHORARRAY([1]Fixing!$A$5)))</f>
      </c>
      <c r="O87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Q87" s="14">
        <f t="shared" si="5"/>
      </c>
      <c r="R87" s="14">
        <f t="shared" si="6"/>
      </c>
    </row>
    <row r="88" spans="6:18" x14ac:dyDescent="0.2">
      <c r="F88">
        <f ca="1">IF($E88="","",NotionalForDelta($E88,$G88,$H88,$I88,$K88,$L88,$N88,$O88,$S88,RealTime!$B$2:$D$45,評価日,_xlfn.ANCHORARRAY([1]Fixing!$A$5)))</f>
      </c>
      <c r="O88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Q88" s="14">
        <f t="shared" si="5"/>
      </c>
      <c r="R88" s="14">
        <f t="shared" si="6"/>
      </c>
    </row>
    <row r="89" spans="6:18" x14ac:dyDescent="0.2">
      <c r="F89">
        <f ca="1">IF($E89="","",NotionalForDelta($E89,$G89,$H89,$I89,$K89,$L89,$N89,$O89,$S89,RealTime!$B$2:$D$45,評価日,_xlfn.ANCHORARRAY([1]Fixing!$A$5)))</f>
      </c>
      <c r="O89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Q89" s="14">
        <f t="shared" si="5"/>
      </c>
      <c r="R89" s="14">
        <f t="shared" si="6"/>
      </c>
    </row>
    <row r="90" spans="6:18" x14ac:dyDescent="0.2">
      <c r="F90">
        <f ca="1">IF($E90="","",NotionalForDelta($E90,$G90,$H90,$I90,$K90,$L90,$N90,$O90,$S90,RealTime!$B$2:$D$45,評価日,_xlfn.ANCHORARRAY([1]Fixing!$A$5)))</f>
      </c>
      <c r="O90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Q90" s="14">
        <f t="shared" si="5"/>
      </c>
      <c r="R90" s="14">
        <f t="shared" si="6"/>
      </c>
    </row>
    <row r="91" spans="6:18" x14ac:dyDescent="0.2">
      <c r="F91">
        <f ca="1">IF($E91="","",NotionalForDelta($E91,$G91,$H91,$I91,$K91,$L91,$N91,$O91,$S91,RealTime!$B$2:$D$45,評価日,_xlfn.ANCHORARRAY([1]Fixing!$A$5)))</f>
      </c>
      <c r="O9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Q91" s="14">
        <f t="shared" si="5"/>
      </c>
      <c r="R91" s="14">
        <f t="shared" si="6"/>
      </c>
    </row>
    <row r="92" spans="6:18" x14ac:dyDescent="0.2">
      <c r="F92">
        <f ca="1">IF($E92="","",NotionalForDelta($E92,$G92,$H92,$I92,$K92,$L92,$N92,$O92,$S92,RealTime!$B$2:$D$45,評価日,_xlfn.ANCHORARRAY([1]Fixing!$A$5)))</f>
      </c>
      <c r="O9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Q92" s="14">
        <f t="shared" si="5"/>
      </c>
      <c r="R92" s="14">
        <f t="shared" si="6"/>
      </c>
    </row>
    <row r="93" spans="6:18" x14ac:dyDescent="0.2">
      <c r="F93">
        <f ca="1">IF($E93="","",NotionalForDelta($E93,$G93,$H93,$I93,$K93,$L93,$N93,$O93,$S93,RealTime!$B$2:$D$45,評価日,_xlfn.ANCHORARRAY([1]Fixing!$A$5)))</f>
      </c>
      <c r="O93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Q93" s="14">
        <f t="shared" si="5"/>
      </c>
      <c r="R93" s="14">
        <f t="shared" si="6"/>
      </c>
    </row>
    <row r="94" spans="6:18" x14ac:dyDescent="0.2">
      <c r="F94">
        <f ca="1">IF($E94="","",NotionalForDelta($E94,$G94,$H94,$I94,$K94,$L94,$N94,$O94,$S94,RealTime!$B$2:$D$45,評価日,_xlfn.ANCHORARRAY([1]Fixing!$A$5)))</f>
      </c>
      <c r="O94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Q94" s="14">
        <f t="shared" si="5"/>
      </c>
      <c r="R94" s="14">
        <f t="shared" si="6"/>
      </c>
    </row>
    <row r="95" spans="6:18" x14ac:dyDescent="0.2">
      <c r="F95">
        <f ca="1">IF($E95="","",NotionalForDelta($E95,$G95,$H95,$I95,$K95,$L95,$N95,$O95,$S95,RealTime!$B$2:$D$45,評価日,_xlfn.ANCHORARRAY([1]Fixing!$A$5)))</f>
      </c>
      <c r="O95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Q95" s="14">
        <f t="shared" si="5"/>
      </c>
      <c r="R95" s="14">
        <f t="shared" si="6"/>
      </c>
    </row>
    <row r="96" spans="6:18" x14ac:dyDescent="0.2">
      <c r="F96">
        <f ca="1">IF($E96="","",NotionalForDelta($E96,$G96,$H96,$I96,$K96,$L96,$N96,$O96,$S96,RealTime!$B$2:$D$45,評価日,_xlfn.ANCHORARRAY([1]Fixing!$A$5)))</f>
      </c>
      <c r="O96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Q96" s="14">
        <f t="shared" si="5"/>
      </c>
      <c r="R96" s="14">
        <f t="shared" si="6"/>
      </c>
    </row>
    <row r="97" spans="1:18" x14ac:dyDescent="0.2">
      <c r="F97">
        <f ca="1">IF($E97="","",NotionalForDelta($E97,$G97,$H97,$I97,$K97,$L97,$N97,$O97,$S97,RealTime!$B$2:$D$45,評価日,_xlfn.ANCHORARRAY([1]Fixing!$A$5)))</f>
      </c>
      <c r="O97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Q97" s="14">
        <f t="shared" si="5"/>
      </c>
      <c r="R97" s="14">
        <f t="shared" si="6"/>
      </c>
    </row>
    <row r="98" spans="1:18" x14ac:dyDescent="0.2">
      <c r="F98">
        <f ca="1">IF($E98="","",NotionalForDelta($E98,$G98,$H98,$I98,$K98,$L98,$N98,$O98,$S98,RealTime!$B$2:$D$45,評価日,_xlfn.ANCHORARRAY([1]Fixing!$A$5)))</f>
      </c>
      <c r="O98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Q98" s="14">
        <f t="shared" si="5"/>
      </c>
      <c r="R98" s="14">
        <f t="shared" si="6"/>
      </c>
    </row>
    <row r="99" spans="1:18" x14ac:dyDescent="0.2">
      <c r="F99">
        <f ca="1">IF($E99="","",NotionalForDelta($E99,$G99,$H99,$I99,$K99,$L99,$N99,$O99,$S99,RealTime!$B$2:$D$45,評価日,_xlfn.ANCHORARRAY([1]Fixing!$A$5)))</f>
      </c>
      <c r="O99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Q99" s="14">
        <f t="shared" si="5"/>
      </c>
      <c r="R99" s="14">
        <f t="shared" si="6"/>
      </c>
    </row>
    <row r="100" spans="1:18" x14ac:dyDescent="0.2">
      <c r="A100">
        <v>0</v>
      </c>
      <c r="F100">
        <f ca="1">IF($E100="","",NotionalForDelta($E100,$G100,$H100,$I100,$K100,$L100,$N100,$O100,$S100,RealTime!$B$2:$D$45,評価日,_xlfn.ANCHORARRAY([1]Fixing!$A$5)))</f>
      </c>
      <c r="O100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Q100" s="14">
        <f t="shared" si="5"/>
      </c>
      <c r="R100" s="14">
        <f t="shared" si="6"/>
      </c>
    </row>
    <row r="101" spans="1:18" x14ac:dyDescent="0.2">
      <c r="F101">
        <f ca="1">IF($E101="","",NotionalForDelta($E101,$G101,$H101,$I101,$K101,$L101,$N101,$O101,$S101,RealTime!$B$2:$D$45,評価日,_xlfn.ANCHORARRAY([1]Fixing!$A$5)))</f>
      </c>
      <c r="O10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Q101" s="14">
        <f t="shared" si="5"/>
      </c>
      <c r="R101" s="14">
        <f t="shared" si="6"/>
      </c>
    </row>
    <row r="102" spans="1:18" x14ac:dyDescent="0.2">
      <c r="F102">
        <f ca="1">IF($E102="","",NotionalForDelta($E102,$G102,$H102,$I102,$K102,$L102,$N102,$O102,$S102,RealTime!$B$2:$D$45,評価日,_xlfn.ANCHORARRAY([1]Fixing!$A$5)))</f>
      </c>
      <c r="O10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Q102" s="14">
        <f t="shared" si="5"/>
      </c>
      <c r="R102" s="14">
        <f t="shared" si="6"/>
      </c>
    </row>
    <row r="103" spans="1:18" x14ac:dyDescent="0.2">
      <c r="F103">
        <f ca="1">IF($E103="","",NotionalForDelta($E103,$G103,$H103,$I103,$K103,$L103,$N103,$O103,$S103,RealTime!$B$2:$D$45,評価日,_xlfn.ANCHORARRAY([1]Fixing!$A$5)))</f>
      </c>
      <c r="O103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Q103" s="14">
        <f t="shared" si="5"/>
      </c>
      <c r="R103" s="14">
        <f t="shared" si="6"/>
      </c>
    </row>
    <row r="104" spans="1:18" x14ac:dyDescent="0.2">
      <c r="F104">
        <f ca="1">IF($E104="","",NotionalForDelta($E104,$G104,$H104,$I104,$K104,$L104,$N104,$O104,$S104,RealTime!$B$2:$D$45,評価日,_xlfn.ANCHORARRAY([1]Fixing!$A$5)))</f>
      </c>
      <c r="O104" cm="1">
        <f t="array" ref="O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Q104" s="14">
        <f t="shared" si="5"/>
      </c>
      <c r="R104" s="14">
        <f t="shared" si="6"/>
      </c>
    </row>
    <row r="105" spans="1:18" x14ac:dyDescent="0.2">
      <c r="F105">
        <f ca="1">IF($E105="","",NotionalForDelta($E105,$G105,$H105,$I105,$K105,$L105,$N105,$O105,$S105,RealTime!$B$2:$D$45,評価日,_xlfn.ANCHORARRAY([1]Fixing!$A$5)))</f>
      </c>
      <c r="O105" cm="1">
        <f t="array" ref="O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Q105" s="14">
        <f t="shared" si="5"/>
      </c>
      <c r="R105" s="14">
        <f t="shared" si="6"/>
      </c>
    </row>
    <row r="106" spans="1:18" x14ac:dyDescent="0.2">
      <c r="F106">
        <f ca="1">IF($E106="","",NotionalForDelta($E106,$G106,$H106,$I106,$K106,$L106,$N106,$O106,$S106,RealTime!$B$2:$D$45,評価日,_xlfn.ANCHORARRAY([1]Fixing!$A$5)))</f>
      </c>
      <c r="O106" cm="1">
        <f t="array" ref="O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Q106" s="14">
        <f t="shared" si="5"/>
      </c>
      <c r="R106" s="14">
        <f t="shared" si="6"/>
      </c>
    </row>
    <row r="107" spans="1:18" x14ac:dyDescent="0.2">
      <c r="F107">
        <f ca="1">IF($E107="","",NotionalForDelta($E107,$G107,$H107,$I107,$K107,$L107,$N107,$O107,$S107,RealTime!$B$2:$D$45,評価日,_xlfn.ANCHORARRAY([1]Fixing!$A$5)))</f>
      </c>
      <c r="O107" cm="1">
        <f t="array" ref="O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Q107" s="14">
        <f t="shared" si="5"/>
      </c>
      <c r="R107" s="14">
        <f t="shared" si="6"/>
      </c>
    </row>
    <row r="108" spans="1:18" x14ac:dyDescent="0.2">
      <c r="F108">
        <f ca="1">IF($E108="","",NotionalForDelta($E108,$G108,$H108,$I108,$K108,$L108,$N108,$O108,$S108,RealTime!$B$2:$D$45,評価日,_xlfn.ANCHORARRAY([1]Fixing!$A$5)))</f>
      </c>
      <c r="O108" cm="1">
        <f t="array" ref="O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Q108" s="14">
        <f t="shared" si="5"/>
      </c>
      <c r="R108" s="14">
        <f t="shared" si="6"/>
      </c>
    </row>
    <row r="109" spans="1:18" x14ac:dyDescent="0.2">
      <c r="F109">
        <f ca="1">IF($E109="","",NotionalForDelta($E109,$G109,$H109,$I109,$K109,$L109,$N109,$O109,$S109,RealTime!$B$2:$D$45,評価日,_xlfn.ANCHORARRAY([1]Fixing!$A$5)))</f>
      </c>
      <c r="O109" cm="1">
        <f t="array" ref="O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Q109" s="14">
        <f t="shared" si="5"/>
      </c>
      <c r="R109" s="14">
        <f t="shared" si="6"/>
      </c>
    </row>
    <row r="110" spans="1:18" x14ac:dyDescent="0.2">
      <c r="F110">
        <f ca="1">IF($E110="","",NotionalForDelta($E110,$G110,$H110,$I110,$K110,$L110,$N110,$O110,$S110,RealTime!$B$2:$D$45,評価日,_xlfn.ANCHORARRAY([1]Fixing!$A$5)))</f>
      </c>
      <c r="O110" cm="1">
        <f t="array" ref="O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Q110" s="14">
        <f t="shared" si="5"/>
      </c>
      <c r="R110" s="14">
        <f t="shared" si="6"/>
      </c>
    </row>
    <row r="111" spans="1:18" x14ac:dyDescent="0.2">
      <c r="F111">
        <f ca="1">IF($E111="","",NotionalForDelta($E111,$G111,$H111,$I111,$K111,$L111,$N111,$O111,$S111,RealTime!$B$2:$D$45,評価日,_xlfn.ANCHORARRAY([1]Fixing!$A$5)))</f>
      </c>
      <c r="O111" cm="1">
        <f t="array" ref="O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Q111" s="14">
        <f t="shared" si="5"/>
      </c>
      <c r="R111" s="14">
        <f t="shared" si="6"/>
      </c>
    </row>
    <row r="112" spans="1:18" x14ac:dyDescent="0.2">
      <c r="F112">
        <f ca="1">IF($E112="","",NotionalForDelta($E112,$G112,$H112,$I112,$K112,$L112,$N112,$O112,$S112,RealTime!$B$2:$D$45,評価日,_xlfn.ANCHORARRAY([1]Fixing!$A$5)))</f>
      </c>
      <c r="O112" cm="1">
        <f t="array" ref="O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Q112" s="14">
        <f t="shared" si="5"/>
      </c>
      <c r="R112" s="14">
        <f t="shared" si="6"/>
      </c>
    </row>
    <row r="113" spans="6:18" x14ac:dyDescent="0.2">
      <c r="F113">
        <f ca="1">IF($E113="","",NotionalForDelta($E113,$G113,$H113,$I113,$K113,$L113,$N113,$O113,$S113,RealTime!$B$2:$D$45,評価日,_xlfn.ANCHORARRAY([1]Fixing!$A$5)))</f>
      </c>
      <c r="O113" cm="1">
        <f t="array" ref="O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Q113" s="14">
        <f t="shared" si="5"/>
      </c>
      <c r="R113" s="14">
        <f t="shared" si="6"/>
      </c>
    </row>
    <row r="114" spans="6:18" x14ac:dyDescent="0.2">
      <c r="F114">
        <f ca="1">IF($E114="","",NotionalForDelta($E114,$G114,$H114,$I114,$K114,$L114,$N114,$O114,$S114,RealTime!$B$2:$D$45,評価日,_xlfn.ANCHORARRAY([1]Fixing!$A$5)))</f>
      </c>
      <c r="O114" cm="1">
        <f t="array" ref="O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Q114" s="14">
        <f t="shared" si="5"/>
      </c>
      <c r="R114" s="14">
        <f t="shared" si="6"/>
      </c>
    </row>
    <row r="115" spans="6:18" x14ac:dyDescent="0.2">
      <c r="F115">
        <f ca="1">IF($E115="","",NotionalForDelta($E115,$G115,$H115,$I115,$K115,$L115,$N115,$O115,$S115,RealTime!$B$2:$D$45,評価日,_xlfn.ANCHORARRAY([1]Fixing!$A$5)))</f>
      </c>
      <c r="O115" cm="1">
        <f t="array" ref="O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Q115" s="14">
        <f t="shared" si="5"/>
      </c>
      <c r="R115" s="14">
        <f t="shared" si="6"/>
      </c>
    </row>
    <row r="116" spans="6:18" x14ac:dyDescent="0.2">
      <c r="F116">
        <f ca="1">IF($E116="","",NotionalForDelta($E116,$G116,$H116,$I116,$K116,$L116,$N116,$O116,$S116,RealTime!$B$2:$D$45,評価日,_xlfn.ANCHORARRAY([1]Fixing!$A$5)))</f>
      </c>
      <c r="O116" cm="1">
        <f t="array" ref="O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Q116" s="14">
        <f t="shared" si="5"/>
      </c>
      <c r="R116" s="14">
        <f t="shared" si="6"/>
      </c>
    </row>
    <row r="117" spans="6:18" x14ac:dyDescent="0.2">
      <c r="F117">
        <f ca="1">IF($E117="","",NotionalForDelta($E117,$G117,$H117,$I117,$K117,$L117,$N117,$O117,$S117,RealTime!$B$2:$D$45,評価日,_xlfn.ANCHORARRAY([1]Fixing!$A$5)))</f>
      </c>
      <c r="O117" cm="1">
        <f t="array" ref="O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Q117" s="14">
        <f t="shared" si="5"/>
      </c>
      <c r="R117" s="14">
        <f t="shared" si="6"/>
      </c>
    </row>
    <row r="118" spans="6:18" x14ac:dyDescent="0.2">
      <c r="F118">
        <f ca="1">IF($E118="","",NotionalForDelta($E118,$G118,$H118,$I118,$K118,$L118,$N118,$O118,$S118,RealTime!$B$2:$D$45,評価日,_xlfn.ANCHORARRAY([1]Fixing!$A$5)))</f>
      </c>
      <c r="O118" cm="1">
        <f t="array" ref="O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Q118" s="14">
        <f t="shared" si="5"/>
      </c>
      <c r="R118" s="14">
        <f t="shared" si="6"/>
      </c>
    </row>
    <row r="119" spans="6:18" x14ac:dyDescent="0.2">
      <c r="F119">
        <f ca="1">IF($E119="","",NotionalForDelta($E119,$G119,$H119,$I119,$K119,$L119,$N119,$O119,$S119,RealTime!$B$2:$D$45,評価日,_xlfn.ANCHORARRAY([1]Fixing!$A$5)))</f>
      </c>
      <c r="O119" cm="1">
        <f t="array" ref="O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Q119" s="14">
        <f t="shared" si="5"/>
      </c>
      <c r="R119" s="14">
        <f t="shared" si="6"/>
      </c>
    </row>
    <row r="120" spans="6:18" x14ac:dyDescent="0.2">
      <c r="F120">
        <f ca="1">IF($E120="","",NotionalForDelta($E120,$G120,$H120,$I120,$K120,$L120,$N120,$O120,$S120,RealTime!$B$2:$D$45,評価日,_xlfn.ANCHORARRAY([1]Fixing!$A$5)))</f>
      </c>
      <c r="O120" cm="1">
        <f t="array" ref="O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Q120" s="14">
        <f t="shared" si="5"/>
      </c>
      <c r="R120" s="14">
        <f t="shared" si="6"/>
      </c>
    </row>
    <row r="121" spans="6:18" x14ac:dyDescent="0.2">
      <c r="F121">
        <f ca="1">IF($E121="","",NotionalForDelta($E121,$G121,$H121,$I121,$K121,$L121,$N121,$O121,$S121,RealTime!$B$2:$D$45,評価日,_xlfn.ANCHORARRAY([1]Fixing!$A$5)))</f>
      </c>
      <c r="O121" cm="1">
        <f t="array" ref="O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Q121" s="14">
        <f t="shared" si="5"/>
      </c>
      <c r="R121" s="14">
        <f t="shared" si="6"/>
      </c>
    </row>
    <row r="122" spans="6:18" x14ac:dyDescent="0.2">
      <c r="F122">
        <f ca="1">IF($E122="","",NotionalForDelta($E122,$G122,$H122,$I122,$K122,$L122,$N122,$O122,$S122,RealTime!$B$2:$D$45,評価日,_xlfn.ANCHORARRAY([1]Fixing!$A$5)))</f>
      </c>
      <c r="O122" cm="1">
        <f t="array" ref="O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Q122" s="14">
        <f t="shared" si="5"/>
      </c>
      <c r="R122" s="14">
        <f t="shared" si="6"/>
      </c>
    </row>
    <row r="123" spans="6:18" x14ac:dyDescent="0.2">
      <c r="F123">
        <f ca="1">IF($E123="","",NotionalForDelta($E123,$G123,$H123,$I123,$K123,$L123,$N123,$O123,$S123,RealTime!$B$2:$D$45,評価日,_xlfn.ANCHORARRAY([1]Fixing!$A$5)))</f>
      </c>
      <c r="O123" cm="1">
        <f t="array" ref="O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Q123" s="14">
        <f t="shared" si="5"/>
      </c>
      <c r="R123" s="14">
        <f t="shared" si="6"/>
      </c>
    </row>
    <row r="124" spans="6:18" x14ac:dyDescent="0.2">
      <c r="F124">
        <f ca="1">IF($E124="","",NotionalForDelta($E124,$G124,$H124,$I124,$K124,$L124,$N124,$O124,$S124,RealTime!$B$2:$D$45,評価日,_xlfn.ANCHORARRAY([1]Fixing!$A$5)))</f>
      </c>
      <c r="O124" cm="1">
        <f t="array" ref="O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Q124" s="14">
        <f t="shared" si="5"/>
      </c>
      <c r="R124" s="14">
        <f t="shared" si="6"/>
      </c>
    </row>
    <row r="125" spans="6:18" x14ac:dyDescent="0.2">
      <c r="F125">
        <f ca="1">IF($E125="","",NotionalForDelta($E125,$G125,$H125,$I125,$K125,$L125,$N125,$O125,$S125,RealTime!$B$2:$D$45,評価日,_xlfn.ANCHORARRAY([1]Fixing!$A$5)))</f>
      </c>
      <c r="O125" cm="1">
        <f t="array" ref="O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Q125" s="14">
        <f t="shared" si="5"/>
      </c>
      <c r="R125" s="14">
        <f t="shared" si="6"/>
      </c>
    </row>
    <row r="126" spans="6:18" x14ac:dyDescent="0.2">
      <c r="F126">
        <f ca="1">IF($E126="","",NotionalForDelta($E126,$G126,$H126,$I126,$K126,$L126,$N126,$O126,$S126,RealTime!$B$2:$D$45,評価日,_xlfn.ANCHORARRAY([1]Fixing!$A$5)))</f>
      </c>
      <c r="O126" cm="1">
        <f t="array" ref="O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Q126" s="14">
        <f t="shared" si="5"/>
      </c>
      <c r="R126" s="14">
        <f t="shared" si="6"/>
      </c>
    </row>
    <row r="127" spans="6:18" x14ac:dyDescent="0.2">
      <c r="F127">
        <f ca="1">IF($E127="","",NotionalForDelta($E127,$G127,$H127,$I127,$K127,$L127,$N127,$O127,$S127,RealTime!$B$2:$D$45,評価日,_xlfn.ANCHORARRAY([1]Fixing!$A$5)))</f>
      </c>
      <c r="O127" cm="1">
        <f t="array" ref="O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Q127" s="14">
        <f t="shared" si="5"/>
      </c>
      <c r="R127" s="14">
        <f t="shared" si="6"/>
      </c>
    </row>
    <row r="128" spans="6:18" x14ac:dyDescent="0.2">
      <c r="F128">
        <f ca="1">IF($E128="","",NotionalForDelta($E128,$G128,$H128,$I128,$K128,$L128,$N128,$O128,$S128,RealTime!$B$2:$D$45,評価日,_xlfn.ANCHORARRAY([1]Fixing!$A$5)))</f>
      </c>
      <c r="O128" cm="1">
        <f t="array" ref="O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Q128" s="14">
        <f t="shared" si="5"/>
      </c>
      <c r="R128" s="14">
        <f t="shared" si="6"/>
      </c>
    </row>
    <row r="129" spans="6:18" x14ac:dyDescent="0.2">
      <c r="F129">
        <f ca="1">IF($E129="","",NotionalForDelta($E129,$G129,$H129,$I129,$K129,$L129,$N129,$O129,$S129,RealTime!$B$2:$D$45,評価日,_xlfn.ANCHORARRAY([1]Fixing!$A$5)))</f>
      </c>
      <c r="O129" cm="1">
        <f t="array" ref="O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Q129" s="14">
        <f t="shared" si="5"/>
      </c>
      <c r="R129" s="14">
        <f t="shared" si="6"/>
      </c>
    </row>
    <row r="130" spans="6:18" x14ac:dyDescent="0.2">
      <c r="F130">
        <f ca="1">IF($E130="","",NotionalForDelta($E130,$G130,$H130,$I130,$K130,$L130,$N130,$O130,$S130,RealTime!$B$2:$D$45,評価日,_xlfn.ANCHORARRAY([1]Fixing!$A$5)))</f>
      </c>
      <c r="O130" cm="1">
        <f t="array" ref="O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Q130" s="14">
        <f t="shared" si="5"/>
      </c>
      <c r="R130" s="14">
        <f t="shared" si="6"/>
      </c>
    </row>
    <row r="131" spans="6:18" x14ac:dyDescent="0.2">
      <c r="F131">
        <f ca="1">IF($E131="","",NotionalForDelta($E131,$G131,$H131,$I131,$K131,$L131,$N131,$O131,$S131,RealTime!$B$2:$D$45,評価日,_xlfn.ANCHORARRAY([1]Fixing!$A$5)))</f>
      </c>
      <c r="O131" cm="1">
        <f t="array" ref="O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Q131" s="14">
        <f t="shared" ref="Q131:Q194" si="7">IF(ISNUMBER(P130),(P131-P130)*100,"")</f>
      </c>
      <c r="R131" s="14">
        <f t="shared" si="6"/>
      </c>
    </row>
    <row r="132" spans="6:18" x14ac:dyDescent="0.2">
      <c r="F132">
        <f ca="1">IF($E132="","",NotionalForDelta($E132,$G132,$H132,$I132,$K132,$L132,$N132,$O132,$S132,RealTime!$B$2:$D$45,評価日,_xlfn.ANCHORARRAY([1]Fixing!$A$5)))</f>
      </c>
      <c r="O132" cm="1">
        <f t="array" ref="O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Q132" s="14">
        <f t="shared" si="7"/>
      </c>
      <c r="R132" s="14">
        <f t="shared" ref="R132:R195" si="8">IF(AND(ISNUMBER(P131),ISNUMBER(P133)),(2*P132-P131-P133)*100,"")</f>
      </c>
    </row>
    <row r="133" spans="6:18" x14ac:dyDescent="0.2">
      <c r="F133">
        <f ca="1">IF($E133="","",NotionalForDelta($E133,$G133,$H133,$I133,$K133,$L133,$N133,$O133,$S133,RealTime!$B$2:$D$45,評価日,_xlfn.ANCHORARRAY([1]Fixing!$A$5)))</f>
      </c>
      <c r="O133" cm="1">
        <f t="array" ref="O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Q133" s="14">
        <f t="shared" si="7"/>
      </c>
      <c r="R133" s="14">
        <f t="shared" si="8"/>
      </c>
    </row>
    <row r="134" spans="6:18" x14ac:dyDescent="0.2">
      <c r="F134">
        <f ca="1">IF($E134="","",NotionalForDelta($E134,$G134,$H134,$I134,$K134,$L134,$N134,$O134,$S134,RealTime!$B$2:$D$45,評価日,_xlfn.ANCHORARRAY([1]Fixing!$A$5)))</f>
      </c>
      <c r="O134" cm="1">
        <f t="array" ref="O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Q134" s="14">
        <f t="shared" si="7"/>
      </c>
      <c r="R134" s="14">
        <f t="shared" si="8"/>
      </c>
    </row>
    <row r="135" spans="6:18" x14ac:dyDescent="0.2">
      <c r="F135">
        <f ca="1">IF($E135="","",NotionalForDelta($E135,$G135,$H135,$I135,$K135,$L135,$N135,$O135,$S135,RealTime!$B$2:$D$45,評価日,_xlfn.ANCHORARRAY([1]Fixing!$A$5)))</f>
      </c>
      <c r="O135" cm="1">
        <f t="array" ref="O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Q135" s="14">
        <f t="shared" si="7"/>
      </c>
      <c r="R135" s="14">
        <f t="shared" si="8"/>
      </c>
    </row>
    <row r="136" spans="6:18" x14ac:dyDescent="0.2">
      <c r="F136">
        <f ca="1">IF($E136="","",NotionalForDelta($E136,$G136,$H136,$I136,$K136,$L136,$N136,$O136,$S136,RealTime!$B$2:$D$45,評価日,_xlfn.ANCHORARRAY([1]Fixing!$A$5)))</f>
      </c>
      <c r="O136" cm="1">
        <f t="array" ref="O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Q136" s="14">
        <f t="shared" si="7"/>
      </c>
      <c r="R136" s="14">
        <f t="shared" si="8"/>
      </c>
    </row>
    <row r="137" spans="6:18" x14ac:dyDescent="0.2">
      <c r="F137">
        <f ca="1">IF($E137="","",NotionalForDelta($E137,$G137,$H137,$I137,$K137,$L137,$N137,$O137,$S137,RealTime!$B$2:$D$45,評価日,_xlfn.ANCHORARRAY([1]Fixing!$A$5)))</f>
      </c>
      <c r="O137" cm="1">
        <f t="array" ref="O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Q137" s="14">
        <f t="shared" si="7"/>
      </c>
      <c r="R137" s="14">
        <f t="shared" si="8"/>
      </c>
    </row>
    <row r="138" spans="6:18" x14ac:dyDescent="0.2">
      <c r="F138">
        <f ca="1">IF($E138="","",NotionalForDelta($E138,$G138,$H138,$I138,$K138,$L138,$N138,$O138,$S138,RealTime!$B$2:$D$45,評価日,_xlfn.ANCHORARRAY([1]Fixing!$A$5)))</f>
      </c>
      <c r="O138" cm="1">
        <f t="array" ref="O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Q138" s="14">
        <f t="shared" si="7"/>
      </c>
      <c r="R138" s="14">
        <f t="shared" si="8"/>
      </c>
    </row>
    <row r="139" spans="6:18" x14ac:dyDescent="0.2">
      <c r="F139">
        <f ca="1">IF($E139="","",NotionalForDelta($E139,$G139,$H139,$I139,$K139,$L139,$N139,$O139,$S139,RealTime!$B$2:$D$45,評価日,_xlfn.ANCHORARRAY([1]Fixing!$A$5)))</f>
      </c>
      <c r="O139" cm="1">
        <f t="array" ref="O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Q139" s="14">
        <f t="shared" si="7"/>
      </c>
      <c r="R139" s="14">
        <f t="shared" si="8"/>
      </c>
    </row>
    <row r="140" spans="6:18" x14ac:dyDescent="0.2">
      <c r="F140">
        <f ca="1">IF($E140="","",NotionalForDelta($E140,$G140,$H140,$I140,$K140,$L140,$N140,$O140,$S140,RealTime!$B$2:$D$45,評価日,_xlfn.ANCHORARRAY([1]Fixing!$A$5)))</f>
      </c>
      <c r="O140" cm="1">
        <f t="array" ref="O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Q140" s="14">
        <f t="shared" si="7"/>
      </c>
      <c r="R140" s="14">
        <f t="shared" si="8"/>
      </c>
    </row>
    <row r="141" spans="6:18" x14ac:dyDescent="0.2">
      <c r="F141">
        <f ca="1">IF($E141="","",NotionalForDelta($E141,$G141,$H141,$I141,$K141,$L141,$N141,$O141,$S141,RealTime!$B$2:$D$45,評価日,_xlfn.ANCHORARRAY([1]Fixing!$A$5)))</f>
      </c>
      <c r="O141" cm="1">
        <f t="array" ref="O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Q141" s="14">
        <f t="shared" si="7"/>
      </c>
      <c r="R141" s="14">
        <f t="shared" si="8"/>
      </c>
    </row>
    <row r="142" spans="6:18" x14ac:dyDescent="0.2">
      <c r="F142">
        <f ca="1">IF($E142="","",NotionalForDelta($E142,$G142,$H142,$I142,$K142,$L142,$N142,$O142,$S142,RealTime!$B$2:$D$45,評価日,_xlfn.ANCHORARRAY([1]Fixing!$A$5)))</f>
      </c>
      <c r="O142" cm="1">
        <f t="array" ref="O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Q142" s="14">
        <f t="shared" si="7"/>
      </c>
      <c r="R142" s="14">
        <f t="shared" si="8"/>
      </c>
    </row>
    <row r="143" spans="6:18" x14ac:dyDescent="0.2">
      <c r="F143">
        <f ca="1">IF($E143="","",NotionalForDelta($E143,$G143,$H143,$I143,$K143,$L143,$N143,$O143,$S143,RealTime!$B$2:$D$45,評価日,_xlfn.ANCHORARRAY([1]Fixing!$A$5)))</f>
      </c>
      <c r="O143" cm="1">
        <f t="array" ref="O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Q143" s="14">
        <f t="shared" si="7"/>
      </c>
      <c r="R143" s="14">
        <f t="shared" si="8"/>
      </c>
    </row>
    <row r="144" spans="6:18" x14ac:dyDescent="0.2">
      <c r="F144">
        <f ca="1">IF($E144="","",NotionalForDelta($E144,$G144,$H144,$I144,$K144,$L144,$N144,$O144,$S144,RealTime!$B$2:$D$45,評価日,_xlfn.ANCHORARRAY([1]Fixing!$A$5)))</f>
      </c>
      <c r="O144" cm="1">
        <f t="array" ref="O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Q144" s="14">
        <f t="shared" si="7"/>
      </c>
      <c r="R144" s="14">
        <f t="shared" si="8"/>
      </c>
    </row>
    <row r="145" spans="6:18" x14ac:dyDescent="0.2">
      <c r="F145">
        <f ca="1">IF($E145="","",NotionalForDelta($E145,$G145,$H145,$I145,$K145,$L145,$N145,$O145,$S145,RealTime!$B$2:$D$45,評価日,_xlfn.ANCHORARRAY([1]Fixing!$A$5)))</f>
      </c>
      <c r="O145" cm="1">
        <f t="array" ref="O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Q145" s="14">
        <f t="shared" si="7"/>
      </c>
      <c r="R145" s="14">
        <f t="shared" si="8"/>
      </c>
    </row>
    <row r="146" spans="6:18" x14ac:dyDescent="0.2">
      <c r="F146">
        <f ca="1">IF($E146="","",NotionalForDelta($E146,$G146,$H146,$I146,$K146,$L146,$N146,$O146,$S146,RealTime!$B$2:$D$45,評価日,_xlfn.ANCHORARRAY([1]Fixing!$A$5)))</f>
      </c>
      <c r="O146" cm="1">
        <f t="array" ref="O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Q146" s="14">
        <f t="shared" si="7"/>
      </c>
      <c r="R146" s="14">
        <f t="shared" si="8"/>
      </c>
    </row>
    <row r="147" spans="6:18" x14ac:dyDescent="0.2">
      <c r="F147">
        <f ca="1">IF($E147="","",NotionalForDelta($E147,$G147,$H147,$I147,$K147,$L147,$N147,$O147,$S147,RealTime!$B$2:$D$45,評価日,_xlfn.ANCHORARRAY([1]Fixing!$A$5)))</f>
      </c>
      <c r="O147" cm="1">
        <f t="array" ref="O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Q147" s="14">
        <f t="shared" si="7"/>
      </c>
      <c r="R147" s="14">
        <f t="shared" si="8"/>
      </c>
    </row>
    <row r="148" spans="6:18" x14ac:dyDescent="0.2">
      <c r="F148">
        <f ca="1">IF($E148="","",NotionalForDelta($E148,$G148,$H148,$I148,$K148,$L148,$N148,$O148,$S148,RealTime!$B$2:$D$45,評価日,_xlfn.ANCHORARRAY([1]Fixing!$A$5)))</f>
      </c>
      <c r="O148" cm="1">
        <f t="array" ref="O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Q148" s="14">
        <f t="shared" si="7"/>
      </c>
      <c r="R148" s="14">
        <f t="shared" si="8"/>
      </c>
    </row>
    <row r="149" spans="6:18" x14ac:dyDescent="0.2">
      <c r="F149">
        <f ca="1">IF($E149="","",NotionalForDelta($E149,$G149,$H149,$I149,$K149,$L149,$N149,$O149,$S149,RealTime!$B$2:$D$45,評価日,_xlfn.ANCHORARRAY([1]Fixing!$A$5)))</f>
      </c>
      <c r="O149" cm="1">
        <f t="array" ref="O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Q149" s="14">
        <f t="shared" si="7"/>
      </c>
      <c r="R149" s="14">
        <f t="shared" si="8"/>
      </c>
    </row>
    <row r="150" spans="6:18" x14ac:dyDescent="0.2">
      <c r="F150">
        <f ca="1">IF($E150="","",NotionalForDelta($E150,$G150,$H150,$I150,$K150,$L150,$N150,$O150,$S150,RealTime!$B$2:$D$45,評価日,_xlfn.ANCHORARRAY([1]Fixing!$A$5)))</f>
      </c>
      <c r="O150" cm="1">
        <f t="array" ref="O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Q150" s="14">
        <f t="shared" si="7"/>
      </c>
      <c r="R150" s="14">
        <f t="shared" si="8"/>
      </c>
    </row>
    <row r="151" spans="6:18" x14ac:dyDescent="0.2">
      <c r="F151">
        <f ca="1">IF($E151="","",NotionalForDelta($E151,$G151,$H151,$I151,$K151,$L151,$N151,$O151,$S151,RealTime!$B$2:$D$45,評価日,_xlfn.ANCHORARRAY([1]Fixing!$A$5)))</f>
      </c>
      <c r="O151" cm="1">
        <f t="array" ref="O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Q151" s="14">
        <f t="shared" si="7"/>
      </c>
      <c r="R151" s="14">
        <f t="shared" si="8"/>
      </c>
    </row>
    <row r="152" spans="6:18" x14ac:dyDescent="0.2">
      <c r="F152">
        <f ca="1">IF($E152="","",NotionalForDelta($E152,$G152,$H152,$I152,$K152,$L152,$N152,$O152,$S152,RealTime!$B$2:$D$45,評価日,_xlfn.ANCHORARRAY([1]Fixing!$A$5)))</f>
      </c>
      <c r="O152" cm="1">
        <f t="array" ref="O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Q152" s="14">
        <f t="shared" si="7"/>
      </c>
      <c r="R152" s="14">
        <f t="shared" si="8"/>
      </c>
    </row>
    <row r="153" spans="6:18" x14ac:dyDescent="0.2">
      <c r="F153">
        <f ca="1">IF($E153="","",NotionalForDelta($E153,$G153,$H153,$I153,$K153,$L153,$N153,$O153,$S153,RealTime!$B$2:$D$45,評価日,_xlfn.ANCHORARRAY([1]Fixing!$A$5)))</f>
      </c>
      <c r="O153" cm="1">
        <f t="array" ref="O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Q153" s="14">
        <f t="shared" si="7"/>
      </c>
      <c r="R153" s="14">
        <f t="shared" si="8"/>
      </c>
    </row>
    <row r="154" spans="6:18" x14ac:dyDescent="0.2">
      <c r="F154">
        <f ca="1">IF($E154="","",NotionalForDelta($E154,$G154,$H154,$I154,$K154,$L154,$N154,$O154,$S154,RealTime!$B$2:$D$45,評価日,_xlfn.ANCHORARRAY([1]Fixing!$A$5)))</f>
      </c>
      <c r="O154" cm="1">
        <f t="array" ref="O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Q154" s="14">
        <f t="shared" si="7"/>
      </c>
      <c r="R154" s="14">
        <f t="shared" si="8"/>
      </c>
    </row>
    <row r="155" spans="6:18" x14ac:dyDescent="0.2">
      <c r="F155">
        <f ca="1">IF($E155="","",NotionalForDelta($E155,$G155,$H155,$I155,$K155,$L155,$N155,$O155,$S155,RealTime!$B$2:$D$45,評価日,_xlfn.ANCHORARRAY([1]Fixing!$A$5)))</f>
      </c>
      <c r="O155" cm="1">
        <f t="array" ref="O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Q155" s="14">
        <f t="shared" si="7"/>
      </c>
      <c r="R155" s="14">
        <f t="shared" si="8"/>
      </c>
    </row>
    <row r="156" spans="6:18" x14ac:dyDescent="0.2">
      <c r="F156">
        <f ca="1">IF($E156="","",NotionalForDelta($E156,$G156,$H156,$I156,$K156,$L156,$N156,$O156,$S156,RealTime!$B$2:$D$45,評価日,_xlfn.ANCHORARRAY([1]Fixing!$A$5)))</f>
      </c>
      <c r="O156" cm="1">
        <f t="array" ref="O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Q156" s="14">
        <f t="shared" si="7"/>
      </c>
      <c r="R156" s="14">
        <f t="shared" si="8"/>
      </c>
    </row>
    <row r="157" spans="6:18" x14ac:dyDescent="0.2">
      <c r="F157">
        <f ca="1">IF($E157="","",NotionalForDelta($E157,$G157,$H157,$I157,$K157,$L157,$N157,$O157,$S157,RealTime!$B$2:$D$45,評価日,_xlfn.ANCHORARRAY([1]Fixing!$A$5)))</f>
      </c>
      <c r="O157" cm="1">
        <f t="array" ref="O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Q157" s="14">
        <f t="shared" si="7"/>
      </c>
      <c r="R157" s="14">
        <f t="shared" si="8"/>
      </c>
    </row>
    <row r="158" spans="6:18" x14ac:dyDescent="0.2">
      <c r="F158">
        <f ca="1">IF($E158="","",NotionalForDelta($E158,$G158,$H158,$I158,$K158,$L158,$N158,$O158,$S158,RealTime!$B$2:$D$45,評価日,_xlfn.ANCHORARRAY([1]Fixing!$A$5)))</f>
      </c>
      <c r="O158" cm="1">
        <f t="array" ref="O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Q158" s="14">
        <f t="shared" si="7"/>
      </c>
      <c r="R158" s="14">
        <f t="shared" si="8"/>
      </c>
    </row>
    <row r="159" spans="6:18" x14ac:dyDescent="0.2">
      <c r="F159">
        <f ca="1">IF($E159="","",NotionalForDelta($E159,$G159,$H159,$I159,$K159,$L159,$N159,$O159,$S159,RealTime!$B$2:$D$45,評価日,_xlfn.ANCHORARRAY([1]Fixing!$A$5)))</f>
      </c>
      <c r="O159" cm="1">
        <f t="array" ref="O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Q159" s="14">
        <f t="shared" si="7"/>
      </c>
      <c r="R159" s="14">
        <f t="shared" si="8"/>
      </c>
    </row>
    <row r="160" spans="6:18" x14ac:dyDescent="0.2">
      <c r="F160">
        <f ca="1">IF($E160="","",NotionalForDelta($E160,$G160,$H160,$I160,$K160,$L160,$N160,$O160,$S160,RealTime!$B$2:$D$45,評価日,_xlfn.ANCHORARRAY([1]Fixing!$A$5)))</f>
      </c>
      <c r="O160" cm="1">
        <f t="array" ref="O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Q160" s="14">
        <f t="shared" si="7"/>
      </c>
      <c r="R160" s="14">
        <f t="shared" si="8"/>
      </c>
    </row>
    <row r="161" spans="6:18" x14ac:dyDescent="0.2">
      <c r="F161">
        <f ca="1">IF($E161="","",NotionalForDelta($E161,$G161,$H161,$I161,$K161,$L161,$N161,$O161,$S161,RealTime!$B$2:$D$45,評価日,_xlfn.ANCHORARRAY([1]Fixing!$A$5)))</f>
      </c>
      <c r="O161" cm="1">
        <f t="array" ref="O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Q161" s="14">
        <f t="shared" si="7"/>
      </c>
      <c r="R161" s="14">
        <f t="shared" si="8"/>
      </c>
    </row>
    <row r="162" spans="6:18" x14ac:dyDescent="0.2">
      <c r="F162">
        <f ca="1">IF($E162="","",NotionalForDelta($E162,$G162,$H162,$I162,$K162,$L162,$N162,$O162,$S162,RealTime!$B$2:$D$45,評価日,_xlfn.ANCHORARRAY([1]Fixing!$A$5)))</f>
      </c>
      <c r="O162" cm="1">
        <f t="array" ref="O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Q162" s="14">
        <f t="shared" si="7"/>
      </c>
      <c r="R162" s="14">
        <f t="shared" si="8"/>
      </c>
    </row>
    <row r="163" spans="6:18" x14ac:dyDescent="0.2">
      <c r="F163">
        <f ca="1">IF($E163="","",NotionalForDelta($E163,$G163,$H163,$I163,$K163,$L163,$N163,$O163,$S163,RealTime!$B$2:$D$45,評価日,_xlfn.ANCHORARRAY([1]Fixing!$A$5)))</f>
      </c>
      <c r="O163" cm="1">
        <f t="array" ref="O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Q163" s="14">
        <f t="shared" si="7"/>
      </c>
      <c r="R163" s="14">
        <f t="shared" si="8"/>
      </c>
    </row>
    <row r="164" spans="6:18" x14ac:dyDescent="0.2">
      <c r="F164">
        <f ca="1">IF($E164="","",NotionalForDelta($E164,$G164,$H164,$I164,$K164,$L164,$N164,$O164,$S164,RealTime!$B$2:$D$45,評価日,_xlfn.ANCHORARRAY([1]Fixing!$A$5)))</f>
      </c>
      <c r="O164" cm="1">
        <f t="array" ref="O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Q164" s="14">
        <f t="shared" si="7"/>
      </c>
      <c r="R164" s="14">
        <f t="shared" si="8"/>
      </c>
    </row>
    <row r="165" spans="6:18" x14ac:dyDescent="0.2">
      <c r="F165">
        <f ca="1">IF($E165="","",NotionalForDelta($E165,$G165,$H165,$I165,$K165,$L165,$N165,$O165,$S165,RealTime!$B$2:$D$45,評価日,_xlfn.ANCHORARRAY([1]Fixing!$A$5)))</f>
      </c>
      <c r="O165" cm="1">
        <f t="array" ref="O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Q165" s="14">
        <f t="shared" si="7"/>
      </c>
      <c r="R165" s="14">
        <f t="shared" si="8"/>
      </c>
    </row>
    <row r="166" spans="6:18" x14ac:dyDescent="0.2">
      <c r="F166">
        <f ca="1">IF($E166="","",NotionalForDelta($E166,$G166,$H166,$I166,$K166,$L166,$N166,$O166,$S166,RealTime!$B$2:$D$45,評価日,_xlfn.ANCHORARRAY([1]Fixing!$A$5)))</f>
      </c>
      <c r="O166" cm="1">
        <f t="array" ref="O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Q166" s="14">
        <f t="shared" si="7"/>
      </c>
      <c r="R166" s="14">
        <f t="shared" si="8"/>
      </c>
    </row>
    <row r="167" spans="6:18" x14ac:dyDescent="0.2">
      <c r="F167">
        <f ca="1">IF($E167="","",NotionalForDelta($E167,$G167,$H167,$I167,$K167,$L167,$N167,$O167,$S167,RealTime!$B$2:$D$45,評価日,_xlfn.ANCHORARRAY([1]Fixing!$A$5)))</f>
      </c>
      <c r="O167" cm="1">
        <f t="array" ref="O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Q167" s="14">
        <f t="shared" si="7"/>
      </c>
      <c r="R167" s="14">
        <f t="shared" si="8"/>
      </c>
    </row>
    <row r="168" spans="6:18" x14ac:dyDescent="0.2">
      <c r="F168">
        <f ca="1">IF($E168="","",NotionalForDelta($E168,$G168,$H168,$I168,$K168,$L168,$N168,$O168,$S168,RealTime!$B$2:$D$45,評価日,_xlfn.ANCHORARRAY([1]Fixing!$A$5)))</f>
      </c>
      <c r="O168" cm="1">
        <f t="array" ref="O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Q168" s="14">
        <f t="shared" si="7"/>
      </c>
      <c r="R168" s="14">
        <f t="shared" si="8"/>
      </c>
    </row>
    <row r="169" spans="6:18" x14ac:dyDescent="0.2">
      <c r="F169">
        <f ca="1">IF($E169="","",NotionalForDelta($E169,$G169,$H169,$I169,$K169,$L169,$N169,$O169,$S169,RealTime!$B$2:$D$45,評価日,_xlfn.ANCHORARRAY([1]Fixing!$A$5)))</f>
      </c>
      <c r="O169" cm="1">
        <f t="array" ref="O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Q169" s="14">
        <f t="shared" si="7"/>
      </c>
      <c r="R169" s="14">
        <f t="shared" si="8"/>
      </c>
    </row>
    <row r="170" spans="6:18" x14ac:dyDescent="0.2">
      <c r="F170">
        <f ca="1">IF($E170="","",NotionalForDelta($E170,$G170,$H170,$I170,$K170,$L170,$N170,$O170,$S170,RealTime!$B$2:$D$45,評価日,_xlfn.ANCHORARRAY([1]Fixing!$A$5)))</f>
      </c>
      <c r="O170" cm="1">
        <f t="array" ref="O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Q170" s="14">
        <f t="shared" si="7"/>
      </c>
      <c r="R170" s="14">
        <f t="shared" si="8"/>
      </c>
    </row>
    <row r="171" spans="6:18" x14ac:dyDescent="0.2">
      <c r="F171">
        <f ca="1">IF($E171="","",NotionalForDelta($E171,$G171,$H171,$I171,$K171,$L171,$N171,$O171,$S171,RealTime!$B$2:$D$45,評価日,_xlfn.ANCHORARRAY([1]Fixing!$A$5)))</f>
      </c>
      <c r="O171" cm="1">
        <f t="array" ref="O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Q171" s="14">
        <f t="shared" si="7"/>
      </c>
      <c r="R171" s="14">
        <f t="shared" si="8"/>
      </c>
    </row>
    <row r="172" spans="6:18" x14ac:dyDescent="0.2">
      <c r="F172">
        <f ca="1">IF($E172="","",NotionalForDelta($E172,$G172,$H172,$I172,$K172,$L172,$N172,$O172,$S172,RealTime!$B$2:$D$45,評価日,_xlfn.ANCHORARRAY([1]Fixing!$A$5)))</f>
      </c>
      <c r="O172" cm="1">
        <f t="array" ref="O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Q172" s="14">
        <f t="shared" si="7"/>
      </c>
      <c r="R172" s="14">
        <f t="shared" si="8"/>
      </c>
    </row>
    <row r="173" spans="6:18" x14ac:dyDescent="0.2">
      <c r="F173">
        <f ca="1">IF($E173="","",NotionalForDelta($E173,$G173,$H173,$I173,$K173,$L173,$N173,$O173,$S173,RealTime!$B$2:$D$45,評価日,_xlfn.ANCHORARRAY([1]Fixing!$A$5)))</f>
      </c>
      <c r="O173" cm="1">
        <f t="array" ref="O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Q173" s="14">
        <f t="shared" si="7"/>
      </c>
      <c r="R173" s="14">
        <f t="shared" si="8"/>
      </c>
    </row>
    <row r="174" spans="6:18" x14ac:dyDescent="0.2">
      <c r="F174">
        <f ca="1">IF($E174="","",NotionalForDelta($E174,$G174,$H174,$I174,$K174,$L174,$N174,$O174,$S174,RealTime!$B$2:$D$45,評価日,_xlfn.ANCHORARRAY([1]Fixing!$A$5)))</f>
      </c>
      <c r="O174" cm="1">
        <f t="array" ref="O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Q174" s="14">
        <f t="shared" si="7"/>
      </c>
      <c r="R174" s="14">
        <f t="shared" si="8"/>
      </c>
    </row>
    <row r="175" spans="6:18" x14ac:dyDescent="0.2">
      <c r="F175">
        <f ca="1">IF($E175="","",NotionalForDelta($E175,$G175,$H175,$I175,$K175,$L175,$N175,$O175,$S175,RealTime!$B$2:$D$45,評価日,_xlfn.ANCHORARRAY([1]Fixing!$A$5)))</f>
      </c>
      <c r="O175" cm="1">
        <f t="array" ref="O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Q175" s="14">
        <f t="shared" si="7"/>
      </c>
      <c r="R175" s="14">
        <f t="shared" si="8"/>
      </c>
    </row>
    <row r="176" spans="6:18" x14ac:dyDescent="0.2">
      <c r="F176">
        <f ca="1">IF($E176="","",NotionalForDelta($E176,$G176,$H176,$I176,$K176,$L176,$N176,$O176,$S176,RealTime!$B$2:$D$45,評価日,_xlfn.ANCHORARRAY([1]Fixing!$A$5)))</f>
      </c>
      <c r="O176" cm="1">
        <f t="array" ref="O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Q176" s="14">
        <f t="shared" si="7"/>
      </c>
      <c r="R176" s="14">
        <f t="shared" si="8"/>
      </c>
    </row>
    <row r="177" spans="6:18" x14ac:dyDescent="0.2">
      <c r="F177">
        <f ca="1">IF($E177="","",NotionalForDelta($E177,$G177,$H177,$I177,$K177,$L177,$N177,$O177,$S177,RealTime!$B$2:$D$45,評価日,_xlfn.ANCHORARRAY([1]Fixing!$A$5)))</f>
      </c>
      <c r="O177" cm="1">
        <f t="array" ref="O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Q177" s="14">
        <f t="shared" si="7"/>
      </c>
      <c r="R177" s="14">
        <f t="shared" si="8"/>
      </c>
    </row>
    <row r="178" spans="6:18" x14ac:dyDescent="0.2">
      <c r="F178">
        <f ca="1">IF($E178="","",NotionalForDelta($E178,$G178,$H178,$I178,$K178,$L178,$N178,$O178,$S178,RealTime!$B$2:$D$45,評価日,_xlfn.ANCHORARRAY([1]Fixing!$A$5)))</f>
      </c>
      <c r="O178" cm="1">
        <f t="array" ref="O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Q178" s="14">
        <f t="shared" si="7"/>
      </c>
      <c r="R178" s="14">
        <f t="shared" si="8"/>
      </c>
    </row>
    <row r="179" spans="6:18" x14ac:dyDescent="0.2">
      <c r="F179">
        <f ca="1">IF($E179="","",NotionalForDelta($E179,$G179,$H179,$I179,$K179,$L179,$N179,$O179,$S179,RealTime!$B$2:$D$45,評価日,_xlfn.ANCHORARRAY([1]Fixing!$A$5)))</f>
      </c>
      <c r="O179" cm="1">
        <f t="array" ref="O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Q179" s="14">
        <f t="shared" si="7"/>
      </c>
      <c r="R179" s="14">
        <f t="shared" si="8"/>
      </c>
    </row>
    <row r="180" spans="6:18" x14ac:dyDescent="0.2">
      <c r="F180">
        <f ca="1">IF($E180="","",NotionalForDelta($E180,$G180,$H180,$I180,$K180,$L180,$N180,$O180,$S180,RealTime!$B$2:$D$45,評価日,_xlfn.ANCHORARRAY([1]Fixing!$A$5)))</f>
      </c>
      <c r="O180" cm="1">
        <f t="array" ref="O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Q180" s="14">
        <f t="shared" si="7"/>
      </c>
      <c r="R180" s="14">
        <f t="shared" si="8"/>
      </c>
    </row>
    <row r="181" spans="6:18" x14ac:dyDescent="0.2">
      <c r="F181">
        <f ca="1">IF($E181="","",NotionalForDelta($E181,$G181,$H181,$I181,$K181,$L181,$N181,$O181,$S181,RealTime!$B$2:$D$45,評価日,_xlfn.ANCHORARRAY([1]Fixing!$A$5)))</f>
      </c>
      <c r="O181" cm="1">
        <f t="array" ref="O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Q181" s="14">
        <f t="shared" si="7"/>
      </c>
      <c r="R181" s="14">
        <f t="shared" si="8"/>
      </c>
    </row>
    <row r="182" spans="6:18" x14ac:dyDescent="0.2">
      <c r="F182">
        <f ca="1">IF($E182="","",NotionalForDelta($E182,$G182,$H182,$I182,$K182,$L182,$N182,$O182,$S182,RealTime!$B$2:$D$45,評価日,_xlfn.ANCHORARRAY([1]Fixing!$A$5)))</f>
      </c>
      <c r="O182" cm="1">
        <f t="array" ref="O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Q182" s="14">
        <f t="shared" si="7"/>
      </c>
      <c r="R182" s="14">
        <f t="shared" si="8"/>
      </c>
    </row>
    <row r="183" spans="6:18" x14ac:dyDescent="0.2">
      <c r="F183">
        <f ca="1">IF($E183="","",NotionalForDelta($E183,$G183,$H183,$I183,$K183,$L183,$N183,$O183,$S183,RealTime!$B$2:$D$45,評価日,_xlfn.ANCHORARRAY([1]Fixing!$A$5)))</f>
      </c>
      <c r="O183" cm="1">
        <f t="array" ref="O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Q183" s="14">
        <f t="shared" si="7"/>
      </c>
      <c r="R183" s="14">
        <f t="shared" si="8"/>
      </c>
    </row>
    <row r="184" spans="6:18" x14ac:dyDescent="0.2">
      <c r="F184">
        <f ca="1">IF($E184="","",NotionalForDelta($E184,$G184,$H184,$I184,$K184,$L184,$N184,$O184,$S184,RealTime!$B$2:$D$45,評価日,_xlfn.ANCHORARRAY([1]Fixing!$A$5)))</f>
      </c>
      <c r="O184" cm="1">
        <f t="array" ref="O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Q184" s="14">
        <f t="shared" si="7"/>
      </c>
      <c r="R184" s="14">
        <f t="shared" si="8"/>
      </c>
    </row>
    <row r="185" spans="6:18" x14ac:dyDescent="0.2">
      <c r="F185">
        <f ca="1">IF($E185="","",NotionalForDelta($E185,$G185,$H185,$I185,$K185,$L185,$N185,$O185,$S185,RealTime!$B$2:$D$45,評価日,_xlfn.ANCHORARRAY([1]Fixing!$A$5)))</f>
      </c>
      <c r="O185" cm="1">
        <f t="array" ref="O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Q185" s="14">
        <f t="shared" si="7"/>
      </c>
      <c r="R185" s="14">
        <f t="shared" si="8"/>
      </c>
    </row>
    <row r="186" spans="6:18" x14ac:dyDescent="0.2">
      <c r="F186">
        <f ca="1">IF($E186="","",NotionalForDelta($E186,$G186,$H186,$I186,$K186,$L186,$N186,$O186,$S186,RealTime!$B$2:$D$45,評価日,_xlfn.ANCHORARRAY([1]Fixing!$A$5)))</f>
      </c>
      <c r="O186" cm="1">
        <f t="array" ref="O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Q186" s="14">
        <f t="shared" si="7"/>
      </c>
      <c r="R186" s="14">
        <f t="shared" si="8"/>
      </c>
    </row>
    <row r="187" spans="6:18" x14ac:dyDescent="0.2">
      <c r="F187">
        <f ca="1">IF($E187="","",NotionalForDelta($E187,$G187,$H187,$I187,$K187,$L187,$N187,$O187,$S187,RealTime!$B$2:$D$45,評価日,_xlfn.ANCHORARRAY([1]Fixing!$A$5)))</f>
      </c>
      <c r="O187" cm="1">
        <f t="array" ref="O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Q187" s="14">
        <f t="shared" si="7"/>
      </c>
      <c r="R187" s="14">
        <f t="shared" si="8"/>
      </c>
    </row>
    <row r="188" spans="6:18" x14ac:dyDescent="0.2">
      <c r="F188">
        <f ca="1">IF($E188="","",NotionalForDelta($E188,$G188,$H188,$I188,$K188,$L188,$N188,$O188,$S188,RealTime!$B$2:$D$45,評価日,_xlfn.ANCHORARRAY([1]Fixing!$A$5)))</f>
      </c>
      <c r="O188" cm="1">
        <f t="array" ref="O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Q188" s="14">
        <f t="shared" si="7"/>
      </c>
      <c r="R188" s="14">
        <f t="shared" si="8"/>
      </c>
    </row>
    <row r="189" spans="6:18" x14ac:dyDescent="0.2">
      <c r="F189">
        <f ca="1">IF($E189="","",NotionalForDelta($E189,$G189,$H189,$I189,$K189,$L189,$N189,$O189,$S189,RealTime!$B$2:$D$45,評価日,_xlfn.ANCHORARRAY([1]Fixing!$A$5)))</f>
      </c>
      <c r="O189" cm="1">
        <f t="array" ref="O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Q189" s="14">
        <f t="shared" si="7"/>
      </c>
      <c r="R189" s="14">
        <f t="shared" si="8"/>
      </c>
    </row>
    <row r="190" spans="6:18" x14ac:dyDescent="0.2">
      <c r="F190">
        <f ca="1">IF($E190="","",NotionalForDelta($E190,$G190,$H190,$I190,$K190,$L190,$N190,$O190,$S190,RealTime!$B$2:$D$45,評価日,_xlfn.ANCHORARRAY([1]Fixing!$A$5)))</f>
      </c>
      <c r="O190" cm="1">
        <f t="array" ref="O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Q190" s="14">
        <f t="shared" si="7"/>
      </c>
      <c r="R190" s="14">
        <f t="shared" si="8"/>
      </c>
    </row>
    <row r="191" spans="6:18" x14ac:dyDescent="0.2">
      <c r="F191">
        <f ca="1">IF($E191="","",NotionalForDelta($E191,$G191,$H191,$I191,$K191,$L191,$N191,$O191,$S191,RealTime!$B$2:$D$45,評価日,_xlfn.ANCHORARRAY([1]Fixing!$A$5)))</f>
      </c>
      <c r="O191" cm="1">
        <f t="array" ref="O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Q191" s="14">
        <f t="shared" si="7"/>
      </c>
      <c r="R191" s="14">
        <f t="shared" si="8"/>
      </c>
    </row>
    <row r="192" spans="6:18" x14ac:dyDescent="0.2">
      <c r="F192">
        <f ca="1">IF($E192="","",NotionalForDelta($E192,$G192,$H192,$I192,$K192,$L192,$N192,$O192,$S192,RealTime!$B$2:$D$45,評価日,_xlfn.ANCHORARRAY([1]Fixing!$A$5)))</f>
      </c>
      <c r="O192" cm="1">
        <f t="array" ref="O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Q192" s="14">
        <f t="shared" si="7"/>
      </c>
      <c r="R192" s="14">
        <f t="shared" si="8"/>
      </c>
    </row>
    <row r="193" spans="6:18" x14ac:dyDescent="0.2">
      <c r="F193">
        <f ca="1">IF($E193="","",NotionalForDelta($E193,$G193,$H193,$I193,$K193,$L193,$N193,$O193,$S193,RealTime!$B$2:$D$45,評価日,_xlfn.ANCHORARRAY([1]Fixing!$A$5)))</f>
      </c>
      <c r="O193" cm="1">
        <f t="array" ref="O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Q193" s="14">
        <f t="shared" si="7"/>
      </c>
      <c r="R193" s="14">
        <f t="shared" si="8"/>
      </c>
    </row>
    <row r="194" spans="6:18" x14ac:dyDescent="0.2">
      <c r="F194">
        <f ca="1">IF($E194="","",NotionalForDelta($E194,$G194,$H194,$I194,$K194,$L194,$N194,$O194,$S194,RealTime!$B$2:$D$45,評価日,_xlfn.ANCHORARRAY([1]Fixing!$A$5)))</f>
      </c>
      <c r="O194" cm="1">
        <f t="array" ref="O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Q194" s="14">
        <f t="shared" si="7"/>
      </c>
      <c r="R194" s="14">
        <f t="shared" si="8"/>
      </c>
    </row>
    <row r="195" spans="6:18" x14ac:dyDescent="0.2">
      <c r="F195">
        <f ca="1">IF($E195="","",NotionalForDelta($E195,$G195,$H195,$I195,$K195,$L195,$N195,$O195,$S195,RealTime!$B$2:$D$45,評価日,_xlfn.ANCHORARRAY([1]Fixing!$A$5)))</f>
      </c>
      <c r="O195" cm="1">
        <f t="array" ref="O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Q195" s="14">
        <f t="shared" ref="Q195:Q200" si="9">IF(ISNUMBER(P194),(P195-P194)*100,"")</f>
      </c>
      <c r="R195" s="14">
        <f t="shared" si="8"/>
      </c>
    </row>
    <row r="196" spans="6:18" x14ac:dyDescent="0.2">
      <c r="F196">
        <f ca="1">IF($E196="","",NotionalForDelta($E196,$G196,$H196,$I196,$K196,$L196,$N196,$O196,$S196,RealTime!$B$2:$D$45,評価日,_xlfn.ANCHORARRAY([1]Fixing!$A$5)))</f>
      </c>
      <c r="O196" cm="1">
        <f t="array" ref="O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Q196" s="14">
        <f t="shared" si="9"/>
      </c>
      <c r="R196" s="14">
        <f t="shared" ref="R196:R200" si="10">IF(AND(ISNUMBER(P195),ISNUMBER(P197)),(2*P196-P195-P197)*100,"")</f>
      </c>
    </row>
    <row r="197" spans="6:18" x14ac:dyDescent="0.2">
      <c r="F197">
        <f ca="1">IF($E197="","",NotionalForDelta($E197,$G197,$H197,$I197,$K197,$L197,$N197,$O197,$S197,RealTime!$B$2:$D$45,評価日,_xlfn.ANCHORARRAY([1]Fixing!$A$5)))</f>
      </c>
      <c r="O197" cm="1">
        <f t="array" ref="O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Q197" s="14">
        <f t="shared" si="9"/>
      </c>
      <c r="R197" s="14">
        <f t="shared" si="10"/>
      </c>
    </row>
    <row r="198" spans="6:18" x14ac:dyDescent="0.2">
      <c r="F198">
        <f ca="1">IF($E198="","",NotionalForDelta($E198,$G198,$H198,$I198,$K198,$L198,$N198,$O198,$S198,RealTime!$B$2:$D$45,評価日,_xlfn.ANCHORARRAY([1]Fixing!$A$5)))</f>
      </c>
      <c r="O198" cm="1">
        <f t="array" ref="O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Q198" s="14">
        <f t="shared" si="9"/>
      </c>
      <c r="R198" s="14">
        <f t="shared" si="10"/>
      </c>
    </row>
    <row r="199" spans="6:18" x14ac:dyDescent="0.2">
      <c r="F199">
        <f ca="1">IF($E199="","",NotionalForDelta($E199,$G199,$H199,$I199,$K199,$L199,$N199,$O199,$S199,RealTime!$B$2:$D$45,評価日,_xlfn.ANCHORARRAY([1]Fixing!$A$5)))</f>
      </c>
      <c r="O199" cm="1">
        <f t="array" ref="O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Q199" s="14">
        <f t="shared" si="9"/>
      </c>
      <c r="R199" s="14">
        <f t="shared" si="10"/>
      </c>
    </row>
    <row r="200" spans="6:18" x14ac:dyDescent="0.2">
      <c r="F200">
        <f ca="1">IF($E200="","",NotionalForDelta($E200,$G200,$H200,$I200,$K200,$L200,$N200,$O200,$S200,RealTime!$B$2:$D$45,評価日,_xlfn.ANCHORARRAY([1]Fixing!$A$5)))</f>
      </c>
      <c r="O200" cm="1">
        <f t="array" ref="O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Q200" s="14">
        <f t="shared" si="9"/>
      </c>
      <c r="R200" s="14">
        <f t="shared" si="10"/>
      </c>
    </row>
  </sheetData>
  <phoneticPr fontId="4"/>
  <conditionalFormatting sqref="AA2:AA4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5">
    <dataValidation type="list" sqref="K2:K200 N2:N200" xr:uid="{00000000-0002-0000-0100-000000000000}">
      <formula1>"PA,SA,QA,1m"</formula1>
    </dataValidation>
    <dataValidation type="list" sqref="L2:L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O2:O200" xr:uid="{00000000-0002-0000-0100-000005000000}">
      <formula1>"STD,EOM,IMM"</formula1>
    </dataValidation>
    <dataValidation type="list" sqref="S2:S200" xr:uid="{00000000-0002-0000-0100-000006000000}">
      <formula1>"PAY,REC"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AA2:AA43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S5000"/>
  <sheetViews>
    <sheetView zoomScale="72" workbookViewId="0">
      <selection activeCell="F20" sqref="F20"/>
    </sheetView>
  </sheetViews>
  <sheetFormatPr defaultRowHeight="14" x14ac:dyDescent="0.2"/>
  <cols>
    <col min="1" max="1" width="15.58203125" style="5" customWidth="1"/>
    <col min="2" max="2" width="11.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</cols>
  <sheetData>
    <row r="1" spans="1:16" ht="15.5" x14ac:dyDescent="0.25">
      <c r="A1" s="8" t="s">
        <v>92</v>
      </c>
    </row>
    <row r="3" spans="1:16" x14ac:dyDescent="0.2">
      <c r="A3" s="5" t="s">
        <v>88</v>
      </c>
      <c r="B3" s="7">
        <f>IF(評価日="","",評価日)</f>
      </c>
      <c r="C3" s="11" t="s">
        <v>129</v>
      </c>
    </row>
    <row r="4" spans="1:16" x14ac:dyDescent="0.2">
      <c r="A4" s="5" t="s">
        <v>89</v>
      </c>
      <c r="B4" s="7"/>
      <c r="C4" s="11"/>
    </row>
    <row r="5" spans="1:16" x14ac:dyDescent="0.2">
      <c r="A5" s="5" t="s">
        <v>90</v>
      </c>
      <c r="B5" s="7"/>
      <c r="C5" s="11"/>
    </row>
    <row r="6" spans="1:16" x14ac:dyDescent="0.2">
      <c r="A6" s="5" t="s">
        <v>93</v>
      </c>
      <c r="B6" cm="1">
        <f t="array" ref="B6">IF(SUMPRODUCT(($B$9:$B$11&lt;&gt;"×")*(($H$9:$H$11="カーブ")+($H$9:$H$11="フライ")))&gt;0,"bp","%")</f>
      </c>
      <c r="C6" s="11" t="s">
        <v>95</v>
      </c>
    </row>
    <row r="7" spans="1:16" x14ac:dyDescent="0.2">
      <c r="A7" s="5" t="s">
        <v>94</v>
      </c>
      <c r="B7">
        <f>IF($B$6="bp",100,1)</f>
      </c>
    </row>
    <row r="8" spans="1:16" x14ac:dyDescent="0.2">
      <c r="A8" s="9" t="s">
        <v>96</v>
      </c>
      <c r="B8" s="6" t="s">
        <v>97</v>
      </c>
      <c r="C8" s="6" t="s">
        <v>98</v>
      </c>
      <c r="D8" s="6" t="s">
        <v>99</v>
      </c>
      <c r="E8" s="6" t="s">
        <v>100</v>
      </c>
      <c r="F8" s="9" t="s">
        <v>87</v>
      </c>
      <c r="G8" s="6" t="s">
        <v>101</v>
      </c>
      <c r="H8" s="6" t="s">
        <v>102</v>
      </c>
      <c r="I8" s="6" t="s">
        <v>103</v>
      </c>
    </row>
    <row r="9" spans="1:16" x14ac:dyDescent="0.2">
      <c r="A9" s="4">
        <v>1</v>
      </c>
      <c r="B9" s="12" t="s">
        <v>121</v>
      </c>
      <c r="C9" s="12">
        <v>5</v>
      </c>
      <c r="D9" s="12"/>
      <c r="E9" s="12"/>
      <c r="F9" s="7" t="s">
        <v>91</v>
      </c>
      <c r="G9" s="12"/>
      <c r="H9">
        <f>IF(C9="","",IF(D9="",IF(E9="","アウトライト","入力エラー"),IF(E9="","カーブ","フライ")))</f>
      </c>
      <c r="I9">
        <f>IF(OR(H9="",B9="×"),"",IF(G9&lt;&gt;"",G9,IF(H9="アウトライト","行"&amp;C9,IF(H9="カーブ","行"&amp;D9&amp;"−行"&amp;C9,IF(H9="フライ","2×行"&amp;D9&amp;"−行"&amp;C9&amp;"−行"&amp;E9,"入力エラー")))&amp;" ("&amp;F9&amp;")"))</f>
      </c>
    </row>
    <row r="10" spans="1:16" x14ac:dyDescent="0.2">
      <c r="A10" s="4">
        <v>2</v>
      </c>
      <c r="B10" s="12" t="s">
        <v>121</v>
      </c>
      <c r="C10" s="12">
        <v>2</v>
      </c>
      <c r="D10" s="12">
        <v>3</v>
      </c>
      <c r="E10" s="12">
        <v>4</v>
      </c>
      <c r="F10" s="7" t="s">
        <v>105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</row>
    <row r="11" spans="1:16" x14ac:dyDescent="0.2">
      <c r="A11" s="4">
        <v>3</v>
      </c>
      <c r="B11" s="12" t="s">
        <v>104</v>
      </c>
      <c r="C11" s="12">
        <v>2</v>
      </c>
      <c r="D11" s="12">
        <v>3</v>
      </c>
      <c r="E11" s="12"/>
      <c r="F11" s="7" t="s">
        <v>91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</row>
    <row r="12" spans="1:16" x14ac:dyDescent="0.2">
      <c r="A12" s="13" t="s">
        <v>106</v>
      </c>
    </row>
    <row r="14" spans="1:16" x14ac:dyDescent="0.2">
      <c r="A14" s="9" t="s">
        <v>96</v>
      </c>
      <c r="B14" s="6" t="s">
        <v>107</v>
      </c>
      <c r="C14" s="6" t="s">
        <v>108</v>
      </c>
      <c r="D14" s="6" t="s">
        <v>38</v>
      </c>
      <c r="E14" s="6" t="s">
        <v>42</v>
      </c>
      <c r="F14" s="9" t="s">
        <v>43</v>
      </c>
      <c r="G14" s="6" t="s">
        <v>44</v>
      </c>
      <c r="H14" s="6" t="s">
        <v>46</v>
      </c>
      <c r="I14" s="6" t="s">
        <v>47</v>
      </c>
      <c r="J14" s="6" t="s">
        <v>49</v>
      </c>
      <c r="K14" s="6" t="s">
        <v>50</v>
      </c>
      <c r="O14" s="5"/>
      <c r="P14"/>
    </row>
    <row r="15" spans="1:16" x14ac:dyDescent="0.2">
      <c r="A15" s="5">
        <v>1</v>
      </c>
      <c r="B15" t="s">
        <v>109</v>
      </c>
      <c r="C15">
        <f>_xlfn.LET(_xlpm.n,INDEX($C$9:$E$11,1,1),IF(OR(_xlpm.n="",INDEX($B$9:$B$11,1)="×"),"",_xlpm.n))</f>
      </c>
      <c r="D15" cm="1">
        <f t="array" aca="1" ref="D15" ca="1">IF($C15="","",_xlfn.LET(_xlpm.v,INDEX(pricing!$C:$C,$C15),IF(_xlpm.v="","",_xlpm.v)))</f>
      </c>
      <c r="E15" s="5" cm="1">
        <f t="array" aca="1" ref="E15" ca="1">IF($C15="","",_xlfn.LET(_xlpm.v,INDEX(pricing!$G:$G,$C15),IF(_xlpm.v="","",_xlpm.v)))</f>
      </c>
      <c r="F15" s="5" cm="1">
        <f t="array" aca="1" ref="F15" ca="1">IF($C15="","",_xlfn.LET(_xlpm.v,INDEX(pricing!$H:$H,$C15),IF(_xlpm.v="","",_xlpm.v)))</f>
      </c>
      <c r="G15" s="5" cm="1">
        <f t="array" aca="1" ref="G15" ca="1">IF($C15="","",_xlfn.LET(_xlpm.v,INDEX(pricing!$I:$I,$C15),IF(_xlpm.v="","",_xlpm.v)))</f>
      </c>
      <c r="H15" cm="1">
        <f t="array" aca="1" ref="H15" ca="1">IF($C15="","",_xlfn.LET(_xlpm.v,INDEX(pricing!$K:$K,$C15),IF(_xlpm.v="","",_xlpm.v)))</f>
      </c>
      <c r="I15" cm="1">
        <f t="array" aca="1" ref="I15" ca="1">IF($C15="","",_xlfn.LET(_xlpm.v,INDEX(pricing!$L:$L,$C15),IF(_xlpm.v="","",_xlpm.v)))</f>
      </c>
      <c r="J15" cm="1">
        <f t="array" aca="1" ref="J15" ca="1">IF($C15="","",_xlfn.LET(_xlpm.v,INDEX(pricing!$N:$N,$C15),IF(_xlpm.v="","",_xlpm.v)))</f>
      </c>
      <c r="K15" cm="1">
        <f t="array" aca="1" ref="K15" ca="1">IF($C15="","",_xlfn.LET(_xlpm.v,INDEX(pricing!$O:$O,$C15),IF(_xlpm.v="","",_xlpm.v)))</f>
      </c>
      <c r="O15" s="5"/>
      <c r="P15"/>
    </row>
    <row r="16" spans="1:16" x14ac:dyDescent="0.2">
      <c r="A16" s="5">
        <v>1</v>
      </c>
      <c r="B16" t="s">
        <v>110</v>
      </c>
      <c r="C16">
        <f>_xlfn.LET(_xlpm.n,INDEX($C$9:$E$11,1,2),IF(OR(_xlpm.n="",INDEX($B$9:$B$11,1)="×"),"",_xlpm.n))</f>
      </c>
      <c r="D16" cm="1">
        <f t="array" aca="1" ref="D16" ca="1">IF($C16="","",_xlfn.LET(_xlpm.v,INDEX(pricing!$C:$C,$C16),IF(_xlpm.v="","",_xlpm.v)))</f>
      </c>
      <c r="E16" s="5" cm="1">
        <f t="array" aca="1" ref="E16" ca="1">IF($C16="","",_xlfn.LET(_xlpm.v,INDEX(pricing!$G:$G,$C16),IF(_xlpm.v="","",_xlpm.v)))</f>
      </c>
      <c r="F16" s="5" cm="1">
        <f t="array" aca="1" ref="F16" ca="1">IF($C16="","",_xlfn.LET(_xlpm.v,INDEX(pricing!$H:$H,$C16),IF(_xlpm.v="","",_xlpm.v)))</f>
      </c>
      <c r="G16" s="5" cm="1">
        <f t="array" aca="1" ref="G16" ca="1">IF($C16="","",_xlfn.LET(_xlpm.v,INDEX(pricing!$I:$I,$C16),IF(_xlpm.v="","",_xlpm.v)))</f>
      </c>
      <c r="H16" cm="1">
        <f t="array" aca="1" ref="H16" ca="1">IF($C16="","",_xlfn.LET(_xlpm.v,INDEX(pricing!$K:$K,$C16),IF(_xlpm.v="","",_xlpm.v)))</f>
      </c>
      <c r="I16" cm="1">
        <f t="array" aca="1" ref="I16" ca="1">IF($C16="","",_xlfn.LET(_xlpm.v,INDEX(pricing!$L:$L,$C16),IF(_xlpm.v="","",_xlpm.v)))</f>
      </c>
      <c r="J16" cm="1">
        <f t="array" aca="1" ref="J16" ca="1">IF($C16="","",_xlfn.LET(_xlpm.v,INDEX(pricing!$N:$N,$C16),IF(_xlpm.v="","",_xlpm.v)))</f>
      </c>
      <c r="K16" cm="1">
        <f t="array" aca="1" ref="K16" ca="1">IF($C16="","",_xlfn.LET(_xlpm.v,INDEX(pricing!$O:$O,$C16),IF(_xlpm.v="","",_xlpm.v)))</f>
      </c>
      <c r="O16" s="5"/>
      <c r="P16"/>
    </row>
    <row r="17" spans="1:19" x14ac:dyDescent="0.2">
      <c r="A17" s="5">
        <v>1</v>
      </c>
      <c r="B17" t="s">
        <v>111</v>
      </c>
      <c r="C17">
        <f>_xlfn.LET(_xlpm.n,INDEX($C$9:$E$11,1,3),IF(OR(_xlpm.n="",INDEX($B$9:$B$11,1)="×"),"",_xlpm.n))</f>
      </c>
      <c r="D17" cm="1">
        <f t="array" aca="1" ref="D17" ca="1">IF($C17="","",_xlfn.LET(_xlpm.v,INDEX(pricing!$C:$C,$C17),IF(_xlpm.v="","",_xlpm.v)))</f>
      </c>
      <c r="E17" s="5" cm="1">
        <f t="array" aca="1" ref="E17" ca="1">IF($C17="","",_xlfn.LET(_xlpm.v,INDEX(pricing!$G:$G,$C17),IF(_xlpm.v="","",_xlpm.v)))</f>
      </c>
      <c r="F17" s="5" cm="1">
        <f t="array" aca="1" ref="F17" ca="1">IF($C17="","",_xlfn.LET(_xlpm.v,INDEX(pricing!$H:$H,$C17),IF(_xlpm.v="","",_xlpm.v)))</f>
      </c>
      <c r="G17" s="5" cm="1">
        <f t="array" aca="1" ref="G17" ca="1">IF($C17="","",_xlfn.LET(_xlpm.v,INDEX(pricing!$I:$I,$C17),IF(_xlpm.v="","",_xlpm.v)))</f>
      </c>
      <c r="H17" cm="1">
        <f t="array" aca="1" ref="H17" ca="1">IF($C17="","",_xlfn.LET(_xlpm.v,INDEX(pricing!$K:$K,$C17),IF(_xlpm.v="","",_xlpm.v)))</f>
      </c>
      <c r="I17" cm="1">
        <f t="array" aca="1" ref="I17" ca="1">IF($C17="","",_xlfn.LET(_xlpm.v,INDEX(pricing!$L:$L,$C17),IF(_xlpm.v="","",_xlpm.v)))</f>
      </c>
      <c r="J17" cm="1">
        <f t="array" aca="1" ref="J17" ca="1">IF($C17="","",_xlfn.LET(_xlpm.v,INDEX(pricing!$N:$N,$C17),IF(_xlpm.v="","",_xlpm.v)))</f>
      </c>
      <c r="K17" cm="1">
        <f t="array" aca="1" ref="K17" ca="1">IF($C17="","",_xlfn.LET(_xlpm.v,INDEX(pricing!$O:$O,$C17),IF(_xlpm.v="","",_xlpm.v)))</f>
      </c>
      <c r="O17" s="5"/>
      <c r="P17"/>
    </row>
    <row r="18" spans="1:19" x14ac:dyDescent="0.2">
      <c r="A18" s="5">
        <v>2</v>
      </c>
      <c r="B18" t="s">
        <v>109</v>
      </c>
      <c r="C18">
        <f>_xlfn.LET(_xlpm.n,INDEX($C$9:$E$11,2,1),IF(OR(_xlpm.n="",INDEX($B$9:$B$11,2)="×"),"",_xlpm.n))</f>
      </c>
      <c r="D18" cm="1">
        <f t="array" aca="1" ref="D18" ca="1">IF($C18="","",_xlfn.LET(_xlpm.v,INDEX(pricing!$C:$C,$C18),IF(_xlpm.v="","",_xlpm.v)))</f>
      </c>
      <c r="E18" s="5" cm="1">
        <f t="array" aca="1" ref="E18" ca="1">IF($C18="","",_xlfn.LET(_xlpm.v,INDEX(pricing!$G:$G,$C18),IF(_xlpm.v="","",_xlpm.v)))</f>
      </c>
      <c r="F18" s="5" cm="1">
        <f t="array" aca="1" ref="F18" ca="1">IF($C18="","",_xlfn.LET(_xlpm.v,INDEX(pricing!$H:$H,$C18),IF(_xlpm.v="","",_xlpm.v)))</f>
      </c>
      <c r="G18" s="5" cm="1">
        <f t="array" aca="1" ref="G18" ca="1">IF($C18="","",_xlfn.LET(_xlpm.v,INDEX(pricing!$I:$I,$C18),IF(_xlpm.v="","",_xlpm.v)))</f>
      </c>
      <c r="H18" cm="1">
        <f t="array" aca="1" ref="H18" ca="1">IF($C18="","",_xlfn.LET(_xlpm.v,INDEX(pricing!$K:$K,$C18),IF(_xlpm.v="","",_xlpm.v)))</f>
      </c>
      <c r="I18" cm="1">
        <f t="array" aca="1" ref="I18" ca="1">IF($C18="","",_xlfn.LET(_xlpm.v,INDEX(pricing!$L:$L,$C18),IF(_xlpm.v="","",_xlpm.v)))</f>
      </c>
      <c r="J18" cm="1">
        <f t="array" aca="1" ref="J18" ca="1">IF($C18="","",_xlfn.LET(_xlpm.v,INDEX(pricing!$N:$N,$C18),IF(_xlpm.v="","",_xlpm.v)))</f>
      </c>
      <c r="K18" cm="1">
        <f t="array" aca="1" ref="K18" ca="1">IF($C18="","",_xlfn.LET(_xlpm.v,INDEX(pricing!$O:$O,$C18),IF(_xlpm.v="","",_xlpm.v)))</f>
      </c>
      <c r="O18" s="5"/>
      <c r="P18"/>
    </row>
    <row r="19" spans="1:19" x14ac:dyDescent="0.2">
      <c r="A19" s="5">
        <v>2</v>
      </c>
      <c r="B19" t="s">
        <v>110</v>
      </c>
      <c r="C19">
        <f>_xlfn.LET(_xlpm.n,INDEX($C$9:$E$11,2,2),IF(OR(_xlpm.n="",INDEX($B$9:$B$11,2)="×"),"",_xlpm.n))</f>
      </c>
      <c r="D19" cm="1">
        <f t="array" aca="1" ref="D19" ca="1">IF($C19="","",_xlfn.LET(_xlpm.v,INDEX(pricing!$C:$C,$C19),IF(_xlpm.v="","",_xlpm.v)))</f>
      </c>
      <c r="E19" s="5" cm="1">
        <f t="array" aca="1" ref="E19" ca="1">IF($C19="","",_xlfn.LET(_xlpm.v,INDEX(pricing!$G:$G,$C19),IF(_xlpm.v="","",_xlpm.v)))</f>
      </c>
      <c r="F19" s="5" cm="1">
        <f t="array" aca="1" ref="F19" ca="1">IF($C19="","",_xlfn.LET(_xlpm.v,INDEX(pricing!$H:$H,$C19),IF(_xlpm.v="","",_xlpm.v)))</f>
      </c>
      <c r="G19" s="5" cm="1">
        <f t="array" aca="1" ref="G19" ca="1">IF($C19="","",_xlfn.LET(_xlpm.v,INDEX(pricing!$I:$I,$C19),IF(_xlpm.v="","",_xlpm.v)))</f>
      </c>
      <c r="H19" cm="1">
        <f t="array" aca="1" ref="H19" ca="1">IF($C19="","",_xlfn.LET(_xlpm.v,INDEX(pricing!$K:$K,$C19),IF(_xlpm.v="","",_xlpm.v)))</f>
      </c>
      <c r="I19" cm="1">
        <f t="array" aca="1" ref="I19" ca="1">IF($C19="","",_xlfn.LET(_xlpm.v,INDEX(pricing!$L:$L,$C19),IF(_xlpm.v="","",_xlpm.v)))</f>
      </c>
      <c r="J19" cm="1">
        <f t="array" aca="1" ref="J19" ca="1">IF($C19="","",_xlfn.LET(_xlpm.v,INDEX(pricing!$N:$N,$C19),IF(_xlpm.v="","",_xlpm.v)))</f>
      </c>
      <c r="K19" cm="1">
        <f t="array" aca="1" ref="K19" ca="1">IF($C19="","",_xlfn.LET(_xlpm.v,INDEX(pricing!$O:$O,$C19),IF(_xlpm.v="","",_xlpm.v)))</f>
      </c>
      <c r="O19" s="5"/>
      <c r="P19"/>
    </row>
    <row r="20" spans="1:19" x14ac:dyDescent="0.2">
      <c r="A20" s="5">
        <v>2</v>
      </c>
      <c r="B20" t="s">
        <v>111</v>
      </c>
      <c r="C20">
        <f>_xlfn.LET(_xlpm.n,INDEX($C$9:$E$11,2,3),IF(OR(_xlpm.n="",INDEX($B$9:$B$11,2)="×"),"",_xlpm.n))</f>
      </c>
      <c r="D20" cm="1">
        <f t="array" aca="1" ref="D20" ca="1">IF($C20="","",_xlfn.LET(_xlpm.v,INDEX(pricing!$C:$C,$C20),IF(_xlpm.v="","",_xlpm.v)))</f>
      </c>
      <c r="E20" s="5" cm="1">
        <f t="array" aca="1" ref="E20" ca="1">IF($C20="","",_xlfn.LET(_xlpm.v,INDEX(pricing!$G:$G,$C20),IF(_xlpm.v="","",_xlpm.v)))</f>
      </c>
      <c r="F20" s="5" cm="1">
        <f t="array" aca="1" ref="F20" ca="1">IF($C20="","",_xlfn.LET(_xlpm.v,INDEX(pricing!$H:$H,$C20),IF(_xlpm.v="","",_xlpm.v)))</f>
      </c>
      <c r="G20" s="5" cm="1">
        <f t="array" aca="1" ref="G20" ca="1">IF($C20="","",_xlfn.LET(_xlpm.v,INDEX(pricing!$I:$I,$C20),IF(_xlpm.v="","",_xlpm.v)))</f>
      </c>
      <c r="H20" cm="1">
        <f t="array" aca="1" ref="H20" ca="1">IF($C20="","",_xlfn.LET(_xlpm.v,INDEX(pricing!$K:$K,$C20),IF(_xlpm.v="","",_xlpm.v)))</f>
      </c>
      <c r="I20" cm="1">
        <f t="array" aca="1" ref="I20" ca="1">IF($C20="","",_xlfn.LET(_xlpm.v,INDEX(pricing!$L:$L,$C20),IF(_xlpm.v="","",_xlpm.v)))</f>
      </c>
      <c r="J20" cm="1">
        <f t="array" aca="1" ref="J20" ca="1">IF($C20="","",_xlfn.LET(_xlpm.v,INDEX(pricing!$N:$N,$C20),IF(_xlpm.v="","",_xlpm.v)))</f>
      </c>
      <c r="K20" cm="1">
        <f t="array" aca="1" ref="K20" ca="1">IF($C20="","",_xlfn.LET(_xlpm.v,INDEX(pricing!$O:$O,$C20),IF(_xlpm.v="","",_xlpm.v)))</f>
      </c>
      <c r="O20" s="5"/>
      <c r="P20"/>
    </row>
    <row r="21" spans="1:19" x14ac:dyDescent="0.2">
      <c r="A21" s="5">
        <v>3</v>
      </c>
      <c r="B21" t="s">
        <v>109</v>
      </c>
      <c r="C21">
        <f>_xlfn.LET(_xlpm.n,INDEX($C$9:$E$11,3,1),IF(OR(_xlpm.n="",INDEX($B$9:$B$11,3)="×"),"",_xlpm.n))</f>
      </c>
      <c r="D21" cm="1">
        <f t="array" aca="1" ref="D21" ca="1">IF($C21="","",_xlfn.LET(_xlpm.v,INDEX(pricing!$C:$C,$C21),IF(_xlpm.v="","",_xlpm.v)))</f>
      </c>
      <c r="E21" s="5" cm="1">
        <f t="array" aca="1" ref="E21" ca="1">IF($C21="","",_xlfn.LET(_xlpm.v,INDEX(pricing!$G:$G,$C21),IF(_xlpm.v="","",_xlpm.v)))</f>
      </c>
      <c r="F21" s="5" cm="1">
        <f t="array" aca="1" ref="F21" ca="1">IF($C21="","",_xlfn.LET(_xlpm.v,INDEX(pricing!$H:$H,$C21),IF(_xlpm.v="","",_xlpm.v)))</f>
      </c>
      <c r="G21" s="5" cm="1">
        <f t="array" aca="1" ref="G21" ca="1">IF($C21="","",_xlfn.LET(_xlpm.v,INDEX(pricing!$I:$I,$C21),IF(_xlpm.v="","",_xlpm.v)))</f>
      </c>
      <c r="H21" cm="1">
        <f t="array" aca="1" ref="H21" ca="1">IF($C21="","",_xlfn.LET(_xlpm.v,INDEX(pricing!$K:$K,$C21),IF(_xlpm.v="","",_xlpm.v)))</f>
      </c>
      <c r="I21" cm="1">
        <f t="array" aca="1" ref="I21" ca="1">IF($C21="","",_xlfn.LET(_xlpm.v,INDEX(pricing!$L:$L,$C21),IF(_xlpm.v="","",_xlpm.v)))</f>
      </c>
      <c r="J21" cm="1">
        <f t="array" aca="1" ref="J21" ca="1">IF($C21="","",_xlfn.LET(_xlpm.v,INDEX(pricing!$N:$N,$C21),IF(_xlpm.v="","",_xlpm.v)))</f>
      </c>
      <c r="K21" cm="1">
        <f t="array" aca="1" ref="K21" ca="1">IF($C21="","",_xlfn.LET(_xlpm.v,INDEX(pricing!$O:$O,$C21),IF(_xlpm.v="","",_xlpm.v)))</f>
      </c>
      <c r="O21" s="5"/>
      <c r="P21"/>
    </row>
    <row r="22" spans="1:19" x14ac:dyDescent="0.2">
      <c r="A22" s="5">
        <v>3</v>
      </c>
      <c r="B22" t="s">
        <v>110</v>
      </c>
      <c r="C22">
        <f>_xlfn.LET(_xlpm.n,INDEX($C$9:$E$11,3,2),IF(OR(_xlpm.n="",INDEX($B$9:$B$11,3)="×"),"",_xlpm.n))</f>
      </c>
      <c r="D22" cm="1">
        <f t="array" aca="1" ref="D22" ca="1">IF($C22="","",_xlfn.LET(_xlpm.v,INDEX(pricing!$C:$C,$C22),IF(_xlpm.v="","",_xlpm.v)))</f>
      </c>
      <c r="E22" s="5" cm="1">
        <f t="array" aca="1" ref="E22" ca="1">IF($C22="","",_xlfn.LET(_xlpm.v,INDEX(pricing!$G:$G,$C22),IF(_xlpm.v="","",_xlpm.v)))</f>
      </c>
      <c r="F22" s="5" cm="1">
        <f t="array" aca="1" ref="F22" ca="1">IF($C22="","",_xlfn.LET(_xlpm.v,INDEX(pricing!$H:$H,$C22),IF(_xlpm.v="","",_xlpm.v)))</f>
      </c>
      <c r="G22" s="5" cm="1">
        <f t="array" aca="1" ref="G22" ca="1">IF($C22="","",_xlfn.LET(_xlpm.v,INDEX(pricing!$I:$I,$C22),IF(_xlpm.v="","",_xlpm.v)))</f>
      </c>
      <c r="H22" cm="1">
        <f t="array" aca="1" ref="H22" ca="1">IF($C22="","",_xlfn.LET(_xlpm.v,INDEX(pricing!$K:$K,$C22),IF(_xlpm.v="","",_xlpm.v)))</f>
      </c>
      <c r="I22" cm="1">
        <f t="array" aca="1" ref="I22" ca="1">IF($C22="","",_xlfn.LET(_xlpm.v,INDEX(pricing!$L:$L,$C22),IF(_xlpm.v="","",_xlpm.v)))</f>
      </c>
      <c r="J22" cm="1">
        <f t="array" aca="1" ref="J22" ca="1">IF($C22="","",_xlfn.LET(_xlpm.v,INDEX(pricing!$N:$N,$C22),IF(_xlpm.v="","",_xlpm.v)))</f>
      </c>
      <c r="K22" cm="1">
        <f t="array" aca="1" ref="K22" ca="1">IF($C22="","",_xlfn.LET(_xlpm.v,INDEX(pricing!$O:$O,$C22),IF(_xlpm.v="","",_xlpm.v)))</f>
      </c>
      <c r="O22" s="5"/>
      <c r="P22"/>
    </row>
    <row r="23" spans="1:19" x14ac:dyDescent="0.2">
      <c r="A23" s="5">
        <v>3</v>
      </c>
      <c r="B23" t="s">
        <v>111</v>
      </c>
      <c r="C23">
        <f>_xlfn.LET(_xlpm.n,INDEX($C$9:$E$11,3,3),IF(OR(_xlpm.n="",INDEX($B$9:$B$11,3)="×"),"",_xlpm.n))</f>
      </c>
      <c r="D23" cm="1">
        <f t="array" aca="1" ref="D23" ca="1">IF($C23="","",_xlfn.LET(_xlpm.v,INDEX(pricing!$C:$C,$C23),IF(_xlpm.v="","",_xlpm.v)))</f>
      </c>
      <c r="E23" s="5" cm="1">
        <f t="array" aca="1" ref="E23" ca="1">IF($C23="","",_xlfn.LET(_xlpm.v,INDEX(pricing!$G:$G,$C23),IF(_xlpm.v="","",_xlpm.v)))</f>
      </c>
      <c r="F23" s="5" cm="1">
        <f t="array" aca="1" ref="F23" ca="1">IF($C23="","",_xlfn.LET(_xlpm.v,INDEX(pricing!$H:$H,$C23),IF(_xlpm.v="","",_xlpm.v)))</f>
      </c>
      <c r="G23" s="5" cm="1">
        <f t="array" aca="1" ref="G23" ca="1">IF($C23="","",_xlfn.LET(_xlpm.v,INDEX(pricing!$I:$I,$C23),IF(_xlpm.v="","",_xlpm.v)))</f>
      </c>
      <c r="H23" cm="1">
        <f t="array" aca="1" ref="H23" ca="1">IF($C23="","",_xlfn.LET(_xlpm.v,INDEX(pricing!$K:$K,$C23),IF(_xlpm.v="","",_xlpm.v)))</f>
      </c>
      <c r="I23" cm="1">
        <f t="array" aca="1" ref="I23" ca="1">IF($C23="","",_xlfn.LET(_xlpm.v,INDEX(pricing!$L:$L,$C23),IF(_xlpm.v="","",_xlpm.v)))</f>
      </c>
      <c r="J23" cm="1">
        <f t="array" aca="1" ref="J23" ca="1">IF($C23="","",_xlfn.LET(_xlpm.v,INDEX(pricing!$N:$N,$C23),IF(_xlpm.v="","",_xlpm.v)))</f>
      </c>
      <c r="K23" cm="1">
        <f t="array" aca="1" ref="K23" ca="1">IF($C23="","",_xlfn.LET(_xlpm.v,INDEX(pricing!$O:$O,$C23),IF(_xlpm.v="","",_xlpm.v)))</f>
      </c>
      <c r="O23" s="5"/>
      <c r="P23"/>
    </row>
    <row r="26" spans="1:19" x14ac:dyDescent="0.2">
      <c r="A26" s="9" t="s">
        <v>112</v>
      </c>
    </row>
    <row r="27" spans="1:19" x14ac:dyDescent="0.2">
      <c r="A27" s="5" t="s">
        <v>113</v>
      </c>
      <c r="F27" s="5" t="s">
        <v>114</v>
      </c>
      <c r="K27" s="5" t="s">
        <v>115</v>
      </c>
      <c r="P27" s="5" t="s">
        <v>116</v>
      </c>
    </row>
    <row r="28" spans="1:19" x14ac:dyDescent="0.2">
      <c r="A28" s="5" cm="1">
        <f t="array" aca="1" ref="A28:D494" ca="1">_xlfn.LET(_xlpm.r,HistoricalRates(E15:K17,$F$9,$B$3,$B$4,$B$5,RealTime!$B$2:$D$45),_xlpm.d,_xlfn.DROP(_xlpm.r,1),_xlfn.VSTACK(_xlfn.TAKE(_xlpm.r,1),_xlfn.SORTBY(_xlpm.d,INDEX(_xlpm.d,,1),-1)))</f>
      </c>
      <c r="B28">
        <f ca="1"/>
      </c>
      <c r="C28">
        <f ca="1"/>
      </c>
      <c r="D28">
        <f ca="1"/>
      </c>
      <c r="F28" s="5" cm="1">
        <f t="array" aca="1" ref="F28:I494" ca="1">_xlfn.LET(_xlpm.r,HistoricalRates(E18:K20,$F$10,$B$3,$B$4,$B$5,RealTime!$B$2:$D$45),_xlpm.d,_xlfn.DROP(_xlpm.r,1),_xlfn.VSTACK(_xlfn.TAKE(_xlpm.r,1),_xlfn.SORTBY(_xlpm.d,INDEX(_xlpm.d,,1),-1)))</f>
      </c>
      <c r="G28">
        <f ca="1"/>
      </c>
      <c r="H28">
        <f ca="1"/>
      </c>
      <c r="I28">
        <f ca="1"/>
      </c>
      <c r="K28" s="5" cm="1">
        <f t="array" aca="1" ref="K28:N494" ca="1">_xlfn.LET(_xlpm.r,HistoricalRates(E21:K23,$F$11,$B$3,$B$4,$B$5,RealTime!$B$2:$D$45),_xlpm.d,_xlfn.DROP(_xlpm.r,1),_xlfn.VSTACK(_xlfn.TAKE(_xlpm.r,1),_xlfn.SORTBY(_xlpm.d,INDEX(_xlpm.d,,1),-1)))</f>
      </c>
      <c r="L28">
        <f ca="1"/>
      </c>
      <c r="M28">
        <f ca="1"/>
      </c>
      <c r="N28">
        <f ca="1"/>
      </c>
      <c r="P28" s="5" cm="1">
        <f t="array" aca="1" ref="P28:P494" ca="1">_xlfn.LET(_xlpm.r,INDEX(HistoricalRates("","ROLLING",$B$3,$B$4,$B$5,RealTime!$B$2:$D$45),0,1),_xlfn.VSTACK(_xlfn.TAKE(_xlpm.r,1),_xlfn._xlws.SORT(_xlfn.DROP(_xlpm.r,1),,-1)))</f>
      </c>
      <c r="Q28">
        <f>$I$9</f>
      </c>
      <c r="R28">
        <f>$I$10</f>
      </c>
      <c r="S28">
        <f>$I$11</f>
      </c>
    </row>
    <row r="29" spans="1:19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>
        <f ca="1"/>
      </c>
      <c r="L29" s="10">
        <f ca="1"/>
      </c>
      <c r="M29" s="10">
        <f ca="1"/>
      </c>
      <c r="N29" s="10">
        <f ca="1"/>
      </c>
      <c r="P29" s="5">
        <f ca="1"/>
      </c>
      <c r="Q29" s="14" cm="1">
        <f t="array" aca="1" ref="Q29:Q494" ca="1">IFERROR(_xlfn.LET(_xlpm.d,_xlfn.DROP(_xlfn.ANCHORARRAY(A28),1),_xlpm.a,INDEX(_xlpm.d,,2),_xlpm.b,INDEX(_xlpm.d,,3),_xlpm.c,INDEX(_xlpm.d,,4),_xlpm.t,$H$9,_xlpm.v,IF(_xlpm.t="アウトライト",_xlpm.a,IF(_xlpm.t="カーブ",_xlpm.b-_xlpm.a,IF(_xlpm.t="フライ",2*_xlpm.b-_xlpm.a-_xlpm.c,NA()))),IF(ISNUMBER(_xlpm.v),_xlpm.v*$B$7,NA())),NA())</f>
      </c>
      <c r="R29" s="14" cm="1">
        <f t="array" aca="1" ref="R29:R494" ca="1">IFERROR(_xlfn.LET(_xlpm.d,_xlfn.DROP(_xlfn.ANCHORARRAY(F28),1),_xlpm.a,INDEX(_xlpm.d,,2),_xlpm.b,INDEX(_xlpm.d,,3),_xlpm.c,INDEX(_xlpm.d,,4),_xlpm.t,$H$10,_xlpm.v,IF(_xlpm.t="アウトライト",_xlpm.a,IF(_xlpm.t="カーブ",_xlpm.b-_xlpm.a,IF(_xlpm.t="フライ",2*_xlpm.b-_xlpm.a-_xlpm.c,NA()))),IF(ISNUMBER(_xlpm.v),_xlpm.v*$B$7,NA())),NA())</f>
      </c>
      <c r="S29" s="14" cm="1">
        <f t="array" aca="1" ref="S29:S494" ca="1">IFERROR(_xlfn.LET(_xlpm.d,_xlfn.DROP(_xlfn.ANCHORARRAY(K28),1),_xlpm.a,INDEX(_xlpm.d,,2),_xlpm.b,INDEX(_xlpm.d,,3),_xlpm.c,INDEX(_xlpm.d,,4),_xlpm.t,$H$11,_xlpm.v,IF(_xlpm.t="アウトライト",_xlpm.a,IF(_xlpm.t="カーブ",_xlpm.b-_xlpm.a,IF(_xlpm.t="フライ",2*_xlpm.b-_xlpm.a-_xlpm.c,NA()))),IF(ISNUMBER(_xlpm.v),_xlpm.v*$B$7,NA())),NA())</f>
      </c>
    </row>
    <row r="30" spans="1:19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>
        <f ca="1"/>
      </c>
      <c r="R30" s="14">
        <f ca="1"/>
      </c>
      <c r="S30" s="14">
        <f ca="1"/>
      </c>
    </row>
    <row r="31" spans="1:19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</row>
    <row r="32" spans="1:19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</row>
    <row r="33" spans="1:19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</row>
    <row r="34" spans="1:19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</row>
    <row r="35" spans="1:19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</row>
    <row r="36" spans="1:19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</row>
    <row r="37" spans="1:19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</row>
    <row r="38" spans="1:19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</row>
    <row r="39" spans="1:19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</row>
    <row r="40" spans="1:19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</row>
    <row r="41" spans="1:19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</row>
    <row r="42" spans="1:19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</row>
    <row r="43" spans="1:19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</row>
    <row r="44" spans="1:19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</row>
    <row r="45" spans="1:19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</row>
    <row r="46" spans="1:19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</row>
    <row r="47" spans="1:19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</row>
    <row r="48" spans="1:19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</row>
    <row r="49" spans="1:19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</row>
    <row r="50" spans="1:19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</row>
    <row r="51" spans="1:19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</row>
    <row r="52" spans="1:19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</row>
    <row r="53" spans="1:19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</row>
    <row r="54" spans="1:19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</row>
    <row r="55" spans="1:19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</row>
    <row r="56" spans="1:19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</row>
    <row r="57" spans="1:19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</row>
    <row r="58" spans="1:19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</row>
    <row r="59" spans="1:19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</row>
    <row r="60" spans="1:19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</row>
    <row r="61" spans="1:19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</row>
    <row r="62" spans="1:19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</row>
    <row r="63" spans="1:19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</row>
    <row r="64" spans="1:19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</row>
    <row r="65" spans="1:19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</row>
    <row r="66" spans="1:19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</row>
    <row r="67" spans="1:19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</row>
    <row r="68" spans="1:19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</row>
    <row r="69" spans="1:19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</row>
    <row r="70" spans="1:19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</row>
    <row r="71" spans="1:19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</row>
    <row r="72" spans="1:19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</row>
    <row r="73" spans="1:19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</row>
    <row r="74" spans="1:19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</row>
    <row r="75" spans="1:19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</row>
    <row r="76" spans="1:19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</row>
    <row r="77" spans="1:19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</row>
    <row r="78" spans="1:19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</row>
    <row r="79" spans="1:19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</row>
    <row r="80" spans="1:19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</row>
    <row r="81" spans="1:19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</row>
    <row r="82" spans="1:19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</row>
    <row r="83" spans="1:19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</row>
    <row r="84" spans="1:19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</row>
    <row r="85" spans="1:19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</row>
    <row r="86" spans="1:19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</row>
    <row r="87" spans="1:19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</row>
    <row r="88" spans="1:19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</row>
    <row r="89" spans="1:19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</row>
    <row r="90" spans="1:19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</row>
    <row r="91" spans="1:19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</row>
    <row r="92" spans="1:19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</row>
    <row r="93" spans="1:19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</row>
    <row r="94" spans="1:19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</row>
    <row r="95" spans="1:19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</row>
    <row r="96" spans="1:19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</row>
    <row r="97" spans="1:19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</row>
    <row r="98" spans="1:19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</row>
    <row r="99" spans="1:19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</row>
    <row r="100" spans="1:19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</row>
    <row r="101" spans="1:19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</row>
    <row r="102" spans="1:19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</row>
    <row r="103" spans="1:19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</row>
    <row r="104" spans="1:19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</row>
    <row r="105" spans="1:19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</row>
    <row r="106" spans="1:19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</row>
    <row r="107" spans="1:19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</row>
    <row r="108" spans="1:19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</row>
    <row r="109" spans="1:19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</row>
    <row r="110" spans="1:19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</row>
    <row r="111" spans="1:19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</row>
    <row r="112" spans="1:19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</row>
    <row r="113" spans="1:19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</row>
    <row r="114" spans="1:19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</row>
    <row r="115" spans="1:19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</row>
    <row r="116" spans="1:19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</row>
    <row r="117" spans="1:19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</row>
    <row r="118" spans="1:19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</row>
    <row r="119" spans="1:19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</row>
    <row r="120" spans="1:19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</row>
    <row r="121" spans="1:19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</row>
    <row r="122" spans="1:19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</row>
    <row r="123" spans="1:19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</row>
    <row r="124" spans="1:19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</row>
    <row r="125" spans="1:19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</row>
    <row r="126" spans="1:19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</row>
    <row r="127" spans="1:19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</row>
    <row r="128" spans="1:19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</row>
    <row r="129" spans="1:19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</row>
    <row r="130" spans="1:19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</row>
    <row r="131" spans="1:19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</row>
    <row r="132" spans="1:19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</row>
    <row r="133" spans="1:19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</row>
    <row r="134" spans="1:19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</row>
    <row r="135" spans="1:19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</row>
    <row r="136" spans="1:19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</row>
    <row r="137" spans="1:19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</row>
    <row r="138" spans="1:19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</row>
    <row r="139" spans="1:19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</row>
    <row r="140" spans="1:19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</row>
    <row r="141" spans="1:19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</row>
    <row r="142" spans="1:19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</row>
    <row r="143" spans="1:19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</row>
    <row r="144" spans="1:19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</row>
    <row r="145" spans="1:19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</row>
    <row r="146" spans="1:19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</row>
    <row r="147" spans="1:19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</row>
    <row r="148" spans="1:19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</row>
    <row r="149" spans="1:19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</row>
    <row r="150" spans="1:19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</row>
    <row r="151" spans="1:19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</row>
    <row r="152" spans="1:19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</row>
    <row r="153" spans="1:19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</row>
    <row r="154" spans="1:19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</row>
    <row r="155" spans="1:19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</row>
    <row r="156" spans="1:19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</row>
    <row r="157" spans="1:19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</row>
    <row r="158" spans="1:19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</row>
    <row r="159" spans="1:19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</row>
    <row r="160" spans="1:19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</row>
    <row r="161" spans="1:19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</row>
    <row r="162" spans="1:19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</row>
    <row r="163" spans="1:19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</row>
    <row r="164" spans="1:19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</row>
    <row r="165" spans="1:19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</row>
    <row r="166" spans="1:19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</row>
    <row r="167" spans="1:19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</row>
    <row r="168" spans="1:19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</row>
    <row r="169" spans="1:19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</row>
    <row r="170" spans="1:19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</row>
    <row r="171" spans="1:19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</row>
    <row r="172" spans="1:19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</row>
    <row r="173" spans="1:19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</row>
    <row r="174" spans="1:19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</row>
    <row r="175" spans="1:19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</row>
    <row r="176" spans="1:19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</row>
    <row r="177" spans="1:19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</row>
    <row r="178" spans="1:19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</row>
    <row r="179" spans="1:19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</row>
    <row r="180" spans="1:19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</row>
    <row r="181" spans="1:19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</row>
    <row r="182" spans="1:19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</row>
    <row r="183" spans="1:19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</row>
    <row r="184" spans="1:19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</row>
    <row r="185" spans="1:19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</row>
    <row r="186" spans="1:19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</row>
    <row r="187" spans="1:19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</row>
    <row r="188" spans="1:19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</row>
    <row r="189" spans="1:19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</row>
    <row r="190" spans="1:19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</row>
    <row r="191" spans="1:19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</row>
    <row r="192" spans="1:19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</row>
    <row r="193" spans="1:19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</row>
    <row r="194" spans="1:19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</row>
    <row r="195" spans="1:19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</row>
    <row r="196" spans="1:19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</row>
    <row r="197" spans="1:19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</row>
    <row r="198" spans="1:19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</row>
    <row r="199" spans="1:19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</row>
    <row r="200" spans="1:19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</row>
    <row r="201" spans="1:19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</row>
    <row r="202" spans="1:19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</row>
    <row r="203" spans="1:19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</row>
    <row r="204" spans="1:19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</row>
    <row r="205" spans="1:19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</row>
    <row r="206" spans="1:19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</row>
    <row r="207" spans="1:19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</row>
    <row r="208" spans="1:19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</row>
    <row r="209" spans="1:19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</row>
    <row r="210" spans="1:19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</row>
    <row r="211" spans="1:19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</row>
    <row r="212" spans="1:19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</row>
    <row r="213" spans="1:19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</row>
    <row r="214" spans="1:19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</row>
    <row r="215" spans="1:19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</row>
    <row r="216" spans="1:19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</row>
    <row r="217" spans="1:19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</row>
    <row r="218" spans="1:19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</row>
    <row r="219" spans="1:19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</row>
    <row r="220" spans="1:19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</row>
    <row r="221" spans="1:19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</row>
    <row r="222" spans="1:19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</row>
    <row r="223" spans="1:19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</row>
    <row r="224" spans="1:19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</row>
    <row r="225" spans="1:19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</row>
    <row r="226" spans="1:19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</row>
    <row r="227" spans="1:19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</row>
    <row r="228" spans="1:19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</row>
    <row r="229" spans="1:19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</row>
    <row r="230" spans="1:19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</row>
    <row r="231" spans="1:19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</row>
    <row r="232" spans="1:19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</row>
    <row r="233" spans="1:19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</row>
    <row r="234" spans="1:19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</row>
    <row r="235" spans="1:19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</row>
    <row r="236" spans="1:19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</row>
    <row r="237" spans="1:19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</row>
    <row r="238" spans="1:19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</row>
    <row r="239" spans="1:19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</row>
    <row r="240" spans="1:19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</row>
    <row r="241" spans="1:19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</row>
    <row r="242" spans="1:19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</row>
    <row r="243" spans="1:19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</row>
    <row r="244" spans="1:19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</row>
    <row r="245" spans="1:19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</row>
    <row r="246" spans="1:19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</row>
    <row r="247" spans="1:19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</row>
    <row r="248" spans="1:19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</row>
    <row r="249" spans="1:19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</row>
    <row r="250" spans="1:19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</row>
    <row r="251" spans="1:19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</row>
    <row r="252" spans="1:19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</row>
    <row r="253" spans="1:19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</row>
    <row r="254" spans="1:19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</row>
    <row r="255" spans="1:19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</row>
    <row r="256" spans="1:19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</row>
    <row r="257" spans="1:19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</row>
    <row r="258" spans="1:19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</row>
    <row r="259" spans="1:19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</row>
    <row r="260" spans="1:19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</row>
    <row r="261" spans="1:19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</row>
    <row r="262" spans="1:19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</row>
    <row r="263" spans="1:19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</row>
    <row r="264" spans="1:19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</row>
    <row r="265" spans="1:19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</row>
    <row r="266" spans="1:19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</row>
    <row r="267" spans="1:19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</row>
    <row r="268" spans="1:19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</row>
    <row r="269" spans="1:19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</row>
    <row r="270" spans="1:19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</row>
    <row r="271" spans="1:19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</row>
    <row r="272" spans="1:19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</row>
    <row r="273" spans="1:19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</row>
    <row r="274" spans="1:19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</row>
    <row r="275" spans="1:19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</row>
    <row r="276" spans="1:19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</row>
    <row r="277" spans="1:19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</row>
    <row r="278" spans="1:19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</row>
    <row r="279" spans="1:19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</row>
    <row r="280" spans="1:19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</row>
    <row r="281" spans="1:19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</row>
    <row r="282" spans="1:19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</row>
    <row r="283" spans="1:19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</row>
    <row r="284" spans="1:19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</row>
    <row r="285" spans="1:19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</row>
    <row r="286" spans="1:19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</row>
    <row r="287" spans="1:19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</row>
    <row r="288" spans="1:19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</row>
    <row r="289" spans="1:19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</row>
    <row r="290" spans="1:19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</row>
    <row r="291" spans="1:19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</row>
    <row r="292" spans="1:19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</row>
    <row r="293" spans="1:19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</row>
    <row r="294" spans="1:19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</row>
    <row r="295" spans="1:19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</row>
    <row r="296" spans="1:19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</row>
    <row r="297" spans="1:19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</row>
    <row r="298" spans="1:19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</row>
    <row r="299" spans="1:19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</row>
    <row r="300" spans="1:19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</row>
    <row r="301" spans="1:19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</row>
    <row r="302" spans="1:19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</row>
    <row r="303" spans="1:19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</row>
    <row r="304" spans="1:19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</row>
    <row r="305" spans="1:19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</row>
    <row r="306" spans="1:19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</row>
    <row r="307" spans="1:19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</row>
    <row r="308" spans="1:19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</row>
    <row r="309" spans="1:19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</row>
    <row r="310" spans="1:19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</row>
    <row r="311" spans="1:19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</row>
    <row r="312" spans="1:19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</row>
    <row r="313" spans="1:19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</row>
    <row r="314" spans="1:19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</row>
    <row r="315" spans="1:19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</row>
    <row r="316" spans="1:19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</row>
    <row r="317" spans="1:19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</row>
    <row r="318" spans="1:19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</row>
    <row r="319" spans="1:19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</row>
    <row r="320" spans="1:19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</row>
    <row r="321" spans="1:19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</row>
    <row r="322" spans="1:19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</row>
    <row r="323" spans="1:19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</row>
    <row r="324" spans="1:19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</row>
    <row r="325" spans="1:19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</row>
    <row r="326" spans="1:19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</row>
    <row r="327" spans="1:19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</row>
    <row r="328" spans="1:19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</row>
    <row r="329" spans="1:19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</row>
    <row r="330" spans="1:19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</row>
    <row r="331" spans="1:19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</row>
    <row r="332" spans="1:19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</row>
    <row r="333" spans="1:19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</row>
    <row r="334" spans="1:19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</row>
    <row r="335" spans="1:19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</row>
    <row r="336" spans="1:19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</row>
    <row r="337" spans="1:19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</row>
    <row r="338" spans="1:19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</row>
    <row r="339" spans="1:19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</row>
    <row r="340" spans="1:19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</row>
    <row r="341" spans="1:19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</row>
    <row r="342" spans="1:19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</row>
    <row r="343" spans="1:19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</row>
    <row r="344" spans="1:19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</row>
    <row r="345" spans="1:19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</row>
    <row r="346" spans="1:19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</row>
    <row r="347" spans="1:19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</row>
    <row r="348" spans="1:19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</row>
    <row r="349" spans="1:19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</row>
    <row r="350" spans="1:19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</row>
    <row r="351" spans="1:19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</row>
    <row r="352" spans="1:19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</row>
    <row r="353" spans="1:19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</row>
    <row r="354" spans="1:19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</row>
    <row r="355" spans="1:19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</row>
    <row r="356" spans="1:19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</row>
    <row r="357" spans="1:19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</row>
    <row r="358" spans="1:19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</row>
    <row r="359" spans="1:19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</row>
    <row r="360" spans="1:19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</row>
    <row r="361" spans="1:19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</row>
    <row r="362" spans="1:19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</row>
    <row r="363" spans="1:19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</row>
    <row r="364" spans="1:19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</row>
    <row r="365" spans="1:19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</row>
    <row r="366" spans="1:19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</row>
    <row r="367" spans="1:19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</row>
    <row r="368" spans="1:19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</row>
    <row r="369" spans="1:19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</row>
    <row r="370" spans="1:19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</row>
    <row r="371" spans="1:19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</row>
    <row r="372" spans="1:19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</row>
    <row r="373" spans="1:19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</row>
    <row r="374" spans="1:19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</row>
    <row r="375" spans="1:19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</row>
    <row r="376" spans="1:19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</row>
    <row r="377" spans="1:19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</row>
    <row r="378" spans="1:19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</row>
    <row r="379" spans="1:19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</row>
    <row r="380" spans="1:19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</row>
    <row r="381" spans="1:19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</row>
    <row r="382" spans="1:19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</row>
    <row r="383" spans="1:19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</row>
    <row r="384" spans="1:19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</row>
    <row r="385" spans="1:19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</row>
    <row r="386" spans="1:19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</row>
    <row r="387" spans="1:19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</row>
    <row r="388" spans="1:19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</row>
    <row r="389" spans="1:19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</row>
    <row r="390" spans="1:19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</row>
    <row r="391" spans="1:19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</row>
    <row r="392" spans="1:19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</row>
    <row r="393" spans="1:19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</row>
    <row r="394" spans="1:19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</row>
    <row r="395" spans="1:19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</row>
    <row r="396" spans="1:19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</row>
    <row r="397" spans="1:19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</row>
    <row r="398" spans="1:19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</row>
    <row r="399" spans="1:19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</row>
    <row r="400" spans="1:19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</row>
    <row r="401" spans="1:19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</row>
    <row r="402" spans="1:19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</row>
    <row r="403" spans="1:19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</row>
    <row r="404" spans="1:19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</row>
    <row r="405" spans="1:19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</row>
    <row r="406" spans="1:19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</row>
    <row r="407" spans="1:19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</row>
    <row r="408" spans="1:19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</row>
    <row r="409" spans="1:19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</row>
    <row r="410" spans="1:19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</row>
    <row r="411" spans="1:19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</row>
    <row r="412" spans="1:19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</row>
    <row r="413" spans="1:19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</row>
    <row r="414" spans="1:19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</row>
    <row r="415" spans="1:19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</row>
    <row r="416" spans="1:19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</row>
    <row r="417" spans="1:19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</row>
    <row r="418" spans="1:19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</row>
    <row r="419" spans="1:19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</row>
    <row r="420" spans="1:19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</row>
    <row r="421" spans="1:19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</row>
    <row r="422" spans="1:19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</row>
    <row r="423" spans="1:19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</row>
    <row r="424" spans="1:19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</row>
    <row r="425" spans="1:19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</row>
    <row r="426" spans="1:19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</row>
    <row r="427" spans="1:19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</row>
    <row r="428" spans="1:19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</row>
    <row r="429" spans="1:19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</row>
    <row r="430" spans="1:19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</row>
    <row r="431" spans="1:19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</row>
    <row r="432" spans="1:19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</row>
    <row r="433" spans="1:19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</row>
    <row r="434" spans="1:19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</row>
    <row r="435" spans="1:19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</row>
    <row r="436" spans="1:19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</row>
    <row r="437" spans="1:19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</row>
    <row r="438" spans="1:19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</row>
    <row r="439" spans="1:19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</row>
    <row r="440" spans="1:19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</row>
    <row r="441" spans="1:19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</row>
    <row r="442" spans="1:19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</row>
    <row r="443" spans="1:19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</row>
    <row r="444" spans="1:19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</row>
    <row r="445" spans="1:19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</row>
    <row r="446" spans="1:19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</row>
    <row r="447" spans="1:19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</row>
    <row r="448" spans="1:19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</row>
    <row r="449" spans="1:19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</row>
    <row r="450" spans="1:19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</row>
    <row r="451" spans="1:19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</row>
    <row r="452" spans="1:19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</row>
    <row r="453" spans="1:19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</row>
    <row r="454" spans="1:19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</row>
    <row r="455" spans="1:19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</row>
    <row r="456" spans="1:19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</row>
    <row r="457" spans="1:19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</row>
    <row r="458" spans="1:19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</row>
    <row r="459" spans="1:19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</row>
    <row r="460" spans="1:19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</row>
    <row r="461" spans="1:19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</row>
    <row r="462" spans="1:19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</row>
    <row r="463" spans="1:19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</row>
    <row r="464" spans="1:19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</row>
    <row r="465" spans="1:19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</row>
    <row r="466" spans="1:19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</row>
    <row r="467" spans="1:19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</row>
    <row r="468" spans="1:19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</row>
    <row r="469" spans="1:19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</row>
    <row r="470" spans="1:19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</row>
    <row r="471" spans="1:19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</row>
    <row r="472" spans="1:19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</row>
    <row r="473" spans="1:19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</row>
    <row r="474" spans="1:19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</row>
    <row r="475" spans="1:19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</row>
    <row r="476" spans="1:19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</row>
    <row r="477" spans="1:19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</row>
    <row r="478" spans="1:19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</row>
    <row r="479" spans="1:19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</row>
    <row r="480" spans="1:19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</row>
    <row r="481" spans="1:19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</row>
    <row r="482" spans="1:19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</row>
    <row r="483" spans="1:19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</row>
    <row r="484" spans="1:19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</row>
    <row r="485" spans="1:19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</row>
    <row r="486" spans="1:19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</row>
    <row r="487" spans="1:19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</row>
    <row r="488" spans="1:19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</row>
    <row r="489" spans="1:19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</row>
    <row r="490" spans="1:19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</row>
    <row r="491" spans="1:19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</row>
    <row r="492" spans="1:19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</row>
    <row r="493" spans="1:19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</row>
    <row r="494" spans="1:19" x14ac:dyDescent="0.2">
      <c r="A494" s="5">
        <f ca="1"/>
      </c>
      <c r="B494" s="10">
        <f ca="1"/>
      </c>
      <c r="C494" s="10">
        <f ca="1"/>
      </c>
      <c r="D494" s="10">
        <f ca="1"/>
      </c>
      <c r="F494" s="5">
        <f ca="1"/>
      </c>
      <c r="G494" s="10">
        <f ca="1"/>
      </c>
      <c r="H494" s="10">
        <f ca="1"/>
      </c>
      <c r="I494" s="10">
        <f ca="1"/>
      </c>
      <c r="K494" s="5">
        <f ca="1"/>
      </c>
      <c r="L494" s="10">
        <f ca="1"/>
      </c>
      <c r="M494" s="10">
        <f ca="1"/>
      </c>
      <c r="N494" s="10">
        <f ca="1"/>
      </c>
      <c r="P494" s="5">
        <f ca="1"/>
      </c>
      <c r="Q494" s="14">
        <f ca="1"/>
      </c>
      <c r="R494" s="14">
        <f ca="1"/>
      </c>
      <c r="S494" s="14">
        <f ca="1"/>
      </c>
    </row>
    <row r="495" spans="1:19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19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</sheetData>
  <phoneticPr fontId="4"/>
  <dataValidations count="2">
    <dataValidation type="list" allowBlank="1" showInputMessage="1" showErrorMessage="1" sqref="B9:B11" xr:uid="{6ECF7BDA-99C6-47BC-97A1-F9D70329A05A}">
      <formula1>"○,×"</formula1>
    </dataValidation>
    <dataValidation type="list" allowBlank="1" showInputMessage="1" showErrorMessage="1" sqref="F9:F11" xr:uid="{780CFF80-6CAE-464D-B148-66883FCE728E}">
      <formula1>"ROLLING,FIXED"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H41"/>
  <sheetViews>
    <sheetView workbookViewId="0">
      <selection activeCell="F20" sqref="F20"/>
    </sheetView>
  </sheetViews>
  <sheetFormatPr defaultRowHeight="14" x14ac:dyDescent="0.2"/>
  <cols>
    <col min="1" max="1" width="9.58203125" customWidth="1"/>
    <col min="2" max="3" width="11.58203125" customWidth="1"/>
    <col min="4" max="4" width="6.58203125" customWidth="1"/>
    <col min="5" max="5" width="12.58203125" customWidth="1"/>
    <col min="6" max="7" width="14.58203125" customWidth="1"/>
    <col min="8" max="8" width="13.58203125" customWidth="1"/>
  </cols>
  <sheetData>
    <row r="1" spans="1:8" ht="15.5" x14ac:dyDescent="0.25">
      <c r="A1" s="18" t="s">
        <v>142</v>
      </c>
    </row>
    <row r="2" spans="1:8" x14ac:dyDescent="0.2">
      <c r="A2" t="s">
        <v>124</v>
      </c>
      <c r="B2" s="5">
        <f>IF(評価日="","今日(RealTime)",評価日)</f>
      </c>
    </row>
    <row r="3" spans="1:8" x14ac:dyDescent="0.2">
      <c r="A3" t="s">
        <v>143</v>
      </c>
      <c r="B3" s="10">
        <f ca="1">RealTime!$D$2</f>
      </c>
    </row>
    <row r="5" spans="1:8" x14ac:dyDescent="0.2">
      <c r="A5" s="6" t="s">
        <v>144</v>
      </c>
    </row>
    <row r="6" spans="1:8" ht="30" customHeight="1" x14ac:dyDescent="0.2">
      <c r="A6" s="19" t="s">
        <v>0</v>
      </c>
      <c r="B6" s="19" t="s">
        <v>145</v>
      </c>
      <c r="C6" s="19" t="s">
        <v>146</v>
      </c>
      <c r="D6" s="19" t="s">
        <v>147</v>
      </c>
      <c r="E6" s="19" t="s">
        <v>148</v>
      </c>
      <c r="F6" s="19" t="s">
        <v>149</v>
      </c>
      <c r="G6" s="19" t="s">
        <v>150</v>
      </c>
      <c r="H6" s="19" t="s">
        <v>151</v>
      </c>
    </row>
    <row r="7" spans="1:8" x14ac:dyDescent="0.2">
      <c r="A7">
        <f>RealTime!$C$36</f>
      </c>
      <c r="B7" s="5">
        <f ca="1">RealTime!$E$36</f>
      </c>
      <c r="C7" s="5">
        <f ca="1">RealTime!$F$36</f>
      </c>
      <c r="D7">
        <f t="shared" ref="D7:D16" ca="1" si="0">IF(AND(ISNUMBER(B7),ISNUMBER(C7)),C7-B7,"")</f>
      </c>
      <c r="E7" s="10">
        <f ca="1">RealTime!$D$36</f>
      </c>
      <c r="F7" s="10">
        <f ca="1">IF(AND(ISNUMBER(B7),ISNUMBER(C7)),FairRate(B7,"",C7,"PA","act/365fixed","PA","STD",RealTime!$B$2:$D$45,評価日),"")</f>
      </c>
      <c r="G7" s="14">
        <f t="shared" ref="G7:G16" ca="1" si="1">IF(AND(ISNUMBER(E7),ISNUMBER(F7)),(E7-F7)*100,"")</f>
      </c>
      <c r="H7" s="14">
        <f ca="1">IF(AND(ISNUMBER(E7),ISNUMBER($B$3)),(E7-$B$3)*100,"")</f>
      </c>
    </row>
    <row r="8" spans="1:8" x14ac:dyDescent="0.2">
      <c r="A8">
        <f>RealTime!$C$37</f>
      </c>
      <c r="B8" s="5">
        <f ca="1">RealTime!$E$37</f>
      </c>
      <c r="C8" s="5">
        <f ca="1">RealTime!$F$37</f>
      </c>
      <c r="D8">
        <f t="shared" ca="1" si="0"/>
      </c>
      <c r="E8" s="10">
        <f ca="1">RealTime!$D$37</f>
      </c>
      <c r="F8" s="10">
        <f ca="1">IF(AND(ISNUMBER(B8),ISNUMBER(C8)),FairRate(B8,"",C8,"PA","act/365fixed","PA","STD",RealTime!$B$2:$D$45,評価日),"")</f>
      </c>
      <c r="G8" s="14">
        <f t="shared" ca="1" si="1"/>
      </c>
      <c r="H8" s="14">
        <f t="shared" ref="H8:H16" ca="1" si="2">IF(AND(ISNUMBER(E8),ISNUMBER(E7)),(E8-E7)*100,"")</f>
      </c>
    </row>
    <row r="9" spans="1:8" x14ac:dyDescent="0.2">
      <c r="A9">
        <f>RealTime!$C$38</f>
      </c>
      <c r="B9" s="5">
        <f ca="1">RealTime!$E$38</f>
      </c>
      <c r="C9" s="5">
        <f ca="1">RealTime!$F$38</f>
      </c>
      <c r="D9">
        <f t="shared" ca="1" si="0"/>
      </c>
      <c r="E9" s="10">
        <f ca="1">RealTime!$D$38</f>
      </c>
      <c r="F9" s="10">
        <f ca="1">IF(AND(ISNUMBER(B9),ISNUMBER(C9)),FairRate(B9,"",C9,"PA","act/365fixed","PA","STD",RealTime!$B$2:$D$45,評価日),"")</f>
      </c>
      <c r="G9" s="14">
        <f t="shared" ca="1" si="1"/>
      </c>
      <c r="H9" s="14">
        <f t="shared" ca="1" si="2"/>
      </c>
    </row>
    <row r="10" spans="1:8" x14ac:dyDescent="0.2">
      <c r="A10">
        <f>RealTime!$C$39</f>
      </c>
      <c r="B10" s="5">
        <f ca="1">RealTime!$E$39</f>
      </c>
      <c r="C10" s="5">
        <f ca="1">RealTime!$F$39</f>
      </c>
      <c r="D10">
        <f t="shared" ca="1" si="0"/>
      </c>
      <c r="E10" s="10">
        <f ca="1">RealTime!$D$39</f>
      </c>
      <c r="F10" s="10">
        <f ca="1">IF(AND(ISNUMBER(B10),ISNUMBER(C10)),FairRate(B10,"",C10,"PA","act/365fixed","PA","STD",RealTime!$B$2:$D$45,評価日),"")</f>
      </c>
      <c r="G10" s="14">
        <f t="shared" ca="1" si="1"/>
      </c>
      <c r="H10" s="14">
        <f t="shared" ca="1" si="2"/>
      </c>
    </row>
    <row r="11" spans="1:8" x14ac:dyDescent="0.2">
      <c r="A11">
        <f>RealTime!$C$40</f>
      </c>
      <c r="B11" s="5">
        <f ca="1">RealTime!$E$40</f>
      </c>
      <c r="C11" s="5">
        <f ca="1">RealTime!$F$40</f>
      </c>
      <c r="D11">
        <f t="shared" ca="1" si="0"/>
      </c>
      <c r="E11" s="10">
        <f ca="1">RealTime!$D$40</f>
      </c>
      <c r="F11" s="10">
        <f ca="1">IF(AND(ISNUMBER(B11),ISNUMBER(C11)),FairRate(B11,"",C11,"PA","act/365fixed","PA","STD",RealTime!$B$2:$D$45,評価日),"")</f>
      </c>
      <c r="G11" s="14">
        <f t="shared" ca="1" si="1"/>
      </c>
      <c r="H11" s="14">
        <f t="shared" ca="1" si="2"/>
      </c>
    </row>
    <row r="12" spans="1:8" x14ac:dyDescent="0.2">
      <c r="A12">
        <f>RealTime!$C$41</f>
      </c>
      <c r="B12" s="5">
        <f ca="1">RealTime!$E$41</f>
      </c>
      <c r="C12" s="5">
        <f ca="1">RealTime!$F$41</f>
      </c>
      <c r="D12">
        <f t="shared" ca="1" si="0"/>
      </c>
      <c r="E12" s="10">
        <f ca="1">RealTime!$D$41</f>
      </c>
      <c r="F12" s="10">
        <f ca="1">IF(AND(ISNUMBER(B12),ISNUMBER(C12)),FairRate(B12,"",C12,"PA","act/365fixed","PA","STD",RealTime!$B$2:$D$45,評価日),"")</f>
      </c>
      <c r="G12" s="14">
        <f t="shared" ca="1" si="1"/>
      </c>
      <c r="H12" s="14">
        <f t="shared" ca="1" si="2"/>
      </c>
    </row>
    <row r="13" spans="1:8" x14ac:dyDescent="0.2">
      <c r="A13">
        <f>RealTime!$C$42</f>
      </c>
      <c r="B13" s="5">
        <f ca="1">RealTime!$E$42</f>
      </c>
      <c r="C13" s="5">
        <f ca="1">RealTime!$F$42</f>
      </c>
      <c r="D13">
        <f t="shared" ca="1" si="0"/>
      </c>
      <c r="E13" s="10">
        <f ca="1">RealTime!$D$42</f>
      </c>
      <c r="F13" s="10">
        <f ca="1">IF(AND(ISNUMBER(B13),ISNUMBER(C13)),FairRate(B13,"",C13,"PA","act/365fixed","PA","STD",RealTime!$B$2:$D$45,評価日),"")</f>
      </c>
      <c r="G13" s="14">
        <f t="shared" ca="1" si="1"/>
      </c>
      <c r="H13" s="14">
        <f t="shared" ca="1" si="2"/>
      </c>
    </row>
    <row r="14" spans="1:8" x14ac:dyDescent="0.2">
      <c r="A14">
        <f>RealTime!$C$43</f>
      </c>
      <c r="B14" s="5">
        <f ca="1">RealTime!$E$43</f>
      </c>
      <c r="C14" s="5">
        <f ca="1">RealTime!$F$43</f>
      </c>
      <c r="D14">
        <f t="shared" ca="1" si="0"/>
      </c>
      <c r="E14" s="10">
        <f ca="1">RealTime!$D$43</f>
      </c>
      <c r="F14" s="10">
        <f ca="1">IF(AND(ISNUMBER(B14),ISNUMBER(C14)),FairRate(B14,"",C14,"PA","act/365fixed","PA","STD",RealTime!$B$2:$D$45,評価日),"")</f>
      </c>
      <c r="G14" s="14">
        <f t="shared" ca="1" si="1"/>
      </c>
      <c r="H14" s="14">
        <f t="shared" ca="1" si="2"/>
      </c>
    </row>
    <row r="15" spans="1:8" x14ac:dyDescent="0.2">
      <c r="A15">
        <f>RealTime!$C$44</f>
      </c>
      <c r="B15" s="5">
        <f ca="1">RealTime!$E$44</f>
      </c>
      <c r="C15" s="5">
        <f ca="1">RealTime!$F$44</f>
      </c>
      <c r="D15">
        <f t="shared" ca="1" si="0"/>
      </c>
      <c r="E15" s="10">
        <f ca="1">RealTime!$D$44</f>
      </c>
      <c r="F15" s="10">
        <f ca="1">IF(AND(ISNUMBER(B15),ISNUMBER(C15)),FairRate(B15,"",C15,"PA","act/365fixed","PA","STD",RealTime!$B$2:$D$45,評価日),"")</f>
      </c>
      <c r="G15" s="14">
        <f t="shared" ca="1" si="1"/>
      </c>
      <c r="H15" s="14">
        <f t="shared" ca="1" si="2"/>
      </c>
    </row>
    <row r="16" spans="1:8" x14ac:dyDescent="0.2">
      <c r="A16">
        <f>RealTime!$C$45</f>
      </c>
      <c r="B16" s="5">
        <f ca="1">RealTime!$E$45</f>
      </c>
      <c r="C16" s="5">
        <f ca="1">RealTime!$F$45</f>
      </c>
      <c r="D16">
        <f t="shared" ca="1" si="0"/>
      </c>
      <c r="E16" s="10">
        <f ca="1">RealTime!$D$45</f>
      </c>
      <c r="F16" s="10">
        <f ca="1">IF(AND(ISNUMBER(B16),ISNUMBER(C16)),FairRate(B16,"",C16,"PA","act/365fixed","PA","STD",RealTime!$B$2:$D$45,評価日),"")</f>
      </c>
      <c r="G16" s="14">
        <f t="shared" ca="1" si="1"/>
      </c>
      <c r="H16" s="14">
        <f t="shared" ca="1" si="2"/>
      </c>
    </row>
    <row r="19" spans="1:4" x14ac:dyDescent="0.2">
      <c r="A19" s="6" t="s">
        <v>152</v>
      </c>
    </row>
    <row r="20" spans="1:4" ht="30" customHeight="1" x14ac:dyDescent="0.2">
      <c r="A20" s="19" t="s">
        <v>153</v>
      </c>
      <c r="B20" s="19" t="s">
        <v>154</v>
      </c>
      <c r="C20" s="19" t="s">
        <v>155</v>
      </c>
      <c r="D20" s="19" t="s">
        <v>156</v>
      </c>
    </row>
    <row r="21" spans="1:4" x14ac:dyDescent="0.2">
      <c r="A21">
        <f>RealTime!$C$3</f>
      </c>
      <c r="B21" s="10">
        <f ca="1">RealTime!$D$3</f>
      </c>
      <c r="C21" s="10" cm="1">
        <f t="array" aca="1" ref="C21" ca="1">BojImpliedRates(A21:A33,RealTime!$B$2:$D$45,RealTime!$C$36:$F$45,評価日)</f>
      </c>
      <c r="D21" s="14">
        <f t="shared" ref="D21:D33" ca="1" si="3">IF(AND(ISNUMBER(B21),ISNUMBER(C21)),(B21-C21)*100,"")</f>
      </c>
    </row>
    <row r="22" spans="1:4" x14ac:dyDescent="0.2">
      <c r="A22">
        <f>RealTime!$C$4</f>
      </c>
      <c r="B22" s="10">
        <f ca="1">RealTime!$D$4</f>
      </c>
      <c r="C22" s="10"/>
      <c r="D22" s="14">
        <f t="shared" ca="1" si="3"/>
      </c>
    </row>
    <row r="23" spans="1:4" x14ac:dyDescent="0.2">
      <c r="A23">
        <f>RealTime!$C$5</f>
      </c>
      <c r="B23" s="10">
        <f ca="1">RealTime!$D$5</f>
      </c>
      <c r="C23" s="10"/>
      <c r="D23" s="14">
        <f t="shared" ca="1" si="3"/>
      </c>
    </row>
    <row r="24" spans="1:4" x14ac:dyDescent="0.2">
      <c r="A24">
        <f>RealTime!$C$6</f>
      </c>
      <c r="B24" s="10">
        <f ca="1">RealTime!$D$6</f>
      </c>
      <c r="C24" s="10"/>
      <c r="D24" s="14">
        <f t="shared" ca="1" si="3"/>
      </c>
    </row>
    <row r="25" spans="1:4" x14ac:dyDescent="0.2">
      <c r="A25">
        <f>RealTime!$C$7</f>
      </c>
      <c r="B25" s="10">
        <f ca="1">RealTime!$D$7</f>
      </c>
      <c r="C25" s="10"/>
      <c r="D25" s="14">
        <f t="shared" ca="1" si="3"/>
      </c>
    </row>
    <row r="26" spans="1:4" x14ac:dyDescent="0.2">
      <c r="A26">
        <f>RealTime!$C$8</f>
      </c>
      <c r="B26" s="10">
        <f ca="1">RealTime!$D$8</f>
      </c>
      <c r="C26" s="10"/>
      <c r="D26" s="14">
        <f t="shared" ca="1" si="3"/>
      </c>
    </row>
    <row r="27" spans="1:4" x14ac:dyDescent="0.2">
      <c r="A27">
        <f>RealTime!$C$9</f>
      </c>
      <c r="B27" s="10">
        <f ca="1">RealTime!$D$9</f>
      </c>
      <c r="C27" s="10"/>
      <c r="D27" s="14">
        <f t="shared" ca="1" si="3"/>
      </c>
    </row>
    <row r="28" spans="1:4" x14ac:dyDescent="0.2">
      <c r="A28">
        <f>RealTime!$C$10</f>
      </c>
      <c r="B28" s="10">
        <f ca="1">RealTime!$D$10</f>
      </c>
      <c r="C28" s="10"/>
      <c r="D28" s="14">
        <f t="shared" ca="1" si="3"/>
      </c>
    </row>
    <row r="29" spans="1:4" x14ac:dyDescent="0.2">
      <c r="A29">
        <f>RealTime!$C$11</f>
      </c>
      <c r="B29" s="10">
        <f ca="1">RealTime!$D$11</f>
      </c>
      <c r="C29" s="10"/>
      <c r="D29" s="14">
        <f t="shared" ca="1" si="3"/>
      </c>
    </row>
    <row r="30" spans="1:4" x14ac:dyDescent="0.2">
      <c r="A30">
        <f>RealTime!$C$12</f>
      </c>
      <c r="B30" s="10">
        <f ca="1">RealTime!$D$12</f>
      </c>
      <c r="C30" s="10"/>
      <c r="D30" s="14">
        <f t="shared" ca="1" si="3"/>
      </c>
    </row>
    <row r="31" spans="1:4" x14ac:dyDescent="0.2">
      <c r="A31">
        <f>RealTime!$C$13</f>
      </c>
      <c r="B31" s="10">
        <f ca="1">RealTime!$D$13</f>
      </c>
      <c r="C31" s="10"/>
      <c r="D31" s="14">
        <f t="shared" ca="1" si="3"/>
      </c>
    </row>
    <row r="32" spans="1:4" x14ac:dyDescent="0.2">
      <c r="A32">
        <f>RealTime!$C$14</f>
      </c>
      <c r="B32" s="10">
        <f ca="1">RealTime!$D$14</f>
      </c>
      <c r="C32" s="10"/>
      <c r="D32" s="14">
        <f t="shared" ca="1" si="3"/>
      </c>
    </row>
    <row r="33" spans="1:4" x14ac:dyDescent="0.2">
      <c r="A33">
        <f>RealTime!$C$15</f>
      </c>
      <c r="B33" s="10">
        <f ca="1">RealTime!$D$15</f>
      </c>
      <c r="C33" s="10"/>
      <c r="D33" s="14">
        <f t="shared" ca="1" si="3"/>
      </c>
    </row>
    <row r="36" spans="1:4" x14ac:dyDescent="0.2">
      <c r="A36" s="6" t="s">
        <v>157</v>
      </c>
    </row>
    <row r="37" spans="1:4" x14ac:dyDescent="0.2">
      <c r="A37" t="s">
        <v>158</v>
      </c>
    </row>
    <row r="38" spans="1:4" x14ac:dyDescent="0.2">
      <c r="A38" t="s">
        <v>159</v>
      </c>
    </row>
    <row r="39" spans="1:4" x14ac:dyDescent="0.2">
      <c r="A39" t="s">
        <v>160</v>
      </c>
    </row>
    <row r="40" spans="1:4" x14ac:dyDescent="0.2">
      <c r="A40" t="s">
        <v>161</v>
      </c>
    </row>
    <row r="41" spans="1:4" x14ac:dyDescent="0.2">
      <c r="A41" t="s">
        <v>162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5000"/>
  <sheetViews>
    <sheetView workbookViewId="0"/>
  </sheetViews>
  <sheetFormatPr defaultRowHeight="14" x14ac:dyDescent="0.2"/>
  <cols>
    <col min="2" max="2" width="11.25" bestFit="1" customWidth="1"/>
    <col min="6" max="6" width="11.25" bestFit="1" customWidth="1"/>
    <col min="10" max="10" width="11.25" bestFit="1" customWidth="1"/>
    <col min="14" max="14" width="11.25" bestFit="1" customWidth="1"/>
    <col min="18" max="18" width="11.25" bestFit="1" customWidth="1"/>
  </cols>
  <sheetData>
    <row r="1" spans="1:19" x14ac:dyDescent="0.2">
      <c r="A1" t="s">
        <v>62</v>
      </c>
      <c r="B1" cm="1">
        <f t="array" aca="1" ref="B1" ca="1">HistoricalOutright("2y","PA","act/365fixed","PA","STD")</f>
      </c>
      <c r="E1" t="s">
        <v>21</v>
      </c>
      <c r="F1" cm="1">
        <f t="array" aca="1" ref="F1" ca="1">HistoricalOutright("5y","PA","act/365fixed","PA","STD")</f>
      </c>
      <c r="I1" t="s">
        <v>26</v>
      </c>
      <c r="J1" cm="1">
        <f t="array" aca="1" ref="J1" ca="1">HistoricalOutright("10y","PA","act/365fixed","PA","STD")</f>
      </c>
      <c r="M1" t="s">
        <v>63</v>
      </c>
      <c r="N1" t="s">
        <v>64</v>
      </c>
      <c r="O1" t="s">
        <v>65</v>
      </c>
      <c r="Q1" t="s">
        <v>66</v>
      </c>
      <c r="R1" t="s">
        <v>64</v>
      </c>
      <c r="S1" t="s">
        <v>67</v>
      </c>
    </row>
    <row r="2" spans="1:19" x14ac:dyDescent="0.2">
      <c r="B2" s="5"/>
      <c r="F2" s="5"/>
      <c r="J2" s="5"/>
      <c r="N2" s="5" cm="1">
        <f t="array" aca="1" ref="N2:O466" ca="1">_xlfn.LET(_xlpm.shortS,_xlfn.DROP(_xlfn.ANCHORARRAY(B1),1),_xlpm.longS,_xlfn.DROP(_xlfn.ANCHORARRAY(J1),1),_xlpm.dates,INDEX(_xlpm.shortS,,1),_xlfn.HSTACK(_xlpm.dates,_xlfn.XLOOKUP(_xlpm.dates,INDEX(_xlpm.longS,,1),INDEX(_xlpm.longS,,2))-INDEX(_xlpm.shortS,,2)))</f>
      </c>
      <c r="O2">
        <f ca="1"/>
      </c>
      <c r="R2" s="5" cm="1">
        <f t="array" aca="1" ref="R2:S466" ca="1">_xlfn.LET(_xlpm.shortS,_xlfn.DROP(_xlfn.ANCHORARRAY(B1),1),_xlpm.bellyS,_xlfn.DROP(_xlfn.ANCHORARRAY(F1),1),_xlpm.longS,_xlfn.DROP(_xlfn.ANCHORARRAY(J1),1),_xlpm.dates,INDEX(_xlpm.shortS,,1),_xlfn.HSTACK(_xlpm.dates,2*_xlfn.XLOOKUP(_xlpm.dates,INDEX(_xlpm.bellyS,,1),INDEX(_xlpm.bellyS,,2))-INDEX(_xlpm.shortS,,2)-_xlfn.XLOOKUP(_xlpm.dates,INDEX(_xlpm.longS,,1),INDEX(_xlpm.longS,,2))))</f>
      </c>
      <c r="S2">
        <f ca="1"/>
      </c>
    </row>
    <row r="3" spans="1:19" x14ac:dyDescent="0.2">
      <c r="B3" s="5"/>
      <c r="F3" s="5"/>
      <c r="J3" s="5"/>
      <c r="N3" s="5">
        <f ca="1"/>
      </c>
      <c r="O3">
        <f ca="1"/>
      </c>
      <c r="R3" s="5">
        <f ca="1"/>
      </c>
      <c r="S3">
        <f ca="1"/>
      </c>
    </row>
    <row r="4" spans="1:19" x14ac:dyDescent="0.2">
      <c r="B4" s="5"/>
      <c r="F4" s="5"/>
      <c r="J4" s="5"/>
      <c r="N4" s="5">
        <f ca="1"/>
      </c>
      <c r="O4">
        <f ca="1"/>
      </c>
      <c r="R4" s="5">
        <f ca="1"/>
      </c>
      <c r="S4">
        <f ca="1"/>
      </c>
    </row>
    <row r="5" spans="1:19" x14ac:dyDescent="0.2">
      <c r="B5" s="5"/>
      <c r="F5" s="5"/>
      <c r="J5" s="5"/>
      <c r="N5" s="5">
        <f ca="1"/>
      </c>
      <c r="O5">
        <f ca="1"/>
      </c>
      <c r="R5" s="5">
        <f ca="1"/>
      </c>
      <c r="S5">
        <f ca="1"/>
      </c>
    </row>
    <row r="6" spans="1:19" x14ac:dyDescent="0.2">
      <c r="B6" s="5"/>
      <c r="F6" s="5"/>
      <c r="J6" s="5"/>
      <c r="N6" s="5">
        <f ca="1"/>
      </c>
      <c r="O6">
        <f ca="1"/>
      </c>
      <c r="R6" s="5">
        <f ca="1"/>
      </c>
      <c r="S6">
        <f ca="1"/>
      </c>
    </row>
    <row r="7" spans="1:19" x14ac:dyDescent="0.2">
      <c r="B7" s="5"/>
      <c r="F7" s="5"/>
      <c r="J7" s="5"/>
      <c r="N7" s="5">
        <f ca="1"/>
      </c>
      <c r="O7">
        <f ca="1"/>
      </c>
      <c r="R7" s="5">
        <f ca="1"/>
      </c>
      <c r="S7">
        <f ca="1"/>
      </c>
    </row>
    <row r="8" spans="1:19" x14ac:dyDescent="0.2">
      <c r="B8" s="5"/>
      <c r="F8" s="5"/>
      <c r="J8" s="5"/>
      <c r="N8" s="5">
        <f ca="1"/>
      </c>
      <c r="O8">
        <f ca="1"/>
      </c>
      <c r="R8" s="5">
        <f ca="1"/>
      </c>
      <c r="S8">
        <f ca="1"/>
      </c>
    </row>
    <row r="9" spans="1:19" x14ac:dyDescent="0.2">
      <c r="B9" s="5"/>
      <c r="F9" s="5"/>
      <c r="J9" s="5"/>
      <c r="N9" s="5">
        <f ca="1"/>
      </c>
      <c r="O9">
        <f ca="1"/>
      </c>
      <c r="R9" s="5">
        <f ca="1"/>
      </c>
      <c r="S9">
        <f ca="1"/>
      </c>
    </row>
    <row r="10" spans="1:19" x14ac:dyDescent="0.2">
      <c r="B10" s="5"/>
      <c r="F10" s="5"/>
      <c r="J10" s="5"/>
      <c r="N10" s="5">
        <f ca="1"/>
      </c>
      <c r="O10">
        <f ca="1"/>
      </c>
      <c r="R10" s="5">
        <f ca="1"/>
      </c>
      <c r="S10">
        <f ca="1"/>
      </c>
    </row>
    <row r="11" spans="1:19" x14ac:dyDescent="0.2">
      <c r="B11" s="5"/>
      <c r="F11" s="5"/>
      <c r="J11" s="5"/>
      <c r="N11" s="5">
        <f ca="1"/>
      </c>
      <c r="O11">
        <f ca="1"/>
      </c>
      <c r="R11" s="5">
        <f ca="1"/>
      </c>
      <c r="S11">
        <f ca="1"/>
      </c>
    </row>
    <row r="12" spans="1:19" x14ac:dyDescent="0.2">
      <c r="B12" s="5"/>
      <c r="F12" s="5"/>
      <c r="J12" s="5"/>
      <c r="N12" s="5">
        <f ca="1"/>
      </c>
      <c r="O12">
        <f ca="1"/>
      </c>
      <c r="R12" s="5">
        <f ca="1"/>
      </c>
      <c r="S12">
        <f ca="1"/>
      </c>
    </row>
    <row r="13" spans="1:19" x14ac:dyDescent="0.2">
      <c r="B13" s="5"/>
      <c r="F13" s="5"/>
      <c r="J13" s="5"/>
      <c r="N13" s="5">
        <f ca="1"/>
      </c>
      <c r="O13">
        <f ca="1"/>
      </c>
      <c r="R13" s="5">
        <f ca="1"/>
      </c>
      <c r="S13">
        <f ca="1"/>
      </c>
    </row>
    <row r="14" spans="1:19" x14ac:dyDescent="0.2">
      <c r="B14" s="5"/>
      <c r="F14" s="5"/>
      <c r="J14" s="5"/>
      <c r="N14" s="5">
        <f ca="1"/>
      </c>
      <c r="O14">
        <f ca="1"/>
      </c>
      <c r="R14" s="5">
        <f ca="1"/>
      </c>
      <c r="S14">
        <f ca="1"/>
      </c>
    </row>
    <row r="15" spans="1:19" x14ac:dyDescent="0.2">
      <c r="B15" s="5"/>
      <c r="F15" s="5"/>
      <c r="J15" s="5"/>
      <c r="N15" s="5">
        <f ca="1"/>
      </c>
      <c r="O15">
        <f ca="1"/>
      </c>
      <c r="R15" s="5">
        <f ca="1"/>
      </c>
      <c r="S15">
        <f ca="1"/>
      </c>
    </row>
    <row r="16" spans="1:19" x14ac:dyDescent="0.2">
      <c r="B16" s="5"/>
      <c r="F16" s="5"/>
      <c r="J16" s="5"/>
      <c r="N16" s="5">
        <f ca="1"/>
      </c>
      <c r="O16">
        <f ca="1"/>
      </c>
      <c r="R16" s="5">
        <f ca="1"/>
      </c>
      <c r="S16">
        <f ca="1"/>
      </c>
    </row>
    <row r="17" spans="2:19" x14ac:dyDescent="0.2">
      <c r="B17" s="5"/>
      <c r="F17" s="5"/>
      <c r="J17" s="5"/>
      <c r="N17" s="5">
        <f ca="1"/>
      </c>
      <c r="O17">
        <f ca="1"/>
      </c>
      <c r="R17" s="5">
        <f ca="1"/>
      </c>
      <c r="S17">
        <f ca="1"/>
      </c>
    </row>
    <row r="18" spans="2:19" x14ac:dyDescent="0.2">
      <c r="B18" s="5"/>
      <c r="F18" s="5"/>
      <c r="J18" s="5"/>
      <c r="N18" s="5">
        <f ca="1"/>
      </c>
      <c r="O18">
        <f ca="1"/>
      </c>
      <c r="R18" s="5">
        <f ca="1"/>
      </c>
      <c r="S18">
        <f ca="1"/>
      </c>
    </row>
    <row r="19" spans="2:19" x14ac:dyDescent="0.2">
      <c r="B19" s="5"/>
      <c r="F19" s="5"/>
      <c r="J19" s="5"/>
      <c r="N19" s="5">
        <f ca="1"/>
      </c>
      <c r="O19">
        <f ca="1"/>
      </c>
      <c r="R19" s="5">
        <f ca="1"/>
      </c>
      <c r="S19">
        <f ca="1"/>
      </c>
    </row>
    <row r="20" spans="2:19" x14ac:dyDescent="0.2">
      <c r="B20" s="5"/>
      <c r="F20" s="5"/>
      <c r="J20" s="5"/>
      <c r="N20" s="5">
        <f ca="1"/>
      </c>
      <c r="O20">
        <f ca="1"/>
      </c>
      <c r="R20" s="5">
        <f ca="1"/>
      </c>
      <c r="S20">
        <f ca="1"/>
      </c>
    </row>
    <row r="21" spans="2:19" x14ac:dyDescent="0.2">
      <c r="B21" s="5"/>
      <c r="F21" s="5"/>
      <c r="J21" s="5"/>
      <c r="N21" s="5">
        <f ca="1"/>
      </c>
      <c r="O21">
        <f ca="1"/>
      </c>
      <c r="R21" s="5">
        <f ca="1"/>
      </c>
      <c r="S21">
        <f ca="1"/>
      </c>
    </row>
    <row r="22" spans="2:19" x14ac:dyDescent="0.2">
      <c r="B22" s="5"/>
      <c r="F22" s="5"/>
      <c r="J22" s="5"/>
      <c r="N22" s="5">
        <f ca="1"/>
      </c>
      <c r="O22">
        <f ca="1"/>
      </c>
      <c r="R22" s="5">
        <f ca="1"/>
      </c>
      <c r="S22">
        <f ca="1"/>
      </c>
    </row>
    <row r="23" spans="2:19" x14ac:dyDescent="0.2">
      <c r="B23" s="5"/>
      <c r="F23" s="5"/>
      <c r="J23" s="5"/>
      <c r="N23" s="5">
        <f ca="1"/>
      </c>
      <c r="O23">
        <f ca="1"/>
      </c>
      <c r="R23" s="5">
        <f ca="1"/>
      </c>
      <c r="S23">
        <f ca="1"/>
      </c>
    </row>
    <row r="24" spans="2:19" x14ac:dyDescent="0.2">
      <c r="B24" s="5"/>
      <c r="F24" s="5"/>
      <c r="J24" s="5"/>
      <c r="N24" s="5">
        <f ca="1"/>
      </c>
      <c r="O24">
        <f ca="1"/>
      </c>
      <c r="R24" s="5">
        <f ca="1"/>
      </c>
      <c r="S24">
        <f ca="1"/>
      </c>
    </row>
    <row r="25" spans="2:19" x14ac:dyDescent="0.2">
      <c r="B25" s="5"/>
      <c r="F25" s="5"/>
      <c r="J25" s="5"/>
      <c r="N25" s="5">
        <f ca="1"/>
      </c>
      <c r="O25">
        <f ca="1"/>
      </c>
      <c r="R25" s="5">
        <f ca="1"/>
      </c>
      <c r="S25">
        <f ca="1"/>
      </c>
    </row>
    <row r="26" spans="2:19" x14ac:dyDescent="0.2">
      <c r="B26" s="5"/>
      <c r="F26" s="5"/>
      <c r="J26" s="5"/>
      <c r="N26" s="5">
        <f ca="1"/>
      </c>
      <c r="O26">
        <f ca="1"/>
      </c>
      <c r="R26" s="5">
        <f ca="1"/>
      </c>
      <c r="S26">
        <f ca="1"/>
      </c>
    </row>
    <row r="27" spans="2:19" x14ac:dyDescent="0.2">
      <c r="B27" s="5"/>
      <c r="F27" s="5"/>
      <c r="J27" s="5"/>
      <c r="N27" s="5">
        <f ca="1"/>
      </c>
      <c r="O27">
        <f ca="1"/>
      </c>
      <c r="R27" s="5">
        <f ca="1"/>
      </c>
      <c r="S27">
        <f ca="1"/>
      </c>
    </row>
    <row r="28" spans="2:19" x14ac:dyDescent="0.2">
      <c r="B28" s="5"/>
      <c r="F28" s="5"/>
      <c r="J28" s="5"/>
      <c r="N28" s="5">
        <f ca="1"/>
      </c>
      <c r="O28">
        <f ca="1"/>
      </c>
      <c r="R28" s="5">
        <f ca="1"/>
      </c>
      <c r="S28">
        <f ca="1"/>
      </c>
    </row>
    <row r="29" spans="2:19" x14ac:dyDescent="0.2">
      <c r="B29" s="5"/>
      <c r="F29" s="5"/>
      <c r="J29" s="5"/>
      <c r="N29" s="5">
        <f ca="1"/>
      </c>
      <c r="O29">
        <f ca="1"/>
      </c>
      <c r="R29" s="5">
        <f ca="1"/>
      </c>
      <c r="S29">
        <f ca="1"/>
      </c>
    </row>
    <row r="30" spans="2:19" x14ac:dyDescent="0.2">
      <c r="B30" s="5"/>
      <c r="F30" s="5"/>
      <c r="J30" s="5"/>
      <c r="N30" s="5">
        <f ca="1"/>
      </c>
      <c r="O30">
        <f ca="1"/>
      </c>
      <c r="R30" s="5">
        <f ca="1"/>
      </c>
      <c r="S30">
        <f ca="1"/>
      </c>
    </row>
    <row r="31" spans="2:19" x14ac:dyDescent="0.2">
      <c r="B31" s="5"/>
      <c r="F31" s="5"/>
      <c r="J31" s="5"/>
      <c r="N31" s="5">
        <f ca="1"/>
      </c>
      <c r="O31">
        <f ca="1"/>
      </c>
      <c r="R31" s="5">
        <f ca="1"/>
      </c>
      <c r="S31">
        <f ca="1"/>
      </c>
    </row>
    <row r="32" spans="2:19" x14ac:dyDescent="0.2">
      <c r="B32" s="5"/>
      <c r="F32" s="5"/>
      <c r="J32" s="5"/>
      <c r="N32" s="5">
        <f ca="1"/>
      </c>
      <c r="O32">
        <f ca="1"/>
      </c>
      <c r="R32" s="5">
        <f ca="1"/>
      </c>
      <c r="S32">
        <f ca="1"/>
      </c>
    </row>
    <row r="33" spans="2:19" x14ac:dyDescent="0.2">
      <c r="B33" s="5"/>
      <c r="F33" s="5"/>
      <c r="J33" s="5"/>
      <c r="N33" s="5">
        <f ca="1"/>
      </c>
      <c r="O33">
        <f ca="1"/>
      </c>
      <c r="R33" s="5">
        <f ca="1"/>
      </c>
      <c r="S33">
        <f ca="1"/>
      </c>
    </row>
    <row r="34" spans="2:19" x14ac:dyDescent="0.2">
      <c r="B34" s="5"/>
      <c r="F34" s="5"/>
      <c r="J34" s="5"/>
      <c r="N34" s="5">
        <f ca="1"/>
      </c>
      <c r="O34">
        <f ca="1"/>
      </c>
      <c r="R34" s="5">
        <f ca="1"/>
      </c>
      <c r="S34">
        <f ca="1"/>
      </c>
    </row>
    <row r="35" spans="2:19" x14ac:dyDescent="0.2">
      <c r="B35" s="5"/>
      <c r="F35" s="5"/>
      <c r="J35" s="5"/>
      <c r="N35" s="5">
        <f ca="1"/>
      </c>
      <c r="O35">
        <f ca="1"/>
      </c>
      <c r="R35" s="5">
        <f ca="1"/>
      </c>
      <c r="S35">
        <f ca="1"/>
      </c>
    </row>
    <row r="36" spans="2:19" x14ac:dyDescent="0.2">
      <c r="B36" s="5"/>
      <c r="F36" s="5"/>
      <c r="J36" s="5"/>
      <c r="N36" s="5">
        <f ca="1"/>
      </c>
      <c r="O36">
        <f ca="1"/>
      </c>
      <c r="R36" s="5">
        <f ca="1"/>
      </c>
      <c r="S36">
        <f ca="1"/>
      </c>
    </row>
    <row r="37" spans="2:19" x14ac:dyDescent="0.2">
      <c r="B37" s="5"/>
      <c r="F37" s="5"/>
      <c r="J37" s="5"/>
      <c r="N37" s="5">
        <f ca="1"/>
      </c>
      <c r="O37">
        <f ca="1"/>
      </c>
      <c r="R37" s="5">
        <f ca="1"/>
      </c>
      <c r="S37">
        <f ca="1"/>
      </c>
    </row>
    <row r="38" spans="2:19" x14ac:dyDescent="0.2">
      <c r="B38" s="5"/>
      <c r="F38" s="5"/>
      <c r="J38" s="5"/>
      <c r="N38" s="5">
        <f ca="1"/>
      </c>
      <c r="O38">
        <f ca="1"/>
      </c>
      <c r="R38" s="5">
        <f ca="1"/>
      </c>
      <c r="S38">
        <f ca="1"/>
      </c>
    </row>
    <row r="39" spans="2:19" x14ac:dyDescent="0.2">
      <c r="B39" s="5"/>
      <c r="F39" s="5"/>
      <c r="J39" s="5"/>
      <c r="N39" s="5">
        <f ca="1"/>
      </c>
      <c r="O39">
        <f ca="1"/>
      </c>
      <c r="R39" s="5">
        <f ca="1"/>
      </c>
      <c r="S39">
        <f ca="1"/>
      </c>
    </row>
    <row r="40" spans="2:19" x14ac:dyDescent="0.2">
      <c r="B40" s="5"/>
      <c r="F40" s="5"/>
      <c r="J40" s="5"/>
      <c r="N40" s="5">
        <f ca="1"/>
      </c>
      <c r="O40">
        <f ca="1"/>
      </c>
      <c r="R40" s="5">
        <f ca="1"/>
      </c>
      <c r="S40">
        <f ca="1"/>
      </c>
    </row>
    <row r="41" spans="2:19" x14ac:dyDescent="0.2">
      <c r="B41" s="5"/>
      <c r="F41" s="5"/>
      <c r="J41" s="5"/>
      <c r="N41" s="5">
        <f ca="1"/>
      </c>
      <c r="O41">
        <f ca="1"/>
      </c>
      <c r="R41" s="5">
        <f ca="1"/>
      </c>
      <c r="S41">
        <f ca="1"/>
      </c>
    </row>
    <row r="42" spans="2:19" x14ac:dyDescent="0.2">
      <c r="B42" s="5"/>
      <c r="F42" s="5"/>
      <c r="J42" s="5"/>
      <c r="N42" s="5">
        <f ca="1"/>
      </c>
      <c r="O42">
        <f ca="1"/>
      </c>
      <c r="R42" s="5">
        <f ca="1"/>
      </c>
      <c r="S42">
        <f ca="1"/>
      </c>
    </row>
    <row r="43" spans="2:19" x14ac:dyDescent="0.2">
      <c r="B43" s="5"/>
      <c r="F43" s="5"/>
      <c r="J43" s="5"/>
      <c r="N43" s="5">
        <f ca="1"/>
      </c>
      <c r="O43">
        <f ca="1"/>
      </c>
      <c r="R43" s="5">
        <f ca="1"/>
      </c>
      <c r="S43">
        <f ca="1"/>
      </c>
    </row>
    <row r="44" spans="2:19" x14ac:dyDescent="0.2">
      <c r="B44" s="5"/>
      <c r="F44" s="5"/>
      <c r="J44" s="5"/>
      <c r="N44" s="5">
        <f ca="1"/>
      </c>
      <c r="O44">
        <f ca="1"/>
      </c>
      <c r="R44" s="5">
        <f ca="1"/>
      </c>
      <c r="S44">
        <f ca="1"/>
      </c>
    </row>
    <row r="45" spans="2:19" x14ac:dyDescent="0.2">
      <c r="B45" s="5"/>
      <c r="F45" s="5"/>
      <c r="J45" s="5"/>
      <c r="N45" s="5">
        <f ca="1"/>
      </c>
      <c r="O45">
        <f ca="1"/>
      </c>
      <c r="R45" s="5">
        <f ca="1"/>
      </c>
      <c r="S45">
        <f ca="1"/>
      </c>
    </row>
    <row r="46" spans="2:19" x14ac:dyDescent="0.2">
      <c r="B46" s="5"/>
      <c r="F46" s="5"/>
      <c r="J46" s="5"/>
      <c r="N46" s="5">
        <f ca="1"/>
      </c>
      <c r="O46">
        <f ca="1"/>
      </c>
      <c r="R46" s="5">
        <f ca="1"/>
      </c>
      <c r="S46">
        <f ca="1"/>
      </c>
    </row>
    <row r="47" spans="2:19" x14ac:dyDescent="0.2">
      <c r="B47" s="5"/>
      <c r="F47" s="5"/>
      <c r="J47" s="5"/>
      <c r="N47" s="5">
        <f ca="1"/>
      </c>
      <c r="O47">
        <f ca="1"/>
      </c>
      <c r="R47" s="5">
        <f ca="1"/>
      </c>
      <c r="S47">
        <f ca="1"/>
      </c>
    </row>
    <row r="48" spans="2:19" x14ac:dyDescent="0.2">
      <c r="B48" s="5"/>
      <c r="F48" s="5"/>
      <c r="J48" s="5"/>
      <c r="N48" s="5">
        <f ca="1"/>
      </c>
      <c r="O48">
        <f ca="1"/>
      </c>
      <c r="R48" s="5">
        <f ca="1"/>
      </c>
      <c r="S48">
        <f ca="1"/>
      </c>
    </row>
    <row r="49" spans="2:19" x14ac:dyDescent="0.2">
      <c r="B49" s="5"/>
      <c r="F49" s="5"/>
      <c r="J49" s="5"/>
      <c r="N49" s="5">
        <f ca="1"/>
      </c>
      <c r="O49">
        <f ca="1"/>
      </c>
      <c r="R49" s="5">
        <f ca="1"/>
      </c>
      <c r="S49">
        <f ca="1"/>
      </c>
    </row>
    <row r="50" spans="2:19" x14ac:dyDescent="0.2">
      <c r="B50" s="5"/>
      <c r="F50" s="5"/>
      <c r="J50" s="5"/>
      <c r="N50" s="5">
        <f ca="1"/>
      </c>
      <c r="O50">
        <f ca="1"/>
      </c>
      <c r="R50" s="5">
        <f ca="1"/>
      </c>
      <c r="S50">
        <f ca="1"/>
      </c>
    </row>
    <row r="51" spans="2:19" x14ac:dyDescent="0.2">
      <c r="B51" s="5"/>
      <c r="F51" s="5"/>
      <c r="J51" s="5"/>
      <c r="N51" s="5">
        <f ca="1"/>
      </c>
      <c r="O51">
        <f ca="1"/>
      </c>
      <c r="R51" s="5">
        <f ca="1"/>
      </c>
      <c r="S51">
        <f ca="1"/>
      </c>
    </row>
    <row r="52" spans="2:19" x14ac:dyDescent="0.2">
      <c r="B52" s="5"/>
      <c r="F52" s="5"/>
      <c r="J52" s="5"/>
      <c r="N52" s="5">
        <f ca="1"/>
      </c>
      <c r="O52">
        <f ca="1"/>
      </c>
      <c r="R52" s="5">
        <f ca="1"/>
      </c>
      <c r="S52">
        <f ca="1"/>
      </c>
    </row>
    <row r="53" spans="2:19" x14ac:dyDescent="0.2">
      <c r="B53" s="5"/>
      <c r="F53" s="5"/>
      <c r="J53" s="5"/>
      <c r="N53" s="5">
        <f ca="1"/>
      </c>
      <c r="O53">
        <f ca="1"/>
      </c>
      <c r="R53" s="5">
        <f ca="1"/>
      </c>
      <c r="S53">
        <f ca="1"/>
      </c>
    </row>
    <row r="54" spans="2:19" x14ac:dyDescent="0.2">
      <c r="B54" s="5"/>
      <c r="F54" s="5"/>
      <c r="J54" s="5"/>
      <c r="N54" s="5">
        <f ca="1"/>
      </c>
      <c r="O54">
        <f ca="1"/>
      </c>
      <c r="R54" s="5">
        <f ca="1"/>
      </c>
      <c r="S54">
        <f ca="1"/>
      </c>
    </row>
    <row r="55" spans="2:19" x14ac:dyDescent="0.2">
      <c r="B55" s="5"/>
      <c r="F55" s="5"/>
      <c r="J55" s="5"/>
      <c r="N55" s="5">
        <f ca="1"/>
      </c>
      <c r="O55">
        <f ca="1"/>
      </c>
      <c r="R55" s="5">
        <f ca="1"/>
      </c>
      <c r="S55">
        <f ca="1"/>
      </c>
    </row>
    <row r="56" spans="2:19" x14ac:dyDescent="0.2">
      <c r="B56" s="5"/>
      <c r="F56" s="5"/>
      <c r="J56" s="5"/>
      <c r="N56" s="5">
        <f ca="1"/>
      </c>
      <c r="O56">
        <f ca="1"/>
      </c>
      <c r="R56" s="5">
        <f ca="1"/>
      </c>
      <c r="S56">
        <f ca="1"/>
      </c>
    </row>
    <row r="57" spans="2:19" x14ac:dyDescent="0.2">
      <c r="B57" s="5"/>
      <c r="F57" s="5"/>
      <c r="J57" s="5"/>
      <c r="N57" s="5">
        <f ca="1"/>
      </c>
      <c r="O57">
        <f ca="1"/>
      </c>
      <c r="R57" s="5">
        <f ca="1"/>
      </c>
      <c r="S57">
        <f ca="1"/>
      </c>
    </row>
    <row r="58" spans="2:19" x14ac:dyDescent="0.2">
      <c r="B58" s="5"/>
      <c r="F58" s="5"/>
      <c r="J58" s="5"/>
      <c r="N58" s="5">
        <f ca="1"/>
      </c>
      <c r="O58">
        <f ca="1"/>
      </c>
      <c r="R58" s="5">
        <f ca="1"/>
      </c>
      <c r="S58">
        <f ca="1"/>
      </c>
    </row>
    <row r="59" spans="2:19" x14ac:dyDescent="0.2">
      <c r="B59" s="5"/>
      <c r="F59" s="5"/>
      <c r="J59" s="5"/>
      <c r="N59" s="5">
        <f ca="1"/>
      </c>
      <c r="O59">
        <f ca="1"/>
      </c>
      <c r="R59" s="5">
        <f ca="1"/>
      </c>
      <c r="S59">
        <f ca="1"/>
      </c>
    </row>
    <row r="60" spans="2:19" x14ac:dyDescent="0.2">
      <c r="B60" s="5"/>
      <c r="F60" s="5"/>
      <c r="J60" s="5"/>
      <c r="N60" s="5">
        <f ca="1"/>
      </c>
      <c r="O60">
        <f ca="1"/>
      </c>
      <c r="R60" s="5">
        <f ca="1"/>
      </c>
      <c r="S60">
        <f ca="1"/>
      </c>
    </row>
    <row r="61" spans="2:19" x14ac:dyDescent="0.2">
      <c r="B61" s="5"/>
      <c r="F61" s="5"/>
      <c r="J61" s="5"/>
      <c r="N61" s="5">
        <f ca="1"/>
      </c>
      <c r="O61">
        <f ca="1"/>
      </c>
      <c r="R61" s="5">
        <f ca="1"/>
      </c>
      <c r="S61">
        <f ca="1"/>
      </c>
    </row>
    <row r="62" spans="2:19" x14ac:dyDescent="0.2">
      <c r="B62" s="5"/>
      <c r="F62" s="5"/>
      <c r="J62" s="5"/>
      <c r="N62" s="5">
        <f ca="1"/>
      </c>
      <c r="O62">
        <f ca="1"/>
      </c>
      <c r="R62" s="5">
        <f ca="1"/>
      </c>
      <c r="S62">
        <f ca="1"/>
      </c>
    </row>
    <row r="63" spans="2:19" x14ac:dyDescent="0.2">
      <c r="B63" s="5"/>
      <c r="F63" s="5"/>
      <c r="J63" s="5"/>
      <c r="N63" s="5">
        <f ca="1"/>
      </c>
      <c r="O63">
        <f ca="1"/>
      </c>
      <c r="R63" s="5">
        <f ca="1"/>
      </c>
      <c r="S63">
        <f ca="1"/>
      </c>
    </row>
    <row r="64" spans="2:19" x14ac:dyDescent="0.2">
      <c r="B64" s="5"/>
      <c r="F64" s="5"/>
      <c r="J64" s="5"/>
      <c r="N64" s="5">
        <f ca="1"/>
      </c>
      <c r="O64">
        <f ca="1"/>
      </c>
      <c r="R64" s="5">
        <f ca="1"/>
      </c>
      <c r="S64">
        <f ca="1"/>
      </c>
    </row>
    <row r="65" spans="2:19" x14ac:dyDescent="0.2">
      <c r="B65" s="5"/>
      <c r="F65" s="5"/>
      <c r="J65" s="5"/>
      <c r="N65" s="5">
        <f ca="1"/>
      </c>
      <c r="O65">
        <f ca="1"/>
      </c>
      <c r="R65" s="5">
        <f ca="1"/>
      </c>
      <c r="S65">
        <f ca="1"/>
      </c>
    </row>
    <row r="66" spans="2:19" x14ac:dyDescent="0.2">
      <c r="B66" s="5"/>
      <c r="F66" s="5"/>
      <c r="J66" s="5"/>
      <c r="N66" s="5">
        <f ca="1"/>
      </c>
      <c r="O66">
        <f ca="1"/>
      </c>
      <c r="R66" s="5">
        <f ca="1"/>
      </c>
      <c r="S66">
        <f ca="1"/>
      </c>
    </row>
    <row r="67" spans="2:19" x14ac:dyDescent="0.2">
      <c r="B67" s="5"/>
      <c r="F67" s="5"/>
      <c r="J67" s="5"/>
      <c r="N67" s="5">
        <f ca="1"/>
      </c>
      <c r="O67">
        <f ca="1"/>
      </c>
      <c r="R67" s="5">
        <f ca="1"/>
      </c>
      <c r="S67">
        <f ca="1"/>
      </c>
    </row>
    <row r="68" spans="2:19" x14ac:dyDescent="0.2">
      <c r="B68" s="5"/>
      <c r="F68" s="5"/>
      <c r="J68" s="5"/>
      <c r="N68" s="5">
        <f ca="1"/>
      </c>
      <c r="O68">
        <f ca="1"/>
      </c>
      <c r="R68" s="5">
        <f ca="1"/>
      </c>
      <c r="S68">
        <f ca="1"/>
      </c>
    </row>
    <row r="69" spans="2:19" x14ac:dyDescent="0.2">
      <c r="B69" s="5"/>
      <c r="F69" s="5"/>
      <c r="J69" s="5"/>
      <c r="N69" s="5">
        <f ca="1"/>
      </c>
      <c r="O69">
        <f ca="1"/>
      </c>
      <c r="R69" s="5">
        <f ca="1"/>
      </c>
      <c r="S69">
        <f ca="1"/>
      </c>
    </row>
    <row r="70" spans="2:19" x14ac:dyDescent="0.2">
      <c r="B70" s="5"/>
      <c r="F70" s="5"/>
      <c r="J70" s="5"/>
      <c r="N70" s="5">
        <f ca="1"/>
      </c>
      <c r="O70">
        <f ca="1"/>
      </c>
      <c r="R70" s="5">
        <f ca="1"/>
      </c>
      <c r="S70">
        <f ca="1"/>
      </c>
    </row>
    <row r="71" spans="2:19" x14ac:dyDescent="0.2">
      <c r="B71" s="5"/>
      <c r="F71" s="5"/>
      <c r="J71" s="5"/>
      <c r="N71" s="5">
        <f ca="1"/>
      </c>
      <c r="O71">
        <f ca="1"/>
      </c>
      <c r="R71" s="5">
        <f ca="1"/>
      </c>
      <c r="S71">
        <f ca="1"/>
      </c>
    </row>
    <row r="72" spans="2:19" x14ac:dyDescent="0.2">
      <c r="B72" s="5"/>
      <c r="F72" s="5"/>
      <c r="J72" s="5"/>
      <c r="N72" s="5">
        <f ca="1"/>
      </c>
      <c r="O72">
        <f ca="1"/>
      </c>
      <c r="R72" s="5">
        <f ca="1"/>
      </c>
      <c r="S72">
        <f ca="1"/>
      </c>
    </row>
    <row r="73" spans="2:19" x14ac:dyDescent="0.2">
      <c r="B73" s="5"/>
      <c r="F73" s="5"/>
      <c r="J73" s="5"/>
      <c r="N73" s="5">
        <f ca="1"/>
      </c>
      <c r="O73">
        <f ca="1"/>
      </c>
      <c r="R73" s="5">
        <f ca="1"/>
      </c>
      <c r="S73">
        <f ca="1"/>
      </c>
    </row>
    <row r="74" spans="2:19" x14ac:dyDescent="0.2">
      <c r="B74" s="5"/>
      <c r="F74" s="5"/>
      <c r="J74" s="5"/>
      <c r="N74" s="5">
        <f ca="1"/>
      </c>
      <c r="O74">
        <f ca="1"/>
      </c>
      <c r="R74" s="5">
        <f ca="1"/>
      </c>
      <c r="S74">
        <f ca="1"/>
      </c>
    </row>
    <row r="75" spans="2:19" x14ac:dyDescent="0.2">
      <c r="B75" s="5"/>
      <c r="F75" s="5"/>
      <c r="J75" s="5"/>
      <c r="N75" s="5">
        <f ca="1"/>
      </c>
      <c r="O75">
        <f ca="1"/>
      </c>
      <c r="R75" s="5">
        <f ca="1"/>
      </c>
      <c r="S75">
        <f ca="1"/>
      </c>
    </row>
    <row r="76" spans="2:19" x14ac:dyDescent="0.2">
      <c r="B76" s="5"/>
      <c r="F76" s="5"/>
      <c r="J76" s="5"/>
      <c r="N76" s="5">
        <f ca="1"/>
      </c>
      <c r="O76">
        <f ca="1"/>
      </c>
      <c r="R76" s="5">
        <f ca="1"/>
      </c>
      <c r="S76">
        <f ca="1"/>
      </c>
    </row>
    <row r="77" spans="2:19" x14ac:dyDescent="0.2">
      <c r="B77" s="5"/>
      <c r="F77" s="5"/>
      <c r="J77" s="5"/>
      <c r="N77" s="5">
        <f ca="1"/>
      </c>
      <c r="O77">
        <f ca="1"/>
      </c>
      <c r="R77" s="5">
        <f ca="1"/>
      </c>
      <c r="S77">
        <f ca="1"/>
      </c>
    </row>
    <row r="78" spans="2:19" x14ac:dyDescent="0.2">
      <c r="B78" s="5"/>
      <c r="F78" s="5"/>
      <c r="J78" s="5"/>
      <c r="N78" s="5">
        <f ca="1"/>
      </c>
      <c r="O78">
        <f ca="1"/>
      </c>
      <c r="R78" s="5">
        <f ca="1"/>
      </c>
      <c r="S78">
        <f ca="1"/>
      </c>
    </row>
    <row r="79" spans="2:19" x14ac:dyDescent="0.2">
      <c r="B79" s="5"/>
      <c r="F79" s="5"/>
      <c r="J79" s="5"/>
      <c r="N79" s="5">
        <f ca="1"/>
      </c>
      <c r="O79">
        <f ca="1"/>
      </c>
      <c r="R79" s="5">
        <f ca="1"/>
      </c>
      <c r="S79">
        <f ca="1"/>
      </c>
    </row>
    <row r="80" spans="2:19" x14ac:dyDescent="0.2">
      <c r="B80" s="5"/>
      <c r="F80" s="5"/>
      <c r="J80" s="5"/>
      <c r="N80" s="5">
        <f ca="1"/>
      </c>
      <c r="O80">
        <f ca="1"/>
      </c>
      <c r="R80" s="5">
        <f ca="1"/>
      </c>
      <c r="S80">
        <f ca="1"/>
      </c>
    </row>
    <row r="81" spans="2:19" x14ac:dyDescent="0.2">
      <c r="B81" s="5"/>
      <c r="F81" s="5"/>
      <c r="J81" s="5"/>
      <c r="N81" s="5">
        <f ca="1"/>
      </c>
      <c r="O81">
        <f ca="1"/>
      </c>
      <c r="R81" s="5">
        <f ca="1"/>
      </c>
      <c r="S81">
        <f ca="1"/>
      </c>
    </row>
    <row r="82" spans="2:19" x14ac:dyDescent="0.2">
      <c r="B82" s="5"/>
      <c r="F82" s="5"/>
      <c r="J82" s="5"/>
      <c r="N82" s="5">
        <f ca="1"/>
      </c>
      <c r="O82">
        <f ca="1"/>
      </c>
      <c r="R82" s="5">
        <f ca="1"/>
      </c>
      <c r="S82">
        <f ca="1"/>
      </c>
    </row>
    <row r="83" spans="2:19" x14ac:dyDescent="0.2">
      <c r="B83" s="5"/>
      <c r="F83" s="5"/>
      <c r="J83" s="5"/>
      <c r="N83" s="5">
        <f ca="1"/>
      </c>
      <c r="O83">
        <f ca="1"/>
      </c>
      <c r="R83" s="5">
        <f ca="1"/>
      </c>
      <c r="S83">
        <f ca="1"/>
      </c>
    </row>
    <row r="84" spans="2:19" x14ac:dyDescent="0.2">
      <c r="B84" s="5"/>
      <c r="F84" s="5"/>
      <c r="J84" s="5"/>
      <c r="N84" s="5">
        <f ca="1"/>
      </c>
      <c r="O84">
        <f ca="1"/>
      </c>
      <c r="R84" s="5">
        <f ca="1"/>
      </c>
      <c r="S84">
        <f ca="1"/>
      </c>
    </row>
    <row r="85" spans="2:19" x14ac:dyDescent="0.2">
      <c r="B85" s="5"/>
      <c r="F85" s="5"/>
      <c r="J85" s="5"/>
      <c r="N85" s="5">
        <f ca="1"/>
      </c>
      <c r="O85">
        <f ca="1"/>
      </c>
      <c r="R85" s="5">
        <f ca="1"/>
      </c>
      <c r="S85">
        <f ca="1"/>
      </c>
    </row>
    <row r="86" spans="2:19" x14ac:dyDescent="0.2">
      <c r="B86" s="5"/>
      <c r="F86" s="5"/>
      <c r="J86" s="5"/>
      <c r="N86" s="5">
        <f ca="1"/>
      </c>
      <c r="O86">
        <f ca="1"/>
      </c>
      <c r="R86" s="5">
        <f ca="1"/>
      </c>
      <c r="S86">
        <f ca="1"/>
      </c>
    </row>
    <row r="87" spans="2:19" x14ac:dyDescent="0.2">
      <c r="B87" s="5"/>
      <c r="F87" s="5"/>
      <c r="J87" s="5"/>
      <c r="N87" s="5">
        <f ca="1"/>
      </c>
      <c r="O87">
        <f ca="1"/>
      </c>
      <c r="R87" s="5">
        <f ca="1"/>
      </c>
      <c r="S87">
        <f ca="1"/>
      </c>
    </row>
    <row r="88" spans="2:19" x14ac:dyDescent="0.2">
      <c r="B88" s="5"/>
      <c r="F88" s="5"/>
      <c r="J88" s="5"/>
      <c r="N88" s="5">
        <f ca="1"/>
      </c>
      <c r="O88">
        <f ca="1"/>
      </c>
      <c r="R88" s="5">
        <f ca="1"/>
      </c>
      <c r="S88">
        <f ca="1"/>
      </c>
    </row>
    <row r="89" spans="2:19" x14ac:dyDescent="0.2">
      <c r="B89" s="5"/>
      <c r="F89" s="5"/>
      <c r="J89" s="5"/>
      <c r="N89" s="5">
        <f ca="1"/>
      </c>
      <c r="O89">
        <f ca="1"/>
      </c>
      <c r="R89" s="5">
        <f ca="1"/>
      </c>
      <c r="S89">
        <f ca="1"/>
      </c>
    </row>
    <row r="90" spans="2:19" x14ac:dyDescent="0.2">
      <c r="B90" s="5"/>
      <c r="F90" s="5"/>
      <c r="J90" s="5"/>
      <c r="N90" s="5">
        <f ca="1"/>
      </c>
      <c r="O90">
        <f ca="1"/>
      </c>
      <c r="R90" s="5">
        <f ca="1"/>
      </c>
      <c r="S90">
        <f ca="1"/>
      </c>
    </row>
    <row r="91" spans="2:19" x14ac:dyDescent="0.2">
      <c r="B91" s="5"/>
      <c r="F91" s="5"/>
      <c r="J91" s="5"/>
      <c r="N91" s="5">
        <f ca="1"/>
      </c>
      <c r="O91">
        <f ca="1"/>
      </c>
      <c r="R91" s="5">
        <f ca="1"/>
      </c>
      <c r="S91">
        <f ca="1"/>
      </c>
    </row>
    <row r="92" spans="2:19" x14ac:dyDescent="0.2">
      <c r="B92" s="5"/>
      <c r="F92" s="5"/>
      <c r="J92" s="5"/>
      <c r="N92" s="5">
        <f ca="1"/>
      </c>
      <c r="O92">
        <f ca="1"/>
      </c>
      <c r="R92" s="5">
        <f ca="1"/>
      </c>
      <c r="S92">
        <f ca="1"/>
      </c>
    </row>
    <row r="93" spans="2:19" x14ac:dyDescent="0.2">
      <c r="B93" s="5"/>
      <c r="F93" s="5"/>
      <c r="J93" s="5"/>
      <c r="N93" s="5">
        <f ca="1"/>
      </c>
      <c r="O93">
        <f ca="1"/>
      </c>
      <c r="R93" s="5">
        <f ca="1"/>
      </c>
      <c r="S93">
        <f ca="1"/>
      </c>
    </row>
    <row r="94" spans="2:19" x14ac:dyDescent="0.2">
      <c r="B94" s="5"/>
      <c r="F94" s="5"/>
      <c r="J94" s="5"/>
      <c r="N94" s="5">
        <f ca="1"/>
      </c>
      <c r="O94">
        <f ca="1"/>
      </c>
      <c r="R94" s="5">
        <f ca="1"/>
      </c>
      <c r="S94">
        <f ca="1"/>
      </c>
    </row>
    <row r="95" spans="2:19" x14ac:dyDescent="0.2">
      <c r="B95" s="5"/>
      <c r="F95" s="5"/>
      <c r="J95" s="5"/>
      <c r="N95" s="5">
        <f ca="1"/>
      </c>
      <c r="O95">
        <f ca="1"/>
      </c>
      <c r="R95" s="5">
        <f ca="1"/>
      </c>
      <c r="S95">
        <f ca="1"/>
      </c>
    </row>
    <row r="96" spans="2:19" x14ac:dyDescent="0.2">
      <c r="B96" s="5"/>
      <c r="F96" s="5"/>
      <c r="J96" s="5"/>
      <c r="N96" s="5">
        <f ca="1"/>
      </c>
      <c r="O96">
        <f ca="1"/>
      </c>
      <c r="R96" s="5">
        <f ca="1"/>
      </c>
      <c r="S96">
        <f ca="1"/>
      </c>
    </row>
    <row r="97" spans="2:19" x14ac:dyDescent="0.2">
      <c r="B97" s="5"/>
      <c r="F97" s="5"/>
      <c r="J97" s="5"/>
      <c r="N97" s="5">
        <f ca="1"/>
      </c>
      <c r="O97">
        <f ca="1"/>
      </c>
      <c r="R97" s="5">
        <f ca="1"/>
      </c>
      <c r="S97">
        <f ca="1"/>
      </c>
    </row>
    <row r="98" spans="2:19" x14ac:dyDescent="0.2">
      <c r="B98" s="5"/>
      <c r="F98" s="5"/>
      <c r="J98" s="5"/>
      <c r="N98" s="5">
        <f ca="1"/>
      </c>
      <c r="O98">
        <f ca="1"/>
      </c>
      <c r="R98" s="5">
        <f ca="1"/>
      </c>
      <c r="S98">
        <f ca="1"/>
      </c>
    </row>
    <row r="99" spans="2:19" x14ac:dyDescent="0.2">
      <c r="B99" s="5"/>
      <c r="F99" s="5"/>
      <c r="J99" s="5"/>
      <c r="N99" s="5">
        <f ca="1"/>
      </c>
      <c r="O99">
        <f ca="1"/>
      </c>
      <c r="R99" s="5">
        <f ca="1"/>
      </c>
      <c r="S99">
        <f ca="1"/>
      </c>
    </row>
    <row r="100" spans="2:19" x14ac:dyDescent="0.2">
      <c r="B100" s="5"/>
      <c r="F100" s="5"/>
      <c r="J100" s="5"/>
      <c r="N100" s="5">
        <f ca="1"/>
      </c>
      <c r="O100">
        <f ca="1"/>
      </c>
      <c r="R100" s="5">
        <f ca="1"/>
      </c>
      <c r="S100">
        <f ca="1"/>
      </c>
    </row>
    <row r="101" spans="2:19" x14ac:dyDescent="0.2">
      <c r="B101" s="5"/>
      <c r="F101" s="5"/>
      <c r="J101" s="5"/>
      <c r="N101" s="5">
        <f ca="1"/>
      </c>
      <c r="O101">
        <f ca="1"/>
      </c>
      <c r="R101" s="5">
        <f ca="1"/>
      </c>
      <c r="S101">
        <f ca="1"/>
      </c>
    </row>
    <row r="102" spans="2:19" x14ac:dyDescent="0.2">
      <c r="B102" s="5"/>
      <c r="F102" s="5"/>
      <c r="J102" s="5"/>
      <c r="N102" s="5">
        <f ca="1"/>
      </c>
      <c r="O102">
        <f ca="1"/>
      </c>
      <c r="R102" s="5">
        <f ca="1"/>
      </c>
      <c r="S102">
        <f ca="1"/>
      </c>
    </row>
    <row r="103" spans="2:19" x14ac:dyDescent="0.2">
      <c r="B103" s="5"/>
      <c r="F103" s="5"/>
      <c r="J103" s="5"/>
      <c r="N103" s="5">
        <f ca="1"/>
      </c>
      <c r="O103">
        <f ca="1"/>
      </c>
      <c r="R103" s="5">
        <f ca="1"/>
      </c>
      <c r="S103">
        <f ca="1"/>
      </c>
    </row>
    <row r="104" spans="2:19" x14ac:dyDescent="0.2">
      <c r="B104" s="5"/>
      <c r="F104" s="5"/>
      <c r="J104" s="5"/>
      <c r="N104" s="5">
        <f ca="1"/>
      </c>
      <c r="O104">
        <f ca="1"/>
      </c>
      <c r="R104" s="5">
        <f ca="1"/>
      </c>
      <c r="S104">
        <f ca="1"/>
      </c>
    </row>
    <row r="105" spans="2:19" x14ac:dyDescent="0.2">
      <c r="B105" s="5"/>
      <c r="F105" s="5"/>
      <c r="J105" s="5"/>
      <c r="N105" s="5">
        <f ca="1"/>
      </c>
      <c r="O105">
        <f ca="1"/>
      </c>
      <c r="R105" s="5">
        <f ca="1"/>
      </c>
      <c r="S105">
        <f ca="1"/>
      </c>
    </row>
    <row r="106" spans="2:19" x14ac:dyDescent="0.2">
      <c r="B106" s="5"/>
      <c r="F106" s="5"/>
      <c r="J106" s="5"/>
      <c r="N106" s="5">
        <f ca="1"/>
      </c>
      <c r="O106">
        <f ca="1"/>
      </c>
      <c r="R106" s="5">
        <f ca="1"/>
      </c>
      <c r="S106">
        <f ca="1"/>
      </c>
    </row>
    <row r="107" spans="2:19" x14ac:dyDescent="0.2">
      <c r="B107" s="5"/>
      <c r="F107" s="5"/>
      <c r="J107" s="5"/>
      <c r="N107" s="5">
        <f ca="1"/>
      </c>
      <c r="O107">
        <f ca="1"/>
      </c>
      <c r="R107" s="5">
        <f ca="1"/>
      </c>
      <c r="S107">
        <f ca="1"/>
      </c>
    </row>
    <row r="108" spans="2:19" x14ac:dyDescent="0.2">
      <c r="B108" s="5"/>
      <c r="F108" s="5"/>
      <c r="J108" s="5"/>
      <c r="N108" s="5">
        <f ca="1"/>
      </c>
      <c r="O108">
        <f ca="1"/>
      </c>
      <c r="R108" s="5">
        <f ca="1"/>
      </c>
      <c r="S108">
        <f ca="1"/>
      </c>
    </row>
    <row r="109" spans="2:19" x14ac:dyDescent="0.2">
      <c r="B109" s="5"/>
      <c r="F109" s="5"/>
      <c r="J109" s="5"/>
      <c r="N109" s="5">
        <f ca="1"/>
      </c>
      <c r="O109">
        <f ca="1"/>
      </c>
      <c r="R109" s="5">
        <f ca="1"/>
      </c>
      <c r="S109">
        <f ca="1"/>
      </c>
    </row>
    <row r="110" spans="2:19" x14ac:dyDescent="0.2">
      <c r="B110" s="5"/>
      <c r="F110" s="5"/>
      <c r="J110" s="5"/>
      <c r="N110" s="5">
        <f ca="1"/>
      </c>
      <c r="O110">
        <f ca="1"/>
      </c>
      <c r="R110" s="5">
        <f ca="1"/>
      </c>
      <c r="S110">
        <f ca="1"/>
      </c>
    </row>
    <row r="111" spans="2:19" x14ac:dyDescent="0.2">
      <c r="B111" s="5"/>
      <c r="F111" s="5"/>
      <c r="J111" s="5"/>
      <c r="N111" s="5">
        <f ca="1"/>
      </c>
      <c r="O111">
        <f ca="1"/>
      </c>
      <c r="R111" s="5">
        <f ca="1"/>
      </c>
      <c r="S111">
        <f ca="1"/>
      </c>
    </row>
    <row r="112" spans="2:19" x14ac:dyDescent="0.2">
      <c r="B112" s="5"/>
      <c r="F112" s="5"/>
      <c r="J112" s="5"/>
      <c r="N112" s="5">
        <f ca="1"/>
      </c>
      <c r="O112">
        <f ca="1"/>
      </c>
      <c r="R112" s="5">
        <f ca="1"/>
      </c>
      <c r="S112">
        <f ca="1"/>
      </c>
    </row>
    <row r="113" spans="2:19" x14ac:dyDescent="0.2">
      <c r="B113" s="5"/>
      <c r="F113" s="5"/>
      <c r="J113" s="5"/>
      <c r="N113" s="5">
        <f ca="1"/>
      </c>
      <c r="O113">
        <f ca="1"/>
      </c>
      <c r="R113" s="5">
        <f ca="1"/>
      </c>
      <c r="S113">
        <f ca="1"/>
      </c>
    </row>
    <row r="114" spans="2:19" x14ac:dyDescent="0.2">
      <c r="B114" s="5"/>
      <c r="F114" s="5"/>
      <c r="J114" s="5"/>
      <c r="N114" s="5">
        <f ca="1"/>
      </c>
      <c r="O114">
        <f ca="1"/>
      </c>
      <c r="R114" s="5">
        <f ca="1"/>
      </c>
      <c r="S114">
        <f ca="1"/>
      </c>
    </row>
    <row r="115" spans="2:19" x14ac:dyDescent="0.2">
      <c r="B115" s="5"/>
      <c r="F115" s="5"/>
      <c r="J115" s="5"/>
      <c r="N115" s="5">
        <f ca="1"/>
      </c>
      <c r="O115">
        <f ca="1"/>
      </c>
      <c r="R115" s="5">
        <f ca="1"/>
      </c>
      <c r="S115">
        <f ca="1"/>
      </c>
    </row>
    <row r="116" spans="2:19" x14ac:dyDescent="0.2">
      <c r="B116" s="5"/>
      <c r="F116" s="5"/>
      <c r="J116" s="5"/>
      <c r="N116" s="5">
        <f ca="1"/>
      </c>
      <c r="O116">
        <f ca="1"/>
      </c>
      <c r="R116" s="5">
        <f ca="1"/>
      </c>
      <c r="S116">
        <f ca="1"/>
      </c>
    </row>
    <row r="117" spans="2:19" x14ac:dyDescent="0.2">
      <c r="B117" s="5"/>
      <c r="F117" s="5"/>
      <c r="J117" s="5"/>
      <c r="N117" s="5">
        <f ca="1"/>
      </c>
      <c r="O117">
        <f ca="1"/>
      </c>
      <c r="R117" s="5">
        <f ca="1"/>
      </c>
      <c r="S117">
        <f ca="1"/>
      </c>
    </row>
    <row r="118" spans="2:19" x14ac:dyDescent="0.2">
      <c r="B118" s="5"/>
      <c r="F118" s="5"/>
      <c r="J118" s="5"/>
      <c r="N118" s="5">
        <f ca="1"/>
      </c>
      <c r="O118">
        <f ca="1"/>
      </c>
      <c r="R118" s="5">
        <f ca="1"/>
      </c>
      <c r="S118">
        <f ca="1"/>
      </c>
    </row>
    <row r="119" spans="2:19" x14ac:dyDescent="0.2">
      <c r="B119" s="5"/>
      <c r="F119" s="5"/>
      <c r="J119" s="5"/>
      <c r="N119" s="5">
        <f ca="1"/>
      </c>
      <c r="O119">
        <f ca="1"/>
      </c>
      <c r="R119" s="5">
        <f ca="1"/>
      </c>
      <c r="S119">
        <f ca="1"/>
      </c>
    </row>
    <row r="120" spans="2:19" x14ac:dyDescent="0.2">
      <c r="B120" s="5"/>
      <c r="F120" s="5"/>
      <c r="J120" s="5"/>
      <c r="N120" s="5">
        <f ca="1"/>
      </c>
      <c r="O120">
        <f ca="1"/>
      </c>
      <c r="R120" s="5">
        <f ca="1"/>
      </c>
      <c r="S120">
        <f ca="1"/>
      </c>
    </row>
    <row r="121" spans="2:19" x14ac:dyDescent="0.2">
      <c r="B121" s="5"/>
      <c r="F121" s="5"/>
      <c r="J121" s="5"/>
      <c r="N121" s="5">
        <f ca="1"/>
      </c>
      <c r="O121">
        <f ca="1"/>
      </c>
      <c r="R121" s="5">
        <f ca="1"/>
      </c>
      <c r="S121">
        <f ca="1"/>
      </c>
    </row>
    <row r="122" spans="2:19" x14ac:dyDescent="0.2">
      <c r="B122" s="5"/>
      <c r="F122" s="5"/>
      <c r="J122" s="5"/>
      <c r="N122" s="5">
        <f ca="1"/>
      </c>
      <c r="O122">
        <f ca="1"/>
      </c>
      <c r="R122" s="5">
        <f ca="1"/>
      </c>
      <c r="S122">
        <f ca="1"/>
      </c>
    </row>
    <row r="123" spans="2:19" x14ac:dyDescent="0.2">
      <c r="B123" s="5"/>
      <c r="F123" s="5"/>
      <c r="J123" s="5"/>
      <c r="N123" s="5">
        <f ca="1"/>
      </c>
      <c r="O123">
        <f ca="1"/>
      </c>
      <c r="R123" s="5">
        <f ca="1"/>
      </c>
      <c r="S123">
        <f ca="1"/>
      </c>
    </row>
    <row r="124" spans="2:19" x14ac:dyDescent="0.2">
      <c r="B124" s="5"/>
      <c r="F124" s="5"/>
      <c r="J124" s="5"/>
      <c r="N124" s="5">
        <f ca="1"/>
      </c>
      <c r="O124">
        <f ca="1"/>
      </c>
      <c r="R124" s="5">
        <f ca="1"/>
      </c>
      <c r="S124">
        <f ca="1"/>
      </c>
    </row>
    <row r="125" spans="2:19" x14ac:dyDescent="0.2">
      <c r="B125" s="5"/>
      <c r="F125" s="5"/>
      <c r="J125" s="5"/>
      <c r="N125" s="5">
        <f ca="1"/>
      </c>
      <c r="O125">
        <f ca="1"/>
      </c>
      <c r="R125" s="5">
        <f ca="1"/>
      </c>
      <c r="S125">
        <f ca="1"/>
      </c>
    </row>
    <row r="126" spans="2:19" x14ac:dyDescent="0.2">
      <c r="B126" s="5"/>
      <c r="F126" s="5"/>
      <c r="J126" s="5"/>
      <c r="N126" s="5">
        <f ca="1"/>
      </c>
      <c r="O126">
        <f ca="1"/>
      </c>
      <c r="R126" s="5">
        <f ca="1"/>
      </c>
      <c r="S126">
        <f ca="1"/>
      </c>
    </row>
    <row r="127" spans="2:19" x14ac:dyDescent="0.2">
      <c r="B127" s="5"/>
      <c r="F127" s="5"/>
      <c r="J127" s="5"/>
      <c r="N127" s="5">
        <f ca="1"/>
      </c>
      <c r="O127">
        <f ca="1"/>
      </c>
      <c r="R127" s="5">
        <f ca="1"/>
      </c>
      <c r="S127">
        <f ca="1"/>
      </c>
    </row>
    <row r="128" spans="2:19" x14ac:dyDescent="0.2">
      <c r="B128" s="5"/>
      <c r="F128" s="5"/>
      <c r="J128" s="5"/>
      <c r="N128" s="5">
        <f ca="1"/>
      </c>
      <c r="O128">
        <f ca="1"/>
      </c>
      <c r="R128" s="5">
        <f ca="1"/>
      </c>
      <c r="S128">
        <f ca="1"/>
      </c>
    </row>
    <row r="129" spans="2:19" x14ac:dyDescent="0.2">
      <c r="B129" s="5"/>
      <c r="F129" s="5"/>
      <c r="J129" s="5"/>
      <c r="N129" s="5">
        <f ca="1"/>
      </c>
      <c r="O129">
        <f ca="1"/>
      </c>
      <c r="R129" s="5">
        <f ca="1"/>
      </c>
      <c r="S129">
        <f ca="1"/>
      </c>
    </row>
    <row r="130" spans="2:19" x14ac:dyDescent="0.2">
      <c r="B130" s="5"/>
      <c r="F130" s="5"/>
      <c r="J130" s="5"/>
      <c r="N130" s="5">
        <f ca="1"/>
      </c>
      <c r="O130">
        <f ca="1"/>
      </c>
      <c r="R130" s="5">
        <f ca="1"/>
      </c>
      <c r="S130">
        <f ca="1"/>
      </c>
    </row>
    <row r="131" spans="2:19" x14ac:dyDescent="0.2">
      <c r="B131" s="5"/>
      <c r="F131" s="5"/>
      <c r="J131" s="5"/>
      <c r="N131" s="5">
        <f ca="1"/>
      </c>
      <c r="O131">
        <f ca="1"/>
      </c>
      <c r="R131" s="5">
        <f ca="1"/>
      </c>
      <c r="S131">
        <f ca="1"/>
      </c>
    </row>
    <row r="132" spans="2:19" x14ac:dyDescent="0.2">
      <c r="B132" s="5"/>
      <c r="F132" s="5"/>
      <c r="J132" s="5"/>
      <c r="N132" s="5">
        <f ca="1"/>
      </c>
      <c r="O132">
        <f ca="1"/>
      </c>
      <c r="R132" s="5">
        <f ca="1"/>
      </c>
      <c r="S132">
        <f ca="1"/>
      </c>
    </row>
    <row r="133" spans="2:19" x14ac:dyDescent="0.2">
      <c r="B133" s="5"/>
      <c r="F133" s="5"/>
      <c r="J133" s="5"/>
      <c r="N133" s="5">
        <f ca="1"/>
      </c>
      <c r="O133">
        <f ca="1"/>
      </c>
      <c r="R133" s="5">
        <f ca="1"/>
      </c>
      <c r="S133">
        <f ca="1"/>
      </c>
    </row>
    <row r="134" spans="2:19" x14ac:dyDescent="0.2">
      <c r="B134" s="5"/>
      <c r="F134" s="5"/>
      <c r="J134" s="5"/>
      <c r="N134" s="5">
        <f ca="1"/>
      </c>
      <c r="O134">
        <f ca="1"/>
      </c>
      <c r="R134" s="5">
        <f ca="1"/>
      </c>
      <c r="S134">
        <f ca="1"/>
      </c>
    </row>
    <row r="135" spans="2:19" x14ac:dyDescent="0.2">
      <c r="B135" s="5"/>
      <c r="F135" s="5"/>
      <c r="J135" s="5"/>
      <c r="N135" s="5">
        <f ca="1"/>
      </c>
      <c r="O135">
        <f ca="1"/>
      </c>
      <c r="R135" s="5">
        <f ca="1"/>
      </c>
      <c r="S135">
        <f ca="1"/>
      </c>
    </row>
    <row r="136" spans="2:19" x14ac:dyDescent="0.2">
      <c r="B136" s="5"/>
      <c r="F136" s="5"/>
      <c r="J136" s="5"/>
      <c r="N136" s="5">
        <f ca="1"/>
      </c>
      <c r="O136">
        <f ca="1"/>
      </c>
      <c r="R136" s="5">
        <f ca="1"/>
      </c>
      <c r="S136">
        <f ca="1"/>
      </c>
    </row>
    <row r="137" spans="2:19" x14ac:dyDescent="0.2">
      <c r="B137" s="5"/>
      <c r="F137" s="5"/>
      <c r="J137" s="5"/>
      <c r="N137" s="5">
        <f ca="1"/>
      </c>
      <c r="O137">
        <f ca="1"/>
      </c>
      <c r="R137" s="5">
        <f ca="1"/>
      </c>
      <c r="S137">
        <f ca="1"/>
      </c>
    </row>
    <row r="138" spans="2:19" x14ac:dyDescent="0.2">
      <c r="B138" s="5"/>
      <c r="F138" s="5"/>
      <c r="J138" s="5"/>
      <c r="N138" s="5">
        <f ca="1"/>
      </c>
      <c r="O138">
        <f ca="1"/>
      </c>
      <c r="R138" s="5">
        <f ca="1"/>
      </c>
      <c r="S138">
        <f ca="1"/>
      </c>
    </row>
    <row r="139" spans="2:19" x14ac:dyDescent="0.2">
      <c r="B139" s="5"/>
      <c r="F139" s="5"/>
      <c r="J139" s="5"/>
      <c r="N139" s="5">
        <f ca="1"/>
      </c>
      <c r="O139">
        <f ca="1"/>
      </c>
      <c r="R139" s="5">
        <f ca="1"/>
      </c>
      <c r="S139">
        <f ca="1"/>
      </c>
    </row>
    <row r="140" spans="2:19" x14ac:dyDescent="0.2">
      <c r="B140" s="5"/>
      <c r="F140" s="5"/>
      <c r="J140" s="5"/>
      <c r="N140" s="5">
        <f ca="1"/>
      </c>
      <c r="O140">
        <f ca="1"/>
      </c>
      <c r="R140" s="5">
        <f ca="1"/>
      </c>
      <c r="S140">
        <f ca="1"/>
      </c>
    </row>
    <row r="141" spans="2:19" x14ac:dyDescent="0.2">
      <c r="B141" s="5"/>
      <c r="F141" s="5"/>
      <c r="J141" s="5"/>
      <c r="N141" s="5">
        <f ca="1"/>
      </c>
      <c r="O141">
        <f ca="1"/>
      </c>
      <c r="R141" s="5">
        <f ca="1"/>
      </c>
      <c r="S141">
        <f ca="1"/>
      </c>
    </row>
    <row r="142" spans="2:19" x14ac:dyDescent="0.2">
      <c r="B142" s="5"/>
      <c r="F142" s="5"/>
      <c r="J142" s="5"/>
      <c r="N142" s="5">
        <f ca="1"/>
      </c>
      <c r="O142">
        <f ca="1"/>
      </c>
      <c r="R142" s="5">
        <f ca="1"/>
      </c>
      <c r="S142">
        <f ca="1"/>
      </c>
    </row>
    <row r="143" spans="2:19" x14ac:dyDescent="0.2">
      <c r="B143" s="5"/>
      <c r="F143" s="5"/>
      <c r="J143" s="5"/>
      <c r="N143" s="5">
        <f ca="1"/>
      </c>
      <c r="O143">
        <f ca="1"/>
      </c>
      <c r="R143" s="5">
        <f ca="1"/>
      </c>
      <c r="S143">
        <f ca="1"/>
      </c>
    </row>
    <row r="144" spans="2:19" x14ac:dyDescent="0.2">
      <c r="B144" s="5"/>
      <c r="F144" s="5"/>
      <c r="J144" s="5"/>
      <c r="N144" s="5">
        <f ca="1"/>
      </c>
      <c r="O144">
        <f ca="1"/>
      </c>
      <c r="R144" s="5">
        <f ca="1"/>
      </c>
      <c r="S144">
        <f ca="1"/>
      </c>
    </row>
    <row r="145" spans="2:19" x14ac:dyDescent="0.2">
      <c r="B145" s="5"/>
      <c r="F145" s="5"/>
      <c r="J145" s="5"/>
      <c r="N145" s="5">
        <f ca="1"/>
      </c>
      <c r="O145">
        <f ca="1"/>
      </c>
      <c r="R145" s="5">
        <f ca="1"/>
      </c>
      <c r="S145">
        <f ca="1"/>
      </c>
    </row>
    <row r="146" spans="2:19" x14ac:dyDescent="0.2">
      <c r="B146" s="5"/>
      <c r="F146" s="5"/>
      <c r="J146" s="5"/>
      <c r="N146" s="5">
        <f ca="1"/>
      </c>
      <c r="O146">
        <f ca="1"/>
      </c>
      <c r="R146" s="5">
        <f ca="1"/>
      </c>
      <c r="S146">
        <f ca="1"/>
      </c>
    </row>
    <row r="147" spans="2:19" x14ac:dyDescent="0.2">
      <c r="B147" s="5"/>
      <c r="F147" s="5"/>
      <c r="J147" s="5"/>
      <c r="N147" s="5">
        <f ca="1"/>
      </c>
      <c r="O147">
        <f ca="1"/>
      </c>
      <c r="R147" s="5">
        <f ca="1"/>
      </c>
      <c r="S147">
        <f ca="1"/>
      </c>
    </row>
    <row r="148" spans="2:19" x14ac:dyDescent="0.2">
      <c r="B148" s="5"/>
      <c r="F148" s="5"/>
      <c r="J148" s="5"/>
      <c r="N148" s="5">
        <f ca="1"/>
      </c>
      <c r="O148">
        <f ca="1"/>
      </c>
      <c r="R148" s="5">
        <f ca="1"/>
      </c>
      <c r="S148">
        <f ca="1"/>
      </c>
    </row>
    <row r="149" spans="2:19" x14ac:dyDescent="0.2">
      <c r="B149" s="5"/>
      <c r="F149" s="5"/>
      <c r="J149" s="5"/>
      <c r="N149" s="5">
        <f ca="1"/>
      </c>
      <c r="O149">
        <f ca="1"/>
      </c>
      <c r="R149" s="5">
        <f ca="1"/>
      </c>
      <c r="S149">
        <f ca="1"/>
      </c>
    </row>
    <row r="150" spans="2:19" x14ac:dyDescent="0.2">
      <c r="B150" s="5"/>
      <c r="F150" s="5"/>
      <c r="J150" s="5"/>
      <c r="N150" s="5">
        <f ca="1"/>
      </c>
      <c r="O150">
        <f ca="1"/>
      </c>
      <c r="R150" s="5">
        <f ca="1"/>
      </c>
      <c r="S150">
        <f ca="1"/>
      </c>
    </row>
    <row r="151" spans="2:19" x14ac:dyDescent="0.2">
      <c r="B151" s="5"/>
      <c r="F151" s="5"/>
      <c r="J151" s="5"/>
      <c r="N151" s="5">
        <f ca="1"/>
      </c>
      <c r="O151">
        <f ca="1"/>
      </c>
      <c r="R151" s="5">
        <f ca="1"/>
      </c>
      <c r="S151">
        <f ca="1"/>
      </c>
    </row>
    <row r="152" spans="2:19" x14ac:dyDescent="0.2">
      <c r="B152" s="5"/>
      <c r="F152" s="5"/>
      <c r="J152" s="5"/>
      <c r="N152" s="5">
        <f ca="1"/>
      </c>
      <c r="O152">
        <f ca="1"/>
      </c>
      <c r="R152" s="5">
        <f ca="1"/>
      </c>
      <c r="S152">
        <f ca="1"/>
      </c>
    </row>
    <row r="153" spans="2:19" x14ac:dyDescent="0.2">
      <c r="B153" s="5"/>
      <c r="F153" s="5"/>
      <c r="J153" s="5"/>
      <c r="N153" s="5">
        <f ca="1"/>
      </c>
      <c r="O153">
        <f ca="1"/>
      </c>
      <c r="R153" s="5">
        <f ca="1"/>
      </c>
      <c r="S153">
        <f ca="1"/>
      </c>
    </row>
    <row r="154" spans="2:19" x14ac:dyDescent="0.2">
      <c r="B154" s="5"/>
      <c r="F154" s="5"/>
      <c r="J154" s="5"/>
      <c r="N154" s="5">
        <f ca="1"/>
      </c>
      <c r="O154">
        <f ca="1"/>
      </c>
      <c r="R154" s="5">
        <f ca="1"/>
      </c>
      <c r="S154">
        <f ca="1"/>
      </c>
    </row>
    <row r="155" spans="2:19" x14ac:dyDescent="0.2">
      <c r="B155" s="5"/>
      <c r="F155" s="5"/>
      <c r="J155" s="5"/>
      <c r="N155" s="5">
        <f ca="1"/>
      </c>
      <c r="O155">
        <f ca="1"/>
      </c>
      <c r="R155" s="5">
        <f ca="1"/>
      </c>
      <c r="S155">
        <f ca="1"/>
      </c>
    </row>
    <row r="156" spans="2:19" x14ac:dyDescent="0.2">
      <c r="B156" s="5"/>
      <c r="F156" s="5"/>
      <c r="J156" s="5"/>
      <c r="N156" s="5">
        <f ca="1"/>
      </c>
      <c r="O156">
        <f ca="1"/>
      </c>
      <c r="R156" s="5">
        <f ca="1"/>
      </c>
      <c r="S156">
        <f ca="1"/>
      </c>
    </row>
    <row r="157" spans="2:19" x14ac:dyDescent="0.2">
      <c r="B157" s="5"/>
      <c r="F157" s="5"/>
      <c r="J157" s="5"/>
      <c r="N157" s="5">
        <f ca="1"/>
      </c>
      <c r="O157">
        <f ca="1"/>
      </c>
      <c r="R157" s="5">
        <f ca="1"/>
      </c>
      <c r="S157">
        <f ca="1"/>
      </c>
    </row>
    <row r="158" spans="2:19" x14ac:dyDescent="0.2">
      <c r="B158" s="5"/>
      <c r="F158" s="5"/>
      <c r="J158" s="5"/>
      <c r="N158" s="5">
        <f ca="1"/>
      </c>
      <c r="O158">
        <f ca="1"/>
      </c>
      <c r="R158" s="5">
        <f ca="1"/>
      </c>
      <c r="S158">
        <f ca="1"/>
      </c>
    </row>
    <row r="159" spans="2:19" x14ac:dyDescent="0.2">
      <c r="B159" s="5"/>
      <c r="F159" s="5"/>
      <c r="J159" s="5"/>
      <c r="N159" s="5">
        <f ca="1"/>
      </c>
      <c r="O159">
        <f ca="1"/>
      </c>
      <c r="R159" s="5">
        <f ca="1"/>
      </c>
      <c r="S159">
        <f ca="1"/>
      </c>
    </row>
    <row r="160" spans="2:19" x14ac:dyDescent="0.2">
      <c r="B160" s="5"/>
      <c r="F160" s="5"/>
      <c r="J160" s="5"/>
      <c r="N160" s="5">
        <f ca="1"/>
      </c>
      <c r="O160">
        <f ca="1"/>
      </c>
      <c r="R160" s="5">
        <f ca="1"/>
      </c>
      <c r="S160">
        <f ca="1"/>
      </c>
    </row>
    <row r="161" spans="2:19" x14ac:dyDescent="0.2">
      <c r="B161" s="5"/>
      <c r="F161" s="5"/>
      <c r="J161" s="5"/>
      <c r="N161" s="5">
        <f ca="1"/>
      </c>
      <c r="O161">
        <f ca="1"/>
      </c>
      <c r="R161" s="5">
        <f ca="1"/>
      </c>
      <c r="S161">
        <f ca="1"/>
      </c>
    </row>
    <row r="162" spans="2:19" x14ac:dyDescent="0.2">
      <c r="B162" s="5"/>
      <c r="F162" s="5"/>
      <c r="J162" s="5"/>
      <c r="N162" s="5">
        <f ca="1"/>
      </c>
      <c r="O162">
        <f ca="1"/>
      </c>
      <c r="R162" s="5">
        <f ca="1"/>
      </c>
      <c r="S162">
        <f ca="1"/>
      </c>
    </row>
    <row r="163" spans="2:19" x14ac:dyDescent="0.2">
      <c r="B163" s="5"/>
      <c r="F163" s="5"/>
      <c r="J163" s="5"/>
      <c r="N163" s="5">
        <f ca="1"/>
      </c>
      <c r="O163">
        <f ca="1"/>
      </c>
      <c r="R163" s="5">
        <f ca="1"/>
      </c>
      <c r="S163">
        <f ca="1"/>
      </c>
    </row>
    <row r="164" spans="2:19" x14ac:dyDescent="0.2">
      <c r="B164" s="5"/>
      <c r="F164" s="5"/>
      <c r="J164" s="5"/>
      <c r="N164" s="5">
        <f ca="1"/>
      </c>
      <c r="O164">
        <f ca="1"/>
      </c>
      <c r="R164" s="5">
        <f ca="1"/>
      </c>
      <c r="S164">
        <f ca="1"/>
      </c>
    </row>
    <row r="165" spans="2:19" x14ac:dyDescent="0.2">
      <c r="B165" s="5"/>
      <c r="F165" s="5"/>
      <c r="J165" s="5"/>
      <c r="N165" s="5">
        <f ca="1"/>
      </c>
      <c r="O165">
        <f ca="1"/>
      </c>
      <c r="R165" s="5">
        <f ca="1"/>
      </c>
      <c r="S165">
        <f ca="1"/>
      </c>
    </row>
    <row r="166" spans="2:19" x14ac:dyDescent="0.2">
      <c r="B166" s="5"/>
      <c r="F166" s="5"/>
      <c r="J166" s="5"/>
      <c r="N166" s="5">
        <f ca="1"/>
      </c>
      <c r="O166">
        <f ca="1"/>
      </c>
      <c r="R166" s="5">
        <f ca="1"/>
      </c>
      <c r="S166">
        <f ca="1"/>
      </c>
    </row>
    <row r="167" spans="2:19" x14ac:dyDescent="0.2">
      <c r="B167" s="5"/>
      <c r="F167" s="5"/>
      <c r="J167" s="5"/>
      <c r="N167" s="5">
        <f ca="1"/>
      </c>
      <c r="O167">
        <f ca="1"/>
      </c>
      <c r="R167" s="5">
        <f ca="1"/>
      </c>
      <c r="S167">
        <f ca="1"/>
      </c>
    </row>
    <row r="168" spans="2:19" x14ac:dyDescent="0.2">
      <c r="B168" s="5"/>
      <c r="F168" s="5"/>
      <c r="J168" s="5"/>
      <c r="N168" s="5">
        <f ca="1"/>
      </c>
      <c r="O168">
        <f ca="1"/>
      </c>
      <c r="R168" s="5">
        <f ca="1"/>
      </c>
      <c r="S168">
        <f ca="1"/>
      </c>
    </row>
    <row r="169" spans="2:19" x14ac:dyDescent="0.2">
      <c r="B169" s="5"/>
      <c r="F169" s="5"/>
      <c r="J169" s="5"/>
      <c r="N169" s="5">
        <f ca="1"/>
      </c>
      <c r="O169">
        <f ca="1"/>
      </c>
      <c r="R169" s="5">
        <f ca="1"/>
      </c>
      <c r="S169">
        <f ca="1"/>
      </c>
    </row>
    <row r="170" spans="2:19" x14ac:dyDescent="0.2">
      <c r="B170" s="5"/>
      <c r="F170" s="5"/>
      <c r="J170" s="5"/>
      <c r="N170" s="5">
        <f ca="1"/>
      </c>
      <c r="O170">
        <f ca="1"/>
      </c>
      <c r="R170" s="5">
        <f ca="1"/>
      </c>
      <c r="S170">
        <f ca="1"/>
      </c>
    </row>
    <row r="171" spans="2:19" x14ac:dyDescent="0.2">
      <c r="B171" s="5"/>
      <c r="F171" s="5"/>
      <c r="J171" s="5"/>
      <c r="N171" s="5">
        <f ca="1"/>
      </c>
      <c r="O171">
        <f ca="1"/>
      </c>
      <c r="R171" s="5">
        <f ca="1"/>
      </c>
      <c r="S171">
        <f ca="1"/>
      </c>
    </row>
    <row r="172" spans="2:19" x14ac:dyDescent="0.2">
      <c r="B172" s="5"/>
      <c r="F172" s="5"/>
      <c r="J172" s="5"/>
      <c r="N172" s="5">
        <f ca="1"/>
      </c>
      <c r="O172">
        <f ca="1"/>
      </c>
      <c r="R172" s="5">
        <f ca="1"/>
      </c>
      <c r="S172">
        <f ca="1"/>
      </c>
    </row>
    <row r="173" spans="2:19" x14ac:dyDescent="0.2">
      <c r="B173" s="5"/>
      <c r="F173" s="5"/>
      <c r="J173" s="5"/>
      <c r="N173" s="5">
        <f ca="1"/>
      </c>
      <c r="O173">
        <f ca="1"/>
      </c>
      <c r="R173" s="5">
        <f ca="1"/>
      </c>
      <c r="S173">
        <f ca="1"/>
      </c>
    </row>
    <row r="174" spans="2:19" x14ac:dyDescent="0.2">
      <c r="B174" s="5"/>
      <c r="F174" s="5"/>
      <c r="J174" s="5"/>
      <c r="N174" s="5">
        <f ca="1"/>
      </c>
      <c r="O174">
        <f ca="1"/>
      </c>
      <c r="R174" s="5">
        <f ca="1"/>
      </c>
      <c r="S174">
        <f ca="1"/>
      </c>
    </row>
    <row r="175" spans="2:19" x14ac:dyDescent="0.2">
      <c r="B175" s="5"/>
      <c r="F175" s="5"/>
      <c r="J175" s="5"/>
      <c r="N175" s="5">
        <f ca="1"/>
      </c>
      <c r="O175">
        <f ca="1"/>
      </c>
      <c r="R175" s="5">
        <f ca="1"/>
      </c>
      <c r="S175">
        <f ca="1"/>
      </c>
    </row>
    <row r="176" spans="2:19" x14ac:dyDescent="0.2">
      <c r="B176" s="5"/>
      <c r="F176" s="5"/>
      <c r="J176" s="5"/>
      <c r="N176" s="5">
        <f ca="1"/>
      </c>
      <c r="O176">
        <f ca="1"/>
      </c>
      <c r="R176" s="5">
        <f ca="1"/>
      </c>
      <c r="S176">
        <f ca="1"/>
      </c>
    </row>
    <row r="177" spans="2:19" x14ac:dyDescent="0.2">
      <c r="B177" s="5"/>
      <c r="F177" s="5"/>
      <c r="J177" s="5"/>
      <c r="N177" s="5">
        <f ca="1"/>
      </c>
      <c r="O177">
        <f ca="1"/>
      </c>
      <c r="R177" s="5">
        <f ca="1"/>
      </c>
      <c r="S177">
        <f ca="1"/>
      </c>
    </row>
    <row r="178" spans="2:19" x14ac:dyDescent="0.2">
      <c r="B178" s="5"/>
      <c r="F178" s="5"/>
      <c r="J178" s="5"/>
      <c r="N178" s="5">
        <f ca="1"/>
      </c>
      <c r="O178">
        <f ca="1"/>
      </c>
      <c r="R178" s="5">
        <f ca="1"/>
      </c>
      <c r="S178">
        <f ca="1"/>
      </c>
    </row>
    <row r="179" spans="2:19" x14ac:dyDescent="0.2">
      <c r="B179" s="5"/>
      <c r="F179" s="5"/>
      <c r="J179" s="5"/>
      <c r="N179" s="5">
        <f ca="1"/>
      </c>
      <c r="O179">
        <f ca="1"/>
      </c>
      <c r="R179" s="5">
        <f ca="1"/>
      </c>
      <c r="S179">
        <f ca="1"/>
      </c>
    </row>
    <row r="180" spans="2:19" x14ac:dyDescent="0.2">
      <c r="B180" s="5"/>
      <c r="F180" s="5"/>
      <c r="J180" s="5"/>
      <c r="N180" s="5">
        <f ca="1"/>
      </c>
      <c r="O180">
        <f ca="1"/>
      </c>
      <c r="R180" s="5">
        <f ca="1"/>
      </c>
      <c r="S180">
        <f ca="1"/>
      </c>
    </row>
    <row r="181" spans="2:19" x14ac:dyDescent="0.2">
      <c r="B181" s="5"/>
      <c r="F181" s="5"/>
      <c r="J181" s="5"/>
      <c r="N181" s="5">
        <f ca="1"/>
      </c>
      <c r="O181">
        <f ca="1"/>
      </c>
      <c r="R181" s="5">
        <f ca="1"/>
      </c>
      <c r="S181">
        <f ca="1"/>
      </c>
    </row>
    <row r="182" spans="2:19" x14ac:dyDescent="0.2">
      <c r="B182" s="5"/>
      <c r="F182" s="5"/>
      <c r="J182" s="5"/>
      <c r="N182" s="5">
        <f ca="1"/>
      </c>
      <c r="O182">
        <f ca="1"/>
      </c>
      <c r="R182" s="5">
        <f ca="1"/>
      </c>
      <c r="S182">
        <f ca="1"/>
      </c>
    </row>
    <row r="183" spans="2:19" x14ac:dyDescent="0.2">
      <c r="B183" s="5"/>
      <c r="F183" s="5"/>
      <c r="J183" s="5"/>
      <c r="N183" s="5">
        <f ca="1"/>
      </c>
      <c r="O183">
        <f ca="1"/>
      </c>
      <c r="R183" s="5">
        <f ca="1"/>
      </c>
      <c r="S183">
        <f ca="1"/>
      </c>
    </row>
    <row r="184" spans="2:19" x14ac:dyDescent="0.2">
      <c r="B184" s="5"/>
      <c r="F184" s="5"/>
      <c r="J184" s="5"/>
      <c r="N184" s="5">
        <f ca="1"/>
      </c>
      <c r="O184">
        <f ca="1"/>
      </c>
      <c r="R184" s="5">
        <f ca="1"/>
      </c>
      <c r="S184">
        <f ca="1"/>
      </c>
    </row>
    <row r="185" spans="2:19" x14ac:dyDescent="0.2">
      <c r="B185" s="5"/>
      <c r="F185" s="5"/>
      <c r="J185" s="5"/>
      <c r="N185" s="5">
        <f ca="1"/>
      </c>
      <c r="O185">
        <f ca="1"/>
      </c>
      <c r="R185" s="5">
        <f ca="1"/>
      </c>
      <c r="S185">
        <f ca="1"/>
      </c>
    </row>
    <row r="186" spans="2:19" x14ac:dyDescent="0.2">
      <c r="B186" s="5"/>
      <c r="F186" s="5"/>
      <c r="J186" s="5"/>
      <c r="N186" s="5">
        <f ca="1"/>
      </c>
      <c r="O186">
        <f ca="1"/>
      </c>
      <c r="R186" s="5">
        <f ca="1"/>
      </c>
      <c r="S186">
        <f ca="1"/>
      </c>
    </row>
    <row r="187" spans="2:19" x14ac:dyDescent="0.2">
      <c r="B187" s="5"/>
      <c r="F187" s="5"/>
      <c r="J187" s="5"/>
      <c r="N187" s="5">
        <f ca="1"/>
      </c>
      <c r="O187">
        <f ca="1"/>
      </c>
      <c r="R187" s="5">
        <f ca="1"/>
      </c>
      <c r="S187">
        <f ca="1"/>
      </c>
    </row>
    <row r="188" spans="2:19" x14ac:dyDescent="0.2">
      <c r="B188" s="5"/>
      <c r="F188" s="5"/>
      <c r="J188" s="5"/>
      <c r="N188" s="5">
        <f ca="1"/>
      </c>
      <c r="O188">
        <f ca="1"/>
      </c>
      <c r="R188" s="5">
        <f ca="1"/>
      </c>
      <c r="S188">
        <f ca="1"/>
      </c>
    </row>
    <row r="189" spans="2:19" x14ac:dyDescent="0.2">
      <c r="B189" s="5"/>
      <c r="F189" s="5"/>
      <c r="J189" s="5"/>
      <c r="N189" s="5">
        <f ca="1"/>
      </c>
      <c r="O189">
        <f ca="1"/>
      </c>
      <c r="R189" s="5">
        <f ca="1"/>
      </c>
      <c r="S189">
        <f ca="1"/>
      </c>
    </row>
    <row r="190" spans="2:19" x14ac:dyDescent="0.2">
      <c r="B190" s="5"/>
      <c r="F190" s="5"/>
      <c r="J190" s="5"/>
      <c r="N190" s="5">
        <f ca="1"/>
      </c>
      <c r="O190">
        <f ca="1"/>
      </c>
      <c r="R190" s="5">
        <f ca="1"/>
      </c>
      <c r="S190">
        <f ca="1"/>
      </c>
    </row>
    <row r="191" spans="2:19" x14ac:dyDescent="0.2">
      <c r="B191" s="5"/>
      <c r="F191" s="5"/>
      <c r="J191" s="5"/>
      <c r="N191" s="5">
        <f ca="1"/>
      </c>
      <c r="O191">
        <f ca="1"/>
      </c>
      <c r="R191" s="5">
        <f ca="1"/>
      </c>
      <c r="S191">
        <f ca="1"/>
      </c>
    </row>
    <row r="192" spans="2:19" x14ac:dyDescent="0.2">
      <c r="B192" s="5"/>
      <c r="F192" s="5"/>
      <c r="J192" s="5"/>
      <c r="N192" s="5">
        <f ca="1"/>
      </c>
      <c r="O192">
        <f ca="1"/>
      </c>
      <c r="R192" s="5">
        <f ca="1"/>
      </c>
      <c r="S192">
        <f ca="1"/>
      </c>
    </row>
    <row r="193" spans="2:19" x14ac:dyDescent="0.2">
      <c r="B193" s="5"/>
      <c r="F193" s="5"/>
      <c r="J193" s="5"/>
      <c r="N193" s="5">
        <f ca="1"/>
      </c>
      <c r="O193">
        <f ca="1"/>
      </c>
      <c r="R193" s="5">
        <f ca="1"/>
      </c>
      <c r="S193">
        <f ca="1"/>
      </c>
    </row>
    <row r="194" spans="2:19" x14ac:dyDescent="0.2">
      <c r="B194" s="5"/>
      <c r="F194" s="5"/>
      <c r="J194" s="5"/>
      <c r="N194" s="5">
        <f ca="1"/>
      </c>
      <c r="O194">
        <f ca="1"/>
      </c>
      <c r="R194" s="5">
        <f ca="1"/>
      </c>
      <c r="S194">
        <f ca="1"/>
      </c>
    </row>
    <row r="195" spans="2:19" x14ac:dyDescent="0.2">
      <c r="B195" s="5"/>
      <c r="F195" s="5"/>
      <c r="J195" s="5"/>
      <c r="N195" s="5">
        <f ca="1"/>
      </c>
      <c r="O195">
        <f ca="1"/>
      </c>
      <c r="R195" s="5">
        <f ca="1"/>
      </c>
      <c r="S195">
        <f ca="1"/>
      </c>
    </row>
    <row r="196" spans="2:19" x14ac:dyDescent="0.2">
      <c r="B196" s="5"/>
      <c r="F196" s="5"/>
      <c r="J196" s="5"/>
      <c r="N196" s="5">
        <f ca="1"/>
      </c>
      <c r="O196">
        <f ca="1"/>
      </c>
      <c r="R196" s="5">
        <f ca="1"/>
      </c>
      <c r="S196">
        <f ca="1"/>
      </c>
    </row>
    <row r="197" spans="2:19" x14ac:dyDescent="0.2">
      <c r="B197" s="5"/>
      <c r="F197" s="5"/>
      <c r="J197" s="5"/>
      <c r="N197" s="5">
        <f ca="1"/>
      </c>
      <c r="O197">
        <f ca="1"/>
      </c>
      <c r="R197" s="5">
        <f ca="1"/>
      </c>
      <c r="S197">
        <f ca="1"/>
      </c>
    </row>
    <row r="198" spans="2:19" x14ac:dyDescent="0.2">
      <c r="B198" s="5"/>
      <c r="F198" s="5"/>
      <c r="J198" s="5"/>
      <c r="N198" s="5">
        <f ca="1"/>
      </c>
      <c r="O198">
        <f ca="1"/>
      </c>
      <c r="R198" s="5">
        <f ca="1"/>
      </c>
      <c r="S198">
        <f ca="1"/>
      </c>
    </row>
    <row r="199" spans="2:19" x14ac:dyDescent="0.2">
      <c r="B199" s="5"/>
      <c r="F199" s="5"/>
      <c r="J199" s="5"/>
      <c r="N199" s="5">
        <f ca="1"/>
      </c>
      <c r="O199">
        <f ca="1"/>
      </c>
      <c r="R199" s="5">
        <f ca="1"/>
      </c>
      <c r="S199">
        <f ca="1"/>
      </c>
    </row>
    <row r="200" spans="2:19" x14ac:dyDescent="0.2">
      <c r="B200" s="5"/>
      <c r="F200" s="5"/>
      <c r="J200" s="5"/>
      <c r="N200" s="5">
        <f ca="1"/>
      </c>
      <c r="O200">
        <f ca="1"/>
      </c>
      <c r="R200" s="5">
        <f ca="1"/>
      </c>
      <c r="S200">
        <f ca="1"/>
      </c>
    </row>
    <row r="201" spans="2:19" x14ac:dyDescent="0.2">
      <c r="B201" s="5"/>
      <c r="F201" s="5"/>
      <c r="J201" s="5"/>
      <c r="N201" s="5">
        <f ca="1"/>
      </c>
      <c r="O201">
        <f ca="1"/>
      </c>
      <c r="R201" s="5">
        <f ca="1"/>
      </c>
      <c r="S201">
        <f ca="1"/>
      </c>
    </row>
    <row r="202" spans="2:19" x14ac:dyDescent="0.2">
      <c r="B202" s="5"/>
      <c r="F202" s="5"/>
      <c r="J202" s="5"/>
      <c r="N202" s="5">
        <f ca="1"/>
      </c>
      <c r="O202">
        <f ca="1"/>
      </c>
      <c r="R202" s="5">
        <f ca="1"/>
      </c>
      <c r="S202">
        <f ca="1"/>
      </c>
    </row>
    <row r="203" spans="2:19" x14ac:dyDescent="0.2">
      <c r="B203" s="5"/>
      <c r="F203" s="5"/>
      <c r="J203" s="5"/>
      <c r="N203" s="5">
        <f ca="1"/>
      </c>
      <c r="O203">
        <f ca="1"/>
      </c>
      <c r="R203" s="5">
        <f ca="1"/>
      </c>
      <c r="S203">
        <f ca="1"/>
      </c>
    </row>
    <row r="204" spans="2:19" x14ac:dyDescent="0.2">
      <c r="B204" s="5"/>
      <c r="F204" s="5"/>
      <c r="J204" s="5"/>
      <c r="N204" s="5">
        <f ca="1"/>
      </c>
      <c r="O204">
        <f ca="1"/>
      </c>
      <c r="R204" s="5">
        <f ca="1"/>
      </c>
      <c r="S204">
        <f ca="1"/>
      </c>
    </row>
    <row r="205" spans="2:19" x14ac:dyDescent="0.2">
      <c r="B205" s="5"/>
      <c r="F205" s="5"/>
      <c r="J205" s="5"/>
      <c r="N205" s="5">
        <f ca="1"/>
      </c>
      <c r="O205">
        <f ca="1"/>
      </c>
      <c r="R205" s="5">
        <f ca="1"/>
      </c>
      <c r="S205">
        <f ca="1"/>
      </c>
    </row>
    <row r="206" spans="2:19" x14ac:dyDescent="0.2">
      <c r="B206" s="5"/>
      <c r="F206" s="5"/>
      <c r="J206" s="5"/>
      <c r="N206" s="5">
        <f ca="1"/>
      </c>
      <c r="O206">
        <f ca="1"/>
      </c>
      <c r="R206" s="5">
        <f ca="1"/>
      </c>
      <c r="S206">
        <f ca="1"/>
      </c>
    </row>
    <row r="207" spans="2:19" x14ac:dyDescent="0.2">
      <c r="B207" s="5"/>
      <c r="F207" s="5"/>
      <c r="J207" s="5"/>
      <c r="N207" s="5">
        <f ca="1"/>
      </c>
      <c r="O207">
        <f ca="1"/>
      </c>
      <c r="R207" s="5">
        <f ca="1"/>
      </c>
      <c r="S207">
        <f ca="1"/>
      </c>
    </row>
    <row r="208" spans="2:19" x14ac:dyDescent="0.2">
      <c r="B208" s="5"/>
      <c r="F208" s="5"/>
      <c r="J208" s="5"/>
      <c r="N208" s="5">
        <f ca="1"/>
      </c>
      <c r="O208">
        <f ca="1"/>
      </c>
      <c r="R208" s="5">
        <f ca="1"/>
      </c>
      <c r="S208">
        <f ca="1"/>
      </c>
    </row>
    <row r="209" spans="2:19" x14ac:dyDescent="0.2">
      <c r="B209" s="5"/>
      <c r="F209" s="5"/>
      <c r="J209" s="5"/>
      <c r="N209" s="5">
        <f ca="1"/>
      </c>
      <c r="O209">
        <f ca="1"/>
      </c>
      <c r="R209" s="5">
        <f ca="1"/>
      </c>
      <c r="S209">
        <f ca="1"/>
      </c>
    </row>
    <row r="210" spans="2:19" x14ac:dyDescent="0.2">
      <c r="B210" s="5"/>
      <c r="F210" s="5"/>
      <c r="J210" s="5"/>
      <c r="N210" s="5">
        <f ca="1"/>
      </c>
      <c r="O210">
        <f ca="1"/>
      </c>
      <c r="R210" s="5">
        <f ca="1"/>
      </c>
      <c r="S210">
        <f ca="1"/>
      </c>
    </row>
    <row r="211" spans="2:19" x14ac:dyDescent="0.2">
      <c r="B211" s="5"/>
      <c r="F211" s="5"/>
      <c r="J211" s="5"/>
      <c r="N211" s="5">
        <f ca="1"/>
      </c>
      <c r="O211">
        <f ca="1"/>
      </c>
      <c r="R211" s="5">
        <f ca="1"/>
      </c>
      <c r="S211">
        <f ca="1"/>
      </c>
    </row>
    <row r="212" spans="2:19" x14ac:dyDescent="0.2">
      <c r="B212" s="5"/>
      <c r="F212" s="5"/>
      <c r="J212" s="5"/>
      <c r="N212" s="5">
        <f ca="1"/>
      </c>
      <c r="O212">
        <f ca="1"/>
      </c>
      <c r="R212" s="5">
        <f ca="1"/>
      </c>
      <c r="S212">
        <f ca="1"/>
      </c>
    </row>
    <row r="213" spans="2:19" x14ac:dyDescent="0.2">
      <c r="B213" s="5"/>
      <c r="F213" s="5"/>
      <c r="J213" s="5"/>
      <c r="N213" s="5">
        <f ca="1"/>
      </c>
      <c r="O213">
        <f ca="1"/>
      </c>
      <c r="R213" s="5">
        <f ca="1"/>
      </c>
      <c r="S213">
        <f ca="1"/>
      </c>
    </row>
    <row r="214" spans="2:19" x14ac:dyDescent="0.2">
      <c r="B214" s="5"/>
      <c r="F214" s="5"/>
      <c r="J214" s="5"/>
      <c r="N214" s="5">
        <f ca="1"/>
      </c>
      <c r="O214">
        <f ca="1"/>
      </c>
      <c r="R214" s="5">
        <f ca="1"/>
      </c>
      <c r="S214">
        <f ca="1"/>
      </c>
    </row>
    <row r="215" spans="2:19" x14ac:dyDescent="0.2">
      <c r="B215" s="5"/>
      <c r="F215" s="5"/>
      <c r="J215" s="5"/>
      <c r="N215" s="5">
        <f ca="1"/>
      </c>
      <c r="O215">
        <f ca="1"/>
      </c>
      <c r="R215" s="5">
        <f ca="1"/>
      </c>
      <c r="S215">
        <f ca="1"/>
      </c>
    </row>
    <row r="216" spans="2:19" x14ac:dyDescent="0.2">
      <c r="B216" s="5"/>
      <c r="F216" s="5"/>
      <c r="J216" s="5"/>
      <c r="N216" s="5">
        <f ca="1"/>
      </c>
      <c r="O216">
        <f ca="1"/>
      </c>
      <c r="R216" s="5">
        <f ca="1"/>
      </c>
      <c r="S216">
        <f ca="1"/>
      </c>
    </row>
    <row r="217" spans="2:19" x14ac:dyDescent="0.2">
      <c r="B217" s="5"/>
      <c r="F217" s="5"/>
      <c r="J217" s="5"/>
      <c r="N217" s="5">
        <f ca="1"/>
      </c>
      <c r="O217">
        <f ca="1"/>
      </c>
      <c r="R217" s="5">
        <f ca="1"/>
      </c>
      <c r="S217">
        <f ca="1"/>
      </c>
    </row>
    <row r="218" spans="2:19" x14ac:dyDescent="0.2">
      <c r="B218" s="5"/>
      <c r="F218" s="5"/>
      <c r="J218" s="5"/>
      <c r="N218" s="5">
        <f ca="1"/>
      </c>
      <c r="O218">
        <f ca="1"/>
      </c>
      <c r="R218" s="5">
        <f ca="1"/>
      </c>
      <c r="S218">
        <f ca="1"/>
      </c>
    </row>
    <row r="219" spans="2:19" x14ac:dyDescent="0.2">
      <c r="B219" s="5"/>
      <c r="F219" s="5"/>
      <c r="J219" s="5"/>
      <c r="N219" s="5">
        <f ca="1"/>
      </c>
      <c r="O219">
        <f ca="1"/>
      </c>
      <c r="R219" s="5">
        <f ca="1"/>
      </c>
      <c r="S219">
        <f ca="1"/>
      </c>
    </row>
    <row r="220" spans="2:19" x14ac:dyDescent="0.2">
      <c r="B220" s="5"/>
      <c r="F220" s="5"/>
      <c r="J220" s="5"/>
      <c r="N220" s="5">
        <f ca="1"/>
      </c>
      <c r="O220">
        <f ca="1"/>
      </c>
      <c r="R220" s="5">
        <f ca="1"/>
      </c>
      <c r="S220">
        <f ca="1"/>
      </c>
    </row>
    <row r="221" spans="2:19" x14ac:dyDescent="0.2">
      <c r="B221" s="5"/>
      <c r="F221" s="5"/>
      <c r="J221" s="5"/>
      <c r="N221" s="5">
        <f ca="1"/>
      </c>
      <c r="O221">
        <f ca="1"/>
      </c>
      <c r="R221" s="5">
        <f ca="1"/>
      </c>
      <c r="S221">
        <f ca="1"/>
      </c>
    </row>
    <row r="222" spans="2:19" x14ac:dyDescent="0.2">
      <c r="B222" s="5"/>
      <c r="F222" s="5"/>
      <c r="J222" s="5"/>
      <c r="N222" s="5">
        <f ca="1"/>
      </c>
      <c r="O222">
        <f ca="1"/>
      </c>
      <c r="R222" s="5">
        <f ca="1"/>
      </c>
      <c r="S222">
        <f ca="1"/>
      </c>
    </row>
    <row r="223" spans="2:19" x14ac:dyDescent="0.2">
      <c r="B223" s="5"/>
      <c r="F223" s="5"/>
      <c r="J223" s="5"/>
      <c r="N223" s="5">
        <f ca="1"/>
      </c>
      <c r="O223">
        <f ca="1"/>
      </c>
      <c r="R223" s="5">
        <f ca="1"/>
      </c>
      <c r="S223">
        <f ca="1"/>
      </c>
    </row>
    <row r="224" spans="2:19" x14ac:dyDescent="0.2">
      <c r="B224" s="5"/>
      <c r="F224" s="5"/>
      <c r="J224" s="5"/>
      <c r="N224" s="5">
        <f ca="1"/>
      </c>
      <c r="O224">
        <f ca="1"/>
      </c>
      <c r="R224" s="5">
        <f ca="1"/>
      </c>
      <c r="S224">
        <f ca="1"/>
      </c>
    </row>
    <row r="225" spans="2:19" x14ac:dyDescent="0.2">
      <c r="B225" s="5"/>
      <c r="F225" s="5"/>
      <c r="J225" s="5"/>
      <c r="N225" s="5">
        <f ca="1"/>
      </c>
      <c r="O225">
        <f ca="1"/>
      </c>
      <c r="R225" s="5">
        <f ca="1"/>
      </c>
      <c r="S225">
        <f ca="1"/>
      </c>
    </row>
    <row r="226" spans="2:19" x14ac:dyDescent="0.2">
      <c r="B226" s="5"/>
      <c r="F226" s="5"/>
      <c r="J226" s="5"/>
      <c r="N226" s="5">
        <f ca="1"/>
      </c>
      <c r="O226">
        <f ca="1"/>
      </c>
      <c r="R226" s="5">
        <f ca="1"/>
      </c>
      <c r="S226">
        <f ca="1"/>
      </c>
    </row>
    <row r="227" spans="2:19" x14ac:dyDescent="0.2">
      <c r="B227" s="5"/>
      <c r="F227" s="5"/>
      <c r="J227" s="5"/>
      <c r="N227" s="5">
        <f ca="1"/>
      </c>
      <c r="O227">
        <f ca="1"/>
      </c>
      <c r="R227" s="5">
        <f ca="1"/>
      </c>
      <c r="S227">
        <f ca="1"/>
      </c>
    </row>
    <row r="228" spans="2:19" x14ac:dyDescent="0.2">
      <c r="B228" s="5"/>
      <c r="F228" s="5"/>
      <c r="J228" s="5"/>
      <c r="N228" s="5">
        <f ca="1"/>
      </c>
      <c r="O228">
        <f ca="1"/>
      </c>
      <c r="R228" s="5">
        <f ca="1"/>
      </c>
      <c r="S228">
        <f ca="1"/>
      </c>
    </row>
    <row r="229" spans="2:19" x14ac:dyDescent="0.2">
      <c r="B229" s="5"/>
      <c r="F229" s="5"/>
      <c r="J229" s="5"/>
      <c r="N229" s="5">
        <f ca="1"/>
      </c>
      <c r="O229">
        <f ca="1"/>
      </c>
      <c r="R229" s="5">
        <f ca="1"/>
      </c>
      <c r="S229">
        <f ca="1"/>
      </c>
    </row>
    <row r="230" spans="2:19" x14ac:dyDescent="0.2">
      <c r="B230" s="5"/>
      <c r="F230" s="5"/>
      <c r="J230" s="5"/>
      <c r="N230" s="5">
        <f ca="1"/>
      </c>
      <c r="O230">
        <f ca="1"/>
      </c>
      <c r="R230" s="5">
        <f ca="1"/>
      </c>
      <c r="S230">
        <f ca="1"/>
      </c>
    </row>
    <row r="231" spans="2:19" x14ac:dyDescent="0.2">
      <c r="B231" s="5"/>
      <c r="F231" s="5"/>
      <c r="J231" s="5"/>
      <c r="N231" s="5">
        <f ca="1"/>
      </c>
      <c r="O231">
        <f ca="1"/>
      </c>
      <c r="R231" s="5">
        <f ca="1"/>
      </c>
      <c r="S231">
        <f ca="1"/>
      </c>
    </row>
    <row r="232" spans="2:19" x14ac:dyDescent="0.2">
      <c r="B232" s="5"/>
      <c r="F232" s="5"/>
      <c r="J232" s="5"/>
      <c r="N232" s="5">
        <f ca="1"/>
      </c>
      <c r="O232">
        <f ca="1"/>
      </c>
      <c r="R232" s="5">
        <f ca="1"/>
      </c>
      <c r="S232">
        <f ca="1"/>
      </c>
    </row>
    <row r="233" spans="2:19" x14ac:dyDescent="0.2">
      <c r="B233" s="5"/>
      <c r="F233" s="5"/>
      <c r="J233" s="5"/>
      <c r="N233" s="5">
        <f ca="1"/>
      </c>
      <c r="O233">
        <f ca="1"/>
      </c>
      <c r="R233" s="5">
        <f ca="1"/>
      </c>
      <c r="S233">
        <f ca="1"/>
      </c>
    </row>
    <row r="234" spans="2:19" x14ac:dyDescent="0.2">
      <c r="B234" s="5"/>
      <c r="F234" s="5"/>
      <c r="J234" s="5"/>
      <c r="N234" s="5">
        <f ca="1"/>
      </c>
      <c r="O234">
        <f ca="1"/>
      </c>
      <c r="R234" s="5">
        <f ca="1"/>
      </c>
      <c r="S234">
        <f ca="1"/>
      </c>
    </row>
    <row r="235" spans="2:19" x14ac:dyDescent="0.2">
      <c r="B235" s="5"/>
      <c r="F235" s="5"/>
      <c r="J235" s="5"/>
      <c r="N235" s="5">
        <f ca="1"/>
      </c>
      <c r="O235">
        <f ca="1"/>
      </c>
      <c r="R235" s="5">
        <f ca="1"/>
      </c>
      <c r="S235">
        <f ca="1"/>
      </c>
    </row>
    <row r="236" spans="2:19" x14ac:dyDescent="0.2">
      <c r="B236" s="5"/>
      <c r="F236" s="5"/>
      <c r="J236" s="5"/>
      <c r="N236" s="5">
        <f ca="1"/>
      </c>
      <c r="O236">
        <f ca="1"/>
      </c>
      <c r="R236" s="5">
        <f ca="1"/>
      </c>
      <c r="S236">
        <f ca="1"/>
      </c>
    </row>
    <row r="237" spans="2:19" x14ac:dyDescent="0.2">
      <c r="B237" s="5"/>
      <c r="F237" s="5"/>
      <c r="J237" s="5"/>
      <c r="N237" s="5">
        <f ca="1"/>
      </c>
      <c r="O237">
        <f ca="1"/>
      </c>
      <c r="R237" s="5">
        <f ca="1"/>
      </c>
      <c r="S237">
        <f ca="1"/>
      </c>
    </row>
    <row r="238" spans="2:19" x14ac:dyDescent="0.2">
      <c r="B238" s="5"/>
      <c r="F238" s="5"/>
      <c r="J238" s="5"/>
      <c r="N238" s="5">
        <f ca="1"/>
      </c>
      <c r="O238">
        <f ca="1"/>
      </c>
      <c r="R238" s="5">
        <f ca="1"/>
      </c>
      <c r="S238">
        <f ca="1"/>
      </c>
    </row>
    <row r="239" spans="2:19" x14ac:dyDescent="0.2">
      <c r="B239" s="5"/>
      <c r="F239" s="5"/>
      <c r="J239" s="5"/>
      <c r="N239" s="5">
        <f ca="1"/>
      </c>
      <c r="O239">
        <f ca="1"/>
      </c>
      <c r="R239" s="5">
        <f ca="1"/>
      </c>
      <c r="S239">
        <f ca="1"/>
      </c>
    </row>
    <row r="240" spans="2:19" x14ac:dyDescent="0.2">
      <c r="B240" s="5"/>
      <c r="F240" s="5"/>
      <c r="J240" s="5"/>
      <c r="N240" s="5">
        <f ca="1"/>
      </c>
      <c r="O240">
        <f ca="1"/>
      </c>
      <c r="R240" s="5">
        <f ca="1"/>
      </c>
      <c r="S240">
        <f ca="1"/>
      </c>
    </row>
    <row r="241" spans="2:19" x14ac:dyDescent="0.2">
      <c r="B241" s="5"/>
      <c r="F241" s="5"/>
      <c r="J241" s="5"/>
      <c r="N241" s="5">
        <f ca="1"/>
      </c>
      <c r="O241">
        <f ca="1"/>
      </c>
      <c r="R241" s="5">
        <f ca="1"/>
      </c>
      <c r="S241">
        <f ca="1"/>
      </c>
    </row>
    <row r="242" spans="2:19" x14ac:dyDescent="0.2">
      <c r="B242" s="5"/>
      <c r="F242" s="5"/>
      <c r="J242" s="5"/>
      <c r="N242" s="5">
        <f ca="1"/>
      </c>
      <c r="O242">
        <f ca="1"/>
      </c>
      <c r="R242" s="5">
        <f ca="1"/>
      </c>
      <c r="S242">
        <f ca="1"/>
      </c>
    </row>
    <row r="243" spans="2:19" x14ac:dyDescent="0.2">
      <c r="B243" s="5"/>
      <c r="F243" s="5"/>
      <c r="J243" s="5"/>
      <c r="N243" s="5">
        <f ca="1"/>
      </c>
      <c r="O243">
        <f ca="1"/>
      </c>
      <c r="R243" s="5">
        <f ca="1"/>
      </c>
      <c r="S243">
        <f ca="1"/>
      </c>
    </row>
    <row r="244" spans="2:19" x14ac:dyDescent="0.2">
      <c r="B244" s="5"/>
      <c r="F244" s="5"/>
      <c r="J244" s="5"/>
      <c r="N244" s="5">
        <f ca="1"/>
      </c>
      <c r="O244">
        <f ca="1"/>
      </c>
      <c r="R244" s="5">
        <f ca="1"/>
      </c>
      <c r="S244">
        <f ca="1"/>
      </c>
    </row>
    <row r="245" spans="2:19" x14ac:dyDescent="0.2">
      <c r="B245" s="5"/>
      <c r="F245" s="5"/>
      <c r="J245" s="5"/>
      <c r="N245" s="5">
        <f ca="1"/>
      </c>
      <c r="O245">
        <f ca="1"/>
      </c>
      <c r="R245" s="5">
        <f ca="1"/>
      </c>
      <c r="S245">
        <f ca="1"/>
      </c>
    </row>
    <row r="246" spans="2:19" x14ac:dyDescent="0.2">
      <c r="B246" s="5"/>
      <c r="F246" s="5"/>
      <c r="J246" s="5"/>
      <c r="N246" s="5">
        <f ca="1"/>
      </c>
      <c r="O246">
        <f ca="1"/>
      </c>
      <c r="R246" s="5">
        <f ca="1"/>
      </c>
      <c r="S246">
        <f ca="1"/>
      </c>
    </row>
    <row r="247" spans="2:19" x14ac:dyDescent="0.2">
      <c r="B247" s="5"/>
      <c r="F247" s="5"/>
      <c r="J247" s="5"/>
      <c r="N247" s="5">
        <f ca="1"/>
      </c>
      <c r="O247">
        <f ca="1"/>
      </c>
      <c r="R247" s="5">
        <f ca="1"/>
      </c>
      <c r="S247">
        <f ca="1"/>
      </c>
    </row>
    <row r="248" spans="2:19" x14ac:dyDescent="0.2">
      <c r="B248" s="5"/>
      <c r="F248" s="5"/>
      <c r="J248" s="5"/>
      <c r="N248" s="5">
        <f ca="1"/>
      </c>
      <c r="O248">
        <f ca="1"/>
      </c>
      <c r="R248" s="5">
        <f ca="1"/>
      </c>
      <c r="S248">
        <f ca="1"/>
      </c>
    </row>
    <row r="249" spans="2:19" x14ac:dyDescent="0.2">
      <c r="B249" s="5"/>
      <c r="F249" s="5"/>
      <c r="J249" s="5"/>
      <c r="N249" s="5">
        <f ca="1"/>
      </c>
      <c r="O249">
        <f ca="1"/>
      </c>
      <c r="R249" s="5">
        <f ca="1"/>
      </c>
      <c r="S249">
        <f ca="1"/>
      </c>
    </row>
    <row r="250" spans="2:19" x14ac:dyDescent="0.2">
      <c r="B250" s="5"/>
      <c r="F250" s="5"/>
      <c r="J250" s="5"/>
      <c r="N250" s="5">
        <f ca="1"/>
      </c>
      <c r="O250">
        <f ca="1"/>
      </c>
      <c r="R250" s="5">
        <f ca="1"/>
      </c>
      <c r="S250">
        <f ca="1"/>
      </c>
    </row>
    <row r="251" spans="2:19" x14ac:dyDescent="0.2">
      <c r="B251" s="5"/>
      <c r="F251" s="5"/>
      <c r="J251" s="5"/>
      <c r="N251" s="5">
        <f ca="1"/>
      </c>
      <c r="O251">
        <f ca="1"/>
      </c>
      <c r="R251" s="5">
        <f ca="1"/>
      </c>
      <c r="S251">
        <f ca="1"/>
      </c>
    </row>
    <row r="252" spans="2:19" x14ac:dyDescent="0.2">
      <c r="B252" s="5"/>
      <c r="F252" s="5"/>
      <c r="J252" s="5"/>
      <c r="N252" s="5">
        <f ca="1"/>
      </c>
      <c r="O252">
        <f ca="1"/>
      </c>
      <c r="R252" s="5">
        <f ca="1"/>
      </c>
      <c r="S252">
        <f ca="1"/>
      </c>
    </row>
    <row r="253" spans="2:19" x14ac:dyDescent="0.2">
      <c r="B253" s="5"/>
      <c r="F253" s="5"/>
      <c r="J253" s="5"/>
      <c r="N253" s="5">
        <f ca="1"/>
      </c>
      <c r="O253">
        <f ca="1"/>
      </c>
      <c r="R253" s="5">
        <f ca="1"/>
      </c>
      <c r="S253">
        <f ca="1"/>
      </c>
    </row>
    <row r="254" spans="2:19" x14ac:dyDescent="0.2">
      <c r="B254" s="5"/>
      <c r="F254" s="5"/>
      <c r="J254" s="5"/>
      <c r="N254" s="5">
        <f ca="1"/>
      </c>
      <c r="O254">
        <f ca="1"/>
      </c>
      <c r="R254" s="5">
        <f ca="1"/>
      </c>
      <c r="S254">
        <f ca="1"/>
      </c>
    </row>
    <row r="255" spans="2:19" x14ac:dyDescent="0.2">
      <c r="B255" s="5"/>
      <c r="F255" s="5"/>
      <c r="J255" s="5"/>
      <c r="N255" s="5">
        <f ca="1"/>
      </c>
      <c r="O255">
        <f ca="1"/>
      </c>
      <c r="R255" s="5">
        <f ca="1"/>
      </c>
      <c r="S255">
        <f ca="1"/>
      </c>
    </row>
    <row r="256" spans="2:19" x14ac:dyDescent="0.2">
      <c r="B256" s="5"/>
      <c r="F256" s="5"/>
      <c r="J256" s="5"/>
      <c r="N256" s="5">
        <f ca="1"/>
      </c>
      <c r="O256">
        <f ca="1"/>
      </c>
      <c r="R256" s="5">
        <f ca="1"/>
      </c>
      <c r="S256">
        <f ca="1"/>
      </c>
    </row>
    <row r="257" spans="2:19" x14ac:dyDescent="0.2">
      <c r="B257" s="5"/>
      <c r="F257" s="5"/>
      <c r="J257" s="5"/>
      <c r="N257" s="5">
        <f ca="1"/>
      </c>
      <c r="O257">
        <f ca="1"/>
      </c>
      <c r="R257" s="5">
        <f ca="1"/>
      </c>
      <c r="S257">
        <f ca="1"/>
      </c>
    </row>
    <row r="258" spans="2:19" x14ac:dyDescent="0.2">
      <c r="B258" s="5"/>
      <c r="F258" s="5"/>
      <c r="J258" s="5"/>
      <c r="N258" s="5">
        <f ca="1"/>
      </c>
      <c r="O258">
        <f ca="1"/>
      </c>
      <c r="R258" s="5">
        <f ca="1"/>
      </c>
      <c r="S258">
        <f ca="1"/>
      </c>
    </row>
    <row r="259" spans="2:19" x14ac:dyDescent="0.2">
      <c r="B259" s="5"/>
      <c r="F259" s="5"/>
      <c r="J259" s="5"/>
      <c r="N259" s="5">
        <f ca="1"/>
      </c>
      <c r="O259">
        <f ca="1"/>
      </c>
      <c r="R259" s="5">
        <f ca="1"/>
      </c>
      <c r="S259">
        <f ca="1"/>
      </c>
    </row>
    <row r="260" spans="2:19" x14ac:dyDescent="0.2">
      <c r="B260" s="5"/>
      <c r="F260" s="5"/>
      <c r="J260" s="5"/>
      <c r="N260" s="5">
        <f ca="1"/>
      </c>
      <c r="O260">
        <f ca="1"/>
      </c>
      <c r="R260" s="5">
        <f ca="1"/>
      </c>
      <c r="S260">
        <f ca="1"/>
      </c>
    </row>
    <row r="261" spans="2:19" x14ac:dyDescent="0.2">
      <c r="B261" s="5"/>
      <c r="F261" s="5"/>
      <c r="J261" s="5"/>
      <c r="N261" s="5">
        <f ca="1"/>
      </c>
      <c r="O261">
        <f ca="1"/>
      </c>
      <c r="R261" s="5">
        <f ca="1"/>
      </c>
      <c r="S261">
        <f ca="1"/>
      </c>
    </row>
    <row r="262" spans="2:19" x14ac:dyDescent="0.2">
      <c r="B262" s="5"/>
      <c r="F262" s="5"/>
      <c r="J262" s="5"/>
      <c r="N262" s="5">
        <f ca="1"/>
      </c>
      <c r="O262">
        <f ca="1"/>
      </c>
      <c r="R262" s="5">
        <f ca="1"/>
      </c>
      <c r="S262">
        <f ca="1"/>
      </c>
    </row>
    <row r="263" spans="2:19" x14ac:dyDescent="0.2">
      <c r="B263" s="5"/>
      <c r="F263" s="5"/>
      <c r="J263" s="5"/>
      <c r="N263" s="5">
        <f ca="1"/>
      </c>
      <c r="O263">
        <f ca="1"/>
      </c>
      <c r="R263" s="5">
        <f ca="1"/>
      </c>
      <c r="S263">
        <f ca="1"/>
      </c>
    </row>
    <row r="264" spans="2:19" x14ac:dyDescent="0.2">
      <c r="B264" s="5"/>
      <c r="F264" s="5"/>
      <c r="J264" s="5"/>
      <c r="N264" s="5">
        <f ca="1"/>
      </c>
      <c r="O264">
        <f ca="1"/>
      </c>
      <c r="R264" s="5">
        <f ca="1"/>
      </c>
      <c r="S264">
        <f ca="1"/>
      </c>
    </row>
    <row r="265" spans="2:19" x14ac:dyDescent="0.2">
      <c r="B265" s="5"/>
      <c r="F265" s="5"/>
      <c r="J265" s="5"/>
      <c r="N265" s="5">
        <f ca="1"/>
      </c>
      <c r="O265">
        <f ca="1"/>
      </c>
      <c r="R265" s="5">
        <f ca="1"/>
      </c>
      <c r="S265">
        <f ca="1"/>
      </c>
    </row>
    <row r="266" spans="2:19" x14ac:dyDescent="0.2">
      <c r="B266" s="5"/>
      <c r="F266" s="5"/>
      <c r="J266" s="5"/>
      <c r="N266" s="5">
        <f ca="1"/>
      </c>
      <c r="O266">
        <f ca="1"/>
      </c>
      <c r="R266" s="5">
        <f ca="1"/>
      </c>
      <c r="S266">
        <f ca="1"/>
      </c>
    </row>
    <row r="267" spans="2:19" x14ac:dyDescent="0.2">
      <c r="B267" s="5"/>
      <c r="F267" s="5"/>
      <c r="J267" s="5"/>
      <c r="N267" s="5">
        <f ca="1"/>
      </c>
      <c r="O267">
        <f ca="1"/>
      </c>
      <c r="R267" s="5">
        <f ca="1"/>
      </c>
      <c r="S267">
        <f ca="1"/>
      </c>
    </row>
    <row r="268" spans="2:19" x14ac:dyDescent="0.2">
      <c r="B268" s="5"/>
      <c r="F268" s="5"/>
      <c r="J268" s="5"/>
      <c r="N268" s="5">
        <f ca="1"/>
      </c>
      <c r="O268">
        <f ca="1"/>
      </c>
      <c r="R268" s="5">
        <f ca="1"/>
      </c>
      <c r="S268">
        <f ca="1"/>
      </c>
    </row>
    <row r="269" spans="2:19" x14ac:dyDescent="0.2">
      <c r="B269" s="5"/>
      <c r="F269" s="5"/>
      <c r="J269" s="5"/>
      <c r="N269" s="5">
        <f ca="1"/>
      </c>
      <c r="O269">
        <f ca="1"/>
      </c>
      <c r="R269" s="5">
        <f ca="1"/>
      </c>
      <c r="S269">
        <f ca="1"/>
      </c>
    </row>
    <row r="270" spans="2:19" x14ac:dyDescent="0.2">
      <c r="B270" s="5"/>
      <c r="F270" s="5"/>
      <c r="J270" s="5"/>
      <c r="N270" s="5">
        <f ca="1"/>
      </c>
      <c r="O270">
        <f ca="1"/>
      </c>
      <c r="R270" s="5">
        <f ca="1"/>
      </c>
      <c r="S270">
        <f ca="1"/>
      </c>
    </row>
    <row r="271" spans="2:19" x14ac:dyDescent="0.2">
      <c r="B271" s="5"/>
      <c r="F271" s="5"/>
      <c r="J271" s="5"/>
      <c r="N271" s="5">
        <f ca="1"/>
      </c>
      <c r="O271">
        <f ca="1"/>
      </c>
      <c r="R271" s="5">
        <f ca="1"/>
      </c>
      <c r="S271">
        <f ca="1"/>
      </c>
    </row>
    <row r="272" spans="2:19" x14ac:dyDescent="0.2">
      <c r="B272" s="5"/>
      <c r="F272" s="5"/>
      <c r="J272" s="5"/>
      <c r="N272" s="5">
        <f ca="1"/>
      </c>
      <c r="O272">
        <f ca="1"/>
      </c>
      <c r="R272" s="5">
        <f ca="1"/>
      </c>
      <c r="S272">
        <f ca="1"/>
      </c>
    </row>
    <row r="273" spans="2:19" x14ac:dyDescent="0.2">
      <c r="B273" s="5"/>
      <c r="F273" s="5"/>
      <c r="J273" s="5"/>
      <c r="N273" s="5">
        <f ca="1"/>
      </c>
      <c r="O273">
        <f ca="1"/>
      </c>
      <c r="R273" s="5">
        <f ca="1"/>
      </c>
      <c r="S273">
        <f ca="1"/>
      </c>
    </row>
    <row r="274" spans="2:19" x14ac:dyDescent="0.2">
      <c r="B274" s="5"/>
      <c r="F274" s="5"/>
      <c r="J274" s="5"/>
      <c r="N274" s="5">
        <f ca="1"/>
      </c>
      <c r="O274">
        <f ca="1"/>
      </c>
      <c r="R274" s="5">
        <f ca="1"/>
      </c>
      <c r="S274">
        <f ca="1"/>
      </c>
    </row>
    <row r="275" spans="2:19" x14ac:dyDescent="0.2">
      <c r="B275" s="5"/>
      <c r="F275" s="5"/>
      <c r="J275" s="5"/>
      <c r="N275" s="5">
        <f ca="1"/>
      </c>
      <c r="O275">
        <f ca="1"/>
      </c>
      <c r="R275" s="5">
        <f ca="1"/>
      </c>
      <c r="S275">
        <f ca="1"/>
      </c>
    </row>
    <row r="276" spans="2:19" x14ac:dyDescent="0.2">
      <c r="B276" s="5"/>
      <c r="F276" s="5"/>
      <c r="J276" s="5"/>
      <c r="N276" s="5">
        <f ca="1"/>
      </c>
      <c r="O276">
        <f ca="1"/>
      </c>
      <c r="R276" s="5">
        <f ca="1"/>
      </c>
      <c r="S276">
        <f ca="1"/>
      </c>
    </row>
    <row r="277" spans="2:19" x14ac:dyDescent="0.2">
      <c r="B277" s="5"/>
      <c r="F277" s="5"/>
      <c r="J277" s="5"/>
      <c r="N277" s="5">
        <f ca="1"/>
      </c>
      <c r="O277">
        <f ca="1"/>
      </c>
      <c r="R277" s="5">
        <f ca="1"/>
      </c>
      <c r="S277">
        <f ca="1"/>
      </c>
    </row>
    <row r="278" spans="2:19" x14ac:dyDescent="0.2">
      <c r="B278" s="5"/>
      <c r="F278" s="5"/>
      <c r="J278" s="5"/>
      <c r="N278" s="5">
        <f ca="1"/>
      </c>
      <c r="O278">
        <f ca="1"/>
      </c>
      <c r="R278" s="5">
        <f ca="1"/>
      </c>
      <c r="S278">
        <f ca="1"/>
      </c>
    </row>
    <row r="279" spans="2:19" x14ac:dyDescent="0.2">
      <c r="B279" s="5"/>
      <c r="F279" s="5"/>
      <c r="J279" s="5"/>
      <c r="N279" s="5">
        <f ca="1"/>
      </c>
      <c r="O279">
        <f ca="1"/>
      </c>
      <c r="R279" s="5">
        <f ca="1"/>
      </c>
      <c r="S279">
        <f ca="1"/>
      </c>
    </row>
    <row r="280" spans="2:19" x14ac:dyDescent="0.2">
      <c r="B280" s="5"/>
      <c r="F280" s="5"/>
      <c r="J280" s="5"/>
      <c r="N280" s="5">
        <f ca="1"/>
      </c>
      <c r="O280">
        <f ca="1"/>
      </c>
      <c r="R280" s="5">
        <f ca="1"/>
      </c>
      <c r="S280">
        <f ca="1"/>
      </c>
    </row>
    <row r="281" spans="2:19" x14ac:dyDescent="0.2">
      <c r="B281" s="5"/>
      <c r="F281" s="5"/>
      <c r="J281" s="5"/>
      <c r="N281" s="5">
        <f ca="1"/>
      </c>
      <c r="O281">
        <f ca="1"/>
      </c>
      <c r="R281" s="5">
        <f ca="1"/>
      </c>
      <c r="S281">
        <f ca="1"/>
      </c>
    </row>
    <row r="282" spans="2:19" x14ac:dyDescent="0.2">
      <c r="B282" s="5"/>
      <c r="F282" s="5"/>
      <c r="J282" s="5"/>
      <c r="N282" s="5">
        <f ca="1"/>
      </c>
      <c r="O282">
        <f ca="1"/>
      </c>
      <c r="R282" s="5">
        <f ca="1"/>
      </c>
      <c r="S282">
        <f ca="1"/>
      </c>
    </row>
    <row r="283" spans="2:19" x14ac:dyDescent="0.2">
      <c r="B283" s="5"/>
      <c r="F283" s="5"/>
      <c r="J283" s="5"/>
      <c r="N283" s="5">
        <f ca="1"/>
      </c>
      <c r="O283">
        <f ca="1"/>
      </c>
      <c r="R283" s="5">
        <f ca="1"/>
      </c>
      <c r="S283">
        <f ca="1"/>
      </c>
    </row>
    <row r="284" spans="2:19" x14ac:dyDescent="0.2">
      <c r="B284" s="5"/>
      <c r="F284" s="5"/>
      <c r="J284" s="5"/>
      <c r="N284" s="5">
        <f ca="1"/>
      </c>
      <c r="O284">
        <f ca="1"/>
      </c>
      <c r="R284" s="5">
        <f ca="1"/>
      </c>
      <c r="S284">
        <f ca="1"/>
      </c>
    </row>
    <row r="285" spans="2:19" x14ac:dyDescent="0.2">
      <c r="B285" s="5"/>
      <c r="F285" s="5"/>
      <c r="J285" s="5"/>
      <c r="N285" s="5">
        <f ca="1"/>
      </c>
      <c r="O285">
        <f ca="1"/>
      </c>
      <c r="R285" s="5">
        <f ca="1"/>
      </c>
      <c r="S285">
        <f ca="1"/>
      </c>
    </row>
    <row r="286" spans="2:19" x14ac:dyDescent="0.2">
      <c r="B286" s="5"/>
      <c r="F286" s="5"/>
      <c r="J286" s="5"/>
      <c r="N286" s="5">
        <f ca="1"/>
      </c>
      <c r="O286">
        <f ca="1"/>
      </c>
      <c r="R286" s="5">
        <f ca="1"/>
      </c>
      <c r="S286">
        <f ca="1"/>
      </c>
    </row>
    <row r="287" spans="2:19" x14ac:dyDescent="0.2">
      <c r="B287" s="5"/>
      <c r="F287" s="5"/>
      <c r="J287" s="5"/>
      <c r="N287" s="5">
        <f ca="1"/>
      </c>
      <c r="O287">
        <f ca="1"/>
      </c>
      <c r="R287" s="5">
        <f ca="1"/>
      </c>
      <c r="S287">
        <f ca="1"/>
      </c>
    </row>
    <row r="288" spans="2:19" x14ac:dyDescent="0.2">
      <c r="B288" s="5"/>
      <c r="F288" s="5"/>
      <c r="J288" s="5"/>
      <c r="N288" s="5">
        <f ca="1"/>
      </c>
      <c r="O288">
        <f ca="1"/>
      </c>
      <c r="R288" s="5">
        <f ca="1"/>
      </c>
      <c r="S288">
        <f ca="1"/>
      </c>
    </row>
    <row r="289" spans="2:19" x14ac:dyDescent="0.2">
      <c r="B289" s="5"/>
      <c r="F289" s="5"/>
      <c r="J289" s="5"/>
      <c r="N289" s="5">
        <f ca="1"/>
      </c>
      <c r="O289">
        <f ca="1"/>
      </c>
      <c r="R289" s="5">
        <f ca="1"/>
      </c>
      <c r="S289">
        <f ca="1"/>
      </c>
    </row>
    <row r="290" spans="2:19" x14ac:dyDescent="0.2">
      <c r="B290" s="5"/>
      <c r="F290" s="5"/>
      <c r="J290" s="5"/>
      <c r="N290" s="5">
        <f ca="1"/>
      </c>
      <c r="O290">
        <f ca="1"/>
      </c>
      <c r="R290" s="5">
        <f ca="1"/>
      </c>
      <c r="S290">
        <f ca="1"/>
      </c>
    </row>
    <row r="291" spans="2:19" x14ac:dyDescent="0.2">
      <c r="B291" s="5"/>
      <c r="F291" s="5"/>
      <c r="J291" s="5"/>
      <c r="N291" s="5">
        <f ca="1"/>
      </c>
      <c r="O291">
        <f ca="1"/>
      </c>
      <c r="R291" s="5">
        <f ca="1"/>
      </c>
      <c r="S291">
        <f ca="1"/>
      </c>
    </row>
    <row r="292" spans="2:19" x14ac:dyDescent="0.2">
      <c r="B292" s="5"/>
      <c r="F292" s="5"/>
      <c r="J292" s="5"/>
      <c r="N292" s="5">
        <f ca="1"/>
      </c>
      <c r="O292">
        <f ca="1"/>
      </c>
      <c r="R292" s="5">
        <f ca="1"/>
      </c>
      <c r="S292">
        <f ca="1"/>
      </c>
    </row>
    <row r="293" spans="2:19" x14ac:dyDescent="0.2">
      <c r="B293" s="5"/>
      <c r="F293" s="5"/>
      <c r="J293" s="5"/>
      <c r="N293" s="5">
        <f ca="1"/>
      </c>
      <c r="O293">
        <f ca="1"/>
      </c>
      <c r="R293" s="5">
        <f ca="1"/>
      </c>
      <c r="S293">
        <f ca="1"/>
      </c>
    </row>
    <row r="294" spans="2:19" x14ac:dyDescent="0.2">
      <c r="B294" s="5"/>
      <c r="F294" s="5"/>
      <c r="J294" s="5"/>
      <c r="N294" s="5">
        <f ca="1"/>
      </c>
      <c r="O294">
        <f ca="1"/>
      </c>
      <c r="R294" s="5">
        <f ca="1"/>
      </c>
      <c r="S294">
        <f ca="1"/>
      </c>
    </row>
    <row r="295" spans="2:19" x14ac:dyDescent="0.2">
      <c r="B295" s="5"/>
      <c r="F295" s="5"/>
      <c r="J295" s="5"/>
      <c r="N295" s="5">
        <f ca="1"/>
      </c>
      <c r="O295">
        <f ca="1"/>
      </c>
      <c r="R295" s="5">
        <f ca="1"/>
      </c>
      <c r="S295">
        <f ca="1"/>
      </c>
    </row>
    <row r="296" spans="2:19" x14ac:dyDescent="0.2">
      <c r="B296" s="5"/>
      <c r="F296" s="5"/>
      <c r="J296" s="5"/>
      <c r="N296" s="5">
        <f ca="1"/>
      </c>
      <c r="O296">
        <f ca="1"/>
      </c>
      <c r="R296" s="5">
        <f ca="1"/>
      </c>
      <c r="S296">
        <f ca="1"/>
      </c>
    </row>
    <row r="297" spans="2:19" x14ac:dyDescent="0.2">
      <c r="B297" s="5"/>
      <c r="F297" s="5"/>
      <c r="J297" s="5"/>
      <c r="N297" s="5">
        <f ca="1"/>
      </c>
      <c r="O297">
        <f ca="1"/>
      </c>
      <c r="R297" s="5">
        <f ca="1"/>
      </c>
      <c r="S297">
        <f ca="1"/>
      </c>
    </row>
    <row r="298" spans="2:19" x14ac:dyDescent="0.2">
      <c r="B298" s="5"/>
      <c r="F298" s="5"/>
      <c r="J298" s="5"/>
      <c r="N298" s="5">
        <f ca="1"/>
      </c>
      <c r="O298">
        <f ca="1"/>
      </c>
      <c r="R298" s="5">
        <f ca="1"/>
      </c>
      <c r="S298">
        <f ca="1"/>
      </c>
    </row>
    <row r="299" spans="2:19" x14ac:dyDescent="0.2">
      <c r="B299" s="5"/>
      <c r="F299" s="5"/>
      <c r="J299" s="5"/>
      <c r="N299" s="5">
        <f ca="1"/>
      </c>
      <c r="O299">
        <f ca="1"/>
      </c>
      <c r="R299" s="5">
        <f ca="1"/>
      </c>
      <c r="S299">
        <f ca="1"/>
      </c>
    </row>
    <row r="300" spans="2:19" x14ac:dyDescent="0.2">
      <c r="B300" s="5"/>
      <c r="F300" s="5"/>
      <c r="J300" s="5"/>
      <c r="N300" s="5">
        <f ca="1"/>
      </c>
      <c r="O300">
        <f ca="1"/>
      </c>
      <c r="R300" s="5">
        <f ca="1"/>
      </c>
      <c r="S300">
        <f ca="1"/>
      </c>
    </row>
    <row r="301" spans="2:19" x14ac:dyDescent="0.2">
      <c r="B301" s="5"/>
      <c r="F301" s="5"/>
      <c r="J301" s="5"/>
      <c r="N301" s="5">
        <f ca="1"/>
      </c>
      <c r="O301">
        <f ca="1"/>
      </c>
      <c r="R301" s="5">
        <f ca="1"/>
      </c>
      <c r="S301">
        <f ca="1"/>
      </c>
    </row>
    <row r="302" spans="2:19" x14ac:dyDescent="0.2">
      <c r="B302" s="5"/>
      <c r="F302" s="5"/>
      <c r="J302" s="5"/>
      <c r="N302" s="5">
        <f ca="1"/>
      </c>
      <c r="O302">
        <f ca="1"/>
      </c>
      <c r="R302" s="5">
        <f ca="1"/>
      </c>
      <c r="S302">
        <f ca="1"/>
      </c>
    </row>
    <row r="303" spans="2:19" x14ac:dyDescent="0.2">
      <c r="B303" s="5"/>
      <c r="F303" s="5"/>
      <c r="J303" s="5"/>
      <c r="N303" s="5">
        <f ca="1"/>
      </c>
      <c r="O303">
        <f ca="1"/>
      </c>
      <c r="R303" s="5">
        <f ca="1"/>
      </c>
      <c r="S303">
        <f ca="1"/>
      </c>
    </row>
    <row r="304" spans="2:19" x14ac:dyDescent="0.2">
      <c r="B304" s="5"/>
      <c r="F304" s="5"/>
      <c r="J304" s="5"/>
      <c r="N304" s="5">
        <f ca="1"/>
      </c>
      <c r="O304">
        <f ca="1"/>
      </c>
      <c r="R304" s="5">
        <f ca="1"/>
      </c>
      <c r="S304">
        <f ca="1"/>
      </c>
    </row>
    <row r="305" spans="2:19" x14ac:dyDescent="0.2">
      <c r="B305" s="5"/>
      <c r="F305" s="5"/>
      <c r="J305" s="5"/>
      <c r="N305" s="5">
        <f ca="1"/>
      </c>
      <c r="O305">
        <f ca="1"/>
      </c>
      <c r="R305" s="5">
        <f ca="1"/>
      </c>
      <c r="S305">
        <f ca="1"/>
      </c>
    </row>
    <row r="306" spans="2:19" x14ac:dyDescent="0.2">
      <c r="B306" s="5"/>
      <c r="F306" s="5"/>
      <c r="J306" s="5"/>
      <c r="N306" s="5">
        <f ca="1"/>
      </c>
      <c r="O306">
        <f ca="1"/>
      </c>
      <c r="R306" s="5">
        <f ca="1"/>
      </c>
      <c r="S306">
        <f ca="1"/>
      </c>
    </row>
    <row r="307" spans="2:19" x14ac:dyDescent="0.2">
      <c r="B307" s="5"/>
      <c r="F307" s="5"/>
      <c r="J307" s="5"/>
      <c r="N307" s="5">
        <f ca="1"/>
      </c>
      <c r="O307">
        <f ca="1"/>
      </c>
      <c r="R307" s="5">
        <f ca="1"/>
      </c>
      <c r="S307">
        <f ca="1"/>
      </c>
    </row>
    <row r="308" spans="2:19" x14ac:dyDescent="0.2">
      <c r="B308" s="5"/>
      <c r="F308" s="5"/>
      <c r="J308" s="5"/>
      <c r="N308" s="5">
        <f ca="1"/>
      </c>
      <c r="O308">
        <f ca="1"/>
      </c>
      <c r="R308" s="5">
        <f ca="1"/>
      </c>
      <c r="S308">
        <f ca="1"/>
      </c>
    </row>
    <row r="309" spans="2:19" x14ac:dyDescent="0.2">
      <c r="B309" s="5"/>
      <c r="F309" s="5"/>
      <c r="J309" s="5"/>
      <c r="N309" s="5">
        <f ca="1"/>
      </c>
      <c r="O309">
        <f ca="1"/>
      </c>
      <c r="R309" s="5">
        <f ca="1"/>
      </c>
      <c r="S309">
        <f ca="1"/>
      </c>
    </row>
    <row r="310" spans="2:19" x14ac:dyDescent="0.2">
      <c r="B310" s="5"/>
      <c r="F310" s="5"/>
      <c r="J310" s="5"/>
      <c r="N310" s="5">
        <f ca="1"/>
      </c>
      <c r="O310">
        <f ca="1"/>
      </c>
      <c r="R310" s="5">
        <f ca="1"/>
      </c>
      <c r="S310">
        <f ca="1"/>
      </c>
    </row>
    <row r="311" spans="2:19" x14ac:dyDescent="0.2">
      <c r="B311" s="5"/>
      <c r="F311" s="5"/>
      <c r="J311" s="5"/>
      <c r="N311" s="5">
        <f ca="1"/>
      </c>
      <c r="O311">
        <f ca="1"/>
      </c>
      <c r="R311" s="5">
        <f ca="1"/>
      </c>
      <c r="S311">
        <f ca="1"/>
      </c>
    </row>
    <row r="312" spans="2:19" x14ac:dyDescent="0.2">
      <c r="B312" s="5"/>
      <c r="F312" s="5"/>
      <c r="J312" s="5"/>
      <c r="N312" s="5">
        <f ca="1"/>
      </c>
      <c r="O312">
        <f ca="1"/>
      </c>
      <c r="R312" s="5">
        <f ca="1"/>
      </c>
      <c r="S312">
        <f ca="1"/>
      </c>
    </row>
    <row r="313" spans="2:19" x14ac:dyDescent="0.2">
      <c r="B313" s="5"/>
      <c r="F313" s="5"/>
      <c r="J313" s="5"/>
      <c r="N313" s="5">
        <f ca="1"/>
      </c>
      <c r="O313">
        <f ca="1"/>
      </c>
      <c r="R313" s="5">
        <f ca="1"/>
      </c>
      <c r="S313">
        <f ca="1"/>
      </c>
    </row>
    <row r="314" spans="2:19" x14ac:dyDescent="0.2">
      <c r="B314" s="5"/>
      <c r="F314" s="5"/>
      <c r="J314" s="5"/>
      <c r="N314" s="5">
        <f ca="1"/>
      </c>
      <c r="O314">
        <f ca="1"/>
      </c>
      <c r="R314" s="5">
        <f ca="1"/>
      </c>
      <c r="S314">
        <f ca="1"/>
      </c>
    </row>
    <row r="315" spans="2:19" x14ac:dyDescent="0.2">
      <c r="B315" s="5"/>
      <c r="F315" s="5"/>
      <c r="J315" s="5"/>
      <c r="N315" s="5">
        <f ca="1"/>
      </c>
      <c r="O315">
        <f ca="1"/>
      </c>
      <c r="R315" s="5">
        <f ca="1"/>
      </c>
      <c r="S315">
        <f ca="1"/>
      </c>
    </row>
    <row r="316" spans="2:19" x14ac:dyDescent="0.2">
      <c r="B316" s="5"/>
      <c r="F316" s="5"/>
      <c r="J316" s="5"/>
      <c r="N316" s="5">
        <f ca="1"/>
      </c>
      <c r="O316">
        <f ca="1"/>
      </c>
      <c r="R316" s="5">
        <f ca="1"/>
      </c>
      <c r="S316">
        <f ca="1"/>
      </c>
    </row>
    <row r="317" spans="2:19" x14ac:dyDescent="0.2">
      <c r="B317" s="5"/>
      <c r="F317" s="5"/>
      <c r="J317" s="5"/>
      <c r="N317" s="5">
        <f ca="1"/>
      </c>
      <c r="O317">
        <f ca="1"/>
      </c>
      <c r="R317" s="5">
        <f ca="1"/>
      </c>
      <c r="S317">
        <f ca="1"/>
      </c>
    </row>
    <row r="318" spans="2:19" x14ac:dyDescent="0.2">
      <c r="B318" s="5"/>
      <c r="F318" s="5"/>
      <c r="J318" s="5"/>
      <c r="N318" s="5">
        <f ca="1"/>
      </c>
      <c r="O318">
        <f ca="1"/>
      </c>
      <c r="R318" s="5">
        <f ca="1"/>
      </c>
      <c r="S318">
        <f ca="1"/>
      </c>
    </row>
    <row r="319" spans="2:19" x14ac:dyDescent="0.2">
      <c r="B319" s="5"/>
      <c r="F319" s="5"/>
      <c r="J319" s="5"/>
      <c r="N319" s="5">
        <f ca="1"/>
      </c>
      <c r="O319">
        <f ca="1"/>
      </c>
      <c r="R319" s="5">
        <f ca="1"/>
      </c>
      <c r="S319">
        <f ca="1"/>
      </c>
    </row>
    <row r="320" spans="2:19" x14ac:dyDescent="0.2">
      <c r="B320" s="5"/>
      <c r="F320" s="5"/>
      <c r="J320" s="5"/>
      <c r="N320" s="5">
        <f ca="1"/>
      </c>
      <c r="O320">
        <f ca="1"/>
      </c>
      <c r="R320" s="5">
        <f ca="1"/>
      </c>
      <c r="S320">
        <f ca="1"/>
      </c>
    </row>
    <row r="321" spans="2:19" x14ac:dyDescent="0.2">
      <c r="B321" s="5"/>
      <c r="F321" s="5"/>
      <c r="J321" s="5"/>
      <c r="N321" s="5">
        <f ca="1"/>
      </c>
      <c r="O321">
        <f ca="1"/>
      </c>
      <c r="R321" s="5">
        <f ca="1"/>
      </c>
      <c r="S321">
        <f ca="1"/>
      </c>
    </row>
    <row r="322" spans="2:19" x14ac:dyDescent="0.2">
      <c r="B322" s="5"/>
      <c r="F322" s="5"/>
      <c r="J322" s="5"/>
      <c r="N322" s="5">
        <f ca="1"/>
      </c>
      <c r="O322">
        <f ca="1"/>
      </c>
      <c r="R322" s="5">
        <f ca="1"/>
      </c>
      <c r="S322">
        <f ca="1"/>
      </c>
    </row>
    <row r="323" spans="2:19" x14ac:dyDescent="0.2">
      <c r="B323" s="5"/>
      <c r="F323" s="5"/>
      <c r="J323" s="5"/>
      <c r="N323" s="5">
        <f ca="1"/>
      </c>
      <c r="O323">
        <f ca="1"/>
      </c>
      <c r="R323" s="5">
        <f ca="1"/>
      </c>
      <c r="S323">
        <f ca="1"/>
      </c>
    </row>
    <row r="324" spans="2:19" x14ac:dyDescent="0.2">
      <c r="B324" s="5"/>
      <c r="F324" s="5"/>
      <c r="J324" s="5"/>
      <c r="N324" s="5">
        <f ca="1"/>
      </c>
      <c r="O324">
        <f ca="1"/>
      </c>
      <c r="R324" s="5">
        <f ca="1"/>
      </c>
      <c r="S324">
        <f ca="1"/>
      </c>
    </row>
    <row r="325" spans="2:19" x14ac:dyDescent="0.2">
      <c r="B325" s="5"/>
      <c r="F325" s="5"/>
      <c r="J325" s="5"/>
      <c r="N325" s="5">
        <f ca="1"/>
      </c>
      <c r="O325">
        <f ca="1"/>
      </c>
      <c r="R325" s="5">
        <f ca="1"/>
      </c>
      <c r="S325">
        <f ca="1"/>
      </c>
    </row>
    <row r="326" spans="2:19" x14ac:dyDescent="0.2">
      <c r="B326" s="5"/>
      <c r="F326" s="5"/>
      <c r="J326" s="5"/>
      <c r="N326" s="5">
        <f ca="1"/>
      </c>
      <c r="O326">
        <f ca="1"/>
      </c>
      <c r="R326" s="5">
        <f ca="1"/>
      </c>
      <c r="S326">
        <f ca="1"/>
      </c>
    </row>
    <row r="327" spans="2:19" x14ac:dyDescent="0.2">
      <c r="B327" s="5"/>
      <c r="F327" s="5"/>
      <c r="J327" s="5"/>
      <c r="N327" s="5">
        <f ca="1"/>
      </c>
      <c r="O327">
        <f ca="1"/>
      </c>
      <c r="R327" s="5">
        <f ca="1"/>
      </c>
      <c r="S327">
        <f ca="1"/>
      </c>
    </row>
    <row r="328" spans="2:19" x14ac:dyDescent="0.2">
      <c r="B328" s="5"/>
      <c r="F328" s="5"/>
      <c r="J328" s="5"/>
      <c r="N328" s="5">
        <f ca="1"/>
      </c>
      <c r="O328">
        <f ca="1"/>
      </c>
      <c r="R328" s="5">
        <f ca="1"/>
      </c>
      <c r="S328">
        <f ca="1"/>
      </c>
    </row>
    <row r="329" spans="2:19" x14ac:dyDescent="0.2">
      <c r="B329" s="5"/>
      <c r="F329" s="5"/>
      <c r="J329" s="5"/>
      <c r="N329" s="5">
        <f ca="1"/>
      </c>
      <c r="O329">
        <f ca="1"/>
      </c>
      <c r="R329" s="5">
        <f ca="1"/>
      </c>
      <c r="S329">
        <f ca="1"/>
      </c>
    </row>
    <row r="330" spans="2:19" x14ac:dyDescent="0.2">
      <c r="B330" s="5"/>
      <c r="F330" s="5"/>
      <c r="J330" s="5"/>
      <c r="N330" s="5">
        <f ca="1"/>
      </c>
      <c r="O330">
        <f ca="1"/>
      </c>
      <c r="R330" s="5">
        <f ca="1"/>
      </c>
      <c r="S330">
        <f ca="1"/>
      </c>
    </row>
    <row r="331" spans="2:19" x14ac:dyDescent="0.2">
      <c r="B331" s="5"/>
      <c r="F331" s="5"/>
      <c r="J331" s="5"/>
      <c r="N331" s="5">
        <f ca="1"/>
      </c>
      <c r="O331">
        <f ca="1"/>
      </c>
      <c r="R331" s="5">
        <f ca="1"/>
      </c>
      <c r="S331">
        <f ca="1"/>
      </c>
    </row>
    <row r="332" spans="2:19" x14ac:dyDescent="0.2">
      <c r="B332" s="5"/>
      <c r="F332" s="5"/>
      <c r="J332" s="5"/>
      <c r="N332" s="5">
        <f ca="1"/>
      </c>
      <c r="O332">
        <f ca="1"/>
      </c>
      <c r="R332" s="5">
        <f ca="1"/>
      </c>
      <c r="S332">
        <f ca="1"/>
      </c>
    </row>
    <row r="333" spans="2:19" x14ac:dyDescent="0.2">
      <c r="B333" s="5"/>
      <c r="F333" s="5"/>
      <c r="J333" s="5"/>
      <c r="N333" s="5">
        <f ca="1"/>
      </c>
      <c r="O333">
        <f ca="1"/>
      </c>
      <c r="R333" s="5">
        <f ca="1"/>
      </c>
      <c r="S333">
        <f ca="1"/>
      </c>
    </row>
    <row r="334" spans="2:19" x14ac:dyDescent="0.2">
      <c r="B334" s="5"/>
      <c r="F334" s="5"/>
      <c r="J334" s="5"/>
      <c r="N334" s="5">
        <f ca="1"/>
      </c>
      <c r="O334">
        <f ca="1"/>
      </c>
      <c r="R334" s="5">
        <f ca="1"/>
      </c>
      <c r="S334">
        <f ca="1"/>
      </c>
    </row>
    <row r="335" spans="2:19" x14ac:dyDescent="0.2">
      <c r="B335" s="5"/>
      <c r="F335" s="5"/>
      <c r="J335" s="5"/>
      <c r="N335" s="5">
        <f ca="1"/>
      </c>
      <c r="O335">
        <f ca="1"/>
      </c>
      <c r="R335" s="5">
        <f ca="1"/>
      </c>
      <c r="S335">
        <f ca="1"/>
      </c>
    </row>
    <row r="336" spans="2:19" x14ac:dyDescent="0.2">
      <c r="B336" s="5"/>
      <c r="F336" s="5"/>
      <c r="J336" s="5"/>
      <c r="N336" s="5">
        <f ca="1"/>
      </c>
      <c r="O336">
        <f ca="1"/>
      </c>
      <c r="R336" s="5">
        <f ca="1"/>
      </c>
      <c r="S336">
        <f ca="1"/>
      </c>
    </row>
    <row r="337" spans="2:19" x14ac:dyDescent="0.2">
      <c r="B337" s="5"/>
      <c r="F337" s="5"/>
      <c r="J337" s="5"/>
      <c r="N337" s="5">
        <f ca="1"/>
      </c>
      <c r="O337">
        <f ca="1"/>
      </c>
      <c r="R337" s="5">
        <f ca="1"/>
      </c>
      <c r="S337">
        <f ca="1"/>
      </c>
    </row>
    <row r="338" spans="2:19" x14ac:dyDescent="0.2">
      <c r="B338" s="5"/>
      <c r="F338" s="5"/>
      <c r="J338" s="5"/>
      <c r="N338" s="5">
        <f ca="1"/>
      </c>
      <c r="O338">
        <f ca="1"/>
      </c>
      <c r="R338" s="5">
        <f ca="1"/>
      </c>
      <c r="S338">
        <f ca="1"/>
      </c>
    </row>
    <row r="339" spans="2:19" x14ac:dyDescent="0.2">
      <c r="B339" s="5"/>
      <c r="F339" s="5"/>
      <c r="J339" s="5"/>
      <c r="N339" s="5">
        <f ca="1"/>
      </c>
      <c r="O339">
        <f ca="1"/>
      </c>
      <c r="R339" s="5">
        <f ca="1"/>
      </c>
      <c r="S339">
        <f ca="1"/>
      </c>
    </row>
    <row r="340" spans="2:19" x14ac:dyDescent="0.2">
      <c r="B340" s="5"/>
      <c r="F340" s="5"/>
      <c r="J340" s="5"/>
      <c r="N340" s="5">
        <f ca="1"/>
      </c>
      <c r="O340">
        <f ca="1"/>
      </c>
      <c r="R340" s="5">
        <f ca="1"/>
      </c>
      <c r="S340">
        <f ca="1"/>
      </c>
    </row>
    <row r="341" spans="2:19" x14ac:dyDescent="0.2">
      <c r="B341" s="5"/>
      <c r="F341" s="5"/>
      <c r="J341" s="5"/>
      <c r="N341" s="5">
        <f ca="1"/>
      </c>
      <c r="O341">
        <f ca="1"/>
      </c>
      <c r="R341" s="5">
        <f ca="1"/>
      </c>
      <c r="S341">
        <f ca="1"/>
      </c>
    </row>
    <row r="342" spans="2:19" x14ac:dyDescent="0.2">
      <c r="B342" s="5"/>
      <c r="F342" s="5"/>
      <c r="J342" s="5"/>
      <c r="N342" s="5">
        <f ca="1"/>
      </c>
      <c r="O342">
        <f ca="1"/>
      </c>
      <c r="R342" s="5">
        <f ca="1"/>
      </c>
      <c r="S342">
        <f ca="1"/>
      </c>
    </row>
    <row r="343" spans="2:19" x14ac:dyDescent="0.2">
      <c r="B343" s="5"/>
      <c r="F343" s="5"/>
      <c r="J343" s="5"/>
      <c r="N343" s="5">
        <f ca="1"/>
      </c>
      <c r="O343">
        <f ca="1"/>
      </c>
      <c r="R343" s="5">
        <f ca="1"/>
      </c>
      <c r="S343">
        <f ca="1"/>
      </c>
    </row>
    <row r="344" spans="2:19" x14ac:dyDescent="0.2">
      <c r="B344" s="5"/>
      <c r="F344" s="5"/>
      <c r="J344" s="5"/>
      <c r="N344" s="5">
        <f ca="1"/>
      </c>
      <c r="O344">
        <f ca="1"/>
      </c>
      <c r="R344" s="5">
        <f ca="1"/>
      </c>
      <c r="S344">
        <f ca="1"/>
      </c>
    </row>
    <row r="345" spans="2:19" x14ac:dyDescent="0.2">
      <c r="B345" s="5"/>
      <c r="F345" s="5"/>
      <c r="J345" s="5"/>
      <c r="N345" s="5">
        <f ca="1"/>
      </c>
      <c r="O345">
        <f ca="1"/>
      </c>
      <c r="R345" s="5">
        <f ca="1"/>
      </c>
      <c r="S345">
        <f ca="1"/>
      </c>
    </row>
    <row r="346" spans="2:19" x14ac:dyDescent="0.2">
      <c r="B346" s="5"/>
      <c r="F346" s="5"/>
      <c r="J346" s="5"/>
      <c r="N346" s="5">
        <f ca="1"/>
      </c>
      <c r="O346">
        <f ca="1"/>
      </c>
      <c r="R346" s="5">
        <f ca="1"/>
      </c>
      <c r="S346">
        <f ca="1"/>
      </c>
    </row>
    <row r="347" spans="2:19" x14ac:dyDescent="0.2">
      <c r="B347" s="5"/>
      <c r="F347" s="5"/>
      <c r="J347" s="5"/>
      <c r="N347" s="5">
        <f ca="1"/>
      </c>
      <c r="O347">
        <f ca="1"/>
      </c>
      <c r="R347" s="5">
        <f ca="1"/>
      </c>
      <c r="S347">
        <f ca="1"/>
      </c>
    </row>
    <row r="348" spans="2:19" x14ac:dyDescent="0.2">
      <c r="B348" s="5"/>
      <c r="F348" s="5"/>
      <c r="J348" s="5"/>
      <c r="N348" s="5">
        <f ca="1"/>
      </c>
      <c r="O348">
        <f ca="1"/>
      </c>
      <c r="R348" s="5">
        <f ca="1"/>
      </c>
      <c r="S348">
        <f ca="1"/>
      </c>
    </row>
    <row r="349" spans="2:19" x14ac:dyDescent="0.2">
      <c r="B349" s="5"/>
      <c r="F349" s="5"/>
      <c r="J349" s="5"/>
      <c r="N349" s="5">
        <f ca="1"/>
      </c>
      <c r="O349">
        <f ca="1"/>
      </c>
      <c r="R349" s="5">
        <f ca="1"/>
      </c>
      <c r="S349">
        <f ca="1"/>
      </c>
    </row>
    <row r="350" spans="2:19" x14ac:dyDescent="0.2">
      <c r="B350" s="5"/>
      <c r="F350" s="5"/>
      <c r="J350" s="5"/>
      <c r="N350" s="5">
        <f ca="1"/>
      </c>
      <c r="O350">
        <f ca="1"/>
      </c>
      <c r="R350" s="5">
        <f ca="1"/>
      </c>
      <c r="S350">
        <f ca="1"/>
      </c>
    </row>
    <row r="351" spans="2:19" x14ac:dyDescent="0.2">
      <c r="B351" s="5"/>
      <c r="F351" s="5"/>
      <c r="J351" s="5"/>
      <c r="N351" s="5">
        <f ca="1"/>
      </c>
      <c r="O351">
        <f ca="1"/>
      </c>
      <c r="R351" s="5">
        <f ca="1"/>
      </c>
      <c r="S351">
        <f ca="1"/>
      </c>
    </row>
    <row r="352" spans="2:19" x14ac:dyDescent="0.2">
      <c r="B352" s="5"/>
      <c r="F352" s="5"/>
      <c r="J352" s="5"/>
      <c r="N352" s="5">
        <f ca="1"/>
      </c>
      <c r="O352">
        <f ca="1"/>
      </c>
      <c r="R352" s="5">
        <f ca="1"/>
      </c>
      <c r="S352">
        <f ca="1"/>
      </c>
    </row>
    <row r="353" spans="2:19" x14ac:dyDescent="0.2">
      <c r="B353" s="5"/>
      <c r="F353" s="5"/>
      <c r="J353" s="5"/>
      <c r="N353" s="5">
        <f ca="1"/>
      </c>
      <c r="O353">
        <f ca="1"/>
      </c>
      <c r="R353" s="5">
        <f ca="1"/>
      </c>
      <c r="S353">
        <f ca="1"/>
      </c>
    </row>
    <row r="354" spans="2:19" x14ac:dyDescent="0.2">
      <c r="B354" s="5"/>
      <c r="F354" s="5"/>
      <c r="J354" s="5"/>
      <c r="N354" s="5">
        <f ca="1"/>
      </c>
      <c r="O354">
        <f ca="1"/>
      </c>
      <c r="R354" s="5">
        <f ca="1"/>
      </c>
      <c r="S354">
        <f ca="1"/>
      </c>
    </row>
    <row r="355" spans="2:19" x14ac:dyDescent="0.2">
      <c r="B355" s="5"/>
      <c r="F355" s="5"/>
      <c r="J355" s="5"/>
      <c r="N355" s="5">
        <f ca="1"/>
      </c>
      <c r="O355">
        <f ca="1"/>
      </c>
      <c r="R355" s="5">
        <f ca="1"/>
      </c>
      <c r="S355">
        <f ca="1"/>
      </c>
    </row>
    <row r="356" spans="2:19" x14ac:dyDescent="0.2">
      <c r="B356" s="5"/>
      <c r="F356" s="5"/>
      <c r="J356" s="5"/>
      <c r="N356" s="5">
        <f ca="1"/>
      </c>
      <c r="O356">
        <f ca="1"/>
      </c>
      <c r="R356" s="5">
        <f ca="1"/>
      </c>
      <c r="S356">
        <f ca="1"/>
      </c>
    </row>
    <row r="357" spans="2:19" x14ac:dyDescent="0.2">
      <c r="B357" s="5"/>
      <c r="F357" s="5"/>
      <c r="J357" s="5"/>
      <c r="N357" s="5">
        <f ca="1"/>
      </c>
      <c r="O357">
        <f ca="1"/>
      </c>
      <c r="R357" s="5">
        <f ca="1"/>
      </c>
      <c r="S357">
        <f ca="1"/>
      </c>
    </row>
    <row r="358" spans="2:19" x14ac:dyDescent="0.2">
      <c r="B358" s="5"/>
      <c r="F358" s="5"/>
      <c r="J358" s="5"/>
      <c r="N358" s="5">
        <f ca="1"/>
      </c>
      <c r="O358">
        <f ca="1"/>
      </c>
      <c r="R358" s="5">
        <f ca="1"/>
      </c>
      <c r="S358">
        <f ca="1"/>
      </c>
    </row>
    <row r="359" spans="2:19" x14ac:dyDescent="0.2">
      <c r="B359" s="5"/>
      <c r="F359" s="5"/>
      <c r="J359" s="5"/>
      <c r="N359" s="5">
        <f ca="1"/>
      </c>
      <c r="O359">
        <f ca="1"/>
      </c>
      <c r="R359" s="5">
        <f ca="1"/>
      </c>
      <c r="S359">
        <f ca="1"/>
      </c>
    </row>
    <row r="360" spans="2:19" x14ac:dyDescent="0.2">
      <c r="B360" s="5"/>
      <c r="F360" s="5"/>
      <c r="J360" s="5"/>
      <c r="N360" s="5">
        <f ca="1"/>
      </c>
      <c r="O360">
        <f ca="1"/>
      </c>
      <c r="R360" s="5">
        <f ca="1"/>
      </c>
      <c r="S360">
        <f ca="1"/>
      </c>
    </row>
    <row r="361" spans="2:19" x14ac:dyDescent="0.2">
      <c r="B361" s="5"/>
      <c r="F361" s="5"/>
      <c r="J361" s="5"/>
      <c r="N361" s="5">
        <f ca="1"/>
      </c>
      <c r="O361">
        <f ca="1"/>
      </c>
      <c r="R361" s="5">
        <f ca="1"/>
      </c>
      <c r="S361">
        <f ca="1"/>
      </c>
    </row>
    <row r="362" spans="2:19" x14ac:dyDescent="0.2">
      <c r="B362" s="5"/>
      <c r="F362" s="5"/>
      <c r="J362" s="5"/>
      <c r="N362" s="5">
        <f ca="1"/>
      </c>
      <c r="O362">
        <f ca="1"/>
      </c>
      <c r="R362" s="5">
        <f ca="1"/>
      </c>
      <c r="S362">
        <f ca="1"/>
      </c>
    </row>
    <row r="363" spans="2:19" x14ac:dyDescent="0.2">
      <c r="B363" s="5"/>
      <c r="F363" s="5"/>
      <c r="J363" s="5"/>
      <c r="N363" s="5">
        <f ca="1"/>
      </c>
      <c r="O363">
        <f ca="1"/>
      </c>
      <c r="R363" s="5">
        <f ca="1"/>
      </c>
      <c r="S363">
        <f ca="1"/>
      </c>
    </row>
    <row r="364" spans="2:19" x14ac:dyDescent="0.2">
      <c r="B364" s="5"/>
      <c r="F364" s="5"/>
      <c r="J364" s="5"/>
      <c r="N364" s="5">
        <f ca="1"/>
      </c>
      <c r="O364">
        <f ca="1"/>
      </c>
      <c r="R364" s="5">
        <f ca="1"/>
      </c>
      <c r="S364">
        <f ca="1"/>
      </c>
    </row>
    <row r="365" spans="2:19" x14ac:dyDescent="0.2">
      <c r="B365" s="5"/>
      <c r="F365" s="5"/>
      <c r="J365" s="5"/>
      <c r="N365" s="5">
        <f ca="1"/>
      </c>
      <c r="O365">
        <f ca="1"/>
      </c>
      <c r="R365" s="5">
        <f ca="1"/>
      </c>
      <c r="S365">
        <f ca="1"/>
      </c>
    </row>
    <row r="366" spans="2:19" x14ac:dyDescent="0.2">
      <c r="B366" s="5"/>
      <c r="F366" s="5"/>
      <c r="J366" s="5"/>
      <c r="N366" s="5">
        <f ca="1"/>
      </c>
      <c r="O366">
        <f ca="1"/>
      </c>
      <c r="R366" s="5">
        <f ca="1"/>
      </c>
      <c r="S366">
        <f ca="1"/>
      </c>
    </row>
    <row r="367" spans="2:19" x14ac:dyDescent="0.2">
      <c r="B367" s="5"/>
      <c r="F367" s="5"/>
      <c r="J367" s="5"/>
      <c r="N367" s="5">
        <f ca="1"/>
      </c>
      <c r="O367">
        <f ca="1"/>
      </c>
      <c r="R367" s="5">
        <f ca="1"/>
      </c>
      <c r="S367">
        <f ca="1"/>
      </c>
    </row>
    <row r="368" spans="2:19" x14ac:dyDescent="0.2">
      <c r="B368" s="5"/>
      <c r="F368" s="5"/>
      <c r="J368" s="5"/>
      <c r="N368" s="5">
        <f ca="1"/>
      </c>
      <c r="O368">
        <f ca="1"/>
      </c>
      <c r="R368" s="5">
        <f ca="1"/>
      </c>
      <c r="S368">
        <f ca="1"/>
      </c>
    </row>
    <row r="369" spans="2:19" x14ac:dyDescent="0.2">
      <c r="B369" s="5"/>
      <c r="F369" s="5"/>
      <c r="J369" s="5"/>
      <c r="N369" s="5">
        <f ca="1"/>
      </c>
      <c r="O369">
        <f ca="1"/>
      </c>
      <c r="R369" s="5">
        <f ca="1"/>
      </c>
      <c r="S369">
        <f ca="1"/>
      </c>
    </row>
    <row r="370" spans="2:19" x14ac:dyDescent="0.2">
      <c r="B370" s="5"/>
      <c r="F370" s="5"/>
      <c r="J370" s="5"/>
      <c r="N370" s="5">
        <f ca="1"/>
      </c>
      <c r="O370">
        <f ca="1"/>
      </c>
      <c r="R370" s="5">
        <f ca="1"/>
      </c>
      <c r="S370">
        <f ca="1"/>
      </c>
    </row>
    <row r="371" spans="2:19" x14ac:dyDescent="0.2">
      <c r="B371" s="5"/>
      <c r="F371" s="5"/>
      <c r="J371" s="5"/>
      <c r="N371" s="5">
        <f ca="1"/>
      </c>
      <c r="O371">
        <f ca="1"/>
      </c>
      <c r="R371" s="5">
        <f ca="1"/>
      </c>
      <c r="S371">
        <f ca="1"/>
      </c>
    </row>
    <row r="372" spans="2:19" x14ac:dyDescent="0.2">
      <c r="B372" s="5"/>
      <c r="F372" s="5"/>
      <c r="J372" s="5"/>
      <c r="N372" s="5">
        <f ca="1"/>
      </c>
      <c r="O372">
        <f ca="1"/>
      </c>
      <c r="R372" s="5">
        <f ca="1"/>
      </c>
      <c r="S372">
        <f ca="1"/>
      </c>
    </row>
    <row r="373" spans="2:19" x14ac:dyDescent="0.2">
      <c r="B373" s="5"/>
      <c r="F373" s="5"/>
      <c r="J373" s="5"/>
      <c r="N373" s="5">
        <f ca="1"/>
      </c>
      <c r="O373">
        <f ca="1"/>
      </c>
      <c r="R373" s="5">
        <f ca="1"/>
      </c>
      <c r="S373">
        <f ca="1"/>
      </c>
    </row>
    <row r="374" spans="2:19" x14ac:dyDescent="0.2">
      <c r="B374" s="5"/>
      <c r="F374" s="5"/>
      <c r="J374" s="5"/>
      <c r="N374" s="5">
        <f ca="1"/>
      </c>
      <c r="O374">
        <f ca="1"/>
      </c>
      <c r="R374" s="5">
        <f ca="1"/>
      </c>
      <c r="S374">
        <f ca="1"/>
      </c>
    </row>
    <row r="375" spans="2:19" x14ac:dyDescent="0.2">
      <c r="B375" s="5"/>
      <c r="F375" s="5"/>
      <c r="J375" s="5"/>
      <c r="N375" s="5">
        <f ca="1"/>
      </c>
      <c r="O375">
        <f ca="1"/>
      </c>
      <c r="R375" s="5">
        <f ca="1"/>
      </c>
      <c r="S375">
        <f ca="1"/>
      </c>
    </row>
    <row r="376" spans="2:19" x14ac:dyDescent="0.2">
      <c r="B376" s="5"/>
      <c r="F376" s="5"/>
      <c r="J376" s="5"/>
      <c r="N376" s="5">
        <f ca="1"/>
      </c>
      <c r="O376">
        <f ca="1"/>
      </c>
      <c r="R376" s="5">
        <f ca="1"/>
      </c>
      <c r="S376">
        <f ca="1"/>
      </c>
    </row>
    <row r="377" spans="2:19" x14ac:dyDescent="0.2">
      <c r="B377" s="5"/>
      <c r="F377" s="5"/>
      <c r="J377" s="5"/>
      <c r="N377" s="5">
        <f ca="1"/>
      </c>
      <c r="O377">
        <f ca="1"/>
      </c>
      <c r="R377" s="5">
        <f ca="1"/>
      </c>
      <c r="S377">
        <f ca="1"/>
      </c>
    </row>
    <row r="378" spans="2:19" x14ac:dyDescent="0.2">
      <c r="B378" s="5"/>
      <c r="F378" s="5"/>
      <c r="J378" s="5"/>
      <c r="N378" s="5">
        <f ca="1"/>
      </c>
      <c r="O378">
        <f ca="1"/>
      </c>
      <c r="R378" s="5">
        <f ca="1"/>
      </c>
      <c r="S378">
        <f ca="1"/>
      </c>
    </row>
    <row r="379" spans="2:19" x14ac:dyDescent="0.2">
      <c r="B379" s="5"/>
      <c r="F379" s="5"/>
      <c r="J379" s="5"/>
      <c r="N379" s="5">
        <f ca="1"/>
      </c>
      <c r="O379">
        <f ca="1"/>
      </c>
      <c r="R379" s="5">
        <f ca="1"/>
      </c>
      <c r="S379">
        <f ca="1"/>
      </c>
    </row>
    <row r="380" spans="2:19" x14ac:dyDescent="0.2">
      <c r="B380" s="5"/>
      <c r="F380" s="5"/>
      <c r="J380" s="5"/>
      <c r="N380" s="5">
        <f ca="1"/>
      </c>
      <c r="O380">
        <f ca="1"/>
      </c>
      <c r="R380" s="5">
        <f ca="1"/>
      </c>
      <c r="S380">
        <f ca="1"/>
      </c>
    </row>
    <row r="381" spans="2:19" x14ac:dyDescent="0.2">
      <c r="B381" s="5"/>
      <c r="F381" s="5"/>
      <c r="J381" s="5"/>
      <c r="N381" s="5">
        <f ca="1"/>
      </c>
      <c r="O381">
        <f ca="1"/>
      </c>
      <c r="R381" s="5">
        <f ca="1"/>
      </c>
      <c r="S381">
        <f ca="1"/>
      </c>
    </row>
    <row r="382" spans="2:19" x14ac:dyDescent="0.2">
      <c r="B382" s="5"/>
      <c r="F382" s="5"/>
      <c r="J382" s="5"/>
      <c r="N382" s="5">
        <f ca="1"/>
      </c>
      <c r="O382">
        <f ca="1"/>
      </c>
      <c r="R382" s="5">
        <f ca="1"/>
      </c>
      <c r="S382">
        <f ca="1"/>
      </c>
    </row>
    <row r="383" spans="2:19" x14ac:dyDescent="0.2">
      <c r="B383" s="5"/>
      <c r="F383" s="5"/>
      <c r="J383" s="5"/>
      <c r="N383" s="5">
        <f ca="1"/>
      </c>
      <c r="O383">
        <f ca="1"/>
      </c>
      <c r="R383" s="5">
        <f ca="1"/>
      </c>
      <c r="S383">
        <f ca="1"/>
      </c>
    </row>
    <row r="384" spans="2:19" x14ac:dyDescent="0.2">
      <c r="B384" s="5"/>
      <c r="F384" s="5"/>
      <c r="J384" s="5"/>
      <c r="N384" s="5">
        <f ca="1"/>
      </c>
      <c r="O384">
        <f ca="1"/>
      </c>
      <c r="R384" s="5">
        <f ca="1"/>
      </c>
      <c r="S384">
        <f ca="1"/>
      </c>
    </row>
    <row r="385" spans="2:19" x14ac:dyDescent="0.2">
      <c r="B385" s="5"/>
      <c r="F385" s="5"/>
      <c r="J385" s="5"/>
      <c r="N385" s="5">
        <f ca="1"/>
      </c>
      <c r="O385">
        <f ca="1"/>
      </c>
      <c r="R385" s="5">
        <f ca="1"/>
      </c>
      <c r="S385">
        <f ca="1"/>
      </c>
    </row>
    <row r="386" spans="2:19" x14ac:dyDescent="0.2">
      <c r="B386" s="5"/>
      <c r="F386" s="5"/>
      <c r="J386" s="5"/>
      <c r="N386" s="5">
        <f ca="1"/>
      </c>
      <c r="O386">
        <f ca="1"/>
      </c>
      <c r="R386" s="5">
        <f ca="1"/>
      </c>
      <c r="S386">
        <f ca="1"/>
      </c>
    </row>
    <row r="387" spans="2:19" x14ac:dyDescent="0.2">
      <c r="B387" s="5"/>
      <c r="F387" s="5"/>
      <c r="J387" s="5"/>
      <c r="N387" s="5">
        <f ca="1"/>
      </c>
      <c r="O387">
        <f ca="1"/>
      </c>
      <c r="R387" s="5">
        <f ca="1"/>
      </c>
      <c r="S387">
        <f ca="1"/>
      </c>
    </row>
    <row r="388" spans="2:19" x14ac:dyDescent="0.2">
      <c r="B388" s="5"/>
      <c r="F388" s="5"/>
      <c r="J388" s="5"/>
      <c r="N388" s="5">
        <f ca="1"/>
      </c>
      <c r="O388">
        <f ca="1"/>
      </c>
      <c r="R388" s="5">
        <f ca="1"/>
      </c>
      <c r="S388">
        <f ca="1"/>
      </c>
    </row>
    <row r="389" spans="2:19" x14ac:dyDescent="0.2">
      <c r="B389" s="5"/>
      <c r="F389" s="5"/>
      <c r="J389" s="5"/>
      <c r="N389" s="5">
        <f ca="1"/>
      </c>
      <c r="O389">
        <f ca="1"/>
      </c>
      <c r="R389" s="5">
        <f ca="1"/>
      </c>
      <c r="S389">
        <f ca="1"/>
      </c>
    </row>
    <row r="390" spans="2:19" x14ac:dyDescent="0.2">
      <c r="B390" s="5"/>
      <c r="F390" s="5"/>
      <c r="J390" s="5"/>
      <c r="N390" s="5">
        <f ca="1"/>
      </c>
      <c r="O390">
        <f ca="1"/>
      </c>
      <c r="R390" s="5">
        <f ca="1"/>
      </c>
      <c r="S390">
        <f ca="1"/>
      </c>
    </row>
    <row r="391" spans="2:19" x14ac:dyDescent="0.2">
      <c r="B391" s="5"/>
      <c r="F391" s="5"/>
      <c r="J391" s="5"/>
      <c r="N391" s="5">
        <f ca="1"/>
      </c>
      <c r="O391">
        <f ca="1"/>
      </c>
      <c r="R391" s="5">
        <f ca="1"/>
      </c>
      <c r="S391">
        <f ca="1"/>
      </c>
    </row>
    <row r="392" spans="2:19" x14ac:dyDescent="0.2">
      <c r="B392" s="5"/>
      <c r="F392" s="5"/>
      <c r="J392" s="5"/>
      <c r="N392" s="5">
        <f ca="1"/>
      </c>
      <c r="O392">
        <f ca="1"/>
      </c>
      <c r="R392" s="5">
        <f ca="1"/>
      </c>
      <c r="S392">
        <f ca="1"/>
      </c>
    </row>
    <row r="393" spans="2:19" x14ac:dyDescent="0.2">
      <c r="B393" s="5"/>
      <c r="F393" s="5"/>
      <c r="J393" s="5"/>
      <c r="N393" s="5">
        <f ca="1"/>
      </c>
      <c r="O393">
        <f ca="1"/>
      </c>
      <c r="R393" s="5">
        <f ca="1"/>
      </c>
      <c r="S393">
        <f ca="1"/>
      </c>
    </row>
    <row r="394" spans="2:19" x14ac:dyDescent="0.2">
      <c r="B394" s="5"/>
      <c r="F394" s="5"/>
      <c r="J394" s="5"/>
      <c r="N394" s="5">
        <f ca="1"/>
      </c>
      <c r="O394">
        <f ca="1"/>
      </c>
      <c r="R394" s="5">
        <f ca="1"/>
      </c>
      <c r="S394">
        <f ca="1"/>
      </c>
    </row>
    <row r="395" spans="2:19" x14ac:dyDescent="0.2">
      <c r="B395" s="5"/>
      <c r="F395" s="5"/>
      <c r="J395" s="5"/>
      <c r="N395" s="5">
        <f ca="1"/>
      </c>
      <c r="O395">
        <f ca="1"/>
      </c>
      <c r="R395" s="5">
        <f ca="1"/>
      </c>
      <c r="S395">
        <f ca="1"/>
      </c>
    </row>
    <row r="396" spans="2:19" x14ac:dyDescent="0.2">
      <c r="B396" s="5"/>
      <c r="F396" s="5"/>
      <c r="J396" s="5"/>
      <c r="N396" s="5">
        <f ca="1"/>
      </c>
      <c r="O396">
        <f ca="1"/>
      </c>
      <c r="R396" s="5">
        <f ca="1"/>
      </c>
      <c r="S396">
        <f ca="1"/>
      </c>
    </row>
    <row r="397" spans="2:19" x14ac:dyDescent="0.2">
      <c r="B397" s="5"/>
      <c r="F397" s="5"/>
      <c r="J397" s="5"/>
      <c r="N397" s="5">
        <f ca="1"/>
      </c>
      <c r="O397">
        <f ca="1"/>
      </c>
      <c r="R397" s="5">
        <f ca="1"/>
      </c>
      <c r="S397">
        <f ca="1"/>
      </c>
    </row>
    <row r="398" spans="2:19" x14ac:dyDescent="0.2">
      <c r="B398" s="5"/>
      <c r="F398" s="5"/>
      <c r="J398" s="5"/>
      <c r="N398" s="5">
        <f ca="1"/>
      </c>
      <c r="O398">
        <f ca="1"/>
      </c>
      <c r="R398" s="5">
        <f ca="1"/>
      </c>
      <c r="S398">
        <f ca="1"/>
      </c>
    </row>
    <row r="399" spans="2:19" x14ac:dyDescent="0.2">
      <c r="B399" s="5"/>
      <c r="F399" s="5"/>
      <c r="J399" s="5"/>
      <c r="N399" s="5">
        <f ca="1"/>
      </c>
      <c r="O399">
        <f ca="1"/>
      </c>
      <c r="R399" s="5">
        <f ca="1"/>
      </c>
      <c r="S399">
        <f ca="1"/>
      </c>
    </row>
    <row r="400" spans="2:19" x14ac:dyDescent="0.2">
      <c r="B400" s="5"/>
      <c r="F400" s="5"/>
      <c r="J400" s="5"/>
      <c r="N400" s="5">
        <f ca="1"/>
      </c>
      <c r="O400">
        <f ca="1"/>
      </c>
      <c r="R400" s="5">
        <f ca="1"/>
      </c>
      <c r="S400">
        <f ca="1"/>
      </c>
    </row>
    <row r="401" spans="2:19" x14ac:dyDescent="0.2">
      <c r="B401" s="5"/>
      <c r="F401" s="5"/>
      <c r="J401" s="5"/>
      <c r="N401" s="5">
        <f ca="1"/>
      </c>
      <c r="O401">
        <f ca="1"/>
      </c>
      <c r="R401" s="5">
        <f ca="1"/>
      </c>
      <c r="S401">
        <f ca="1"/>
      </c>
    </row>
    <row r="402" spans="2:19" x14ac:dyDescent="0.2">
      <c r="B402" s="5"/>
      <c r="F402" s="5"/>
      <c r="J402" s="5"/>
      <c r="N402" s="5">
        <f ca="1"/>
      </c>
      <c r="O402">
        <f ca="1"/>
      </c>
      <c r="R402" s="5">
        <f ca="1"/>
      </c>
      <c r="S402">
        <f ca="1"/>
      </c>
    </row>
    <row r="403" spans="2:19" x14ac:dyDescent="0.2">
      <c r="B403" s="5"/>
      <c r="F403" s="5"/>
      <c r="J403" s="5"/>
      <c r="N403" s="5">
        <f ca="1"/>
      </c>
      <c r="O403">
        <f ca="1"/>
      </c>
      <c r="R403" s="5">
        <f ca="1"/>
      </c>
      <c r="S403">
        <f ca="1"/>
      </c>
    </row>
    <row r="404" spans="2:19" x14ac:dyDescent="0.2">
      <c r="B404" s="5"/>
      <c r="F404" s="5"/>
      <c r="J404" s="5"/>
      <c r="N404" s="5">
        <f ca="1"/>
      </c>
      <c r="O404">
        <f ca="1"/>
      </c>
      <c r="R404" s="5">
        <f ca="1"/>
      </c>
      <c r="S404">
        <f ca="1"/>
      </c>
    </row>
    <row r="405" spans="2:19" x14ac:dyDescent="0.2">
      <c r="B405" s="5"/>
      <c r="F405" s="5"/>
      <c r="J405" s="5"/>
      <c r="N405" s="5">
        <f ca="1"/>
      </c>
      <c r="O405">
        <f ca="1"/>
      </c>
      <c r="R405" s="5">
        <f ca="1"/>
      </c>
      <c r="S405">
        <f ca="1"/>
      </c>
    </row>
    <row r="406" spans="2:19" x14ac:dyDescent="0.2">
      <c r="B406" s="5"/>
      <c r="F406" s="5"/>
      <c r="J406" s="5"/>
      <c r="N406" s="5">
        <f ca="1"/>
      </c>
      <c r="O406">
        <f ca="1"/>
      </c>
      <c r="R406" s="5">
        <f ca="1"/>
      </c>
      <c r="S406">
        <f ca="1"/>
      </c>
    </row>
    <row r="407" spans="2:19" x14ac:dyDescent="0.2">
      <c r="B407" s="5"/>
      <c r="F407" s="5"/>
      <c r="J407" s="5"/>
      <c r="N407" s="5">
        <f ca="1"/>
      </c>
      <c r="O407">
        <f ca="1"/>
      </c>
      <c r="R407" s="5">
        <f ca="1"/>
      </c>
      <c r="S407">
        <f ca="1"/>
      </c>
    </row>
    <row r="408" spans="2:19" x14ac:dyDescent="0.2">
      <c r="B408" s="5"/>
      <c r="F408" s="5"/>
      <c r="J408" s="5"/>
      <c r="N408" s="5">
        <f ca="1"/>
      </c>
      <c r="O408">
        <f ca="1"/>
      </c>
      <c r="R408" s="5">
        <f ca="1"/>
      </c>
      <c r="S408">
        <f ca="1"/>
      </c>
    </row>
    <row r="409" spans="2:19" x14ac:dyDescent="0.2">
      <c r="B409" s="5"/>
      <c r="F409" s="5"/>
      <c r="J409" s="5"/>
      <c r="N409" s="5">
        <f ca="1"/>
      </c>
      <c r="O409">
        <f ca="1"/>
      </c>
      <c r="R409" s="5">
        <f ca="1"/>
      </c>
      <c r="S409">
        <f ca="1"/>
      </c>
    </row>
    <row r="410" spans="2:19" x14ac:dyDescent="0.2">
      <c r="B410" s="5"/>
      <c r="F410" s="5"/>
      <c r="J410" s="5"/>
      <c r="N410" s="5">
        <f ca="1"/>
      </c>
      <c r="O410">
        <f ca="1"/>
      </c>
      <c r="R410" s="5">
        <f ca="1"/>
      </c>
      <c r="S410">
        <f ca="1"/>
      </c>
    </row>
    <row r="411" spans="2:19" x14ac:dyDescent="0.2">
      <c r="B411" s="5"/>
      <c r="F411" s="5"/>
      <c r="J411" s="5"/>
      <c r="N411" s="5">
        <f ca="1"/>
      </c>
      <c r="O411">
        <f ca="1"/>
      </c>
      <c r="R411" s="5">
        <f ca="1"/>
      </c>
      <c r="S411">
        <f ca="1"/>
      </c>
    </row>
    <row r="412" spans="2:19" x14ac:dyDescent="0.2">
      <c r="B412" s="5"/>
      <c r="F412" s="5"/>
      <c r="J412" s="5"/>
      <c r="N412" s="5">
        <f ca="1"/>
      </c>
      <c r="O412">
        <f ca="1"/>
      </c>
      <c r="R412" s="5">
        <f ca="1"/>
      </c>
      <c r="S412">
        <f ca="1"/>
      </c>
    </row>
    <row r="413" spans="2:19" x14ac:dyDescent="0.2">
      <c r="B413" s="5"/>
      <c r="F413" s="5"/>
      <c r="J413" s="5"/>
      <c r="N413" s="5">
        <f ca="1"/>
      </c>
      <c r="O413">
        <f ca="1"/>
      </c>
      <c r="R413" s="5">
        <f ca="1"/>
      </c>
      <c r="S413">
        <f ca="1"/>
      </c>
    </row>
    <row r="414" spans="2:19" x14ac:dyDescent="0.2">
      <c r="B414" s="5"/>
      <c r="F414" s="5"/>
      <c r="J414" s="5"/>
      <c r="N414" s="5">
        <f ca="1"/>
      </c>
      <c r="O414">
        <f ca="1"/>
      </c>
      <c r="R414" s="5">
        <f ca="1"/>
      </c>
      <c r="S414">
        <f ca="1"/>
      </c>
    </row>
    <row r="415" spans="2:19" x14ac:dyDescent="0.2">
      <c r="B415" s="5"/>
      <c r="F415" s="5"/>
      <c r="J415" s="5"/>
      <c r="N415" s="5">
        <f ca="1"/>
      </c>
      <c r="O415">
        <f ca="1"/>
      </c>
      <c r="R415" s="5">
        <f ca="1"/>
      </c>
      <c r="S415">
        <f ca="1"/>
      </c>
    </row>
    <row r="416" spans="2:19" x14ac:dyDescent="0.2">
      <c r="B416" s="5"/>
      <c r="F416" s="5"/>
      <c r="J416" s="5"/>
      <c r="N416" s="5">
        <f ca="1"/>
      </c>
      <c r="O416">
        <f ca="1"/>
      </c>
      <c r="R416" s="5">
        <f ca="1"/>
      </c>
      <c r="S416">
        <f ca="1"/>
      </c>
    </row>
    <row r="417" spans="2:19" x14ac:dyDescent="0.2">
      <c r="B417" s="5"/>
      <c r="F417" s="5"/>
      <c r="J417" s="5"/>
      <c r="N417" s="5">
        <f ca="1"/>
      </c>
      <c r="O417">
        <f ca="1"/>
      </c>
      <c r="R417" s="5">
        <f ca="1"/>
      </c>
      <c r="S417">
        <f ca="1"/>
      </c>
    </row>
    <row r="418" spans="2:19" x14ac:dyDescent="0.2">
      <c r="B418" s="5"/>
      <c r="F418" s="5"/>
      <c r="J418" s="5"/>
      <c r="N418" s="5">
        <f ca="1"/>
      </c>
      <c r="O418">
        <f ca="1"/>
      </c>
      <c r="R418" s="5">
        <f ca="1"/>
      </c>
      <c r="S418">
        <f ca="1"/>
      </c>
    </row>
    <row r="419" spans="2:19" x14ac:dyDescent="0.2">
      <c r="B419" s="5"/>
      <c r="F419" s="5"/>
      <c r="J419" s="5"/>
      <c r="N419" s="5">
        <f ca="1"/>
      </c>
      <c r="O419">
        <f ca="1"/>
      </c>
      <c r="R419" s="5">
        <f ca="1"/>
      </c>
      <c r="S419">
        <f ca="1"/>
      </c>
    </row>
    <row r="420" spans="2:19" x14ac:dyDescent="0.2">
      <c r="B420" s="5"/>
      <c r="F420" s="5"/>
      <c r="J420" s="5"/>
      <c r="N420" s="5">
        <f ca="1"/>
      </c>
      <c r="O420">
        <f ca="1"/>
      </c>
      <c r="R420" s="5">
        <f ca="1"/>
      </c>
      <c r="S420">
        <f ca="1"/>
      </c>
    </row>
    <row r="421" spans="2:19" x14ac:dyDescent="0.2">
      <c r="B421" s="5"/>
      <c r="F421" s="5"/>
      <c r="J421" s="5"/>
      <c r="N421" s="5">
        <f ca="1"/>
      </c>
      <c r="O421">
        <f ca="1"/>
      </c>
      <c r="R421" s="5">
        <f ca="1"/>
      </c>
      <c r="S421">
        <f ca="1"/>
      </c>
    </row>
    <row r="422" spans="2:19" x14ac:dyDescent="0.2">
      <c r="B422" s="5"/>
      <c r="F422" s="5"/>
      <c r="J422" s="5"/>
      <c r="N422" s="5">
        <f ca="1"/>
      </c>
      <c r="O422">
        <f ca="1"/>
      </c>
      <c r="R422" s="5">
        <f ca="1"/>
      </c>
      <c r="S422">
        <f ca="1"/>
      </c>
    </row>
    <row r="423" spans="2:19" x14ac:dyDescent="0.2">
      <c r="B423" s="5"/>
      <c r="F423" s="5"/>
      <c r="J423" s="5"/>
      <c r="N423" s="5">
        <f ca="1"/>
      </c>
      <c r="O423">
        <f ca="1"/>
      </c>
      <c r="R423" s="5">
        <f ca="1"/>
      </c>
      <c r="S423">
        <f ca="1"/>
      </c>
    </row>
    <row r="424" spans="2:19" x14ac:dyDescent="0.2">
      <c r="B424" s="5"/>
      <c r="F424" s="5"/>
      <c r="J424" s="5"/>
      <c r="N424" s="5">
        <f ca="1"/>
      </c>
      <c r="O424">
        <f ca="1"/>
      </c>
      <c r="R424" s="5">
        <f ca="1"/>
      </c>
      <c r="S424">
        <f ca="1"/>
      </c>
    </row>
    <row r="425" spans="2:19" x14ac:dyDescent="0.2">
      <c r="B425" s="5"/>
      <c r="F425" s="5"/>
      <c r="J425" s="5"/>
      <c r="N425" s="5">
        <f ca="1"/>
      </c>
      <c r="O425">
        <f ca="1"/>
      </c>
      <c r="R425" s="5">
        <f ca="1"/>
      </c>
      <c r="S425">
        <f ca="1"/>
      </c>
    </row>
    <row r="426" spans="2:19" x14ac:dyDescent="0.2">
      <c r="B426" s="5"/>
      <c r="F426" s="5"/>
      <c r="J426" s="5"/>
      <c r="N426" s="5">
        <f ca="1"/>
      </c>
      <c r="O426">
        <f ca="1"/>
      </c>
      <c r="R426" s="5">
        <f ca="1"/>
      </c>
      <c r="S426">
        <f ca="1"/>
      </c>
    </row>
    <row r="427" spans="2:19" x14ac:dyDescent="0.2">
      <c r="B427" s="5"/>
      <c r="F427" s="5"/>
      <c r="J427" s="5"/>
      <c r="N427" s="5">
        <f ca="1"/>
      </c>
      <c r="O427">
        <f ca="1"/>
      </c>
      <c r="R427" s="5">
        <f ca="1"/>
      </c>
      <c r="S427">
        <f ca="1"/>
      </c>
    </row>
    <row r="428" spans="2:19" x14ac:dyDescent="0.2">
      <c r="B428" s="5"/>
      <c r="F428" s="5"/>
      <c r="J428" s="5"/>
      <c r="N428" s="5">
        <f ca="1"/>
      </c>
      <c r="O428">
        <f ca="1"/>
      </c>
      <c r="R428" s="5">
        <f ca="1"/>
      </c>
      <c r="S428">
        <f ca="1"/>
      </c>
    </row>
    <row r="429" spans="2:19" x14ac:dyDescent="0.2">
      <c r="B429" s="5"/>
      <c r="F429" s="5"/>
      <c r="J429" s="5"/>
      <c r="N429" s="5">
        <f ca="1"/>
      </c>
      <c r="O429">
        <f ca="1"/>
      </c>
      <c r="R429" s="5">
        <f ca="1"/>
      </c>
      <c r="S429">
        <f ca="1"/>
      </c>
    </row>
    <row r="430" spans="2:19" x14ac:dyDescent="0.2">
      <c r="B430" s="5"/>
      <c r="F430" s="5"/>
      <c r="J430" s="5"/>
      <c r="N430" s="5">
        <f ca="1"/>
      </c>
      <c r="O430">
        <f ca="1"/>
      </c>
      <c r="R430" s="5">
        <f ca="1"/>
      </c>
      <c r="S430">
        <f ca="1"/>
      </c>
    </row>
    <row r="431" spans="2:19" x14ac:dyDescent="0.2">
      <c r="B431" s="5"/>
      <c r="F431" s="5"/>
      <c r="J431" s="5"/>
      <c r="N431" s="5">
        <f ca="1"/>
      </c>
      <c r="O431">
        <f ca="1"/>
      </c>
      <c r="R431" s="5">
        <f ca="1"/>
      </c>
      <c r="S431">
        <f ca="1"/>
      </c>
    </row>
    <row r="432" spans="2:19" x14ac:dyDescent="0.2">
      <c r="B432" s="5"/>
      <c r="F432" s="5"/>
      <c r="J432" s="5"/>
      <c r="N432" s="5">
        <f ca="1"/>
      </c>
      <c r="O432">
        <f ca="1"/>
      </c>
      <c r="R432" s="5">
        <f ca="1"/>
      </c>
      <c r="S432">
        <f ca="1"/>
      </c>
    </row>
    <row r="433" spans="2:19" x14ac:dyDescent="0.2">
      <c r="B433" s="5"/>
      <c r="F433" s="5"/>
      <c r="J433" s="5"/>
      <c r="N433" s="5">
        <f ca="1"/>
      </c>
      <c r="O433">
        <f ca="1"/>
      </c>
      <c r="R433" s="5">
        <f ca="1"/>
      </c>
      <c r="S433">
        <f ca="1"/>
      </c>
    </row>
    <row r="434" spans="2:19" x14ac:dyDescent="0.2">
      <c r="B434" s="5"/>
      <c r="F434" s="5"/>
      <c r="J434" s="5"/>
      <c r="N434" s="5">
        <f ca="1"/>
      </c>
      <c r="O434">
        <f ca="1"/>
      </c>
      <c r="R434" s="5">
        <f ca="1"/>
      </c>
      <c r="S434">
        <f ca="1"/>
      </c>
    </row>
    <row r="435" spans="2:19" x14ac:dyDescent="0.2">
      <c r="B435" s="5"/>
      <c r="F435" s="5"/>
      <c r="J435" s="5"/>
      <c r="N435" s="5">
        <f ca="1"/>
      </c>
      <c r="O435">
        <f ca="1"/>
      </c>
      <c r="R435" s="5">
        <f ca="1"/>
      </c>
      <c r="S435">
        <f ca="1"/>
      </c>
    </row>
    <row r="436" spans="2:19" x14ac:dyDescent="0.2">
      <c r="B436" s="5"/>
      <c r="F436" s="5"/>
      <c r="J436" s="5"/>
      <c r="N436" s="5">
        <f ca="1"/>
      </c>
      <c r="O436">
        <f ca="1"/>
      </c>
      <c r="R436" s="5">
        <f ca="1"/>
      </c>
      <c r="S436">
        <f ca="1"/>
      </c>
    </row>
    <row r="437" spans="2:19" x14ac:dyDescent="0.2">
      <c r="B437" s="5"/>
      <c r="F437" s="5"/>
      <c r="J437" s="5"/>
      <c r="N437" s="5">
        <f ca="1"/>
      </c>
      <c r="O437">
        <f ca="1"/>
      </c>
      <c r="R437" s="5">
        <f ca="1"/>
      </c>
      <c r="S437">
        <f ca="1"/>
      </c>
    </row>
    <row r="438" spans="2:19" x14ac:dyDescent="0.2">
      <c r="B438" s="5"/>
      <c r="F438" s="5"/>
      <c r="J438" s="5"/>
      <c r="N438" s="5">
        <f ca="1"/>
      </c>
      <c r="O438">
        <f ca="1"/>
      </c>
      <c r="R438" s="5">
        <f ca="1"/>
      </c>
      <c r="S438">
        <f ca="1"/>
      </c>
    </row>
    <row r="439" spans="2:19" x14ac:dyDescent="0.2">
      <c r="B439" s="5"/>
      <c r="F439" s="5"/>
      <c r="J439" s="5"/>
      <c r="N439" s="5">
        <f ca="1"/>
      </c>
      <c r="O439">
        <f ca="1"/>
      </c>
      <c r="R439" s="5">
        <f ca="1"/>
      </c>
      <c r="S439">
        <f ca="1"/>
      </c>
    </row>
    <row r="440" spans="2:19" x14ac:dyDescent="0.2">
      <c r="B440" s="5"/>
      <c r="F440" s="5"/>
      <c r="J440" s="5"/>
      <c r="N440" s="5">
        <f ca="1"/>
      </c>
      <c r="O440">
        <f ca="1"/>
      </c>
      <c r="R440" s="5">
        <f ca="1"/>
      </c>
      <c r="S440">
        <f ca="1"/>
      </c>
    </row>
    <row r="441" spans="2:19" x14ac:dyDescent="0.2">
      <c r="B441" s="5"/>
      <c r="F441" s="5"/>
      <c r="J441" s="5"/>
      <c r="N441" s="5">
        <f ca="1"/>
      </c>
      <c r="O441">
        <f ca="1"/>
      </c>
      <c r="R441" s="5">
        <f ca="1"/>
      </c>
      <c r="S441">
        <f ca="1"/>
      </c>
    </row>
    <row r="442" spans="2:19" x14ac:dyDescent="0.2">
      <c r="B442" s="5"/>
      <c r="F442" s="5"/>
      <c r="J442" s="5"/>
      <c r="N442" s="5">
        <f ca="1"/>
      </c>
      <c r="O442">
        <f ca="1"/>
      </c>
      <c r="R442" s="5">
        <f ca="1"/>
      </c>
      <c r="S442">
        <f ca="1"/>
      </c>
    </row>
    <row r="443" spans="2:19" x14ac:dyDescent="0.2">
      <c r="B443" s="5"/>
      <c r="F443" s="5"/>
      <c r="J443" s="5"/>
      <c r="N443" s="5">
        <f ca="1"/>
      </c>
      <c r="O443">
        <f ca="1"/>
      </c>
      <c r="R443" s="5">
        <f ca="1"/>
      </c>
      <c r="S443">
        <f ca="1"/>
      </c>
    </row>
    <row r="444" spans="2:19" x14ac:dyDescent="0.2">
      <c r="B444" s="5"/>
      <c r="F444" s="5"/>
      <c r="J444" s="5"/>
      <c r="N444" s="5">
        <f ca="1"/>
      </c>
      <c r="O444">
        <f ca="1"/>
      </c>
      <c r="R444" s="5">
        <f ca="1"/>
      </c>
      <c r="S444">
        <f ca="1"/>
      </c>
    </row>
    <row r="445" spans="2:19" x14ac:dyDescent="0.2">
      <c r="B445" s="5"/>
      <c r="F445" s="5"/>
      <c r="J445" s="5"/>
      <c r="N445" s="5">
        <f ca="1"/>
      </c>
      <c r="O445">
        <f ca="1"/>
      </c>
      <c r="R445" s="5">
        <f ca="1"/>
      </c>
      <c r="S445">
        <f ca="1"/>
      </c>
    </row>
    <row r="446" spans="2:19" x14ac:dyDescent="0.2">
      <c r="B446" s="5"/>
      <c r="F446" s="5"/>
      <c r="J446" s="5"/>
      <c r="N446" s="5">
        <f ca="1"/>
      </c>
      <c r="O446">
        <f ca="1"/>
      </c>
      <c r="R446" s="5">
        <f ca="1"/>
      </c>
      <c r="S446">
        <f ca="1"/>
      </c>
    </row>
    <row r="447" spans="2:19" x14ac:dyDescent="0.2">
      <c r="B447" s="5"/>
      <c r="F447" s="5"/>
      <c r="J447" s="5"/>
      <c r="N447" s="5">
        <f ca="1"/>
      </c>
      <c r="O447">
        <f ca="1"/>
      </c>
      <c r="R447" s="5">
        <f ca="1"/>
      </c>
      <c r="S447">
        <f ca="1"/>
      </c>
    </row>
    <row r="448" spans="2:19" x14ac:dyDescent="0.2">
      <c r="B448" s="5"/>
      <c r="F448" s="5"/>
      <c r="J448" s="5"/>
      <c r="N448" s="5">
        <f ca="1"/>
      </c>
      <c r="O448">
        <f ca="1"/>
      </c>
      <c r="R448" s="5">
        <f ca="1"/>
      </c>
      <c r="S448">
        <f ca="1"/>
      </c>
    </row>
    <row r="449" spans="2:19" x14ac:dyDescent="0.2">
      <c r="B449" s="5"/>
      <c r="F449" s="5"/>
      <c r="J449" s="5"/>
      <c r="N449" s="5">
        <f ca="1"/>
      </c>
      <c r="O449">
        <f ca="1"/>
      </c>
      <c r="R449" s="5">
        <f ca="1"/>
      </c>
      <c r="S449">
        <f ca="1"/>
      </c>
    </row>
    <row r="450" spans="2:19" x14ac:dyDescent="0.2">
      <c r="B450" s="5"/>
      <c r="F450" s="5"/>
      <c r="J450" s="5"/>
      <c r="N450" s="5">
        <f ca="1"/>
      </c>
      <c r="O450">
        <f ca="1"/>
      </c>
      <c r="R450" s="5">
        <f ca="1"/>
      </c>
      <c r="S450">
        <f ca="1"/>
      </c>
    </row>
    <row r="451" spans="2:19" x14ac:dyDescent="0.2">
      <c r="B451" s="5"/>
      <c r="F451" s="5"/>
      <c r="J451" s="5"/>
      <c r="N451" s="5">
        <f ca="1"/>
      </c>
      <c r="O451">
        <f ca="1"/>
      </c>
      <c r="R451" s="5">
        <f ca="1"/>
      </c>
      <c r="S451">
        <f ca="1"/>
      </c>
    </row>
    <row r="452" spans="2:19" x14ac:dyDescent="0.2">
      <c r="B452" s="5"/>
      <c r="F452" s="5"/>
      <c r="J452" s="5"/>
      <c r="N452" s="5">
        <f ca="1"/>
      </c>
      <c r="O452">
        <f ca="1"/>
      </c>
      <c r="R452" s="5">
        <f ca="1"/>
      </c>
      <c r="S452">
        <f ca="1"/>
      </c>
    </row>
    <row r="453" spans="2:19" x14ac:dyDescent="0.2">
      <c r="B453" s="5"/>
      <c r="F453" s="5"/>
      <c r="J453" s="5"/>
      <c r="N453" s="5">
        <f ca="1"/>
      </c>
      <c r="O453">
        <f ca="1"/>
      </c>
      <c r="R453" s="5">
        <f ca="1"/>
      </c>
      <c r="S453">
        <f ca="1"/>
      </c>
    </row>
    <row r="454" spans="2:19" x14ac:dyDescent="0.2">
      <c r="B454" s="5"/>
      <c r="F454" s="5"/>
      <c r="J454" s="5"/>
      <c r="N454" s="5">
        <f ca="1"/>
      </c>
      <c r="O454">
        <f ca="1"/>
      </c>
      <c r="R454" s="5">
        <f ca="1"/>
      </c>
      <c r="S454">
        <f ca="1"/>
      </c>
    </row>
    <row r="455" spans="2:19" x14ac:dyDescent="0.2">
      <c r="B455" s="5"/>
      <c r="F455" s="5"/>
      <c r="J455" s="5"/>
      <c r="N455" s="5">
        <f ca="1"/>
      </c>
      <c r="O455">
        <f ca="1"/>
      </c>
      <c r="R455" s="5">
        <f ca="1"/>
      </c>
      <c r="S455">
        <f ca="1"/>
      </c>
    </row>
    <row r="456" spans="2:19" x14ac:dyDescent="0.2">
      <c r="B456" s="5"/>
      <c r="F456" s="5"/>
      <c r="J456" s="5"/>
      <c r="N456" s="5">
        <f ca="1"/>
      </c>
      <c r="O456">
        <f ca="1"/>
      </c>
      <c r="R456" s="5">
        <f ca="1"/>
      </c>
      <c r="S456">
        <f ca="1"/>
      </c>
    </row>
    <row r="457" spans="2:19" x14ac:dyDescent="0.2">
      <c r="B457" s="5"/>
      <c r="F457" s="5"/>
      <c r="J457" s="5"/>
      <c r="N457" s="5">
        <f ca="1"/>
      </c>
      <c r="O457">
        <f ca="1"/>
      </c>
      <c r="R457" s="5">
        <f ca="1"/>
      </c>
      <c r="S457">
        <f ca="1"/>
      </c>
    </row>
    <row r="458" spans="2:19" x14ac:dyDescent="0.2">
      <c r="B458" s="5"/>
      <c r="F458" s="5"/>
      <c r="J458" s="5"/>
      <c r="N458" s="5">
        <f ca="1"/>
      </c>
      <c r="O458">
        <f ca="1"/>
      </c>
      <c r="R458" s="5">
        <f ca="1"/>
      </c>
      <c r="S458">
        <f ca="1"/>
      </c>
    </row>
    <row r="459" spans="2:19" x14ac:dyDescent="0.2">
      <c r="B459" s="5"/>
      <c r="F459" s="5"/>
      <c r="J459" s="5"/>
      <c r="N459" s="5">
        <f ca="1"/>
      </c>
      <c r="O459">
        <f ca="1"/>
      </c>
      <c r="R459" s="5">
        <f ca="1"/>
      </c>
      <c r="S459">
        <f ca="1"/>
      </c>
    </row>
    <row r="460" spans="2:19" x14ac:dyDescent="0.2">
      <c r="B460" s="5"/>
      <c r="F460" s="5"/>
      <c r="J460" s="5"/>
      <c r="N460" s="5">
        <f ca="1"/>
      </c>
      <c r="O460">
        <f ca="1"/>
      </c>
      <c r="R460" s="5">
        <f ca="1"/>
      </c>
      <c r="S460">
        <f ca="1"/>
      </c>
    </row>
    <row r="461" spans="2:19" x14ac:dyDescent="0.2">
      <c r="B461" s="5"/>
      <c r="F461" s="5"/>
      <c r="J461" s="5"/>
      <c r="N461" s="5">
        <f ca="1"/>
      </c>
      <c r="O461">
        <f ca="1"/>
      </c>
      <c r="R461" s="5">
        <f ca="1"/>
      </c>
      <c r="S461">
        <f ca="1"/>
      </c>
    </row>
    <row r="462" spans="2:19" x14ac:dyDescent="0.2">
      <c r="B462" s="5"/>
      <c r="F462" s="5"/>
      <c r="J462" s="5"/>
      <c r="N462" s="5">
        <f ca="1"/>
      </c>
      <c r="O462">
        <f ca="1"/>
      </c>
      <c r="R462" s="5">
        <f ca="1"/>
      </c>
      <c r="S462">
        <f ca="1"/>
      </c>
    </row>
    <row r="463" spans="2:19" x14ac:dyDescent="0.2">
      <c r="B463" s="5"/>
      <c r="F463" s="5"/>
      <c r="J463" s="5"/>
      <c r="N463" s="5">
        <f ca="1"/>
      </c>
      <c r="O463">
        <f ca="1"/>
      </c>
      <c r="R463" s="5">
        <f ca="1"/>
      </c>
      <c r="S463">
        <f ca="1"/>
      </c>
    </row>
    <row r="464" spans="2:19" x14ac:dyDescent="0.2">
      <c r="B464" s="5"/>
      <c r="F464" s="5"/>
      <c r="J464" s="5"/>
      <c r="N464" s="5">
        <f ca="1"/>
      </c>
      <c r="O464">
        <f ca="1"/>
      </c>
      <c r="R464" s="5">
        <f ca="1"/>
      </c>
      <c r="S464">
        <f ca="1"/>
      </c>
    </row>
    <row r="465" spans="2:19" x14ac:dyDescent="0.2">
      <c r="B465" s="5"/>
      <c r="F465" s="5"/>
      <c r="J465" s="5"/>
      <c r="N465" s="5">
        <f ca="1"/>
      </c>
      <c r="O465">
        <f ca="1"/>
      </c>
      <c r="R465" s="5">
        <f ca="1"/>
      </c>
      <c r="S465">
        <f ca="1"/>
      </c>
    </row>
    <row r="466" spans="2:19" x14ac:dyDescent="0.2">
      <c r="B466" s="5"/>
      <c r="F466" s="5"/>
      <c r="J466" s="5"/>
      <c r="N466" s="5">
        <f ca="1"/>
      </c>
      <c r="O466">
        <f ca="1"/>
      </c>
      <c r="R466" s="5">
        <f ca="1"/>
      </c>
      <c r="S466">
        <f ca="1"/>
      </c>
    </row>
    <row r="467" spans="2:19" x14ac:dyDescent="0.2">
      <c r="B467" s="5"/>
      <c r="F467" s="5"/>
      <c r="J467" s="5"/>
      <c r="N467" s="5"/>
      <c r="R467" s="5"/>
    </row>
    <row r="468" spans="2:19" x14ac:dyDescent="0.2">
      <c r="B468" s="5"/>
      <c r="F468" s="5"/>
      <c r="J468" s="5"/>
      <c r="N468" s="5"/>
      <c r="R468" s="5"/>
    </row>
    <row r="469" spans="2:19" x14ac:dyDescent="0.2">
      <c r="B469" s="5"/>
      <c r="F469" s="5"/>
      <c r="J469" s="5"/>
      <c r="N469" s="5"/>
      <c r="R469" s="5"/>
    </row>
    <row r="470" spans="2:19" x14ac:dyDescent="0.2">
      <c r="B470" s="5"/>
      <c r="F470" s="5"/>
      <c r="J470" s="5"/>
      <c r="N470" s="5"/>
      <c r="R470" s="5"/>
    </row>
    <row r="471" spans="2:19" x14ac:dyDescent="0.2">
      <c r="B471" s="5"/>
      <c r="F471" s="5"/>
      <c r="J471" s="5"/>
      <c r="N471" s="5"/>
      <c r="R471" s="5"/>
    </row>
    <row r="472" spans="2:19" x14ac:dyDescent="0.2">
      <c r="B472" s="5"/>
      <c r="F472" s="5"/>
      <c r="J472" s="5"/>
      <c r="N472" s="5"/>
      <c r="R472" s="5"/>
    </row>
    <row r="473" spans="2:19" x14ac:dyDescent="0.2">
      <c r="B473" s="5"/>
      <c r="F473" s="5"/>
      <c r="J473" s="5"/>
      <c r="N473" s="5"/>
      <c r="R473" s="5"/>
    </row>
    <row r="474" spans="2:19" x14ac:dyDescent="0.2">
      <c r="B474" s="5"/>
      <c r="F474" s="5"/>
      <c r="J474" s="5"/>
      <c r="N474" s="5"/>
      <c r="R474" s="5"/>
    </row>
    <row r="475" spans="2:19" x14ac:dyDescent="0.2">
      <c r="B475" s="5"/>
      <c r="F475" s="5"/>
      <c r="J475" s="5"/>
      <c r="N475" s="5"/>
      <c r="R475" s="5"/>
    </row>
    <row r="476" spans="2:19" x14ac:dyDescent="0.2">
      <c r="B476" s="5"/>
      <c r="F476" s="5"/>
      <c r="J476" s="5"/>
      <c r="N476" s="5"/>
      <c r="R476" s="5"/>
    </row>
    <row r="477" spans="2:19" x14ac:dyDescent="0.2">
      <c r="B477" s="5"/>
      <c r="F477" s="5"/>
      <c r="J477" s="5"/>
      <c r="N477" s="5"/>
      <c r="R477" s="5"/>
    </row>
    <row r="478" spans="2:19" x14ac:dyDescent="0.2">
      <c r="B478" s="5"/>
      <c r="F478" s="5"/>
      <c r="J478" s="5"/>
      <c r="N478" s="5"/>
      <c r="R478" s="5"/>
    </row>
    <row r="479" spans="2:19" x14ac:dyDescent="0.2">
      <c r="B479" s="5"/>
      <c r="F479" s="5"/>
      <c r="J479" s="5"/>
      <c r="N479" s="5"/>
      <c r="R479" s="5"/>
    </row>
    <row r="480" spans="2:19" x14ac:dyDescent="0.2">
      <c r="B480" s="5"/>
      <c r="F480" s="5"/>
      <c r="J480" s="5"/>
      <c r="N480" s="5"/>
      <c r="R480" s="5"/>
    </row>
    <row r="481" spans="2:18" x14ac:dyDescent="0.2">
      <c r="B481" s="5"/>
      <c r="F481" s="5"/>
      <c r="J481" s="5"/>
      <c r="N481" s="5"/>
      <c r="R481" s="5"/>
    </row>
    <row r="482" spans="2:18" x14ac:dyDescent="0.2">
      <c r="B482" s="5"/>
      <c r="F482" s="5"/>
      <c r="J482" s="5"/>
      <c r="N482" s="5"/>
      <c r="R482" s="5"/>
    </row>
    <row r="483" spans="2:18" x14ac:dyDescent="0.2">
      <c r="B483" s="5"/>
      <c r="F483" s="5"/>
      <c r="J483" s="5"/>
      <c r="N483" s="5"/>
      <c r="R483" s="5"/>
    </row>
    <row r="484" spans="2:18" x14ac:dyDescent="0.2">
      <c r="B484" s="5"/>
      <c r="F484" s="5"/>
      <c r="J484" s="5"/>
      <c r="N484" s="5"/>
      <c r="R484" s="5"/>
    </row>
    <row r="485" spans="2:18" x14ac:dyDescent="0.2">
      <c r="B485" s="5"/>
      <c r="F485" s="5"/>
      <c r="J485" s="5"/>
      <c r="N485" s="5"/>
      <c r="R485" s="5"/>
    </row>
    <row r="486" spans="2:18" x14ac:dyDescent="0.2">
      <c r="B486" s="5"/>
      <c r="F486" s="5"/>
      <c r="J486" s="5"/>
      <c r="N486" s="5"/>
      <c r="R486" s="5"/>
    </row>
    <row r="487" spans="2:18" x14ac:dyDescent="0.2">
      <c r="B487" s="5"/>
      <c r="F487" s="5"/>
      <c r="J487" s="5"/>
      <c r="N487" s="5"/>
      <c r="R487" s="5"/>
    </row>
    <row r="488" spans="2:18" x14ac:dyDescent="0.2">
      <c r="B488" s="5"/>
      <c r="F488" s="5"/>
      <c r="J488" s="5"/>
      <c r="N488" s="5"/>
      <c r="R488" s="5"/>
    </row>
    <row r="489" spans="2:18" x14ac:dyDescent="0.2">
      <c r="B489" s="5"/>
      <c r="F489" s="5"/>
      <c r="J489" s="5"/>
      <c r="N489" s="5"/>
      <c r="R489" s="5"/>
    </row>
    <row r="490" spans="2:18" x14ac:dyDescent="0.2">
      <c r="B490" s="5"/>
      <c r="F490" s="5"/>
      <c r="J490" s="5"/>
      <c r="N490" s="5"/>
      <c r="R490" s="5"/>
    </row>
    <row r="491" spans="2:18" x14ac:dyDescent="0.2">
      <c r="B491" s="5"/>
      <c r="F491" s="5"/>
      <c r="J491" s="5"/>
      <c r="N491" s="5"/>
      <c r="R491" s="5"/>
    </row>
    <row r="492" spans="2:18" x14ac:dyDescent="0.2">
      <c r="B492" s="5"/>
      <c r="F492" s="5"/>
      <c r="J492" s="5"/>
      <c r="N492" s="5"/>
      <c r="R492" s="5"/>
    </row>
    <row r="493" spans="2:18" x14ac:dyDescent="0.2">
      <c r="B493" s="5"/>
      <c r="F493" s="5"/>
      <c r="J493" s="5"/>
      <c r="N493" s="5"/>
      <c r="R493" s="5"/>
    </row>
    <row r="494" spans="2:18" x14ac:dyDescent="0.2">
      <c r="B494" s="5"/>
      <c r="F494" s="5"/>
      <c r="J494" s="5"/>
      <c r="N494" s="5"/>
      <c r="R494" s="5"/>
    </row>
    <row r="495" spans="2:18" x14ac:dyDescent="0.2">
      <c r="B495" s="5"/>
      <c r="F495" s="5"/>
      <c r="J495" s="5"/>
      <c r="N495" s="5"/>
      <c r="R495" s="5"/>
    </row>
    <row r="496" spans="2:18" x14ac:dyDescent="0.2">
      <c r="B496" s="5"/>
      <c r="F496" s="5"/>
      <c r="J496" s="5"/>
      <c r="N496" s="5"/>
      <c r="R496" s="5"/>
    </row>
    <row r="497" spans="2:18" x14ac:dyDescent="0.2">
      <c r="B497" s="5"/>
      <c r="F497" s="5"/>
      <c r="J497" s="5"/>
      <c r="N497" s="5"/>
      <c r="R497" s="5"/>
    </row>
    <row r="498" spans="2:18" x14ac:dyDescent="0.2">
      <c r="B498" s="5"/>
      <c r="F498" s="5"/>
      <c r="J498" s="5"/>
      <c r="N498" s="5"/>
      <c r="R498" s="5"/>
    </row>
    <row r="499" spans="2:18" x14ac:dyDescent="0.2">
      <c r="B499" s="5"/>
      <c r="F499" s="5"/>
      <c r="J499" s="5"/>
      <c r="N499" s="5"/>
      <c r="R499" s="5"/>
    </row>
    <row r="500" spans="2:18" x14ac:dyDescent="0.2">
      <c r="B500" s="5"/>
      <c r="F500" s="5"/>
      <c r="J500" s="5"/>
      <c r="N500" s="5"/>
      <c r="R500" s="5"/>
    </row>
    <row r="501" spans="2:18" x14ac:dyDescent="0.2">
      <c r="B501" s="5"/>
      <c r="F501" s="5"/>
      <c r="J501" s="5"/>
      <c r="N501" s="5"/>
      <c r="R501" s="5"/>
    </row>
    <row r="502" spans="2:18" x14ac:dyDescent="0.2">
      <c r="B502" s="5"/>
      <c r="F502" s="5"/>
      <c r="J502" s="5"/>
      <c r="N502" s="5"/>
      <c r="R502" s="5"/>
    </row>
    <row r="503" spans="2:18" x14ac:dyDescent="0.2">
      <c r="B503" s="5"/>
      <c r="F503" s="5"/>
      <c r="J503" s="5"/>
      <c r="N503" s="5"/>
      <c r="R503" s="5"/>
    </row>
    <row r="504" spans="2:18" x14ac:dyDescent="0.2">
      <c r="B504" s="5"/>
      <c r="F504" s="5"/>
      <c r="J504" s="5"/>
      <c r="N504" s="5"/>
      <c r="R504" s="5"/>
    </row>
    <row r="505" spans="2:18" x14ac:dyDescent="0.2">
      <c r="B505" s="5"/>
      <c r="F505" s="5"/>
      <c r="J505" s="5"/>
      <c r="N505" s="5"/>
      <c r="R505" s="5"/>
    </row>
    <row r="506" spans="2:18" x14ac:dyDescent="0.2">
      <c r="B506" s="5"/>
      <c r="F506" s="5"/>
      <c r="J506" s="5"/>
      <c r="N506" s="5"/>
      <c r="R506" s="5"/>
    </row>
    <row r="507" spans="2:18" x14ac:dyDescent="0.2">
      <c r="B507" s="5"/>
      <c r="F507" s="5"/>
      <c r="J507" s="5"/>
      <c r="N507" s="5"/>
      <c r="R507" s="5"/>
    </row>
    <row r="508" spans="2:18" x14ac:dyDescent="0.2">
      <c r="B508" s="5"/>
      <c r="F508" s="5"/>
      <c r="J508" s="5"/>
      <c r="N508" s="5"/>
      <c r="R508" s="5"/>
    </row>
    <row r="509" spans="2:18" x14ac:dyDescent="0.2">
      <c r="B509" s="5"/>
      <c r="F509" s="5"/>
      <c r="J509" s="5"/>
      <c r="N509" s="5"/>
      <c r="R509" s="5"/>
    </row>
    <row r="510" spans="2:18" x14ac:dyDescent="0.2">
      <c r="B510" s="5"/>
      <c r="F510" s="5"/>
      <c r="J510" s="5"/>
      <c r="N510" s="5"/>
      <c r="R510" s="5"/>
    </row>
    <row r="511" spans="2:18" x14ac:dyDescent="0.2">
      <c r="B511" s="5"/>
      <c r="F511" s="5"/>
      <c r="J511" s="5"/>
      <c r="N511" s="5"/>
      <c r="R511" s="5"/>
    </row>
    <row r="512" spans="2:18" x14ac:dyDescent="0.2">
      <c r="B512" s="5"/>
      <c r="F512" s="5"/>
      <c r="J512" s="5"/>
      <c r="N512" s="5"/>
      <c r="R512" s="5"/>
    </row>
    <row r="513" spans="2:18" x14ac:dyDescent="0.2">
      <c r="B513" s="5"/>
      <c r="F513" s="5"/>
      <c r="J513" s="5"/>
      <c r="N513" s="5"/>
      <c r="R513" s="5"/>
    </row>
    <row r="514" spans="2:18" x14ac:dyDescent="0.2">
      <c r="B514" s="5"/>
      <c r="F514" s="5"/>
      <c r="J514" s="5"/>
      <c r="N514" s="5"/>
      <c r="R514" s="5"/>
    </row>
    <row r="515" spans="2:18" x14ac:dyDescent="0.2">
      <c r="B515" s="5"/>
      <c r="F515" s="5"/>
      <c r="J515" s="5"/>
      <c r="N515" s="5"/>
      <c r="R515" s="5"/>
    </row>
    <row r="516" spans="2:18" x14ac:dyDescent="0.2">
      <c r="B516" s="5"/>
      <c r="F516" s="5"/>
      <c r="J516" s="5"/>
      <c r="N516" s="5"/>
      <c r="R516" s="5"/>
    </row>
    <row r="517" spans="2:18" x14ac:dyDescent="0.2">
      <c r="B517" s="5"/>
      <c r="F517" s="5"/>
      <c r="J517" s="5"/>
      <c r="N517" s="5"/>
      <c r="R517" s="5"/>
    </row>
    <row r="518" spans="2:18" x14ac:dyDescent="0.2">
      <c r="B518" s="5"/>
      <c r="F518" s="5"/>
      <c r="J518" s="5"/>
      <c r="N518" s="5"/>
      <c r="R518" s="5"/>
    </row>
    <row r="519" spans="2:18" x14ac:dyDescent="0.2">
      <c r="B519" s="5"/>
      <c r="F519" s="5"/>
      <c r="J519" s="5"/>
      <c r="N519" s="5"/>
      <c r="R519" s="5"/>
    </row>
    <row r="520" spans="2:18" x14ac:dyDescent="0.2">
      <c r="B520" s="5"/>
      <c r="F520" s="5"/>
      <c r="J520" s="5"/>
      <c r="N520" s="5"/>
      <c r="R520" s="5"/>
    </row>
    <row r="521" spans="2:18" x14ac:dyDescent="0.2">
      <c r="B521" s="5"/>
      <c r="F521" s="5"/>
      <c r="J521" s="5"/>
      <c r="N521" s="5"/>
      <c r="R521" s="5"/>
    </row>
    <row r="522" spans="2:18" x14ac:dyDescent="0.2">
      <c r="B522" s="5"/>
      <c r="F522" s="5"/>
      <c r="J522" s="5"/>
      <c r="N522" s="5"/>
      <c r="R522" s="5"/>
    </row>
    <row r="523" spans="2:18" x14ac:dyDescent="0.2">
      <c r="B523" s="5"/>
      <c r="F523" s="5"/>
      <c r="J523" s="5"/>
      <c r="N523" s="5"/>
      <c r="R523" s="5"/>
    </row>
    <row r="524" spans="2:18" x14ac:dyDescent="0.2">
      <c r="B524" s="5"/>
      <c r="F524" s="5"/>
      <c r="J524" s="5"/>
      <c r="N524" s="5"/>
      <c r="R524" s="5"/>
    </row>
    <row r="525" spans="2:18" x14ac:dyDescent="0.2">
      <c r="B525" s="5"/>
      <c r="F525" s="5"/>
      <c r="J525" s="5"/>
      <c r="N525" s="5"/>
      <c r="R525" s="5"/>
    </row>
    <row r="526" spans="2:18" x14ac:dyDescent="0.2">
      <c r="B526" s="5"/>
      <c r="F526" s="5"/>
      <c r="J526" s="5"/>
      <c r="N526" s="5"/>
      <c r="R526" s="5"/>
    </row>
    <row r="527" spans="2:18" x14ac:dyDescent="0.2">
      <c r="B527" s="5"/>
      <c r="F527" s="5"/>
      <c r="J527" s="5"/>
      <c r="N527" s="5"/>
      <c r="R527" s="5"/>
    </row>
    <row r="528" spans="2:18" x14ac:dyDescent="0.2">
      <c r="B528" s="5"/>
      <c r="F528" s="5"/>
      <c r="J528" s="5"/>
      <c r="N528" s="5"/>
      <c r="R528" s="5"/>
    </row>
    <row r="529" spans="2:18" x14ac:dyDescent="0.2">
      <c r="B529" s="5"/>
      <c r="F529" s="5"/>
      <c r="J529" s="5"/>
      <c r="N529" s="5"/>
      <c r="R529" s="5"/>
    </row>
    <row r="530" spans="2:18" x14ac:dyDescent="0.2">
      <c r="B530" s="5"/>
      <c r="F530" s="5"/>
      <c r="J530" s="5"/>
      <c r="N530" s="5"/>
      <c r="R530" s="5"/>
    </row>
    <row r="531" spans="2:18" x14ac:dyDescent="0.2">
      <c r="B531" s="5"/>
      <c r="F531" s="5"/>
      <c r="J531" s="5"/>
      <c r="N531" s="5"/>
      <c r="R531" s="5"/>
    </row>
    <row r="532" spans="2:18" x14ac:dyDescent="0.2">
      <c r="B532" s="5"/>
      <c r="F532" s="5"/>
      <c r="J532" s="5"/>
      <c r="N532" s="5"/>
      <c r="R532" s="5"/>
    </row>
    <row r="533" spans="2:18" x14ac:dyDescent="0.2">
      <c r="B533" s="5"/>
      <c r="F533" s="5"/>
      <c r="J533" s="5"/>
      <c r="N533" s="5"/>
      <c r="R533" s="5"/>
    </row>
    <row r="534" spans="2:18" x14ac:dyDescent="0.2">
      <c r="B534" s="5"/>
      <c r="F534" s="5"/>
      <c r="J534" s="5"/>
      <c r="N534" s="5"/>
      <c r="R534" s="5"/>
    </row>
    <row r="535" spans="2:18" x14ac:dyDescent="0.2">
      <c r="B535" s="5"/>
      <c r="F535" s="5"/>
      <c r="J535" s="5"/>
      <c r="N535" s="5"/>
      <c r="R535" s="5"/>
    </row>
    <row r="536" spans="2:18" x14ac:dyDescent="0.2">
      <c r="B536" s="5"/>
      <c r="F536" s="5"/>
      <c r="J536" s="5"/>
      <c r="N536" s="5"/>
      <c r="R536" s="5"/>
    </row>
    <row r="537" spans="2:18" x14ac:dyDescent="0.2">
      <c r="B537" s="5"/>
      <c r="F537" s="5"/>
      <c r="J537" s="5"/>
      <c r="N537" s="5"/>
      <c r="R537" s="5"/>
    </row>
    <row r="538" spans="2:18" x14ac:dyDescent="0.2">
      <c r="B538" s="5"/>
      <c r="F538" s="5"/>
      <c r="J538" s="5"/>
      <c r="N538" s="5"/>
      <c r="R538" s="5"/>
    </row>
    <row r="539" spans="2:18" x14ac:dyDescent="0.2">
      <c r="B539" s="5"/>
      <c r="F539" s="5"/>
      <c r="J539" s="5"/>
      <c r="N539" s="5"/>
      <c r="R539" s="5"/>
    </row>
    <row r="540" spans="2:18" x14ac:dyDescent="0.2">
      <c r="B540" s="5"/>
      <c r="F540" s="5"/>
      <c r="J540" s="5"/>
      <c r="N540" s="5"/>
      <c r="R540" s="5"/>
    </row>
    <row r="541" spans="2:18" x14ac:dyDescent="0.2">
      <c r="B541" s="5"/>
      <c r="F541" s="5"/>
      <c r="J541" s="5"/>
      <c r="N541" s="5"/>
      <c r="R541" s="5"/>
    </row>
    <row r="542" spans="2:18" x14ac:dyDescent="0.2">
      <c r="B542" s="5"/>
      <c r="F542" s="5"/>
      <c r="J542" s="5"/>
      <c r="N542" s="5"/>
      <c r="R542" s="5"/>
    </row>
    <row r="543" spans="2:18" x14ac:dyDescent="0.2">
      <c r="B543" s="5"/>
      <c r="F543" s="5"/>
      <c r="J543" s="5"/>
      <c r="N543" s="5"/>
      <c r="R543" s="5"/>
    </row>
    <row r="544" spans="2:18" x14ac:dyDescent="0.2">
      <c r="B544" s="5"/>
      <c r="F544" s="5"/>
      <c r="J544" s="5"/>
      <c r="N544" s="5"/>
      <c r="R544" s="5"/>
    </row>
    <row r="545" spans="2:18" x14ac:dyDescent="0.2">
      <c r="B545" s="5"/>
      <c r="F545" s="5"/>
      <c r="J545" s="5"/>
      <c r="N545" s="5"/>
      <c r="R545" s="5"/>
    </row>
    <row r="546" spans="2:18" x14ac:dyDescent="0.2">
      <c r="B546" s="5"/>
      <c r="F546" s="5"/>
      <c r="J546" s="5"/>
      <c r="N546" s="5"/>
      <c r="R546" s="5"/>
    </row>
    <row r="547" spans="2:18" x14ac:dyDescent="0.2">
      <c r="B547" s="5"/>
      <c r="F547" s="5"/>
      <c r="J547" s="5"/>
      <c r="N547" s="5"/>
      <c r="R547" s="5"/>
    </row>
    <row r="548" spans="2:18" x14ac:dyDescent="0.2">
      <c r="B548" s="5"/>
      <c r="F548" s="5"/>
      <c r="J548" s="5"/>
      <c r="N548" s="5"/>
      <c r="R548" s="5"/>
    </row>
    <row r="549" spans="2:18" x14ac:dyDescent="0.2">
      <c r="B549" s="5"/>
      <c r="F549" s="5"/>
      <c r="J549" s="5"/>
      <c r="N549" s="5"/>
      <c r="R549" s="5"/>
    </row>
    <row r="550" spans="2:18" x14ac:dyDescent="0.2">
      <c r="B550" s="5"/>
      <c r="F550" s="5"/>
      <c r="J550" s="5"/>
      <c r="N550" s="5"/>
      <c r="R550" s="5"/>
    </row>
    <row r="551" spans="2:18" x14ac:dyDescent="0.2">
      <c r="B551" s="5"/>
      <c r="F551" s="5"/>
      <c r="J551" s="5"/>
      <c r="N551" s="5"/>
      <c r="R551" s="5"/>
    </row>
    <row r="552" spans="2:18" x14ac:dyDescent="0.2">
      <c r="B552" s="5"/>
      <c r="F552" s="5"/>
      <c r="J552" s="5"/>
      <c r="N552" s="5"/>
      <c r="R552" s="5"/>
    </row>
    <row r="553" spans="2:18" x14ac:dyDescent="0.2">
      <c r="B553" s="5"/>
      <c r="F553" s="5"/>
      <c r="J553" s="5"/>
      <c r="N553" s="5"/>
      <c r="R553" s="5"/>
    </row>
    <row r="554" spans="2:18" x14ac:dyDescent="0.2">
      <c r="B554" s="5"/>
      <c r="F554" s="5"/>
      <c r="J554" s="5"/>
      <c r="N554" s="5"/>
      <c r="R554" s="5"/>
    </row>
    <row r="555" spans="2:18" x14ac:dyDescent="0.2">
      <c r="B555" s="5"/>
      <c r="F555" s="5"/>
      <c r="J555" s="5"/>
      <c r="N555" s="5"/>
      <c r="R555" s="5"/>
    </row>
    <row r="556" spans="2:18" x14ac:dyDescent="0.2">
      <c r="B556" s="5"/>
      <c r="F556" s="5"/>
      <c r="J556" s="5"/>
      <c r="N556" s="5"/>
      <c r="R556" s="5"/>
    </row>
    <row r="557" spans="2:18" x14ac:dyDescent="0.2">
      <c r="B557" s="5"/>
      <c r="F557" s="5"/>
      <c r="J557" s="5"/>
      <c r="N557" s="5"/>
      <c r="R557" s="5"/>
    </row>
    <row r="558" spans="2:18" x14ac:dyDescent="0.2">
      <c r="B558" s="5"/>
      <c r="F558" s="5"/>
      <c r="J558" s="5"/>
      <c r="N558" s="5"/>
      <c r="R558" s="5"/>
    </row>
    <row r="559" spans="2:18" x14ac:dyDescent="0.2">
      <c r="B559" s="5"/>
      <c r="F559" s="5"/>
      <c r="J559" s="5"/>
      <c r="N559" s="5"/>
      <c r="R559" s="5"/>
    </row>
    <row r="560" spans="2:18" x14ac:dyDescent="0.2">
      <c r="B560" s="5"/>
      <c r="F560" s="5"/>
      <c r="J560" s="5"/>
      <c r="N560" s="5"/>
      <c r="R560" s="5"/>
    </row>
    <row r="561" spans="2:18" x14ac:dyDescent="0.2">
      <c r="B561" s="5"/>
      <c r="F561" s="5"/>
      <c r="J561" s="5"/>
      <c r="N561" s="5"/>
      <c r="R561" s="5"/>
    </row>
    <row r="562" spans="2:18" x14ac:dyDescent="0.2">
      <c r="B562" s="5"/>
      <c r="F562" s="5"/>
      <c r="J562" s="5"/>
      <c r="N562" s="5"/>
      <c r="R562" s="5"/>
    </row>
    <row r="563" spans="2:18" x14ac:dyDescent="0.2">
      <c r="B563" s="5"/>
      <c r="F563" s="5"/>
      <c r="J563" s="5"/>
      <c r="N563" s="5"/>
      <c r="R563" s="5"/>
    </row>
    <row r="564" spans="2:18" x14ac:dyDescent="0.2">
      <c r="B564" s="5"/>
      <c r="F564" s="5"/>
      <c r="J564" s="5"/>
      <c r="N564" s="5"/>
      <c r="R564" s="5"/>
    </row>
    <row r="565" spans="2:18" x14ac:dyDescent="0.2">
      <c r="B565" s="5"/>
      <c r="F565" s="5"/>
      <c r="J565" s="5"/>
      <c r="N565" s="5"/>
      <c r="R565" s="5"/>
    </row>
    <row r="566" spans="2:18" x14ac:dyDescent="0.2">
      <c r="B566" s="5"/>
      <c r="F566" s="5"/>
      <c r="J566" s="5"/>
      <c r="N566" s="5"/>
      <c r="R566" s="5"/>
    </row>
    <row r="567" spans="2:18" x14ac:dyDescent="0.2">
      <c r="B567" s="5"/>
      <c r="F567" s="5"/>
      <c r="J567" s="5"/>
      <c r="N567" s="5"/>
      <c r="R567" s="5"/>
    </row>
    <row r="568" spans="2:18" x14ac:dyDescent="0.2">
      <c r="B568" s="5"/>
      <c r="F568" s="5"/>
      <c r="J568" s="5"/>
      <c r="N568" s="5"/>
      <c r="R568" s="5"/>
    </row>
    <row r="569" spans="2:18" x14ac:dyDescent="0.2">
      <c r="B569" s="5"/>
      <c r="F569" s="5"/>
      <c r="J569" s="5"/>
      <c r="N569" s="5"/>
      <c r="R569" s="5"/>
    </row>
    <row r="570" spans="2:18" x14ac:dyDescent="0.2">
      <c r="B570" s="5"/>
      <c r="F570" s="5"/>
      <c r="J570" s="5"/>
      <c r="N570" s="5"/>
      <c r="R570" s="5"/>
    </row>
    <row r="571" spans="2:18" x14ac:dyDescent="0.2">
      <c r="B571" s="5"/>
      <c r="F571" s="5"/>
      <c r="J571" s="5"/>
      <c r="N571" s="5"/>
      <c r="R571" s="5"/>
    </row>
    <row r="572" spans="2:18" x14ac:dyDescent="0.2">
      <c r="B572" s="5"/>
      <c r="F572" s="5"/>
      <c r="J572" s="5"/>
      <c r="N572" s="5"/>
      <c r="R572" s="5"/>
    </row>
    <row r="573" spans="2:18" x14ac:dyDescent="0.2">
      <c r="B573" s="5"/>
      <c r="F573" s="5"/>
      <c r="J573" s="5"/>
      <c r="N573" s="5"/>
      <c r="R573" s="5"/>
    </row>
    <row r="574" spans="2:18" x14ac:dyDescent="0.2">
      <c r="B574" s="5"/>
      <c r="F574" s="5"/>
      <c r="J574" s="5"/>
      <c r="N574" s="5"/>
      <c r="R574" s="5"/>
    </row>
    <row r="575" spans="2:18" x14ac:dyDescent="0.2">
      <c r="B575" s="5"/>
      <c r="F575" s="5"/>
      <c r="J575" s="5"/>
      <c r="N575" s="5"/>
      <c r="R575" s="5"/>
    </row>
    <row r="576" spans="2:18" x14ac:dyDescent="0.2">
      <c r="B576" s="5"/>
      <c r="F576" s="5"/>
      <c r="J576" s="5"/>
      <c r="N576" s="5"/>
      <c r="R576" s="5"/>
    </row>
    <row r="577" spans="2:18" x14ac:dyDescent="0.2">
      <c r="B577" s="5"/>
      <c r="F577" s="5"/>
      <c r="J577" s="5"/>
      <c r="N577" s="5"/>
      <c r="R577" s="5"/>
    </row>
    <row r="578" spans="2:18" x14ac:dyDescent="0.2">
      <c r="B578" s="5"/>
      <c r="F578" s="5"/>
      <c r="J578" s="5"/>
      <c r="N578" s="5"/>
      <c r="R578" s="5"/>
    </row>
    <row r="579" spans="2:18" x14ac:dyDescent="0.2">
      <c r="B579" s="5"/>
      <c r="F579" s="5"/>
      <c r="J579" s="5"/>
      <c r="N579" s="5"/>
      <c r="R579" s="5"/>
    </row>
    <row r="580" spans="2:18" x14ac:dyDescent="0.2">
      <c r="B580" s="5"/>
      <c r="F580" s="5"/>
      <c r="J580" s="5"/>
      <c r="N580" s="5"/>
      <c r="R580" s="5"/>
    </row>
    <row r="581" spans="2:18" x14ac:dyDescent="0.2">
      <c r="B581" s="5"/>
      <c r="F581" s="5"/>
      <c r="J581" s="5"/>
      <c r="N581" s="5"/>
      <c r="R581" s="5"/>
    </row>
    <row r="582" spans="2:18" x14ac:dyDescent="0.2">
      <c r="B582" s="5"/>
      <c r="F582" s="5"/>
      <c r="J582" s="5"/>
      <c r="N582" s="5"/>
      <c r="R582" s="5"/>
    </row>
    <row r="583" spans="2:18" x14ac:dyDescent="0.2">
      <c r="B583" s="5"/>
      <c r="F583" s="5"/>
      <c r="J583" s="5"/>
      <c r="N583" s="5"/>
      <c r="R583" s="5"/>
    </row>
    <row r="584" spans="2:18" x14ac:dyDescent="0.2">
      <c r="B584" s="5"/>
      <c r="F584" s="5"/>
      <c r="J584" s="5"/>
      <c r="N584" s="5"/>
      <c r="R584" s="5"/>
    </row>
    <row r="585" spans="2:18" x14ac:dyDescent="0.2">
      <c r="B585" s="5"/>
      <c r="F585" s="5"/>
      <c r="J585" s="5"/>
      <c r="N585" s="5"/>
      <c r="R585" s="5"/>
    </row>
    <row r="586" spans="2:18" x14ac:dyDescent="0.2">
      <c r="B586" s="5"/>
      <c r="F586" s="5"/>
      <c r="J586" s="5"/>
      <c r="N586" s="5"/>
      <c r="R586" s="5"/>
    </row>
    <row r="587" spans="2:18" x14ac:dyDescent="0.2">
      <c r="B587" s="5"/>
      <c r="F587" s="5"/>
      <c r="J587" s="5"/>
      <c r="N587" s="5"/>
      <c r="R587" s="5"/>
    </row>
    <row r="588" spans="2:18" x14ac:dyDescent="0.2">
      <c r="B588" s="5"/>
      <c r="F588" s="5"/>
      <c r="J588" s="5"/>
      <c r="N588" s="5"/>
      <c r="R588" s="5"/>
    </row>
    <row r="589" spans="2:18" x14ac:dyDescent="0.2">
      <c r="B589" s="5"/>
      <c r="F589" s="5"/>
      <c r="J589" s="5"/>
      <c r="N589" s="5"/>
      <c r="R589" s="5"/>
    </row>
    <row r="590" spans="2:18" x14ac:dyDescent="0.2">
      <c r="B590" s="5"/>
      <c r="F590" s="5"/>
      <c r="J590" s="5"/>
      <c r="N590" s="5"/>
      <c r="R590" s="5"/>
    </row>
    <row r="591" spans="2:18" x14ac:dyDescent="0.2">
      <c r="B591" s="5"/>
      <c r="F591" s="5"/>
      <c r="J591" s="5"/>
      <c r="N591" s="5"/>
      <c r="R591" s="5"/>
    </row>
    <row r="592" spans="2:18" x14ac:dyDescent="0.2">
      <c r="B592" s="5"/>
      <c r="F592" s="5"/>
      <c r="J592" s="5"/>
      <c r="N592" s="5"/>
      <c r="R592" s="5"/>
    </row>
    <row r="593" spans="2:18" x14ac:dyDescent="0.2">
      <c r="B593" s="5"/>
      <c r="F593" s="5"/>
      <c r="J593" s="5"/>
      <c r="N593" s="5"/>
      <c r="R593" s="5"/>
    </row>
    <row r="594" spans="2:18" x14ac:dyDescent="0.2">
      <c r="B594" s="5"/>
      <c r="F594" s="5"/>
      <c r="J594" s="5"/>
      <c r="N594" s="5"/>
      <c r="R594" s="5"/>
    </row>
    <row r="595" spans="2:18" x14ac:dyDescent="0.2">
      <c r="B595" s="5"/>
      <c r="F595" s="5"/>
      <c r="J595" s="5"/>
      <c r="N595" s="5"/>
      <c r="R595" s="5"/>
    </row>
    <row r="596" spans="2:18" x14ac:dyDescent="0.2">
      <c r="B596" s="5"/>
      <c r="F596" s="5"/>
      <c r="J596" s="5"/>
      <c r="N596" s="5"/>
      <c r="R596" s="5"/>
    </row>
    <row r="597" spans="2:18" x14ac:dyDescent="0.2">
      <c r="B597" s="5"/>
      <c r="F597" s="5"/>
      <c r="J597" s="5"/>
      <c r="N597" s="5"/>
      <c r="R597" s="5"/>
    </row>
    <row r="598" spans="2:18" x14ac:dyDescent="0.2">
      <c r="B598" s="5"/>
      <c r="F598" s="5"/>
      <c r="J598" s="5"/>
      <c r="N598" s="5"/>
      <c r="R598" s="5"/>
    </row>
    <row r="599" spans="2:18" x14ac:dyDescent="0.2">
      <c r="B599" s="5"/>
      <c r="F599" s="5"/>
      <c r="J599" s="5"/>
      <c r="N599" s="5"/>
      <c r="R599" s="5"/>
    </row>
    <row r="600" spans="2:18" x14ac:dyDescent="0.2">
      <c r="B600" s="5"/>
      <c r="F600" s="5"/>
      <c r="J600" s="5"/>
      <c r="N600" s="5"/>
      <c r="R600" s="5"/>
    </row>
    <row r="601" spans="2:18" x14ac:dyDescent="0.2">
      <c r="B601" s="5"/>
      <c r="F601" s="5"/>
      <c r="J601" s="5"/>
      <c r="N601" s="5"/>
      <c r="R601" s="5"/>
    </row>
    <row r="602" spans="2:18" x14ac:dyDescent="0.2">
      <c r="B602" s="5"/>
      <c r="F602" s="5"/>
      <c r="J602" s="5"/>
      <c r="N602" s="5"/>
      <c r="R602" s="5"/>
    </row>
    <row r="603" spans="2:18" x14ac:dyDescent="0.2">
      <c r="B603" s="5"/>
      <c r="F603" s="5"/>
      <c r="J603" s="5"/>
      <c r="N603" s="5"/>
      <c r="R603" s="5"/>
    </row>
    <row r="604" spans="2:18" x14ac:dyDescent="0.2">
      <c r="B604" s="5"/>
      <c r="F604" s="5"/>
      <c r="J604" s="5"/>
      <c r="N604" s="5"/>
      <c r="R604" s="5"/>
    </row>
    <row r="605" spans="2:18" x14ac:dyDescent="0.2">
      <c r="B605" s="5"/>
      <c r="F605" s="5"/>
      <c r="J605" s="5"/>
      <c r="N605" s="5"/>
      <c r="R605" s="5"/>
    </row>
    <row r="606" spans="2:18" x14ac:dyDescent="0.2">
      <c r="B606" s="5"/>
      <c r="F606" s="5"/>
      <c r="J606" s="5"/>
      <c r="N606" s="5"/>
      <c r="R606" s="5"/>
    </row>
    <row r="607" spans="2:18" x14ac:dyDescent="0.2">
      <c r="B607" s="5"/>
      <c r="F607" s="5"/>
      <c r="J607" s="5"/>
      <c r="N607" s="5"/>
      <c r="R607" s="5"/>
    </row>
    <row r="608" spans="2:18" x14ac:dyDescent="0.2">
      <c r="B608" s="5"/>
      <c r="F608" s="5"/>
      <c r="J608" s="5"/>
      <c r="N608" s="5"/>
      <c r="R608" s="5"/>
    </row>
    <row r="609" spans="2:18" x14ac:dyDescent="0.2">
      <c r="B609" s="5"/>
      <c r="F609" s="5"/>
      <c r="J609" s="5"/>
      <c r="N609" s="5"/>
      <c r="R609" s="5"/>
    </row>
    <row r="610" spans="2:18" x14ac:dyDescent="0.2">
      <c r="B610" s="5"/>
      <c r="F610" s="5"/>
      <c r="J610" s="5"/>
      <c r="N610" s="5"/>
      <c r="R610" s="5"/>
    </row>
    <row r="611" spans="2:18" x14ac:dyDescent="0.2">
      <c r="B611" s="5"/>
      <c r="F611" s="5"/>
      <c r="J611" s="5"/>
      <c r="N611" s="5"/>
      <c r="R611" s="5"/>
    </row>
    <row r="612" spans="2:18" x14ac:dyDescent="0.2">
      <c r="B612" s="5"/>
      <c r="F612" s="5"/>
      <c r="J612" s="5"/>
      <c r="N612" s="5"/>
      <c r="R612" s="5"/>
    </row>
    <row r="613" spans="2:18" x14ac:dyDescent="0.2">
      <c r="B613" s="5"/>
      <c r="F613" s="5"/>
      <c r="J613" s="5"/>
      <c r="N613" s="5"/>
      <c r="R613" s="5"/>
    </row>
    <row r="614" spans="2:18" x14ac:dyDescent="0.2">
      <c r="B614" s="5"/>
      <c r="F614" s="5"/>
      <c r="J614" s="5"/>
      <c r="N614" s="5"/>
      <c r="R614" s="5"/>
    </row>
    <row r="615" spans="2:18" x14ac:dyDescent="0.2">
      <c r="B615" s="5"/>
      <c r="F615" s="5"/>
      <c r="J615" s="5"/>
      <c r="N615" s="5"/>
      <c r="R615" s="5"/>
    </row>
    <row r="616" spans="2:18" x14ac:dyDescent="0.2">
      <c r="B616" s="5"/>
      <c r="F616" s="5"/>
      <c r="J616" s="5"/>
      <c r="N616" s="5"/>
      <c r="R616" s="5"/>
    </row>
    <row r="617" spans="2:18" x14ac:dyDescent="0.2">
      <c r="B617" s="5"/>
      <c r="F617" s="5"/>
      <c r="J617" s="5"/>
      <c r="N617" s="5"/>
      <c r="R617" s="5"/>
    </row>
    <row r="618" spans="2:18" x14ac:dyDescent="0.2">
      <c r="B618" s="5"/>
      <c r="F618" s="5"/>
      <c r="J618" s="5"/>
      <c r="N618" s="5"/>
      <c r="R618" s="5"/>
    </row>
    <row r="619" spans="2:18" x14ac:dyDescent="0.2">
      <c r="B619" s="5"/>
      <c r="F619" s="5"/>
      <c r="J619" s="5"/>
      <c r="N619" s="5"/>
      <c r="R619" s="5"/>
    </row>
    <row r="620" spans="2:18" x14ac:dyDescent="0.2">
      <c r="B620" s="5"/>
      <c r="F620" s="5"/>
      <c r="J620" s="5"/>
      <c r="N620" s="5"/>
      <c r="R620" s="5"/>
    </row>
    <row r="621" spans="2:18" x14ac:dyDescent="0.2">
      <c r="B621" s="5"/>
      <c r="F621" s="5"/>
      <c r="J621" s="5"/>
      <c r="N621" s="5"/>
      <c r="R621" s="5"/>
    </row>
    <row r="622" spans="2:18" x14ac:dyDescent="0.2">
      <c r="B622" s="5"/>
      <c r="F622" s="5"/>
      <c r="J622" s="5"/>
      <c r="N622" s="5"/>
      <c r="R622" s="5"/>
    </row>
    <row r="623" spans="2:18" x14ac:dyDescent="0.2">
      <c r="B623" s="5"/>
      <c r="F623" s="5"/>
      <c r="J623" s="5"/>
      <c r="N623" s="5"/>
      <c r="R623" s="5"/>
    </row>
    <row r="624" spans="2:18" x14ac:dyDescent="0.2">
      <c r="B624" s="5"/>
      <c r="F624" s="5"/>
      <c r="J624" s="5"/>
      <c r="N624" s="5"/>
      <c r="R624" s="5"/>
    </row>
    <row r="625" spans="2:18" x14ac:dyDescent="0.2">
      <c r="B625" s="5"/>
      <c r="F625" s="5"/>
      <c r="J625" s="5"/>
      <c r="N625" s="5"/>
      <c r="R625" s="5"/>
    </row>
    <row r="626" spans="2:18" x14ac:dyDescent="0.2">
      <c r="B626" s="5"/>
      <c r="F626" s="5"/>
      <c r="J626" s="5"/>
      <c r="N626" s="5"/>
      <c r="R626" s="5"/>
    </row>
    <row r="627" spans="2:18" x14ac:dyDescent="0.2">
      <c r="B627" s="5"/>
      <c r="F627" s="5"/>
      <c r="J627" s="5"/>
      <c r="N627" s="5"/>
      <c r="R627" s="5"/>
    </row>
    <row r="628" spans="2:18" x14ac:dyDescent="0.2">
      <c r="B628" s="5"/>
      <c r="F628" s="5"/>
      <c r="J628" s="5"/>
      <c r="N628" s="5"/>
      <c r="R628" s="5"/>
    </row>
    <row r="629" spans="2:18" x14ac:dyDescent="0.2">
      <c r="B629" s="5"/>
      <c r="F629" s="5"/>
      <c r="J629" s="5"/>
      <c r="N629" s="5"/>
      <c r="R629" s="5"/>
    </row>
    <row r="630" spans="2:18" x14ac:dyDescent="0.2">
      <c r="B630" s="5"/>
      <c r="F630" s="5"/>
      <c r="J630" s="5"/>
      <c r="N630" s="5"/>
      <c r="R630" s="5"/>
    </row>
    <row r="631" spans="2:18" x14ac:dyDescent="0.2">
      <c r="B631" s="5"/>
      <c r="F631" s="5"/>
      <c r="J631" s="5"/>
      <c r="N631" s="5"/>
      <c r="R631" s="5"/>
    </row>
    <row r="632" spans="2:18" x14ac:dyDescent="0.2">
      <c r="B632" s="5"/>
      <c r="F632" s="5"/>
      <c r="J632" s="5"/>
      <c r="N632" s="5"/>
      <c r="R632" s="5"/>
    </row>
    <row r="633" spans="2:18" x14ac:dyDescent="0.2">
      <c r="B633" s="5"/>
      <c r="F633" s="5"/>
      <c r="J633" s="5"/>
      <c r="N633" s="5"/>
      <c r="R633" s="5"/>
    </row>
    <row r="634" spans="2:18" x14ac:dyDescent="0.2">
      <c r="B634" s="5"/>
      <c r="F634" s="5"/>
      <c r="J634" s="5"/>
      <c r="N634" s="5"/>
      <c r="R634" s="5"/>
    </row>
    <row r="635" spans="2:18" x14ac:dyDescent="0.2">
      <c r="B635" s="5"/>
      <c r="F635" s="5"/>
      <c r="J635" s="5"/>
      <c r="N635" s="5"/>
      <c r="R635" s="5"/>
    </row>
    <row r="636" spans="2:18" x14ac:dyDescent="0.2">
      <c r="B636" s="5"/>
      <c r="F636" s="5"/>
      <c r="J636" s="5"/>
      <c r="N636" s="5"/>
      <c r="R636" s="5"/>
    </row>
    <row r="637" spans="2:18" x14ac:dyDescent="0.2">
      <c r="B637" s="5"/>
      <c r="F637" s="5"/>
      <c r="J637" s="5"/>
      <c r="N637" s="5"/>
      <c r="R637" s="5"/>
    </row>
    <row r="638" spans="2:18" x14ac:dyDescent="0.2">
      <c r="B638" s="5"/>
      <c r="F638" s="5"/>
      <c r="J638" s="5"/>
      <c r="N638" s="5"/>
      <c r="R638" s="5"/>
    </row>
    <row r="639" spans="2:18" x14ac:dyDescent="0.2">
      <c r="B639" s="5"/>
      <c r="F639" s="5"/>
      <c r="J639" s="5"/>
      <c r="N639" s="5"/>
      <c r="R639" s="5"/>
    </row>
    <row r="640" spans="2:18" x14ac:dyDescent="0.2">
      <c r="B640" s="5"/>
      <c r="F640" s="5"/>
      <c r="J640" s="5"/>
      <c r="N640" s="5"/>
      <c r="R640" s="5"/>
    </row>
    <row r="641" spans="2:18" x14ac:dyDescent="0.2">
      <c r="B641" s="5"/>
      <c r="F641" s="5"/>
      <c r="J641" s="5"/>
      <c r="N641" s="5"/>
      <c r="R641" s="5"/>
    </row>
    <row r="642" spans="2:18" x14ac:dyDescent="0.2">
      <c r="B642" s="5"/>
      <c r="F642" s="5"/>
      <c r="J642" s="5"/>
      <c r="N642" s="5"/>
      <c r="R642" s="5"/>
    </row>
    <row r="643" spans="2:18" x14ac:dyDescent="0.2">
      <c r="B643" s="5"/>
      <c r="F643" s="5"/>
      <c r="J643" s="5"/>
      <c r="N643" s="5"/>
      <c r="R643" s="5"/>
    </row>
    <row r="644" spans="2:18" x14ac:dyDescent="0.2">
      <c r="B644" s="5"/>
      <c r="F644" s="5"/>
      <c r="J644" s="5"/>
      <c r="N644" s="5"/>
      <c r="R644" s="5"/>
    </row>
    <row r="645" spans="2:18" x14ac:dyDescent="0.2">
      <c r="B645" s="5"/>
      <c r="F645" s="5"/>
      <c r="J645" s="5"/>
      <c r="N645" s="5"/>
      <c r="R645" s="5"/>
    </row>
    <row r="646" spans="2:18" x14ac:dyDescent="0.2">
      <c r="B646" s="5"/>
      <c r="F646" s="5"/>
      <c r="J646" s="5"/>
      <c r="N646" s="5"/>
      <c r="R646" s="5"/>
    </row>
    <row r="647" spans="2:18" x14ac:dyDescent="0.2">
      <c r="B647" s="5"/>
      <c r="F647" s="5"/>
      <c r="J647" s="5"/>
      <c r="N647" s="5"/>
      <c r="R647" s="5"/>
    </row>
    <row r="648" spans="2:18" x14ac:dyDescent="0.2">
      <c r="B648" s="5"/>
      <c r="F648" s="5"/>
      <c r="J648" s="5"/>
      <c r="N648" s="5"/>
      <c r="R648" s="5"/>
    </row>
    <row r="649" spans="2:18" x14ac:dyDescent="0.2">
      <c r="B649" s="5"/>
      <c r="F649" s="5"/>
      <c r="J649" s="5"/>
      <c r="N649" s="5"/>
      <c r="R649" s="5"/>
    </row>
    <row r="650" spans="2:18" x14ac:dyDescent="0.2">
      <c r="B650" s="5"/>
      <c r="F650" s="5"/>
      <c r="J650" s="5"/>
      <c r="N650" s="5"/>
      <c r="R650" s="5"/>
    </row>
    <row r="651" spans="2:18" x14ac:dyDescent="0.2">
      <c r="B651" s="5"/>
      <c r="F651" s="5"/>
      <c r="J651" s="5"/>
      <c r="N651" s="5"/>
      <c r="R651" s="5"/>
    </row>
    <row r="652" spans="2:18" x14ac:dyDescent="0.2">
      <c r="B652" s="5"/>
      <c r="F652" s="5"/>
      <c r="J652" s="5"/>
      <c r="N652" s="5"/>
      <c r="R652" s="5"/>
    </row>
    <row r="653" spans="2:18" x14ac:dyDescent="0.2">
      <c r="B653" s="5"/>
      <c r="F653" s="5"/>
      <c r="J653" s="5"/>
      <c r="N653" s="5"/>
      <c r="R653" s="5"/>
    </row>
    <row r="654" spans="2:18" x14ac:dyDescent="0.2">
      <c r="B654" s="5"/>
      <c r="F654" s="5"/>
      <c r="J654" s="5"/>
      <c r="N654" s="5"/>
      <c r="R654" s="5"/>
    </row>
    <row r="655" spans="2:18" x14ac:dyDescent="0.2">
      <c r="B655" s="5"/>
      <c r="F655" s="5"/>
      <c r="J655" s="5"/>
      <c r="N655" s="5"/>
      <c r="R655" s="5"/>
    </row>
    <row r="656" spans="2:18" x14ac:dyDescent="0.2">
      <c r="B656" s="5"/>
      <c r="F656" s="5"/>
      <c r="J656" s="5"/>
      <c r="N656" s="5"/>
      <c r="R656" s="5"/>
    </row>
    <row r="657" spans="2:18" x14ac:dyDescent="0.2">
      <c r="B657" s="5"/>
      <c r="F657" s="5"/>
      <c r="J657" s="5"/>
      <c r="N657" s="5"/>
      <c r="R657" s="5"/>
    </row>
    <row r="658" spans="2:18" x14ac:dyDescent="0.2">
      <c r="B658" s="5"/>
      <c r="F658" s="5"/>
      <c r="J658" s="5"/>
      <c r="N658" s="5"/>
      <c r="R658" s="5"/>
    </row>
    <row r="659" spans="2:18" x14ac:dyDescent="0.2">
      <c r="B659" s="5"/>
      <c r="F659" s="5"/>
      <c r="J659" s="5"/>
      <c r="N659" s="5"/>
      <c r="R659" s="5"/>
    </row>
    <row r="660" spans="2:18" x14ac:dyDescent="0.2">
      <c r="B660" s="5"/>
      <c r="F660" s="5"/>
      <c r="J660" s="5"/>
      <c r="N660" s="5"/>
      <c r="R660" s="5"/>
    </row>
    <row r="661" spans="2:18" x14ac:dyDescent="0.2">
      <c r="B661" s="5"/>
      <c r="F661" s="5"/>
      <c r="J661" s="5"/>
      <c r="N661" s="5"/>
      <c r="R661" s="5"/>
    </row>
    <row r="662" spans="2:18" x14ac:dyDescent="0.2">
      <c r="B662" s="5"/>
      <c r="F662" s="5"/>
      <c r="J662" s="5"/>
      <c r="N662" s="5"/>
      <c r="R662" s="5"/>
    </row>
    <row r="663" spans="2:18" x14ac:dyDescent="0.2">
      <c r="B663" s="5"/>
      <c r="F663" s="5"/>
      <c r="J663" s="5"/>
      <c r="N663" s="5"/>
      <c r="R663" s="5"/>
    </row>
    <row r="664" spans="2:18" x14ac:dyDescent="0.2">
      <c r="B664" s="5"/>
      <c r="F664" s="5"/>
      <c r="J664" s="5"/>
      <c r="N664" s="5"/>
      <c r="R664" s="5"/>
    </row>
    <row r="665" spans="2:18" x14ac:dyDescent="0.2">
      <c r="B665" s="5"/>
      <c r="F665" s="5"/>
      <c r="J665" s="5"/>
      <c r="N665" s="5"/>
      <c r="R665" s="5"/>
    </row>
    <row r="666" spans="2:18" x14ac:dyDescent="0.2">
      <c r="B666" s="5"/>
      <c r="F666" s="5"/>
      <c r="J666" s="5"/>
      <c r="N666" s="5"/>
      <c r="R666" s="5"/>
    </row>
    <row r="667" spans="2:18" x14ac:dyDescent="0.2">
      <c r="B667" s="5"/>
      <c r="F667" s="5"/>
      <c r="J667" s="5"/>
      <c r="N667" s="5"/>
      <c r="R667" s="5"/>
    </row>
    <row r="668" spans="2:18" x14ac:dyDescent="0.2">
      <c r="B668" s="5"/>
      <c r="F668" s="5"/>
      <c r="J668" s="5"/>
      <c r="N668" s="5"/>
      <c r="R668" s="5"/>
    </row>
    <row r="669" spans="2:18" x14ac:dyDescent="0.2">
      <c r="B669" s="5"/>
      <c r="F669" s="5"/>
      <c r="J669" s="5"/>
      <c r="N669" s="5"/>
      <c r="R669" s="5"/>
    </row>
    <row r="670" spans="2:18" x14ac:dyDescent="0.2">
      <c r="B670" s="5"/>
      <c r="F670" s="5"/>
      <c r="J670" s="5"/>
      <c r="N670" s="5"/>
      <c r="R670" s="5"/>
    </row>
    <row r="671" spans="2:18" x14ac:dyDescent="0.2">
      <c r="B671" s="5"/>
      <c r="F671" s="5"/>
      <c r="J671" s="5"/>
      <c r="N671" s="5"/>
      <c r="R671" s="5"/>
    </row>
    <row r="672" spans="2:18" x14ac:dyDescent="0.2">
      <c r="B672" s="5"/>
      <c r="F672" s="5"/>
      <c r="J672" s="5"/>
      <c r="N672" s="5"/>
      <c r="R672" s="5"/>
    </row>
    <row r="673" spans="2:18" x14ac:dyDescent="0.2">
      <c r="B673" s="5"/>
      <c r="F673" s="5"/>
      <c r="J673" s="5"/>
      <c r="N673" s="5"/>
      <c r="R673" s="5"/>
    </row>
    <row r="674" spans="2:18" x14ac:dyDescent="0.2">
      <c r="B674" s="5"/>
      <c r="F674" s="5"/>
      <c r="J674" s="5"/>
      <c r="N674" s="5"/>
      <c r="R674" s="5"/>
    </row>
    <row r="675" spans="2:18" x14ac:dyDescent="0.2">
      <c r="B675" s="5"/>
      <c r="F675" s="5"/>
      <c r="J675" s="5"/>
      <c r="N675" s="5"/>
      <c r="R675" s="5"/>
    </row>
    <row r="676" spans="2:18" x14ac:dyDescent="0.2">
      <c r="B676" s="5"/>
      <c r="F676" s="5"/>
      <c r="J676" s="5"/>
      <c r="N676" s="5"/>
      <c r="R676" s="5"/>
    </row>
    <row r="677" spans="2:18" x14ac:dyDescent="0.2">
      <c r="B677" s="5"/>
      <c r="F677" s="5"/>
      <c r="J677" s="5"/>
      <c r="N677" s="5"/>
      <c r="R677" s="5"/>
    </row>
    <row r="678" spans="2:18" x14ac:dyDescent="0.2">
      <c r="B678" s="5"/>
      <c r="F678" s="5"/>
      <c r="J678" s="5"/>
      <c r="N678" s="5"/>
      <c r="R678" s="5"/>
    </row>
    <row r="679" spans="2:18" x14ac:dyDescent="0.2">
      <c r="B679" s="5"/>
      <c r="F679" s="5"/>
      <c r="J679" s="5"/>
      <c r="N679" s="5"/>
      <c r="R679" s="5"/>
    </row>
    <row r="680" spans="2:18" x14ac:dyDescent="0.2">
      <c r="B680" s="5"/>
      <c r="F680" s="5"/>
      <c r="J680" s="5"/>
      <c r="N680" s="5"/>
      <c r="R680" s="5"/>
    </row>
    <row r="681" spans="2:18" x14ac:dyDescent="0.2">
      <c r="B681" s="5"/>
      <c r="F681" s="5"/>
      <c r="J681" s="5"/>
      <c r="N681" s="5"/>
      <c r="R681" s="5"/>
    </row>
    <row r="682" spans="2:18" x14ac:dyDescent="0.2">
      <c r="B682" s="5"/>
      <c r="F682" s="5"/>
      <c r="J682" s="5"/>
      <c r="N682" s="5"/>
      <c r="R682" s="5"/>
    </row>
    <row r="683" spans="2:18" x14ac:dyDescent="0.2">
      <c r="B683" s="5"/>
      <c r="F683" s="5"/>
      <c r="J683" s="5"/>
      <c r="N683" s="5"/>
      <c r="R683" s="5"/>
    </row>
    <row r="684" spans="2:18" x14ac:dyDescent="0.2">
      <c r="B684" s="5"/>
      <c r="F684" s="5"/>
      <c r="J684" s="5"/>
      <c r="N684" s="5"/>
      <c r="R684" s="5"/>
    </row>
    <row r="685" spans="2:18" x14ac:dyDescent="0.2">
      <c r="B685" s="5"/>
      <c r="F685" s="5"/>
      <c r="J685" s="5"/>
      <c r="N685" s="5"/>
      <c r="R685" s="5"/>
    </row>
    <row r="686" spans="2:18" x14ac:dyDescent="0.2">
      <c r="B686" s="5"/>
      <c r="F686" s="5"/>
      <c r="J686" s="5"/>
      <c r="N686" s="5"/>
      <c r="R686" s="5"/>
    </row>
    <row r="687" spans="2:18" x14ac:dyDescent="0.2">
      <c r="B687" s="5"/>
      <c r="F687" s="5"/>
      <c r="J687" s="5"/>
      <c r="N687" s="5"/>
      <c r="R687" s="5"/>
    </row>
    <row r="688" spans="2:18" x14ac:dyDescent="0.2">
      <c r="B688" s="5"/>
      <c r="F688" s="5"/>
      <c r="J688" s="5"/>
      <c r="N688" s="5"/>
      <c r="R688" s="5"/>
    </row>
    <row r="689" spans="2:18" x14ac:dyDescent="0.2">
      <c r="B689" s="5"/>
      <c r="F689" s="5"/>
      <c r="J689" s="5"/>
      <c r="N689" s="5"/>
      <c r="R689" s="5"/>
    </row>
    <row r="690" spans="2:18" x14ac:dyDescent="0.2">
      <c r="B690" s="5"/>
      <c r="F690" s="5"/>
      <c r="J690" s="5"/>
      <c r="N690" s="5"/>
      <c r="R690" s="5"/>
    </row>
    <row r="691" spans="2:18" x14ac:dyDescent="0.2">
      <c r="B691" s="5"/>
      <c r="F691" s="5"/>
      <c r="J691" s="5"/>
      <c r="N691" s="5"/>
      <c r="R691" s="5"/>
    </row>
    <row r="692" spans="2:18" x14ac:dyDescent="0.2">
      <c r="B692" s="5"/>
      <c r="F692" s="5"/>
      <c r="J692" s="5"/>
      <c r="N692" s="5"/>
      <c r="R692" s="5"/>
    </row>
    <row r="693" spans="2:18" x14ac:dyDescent="0.2">
      <c r="B693" s="5"/>
      <c r="F693" s="5"/>
      <c r="J693" s="5"/>
      <c r="N693" s="5"/>
      <c r="R693" s="5"/>
    </row>
    <row r="694" spans="2:18" x14ac:dyDescent="0.2">
      <c r="B694" s="5"/>
      <c r="F694" s="5"/>
      <c r="J694" s="5"/>
      <c r="N694" s="5"/>
      <c r="R694" s="5"/>
    </row>
    <row r="695" spans="2:18" x14ac:dyDescent="0.2">
      <c r="B695" s="5"/>
      <c r="F695" s="5"/>
      <c r="J695" s="5"/>
      <c r="N695" s="5"/>
      <c r="R695" s="5"/>
    </row>
    <row r="696" spans="2:18" x14ac:dyDescent="0.2">
      <c r="B696" s="5"/>
      <c r="F696" s="5"/>
      <c r="J696" s="5"/>
      <c r="N696" s="5"/>
      <c r="R696" s="5"/>
    </row>
    <row r="697" spans="2:18" x14ac:dyDescent="0.2">
      <c r="B697" s="5"/>
      <c r="F697" s="5"/>
      <c r="J697" s="5"/>
      <c r="N697" s="5"/>
      <c r="R697" s="5"/>
    </row>
    <row r="698" spans="2:18" x14ac:dyDescent="0.2">
      <c r="B698" s="5"/>
      <c r="F698" s="5"/>
      <c r="J698" s="5"/>
      <c r="N698" s="5"/>
      <c r="R698" s="5"/>
    </row>
    <row r="699" spans="2:18" x14ac:dyDescent="0.2">
      <c r="B699" s="5"/>
      <c r="F699" s="5"/>
      <c r="J699" s="5"/>
      <c r="N699" s="5"/>
      <c r="R699" s="5"/>
    </row>
    <row r="700" spans="2:18" x14ac:dyDescent="0.2">
      <c r="B700" s="5"/>
      <c r="F700" s="5"/>
      <c r="J700" s="5"/>
      <c r="N700" s="5"/>
      <c r="R700" s="5"/>
    </row>
    <row r="701" spans="2:18" x14ac:dyDescent="0.2">
      <c r="B701" s="5"/>
      <c r="F701" s="5"/>
      <c r="J701" s="5"/>
      <c r="N701" s="5"/>
      <c r="R701" s="5"/>
    </row>
    <row r="702" spans="2:18" x14ac:dyDescent="0.2">
      <c r="B702" s="5"/>
      <c r="F702" s="5"/>
      <c r="J702" s="5"/>
      <c r="N702" s="5"/>
      <c r="R702" s="5"/>
    </row>
    <row r="703" spans="2:18" x14ac:dyDescent="0.2">
      <c r="B703" s="5"/>
      <c r="F703" s="5"/>
      <c r="J703" s="5"/>
      <c r="N703" s="5"/>
      <c r="R703" s="5"/>
    </row>
    <row r="704" spans="2:18" x14ac:dyDescent="0.2">
      <c r="B704" s="5"/>
      <c r="F704" s="5"/>
      <c r="J704" s="5"/>
      <c r="N704" s="5"/>
      <c r="R704" s="5"/>
    </row>
    <row r="705" spans="2:18" x14ac:dyDescent="0.2">
      <c r="B705" s="5"/>
      <c r="F705" s="5"/>
      <c r="J705" s="5"/>
      <c r="N705" s="5"/>
      <c r="R705" s="5"/>
    </row>
    <row r="706" spans="2:18" x14ac:dyDescent="0.2">
      <c r="B706" s="5"/>
      <c r="F706" s="5"/>
      <c r="J706" s="5"/>
      <c r="N706" s="5"/>
      <c r="R706" s="5"/>
    </row>
    <row r="707" spans="2:18" x14ac:dyDescent="0.2">
      <c r="B707" s="5"/>
      <c r="F707" s="5"/>
      <c r="J707" s="5"/>
      <c r="N707" s="5"/>
      <c r="R707" s="5"/>
    </row>
    <row r="708" spans="2:18" x14ac:dyDescent="0.2">
      <c r="B708" s="5"/>
      <c r="F708" s="5"/>
      <c r="J708" s="5"/>
      <c r="N708" s="5"/>
      <c r="R708" s="5"/>
    </row>
    <row r="709" spans="2:18" x14ac:dyDescent="0.2">
      <c r="B709" s="5"/>
      <c r="F709" s="5"/>
      <c r="J709" s="5"/>
      <c r="N709" s="5"/>
      <c r="R709" s="5"/>
    </row>
    <row r="710" spans="2:18" x14ac:dyDescent="0.2">
      <c r="B710" s="5"/>
      <c r="F710" s="5"/>
      <c r="J710" s="5"/>
      <c r="N710" s="5"/>
      <c r="R710" s="5"/>
    </row>
    <row r="711" spans="2:18" x14ac:dyDescent="0.2">
      <c r="B711" s="5"/>
      <c r="F711" s="5"/>
      <c r="J711" s="5"/>
      <c r="N711" s="5"/>
      <c r="R711" s="5"/>
    </row>
    <row r="712" spans="2:18" x14ac:dyDescent="0.2">
      <c r="B712" s="5"/>
      <c r="F712" s="5"/>
      <c r="J712" s="5"/>
      <c r="N712" s="5"/>
      <c r="R712" s="5"/>
    </row>
    <row r="713" spans="2:18" x14ac:dyDescent="0.2">
      <c r="B713" s="5"/>
      <c r="F713" s="5"/>
      <c r="J713" s="5"/>
      <c r="N713" s="5"/>
      <c r="R713" s="5"/>
    </row>
    <row r="714" spans="2:18" x14ac:dyDescent="0.2">
      <c r="B714" s="5"/>
      <c r="F714" s="5"/>
      <c r="J714" s="5"/>
      <c r="N714" s="5"/>
      <c r="R714" s="5"/>
    </row>
    <row r="715" spans="2:18" x14ac:dyDescent="0.2">
      <c r="B715" s="5"/>
      <c r="F715" s="5"/>
      <c r="J715" s="5"/>
      <c r="N715" s="5"/>
      <c r="R715" s="5"/>
    </row>
    <row r="716" spans="2:18" x14ac:dyDescent="0.2">
      <c r="B716" s="5"/>
      <c r="F716" s="5"/>
      <c r="J716" s="5"/>
      <c r="N716" s="5"/>
      <c r="R716" s="5"/>
    </row>
    <row r="717" spans="2:18" x14ac:dyDescent="0.2">
      <c r="B717" s="5"/>
      <c r="F717" s="5"/>
      <c r="J717" s="5"/>
      <c r="N717" s="5"/>
      <c r="R717" s="5"/>
    </row>
    <row r="718" spans="2:18" x14ac:dyDescent="0.2">
      <c r="B718" s="5"/>
      <c r="F718" s="5"/>
      <c r="J718" s="5"/>
      <c r="N718" s="5"/>
      <c r="R718" s="5"/>
    </row>
    <row r="719" spans="2:18" x14ac:dyDescent="0.2">
      <c r="B719" s="5"/>
      <c r="F719" s="5"/>
      <c r="J719" s="5"/>
      <c r="N719" s="5"/>
      <c r="R719" s="5"/>
    </row>
    <row r="720" spans="2:18" x14ac:dyDescent="0.2">
      <c r="B720" s="5"/>
      <c r="F720" s="5"/>
      <c r="J720" s="5"/>
      <c r="N720" s="5"/>
      <c r="R720" s="5"/>
    </row>
    <row r="721" spans="2:18" x14ac:dyDescent="0.2">
      <c r="B721" s="5"/>
      <c r="F721" s="5"/>
      <c r="J721" s="5"/>
      <c r="N721" s="5"/>
      <c r="R721" s="5"/>
    </row>
    <row r="722" spans="2:18" x14ac:dyDescent="0.2">
      <c r="B722" s="5"/>
      <c r="F722" s="5"/>
      <c r="J722" s="5"/>
      <c r="N722" s="5"/>
      <c r="R722" s="5"/>
    </row>
    <row r="723" spans="2:18" x14ac:dyDescent="0.2">
      <c r="B723" s="5"/>
      <c r="F723" s="5"/>
      <c r="J723" s="5"/>
      <c r="N723" s="5"/>
      <c r="R723" s="5"/>
    </row>
    <row r="724" spans="2:18" x14ac:dyDescent="0.2">
      <c r="B724" s="5"/>
      <c r="F724" s="5"/>
      <c r="J724" s="5"/>
      <c r="N724" s="5"/>
      <c r="R724" s="5"/>
    </row>
    <row r="725" spans="2:18" x14ac:dyDescent="0.2">
      <c r="B725" s="5"/>
      <c r="F725" s="5"/>
      <c r="J725" s="5"/>
      <c r="N725" s="5"/>
      <c r="R725" s="5"/>
    </row>
    <row r="726" spans="2:18" x14ac:dyDescent="0.2">
      <c r="B726" s="5"/>
      <c r="F726" s="5"/>
      <c r="J726" s="5"/>
      <c r="N726" s="5"/>
      <c r="R726" s="5"/>
    </row>
    <row r="727" spans="2:18" x14ac:dyDescent="0.2">
      <c r="B727" s="5"/>
      <c r="F727" s="5"/>
      <c r="J727" s="5"/>
      <c r="N727" s="5"/>
      <c r="R727" s="5"/>
    </row>
    <row r="728" spans="2:18" x14ac:dyDescent="0.2">
      <c r="B728" s="5"/>
      <c r="F728" s="5"/>
      <c r="J728" s="5"/>
      <c r="N728" s="5"/>
      <c r="R728" s="5"/>
    </row>
    <row r="729" spans="2:18" x14ac:dyDescent="0.2">
      <c r="B729" s="5"/>
      <c r="F729" s="5"/>
      <c r="J729" s="5"/>
      <c r="N729" s="5"/>
      <c r="R729" s="5"/>
    </row>
    <row r="730" spans="2:18" x14ac:dyDescent="0.2">
      <c r="B730" s="5"/>
      <c r="F730" s="5"/>
      <c r="J730" s="5"/>
      <c r="N730" s="5"/>
      <c r="R730" s="5"/>
    </row>
    <row r="731" spans="2:18" x14ac:dyDescent="0.2">
      <c r="B731" s="5"/>
      <c r="F731" s="5"/>
      <c r="J731" s="5"/>
      <c r="N731" s="5"/>
      <c r="R731" s="5"/>
    </row>
    <row r="732" spans="2:18" x14ac:dyDescent="0.2">
      <c r="B732" s="5"/>
      <c r="F732" s="5"/>
      <c r="J732" s="5"/>
      <c r="N732" s="5"/>
      <c r="R732" s="5"/>
    </row>
    <row r="733" spans="2:18" x14ac:dyDescent="0.2">
      <c r="B733" s="5"/>
      <c r="F733" s="5"/>
      <c r="J733" s="5"/>
      <c r="N733" s="5"/>
      <c r="R733" s="5"/>
    </row>
    <row r="734" spans="2:18" x14ac:dyDescent="0.2">
      <c r="B734" s="5"/>
      <c r="F734" s="5"/>
      <c r="J734" s="5"/>
      <c r="N734" s="5"/>
      <c r="R734" s="5"/>
    </row>
    <row r="735" spans="2:18" x14ac:dyDescent="0.2">
      <c r="B735" s="5"/>
      <c r="F735" s="5"/>
      <c r="J735" s="5"/>
      <c r="N735" s="5"/>
      <c r="R735" s="5"/>
    </row>
    <row r="736" spans="2:18" x14ac:dyDescent="0.2">
      <c r="B736" s="5"/>
      <c r="F736" s="5"/>
      <c r="J736" s="5"/>
      <c r="N736" s="5"/>
      <c r="R736" s="5"/>
    </row>
    <row r="737" spans="2:18" x14ac:dyDescent="0.2">
      <c r="B737" s="5"/>
      <c r="F737" s="5"/>
      <c r="J737" s="5"/>
      <c r="N737" s="5"/>
      <c r="R737" s="5"/>
    </row>
    <row r="738" spans="2:18" x14ac:dyDescent="0.2">
      <c r="B738" s="5"/>
      <c r="F738" s="5"/>
      <c r="J738" s="5"/>
      <c r="N738" s="5"/>
      <c r="R738" s="5"/>
    </row>
    <row r="739" spans="2:18" x14ac:dyDescent="0.2">
      <c r="B739" s="5"/>
      <c r="F739" s="5"/>
      <c r="J739" s="5"/>
      <c r="N739" s="5"/>
      <c r="R739" s="5"/>
    </row>
    <row r="740" spans="2:18" x14ac:dyDescent="0.2">
      <c r="B740" s="5"/>
      <c r="F740" s="5"/>
      <c r="J740" s="5"/>
      <c r="N740" s="5"/>
      <c r="R740" s="5"/>
    </row>
    <row r="741" spans="2:18" x14ac:dyDescent="0.2">
      <c r="B741" s="5"/>
      <c r="F741" s="5"/>
      <c r="J741" s="5"/>
      <c r="N741" s="5"/>
      <c r="R741" s="5"/>
    </row>
    <row r="742" spans="2:18" x14ac:dyDescent="0.2">
      <c r="B742" s="5"/>
      <c r="F742" s="5"/>
      <c r="J742" s="5"/>
      <c r="N742" s="5"/>
      <c r="R742" s="5"/>
    </row>
    <row r="743" spans="2:18" x14ac:dyDescent="0.2">
      <c r="B743" s="5"/>
      <c r="F743" s="5"/>
      <c r="J743" s="5"/>
      <c r="N743" s="5"/>
      <c r="R743" s="5"/>
    </row>
    <row r="744" spans="2:18" x14ac:dyDescent="0.2">
      <c r="B744" s="5"/>
      <c r="F744" s="5"/>
      <c r="J744" s="5"/>
      <c r="N744" s="5"/>
      <c r="R744" s="5"/>
    </row>
    <row r="745" spans="2:18" x14ac:dyDescent="0.2">
      <c r="B745" s="5"/>
      <c r="F745" s="5"/>
      <c r="J745" s="5"/>
      <c r="N745" s="5"/>
      <c r="R745" s="5"/>
    </row>
    <row r="746" spans="2:18" x14ac:dyDescent="0.2">
      <c r="B746" s="5"/>
      <c r="F746" s="5"/>
      <c r="J746" s="5"/>
      <c r="N746" s="5"/>
      <c r="R746" s="5"/>
    </row>
    <row r="747" spans="2:18" x14ac:dyDescent="0.2">
      <c r="B747" s="5"/>
      <c r="F747" s="5"/>
      <c r="J747" s="5"/>
      <c r="N747" s="5"/>
      <c r="R747" s="5"/>
    </row>
    <row r="748" spans="2:18" x14ac:dyDescent="0.2">
      <c r="B748" s="5"/>
      <c r="F748" s="5"/>
      <c r="J748" s="5"/>
      <c r="N748" s="5"/>
      <c r="R748" s="5"/>
    </row>
    <row r="749" spans="2:18" x14ac:dyDescent="0.2">
      <c r="B749" s="5"/>
      <c r="F749" s="5"/>
      <c r="J749" s="5"/>
      <c r="N749" s="5"/>
      <c r="R749" s="5"/>
    </row>
    <row r="750" spans="2:18" x14ac:dyDescent="0.2">
      <c r="B750" s="5"/>
      <c r="F750" s="5"/>
      <c r="J750" s="5"/>
      <c r="N750" s="5"/>
      <c r="R750" s="5"/>
    </row>
    <row r="751" spans="2:18" x14ac:dyDescent="0.2">
      <c r="B751" s="5"/>
      <c r="F751" s="5"/>
      <c r="J751" s="5"/>
      <c r="N751" s="5"/>
      <c r="R751" s="5"/>
    </row>
    <row r="752" spans="2:18" x14ac:dyDescent="0.2">
      <c r="B752" s="5"/>
      <c r="F752" s="5"/>
      <c r="J752" s="5"/>
      <c r="N752" s="5"/>
      <c r="R752" s="5"/>
    </row>
    <row r="753" spans="2:18" x14ac:dyDescent="0.2">
      <c r="B753" s="5"/>
      <c r="F753" s="5"/>
      <c r="J753" s="5"/>
      <c r="N753" s="5"/>
      <c r="R753" s="5"/>
    </row>
    <row r="754" spans="2:18" x14ac:dyDescent="0.2">
      <c r="B754" s="5"/>
      <c r="F754" s="5"/>
      <c r="J754" s="5"/>
      <c r="N754" s="5"/>
      <c r="R754" s="5"/>
    </row>
    <row r="755" spans="2:18" x14ac:dyDescent="0.2">
      <c r="B755" s="5"/>
      <c r="F755" s="5"/>
      <c r="J755" s="5"/>
      <c r="N755" s="5"/>
      <c r="R755" s="5"/>
    </row>
    <row r="756" spans="2:18" x14ac:dyDescent="0.2">
      <c r="B756" s="5"/>
      <c r="F756" s="5"/>
      <c r="J756" s="5"/>
      <c r="N756" s="5"/>
      <c r="R756" s="5"/>
    </row>
    <row r="757" spans="2:18" x14ac:dyDescent="0.2">
      <c r="B757" s="5"/>
      <c r="F757" s="5"/>
      <c r="J757" s="5"/>
      <c r="N757" s="5"/>
      <c r="R757" s="5"/>
    </row>
    <row r="758" spans="2:18" x14ac:dyDescent="0.2">
      <c r="B758" s="5"/>
      <c r="F758" s="5"/>
      <c r="J758" s="5"/>
      <c r="N758" s="5"/>
      <c r="R758" s="5"/>
    </row>
    <row r="759" spans="2:18" x14ac:dyDescent="0.2">
      <c r="B759" s="5"/>
      <c r="F759" s="5"/>
      <c r="J759" s="5"/>
      <c r="N759" s="5"/>
      <c r="R759" s="5"/>
    </row>
    <row r="760" spans="2:18" x14ac:dyDescent="0.2">
      <c r="B760" s="5"/>
      <c r="F760" s="5"/>
      <c r="J760" s="5"/>
      <c r="N760" s="5"/>
      <c r="R760" s="5"/>
    </row>
    <row r="761" spans="2:18" x14ac:dyDescent="0.2">
      <c r="B761" s="5"/>
      <c r="F761" s="5"/>
      <c r="J761" s="5"/>
      <c r="N761" s="5"/>
      <c r="R761" s="5"/>
    </row>
    <row r="762" spans="2:18" x14ac:dyDescent="0.2">
      <c r="B762" s="5"/>
      <c r="F762" s="5"/>
      <c r="J762" s="5"/>
      <c r="N762" s="5"/>
      <c r="R762" s="5"/>
    </row>
    <row r="763" spans="2:18" x14ac:dyDescent="0.2">
      <c r="B763" s="5"/>
      <c r="F763" s="5"/>
      <c r="J763" s="5"/>
      <c r="N763" s="5"/>
      <c r="R763" s="5"/>
    </row>
    <row r="764" spans="2:18" x14ac:dyDescent="0.2">
      <c r="B764" s="5"/>
      <c r="F764" s="5"/>
      <c r="J764" s="5"/>
      <c r="N764" s="5"/>
      <c r="R764" s="5"/>
    </row>
    <row r="765" spans="2:18" x14ac:dyDescent="0.2">
      <c r="B765" s="5"/>
      <c r="F765" s="5"/>
      <c r="J765" s="5"/>
      <c r="N765" s="5"/>
      <c r="R765" s="5"/>
    </row>
    <row r="766" spans="2:18" x14ac:dyDescent="0.2">
      <c r="B766" s="5"/>
      <c r="F766" s="5"/>
      <c r="J766" s="5"/>
      <c r="N766" s="5"/>
      <c r="R766" s="5"/>
    </row>
    <row r="767" spans="2:18" x14ac:dyDescent="0.2">
      <c r="B767" s="5"/>
      <c r="F767" s="5"/>
      <c r="J767" s="5"/>
      <c r="N767" s="5"/>
      <c r="R767" s="5"/>
    </row>
    <row r="768" spans="2:18" x14ac:dyDescent="0.2">
      <c r="B768" s="5"/>
      <c r="F768" s="5"/>
      <c r="J768" s="5"/>
      <c r="N768" s="5"/>
      <c r="R768" s="5"/>
    </row>
    <row r="769" spans="2:18" x14ac:dyDescent="0.2">
      <c r="B769" s="5"/>
      <c r="F769" s="5"/>
      <c r="J769" s="5"/>
      <c r="N769" s="5"/>
      <c r="R769" s="5"/>
    </row>
    <row r="770" spans="2:18" x14ac:dyDescent="0.2">
      <c r="B770" s="5"/>
      <c r="F770" s="5"/>
      <c r="J770" s="5"/>
      <c r="N770" s="5"/>
      <c r="R770" s="5"/>
    </row>
    <row r="771" spans="2:18" x14ac:dyDescent="0.2">
      <c r="B771" s="5"/>
      <c r="F771" s="5"/>
      <c r="J771" s="5"/>
      <c r="N771" s="5"/>
      <c r="R771" s="5"/>
    </row>
    <row r="772" spans="2:18" x14ac:dyDescent="0.2">
      <c r="B772" s="5"/>
      <c r="F772" s="5"/>
      <c r="J772" s="5"/>
      <c r="N772" s="5"/>
      <c r="R772" s="5"/>
    </row>
    <row r="773" spans="2:18" x14ac:dyDescent="0.2">
      <c r="B773" s="5"/>
      <c r="F773" s="5"/>
      <c r="J773" s="5"/>
      <c r="N773" s="5"/>
      <c r="R773" s="5"/>
    </row>
    <row r="774" spans="2:18" x14ac:dyDescent="0.2">
      <c r="B774" s="5"/>
      <c r="F774" s="5"/>
      <c r="J774" s="5"/>
      <c r="N774" s="5"/>
      <c r="R774" s="5"/>
    </row>
    <row r="775" spans="2:18" x14ac:dyDescent="0.2">
      <c r="B775" s="5"/>
      <c r="F775" s="5"/>
      <c r="J775" s="5"/>
      <c r="N775" s="5"/>
      <c r="R775" s="5"/>
    </row>
    <row r="776" spans="2:18" x14ac:dyDescent="0.2">
      <c r="B776" s="5"/>
      <c r="F776" s="5"/>
      <c r="J776" s="5"/>
      <c r="N776" s="5"/>
      <c r="R776" s="5"/>
    </row>
    <row r="777" spans="2:18" x14ac:dyDescent="0.2">
      <c r="B777" s="5"/>
      <c r="F777" s="5"/>
      <c r="J777" s="5"/>
      <c r="N777" s="5"/>
      <c r="R777" s="5"/>
    </row>
    <row r="778" spans="2:18" x14ac:dyDescent="0.2">
      <c r="B778" s="5"/>
      <c r="F778" s="5"/>
      <c r="J778" s="5"/>
      <c r="N778" s="5"/>
      <c r="R778" s="5"/>
    </row>
    <row r="779" spans="2:18" x14ac:dyDescent="0.2">
      <c r="B779" s="5"/>
      <c r="F779" s="5"/>
      <c r="J779" s="5"/>
      <c r="N779" s="5"/>
      <c r="R779" s="5"/>
    </row>
    <row r="780" spans="2:18" x14ac:dyDescent="0.2">
      <c r="B780" s="5"/>
      <c r="F780" s="5"/>
      <c r="J780" s="5"/>
      <c r="N780" s="5"/>
      <c r="R780" s="5"/>
    </row>
    <row r="781" spans="2:18" x14ac:dyDescent="0.2">
      <c r="B781" s="5"/>
      <c r="F781" s="5"/>
      <c r="J781" s="5"/>
      <c r="N781" s="5"/>
      <c r="R781" s="5"/>
    </row>
    <row r="782" spans="2:18" x14ac:dyDescent="0.2">
      <c r="B782" s="5"/>
      <c r="F782" s="5"/>
      <c r="J782" s="5"/>
      <c r="N782" s="5"/>
      <c r="R782" s="5"/>
    </row>
    <row r="783" spans="2:18" x14ac:dyDescent="0.2">
      <c r="B783" s="5"/>
      <c r="F783" s="5"/>
      <c r="J783" s="5"/>
      <c r="N783" s="5"/>
      <c r="R783" s="5"/>
    </row>
    <row r="784" spans="2:18" x14ac:dyDescent="0.2">
      <c r="B784" s="5"/>
      <c r="F784" s="5"/>
      <c r="J784" s="5"/>
      <c r="N784" s="5"/>
      <c r="R784" s="5"/>
    </row>
    <row r="785" spans="2:18" x14ac:dyDescent="0.2">
      <c r="B785" s="5"/>
      <c r="F785" s="5"/>
      <c r="J785" s="5"/>
      <c r="N785" s="5"/>
      <c r="R785" s="5"/>
    </row>
    <row r="786" spans="2:18" x14ac:dyDescent="0.2">
      <c r="B786" s="5"/>
      <c r="F786" s="5"/>
      <c r="J786" s="5"/>
      <c r="N786" s="5"/>
      <c r="R786" s="5"/>
    </row>
    <row r="787" spans="2:18" x14ac:dyDescent="0.2">
      <c r="B787" s="5"/>
      <c r="F787" s="5"/>
      <c r="J787" s="5"/>
      <c r="N787" s="5"/>
      <c r="R787" s="5"/>
    </row>
    <row r="788" spans="2:18" x14ac:dyDescent="0.2">
      <c r="B788" s="5"/>
      <c r="F788" s="5"/>
      <c r="J788" s="5"/>
      <c r="N788" s="5"/>
      <c r="R788" s="5"/>
    </row>
    <row r="789" spans="2:18" x14ac:dyDescent="0.2">
      <c r="B789" s="5"/>
      <c r="F789" s="5"/>
      <c r="J789" s="5"/>
      <c r="N789" s="5"/>
      <c r="R789" s="5"/>
    </row>
    <row r="790" spans="2:18" x14ac:dyDescent="0.2">
      <c r="B790" s="5"/>
      <c r="F790" s="5"/>
      <c r="J790" s="5"/>
      <c r="N790" s="5"/>
      <c r="R790" s="5"/>
    </row>
    <row r="791" spans="2:18" x14ac:dyDescent="0.2">
      <c r="B791" s="5"/>
      <c r="F791" s="5"/>
      <c r="J791" s="5"/>
      <c r="N791" s="5"/>
      <c r="R791" s="5"/>
    </row>
    <row r="792" spans="2:18" x14ac:dyDescent="0.2">
      <c r="B792" s="5"/>
      <c r="F792" s="5"/>
      <c r="J792" s="5"/>
      <c r="N792" s="5"/>
      <c r="R792" s="5"/>
    </row>
    <row r="793" spans="2:18" x14ac:dyDescent="0.2">
      <c r="B793" s="5"/>
      <c r="F793" s="5"/>
      <c r="J793" s="5"/>
      <c r="N793" s="5"/>
      <c r="R793" s="5"/>
    </row>
    <row r="794" spans="2:18" x14ac:dyDescent="0.2">
      <c r="B794" s="5"/>
      <c r="F794" s="5"/>
      <c r="J794" s="5"/>
      <c r="N794" s="5"/>
      <c r="R794" s="5"/>
    </row>
    <row r="795" spans="2:18" x14ac:dyDescent="0.2">
      <c r="B795" s="5"/>
      <c r="F795" s="5"/>
      <c r="J795" s="5"/>
      <c r="N795" s="5"/>
      <c r="R795" s="5"/>
    </row>
    <row r="796" spans="2:18" x14ac:dyDescent="0.2">
      <c r="B796" s="5"/>
      <c r="F796" s="5"/>
      <c r="J796" s="5"/>
      <c r="N796" s="5"/>
      <c r="R796" s="5"/>
    </row>
    <row r="797" spans="2:18" x14ac:dyDescent="0.2">
      <c r="B797" s="5"/>
      <c r="F797" s="5"/>
      <c r="J797" s="5"/>
      <c r="N797" s="5"/>
      <c r="R797" s="5"/>
    </row>
    <row r="798" spans="2:18" x14ac:dyDescent="0.2">
      <c r="B798" s="5"/>
      <c r="F798" s="5"/>
      <c r="J798" s="5"/>
      <c r="N798" s="5"/>
      <c r="R798" s="5"/>
    </row>
    <row r="799" spans="2:18" x14ac:dyDescent="0.2">
      <c r="B799" s="5"/>
      <c r="F799" s="5"/>
      <c r="J799" s="5"/>
      <c r="N799" s="5"/>
      <c r="R799" s="5"/>
    </row>
    <row r="800" spans="2:18" x14ac:dyDescent="0.2">
      <c r="B800" s="5"/>
      <c r="F800" s="5"/>
      <c r="J800" s="5"/>
      <c r="N800" s="5"/>
      <c r="R800" s="5"/>
    </row>
    <row r="801" spans="2:18" x14ac:dyDescent="0.2">
      <c r="B801" s="5"/>
      <c r="F801" s="5"/>
      <c r="J801" s="5"/>
      <c r="N801" s="5"/>
      <c r="R801" s="5"/>
    </row>
    <row r="802" spans="2:18" x14ac:dyDescent="0.2">
      <c r="B802" s="5"/>
      <c r="F802" s="5"/>
      <c r="J802" s="5"/>
      <c r="N802" s="5"/>
      <c r="R802" s="5"/>
    </row>
    <row r="803" spans="2:18" x14ac:dyDescent="0.2">
      <c r="B803" s="5"/>
      <c r="F803" s="5"/>
      <c r="J803" s="5"/>
      <c r="N803" s="5"/>
      <c r="R803" s="5"/>
    </row>
    <row r="804" spans="2:18" x14ac:dyDescent="0.2">
      <c r="B804" s="5"/>
      <c r="F804" s="5"/>
      <c r="J804" s="5"/>
      <c r="N804" s="5"/>
      <c r="R804" s="5"/>
    </row>
    <row r="805" spans="2:18" x14ac:dyDescent="0.2">
      <c r="B805" s="5"/>
      <c r="F805" s="5"/>
      <c r="J805" s="5"/>
      <c r="N805" s="5"/>
      <c r="R805" s="5"/>
    </row>
    <row r="806" spans="2:18" x14ac:dyDescent="0.2">
      <c r="B806" s="5"/>
      <c r="F806" s="5"/>
      <c r="J806" s="5"/>
      <c r="N806" s="5"/>
      <c r="R806" s="5"/>
    </row>
    <row r="807" spans="2:18" x14ac:dyDescent="0.2">
      <c r="B807" s="5"/>
      <c r="F807" s="5"/>
      <c r="J807" s="5"/>
      <c r="N807" s="5"/>
      <c r="R807" s="5"/>
    </row>
    <row r="808" spans="2:18" x14ac:dyDescent="0.2">
      <c r="B808" s="5"/>
      <c r="F808" s="5"/>
      <c r="J808" s="5"/>
      <c r="N808" s="5"/>
      <c r="R808" s="5"/>
    </row>
    <row r="809" spans="2:18" x14ac:dyDescent="0.2">
      <c r="B809" s="5"/>
      <c r="F809" s="5"/>
      <c r="J809" s="5"/>
      <c r="N809" s="5"/>
      <c r="R809" s="5"/>
    </row>
    <row r="810" spans="2:18" x14ac:dyDescent="0.2">
      <c r="B810" s="5"/>
      <c r="F810" s="5"/>
      <c r="J810" s="5"/>
      <c r="N810" s="5"/>
      <c r="R810" s="5"/>
    </row>
    <row r="811" spans="2:18" x14ac:dyDescent="0.2">
      <c r="B811" s="5"/>
      <c r="F811" s="5"/>
      <c r="J811" s="5"/>
      <c r="N811" s="5"/>
      <c r="R811" s="5"/>
    </row>
    <row r="812" spans="2:18" x14ac:dyDescent="0.2">
      <c r="B812" s="5"/>
      <c r="F812" s="5"/>
      <c r="J812" s="5"/>
      <c r="N812" s="5"/>
      <c r="R812" s="5"/>
    </row>
    <row r="813" spans="2:18" x14ac:dyDescent="0.2">
      <c r="B813" s="5"/>
      <c r="F813" s="5"/>
      <c r="J813" s="5"/>
      <c r="N813" s="5"/>
      <c r="R813" s="5"/>
    </row>
    <row r="814" spans="2:18" x14ac:dyDescent="0.2">
      <c r="B814" s="5"/>
      <c r="F814" s="5"/>
      <c r="J814" s="5"/>
      <c r="N814" s="5"/>
      <c r="R814" s="5"/>
    </row>
    <row r="815" spans="2:18" x14ac:dyDescent="0.2">
      <c r="B815" s="5"/>
      <c r="F815" s="5"/>
      <c r="J815" s="5"/>
      <c r="N815" s="5"/>
      <c r="R815" s="5"/>
    </row>
    <row r="816" spans="2:18" x14ac:dyDescent="0.2">
      <c r="B816" s="5"/>
      <c r="F816" s="5"/>
      <c r="J816" s="5"/>
      <c r="N816" s="5"/>
      <c r="R816" s="5"/>
    </row>
    <row r="817" spans="2:18" x14ac:dyDescent="0.2">
      <c r="B817" s="5"/>
      <c r="F817" s="5"/>
      <c r="J817" s="5"/>
      <c r="N817" s="5"/>
      <c r="R817" s="5"/>
    </row>
    <row r="818" spans="2:18" x14ac:dyDescent="0.2">
      <c r="B818" s="5"/>
      <c r="F818" s="5"/>
      <c r="J818" s="5"/>
      <c r="N818" s="5"/>
      <c r="R818" s="5"/>
    </row>
    <row r="819" spans="2:18" x14ac:dyDescent="0.2">
      <c r="B819" s="5"/>
      <c r="F819" s="5"/>
      <c r="J819" s="5"/>
      <c r="N819" s="5"/>
      <c r="R819" s="5"/>
    </row>
    <row r="820" spans="2:18" x14ac:dyDescent="0.2">
      <c r="B820" s="5"/>
      <c r="F820" s="5"/>
      <c r="J820" s="5"/>
      <c r="N820" s="5"/>
      <c r="R820" s="5"/>
    </row>
    <row r="821" spans="2:18" x14ac:dyDescent="0.2">
      <c r="B821" s="5"/>
      <c r="F821" s="5"/>
      <c r="J821" s="5"/>
      <c r="N821" s="5"/>
      <c r="R821" s="5"/>
    </row>
    <row r="822" spans="2:18" x14ac:dyDescent="0.2">
      <c r="B822" s="5"/>
      <c r="F822" s="5"/>
      <c r="J822" s="5"/>
      <c r="N822" s="5"/>
      <c r="R822" s="5"/>
    </row>
    <row r="823" spans="2:18" x14ac:dyDescent="0.2">
      <c r="B823" s="5"/>
      <c r="F823" s="5"/>
      <c r="J823" s="5"/>
      <c r="N823" s="5"/>
      <c r="R823" s="5"/>
    </row>
    <row r="824" spans="2:18" x14ac:dyDescent="0.2">
      <c r="B824" s="5"/>
      <c r="F824" s="5"/>
      <c r="J824" s="5"/>
      <c r="N824" s="5"/>
      <c r="R824" s="5"/>
    </row>
    <row r="825" spans="2:18" x14ac:dyDescent="0.2">
      <c r="B825" s="5"/>
      <c r="F825" s="5"/>
      <c r="J825" s="5"/>
      <c r="N825" s="5"/>
      <c r="R825" s="5"/>
    </row>
    <row r="826" spans="2:18" x14ac:dyDescent="0.2">
      <c r="B826" s="5"/>
      <c r="F826" s="5"/>
      <c r="J826" s="5"/>
      <c r="N826" s="5"/>
      <c r="R826" s="5"/>
    </row>
    <row r="827" spans="2:18" x14ac:dyDescent="0.2">
      <c r="B827" s="5"/>
      <c r="F827" s="5"/>
      <c r="J827" s="5"/>
      <c r="N827" s="5"/>
      <c r="R827" s="5"/>
    </row>
    <row r="828" spans="2:18" x14ac:dyDescent="0.2">
      <c r="B828" s="5"/>
      <c r="F828" s="5"/>
      <c r="J828" s="5"/>
      <c r="N828" s="5"/>
      <c r="R828" s="5"/>
    </row>
    <row r="829" spans="2:18" x14ac:dyDescent="0.2">
      <c r="B829" s="5"/>
      <c r="F829" s="5"/>
      <c r="J829" s="5"/>
      <c r="N829" s="5"/>
      <c r="R829" s="5"/>
    </row>
    <row r="830" spans="2:18" x14ac:dyDescent="0.2">
      <c r="B830" s="5"/>
      <c r="F830" s="5"/>
      <c r="J830" s="5"/>
      <c r="N830" s="5"/>
      <c r="R830" s="5"/>
    </row>
    <row r="831" spans="2:18" x14ac:dyDescent="0.2">
      <c r="B831" s="5"/>
      <c r="F831" s="5"/>
      <c r="J831" s="5"/>
      <c r="N831" s="5"/>
      <c r="R831" s="5"/>
    </row>
    <row r="832" spans="2:18" x14ac:dyDescent="0.2">
      <c r="B832" s="5"/>
      <c r="F832" s="5"/>
      <c r="J832" s="5"/>
      <c r="N832" s="5"/>
      <c r="R832" s="5"/>
    </row>
    <row r="833" spans="2:18" x14ac:dyDescent="0.2">
      <c r="B833" s="5"/>
      <c r="F833" s="5"/>
      <c r="J833" s="5"/>
      <c r="N833" s="5"/>
      <c r="R833" s="5"/>
    </row>
    <row r="834" spans="2:18" x14ac:dyDescent="0.2">
      <c r="B834" s="5"/>
      <c r="F834" s="5"/>
      <c r="J834" s="5"/>
      <c r="N834" s="5"/>
      <c r="R834" s="5"/>
    </row>
    <row r="835" spans="2:18" x14ac:dyDescent="0.2">
      <c r="B835" s="5"/>
      <c r="F835" s="5"/>
      <c r="J835" s="5"/>
      <c r="N835" s="5"/>
      <c r="R835" s="5"/>
    </row>
    <row r="836" spans="2:18" x14ac:dyDescent="0.2">
      <c r="B836" s="5"/>
      <c r="F836" s="5"/>
      <c r="J836" s="5"/>
      <c r="N836" s="5"/>
      <c r="R836" s="5"/>
    </row>
    <row r="837" spans="2:18" x14ac:dyDescent="0.2">
      <c r="B837" s="5"/>
      <c r="F837" s="5"/>
      <c r="J837" s="5"/>
      <c r="N837" s="5"/>
      <c r="R837" s="5"/>
    </row>
    <row r="838" spans="2:18" x14ac:dyDescent="0.2">
      <c r="B838" s="5"/>
      <c r="F838" s="5"/>
      <c r="J838" s="5"/>
      <c r="N838" s="5"/>
      <c r="R838" s="5"/>
    </row>
    <row r="839" spans="2:18" x14ac:dyDescent="0.2">
      <c r="B839" s="5"/>
      <c r="F839" s="5"/>
      <c r="J839" s="5"/>
      <c r="N839" s="5"/>
      <c r="R839" s="5"/>
    </row>
    <row r="840" spans="2:18" x14ac:dyDescent="0.2">
      <c r="B840" s="5"/>
      <c r="F840" s="5"/>
      <c r="J840" s="5"/>
      <c r="N840" s="5"/>
      <c r="R840" s="5"/>
    </row>
    <row r="841" spans="2:18" x14ac:dyDescent="0.2">
      <c r="B841" s="5"/>
      <c r="F841" s="5"/>
      <c r="J841" s="5"/>
      <c r="N841" s="5"/>
      <c r="R841" s="5"/>
    </row>
    <row r="842" spans="2:18" x14ac:dyDescent="0.2">
      <c r="B842" s="5"/>
      <c r="F842" s="5"/>
      <c r="J842" s="5"/>
      <c r="N842" s="5"/>
      <c r="R842" s="5"/>
    </row>
    <row r="843" spans="2:18" x14ac:dyDescent="0.2">
      <c r="B843" s="5"/>
      <c r="F843" s="5"/>
      <c r="J843" s="5"/>
      <c r="N843" s="5"/>
      <c r="R843" s="5"/>
    </row>
    <row r="844" spans="2:18" x14ac:dyDescent="0.2">
      <c r="B844" s="5"/>
      <c r="F844" s="5"/>
      <c r="J844" s="5"/>
      <c r="N844" s="5"/>
      <c r="R844" s="5"/>
    </row>
    <row r="845" spans="2:18" x14ac:dyDescent="0.2">
      <c r="B845" s="5"/>
      <c r="F845" s="5"/>
      <c r="J845" s="5"/>
      <c r="N845" s="5"/>
      <c r="R845" s="5"/>
    </row>
    <row r="846" spans="2:18" x14ac:dyDescent="0.2">
      <c r="B846" s="5"/>
      <c r="F846" s="5"/>
      <c r="J846" s="5"/>
      <c r="N846" s="5"/>
      <c r="R846" s="5"/>
    </row>
    <row r="847" spans="2:18" x14ac:dyDescent="0.2">
      <c r="B847" s="5"/>
      <c r="F847" s="5"/>
      <c r="J847" s="5"/>
      <c r="N847" s="5"/>
      <c r="R847" s="5"/>
    </row>
    <row r="848" spans="2:18" x14ac:dyDescent="0.2">
      <c r="B848" s="5"/>
      <c r="F848" s="5"/>
      <c r="J848" s="5"/>
      <c r="N848" s="5"/>
      <c r="R848" s="5"/>
    </row>
    <row r="849" spans="2:18" x14ac:dyDescent="0.2">
      <c r="B849" s="5"/>
      <c r="F849" s="5"/>
      <c r="J849" s="5"/>
      <c r="N849" s="5"/>
      <c r="R849" s="5"/>
    </row>
    <row r="850" spans="2:18" x14ac:dyDescent="0.2">
      <c r="B850" s="5"/>
      <c r="F850" s="5"/>
      <c r="J850" s="5"/>
      <c r="N850" s="5"/>
      <c r="R850" s="5"/>
    </row>
    <row r="851" spans="2:18" x14ac:dyDescent="0.2">
      <c r="B851" s="5"/>
      <c r="F851" s="5"/>
      <c r="J851" s="5"/>
      <c r="N851" s="5"/>
      <c r="R851" s="5"/>
    </row>
    <row r="852" spans="2:18" x14ac:dyDescent="0.2">
      <c r="B852" s="5"/>
      <c r="F852" s="5"/>
      <c r="J852" s="5"/>
      <c r="N852" s="5"/>
      <c r="R852" s="5"/>
    </row>
    <row r="853" spans="2:18" x14ac:dyDescent="0.2">
      <c r="B853" s="5"/>
      <c r="F853" s="5"/>
      <c r="J853" s="5"/>
      <c r="N853" s="5"/>
      <c r="R853" s="5"/>
    </row>
    <row r="854" spans="2:18" x14ac:dyDescent="0.2">
      <c r="B854" s="5"/>
      <c r="F854" s="5"/>
      <c r="J854" s="5"/>
      <c r="N854" s="5"/>
      <c r="R854" s="5"/>
    </row>
    <row r="855" spans="2:18" x14ac:dyDescent="0.2">
      <c r="B855" s="5"/>
      <c r="F855" s="5"/>
      <c r="J855" s="5"/>
      <c r="N855" s="5"/>
      <c r="R855" s="5"/>
    </row>
    <row r="856" spans="2:18" x14ac:dyDescent="0.2">
      <c r="B856" s="5"/>
      <c r="F856" s="5"/>
      <c r="J856" s="5"/>
      <c r="N856" s="5"/>
      <c r="R856" s="5"/>
    </row>
    <row r="857" spans="2:18" x14ac:dyDescent="0.2">
      <c r="B857" s="5"/>
      <c r="F857" s="5"/>
      <c r="J857" s="5"/>
      <c r="N857" s="5"/>
      <c r="R857" s="5"/>
    </row>
    <row r="858" spans="2:18" x14ac:dyDescent="0.2">
      <c r="B858" s="5"/>
      <c r="F858" s="5"/>
      <c r="J858" s="5"/>
      <c r="N858" s="5"/>
      <c r="R858" s="5"/>
    </row>
    <row r="859" spans="2:18" x14ac:dyDescent="0.2">
      <c r="B859" s="5"/>
      <c r="F859" s="5"/>
      <c r="J859" s="5"/>
      <c r="N859" s="5"/>
      <c r="R859" s="5"/>
    </row>
    <row r="860" spans="2:18" x14ac:dyDescent="0.2">
      <c r="B860" s="5"/>
      <c r="F860" s="5"/>
      <c r="J860" s="5"/>
      <c r="N860" s="5"/>
      <c r="R860" s="5"/>
    </row>
    <row r="861" spans="2:18" x14ac:dyDescent="0.2">
      <c r="B861" s="5"/>
      <c r="F861" s="5"/>
      <c r="J861" s="5"/>
      <c r="N861" s="5"/>
      <c r="R861" s="5"/>
    </row>
    <row r="862" spans="2:18" x14ac:dyDescent="0.2">
      <c r="B862" s="5"/>
      <c r="F862" s="5"/>
      <c r="J862" s="5"/>
      <c r="N862" s="5"/>
      <c r="R862" s="5"/>
    </row>
    <row r="863" spans="2:18" x14ac:dyDescent="0.2">
      <c r="B863" s="5"/>
      <c r="F863" s="5"/>
      <c r="J863" s="5"/>
      <c r="N863" s="5"/>
      <c r="R863" s="5"/>
    </row>
    <row r="864" spans="2:18" x14ac:dyDescent="0.2">
      <c r="B864" s="5"/>
      <c r="F864" s="5"/>
      <c r="J864" s="5"/>
      <c r="N864" s="5"/>
      <c r="R864" s="5"/>
    </row>
    <row r="865" spans="2:18" x14ac:dyDescent="0.2">
      <c r="B865" s="5"/>
      <c r="F865" s="5"/>
      <c r="J865" s="5"/>
      <c r="N865" s="5"/>
      <c r="R865" s="5"/>
    </row>
    <row r="866" spans="2:18" x14ac:dyDescent="0.2">
      <c r="B866" s="5"/>
      <c r="F866" s="5"/>
      <c r="J866" s="5"/>
      <c r="N866" s="5"/>
      <c r="R866" s="5"/>
    </row>
    <row r="867" spans="2:18" x14ac:dyDescent="0.2">
      <c r="B867" s="5"/>
      <c r="F867" s="5"/>
      <c r="J867" s="5"/>
      <c r="N867" s="5"/>
      <c r="R867" s="5"/>
    </row>
    <row r="868" spans="2:18" x14ac:dyDescent="0.2">
      <c r="B868" s="5"/>
      <c r="F868" s="5"/>
      <c r="J868" s="5"/>
      <c r="N868" s="5"/>
      <c r="R868" s="5"/>
    </row>
    <row r="869" spans="2:18" x14ac:dyDescent="0.2">
      <c r="B869" s="5"/>
      <c r="F869" s="5"/>
      <c r="J869" s="5"/>
      <c r="N869" s="5"/>
      <c r="R869" s="5"/>
    </row>
    <row r="870" spans="2:18" x14ac:dyDescent="0.2">
      <c r="B870" s="5"/>
      <c r="F870" s="5"/>
      <c r="J870" s="5"/>
      <c r="N870" s="5"/>
      <c r="R870" s="5"/>
    </row>
    <row r="871" spans="2:18" x14ac:dyDescent="0.2">
      <c r="B871" s="5"/>
      <c r="F871" s="5"/>
      <c r="J871" s="5"/>
      <c r="N871" s="5"/>
      <c r="R871" s="5"/>
    </row>
    <row r="872" spans="2:18" x14ac:dyDescent="0.2">
      <c r="B872" s="5"/>
      <c r="F872" s="5"/>
      <c r="J872" s="5"/>
      <c r="N872" s="5"/>
      <c r="R872" s="5"/>
    </row>
    <row r="873" spans="2:18" x14ac:dyDescent="0.2">
      <c r="B873" s="5"/>
      <c r="F873" s="5"/>
      <c r="J873" s="5"/>
      <c r="N873" s="5"/>
      <c r="R873" s="5"/>
    </row>
    <row r="874" spans="2:18" x14ac:dyDescent="0.2">
      <c r="B874" s="5"/>
      <c r="F874" s="5"/>
      <c r="J874" s="5"/>
      <c r="N874" s="5"/>
      <c r="R874" s="5"/>
    </row>
    <row r="875" spans="2:18" x14ac:dyDescent="0.2">
      <c r="B875" s="5"/>
      <c r="F875" s="5"/>
      <c r="J875" s="5"/>
      <c r="N875" s="5"/>
      <c r="R875" s="5"/>
    </row>
    <row r="876" spans="2:18" x14ac:dyDescent="0.2">
      <c r="B876" s="5"/>
      <c r="F876" s="5"/>
      <c r="J876" s="5"/>
      <c r="N876" s="5"/>
      <c r="R876" s="5"/>
    </row>
    <row r="877" spans="2:18" x14ac:dyDescent="0.2">
      <c r="B877" s="5"/>
      <c r="F877" s="5"/>
      <c r="J877" s="5"/>
      <c r="N877" s="5"/>
      <c r="R877" s="5"/>
    </row>
    <row r="878" spans="2:18" x14ac:dyDescent="0.2">
      <c r="B878" s="5"/>
      <c r="F878" s="5"/>
      <c r="J878" s="5"/>
      <c r="N878" s="5"/>
      <c r="R878" s="5"/>
    </row>
    <row r="879" spans="2:18" x14ac:dyDescent="0.2">
      <c r="B879" s="5"/>
      <c r="F879" s="5"/>
      <c r="J879" s="5"/>
      <c r="N879" s="5"/>
      <c r="R879" s="5"/>
    </row>
    <row r="880" spans="2:18" x14ac:dyDescent="0.2">
      <c r="B880" s="5"/>
      <c r="F880" s="5"/>
      <c r="J880" s="5"/>
      <c r="N880" s="5"/>
      <c r="R880" s="5"/>
    </row>
    <row r="881" spans="2:18" x14ac:dyDescent="0.2">
      <c r="B881" s="5"/>
      <c r="F881" s="5"/>
      <c r="J881" s="5"/>
      <c r="N881" s="5"/>
      <c r="R881" s="5"/>
    </row>
    <row r="882" spans="2:18" x14ac:dyDescent="0.2">
      <c r="B882" s="5"/>
      <c r="F882" s="5"/>
      <c r="J882" s="5"/>
      <c r="N882" s="5"/>
      <c r="R882" s="5"/>
    </row>
    <row r="883" spans="2:18" x14ac:dyDescent="0.2">
      <c r="B883" s="5"/>
      <c r="F883" s="5"/>
      <c r="J883" s="5"/>
      <c r="N883" s="5"/>
      <c r="R883" s="5"/>
    </row>
    <row r="884" spans="2:18" x14ac:dyDescent="0.2">
      <c r="B884" s="5"/>
      <c r="F884" s="5"/>
      <c r="J884" s="5"/>
      <c r="N884" s="5"/>
      <c r="R884" s="5"/>
    </row>
    <row r="885" spans="2:18" x14ac:dyDescent="0.2">
      <c r="B885" s="5"/>
      <c r="F885" s="5"/>
      <c r="J885" s="5"/>
      <c r="N885" s="5"/>
      <c r="R885" s="5"/>
    </row>
    <row r="886" spans="2:18" x14ac:dyDescent="0.2">
      <c r="B886" s="5"/>
      <c r="F886" s="5"/>
      <c r="J886" s="5"/>
      <c r="N886" s="5"/>
      <c r="R886" s="5"/>
    </row>
    <row r="887" spans="2:18" x14ac:dyDescent="0.2">
      <c r="B887" s="5"/>
      <c r="F887" s="5"/>
      <c r="J887" s="5"/>
      <c r="N887" s="5"/>
      <c r="R887" s="5"/>
    </row>
    <row r="888" spans="2:18" x14ac:dyDescent="0.2">
      <c r="B888" s="5"/>
      <c r="F888" s="5"/>
      <c r="J888" s="5"/>
      <c r="N888" s="5"/>
      <c r="R888" s="5"/>
    </row>
    <row r="889" spans="2:18" x14ac:dyDescent="0.2">
      <c r="B889" s="5"/>
      <c r="F889" s="5"/>
      <c r="J889" s="5"/>
      <c r="N889" s="5"/>
      <c r="R889" s="5"/>
    </row>
    <row r="890" spans="2:18" x14ac:dyDescent="0.2">
      <c r="B890" s="5"/>
      <c r="F890" s="5"/>
      <c r="J890" s="5"/>
      <c r="N890" s="5"/>
      <c r="R890" s="5"/>
    </row>
    <row r="891" spans="2:18" x14ac:dyDescent="0.2">
      <c r="B891" s="5"/>
      <c r="F891" s="5"/>
      <c r="J891" s="5"/>
      <c r="N891" s="5"/>
      <c r="R891" s="5"/>
    </row>
    <row r="892" spans="2:18" x14ac:dyDescent="0.2">
      <c r="B892" s="5"/>
      <c r="F892" s="5"/>
      <c r="J892" s="5"/>
      <c r="N892" s="5"/>
      <c r="R892" s="5"/>
    </row>
    <row r="893" spans="2:18" x14ac:dyDescent="0.2">
      <c r="B893" s="5"/>
      <c r="F893" s="5"/>
      <c r="J893" s="5"/>
      <c r="N893" s="5"/>
      <c r="R893" s="5"/>
    </row>
    <row r="894" spans="2:18" x14ac:dyDescent="0.2">
      <c r="B894" s="5"/>
      <c r="F894" s="5"/>
      <c r="J894" s="5"/>
      <c r="N894" s="5"/>
      <c r="R894" s="5"/>
    </row>
    <row r="895" spans="2:18" x14ac:dyDescent="0.2">
      <c r="B895" s="5"/>
      <c r="F895" s="5"/>
      <c r="J895" s="5"/>
      <c r="N895" s="5"/>
      <c r="R895" s="5"/>
    </row>
    <row r="896" spans="2:18" x14ac:dyDescent="0.2">
      <c r="B896" s="5"/>
      <c r="F896" s="5"/>
      <c r="J896" s="5"/>
      <c r="N896" s="5"/>
      <c r="R896" s="5"/>
    </row>
    <row r="897" spans="2:18" x14ac:dyDescent="0.2">
      <c r="B897" s="5"/>
      <c r="F897" s="5"/>
      <c r="J897" s="5"/>
      <c r="N897" s="5"/>
      <c r="R897" s="5"/>
    </row>
    <row r="898" spans="2:18" x14ac:dyDescent="0.2">
      <c r="B898" s="5"/>
      <c r="F898" s="5"/>
      <c r="J898" s="5"/>
      <c r="N898" s="5"/>
      <c r="R898" s="5"/>
    </row>
    <row r="899" spans="2:18" x14ac:dyDescent="0.2">
      <c r="B899" s="5"/>
      <c r="F899" s="5"/>
      <c r="J899" s="5"/>
      <c r="N899" s="5"/>
      <c r="R899" s="5"/>
    </row>
    <row r="900" spans="2:18" x14ac:dyDescent="0.2">
      <c r="B900" s="5"/>
      <c r="F900" s="5"/>
      <c r="J900" s="5"/>
      <c r="N900" s="5"/>
      <c r="R900" s="5"/>
    </row>
    <row r="901" spans="2:18" x14ac:dyDescent="0.2">
      <c r="B901" s="5"/>
      <c r="F901" s="5"/>
      <c r="J901" s="5"/>
      <c r="N901" s="5"/>
      <c r="R901" s="5"/>
    </row>
    <row r="902" spans="2:18" x14ac:dyDescent="0.2">
      <c r="B902" s="5"/>
      <c r="F902" s="5"/>
      <c r="J902" s="5"/>
      <c r="N902" s="5"/>
      <c r="R902" s="5"/>
    </row>
    <row r="903" spans="2:18" x14ac:dyDescent="0.2">
      <c r="B903" s="5"/>
      <c r="F903" s="5"/>
      <c r="J903" s="5"/>
      <c r="N903" s="5"/>
      <c r="R903" s="5"/>
    </row>
    <row r="904" spans="2:18" x14ac:dyDescent="0.2">
      <c r="B904" s="5"/>
      <c r="F904" s="5"/>
      <c r="J904" s="5"/>
      <c r="N904" s="5"/>
      <c r="R904" s="5"/>
    </row>
    <row r="905" spans="2:18" x14ac:dyDescent="0.2">
      <c r="B905" s="5"/>
      <c r="F905" s="5"/>
      <c r="J905" s="5"/>
      <c r="N905" s="5"/>
      <c r="R905" s="5"/>
    </row>
    <row r="906" spans="2:18" x14ac:dyDescent="0.2">
      <c r="B906" s="5"/>
      <c r="F906" s="5"/>
      <c r="J906" s="5"/>
      <c r="N906" s="5"/>
      <c r="R906" s="5"/>
    </row>
    <row r="907" spans="2:18" x14ac:dyDescent="0.2">
      <c r="B907" s="5"/>
      <c r="F907" s="5"/>
      <c r="J907" s="5"/>
      <c r="N907" s="5"/>
      <c r="R907" s="5"/>
    </row>
    <row r="908" spans="2:18" x14ac:dyDescent="0.2">
      <c r="B908" s="5"/>
      <c r="F908" s="5"/>
      <c r="J908" s="5"/>
      <c r="N908" s="5"/>
      <c r="R908" s="5"/>
    </row>
    <row r="909" spans="2:18" x14ac:dyDescent="0.2">
      <c r="B909" s="5"/>
      <c r="F909" s="5"/>
      <c r="J909" s="5"/>
      <c r="N909" s="5"/>
      <c r="R909" s="5"/>
    </row>
    <row r="910" spans="2:18" x14ac:dyDescent="0.2">
      <c r="B910" s="5"/>
      <c r="F910" s="5"/>
      <c r="J910" s="5"/>
      <c r="N910" s="5"/>
      <c r="R910" s="5"/>
    </row>
    <row r="911" spans="2:18" x14ac:dyDescent="0.2">
      <c r="B911" s="5"/>
      <c r="F911" s="5"/>
      <c r="J911" s="5"/>
      <c r="N911" s="5"/>
      <c r="R911" s="5"/>
    </row>
    <row r="912" spans="2:18" x14ac:dyDescent="0.2">
      <c r="B912" s="5"/>
      <c r="F912" s="5"/>
      <c r="J912" s="5"/>
      <c r="N912" s="5"/>
      <c r="R912" s="5"/>
    </row>
    <row r="913" spans="2:18" x14ac:dyDescent="0.2">
      <c r="B913" s="5"/>
      <c r="F913" s="5"/>
      <c r="J913" s="5"/>
      <c r="N913" s="5"/>
      <c r="R913" s="5"/>
    </row>
    <row r="914" spans="2:18" x14ac:dyDescent="0.2">
      <c r="B914" s="5"/>
      <c r="F914" s="5"/>
      <c r="J914" s="5"/>
      <c r="N914" s="5"/>
      <c r="R914" s="5"/>
    </row>
    <row r="915" spans="2:18" x14ac:dyDescent="0.2">
      <c r="B915" s="5"/>
      <c r="F915" s="5"/>
      <c r="J915" s="5"/>
      <c r="N915" s="5"/>
      <c r="R915" s="5"/>
    </row>
    <row r="916" spans="2:18" x14ac:dyDescent="0.2">
      <c r="B916" s="5"/>
      <c r="F916" s="5"/>
      <c r="J916" s="5"/>
      <c r="N916" s="5"/>
      <c r="R916" s="5"/>
    </row>
    <row r="917" spans="2:18" x14ac:dyDescent="0.2">
      <c r="B917" s="5"/>
      <c r="F917" s="5"/>
      <c r="J917" s="5"/>
      <c r="N917" s="5"/>
      <c r="R917" s="5"/>
    </row>
    <row r="918" spans="2:18" x14ac:dyDescent="0.2">
      <c r="B918" s="5"/>
      <c r="F918" s="5"/>
      <c r="J918" s="5"/>
      <c r="N918" s="5"/>
      <c r="R918" s="5"/>
    </row>
    <row r="919" spans="2:18" x14ac:dyDescent="0.2">
      <c r="B919" s="5"/>
      <c r="F919" s="5"/>
      <c r="J919" s="5"/>
      <c r="N919" s="5"/>
      <c r="R919" s="5"/>
    </row>
    <row r="920" spans="2:18" x14ac:dyDescent="0.2">
      <c r="B920" s="5"/>
      <c r="F920" s="5"/>
      <c r="J920" s="5"/>
      <c r="N920" s="5"/>
      <c r="R920" s="5"/>
    </row>
    <row r="921" spans="2:18" x14ac:dyDescent="0.2">
      <c r="B921" s="5"/>
      <c r="F921" s="5"/>
      <c r="J921" s="5"/>
      <c r="N921" s="5"/>
      <c r="R921" s="5"/>
    </row>
    <row r="922" spans="2:18" x14ac:dyDescent="0.2">
      <c r="B922" s="5"/>
      <c r="F922" s="5"/>
      <c r="J922" s="5"/>
      <c r="N922" s="5"/>
      <c r="R922" s="5"/>
    </row>
    <row r="923" spans="2:18" x14ac:dyDescent="0.2">
      <c r="B923" s="5"/>
      <c r="F923" s="5"/>
      <c r="J923" s="5"/>
      <c r="N923" s="5"/>
      <c r="R923" s="5"/>
    </row>
    <row r="924" spans="2:18" x14ac:dyDescent="0.2">
      <c r="B924" s="5"/>
      <c r="F924" s="5"/>
      <c r="J924" s="5"/>
      <c r="N924" s="5"/>
      <c r="R924" s="5"/>
    </row>
    <row r="925" spans="2:18" x14ac:dyDescent="0.2">
      <c r="B925" s="5"/>
      <c r="F925" s="5"/>
      <c r="J925" s="5"/>
      <c r="N925" s="5"/>
      <c r="R925" s="5"/>
    </row>
    <row r="926" spans="2:18" x14ac:dyDescent="0.2">
      <c r="B926" s="5"/>
      <c r="F926" s="5"/>
      <c r="J926" s="5"/>
      <c r="N926" s="5"/>
      <c r="R926" s="5"/>
    </row>
    <row r="927" spans="2:18" x14ac:dyDescent="0.2">
      <c r="B927" s="5"/>
      <c r="F927" s="5"/>
      <c r="J927" s="5"/>
      <c r="N927" s="5"/>
      <c r="R927" s="5"/>
    </row>
    <row r="928" spans="2:18" x14ac:dyDescent="0.2">
      <c r="B928" s="5"/>
      <c r="F928" s="5"/>
      <c r="J928" s="5"/>
      <c r="N928" s="5"/>
      <c r="R928" s="5"/>
    </row>
    <row r="929" spans="2:18" x14ac:dyDescent="0.2">
      <c r="B929" s="5"/>
      <c r="F929" s="5"/>
      <c r="J929" s="5"/>
      <c r="N929" s="5"/>
      <c r="R929" s="5"/>
    </row>
    <row r="930" spans="2:18" x14ac:dyDescent="0.2">
      <c r="B930" s="5"/>
      <c r="F930" s="5"/>
      <c r="J930" s="5"/>
      <c r="N930" s="5"/>
      <c r="R930" s="5"/>
    </row>
    <row r="931" spans="2:18" x14ac:dyDescent="0.2">
      <c r="B931" s="5"/>
      <c r="F931" s="5"/>
      <c r="J931" s="5"/>
      <c r="N931" s="5"/>
      <c r="R931" s="5"/>
    </row>
    <row r="932" spans="2:18" x14ac:dyDescent="0.2">
      <c r="B932" s="5"/>
      <c r="F932" s="5"/>
      <c r="J932" s="5"/>
      <c r="N932" s="5"/>
      <c r="R932" s="5"/>
    </row>
    <row r="933" spans="2:18" x14ac:dyDescent="0.2">
      <c r="B933" s="5"/>
      <c r="F933" s="5"/>
      <c r="J933" s="5"/>
      <c r="N933" s="5"/>
      <c r="R933" s="5"/>
    </row>
    <row r="934" spans="2:18" x14ac:dyDescent="0.2">
      <c r="B934" s="5"/>
      <c r="F934" s="5"/>
      <c r="J934" s="5"/>
      <c r="N934" s="5"/>
      <c r="R934" s="5"/>
    </row>
    <row r="935" spans="2:18" x14ac:dyDescent="0.2">
      <c r="B935" s="5"/>
      <c r="F935" s="5"/>
      <c r="J935" s="5"/>
      <c r="N935" s="5"/>
      <c r="R935" s="5"/>
    </row>
    <row r="936" spans="2:18" x14ac:dyDescent="0.2">
      <c r="B936" s="5"/>
      <c r="F936" s="5"/>
      <c r="J936" s="5"/>
      <c r="N936" s="5"/>
      <c r="R936" s="5"/>
    </row>
    <row r="937" spans="2:18" x14ac:dyDescent="0.2">
      <c r="B937" s="5"/>
      <c r="F937" s="5"/>
      <c r="J937" s="5"/>
      <c r="N937" s="5"/>
      <c r="R937" s="5"/>
    </row>
    <row r="938" spans="2:18" x14ac:dyDescent="0.2">
      <c r="B938" s="5"/>
      <c r="F938" s="5"/>
      <c r="J938" s="5"/>
      <c r="N938" s="5"/>
      <c r="R938" s="5"/>
    </row>
    <row r="939" spans="2:18" x14ac:dyDescent="0.2">
      <c r="B939" s="5"/>
      <c r="F939" s="5"/>
      <c r="J939" s="5"/>
      <c r="N939" s="5"/>
      <c r="R939" s="5"/>
    </row>
    <row r="940" spans="2:18" x14ac:dyDescent="0.2">
      <c r="B940" s="5"/>
      <c r="F940" s="5"/>
      <c r="J940" s="5"/>
      <c r="N940" s="5"/>
      <c r="R940" s="5"/>
    </row>
    <row r="941" spans="2:18" x14ac:dyDescent="0.2">
      <c r="B941" s="5"/>
      <c r="F941" s="5"/>
      <c r="J941" s="5"/>
      <c r="N941" s="5"/>
      <c r="R941" s="5"/>
    </row>
    <row r="942" spans="2:18" x14ac:dyDescent="0.2">
      <c r="B942" s="5"/>
      <c r="F942" s="5"/>
      <c r="J942" s="5"/>
      <c r="N942" s="5"/>
      <c r="R942" s="5"/>
    </row>
    <row r="943" spans="2:18" x14ac:dyDescent="0.2">
      <c r="B943" s="5"/>
      <c r="F943" s="5"/>
      <c r="J943" s="5"/>
      <c r="N943" s="5"/>
      <c r="R943" s="5"/>
    </row>
    <row r="944" spans="2:18" x14ac:dyDescent="0.2">
      <c r="B944" s="5"/>
      <c r="F944" s="5"/>
      <c r="J944" s="5"/>
      <c r="N944" s="5"/>
      <c r="R944" s="5"/>
    </row>
    <row r="945" spans="2:18" x14ac:dyDescent="0.2">
      <c r="B945" s="5"/>
      <c r="F945" s="5"/>
      <c r="J945" s="5"/>
      <c r="N945" s="5"/>
      <c r="R945" s="5"/>
    </row>
    <row r="946" spans="2:18" x14ac:dyDescent="0.2">
      <c r="B946" s="5"/>
      <c r="F946" s="5"/>
      <c r="J946" s="5"/>
      <c r="N946" s="5"/>
      <c r="R946" s="5"/>
    </row>
    <row r="947" spans="2:18" x14ac:dyDescent="0.2">
      <c r="B947" s="5"/>
      <c r="F947" s="5"/>
      <c r="J947" s="5"/>
      <c r="N947" s="5"/>
      <c r="R947" s="5"/>
    </row>
    <row r="948" spans="2:18" x14ac:dyDescent="0.2">
      <c r="B948" s="5"/>
      <c r="F948" s="5"/>
      <c r="J948" s="5"/>
      <c r="N948" s="5"/>
      <c r="R948" s="5"/>
    </row>
    <row r="949" spans="2:18" x14ac:dyDescent="0.2">
      <c r="B949" s="5"/>
      <c r="F949" s="5"/>
      <c r="J949" s="5"/>
      <c r="N949" s="5"/>
      <c r="R949" s="5"/>
    </row>
    <row r="950" spans="2:18" x14ac:dyDescent="0.2">
      <c r="B950" s="5"/>
      <c r="F950" s="5"/>
      <c r="J950" s="5"/>
      <c r="N950" s="5"/>
      <c r="R950" s="5"/>
    </row>
    <row r="951" spans="2:18" x14ac:dyDescent="0.2">
      <c r="B951" s="5"/>
      <c r="F951" s="5"/>
      <c r="J951" s="5"/>
      <c r="N951" s="5"/>
      <c r="R951" s="5"/>
    </row>
    <row r="952" spans="2:18" x14ac:dyDescent="0.2">
      <c r="B952" s="5"/>
      <c r="F952" s="5"/>
      <c r="J952" s="5"/>
      <c r="N952" s="5"/>
      <c r="R952" s="5"/>
    </row>
    <row r="953" spans="2:18" x14ac:dyDescent="0.2">
      <c r="B953" s="5"/>
      <c r="F953" s="5"/>
      <c r="J953" s="5"/>
      <c r="N953" s="5"/>
      <c r="R953" s="5"/>
    </row>
    <row r="954" spans="2:18" x14ac:dyDescent="0.2">
      <c r="B954" s="5"/>
      <c r="F954" s="5"/>
      <c r="J954" s="5"/>
      <c r="N954" s="5"/>
      <c r="R954" s="5"/>
    </row>
    <row r="955" spans="2:18" x14ac:dyDescent="0.2">
      <c r="B955" s="5"/>
      <c r="F955" s="5"/>
      <c r="J955" s="5"/>
      <c r="N955" s="5"/>
      <c r="R955" s="5"/>
    </row>
    <row r="956" spans="2:18" x14ac:dyDescent="0.2">
      <c r="B956" s="5"/>
      <c r="F956" s="5"/>
      <c r="J956" s="5"/>
      <c r="N956" s="5"/>
      <c r="R956" s="5"/>
    </row>
    <row r="957" spans="2:18" x14ac:dyDescent="0.2">
      <c r="B957" s="5"/>
      <c r="F957" s="5"/>
      <c r="J957" s="5"/>
      <c r="N957" s="5"/>
      <c r="R957" s="5"/>
    </row>
    <row r="958" spans="2:18" x14ac:dyDescent="0.2">
      <c r="B958" s="5"/>
      <c r="F958" s="5"/>
      <c r="J958" s="5"/>
      <c r="N958" s="5"/>
      <c r="R958" s="5"/>
    </row>
    <row r="959" spans="2:18" x14ac:dyDescent="0.2">
      <c r="B959" s="5"/>
      <c r="F959" s="5"/>
      <c r="J959" s="5"/>
      <c r="N959" s="5"/>
      <c r="R959" s="5"/>
    </row>
    <row r="960" spans="2:18" x14ac:dyDescent="0.2">
      <c r="B960" s="5"/>
      <c r="F960" s="5"/>
      <c r="J960" s="5"/>
      <c r="N960" s="5"/>
      <c r="R960" s="5"/>
    </row>
    <row r="961" spans="2:18" x14ac:dyDescent="0.2">
      <c r="B961" s="5"/>
      <c r="F961" s="5"/>
      <c r="J961" s="5"/>
      <c r="N961" s="5"/>
      <c r="R961" s="5"/>
    </row>
    <row r="962" spans="2:18" x14ac:dyDescent="0.2">
      <c r="B962" s="5"/>
      <c r="F962" s="5"/>
      <c r="J962" s="5"/>
      <c r="N962" s="5"/>
      <c r="R962" s="5"/>
    </row>
    <row r="963" spans="2:18" x14ac:dyDescent="0.2">
      <c r="B963" s="5"/>
      <c r="F963" s="5"/>
      <c r="J963" s="5"/>
      <c r="N963" s="5"/>
      <c r="R963" s="5"/>
    </row>
    <row r="964" spans="2:18" x14ac:dyDescent="0.2">
      <c r="B964" s="5"/>
      <c r="F964" s="5"/>
      <c r="J964" s="5"/>
      <c r="N964" s="5"/>
      <c r="R964" s="5"/>
    </row>
    <row r="965" spans="2:18" x14ac:dyDescent="0.2">
      <c r="B965" s="5"/>
      <c r="F965" s="5"/>
      <c r="J965" s="5"/>
      <c r="N965" s="5"/>
      <c r="R965" s="5"/>
    </row>
    <row r="966" spans="2:18" x14ac:dyDescent="0.2">
      <c r="B966" s="5"/>
      <c r="F966" s="5"/>
      <c r="J966" s="5"/>
      <c r="N966" s="5"/>
      <c r="R966" s="5"/>
    </row>
    <row r="967" spans="2:18" x14ac:dyDescent="0.2">
      <c r="B967" s="5"/>
      <c r="F967" s="5"/>
      <c r="J967" s="5"/>
      <c r="N967" s="5"/>
      <c r="R967" s="5"/>
    </row>
    <row r="968" spans="2:18" x14ac:dyDescent="0.2">
      <c r="B968" s="5"/>
      <c r="F968" s="5"/>
      <c r="J968" s="5"/>
      <c r="N968" s="5"/>
      <c r="R968" s="5"/>
    </row>
    <row r="969" spans="2:18" x14ac:dyDescent="0.2">
      <c r="B969" s="5"/>
      <c r="F969" s="5"/>
      <c r="J969" s="5"/>
      <c r="N969" s="5"/>
      <c r="R969" s="5"/>
    </row>
    <row r="970" spans="2:18" x14ac:dyDescent="0.2">
      <c r="B970" s="5"/>
      <c r="F970" s="5"/>
      <c r="J970" s="5"/>
      <c r="N970" s="5"/>
      <c r="R970" s="5"/>
    </row>
    <row r="971" spans="2:18" x14ac:dyDescent="0.2">
      <c r="B971" s="5"/>
      <c r="F971" s="5"/>
      <c r="J971" s="5"/>
      <c r="N971" s="5"/>
      <c r="R971" s="5"/>
    </row>
    <row r="972" spans="2:18" x14ac:dyDescent="0.2">
      <c r="B972" s="5"/>
      <c r="F972" s="5"/>
      <c r="J972" s="5"/>
      <c r="N972" s="5"/>
      <c r="R972" s="5"/>
    </row>
    <row r="973" spans="2:18" x14ac:dyDescent="0.2">
      <c r="B973" s="5"/>
      <c r="F973" s="5"/>
      <c r="J973" s="5"/>
      <c r="N973" s="5"/>
      <c r="R973" s="5"/>
    </row>
    <row r="974" spans="2:18" x14ac:dyDescent="0.2">
      <c r="B974" s="5"/>
      <c r="F974" s="5"/>
      <c r="J974" s="5"/>
      <c r="N974" s="5"/>
      <c r="R974" s="5"/>
    </row>
    <row r="975" spans="2:18" x14ac:dyDescent="0.2">
      <c r="B975" s="5"/>
      <c r="F975" s="5"/>
      <c r="J975" s="5"/>
      <c r="N975" s="5"/>
      <c r="R975" s="5"/>
    </row>
    <row r="976" spans="2:18" x14ac:dyDescent="0.2">
      <c r="B976" s="5"/>
      <c r="F976" s="5"/>
      <c r="J976" s="5"/>
      <c r="N976" s="5"/>
      <c r="R976" s="5"/>
    </row>
    <row r="977" spans="2:18" x14ac:dyDescent="0.2">
      <c r="B977" s="5"/>
      <c r="F977" s="5"/>
      <c r="J977" s="5"/>
      <c r="N977" s="5"/>
      <c r="R977" s="5"/>
    </row>
    <row r="978" spans="2:18" x14ac:dyDescent="0.2">
      <c r="B978" s="5"/>
      <c r="F978" s="5"/>
      <c r="J978" s="5"/>
      <c r="N978" s="5"/>
      <c r="R978" s="5"/>
    </row>
    <row r="979" spans="2:18" x14ac:dyDescent="0.2">
      <c r="B979" s="5"/>
      <c r="F979" s="5"/>
      <c r="J979" s="5"/>
      <c r="N979" s="5"/>
      <c r="R979" s="5"/>
    </row>
    <row r="980" spans="2:18" x14ac:dyDescent="0.2">
      <c r="B980" s="5"/>
      <c r="F980" s="5"/>
      <c r="J980" s="5"/>
      <c r="N980" s="5"/>
      <c r="R980" s="5"/>
    </row>
    <row r="981" spans="2:18" x14ac:dyDescent="0.2">
      <c r="B981" s="5"/>
      <c r="F981" s="5"/>
      <c r="J981" s="5"/>
      <c r="N981" s="5"/>
      <c r="R981" s="5"/>
    </row>
    <row r="982" spans="2:18" x14ac:dyDescent="0.2">
      <c r="B982" s="5"/>
      <c r="F982" s="5"/>
      <c r="J982" s="5"/>
      <c r="N982" s="5"/>
      <c r="R982" s="5"/>
    </row>
    <row r="983" spans="2:18" x14ac:dyDescent="0.2">
      <c r="B983" s="5"/>
      <c r="F983" s="5"/>
      <c r="J983" s="5"/>
      <c r="N983" s="5"/>
      <c r="R983" s="5"/>
    </row>
    <row r="984" spans="2:18" x14ac:dyDescent="0.2">
      <c r="B984" s="5"/>
      <c r="F984" s="5"/>
      <c r="J984" s="5"/>
      <c r="N984" s="5"/>
      <c r="R984" s="5"/>
    </row>
    <row r="985" spans="2:18" x14ac:dyDescent="0.2">
      <c r="B985" s="5"/>
      <c r="F985" s="5"/>
      <c r="J985" s="5"/>
      <c r="N985" s="5"/>
      <c r="R985" s="5"/>
    </row>
    <row r="986" spans="2:18" x14ac:dyDescent="0.2">
      <c r="B986" s="5"/>
      <c r="F986" s="5"/>
      <c r="J986" s="5"/>
      <c r="N986" s="5"/>
      <c r="R986" s="5"/>
    </row>
    <row r="987" spans="2:18" x14ac:dyDescent="0.2">
      <c r="B987" s="5"/>
      <c r="F987" s="5"/>
      <c r="J987" s="5"/>
      <c r="N987" s="5"/>
      <c r="R987" s="5"/>
    </row>
    <row r="988" spans="2:18" x14ac:dyDescent="0.2">
      <c r="B988" s="5"/>
      <c r="F988" s="5"/>
      <c r="J988" s="5"/>
      <c r="N988" s="5"/>
      <c r="R988" s="5"/>
    </row>
    <row r="989" spans="2:18" x14ac:dyDescent="0.2">
      <c r="B989" s="5"/>
      <c r="F989" s="5"/>
      <c r="J989" s="5"/>
      <c r="N989" s="5"/>
      <c r="R989" s="5"/>
    </row>
    <row r="990" spans="2:18" x14ac:dyDescent="0.2">
      <c r="B990" s="5"/>
      <c r="F990" s="5"/>
      <c r="J990" s="5"/>
      <c r="N990" s="5"/>
      <c r="R990" s="5"/>
    </row>
    <row r="991" spans="2:18" x14ac:dyDescent="0.2">
      <c r="B991" s="5"/>
      <c r="F991" s="5"/>
      <c r="J991" s="5"/>
      <c r="N991" s="5"/>
      <c r="R991" s="5"/>
    </row>
    <row r="992" spans="2:18" x14ac:dyDescent="0.2">
      <c r="B992" s="5"/>
      <c r="F992" s="5"/>
      <c r="J992" s="5"/>
      <c r="N992" s="5"/>
      <c r="R992" s="5"/>
    </row>
    <row r="993" spans="2:18" x14ac:dyDescent="0.2">
      <c r="B993" s="5"/>
      <c r="F993" s="5"/>
      <c r="J993" s="5"/>
      <c r="N993" s="5"/>
      <c r="R993" s="5"/>
    </row>
    <row r="994" spans="2:18" x14ac:dyDescent="0.2">
      <c r="B994" s="5"/>
      <c r="F994" s="5"/>
      <c r="J994" s="5"/>
      <c r="N994" s="5"/>
      <c r="R994" s="5"/>
    </row>
    <row r="995" spans="2:18" x14ac:dyDescent="0.2">
      <c r="B995" s="5"/>
      <c r="F995" s="5"/>
      <c r="J995" s="5"/>
      <c r="N995" s="5"/>
      <c r="R995" s="5"/>
    </row>
    <row r="996" spans="2:18" x14ac:dyDescent="0.2">
      <c r="B996" s="5"/>
      <c r="F996" s="5"/>
      <c r="J996" s="5"/>
      <c r="N996" s="5"/>
      <c r="R996" s="5"/>
    </row>
    <row r="997" spans="2:18" x14ac:dyDescent="0.2">
      <c r="B997" s="5"/>
      <c r="F997" s="5"/>
      <c r="J997" s="5"/>
      <c r="N997" s="5"/>
      <c r="R997" s="5"/>
    </row>
    <row r="998" spans="2:18" x14ac:dyDescent="0.2">
      <c r="B998" s="5"/>
      <c r="F998" s="5"/>
      <c r="J998" s="5"/>
      <c r="N998" s="5"/>
      <c r="R998" s="5"/>
    </row>
    <row r="999" spans="2:18" x14ac:dyDescent="0.2">
      <c r="B999" s="5"/>
      <c r="F999" s="5"/>
      <c r="J999" s="5"/>
      <c r="N999" s="5"/>
      <c r="R999" s="5"/>
    </row>
    <row r="1000" spans="2:18" x14ac:dyDescent="0.2">
      <c r="B1000" s="5"/>
      <c r="F1000" s="5"/>
      <c r="J1000" s="5"/>
      <c r="N1000" s="5"/>
      <c r="R1000" s="5"/>
    </row>
    <row r="1001" spans="2:18" x14ac:dyDescent="0.2">
      <c r="B1001" s="5"/>
      <c r="F1001" s="5"/>
      <c r="J1001" s="5"/>
      <c r="N1001" s="5"/>
      <c r="R1001" s="5"/>
    </row>
    <row r="1002" spans="2:18" x14ac:dyDescent="0.2">
      <c r="B1002" s="5"/>
      <c r="F1002" s="5"/>
      <c r="J1002" s="5"/>
      <c r="N1002" s="5"/>
      <c r="R1002" s="5"/>
    </row>
    <row r="1003" spans="2:18" x14ac:dyDescent="0.2">
      <c r="B1003" s="5"/>
      <c r="F1003" s="5"/>
      <c r="J1003" s="5"/>
      <c r="N1003" s="5"/>
      <c r="R1003" s="5"/>
    </row>
    <row r="1004" spans="2:18" x14ac:dyDescent="0.2">
      <c r="B1004" s="5"/>
      <c r="F1004" s="5"/>
      <c r="J1004" s="5"/>
      <c r="N1004" s="5"/>
      <c r="R1004" s="5"/>
    </row>
    <row r="1005" spans="2:18" x14ac:dyDescent="0.2">
      <c r="B1005" s="5"/>
      <c r="F1005" s="5"/>
      <c r="J1005" s="5"/>
      <c r="N1005" s="5"/>
      <c r="R1005" s="5"/>
    </row>
    <row r="1006" spans="2:18" x14ac:dyDescent="0.2">
      <c r="B1006" s="5"/>
      <c r="F1006" s="5"/>
      <c r="J1006" s="5"/>
      <c r="N1006" s="5"/>
      <c r="R1006" s="5"/>
    </row>
    <row r="1007" spans="2:18" x14ac:dyDescent="0.2">
      <c r="B1007" s="5"/>
      <c r="F1007" s="5"/>
      <c r="J1007" s="5"/>
      <c r="N1007" s="5"/>
      <c r="R1007" s="5"/>
    </row>
    <row r="1008" spans="2:18" x14ac:dyDescent="0.2">
      <c r="B1008" s="5"/>
      <c r="F1008" s="5"/>
      <c r="J1008" s="5"/>
      <c r="N1008" s="5"/>
      <c r="R1008" s="5"/>
    </row>
    <row r="1009" spans="2:18" x14ac:dyDescent="0.2">
      <c r="B1009" s="5"/>
      <c r="F1009" s="5"/>
      <c r="J1009" s="5"/>
      <c r="N1009" s="5"/>
      <c r="R1009" s="5"/>
    </row>
    <row r="1010" spans="2:18" x14ac:dyDescent="0.2">
      <c r="B1010" s="5"/>
      <c r="F1010" s="5"/>
      <c r="J1010" s="5"/>
      <c r="N1010" s="5"/>
      <c r="R1010" s="5"/>
    </row>
    <row r="1011" spans="2:18" x14ac:dyDescent="0.2">
      <c r="B1011" s="5"/>
      <c r="F1011" s="5"/>
      <c r="J1011" s="5"/>
      <c r="N1011" s="5"/>
      <c r="R1011" s="5"/>
    </row>
    <row r="1012" spans="2:18" x14ac:dyDescent="0.2">
      <c r="B1012" s="5"/>
      <c r="F1012" s="5"/>
      <c r="J1012" s="5"/>
      <c r="N1012" s="5"/>
      <c r="R1012" s="5"/>
    </row>
    <row r="1013" spans="2:18" x14ac:dyDescent="0.2">
      <c r="B1013" s="5"/>
      <c r="F1013" s="5"/>
      <c r="J1013" s="5"/>
      <c r="N1013" s="5"/>
      <c r="R1013" s="5"/>
    </row>
    <row r="1014" spans="2:18" x14ac:dyDescent="0.2">
      <c r="B1014" s="5"/>
      <c r="F1014" s="5"/>
      <c r="J1014" s="5"/>
      <c r="N1014" s="5"/>
      <c r="R1014" s="5"/>
    </row>
    <row r="1015" spans="2:18" x14ac:dyDescent="0.2">
      <c r="B1015" s="5"/>
      <c r="F1015" s="5"/>
      <c r="J1015" s="5"/>
      <c r="N1015" s="5"/>
      <c r="R1015" s="5"/>
    </row>
    <row r="1016" spans="2:18" x14ac:dyDescent="0.2">
      <c r="B1016" s="5"/>
      <c r="F1016" s="5"/>
      <c r="J1016" s="5"/>
      <c r="N1016" s="5"/>
      <c r="R1016" s="5"/>
    </row>
    <row r="1017" spans="2:18" x14ac:dyDescent="0.2">
      <c r="B1017" s="5"/>
      <c r="F1017" s="5"/>
      <c r="J1017" s="5"/>
      <c r="N1017" s="5"/>
      <c r="R1017" s="5"/>
    </row>
    <row r="1018" spans="2:18" x14ac:dyDescent="0.2">
      <c r="B1018" s="5"/>
      <c r="F1018" s="5"/>
      <c r="J1018" s="5"/>
      <c r="N1018" s="5"/>
      <c r="R1018" s="5"/>
    </row>
    <row r="1019" spans="2:18" x14ac:dyDescent="0.2">
      <c r="B1019" s="5"/>
      <c r="F1019" s="5"/>
      <c r="J1019" s="5"/>
      <c r="N1019" s="5"/>
      <c r="R1019" s="5"/>
    </row>
    <row r="1020" spans="2:18" x14ac:dyDescent="0.2">
      <c r="B1020" s="5"/>
      <c r="F1020" s="5"/>
      <c r="J1020" s="5"/>
      <c r="N1020" s="5"/>
      <c r="R1020" s="5"/>
    </row>
    <row r="1021" spans="2:18" x14ac:dyDescent="0.2">
      <c r="B1021" s="5"/>
      <c r="F1021" s="5"/>
      <c r="J1021" s="5"/>
      <c r="N1021" s="5"/>
      <c r="R1021" s="5"/>
    </row>
    <row r="1022" spans="2:18" x14ac:dyDescent="0.2">
      <c r="B1022" s="5"/>
      <c r="F1022" s="5"/>
      <c r="J1022" s="5"/>
      <c r="N1022" s="5"/>
      <c r="R1022" s="5"/>
    </row>
    <row r="1023" spans="2:18" x14ac:dyDescent="0.2">
      <c r="B1023" s="5"/>
      <c r="F1023" s="5"/>
      <c r="J1023" s="5"/>
      <c r="N1023" s="5"/>
      <c r="R1023" s="5"/>
    </row>
    <row r="1024" spans="2:18" x14ac:dyDescent="0.2">
      <c r="B1024" s="5"/>
      <c r="F1024" s="5"/>
      <c r="J1024" s="5"/>
      <c r="N1024" s="5"/>
      <c r="R1024" s="5"/>
    </row>
    <row r="1025" spans="2:18" x14ac:dyDescent="0.2">
      <c r="B1025" s="5"/>
      <c r="F1025" s="5"/>
      <c r="J1025" s="5"/>
      <c r="N1025" s="5"/>
      <c r="R1025" s="5"/>
    </row>
    <row r="1026" spans="2:18" x14ac:dyDescent="0.2">
      <c r="B1026" s="5"/>
      <c r="F1026" s="5"/>
      <c r="J1026" s="5"/>
      <c r="N1026" s="5"/>
      <c r="R1026" s="5"/>
    </row>
    <row r="1027" spans="2:18" x14ac:dyDescent="0.2">
      <c r="B1027" s="5"/>
      <c r="F1027" s="5"/>
      <c r="J1027" s="5"/>
      <c r="N1027" s="5"/>
      <c r="R1027" s="5"/>
    </row>
    <row r="1028" spans="2:18" x14ac:dyDescent="0.2">
      <c r="B1028" s="5"/>
      <c r="F1028" s="5"/>
      <c r="J1028" s="5"/>
      <c r="N1028" s="5"/>
      <c r="R1028" s="5"/>
    </row>
    <row r="1029" spans="2:18" x14ac:dyDescent="0.2">
      <c r="B1029" s="5"/>
      <c r="F1029" s="5"/>
      <c r="J1029" s="5"/>
      <c r="N1029" s="5"/>
      <c r="R1029" s="5"/>
    </row>
    <row r="1030" spans="2:18" x14ac:dyDescent="0.2">
      <c r="B1030" s="5"/>
      <c r="F1030" s="5"/>
      <c r="J1030" s="5"/>
      <c r="N1030" s="5"/>
      <c r="R1030" s="5"/>
    </row>
    <row r="1031" spans="2:18" x14ac:dyDescent="0.2">
      <c r="B1031" s="5"/>
      <c r="F1031" s="5"/>
      <c r="J1031" s="5"/>
      <c r="N1031" s="5"/>
      <c r="R1031" s="5"/>
    </row>
    <row r="1032" spans="2:18" x14ac:dyDescent="0.2">
      <c r="B1032" s="5"/>
      <c r="F1032" s="5"/>
      <c r="J1032" s="5"/>
      <c r="N1032" s="5"/>
      <c r="R1032" s="5"/>
    </row>
    <row r="1033" spans="2:18" x14ac:dyDescent="0.2">
      <c r="B1033" s="5"/>
      <c r="F1033" s="5"/>
      <c r="J1033" s="5"/>
      <c r="N1033" s="5"/>
      <c r="R1033" s="5"/>
    </row>
    <row r="1034" spans="2:18" x14ac:dyDescent="0.2">
      <c r="B1034" s="5"/>
      <c r="F1034" s="5"/>
      <c r="J1034" s="5"/>
      <c r="N1034" s="5"/>
      <c r="R1034" s="5"/>
    </row>
    <row r="1035" spans="2:18" x14ac:dyDescent="0.2">
      <c r="B1035" s="5"/>
      <c r="F1035" s="5"/>
      <c r="J1035" s="5"/>
      <c r="N1035" s="5"/>
      <c r="R1035" s="5"/>
    </row>
    <row r="1036" spans="2:18" x14ac:dyDescent="0.2">
      <c r="B1036" s="5"/>
      <c r="F1036" s="5"/>
      <c r="J1036" s="5"/>
      <c r="N1036" s="5"/>
      <c r="R1036" s="5"/>
    </row>
    <row r="1037" spans="2:18" x14ac:dyDescent="0.2">
      <c r="B1037" s="5"/>
      <c r="F1037" s="5"/>
      <c r="J1037" s="5"/>
      <c r="N1037" s="5"/>
      <c r="R1037" s="5"/>
    </row>
    <row r="1038" spans="2:18" x14ac:dyDescent="0.2">
      <c r="B1038" s="5"/>
      <c r="F1038" s="5"/>
      <c r="J1038" s="5"/>
      <c r="N1038" s="5"/>
      <c r="R1038" s="5"/>
    </row>
    <row r="1039" spans="2:18" x14ac:dyDescent="0.2">
      <c r="B1039" s="5"/>
      <c r="F1039" s="5"/>
      <c r="J1039" s="5"/>
      <c r="N1039" s="5"/>
      <c r="R1039" s="5"/>
    </row>
    <row r="1040" spans="2:18" x14ac:dyDescent="0.2">
      <c r="B1040" s="5"/>
      <c r="F1040" s="5"/>
      <c r="J1040" s="5"/>
      <c r="N1040" s="5"/>
      <c r="R1040" s="5"/>
    </row>
    <row r="1041" spans="2:18" x14ac:dyDescent="0.2">
      <c r="B1041" s="5"/>
      <c r="F1041" s="5"/>
      <c r="J1041" s="5"/>
      <c r="N1041" s="5"/>
      <c r="R1041" s="5"/>
    </row>
    <row r="1042" spans="2:18" x14ac:dyDescent="0.2">
      <c r="B1042" s="5"/>
      <c r="F1042" s="5"/>
      <c r="J1042" s="5"/>
      <c r="N1042" s="5"/>
      <c r="R1042" s="5"/>
    </row>
    <row r="1043" spans="2:18" x14ac:dyDescent="0.2">
      <c r="B1043" s="5"/>
      <c r="F1043" s="5"/>
      <c r="J1043" s="5"/>
      <c r="N1043" s="5"/>
      <c r="R1043" s="5"/>
    </row>
    <row r="1044" spans="2:18" x14ac:dyDescent="0.2">
      <c r="B1044" s="5"/>
      <c r="F1044" s="5"/>
      <c r="J1044" s="5"/>
      <c r="N1044" s="5"/>
      <c r="R1044" s="5"/>
    </row>
    <row r="1045" spans="2:18" x14ac:dyDescent="0.2">
      <c r="B1045" s="5"/>
      <c r="F1045" s="5"/>
      <c r="J1045" s="5"/>
      <c r="N1045" s="5"/>
      <c r="R1045" s="5"/>
    </row>
    <row r="1046" spans="2:18" x14ac:dyDescent="0.2">
      <c r="B1046" s="5"/>
      <c r="F1046" s="5"/>
      <c r="J1046" s="5"/>
      <c r="N1046" s="5"/>
      <c r="R1046" s="5"/>
    </row>
    <row r="1047" spans="2:18" x14ac:dyDescent="0.2">
      <c r="B1047" s="5"/>
      <c r="F1047" s="5"/>
      <c r="J1047" s="5"/>
      <c r="N1047" s="5"/>
      <c r="R1047" s="5"/>
    </row>
    <row r="1048" spans="2:18" x14ac:dyDescent="0.2">
      <c r="B1048" s="5"/>
      <c r="F1048" s="5"/>
      <c r="J1048" s="5"/>
      <c r="N1048" s="5"/>
      <c r="R1048" s="5"/>
    </row>
    <row r="1049" spans="2:18" x14ac:dyDescent="0.2">
      <c r="B1049" s="5"/>
      <c r="F1049" s="5"/>
      <c r="J1049" s="5"/>
      <c r="N1049" s="5"/>
      <c r="R1049" s="5"/>
    </row>
    <row r="1050" spans="2:18" x14ac:dyDescent="0.2">
      <c r="B1050" s="5"/>
      <c r="F1050" s="5"/>
      <c r="J1050" s="5"/>
      <c r="N1050" s="5"/>
      <c r="R1050" s="5"/>
    </row>
    <row r="1051" spans="2:18" x14ac:dyDescent="0.2">
      <c r="B1051" s="5"/>
      <c r="F1051" s="5"/>
      <c r="J1051" s="5"/>
      <c r="N1051" s="5"/>
      <c r="R1051" s="5"/>
    </row>
    <row r="1052" spans="2:18" x14ac:dyDescent="0.2">
      <c r="B1052" s="5"/>
      <c r="F1052" s="5"/>
      <c r="J1052" s="5"/>
      <c r="N1052" s="5"/>
      <c r="R1052" s="5"/>
    </row>
    <row r="1053" spans="2:18" x14ac:dyDescent="0.2">
      <c r="B1053" s="5"/>
      <c r="F1053" s="5"/>
      <c r="J1053" s="5"/>
      <c r="N1053" s="5"/>
      <c r="R1053" s="5"/>
    </row>
    <row r="1054" spans="2:18" x14ac:dyDescent="0.2">
      <c r="B1054" s="5"/>
      <c r="F1054" s="5"/>
      <c r="J1054" s="5"/>
      <c r="N1054" s="5"/>
      <c r="R1054" s="5"/>
    </row>
    <row r="1055" spans="2:18" x14ac:dyDescent="0.2">
      <c r="B1055" s="5"/>
      <c r="F1055" s="5"/>
      <c r="J1055" s="5"/>
      <c r="N1055" s="5"/>
      <c r="R1055" s="5"/>
    </row>
    <row r="1056" spans="2:18" x14ac:dyDescent="0.2">
      <c r="B1056" s="5"/>
      <c r="F1056" s="5"/>
      <c r="J1056" s="5"/>
      <c r="N1056" s="5"/>
      <c r="R1056" s="5"/>
    </row>
    <row r="1057" spans="2:18" x14ac:dyDescent="0.2">
      <c r="B1057" s="5"/>
      <c r="F1057" s="5"/>
      <c r="J1057" s="5"/>
      <c r="N1057" s="5"/>
      <c r="R1057" s="5"/>
    </row>
    <row r="1058" spans="2:18" x14ac:dyDescent="0.2">
      <c r="B1058" s="5"/>
      <c r="F1058" s="5"/>
      <c r="J1058" s="5"/>
      <c r="N1058" s="5"/>
      <c r="R1058" s="5"/>
    </row>
    <row r="1059" spans="2:18" x14ac:dyDescent="0.2">
      <c r="B1059" s="5"/>
      <c r="F1059" s="5"/>
      <c r="J1059" s="5"/>
      <c r="N1059" s="5"/>
      <c r="R1059" s="5"/>
    </row>
    <row r="1060" spans="2:18" x14ac:dyDescent="0.2">
      <c r="B1060" s="5"/>
      <c r="F1060" s="5"/>
      <c r="J1060" s="5"/>
      <c r="N1060" s="5"/>
      <c r="R1060" s="5"/>
    </row>
    <row r="1061" spans="2:18" x14ac:dyDescent="0.2">
      <c r="B1061" s="5"/>
      <c r="F1061" s="5"/>
      <c r="J1061" s="5"/>
      <c r="N1061" s="5"/>
      <c r="R1061" s="5"/>
    </row>
    <row r="1062" spans="2:18" x14ac:dyDescent="0.2">
      <c r="B1062" s="5"/>
      <c r="F1062" s="5"/>
      <c r="J1062" s="5"/>
      <c r="N1062" s="5"/>
      <c r="R1062" s="5"/>
    </row>
    <row r="1063" spans="2:18" x14ac:dyDescent="0.2">
      <c r="B1063" s="5"/>
      <c r="F1063" s="5"/>
      <c r="J1063" s="5"/>
      <c r="N1063" s="5"/>
      <c r="R1063" s="5"/>
    </row>
    <row r="1064" spans="2:18" x14ac:dyDescent="0.2">
      <c r="B1064" s="5"/>
      <c r="F1064" s="5"/>
      <c r="J1064" s="5"/>
      <c r="N1064" s="5"/>
      <c r="R1064" s="5"/>
    </row>
    <row r="1065" spans="2:18" x14ac:dyDescent="0.2">
      <c r="B1065" s="5"/>
      <c r="F1065" s="5"/>
      <c r="J1065" s="5"/>
      <c r="N1065" s="5"/>
      <c r="R1065" s="5"/>
    </row>
    <row r="1066" spans="2:18" x14ac:dyDescent="0.2">
      <c r="B1066" s="5"/>
      <c r="F1066" s="5"/>
      <c r="J1066" s="5"/>
      <c r="N1066" s="5"/>
      <c r="R1066" s="5"/>
    </row>
    <row r="1067" spans="2:18" x14ac:dyDescent="0.2">
      <c r="B1067" s="5"/>
      <c r="F1067" s="5"/>
      <c r="J1067" s="5"/>
      <c r="N1067" s="5"/>
      <c r="R1067" s="5"/>
    </row>
    <row r="1068" spans="2:18" x14ac:dyDescent="0.2">
      <c r="B1068" s="5"/>
      <c r="F1068" s="5"/>
      <c r="J1068" s="5"/>
      <c r="N1068" s="5"/>
      <c r="R1068" s="5"/>
    </row>
    <row r="1069" spans="2:18" x14ac:dyDescent="0.2">
      <c r="B1069" s="5"/>
      <c r="F1069" s="5"/>
      <c r="J1069" s="5"/>
      <c r="N1069" s="5"/>
      <c r="R1069" s="5"/>
    </row>
    <row r="1070" spans="2:18" x14ac:dyDescent="0.2">
      <c r="B1070" s="5"/>
      <c r="F1070" s="5"/>
      <c r="J1070" s="5"/>
      <c r="N1070" s="5"/>
      <c r="R1070" s="5"/>
    </row>
    <row r="1071" spans="2:18" x14ac:dyDescent="0.2">
      <c r="B1071" s="5"/>
      <c r="F1071" s="5"/>
      <c r="J1071" s="5"/>
      <c r="N1071" s="5"/>
      <c r="R1071" s="5"/>
    </row>
    <row r="1072" spans="2:18" x14ac:dyDescent="0.2">
      <c r="B1072" s="5"/>
      <c r="F1072" s="5"/>
      <c r="J1072" s="5"/>
      <c r="N1072" s="5"/>
      <c r="R1072" s="5"/>
    </row>
    <row r="1073" spans="2:18" x14ac:dyDescent="0.2">
      <c r="B1073" s="5"/>
      <c r="F1073" s="5"/>
      <c r="J1073" s="5"/>
      <c r="N1073" s="5"/>
      <c r="R1073" s="5"/>
    </row>
    <row r="1074" spans="2:18" x14ac:dyDescent="0.2">
      <c r="B1074" s="5"/>
      <c r="F1074" s="5"/>
      <c r="J1074" s="5"/>
      <c r="N1074" s="5"/>
      <c r="R1074" s="5"/>
    </row>
    <row r="1075" spans="2:18" x14ac:dyDescent="0.2">
      <c r="B1075" s="5"/>
      <c r="F1075" s="5"/>
      <c r="J1075" s="5"/>
      <c r="N1075" s="5"/>
      <c r="R1075" s="5"/>
    </row>
    <row r="1076" spans="2:18" x14ac:dyDescent="0.2">
      <c r="B1076" s="5"/>
      <c r="F1076" s="5"/>
      <c r="J1076" s="5"/>
      <c r="N1076" s="5"/>
      <c r="R1076" s="5"/>
    </row>
    <row r="1077" spans="2:18" x14ac:dyDescent="0.2">
      <c r="B1077" s="5"/>
      <c r="F1077" s="5"/>
      <c r="J1077" s="5"/>
      <c r="N1077" s="5"/>
      <c r="R1077" s="5"/>
    </row>
    <row r="1078" spans="2:18" x14ac:dyDescent="0.2">
      <c r="B1078" s="5"/>
      <c r="F1078" s="5"/>
      <c r="J1078" s="5"/>
      <c r="N1078" s="5"/>
      <c r="R1078" s="5"/>
    </row>
    <row r="1079" spans="2:18" x14ac:dyDescent="0.2">
      <c r="B1079" s="5"/>
      <c r="F1079" s="5"/>
      <c r="J1079" s="5"/>
      <c r="N1079" s="5"/>
      <c r="R1079" s="5"/>
    </row>
    <row r="1080" spans="2:18" x14ac:dyDescent="0.2">
      <c r="B1080" s="5"/>
      <c r="F1080" s="5"/>
      <c r="J1080" s="5"/>
      <c r="N1080" s="5"/>
      <c r="R1080" s="5"/>
    </row>
    <row r="1081" spans="2:18" x14ac:dyDescent="0.2">
      <c r="B1081" s="5"/>
      <c r="F1081" s="5"/>
      <c r="J1081" s="5"/>
      <c r="N1081" s="5"/>
      <c r="R1081" s="5"/>
    </row>
    <row r="1082" spans="2:18" x14ac:dyDescent="0.2">
      <c r="B1082" s="5"/>
      <c r="F1082" s="5"/>
      <c r="J1082" s="5"/>
      <c r="N1082" s="5"/>
      <c r="R1082" s="5"/>
    </row>
    <row r="1083" spans="2:18" x14ac:dyDescent="0.2">
      <c r="B1083" s="5"/>
      <c r="F1083" s="5"/>
      <c r="J1083" s="5"/>
      <c r="N1083" s="5"/>
      <c r="R1083" s="5"/>
    </row>
    <row r="1084" spans="2:18" x14ac:dyDescent="0.2">
      <c r="B1084" s="5"/>
      <c r="F1084" s="5"/>
      <c r="J1084" s="5"/>
      <c r="N1084" s="5"/>
      <c r="R1084" s="5"/>
    </row>
    <row r="1085" spans="2:18" x14ac:dyDescent="0.2">
      <c r="B1085" s="5"/>
      <c r="F1085" s="5"/>
      <c r="J1085" s="5"/>
      <c r="N1085" s="5"/>
      <c r="R1085" s="5"/>
    </row>
    <row r="1086" spans="2:18" x14ac:dyDescent="0.2">
      <c r="B1086" s="5"/>
      <c r="F1086" s="5"/>
      <c r="J1086" s="5"/>
      <c r="N1086" s="5"/>
      <c r="R1086" s="5"/>
    </row>
    <row r="1087" spans="2:18" x14ac:dyDescent="0.2">
      <c r="B1087" s="5"/>
      <c r="F1087" s="5"/>
      <c r="J1087" s="5"/>
      <c r="N1087" s="5"/>
      <c r="R1087" s="5"/>
    </row>
    <row r="1088" spans="2:18" x14ac:dyDescent="0.2">
      <c r="B1088" s="5"/>
      <c r="F1088" s="5"/>
      <c r="J1088" s="5"/>
      <c r="N1088" s="5"/>
      <c r="R1088" s="5"/>
    </row>
    <row r="1089" spans="2:18" x14ac:dyDescent="0.2">
      <c r="B1089" s="5"/>
      <c r="F1089" s="5"/>
      <c r="J1089" s="5"/>
      <c r="N1089" s="5"/>
      <c r="R1089" s="5"/>
    </row>
    <row r="1090" spans="2:18" x14ac:dyDescent="0.2">
      <c r="B1090" s="5"/>
      <c r="F1090" s="5"/>
      <c r="J1090" s="5"/>
      <c r="N1090" s="5"/>
      <c r="R1090" s="5"/>
    </row>
    <row r="1091" spans="2:18" x14ac:dyDescent="0.2">
      <c r="B1091" s="5"/>
      <c r="F1091" s="5"/>
      <c r="J1091" s="5"/>
      <c r="N1091" s="5"/>
      <c r="R1091" s="5"/>
    </row>
    <row r="1092" spans="2:18" x14ac:dyDescent="0.2">
      <c r="B1092" s="5"/>
      <c r="F1092" s="5"/>
      <c r="J1092" s="5"/>
      <c r="N1092" s="5"/>
      <c r="R1092" s="5"/>
    </row>
    <row r="1093" spans="2:18" x14ac:dyDescent="0.2">
      <c r="B1093" s="5"/>
      <c r="F1093" s="5"/>
      <c r="J1093" s="5"/>
      <c r="N1093" s="5"/>
      <c r="R1093" s="5"/>
    </row>
    <row r="1094" spans="2:18" x14ac:dyDescent="0.2">
      <c r="B1094" s="5"/>
      <c r="F1094" s="5"/>
      <c r="J1094" s="5"/>
      <c r="N1094" s="5"/>
      <c r="R1094" s="5"/>
    </row>
    <row r="1095" spans="2:18" x14ac:dyDescent="0.2">
      <c r="B1095" s="5"/>
      <c r="F1095" s="5"/>
      <c r="J1095" s="5"/>
      <c r="N1095" s="5"/>
      <c r="R1095" s="5"/>
    </row>
    <row r="1096" spans="2:18" x14ac:dyDescent="0.2">
      <c r="B1096" s="5"/>
      <c r="F1096" s="5"/>
      <c r="J1096" s="5"/>
      <c r="N1096" s="5"/>
      <c r="R1096" s="5"/>
    </row>
    <row r="1097" spans="2:18" x14ac:dyDescent="0.2">
      <c r="B1097" s="5"/>
      <c r="F1097" s="5"/>
      <c r="J1097" s="5"/>
      <c r="N1097" s="5"/>
      <c r="R1097" s="5"/>
    </row>
    <row r="1098" spans="2:18" x14ac:dyDescent="0.2">
      <c r="B1098" s="5"/>
      <c r="F1098" s="5"/>
      <c r="J1098" s="5"/>
      <c r="N1098" s="5"/>
      <c r="R1098" s="5"/>
    </row>
    <row r="1099" spans="2:18" x14ac:dyDescent="0.2">
      <c r="B1099" s="5"/>
      <c r="F1099" s="5"/>
      <c r="J1099" s="5"/>
      <c r="N1099" s="5"/>
      <c r="R1099" s="5"/>
    </row>
    <row r="1100" spans="2:18" x14ac:dyDescent="0.2">
      <c r="B1100" s="5"/>
      <c r="F1100" s="5"/>
      <c r="J1100" s="5"/>
      <c r="N1100" s="5"/>
      <c r="R1100" s="5"/>
    </row>
    <row r="1101" spans="2:18" x14ac:dyDescent="0.2">
      <c r="B1101" s="5"/>
      <c r="F1101" s="5"/>
      <c r="J1101" s="5"/>
      <c r="N1101" s="5"/>
      <c r="R1101" s="5"/>
    </row>
    <row r="1102" spans="2:18" x14ac:dyDescent="0.2">
      <c r="B1102" s="5"/>
      <c r="F1102" s="5"/>
      <c r="J1102" s="5"/>
      <c r="N1102" s="5"/>
      <c r="R1102" s="5"/>
    </row>
    <row r="1103" spans="2:18" x14ac:dyDescent="0.2">
      <c r="B1103" s="5"/>
      <c r="F1103" s="5"/>
      <c r="J1103" s="5"/>
      <c r="N1103" s="5"/>
      <c r="R1103" s="5"/>
    </row>
    <row r="1104" spans="2:18" x14ac:dyDescent="0.2">
      <c r="B1104" s="5"/>
      <c r="F1104" s="5"/>
      <c r="J1104" s="5"/>
      <c r="N1104" s="5"/>
      <c r="R1104" s="5"/>
    </row>
    <row r="1105" spans="2:18" x14ac:dyDescent="0.2">
      <c r="B1105" s="5"/>
      <c r="F1105" s="5"/>
      <c r="J1105" s="5"/>
      <c r="N1105" s="5"/>
      <c r="R1105" s="5"/>
    </row>
    <row r="1106" spans="2:18" x14ac:dyDescent="0.2">
      <c r="B1106" s="5"/>
      <c r="F1106" s="5"/>
      <c r="J1106" s="5"/>
      <c r="N1106" s="5"/>
      <c r="R1106" s="5"/>
    </row>
    <row r="1107" spans="2:18" x14ac:dyDescent="0.2">
      <c r="B1107" s="5"/>
      <c r="F1107" s="5"/>
      <c r="J1107" s="5"/>
      <c r="N1107" s="5"/>
      <c r="R1107" s="5"/>
    </row>
    <row r="1108" spans="2:18" x14ac:dyDescent="0.2">
      <c r="B1108" s="5"/>
      <c r="F1108" s="5"/>
      <c r="J1108" s="5"/>
      <c r="N1108" s="5"/>
      <c r="R1108" s="5"/>
    </row>
    <row r="1109" spans="2:18" x14ac:dyDescent="0.2">
      <c r="B1109" s="5"/>
      <c r="F1109" s="5"/>
      <c r="J1109" s="5"/>
      <c r="N1109" s="5"/>
      <c r="R1109" s="5"/>
    </row>
    <row r="1110" spans="2:18" x14ac:dyDescent="0.2">
      <c r="B1110" s="5"/>
      <c r="F1110" s="5"/>
      <c r="J1110" s="5"/>
      <c r="N1110" s="5"/>
      <c r="R1110" s="5"/>
    </row>
    <row r="1111" spans="2:18" x14ac:dyDescent="0.2">
      <c r="B1111" s="5"/>
      <c r="F1111" s="5"/>
      <c r="J1111" s="5"/>
      <c r="N1111" s="5"/>
      <c r="R1111" s="5"/>
    </row>
    <row r="1112" spans="2:18" x14ac:dyDescent="0.2">
      <c r="B1112" s="5"/>
      <c r="F1112" s="5"/>
      <c r="J1112" s="5"/>
      <c r="N1112" s="5"/>
      <c r="R1112" s="5"/>
    </row>
    <row r="1113" spans="2:18" x14ac:dyDescent="0.2">
      <c r="B1113" s="5"/>
      <c r="F1113" s="5"/>
      <c r="J1113" s="5"/>
      <c r="N1113" s="5"/>
      <c r="R1113" s="5"/>
    </row>
    <row r="1114" spans="2:18" x14ac:dyDescent="0.2">
      <c r="B1114" s="5"/>
      <c r="F1114" s="5"/>
      <c r="J1114" s="5"/>
      <c r="N1114" s="5"/>
      <c r="R1114" s="5"/>
    </row>
    <row r="1115" spans="2:18" x14ac:dyDescent="0.2">
      <c r="B1115" s="5"/>
      <c r="F1115" s="5"/>
      <c r="J1115" s="5"/>
      <c r="N1115" s="5"/>
      <c r="R1115" s="5"/>
    </row>
    <row r="1116" spans="2:18" x14ac:dyDescent="0.2">
      <c r="B1116" s="5"/>
      <c r="F1116" s="5"/>
      <c r="J1116" s="5"/>
      <c r="N1116" s="5"/>
      <c r="R1116" s="5"/>
    </row>
    <row r="1117" spans="2:18" x14ac:dyDescent="0.2">
      <c r="B1117" s="5"/>
      <c r="F1117" s="5"/>
      <c r="J1117" s="5"/>
      <c r="N1117" s="5"/>
      <c r="R1117" s="5"/>
    </row>
    <row r="1118" spans="2:18" x14ac:dyDescent="0.2">
      <c r="B1118" s="5"/>
      <c r="F1118" s="5"/>
      <c r="J1118" s="5"/>
      <c r="N1118" s="5"/>
      <c r="R1118" s="5"/>
    </row>
    <row r="1119" spans="2:18" x14ac:dyDescent="0.2">
      <c r="B1119" s="5"/>
      <c r="F1119" s="5"/>
      <c r="J1119" s="5"/>
      <c r="N1119" s="5"/>
      <c r="R1119" s="5"/>
    </row>
    <row r="1120" spans="2:18" x14ac:dyDescent="0.2">
      <c r="B1120" s="5"/>
      <c r="F1120" s="5"/>
      <c r="J1120" s="5"/>
      <c r="N1120" s="5"/>
      <c r="R1120" s="5"/>
    </row>
    <row r="1121" spans="2:18" x14ac:dyDescent="0.2">
      <c r="B1121" s="5"/>
      <c r="F1121" s="5"/>
      <c r="J1121" s="5"/>
      <c r="N1121" s="5"/>
      <c r="R1121" s="5"/>
    </row>
    <row r="1122" spans="2:18" x14ac:dyDescent="0.2">
      <c r="B1122" s="5"/>
      <c r="F1122" s="5"/>
      <c r="J1122" s="5"/>
      <c r="N1122" s="5"/>
      <c r="R1122" s="5"/>
    </row>
    <row r="1123" spans="2:18" x14ac:dyDescent="0.2">
      <c r="B1123" s="5"/>
      <c r="F1123" s="5"/>
      <c r="J1123" s="5"/>
      <c r="N1123" s="5"/>
      <c r="R1123" s="5"/>
    </row>
    <row r="1124" spans="2:18" x14ac:dyDescent="0.2">
      <c r="B1124" s="5"/>
      <c r="F1124" s="5"/>
      <c r="J1124" s="5"/>
      <c r="N1124" s="5"/>
      <c r="R1124" s="5"/>
    </row>
    <row r="1125" spans="2:18" x14ac:dyDescent="0.2">
      <c r="B1125" s="5"/>
      <c r="F1125" s="5"/>
      <c r="J1125" s="5"/>
      <c r="N1125" s="5"/>
      <c r="R1125" s="5"/>
    </row>
    <row r="1126" spans="2:18" x14ac:dyDescent="0.2">
      <c r="B1126" s="5"/>
      <c r="F1126" s="5"/>
      <c r="J1126" s="5"/>
      <c r="N1126" s="5"/>
      <c r="R1126" s="5"/>
    </row>
    <row r="1127" spans="2:18" x14ac:dyDescent="0.2">
      <c r="B1127" s="5"/>
      <c r="F1127" s="5"/>
      <c r="J1127" s="5"/>
      <c r="N1127" s="5"/>
      <c r="R1127" s="5"/>
    </row>
    <row r="1128" spans="2:18" x14ac:dyDescent="0.2">
      <c r="B1128" s="5"/>
      <c r="F1128" s="5"/>
      <c r="J1128" s="5"/>
      <c r="N1128" s="5"/>
      <c r="R1128" s="5"/>
    </row>
    <row r="1129" spans="2:18" x14ac:dyDescent="0.2">
      <c r="B1129" s="5"/>
      <c r="F1129" s="5"/>
      <c r="J1129" s="5"/>
      <c r="N1129" s="5"/>
      <c r="R1129" s="5"/>
    </row>
    <row r="1130" spans="2:18" x14ac:dyDescent="0.2">
      <c r="B1130" s="5"/>
      <c r="F1130" s="5"/>
      <c r="J1130" s="5"/>
      <c r="N1130" s="5"/>
      <c r="R1130" s="5"/>
    </row>
    <row r="1131" spans="2:18" x14ac:dyDescent="0.2">
      <c r="B1131" s="5"/>
      <c r="F1131" s="5"/>
      <c r="J1131" s="5"/>
      <c r="N1131" s="5"/>
      <c r="R1131" s="5"/>
    </row>
    <row r="1132" spans="2:18" x14ac:dyDescent="0.2">
      <c r="B1132" s="5"/>
      <c r="F1132" s="5"/>
      <c r="J1132" s="5"/>
      <c r="N1132" s="5"/>
      <c r="R1132" s="5"/>
    </row>
    <row r="1133" spans="2:18" x14ac:dyDescent="0.2">
      <c r="B1133" s="5"/>
      <c r="F1133" s="5"/>
      <c r="J1133" s="5"/>
      <c r="N1133" s="5"/>
      <c r="R1133" s="5"/>
    </row>
    <row r="1134" spans="2:18" x14ac:dyDescent="0.2">
      <c r="B1134" s="5"/>
      <c r="F1134" s="5"/>
      <c r="J1134" s="5"/>
      <c r="N1134" s="5"/>
      <c r="R1134" s="5"/>
    </row>
    <row r="1135" spans="2:18" x14ac:dyDescent="0.2">
      <c r="B1135" s="5"/>
      <c r="F1135" s="5"/>
      <c r="J1135" s="5"/>
      <c r="N1135" s="5"/>
      <c r="R1135" s="5"/>
    </row>
    <row r="1136" spans="2:18" x14ac:dyDescent="0.2">
      <c r="B1136" s="5"/>
      <c r="F1136" s="5"/>
      <c r="J1136" s="5"/>
      <c r="N1136" s="5"/>
      <c r="R1136" s="5"/>
    </row>
    <row r="1137" spans="2:18" x14ac:dyDescent="0.2">
      <c r="B1137" s="5"/>
      <c r="F1137" s="5"/>
      <c r="J1137" s="5"/>
      <c r="N1137" s="5"/>
      <c r="R1137" s="5"/>
    </row>
    <row r="1138" spans="2:18" x14ac:dyDescent="0.2">
      <c r="B1138" s="5"/>
      <c r="F1138" s="5"/>
      <c r="J1138" s="5"/>
      <c r="N1138" s="5"/>
      <c r="R1138" s="5"/>
    </row>
    <row r="1139" spans="2:18" x14ac:dyDescent="0.2">
      <c r="B1139" s="5"/>
      <c r="F1139" s="5"/>
      <c r="J1139" s="5"/>
      <c r="N1139" s="5"/>
      <c r="R1139" s="5"/>
    </row>
    <row r="1140" spans="2:18" x14ac:dyDescent="0.2">
      <c r="B1140" s="5"/>
      <c r="F1140" s="5"/>
      <c r="J1140" s="5"/>
      <c r="N1140" s="5"/>
      <c r="R1140" s="5"/>
    </row>
    <row r="1141" spans="2:18" x14ac:dyDescent="0.2">
      <c r="B1141" s="5"/>
      <c r="F1141" s="5"/>
      <c r="J1141" s="5"/>
      <c r="N1141" s="5"/>
      <c r="R1141" s="5"/>
    </row>
    <row r="1142" spans="2:18" x14ac:dyDescent="0.2">
      <c r="B1142" s="5"/>
      <c r="F1142" s="5"/>
      <c r="J1142" s="5"/>
      <c r="N1142" s="5"/>
      <c r="R1142" s="5"/>
    </row>
    <row r="1143" spans="2:18" x14ac:dyDescent="0.2">
      <c r="B1143" s="5"/>
      <c r="F1143" s="5"/>
      <c r="J1143" s="5"/>
      <c r="N1143" s="5"/>
      <c r="R1143" s="5"/>
    </row>
    <row r="1144" spans="2:18" x14ac:dyDescent="0.2">
      <c r="B1144" s="5"/>
      <c r="F1144" s="5"/>
      <c r="J1144" s="5"/>
      <c r="N1144" s="5"/>
      <c r="R1144" s="5"/>
    </row>
    <row r="1145" spans="2:18" x14ac:dyDescent="0.2">
      <c r="B1145" s="5"/>
      <c r="F1145" s="5"/>
      <c r="J1145" s="5"/>
      <c r="N1145" s="5"/>
      <c r="R1145" s="5"/>
    </row>
    <row r="1146" spans="2:18" x14ac:dyDescent="0.2">
      <c r="B1146" s="5"/>
      <c r="F1146" s="5"/>
      <c r="J1146" s="5"/>
      <c r="N1146" s="5"/>
      <c r="R1146" s="5"/>
    </row>
    <row r="1147" spans="2:18" x14ac:dyDescent="0.2">
      <c r="B1147" s="5"/>
      <c r="F1147" s="5"/>
      <c r="J1147" s="5"/>
      <c r="N1147" s="5"/>
      <c r="R1147" s="5"/>
    </row>
    <row r="1148" spans="2:18" x14ac:dyDescent="0.2">
      <c r="B1148" s="5"/>
      <c r="F1148" s="5"/>
      <c r="J1148" s="5"/>
      <c r="N1148" s="5"/>
      <c r="R1148" s="5"/>
    </row>
    <row r="1149" spans="2:18" x14ac:dyDescent="0.2">
      <c r="B1149" s="5"/>
      <c r="F1149" s="5"/>
      <c r="J1149" s="5"/>
      <c r="N1149" s="5"/>
      <c r="R1149" s="5"/>
    </row>
    <row r="1150" spans="2:18" x14ac:dyDescent="0.2">
      <c r="B1150" s="5"/>
      <c r="F1150" s="5"/>
      <c r="J1150" s="5"/>
      <c r="N1150" s="5"/>
      <c r="R1150" s="5"/>
    </row>
    <row r="1151" spans="2:18" x14ac:dyDescent="0.2">
      <c r="B1151" s="5"/>
      <c r="F1151" s="5"/>
      <c r="J1151" s="5"/>
      <c r="N1151" s="5"/>
      <c r="R1151" s="5"/>
    </row>
    <row r="1152" spans="2:18" x14ac:dyDescent="0.2">
      <c r="B1152" s="5"/>
      <c r="F1152" s="5"/>
      <c r="J1152" s="5"/>
      <c r="N1152" s="5"/>
      <c r="R1152" s="5"/>
    </row>
    <row r="1153" spans="2:18" x14ac:dyDescent="0.2">
      <c r="B1153" s="5"/>
      <c r="F1153" s="5"/>
      <c r="J1153" s="5"/>
      <c r="N1153" s="5"/>
      <c r="R1153" s="5"/>
    </row>
    <row r="1154" spans="2:18" x14ac:dyDescent="0.2">
      <c r="B1154" s="5"/>
      <c r="F1154" s="5"/>
      <c r="J1154" s="5"/>
      <c r="N1154" s="5"/>
      <c r="R1154" s="5"/>
    </row>
    <row r="1155" spans="2:18" x14ac:dyDescent="0.2">
      <c r="B1155" s="5"/>
      <c r="F1155" s="5"/>
      <c r="J1155" s="5"/>
      <c r="N1155" s="5"/>
      <c r="R1155" s="5"/>
    </row>
    <row r="1156" spans="2:18" x14ac:dyDescent="0.2">
      <c r="B1156" s="5"/>
      <c r="F1156" s="5"/>
      <c r="J1156" s="5"/>
      <c r="N1156" s="5"/>
      <c r="R1156" s="5"/>
    </row>
    <row r="1157" spans="2:18" x14ac:dyDescent="0.2">
      <c r="B1157" s="5"/>
      <c r="F1157" s="5"/>
      <c r="J1157" s="5"/>
      <c r="N1157" s="5"/>
      <c r="R1157" s="5"/>
    </row>
    <row r="1158" spans="2:18" x14ac:dyDescent="0.2">
      <c r="B1158" s="5"/>
      <c r="F1158" s="5"/>
      <c r="J1158" s="5"/>
      <c r="N1158" s="5"/>
      <c r="R1158" s="5"/>
    </row>
    <row r="1159" spans="2:18" x14ac:dyDescent="0.2">
      <c r="B1159" s="5"/>
      <c r="F1159" s="5"/>
      <c r="J1159" s="5"/>
      <c r="N1159" s="5"/>
      <c r="R1159" s="5"/>
    </row>
    <row r="1160" spans="2:18" x14ac:dyDescent="0.2">
      <c r="B1160" s="5"/>
      <c r="F1160" s="5"/>
      <c r="J1160" s="5"/>
      <c r="N1160" s="5"/>
      <c r="R1160" s="5"/>
    </row>
    <row r="1161" spans="2:18" x14ac:dyDescent="0.2">
      <c r="B1161" s="5"/>
      <c r="F1161" s="5"/>
      <c r="J1161" s="5"/>
      <c r="N1161" s="5"/>
      <c r="R1161" s="5"/>
    </row>
    <row r="1162" spans="2:18" x14ac:dyDescent="0.2">
      <c r="B1162" s="5"/>
      <c r="F1162" s="5"/>
      <c r="J1162" s="5"/>
      <c r="N1162" s="5"/>
      <c r="R1162" s="5"/>
    </row>
    <row r="1163" spans="2:18" x14ac:dyDescent="0.2">
      <c r="B1163" s="5"/>
      <c r="F1163" s="5"/>
      <c r="J1163" s="5"/>
      <c r="N1163" s="5"/>
      <c r="R1163" s="5"/>
    </row>
    <row r="1164" spans="2:18" x14ac:dyDescent="0.2">
      <c r="B1164" s="5"/>
      <c r="F1164" s="5"/>
      <c r="J1164" s="5"/>
      <c r="N1164" s="5"/>
      <c r="R1164" s="5"/>
    </row>
    <row r="1165" spans="2:18" x14ac:dyDescent="0.2">
      <c r="B1165" s="5"/>
      <c r="F1165" s="5"/>
      <c r="J1165" s="5"/>
      <c r="N1165" s="5"/>
      <c r="R1165" s="5"/>
    </row>
    <row r="1166" spans="2:18" x14ac:dyDescent="0.2">
      <c r="B1166" s="5"/>
      <c r="F1166" s="5"/>
      <c r="J1166" s="5"/>
      <c r="N1166" s="5"/>
      <c r="R1166" s="5"/>
    </row>
    <row r="1167" spans="2:18" x14ac:dyDescent="0.2">
      <c r="B1167" s="5"/>
      <c r="F1167" s="5"/>
      <c r="J1167" s="5"/>
      <c r="N1167" s="5"/>
      <c r="R1167" s="5"/>
    </row>
    <row r="1168" spans="2:18" x14ac:dyDescent="0.2">
      <c r="B1168" s="5"/>
      <c r="F1168" s="5"/>
      <c r="J1168" s="5"/>
      <c r="N1168" s="5"/>
      <c r="R1168" s="5"/>
    </row>
    <row r="1169" spans="2:18" x14ac:dyDescent="0.2">
      <c r="B1169" s="5"/>
      <c r="F1169" s="5"/>
      <c r="J1169" s="5"/>
      <c r="N1169" s="5"/>
      <c r="R1169" s="5"/>
    </row>
    <row r="1170" spans="2:18" x14ac:dyDescent="0.2">
      <c r="B1170" s="5"/>
      <c r="F1170" s="5"/>
      <c r="J1170" s="5"/>
      <c r="N1170" s="5"/>
      <c r="R1170" s="5"/>
    </row>
    <row r="1171" spans="2:18" x14ac:dyDescent="0.2">
      <c r="B1171" s="5"/>
      <c r="F1171" s="5"/>
      <c r="J1171" s="5"/>
      <c r="N1171" s="5"/>
      <c r="R1171" s="5"/>
    </row>
    <row r="1172" spans="2:18" x14ac:dyDescent="0.2">
      <c r="B1172" s="5"/>
      <c r="F1172" s="5"/>
      <c r="J1172" s="5"/>
      <c r="N1172" s="5"/>
      <c r="R1172" s="5"/>
    </row>
    <row r="1173" spans="2:18" x14ac:dyDescent="0.2">
      <c r="B1173" s="5"/>
      <c r="F1173" s="5"/>
      <c r="J1173" s="5"/>
      <c r="N1173" s="5"/>
      <c r="R1173" s="5"/>
    </row>
    <row r="1174" spans="2:18" x14ac:dyDescent="0.2">
      <c r="B1174" s="5"/>
      <c r="F1174" s="5"/>
      <c r="J1174" s="5"/>
      <c r="N1174" s="5"/>
      <c r="R1174" s="5"/>
    </row>
    <row r="1175" spans="2:18" x14ac:dyDescent="0.2">
      <c r="B1175" s="5"/>
      <c r="F1175" s="5"/>
      <c r="J1175" s="5"/>
      <c r="N1175" s="5"/>
      <c r="R1175" s="5"/>
    </row>
    <row r="1176" spans="2:18" x14ac:dyDescent="0.2">
      <c r="B1176" s="5"/>
      <c r="F1176" s="5"/>
      <c r="J1176" s="5"/>
      <c r="N1176" s="5"/>
      <c r="R1176" s="5"/>
    </row>
    <row r="1177" spans="2:18" x14ac:dyDescent="0.2">
      <c r="B1177" s="5"/>
      <c r="F1177" s="5"/>
      <c r="J1177" s="5"/>
      <c r="N1177" s="5"/>
      <c r="R1177" s="5"/>
    </row>
    <row r="1178" spans="2:18" x14ac:dyDescent="0.2">
      <c r="B1178" s="5"/>
      <c r="F1178" s="5"/>
      <c r="J1178" s="5"/>
      <c r="N1178" s="5"/>
      <c r="R1178" s="5"/>
    </row>
    <row r="1179" spans="2:18" x14ac:dyDescent="0.2">
      <c r="B1179" s="5"/>
      <c r="F1179" s="5"/>
      <c r="J1179" s="5"/>
      <c r="N1179" s="5"/>
      <c r="R1179" s="5"/>
    </row>
    <row r="1180" spans="2:18" x14ac:dyDescent="0.2">
      <c r="B1180" s="5"/>
      <c r="F1180" s="5"/>
      <c r="J1180" s="5"/>
      <c r="N1180" s="5"/>
      <c r="R1180" s="5"/>
    </row>
    <row r="1181" spans="2:18" x14ac:dyDescent="0.2">
      <c r="B1181" s="5"/>
      <c r="F1181" s="5"/>
      <c r="J1181" s="5"/>
      <c r="N1181" s="5"/>
      <c r="R1181" s="5"/>
    </row>
    <row r="1182" spans="2:18" x14ac:dyDescent="0.2">
      <c r="B1182" s="5"/>
      <c r="F1182" s="5"/>
      <c r="J1182" s="5"/>
      <c r="N1182" s="5"/>
      <c r="R1182" s="5"/>
    </row>
    <row r="1183" spans="2:18" x14ac:dyDescent="0.2">
      <c r="B1183" s="5"/>
      <c r="F1183" s="5"/>
      <c r="J1183" s="5"/>
      <c r="N1183" s="5"/>
      <c r="R1183" s="5"/>
    </row>
    <row r="1184" spans="2:18" x14ac:dyDescent="0.2">
      <c r="B1184" s="5"/>
      <c r="F1184" s="5"/>
      <c r="J1184" s="5"/>
      <c r="N1184" s="5"/>
      <c r="R1184" s="5"/>
    </row>
    <row r="1185" spans="2:18" x14ac:dyDescent="0.2">
      <c r="B1185" s="5"/>
      <c r="F1185" s="5"/>
      <c r="J1185" s="5"/>
      <c r="N1185" s="5"/>
      <c r="R1185" s="5"/>
    </row>
    <row r="1186" spans="2:18" x14ac:dyDescent="0.2">
      <c r="B1186" s="5"/>
      <c r="F1186" s="5"/>
      <c r="J1186" s="5"/>
      <c r="N1186" s="5"/>
      <c r="R1186" s="5"/>
    </row>
    <row r="1187" spans="2:18" x14ac:dyDescent="0.2">
      <c r="B1187" s="5"/>
      <c r="F1187" s="5"/>
      <c r="J1187" s="5"/>
      <c r="N1187" s="5"/>
      <c r="R1187" s="5"/>
    </row>
    <row r="1188" spans="2:18" x14ac:dyDescent="0.2">
      <c r="B1188" s="5"/>
      <c r="F1188" s="5"/>
      <c r="J1188" s="5"/>
      <c r="N1188" s="5"/>
      <c r="R1188" s="5"/>
    </row>
    <row r="1189" spans="2:18" x14ac:dyDescent="0.2">
      <c r="B1189" s="5"/>
      <c r="F1189" s="5"/>
      <c r="J1189" s="5"/>
      <c r="N1189" s="5"/>
      <c r="R1189" s="5"/>
    </row>
    <row r="1190" spans="2:18" x14ac:dyDescent="0.2">
      <c r="B1190" s="5"/>
      <c r="F1190" s="5"/>
      <c r="J1190" s="5"/>
      <c r="N1190" s="5"/>
      <c r="R1190" s="5"/>
    </row>
    <row r="1191" spans="2:18" x14ac:dyDescent="0.2">
      <c r="B1191" s="5"/>
      <c r="F1191" s="5"/>
      <c r="J1191" s="5"/>
      <c r="N1191" s="5"/>
      <c r="R1191" s="5"/>
    </row>
    <row r="1192" spans="2:18" x14ac:dyDescent="0.2">
      <c r="B1192" s="5"/>
      <c r="F1192" s="5"/>
      <c r="J1192" s="5"/>
      <c r="N1192" s="5"/>
      <c r="R1192" s="5"/>
    </row>
    <row r="1193" spans="2:18" x14ac:dyDescent="0.2">
      <c r="B1193" s="5"/>
      <c r="F1193" s="5"/>
      <c r="J1193" s="5"/>
      <c r="N1193" s="5"/>
      <c r="R1193" s="5"/>
    </row>
    <row r="1194" spans="2:18" x14ac:dyDescent="0.2">
      <c r="B1194" s="5"/>
      <c r="F1194" s="5"/>
      <c r="J1194" s="5"/>
      <c r="N1194" s="5"/>
      <c r="R1194" s="5"/>
    </row>
    <row r="1195" spans="2:18" x14ac:dyDescent="0.2">
      <c r="B1195" s="5"/>
      <c r="F1195" s="5"/>
      <c r="J1195" s="5"/>
      <c r="N1195" s="5"/>
      <c r="R1195" s="5"/>
    </row>
    <row r="1196" spans="2:18" x14ac:dyDescent="0.2">
      <c r="B1196" s="5"/>
      <c r="F1196" s="5"/>
      <c r="J1196" s="5"/>
      <c r="N1196" s="5"/>
      <c r="R1196" s="5"/>
    </row>
    <row r="1197" spans="2:18" x14ac:dyDescent="0.2">
      <c r="B1197" s="5"/>
      <c r="F1197" s="5"/>
      <c r="J1197" s="5"/>
      <c r="N1197" s="5"/>
      <c r="R1197" s="5"/>
    </row>
    <row r="1198" spans="2:18" x14ac:dyDescent="0.2">
      <c r="B1198" s="5"/>
      <c r="F1198" s="5"/>
      <c r="J1198" s="5"/>
      <c r="N1198" s="5"/>
      <c r="R1198" s="5"/>
    </row>
    <row r="1199" spans="2:18" x14ac:dyDescent="0.2">
      <c r="B1199" s="5"/>
      <c r="F1199" s="5"/>
      <c r="J1199" s="5"/>
      <c r="N1199" s="5"/>
      <c r="R1199" s="5"/>
    </row>
    <row r="1200" spans="2:18" x14ac:dyDescent="0.2">
      <c r="B1200" s="5"/>
      <c r="F1200" s="5"/>
      <c r="J1200" s="5"/>
      <c r="N1200" s="5"/>
      <c r="R1200" s="5"/>
    </row>
    <row r="1201" spans="2:18" x14ac:dyDescent="0.2">
      <c r="B1201" s="5"/>
      <c r="F1201" s="5"/>
      <c r="J1201" s="5"/>
      <c r="N1201" s="5"/>
      <c r="R1201" s="5"/>
    </row>
    <row r="1202" spans="2:18" x14ac:dyDescent="0.2">
      <c r="B1202" s="5"/>
      <c r="F1202" s="5"/>
      <c r="J1202" s="5"/>
      <c r="N1202" s="5"/>
      <c r="R1202" s="5"/>
    </row>
    <row r="1203" spans="2:18" x14ac:dyDescent="0.2">
      <c r="B1203" s="5"/>
      <c r="F1203" s="5"/>
      <c r="J1203" s="5"/>
      <c r="N1203" s="5"/>
      <c r="R1203" s="5"/>
    </row>
    <row r="1204" spans="2:18" x14ac:dyDescent="0.2">
      <c r="B1204" s="5"/>
      <c r="F1204" s="5"/>
      <c r="J1204" s="5"/>
      <c r="N1204" s="5"/>
      <c r="R1204" s="5"/>
    </row>
    <row r="1205" spans="2:18" x14ac:dyDescent="0.2">
      <c r="B1205" s="5"/>
      <c r="F1205" s="5"/>
      <c r="J1205" s="5"/>
      <c r="N1205" s="5"/>
      <c r="R1205" s="5"/>
    </row>
    <row r="1206" spans="2:18" x14ac:dyDescent="0.2">
      <c r="B1206" s="5"/>
      <c r="F1206" s="5"/>
      <c r="J1206" s="5"/>
      <c r="N1206" s="5"/>
      <c r="R1206" s="5"/>
    </row>
    <row r="1207" spans="2:18" x14ac:dyDescent="0.2">
      <c r="B1207" s="5"/>
      <c r="F1207" s="5"/>
      <c r="J1207" s="5"/>
      <c r="N1207" s="5"/>
      <c r="R1207" s="5"/>
    </row>
    <row r="1208" spans="2:18" x14ac:dyDescent="0.2">
      <c r="B1208" s="5"/>
      <c r="F1208" s="5"/>
      <c r="J1208" s="5"/>
      <c r="N1208" s="5"/>
      <c r="R1208" s="5"/>
    </row>
    <row r="1209" spans="2:18" x14ac:dyDescent="0.2">
      <c r="B1209" s="5"/>
      <c r="F1209" s="5"/>
      <c r="J1209" s="5"/>
      <c r="N1209" s="5"/>
      <c r="R1209" s="5"/>
    </row>
    <row r="1210" spans="2:18" x14ac:dyDescent="0.2">
      <c r="B1210" s="5"/>
      <c r="F1210" s="5"/>
      <c r="J1210" s="5"/>
      <c r="N1210" s="5"/>
      <c r="R1210" s="5"/>
    </row>
    <row r="1211" spans="2:18" x14ac:dyDescent="0.2">
      <c r="B1211" s="5"/>
      <c r="F1211" s="5"/>
      <c r="J1211" s="5"/>
      <c r="N1211" s="5"/>
      <c r="R1211" s="5"/>
    </row>
    <row r="1212" spans="2:18" x14ac:dyDescent="0.2">
      <c r="B1212" s="5"/>
      <c r="F1212" s="5"/>
      <c r="J1212" s="5"/>
      <c r="N1212" s="5"/>
      <c r="R1212" s="5"/>
    </row>
    <row r="1213" spans="2:18" x14ac:dyDescent="0.2">
      <c r="B1213" s="5"/>
      <c r="F1213" s="5"/>
      <c r="J1213" s="5"/>
      <c r="N1213" s="5"/>
      <c r="R1213" s="5"/>
    </row>
    <row r="1214" spans="2:18" x14ac:dyDescent="0.2">
      <c r="B1214" s="5"/>
      <c r="F1214" s="5"/>
      <c r="J1214" s="5"/>
      <c r="N1214" s="5"/>
      <c r="R1214" s="5"/>
    </row>
    <row r="1215" spans="2:18" x14ac:dyDescent="0.2">
      <c r="B1215" s="5"/>
      <c r="F1215" s="5"/>
      <c r="J1215" s="5"/>
      <c r="N1215" s="5"/>
      <c r="R1215" s="5"/>
    </row>
    <row r="1216" spans="2:18" x14ac:dyDescent="0.2">
      <c r="B1216" s="5"/>
      <c r="F1216" s="5"/>
      <c r="J1216" s="5"/>
      <c r="N1216" s="5"/>
      <c r="R1216" s="5"/>
    </row>
    <row r="1217" spans="2:18" x14ac:dyDescent="0.2">
      <c r="B1217" s="5"/>
      <c r="F1217" s="5"/>
      <c r="J1217" s="5"/>
      <c r="N1217" s="5"/>
      <c r="R1217" s="5"/>
    </row>
    <row r="1218" spans="2:18" x14ac:dyDescent="0.2">
      <c r="B1218" s="5"/>
      <c r="F1218" s="5"/>
      <c r="J1218" s="5"/>
      <c r="N1218" s="5"/>
      <c r="R1218" s="5"/>
    </row>
    <row r="1219" spans="2:18" x14ac:dyDescent="0.2">
      <c r="B1219" s="5"/>
      <c r="F1219" s="5"/>
      <c r="J1219" s="5"/>
      <c r="N1219" s="5"/>
      <c r="R1219" s="5"/>
    </row>
    <row r="1220" spans="2:18" x14ac:dyDescent="0.2">
      <c r="B1220" s="5"/>
      <c r="F1220" s="5"/>
      <c r="J1220" s="5"/>
      <c r="N1220" s="5"/>
      <c r="R1220" s="5"/>
    </row>
    <row r="1221" spans="2:18" x14ac:dyDescent="0.2">
      <c r="B1221" s="5"/>
      <c r="F1221" s="5"/>
      <c r="J1221" s="5"/>
      <c r="N1221" s="5"/>
      <c r="R1221" s="5"/>
    </row>
    <row r="1222" spans="2:18" x14ac:dyDescent="0.2">
      <c r="B1222" s="5"/>
      <c r="F1222" s="5"/>
      <c r="J1222" s="5"/>
      <c r="N1222" s="5"/>
      <c r="R1222" s="5"/>
    </row>
    <row r="1223" spans="2:18" x14ac:dyDescent="0.2">
      <c r="B1223" s="5"/>
      <c r="F1223" s="5"/>
      <c r="J1223" s="5"/>
      <c r="N1223" s="5"/>
      <c r="R1223" s="5"/>
    </row>
    <row r="1224" spans="2:18" x14ac:dyDescent="0.2">
      <c r="B1224" s="5"/>
      <c r="F1224" s="5"/>
      <c r="J1224" s="5"/>
      <c r="N1224" s="5"/>
      <c r="R1224" s="5"/>
    </row>
    <row r="1225" spans="2:18" x14ac:dyDescent="0.2">
      <c r="B1225" s="5"/>
      <c r="F1225" s="5"/>
      <c r="J1225" s="5"/>
      <c r="N1225" s="5"/>
      <c r="R1225" s="5"/>
    </row>
    <row r="1226" spans="2:18" x14ac:dyDescent="0.2">
      <c r="B1226" s="5"/>
      <c r="F1226" s="5"/>
      <c r="J1226" s="5"/>
      <c r="N1226" s="5"/>
      <c r="R1226" s="5"/>
    </row>
    <row r="1227" spans="2:18" x14ac:dyDescent="0.2">
      <c r="B1227" s="5"/>
      <c r="F1227" s="5"/>
      <c r="J1227" s="5"/>
      <c r="N1227" s="5"/>
      <c r="R1227" s="5"/>
    </row>
    <row r="1228" spans="2:18" x14ac:dyDescent="0.2">
      <c r="B1228" s="5"/>
      <c r="F1228" s="5"/>
      <c r="J1228" s="5"/>
      <c r="N1228" s="5"/>
      <c r="R1228" s="5"/>
    </row>
    <row r="1229" spans="2:18" x14ac:dyDescent="0.2">
      <c r="B1229" s="5"/>
      <c r="F1229" s="5"/>
      <c r="J1229" s="5"/>
      <c r="N1229" s="5"/>
      <c r="R1229" s="5"/>
    </row>
    <row r="1230" spans="2:18" x14ac:dyDescent="0.2">
      <c r="B1230" s="5"/>
      <c r="F1230" s="5"/>
      <c r="J1230" s="5"/>
      <c r="N1230" s="5"/>
      <c r="R1230" s="5"/>
    </row>
    <row r="1231" spans="2:18" x14ac:dyDescent="0.2">
      <c r="B1231" s="5"/>
      <c r="F1231" s="5"/>
      <c r="J1231" s="5"/>
      <c r="N1231" s="5"/>
      <c r="R1231" s="5"/>
    </row>
    <row r="1232" spans="2:18" x14ac:dyDescent="0.2">
      <c r="B1232" s="5"/>
      <c r="F1232" s="5"/>
      <c r="J1232" s="5"/>
      <c r="N1232" s="5"/>
      <c r="R1232" s="5"/>
    </row>
    <row r="1233" spans="2:18" x14ac:dyDescent="0.2">
      <c r="B1233" s="5"/>
      <c r="F1233" s="5"/>
      <c r="J1233" s="5"/>
      <c r="N1233" s="5"/>
      <c r="R1233" s="5"/>
    </row>
    <row r="1234" spans="2:18" x14ac:dyDescent="0.2">
      <c r="B1234" s="5"/>
      <c r="F1234" s="5"/>
      <c r="J1234" s="5"/>
      <c r="N1234" s="5"/>
      <c r="R1234" s="5"/>
    </row>
    <row r="1235" spans="2:18" x14ac:dyDescent="0.2">
      <c r="B1235" s="5"/>
      <c r="F1235" s="5"/>
      <c r="J1235" s="5"/>
      <c r="N1235" s="5"/>
      <c r="R1235" s="5"/>
    </row>
    <row r="1236" spans="2:18" x14ac:dyDescent="0.2">
      <c r="B1236" s="5"/>
      <c r="F1236" s="5"/>
      <c r="J1236" s="5"/>
      <c r="N1236" s="5"/>
      <c r="R1236" s="5"/>
    </row>
    <row r="1237" spans="2:18" x14ac:dyDescent="0.2">
      <c r="B1237" s="5"/>
      <c r="F1237" s="5"/>
      <c r="J1237" s="5"/>
      <c r="N1237" s="5"/>
      <c r="R1237" s="5"/>
    </row>
    <row r="1238" spans="2:18" x14ac:dyDescent="0.2">
      <c r="B1238" s="5"/>
      <c r="F1238" s="5"/>
      <c r="J1238" s="5"/>
      <c r="N1238" s="5"/>
      <c r="R1238" s="5"/>
    </row>
    <row r="1239" spans="2:18" x14ac:dyDescent="0.2">
      <c r="B1239" s="5"/>
      <c r="F1239" s="5"/>
      <c r="J1239" s="5"/>
      <c r="N1239" s="5"/>
      <c r="R1239" s="5"/>
    </row>
    <row r="1240" spans="2:18" x14ac:dyDescent="0.2">
      <c r="B1240" s="5"/>
      <c r="F1240" s="5"/>
      <c r="J1240" s="5"/>
      <c r="N1240" s="5"/>
      <c r="R1240" s="5"/>
    </row>
    <row r="1241" spans="2:18" x14ac:dyDescent="0.2">
      <c r="B1241" s="5"/>
      <c r="F1241" s="5"/>
      <c r="J1241" s="5"/>
      <c r="N1241" s="5"/>
      <c r="R1241" s="5"/>
    </row>
    <row r="1242" spans="2:18" x14ac:dyDescent="0.2">
      <c r="B1242" s="5"/>
      <c r="F1242" s="5"/>
      <c r="J1242" s="5"/>
      <c r="N1242" s="5"/>
      <c r="R1242" s="5"/>
    </row>
    <row r="1243" spans="2:18" x14ac:dyDescent="0.2">
      <c r="B1243" s="5"/>
      <c r="F1243" s="5"/>
      <c r="J1243" s="5"/>
      <c r="N1243" s="5"/>
      <c r="R1243" s="5"/>
    </row>
    <row r="1244" spans="2:18" x14ac:dyDescent="0.2">
      <c r="B1244" s="5"/>
      <c r="F1244" s="5"/>
      <c r="J1244" s="5"/>
      <c r="N1244" s="5"/>
      <c r="R1244" s="5"/>
    </row>
    <row r="1245" spans="2:18" x14ac:dyDescent="0.2">
      <c r="B1245" s="5"/>
      <c r="F1245" s="5"/>
      <c r="J1245" s="5"/>
      <c r="N1245" s="5"/>
      <c r="R1245" s="5"/>
    </row>
    <row r="1246" spans="2:18" x14ac:dyDescent="0.2">
      <c r="B1246" s="5"/>
      <c r="F1246" s="5"/>
      <c r="J1246" s="5"/>
      <c r="N1246" s="5"/>
      <c r="R1246" s="5"/>
    </row>
    <row r="1247" spans="2:18" x14ac:dyDescent="0.2">
      <c r="B1247" s="5"/>
      <c r="F1247" s="5"/>
      <c r="J1247" s="5"/>
      <c r="N1247" s="5"/>
      <c r="R1247" s="5"/>
    </row>
    <row r="1248" spans="2:18" x14ac:dyDescent="0.2">
      <c r="B1248" s="5"/>
      <c r="F1248" s="5"/>
      <c r="J1248" s="5"/>
      <c r="N1248" s="5"/>
      <c r="R1248" s="5"/>
    </row>
    <row r="1249" spans="2:18" x14ac:dyDescent="0.2">
      <c r="B1249" s="5"/>
      <c r="F1249" s="5"/>
      <c r="J1249" s="5"/>
      <c r="N1249" s="5"/>
      <c r="R1249" s="5"/>
    </row>
    <row r="1250" spans="2:18" x14ac:dyDescent="0.2">
      <c r="B1250" s="5"/>
      <c r="F1250" s="5"/>
      <c r="J1250" s="5"/>
      <c r="N1250" s="5"/>
      <c r="R1250" s="5"/>
    </row>
    <row r="1251" spans="2:18" x14ac:dyDescent="0.2">
      <c r="B1251" s="5"/>
      <c r="F1251" s="5"/>
      <c r="J1251" s="5"/>
      <c r="N1251" s="5"/>
      <c r="R1251" s="5"/>
    </row>
    <row r="1252" spans="2:18" x14ac:dyDescent="0.2">
      <c r="B1252" s="5"/>
      <c r="F1252" s="5"/>
      <c r="J1252" s="5"/>
      <c r="N1252" s="5"/>
      <c r="R1252" s="5"/>
    </row>
    <row r="1253" spans="2:18" x14ac:dyDescent="0.2">
      <c r="B1253" s="5"/>
      <c r="F1253" s="5"/>
      <c r="J1253" s="5"/>
      <c r="N1253" s="5"/>
      <c r="R1253" s="5"/>
    </row>
    <row r="1254" spans="2:18" x14ac:dyDescent="0.2">
      <c r="B1254" s="5"/>
      <c r="F1254" s="5"/>
      <c r="J1254" s="5"/>
      <c r="N1254" s="5"/>
      <c r="R1254" s="5"/>
    </row>
    <row r="1255" spans="2:18" x14ac:dyDescent="0.2">
      <c r="B1255" s="5"/>
      <c r="F1255" s="5"/>
      <c r="J1255" s="5"/>
      <c r="N1255" s="5"/>
      <c r="R1255" s="5"/>
    </row>
    <row r="1256" spans="2:18" x14ac:dyDescent="0.2">
      <c r="B1256" s="5"/>
      <c r="F1256" s="5"/>
      <c r="J1256" s="5"/>
      <c r="N1256" s="5"/>
      <c r="R1256" s="5"/>
    </row>
    <row r="1257" spans="2:18" x14ac:dyDescent="0.2">
      <c r="B1257" s="5"/>
      <c r="F1257" s="5"/>
      <c r="J1257" s="5"/>
      <c r="N1257" s="5"/>
      <c r="R1257" s="5"/>
    </row>
    <row r="1258" spans="2:18" x14ac:dyDescent="0.2">
      <c r="B1258" s="5"/>
      <c r="F1258" s="5"/>
      <c r="J1258" s="5"/>
      <c r="N1258" s="5"/>
      <c r="R1258" s="5"/>
    </row>
    <row r="1259" spans="2:18" x14ac:dyDescent="0.2">
      <c r="B1259" s="5"/>
      <c r="F1259" s="5"/>
      <c r="J1259" s="5"/>
      <c r="N1259" s="5"/>
      <c r="R1259" s="5"/>
    </row>
    <row r="1260" spans="2:18" x14ac:dyDescent="0.2">
      <c r="B1260" s="5"/>
      <c r="F1260" s="5"/>
      <c r="J1260" s="5"/>
      <c r="N1260" s="5"/>
      <c r="R1260" s="5"/>
    </row>
    <row r="1261" spans="2:18" x14ac:dyDescent="0.2">
      <c r="B1261" s="5"/>
      <c r="F1261" s="5"/>
      <c r="J1261" s="5"/>
      <c r="N1261" s="5"/>
      <c r="R1261" s="5"/>
    </row>
    <row r="1262" spans="2:18" x14ac:dyDescent="0.2">
      <c r="B1262" s="5"/>
      <c r="F1262" s="5"/>
      <c r="J1262" s="5"/>
      <c r="N1262" s="5"/>
      <c r="R1262" s="5"/>
    </row>
    <row r="1263" spans="2:18" x14ac:dyDescent="0.2">
      <c r="B1263" s="5"/>
      <c r="F1263" s="5"/>
      <c r="J1263" s="5"/>
      <c r="N1263" s="5"/>
      <c r="R1263" s="5"/>
    </row>
    <row r="1264" spans="2:18" x14ac:dyDescent="0.2">
      <c r="B1264" s="5"/>
      <c r="F1264" s="5"/>
      <c r="J1264" s="5"/>
      <c r="N1264" s="5"/>
      <c r="R1264" s="5"/>
    </row>
    <row r="1265" spans="2:18" x14ac:dyDescent="0.2">
      <c r="B1265" s="5"/>
      <c r="F1265" s="5"/>
      <c r="J1265" s="5"/>
      <c r="N1265" s="5"/>
      <c r="R1265" s="5"/>
    </row>
    <row r="1266" spans="2:18" x14ac:dyDescent="0.2">
      <c r="B1266" s="5"/>
      <c r="F1266" s="5"/>
      <c r="J1266" s="5"/>
      <c r="N1266" s="5"/>
      <c r="R1266" s="5"/>
    </row>
    <row r="1267" spans="2:18" x14ac:dyDescent="0.2">
      <c r="B1267" s="5"/>
      <c r="F1267" s="5"/>
      <c r="J1267" s="5"/>
      <c r="N1267" s="5"/>
      <c r="R1267" s="5"/>
    </row>
    <row r="1268" spans="2:18" x14ac:dyDescent="0.2">
      <c r="B1268" s="5"/>
      <c r="F1268" s="5"/>
      <c r="J1268" s="5"/>
      <c r="N1268" s="5"/>
      <c r="R1268" s="5"/>
    </row>
    <row r="1269" spans="2:18" x14ac:dyDescent="0.2">
      <c r="B1269" s="5"/>
      <c r="F1269" s="5"/>
      <c r="J1269" s="5"/>
      <c r="N1269" s="5"/>
      <c r="R1269" s="5"/>
    </row>
    <row r="1270" spans="2:18" x14ac:dyDescent="0.2">
      <c r="B1270" s="5"/>
      <c r="F1270" s="5"/>
      <c r="J1270" s="5"/>
      <c r="N1270" s="5"/>
      <c r="R1270" s="5"/>
    </row>
    <row r="1271" spans="2:18" x14ac:dyDescent="0.2">
      <c r="B1271" s="5"/>
      <c r="F1271" s="5"/>
      <c r="J1271" s="5"/>
      <c r="N1271" s="5"/>
      <c r="R1271" s="5"/>
    </row>
    <row r="1272" spans="2:18" x14ac:dyDescent="0.2">
      <c r="B1272" s="5"/>
      <c r="F1272" s="5"/>
      <c r="J1272" s="5"/>
      <c r="N1272" s="5"/>
      <c r="R1272" s="5"/>
    </row>
    <row r="1273" spans="2:18" x14ac:dyDescent="0.2">
      <c r="B1273" s="5"/>
      <c r="F1273" s="5"/>
      <c r="J1273" s="5"/>
      <c r="N1273" s="5"/>
      <c r="R1273" s="5"/>
    </row>
    <row r="1274" spans="2:18" x14ac:dyDescent="0.2">
      <c r="B1274" s="5"/>
      <c r="F1274" s="5"/>
      <c r="J1274" s="5"/>
      <c r="N1274" s="5"/>
      <c r="R1274" s="5"/>
    </row>
    <row r="1275" spans="2:18" x14ac:dyDescent="0.2">
      <c r="B1275" s="5"/>
      <c r="F1275" s="5"/>
      <c r="J1275" s="5"/>
      <c r="N1275" s="5"/>
      <c r="R1275" s="5"/>
    </row>
    <row r="1276" spans="2:18" x14ac:dyDescent="0.2">
      <c r="B1276" s="5"/>
      <c r="F1276" s="5"/>
      <c r="J1276" s="5"/>
      <c r="N1276" s="5"/>
      <c r="R1276" s="5"/>
    </row>
    <row r="1277" spans="2:18" x14ac:dyDescent="0.2">
      <c r="B1277" s="5"/>
      <c r="F1277" s="5"/>
      <c r="J1277" s="5"/>
      <c r="N1277" s="5"/>
      <c r="R1277" s="5"/>
    </row>
    <row r="1278" spans="2:18" x14ac:dyDescent="0.2">
      <c r="B1278" s="5"/>
      <c r="F1278" s="5"/>
      <c r="J1278" s="5"/>
      <c r="N1278" s="5"/>
      <c r="R1278" s="5"/>
    </row>
    <row r="1279" spans="2:18" x14ac:dyDescent="0.2">
      <c r="B1279" s="5"/>
      <c r="F1279" s="5"/>
      <c r="J1279" s="5"/>
      <c r="N1279" s="5"/>
      <c r="R1279" s="5"/>
    </row>
    <row r="1280" spans="2:18" x14ac:dyDescent="0.2">
      <c r="B1280" s="5"/>
      <c r="F1280" s="5"/>
      <c r="J1280" s="5"/>
      <c r="N1280" s="5"/>
      <c r="R1280" s="5"/>
    </row>
    <row r="1281" spans="2:18" x14ac:dyDescent="0.2">
      <c r="B1281" s="5"/>
      <c r="F1281" s="5"/>
      <c r="J1281" s="5"/>
      <c r="N1281" s="5"/>
      <c r="R1281" s="5"/>
    </row>
    <row r="1282" spans="2:18" x14ac:dyDescent="0.2">
      <c r="B1282" s="5"/>
      <c r="F1282" s="5"/>
      <c r="J1282" s="5"/>
      <c r="N1282" s="5"/>
      <c r="R1282" s="5"/>
    </row>
    <row r="1283" spans="2:18" x14ac:dyDescent="0.2">
      <c r="B1283" s="5"/>
      <c r="F1283" s="5"/>
      <c r="J1283" s="5"/>
      <c r="N1283" s="5"/>
      <c r="R1283" s="5"/>
    </row>
    <row r="1284" spans="2:18" x14ac:dyDescent="0.2">
      <c r="B1284" s="5"/>
      <c r="F1284" s="5"/>
      <c r="J1284" s="5"/>
      <c r="N1284" s="5"/>
      <c r="R1284" s="5"/>
    </row>
    <row r="1285" spans="2:18" x14ac:dyDescent="0.2">
      <c r="B1285" s="5"/>
      <c r="F1285" s="5"/>
      <c r="J1285" s="5"/>
      <c r="N1285" s="5"/>
      <c r="R1285" s="5"/>
    </row>
    <row r="1286" spans="2:18" x14ac:dyDescent="0.2">
      <c r="B1286" s="5"/>
      <c r="F1286" s="5"/>
      <c r="J1286" s="5"/>
      <c r="N1286" s="5"/>
      <c r="R1286" s="5"/>
    </row>
    <row r="1287" spans="2:18" x14ac:dyDescent="0.2">
      <c r="B1287" s="5"/>
      <c r="F1287" s="5"/>
      <c r="J1287" s="5"/>
      <c r="N1287" s="5"/>
      <c r="R1287" s="5"/>
    </row>
    <row r="1288" spans="2:18" x14ac:dyDescent="0.2">
      <c r="B1288" s="5"/>
      <c r="F1288" s="5"/>
      <c r="J1288" s="5"/>
      <c r="N1288" s="5"/>
      <c r="R1288" s="5"/>
    </row>
    <row r="1289" spans="2:18" x14ac:dyDescent="0.2">
      <c r="B1289" s="5"/>
      <c r="F1289" s="5"/>
      <c r="J1289" s="5"/>
      <c r="N1289" s="5"/>
      <c r="R1289" s="5"/>
    </row>
    <row r="1290" spans="2:18" x14ac:dyDescent="0.2">
      <c r="B1290" s="5"/>
      <c r="F1290" s="5"/>
      <c r="J1290" s="5"/>
      <c r="N1290" s="5"/>
      <c r="R1290" s="5"/>
    </row>
    <row r="1291" spans="2:18" x14ac:dyDescent="0.2">
      <c r="B1291" s="5"/>
      <c r="F1291" s="5"/>
      <c r="J1291" s="5"/>
      <c r="N1291" s="5"/>
      <c r="R1291" s="5"/>
    </row>
    <row r="1292" spans="2:18" x14ac:dyDescent="0.2">
      <c r="B1292" s="5"/>
      <c r="F1292" s="5"/>
      <c r="J1292" s="5"/>
      <c r="N1292" s="5"/>
      <c r="R1292" s="5"/>
    </row>
    <row r="1293" spans="2:18" x14ac:dyDescent="0.2">
      <c r="B1293" s="5"/>
      <c r="F1293" s="5"/>
      <c r="J1293" s="5"/>
      <c r="N1293" s="5"/>
      <c r="R1293" s="5"/>
    </row>
    <row r="1294" spans="2:18" x14ac:dyDescent="0.2">
      <c r="B1294" s="5"/>
      <c r="F1294" s="5"/>
      <c r="J1294" s="5"/>
      <c r="N1294" s="5"/>
      <c r="R1294" s="5"/>
    </row>
    <row r="1295" spans="2:18" x14ac:dyDescent="0.2">
      <c r="B1295" s="5"/>
      <c r="F1295" s="5"/>
      <c r="J1295" s="5"/>
      <c r="N1295" s="5"/>
      <c r="R1295" s="5"/>
    </row>
    <row r="1296" spans="2:18" x14ac:dyDescent="0.2">
      <c r="B1296" s="5"/>
      <c r="F1296" s="5"/>
      <c r="J1296" s="5"/>
      <c r="N1296" s="5"/>
      <c r="R1296" s="5"/>
    </row>
    <row r="1297" spans="2:18" x14ac:dyDescent="0.2">
      <c r="B1297" s="5"/>
      <c r="F1297" s="5"/>
      <c r="J1297" s="5"/>
      <c r="N1297" s="5"/>
      <c r="R1297" s="5"/>
    </row>
    <row r="1298" spans="2:18" x14ac:dyDescent="0.2">
      <c r="B1298" s="5"/>
      <c r="F1298" s="5"/>
      <c r="J1298" s="5"/>
      <c r="N1298" s="5"/>
      <c r="R1298" s="5"/>
    </row>
    <row r="1299" spans="2:18" x14ac:dyDescent="0.2">
      <c r="B1299" s="5"/>
      <c r="F1299" s="5"/>
      <c r="J1299" s="5"/>
      <c r="N1299" s="5"/>
      <c r="R1299" s="5"/>
    </row>
    <row r="1300" spans="2:18" x14ac:dyDescent="0.2">
      <c r="B1300" s="5"/>
      <c r="F1300" s="5"/>
      <c r="J1300" s="5"/>
      <c r="N1300" s="5"/>
      <c r="R1300" s="5"/>
    </row>
    <row r="1301" spans="2:18" x14ac:dyDescent="0.2">
      <c r="B1301" s="5"/>
      <c r="F1301" s="5"/>
      <c r="J1301" s="5"/>
      <c r="N1301" s="5"/>
      <c r="R1301" s="5"/>
    </row>
    <row r="1302" spans="2:18" x14ac:dyDescent="0.2">
      <c r="B1302" s="5"/>
      <c r="F1302" s="5"/>
      <c r="J1302" s="5"/>
      <c r="N1302" s="5"/>
      <c r="R1302" s="5"/>
    </row>
    <row r="1303" spans="2:18" x14ac:dyDescent="0.2">
      <c r="B1303" s="5"/>
      <c r="F1303" s="5"/>
      <c r="J1303" s="5"/>
      <c r="N1303" s="5"/>
      <c r="R1303" s="5"/>
    </row>
    <row r="1304" spans="2:18" x14ac:dyDescent="0.2">
      <c r="B1304" s="5"/>
      <c r="F1304" s="5"/>
      <c r="J1304" s="5"/>
      <c r="N1304" s="5"/>
      <c r="R1304" s="5"/>
    </row>
    <row r="1305" spans="2:18" x14ac:dyDescent="0.2">
      <c r="B1305" s="5"/>
      <c r="F1305" s="5"/>
      <c r="J1305" s="5"/>
      <c r="N1305" s="5"/>
      <c r="R1305" s="5"/>
    </row>
    <row r="1306" spans="2:18" x14ac:dyDescent="0.2">
      <c r="B1306" s="5"/>
      <c r="F1306" s="5"/>
      <c r="J1306" s="5"/>
      <c r="N1306" s="5"/>
      <c r="R1306" s="5"/>
    </row>
    <row r="1307" spans="2:18" x14ac:dyDescent="0.2">
      <c r="B1307" s="5"/>
      <c r="F1307" s="5"/>
      <c r="J1307" s="5"/>
      <c r="N1307" s="5"/>
      <c r="R1307" s="5"/>
    </row>
    <row r="1308" spans="2:18" x14ac:dyDescent="0.2">
      <c r="B1308" s="5"/>
      <c r="F1308" s="5"/>
      <c r="J1308" s="5"/>
      <c r="N1308" s="5"/>
      <c r="R1308" s="5"/>
    </row>
    <row r="1309" spans="2:18" x14ac:dyDescent="0.2">
      <c r="B1309" s="5"/>
      <c r="F1309" s="5"/>
      <c r="J1309" s="5"/>
      <c r="N1309" s="5"/>
      <c r="R1309" s="5"/>
    </row>
    <row r="1310" spans="2:18" x14ac:dyDescent="0.2">
      <c r="B1310" s="5"/>
      <c r="F1310" s="5"/>
      <c r="J1310" s="5"/>
      <c r="N1310" s="5"/>
      <c r="R1310" s="5"/>
    </row>
    <row r="1311" spans="2:18" x14ac:dyDescent="0.2">
      <c r="B1311" s="5"/>
      <c r="F1311" s="5"/>
      <c r="J1311" s="5"/>
      <c r="N1311" s="5"/>
      <c r="R1311" s="5"/>
    </row>
    <row r="1312" spans="2:18" x14ac:dyDescent="0.2">
      <c r="B1312" s="5"/>
      <c r="F1312" s="5"/>
      <c r="J1312" s="5"/>
      <c r="N1312" s="5"/>
      <c r="R1312" s="5"/>
    </row>
    <row r="1313" spans="2:18" x14ac:dyDescent="0.2">
      <c r="B1313" s="5"/>
      <c r="F1313" s="5"/>
      <c r="J1313" s="5"/>
      <c r="N1313" s="5"/>
      <c r="R1313" s="5"/>
    </row>
    <row r="1314" spans="2:18" x14ac:dyDescent="0.2">
      <c r="B1314" s="5"/>
      <c r="F1314" s="5"/>
      <c r="J1314" s="5"/>
      <c r="N1314" s="5"/>
      <c r="R1314" s="5"/>
    </row>
    <row r="1315" spans="2:18" x14ac:dyDescent="0.2">
      <c r="B1315" s="5"/>
      <c r="F1315" s="5"/>
      <c r="J1315" s="5"/>
      <c r="N1315" s="5"/>
      <c r="R1315" s="5"/>
    </row>
    <row r="1316" spans="2:18" x14ac:dyDescent="0.2">
      <c r="B1316" s="5"/>
      <c r="F1316" s="5"/>
      <c r="J1316" s="5"/>
      <c r="N1316" s="5"/>
      <c r="R1316" s="5"/>
    </row>
    <row r="1317" spans="2:18" x14ac:dyDescent="0.2">
      <c r="B1317" s="5"/>
      <c r="F1317" s="5"/>
      <c r="J1317" s="5"/>
      <c r="N1317" s="5"/>
      <c r="R1317" s="5"/>
    </row>
    <row r="1318" spans="2:18" x14ac:dyDescent="0.2">
      <c r="B1318" s="5"/>
      <c r="F1318" s="5"/>
      <c r="J1318" s="5"/>
      <c r="N1318" s="5"/>
      <c r="R1318" s="5"/>
    </row>
    <row r="1319" spans="2:18" x14ac:dyDescent="0.2">
      <c r="B1319" s="5"/>
      <c r="F1319" s="5"/>
      <c r="J1319" s="5"/>
      <c r="N1319" s="5"/>
      <c r="R1319" s="5"/>
    </row>
    <row r="1320" spans="2:18" x14ac:dyDescent="0.2">
      <c r="B1320" s="5"/>
      <c r="F1320" s="5"/>
      <c r="J1320" s="5"/>
      <c r="N1320" s="5"/>
      <c r="R1320" s="5"/>
    </row>
    <row r="1321" spans="2:18" x14ac:dyDescent="0.2">
      <c r="B1321" s="5"/>
      <c r="F1321" s="5"/>
      <c r="J1321" s="5"/>
      <c r="N1321" s="5"/>
      <c r="R1321" s="5"/>
    </row>
    <row r="1322" spans="2:18" x14ac:dyDescent="0.2">
      <c r="B1322" s="5"/>
      <c r="F1322" s="5"/>
      <c r="J1322" s="5"/>
      <c r="N1322" s="5"/>
      <c r="R1322" s="5"/>
    </row>
    <row r="1323" spans="2:18" x14ac:dyDescent="0.2">
      <c r="B1323" s="5"/>
      <c r="F1323" s="5"/>
      <c r="J1323" s="5"/>
      <c r="N1323" s="5"/>
      <c r="R1323" s="5"/>
    </row>
    <row r="1324" spans="2:18" x14ac:dyDescent="0.2">
      <c r="B1324" s="5"/>
      <c r="F1324" s="5"/>
      <c r="J1324" s="5"/>
      <c r="N1324" s="5"/>
      <c r="R1324" s="5"/>
    </row>
    <row r="1325" spans="2:18" x14ac:dyDescent="0.2">
      <c r="B1325" s="5"/>
      <c r="F1325" s="5"/>
      <c r="J1325" s="5"/>
      <c r="N1325" s="5"/>
      <c r="R1325" s="5"/>
    </row>
    <row r="1326" spans="2:18" x14ac:dyDescent="0.2">
      <c r="B1326" s="5"/>
      <c r="F1326" s="5"/>
      <c r="J1326" s="5"/>
      <c r="N1326" s="5"/>
      <c r="R1326" s="5"/>
    </row>
    <row r="1327" spans="2:18" x14ac:dyDescent="0.2">
      <c r="B1327" s="5"/>
      <c r="F1327" s="5"/>
      <c r="J1327" s="5"/>
      <c r="N1327" s="5"/>
      <c r="R1327" s="5"/>
    </row>
    <row r="1328" spans="2:18" x14ac:dyDescent="0.2">
      <c r="B1328" s="5"/>
      <c r="F1328" s="5"/>
      <c r="J1328" s="5"/>
      <c r="N1328" s="5"/>
      <c r="R1328" s="5"/>
    </row>
    <row r="1329" spans="2:18" x14ac:dyDescent="0.2">
      <c r="B1329" s="5"/>
      <c r="F1329" s="5"/>
      <c r="J1329" s="5"/>
      <c r="N1329" s="5"/>
      <c r="R1329" s="5"/>
    </row>
    <row r="1330" spans="2:18" x14ac:dyDescent="0.2">
      <c r="B1330" s="5"/>
      <c r="F1330" s="5"/>
      <c r="J1330" s="5"/>
      <c r="N1330" s="5"/>
      <c r="R1330" s="5"/>
    </row>
    <row r="1331" spans="2:18" x14ac:dyDescent="0.2">
      <c r="B1331" s="5"/>
      <c r="F1331" s="5"/>
      <c r="J1331" s="5"/>
      <c r="N1331" s="5"/>
      <c r="R1331" s="5"/>
    </row>
    <row r="1332" spans="2:18" x14ac:dyDescent="0.2">
      <c r="B1332" s="5"/>
      <c r="F1332" s="5"/>
      <c r="J1332" s="5"/>
      <c r="N1332" s="5"/>
      <c r="R1332" s="5"/>
    </row>
    <row r="1333" spans="2:18" x14ac:dyDescent="0.2">
      <c r="B1333" s="5"/>
      <c r="F1333" s="5"/>
      <c r="J1333" s="5"/>
      <c r="N1333" s="5"/>
      <c r="R1333" s="5"/>
    </row>
    <row r="1334" spans="2:18" x14ac:dyDescent="0.2">
      <c r="B1334" s="5"/>
      <c r="F1334" s="5"/>
      <c r="J1334" s="5"/>
      <c r="N1334" s="5"/>
      <c r="R1334" s="5"/>
    </row>
    <row r="1335" spans="2:18" x14ac:dyDescent="0.2">
      <c r="B1335" s="5"/>
      <c r="F1335" s="5"/>
      <c r="J1335" s="5"/>
      <c r="N1335" s="5"/>
      <c r="R1335" s="5"/>
    </row>
    <row r="1336" spans="2:18" x14ac:dyDescent="0.2">
      <c r="B1336" s="5"/>
      <c r="F1336" s="5"/>
      <c r="J1336" s="5"/>
      <c r="N1336" s="5"/>
      <c r="R1336" s="5"/>
    </row>
    <row r="1337" spans="2:18" x14ac:dyDescent="0.2">
      <c r="B1337" s="5"/>
      <c r="F1337" s="5"/>
      <c r="J1337" s="5"/>
      <c r="N1337" s="5"/>
      <c r="R1337" s="5"/>
    </row>
    <row r="1338" spans="2:18" x14ac:dyDescent="0.2">
      <c r="B1338" s="5"/>
      <c r="F1338" s="5"/>
      <c r="J1338" s="5"/>
      <c r="N1338" s="5"/>
      <c r="R1338" s="5"/>
    </row>
    <row r="1339" spans="2:18" x14ac:dyDescent="0.2">
      <c r="B1339" s="5"/>
      <c r="F1339" s="5"/>
      <c r="J1339" s="5"/>
      <c r="N1339" s="5"/>
      <c r="R1339" s="5"/>
    </row>
    <row r="1340" spans="2:18" x14ac:dyDescent="0.2">
      <c r="B1340" s="5"/>
      <c r="F1340" s="5"/>
      <c r="J1340" s="5"/>
      <c r="N1340" s="5"/>
      <c r="R1340" s="5"/>
    </row>
    <row r="1341" spans="2:18" x14ac:dyDescent="0.2">
      <c r="B1341" s="5"/>
      <c r="F1341" s="5"/>
      <c r="J1341" s="5"/>
      <c r="N1341" s="5"/>
      <c r="R1341" s="5"/>
    </row>
    <row r="1342" spans="2:18" x14ac:dyDescent="0.2">
      <c r="B1342" s="5"/>
      <c r="F1342" s="5"/>
      <c r="J1342" s="5"/>
      <c r="N1342" s="5"/>
      <c r="R1342" s="5"/>
    </row>
    <row r="1343" spans="2:18" x14ac:dyDescent="0.2">
      <c r="B1343" s="5"/>
      <c r="F1343" s="5"/>
      <c r="J1343" s="5"/>
      <c r="N1343" s="5"/>
      <c r="R1343" s="5"/>
    </row>
    <row r="1344" spans="2:18" x14ac:dyDescent="0.2">
      <c r="B1344" s="5"/>
      <c r="F1344" s="5"/>
      <c r="J1344" s="5"/>
      <c r="N1344" s="5"/>
      <c r="R1344" s="5"/>
    </row>
    <row r="1345" spans="2:18" x14ac:dyDescent="0.2">
      <c r="B1345" s="5"/>
      <c r="F1345" s="5"/>
      <c r="J1345" s="5"/>
      <c r="N1345" s="5"/>
      <c r="R1345" s="5"/>
    </row>
    <row r="1346" spans="2:18" x14ac:dyDescent="0.2">
      <c r="B1346" s="5"/>
      <c r="F1346" s="5"/>
      <c r="J1346" s="5"/>
      <c r="N1346" s="5"/>
      <c r="R1346" s="5"/>
    </row>
    <row r="1347" spans="2:18" x14ac:dyDescent="0.2">
      <c r="B1347" s="5"/>
      <c r="F1347" s="5"/>
      <c r="J1347" s="5"/>
      <c r="N1347" s="5"/>
      <c r="R1347" s="5"/>
    </row>
    <row r="1348" spans="2:18" x14ac:dyDescent="0.2">
      <c r="B1348" s="5"/>
      <c r="F1348" s="5"/>
      <c r="J1348" s="5"/>
      <c r="N1348" s="5"/>
      <c r="R1348" s="5"/>
    </row>
    <row r="1349" spans="2:18" x14ac:dyDescent="0.2">
      <c r="B1349" s="5"/>
      <c r="F1349" s="5"/>
      <c r="J1349" s="5"/>
      <c r="N1349" s="5"/>
      <c r="R1349" s="5"/>
    </row>
    <row r="1350" spans="2:18" x14ac:dyDescent="0.2">
      <c r="B1350" s="5"/>
      <c r="F1350" s="5"/>
      <c r="J1350" s="5"/>
      <c r="N1350" s="5"/>
      <c r="R1350" s="5"/>
    </row>
    <row r="1351" spans="2:18" x14ac:dyDescent="0.2">
      <c r="B1351" s="5"/>
      <c r="F1351" s="5"/>
      <c r="J1351" s="5"/>
      <c r="N1351" s="5"/>
      <c r="R1351" s="5"/>
    </row>
    <row r="1352" spans="2:18" x14ac:dyDescent="0.2">
      <c r="B1352" s="5"/>
      <c r="F1352" s="5"/>
      <c r="J1352" s="5"/>
      <c r="N1352" s="5"/>
      <c r="R1352" s="5"/>
    </row>
    <row r="1353" spans="2:18" x14ac:dyDescent="0.2">
      <c r="B1353" s="5"/>
      <c r="F1353" s="5"/>
      <c r="J1353" s="5"/>
      <c r="N1353" s="5"/>
      <c r="R1353" s="5"/>
    </row>
    <row r="1354" spans="2:18" x14ac:dyDescent="0.2">
      <c r="B1354" s="5"/>
      <c r="F1354" s="5"/>
      <c r="J1354" s="5"/>
      <c r="N1354" s="5"/>
      <c r="R1354" s="5"/>
    </row>
    <row r="1355" spans="2:18" x14ac:dyDescent="0.2">
      <c r="B1355" s="5"/>
      <c r="F1355" s="5"/>
      <c r="J1355" s="5"/>
      <c r="N1355" s="5"/>
      <c r="R1355" s="5"/>
    </row>
    <row r="1356" spans="2:18" x14ac:dyDescent="0.2">
      <c r="B1356" s="5"/>
      <c r="F1356" s="5"/>
      <c r="J1356" s="5"/>
      <c r="N1356" s="5"/>
      <c r="R1356" s="5"/>
    </row>
    <row r="1357" spans="2:18" x14ac:dyDescent="0.2">
      <c r="B1357" s="5"/>
      <c r="F1357" s="5"/>
      <c r="J1357" s="5"/>
      <c r="N1357" s="5"/>
      <c r="R1357" s="5"/>
    </row>
    <row r="1358" spans="2:18" x14ac:dyDescent="0.2">
      <c r="B1358" s="5"/>
      <c r="F1358" s="5"/>
      <c r="J1358" s="5"/>
      <c r="N1358" s="5"/>
      <c r="R1358" s="5"/>
    </row>
    <row r="1359" spans="2:18" x14ac:dyDescent="0.2">
      <c r="B1359" s="5"/>
      <c r="F1359" s="5"/>
      <c r="J1359" s="5"/>
      <c r="N1359" s="5"/>
      <c r="R1359" s="5"/>
    </row>
    <row r="1360" spans="2:18" x14ac:dyDescent="0.2">
      <c r="B1360" s="5"/>
      <c r="F1360" s="5"/>
      <c r="J1360" s="5"/>
      <c r="N1360" s="5"/>
      <c r="R1360" s="5"/>
    </row>
    <row r="1361" spans="2:18" x14ac:dyDescent="0.2">
      <c r="B1361" s="5"/>
      <c r="F1361" s="5"/>
      <c r="J1361" s="5"/>
      <c r="N1361" s="5"/>
      <c r="R1361" s="5"/>
    </row>
    <row r="1362" spans="2:18" x14ac:dyDescent="0.2">
      <c r="B1362" s="5"/>
      <c r="F1362" s="5"/>
      <c r="J1362" s="5"/>
      <c r="N1362" s="5"/>
      <c r="R1362" s="5"/>
    </row>
    <row r="1363" spans="2:18" x14ac:dyDescent="0.2">
      <c r="B1363" s="5"/>
      <c r="F1363" s="5"/>
      <c r="J1363" s="5"/>
      <c r="N1363" s="5"/>
      <c r="R1363" s="5"/>
    </row>
    <row r="1364" spans="2:18" x14ac:dyDescent="0.2">
      <c r="B1364" s="5"/>
      <c r="F1364" s="5"/>
      <c r="J1364" s="5"/>
      <c r="N1364" s="5"/>
      <c r="R1364" s="5"/>
    </row>
    <row r="1365" spans="2:18" x14ac:dyDescent="0.2">
      <c r="B1365" s="5"/>
      <c r="F1365" s="5"/>
      <c r="J1365" s="5"/>
      <c r="N1365" s="5"/>
      <c r="R1365" s="5"/>
    </row>
    <row r="1366" spans="2:18" x14ac:dyDescent="0.2">
      <c r="B1366" s="5"/>
      <c r="F1366" s="5"/>
      <c r="J1366" s="5"/>
      <c r="N1366" s="5"/>
      <c r="R1366" s="5"/>
    </row>
    <row r="1367" spans="2:18" x14ac:dyDescent="0.2">
      <c r="B1367" s="5"/>
      <c r="F1367" s="5"/>
      <c r="J1367" s="5"/>
      <c r="N1367" s="5"/>
      <c r="R1367" s="5"/>
    </row>
    <row r="1368" spans="2:18" x14ac:dyDescent="0.2">
      <c r="B1368" s="5"/>
      <c r="F1368" s="5"/>
      <c r="J1368" s="5"/>
      <c r="N1368" s="5"/>
      <c r="R1368" s="5"/>
    </row>
    <row r="1369" spans="2:18" x14ac:dyDescent="0.2">
      <c r="B1369" s="5"/>
      <c r="F1369" s="5"/>
      <c r="J1369" s="5"/>
      <c r="N1369" s="5"/>
      <c r="R1369" s="5"/>
    </row>
    <row r="1370" spans="2:18" x14ac:dyDescent="0.2">
      <c r="B1370" s="5"/>
      <c r="F1370" s="5"/>
      <c r="J1370" s="5"/>
      <c r="N1370" s="5"/>
      <c r="R1370" s="5"/>
    </row>
    <row r="1371" spans="2:18" x14ac:dyDescent="0.2">
      <c r="B1371" s="5"/>
      <c r="F1371" s="5"/>
      <c r="J1371" s="5"/>
      <c r="N1371" s="5"/>
      <c r="R1371" s="5"/>
    </row>
    <row r="1372" spans="2:18" x14ac:dyDescent="0.2">
      <c r="B1372" s="5"/>
      <c r="F1372" s="5"/>
      <c r="J1372" s="5"/>
      <c r="N1372" s="5"/>
      <c r="R1372" s="5"/>
    </row>
    <row r="1373" spans="2:18" x14ac:dyDescent="0.2">
      <c r="B1373" s="5"/>
      <c r="F1373" s="5"/>
      <c r="J1373" s="5"/>
      <c r="N1373" s="5"/>
      <c r="R1373" s="5"/>
    </row>
    <row r="1374" spans="2:18" x14ac:dyDescent="0.2">
      <c r="B1374" s="5"/>
      <c r="F1374" s="5"/>
      <c r="J1374" s="5"/>
      <c r="N1374" s="5"/>
      <c r="R1374" s="5"/>
    </row>
    <row r="1375" spans="2:18" x14ac:dyDescent="0.2">
      <c r="B1375" s="5"/>
      <c r="F1375" s="5"/>
      <c r="J1375" s="5"/>
      <c r="N1375" s="5"/>
      <c r="R1375" s="5"/>
    </row>
    <row r="1376" spans="2:18" x14ac:dyDescent="0.2">
      <c r="B1376" s="5"/>
      <c r="F1376" s="5"/>
      <c r="J1376" s="5"/>
      <c r="N1376" s="5"/>
      <c r="R1376" s="5"/>
    </row>
    <row r="1377" spans="2:18" x14ac:dyDescent="0.2">
      <c r="B1377" s="5"/>
      <c r="F1377" s="5"/>
      <c r="J1377" s="5"/>
      <c r="N1377" s="5"/>
      <c r="R1377" s="5"/>
    </row>
    <row r="1378" spans="2:18" x14ac:dyDescent="0.2">
      <c r="B1378" s="5"/>
      <c r="F1378" s="5"/>
      <c r="J1378" s="5"/>
      <c r="N1378" s="5"/>
      <c r="R1378" s="5"/>
    </row>
    <row r="1379" spans="2:18" x14ac:dyDescent="0.2">
      <c r="B1379" s="5"/>
      <c r="F1379" s="5"/>
      <c r="J1379" s="5"/>
      <c r="N1379" s="5"/>
      <c r="R1379" s="5"/>
    </row>
    <row r="1380" spans="2:18" x14ac:dyDescent="0.2">
      <c r="B1380" s="5"/>
      <c r="F1380" s="5"/>
      <c r="J1380" s="5"/>
      <c r="N1380" s="5"/>
      <c r="R1380" s="5"/>
    </row>
    <row r="1381" spans="2:18" x14ac:dyDescent="0.2">
      <c r="B1381" s="5"/>
      <c r="F1381" s="5"/>
      <c r="J1381" s="5"/>
      <c r="N1381" s="5"/>
      <c r="R1381" s="5"/>
    </row>
    <row r="1382" spans="2:18" x14ac:dyDescent="0.2">
      <c r="B1382" s="5"/>
      <c r="F1382" s="5"/>
      <c r="J1382" s="5"/>
      <c r="N1382" s="5"/>
      <c r="R1382" s="5"/>
    </row>
    <row r="1383" spans="2:18" x14ac:dyDescent="0.2">
      <c r="B1383" s="5"/>
      <c r="F1383" s="5"/>
      <c r="J1383" s="5"/>
      <c r="N1383" s="5"/>
      <c r="R1383" s="5"/>
    </row>
    <row r="1384" spans="2:18" x14ac:dyDescent="0.2">
      <c r="B1384" s="5"/>
      <c r="F1384" s="5"/>
      <c r="J1384" s="5"/>
      <c r="N1384" s="5"/>
      <c r="R1384" s="5"/>
    </row>
    <row r="1385" spans="2:18" x14ac:dyDescent="0.2">
      <c r="B1385" s="5"/>
      <c r="F1385" s="5"/>
      <c r="J1385" s="5"/>
      <c r="N1385" s="5"/>
      <c r="R1385" s="5"/>
    </row>
    <row r="1386" spans="2:18" x14ac:dyDescent="0.2">
      <c r="B1386" s="5"/>
      <c r="F1386" s="5"/>
      <c r="J1386" s="5"/>
      <c r="N1386" s="5"/>
      <c r="R1386" s="5"/>
    </row>
    <row r="1387" spans="2:18" x14ac:dyDescent="0.2">
      <c r="B1387" s="5"/>
      <c r="F1387" s="5"/>
      <c r="J1387" s="5"/>
      <c r="N1387" s="5"/>
      <c r="R1387" s="5"/>
    </row>
    <row r="1388" spans="2:18" x14ac:dyDescent="0.2">
      <c r="B1388" s="5"/>
      <c r="F1388" s="5"/>
      <c r="J1388" s="5"/>
      <c r="N1388" s="5"/>
      <c r="R1388" s="5"/>
    </row>
    <row r="1389" spans="2:18" x14ac:dyDescent="0.2">
      <c r="B1389" s="5"/>
      <c r="F1389" s="5"/>
      <c r="J1389" s="5"/>
      <c r="N1389" s="5"/>
      <c r="R1389" s="5"/>
    </row>
    <row r="1390" spans="2:18" x14ac:dyDescent="0.2">
      <c r="B1390" s="5"/>
      <c r="F1390" s="5"/>
      <c r="J1390" s="5"/>
      <c r="N1390" s="5"/>
      <c r="R1390" s="5"/>
    </row>
    <row r="1391" spans="2:18" x14ac:dyDescent="0.2">
      <c r="B1391" s="5"/>
      <c r="F1391" s="5"/>
      <c r="J1391" s="5"/>
      <c r="N1391" s="5"/>
      <c r="R1391" s="5"/>
    </row>
    <row r="1392" spans="2:18" x14ac:dyDescent="0.2">
      <c r="B1392" s="5"/>
      <c r="F1392" s="5"/>
      <c r="J1392" s="5"/>
      <c r="N1392" s="5"/>
      <c r="R1392" s="5"/>
    </row>
    <row r="1393" spans="2:18" x14ac:dyDescent="0.2">
      <c r="B1393" s="5"/>
      <c r="F1393" s="5"/>
      <c r="J1393" s="5"/>
      <c r="N1393" s="5"/>
      <c r="R1393" s="5"/>
    </row>
    <row r="1394" spans="2:18" x14ac:dyDescent="0.2">
      <c r="B1394" s="5"/>
      <c r="F1394" s="5"/>
      <c r="J1394" s="5"/>
      <c r="N1394" s="5"/>
      <c r="R1394" s="5"/>
    </row>
    <row r="1395" spans="2:18" x14ac:dyDescent="0.2">
      <c r="B1395" s="5"/>
      <c r="F1395" s="5"/>
      <c r="J1395" s="5"/>
      <c r="N1395" s="5"/>
      <c r="R1395" s="5"/>
    </row>
    <row r="1396" spans="2:18" x14ac:dyDescent="0.2">
      <c r="B1396" s="5"/>
      <c r="F1396" s="5"/>
      <c r="J1396" s="5"/>
      <c r="N1396" s="5"/>
      <c r="R1396" s="5"/>
    </row>
    <row r="1397" spans="2:18" x14ac:dyDescent="0.2">
      <c r="B1397" s="5"/>
      <c r="F1397" s="5"/>
      <c r="J1397" s="5"/>
      <c r="N1397" s="5"/>
      <c r="R1397" s="5"/>
    </row>
    <row r="1398" spans="2:18" x14ac:dyDescent="0.2">
      <c r="B1398" s="5"/>
      <c r="F1398" s="5"/>
      <c r="J1398" s="5"/>
      <c r="N1398" s="5"/>
      <c r="R1398" s="5"/>
    </row>
    <row r="1399" spans="2:18" x14ac:dyDescent="0.2">
      <c r="B1399" s="5"/>
      <c r="F1399" s="5"/>
      <c r="J1399" s="5"/>
      <c r="N1399" s="5"/>
      <c r="R1399" s="5"/>
    </row>
    <row r="1400" spans="2:18" x14ac:dyDescent="0.2">
      <c r="B1400" s="5"/>
      <c r="F1400" s="5"/>
      <c r="J1400" s="5"/>
      <c r="N1400" s="5"/>
      <c r="R1400" s="5"/>
    </row>
    <row r="1401" spans="2:18" x14ac:dyDescent="0.2">
      <c r="B1401" s="5"/>
      <c r="F1401" s="5"/>
      <c r="J1401" s="5"/>
      <c r="N1401" s="5"/>
      <c r="R1401" s="5"/>
    </row>
    <row r="1402" spans="2:18" x14ac:dyDescent="0.2">
      <c r="B1402" s="5"/>
      <c r="F1402" s="5"/>
      <c r="J1402" s="5"/>
      <c r="N1402" s="5"/>
      <c r="R1402" s="5"/>
    </row>
    <row r="1403" spans="2:18" x14ac:dyDescent="0.2">
      <c r="B1403" s="5"/>
      <c r="F1403" s="5"/>
      <c r="J1403" s="5"/>
      <c r="N1403" s="5"/>
      <c r="R1403" s="5"/>
    </row>
    <row r="1404" spans="2:18" x14ac:dyDescent="0.2">
      <c r="B1404" s="5"/>
      <c r="F1404" s="5"/>
      <c r="J1404" s="5"/>
      <c r="N1404" s="5"/>
      <c r="R1404" s="5"/>
    </row>
    <row r="1405" spans="2:18" x14ac:dyDescent="0.2">
      <c r="B1405" s="5"/>
      <c r="F1405" s="5"/>
      <c r="J1405" s="5"/>
      <c r="N1405" s="5"/>
      <c r="R1405" s="5"/>
    </row>
    <row r="1406" spans="2:18" x14ac:dyDescent="0.2">
      <c r="B1406" s="5"/>
      <c r="F1406" s="5"/>
      <c r="J1406" s="5"/>
      <c r="N1406" s="5"/>
      <c r="R1406" s="5"/>
    </row>
    <row r="1407" spans="2:18" x14ac:dyDescent="0.2">
      <c r="B1407" s="5"/>
      <c r="F1407" s="5"/>
      <c r="J1407" s="5"/>
      <c r="N1407" s="5"/>
      <c r="R1407" s="5"/>
    </row>
    <row r="1408" spans="2:18" x14ac:dyDescent="0.2">
      <c r="B1408" s="5"/>
      <c r="F1408" s="5"/>
      <c r="J1408" s="5"/>
      <c r="N1408" s="5"/>
      <c r="R1408" s="5"/>
    </row>
    <row r="1409" spans="2:18" x14ac:dyDescent="0.2">
      <c r="B1409" s="5"/>
      <c r="F1409" s="5"/>
      <c r="J1409" s="5"/>
      <c r="N1409" s="5"/>
      <c r="R1409" s="5"/>
    </row>
    <row r="1410" spans="2:18" x14ac:dyDescent="0.2">
      <c r="B1410" s="5"/>
      <c r="F1410" s="5"/>
      <c r="J1410" s="5"/>
      <c r="N1410" s="5"/>
      <c r="R1410" s="5"/>
    </row>
    <row r="1411" spans="2:18" x14ac:dyDescent="0.2">
      <c r="B1411" s="5"/>
      <c r="F1411" s="5"/>
      <c r="J1411" s="5"/>
      <c r="N1411" s="5"/>
      <c r="R1411" s="5"/>
    </row>
    <row r="1412" spans="2:18" x14ac:dyDescent="0.2">
      <c r="B1412" s="5"/>
      <c r="F1412" s="5"/>
      <c r="J1412" s="5"/>
      <c r="N1412" s="5"/>
      <c r="R1412" s="5"/>
    </row>
    <row r="1413" spans="2:18" x14ac:dyDescent="0.2">
      <c r="B1413" s="5"/>
      <c r="F1413" s="5"/>
      <c r="J1413" s="5"/>
      <c r="N1413" s="5"/>
      <c r="R1413" s="5"/>
    </row>
    <row r="1414" spans="2:18" x14ac:dyDescent="0.2">
      <c r="B1414" s="5"/>
      <c r="F1414" s="5"/>
      <c r="J1414" s="5"/>
      <c r="N1414" s="5"/>
      <c r="R1414" s="5"/>
    </row>
    <row r="1415" spans="2:18" x14ac:dyDescent="0.2">
      <c r="B1415" s="5"/>
      <c r="F1415" s="5"/>
      <c r="J1415" s="5"/>
      <c r="N1415" s="5"/>
      <c r="R1415" s="5"/>
    </row>
    <row r="1416" spans="2:18" x14ac:dyDescent="0.2">
      <c r="B1416" s="5"/>
      <c r="F1416" s="5"/>
      <c r="J1416" s="5"/>
      <c r="N1416" s="5"/>
      <c r="R1416" s="5"/>
    </row>
    <row r="1417" spans="2:18" x14ac:dyDescent="0.2">
      <c r="B1417" s="5"/>
      <c r="F1417" s="5"/>
      <c r="J1417" s="5"/>
      <c r="N1417" s="5"/>
      <c r="R1417" s="5"/>
    </row>
    <row r="1418" spans="2:18" x14ac:dyDescent="0.2">
      <c r="B1418" s="5"/>
      <c r="F1418" s="5"/>
      <c r="J1418" s="5"/>
      <c r="N1418" s="5"/>
      <c r="R1418" s="5"/>
    </row>
    <row r="1419" spans="2:18" x14ac:dyDescent="0.2">
      <c r="B1419" s="5"/>
      <c r="F1419" s="5"/>
      <c r="J1419" s="5"/>
      <c r="N1419" s="5"/>
      <c r="R1419" s="5"/>
    </row>
    <row r="1420" spans="2:18" x14ac:dyDescent="0.2">
      <c r="B1420" s="5"/>
      <c r="F1420" s="5"/>
      <c r="J1420" s="5"/>
      <c r="N1420" s="5"/>
      <c r="R1420" s="5"/>
    </row>
    <row r="1421" spans="2:18" x14ac:dyDescent="0.2">
      <c r="B1421" s="5"/>
      <c r="F1421" s="5"/>
      <c r="J1421" s="5"/>
      <c r="N1421" s="5"/>
      <c r="R1421" s="5"/>
    </row>
    <row r="1422" spans="2:18" x14ac:dyDescent="0.2">
      <c r="B1422" s="5"/>
      <c r="F1422" s="5"/>
      <c r="J1422" s="5"/>
      <c r="N1422" s="5"/>
      <c r="R1422" s="5"/>
    </row>
    <row r="1423" spans="2:18" x14ac:dyDescent="0.2">
      <c r="B1423" s="5"/>
      <c r="F1423" s="5"/>
      <c r="J1423" s="5"/>
      <c r="N1423" s="5"/>
      <c r="R1423" s="5"/>
    </row>
    <row r="1424" spans="2:18" x14ac:dyDescent="0.2">
      <c r="B1424" s="5"/>
      <c r="F1424" s="5"/>
      <c r="J1424" s="5"/>
      <c r="N1424" s="5"/>
      <c r="R1424" s="5"/>
    </row>
    <row r="1425" spans="2:18" x14ac:dyDescent="0.2">
      <c r="B1425" s="5"/>
      <c r="F1425" s="5"/>
      <c r="J1425" s="5"/>
      <c r="N1425" s="5"/>
      <c r="R1425" s="5"/>
    </row>
    <row r="1426" spans="2:18" x14ac:dyDescent="0.2">
      <c r="B1426" s="5"/>
      <c r="F1426" s="5"/>
      <c r="J1426" s="5"/>
      <c r="N1426" s="5"/>
      <c r="R1426" s="5"/>
    </row>
    <row r="1427" spans="2:18" x14ac:dyDescent="0.2">
      <c r="B1427" s="5"/>
      <c r="F1427" s="5"/>
      <c r="J1427" s="5"/>
      <c r="N1427" s="5"/>
      <c r="R1427" s="5"/>
    </row>
    <row r="1428" spans="2:18" x14ac:dyDescent="0.2">
      <c r="B1428" s="5"/>
      <c r="F1428" s="5"/>
      <c r="J1428" s="5"/>
      <c r="N1428" s="5"/>
      <c r="R1428" s="5"/>
    </row>
    <row r="1429" spans="2:18" x14ac:dyDescent="0.2">
      <c r="B1429" s="5"/>
      <c r="F1429" s="5"/>
      <c r="J1429" s="5"/>
      <c r="N1429" s="5"/>
      <c r="R1429" s="5"/>
    </row>
    <row r="1430" spans="2:18" x14ac:dyDescent="0.2">
      <c r="B1430" s="5"/>
      <c r="F1430" s="5"/>
      <c r="J1430" s="5"/>
      <c r="N1430" s="5"/>
      <c r="R1430" s="5"/>
    </row>
    <row r="1431" spans="2:18" x14ac:dyDescent="0.2">
      <c r="B1431" s="5"/>
      <c r="F1431" s="5"/>
      <c r="J1431" s="5"/>
      <c r="N1431" s="5"/>
      <c r="R1431" s="5"/>
    </row>
    <row r="1432" spans="2:18" x14ac:dyDescent="0.2">
      <c r="B1432" s="5"/>
      <c r="F1432" s="5"/>
      <c r="J1432" s="5"/>
      <c r="N1432" s="5"/>
      <c r="R1432" s="5"/>
    </row>
    <row r="1433" spans="2:18" x14ac:dyDescent="0.2">
      <c r="B1433" s="5"/>
      <c r="F1433" s="5"/>
      <c r="J1433" s="5"/>
      <c r="N1433" s="5"/>
      <c r="R1433" s="5"/>
    </row>
    <row r="1434" spans="2:18" x14ac:dyDescent="0.2">
      <c r="B1434" s="5"/>
      <c r="F1434" s="5"/>
      <c r="J1434" s="5"/>
      <c r="N1434" s="5"/>
      <c r="R1434" s="5"/>
    </row>
    <row r="1435" spans="2:18" x14ac:dyDescent="0.2">
      <c r="B1435" s="5"/>
      <c r="F1435" s="5"/>
      <c r="J1435" s="5"/>
      <c r="N1435" s="5"/>
      <c r="R1435" s="5"/>
    </row>
    <row r="1436" spans="2:18" x14ac:dyDescent="0.2">
      <c r="B1436" s="5"/>
      <c r="F1436" s="5"/>
      <c r="J1436" s="5"/>
      <c r="N1436" s="5"/>
      <c r="R1436" s="5"/>
    </row>
    <row r="1437" spans="2:18" x14ac:dyDescent="0.2">
      <c r="B1437" s="5"/>
      <c r="F1437" s="5"/>
      <c r="J1437" s="5"/>
      <c r="N1437" s="5"/>
      <c r="R1437" s="5"/>
    </row>
    <row r="1438" spans="2:18" x14ac:dyDescent="0.2">
      <c r="B1438" s="5"/>
      <c r="F1438" s="5"/>
      <c r="J1438" s="5"/>
      <c r="N1438" s="5"/>
      <c r="R1438" s="5"/>
    </row>
    <row r="1439" spans="2:18" x14ac:dyDescent="0.2">
      <c r="B1439" s="5"/>
      <c r="F1439" s="5"/>
      <c r="J1439" s="5"/>
      <c r="N1439" s="5"/>
      <c r="R1439" s="5"/>
    </row>
    <row r="1440" spans="2:18" x14ac:dyDescent="0.2">
      <c r="B1440" s="5"/>
      <c r="F1440" s="5"/>
      <c r="J1440" s="5"/>
      <c r="N1440" s="5"/>
      <c r="R1440" s="5"/>
    </row>
    <row r="1441" spans="2:18" x14ac:dyDescent="0.2">
      <c r="B1441" s="5"/>
      <c r="F1441" s="5"/>
      <c r="J1441" s="5"/>
      <c r="N1441" s="5"/>
      <c r="R1441" s="5"/>
    </row>
    <row r="1442" spans="2:18" x14ac:dyDescent="0.2">
      <c r="B1442" s="5"/>
      <c r="F1442" s="5"/>
      <c r="J1442" s="5"/>
      <c r="N1442" s="5"/>
      <c r="R1442" s="5"/>
    </row>
    <row r="1443" spans="2:18" x14ac:dyDescent="0.2">
      <c r="B1443" s="5"/>
      <c r="F1443" s="5"/>
      <c r="J1443" s="5"/>
      <c r="N1443" s="5"/>
      <c r="R1443" s="5"/>
    </row>
    <row r="1444" spans="2:18" x14ac:dyDescent="0.2">
      <c r="B1444" s="5"/>
      <c r="F1444" s="5"/>
      <c r="J1444" s="5"/>
      <c r="N1444" s="5"/>
      <c r="R1444" s="5"/>
    </row>
    <row r="1445" spans="2:18" x14ac:dyDescent="0.2">
      <c r="B1445" s="5"/>
      <c r="F1445" s="5"/>
      <c r="J1445" s="5"/>
      <c r="N1445" s="5"/>
      <c r="R1445" s="5"/>
    </row>
    <row r="1446" spans="2:18" x14ac:dyDescent="0.2">
      <c r="B1446" s="5"/>
      <c r="F1446" s="5"/>
      <c r="J1446" s="5"/>
      <c r="N1446" s="5"/>
      <c r="R1446" s="5"/>
    </row>
    <row r="1447" spans="2:18" x14ac:dyDescent="0.2">
      <c r="B1447" s="5"/>
      <c r="F1447" s="5"/>
      <c r="J1447" s="5"/>
      <c r="N1447" s="5"/>
      <c r="R1447" s="5"/>
    </row>
    <row r="1448" spans="2:18" x14ac:dyDescent="0.2">
      <c r="B1448" s="5"/>
      <c r="F1448" s="5"/>
      <c r="J1448" s="5"/>
      <c r="N1448" s="5"/>
      <c r="R1448" s="5"/>
    </row>
    <row r="1449" spans="2:18" x14ac:dyDescent="0.2">
      <c r="B1449" s="5"/>
      <c r="F1449" s="5"/>
      <c r="J1449" s="5"/>
      <c r="N1449" s="5"/>
      <c r="R1449" s="5"/>
    </row>
    <row r="1450" spans="2:18" x14ac:dyDescent="0.2">
      <c r="B1450" s="5"/>
      <c r="F1450" s="5"/>
      <c r="J1450" s="5"/>
      <c r="N1450" s="5"/>
      <c r="R1450" s="5"/>
    </row>
    <row r="1451" spans="2:18" x14ac:dyDescent="0.2">
      <c r="B1451" s="5"/>
      <c r="F1451" s="5"/>
      <c r="J1451" s="5"/>
      <c r="N1451" s="5"/>
      <c r="R1451" s="5"/>
    </row>
    <row r="1452" spans="2:18" x14ac:dyDescent="0.2">
      <c r="B1452" s="5"/>
      <c r="F1452" s="5"/>
      <c r="J1452" s="5"/>
      <c r="N1452" s="5"/>
      <c r="R1452" s="5"/>
    </row>
    <row r="1453" spans="2:18" x14ac:dyDescent="0.2">
      <c r="B1453" s="5"/>
      <c r="F1453" s="5"/>
      <c r="J1453" s="5"/>
      <c r="N1453" s="5"/>
      <c r="R1453" s="5"/>
    </row>
    <row r="1454" spans="2:18" x14ac:dyDescent="0.2">
      <c r="B1454" s="5"/>
      <c r="F1454" s="5"/>
      <c r="J1454" s="5"/>
      <c r="N1454" s="5"/>
      <c r="R1454" s="5"/>
    </row>
    <row r="1455" spans="2:18" x14ac:dyDescent="0.2">
      <c r="B1455" s="5"/>
      <c r="F1455" s="5"/>
      <c r="J1455" s="5"/>
      <c r="N1455" s="5"/>
      <c r="R1455" s="5"/>
    </row>
    <row r="1456" spans="2:18" x14ac:dyDescent="0.2">
      <c r="B1456" s="5"/>
      <c r="F1456" s="5"/>
      <c r="J1456" s="5"/>
      <c r="N1456" s="5"/>
      <c r="R1456" s="5"/>
    </row>
    <row r="1457" spans="2:18" x14ac:dyDescent="0.2">
      <c r="B1457" s="5"/>
      <c r="F1457" s="5"/>
      <c r="J1457" s="5"/>
      <c r="N1457" s="5"/>
      <c r="R1457" s="5"/>
    </row>
    <row r="1458" spans="2:18" x14ac:dyDescent="0.2">
      <c r="B1458" s="5"/>
      <c r="F1458" s="5"/>
      <c r="J1458" s="5"/>
      <c r="N1458" s="5"/>
      <c r="R1458" s="5"/>
    </row>
    <row r="1459" spans="2:18" x14ac:dyDescent="0.2">
      <c r="B1459" s="5"/>
      <c r="F1459" s="5"/>
      <c r="J1459" s="5"/>
      <c r="N1459" s="5"/>
      <c r="R1459" s="5"/>
    </row>
    <row r="1460" spans="2:18" x14ac:dyDescent="0.2">
      <c r="B1460" s="5"/>
      <c r="F1460" s="5"/>
      <c r="J1460" s="5"/>
      <c r="N1460" s="5"/>
      <c r="R1460" s="5"/>
    </row>
    <row r="1461" spans="2:18" x14ac:dyDescent="0.2">
      <c r="B1461" s="5"/>
      <c r="F1461" s="5"/>
      <c r="J1461" s="5"/>
      <c r="N1461" s="5"/>
      <c r="R1461" s="5"/>
    </row>
    <row r="1462" spans="2:18" x14ac:dyDescent="0.2">
      <c r="B1462" s="5"/>
      <c r="F1462" s="5"/>
      <c r="J1462" s="5"/>
      <c r="N1462" s="5"/>
      <c r="R1462" s="5"/>
    </row>
    <row r="1463" spans="2:18" x14ac:dyDescent="0.2">
      <c r="B1463" s="5"/>
      <c r="F1463" s="5"/>
      <c r="J1463" s="5"/>
      <c r="N1463" s="5"/>
      <c r="R1463" s="5"/>
    </row>
    <row r="1464" spans="2:18" x14ac:dyDescent="0.2">
      <c r="B1464" s="5"/>
      <c r="F1464" s="5"/>
      <c r="J1464" s="5"/>
      <c r="N1464" s="5"/>
      <c r="R1464" s="5"/>
    </row>
    <row r="1465" spans="2:18" x14ac:dyDescent="0.2">
      <c r="B1465" s="5"/>
      <c r="F1465" s="5"/>
      <c r="J1465" s="5"/>
      <c r="N1465" s="5"/>
      <c r="R1465" s="5"/>
    </row>
    <row r="1466" spans="2:18" x14ac:dyDescent="0.2">
      <c r="B1466" s="5"/>
      <c r="F1466" s="5"/>
      <c r="J1466" s="5"/>
      <c r="N1466" s="5"/>
      <c r="R1466" s="5"/>
    </row>
    <row r="1467" spans="2:18" x14ac:dyDescent="0.2">
      <c r="B1467" s="5"/>
      <c r="F1467" s="5"/>
      <c r="J1467" s="5"/>
      <c r="N1467" s="5"/>
      <c r="R1467" s="5"/>
    </row>
    <row r="1468" spans="2:18" x14ac:dyDescent="0.2">
      <c r="B1468" s="5"/>
      <c r="F1468" s="5"/>
      <c r="J1468" s="5"/>
      <c r="N1468" s="5"/>
      <c r="R1468" s="5"/>
    </row>
    <row r="1469" spans="2:18" x14ac:dyDescent="0.2">
      <c r="B1469" s="5"/>
      <c r="F1469" s="5"/>
      <c r="J1469" s="5"/>
      <c r="N1469" s="5"/>
      <c r="R1469" s="5"/>
    </row>
    <row r="1470" spans="2:18" x14ac:dyDescent="0.2">
      <c r="B1470" s="5"/>
      <c r="F1470" s="5"/>
      <c r="J1470" s="5"/>
      <c r="N1470" s="5"/>
      <c r="R1470" s="5"/>
    </row>
    <row r="1471" spans="2:18" x14ac:dyDescent="0.2">
      <c r="B1471" s="5"/>
      <c r="F1471" s="5"/>
      <c r="J1471" s="5"/>
      <c r="N1471" s="5"/>
      <c r="R1471" s="5"/>
    </row>
    <row r="1472" spans="2:18" x14ac:dyDescent="0.2">
      <c r="B1472" s="5"/>
      <c r="F1472" s="5"/>
      <c r="J1472" s="5"/>
      <c r="N1472" s="5"/>
      <c r="R1472" s="5"/>
    </row>
    <row r="1473" spans="2:18" x14ac:dyDescent="0.2">
      <c r="B1473" s="5"/>
      <c r="F1473" s="5"/>
      <c r="J1473" s="5"/>
      <c r="N1473" s="5"/>
      <c r="R1473" s="5"/>
    </row>
    <row r="1474" spans="2:18" x14ac:dyDescent="0.2">
      <c r="B1474" s="5"/>
      <c r="F1474" s="5"/>
      <c r="J1474" s="5"/>
      <c r="N1474" s="5"/>
      <c r="R1474" s="5"/>
    </row>
    <row r="1475" spans="2:18" x14ac:dyDescent="0.2">
      <c r="B1475" s="5"/>
      <c r="F1475" s="5"/>
      <c r="J1475" s="5"/>
      <c r="N1475" s="5"/>
      <c r="R1475" s="5"/>
    </row>
    <row r="1476" spans="2:18" x14ac:dyDescent="0.2">
      <c r="B1476" s="5"/>
      <c r="F1476" s="5"/>
      <c r="J1476" s="5"/>
      <c r="N1476" s="5"/>
      <c r="R1476" s="5"/>
    </row>
    <row r="1477" spans="2:18" x14ac:dyDescent="0.2">
      <c r="B1477" s="5"/>
      <c r="F1477" s="5"/>
      <c r="J1477" s="5"/>
      <c r="N1477" s="5"/>
      <c r="R1477" s="5"/>
    </row>
    <row r="1478" spans="2:18" x14ac:dyDescent="0.2">
      <c r="B1478" s="5"/>
      <c r="F1478" s="5"/>
      <c r="J1478" s="5"/>
      <c r="N1478" s="5"/>
      <c r="R1478" s="5"/>
    </row>
    <row r="1479" spans="2:18" x14ac:dyDescent="0.2">
      <c r="B1479" s="5"/>
      <c r="F1479" s="5"/>
      <c r="J1479" s="5"/>
      <c r="N1479" s="5"/>
      <c r="R1479" s="5"/>
    </row>
    <row r="1480" spans="2:18" x14ac:dyDescent="0.2">
      <c r="B1480" s="5"/>
      <c r="F1480" s="5"/>
      <c r="J1480" s="5"/>
      <c r="N1480" s="5"/>
      <c r="R1480" s="5"/>
    </row>
    <row r="1481" spans="2:18" x14ac:dyDescent="0.2">
      <c r="B1481" s="5"/>
      <c r="F1481" s="5"/>
      <c r="J1481" s="5"/>
      <c r="N1481" s="5"/>
      <c r="R1481" s="5"/>
    </row>
    <row r="1482" spans="2:18" x14ac:dyDescent="0.2">
      <c r="B1482" s="5"/>
      <c r="F1482" s="5"/>
      <c r="J1482" s="5"/>
      <c r="N1482" s="5"/>
      <c r="R1482" s="5"/>
    </row>
    <row r="1483" spans="2:18" x14ac:dyDescent="0.2">
      <c r="B1483" s="5"/>
      <c r="F1483" s="5"/>
      <c r="J1483" s="5"/>
      <c r="N1483" s="5"/>
      <c r="R1483" s="5"/>
    </row>
    <row r="1484" spans="2:18" x14ac:dyDescent="0.2">
      <c r="B1484" s="5"/>
      <c r="F1484" s="5"/>
      <c r="J1484" s="5"/>
      <c r="N1484" s="5"/>
      <c r="R1484" s="5"/>
    </row>
    <row r="1485" spans="2:18" x14ac:dyDescent="0.2">
      <c r="B1485" s="5"/>
      <c r="F1485" s="5"/>
      <c r="J1485" s="5"/>
      <c r="N1485" s="5"/>
      <c r="R1485" s="5"/>
    </row>
    <row r="1486" spans="2:18" x14ac:dyDescent="0.2">
      <c r="B1486" s="5"/>
      <c r="F1486" s="5"/>
      <c r="J1486" s="5"/>
      <c r="N1486" s="5"/>
      <c r="R1486" s="5"/>
    </row>
    <row r="1487" spans="2:18" x14ac:dyDescent="0.2">
      <c r="B1487" s="5"/>
      <c r="F1487" s="5"/>
      <c r="J1487" s="5"/>
      <c r="N1487" s="5"/>
      <c r="R1487" s="5"/>
    </row>
    <row r="1488" spans="2:18" x14ac:dyDescent="0.2">
      <c r="B1488" s="5"/>
      <c r="F1488" s="5"/>
      <c r="J1488" s="5"/>
      <c r="N1488" s="5"/>
      <c r="R1488" s="5"/>
    </row>
    <row r="1489" spans="2:18" x14ac:dyDescent="0.2">
      <c r="B1489" s="5"/>
      <c r="F1489" s="5"/>
      <c r="J1489" s="5"/>
      <c r="N1489" s="5"/>
      <c r="R1489" s="5"/>
    </row>
    <row r="1490" spans="2:18" x14ac:dyDescent="0.2">
      <c r="B1490" s="5"/>
      <c r="F1490" s="5"/>
      <c r="J1490" s="5"/>
      <c r="N1490" s="5"/>
      <c r="R1490" s="5"/>
    </row>
    <row r="1491" spans="2:18" x14ac:dyDescent="0.2">
      <c r="B1491" s="5"/>
      <c r="F1491" s="5"/>
      <c r="J1491" s="5"/>
      <c r="N1491" s="5"/>
      <c r="R1491" s="5"/>
    </row>
    <row r="1492" spans="2:18" x14ac:dyDescent="0.2">
      <c r="B1492" s="5"/>
      <c r="F1492" s="5"/>
      <c r="J1492" s="5"/>
      <c r="N1492" s="5"/>
      <c r="R1492" s="5"/>
    </row>
    <row r="1493" spans="2:18" x14ac:dyDescent="0.2">
      <c r="B1493" s="5"/>
      <c r="F1493" s="5"/>
      <c r="J1493" s="5"/>
      <c r="N1493" s="5"/>
      <c r="R1493" s="5"/>
    </row>
    <row r="1494" spans="2:18" x14ac:dyDescent="0.2">
      <c r="B1494" s="5"/>
      <c r="F1494" s="5"/>
      <c r="J1494" s="5"/>
      <c r="N1494" s="5"/>
      <c r="R1494" s="5"/>
    </row>
    <row r="1495" spans="2:18" x14ac:dyDescent="0.2">
      <c r="B1495" s="5"/>
      <c r="F1495" s="5"/>
      <c r="J1495" s="5"/>
      <c r="N1495" s="5"/>
      <c r="R1495" s="5"/>
    </row>
    <row r="1496" spans="2:18" x14ac:dyDescent="0.2">
      <c r="B1496" s="5"/>
      <c r="F1496" s="5"/>
      <c r="J1496" s="5"/>
      <c r="N1496" s="5"/>
      <c r="R1496" s="5"/>
    </row>
    <row r="1497" spans="2:18" x14ac:dyDescent="0.2">
      <c r="B1497" s="5"/>
      <c r="F1497" s="5"/>
      <c r="J1497" s="5"/>
      <c r="N1497" s="5"/>
      <c r="R1497" s="5"/>
    </row>
    <row r="1498" spans="2:18" x14ac:dyDescent="0.2">
      <c r="B1498" s="5"/>
      <c r="F1498" s="5"/>
      <c r="J1498" s="5"/>
      <c r="N1498" s="5"/>
      <c r="R1498" s="5"/>
    </row>
    <row r="1499" spans="2:18" x14ac:dyDescent="0.2">
      <c r="B1499" s="5"/>
      <c r="F1499" s="5"/>
      <c r="J1499" s="5"/>
      <c r="N1499" s="5"/>
      <c r="R1499" s="5"/>
    </row>
    <row r="1500" spans="2:18" x14ac:dyDescent="0.2">
      <c r="B1500" s="5"/>
      <c r="F1500" s="5"/>
      <c r="J1500" s="5"/>
      <c r="N1500" s="5"/>
      <c r="R1500" s="5"/>
    </row>
    <row r="1501" spans="2:18" x14ac:dyDescent="0.2">
      <c r="B1501" s="5"/>
      <c r="F1501" s="5"/>
      <c r="J1501" s="5"/>
      <c r="N1501" s="5"/>
      <c r="R1501" s="5"/>
    </row>
    <row r="1502" spans="2:18" x14ac:dyDescent="0.2">
      <c r="B1502" s="5"/>
      <c r="F1502" s="5"/>
      <c r="J1502" s="5"/>
      <c r="N1502" s="5"/>
      <c r="R1502" s="5"/>
    </row>
    <row r="1503" spans="2:18" x14ac:dyDescent="0.2">
      <c r="B1503" s="5"/>
      <c r="F1503" s="5"/>
      <c r="J1503" s="5"/>
      <c r="N1503" s="5"/>
      <c r="R1503" s="5"/>
    </row>
    <row r="1504" spans="2:18" x14ac:dyDescent="0.2">
      <c r="B1504" s="5"/>
      <c r="F1504" s="5"/>
      <c r="J1504" s="5"/>
      <c r="N1504" s="5"/>
      <c r="R1504" s="5"/>
    </row>
    <row r="1505" spans="2:18" x14ac:dyDescent="0.2">
      <c r="B1505" s="5"/>
      <c r="F1505" s="5"/>
      <c r="J1505" s="5"/>
      <c r="N1505" s="5"/>
      <c r="R1505" s="5"/>
    </row>
    <row r="1506" spans="2:18" x14ac:dyDescent="0.2">
      <c r="B1506" s="5"/>
      <c r="F1506" s="5"/>
      <c r="J1506" s="5"/>
      <c r="N1506" s="5"/>
      <c r="R1506" s="5"/>
    </row>
    <row r="1507" spans="2:18" x14ac:dyDescent="0.2">
      <c r="B1507" s="5"/>
      <c r="F1507" s="5"/>
      <c r="J1507" s="5"/>
      <c r="N1507" s="5"/>
      <c r="R1507" s="5"/>
    </row>
    <row r="1508" spans="2:18" x14ac:dyDescent="0.2">
      <c r="B1508" s="5"/>
      <c r="F1508" s="5"/>
      <c r="J1508" s="5"/>
      <c r="N1508" s="5"/>
      <c r="R1508" s="5"/>
    </row>
    <row r="1509" spans="2:18" x14ac:dyDescent="0.2">
      <c r="B1509" s="5"/>
      <c r="F1509" s="5"/>
      <c r="J1509" s="5"/>
      <c r="N1509" s="5"/>
      <c r="R1509" s="5"/>
    </row>
    <row r="1510" spans="2:18" x14ac:dyDescent="0.2">
      <c r="B1510" s="5"/>
      <c r="F1510" s="5"/>
      <c r="J1510" s="5"/>
      <c r="N1510" s="5"/>
      <c r="R1510" s="5"/>
    </row>
    <row r="1511" spans="2:18" x14ac:dyDescent="0.2">
      <c r="B1511" s="5"/>
      <c r="F1511" s="5"/>
      <c r="J1511" s="5"/>
      <c r="N1511" s="5"/>
      <c r="R1511" s="5"/>
    </row>
    <row r="1512" spans="2:18" x14ac:dyDescent="0.2">
      <c r="B1512" s="5"/>
      <c r="F1512" s="5"/>
      <c r="J1512" s="5"/>
      <c r="N1512" s="5"/>
      <c r="R1512" s="5"/>
    </row>
    <row r="1513" spans="2:18" x14ac:dyDescent="0.2">
      <c r="B1513" s="5"/>
      <c r="F1513" s="5"/>
      <c r="J1513" s="5"/>
      <c r="N1513" s="5"/>
      <c r="R1513" s="5"/>
    </row>
    <row r="1514" spans="2:18" x14ac:dyDescent="0.2">
      <c r="B1514" s="5"/>
      <c r="F1514" s="5"/>
      <c r="J1514" s="5"/>
      <c r="N1514" s="5"/>
      <c r="R1514" s="5"/>
    </row>
    <row r="1515" spans="2:18" x14ac:dyDescent="0.2">
      <c r="B1515" s="5"/>
      <c r="F1515" s="5"/>
      <c r="J1515" s="5"/>
      <c r="N1515" s="5"/>
      <c r="R1515" s="5"/>
    </row>
    <row r="1516" spans="2:18" x14ac:dyDescent="0.2">
      <c r="B1516" s="5"/>
      <c r="F1516" s="5"/>
      <c r="J1516" s="5"/>
      <c r="N1516" s="5"/>
      <c r="R1516" s="5"/>
    </row>
    <row r="1517" spans="2:18" x14ac:dyDescent="0.2">
      <c r="B1517" s="5"/>
      <c r="F1517" s="5"/>
      <c r="J1517" s="5"/>
      <c r="N1517" s="5"/>
      <c r="R1517" s="5"/>
    </row>
    <row r="1518" spans="2:18" x14ac:dyDescent="0.2">
      <c r="B1518" s="5"/>
      <c r="F1518" s="5"/>
      <c r="J1518" s="5"/>
      <c r="N1518" s="5"/>
      <c r="R1518" s="5"/>
    </row>
    <row r="1519" spans="2:18" x14ac:dyDescent="0.2">
      <c r="B1519" s="5"/>
      <c r="F1519" s="5"/>
      <c r="J1519" s="5"/>
      <c r="N1519" s="5"/>
      <c r="R1519" s="5"/>
    </row>
    <row r="1520" spans="2:18" x14ac:dyDescent="0.2">
      <c r="B1520" s="5"/>
      <c r="F1520" s="5"/>
      <c r="J1520" s="5"/>
      <c r="N1520" s="5"/>
      <c r="R1520" s="5"/>
    </row>
    <row r="1521" spans="2:18" x14ac:dyDescent="0.2">
      <c r="B1521" s="5"/>
      <c r="F1521" s="5"/>
      <c r="J1521" s="5"/>
      <c r="N1521" s="5"/>
      <c r="R1521" s="5"/>
    </row>
    <row r="1522" spans="2:18" x14ac:dyDescent="0.2">
      <c r="B1522" s="5"/>
      <c r="F1522" s="5"/>
      <c r="J1522" s="5"/>
      <c r="N1522" s="5"/>
      <c r="R1522" s="5"/>
    </row>
    <row r="1523" spans="2:18" x14ac:dyDescent="0.2">
      <c r="B1523" s="5"/>
      <c r="F1523" s="5"/>
      <c r="J1523" s="5"/>
      <c r="N1523" s="5"/>
      <c r="R1523" s="5"/>
    </row>
    <row r="1524" spans="2:18" x14ac:dyDescent="0.2">
      <c r="B1524" s="5"/>
      <c r="F1524" s="5"/>
      <c r="J1524" s="5"/>
      <c r="N1524" s="5"/>
      <c r="R1524" s="5"/>
    </row>
    <row r="1525" spans="2:18" x14ac:dyDescent="0.2">
      <c r="B1525" s="5"/>
      <c r="F1525" s="5"/>
      <c r="J1525" s="5"/>
      <c r="N1525" s="5"/>
      <c r="R1525" s="5"/>
    </row>
    <row r="1526" spans="2:18" x14ac:dyDescent="0.2">
      <c r="B1526" s="5"/>
      <c r="F1526" s="5"/>
      <c r="J1526" s="5"/>
      <c r="N1526" s="5"/>
      <c r="R1526" s="5"/>
    </row>
    <row r="1527" spans="2:18" x14ac:dyDescent="0.2">
      <c r="B1527" s="5"/>
      <c r="F1527" s="5"/>
      <c r="J1527" s="5"/>
      <c r="N1527" s="5"/>
      <c r="R1527" s="5"/>
    </row>
    <row r="1528" spans="2:18" x14ac:dyDescent="0.2">
      <c r="B1528" s="5"/>
      <c r="F1528" s="5"/>
      <c r="J1528" s="5"/>
      <c r="N1528" s="5"/>
      <c r="R1528" s="5"/>
    </row>
    <row r="1529" spans="2:18" x14ac:dyDescent="0.2">
      <c r="B1529" s="5"/>
      <c r="F1529" s="5"/>
      <c r="J1529" s="5"/>
      <c r="N1529" s="5"/>
      <c r="R1529" s="5"/>
    </row>
    <row r="1530" spans="2:18" x14ac:dyDescent="0.2">
      <c r="B1530" s="5"/>
      <c r="F1530" s="5"/>
      <c r="J1530" s="5"/>
      <c r="N1530" s="5"/>
      <c r="R1530" s="5"/>
    </row>
    <row r="1531" spans="2:18" x14ac:dyDescent="0.2">
      <c r="B1531" s="5"/>
      <c r="F1531" s="5"/>
      <c r="J1531" s="5"/>
      <c r="N1531" s="5"/>
      <c r="R1531" s="5"/>
    </row>
    <row r="1532" spans="2:18" x14ac:dyDescent="0.2">
      <c r="B1532" s="5"/>
      <c r="F1532" s="5"/>
      <c r="J1532" s="5"/>
      <c r="N1532" s="5"/>
      <c r="R1532" s="5"/>
    </row>
    <row r="1533" spans="2:18" x14ac:dyDescent="0.2">
      <c r="B1533" s="5"/>
      <c r="F1533" s="5"/>
      <c r="J1533" s="5"/>
      <c r="N1533" s="5"/>
      <c r="R1533" s="5"/>
    </row>
    <row r="1534" spans="2:18" x14ac:dyDescent="0.2">
      <c r="B1534" s="5"/>
      <c r="F1534" s="5"/>
      <c r="J1534" s="5"/>
      <c r="N1534" s="5"/>
      <c r="R1534" s="5"/>
    </row>
    <row r="1535" spans="2:18" x14ac:dyDescent="0.2">
      <c r="B1535" s="5"/>
      <c r="F1535" s="5"/>
      <c r="J1535" s="5"/>
      <c r="N1535" s="5"/>
      <c r="R1535" s="5"/>
    </row>
    <row r="1536" spans="2:18" x14ac:dyDescent="0.2">
      <c r="B1536" s="5"/>
      <c r="F1536" s="5"/>
      <c r="J1536" s="5"/>
      <c r="N1536" s="5"/>
      <c r="R1536" s="5"/>
    </row>
    <row r="1537" spans="2:18" x14ac:dyDescent="0.2">
      <c r="B1537" s="5"/>
      <c r="F1537" s="5"/>
      <c r="J1537" s="5"/>
      <c r="N1537" s="5"/>
      <c r="R1537" s="5"/>
    </row>
    <row r="1538" spans="2:18" x14ac:dyDescent="0.2">
      <c r="B1538" s="5"/>
      <c r="F1538" s="5"/>
      <c r="J1538" s="5"/>
      <c r="N1538" s="5"/>
      <c r="R1538" s="5"/>
    </row>
    <row r="1539" spans="2:18" x14ac:dyDescent="0.2">
      <c r="B1539" s="5"/>
      <c r="F1539" s="5"/>
      <c r="J1539" s="5"/>
      <c r="N1539" s="5"/>
      <c r="R1539" s="5"/>
    </row>
    <row r="1540" spans="2:18" x14ac:dyDescent="0.2">
      <c r="B1540" s="5"/>
      <c r="F1540" s="5"/>
      <c r="J1540" s="5"/>
      <c r="N1540" s="5"/>
      <c r="R1540" s="5"/>
    </row>
    <row r="1541" spans="2:18" x14ac:dyDescent="0.2">
      <c r="B1541" s="5"/>
      <c r="F1541" s="5"/>
      <c r="J1541" s="5"/>
      <c r="N1541" s="5"/>
      <c r="R1541" s="5"/>
    </row>
    <row r="1542" spans="2:18" x14ac:dyDescent="0.2">
      <c r="B1542" s="5"/>
      <c r="F1542" s="5"/>
      <c r="J1542" s="5"/>
      <c r="N1542" s="5"/>
      <c r="R1542" s="5"/>
    </row>
    <row r="1543" spans="2:18" x14ac:dyDescent="0.2">
      <c r="B1543" s="5"/>
      <c r="F1543" s="5"/>
      <c r="J1543" s="5"/>
      <c r="N1543" s="5"/>
      <c r="R1543" s="5"/>
    </row>
    <row r="1544" spans="2:18" x14ac:dyDescent="0.2">
      <c r="B1544" s="5"/>
      <c r="F1544" s="5"/>
      <c r="J1544" s="5"/>
      <c r="N1544" s="5"/>
      <c r="R1544" s="5"/>
    </row>
    <row r="1545" spans="2:18" x14ac:dyDescent="0.2">
      <c r="B1545" s="5"/>
      <c r="F1545" s="5"/>
      <c r="J1545" s="5"/>
      <c r="N1545" s="5"/>
      <c r="R1545" s="5"/>
    </row>
    <row r="1546" spans="2:18" x14ac:dyDescent="0.2">
      <c r="B1546" s="5"/>
      <c r="F1546" s="5"/>
      <c r="J1546" s="5"/>
      <c r="N1546" s="5"/>
      <c r="R1546" s="5"/>
    </row>
    <row r="1547" spans="2:18" x14ac:dyDescent="0.2">
      <c r="B1547" s="5"/>
      <c r="F1547" s="5"/>
      <c r="J1547" s="5"/>
      <c r="N1547" s="5"/>
      <c r="R1547" s="5"/>
    </row>
    <row r="1548" spans="2:18" x14ac:dyDescent="0.2">
      <c r="B1548" s="5"/>
      <c r="F1548" s="5"/>
      <c r="J1548" s="5"/>
      <c r="N1548" s="5"/>
      <c r="R1548" s="5"/>
    </row>
    <row r="1549" spans="2:18" x14ac:dyDescent="0.2">
      <c r="B1549" s="5"/>
      <c r="F1549" s="5"/>
      <c r="J1549" s="5"/>
      <c r="N1549" s="5"/>
      <c r="R1549" s="5"/>
    </row>
    <row r="1550" spans="2:18" x14ac:dyDescent="0.2">
      <c r="B1550" s="5"/>
      <c r="F1550" s="5"/>
      <c r="J1550" s="5"/>
      <c r="N1550" s="5"/>
      <c r="R1550" s="5"/>
    </row>
    <row r="1551" spans="2:18" x14ac:dyDescent="0.2">
      <c r="B1551" s="5"/>
      <c r="F1551" s="5"/>
      <c r="J1551" s="5"/>
      <c r="N1551" s="5"/>
      <c r="R1551" s="5"/>
    </row>
    <row r="1552" spans="2:18" x14ac:dyDescent="0.2">
      <c r="B1552" s="5"/>
      <c r="F1552" s="5"/>
      <c r="J1552" s="5"/>
      <c r="N1552" s="5"/>
      <c r="R1552" s="5"/>
    </row>
    <row r="1553" spans="2:18" x14ac:dyDescent="0.2">
      <c r="B1553" s="5"/>
      <c r="F1553" s="5"/>
      <c r="J1553" s="5"/>
      <c r="N1553" s="5"/>
      <c r="R1553" s="5"/>
    </row>
    <row r="1554" spans="2:18" x14ac:dyDescent="0.2">
      <c r="B1554" s="5"/>
      <c r="F1554" s="5"/>
      <c r="J1554" s="5"/>
      <c r="N1554" s="5"/>
      <c r="R1554" s="5"/>
    </row>
    <row r="1555" spans="2:18" x14ac:dyDescent="0.2">
      <c r="B1555" s="5"/>
      <c r="F1555" s="5"/>
      <c r="J1555" s="5"/>
      <c r="N1555" s="5"/>
      <c r="R1555" s="5"/>
    </row>
    <row r="1556" spans="2:18" x14ac:dyDescent="0.2">
      <c r="B1556" s="5"/>
      <c r="F1556" s="5"/>
      <c r="J1556" s="5"/>
      <c r="N1556" s="5"/>
      <c r="R1556" s="5"/>
    </row>
    <row r="1557" spans="2:18" x14ac:dyDescent="0.2">
      <c r="B1557" s="5"/>
      <c r="F1557" s="5"/>
      <c r="J1557" s="5"/>
      <c r="N1557" s="5"/>
      <c r="R1557" s="5"/>
    </row>
    <row r="1558" spans="2:18" x14ac:dyDescent="0.2">
      <c r="B1558" s="5"/>
      <c r="F1558" s="5"/>
      <c r="J1558" s="5"/>
      <c r="N1558" s="5"/>
      <c r="R1558" s="5"/>
    </row>
    <row r="1559" spans="2:18" x14ac:dyDescent="0.2">
      <c r="B1559" s="5"/>
      <c r="F1559" s="5"/>
      <c r="J1559" s="5"/>
      <c r="N1559" s="5"/>
      <c r="R1559" s="5"/>
    </row>
    <row r="1560" spans="2:18" x14ac:dyDescent="0.2">
      <c r="B1560" s="5"/>
      <c r="F1560" s="5"/>
      <c r="J1560" s="5"/>
      <c r="N1560" s="5"/>
      <c r="R1560" s="5"/>
    </row>
    <row r="1561" spans="2:18" x14ac:dyDescent="0.2">
      <c r="B1561" s="5"/>
      <c r="F1561" s="5"/>
      <c r="J1561" s="5"/>
      <c r="N1561" s="5"/>
      <c r="R1561" s="5"/>
    </row>
    <row r="1562" spans="2:18" x14ac:dyDescent="0.2">
      <c r="B1562" s="5"/>
      <c r="F1562" s="5"/>
      <c r="J1562" s="5"/>
      <c r="N1562" s="5"/>
      <c r="R1562" s="5"/>
    </row>
    <row r="1563" spans="2:18" x14ac:dyDescent="0.2">
      <c r="B1563" s="5"/>
      <c r="F1563" s="5"/>
      <c r="J1563" s="5"/>
      <c r="N1563" s="5"/>
      <c r="R1563" s="5"/>
    </row>
    <row r="1564" spans="2:18" x14ac:dyDescent="0.2">
      <c r="B1564" s="5"/>
      <c r="F1564" s="5"/>
      <c r="J1564" s="5"/>
      <c r="N1564" s="5"/>
      <c r="R1564" s="5"/>
    </row>
    <row r="1565" spans="2:18" x14ac:dyDescent="0.2">
      <c r="B1565" s="5"/>
      <c r="F1565" s="5"/>
      <c r="J1565" s="5"/>
      <c r="N1565" s="5"/>
      <c r="R1565" s="5"/>
    </row>
    <row r="1566" spans="2:18" x14ac:dyDescent="0.2">
      <c r="B1566" s="5"/>
      <c r="F1566" s="5"/>
      <c r="J1566" s="5"/>
      <c r="N1566" s="5"/>
      <c r="R1566" s="5"/>
    </row>
    <row r="1567" spans="2:18" x14ac:dyDescent="0.2">
      <c r="B1567" s="5"/>
      <c r="F1567" s="5"/>
      <c r="J1567" s="5"/>
      <c r="N1567" s="5"/>
      <c r="R1567" s="5"/>
    </row>
    <row r="1568" spans="2:18" x14ac:dyDescent="0.2">
      <c r="B1568" s="5"/>
      <c r="F1568" s="5"/>
      <c r="J1568" s="5"/>
      <c r="N1568" s="5"/>
      <c r="R1568" s="5"/>
    </row>
    <row r="1569" spans="2:18" x14ac:dyDescent="0.2">
      <c r="B1569" s="5"/>
      <c r="F1569" s="5"/>
      <c r="J1569" s="5"/>
      <c r="N1569" s="5"/>
      <c r="R1569" s="5"/>
    </row>
    <row r="1570" spans="2:18" x14ac:dyDescent="0.2">
      <c r="B1570" s="5"/>
      <c r="F1570" s="5"/>
      <c r="J1570" s="5"/>
      <c r="N1570" s="5"/>
      <c r="R1570" s="5"/>
    </row>
    <row r="1571" spans="2:18" x14ac:dyDescent="0.2">
      <c r="B1571" s="5"/>
      <c r="F1571" s="5"/>
      <c r="J1571" s="5"/>
      <c r="N1571" s="5"/>
      <c r="R1571" s="5"/>
    </row>
    <row r="1572" spans="2:18" x14ac:dyDescent="0.2">
      <c r="B1572" s="5"/>
      <c r="F1572" s="5"/>
      <c r="J1572" s="5"/>
      <c r="N1572" s="5"/>
      <c r="R1572" s="5"/>
    </row>
    <row r="1573" spans="2:18" x14ac:dyDescent="0.2">
      <c r="B1573" s="5"/>
      <c r="F1573" s="5"/>
      <c r="J1573" s="5"/>
      <c r="N1573" s="5"/>
      <c r="R1573" s="5"/>
    </row>
    <row r="1574" spans="2:18" x14ac:dyDescent="0.2">
      <c r="B1574" s="5"/>
      <c r="F1574" s="5"/>
      <c r="J1574" s="5"/>
      <c r="N1574" s="5"/>
      <c r="R1574" s="5"/>
    </row>
    <row r="1575" spans="2:18" x14ac:dyDescent="0.2">
      <c r="B1575" s="5"/>
      <c r="F1575" s="5"/>
      <c r="J1575" s="5"/>
      <c r="N1575" s="5"/>
      <c r="R1575" s="5"/>
    </row>
    <row r="1576" spans="2:18" x14ac:dyDescent="0.2">
      <c r="B1576" s="5"/>
      <c r="F1576" s="5"/>
      <c r="J1576" s="5"/>
      <c r="N1576" s="5"/>
      <c r="R1576" s="5"/>
    </row>
    <row r="1577" spans="2:18" x14ac:dyDescent="0.2">
      <c r="B1577" s="5"/>
      <c r="F1577" s="5"/>
      <c r="J1577" s="5"/>
      <c r="N1577" s="5"/>
      <c r="R1577" s="5"/>
    </row>
    <row r="1578" spans="2:18" x14ac:dyDescent="0.2">
      <c r="B1578" s="5"/>
      <c r="F1578" s="5"/>
      <c r="J1578" s="5"/>
      <c r="N1578" s="5"/>
      <c r="R1578" s="5"/>
    </row>
    <row r="1579" spans="2:18" x14ac:dyDescent="0.2">
      <c r="B1579" s="5"/>
      <c r="F1579" s="5"/>
      <c r="J1579" s="5"/>
      <c r="N1579" s="5"/>
      <c r="R1579" s="5"/>
    </row>
    <row r="1580" spans="2:18" x14ac:dyDescent="0.2">
      <c r="B1580" s="5"/>
      <c r="F1580" s="5"/>
      <c r="J1580" s="5"/>
      <c r="N1580" s="5"/>
      <c r="R1580" s="5"/>
    </row>
    <row r="1581" spans="2:18" x14ac:dyDescent="0.2">
      <c r="B1581" s="5"/>
      <c r="F1581" s="5"/>
      <c r="J1581" s="5"/>
      <c r="N1581" s="5"/>
      <c r="R1581" s="5"/>
    </row>
    <row r="1582" spans="2:18" x14ac:dyDescent="0.2">
      <c r="B1582" s="5"/>
      <c r="F1582" s="5"/>
      <c r="J1582" s="5"/>
      <c r="N1582" s="5"/>
      <c r="R1582" s="5"/>
    </row>
    <row r="1583" spans="2:18" x14ac:dyDescent="0.2">
      <c r="B1583" s="5"/>
      <c r="F1583" s="5"/>
      <c r="J1583" s="5"/>
      <c r="N1583" s="5"/>
      <c r="R1583" s="5"/>
    </row>
    <row r="1584" spans="2:18" x14ac:dyDescent="0.2">
      <c r="B1584" s="5"/>
      <c r="F1584" s="5"/>
      <c r="J1584" s="5"/>
      <c r="N1584" s="5"/>
      <c r="R1584" s="5"/>
    </row>
    <row r="1585" spans="2:18" x14ac:dyDescent="0.2">
      <c r="B1585" s="5"/>
      <c r="F1585" s="5"/>
      <c r="J1585" s="5"/>
      <c r="N1585" s="5"/>
      <c r="R1585" s="5"/>
    </row>
    <row r="1586" spans="2:18" x14ac:dyDescent="0.2">
      <c r="B1586" s="5"/>
      <c r="F1586" s="5"/>
      <c r="J1586" s="5"/>
      <c r="N1586" s="5"/>
      <c r="R1586" s="5"/>
    </row>
    <row r="1587" spans="2:18" x14ac:dyDescent="0.2">
      <c r="B1587" s="5"/>
      <c r="F1587" s="5"/>
      <c r="J1587" s="5"/>
      <c r="N1587" s="5"/>
      <c r="R1587" s="5"/>
    </row>
    <row r="1588" spans="2:18" x14ac:dyDescent="0.2">
      <c r="B1588" s="5"/>
      <c r="F1588" s="5"/>
      <c r="J1588" s="5"/>
      <c r="N1588" s="5"/>
      <c r="R1588" s="5"/>
    </row>
    <row r="1589" spans="2:18" x14ac:dyDescent="0.2">
      <c r="B1589" s="5"/>
      <c r="F1589" s="5"/>
      <c r="J1589" s="5"/>
      <c r="N1589" s="5"/>
      <c r="R1589" s="5"/>
    </row>
    <row r="1590" spans="2:18" x14ac:dyDescent="0.2">
      <c r="B1590" s="5"/>
      <c r="F1590" s="5"/>
      <c r="J1590" s="5"/>
      <c r="N1590" s="5"/>
      <c r="R1590" s="5"/>
    </row>
    <row r="1591" spans="2:18" x14ac:dyDescent="0.2">
      <c r="B1591" s="5"/>
      <c r="F1591" s="5"/>
      <c r="J1591" s="5"/>
      <c r="N1591" s="5"/>
      <c r="R1591" s="5"/>
    </row>
    <row r="1592" spans="2:18" x14ac:dyDescent="0.2">
      <c r="B1592" s="5"/>
      <c r="F1592" s="5"/>
      <c r="J1592" s="5"/>
      <c r="N1592" s="5"/>
      <c r="R1592" s="5"/>
    </row>
    <row r="1593" spans="2:18" x14ac:dyDescent="0.2">
      <c r="B1593" s="5"/>
      <c r="F1593" s="5"/>
      <c r="J1593" s="5"/>
      <c r="N1593" s="5"/>
      <c r="R1593" s="5"/>
    </row>
    <row r="1594" spans="2:18" x14ac:dyDescent="0.2">
      <c r="B1594" s="5"/>
      <c r="F1594" s="5"/>
      <c r="J1594" s="5"/>
      <c r="N1594" s="5"/>
      <c r="R1594" s="5"/>
    </row>
    <row r="1595" spans="2:18" x14ac:dyDescent="0.2">
      <c r="B1595" s="5"/>
      <c r="F1595" s="5"/>
      <c r="J1595" s="5"/>
      <c r="N1595" s="5"/>
      <c r="R1595" s="5"/>
    </row>
    <row r="1596" spans="2:18" x14ac:dyDescent="0.2">
      <c r="B1596" s="5"/>
      <c r="F1596" s="5"/>
      <c r="J1596" s="5"/>
      <c r="N1596" s="5"/>
      <c r="R1596" s="5"/>
    </row>
    <row r="1597" spans="2:18" x14ac:dyDescent="0.2">
      <c r="B1597" s="5"/>
      <c r="F1597" s="5"/>
      <c r="J1597" s="5"/>
      <c r="N1597" s="5"/>
      <c r="R1597" s="5"/>
    </row>
    <row r="1598" spans="2:18" x14ac:dyDescent="0.2">
      <c r="B1598" s="5"/>
      <c r="F1598" s="5"/>
      <c r="J1598" s="5"/>
      <c r="N1598" s="5"/>
      <c r="R1598" s="5"/>
    </row>
    <row r="1599" spans="2:18" x14ac:dyDescent="0.2">
      <c r="B1599" s="5"/>
      <c r="F1599" s="5"/>
      <c r="J1599" s="5"/>
      <c r="N1599" s="5"/>
      <c r="R1599" s="5"/>
    </row>
    <row r="1600" spans="2:18" x14ac:dyDescent="0.2">
      <c r="B1600" s="5"/>
      <c r="F1600" s="5"/>
      <c r="J1600" s="5"/>
      <c r="N1600" s="5"/>
      <c r="R1600" s="5"/>
    </row>
    <row r="1601" spans="2:18" x14ac:dyDescent="0.2">
      <c r="B1601" s="5"/>
      <c r="F1601" s="5"/>
      <c r="J1601" s="5"/>
      <c r="N1601" s="5"/>
      <c r="R1601" s="5"/>
    </row>
    <row r="1602" spans="2:18" x14ac:dyDescent="0.2">
      <c r="B1602" s="5"/>
      <c r="F1602" s="5"/>
      <c r="J1602" s="5"/>
      <c r="N1602" s="5"/>
      <c r="R1602" s="5"/>
    </row>
    <row r="1603" spans="2:18" x14ac:dyDescent="0.2">
      <c r="B1603" s="5"/>
      <c r="F1603" s="5"/>
      <c r="J1603" s="5"/>
      <c r="N1603" s="5"/>
      <c r="R1603" s="5"/>
    </row>
    <row r="1604" spans="2:18" x14ac:dyDescent="0.2">
      <c r="B1604" s="5"/>
      <c r="F1604" s="5"/>
      <c r="J1604" s="5"/>
      <c r="N1604" s="5"/>
      <c r="R1604" s="5"/>
    </row>
    <row r="1605" spans="2:18" x14ac:dyDescent="0.2">
      <c r="B1605" s="5"/>
      <c r="F1605" s="5"/>
      <c r="J1605" s="5"/>
      <c r="N1605" s="5"/>
      <c r="R1605" s="5"/>
    </row>
    <row r="1606" spans="2:18" x14ac:dyDescent="0.2">
      <c r="B1606" s="5"/>
      <c r="F1606" s="5"/>
      <c r="J1606" s="5"/>
      <c r="N1606" s="5"/>
      <c r="R1606" s="5"/>
    </row>
    <row r="1607" spans="2:18" x14ac:dyDescent="0.2">
      <c r="B1607" s="5"/>
      <c r="F1607" s="5"/>
      <c r="J1607" s="5"/>
      <c r="N1607" s="5"/>
      <c r="R1607" s="5"/>
    </row>
    <row r="1608" spans="2:18" x14ac:dyDescent="0.2">
      <c r="B1608" s="5"/>
      <c r="F1608" s="5"/>
      <c r="J1608" s="5"/>
      <c r="N1608" s="5"/>
      <c r="R1608" s="5"/>
    </row>
    <row r="1609" spans="2:18" x14ac:dyDescent="0.2">
      <c r="B1609" s="5"/>
      <c r="F1609" s="5"/>
      <c r="J1609" s="5"/>
      <c r="N1609" s="5"/>
      <c r="R1609" s="5"/>
    </row>
    <row r="1610" spans="2:18" x14ac:dyDescent="0.2">
      <c r="B1610" s="5"/>
      <c r="F1610" s="5"/>
      <c r="J1610" s="5"/>
      <c r="N1610" s="5"/>
      <c r="R1610" s="5"/>
    </row>
    <row r="1611" spans="2:18" x14ac:dyDescent="0.2">
      <c r="B1611" s="5"/>
      <c r="F1611" s="5"/>
      <c r="J1611" s="5"/>
      <c r="N1611" s="5"/>
      <c r="R1611" s="5"/>
    </row>
    <row r="1612" spans="2:18" x14ac:dyDescent="0.2">
      <c r="B1612" s="5"/>
      <c r="F1612" s="5"/>
      <c r="J1612" s="5"/>
      <c r="N1612" s="5"/>
      <c r="R1612" s="5"/>
    </row>
    <row r="1613" spans="2:18" x14ac:dyDescent="0.2">
      <c r="B1613" s="5"/>
      <c r="F1613" s="5"/>
      <c r="J1613" s="5"/>
      <c r="N1613" s="5"/>
      <c r="R1613" s="5"/>
    </row>
    <row r="1614" spans="2:18" x14ac:dyDescent="0.2">
      <c r="B1614" s="5"/>
      <c r="F1614" s="5"/>
      <c r="J1614" s="5"/>
      <c r="N1614" s="5"/>
      <c r="R1614" s="5"/>
    </row>
    <row r="1615" spans="2:18" x14ac:dyDescent="0.2">
      <c r="B1615" s="5"/>
      <c r="F1615" s="5"/>
      <c r="J1615" s="5"/>
      <c r="N1615" s="5"/>
      <c r="R1615" s="5"/>
    </row>
    <row r="1616" spans="2:18" x14ac:dyDescent="0.2">
      <c r="B1616" s="5"/>
      <c r="F1616" s="5"/>
      <c r="J1616" s="5"/>
      <c r="N1616" s="5"/>
      <c r="R1616" s="5"/>
    </row>
    <row r="1617" spans="2:18" x14ac:dyDescent="0.2">
      <c r="B1617" s="5"/>
      <c r="F1617" s="5"/>
      <c r="J1617" s="5"/>
      <c r="N1617" s="5"/>
      <c r="R1617" s="5"/>
    </row>
    <row r="1618" spans="2:18" x14ac:dyDescent="0.2">
      <c r="B1618" s="5"/>
      <c r="F1618" s="5"/>
      <c r="J1618" s="5"/>
      <c r="N1618" s="5"/>
      <c r="R1618" s="5"/>
    </row>
    <row r="1619" spans="2:18" x14ac:dyDescent="0.2">
      <c r="B1619" s="5"/>
      <c r="F1619" s="5"/>
      <c r="J1619" s="5"/>
      <c r="N1619" s="5"/>
      <c r="R1619" s="5"/>
    </row>
    <row r="1620" spans="2:18" x14ac:dyDescent="0.2">
      <c r="B1620" s="5"/>
      <c r="F1620" s="5"/>
      <c r="J1620" s="5"/>
      <c r="N1620" s="5"/>
      <c r="R1620" s="5"/>
    </row>
    <row r="1621" spans="2:18" x14ac:dyDescent="0.2">
      <c r="B1621" s="5"/>
      <c r="F1621" s="5"/>
      <c r="J1621" s="5"/>
      <c r="N1621" s="5"/>
      <c r="R1621" s="5"/>
    </row>
    <row r="1622" spans="2:18" x14ac:dyDescent="0.2">
      <c r="B1622" s="5"/>
      <c r="F1622" s="5"/>
      <c r="J1622" s="5"/>
      <c r="N1622" s="5"/>
      <c r="R1622" s="5"/>
    </row>
    <row r="1623" spans="2:18" x14ac:dyDescent="0.2">
      <c r="B1623" s="5"/>
      <c r="F1623" s="5"/>
      <c r="J1623" s="5"/>
      <c r="N1623" s="5"/>
      <c r="R1623" s="5"/>
    </row>
    <row r="1624" spans="2:18" x14ac:dyDescent="0.2">
      <c r="B1624" s="5"/>
      <c r="F1624" s="5"/>
      <c r="J1624" s="5"/>
      <c r="N1624" s="5"/>
      <c r="R1624" s="5"/>
    </row>
    <row r="1625" spans="2:18" x14ac:dyDescent="0.2">
      <c r="B1625" s="5"/>
      <c r="F1625" s="5"/>
      <c r="J1625" s="5"/>
      <c r="N1625" s="5"/>
      <c r="R1625" s="5"/>
    </row>
    <row r="1626" spans="2:18" x14ac:dyDescent="0.2">
      <c r="B1626" s="5"/>
      <c r="F1626" s="5"/>
      <c r="J1626" s="5"/>
      <c r="N1626" s="5"/>
      <c r="R1626" s="5"/>
    </row>
    <row r="1627" spans="2:18" x14ac:dyDescent="0.2">
      <c r="B1627" s="5"/>
      <c r="F1627" s="5"/>
      <c r="J1627" s="5"/>
      <c r="N1627" s="5"/>
      <c r="R1627" s="5"/>
    </row>
    <row r="1628" spans="2:18" x14ac:dyDescent="0.2">
      <c r="B1628" s="5"/>
      <c r="F1628" s="5"/>
      <c r="J1628" s="5"/>
      <c r="N1628" s="5"/>
      <c r="R1628" s="5"/>
    </row>
    <row r="1629" spans="2:18" x14ac:dyDescent="0.2">
      <c r="B1629" s="5"/>
      <c r="F1629" s="5"/>
      <c r="J1629" s="5"/>
      <c r="N1629" s="5"/>
      <c r="R1629" s="5"/>
    </row>
    <row r="1630" spans="2:18" x14ac:dyDescent="0.2">
      <c r="B1630" s="5"/>
      <c r="F1630" s="5"/>
      <c r="J1630" s="5"/>
      <c r="N1630" s="5"/>
      <c r="R1630" s="5"/>
    </row>
    <row r="1631" spans="2:18" x14ac:dyDescent="0.2">
      <c r="B1631" s="5"/>
      <c r="F1631" s="5"/>
      <c r="J1631" s="5"/>
      <c r="N1631" s="5"/>
      <c r="R1631" s="5"/>
    </row>
    <row r="1632" spans="2:18" x14ac:dyDescent="0.2">
      <c r="B1632" s="5"/>
      <c r="F1632" s="5"/>
      <c r="J1632" s="5"/>
      <c r="N1632" s="5"/>
      <c r="R1632" s="5"/>
    </row>
    <row r="1633" spans="2:18" x14ac:dyDescent="0.2">
      <c r="B1633" s="5"/>
      <c r="F1633" s="5"/>
      <c r="J1633" s="5"/>
      <c r="N1633" s="5"/>
      <c r="R1633" s="5"/>
    </row>
    <row r="1634" spans="2:18" x14ac:dyDescent="0.2">
      <c r="B1634" s="5"/>
      <c r="F1634" s="5"/>
      <c r="J1634" s="5"/>
      <c r="N1634" s="5"/>
      <c r="R1634" s="5"/>
    </row>
    <row r="1635" spans="2:18" x14ac:dyDescent="0.2">
      <c r="B1635" s="5"/>
      <c r="F1635" s="5"/>
      <c r="J1635" s="5"/>
      <c r="N1635" s="5"/>
      <c r="R1635" s="5"/>
    </row>
    <row r="1636" spans="2:18" x14ac:dyDescent="0.2">
      <c r="B1636" s="5"/>
      <c r="F1636" s="5"/>
      <c r="J1636" s="5"/>
      <c r="N1636" s="5"/>
      <c r="R1636" s="5"/>
    </row>
    <row r="1637" spans="2:18" x14ac:dyDescent="0.2">
      <c r="B1637" s="5"/>
      <c r="F1637" s="5"/>
      <c r="J1637" s="5"/>
      <c r="N1637" s="5"/>
      <c r="R1637" s="5"/>
    </row>
    <row r="1638" spans="2:18" x14ac:dyDescent="0.2">
      <c r="B1638" s="5"/>
      <c r="F1638" s="5"/>
      <c r="J1638" s="5"/>
      <c r="N1638" s="5"/>
      <c r="R1638" s="5"/>
    </row>
    <row r="1639" spans="2:18" x14ac:dyDescent="0.2">
      <c r="B1639" s="5"/>
      <c r="F1639" s="5"/>
      <c r="J1639" s="5"/>
      <c r="N1639" s="5"/>
      <c r="R1639" s="5"/>
    </row>
    <row r="1640" spans="2:18" x14ac:dyDescent="0.2">
      <c r="B1640" s="5"/>
      <c r="F1640" s="5"/>
      <c r="J1640" s="5"/>
      <c r="N1640" s="5"/>
      <c r="R1640" s="5"/>
    </row>
    <row r="1641" spans="2:18" x14ac:dyDescent="0.2">
      <c r="B1641" s="5"/>
      <c r="F1641" s="5"/>
      <c r="J1641" s="5"/>
      <c r="N1641" s="5"/>
      <c r="R1641" s="5"/>
    </row>
    <row r="1642" spans="2:18" x14ac:dyDescent="0.2">
      <c r="B1642" s="5"/>
      <c r="F1642" s="5"/>
      <c r="J1642" s="5"/>
      <c r="N1642" s="5"/>
      <c r="R1642" s="5"/>
    </row>
    <row r="1643" spans="2:18" x14ac:dyDescent="0.2">
      <c r="B1643" s="5"/>
      <c r="F1643" s="5"/>
      <c r="J1643" s="5"/>
      <c r="N1643" s="5"/>
      <c r="R1643" s="5"/>
    </row>
    <row r="1644" spans="2:18" x14ac:dyDescent="0.2">
      <c r="B1644" s="5"/>
      <c r="F1644" s="5"/>
      <c r="J1644" s="5"/>
      <c r="N1644" s="5"/>
      <c r="R1644" s="5"/>
    </row>
    <row r="1645" spans="2:18" x14ac:dyDescent="0.2">
      <c r="B1645" s="5"/>
      <c r="F1645" s="5"/>
      <c r="J1645" s="5"/>
      <c r="N1645" s="5"/>
      <c r="R1645" s="5"/>
    </row>
    <row r="1646" spans="2:18" x14ac:dyDescent="0.2">
      <c r="B1646" s="5"/>
      <c r="F1646" s="5"/>
      <c r="J1646" s="5"/>
      <c r="N1646" s="5"/>
      <c r="R1646" s="5"/>
    </row>
    <row r="1647" spans="2:18" x14ac:dyDescent="0.2">
      <c r="B1647" s="5"/>
      <c r="F1647" s="5"/>
      <c r="J1647" s="5"/>
      <c r="N1647" s="5"/>
      <c r="R1647" s="5"/>
    </row>
    <row r="1648" spans="2:18" x14ac:dyDescent="0.2">
      <c r="B1648" s="5"/>
      <c r="F1648" s="5"/>
      <c r="J1648" s="5"/>
      <c r="N1648" s="5"/>
      <c r="R1648" s="5"/>
    </row>
    <row r="1649" spans="2:18" x14ac:dyDescent="0.2">
      <c r="B1649" s="5"/>
      <c r="F1649" s="5"/>
      <c r="J1649" s="5"/>
      <c r="N1649" s="5"/>
      <c r="R1649" s="5"/>
    </row>
    <row r="1650" spans="2:18" x14ac:dyDescent="0.2">
      <c r="B1650" s="5"/>
      <c r="F1650" s="5"/>
      <c r="J1650" s="5"/>
      <c r="N1650" s="5"/>
      <c r="R1650" s="5"/>
    </row>
    <row r="1651" spans="2:18" x14ac:dyDescent="0.2">
      <c r="B1651" s="5"/>
      <c r="F1651" s="5"/>
      <c r="J1651" s="5"/>
      <c r="N1651" s="5"/>
      <c r="R1651" s="5"/>
    </row>
    <row r="1652" spans="2:18" x14ac:dyDescent="0.2">
      <c r="B1652" s="5"/>
      <c r="F1652" s="5"/>
      <c r="J1652" s="5"/>
      <c r="N1652" s="5"/>
      <c r="R1652" s="5"/>
    </row>
    <row r="1653" spans="2:18" x14ac:dyDescent="0.2">
      <c r="B1653" s="5"/>
      <c r="F1653" s="5"/>
      <c r="J1653" s="5"/>
      <c r="N1653" s="5"/>
      <c r="R1653" s="5"/>
    </row>
    <row r="1654" spans="2:18" x14ac:dyDescent="0.2">
      <c r="B1654" s="5"/>
      <c r="F1654" s="5"/>
      <c r="J1654" s="5"/>
      <c r="N1654" s="5"/>
      <c r="R1654" s="5"/>
    </row>
    <row r="1655" spans="2:18" x14ac:dyDescent="0.2">
      <c r="B1655" s="5"/>
      <c r="F1655" s="5"/>
      <c r="J1655" s="5"/>
      <c r="N1655" s="5"/>
      <c r="R1655" s="5"/>
    </row>
    <row r="1656" spans="2:18" x14ac:dyDescent="0.2">
      <c r="B1656" s="5"/>
      <c r="F1656" s="5"/>
      <c r="J1656" s="5"/>
      <c r="N1656" s="5"/>
      <c r="R1656" s="5"/>
    </row>
    <row r="1657" spans="2:18" x14ac:dyDescent="0.2">
      <c r="B1657" s="5"/>
      <c r="F1657" s="5"/>
      <c r="J1657" s="5"/>
      <c r="N1657" s="5"/>
      <c r="R1657" s="5"/>
    </row>
    <row r="1658" spans="2:18" x14ac:dyDescent="0.2">
      <c r="B1658" s="5"/>
      <c r="F1658" s="5"/>
      <c r="J1658" s="5"/>
      <c r="N1658" s="5"/>
      <c r="R1658" s="5"/>
    </row>
    <row r="1659" spans="2:18" x14ac:dyDescent="0.2">
      <c r="B1659" s="5"/>
      <c r="F1659" s="5"/>
      <c r="J1659" s="5"/>
      <c r="N1659" s="5"/>
      <c r="R1659" s="5"/>
    </row>
    <row r="1660" spans="2:18" x14ac:dyDescent="0.2">
      <c r="B1660" s="5"/>
      <c r="F1660" s="5"/>
      <c r="J1660" s="5"/>
      <c r="N1660" s="5"/>
      <c r="R1660" s="5"/>
    </row>
    <row r="1661" spans="2:18" x14ac:dyDescent="0.2">
      <c r="B1661" s="5"/>
      <c r="F1661" s="5"/>
      <c r="J1661" s="5"/>
      <c r="N1661" s="5"/>
      <c r="R1661" s="5"/>
    </row>
    <row r="1662" spans="2:18" x14ac:dyDescent="0.2">
      <c r="B1662" s="5"/>
      <c r="F1662" s="5"/>
      <c r="J1662" s="5"/>
      <c r="N1662" s="5"/>
      <c r="R1662" s="5"/>
    </row>
    <row r="1663" spans="2:18" x14ac:dyDescent="0.2">
      <c r="B1663" s="5"/>
      <c r="F1663" s="5"/>
      <c r="J1663" s="5"/>
      <c r="N1663" s="5"/>
      <c r="R1663" s="5"/>
    </row>
    <row r="1664" spans="2:18" x14ac:dyDescent="0.2">
      <c r="B1664" s="5"/>
      <c r="F1664" s="5"/>
      <c r="J1664" s="5"/>
      <c r="N1664" s="5"/>
      <c r="R1664" s="5"/>
    </row>
    <row r="1665" spans="2:18" x14ac:dyDescent="0.2">
      <c r="B1665" s="5"/>
      <c r="F1665" s="5"/>
      <c r="J1665" s="5"/>
      <c r="N1665" s="5"/>
      <c r="R1665" s="5"/>
    </row>
    <row r="1666" spans="2:18" x14ac:dyDescent="0.2">
      <c r="B1666" s="5"/>
      <c r="F1666" s="5"/>
      <c r="J1666" s="5"/>
      <c r="N1666" s="5"/>
      <c r="R1666" s="5"/>
    </row>
    <row r="1667" spans="2:18" x14ac:dyDescent="0.2">
      <c r="B1667" s="5"/>
      <c r="F1667" s="5"/>
      <c r="J1667" s="5"/>
      <c r="N1667" s="5"/>
      <c r="R1667" s="5"/>
    </row>
    <row r="1668" spans="2:18" x14ac:dyDescent="0.2">
      <c r="B1668" s="5"/>
      <c r="F1668" s="5"/>
      <c r="J1668" s="5"/>
      <c r="N1668" s="5"/>
      <c r="R1668" s="5"/>
    </row>
    <row r="1669" spans="2:18" x14ac:dyDescent="0.2">
      <c r="B1669" s="5"/>
      <c r="F1669" s="5"/>
      <c r="J1669" s="5"/>
      <c r="N1669" s="5"/>
      <c r="R1669" s="5"/>
    </row>
    <row r="1670" spans="2:18" x14ac:dyDescent="0.2">
      <c r="B1670" s="5"/>
      <c r="F1670" s="5"/>
      <c r="J1670" s="5"/>
      <c r="N1670" s="5"/>
      <c r="R1670" s="5"/>
    </row>
    <row r="1671" spans="2:18" x14ac:dyDescent="0.2">
      <c r="B1671" s="5"/>
      <c r="F1671" s="5"/>
      <c r="J1671" s="5"/>
      <c r="N1671" s="5"/>
      <c r="R1671" s="5"/>
    </row>
    <row r="1672" spans="2:18" x14ac:dyDescent="0.2">
      <c r="B1672" s="5"/>
      <c r="F1672" s="5"/>
      <c r="J1672" s="5"/>
      <c r="N1672" s="5"/>
      <c r="R1672" s="5"/>
    </row>
    <row r="1673" spans="2:18" x14ac:dyDescent="0.2">
      <c r="B1673" s="5"/>
      <c r="F1673" s="5"/>
      <c r="J1673" s="5"/>
      <c r="N1673" s="5"/>
      <c r="R1673" s="5"/>
    </row>
    <row r="1674" spans="2:18" x14ac:dyDescent="0.2">
      <c r="B1674" s="5"/>
      <c r="F1674" s="5"/>
      <c r="J1674" s="5"/>
      <c r="N1674" s="5"/>
      <c r="R1674" s="5"/>
    </row>
    <row r="1675" spans="2:18" x14ac:dyDescent="0.2">
      <c r="B1675" s="5"/>
      <c r="F1675" s="5"/>
      <c r="J1675" s="5"/>
      <c r="N1675" s="5"/>
      <c r="R1675" s="5"/>
    </row>
    <row r="1676" spans="2:18" x14ac:dyDescent="0.2">
      <c r="B1676" s="5"/>
      <c r="F1676" s="5"/>
      <c r="J1676" s="5"/>
      <c r="N1676" s="5"/>
      <c r="R1676" s="5"/>
    </row>
    <row r="1677" spans="2:18" x14ac:dyDescent="0.2">
      <c r="B1677" s="5"/>
      <c r="F1677" s="5"/>
      <c r="J1677" s="5"/>
      <c r="N1677" s="5"/>
      <c r="R1677" s="5"/>
    </row>
    <row r="1678" spans="2:18" x14ac:dyDescent="0.2">
      <c r="B1678" s="5"/>
      <c r="F1678" s="5"/>
      <c r="J1678" s="5"/>
      <c r="N1678" s="5"/>
      <c r="R1678" s="5"/>
    </row>
    <row r="1679" spans="2:18" x14ac:dyDescent="0.2">
      <c r="B1679" s="5"/>
      <c r="F1679" s="5"/>
      <c r="J1679" s="5"/>
      <c r="N1679" s="5"/>
      <c r="R1679" s="5"/>
    </row>
    <row r="1680" spans="2:18" x14ac:dyDescent="0.2">
      <c r="B1680" s="5"/>
      <c r="F1680" s="5"/>
      <c r="J1680" s="5"/>
      <c r="N1680" s="5"/>
      <c r="R1680" s="5"/>
    </row>
    <row r="1681" spans="2:18" x14ac:dyDescent="0.2">
      <c r="B1681" s="5"/>
      <c r="F1681" s="5"/>
      <c r="J1681" s="5"/>
      <c r="N1681" s="5"/>
      <c r="R1681" s="5"/>
    </row>
    <row r="1682" spans="2:18" x14ac:dyDescent="0.2">
      <c r="B1682" s="5"/>
      <c r="F1682" s="5"/>
      <c r="J1682" s="5"/>
      <c r="N1682" s="5"/>
      <c r="R1682" s="5"/>
    </row>
    <row r="1683" spans="2:18" x14ac:dyDescent="0.2">
      <c r="B1683" s="5"/>
      <c r="F1683" s="5"/>
      <c r="J1683" s="5"/>
      <c r="N1683" s="5"/>
      <c r="R1683" s="5"/>
    </row>
    <row r="1684" spans="2:18" x14ac:dyDescent="0.2">
      <c r="B1684" s="5"/>
      <c r="F1684" s="5"/>
      <c r="J1684" s="5"/>
      <c r="N1684" s="5"/>
      <c r="R1684" s="5"/>
    </row>
    <row r="1685" spans="2:18" x14ac:dyDescent="0.2">
      <c r="B1685" s="5"/>
      <c r="F1685" s="5"/>
      <c r="J1685" s="5"/>
      <c r="N1685" s="5"/>
      <c r="R1685" s="5"/>
    </row>
    <row r="1686" spans="2:18" x14ac:dyDescent="0.2">
      <c r="B1686" s="5"/>
      <c r="F1686" s="5"/>
      <c r="J1686" s="5"/>
      <c r="N1686" s="5"/>
      <c r="R1686" s="5"/>
    </row>
    <row r="1687" spans="2:18" x14ac:dyDescent="0.2">
      <c r="B1687" s="5"/>
      <c r="F1687" s="5"/>
      <c r="J1687" s="5"/>
      <c r="N1687" s="5"/>
      <c r="R1687" s="5"/>
    </row>
    <row r="1688" spans="2:18" x14ac:dyDescent="0.2">
      <c r="B1688" s="5"/>
      <c r="F1688" s="5"/>
      <c r="J1688" s="5"/>
      <c r="N1688" s="5"/>
      <c r="R1688" s="5"/>
    </row>
    <row r="1689" spans="2:18" x14ac:dyDescent="0.2">
      <c r="B1689" s="5"/>
      <c r="F1689" s="5"/>
      <c r="J1689" s="5"/>
      <c r="N1689" s="5"/>
      <c r="R1689" s="5"/>
    </row>
    <row r="1690" spans="2:18" x14ac:dyDescent="0.2">
      <c r="B1690" s="5"/>
      <c r="F1690" s="5"/>
      <c r="J1690" s="5"/>
      <c r="N1690" s="5"/>
      <c r="R1690" s="5"/>
    </row>
    <row r="1691" spans="2:18" x14ac:dyDescent="0.2">
      <c r="B1691" s="5"/>
      <c r="F1691" s="5"/>
      <c r="J1691" s="5"/>
      <c r="N1691" s="5"/>
      <c r="R1691" s="5"/>
    </row>
    <row r="1692" spans="2:18" x14ac:dyDescent="0.2">
      <c r="B1692" s="5"/>
      <c r="F1692" s="5"/>
      <c r="J1692" s="5"/>
      <c r="N1692" s="5"/>
      <c r="R1692" s="5"/>
    </row>
    <row r="1693" spans="2:18" x14ac:dyDescent="0.2">
      <c r="B1693" s="5"/>
      <c r="F1693" s="5"/>
      <c r="J1693" s="5"/>
      <c r="N1693" s="5"/>
      <c r="R1693" s="5"/>
    </row>
    <row r="1694" spans="2:18" x14ac:dyDescent="0.2">
      <c r="B1694" s="5"/>
      <c r="F1694" s="5"/>
      <c r="J1694" s="5"/>
      <c r="N1694" s="5"/>
      <c r="R1694" s="5"/>
    </row>
    <row r="1695" spans="2:18" x14ac:dyDescent="0.2">
      <c r="B1695" s="5"/>
      <c r="F1695" s="5"/>
      <c r="J1695" s="5"/>
      <c r="N1695" s="5"/>
      <c r="R1695" s="5"/>
    </row>
    <row r="1696" spans="2:18" x14ac:dyDescent="0.2">
      <c r="B1696" s="5"/>
      <c r="F1696" s="5"/>
      <c r="J1696" s="5"/>
      <c r="N1696" s="5"/>
      <c r="R1696" s="5"/>
    </row>
    <row r="1697" spans="2:18" x14ac:dyDescent="0.2">
      <c r="B1697" s="5"/>
      <c r="F1697" s="5"/>
      <c r="J1697" s="5"/>
      <c r="N1697" s="5"/>
      <c r="R1697" s="5"/>
    </row>
    <row r="1698" spans="2:18" x14ac:dyDescent="0.2">
      <c r="B1698" s="5"/>
      <c r="F1698" s="5"/>
      <c r="J1698" s="5"/>
      <c r="N1698" s="5"/>
      <c r="R1698" s="5"/>
    </row>
    <row r="1699" spans="2:18" x14ac:dyDescent="0.2">
      <c r="B1699" s="5"/>
      <c r="F1699" s="5"/>
      <c r="J1699" s="5"/>
      <c r="N1699" s="5"/>
      <c r="R1699" s="5"/>
    </row>
    <row r="1700" spans="2:18" x14ac:dyDescent="0.2">
      <c r="B1700" s="5"/>
      <c r="F1700" s="5"/>
      <c r="J1700" s="5"/>
      <c r="N1700" s="5"/>
      <c r="R1700" s="5"/>
    </row>
    <row r="1701" spans="2:18" x14ac:dyDescent="0.2">
      <c r="B1701" s="5"/>
      <c r="F1701" s="5"/>
      <c r="J1701" s="5"/>
      <c r="N1701" s="5"/>
      <c r="R1701" s="5"/>
    </row>
    <row r="1702" spans="2:18" x14ac:dyDescent="0.2">
      <c r="B1702" s="5"/>
      <c r="F1702" s="5"/>
      <c r="J1702" s="5"/>
      <c r="N1702" s="5"/>
      <c r="R1702" s="5"/>
    </row>
    <row r="1703" spans="2:18" x14ac:dyDescent="0.2">
      <c r="B1703" s="5"/>
      <c r="F1703" s="5"/>
      <c r="J1703" s="5"/>
      <c r="N1703" s="5"/>
      <c r="R1703" s="5"/>
    </row>
    <row r="1704" spans="2:18" x14ac:dyDescent="0.2">
      <c r="B1704" s="5"/>
      <c r="F1704" s="5"/>
      <c r="J1704" s="5"/>
      <c r="N1704" s="5"/>
      <c r="R1704" s="5"/>
    </row>
    <row r="1705" spans="2:18" x14ac:dyDescent="0.2">
      <c r="B1705" s="5"/>
      <c r="F1705" s="5"/>
      <c r="J1705" s="5"/>
      <c r="N1705" s="5"/>
      <c r="R1705" s="5"/>
    </row>
    <row r="1706" spans="2:18" x14ac:dyDescent="0.2">
      <c r="B1706" s="5"/>
      <c r="F1706" s="5"/>
      <c r="J1706" s="5"/>
      <c r="N1706" s="5"/>
      <c r="R1706" s="5"/>
    </row>
    <row r="1707" spans="2:18" x14ac:dyDescent="0.2">
      <c r="B1707" s="5"/>
      <c r="F1707" s="5"/>
      <c r="J1707" s="5"/>
      <c r="N1707" s="5"/>
      <c r="R1707" s="5"/>
    </row>
    <row r="1708" spans="2:18" x14ac:dyDescent="0.2">
      <c r="B1708" s="5"/>
      <c r="F1708" s="5"/>
      <c r="J1708" s="5"/>
      <c r="N1708" s="5"/>
      <c r="R1708" s="5"/>
    </row>
    <row r="1709" spans="2:18" x14ac:dyDescent="0.2">
      <c r="B1709" s="5"/>
      <c r="F1709" s="5"/>
      <c r="J1709" s="5"/>
      <c r="N1709" s="5"/>
      <c r="R1709" s="5"/>
    </row>
    <row r="1710" spans="2:18" x14ac:dyDescent="0.2">
      <c r="B1710" s="5"/>
      <c r="F1710" s="5"/>
      <c r="J1710" s="5"/>
      <c r="N1710" s="5"/>
      <c r="R1710" s="5"/>
    </row>
    <row r="1711" spans="2:18" x14ac:dyDescent="0.2">
      <c r="B1711" s="5"/>
      <c r="F1711" s="5"/>
      <c r="J1711" s="5"/>
      <c r="N1711" s="5"/>
      <c r="R1711" s="5"/>
    </row>
    <row r="1712" spans="2:18" x14ac:dyDescent="0.2">
      <c r="B1712" s="5"/>
      <c r="F1712" s="5"/>
      <c r="J1712" s="5"/>
      <c r="N1712" s="5"/>
      <c r="R1712" s="5"/>
    </row>
    <row r="1713" spans="2:18" x14ac:dyDescent="0.2">
      <c r="B1713" s="5"/>
      <c r="F1713" s="5"/>
      <c r="J1713" s="5"/>
      <c r="N1713" s="5"/>
      <c r="R1713" s="5"/>
    </row>
    <row r="1714" spans="2:18" x14ac:dyDescent="0.2">
      <c r="B1714" s="5"/>
      <c r="F1714" s="5"/>
      <c r="J1714" s="5"/>
      <c r="N1714" s="5"/>
      <c r="R1714" s="5"/>
    </row>
    <row r="1715" spans="2:18" x14ac:dyDescent="0.2">
      <c r="B1715" s="5"/>
      <c r="F1715" s="5"/>
      <c r="J1715" s="5"/>
      <c r="N1715" s="5"/>
      <c r="R1715" s="5"/>
    </row>
    <row r="1716" spans="2:18" x14ac:dyDescent="0.2">
      <c r="B1716" s="5"/>
      <c r="F1716" s="5"/>
      <c r="J1716" s="5"/>
      <c r="N1716" s="5"/>
      <c r="R1716" s="5"/>
    </row>
    <row r="1717" spans="2:18" x14ac:dyDescent="0.2">
      <c r="B1717" s="5"/>
      <c r="F1717" s="5"/>
      <c r="J1717" s="5"/>
      <c r="N1717" s="5"/>
      <c r="R1717" s="5"/>
    </row>
    <row r="1718" spans="2:18" x14ac:dyDescent="0.2">
      <c r="B1718" s="5"/>
      <c r="F1718" s="5"/>
      <c r="J1718" s="5"/>
      <c r="N1718" s="5"/>
      <c r="R1718" s="5"/>
    </row>
    <row r="1719" spans="2:18" x14ac:dyDescent="0.2">
      <c r="B1719" s="5"/>
      <c r="F1719" s="5"/>
      <c r="J1719" s="5"/>
      <c r="N1719" s="5"/>
      <c r="R1719" s="5"/>
    </row>
    <row r="1720" spans="2:18" x14ac:dyDescent="0.2">
      <c r="B1720" s="5"/>
      <c r="F1720" s="5"/>
      <c r="J1720" s="5"/>
      <c r="N1720" s="5"/>
      <c r="R1720" s="5"/>
    </row>
    <row r="1721" spans="2:18" x14ac:dyDescent="0.2">
      <c r="B1721" s="5"/>
      <c r="F1721" s="5"/>
      <c r="J1721" s="5"/>
      <c r="N1721" s="5"/>
      <c r="R1721" s="5"/>
    </row>
    <row r="1722" spans="2:18" x14ac:dyDescent="0.2">
      <c r="B1722" s="5"/>
      <c r="F1722" s="5"/>
      <c r="J1722" s="5"/>
      <c r="N1722" s="5"/>
      <c r="R1722" s="5"/>
    </row>
    <row r="1723" spans="2:18" x14ac:dyDescent="0.2">
      <c r="B1723" s="5"/>
      <c r="F1723" s="5"/>
      <c r="J1723" s="5"/>
      <c r="N1723" s="5"/>
      <c r="R1723" s="5"/>
    </row>
    <row r="1724" spans="2:18" x14ac:dyDescent="0.2">
      <c r="B1724" s="5"/>
      <c r="F1724" s="5"/>
      <c r="J1724" s="5"/>
      <c r="N1724" s="5"/>
      <c r="R1724" s="5"/>
    </row>
    <row r="1725" spans="2:18" x14ac:dyDescent="0.2">
      <c r="B1725" s="5"/>
      <c r="F1725" s="5"/>
      <c r="J1725" s="5"/>
      <c r="N1725" s="5"/>
      <c r="R1725" s="5"/>
    </row>
    <row r="1726" spans="2:18" x14ac:dyDescent="0.2">
      <c r="B1726" s="5"/>
      <c r="F1726" s="5"/>
      <c r="J1726" s="5"/>
      <c r="N1726" s="5"/>
      <c r="R1726" s="5"/>
    </row>
    <row r="1727" spans="2:18" x14ac:dyDescent="0.2">
      <c r="B1727" s="5"/>
      <c r="F1727" s="5"/>
      <c r="J1727" s="5"/>
      <c r="N1727" s="5"/>
      <c r="R1727" s="5"/>
    </row>
    <row r="1728" spans="2:18" x14ac:dyDescent="0.2">
      <c r="B1728" s="5"/>
      <c r="F1728" s="5"/>
      <c r="J1728" s="5"/>
      <c r="N1728" s="5"/>
      <c r="R1728" s="5"/>
    </row>
    <row r="1729" spans="2:18" x14ac:dyDescent="0.2">
      <c r="B1729" s="5"/>
      <c r="F1729" s="5"/>
      <c r="J1729" s="5"/>
      <c r="N1729" s="5"/>
      <c r="R1729" s="5"/>
    </row>
    <row r="1730" spans="2:18" x14ac:dyDescent="0.2">
      <c r="B1730" s="5"/>
      <c r="F1730" s="5"/>
      <c r="J1730" s="5"/>
      <c r="N1730" s="5"/>
      <c r="R1730" s="5"/>
    </row>
    <row r="1731" spans="2:18" x14ac:dyDescent="0.2">
      <c r="B1731" s="5"/>
      <c r="F1731" s="5"/>
      <c r="J1731" s="5"/>
      <c r="N1731" s="5"/>
      <c r="R1731" s="5"/>
    </row>
    <row r="1732" spans="2:18" x14ac:dyDescent="0.2">
      <c r="B1732" s="5"/>
      <c r="F1732" s="5"/>
      <c r="J1732" s="5"/>
      <c r="N1732" s="5"/>
      <c r="R1732" s="5"/>
    </row>
    <row r="1733" spans="2:18" x14ac:dyDescent="0.2">
      <c r="B1733" s="5"/>
      <c r="F1733" s="5"/>
      <c r="J1733" s="5"/>
      <c r="N1733" s="5"/>
      <c r="R1733" s="5"/>
    </row>
    <row r="1734" spans="2:18" x14ac:dyDescent="0.2">
      <c r="B1734" s="5"/>
      <c r="F1734" s="5"/>
      <c r="J1734" s="5"/>
      <c r="N1734" s="5"/>
      <c r="R1734" s="5"/>
    </row>
    <row r="1735" spans="2:18" x14ac:dyDescent="0.2">
      <c r="B1735" s="5"/>
      <c r="F1735" s="5"/>
      <c r="J1735" s="5"/>
      <c r="N1735" s="5"/>
      <c r="R1735" s="5"/>
    </row>
    <row r="1736" spans="2:18" x14ac:dyDescent="0.2">
      <c r="B1736" s="5"/>
      <c r="F1736" s="5"/>
      <c r="J1736" s="5"/>
      <c r="N1736" s="5"/>
      <c r="R1736" s="5"/>
    </row>
    <row r="1737" spans="2:18" x14ac:dyDescent="0.2">
      <c r="B1737" s="5"/>
      <c r="F1737" s="5"/>
      <c r="J1737" s="5"/>
      <c r="N1737" s="5"/>
      <c r="R1737" s="5"/>
    </row>
    <row r="1738" spans="2:18" x14ac:dyDescent="0.2">
      <c r="B1738" s="5"/>
      <c r="F1738" s="5"/>
      <c r="J1738" s="5"/>
      <c r="N1738" s="5"/>
      <c r="R1738" s="5"/>
    </row>
    <row r="1739" spans="2:18" x14ac:dyDescent="0.2">
      <c r="B1739" s="5"/>
      <c r="F1739" s="5"/>
      <c r="J1739" s="5"/>
      <c r="N1739" s="5"/>
      <c r="R1739" s="5"/>
    </row>
    <row r="1740" spans="2:18" x14ac:dyDescent="0.2">
      <c r="B1740" s="5"/>
      <c r="F1740" s="5"/>
      <c r="J1740" s="5"/>
      <c r="N1740" s="5"/>
      <c r="R1740" s="5"/>
    </row>
    <row r="1741" spans="2:18" x14ac:dyDescent="0.2">
      <c r="B1741" s="5"/>
      <c r="F1741" s="5"/>
      <c r="J1741" s="5"/>
      <c r="N1741" s="5"/>
      <c r="R1741" s="5"/>
    </row>
    <row r="1742" spans="2:18" x14ac:dyDescent="0.2">
      <c r="B1742" s="5"/>
      <c r="F1742" s="5"/>
      <c r="J1742" s="5"/>
      <c r="N1742" s="5"/>
      <c r="R1742" s="5"/>
    </row>
    <row r="1743" spans="2:18" x14ac:dyDescent="0.2">
      <c r="B1743" s="5"/>
      <c r="F1743" s="5"/>
      <c r="J1743" s="5"/>
      <c r="N1743" s="5"/>
      <c r="R1743" s="5"/>
    </row>
    <row r="1744" spans="2:18" x14ac:dyDescent="0.2">
      <c r="B1744" s="5"/>
      <c r="F1744" s="5"/>
      <c r="J1744" s="5"/>
      <c r="N1744" s="5"/>
      <c r="R1744" s="5"/>
    </row>
    <row r="1745" spans="2:18" x14ac:dyDescent="0.2">
      <c r="B1745" s="5"/>
      <c r="F1745" s="5"/>
      <c r="J1745" s="5"/>
      <c r="N1745" s="5"/>
      <c r="R1745" s="5"/>
    </row>
    <row r="1746" spans="2:18" x14ac:dyDescent="0.2">
      <c r="B1746" s="5"/>
      <c r="F1746" s="5"/>
      <c r="J1746" s="5"/>
      <c r="N1746" s="5"/>
      <c r="R1746" s="5"/>
    </row>
    <row r="1747" spans="2:18" x14ac:dyDescent="0.2">
      <c r="B1747" s="5"/>
      <c r="F1747" s="5"/>
      <c r="J1747" s="5"/>
      <c r="N1747" s="5"/>
      <c r="R1747" s="5"/>
    </row>
    <row r="1748" spans="2:18" x14ac:dyDescent="0.2">
      <c r="B1748" s="5"/>
      <c r="F1748" s="5"/>
      <c r="J1748" s="5"/>
      <c r="N1748" s="5"/>
      <c r="R1748" s="5"/>
    </row>
    <row r="1749" spans="2:18" x14ac:dyDescent="0.2">
      <c r="B1749" s="5"/>
      <c r="F1749" s="5"/>
      <c r="J1749" s="5"/>
      <c r="N1749" s="5"/>
      <c r="R1749" s="5"/>
    </row>
    <row r="1750" spans="2:18" x14ac:dyDescent="0.2">
      <c r="B1750" s="5"/>
      <c r="F1750" s="5"/>
      <c r="J1750" s="5"/>
      <c r="N1750" s="5"/>
      <c r="R1750" s="5"/>
    </row>
    <row r="1751" spans="2:18" x14ac:dyDescent="0.2">
      <c r="B1751" s="5"/>
      <c r="F1751" s="5"/>
      <c r="J1751" s="5"/>
      <c r="N1751" s="5"/>
      <c r="R1751" s="5"/>
    </row>
    <row r="1752" spans="2:18" x14ac:dyDescent="0.2">
      <c r="B1752" s="5"/>
      <c r="F1752" s="5"/>
      <c r="J1752" s="5"/>
      <c r="N1752" s="5"/>
      <c r="R1752" s="5"/>
    </row>
    <row r="1753" spans="2:18" x14ac:dyDescent="0.2">
      <c r="B1753" s="5"/>
      <c r="F1753" s="5"/>
      <c r="J1753" s="5"/>
      <c r="N1753" s="5"/>
      <c r="R1753" s="5"/>
    </row>
    <row r="1754" spans="2:18" x14ac:dyDescent="0.2">
      <c r="B1754" s="5"/>
      <c r="F1754" s="5"/>
      <c r="J1754" s="5"/>
      <c r="N1754" s="5"/>
      <c r="R1754" s="5"/>
    </row>
    <row r="1755" spans="2:18" x14ac:dyDescent="0.2">
      <c r="B1755" s="5"/>
      <c r="F1755" s="5"/>
      <c r="J1755" s="5"/>
      <c r="N1755" s="5"/>
      <c r="R1755" s="5"/>
    </row>
    <row r="1756" spans="2:18" x14ac:dyDescent="0.2">
      <c r="B1756" s="5"/>
      <c r="F1756" s="5"/>
      <c r="J1756" s="5"/>
      <c r="N1756" s="5"/>
      <c r="R1756" s="5"/>
    </row>
    <row r="1757" spans="2:18" x14ac:dyDescent="0.2">
      <c r="B1757" s="5"/>
      <c r="F1757" s="5"/>
      <c r="J1757" s="5"/>
      <c r="N1757" s="5"/>
      <c r="R1757" s="5"/>
    </row>
    <row r="1758" spans="2:18" x14ac:dyDescent="0.2">
      <c r="B1758" s="5"/>
      <c r="F1758" s="5"/>
      <c r="J1758" s="5"/>
      <c r="N1758" s="5"/>
      <c r="R1758" s="5"/>
    </row>
    <row r="1759" spans="2:18" x14ac:dyDescent="0.2">
      <c r="B1759" s="5"/>
      <c r="F1759" s="5"/>
      <c r="J1759" s="5"/>
      <c r="N1759" s="5"/>
      <c r="R1759" s="5"/>
    </row>
    <row r="1760" spans="2:18" x14ac:dyDescent="0.2">
      <c r="B1760" s="5"/>
      <c r="F1760" s="5"/>
      <c r="J1760" s="5"/>
      <c r="N1760" s="5"/>
      <c r="R1760" s="5"/>
    </row>
    <row r="1761" spans="2:18" x14ac:dyDescent="0.2">
      <c r="B1761" s="5"/>
      <c r="F1761" s="5"/>
      <c r="J1761" s="5"/>
      <c r="N1761" s="5"/>
      <c r="R1761" s="5"/>
    </row>
    <row r="1762" spans="2:18" x14ac:dyDescent="0.2">
      <c r="B1762" s="5"/>
      <c r="F1762" s="5"/>
      <c r="J1762" s="5"/>
      <c r="N1762" s="5"/>
      <c r="R1762" s="5"/>
    </row>
    <row r="1763" spans="2:18" x14ac:dyDescent="0.2">
      <c r="B1763" s="5"/>
      <c r="F1763" s="5"/>
      <c r="J1763" s="5"/>
      <c r="N1763" s="5"/>
      <c r="R1763" s="5"/>
    </row>
    <row r="1764" spans="2:18" x14ac:dyDescent="0.2">
      <c r="B1764" s="5"/>
      <c r="F1764" s="5"/>
      <c r="J1764" s="5"/>
      <c r="N1764" s="5"/>
      <c r="R1764" s="5"/>
    </row>
    <row r="1765" spans="2:18" x14ac:dyDescent="0.2">
      <c r="B1765" s="5"/>
      <c r="F1765" s="5"/>
      <c r="J1765" s="5"/>
      <c r="N1765" s="5"/>
      <c r="R1765" s="5"/>
    </row>
    <row r="1766" spans="2:18" x14ac:dyDescent="0.2">
      <c r="B1766" s="5"/>
      <c r="F1766" s="5"/>
      <c r="J1766" s="5"/>
      <c r="N1766" s="5"/>
      <c r="R1766" s="5"/>
    </row>
    <row r="1767" spans="2:18" x14ac:dyDescent="0.2">
      <c r="B1767" s="5"/>
      <c r="F1767" s="5"/>
      <c r="J1767" s="5"/>
      <c r="N1767" s="5"/>
      <c r="R1767" s="5"/>
    </row>
    <row r="1768" spans="2:18" x14ac:dyDescent="0.2">
      <c r="B1768" s="5"/>
      <c r="F1768" s="5"/>
      <c r="J1768" s="5"/>
      <c r="N1768" s="5"/>
      <c r="R1768" s="5"/>
    </row>
    <row r="1769" spans="2:18" x14ac:dyDescent="0.2">
      <c r="B1769" s="5"/>
      <c r="F1769" s="5"/>
      <c r="J1769" s="5"/>
      <c r="N1769" s="5"/>
      <c r="R1769" s="5"/>
    </row>
    <row r="1770" spans="2:18" x14ac:dyDescent="0.2">
      <c r="B1770" s="5"/>
      <c r="F1770" s="5"/>
      <c r="J1770" s="5"/>
      <c r="N1770" s="5"/>
      <c r="R1770" s="5"/>
    </row>
    <row r="1771" spans="2:18" x14ac:dyDescent="0.2">
      <c r="B1771" s="5"/>
      <c r="F1771" s="5"/>
      <c r="J1771" s="5"/>
      <c r="N1771" s="5"/>
      <c r="R1771" s="5"/>
    </row>
    <row r="1772" spans="2:18" x14ac:dyDescent="0.2">
      <c r="B1772" s="5"/>
      <c r="F1772" s="5"/>
      <c r="J1772" s="5"/>
      <c r="N1772" s="5"/>
      <c r="R1772" s="5"/>
    </row>
    <row r="1773" spans="2:18" x14ac:dyDescent="0.2">
      <c r="B1773" s="5"/>
      <c r="F1773" s="5"/>
      <c r="J1773" s="5"/>
      <c r="N1773" s="5"/>
      <c r="R1773" s="5"/>
    </row>
    <row r="1774" spans="2:18" x14ac:dyDescent="0.2">
      <c r="B1774" s="5"/>
      <c r="F1774" s="5"/>
      <c r="J1774" s="5"/>
      <c r="N1774" s="5"/>
      <c r="R1774" s="5"/>
    </row>
    <row r="1775" spans="2:18" x14ac:dyDescent="0.2">
      <c r="B1775" s="5"/>
      <c r="F1775" s="5"/>
      <c r="J1775" s="5"/>
      <c r="N1775" s="5"/>
      <c r="R1775" s="5"/>
    </row>
    <row r="1776" spans="2:18" x14ac:dyDescent="0.2">
      <c r="B1776" s="5"/>
      <c r="F1776" s="5"/>
      <c r="J1776" s="5"/>
      <c r="N1776" s="5"/>
      <c r="R1776" s="5"/>
    </row>
    <row r="1777" spans="2:18" x14ac:dyDescent="0.2">
      <c r="B1777" s="5"/>
      <c r="F1777" s="5"/>
      <c r="J1777" s="5"/>
      <c r="N1777" s="5"/>
      <c r="R1777" s="5"/>
    </row>
    <row r="1778" spans="2:18" x14ac:dyDescent="0.2">
      <c r="B1778" s="5"/>
      <c r="F1778" s="5"/>
      <c r="J1778" s="5"/>
      <c r="N1778" s="5"/>
      <c r="R1778" s="5"/>
    </row>
    <row r="1779" spans="2:18" x14ac:dyDescent="0.2">
      <c r="B1779" s="5"/>
      <c r="F1779" s="5"/>
      <c r="J1779" s="5"/>
      <c r="N1779" s="5"/>
      <c r="R1779" s="5"/>
    </row>
    <row r="1780" spans="2:18" x14ac:dyDescent="0.2">
      <c r="B1780" s="5"/>
      <c r="F1780" s="5"/>
      <c r="J1780" s="5"/>
      <c r="N1780" s="5"/>
      <c r="R1780" s="5"/>
    </row>
    <row r="1781" spans="2:18" x14ac:dyDescent="0.2">
      <c r="B1781" s="5"/>
      <c r="F1781" s="5"/>
      <c r="J1781" s="5"/>
      <c r="N1781" s="5"/>
      <c r="R1781" s="5"/>
    </row>
    <row r="1782" spans="2:18" x14ac:dyDescent="0.2">
      <c r="B1782" s="5"/>
      <c r="F1782" s="5"/>
      <c r="J1782" s="5"/>
      <c r="N1782" s="5"/>
      <c r="R1782" s="5"/>
    </row>
    <row r="1783" spans="2:18" x14ac:dyDescent="0.2">
      <c r="B1783" s="5"/>
      <c r="F1783" s="5"/>
      <c r="J1783" s="5"/>
      <c r="N1783" s="5"/>
      <c r="R1783" s="5"/>
    </row>
    <row r="1784" spans="2:18" x14ac:dyDescent="0.2">
      <c r="B1784" s="5"/>
      <c r="F1784" s="5"/>
      <c r="J1784" s="5"/>
      <c r="N1784" s="5"/>
      <c r="R1784" s="5"/>
    </row>
    <row r="1785" spans="2:18" x14ac:dyDescent="0.2">
      <c r="B1785" s="5"/>
      <c r="F1785" s="5"/>
      <c r="J1785" s="5"/>
      <c r="N1785" s="5"/>
      <c r="R1785" s="5"/>
    </row>
    <row r="1786" spans="2:18" x14ac:dyDescent="0.2">
      <c r="B1786" s="5"/>
      <c r="F1786" s="5"/>
      <c r="J1786" s="5"/>
      <c r="N1786" s="5"/>
      <c r="R1786" s="5"/>
    </row>
    <row r="1787" spans="2:18" x14ac:dyDescent="0.2">
      <c r="B1787" s="5"/>
      <c r="F1787" s="5"/>
      <c r="J1787" s="5"/>
      <c r="N1787" s="5"/>
      <c r="R1787" s="5"/>
    </row>
    <row r="1788" spans="2:18" x14ac:dyDescent="0.2">
      <c r="B1788" s="5"/>
      <c r="F1788" s="5"/>
      <c r="J1788" s="5"/>
      <c r="N1788" s="5"/>
      <c r="R1788" s="5"/>
    </row>
    <row r="1789" spans="2:18" x14ac:dyDescent="0.2">
      <c r="B1789" s="5"/>
      <c r="F1789" s="5"/>
      <c r="J1789" s="5"/>
      <c r="N1789" s="5"/>
      <c r="R1789" s="5"/>
    </row>
    <row r="1790" spans="2:18" x14ac:dyDescent="0.2">
      <c r="B1790" s="5"/>
      <c r="F1790" s="5"/>
      <c r="J1790" s="5"/>
      <c r="N1790" s="5"/>
      <c r="R1790" s="5"/>
    </row>
    <row r="1791" spans="2:18" x14ac:dyDescent="0.2">
      <c r="B1791" s="5"/>
      <c r="F1791" s="5"/>
      <c r="J1791" s="5"/>
      <c r="N1791" s="5"/>
      <c r="R1791" s="5"/>
    </row>
    <row r="1792" spans="2:18" x14ac:dyDescent="0.2">
      <c r="B1792" s="5"/>
      <c r="F1792" s="5"/>
      <c r="J1792" s="5"/>
      <c r="N1792" s="5"/>
      <c r="R1792" s="5"/>
    </row>
    <row r="1793" spans="2:18" x14ac:dyDescent="0.2">
      <c r="B1793" s="5"/>
      <c r="F1793" s="5"/>
      <c r="J1793" s="5"/>
      <c r="N1793" s="5"/>
      <c r="R1793" s="5"/>
    </row>
    <row r="1794" spans="2:18" x14ac:dyDescent="0.2">
      <c r="B1794" s="5"/>
      <c r="F1794" s="5"/>
      <c r="J1794" s="5"/>
      <c r="N1794" s="5"/>
      <c r="R1794" s="5"/>
    </row>
    <row r="1795" spans="2:18" x14ac:dyDescent="0.2">
      <c r="B1795" s="5"/>
      <c r="F1795" s="5"/>
      <c r="J1795" s="5"/>
      <c r="N1795" s="5"/>
      <c r="R1795" s="5"/>
    </row>
    <row r="1796" spans="2:18" x14ac:dyDescent="0.2">
      <c r="B1796" s="5"/>
      <c r="F1796" s="5"/>
      <c r="J1796" s="5"/>
      <c r="N1796" s="5"/>
      <c r="R1796" s="5"/>
    </row>
    <row r="1797" spans="2:18" x14ac:dyDescent="0.2">
      <c r="B1797" s="5"/>
      <c r="F1797" s="5"/>
      <c r="J1797" s="5"/>
      <c r="N1797" s="5"/>
      <c r="R1797" s="5"/>
    </row>
    <row r="1798" spans="2:18" x14ac:dyDescent="0.2">
      <c r="B1798" s="5"/>
      <c r="F1798" s="5"/>
      <c r="J1798" s="5"/>
      <c r="N1798" s="5"/>
      <c r="R1798" s="5"/>
    </row>
    <row r="1799" spans="2:18" x14ac:dyDescent="0.2">
      <c r="B1799" s="5"/>
      <c r="F1799" s="5"/>
      <c r="J1799" s="5"/>
      <c r="N1799" s="5"/>
      <c r="R1799" s="5"/>
    </row>
    <row r="1800" spans="2:18" x14ac:dyDescent="0.2">
      <c r="B1800" s="5"/>
      <c r="F1800" s="5"/>
      <c r="J1800" s="5"/>
      <c r="N1800" s="5"/>
      <c r="R1800" s="5"/>
    </row>
    <row r="1801" spans="2:18" x14ac:dyDescent="0.2">
      <c r="B1801" s="5"/>
      <c r="F1801" s="5"/>
      <c r="J1801" s="5"/>
      <c r="N1801" s="5"/>
      <c r="R1801" s="5"/>
    </row>
    <row r="1802" spans="2:18" x14ac:dyDescent="0.2">
      <c r="B1802" s="5"/>
      <c r="F1802" s="5"/>
      <c r="J1802" s="5"/>
      <c r="N1802" s="5"/>
      <c r="R1802" s="5"/>
    </row>
    <row r="1803" spans="2:18" x14ac:dyDescent="0.2">
      <c r="B1803" s="5"/>
      <c r="F1803" s="5"/>
      <c r="J1803" s="5"/>
      <c r="N1803" s="5"/>
      <c r="R1803" s="5"/>
    </row>
    <row r="1804" spans="2:18" x14ac:dyDescent="0.2">
      <c r="B1804" s="5"/>
      <c r="F1804" s="5"/>
      <c r="J1804" s="5"/>
      <c r="N1804" s="5"/>
      <c r="R1804" s="5"/>
    </row>
    <row r="1805" spans="2:18" x14ac:dyDescent="0.2">
      <c r="B1805" s="5"/>
      <c r="F1805" s="5"/>
      <c r="J1805" s="5"/>
      <c r="N1805" s="5"/>
      <c r="R1805" s="5"/>
    </row>
    <row r="1806" spans="2:18" x14ac:dyDescent="0.2">
      <c r="B1806" s="5"/>
      <c r="F1806" s="5"/>
      <c r="J1806" s="5"/>
      <c r="N1806" s="5"/>
      <c r="R1806" s="5"/>
    </row>
    <row r="1807" spans="2:18" x14ac:dyDescent="0.2">
      <c r="B1807" s="5"/>
      <c r="F1807" s="5"/>
      <c r="J1807" s="5"/>
      <c r="N1807" s="5"/>
      <c r="R1807" s="5"/>
    </row>
    <row r="1808" spans="2:18" x14ac:dyDescent="0.2">
      <c r="B1808" s="5"/>
      <c r="F1808" s="5"/>
      <c r="J1808" s="5"/>
      <c r="N1808" s="5"/>
      <c r="R1808" s="5"/>
    </row>
    <row r="1809" spans="2:18" x14ac:dyDescent="0.2">
      <c r="B1809" s="5"/>
      <c r="F1809" s="5"/>
      <c r="J1809" s="5"/>
      <c r="N1809" s="5"/>
      <c r="R1809" s="5"/>
    </row>
    <row r="1810" spans="2:18" x14ac:dyDescent="0.2">
      <c r="B1810" s="5"/>
      <c r="F1810" s="5"/>
      <c r="J1810" s="5"/>
      <c r="N1810" s="5"/>
      <c r="R1810" s="5"/>
    </row>
    <row r="1811" spans="2:18" x14ac:dyDescent="0.2">
      <c r="B1811" s="5"/>
      <c r="F1811" s="5"/>
      <c r="J1811" s="5"/>
      <c r="N1811" s="5"/>
      <c r="R1811" s="5"/>
    </row>
    <row r="1812" spans="2:18" x14ac:dyDescent="0.2">
      <c r="B1812" s="5"/>
      <c r="F1812" s="5"/>
      <c r="J1812" s="5"/>
      <c r="N1812" s="5"/>
      <c r="R1812" s="5"/>
    </row>
    <row r="1813" spans="2:18" x14ac:dyDescent="0.2">
      <c r="B1813" s="5"/>
      <c r="F1813" s="5"/>
      <c r="J1813" s="5"/>
      <c r="N1813" s="5"/>
      <c r="R1813" s="5"/>
    </row>
    <row r="1814" spans="2:18" x14ac:dyDescent="0.2">
      <c r="B1814" s="5"/>
      <c r="F1814" s="5"/>
      <c r="J1814" s="5"/>
      <c r="N1814" s="5"/>
      <c r="R1814" s="5"/>
    </row>
    <row r="1815" spans="2:18" x14ac:dyDescent="0.2">
      <c r="B1815" s="5"/>
      <c r="F1815" s="5"/>
      <c r="J1815" s="5"/>
      <c r="N1815" s="5"/>
      <c r="R1815" s="5"/>
    </row>
    <row r="1816" spans="2:18" x14ac:dyDescent="0.2">
      <c r="B1816" s="5"/>
      <c r="F1816" s="5"/>
      <c r="J1816" s="5"/>
      <c r="N1816" s="5"/>
      <c r="R1816" s="5"/>
    </row>
    <row r="1817" spans="2:18" x14ac:dyDescent="0.2">
      <c r="B1817" s="5"/>
      <c r="F1817" s="5"/>
      <c r="J1817" s="5"/>
      <c r="N1817" s="5"/>
      <c r="R1817" s="5"/>
    </row>
    <row r="1818" spans="2:18" x14ac:dyDescent="0.2">
      <c r="B1818" s="5"/>
      <c r="F1818" s="5"/>
      <c r="J1818" s="5"/>
      <c r="N1818" s="5"/>
      <c r="R1818" s="5"/>
    </row>
    <row r="1819" spans="2:18" x14ac:dyDescent="0.2">
      <c r="B1819" s="5"/>
      <c r="F1819" s="5"/>
      <c r="J1819" s="5"/>
      <c r="N1819" s="5"/>
      <c r="R1819" s="5"/>
    </row>
    <row r="1820" spans="2:18" x14ac:dyDescent="0.2">
      <c r="B1820" s="5"/>
      <c r="F1820" s="5"/>
      <c r="J1820" s="5"/>
      <c r="N1820" s="5"/>
      <c r="R1820" s="5"/>
    </row>
    <row r="1821" spans="2:18" x14ac:dyDescent="0.2">
      <c r="B1821" s="5"/>
      <c r="F1821" s="5"/>
      <c r="J1821" s="5"/>
      <c r="N1821" s="5"/>
      <c r="R1821" s="5"/>
    </row>
    <row r="1822" spans="2:18" x14ac:dyDescent="0.2">
      <c r="B1822" s="5"/>
      <c r="F1822" s="5"/>
      <c r="J1822" s="5"/>
      <c r="N1822" s="5"/>
      <c r="R1822" s="5"/>
    </row>
    <row r="1823" spans="2:18" x14ac:dyDescent="0.2">
      <c r="B1823" s="5"/>
      <c r="F1823" s="5"/>
      <c r="J1823" s="5"/>
      <c r="N1823" s="5"/>
      <c r="R1823" s="5"/>
    </row>
    <row r="1824" spans="2:18" x14ac:dyDescent="0.2">
      <c r="B1824" s="5"/>
      <c r="F1824" s="5"/>
      <c r="J1824" s="5"/>
      <c r="N1824" s="5"/>
      <c r="R1824" s="5"/>
    </row>
    <row r="1825" spans="2:18" x14ac:dyDescent="0.2">
      <c r="B1825" s="5"/>
      <c r="F1825" s="5"/>
      <c r="J1825" s="5"/>
      <c r="N1825" s="5"/>
      <c r="R1825" s="5"/>
    </row>
    <row r="1826" spans="2:18" x14ac:dyDescent="0.2">
      <c r="B1826" s="5"/>
      <c r="F1826" s="5"/>
      <c r="J1826" s="5"/>
      <c r="N1826" s="5"/>
      <c r="R1826" s="5"/>
    </row>
    <row r="1827" spans="2:18" x14ac:dyDescent="0.2">
      <c r="B1827" s="5"/>
      <c r="F1827" s="5"/>
      <c r="J1827" s="5"/>
      <c r="N1827" s="5"/>
      <c r="R1827" s="5"/>
    </row>
    <row r="1828" spans="2:18" x14ac:dyDescent="0.2">
      <c r="B1828" s="5"/>
      <c r="F1828" s="5"/>
      <c r="J1828" s="5"/>
      <c r="N1828" s="5"/>
      <c r="R1828" s="5"/>
    </row>
    <row r="1829" spans="2:18" x14ac:dyDescent="0.2">
      <c r="B1829" s="5"/>
      <c r="F1829" s="5"/>
      <c r="J1829" s="5"/>
      <c r="N1829" s="5"/>
      <c r="R1829" s="5"/>
    </row>
    <row r="1830" spans="2:18" x14ac:dyDescent="0.2">
      <c r="B1830" s="5"/>
      <c r="F1830" s="5"/>
      <c r="J1830" s="5"/>
      <c r="N1830" s="5"/>
      <c r="R1830" s="5"/>
    </row>
    <row r="1831" spans="2:18" x14ac:dyDescent="0.2">
      <c r="B1831" s="5"/>
      <c r="F1831" s="5"/>
      <c r="J1831" s="5"/>
      <c r="N1831" s="5"/>
      <c r="R1831" s="5"/>
    </row>
    <row r="1832" spans="2:18" x14ac:dyDescent="0.2">
      <c r="B1832" s="5"/>
      <c r="F1832" s="5"/>
      <c r="J1832" s="5"/>
      <c r="N1832" s="5"/>
      <c r="R1832" s="5"/>
    </row>
    <row r="1833" spans="2:18" x14ac:dyDescent="0.2">
      <c r="B1833" s="5"/>
      <c r="F1833" s="5"/>
      <c r="J1833" s="5"/>
      <c r="N1833" s="5"/>
      <c r="R1833" s="5"/>
    </row>
    <row r="1834" spans="2:18" x14ac:dyDescent="0.2">
      <c r="B1834" s="5"/>
      <c r="F1834" s="5"/>
      <c r="J1834" s="5"/>
      <c r="N1834" s="5"/>
      <c r="R1834" s="5"/>
    </row>
    <row r="1835" spans="2:18" x14ac:dyDescent="0.2">
      <c r="B1835" s="5"/>
      <c r="F1835" s="5"/>
      <c r="J1835" s="5"/>
      <c r="N1835" s="5"/>
      <c r="R1835" s="5"/>
    </row>
    <row r="1836" spans="2:18" x14ac:dyDescent="0.2">
      <c r="B1836" s="5"/>
      <c r="F1836" s="5"/>
      <c r="J1836" s="5"/>
      <c r="N1836" s="5"/>
      <c r="R1836" s="5"/>
    </row>
    <row r="1837" spans="2:18" x14ac:dyDescent="0.2">
      <c r="B1837" s="5"/>
      <c r="F1837" s="5"/>
      <c r="J1837" s="5"/>
      <c r="N1837" s="5"/>
      <c r="R1837" s="5"/>
    </row>
    <row r="1838" spans="2:18" x14ac:dyDescent="0.2">
      <c r="B1838" s="5"/>
      <c r="F1838" s="5"/>
      <c r="J1838" s="5"/>
      <c r="N1838" s="5"/>
      <c r="R1838" s="5"/>
    </row>
    <row r="1839" spans="2:18" x14ac:dyDescent="0.2">
      <c r="B1839" s="5"/>
      <c r="F1839" s="5"/>
      <c r="J1839" s="5"/>
      <c r="N1839" s="5"/>
      <c r="R1839" s="5"/>
    </row>
    <row r="1840" spans="2:18" x14ac:dyDescent="0.2">
      <c r="B1840" s="5"/>
      <c r="F1840" s="5"/>
      <c r="J1840" s="5"/>
      <c r="N1840" s="5"/>
      <c r="R1840" s="5"/>
    </row>
    <row r="1841" spans="2:18" x14ac:dyDescent="0.2">
      <c r="B1841" s="5"/>
      <c r="F1841" s="5"/>
      <c r="J1841" s="5"/>
      <c r="N1841" s="5"/>
      <c r="R1841" s="5"/>
    </row>
    <row r="1842" spans="2:18" x14ac:dyDescent="0.2">
      <c r="B1842" s="5"/>
      <c r="F1842" s="5"/>
      <c r="J1842" s="5"/>
      <c r="N1842" s="5"/>
      <c r="R1842" s="5"/>
    </row>
    <row r="1843" spans="2:18" x14ac:dyDescent="0.2">
      <c r="B1843" s="5"/>
      <c r="F1843" s="5"/>
      <c r="J1843" s="5"/>
      <c r="N1843" s="5"/>
      <c r="R1843" s="5"/>
    </row>
    <row r="1844" spans="2:18" x14ac:dyDescent="0.2">
      <c r="B1844" s="5"/>
      <c r="F1844" s="5"/>
      <c r="J1844" s="5"/>
      <c r="N1844" s="5"/>
      <c r="R1844" s="5"/>
    </row>
    <row r="1845" spans="2:18" x14ac:dyDescent="0.2">
      <c r="B1845" s="5"/>
      <c r="F1845" s="5"/>
      <c r="J1845" s="5"/>
      <c r="N1845" s="5"/>
      <c r="R1845" s="5"/>
    </row>
    <row r="1846" spans="2:18" x14ac:dyDescent="0.2">
      <c r="B1846" s="5"/>
      <c r="F1846" s="5"/>
      <c r="J1846" s="5"/>
      <c r="N1846" s="5"/>
      <c r="R1846" s="5"/>
    </row>
    <row r="1847" spans="2:18" x14ac:dyDescent="0.2">
      <c r="B1847" s="5"/>
      <c r="F1847" s="5"/>
      <c r="J1847" s="5"/>
      <c r="N1847" s="5"/>
      <c r="R1847" s="5"/>
    </row>
    <row r="1848" spans="2:18" x14ac:dyDescent="0.2">
      <c r="B1848" s="5"/>
      <c r="F1848" s="5"/>
      <c r="J1848" s="5"/>
      <c r="N1848" s="5"/>
      <c r="R1848" s="5"/>
    </row>
    <row r="1849" spans="2:18" x14ac:dyDescent="0.2">
      <c r="B1849" s="5"/>
      <c r="F1849" s="5"/>
      <c r="J1849" s="5"/>
      <c r="N1849" s="5"/>
      <c r="R1849" s="5"/>
    </row>
    <row r="1850" spans="2:18" x14ac:dyDescent="0.2">
      <c r="B1850" s="5"/>
      <c r="F1850" s="5"/>
      <c r="J1850" s="5"/>
      <c r="N1850" s="5"/>
      <c r="R1850" s="5"/>
    </row>
    <row r="1851" spans="2:18" x14ac:dyDescent="0.2">
      <c r="B1851" s="5"/>
      <c r="F1851" s="5"/>
      <c r="J1851" s="5"/>
      <c r="N1851" s="5"/>
      <c r="R1851" s="5"/>
    </row>
    <row r="1852" spans="2:18" x14ac:dyDescent="0.2">
      <c r="B1852" s="5"/>
      <c r="F1852" s="5"/>
      <c r="J1852" s="5"/>
      <c r="N1852" s="5"/>
      <c r="R1852" s="5"/>
    </row>
    <row r="1853" spans="2:18" x14ac:dyDescent="0.2">
      <c r="B1853" s="5"/>
      <c r="F1853" s="5"/>
      <c r="J1853" s="5"/>
      <c r="N1853" s="5"/>
      <c r="R1853" s="5"/>
    </row>
    <row r="1854" spans="2:18" x14ac:dyDescent="0.2">
      <c r="B1854" s="5"/>
      <c r="F1854" s="5"/>
      <c r="J1854" s="5"/>
      <c r="N1854" s="5"/>
      <c r="R1854" s="5"/>
    </row>
    <row r="1855" spans="2:18" x14ac:dyDescent="0.2">
      <c r="B1855" s="5"/>
      <c r="F1855" s="5"/>
      <c r="J1855" s="5"/>
      <c r="N1855" s="5"/>
      <c r="R1855" s="5"/>
    </row>
    <row r="1856" spans="2:18" x14ac:dyDescent="0.2">
      <c r="B1856" s="5"/>
      <c r="F1856" s="5"/>
      <c r="J1856" s="5"/>
      <c r="N1856" s="5"/>
      <c r="R1856" s="5"/>
    </row>
    <row r="1857" spans="2:18" x14ac:dyDescent="0.2">
      <c r="B1857" s="5"/>
      <c r="F1857" s="5"/>
      <c r="J1857" s="5"/>
      <c r="N1857" s="5"/>
      <c r="R1857" s="5"/>
    </row>
    <row r="1858" spans="2:18" x14ac:dyDescent="0.2">
      <c r="B1858" s="5"/>
      <c r="F1858" s="5"/>
      <c r="J1858" s="5"/>
      <c r="N1858" s="5"/>
      <c r="R1858" s="5"/>
    </row>
    <row r="1859" spans="2:18" x14ac:dyDescent="0.2">
      <c r="B1859" s="5"/>
      <c r="F1859" s="5"/>
      <c r="J1859" s="5"/>
      <c r="N1859" s="5"/>
      <c r="R1859" s="5"/>
    </row>
    <row r="1860" spans="2:18" x14ac:dyDescent="0.2">
      <c r="B1860" s="5"/>
      <c r="F1860" s="5"/>
      <c r="J1860" s="5"/>
      <c r="N1860" s="5"/>
      <c r="R1860" s="5"/>
    </row>
    <row r="1861" spans="2:18" x14ac:dyDescent="0.2">
      <c r="B1861" s="5"/>
      <c r="F1861" s="5"/>
      <c r="J1861" s="5"/>
      <c r="N1861" s="5"/>
      <c r="R1861" s="5"/>
    </row>
    <row r="1862" spans="2:18" x14ac:dyDescent="0.2">
      <c r="B1862" s="5"/>
      <c r="F1862" s="5"/>
      <c r="J1862" s="5"/>
      <c r="N1862" s="5"/>
      <c r="R1862" s="5"/>
    </row>
    <row r="1863" spans="2:18" x14ac:dyDescent="0.2">
      <c r="B1863" s="5"/>
      <c r="F1863" s="5"/>
      <c r="J1863" s="5"/>
      <c r="N1863" s="5"/>
      <c r="R1863" s="5"/>
    </row>
    <row r="1864" spans="2:18" x14ac:dyDescent="0.2">
      <c r="B1864" s="5"/>
      <c r="F1864" s="5"/>
      <c r="J1864" s="5"/>
      <c r="N1864" s="5"/>
      <c r="R1864" s="5"/>
    </row>
    <row r="1865" spans="2:18" x14ac:dyDescent="0.2">
      <c r="B1865" s="5"/>
      <c r="F1865" s="5"/>
      <c r="J1865" s="5"/>
      <c r="N1865" s="5"/>
      <c r="R1865" s="5"/>
    </row>
    <row r="1866" spans="2:18" x14ac:dyDescent="0.2">
      <c r="B1866" s="5"/>
      <c r="F1866" s="5"/>
      <c r="J1866" s="5"/>
      <c r="N1866" s="5"/>
      <c r="R1866" s="5"/>
    </row>
    <row r="1867" spans="2:18" x14ac:dyDescent="0.2">
      <c r="B1867" s="5"/>
      <c r="F1867" s="5"/>
      <c r="J1867" s="5"/>
      <c r="N1867" s="5"/>
      <c r="R1867" s="5"/>
    </row>
    <row r="1868" spans="2:18" x14ac:dyDescent="0.2">
      <c r="B1868" s="5"/>
      <c r="F1868" s="5"/>
      <c r="J1868" s="5"/>
      <c r="N1868" s="5"/>
      <c r="R1868" s="5"/>
    </row>
    <row r="1869" spans="2:18" x14ac:dyDescent="0.2">
      <c r="B1869" s="5"/>
      <c r="F1869" s="5"/>
      <c r="J1869" s="5"/>
      <c r="N1869" s="5"/>
      <c r="R1869" s="5"/>
    </row>
    <row r="1870" spans="2:18" x14ac:dyDescent="0.2">
      <c r="B1870" s="5"/>
      <c r="F1870" s="5"/>
      <c r="J1870" s="5"/>
      <c r="N1870" s="5"/>
      <c r="R1870" s="5"/>
    </row>
    <row r="1871" spans="2:18" x14ac:dyDescent="0.2">
      <c r="B1871" s="5"/>
      <c r="F1871" s="5"/>
      <c r="J1871" s="5"/>
      <c r="N1871" s="5"/>
      <c r="R1871" s="5"/>
    </row>
    <row r="1872" spans="2:18" x14ac:dyDescent="0.2">
      <c r="B1872" s="5"/>
      <c r="F1872" s="5"/>
      <c r="J1872" s="5"/>
      <c r="N1872" s="5"/>
      <c r="R1872" s="5"/>
    </row>
    <row r="1873" spans="2:18" x14ac:dyDescent="0.2">
      <c r="B1873" s="5"/>
      <c r="F1873" s="5"/>
      <c r="J1873" s="5"/>
      <c r="N1873" s="5"/>
      <c r="R1873" s="5"/>
    </row>
    <row r="1874" spans="2:18" x14ac:dyDescent="0.2">
      <c r="B1874" s="5"/>
      <c r="F1874" s="5"/>
      <c r="J1874" s="5"/>
      <c r="N1874" s="5"/>
      <c r="R1874" s="5"/>
    </row>
    <row r="1875" spans="2:18" x14ac:dyDescent="0.2">
      <c r="B1875" s="5"/>
      <c r="F1875" s="5"/>
      <c r="J1875" s="5"/>
      <c r="N1875" s="5"/>
      <c r="R1875" s="5"/>
    </row>
    <row r="1876" spans="2:18" x14ac:dyDescent="0.2">
      <c r="B1876" s="5"/>
      <c r="F1876" s="5"/>
      <c r="J1876" s="5"/>
      <c r="N1876" s="5"/>
      <c r="R1876" s="5"/>
    </row>
    <row r="1877" spans="2:18" x14ac:dyDescent="0.2">
      <c r="B1877" s="5"/>
      <c r="F1877" s="5"/>
      <c r="J1877" s="5"/>
      <c r="N1877" s="5"/>
      <c r="R1877" s="5"/>
    </row>
    <row r="1878" spans="2:18" x14ac:dyDescent="0.2">
      <c r="B1878" s="5"/>
      <c r="F1878" s="5"/>
      <c r="J1878" s="5"/>
      <c r="N1878" s="5"/>
      <c r="R1878" s="5"/>
    </row>
    <row r="1879" spans="2:18" x14ac:dyDescent="0.2">
      <c r="B1879" s="5"/>
      <c r="F1879" s="5"/>
      <c r="J1879" s="5"/>
      <c r="N1879" s="5"/>
      <c r="R1879" s="5"/>
    </row>
    <row r="1880" spans="2:18" x14ac:dyDescent="0.2">
      <c r="B1880" s="5"/>
      <c r="F1880" s="5"/>
      <c r="J1880" s="5"/>
      <c r="N1880" s="5"/>
      <c r="R1880" s="5"/>
    </row>
    <row r="1881" spans="2:18" x14ac:dyDescent="0.2">
      <c r="B1881" s="5"/>
      <c r="F1881" s="5"/>
      <c r="J1881" s="5"/>
      <c r="N1881" s="5"/>
      <c r="R1881" s="5"/>
    </row>
    <row r="1882" spans="2:18" x14ac:dyDescent="0.2">
      <c r="B1882" s="5"/>
      <c r="F1882" s="5"/>
      <c r="J1882" s="5"/>
      <c r="N1882" s="5"/>
      <c r="R1882" s="5"/>
    </row>
    <row r="1883" spans="2:18" x14ac:dyDescent="0.2">
      <c r="B1883" s="5"/>
      <c r="F1883" s="5"/>
      <c r="J1883" s="5"/>
      <c r="N1883" s="5"/>
      <c r="R1883" s="5"/>
    </row>
    <row r="1884" spans="2:18" x14ac:dyDescent="0.2">
      <c r="B1884" s="5"/>
      <c r="F1884" s="5"/>
      <c r="J1884" s="5"/>
      <c r="N1884" s="5"/>
      <c r="R1884" s="5"/>
    </row>
    <row r="1885" spans="2:18" x14ac:dyDescent="0.2">
      <c r="B1885" s="5"/>
      <c r="F1885" s="5"/>
      <c r="J1885" s="5"/>
      <c r="N1885" s="5"/>
      <c r="R1885" s="5"/>
    </row>
    <row r="1886" spans="2:18" x14ac:dyDescent="0.2">
      <c r="B1886" s="5"/>
      <c r="F1886" s="5"/>
      <c r="J1886" s="5"/>
      <c r="N1886" s="5"/>
      <c r="R1886" s="5"/>
    </row>
    <row r="1887" spans="2:18" x14ac:dyDescent="0.2">
      <c r="B1887" s="5"/>
      <c r="F1887" s="5"/>
      <c r="J1887" s="5"/>
      <c r="N1887" s="5"/>
      <c r="R1887" s="5"/>
    </row>
    <row r="1888" spans="2:18" x14ac:dyDescent="0.2">
      <c r="B1888" s="5"/>
      <c r="F1888" s="5"/>
      <c r="J1888" s="5"/>
      <c r="N1888" s="5"/>
      <c r="R1888" s="5"/>
    </row>
    <row r="1889" spans="2:18" x14ac:dyDescent="0.2">
      <c r="B1889" s="5"/>
      <c r="F1889" s="5"/>
      <c r="J1889" s="5"/>
      <c r="N1889" s="5"/>
      <c r="R1889" s="5"/>
    </row>
    <row r="1890" spans="2:18" x14ac:dyDescent="0.2">
      <c r="B1890" s="5"/>
      <c r="F1890" s="5"/>
      <c r="J1890" s="5"/>
      <c r="N1890" s="5"/>
      <c r="R1890" s="5"/>
    </row>
    <row r="1891" spans="2:18" x14ac:dyDescent="0.2">
      <c r="B1891" s="5"/>
      <c r="F1891" s="5"/>
      <c r="J1891" s="5"/>
      <c r="N1891" s="5"/>
      <c r="R1891" s="5"/>
    </row>
    <row r="1892" spans="2:18" x14ac:dyDescent="0.2">
      <c r="B1892" s="5"/>
      <c r="F1892" s="5"/>
      <c r="J1892" s="5"/>
      <c r="N1892" s="5"/>
      <c r="R1892" s="5"/>
    </row>
    <row r="1893" spans="2:18" x14ac:dyDescent="0.2">
      <c r="B1893" s="5"/>
      <c r="F1893" s="5"/>
      <c r="J1893" s="5"/>
      <c r="N1893" s="5"/>
      <c r="R1893" s="5"/>
    </row>
    <row r="1894" spans="2:18" x14ac:dyDescent="0.2">
      <c r="B1894" s="5"/>
      <c r="F1894" s="5"/>
      <c r="J1894" s="5"/>
      <c r="N1894" s="5"/>
      <c r="R1894" s="5"/>
    </row>
    <row r="1895" spans="2:18" x14ac:dyDescent="0.2">
      <c r="B1895" s="5"/>
      <c r="F1895" s="5"/>
      <c r="J1895" s="5"/>
      <c r="N1895" s="5"/>
      <c r="R1895" s="5"/>
    </row>
    <row r="1896" spans="2:18" x14ac:dyDescent="0.2">
      <c r="B1896" s="5"/>
      <c r="F1896" s="5"/>
      <c r="J1896" s="5"/>
      <c r="N1896" s="5"/>
      <c r="R1896" s="5"/>
    </row>
    <row r="1897" spans="2:18" x14ac:dyDescent="0.2">
      <c r="B1897" s="5"/>
      <c r="F1897" s="5"/>
      <c r="J1897" s="5"/>
      <c r="N1897" s="5"/>
      <c r="R1897" s="5"/>
    </row>
    <row r="1898" spans="2:18" x14ac:dyDescent="0.2">
      <c r="B1898" s="5"/>
      <c r="F1898" s="5"/>
      <c r="J1898" s="5"/>
      <c r="N1898" s="5"/>
      <c r="R1898" s="5"/>
    </row>
    <row r="1899" spans="2:18" x14ac:dyDescent="0.2">
      <c r="B1899" s="5"/>
      <c r="F1899" s="5"/>
      <c r="J1899" s="5"/>
      <c r="N1899" s="5"/>
      <c r="R1899" s="5"/>
    </row>
    <row r="1900" spans="2:18" x14ac:dyDescent="0.2">
      <c r="B1900" s="5"/>
      <c r="F1900" s="5"/>
      <c r="J1900" s="5"/>
      <c r="N1900" s="5"/>
      <c r="R1900" s="5"/>
    </row>
    <row r="1901" spans="2:18" x14ac:dyDescent="0.2">
      <c r="B1901" s="5"/>
      <c r="F1901" s="5"/>
      <c r="J1901" s="5"/>
      <c r="N1901" s="5"/>
      <c r="R1901" s="5"/>
    </row>
    <row r="1902" spans="2:18" x14ac:dyDescent="0.2">
      <c r="B1902" s="5"/>
      <c r="F1902" s="5"/>
      <c r="J1902" s="5"/>
      <c r="N1902" s="5"/>
      <c r="R1902" s="5"/>
    </row>
    <row r="1903" spans="2:18" x14ac:dyDescent="0.2">
      <c r="B1903" s="5"/>
      <c r="F1903" s="5"/>
      <c r="J1903" s="5"/>
      <c r="N1903" s="5"/>
      <c r="R1903" s="5"/>
    </row>
    <row r="1904" spans="2:18" x14ac:dyDescent="0.2">
      <c r="B1904" s="5"/>
      <c r="F1904" s="5"/>
      <c r="J1904" s="5"/>
      <c r="N1904" s="5"/>
      <c r="R1904" s="5"/>
    </row>
    <row r="1905" spans="2:18" x14ac:dyDescent="0.2">
      <c r="B1905" s="5"/>
      <c r="F1905" s="5"/>
      <c r="J1905" s="5"/>
      <c r="N1905" s="5"/>
      <c r="R1905" s="5"/>
    </row>
    <row r="1906" spans="2:18" x14ac:dyDescent="0.2">
      <c r="B1906" s="5"/>
      <c r="F1906" s="5"/>
      <c r="J1906" s="5"/>
      <c r="N1906" s="5"/>
      <c r="R1906" s="5"/>
    </row>
    <row r="1907" spans="2:18" x14ac:dyDescent="0.2">
      <c r="B1907" s="5"/>
      <c r="F1907" s="5"/>
      <c r="J1907" s="5"/>
      <c r="N1907" s="5"/>
      <c r="R1907" s="5"/>
    </row>
    <row r="1908" spans="2:18" x14ac:dyDescent="0.2">
      <c r="B1908" s="5"/>
      <c r="F1908" s="5"/>
      <c r="J1908" s="5"/>
      <c r="N1908" s="5"/>
      <c r="R1908" s="5"/>
    </row>
    <row r="1909" spans="2:18" x14ac:dyDescent="0.2">
      <c r="B1909" s="5"/>
      <c r="F1909" s="5"/>
      <c r="J1909" s="5"/>
      <c r="N1909" s="5"/>
      <c r="R1909" s="5"/>
    </row>
    <row r="1910" spans="2:18" x14ac:dyDescent="0.2">
      <c r="B1910" s="5"/>
      <c r="F1910" s="5"/>
      <c r="J1910" s="5"/>
      <c r="N1910" s="5"/>
      <c r="R1910" s="5"/>
    </row>
    <row r="1911" spans="2:18" x14ac:dyDescent="0.2">
      <c r="B1911" s="5"/>
      <c r="F1911" s="5"/>
      <c r="J1911" s="5"/>
      <c r="N1911" s="5"/>
      <c r="R1911" s="5"/>
    </row>
    <row r="1912" spans="2:18" x14ac:dyDescent="0.2">
      <c r="B1912" s="5"/>
      <c r="F1912" s="5"/>
      <c r="J1912" s="5"/>
      <c r="N1912" s="5"/>
      <c r="R1912" s="5"/>
    </row>
    <row r="1913" spans="2:18" x14ac:dyDescent="0.2">
      <c r="B1913" s="5"/>
      <c r="F1913" s="5"/>
      <c r="J1913" s="5"/>
      <c r="N1913" s="5"/>
      <c r="R1913" s="5"/>
    </row>
    <row r="1914" spans="2:18" x14ac:dyDescent="0.2">
      <c r="B1914" s="5"/>
      <c r="F1914" s="5"/>
      <c r="J1914" s="5"/>
      <c r="N1914" s="5"/>
      <c r="R1914" s="5"/>
    </row>
    <row r="1915" spans="2:18" x14ac:dyDescent="0.2">
      <c r="B1915" s="5"/>
      <c r="F1915" s="5"/>
      <c r="J1915" s="5"/>
      <c r="N1915" s="5"/>
      <c r="R1915" s="5"/>
    </row>
    <row r="1916" spans="2:18" x14ac:dyDescent="0.2">
      <c r="B1916" s="5"/>
      <c r="F1916" s="5"/>
      <c r="J1916" s="5"/>
      <c r="N1916" s="5"/>
      <c r="R1916" s="5"/>
    </row>
    <row r="1917" spans="2:18" x14ac:dyDescent="0.2">
      <c r="B1917" s="5"/>
      <c r="F1917" s="5"/>
      <c r="J1917" s="5"/>
      <c r="N1917" s="5"/>
      <c r="R1917" s="5"/>
    </row>
    <row r="1918" spans="2:18" x14ac:dyDescent="0.2">
      <c r="B1918" s="5"/>
      <c r="F1918" s="5"/>
      <c r="J1918" s="5"/>
      <c r="N1918" s="5"/>
      <c r="R1918" s="5"/>
    </row>
    <row r="1919" spans="2:18" x14ac:dyDescent="0.2">
      <c r="B1919" s="5"/>
      <c r="F1919" s="5"/>
      <c r="J1919" s="5"/>
      <c r="N1919" s="5"/>
      <c r="R1919" s="5"/>
    </row>
    <row r="1920" spans="2:18" x14ac:dyDescent="0.2">
      <c r="B1920" s="5"/>
      <c r="F1920" s="5"/>
      <c r="J1920" s="5"/>
      <c r="N1920" s="5"/>
      <c r="R1920" s="5"/>
    </row>
    <row r="1921" spans="2:18" x14ac:dyDescent="0.2">
      <c r="B1921" s="5"/>
      <c r="F1921" s="5"/>
      <c r="J1921" s="5"/>
      <c r="N1921" s="5"/>
      <c r="R1921" s="5"/>
    </row>
    <row r="1922" spans="2:18" x14ac:dyDescent="0.2">
      <c r="B1922" s="5"/>
      <c r="F1922" s="5"/>
      <c r="J1922" s="5"/>
      <c r="N1922" s="5"/>
      <c r="R1922" s="5"/>
    </row>
    <row r="1923" spans="2:18" x14ac:dyDescent="0.2">
      <c r="B1923" s="5"/>
      <c r="F1923" s="5"/>
      <c r="J1923" s="5"/>
      <c r="N1923" s="5"/>
      <c r="R1923" s="5"/>
    </row>
    <row r="1924" spans="2:18" x14ac:dyDescent="0.2">
      <c r="B1924" s="5"/>
      <c r="F1924" s="5"/>
      <c r="J1924" s="5"/>
      <c r="N1924" s="5"/>
      <c r="R1924" s="5"/>
    </row>
    <row r="1925" spans="2:18" x14ac:dyDescent="0.2">
      <c r="B1925" s="5"/>
      <c r="F1925" s="5"/>
      <c r="J1925" s="5"/>
      <c r="N1925" s="5"/>
      <c r="R1925" s="5"/>
    </row>
    <row r="1926" spans="2:18" x14ac:dyDescent="0.2">
      <c r="B1926" s="5"/>
      <c r="F1926" s="5"/>
      <c r="J1926" s="5"/>
      <c r="N1926" s="5"/>
      <c r="R1926" s="5"/>
    </row>
    <row r="1927" spans="2:18" x14ac:dyDescent="0.2">
      <c r="B1927" s="5"/>
      <c r="F1927" s="5"/>
      <c r="J1927" s="5"/>
      <c r="N1927" s="5"/>
      <c r="R1927" s="5"/>
    </row>
    <row r="1928" spans="2:18" x14ac:dyDescent="0.2">
      <c r="B1928" s="5"/>
      <c r="F1928" s="5"/>
      <c r="J1928" s="5"/>
      <c r="N1928" s="5"/>
      <c r="R1928" s="5"/>
    </row>
    <row r="1929" spans="2:18" x14ac:dyDescent="0.2">
      <c r="B1929" s="5"/>
      <c r="F1929" s="5"/>
      <c r="J1929" s="5"/>
      <c r="N1929" s="5"/>
      <c r="R1929" s="5"/>
    </row>
    <row r="1930" spans="2:18" x14ac:dyDescent="0.2">
      <c r="B1930" s="5"/>
      <c r="F1930" s="5"/>
      <c r="J1930" s="5"/>
      <c r="N1930" s="5"/>
      <c r="R1930" s="5"/>
    </row>
    <row r="1931" spans="2:18" x14ac:dyDescent="0.2">
      <c r="B1931" s="5"/>
      <c r="F1931" s="5"/>
      <c r="J1931" s="5"/>
      <c r="N1931" s="5"/>
      <c r="R1931" s="5"/>
    </row>
    <row r="1932" spans="2:18" x14ac:dyDescent="0.2">
      <c r="B1932" s="5"/>
      <c r="F1932" s="5"/>
      <c r="J1932" s="5"/>
      <c r="N1932" s="5"/>
      <c r="R1932" s="5"/>
    </row>
    <row r="1933" spans="2:18" x14ac:dyDescent="0.2">
      <c r="B1933" s="5"/>
      <c r="F1933" s="5"/>
      <c r="J1933" s="5"/>
      <c r="N1933" s="5"/>
      <c r="R1933" s="5"/>
    </row>
    <row r="1934" spans="2:18" x14ac:dyDescent="0.2">
      <c r="B1934" s="5"/>
      <c r="F1934" s="5"/>
      <c r="J1934" s="5"/>
      <c r="N1934" s="5"/>
      <c r="R1934" s="5"/>
    </row>
    <row r="1935" spans="2:18" x14ac:dyDescent="0.2">
      <c r="B1935" s="5"/>
      <c r="F1935" s="5"/>
      <c r="J1935" s="5"/>
      <c r="N1935" s="5"/>
      <c r="R1935" s="5"/>
    </row>
    <row r="1936" spans="2:18" x14ac:dyDescent="0.2">
      <c r="B1936" s="5"/>
      <c r="F1936" s="5"/>
      <c r="J1936" s="5"/>
      <c r="N1936" s="5"/>
      <c r="R1936" s="5"/>
    </row>
    <row r="1937" spans="2:18" x14ac:dyDescent="0.2">
      <c r="B1937" s="5"/>
      <c r="F1937" s="5"/>
      <c r="J1937" s="5"/>
      <c r="N1937" s="5"/>
      <c r="R1937" s="5"/>
    </row>
    <row r="1938" spans="2:18" x14ac:dyDescent="0.2">
      <c r="B1938" s="5"/>
      <c r="F1938" s="5"/>
      <c r="J1938" s="5"/>
      <c r="N1938" s="5"/>
      <c r="R1938" s="5"/>
    </row>
    <row r="1939" spans="2:18" x14ac:dyDescent="0.2">
      <c r="B1939" s="5"/>
      <c r="F1939" s="5"/>
      <c r="J1939" s="5"/>
      <c r="N1939" s="5"/>
      <c r="R1939" s="5"/>
    </row>
    <row r="1940" spans="2:18" x14ac:dyDescent="0.2">
      <c r="B1940" s="5"/>
      <c r="F1940" s="5"/>
      <c r="J1940" s="5"/>
      <c r="N1940" s="5"/>
      <c r="R1940" s="5"/>
    </row>
    <row r="1941" spans="2:18" x14ac:dyDescent="0.2">
      <c r="B1941" s="5"/>
      <c r="F1941" s="5"/>
      <c r="J1941" s="5"/>
      <c r="N1941" s="5"/>
      <c r="R1941" s="5"/>
    </row>
    <row r="1942" spans="2:18" x14ac:dyDescent="0.2">
      <c r="B1942" s="5"/>
      <c r="F1942" s="5"/>
      <c r="J1942" s="5"/>
      <c r="N1942" s="5"/>
      <c r="R1942" s="5"/>
    </row>
    <row r="1943" spans="2:18" x14ac:dyDescent="0.2">
      <c r="B1943" s="5"/>
      <c r="F1943" s="5"/>
      <c r="J1943" s="5"/>
      <c r="N1943" s="5"/>
      <c r="R1943" s="5"/>
    </row>
    <row r="1944" spans="2:18" x14ac:dyDescent="0.2">
      <c r="B1944" s="5"/>
      <c r="F1944" s="5"/>
      <c r="J1944" s="5"/>
      <c r="N1944" s="5"/>
      <c r="R1944" s="5"/>
    </row>
    <row r="1945" spans="2:18" x14ac:dyDescent="0.2">
      <c r="B1945" s="5"/>
      <c r="F1945" s="5"/>
      <c r="J1945" s="5"/>
      <c r="N1945" s="5"/>
      <c r="R1945" s="5"/>
    </row>
    <row r="1946" spans="2:18" x14ac:dyDescent="0.2">
      <c r="B1946" s="5"/>
      <c r="F1946" s="5"/>
      <c r="J1946" s="5"/>
      <c r="N1946" s="5"/>
      <c r="R1946" s="5"/>
    </row>
    <row r="1947" spans="2:18" x14ac:dyDescent="0.2">
      <c r="B1947" s="5"/>
      <c r="F1947" s="5"/>
      <c r="J1947" s="5"/>
      <c r="N1947" s="5"/>
      <c r="R1947" s="5"/>
    </row>
    <row r="1948" spans="2:18" x14ac:dyDescent="0.2">
      <c r="B1948" s="5"/>
      <c r="F1948" s="5"/>
      <c r="J1948" s="5"/>
      <c r="N1948" s="5"/>
      <c r="R1948" s="5"/>
    </row>
    <row r="1949" spans="2:18" x14ac:dyDescent="0.2">
      <c r="B1949" s="5"/>
      <c r="F1949" s="5"/>
      <c r="J1949" s="5"/>
      <c r="N1949" s="5"/>
      <c r="R1949" s="5"/>
    </row>
    <row r="1950" spans="2:18" x14ac:dyDescent="0.2">
      <c r="B1950" s="5"/>
      <c r="F1950" s="5"/>
      <c r="J1950" s="5"/>
      <c r="N1950" s="5"/>
      <c r="R1950" s="5"/>
    </row>
    <row r="1951" spans="2:18" x14ac:dyDescent="0.2">
      <c r="B1951" s="5"/>
      <c r="F1951" s="5"/>
      <c r="J1951" s="5"/>
      <c r="N1951" s="5"/>
      <c r="R1951" s="5"/>
    </row>
    <row r="1952" spans="2:18" x14ac:dyDescent="0.2">
      <c r="B1952" s="5"/>
      <c r="F1952" s="5"/>
      <c r="J1952" s="5"/>
      <c r="N1952" s="5"/>
      <c r="R1952" s="5"/>
    </row>
    <row r="1953" spans="2:18" x14ac:dyDescent="0.2">
      <c r="B1953" s="5"/>
      <c r="F1953" s="5"/>
      <c r="J1953" s="5"/>
      <c r="N1953" s="5"/>
      <c r="R1953" s="5"/>
    </row>
    <row r="1954" spans="2:18" x14ac:dyDescent="0.2">
      <c r="B1954" s="5"/>
      <c r="F1954" s="5"/>
      <c r="J1954" s="5"/>
      <c r="N1954" s="5"/>
      <c r="R1954" s="5"/>
    </row>
    <row r="1955" spans="2:18" x14ac:dyDescent="0.2">
      <c r="B1955" s="5"/>
      <c r="F1955" s="5"/>
      <c r="J1955" s="5"/>
      <c r="N1955" s="5"/>
      <c r="R1955" s="5"/>
    </row>
    <row r="1956" spans="2:18" x14ac:dyDescent="0.2">
      <c r="B1956" s="5"/>
      <c r="F1956" s="5"/>
      <c r="J1956" s="5"/>
      <c r="N1956" s="5"/>
      <c r="R1956" s="5"/>
    </row>
    <row r="1957" spans="2:18" x14ac:dyDescent="0.2">
      <c r="B1957" s="5"/>
      <c r="F1957" s="5"/>
      <c r="J1957" s="5"/>
      <c r="N1957" s="5"/>
      <c r="R1957" s="5"/>
    </row>
    <row r="1958" spans="2:18" x14ac:dyDescent="0.2">
      <c r="B1958" s="5"/>
      <c r="F1958" s="5"/>
      <c r="J1958" s="5"/>
      <c r="N1958" s="5"/>
      <c r="R1958" s="5"/>
    </row>
    <row r="1959" spans="2:18" x14ac:dyDescent="0.2">
      <c r="B1959" s="5"/>
      <c r="F1959" s="5"/>
      <c r="J1959" s="5"/>
      <c r="N1959" s="5"/>
      <c r="R1959" s="5"/>
    </row>
    <row r="1960" spans="2:18" x14ac:dyDescent="0.2">
      <c r="B1960" s="5"/>
      <c r="F1960" s="5"/>
      <c r="J1960" s="5"/>
      <c r="N1960" s="5"/>
      <c r="R1960" s="5"/>
    </row>
    <row r="1961" spans="2:18" x14ac:dyDescent="0.2">
      <c r="B1961" s="5"/>
      <c r="F1961" s="5"/>
      <c r="J1961" s="5"/>
      <c r="N1961" s="5"/>
      <c r="R1961" s="5"/>
    </row>
    <row r="1962" spans="2:18" x14ac:dyDescent="0.2">
      <c r="B1962" s="5"/>
      <c r="F1962" s="5"/>
      <c r="J1962" s="5"/>
      <c r="N1962" s="5"/>
      <c r="R1962" s="5"/>
    </row>
    <row r="1963" spans="2:18" x14ac:dyDescent="0.2">
      <c r="B1963" s="5"/>
      <c r="F1963" s="5"/>
      <c r="J1963" s="5"/>
      <c r="N1963" s="5"/>
      <c r="R1963" s="5"/>
    </row>
    <row r="1964" spans="2:18" x14ac:dyDescent="0.2">
      <c r="B1964" s="5"/>
      <c r="F1964" s="5"/>
      <c r="J1964" s="5"/>
      <c r="N1964" s="5"/>
      <c r="R1964" s="5"/>
    </row>
    <row r="1965" spans="2:18" x14ac:dyDescent="0.2">
      <c r="B1965" s="5"/>
      <c r="F1965" s="5"/>
      <c r="J1965" s="5"/>
      <c r="N1965" s="5"/>
      <c r="R1965" s="5"/>
    </row>
    <row r="1966" spans="2:18" x14ac:dyDescent="0.2">
      <c r="B1966" s="5"/>
      <c r="F1966" s="5"/>
      <c r="J1966" s="5"/>
      <c r="N1966" s="5"/>
      <c r="R1966" s="5"/>
    </row>
    <row r="1967" spans="2:18" x14ac:dyDescent="0.2">
      <c r="B1967" s="5"/>
      <c r="F1967" s="5"/>
      <c r="J1967" s="5"/>
      <c r="N1967" s="5"/>
      <c r="R1967" s="5"/>
    </row>
    <row r="1968" spans="2:18" x14ac:dyDescent="0.2">
      <c r="B1968" s="5"/>
      <c r="F1968" s="5"/>
      <c r="J1968" s="5"/>
      <c r="N1968" s="5"/>
      <c r="R1968" s="5"/>
    </row>
    <row r="1969" spans="2:18" x14ac:dyDescent="0.2">
      <c r="B1969" s="5"/>
      <c r="F1969" s="5"/>
      <c r="J1969" s="5"/>
      <c r="N1969" s="5"/>
      <c r="R1969" s="5"/>
    </row>
    <row r="1970" spans="2:18" x14ac:dyDescent="0.2">
      <c r="B1970" s="5"/>
      <c r="F1970" s="5"/>
      <c r="J1970" s="5"/>
      <c r="N1970" s="5"/>
      <c r="R1970" s="5"/>
    </row>
    <row r="1971" spans="2:18" x14ac:dyDescent="0.2">
      <c r="B1971" s="5"/>
      <c r="F1971" s="5"/>
      <c r="J1971" s="5"/>
      <c r="N1971" s="5"/>
      <c r="R1971" s="5"/>
    </row>
    <row r="1972" spans="2:18" x14ac:dyDescent="0.2">
      <c r="B1972" s="5"/>
      <c r="F1972" s="5"/>
      <c r="J1972" s="5"/>
      <c r="N1972" s="5"/>
      <c r="R1972" s="5"/>
    </row>
    <row r="1973" spans="2:18" x14ac:dyDescent="0.2">
      <c r="B1973" s="5"/>
      <c r="F1973" s="5"/>
      <c r="J1973" s="5"/>
      <c r="N1973" s="5"/>
      <c r="R1973" s="5"/>
    </row>
    <row r="1974" spans="2:18" x14ac:dyDescent="0.2">
      <c r="B1974" s="5"/>
      <c r="F1974" s="5"/>
      <c r="J1974" s="5"/>
      <c r="N1974" s="5"/>
      <c r="R1974" s="5"/>
    </row>
    <row r="1975" spans="2:18" x14ac:dyDescent="0.2">
      <c r="B1975" s="5"/>
      <c r="F1975" s="5"/>
      <c r="J1975" s="5"/>
      <c r="N1975" s="5"/>
      <c r="R1975" s="5"/>
    </row>
    <row r="1976" spans="2:18" x14ac:dyDescent="0.2">
      <c r="B1976" s="5"/>
      <c r="F1976" s="5"/>
      <c r="J1976" s="5"/>
      <c r="N1976" s="5"/>
      <c r="R1976" s="5"/>
    </row>
    <row r="1977" spans="2:18" x14ac:dyDescent="0.2">
      <c r="B1977" s="5"/>
      <c r="F1977" s="5"/>
      <c r="J1977" s="5"/>
      <c r="N1977" s="5"/>
      <c r="R1977" s="5"/>
    </row>
    <row r="1978" spans="2:18" x14ac:dyDescent="0.2">
      <c r="B1978" s="5"/>
      <c r="F1978" s="5"/>
      <c r="J1978" s="5"/>
      <c r="N1978" s="5"/>
      <c r="R1978" s="5"/>
    </row>
    <row r="1979" spans="2:18" x14ac:dyDescent="0.2">
      <c r="B1979" s="5"/>
      <c r="F1979" s="5"/>
      <c r="J1979" s="5"/>
      <c r="N1979" s="5"/>
      <c r="R1979" s="5"/>
    </row>
    <row r="1980" spans="2:18" x14ac:dyDescent="0.2">
      <c r="B1980" s="5"/>
      <c r="F1980" s="5"/>
      <c r="J1980" s="5"/>
      <c r="N1980" s="5"/>
      <c r="R1980" s="5"/>
    </row>
    <row r="1981" spans="2:18" x14ac:dyDescent="0.2">
      <c r="B1981" s="5"/>
      <c r="F1981" s="5"/>
      <c r="J1981" s="5"/>
      <c r="N1981" s="5"/>
      <c r="R1981" s="5"/>
    </row>
    <row r="1982" spans="2:18" x14ac:dyDescent="0.2">
      <c r="B1982" s="5"/>
      <c r="F1982" s="5"/>
      <c r="J1982" s="5"/>
      <c r="N1982" s="5"/>
      <c r="R1982" s="5"/>
    </row>
    <row r="1983" spans="2:18" x14ac:dyDescent="0.2">
      <c r="B1983" s="5"/>
      <c r="F1983" s="5"/>
      <c r="J1983" s="5"/>
      <c r="N1983" s="5"/>
      <c r="R1983" s="5"/>
    </row>
    <row r="1984" spans="2:18" x14ac:dyDescent="0.2">
      <c r="B1984" s="5"/>
      <c r="F1984" s="5"/>
      <c r="J1984" s="5"/>
      <c r="N1984" s="5"/>
      <c r="R1984" s="5"/>
    </row>
    <row r="1985" spans="2:18" x14ac:dyDescent="0.2">
      <c r="B1985" s="5"/>
      <c r="F1985" s="5"/>
      <c r="J1985" s="5"/>
      <c r="N1985" s="5"/>
      <c r="R1985" s="5"/>
    </row>
    <row r="1986" spans="2:18" x14ac:dyDescent="0.2">
      <c r="B1986" s="5"/>
      <c r="F1986" s="5"/>
      <c r="J1986" s="5"/>
      <c r="N1986" s="5"/>
      <c r="R1986" s="5"/>
    </row>
    <row r="1987" spans="2:18" x14ac:dyDescent="0.2">
      <c r="B1987" s="5"/>
      <c r="F1987" s="5"/>
      <c r="J1987" s="5"/>
      <c r="N1987" s="5"/>
      <c r="R1987" s="5"/>
    </row>
    <row r="1988" spans="2:18" x14ac:dyDescent="0.2">
      <c r="B1988" s="5"/>
      <c r="F1988" s="5"/>
      <c r="J1988" s="5"/>
      <c r="N1988" s="5"/>
      <c r="R1988" s="5"/>
    </row>
    <row r="1989" spans="2:18" x14ac:dyDescent="0.2">
      <c r="B1989" s="5"/>
      <c r="F1989" s="5"/>
      <c r="J1989" s="5"/>
      <c r="N1989" s="5"/>
      <c r="R1989" s="5"/>
    </row>
    <row r="1990" spans="2:18" x14ac:dyDescent="0.2">
      <c r="B1990" s="5"/>
      <c r="F1990" s="5"/>
      <c r="J1990" s="5"/>
      <c r="N1990" s="5"/>
      <c r="R1990" s="5"/>
    </row>
    <row r="1991" spans="2:18" x14ac:dyDescent="0.2">
      <c r="B1991" s="5"/>
      <c r="F1991" s="5"/>
      <c r="J1991" s="5"/>
      <c r="N1991" s="5"/>
      <c r="R1991" s="5"/>
    </row>
    <row r="1992" spans="2:18" x14ac:dyDescent="0.2">
      <c r="B1992" s="5"/>
      <c r="F1992" s="5"/>
      <c r="J1992" s="5"/>
      <c r="N1992" s="5"/>
      <c r="R1992" s="5"/>
    </row>
    <row r="1993" spans="2:18" x14ac:dyDescent="0.2">
      <c r="B1993" s="5"/>
      <c r="F1993" s="5"/>
      <c r="J1993" s="5"/>
      <c r="N1993" s="5"/>
      <c r="R1993" s="5"/>
    </row>
    <row r="1994" spans="2:18" x14ac:dyDescent="0.2">
      <c r="B1994" s="5"/>
      <c r="F1994" s="5"/>
      <c r="J1994" s="5"/>
      <c r="N1994" s="5"/>
      <c r="R1994" s="5"/>
    </row>
    <row r="1995" spans="2:18" x14ac:dyDescent="0.2">
      <c r="B1995" s="5"/>
      <c r="F1995" s="5"/>
      <c r="J1995" s="5"/>
      <c r="N1995" s="5"/>
      <c r="R1995" s="5"/>
    </row>
    <row r="1996" spans="2:18" x14ac:dyDescent="0.2">
      <c r="B1996" s="5"/>
      <c r="F1996" s="5"/>
      <c r="J1996" s="5"/>
      <c r="N1996" s="5"/>
      <c r="R1996" s="5"/>
    </row>
    <row r="1997" spans="2:18" x14ac:dyDescent="0.2">
      <c r="B1997" s="5"/>
      <c r="F1997" s="5"/>
      <c r="J1997" s="5"/>
      <c r="N1997" s="5"/>
      <c r="R1997" s="5"/>
    </row>
    <row r="1998" spans="2:18" x14ac:dyDescent="0.2">
      <c r="B1998" s="5"/>
      <c r="F1998" s="5"/>
      <c r="J1998" s="5"/>
      <c r="N1998" s="5"/>
      <c r="R1998" s="5"/>
    </row>
    <row r="1999" spans="2:18" x14ac:dyDescent="0.2">
      <c r="B1999" s="5"/>
      <c r="F1999" s="5"/>
      <c r="J1999" s="5"/>
      <c r="N1999" s="5"/>
      <c r="R1999" s="5"/>
    </row>
    <row r="2000" spans="2:18" x14ac:dyDescent="0.2">
      <c r="B2000" s="5"/>
      <c r="F2000" s="5"/>
      <c r="J2000" s="5"/>
      <c r="N2000" s="5"/>
      <c r="R2000" s="5"/>
    </row>
    <row r="2001" spans="2:18" x14ac:dyDescent="0.2">
      <c r="B2001" s="5"/>
      <c r="F2001" s="5"/>
      <c r="J2001" s="5"/>
      <c r="N2001" s="5"/>
      <c r="R2001" s="5"/>
    </row>
    <row r="2002" spans="2:18" x14ac:dyDescent="0.2">
      <c r="B2002" s="5"/>
      <c r="F2002" s="5"/>
      <c r="J2002" s="5"/>
      <c r="N2002" s="5"/>
      <c r="R2002" s="5"/>
    </row>
    <row r="2003" spans="2:18" x14ac:dyDescent="0.2">
      <c r="B2003" s="5"/>
      <c r="F2003" s="5"/>
      <c r="J2003" s="5"/>
      <c r="N2003" s="5"/>
      <c r="R2003" s="5"/>
    </row>
    <row r="2004" spans="2:18" x14ac:dyDescent="0.2">
      <c r="B2004" s="5"/>
      <c r="F2004" s="5"/>
      <c r="J2004" s="5"/>
      <c r="N2004" s="5"/>
      <c r="R2004" s="5"/>
    </row>
    <row r="2005" spans="2:18" x14ac:dyDescent="0.2">
      <c r="B2005" s="5"/>
      <c r="F2005" s="5"/>
      <c r="J2005" s="5"/>
      <c r="N2005" s="5"/>
      <c r="R2005" s="5"/>
    </row>
    <row r="2006" spans="2:18" x14ac:dyDescent="0.2">
      <c r="B2006" s="5"/>
      <c r="F2006" s="5"/>
      <c r="J2006" s="5"/>
      <c r="N2006" s="5"/>
      <c r="R2006" s="5"/>
    </row>
    <row r="2007" spans="2:18" x14ac:dyDescent="0.2">
      <c r="B2007" s="5"/>
      <c r="F2007" s="5"/>
      <c r="J2007" s="5"/>
      <c r="N2007" s="5"/>
      <c r="R2007" s="5"/>
    </row>
    <row r="2008" spans="2:18" x14ac:dyDescent="0.2">
      <c r="B2008" s="5"/>
      <c r="F2008" s="5"/>
      <c r="J2008" s="5"/>
      <c r="N2008" s="5"/>
      <c r="R2008" s="5"/>
    </row>
    <row r="2009" spans="2:18" x14ac:dyDescent="0.2">
      <c r="B2009" s="5"/>
      <c r="F2009" s="5"/>
      <c r="J2009" s="5"/>
      <c r="N2009" s="5"/>
      <c r="R2009" s="5"/>
    </row>
    <row r="2010" spans="2:18" x14ac:dyDescent="0.2">
      <c r="B2010" s="5"/>
      <c r="F2010" s="5"/>
      <c r="J2010" s="5"/>
      <c r="N2010" s="5"/>
      <c r="R2010" s="5"/>
    </row>
    <row r="2011" spans="2:18" x14ac:dyDescent="0.2">
      <c r="B2011" s="5"/>
      <c r="F2011" s="5"/>
      <c r="J2011" s="5"/>
      <c r="N2011" s="5"/>
      <c r="R2011" s="5"/>
    </row>
    <row r="2012" spans="2:18" x14ac:dyDescent="0.2">
      <c r="B2012" s="5"/>
      <c r="F2012" s="5"/>
      <c r="J2012" s="5"/>
      <c r="N2012" s="5"/>
      <c r="R2012" s="5"/>
    </row>
    <row r="2013" spans="2:18" x14ac:dyDescent="0.2">
      <c r="B2013" s="5"/>
      <c r="F2013" s="5"/>
      <c r="J2013" s="5"/>
      <c r="N2013" s="5"/>
      <c r="R2013" s="5"/>
    </row>
    <row r="2014" spans="2:18" x14ac:dyDescent="0.2">
      <c r="B2014" s="5"/>
      <c r="F2014" s="5"/>
      <c r="J2014" s="5"/>
      <c r="N2014" s="5"/>
      <c r="R2014" s="5"/>
    </row>
    <row r="2015" spans="2:18" x14ac:dyDescent="0.2">
      <c r="B2015" s="5"/>
      <c r="F2015" s="5"/>
      <c r="J2015" s="5"/>
      <c r="N2015" s="5"/>
      <c r="R2015" s="5"/>
    </row>
    <row r="2016" spans="2:18" x14ac:dyDescent="0.2">
      <c r="B2016" s="5"/>
      <c r="F2016" s="5"/>
      <c r="J2016" s="5"/>
      <c r="N2016" s="5"/>
      <c r="R2016" s="5"/>
    </row>
    <row r="2017" spans="2:18" x14ac:dyDescent="0.2">
      <c r="B2017" s="5"/>
      <c r="F2017" s="5"/>
      <c r="J2017" s="5"/>
      <c r="N2017" s="5"/>
      <c r="R2017" s="5"/>
    </row>
    <row r="2018" spans="2:18" x14ac:dyDescent="0.2">
      <c r="B2018" s="5"/>
      <c r="F2018" s="5"/>
      <c r="J2018" s="5"/>
      <c r="N2018" s="5"/>
      <c r="R2018" s="5"/>
    </row>
    <row r="2019" spans="2:18" x14ac:dyDescent="0.2">
      <c r="B2019" s="5"/>
      <c r="F2019" s="5"/>
      <c r="J2019" s="5"/>
      <c r="N2019" s="5"/>
      <c r="R2019" s="5"/>
    </row>
    <row r="2020" spans="2:18" x14ac:dyDescent="0.2">
      <c r="B2020" s="5"/>
      <c r="F2020" s="5"/>
      <c r="J2020" s="5"/>
      <c r="N2020" s="5"/>
      <c r="R2020" s="5"/>
    </row>
    <row r="2021" spans="2:18" x14ac:dyDescent="0.2">
      <c r="B2021" s="5"/>
      <c r="F2021" s="5"/>
      <c r="J2021" s="5"/>
      <c r="N2021" s="5"/>
      <c r="R2021" s="5"/>
    </row>
    <row r="2022" spans="2:18" x14ac:dyDescent="0.2">
      <c r="B2022" s="5"/>
      <c r="F2022" s="5"/>
      <c r="J2022" s="5"/>
      <c r="N2022" s="5"/>
      <c r="R2022" s="5"/>
    </row>
    <row r="2023" spans="2:18" x14ac:dyDescent="0.2">
      <c r="B2023" s="5"/>
      <c r="F2023" s="5"/>
      <c r="J2023" s="5"/>
      <c r="N2023" s="5"/>
      <c r="R2023" s="5"/>
    </row>
    <row r="2024" spans="2:18" x14ac:dyDescent="0.2">
      <c r="B2024" s="5"/>
      <c r="F2024" s="5"/>
      <c r="J2024" s="5"/>
      <c r="N2024" s="5"/>
      <c r="R2024" s="5"/>
    </row>
    <row r="2025" spans="2:18" x14ac:dyDescent="0.2">
      <c r="B2025" s="5"/>
      <c r="F2025" s="5"/>
      <c r="J2025" s="5"/>
      <c r="N2025" s="5"/>
      <c r="R2025" s="5"/>
    </row>
    <row r="2026" spans="2:18" x14ac:dyDescent="0.2">
      <c r="B2026" s="5"/>
      <c r="F2026" s="5"/>
      <c r="J2026" s="5"/>
      <c r="N2026" s="5"/>
      <c r="R2026" s="5"/>
    </row>
    <row r="2027" spans="2:18" x14ac:dyDescent="0.2">
      <c r="B2027" s="5"/>
      <c r="F2027" s="5"/>
      <c r="J2027" s="5"/>
      <c r="N2027" s="5"/>
      <c r="R2027" s="5"/>
    </row>
    <row r="2028" spans="2:18" x14ac:dyDescent="0.2">
      <c r="B2028" s="5"/>
      <c r="F2028" s="5"/>
      <c r="J2028" s="5"/>
      <c r="N2028" s="5"/>
      <c r="R2028" s="5"/>
    </row>
    <row r="2029" spans="2:18" x14ac:dyDescent="0.2">
      <c r="B2029" s="5"/>
      <c r="F2029" s="5"/>
      <c r="J2029" s="5"/>
      <c r="N2029" s="5"/>
      <c r="R2029" s="5"/>
    </row>
    <row r="2030" spans="2:18" x14ac:dyDescent="0.2">
      <c r="B2030" s="5"/>
      <c r="F2030" s="5"/>
      <c r="J2030" s="5"/>
      <c r="N2030" s="5"/>
      <c r="R2030" s="5"/>
    </row>
    <row r="2031" spans="2:18" x14ac:dyDescent="0.2">
      <c r="B2031" s="5"/>
      <c r="F2031" s="5"/>
      <c r="J2031" s="5"/>
      <c r="N2031" s="5"/>
      <c r="R2031" s="5"/>
    </row>
    <row r="2032" spans="2:18" x14ac:dyDescent="0.2">
      <c r="B2032" s="5"/>
      <c r="F2032" s="5"/>
      <c r="J2032" s="5"/>
      <c r="N2032" s="5"/>
      <c r="R2032" s="5"/>
    </row>
    <row r="2033" spans="2:18" x14ac:dyDescent="0.2">
      <c r="B2033" s="5"/>
      <c r="F2033" s="5"/>
      <c r="J2033" s="5"/>
      <c r="N2033" s="5"/>
      <c r="R2033" s="5"/>
    </row>
    <row r="2034" spans="2:18" x14ac:dyDescent="0.2">
      <c r="B2034" s="5"/>
      <c r="F2034" s="5"/>
      <c r="J2034" s="5"/>
      <c r="N2034" s="5"/>
      <c r="R2034" s="5"/>
    </row>
    <row r="2035" spans="2:18" x14ac:dyDescent="0.2">
      <c r="B2035" s="5"/>
      <c r="F2035" s="5"/>
      <c r="J2035" s="5"/>
      <c r="N2035" s="5"/>
      <c r="R2035" s="5"/>
    </row>
    <row r="2036" spans="2:18" x14ac:dyDescent="0.2">
      <c r="B2036" s="5"/>
      <c r="F2036" s="5"/>
      <c r="J2036" s="5"/>
      <c r="N2036" s="5"/>
      <c r="R2036" s="5"/>
    </row>
    <row r="2037" spans="2:18" x14ac:dyDescent="0.2">
      <c r="B2037" s="5"/>
      <c r="F2037" s="5"/>
      <c r="J2037" s="5"/>
      <c r="N2037" s="5"/>
      <c r="R2037" s="5"/>
    </row>
    <row r="2038" spans="2:18" x14ac:dyDescent="0.2">
      <c r="B2038" s="5"/>
      <c r="F2038" s="5"/>
      <c r="J2038" s="5"/>
      <c r="N2038" s="5"/>
      <c r="R2038" s="5"/>
    </row>
    <row r="2039" spans="2:18" x14ac:dyDescent="0.2">
      <c r="B2039" s="5"/>
      <c r="F2039" s="5"/>
      <c r="J2039" s="5"/>
      <c r="N2039" s="5"/>
      <c r="R2039" s="5"/>
    </row>
    <row r="2040" spans="2:18" x14ac:dyDescent="0.2">
      <c r="B2040" s="5"/>
      <c r="F2040" s="5"/>
      <c r="J2040" s="5"/>
      <c r="N2040" s="5"/>
      <c r="R2040" s="5"/>
    </row>
    <row r="2041" spans="2:18" x14ac:dyDescent="0.2">
      <c r="B2041" s="5"/>
      <c r="F2041" s="5"/>
      <c r="J2041" s="5"/>
      <c r="N2041" s="5"/>
      <c r="R2041" s="5"/>
    </row>
    <row r="2042" spans="2:18" x14ac:dyDescent="0.2">
      <c r="B2042" s="5"/>
      <c r="F2042" s="5"/>
      <c r="J2042" s="5"/>
      <c r="N2042" s="5"/>
      <c r="R2042" s="5"/>
    </row>
    <row r="2043" spans="2:18" x14ac:dyDescent="0.2">
      <c r="B2043" s="5"/>
      <c r="F2043" s="5"/>
      <c r="J2043" s="5"/>
      <c r="N2043" s="5"/>
      <c r="R2043" s="5"/>
    </row>
    <row r="2044" spans="2:18" x14ac:dyDescent="0.2">
      <c r="B2044" s="5"/>
      <c r="F2044" s="5"/>
      <c r="J2044" s="5"/>
      <c r="N2044" s="5"/>
      <c r="R2044" s="5"/>
    </row>
    <row r="2045" spans="2:18" x14ac:dyDescent="0.2">
      <c r="B2045" s="5"/>
      <c r="F2045" s="5"/>
      <c r="J2045" s="5"/>
      <c r="N2045" s="5"/>
      <c r="R2045" s="5"/>
    </row>
    <row r="2046" spans="2:18" x14ac:dyDescent="0.2">
      <c r="B2046" s="5"/>
      <c r="F2046" s="5"/>
      <c r="J2046" s="5"/>
      <c r="N2046" s="5"/>
      <c r="R2046" s="5"/>
    </row>
    <row r="2047" spans="2:18" x14ac:dyDescent="0.2">
      <c r="B2047" s="5"/>
      <c r="F2047" s="5"/>
      <c r="J2047" s="5"/>
      <c r="N2047" s="5"/>
      <c r="R2047" s="5"/>
    </row>
    <row r="2048" spans="2:18" x14ac:dyDescent="0.2">
      <c r="B2048" s="5"/>
      <c r="F2048" s="5"/>
      <c r="J2048" s="5"/>
      <c r="N2048" s="5"/>
      <c r="R2048" s="5"/>
    </row>
    <row r="2049" spans="2:18" x14ac:dyDescent="0.2">
      <c r="B2049" s="5"/>
      <c r="F2049" s="5"/>
      <c r="J2049" s="5"/>
      <c r="N2049" s="5"/>
      <c r="R2049" s="5"/>
    </row>
    <row r="2050" spans="2:18" x14ac:dyDescent="0.2">
      <c r="B2050" s="5"/>
      <c r="F2050" s="5"/>
      <c r="J2050" s="5"/>
      <c r="N2050" s="5"/>
      <c r="R2050" s="5"/>
    </row>
    <row r="2051" spans="2:18" x14ac:dyDescent="0.2">
      <c r="B2051" s="5"/>
      <c r="F2051" s="5"/>
      <c r="J2051" s="5"/>
      <c r="N2051" s="5"/>
      <c r="R2051" s="5"/>
    </row>
    <row r="2052" spans="2:18" x14ac:dyDescent="0.2">
      <c r="B2052" s="5"/>
      <c r="F2052" s="5"/>
      <c r="J2052" s="5"/>
      <c r="N2052" s="5"/>
      <c r="R2052" s="5"/>
    </row>
    <row r="2053" spans="2:18" x14ac:dyDescent="0.2">
      <c r="B2053" s="5"/>
      <c r="F2053" s="5"/>
      <c r="J2053" s="5"/>
      <c r="N2053" s="5"/>
      <c r="R2053" s="5"/>
    </row>
    <row r="2054" spans="2:18" x14ac:dyDescent="0.2">
      <c r="B2054" s="5"/>
      <c r="F2054" s="5"/>
      <c r="J2054" s="5"/>
      <c r="N2054" s="5"/>
      <c r="R2054" s="5"/>
    </row>
    <row r="2055" spans="2:18" x14ac:dyDescent="0.2">
      <c r="B2055" s="5"/>
      <c r="F2055" s="5"/>
      <c r="J2055" s="5"/>
      <c r="N2055" s="5"/>
      <c r="R2055" s="5"/>
    </row>
    <row r="2056" spans="2:18" x14ac:dyDescent="0.2">
      <c r="B2056" s="5"/>
      <c r="F2056" s="5"/>
      <c r="J2056" s="5"/>
      <c r="N2056" s="5"/>
      <c r="R2056" s="5"/>
    </row>
    <row r="2057" spans="2:18" x14ac:dyDescent="0.2">
      <c r="B2057" s="5"/>
      <c r="F2057" s="5"/>
      <c r="J2057" s="5"/>
      <c r="N2057" s="5"/>
      <c r="R2057" s="5"/>
    </row>
    <row r="2058" spans="2:18" x14ac:dyDescent="0.2">
      <c r="B2058" s="5"/>
      <c r="F2058" s="5"/>
      <c r="J2058" s="5"/>
      <c r="N2058" s="5"/>
      <c r="R2058" s="5"/>
    </row>
    <row r="2059" spans="2:18" x14ac:dyDescent="0.2">
      <c r="B2059" s="5"/>
      <c r="F2059" s="5"/>
      <c r="J2059" s="5"/>
      <c r="N2059" s="5"/>
      <c r="R2059" s="5"/>
    </row>
    <row r="2060" spans="2:18" x14ac:dyDescent="0.2">
      <c r="B2060" s="5"/>
      <c r="F2060" s="5"/>
      <c r="J2060" s="5"/>
      <c r="N2060" s="5"/>
      <c r="R2060" s="5"/>
    </row>
    <row r="2061" spans="2:18" x14ac:dyDescent="0.2">
      <c r="B2061" s="5"/>
      <c r="F2061" s="5"/>
      <c r="J2061" s="5"/>
      <c r="N2061" s="5"/>
      <c r="R2061" s="5"/>
    </row>
    <row r="2062" spans="2:18" x14ac:dyDescent="0.2">
      <c r="B2062" s="5"/>
      <c r="F2062" s="5"/>
      <c r="J2062" s="5"/>
      <c r="N2062" s="5"/>
      <c r="R2062" s="5"/>
    </row>
    <row r="2063" spans="2:18" x14ac:dyDescent="0.2">
      <c r="B2063" s="5"/>
      <c r="F2063" s="5"/>
      <c r="J2063" s="5"/>
      <c r="N2063" s="5"/>
      <c r="R2063" s="5"/>
    </row>
    <row r="2064" spans="2:18" x14ac:dyDescent="0.2">
      <c r="B2064" s="5"/>
      <c r="F2064" s="5"/>
      <c r="J2064" s="5"/>
      <c r="N2064" s="5"/>
      <c r="R2064" s="5"/>
    </row>
    <row r="2065" spans="2:18" x14ac:dyDescent="0.2">
      <c r="B2065" s="5"/>
      <c r="F2065" s="5"/>
      <c r="J2065" s="5"/>
      <c r="N2065" s="5"/>
      <c r="R2065" s="5"/>
    </row>
    <row r="2066" spans="2:18" x14ac:dyDescent="0.2">
      <c r="B2066" s="5"/>
      <c r="F2066" s="5"/>
      <c r="J2066" s="5"/>
      <c r="N2066" s="5"/>
      <c r="R2066" s="5"/>
    </row>
    <row r="2067" spans="2:18" x14ac:dyDescent="0.2">
      <c r="B2067" s="5"/>
      <c r="F2067" s="5"/>
      <c r="J2067" s="5"/>
      <c r="N2067" s="5"/>
      <c r="R2067" s="5"/>
    </row>
    <row r="2068" spans="2:18" x14ac:dyDescent="0.2">
      <c r="B2068" s="5"/>
      <c r="F2068" s="5"/>
      <c r="J2068" s="5"/>
      <c r="N2068" s="5"/>
      <c r="R2068" s="5"/>
    </row>
    <row r="2069" spans="2:18" x14ac:dyDescent="0.2">
      <c r="B2069" s="5"/>
      <c r="F2069" s="5"/>
      <c r="J2069" s="5"/>
      <c r="N2069" s="5"/>
      <c r="R2069" s="5"/>
    </row>
    <row r="2070" spans="2:18" x14ac:dyDescent="0.2">
      <c r="B2070" s="5"/>
      <c r="F2070" s="5"/>
      <c r="J2070" s="5"/>
      <c r="N2070" s="5"/>
      <c r="R2070" s="5"/>
    </row>
    <row r="2071" spans="2:18" x14ac:dyDescent="0.2">
      <c r="B2071" s="5"/>
      <c r="F2071" s="5"/>
      <c r="J2071" s="5"/>
      <c r="N2071" s="5"/>
      <c r="R2071" s="5"/>
    </row>
    <row r="2072" spans="2:18" x14ac:dyDescent="0.2">
      <c r="B2072" s="5"/>
      <c r="F2072" s="5"/>
      <c r="J2072" s="5"/>
      <c r="N2072" s="5"/>
      <c r="R2072" s="5"/>
    </row>
    <row r="2073" spans="2:18" x14ac:dyDescent="0.2">
      <c r="B2073" s="5"/>
      <c r="F2073" s="5"/>
      <c r="J2073" s="5"/>
      <c r="N2073" s="5"/>
      <c r="R2073" s="5"/>
    </row>
    <row r="2074" spans="2:18" x14ac:dyDescent="0.2">
      <c r="B2074" s="5"/>
      <c r="F2074" s="5"/>
      <c r="J2074" s="5"/>
      <c r="N2074" s="5"/>
      <c r="R2074" s="5"/>
    </row>
    <row r="2075" spans="2:18" x14ac:dyDescent="0.2">
      <c r="B2075" s="5"/>
      <c r="F2075" s="5"/>
      <c r="J2075" s="5"/>
      <c r="N2075" s="5"/>
      <c r="R2075" s="5"/>
    </row>
    <row r="2076" spans="2:18" x14ac:dyDescent="0.2">
      <c r="B2076" s="5"/>
      <c r="F2076" s="5"/>
      <c r="J2076" s="5"/>
      <c r="N2076" s="5"/>
      <c r="R2076" s="5"/>
    </row>
    <row r="2077" spans="2:18" x14ac:dyDescent="0.2">
      <c r="B2077" s="5"/>
      <c r="F2077" s="5"/>
      <c r="J2077" s="5"/>
      <c r="N2077" s="5"/>
      <c r="R2077" s="5"/>
    </row>
    <row r="2078" spans="2:18" x14ac:dyDescent="0.2">
      <c r="B2078" s="5"/>
      <c r="F2078" s="5"/>
      <c r="J2078" s="5"/>
      <c r="N2078" s="5"/>
      <c r="R2078" s="5"/>
    </row>
    <row r="2079" spans="2:18" x14ac:dyDescent="0.2">
      <c r="B2079" s="5"/>
      <c r="F2079" s="5"/>
      <c r="J2079" s="5"/>
      <c r="N2079" s="5"/>
      <c r="R2079" s="5"/>
    </row>
    <row r="2080" spans="2:18" x14ac:dyDescent="0.2">
      <c r="B2080" s="5"/>
      <c r="F2080" s="5"/>
      <c r="J2080" s="5"/>
      <c r="N2080" s="5"/>
      <c r="R2080" s="5"/>
    </row>
    <row r="2081" spans="2:18" x14ac:dyDescent="0.2">
      <c r="B2081" s="5"/>
      <c r="F2081" s="5"/>
      <c r="J2081" s="5"/>
      <c r="N2081" s="5"/>
      <c r="R2081" s="5"/>
    </row>
    <row r="2082" spans="2:18" x14ac:dyDescent="0.2">
      <c r="B2082" s="5"/>
      <c r="F2082" s="5"/>
      <c r="J2082" s="5"/>
      <c r="N2082" s="5"/>
      <c r="R2082" s="5"/>
    </row>
    <row r="2083" spans="2:18" x14ac:dyDescent="0.2">
      <c r="B2083" s="5"/>
      <c r="F2083" s="5"/>
      <c r="J2083" s="5"/>
      <c r="N2083" s="5"/>
      <c r="R2083" s="5"/>
    </row>
    <row r="2084" spans="2:18" x14ac:dyDescent="0.2">
      <c r="B2084" s="5"/>
      <c r="F2084" s="5"/>
      <c r="J2084" s="5"/>
      <c r="N2084" s="5"/>
      <c r="R2084" s="5"/>
    </row>
    <row r="2085" spans="2:18" x14ac:dyDescent="0.2">
      <c r="B2085" s="5"/>
      <c r="F2085" s="5"/>
      <c r="J2085" s="5"/>
      <c r="N2085" s="5"/>
      <c r="R2085" s="5"/>
    </row>
    <row r="2086" spans="2:18" x14ac:dyDescent="0.2">
      <c r="B2086" s="5"/>
      <c r="F2086" s="5"/>
      <c r="J2086" s="5"/>
      <c r="N2086" s="5"/>
      <c r="R2086" s="5"/>
    </row>
    <row r="2087" spans="2:18" x14ac:dyDescent="0.2">
      <c r="B2087" s="5"/>
      <c r="F2087" s="5"/>
      <c r="J2087" s="5"/>
      <c r="N2087" s="5"/>
      <c r="R2087" s="5"/>
    </row>
    <row r="2088" spans="2:18" x14ac:dyDescent="0.2">
      <c r="B2088" s="5"/>
      <c r="F2088" s="5"/>
      <c r="J2088" s="5"/>
      <c r="N2088" s="5"/>
      <c r="R2088" s="5"/>
    </row>
    <row r="2089" spans="2:18" x14ac:dyDescent="0.2">
      <c r="B2089" s="5"/>
      <c r="F2089" s="5"/>
      <c r="J2089" s="5"/>
      <c r="N2089" s="5"/>
      <c r="R2089" s="5"/>
    </row>
    <row r="2090" spans="2:18" x14ac:dyDescent="0.2">
      <c r="B2090" s="5"/>
      <c r="F2090" s="5"/>
      <c r="J2090" s="5"/>
      <c r="N2090" s="5"/>
      <c r="R2090" s="5"/>
    </row>
    <row r="2091" spans="2:18" x14ac:dyDescent="0.2">
      <c r="B2091" s="5"/>
      <c r="F2091" s="5"/>
      <c r="J2091" s="5"/>
      <c r="N2091" s="5"/>
      <c r="R2091" s="5"/>
    </row>
    <row r="2092" spans="2:18" x14ac:dyDescent="0.2">
      <c r="B2092" s="5"/>
      <c r="F2092" s="5"/>
      <c r="J2092" s="5"/>
      <c r="N2092" s="5"/>
      <c r="R2092" s="5"/>
    </row>
    <row r="2093" spans="2:18" x14ac:dyDescent="0.2">
      <c r="B2093" s="5"/>
      <c r="F2093" s="5"/>
      <c r="J2093" s="5"/>
      <c r="N2093" s="5"/>
      <c r="R2093" s="5"/>
    </row>
    <row r="2094" spans="2:18" x14ac:dyDescent="0.2">
      <c r="B2094" s="5"/>
      <c r="F2094" s="5"/>
      <c r="J2094" s="5"/>
      <c r="N2094" s="5"/>
      <c r="R2094" s="5"/>
    </row>
    <row r="2095" spans="2:18" x14ac:dyDescent="0.2">
      <c r="B2095" s="5"/>
      <c r="F2095" s="5"/>
      <c r="J2095" s="5"/>
      <c r="N2095" s="5"/>
      <c r="R2095" s="5"/>
    </row>
    <row r="2096" spans="2:18" x14ac:dyDescent="0.2">
      <c r="B2096" s="5"/>
      <c r="F2096" s="5"/>
      <c r="J2096" s="5"/>
      <c r="N2096" s="5"/>
      <c r="R2096" s="5"/>
    </row>
    <row r="2097" spans="2:18" x14ac:dyDescent="0.2">
      <c r="B2097" s="5"/>
      <c r="F2097" s="5"/>
      <c r="J2097" s="5"/>
      <c r="N2097" s="5"/>
      <c r="R2097" s="5"/>
    </row>
    <row r="2098" spans="2:18" x14ac:dyDescent="0.2">
      <c r="B2098" s="5"/>
      <c r="F2098" s="5"/>
      <c r="J2098" s="5"/>
      <c r="N2098" s="5"/>
      <c r="R2098" s="5"/>
    </row>
    <row r="2099" spans="2:18" x14ac:dyDescent="0.2">
      <c r="B2099" s="5"/>
      <c r="F2099" s="5"/>
      <c r="J2099" s="5"/>
      <c r="N2099" s="5"/>
      <c r="R2099" s="5"/>
    </row>
    <row r="2100" spans="2:18" x14ac:dyDescent="0.2">
      <c r="B2100" s="5"/>
      <c r="F2100" s="5"/>
      <c r="J2100" s="5"/>
      <c r="N2100" s="5"/>
      <c r="R2100" s="5"/>
    </row>
    <row r="2101" spans="2:18" x14ac:dyDescent="0.2">
      <c r="B2101" s="5"/>
      <c r="F2101" s="5"/>
      <c r="J2101" s="5"/>
      <c r="N2101" s="5"/>
      <c r="R2101" s="5"/>
    </row>
    <row r="2102" spans="2:18" x14ac:dyDescent="0.2">
      <c r="B2102" s="5"/>
      <c r="F2102" s="5"/>
      <c r="J2102" s="5"/>
      <c r="N2102" s="5"/>
      <c r="R2102" s="5"/>
    </row>
    <row r="2103" spans="2:18" x14ac:dyDescent="0.2">
      <c r="B2103" s="5"/>
      <c r="F2103" s="5"/>
      <c r="J2103" s="5"/>
      <c r="N2103" s="5"/>
      <c r="R2103" s="5"/>
    </row>
    <row r="2104" spans="2:18" x14ac:dyDescent="0.2">
      <c r="B2104" s="5"/>
      <c r="F2104" s="5"/>
      <c r="J2104" s="5"/>
      <c r="N2104" s="5"/>
      <c r="R2104" s="5"/>
    </row>
    <row r="2105" spans="2:18" x14ac:dyDescent="0.2">
      <c r="B2105" s="5"/>
      <c r="F2105" s="5"/>
      <c r="J2105" s="5"/>
      <c r="N2105" s="5"/>
      <c r="R2105" s="5"/>
    </row>
    <row r="2106" spans="2:18" x14ac:dyDescent="0.2">
      <c r="B2106" s="5"/>
      <c r="F2106" s="5"/>
      <c r="J2106" s="5"/>
      <c r="N2106" s="5"/>
      <c r="R2106" s="5"/>
    </row>
    <row r="2107" spans="2:18" x14ac:dyDescent="0.2">
      <c r="B2107" s="5"/>
      <c r="F2107" s="5"/>
      <c r="J2107" s="5"/>
      <c r="N2107" s="5"/>
      <c r="R2107" s="5"/>
    </row>
    <row r="2108" spans="2:18" x14ac:dyDescent="0.2">
      <c r="B2108" s="5"/>
      <c r="F2108" s="5"/>
      <c r="J2108" s="5"/>
      <c r="N2108" s="5"/>
      <c r="R2108" s="5"/>
    </row>
    <row r="2109" spans="2:18" x14ac:dyDescent="0.2">
      <c r="B2109" s="5"/>
      <c r="F2109" s="5"/>
      <c r="J2109" s="5"/>
      <c r="N2109" s="5"/>
      <c r="R2109" s="5"/>
    </row>
    <row r="2110" spans="2:18" x14ac:dyDescent="0.2">
      <c r="B2110" s="5"/>
      <c r="F2110" s="5"/>
      <c r="J2110" s="5"/>
      <c r="N2110" s="5"/>
      <c r="R2110" s="5"/>
    </row>
    <row r="2111" spans="2:18" x14ac:dyDescent="0.2">
      <c r="B2111" s="5"/>
      <c r="F2111" s="5"/>
      <c r="J2111" s="5"/>
      <c r="N2111" s="5"/>
      <c r="R2111" s="5"/>
    </row>
    <row r="2112" spans="2:18" x14ac:dyDescent="0.2">
      <c r="B2112" s="5"/>
      <c r="F2112" s="5"/>
      <c r="J2112" s="5"/>
      <c r="N2112" s="5"/>
      <c r="R2112" s="5"/>
    </row>
    <row r="2113" spans="2:18" x14ac:dyDescent="0.2">
      <c r="B2113" s="5"/>
      <c r="F2113" s="5"/>
      <c r="J2113" s="5"/>
      <c r="N2113" s="5"/>
      <c r="R2113" s="5"/>
    </row>
    <row r="2114" spans="2:18" x14ac:dyDescent="0.2">
      <c r="B2114" s="5"/>
      <c r="F2114" s="5"/>
      <c r="J2114" s="5"/>
      <c r="N2114" s="5"/>
      <c r="R2114" s="5"/>
    </row>
    <row r="2115" spans="2:18" x14ac:dyDescent="0.2">
      <c r="B2115" s="5"/>
      <c r="F2115" s="5"/>
      <c r="J2115" s="5"/>
      <c r="N2115" s="5"/>
      <c r="R2115" s="5"/>
    </row>
    <row r="2116" spans="2:18" x14ac:dyDescent="0.2">
      <c r="B2116" s="5"/>
      <c r="F2116" s="5"/>
      <c r="J2116" s="5"/>
      <c r="N2116" s="5"/>
      <c r="R2116" s="5"/>
    </row>
    <row r="2117" spans="2:18" x14ac:dyDescent="0.2">
      <c r="B2117" s="5"/>
      <c r="F2117" s="5"/>
      <c r="J2117" s="5"/>
      <c r="N2117" s="5"/>
      <c r="R2117" s="5"/>
    </row>
    <row r="2118" spans="2:18" x14ac:dyDescent="0.2">
      <c r="B2118" s="5"/>
      <c r="F2118" s="5"/>
      <c r="J2118" s="5"/>
      <c r="N2118" s="5"/>
      <c r="R2118" s="5"/>
    </row>
    <row r="2119" spans="2:18" x14ac:dyDescent="0.2">
      <c r="B2119" s="5"/>
      <c r="F2119" s="5"/>
      <c r="J2119" s="5"/>
      <c r="N2119" s="5"/>
      <c r="R2119" s="5"/>
    </row>
    <row r="2120" spans="2:18" x14ac:dyDescent="0.2">
      <c r="B2120" s="5"/>
      <c r="F2120" s="5"/>
      <c r="J2120" s="5"/>
      <c r="N2120" s="5"/>
      <c r="R2120" s="5"/>
    </row>
    <row r="2121" spans="2:18" x14ac:dyDescent="0.2">
      <c r="B2121" s="5"/>
      <c r="F2121" s="5"/>
      <c r="J2121" s="5"/>
      <c r="N2121" s="5"/>
      <c r="R2121" s="5"/>
    </row>
    <row r="2122" spans="2:18" x14ac:dyDescent="0.2">
      <c r="B2122" s="5"/>
      <c r="F2122" s="5"/>
      <c r="J2122" s="5"/>
      <c r="N2122" s="5"/>
      <c r="R2122" s="5"/>
    </row>
    <row r="2123" spans="2:18" x14ac:dyDescent="0.2">
      <c r="B2123" s="5"/>
      <c r="F2123" s="5"/>
      <c r="J2123" s="5"/>
      <c r="N2123" s="5"/>
      <c r="R2123" s="5"/>
    </row>
    <row r="2124" spans="2:18" x14ac:dyDescent="0.2">
      <c r="B2124" s="5"/>
      <c r="F2124" s="5"/>
      <c r="J2124" s="5"/>
      <c r="N2124" s="5"/>
      <c r="R2124" s="5"/>
    </row>
    <row r="2125" spans="2:18" x14ac:dyDescent="0.2">
      <c r="B2125" s="5"/>
      <c r="F2125" s="5"/>
      <c r="J2125" s="5"/>
      <c r="N2125" s="5"/>
      <c r="R2125" s="5"/>
    </row>
    <row r="2126" spans="2:18" x14ac:dyDescent="0.2">
      <c r="B2126" s="5"/>
      <c r="F2126" s="5"/>
      <c r="J2126" s="5"/>
      <c r="N2126" s="5"/>
      <c r="R2126" s="5"/>
    </row>
    <row r="2127" spans="2:18" x14ac:dyDescent="0.2">
      <c r="B2127" s="5"/>
      <c r="F2127" s="5"/>
      <c r="J2127" s="5"/>
      <c r="N2127" s="5"/>
      <c r="R2127" s="5"/>
    </row>
    <row r="2128" spans="2:18" x14ac:dyDescent="0.2">
      <c r="B2128" s="5"/>
      <c r="F2128" s="5"/>
      <c r="J2128" s="5"/>
      <c r="N2128" s="5"/>
      <c r="R2128" s="5"/>
    </row>
    <row r="2129" spans="2:18" x14ac:dyDescent="0.2">
      <c r="B2129" s="5"/>
      <c r="F2129" s="5"/>
      <c r="J2129" s="5"/>
      <c r="N2129" s="5"/>
      <c r="R2129" s="5"/>
    </row>
    <row r="2130" spans="2:18" x14ac:dyDescent="0.2">
      <c r="B2130" s="5"/>
      <c r="F2130" s="5"/>
      <c r="J2130" s="5"/>
      <c r="N2130" s="5"/>
      <c r="R2130" s="5"/>
    </row>
    <row r="2131" spans="2:18" x14ac:dyDescent="0.2">
      <c r="B2131" s="5"/>
      <c r="F2131" s="5"/>
      <c r="J2131" s="5"/>
      <c r="N2131" s="5"/>
      <c r="R2131" s="5"/>
    </row>
    <row r="2132" spans="2:18" x14ac:dyDescent="0.2">
      <c r="B2132" s="5"/>
      <c r="F2132" s="5"/>
      <c r="J2132" s="5"/>
      <c r="N2132" s="5"/>
      <c r="R2132" s="5"/>
    </row>
    <row r="2133" spans="2:18" x14ac:dyDescent="0.2">
      <c r="B2133" s="5"/>
      <c r="F2133" s="5"/>
      <c r="J2133" s="5"/>
      <c r="N2133" s="5"/>
      <c r="R2133" s="5"/>
    </row>
    <row r="2134" spans="2:18" x14ac:dyDescent="0.2">
      <c r="B2134" s="5"/>
      <c r="F2134" s="5"/>
      <c r="J2134" s="5"/>
      <c r="N2134" s="5"/>
      <c r="R2134" s="5"/>
    </row>
    <row r="2135" spans="2:18" x14ac:dyDescent="0.2">
      <c r="B2135" s="5"/>
      <c r="F2135" s="5"/>
      <c r="J2135" s="5"/>
      <c r="N2135" s="5"/>
      <c r="R2135" s="5"/>
    </row>
    <row r="2136" spans="2:18" x14ac:dyDescent="0.2">
      <c r="B2136" s="5"/>
      <c r="F2136" s="5"/>
      <c r="J2136" s="5"/>
      <c r="N2136" s="5"/>
      <c r="R2136" s="5"/>
    </row>
    <row r="2137" spans="2:18" x14ac:dyDescent="0.2">
      <c r="B2137" s="5"/>
      <c r="F2137" s="5"/>
      <c r="J2137" s="5"/>
      <c r="N2137" s="5"/>
      <c r="R2137" s="5"/>
    </row>
    <row r="2138" spans="2:18" x14ac:dyDescent="0.2">
      <c r="B2138" s="5"/>
      <c r="F2138" s="5"/>
      <c r="J2138" s="5"/>
      <c r="N2138" s="5"/>
      <c r="R2138" s="5"/>
    </row>
    <row r="2139" spans="2:18" x14ac:dyDescent="0.2">
      <c r="B2139" s="5"/>
      <c r="F2139" s="5"/>
      <c r="J2139" s="5"/>
      <c r="N2139" s="5"/>
      <c r="R2139" s="5"/>
    </row>
    <row r="2140" spans="2:18" x14ac:dyDescent="0.2">
      <c r="B2140" s="5"/>
      <c r="F2140" s="5"/>
      <c r="J2140" s="5"/>
      <c r="N2140" s="5"/>
      <c r="R2140" s="5"/>
    </row>
    <row r="2141" spans="2:18" x14ac:dyDescent="0.2">
      <c r="B2141" s="5"/>
      <c r="F2141" s="5"/>
      <c r="J2141" s="5"/>
      <c r="N2141" s="5"/>
      <c r="R2141" s="5"/>
    </row>
    <row r="2142" spans="2:18" x14ac:dyDescent="0.2">
      <c r="B2142" s="5"/>
      <c r="F2142" s="5"/>
      <c r="J2142" s="5"/>
      <c r="N2142" s="5"/>
      <c r="R2142" s="5"/>
    </row>
    <row r="2143" spans="2:18" x14ac:dyDescent="0.2">
      <c r="B2143" s="5"/>
      <c r="F2143" s="5"/>
      <c r="J2143" s="5"/>
      <c r="N2143" s="5"/>
      <c r="R2143" s="5"/>
    </row>
    <row r="2144" spans="2:18" x14ac:dyDescent="0.2">
      <c r="B2144" s="5"/>
      <c r="F2144" s="5"/>
      <c r="J2144" s="5"/>
      <c r="N2144" s="5"/>
      <c r="R2144" s="5"/>
    </row>
    <row r="2145" spans="2:18" x14ac:dyDescent="0.2">
      <c r="B2145" s="5"/>
      <c r="F2145" s="5"/>
      <c r="J2145" s="5"/>
      <c r="N2145" s="5"/>
      <c r="R2145" s="5"/>
    </row>
    <row r="2146" spans="2:18" x14ac:dyDescent="0.2">
      <c r="B2146" s="5"/>
      <c r="F2146" s="5"/>
      <c r="J2146" s="5"/>
      <c r="N2146" s="5"/>
      <c r="R2146" s="5"/>
    </row>
    <row r="2147" spans="2:18" x14ac:dyDescent="0.2">
      <c r="B2147" s="5"/>
      <c r="F2147" s="5"/>
      <c r="J2147" s="5"/>
      <c r="N2147" s="5"/>
      <c r="R2147" s="5"/>
    </row>
    <row r="2148" spans="2:18" x14ac:dyDescent="0.2">
      <c r="B2148" s="5"/>
      <c r="F2148" s="5"/>
      <c r="J2148" s="5"/>
      <c r="N2148" s="5"/>
      <c r="R2148" s="5"/>
    </row>
    <row r="2149" spans="2:18" x14ac:dyDescent="0.2">
      <c r="B2149" s="5"/>
      <c r="F2149" s="5"/>
      <c r="J2149" s="5"/>
      <c r="N2149" s="5"/>
      <c r="R2149" s="5"/>
    </row>
    <row r="2150" spans="2:18" x14ac:dyDescent="0.2">
      <c r="B2150" s="5"/>
      <c r="F2150" s="5"/>
      <c r="J2150" s="5"/>
      <c r="N2150" s="5"/>
      <c r="R2150" s="5"/>
    </row>
    <row r="2151" spans="2:18" x14ac:dyDescent="0.2">
      <c r="B2151" s="5"/>
      <c r="F2151" s="5"/>
      <c r="J2151" s="5"/>
      <c r="N2151" s="5"/>
      <c r="R2151" s="5"/>
    </row>
    <row r="2152" spans="2:18" x14ac:dyDescent="0.2">
      <c r="B2152" s="5"/>
      <c r="F2152" s="5"/>
      <c r="J2152" s="5"/>
      <c r="N2152" s="5"/>
      <c r="R2152" s="5"/>
    </row>
    <row r="2153" spans="2:18" x14ac:dyDescent="0.2">
      <c r="B2153" s="5"/>
      <c r="F2153" s="5"/>
      <c r="J2153" s="5"/>
      <c r="N2153" s="5"/>
      <c r="R2153" s="5"/>
    </row>
    <row r="2154" spans="2:18" x14ac:dyDescent="0.2">
      <c r="B2154" s="5"/>
      <c r="F2154" s="5"/>
      <c r="J2154" s="5"/>
      <c r="N2154" s="5"/>
      <c r="R2154" s="5"/>
    </row>
    <row r="2155" spans="2:18" x14ac:dyDescent="0.2">
      <c r="B2155" s="5"/>
      <c r="F2155" s="5"/>
      <c r="J2155" s="5"/>
      <c r="N2155" s="5"/>
      <c r="R2155" s="5"/>
    </row>
    <row r="2156" spans="2:18" x14ac:dyDescent="0.2">
      <c r="B2156" s="5"/>
      <c r="F2156" s="5"/>
      <c r="J2156" s="5"/>
      <c r="N2156" s="5"/>
      <c r="R2156" s="5"/>
    </row>
    <row r="2157" spans="2:18" x14ac:dyDescent="0.2">
      <c r="B2157" s="5"/>
      <c r="F2157" s="5"/>
      <c r="J2157" s="5"/>
      <c r="N2157" s="5"/>
      <c r="R2157" s="5"/>
    </row>
    <row r="2158" spans="2:18" x14ac:dyDescent="0.2">
      <c r="B2158" s="5"/>
      <c r="F2158" s="5"/>
      <c r="J2158" s="5"/>
      <c r="N2158" s="5"/>
      <c r="R2158" s="5"/>
    </row>
    <row r="2159" spans="2:18" x14ac:dyDescent="0.2">
      <c r="B2159" s="5"/>
      <c r="F2159" s="5"/>
      <c r="J2159" s="5"/>
      <c r="N2159" s="5"/>
      <c r="R2159" s="5"/>
    </row>
    <row r="2160" spans="2:18" x14ac:dyDescent="0.2">
      <c r="B2160" s="5"/>
      <c r="F2160" s="5"/>
      <c r="J2160" s="5"/>
      <c r="N2160" s="5"/>
      <c r="R2160" s="5"/>
    </row>
    <row r="2161" spans="2:18" x14ac:dyDescent="0.2">
      <c r="B2161" s="5"/>
      <c r="F2161" s="5"/>
      <c r="J2161" s="5"/>
      <c r="N2161" s="5"/>
      <c r="R2161" s="5"/>
    </row>
    <row r="2162" spans="2:18" x14ac:dyDescent="0.2">
      <c r="B2162" s="5"/>
      <c r="F2162" s="5"/>
      <c r="J2162" s="5"/>
      <c r="N2162" s="5"/>
      <c r="R2162" s="5"/>
    </row>
    <row r="2163" spans="2:18" x14ac:dyDescent="0.2">
      <c r="B2163" s="5"/>
      <c r="F2163" s="5"/>
      <c r="J2163" s="5"/>
      <c r="N2163" s="5"/>
      <c r="R2163" s="5"/>
    </row>
    <row r="2164" spans="2:18" x14ac:dyDescent="0.2">
      <c r="B2164" s="5"/>
      <c r="F2164" s="5"/>
      <c r="J2164" s="5"/>
      <c r="N2164" s="5"/>
      <c r="R2164" s="5"/>
    </row>
    <row r="2165" spans="2:18" x14ac:dyDescent="0.2">
      <c r="B2165" s="5"/>
      <c r="F2165" s="5"/>
      <c r="J2165" s="5"/>
      <c r="N2165" s="5"/>
      <c r="R2165" s="5"/>
    </row>
    <row r="2166" spans="2:18" x14ac:dyDescent="0.2">
      <c r="B2166" s="5"/>
      <c r="F2166" s="5"/>
      <c r="J2166" s="5"/>
      <c r="N2166" s="5"/>
      <c r="R2166" s="5"/>
    </row>
    <row r="2167" spans="2:18" x14ac:dyDescent="0.2">
      <c r="B2167" s="5"/>
      <c r="F2167" s="5"/>
      <c r="J2167" s="5"/>
      <c r="N2167" s="5"/>
      <c r="R2167" s="5"/>
    </row>
    <row r="2168" spans="2:18" x14ac:dyDescent="0.2">
      <c r="B2168" s="5"/>
      <c r="F2168" s="5"/>
      <c r="J2168" s="5"/>
      <c r="N2168" s="5"/>
      <c r="R2168" s="5"/>
    </row>
    <row r="2169" spans="2:18" x14ac:dyDescent="0.2">
      <c r="B2169" s="5"/>
      <c r="F2169" s="5"/>
      <c r="J2169" s="5"/>
      <c r="N2169" s="5"/>
      <c r="R2169" s="5"/>
    </row>
    <row r="2170" spans="2:18" x14ac:dyDescent="0.2">
      <c r="B2170" s="5"/>
      <c r="F2170" s="5"/>
      <c r="J2170" s="5"/>
      <c r="N2170" s="5"/>
      <c r="R2170" s="5"/>
    </row>
    <row r="2171" spans="2:18" x14ac:dyDescent="0.2">
      <c r="B2171" s="5"/>
      <c r="F2171" s="5"/>
      <c r="J2171" s="5"/>
      <c r="N2171" s="5"/>
      <c r="R2171" s="5"/>
    </row>
    <row r="2172" spans="2:18" x14ac:dyDescent="0.2">
      <c r="B2172" s="5"/>
      <c r="F2172" s="5"/>
      <c r="J2172" s="5"/>
      <c r="N2172" s="5"/>
      <c r="R2172" s="5"/>
    </row>
    <row r="2173" spans="2:18" x14ac:dyDescent="0.2">
      <c r="B2173" s="5"/>
      <c r="F2173" s="5"/>
      <c r="J2173" s="5"/>
      <c r="N2173" s="5"/>
      <c r="R2173" s="5"/>
    </row>
    <row r="2174" spans="2:18" x14ac:dyDescent="0.2">
      <c r="B2174" s="5"/>
      <c r="F2174" s="5"/>
      <c r="J2174" s="5"/>
      <c r="N2174" s="5"/>
      <c r="R2174" s="5"/>
    </row>
    <row r="2175" spans="2:18" x14ac:dyDescent="0.2">
      <c r="B2175" s="5"/>
      <c r="F2175" s="5"/>
      <c r="J2175" s="5"/>
      <c r="N2175" s="5"/>
      <c r="R2175" s="5"/>
    </row>
    <row r="2176" spans="2:18" x14ac:dyDescent="0.2">
      <c r="B2176" s="5"/>
      <c r="F2176" s="5"/>
      <c r="J2176" s="5"/>
      <c r="N2176" s="5"/>
      <c r="R2176" s="5"/>
    </row>
    <row r="2177" spans="2:18" x14ac:dyDescent="0.2">
      <c r="B2177" s="5"/>
      <c r="F2177" s="5"/>
      <c r="J2177" s="5"/>
      <c r="N2177" s="5"/>
      <c r="R2177" s="5"/>
    </row>
    <row r="2178" spans="2:18" x14ac:dyDescent="0.2">
      <c r="B2178" s="5"/>
      <c r="F2178" s="5"/>
      <c r="J2178" s="5"/>
      <c r="N2178" s="5"/>
      <c r="R2178" s="5"/>
    </row>
    <row r="2179" spans="2:18" x14ac:dyDescent="0.2">
      <c r="B2179" s="5"/>
      <c r="F2179" s="5"/>
      <c r="J2179" s="5"/>
      <c r="N2179" s="5"/>
      <c r="R2179" s="5"/>
    </row>
    <row r="2180" spans="2:18" x14ac:dyDescent="0.2">
      <c r="B2180" s="5"/>
      <c r="F2180" s="5"/>
      <c r="J2180" s="5"/>
      <c r="N2180" s="5"/>
      <c r="R2180" s="5"/>
    </row>
    <row r="2181" spans="2:18" x14ac:dyDescent="0.2">
      <c r="B2181" s="5"/>
      <c r="F2181" s="5"/>
      <c r="J2181" s="5"/>
      <c r="N2181" s="5"/>
      <c r="R2181" s="5"/>
    </row>
    <row r="2182" spans="2:18" x14ac:dyDescent="0.2">
      <c r="B2182" s="5"/>
      <c r="F2182" s="5"/>
      <c r="J2182" s="5"/>
      <c r="N2182" s="5"/>
      <c r="R2182" s="5"/>
    </row>
    <row r="2183" spans="2:18" x14ac:dyDescent="0.2">
      <c r="B2183" s="5"/>
      <c r="F2183" s="5"/>
      <c r="J2183" s="5"/>
      <c r="N2183" s="5"/>
      <c r="R2183" s="5"/>
    </row>
    <row r="2184" spans="2:18" x14ac:dyDescent="0.2">
      <c r="B2184" s="5"/>
      <c r="F2184" s="5"/>
      <c r="J2184" s="5"/>
      <c r="N2184" s="5"/>
      <c r="R2184" s="5"/>
    </row>
    <row r="2185" spans="2:18" x14ac:dyDescent="0.2">
      <c r="B2185" s="5"/>
      <c r="F2185" s="5"/>
      <c r="J2185" s="5"/>
      <c r="N2185" s="5"/>
      <c r="R2185" s="5"/>
    </row>
    <row r="2186" spans="2:18" x14ac:dyDescent="0.2">
      <c r="B2186" s="5"/>
      <c r="F2186" s="5"/>
      <c r="J2186" s="5"/>
      <c r="N2186" s="5"/>
      <c r="R2186" s="5"/>
    </row>
    <row r="2187" spans="2:18" x14ac:dyDescent="0.2">
      <c r="B2187" s="5"/>
      <c r="F2187" s="5"/>
      <c r="J2187" s="5"/>
      <c r="N2187" s="5"/>
      <c r="R2187" s="5"/>
    </row>
    <row r="2188" spans="2:18" x14ac:dyDescent="0.2">
      <c r="B2188" s="5"/>
      <c r="F2188" s="5"/>
      <c r="J2188" s="5"/>
      <c r="N2188" s="5"/>
      <c r="R2188" s="5"/>
    </row>
    <row r="2189" spans="2:18" x14ac:dyDescent="0.2">
      <c r="B2189" s="5"/>
      <c r="F2189" s="5"/>
      <c r="J2189" s="5"/>
      <c r="N2189" s="5"/>
      <c r="R2189" s="5"/>
    </row>
    <row r="2190" spans="2:18" x14ac:dyDescent="0.2">
      <c r="B2190" s="5"/>
      <c r="F2190" s="5"/>
      <c r="J2190" s="5"/>
      <c r="N2190" s="5"/>
      <c r="R2190" s="5"/>
    </row>
    <row r="2191" spans="2:18" x14ac:dyDescent="0.2">
      <c r="B2191" s="5"/>
      <c r="F2191" s="5"/>
      <c r="J2191" s="5"/>
      <c r="N2191" s="5"/>
      <c r="R2191" s="5"/>
    </row>
    <row r="2192" spans="2:18" x14ac:dyDescent="0.2">
      <c r="B2192" s="5"/>
      <c r="F2192" s="5"/>
      <c r="J2192" s="5"/>
      <c r="N2192" s="5"/>
      <c r="R2192" s="5"/>
    </row>
    <row r="2193" spans="2:18" x14ac:dyDescent="0.2">
      <c r="B2193" s="5"/>
      <c r="F2193" s="5"/>
      <c r="J2193" s="5"/>
      <c r="N2193" s="5"/>
      <c r="R2193" s="5"/>
    </row>
    <row r="2194" spans="2:18" x14ac:dyDescent="0.2">
      <c r="B2194" s="5"/>
      <c r="F2194" s="5"/>
      <c r="J2194" s="5"/>
      <c r="N2194" s="5"/>
      <c r="R2194" s="5"/>
    </row>
    <row r="2195" spans="2:18" x14ac:dyDescent="0.2">
      <c r="B2195" s="5"/>
      <c r="F2195" s="5"/>
      <c r="J2195" s="5"/>
      <c r="N2195" s="5"/>
      <c r="R2195" s="5"/>
    </row>
    <row r="2196" spans="2:18" x14ac:dyDescent="0.2">
      <c r="B2196" s="5"/>
      <c r="F2196" s="5"/>
      <c r="J2196" s="5"/>
      <c r="N2196" s="5"/>
      <c r="R2196" s="5"/>
    </row>
    <row r="2197" spans="2:18" x14ac:dyDescent="0.2">
      <c r="B2197" s="5"/>
      <c r="F2197" s="5"/>
      <c r="J2197" s="5"/>
      <c r="N2197" s="5"/>
      <c r="R2197" s="5"/>
    </row>
    <row r="2198" spans="2:18" x14ac:dyDescent="0.2">
      <c r="B2198" s="5"/>
      <c r="F2198" s="5"/>
      <c r="J2198" s="5"/>
      <c r="N2198" s="5"/>
      <c r="R2198" s="5"/>
    </row>
    <row r="2199" spans="2:18" x14ac:dyDescent="0.2">
      <c r="B2199" s="5"/>
      <c r="F2199" s="5"/>
      <c r="J2199" s="5"/>
      <c r="N2199" s="5"/>
      <c r="R2199" s="5"/>
    </row>
    <row r="2200" spans="2:18" x14ac:dyDescent="0.2">
      <c r="B2200" s="5"/>
      <c r="F2200" s="5"/>
      <c r="J2200" s="5"/>
      <c r="N2200" s="5"/>
      <c r="R2200" s="5"/>
    </row>
    <row r="2201" spans="2:18" x14ac:dyDescent="0.2">
      <c r="B2201" s="5"/>
      <c r="F2201" s="5"/>
      <c r="J2201" s="5"/>
      <c r="N2201" s="5"/>
      <c r="R2201" s="5"/>
    </row>
    <row r="2202" spans="2:18" x14ac:dyDescent="0.2">
      <c r="B2202" s="5"/>
      <c r="F2202" s="5"/>
      <c r="J2202" s="5"/>
      <c r="N2202" s="5"/>
      <c r="R2202" s="5"/>
    </row>
    <row r="2203" spans="2:18" x14ac:dyDescent="0.2">
      <c r="B2203" s="5"/>
      <c r="F2203" s="5"/>
      <c r="J2203" s="5"/>
      <c r="N2203" s="5"/>
      <c r="R2203" s="5"/>
    </row>
    <row r="2204" spans="2:18" x14ac:dyDescent="0.2">
      <c r="B2204" s="5"/>
      <c r="F2204" s="5"/>
      <c r="J2204" s="5"/>
      <c r="N2204" s="5"/>
      <c r="R2204" s="5"/>
    </row>
    <row r="2205" spans="2:18" x14ac:dyDescent="0.2">
      <c r="B2205" s="5"/>
      <c r="F2205" s="5"/>
      <c r="J2205" s="5"/>
      <c r="N2205" s="5"/>
      <c r="R2205" s="5"/>
    </row>
    <row r="2206" spans="2:18" x14ac:dyDescent="0.2">
      <c r="B2206" s="5"/>
      <c r="F2206" s="5"/>
      <c r="J2206" s="5"/>
      <c r="N2206" s="5"/>
      <c r="R2206" s="5"/>
    </row>
    <row r="2207" spans="2:18" x14ac:dyDescent="0.2">
      <c r="B2207" s="5"/>
      <c r="F2207" s="5"/>
      <c r="J2207" s="5"/>
      <c r="N2207" s="5"/>
      <c r="R2207" s="5"/>
    </row>
    <row r="2208" spans="2:18" x14ac:dyDescent="0.2">
      <c r="B2208" s="5"/>
      <c r="F2208" s="5"/>
      <c r="J2208" s="5"/>
      <c r="N2208" s="5"/>
      <c r="R2208" s="5"/>
    </row>
    <row r="2209" spans="2:18" x14ac:dyDescent="0.2">
      <c r="B2209" s="5"/>
      <c r="F2209" s="5"/>
      <c r="J2209" s="5"/>
      <c r="N2209" s="5"/>
      <c r="R2209" s="5"/>
    </row>
    <row r="2210" spans="2:18" x14ac:dyDescent="0.2">
      <c r="B2210" s="5"/>
      <c r="F2210" s="5"/>
      <c r="J2210" s="5"/>
      <c r="N2210" s="5"/>
      <c r="R2210" s="5"/>
    </row>
    <row r="2211" spans="2:18" x14ac:dyDescent="0.2">
      <c r="B2211" s="5"/>
      <c r="F2211" s="5"/>
      <c r="J2211" s="5"/>
      <c r="N2211" s="5"/>
      <c r="R2211" s="5"/>
    </row>
    <row r="2212" spans="2:18" x14ac:dyDescent="0.2">
      <c r="B2212" s="5"/>
      <c r="F2212" s="5"/>
      <c r="J2212" s="5"/>
      <c r="N2212" s="5"/>
      <c r="R2212" s="5"/>
    </row>
    <row r="2213" spans="2:18" x14ac:dyDescent="0.2">
      <c r="B2213" s="5"/>
      <c r="F2213" s="5"/>
      <c r="J2213" s="5"/>
      <c r="N2213" s="5"/>
      <c r="R2213" s="5"/>
    </row>
    <row r="2214" spans="2:18" x14ac:dyDescent="0.2">
      <c r="B2214" s="5"/>
      <c r="F2214" s="5"/>
      <c r="J2214" s="5"/>
      <c r="N2214" s="5"/>
      <c r="R2214" s="5"/>
    </row>
    <row r="2215" spans="2:18" x14ac:dyDescent="0.2">
      <c r="B2215" s="5"/>
      <c r="F2215" s="5"/>
      <c r="J2215" s="5"/>
      <c r="N2215" s="5"/>
      <c r="R2215" s="5"/>
    </row>
    <row r="2216" spans="2:18" x14ac:dyDescent="0.2">
      <c r="B2216" s="5"/>
      <c r="F2216" s="5"/>
      <c r="J2216" s="5"/>
      <c r="N2216" s="5"/>
      <c r="R2216" s="5"/>
    </row>
    <row r="2217" spans="2:18" x14ac:dyDescent="0.2">
      <c r="B2217" s="5"/>
      <c r="F2217" s="5"/>
      <c r="J2217" s="5"/>
      <c r="N2217" s="5"/>
      <c r="R2217" s="5"/>
    </row>
    <row r="2218" spans="2:18" x14ac:dyDescent="0.2">
      <c r="B2218" s="5"/>
      <c r="F2218" s="5"/>
      <c r="J2218" s="5"/>
      <c r="N2218" s="5"/>
      <c r="R2218" s="5"/>
    </row>
    <row r="2219" spans="2:18" x14ac:dyDescent="0.2">
      <c r="B2219" s="5"/>
      <c r="F2219" s="5"/>
      <c r="J2219" s="5"/>
      <c r="N2219" s="5"/>
      <c r="R2219" s="5"/>
    </row>
    <row r="2220" spans="2:18" x14ac:dyDescent="0.2">
      <c r="B2220" s="5"/>
      <c r="F2220" s="5"/>
      <c r="J2220" s="5"/>
      <c r="N2220" s="5"/>
      <c r="R2220" s="5"/>
    </row>
    <row r="2221" spans="2:18" x14ac:dyDescent="0.2">
      <c r="B2221" s="5"/>
      <c r="F2221" s="5"/>
      <c r="J2221" s="5"/>
      <c r="N2221" s="5"/>
      <c r="R2221" s="5"/>
    </row>
    <row r="2222" spans="2:18" x14ac:dyDescent="0.2">
      <c r="B2222" s="5"/>
      <c r="F2222" s="5"/>
      <c r="J2222" s="5"/>
      <c r="N2222" s="5"/>
      <c r="R2222" s="5"/>
    </row>
    <row r="2223" spans="2:18" x14ac:dyDescent="0.2">
      <c r="B2223" s="5"/>
      <c r="F2223" s="5"/>
      <c r="J2223" s="5"/>
      <c r="N2223" s="5"/>
      <c r="R2223" s="5"/>
    </row>
    <row r="2224" spans="2:18" x14ac:dyDescent="0.2">
      <c r="B2224" s="5"/>
      <c r="F2224" s="5"/>
      <c r="J2224" s="5"/>
      <c r="N2224" s="5"/>
      <c r="R2224" s="5"/>
    </row>
    <row r="2225" spans="2:18" x14ac:dyDescent="0.2">
      <c r="B2225" s="5"/>
      <c r="F2225" s="5"/>
      <c r="J2225" s="5"/>
      <c r="N2225" s="5"/>
      <c r="R2225" s="5"/>
    </row>
    <row r="2226" spans="2:18" x14ac:dyDescent="0.2">
      <c r="B2226" s="5"/>
      <c r="F2226" s="5"/>
      <c r="J2226" s="5"/>
      <c r="N2226" s="5"/>
      <c r="R2226" s="5"/>
    </row>
    <row r="2227" spans="2:18" x14ac:dyDescent="0.2">
      <c r="B2227" s="5"/>
      <c r="F2227" s="5"/>
      <c r="J2227" s="5"/>
      <c r="N2227" s="5"/>
      <c r="R2227" s="5"/>
    </row>
    <row r="2228" spans="2:18" x14ac:dyDescent="0.2">
      <c r="B2228" s="5"/>
      <c r="F2228" s="5"/>
      <c r="J2228" s="5"/>
      <c r="N2228" s="5"/>
      <c r="R2228" s="5"/>
    </row>
    <row r="2229" spans="2:18" x14ac:dyDescent="0.2">
      <c r="B2229" s="5"/>
      <c r="F2229" s="5"/>
      <c r="J2229" s="5"/>
      <c r="N2229" s="5"/>
      <c r="R2229" s="5"/>
    </row>
    <row r="2230" spans="2:18" x14ac:dyDescent="0.2">
      <c r="B2230" s="5"/>
      <c r="F2230" s="5"/>
      <c r="J2230" s="5"/>
      <c r="N2230" s="5"/>
      <c r="R2230" s="5"/>
    </row>
    <row r="2231" spans="2:18" x14ac:dyDescent="0.2">
      <c r="B2231" s="5"/>
      <c r="F2231" s="5"/>
      <c r="J2231" s="5"/>
      <c r="N2231" s="5"/>
      <c r="R2231" s="5"/>
    </row>
    <row r="2232" spans="2:18" x14ac:dyDescent="0.2">
      <c r="B2232" s="5"/>
      <c r="F2232" s="5"/>
      <c r="J2232" s="5"/>
      <c r="N2232" s="5"/>
      <c r="R2232" s="5"/>
    </row>
    <row r="2233" spans="2:18" x14ac:dyDescent="0.2">
      <c r="B2233" s="5"/>
      <c r="F2233" s="5"/>
      <c r="J2233" s="5"/>
      <c r="N2233" s="5"/>
      <c r="R2233" s="5"/>
    </row>
    <row r="2234" spans="2:18" x14ac:dyDescent="0.2">
      <c r="B2234" s="5"/>
      <c r="F2234" s="5"/>
      <c r="J2234" s="5"/>
      <c r="N2234" s="5"/>
      <c r="R2234" s="5"/>
    </row>
    <row r="2235" spans="2:18" x14ac:dyDescent="0.2">
      <c r="B2235" s="5"/>
      <c r="F2235" s="5"/>
      <c r="J2235" s="5"/>
      <c r="N2235" s="5"/>
      <c r="R2235" s="5"/>
    </row>
    <row r="2236" spans="2:18" x14ac:dyDescent="0.2">
      <c r="B2236" s="5"/>
      <c r="F2236" s="5"/>
      <c r="J2236" s="5"/>
      <c r="N2236" s="5"/>
      <c r="R2236" s="5"/>
    </row>
    <row r="2237" spans="2:18" x14ac:dyDescent="0.2">
      <c r="B2237" s="5"/>
      <c r="F2237" s="5"/>
      <c r="J2237" s="5"/>
      <c r="N2237" s="5"/>
      <c r="R2237" s="5"/>
    </row>
    <row r="2238" spans="2:18" x14ac:dyDescent="0.2">
      <c r="B2238" s="5"/>
      <c r="F2238" s="5"/>
      <c r="J2238" s="5"/>
      <c r="N2238" s="5"/>
      <c r="R2238" s="5"/>
    </row>
    <row r="2239" spans="2:18" x14ac:dyDescent="0.2">
      <c r="B2239" s="5"/>
      <c r="F2239" s="5"/>
      <c r="J2239" s="5"/>
      <c r="N2239" s="5"/>
      <c r="R2239" s="5"/>
    </row>
    <row r="2240" spans="2:18" x14ac:dyDescent="0.2">
      <c r="B2240" s="5"/>
      <c r="F2240" s="5"/>
      <c r="J2240" s="5"/>
      <c r="N2240" s="5"/>
      <c r="R2240" s="5"/>
    </row>
    <row r="2241" spans="2:18" x14ac:dyDescent="0.2">
      <c r="B2241" s="5"/>
      <c r="F2241" s="5"/>
      <c r="J2241" s="5"/>
      <c r="N2241" s="5"/>
      <c r="R2241" s="5"/>
    </row>
    <row r="2242" spans="2:18" x14ac:dyDescent="0.2">
      <c r="B2242" s="5"/>
      <c r="F2242" s="5"/>
      <c r="J2242" s="5"/>
      <c r="N2242" s="5"/>
      <c r="R2242" s="5"/>
    </row>
    <row r="2243" spans="2:18" x14ac:dyDescent="0.2">
      <c r="B2243" s="5"/>
      <c r="F2243" s="5"/>
      <c r="J2243" s="5"/>
      <c r="N2243" s="5"/>
      <c r="R2243" s="5"/>
    </row>
    <row r="2244" spans="2:18" x14ac:dyDescent="0.2">
      <c r="B2244" s="5"/>
      <c r="F2244" s="5"/>
      <c r="J2244" s="5"/>
      <c r="N2244" s="5"/>
      <c r="R2244" s="5"/>
    </row>
    <row r="2245" spans="2:18" x14ac:dyDescent="0.2">
      <c r="B2245" s="5"/>
      <c r="F2245" s="5"/>
      <c r="J2245" s="5"/>
      <c r="N2245" s="5"/>
      <c r="R2245" s="5"/>
    </row>
    <row r="2246" spans="2:18" x14ac:dyDescent="0.2">
      <c r="B2246" s="5"/>
      <c r="F2246" s="5"/>
      <c r="J2246" s="5"/>
      <c r="N2246" s="5"/>
      <c r="R2246" s="5"/>
    </row>
    <row r="2247" spans="2:18" x14ac:dyDescent="0.2">
      <c r="B2247" s="5"/>
      <c r="F2247" s="5"/>
      <c r="J2247" s="5"/>
      <c r="N2247" s="5"/>
      <c r="R2247" s="5"/>
    </row>
    <row r="2248" spans="2:18" x14ac:dyDescent="0.2">
      <c r="B2248" s="5"/>
      <c r="F2248" s="5"/>
      <c r="J2248" s="5"/>
      <c r="N2248" s="5"/>
      <c r="R2248" s="5"/>
    </row>
    <row r="2249" spans="2:18" x14ac:dyDescent="0.2">
      <c r="B2249" s="5"/>
      <c r="F2249" s="5"/>
      <c r="J2249" s="5"/>
      <c r="N2249" s="5"/>
      <c r="R2249" s="5"/>
    </row>
    <row r="2250" spans="2:18" x14ac:dyDescent="0.2">
      <c r="B2250" s="5"/>
      <c r="F2250" s="5"/>
      <c r="J2250" s="5"/>
      <c r="N2250" s="5"/>
      <c r="R2250" s="5"/>
    </row>
    <row r="2251" spans="2:18" x14ac:dyDescent="0.2">
      <c r="B2251" s="5"/>
      <c r="F2251" s="5"/>
      <c r="J2251" s="5"/>
      <c r="N2251" s="5"/>
      <c r="R2251" s="5"/>
    </row>
    <row r="2252" spans="2:18" x14ac:dyDescent="0.2">
      <c r="B2252" s="5"/>
      <c r="F2252" s="5"/>
      <c r="J2252" s="5"/>
      <c r="N2252" s="5"/>
      <c r="R2252" s="5"/>
    </row>
    <row r="2253" spans="2:18" x14ac:dyDescent="0.2">
      <c r="B2253" s="5"/>
      <c r="F2253" s="5"/>
      <c r="J2253" s="5"/>
      <c r="N2253" s="5"/>
      <c r="R2253" s="5"/>
    </row>
    <row r="2254" spans="2:18" x14ac:dyDescent="0.2">
      <c r="B2254" s="5"/>
      <c r="F2254" s="5"/>
      <c r="J2254" s="5"/>
      <c r="N2254" s="5"/>
      <c r="R2254" s="5"/>
    </row>
    <row r="2255" spans="2:18" x14ac:dyDescent="0.2">
      <c r="B2255" s="5"/>
      <c r="F2255" s="5"/>
      <c r="J2255" s="5"/>
      <c r="N2255" s="5"/>
      <c r="R2255" s="5"/>
    </row>
    <row r="2256" spans="2:18" x14ac:dyDescent="0.2">
      <c r="B2256" s="5"/>
      <c r="F2256" s="5"/>
      <c r="J2256" s="5"/>
      <c r="N2256" s="5"/>
      <c r="R2256" s="5"/>
    </row>
    <row r="2257" spans="2:18" x14ac:dyDescent="0.2">
      <c r="B2257" s="5"/>
      <c r="F2257" s="5"/>
      <c r="J2257" s="5"/>
      <c r="N2257" s="5"/>
      <c r="R2257" s="5"/>
    </row>
    <row r="2258" spans="2:18" x14ac:dyDescent="0.2">
      <c r="B2258" s="5"/>
      <c r="F2258" s="5"/>
      <c r="J2258" s="5"/>
      <c r="N2258" s="5"/>
      <c r="R2258" s="5"/>
    </row>
    <row r="2259" spans="2:18" x14ac:dyDescent="0.2">
      <c r="B2259" s="5"/>
      <c r="F2259" s="5"/>
      <c r="J2259" s="5"/>
      <c r="N2259" s="5"/>
      <c r="R2259" s="5"/>
    </row>
    <row r="2260" spans="2:18" x14ac:dyDescent="0.2">
      <c r="B2260" s="5"/>
      <c r="F2260" s="5"/>
      <c r="J2260" s="5"/>
      <c r="N2260" s="5"/>
      <c r="R2260" s="5"/>
    </row>
    <row r="2261" spans="2:18" x14ac:dyDescent="0.2">
      <c r="B2261" s="5"/>
      <c r="F2261" s="5"/>
      <c r="J2261" s="5"/>
      <c r="N2261" s="5"/>
      <c r="R2261" s="5"/>
    </row>
    <row r="2262" spans="2:18" x14ac:dyDescent="0.2">
      <c r="B2262" s="5"/>
      <c r="F2262" s="5"/>
      <c r="J2262" s="5"/>
      <c r="N2262" s="5"/>
      <c r="R2262" s="5"/>
    </row>
    <row r="2263" spans="2:18" x14ac:dyDescent="0.2">
      <c r="B2263" s="5"/>
      <c r="F2263" s="5"/>
      <c r="J2263" s="5"/>
      <c r="N2263" s="5"/>
      <c r="R2263" s="5"/>
    </row>
    <row r="2264" spans="2:18" x14ac:dyDescent="0.2">
      <c r="B2264" s="5"/>
      <c r="F2264" s="5"/>
      <c r="J2264" s="5"/>
      <c r="N2264" s="5"/>
      <c r="R2264" s="5"/>
    </row>
    <row r="2265" spans="2:18" x14ac:dyDescent="0.2">
      <c r="B2265" s="5"/>
      <c r="F2265" s="5"/>
      <c r="J2265" s="5"/>
      <c r="N2265" s="5"/>
      <c r="R2265" s="5"/>
    </row>
    <row r="2266" spans="2:18" x14ac:dyDescent="0.2">
      <c r="B2266" s="5"/>
      <c r="F2266" s="5"/>
      <c r="J2266" s="5"/>
      <c r="N2266" s="5"/>
      <c r="R2266" s="5"/>
    </row>
    <row r="2267" spans="2:18" x14ac:dyDescent="0.2">
      <c r="B2267" s="5"/>
      <c r="F2267" s="5"/>
      <c r="J2267" s="5"/>
      <c r="N2267" s="5"/>
      <c r="R2267" s="5"/>
    </row>
    <row r="2268" spans="2:18" x14ac:dyDescent="0.2">
      <c r="B2268" s="5"/>
      <c r="F2268" s="5"/>
      <c r="J2268" s="5"/>
      <c r="N2268" s="5"/>
      <c r="R2268" s="5"/>
    </row>
    <row r="2269" spans="2:18" x14ac:dyDescent="0.2">
      <c r="B2269" s="5"/>
      <c r="F2269" s="5"/>
      <c r="J2269" s="5"/>
      <c r="N2269" s="5"/>
      <c r="R2269" s="5"/>
    </row>
    <row r="2270" spans="2:18" x14ac:dyDescent="0.2">
      <c r="B2270" s="5"/>
      <c r="F2270" s="5"/>
      <c r="J2270" s="5"/>
      <c r="N2270" s="5"/>
      <c r="R2270" s="5"/>
    </row>
    <row r="2271" spans="2:18" x14ac:dyDescent="0.2">
      <c r="B2271" s="5"/>
      <c r="F2271" s="5"/>
      <c r="J2271" s="5"/>
      <c r="N2271" s="5"/>
      <c r="R2271" s="5"/>
    </row>
    <row r="2272" spans="2:18" x14ac:dyDescent="0.2">
      <c r="B2272" s="5"/>
      <c r="F2272" s="5"/>
      <c r="J2272" s="5"/>
      <c r="N2272" s="5"/>
      <c r="R2272" s="5"/>
    </row>
    <row r="2273" spans="2:18" x14ac:dyDescent="0.2">
      <c r="B2273" s="5"/>
      <c r="F2273" s="5"/>
      <c r="J2273" s="5"/>
      <c r="N2273" s="5"/>
      <c r="R2273" s="5"/>
    </row>
    <row r="2274" spans="2:18" x14ac:dyDescent="0.2">
      <c r="B2274" s="5"/>
      <c r="F2274" s="5"/>
      <c r="J2274" s="5"/>
      <c r="N2274" s="5"/>
      <c r="R2274" s="5"/>
    </row>
    <row r="2275" spans="2:18" x14ac:dyDescent="0.2">
      <c r="B2275" s="5"/>
      <c r="F2275" s="5"/>
      <c r="J2275" s="5"/>
      <c r="N2275" s="5"/>
      <c r="R2275" s="5"/>
    </row>
    <row r="2276" spans="2:18" x14ac:dyDescent="0.2">
      <c r="B2276" s="5"/>
      <c r="F2276" s="5"/>
      <c r="J2276" s="5"/>
      <c r="N2276" s="5"/>
      <c r="R2276" s="5"/>
    </row>
    <row r="2277" spans="2:18" x14ac:dyDescent="0.2">
      <c r="B2277" s="5"/>
      <c r="F2277" s="5"/>
      <c r="J2277" s="5"/>
      <c r="N2277" s="5"/>
      <c r="R2277" s="5"/>
    </row>
    <row r="2278" spans="2:18" x14ac:dyDescent="0.2">
      <c r="B2278" s="5"/>
      <c r="F2278" s="5"/>
      <c r="J2278" s="5"/>
      <c r="N2278" s="5"/>
      <c r="R2278" s="5"/>
    </row>
    <row r="2279" spans="2:18" x14ac:dyDescent="0.2">
      <c r="B2279" s="5"/>
      <c r="F2279" s="5"/>
      <c r="J2279" s="5"/>
      <c r="N2279" s="5"/>
      <c r="R2279" s="5"/>
    </row>
    <row r="2280" spans="2:18" x14ac:dyDescent="0.2">
      <c r="B2280" s="5"/>
      <c r="F2280" s="5"/>
      <c r="J2280" s="5"/>
      <c r="N2280" s="5"/>
      <c r="R2280" s="5"/>
    </row>
    <row r="2281" spans="2:18" x14ac:dyDescent="0.2">
      <c r="B2281" s="5"/>
      <c r="F2281" s="5"/>
      <c r="J2281" s="5"/>
      <c r="N2281" s="5"/>
      <c r="R2281" s="5"/>
    </row>
    <row r="2282" spans="2:18" x14ac:dyDescent="0.2">
      <c r="B2282" s="5"/>
      <c r="F2282" s="5"/>
      <c r="J2282" s="5"/>
      <c r="N2282" s="5"/>
      <c r="R2282" s="5"/>
    </row>
    <row r="2283" spans="2:18" x14ac:dyDescent="0.2">
      <c r="B2283" s="5"/>
      <c r="F2283" s="5"/>
      <c r="J2283" s="5"/>
      <c r="N2283" s="5"/>
      <c r="R2283" s="5"/>
    </row>
    <row r="2284" spans="2:18" x14ac:dyDescent="0.2">
      <c r="B2284" s="5"/>
      <c r="F2284" s="5"/>
      <c r="J2284" s="5"/>
      <c r="N2284" s="5"/>
      <c r="R2284" s="5"/>
    </row>
    <row r="2285" spans="2:18" x14ac:dyDescent="0.2">
      <c r="B2285" s="5"/>
      <c r="F2285" s="5"/>
      <c r="J2285" s="5"/>
      <c r="N2285" s="5"/>
      <c r="R2285" s="5"/>
    </row>
    <row r="2286" spans="2:18" x14ac:dyDescent="0.2">
      <c r="B2286" s="5"/>
      <c r="F2286" s="5"/>
      <c r="J2286" s="5"/>
      <c r="N2286" s="5"/>
      <c r="R2286" s="5"/>
    </row>
    <row r="2287" spans="2:18" x14ac:dyDescent="0.2">
      <c r="B2287" s="5"/>
      <c r="F2287" s="5"/>
      <c r="J2287" s="5"/>
      <c r="N2287" s="5"/>
      <c r="R2287" s="5"/>
    </row>
    <row r="2288" spans="2:18" x14ac:dyDescent="0.2">
      <c r="B2288" s="5"/>
      <c r="F2288" s="5"/>
      <c r="J2288" s="5"/>
      <c r="N2288" s="5"/>
      <c r="R2288" s="5"/>
    </row>
    <row r="2289" spans="2:18" x14ac:dyDescent="0.2">
      <c r="B2289" s="5"/>
      <c r="F2289" s="5"/>
      <c r="J2289" s="5"/>
      <c r="N2289" s="5"/>
      <c r="R2289" s="5"/>
    </row>
    <row r="2290" spans="2:18" x14ac:dyDescent="0.2">
      <c r="B2290" s="5"/>
      <c r="F2290" s="5"/>
      <c r="J2290" s="5"/>
      <c r="N2290" s="5"/>
      <c r="R2290" s="5"/>
    </row>
    <row r="2291" spans="2:18" x14ac:dyDescent="0.2">
      <c r="B2291" s="5"/>
      <c r="F2291" s="5"/>
      <c r="J2291" s="5"/>
      <c r="N2291" s="5"/>
      <c r="R2291" s="5"/>
    </row>
    <row r="2292" spans="2:18" x14ac:dyDescent="0.2">
      <c r="B2292" s="5"/>
      <c r="F2292" s="5"/>
      <c r="J2292" s="5"/>
      <c r="N2292" s="5"/>
      <c r="R2292" s="5"/>
    </row>
    <row r="2293" spans="2:18" x14ac:dyDescent="0.2">
      <c r="B2293" s="5"/>
      <c r="F2293" s="5"/>
      <c r="J2293" s="5"/>
      <c r="N2293" s="5"/>
      <c r="R2293" s="5"/>
    </row>
    <row r="2294" spans="2:18" x14ac:dyDescent="0.2">
      <c r="B2294" s="5"/>
      <c r="F2294" s="5"/>
      <c r="J2294" s="5"/>
      <c r="N2294" s="5"/>
      <c r="R2294" s="5"/>
    </row>
    <row r="2295" spans="2:18" x14ac:dyDescent="0.2">
      <c r="B2295" s="5"/>
      <c r="F2295" s="5"/>
      <c r="J2295" s="5"/>
      <c r="N2295" s="5"/>
      <c r="R2295" s="5"/>
    </row>
    <row r="2296" spans="2:18" x14ac:dyDescent="0.2">
      <c r="B2296" s="5"/>
      <c r="F2296" s="5"/>
      <c r="J2296" s="5"/>
      <c r="N2296" s="5"/>
      <c r="R2296" s="5"/>
    </row>
    <row r="2297" spans="2:18" x14ac:dyDescent="0.2">
      <c r="B2297" s="5"/>
      <c r="F2297" s="5"/>
      <c r="J2297" s="5"/>
      <c r="N2297" s="5"/>
      <c r="R2297" s="5"/>
    </row>
    <row r="2298" spans="2:18" x14ac:dyDescent="0.2">
      <c r="B2298" s="5"/>
      <c r="F2298" s="5"/>
      <c r="J2298" s="5"/>
      <c r="N2298" s="5"/>
      <c r="R2298" s="5"/>
    </row>
    <row r="2299" spans="2:18" x14ac:dyDescent="0.2">
      <c r="B2299" s="5"/>
      <c r="F2299" s="5"/>
      <c r="J2299" s="5"/>
      <c r="N2299" s="5"/>
      <c r="R2299" s="5"/>
    </row>
    <row r="2300" spans="2:18" x14ac:dyDescent="0.2">
      <c r="B2300" s="5"/>
      <c r="F2300" s="5"/>
      <c r="J2300" s="5"/>
      <c r="N2300" s="5"/>
      <c r="R2300" s="5"/>
    </row>
    <row r="2301" spans="2:18" x14ac:dyDescent="0.2">
      <c r="B2301" s="5"/>
      <c r="F2301" s="5"/>
      <c r="J2301" s="5"/>
      <c r="N2301" s="5"/>
      <c r="R2301" s="5"/>
    </row>
    <row r="2302" spans="2:18" x14ac:dyDescent="0.2">
      <c r="B2302" s="5"/>
      <c r="F2302" s="5"/>
      <c r="J2302" s="5"/>
      <c r="N2302" s="5"/>
      <c r="R2302" s="5"/>
    </row>
    <row r="2303" spans="2:18" x14ac:dyDescent="0.2">
      <c r="B2303" s="5"/>
      <c r="F2303" s="5"/>
      <c r="J2303" s="5"/>
      <c r="N2303" s="5"/>
      <c r="R2303" s="5"/>
    </row>
    <row r="2304" spans="2:18" x14ac:dyDescent="0.2">
      <c r="B2304" s="5"/>
      <c r="F2304" s="5"/>
      <c r="J2304" s="5"/>
      <c r="N2304" s="5"/>
      <c r="R2304" s="5"/>
    </row>
    <row r="2305" spans="2:18" x14ac:dyDescent="0.2">
      <c r="B2305" s="5"/>
      <c r="F2305" s="5"/>
      <c r="J2305" s="5"/>
      <c r="N2305" s="5"/>
      <c r="R2305" s="5"/>
    </row>
    <row r="2306" spans="2:18" x14ac:dyDescent="0.2">
      <c r="B2306" s="5"/>
      <c r="F2306" s="5"/>
      <c r="J2306" s="5"/>
      <c r="N2306" s="5"/>
      <c r="R2306" s="5"/>
    </row>
    <row r="2307" spans="2:18" x14ac:dyDescent="0.2">
      <c r="B2307" s="5"/>
      <c r="F2307" s="5"/>
      <c r="J2307" s="5"/>
      <c r="N2307" s="5"/>
      <c r="R2307" s="5"/>
    </row>
    <row r="2308" spans="2:18" x14ac:dyDescent="0.2">
      <c r="B2308" s="5"/>
      <c r="F2308" s="5"/>
      <c r="J2308" s="5"/>
      <c r="N2308" s="5"/>
      <c r="R2308" s="5"/>
    </row>
    <row r="2309" spans="2:18" x14ac:dyDescent="0.2">
      <c r="B2309" s="5"/>
      <c r="F2309" s="5"/>
      <c r="J2309" s="5"/>
      <c r="N2309" s="5"/>
      <c r="R2309" s="5"/>
    </row>
    <row r="2310" spans="2:18" x14ac:dyDescent="0.2">
      <c r="B2310" s="5"/>
      <c r="F2310" s="5"/>
      <c r="J2310" s="5"/>
      <c r="N2310" s="5"/>
      <c r="R2310" s="5"/>
    </row>
    <row r="2311" spans="2:18" x14ac:dyDescent="0.2">
      <c r="B2311" s="5"/>
      <c r="F2311" s="5"/>
      <c r="J2311" s="5"/>
      <c r="N2311" s="5"/>
      <c r="R2311" s="5"/>
    </row>
    <row r="2312" spans="2:18" x14ac:dyDescent="0.2">
      <c r="B2312" s="5"/>
      <c r="F2312" s="5"/>
      <c r="J2312" s="5"/>
      <c r="N2312" s="5"/>
      <c r="R2312" s="5"/>
    </row>
    <row r="2313" spans="2:18" x14ac:dyDescent="0.2">
      <c r="B2313" s="5"/>
      <c r="F2313" s="5"/>
      <c r="J2313" s="5"/>
      <c r="N2313" s="5"/>
      <c r="R2313" s="5"/>
    </row>
    <row r="2314" spans="2:18" x14ac:dyDescent="0.2">
      <c r="B2314" s="5"/>
      <c r="F2314" s="5"/>
      <c r="J2314" s="5"/>
      <c r="N2314" s="5"/>
      <c r="R2314" s="5"/>
    </row>
    <row r="2315" spans="2:18" x14ac:dyDescent="0.2">
      <c r="B2315" s="5"/>
      <c r="F2315" s="5"/>
      <c r="J2315" s="5"/>
      <c r="N2315" s="5"/>
      <c r="R2315" s="5"/>
    </row>
    <row r="2316" spans="2:18" x14ac:dyDescent="0.2">
      <c r="B2316" s="5"/>
      <c r="F2316" s="5"/>
      <c r="J2316" s="5"/>
      <c r="N2316" s="5"/>
      <c r="R2316" s="5"/>
    </row>
    <row r="2317" spans="2:18" x14ac:dyDescent="0.2">
      <c r="B2317" s="5"/>
      <c r="F2317" s="5"/>
      <c r="J2317" s="5"/>
      <c r="N2317" s="5"/>
      <c r="R2317" s="5"/>
    </row>
    <row r="2318" spans="2:18" x14ac:dyDescent="0.2">
      <c r="B2318" s="5"/>
      <c r="F2318" s="5"/>
      <c r="J2318" s="5"/>
      <c r="N2318" s="5"/>
      <c r="R2318" s="5"/>
    </row>
    <row r="2319" spans="2:18" x14ac:dyDescent="0.2">
      <c r="B2319" s="5"/>
      <c r="F2319" s="5"/>
      <c r="J2319" s="5"/>
      <c r="N2319" s="5"/>
      <c r="R2319" s="5"/>
    </row>
    <row r="2320" spans="2:18" x14ac:dyDescent="0.2">
      <c r="B2320" s="5"/>
      <c r="F2320" s="5"/>
      <c r="J2320" s="5"/>
      <c r="N2320" s="5"/>
      <c r="R2320" s="5"/>
    </row>
    <row r="2321" spans="2:18" x14ac:dyDescent="0.2">
      <c r="B2321" s="5"/>
      <c r="F2321" s="5"/>
      <c r="J2321" s="5"/>
      <c r="N2321" s="5"/>
      <c r="R2321" s="5"/>
    </row>
    <row r="2322" spans="2:18" x14ac:dyDescent="0.2">
      <c r="B2322" s="5"/>
      <c r="F2322" s="5"/>
      <c r="J2322" s="5"/>
      <c r="N2322" s="5"/>
      <c r="R2322" s="5"/>
    </row>
    <row r="2323" spans="2:18" x14ac:dyDescent="0.2">
      <c r="B2323" s="5"/>
      <c r="F2323" s="5"/>
      <c r="J2323" s="5"/>
      <c r="N2323" s="5"/>
      <c r="R2323" s="5"/>
    </row>
    <row r="2324" spans="2:18" x14ac:dyDescent="0.2">
      <c r="B2324" s="5"/>
      <c r="F2324" s="5"/>
      <c r="J2324" s="5"/>
      <c r="N2324" s="5"/>
      <c r="R2324" s="5"/>
    </row>
    <row r="2325" spans="2:18" x14ac:dyDescent="0.2">
      <c r="B2325" s="5"/>
      <c r="F2325" s="5"/>
      <c r="J2325" s="5"/>
      <c r="N2325" s="5"/>
      <c r="R2325" s="5"/>
    </row>
    <row r="2326" spans="2:18" x14ac:dyDescent="0.2">
      <c r="B2326" s="5"/>
      <c r="F2326" s="5"/>
      <c r="J2326" s="5"/>
      <c r="N2326" s="5"/>
      <c r="R2326" s="5"/>
    </row>
    <row r="2327" spans="2:18" x14ac:dyDescent="0.2">
      <c r="B2327" s="5"/>
      <c r="F2327" s="5"/>
      <c r="J2327" s="5"/>
      <c r="N2327" s="5"/>
      <c r="R2327" s="5"/>
    </row>
    <row r="2328" spans="2:18" x14ac:dyDescent="0.2">
      <c r="B2328" s="5"/>
      <c r="F2328" s="5"/>
      <c r="J2328" s="5"/>
      <c r="N2328" s="5"/>
      <c r="R2328" s="5"/>
    </row>
    <row r="2329" spans="2:18" x14ac:dyDescent="0.2">
      <c r="B2329" s="5"/>
      <c r="F2329" s="5"/>
      <c r="J2329" s="5"/>
      <c r="N2329" s="5"/>
      <c r="R2329" s="5"/>
    </row>
    <row r="2330" spans="2:18" x14ac:dyDescent="0.2">
      <c r="B2330" s="5"/>
      <c r="F2330" s="5"/>
      <c r="J2330" s="5"/>
      <c r="N2330" s="5"/>
      <c r="R2330" s="5"/>
    </row>
    <row r="2331" spans="2:18" x14ac:dyDescent="0.2">
      <c r="B2331" s="5"/>
      <c r="F2331" s="5"/>
      <c r="J2331" s="5"/>
      <c r="N2331" s="5"/>
      <c r="R2331" s="5"/>
    </row>
    <row r="2332" spans="2:18" x14ac:dyDescent="0.2">
      <c r="B2332" s="5"/>
      <c r="F2332" s="5"/>
      <c r="J2332" s="5"/>
      <c r="N2332" s="5"/>
      <c r="R2332" s="5"/>
    </row>
    <row r="2333" spans="2:18" x14ac:dyDescent="0.2">
      <c r="B2333" s="5"/>
      <c r="F2333" s="5"/>
      <c r="J2333" s="5"/>
      <c r="N2333" s="5"/>
      <c r="R2333" s="5"/>
    </row>
    <row r="2334" spans="2:18" x14ac:dyDescent="0.2">
      <c r="B2334" s="5"/>
      <c r="F2334" s="5"/>
      <c r="J2334" s="5"/>
      <c r="N2334" s="5"/>
      <c r="R2334" s="5"/>
    </row>
    <row r="2335" spans="2:18" x14ac:dyDescent="0.2">
      <c r="B2335" s="5"/>
      <c r="F2335" s="5"/>
      <c r="J2335" s="5"/>
      <c r="N2335" s="5"/>
      <c r="R2335" s="5"/>
    </row>
    <row r="2336" spans="2:18" x14ac:dyDescent="0.2">
      <c r="B2336" s="5"/>
      <c r="F2336" s="5"/>
      <c r="J2336" s="5"/>
      <c r="N2336" s="5"/>
      <c r="R2336" s="5"/>
    </row>
    <row r="2337" spans="2:18" x14ac:dyDescent="0.2">
      <c r="B2337" s="5"/>
      <c r="F2337" s="5"/>
      <c r="J2337" s="5"/>
      <c r="N2337" s="5"/>
      <c r="R2337" s="5"/>
    </row>
    <row r="2338" spans="2:18" x14ac:dyDescent="0.2">
      <c r="B2338" s="5"/>
      <c r="F2338" s="5"/>
      <c r="J2338" s="5"/>
      <c r="N2338" s="5"/>
      <c r="R2338" s="5"/>
    </row>
    <row r="2339" spans="2:18" x14ac:dyDescent="0.2">
      <c r="B2339" s="5"/>
      <c r="F2339" s="5"/>
      <c r="J2339" s="5"/>
      <c r="N2339" s="5"/>
      <c r="R2339" s="5"/>
    </row>
    <row r="2340" spans="2:18" x14ac:dyDescent="0.2">
      <c r="B2340" s="5"/>
      <c r="F2340" s="5"/>
      <c r="J2340" s="5"/>
      <c r="N2340" s="5"/>
      <c r="R2340" s="5"/>
    </row>
    <row r="2341" spans="2:18" x14ac:dyDescent="0.2">
      <c r="B2341" s="5"/>
      <c r="F2341" s="5"/>
      <c r="J2341" s="5"/>
      <c r="N2341" s="5"/>
      <c r="R2341" s="5"/>
    </row>
    <row r="2342" spans="2:18" x14ac:dyDescent="0.2">
      <c r="B2342" s="5"/>
      <c r="F2342" s="5"/>
      <c r="J2342" s="5"/>
      <c r="N2342" s="5"/>
      <c r="R2342" s="5"/>
    </row>
    <row r="2343" spans="2:18" x14ac:dyDescent="0.2">
      <c r="B2343" s="5"/>
      <c r="F2343" s="5"/>
      <c r="J2343" s="5"/>
      <c r="N2343" s="5"/>
      <c r="R2343" s="5"/>
    </row>
    <row r="2344" spans="2:18" x14ac:dyDescent="0.2">
      <c r="B2344" s="5"/>
      <c r="F2344" s="5"/>
      <c r="J2344" s="5"/>
      <c r="N2344" s="5"/>
      <c r="R2344" s="5"/>
    </row>
    <row r="2345" spans="2:18" x14ac:dyDescent="0.2">
      <c r="B2345" s="5"/>
      <c r="F2345" s="5"/>
      <c r="J2345" s="5"/>
      <c r="N2345" s="5"/>
      <c r="R2345" s="5"/>
    </row>
    <row r="2346" spans="2:18" x14ac:dyDescent="0.2">
      <c r="B2346" s="5"/>
      <c r="F2346" s="5"/>
      <c r="J2346" s="5"/>
      <c r="N2346" s="5"/>
      <c r="R2346" s="5"/>
    </row>
    <row r="2347" spans="2:18" x14ac:dyDescent="0.2">
      <c r="B2347" s="5"/>
      <c r="F2347" s="5"/>
      <c r="J2347" s="5"/>
      <c r="N2347" s="5"/>
      <c r="R2347" s="5"/>
    </row>
    <row r="2348" spans="2:18" x14ac:dyDescent="0.2">
      <c r="B2348" s="5"/>
      <c r="F2348" s="5"/>
      <c r="J2348" s="5"/>
      <c r="N2348" s="5"/>
      <c r="R2348" s="5"/>
    </row>
    <row r="2349" spans="2:18" x14ac:dyDescent="0.2">
      <c r="B2349" s="5"/>
      <c r="F2349" s="5"/>
      <c r="J2349" s="5"/>
      <c r="N2349" s="5"/>
      <c r="R2349" s="5"/>
    </row>
    <row r="2350" spans="2:18" x14ac:dyDescent="0.2">
      <c r="B2350" s="5"/>
      <c r="F2350" s="5"/>
      <c r="J2350" s="5"/>
      <c r="N2350" s="5"/>
      <c r="R2350" s="5"/>
    </row>
    <row r="2351" spans="2:18" x14ac:dyDescent="0.2">
      <c r="B2351" s="5"/>
      <c r="F2351" s="5"/>
      <c r="J2351" s="5"/>
      <c r="N2351" s="5"/>
      <c r="R2351" s="5"/>
    </row>
    <row r="2352" spans="2:18" x14ac:dyDescent="0.2">
      <c r="B2352" s="5"/>
      <c r="F2352" s="5"/>
      <c r="J2352" s="5"/>
      <c r="N2352" s="5"/>
      <c r="R2352" s="5"/>
    </row>
    <row r="2353" spans="2:18" x14ac:dyDescent="0.2">
      <c r="B2353" s="5"/>
      <c r="F2353" s="5"/>
      <c r="J2353" s="5"/>
      <c r="N2353" s="5"/>
      <c r="R2353" s="5"/>
    </row>
    <row r="2354" spans="2:18" x14ac:dyDescent="0.2">
      <c r="B2354" s="5"/>
      <c r="F2354" s="5"/>
      <c r="J2354" s="5"/>
      <c r="N2354" s="5"/>
      <c r="R2354" s="5"/>
    </row>
    <row r="2355" spans="2:18" x14ac:dyDescent="0.2">
      <c r="B2355" s="5"/>
      <c r="F2355" s="5"/>
      <c r="J2355" s="5"/>
      <c r="N2355" s="5"/>
      <c r="R2355" s="5"/>
    </row>
    <row r="2356" spans="2:18" x14ac:dyDescent="0.2">
      <c r="B2356" s="5"/>
      <c r="F2356" s="5"/>
      <c r="J2356" s="5"/>
      <c r="N2356" s="5"/>
      <c r="R2356" s="5"/>
    </row>
    <row r="2357" spans="2:18" x14ac:dyDescent="0.2">
      <c r="B2357" s="5"/>
      <c r="F2357" s="5"/>
      <c r="J2357" s="5"/>
      <c r="N2357" s="5"/>
      <c r="R2357" s="5"/>
    </row>
    <row r="2358" spans="2:18" x14ac:dyDescent="0.2">
      <c r="B2358" s="5"/>
      <c r="F2358" s="5"/>
      <c r="J2358" s="5"/>
      <c r="N2358" s="5"/>
      <c r="R2358" s="5"/>
    </row>
    <row r="2359" spans="2:18" x14ac:dyDescent="0.2">
      <c r="B2359" s="5"/>
      <c r="F2359" s="5"/>
      <c r="J2359" s="5"/>
      <c r="N2359" s="5"/>
      <c r="R2359" s="5"/>
    </row>
    <row r="2360" spans="2:18" x14ac:dyDescent="0.2">
      <c r="B2360" s="5"/>
      <c r="F2360" s="5"/>
      <c r="J2360" s="5"/>
      <c r="N2360" s="5"/>
      <c r="R2360" s="5"/>
    </row>
    <row r="2361" spans="2:18" x14ac:dyDescent="0.2">
      <c r="B2361" s="5"/>
      <c r="F2361" s="5"/>
      <c r="J2361" s="5"/>
      <c r="N2361" s="5"/>
      <c r="R2361" s="5"/>
    </row>
    <row r="2362" spans="2:18" x14ac:dyDescent="0.2">
      <c r="B2362" s="5"/>
      <c r="F2362" s="5"/>
      <c r="J2362" s="5"/>
      <c r="N2362" s="5"/>
      <c r="R2362" s="5"/>
    </row>
    <row r="2363" spans="2:18" x14ac:dyDescent="0.2">
      <c r="B2363" s="5"/>
      <c r="F2363" s="5"/>
      <c r="J2363" s="5"/>
      <c r="N2363" s="5"/>
      <c r="R2363" s="5"/>
    </row>
    <row r="2364" spans="2:18" x14ac:dyDescent="0.2">
      <c r="B2364" s="5"/>
      <c r="F2364" s="5"/>
      <c r="J2364" s="5"/>
      <c r="N2364" s="5"/>
      <c r="R2364" s="5"/>
    </row>
    <row r="2365" spans="2:18" x14ac:dyDescent="0.2">
      <c r="B2365" s="5"/>
      <c r="F2365" s="5"/>
      <c r="J2365" s="5"/>
      <c r="N2365" s="5"/>
      <c r="R2365" s="5"/>
    </row>
    <row r="2366" spans="2:18" x14ac:dyDescent="0.2">
      <c r="B2366" s="5"/>
      <c r="F2366" s="5"/>
      <c r="J2366" s="5"/>
      <c r="N2366" s="5"/>
      <c r="R2366" s="5"/>
    </row>
    <row r="2367" spans="2:18" x14ac:dyDescent="0.2">
      <c r="B2367" s="5"/>
      <c r="F2367" s="5"/>
      <c r="J2367" s="5"/>
      <c r="N2367" s="5"/>
      <c r="R2367" s="5"/>
    </row>
    <row r="2368" spans="2:18" x14ac:dyDescent="0.2">
      <c r="B2368" s="5"/>
      <c r="F2368" s="5"/>
      <c r="J2368" s="5"/>
      <c r="N2368" s="5"/>
      <c r="R2368" s="5"/>
    </row>
    <row r="2369" spans="2:18" x14ac:dyDescent="0.2">
      <c r="B2369" s="5"/>
      <c r="F2369" s="5"/>
      <c r="J2369" s="5"/>
      <c r="N2369" s="5"/>
      <c r="R2369" s="5"/>
    </row>
    <row r="2370" spans="2:18" x14ac:dyDescent="0.2">
      <c r="B2370" s="5"/>
      <c r="F2370" s="5"/>
      <c r="J2370" s="5"/>
      <c r="N2370" s="5"/>
      <c r="R2370" s="5"/>
    </row>
    <row r="2371" spans="2:18" x14ac:dyDescent="0.2">
      <c r="B2371" s="5"/>
      <c r="F2371" s="5"/>
      <c r="J2371" s="5"/>
      <c r="N2371" s="5"/>
      <c r="R2371" s="5"/>
    </row>
    <row r="2372" spans="2:18" x14ac:dyDescent="0.2">
      <c r="B2372" s="5"/>
      <c r="F2372" s="5"/>
      <c r="J2372" s="5"/>
      <c r="N2372" s="5"/>
      <c r="R2372" s="5"/>
    </row>
    <row r="2373" spans="2:18" x14ac:dyDescent="0.2">
      <c r="B2373" s="5"/>
      <c r="F2373" s="5"/>
      <c r="J2373" s="5"/>
      <c r="N2373" s="5"/>
      <c r="R2373" s="5"/>
    </row>
    <row r="2374" spans="2:18" x14ac:dyDescent="0.2">
      <c r="B2374" s="5"/>
      <c r="F2374" s="5"/>
      <c r="J2374" s="5"/>
      <c r="N2374" s="5"/>
      <c r="R2374" s="5"/>
    </row>
    <row r="2375" spans="2:18" x14ac:dyDescent="0.2">
      <c r="B2375" s="5"/>
      <c r="F2375" s="5"/>
      <c r="J2375" s="5"/>
      <c r="N2375" s="5"/>
      <c r="R2375" s="5"/>
    </row>
    <row r="2376" spans="2:18" x14ac:dyDescent="0.2">
      <c r="B2376" s="5"/>
      <c r="F2376" s="5"/>
      <c r="J2376" s="5"/>
      <c r="N2376" s="5"/>
      <c r="R2376" s="5"/>
    </row>
    <row r="2377" spans="2:18" x14ac:dyDescent="0.2">
      <c r="B2377" s="5"/>
      <c r="F2377" s="5"/>
      <c r="J2377" s="5"/>
      <c r="N2377" s="5"/>
      <c r="R2377" s="5"/>
    </row>
    <row r="2378" spans="2:18" x14ac:dyDescent="0.2">
      <c r="B2378" s="5"/>
      <c r="F2378" s="5"/>
      <c r="J2378" s="5"/>
      <c r="N2378" s="5"/>
      <c r="R2378" s="5"/>
    </row>
    <row r="2379" spans="2:18" x14ac:dyDescent="0.2">
      <c r="B2379" s="5"/>
      <c r="F2379" s="5"/>
      <c r="J2379" s="5"/>
      <c r="N2379" s="5"/>
      <c r="R2379" s="5"/>
    </row>
    <row r="2380" spans="2:18" x14ac:dyDescent="0.2">
      <c r="B2380" s="5"/>
      <c r="F2380" s="5"/>
      <c r="J2380" s="5"/>
      <c r="N2380" s="5"/>
      <c r="R2380" s="5"/>
    </row>
    <row r="2381" spans="2:18" x14ac:dyDescent="0.2">
      <c r="B2381" s="5"/>
      <c r="F2381" s="5"/>
      <c r="J2381" s="5"/>
      <c r="N2381" s="5"/>
      <c r="R2381" s="5"/>
    </row>
    <row r="2382" spans="2:18" x14ac:dyDescent="0.2">
      <c r="B2382" s="5"/>
      <c r="F2382" s="5"/>
      <c r="J2382" s="5"/>
      <c r="N2382" s="5"/>
      <c r="R2382" s="5"/>
    </row>
    <row r="2383" spans="2:18" x14ac:dyDescent="0.2">
      <c r="B2383" s="5"/>
      <c r="F2383" s="5"/>
      <c r="J2383" s="5"/>
      <c r="N2383" s="5"/>
      <c r="R2383" s="5"/>
    </row>
    <row r="2384" spans="2:18" x14ac:dyDescent="0.2">
      <c r="B2384" s="5"/>
      <c r="F2384" s="5"/>
      <c r="J2384" s="5"/>
      <c r="N2384" s="5"/>
      <c r="R2384" s="5"/>
    </row>
    <row r="2385" spans="2:18" x14ac:dyDescent="0.2">
      <c r="B2385" s="5"/>
      <c r="F2385" s="5"/>
      <c r="J2385" s="5"/>
      <c r="N2385" s="5"/>
      <c r="R2385" s="5"/>
    </row>
    <row r="2386" spans="2:18" x14ac:dyDescent="0.2">
      <c r="B2386" s="5"/>
      <c r="F2386" s="5"/>
      <c r="J2386" s="5"/>
      <c r="N2386" s="5"/>
      <c r="R2386" s="5"/>
    </row>
    <row r="2387" spans="2:18" x14ac:dyDescent="0.2">
      <c r="B2387" s="5"/>
      <c r="F2387" s="5"/>
      <c r="J2387" s="5"/>
      <c r="N2387" s="5"/>
      <c r="R2387" s="5"/>
    </row>
    <row r="2388" spans="2:18" x14ac:dyDescent="0.2">
      <c r="B2388" s="5"/>
      <c r="F2388" s="5"/>
      <c r="J2388" s="5"/>
      <c r="N2388" s="5"/>
      <c r="R2388" s="5"/>
    </row>
    <row r="2389" spans="2:18" x14ac:dyDescent="0.2">
      <c r="B2389" s="5"/>
      <c r="F2389" s="5"/>
      <c r="J2389" s="5"/>
      <c r="N2389" s="5"/>
      <c r="R2389" s="5"/>
    </row>
    <row r="2390" spans="2:18" x14ac:dyDescent="0.2">
      <c r="B2390" s="5"/>
      <c r="F2390" s="5"/>
      <c r="J2390" s="5"/>
      <c r="N2390" s="5"/>
      <c r="R2390" s="5"/>
    </row>
    <row r="2391" spans="2:18" x14ac:dyDescent="0.2">
      <c r="B2391" s="5"/>
      <c r="F2391" s="5"/>
      <c r="J2391" s="5"/>
      <c r="N2391" s="5"/>
      <c r="R2391" s="5"/>
    </row>
    <row r="2392" spans="2:18" x14ac:dyDescent="0.2">
      <c r="B2392" s="5"/>
      <c r="F2392" s="5"/>
      <c r="J2392" s="5"/>
      <c r="N2392" s="5"/>
      <c r="R2392" s="5"/>
    </row>
    <row r="2393" spans="2:18" x14ac:dyDescent="0.2">
      <c r="B2393" s="5"/>
      <c r="F2393" s="5"/>
      <c r="J2393" s="5"/>
      <c r="N2393" s="5"/>
      <c r="R2393" s="5"/>
    </row>
    <row r="2394" spans="2:18" x14ac:dyDescent="0.2">
      <c r="B2394" s="5"/>
      <c r="F2394" s="5"/>
      <c r="J2394" s="5"/>
      <c r="N2394" s="5"/>
      <c r="R2394" s="5"/>
    </row>
    <row r="2395" spans="2:18" x14ac:dyDescent="0.2">
      <c r="B2395" s="5"/>
      <c r="F2395" s="5"/>
      <c r="J2395" s="5"/>
      <c r="N2395" s="5"/>
      <c r="R2395" s="5"/>
    </row>
    <row r="2396" spans="2:18" x14ac:dyDescent="0.2">
      <c r="B2396" s="5"/>
      <c r="F2396" s="5"/>
      <c r="J2396" s="5"/>
      <c r="N2396" s="5"/>
      <c r="R2396" s="5"/>
    </row>
    <row r="2397" spans="2:18" x14ac:dyDescent="0.2">
      <c r="B2397" s="5"/>
      <c r="F2397" s="5"/>
      <c r="J2397" s="5"/>
      <c r="N2397" s="5"/>
      <c r="R2397" s="5"/>
    </row>
    <row r="2398" spans="2:18" x14ac:dyDescent="0.2">
      <c r="B2398" s="5"/>
      <c r="F2398" s="5"/>
      <c r="J2398" s="5"/>
      <c r="N2398" s="5"/>
      <c r="R2398" s="5"/>
    </row>
    <row r="2399" spans="2:18" x14ac:dyDescent="0.2">
      <c r="B2399" s="5"/>
      <c r="F2399" s="5"/>
      <c r="J2399" s="5"/>
      <c r="N2399" s="5"/>
      <c r="R2399" s="5"/>
    </row>
    <row r="2400" spans="2:18" x14ac:dyDescent="0.2">
      <c r="B2400" s="5"/>
      <c r="F2400" s="5"/>
      <c r="J2400" s="5"/>
      <c r="N2400" s="5"/>
      <c r="R2400" s="5"/>
    </row>
    <row r="2401" spans="2:18" x14ac:dyDescent="0.2">
      <c r="B2401" s="5"/>
      <c r="F2401" s="5"/>
      <c r="J2401" s="5"/>
      <c r="N2401" s="5"/>
      <c r="R2401" s="5"/>
    </row>
    <row r="2402" spans="2:18" x14ac:dyDescent="0.2">
      <c r="B2402" s="5"/>
      <c r="F2402" s="5"/>
      <c r="J2402" s="5"/>
      <c r="N2402" s="5"/>
      <c r="R2402" s="5"/>
    </row>
    <row r="2403" spans="2:18" x14ac:dyDescent="0.2">
      <c r="B2403" s="5"/>
      <c r="F2403" s="5"/>
      <c r="J2403" s="5"/>
      <c r="N2403" s="5"/>
      <c r="R2403" s="5"/>
    </row>
    <row r="2404" spans="2:18" x14ac:dyDescent="0.2">
      <c r="B2404" s="5"/>
      <c r="F2404" s="5"/>
      <c r="J2404" s="5"/>
      <c r="N2404" s="5"/>
      <c r="R2404" s="5"/>
    </row>
    <row r="2405" spans="2:18" x14ac:dyDescent="0.2">
      <c r="B2405" s="5"/>
      <c r="F2405" s="5"/>
      <c r="J2405" s="5"/>
      <c r="N2405" s="5"/>
      <c r="R2405" s="5"/>
    </row>
    <row r="2406" spans="2:18" x14ac:dyDescent="0.2">
      <c r="B2406" s="5"/>
      <c r="F2406" s="5"/>
      <c r="J2406" s="5"/>
      <c r="N2406" s="5"/>
      <c r="R2406" s="5"/>
    </row>
    <row r="2407" spans="2:18" x14ac:dyDescent="0.2">
      <c r="B2407" s="5"/>
      <c r="F2407" s="5"/>
      <c r="J2407" s="5"/>
      <c r="N2407" s="5"/>
      <c r="R2407" s="5"/>
    </row>
    <row r="2408" spans="2:18" x14ac:dyDescent="0.2">
      <c r="B2408" s="5"/>
      <c r="F2408" s="5"/>
      <c r="J2408" s="5"/>
      <c r="N2408" s="5"/>
      <c r="R2408" s="5"/>
    </row>
    <row r="2409" spans="2:18" x14ac:dyDescent="0.2">
      <c r="B2409" s="5"/>
      <c r="F2409" s="5"/>
      <c r="J2409" s="5"/>
      <c r="N2409" s="5"/>
      <c r="R2409" s="5"/>
    </row>
    <row r="2410" spans="2:18" x14ac:dyDescent="0.2">
      <c r="B2410" s="5"/>
      <c r="F2410" s="5"/>
      <c r="J2410" s="5"/>
      <c r="N2410" s="5"/>
      <c r="R2410" s="5"/>
    </row>
    <row r="2411" spans="2:18" x14ac:dyDescent="0.2">
      <c r="B2411" s="5"/>
      <c r="F2411" s="5"/>
      <c r="J2411" s="5"/>
      <c r="N2411" s="5"/>
      <c r="R2411" s="5"/>
    </row>
    <row r="2412" spans="2:18" x14ac:dyDescent="0.2">
      <c r="B2412" s="5"/>
      <c r="F2412" s="5"/>
      <c r="J2412" s="5"/>
      <c r="N2412" s="5"/>
      <c r="R2412" s="5"/>
    </row>
    <row r="2413" spans="2:18" x14ac:dyDescent="0.2">
      <c r="B2413" s="5"/>
      <c r="F2413" s="5"/>
      <c r="J2413" s="5"/>
      <c r="N2413" s="5"/>
      <c r="R2413" s="5"/>
    </row>
    <row r="2414" spans="2:18" x14ac:dyDescent="0.2">
      <c r="B2414" s="5"/>
      <c r="F2414" s="5"/>
      <c r="J2414" s="5"/>
      <c r="N2414" s="5"/>
      <c r="R2414" s="5"/>
    </row>
    <row r="2415" spans="2:18" x14ac:dyDescent="0.2">
      <c r="B2415" s="5"/>
      <c r="F2415" s="5"/>
      <c r="J2415" s="5"/>
      <c r="N2415" s="5"/>
      <c r="R2415" s="5"/>
    </row>
    <row r="2416" spans="2:18" x14ac:dyDescent="0.2">
      <c r="B2416" s="5"/>
      <c r="F2416" s="5"/>
      <c r="J2416" s="5"/>
      <c r="N2416" s="5"/>
      <c r="R2416" s="5"/>
    </row>
    <row r="2417" spans="2:18" x14ac:dyDescent="0.2">
      <c r="B2417" s="5"/>
      <c r="F2417" s="5"/>
      <c r="J2417" s="5"/>
      <c r="N2417" s="5"/>
      <c r="R2417" s="5"/>
    </row>
    <row r="2418" spans="2:18" x14ac:dyDescent="0.2">
      <c r="B2418" s="5"/>
      <c r="F2418" s="5"/>
      <c r="J2418" s="5"/>
      <c r="N2418" s="5"/>
      <c r="R2418" s="5"/>
    </row>
    <row r="2419" spans="2:18" x14ac:dyDescent="0.2">
      <c r="B2419" s="5"/>
      <c r="F2419" s="5"/>
      <c r="J2419" s="5"/>
      <c r="N2419" s="5"/>
      <c r="R2419" s="5"/>
    </row>
    <row r="2420" spans="2:18" x14ac:dyDescent="0.2">
      <c r="B2420" s="5"/>
      <c r="F2420" s="5"/>
      <c r="J2420" s="5"/>
      <c r="N2420" s="5"/>
      <c r="R2420" s="5"/>
    </row>
    <row r="2421" spans="2:18" x14ac:dyDescent="0.2">
      <c r="B2421" s="5"/>
      <c r="F2421" s="5"/>
      <c r="J2421" s="5"/>
      <c r="N2421" s="5"/>
      <c r="R2421" s="5"/>
    </row>
    <row r="2422" spans="2:18" x14ac:dyDescent="0.2">
      <c r="B2422" s="5"/>
      <c r="F2422" s="5"/>
      <c r="J2422" s="5"/>
      <c r="N2422" s="5"/>
      <c r="R2422" s="5"/>
    </row>
    <row r="2423" spans="2:18" x14ac:dyDescent="0.2">
      <c r="B2423" s="5"/>
      <c r="F2423" s="5"/>
      <c r="J2423" s="5"/>
      <c r="N2423" s="5"/>
      <c r="R2423" s="5"/>
    </row>
    <row r="2424" spans="2:18" x14ac:dyDescent="0.2">
      <c r="B2424" s="5"/>
      <c r="F2424" s="5"/>
      <c r="J2424" s="5"/>
      <c r="N2424" s="5"/>
      <c r="R2424" s="5"/>
    </row>
    <row r="2425" spans="2:18" x14ac:dyDescent="0.2">
      <c r="B2425" s="5"/>
      <c r="F2425" s="5"/>
      <c r="J2425" s="5"/>
      <c r="N2425" s="5"/>
      <c r="R2425" s="5"/>
    </row>
    <row r="2426" spans="2:18" x14ac:dyDescent="0.2">
      <c r="B2426" s="5"/>
      <c r="F2426" s="5"/>
      <c r="J2426" s="5"/>
      <c r="N2426" s="5"/>
      <c r="R2426" s="5"/>
    </row>
    <row r="2427" spans="2:18" x14ac:dyDescent="0.2">
      <c r="B2427" s="5"/>
      <c r="F2427" s="5"/>
      <c r="J2427" s="5"/>
      <c r="N2427" s="5"/>
      <c r="R2427" s="5"/>
    </row>
    <row r="2428" spans="2:18" x14ac:dyDescent="0.2">
      <c r="B2428" s="5"/>
      <c r="F2428" s="5"/>
      <c r="J2428" s="5"/>
      <c r="N2428" s="5"/>
      <c r="R2428" s="5"/>
    </row>
    <row r="2429" spans="2:18" x14ac:dyDescent="0.2">
      <c r="B2429" s="5"/>
      <c r="F2429" s="5"/>
      <c r="J2429" s="5"/>
      <c r="N2429" s="5"/>
      <c r="R2429" s="5"/>
    </row>
    <row r="2430" spans="2:18" x14ac:dyDescent="0.2">
      <c r="B2430" s="5"/>
      <c r="F2430" s="5"/>
      <c r="J2430" s="5"/>
      <c r="N2430" s="5"/>
      <c r="R2430" s="5"/>
    </row>
    <row r="2431" spans="2:18" x14ac:dyDescent="0.2">
      <c r="B2431" s="5"/>
      <c r="F2431" s="5"/>
      <c r="J2431" s="5"/>
      <c r="N2431" s="5"/>
      <c r="R2431" s="5"/>
    </row>
    <row r="2432" spans="2:18" x14ac:dyDescent="0.2">
      <c r="B2432" s="5"/>
      <c r="F2432" s="5"/>
      <c r="J2432" s="5"/>
      <c r="N2432" s="5"/>
      <c r="R2432" s="5"/>
    </row>
    <row r="2433" spans="2:18" x14ac:dyDescent="0.2">
      <c r="B2433" s="5"/>
      <c r="F2433" s="5"/>
      <c r="J2433" s="5"/>
      <c r="N2433" s="5"/>
      <c r="R2433" s="5"/>
    </row>
    <row r="2434" spans="2:18" x14ac:dyDescent="0.2">
      <c r="B2434" s="5"/>
      <c r="F2434" s="5"/>
      <c r="J2434" s="5"/>
      <c r="N2434" s="5"/>
      <c r="R2434" s="5"/>
    </row>
    <row r="2435" spans="2:18" x14ac:dyDescent="0.2">
      <c r="B2435" s="5"/>
      <c r="F2435" s="5"/>
      <c r="J2435" s="5"/>
      <c r="N2435" s="5"/>
      <c r="R2435" s="5"/>
    </row>
    <row r="2436" spans="2:18" x14ac:dyDescent="0.2">
      <c r="B2436" s="5"/>
      <c r="F2436" s="5"/>
      <c r="J2436" s="5"/>
      <c r="N2436" s="5"/>
      <c r="R2436" s="5"/>
    </row>
    <row r="2437" spans="2:18" x14ac:dyDescent="0.2">
      <c r="B2437" s="5"/>
      <c r="F2437" s="5"/>
      <c r="J2437" s="5"/>
      <c r="N2437" s="5"/>
      <c r="R2437" s="5"/>
    </row>
    <row r="2438" spans="2:18" x14ac:dyDescent="0.2">
      <c r="B2438" s="5"/>
      <c r="F2438" s="5"/>
      <c r="J2438" s="5"/>
      <c r="N2438" s="5"/>
      <c r="R2438" s="5"/>
    </row>
    <row r="2439" spans="2:18" x14ac:dyDescent="0.2">
      <c r="B2439" s="5"/>
      <c r="F2439" s="5"/>
      <c r="J2439" s="5"/>
      <c r="N2439" s="5"/>
      <c r="R2439" s="5"/>
    </row>
    <row r="2440" spans="2:18" x14ac:dyDescent="0.2">
      <c r="B2440" s="5"/>
      <c r="F2440" s="5"/>
      <c r="J2440" s="5"/>
      <c r="N2440" s="5"/>
      <c r="R2440" s="5"/>
    </row>
    <row r="2441" spans="2:18" x14ac:dyDescent="0.2">
      <c r="B2441" s="5"/>
      <c r="F2441" s="5"/>
      <c r="J2441" s="5"/>
      <c r="N2441" s="5"/>
      <c r="R2441" s="5"/>
    </row>
    <row r="2442" spans="2:18" x14ac:dyDescent="0.2">
      <c r="B2442" s="5"/>
      <c r="F2442" s="5"/>
      <c r="J2442" s="5"/>
      <c r="N2442" s="5"/>
      <c r="R2442" s="5"/>
    </row>
    <row r="2443" spans="2:18" x14ac:dyDescent="0.2">
      <c r="B2443" s="5"/>
      <c r="F2443" s="5"/>
      <c r="J2443" s="5"/>
      <c r="N2443" s="5"/>
      <c r="R2443" s="5"/>
    </row>
    <row r="2444" spans="2:18" x14ac:dyDescent="0.2">
      <c r="B2444" s="5"/>
      <c r="F2444" s="5"/>
      <c r="J2444" s="5"/>
      <c r="N2444" s="5"/>
      <c r="R2444" s="5"/>
    </row>
    <row r="2445" spans="2:18" x14ac:dyDescent="0.2">
      <c r="B2445" s="5"/>
      <c r="F2445" s="5"/>
      <c r="J2445" s="5"/>
      <c r="N2445" s="5"/>
      <c r="R2445" s="5"/>
    </row>
    <row r="2446" spans="2:18" x14ac:dyDescent="0.2">
      <c r="B2446" s="5"/>
      <c r="F2446" s="5"/>
      <c r="J2446" s="5"/>
      <c r="N2446" s="5"/>
      <c r="R2446" s="5"/>
    </row>
    <row r="2447" spans="2:18" x14ac:dyDescent="0.2">
      <c r="B2447" s="5"/>
      <c r="F2447" s="5"/>
      <c r="J2447" s="5"/>
      <c r="N2447" s="5"/>
      <c r="R2447" s="5"/>
    </row>
    <row r="2448" spans="2:18" x14ac:dyDescent="0.2">
      <c r="B2448" s="5"/>
      <c r="F2448" s="5"/>
      <c r="J2448" s="5"/>
      <c r="N2448" s="5"/>
      <c r="R2448" s="5"/>
    </row>
    <row r="2449" spans="2:18" x14ac:dyDescent="0.2">
      <c r="B2449" s="5"/>
      <c r="F2449" s="5"/>
      <c r="J2449" s="5"/>
      <c r="N2449" s="5"/>
      <c r="R2449" s="5"/>
    </row>
    <row r="2450" spans="2:18" x14ac:dyDescent="0.2">
      <c r="B2450" s="5"/>
      <c r="F2450" s="5"/>
      <c r="J2450" s="5"/>
      <c r="N2450" s="5"/>
      <c r="R2450" s="5"/>
    </row>
    <row r="2451" spans="2:18" x14ac:dyDescent="0.2">
      <c r="B2451" s="5"/>
      <c r="F2451" s="5"/>
      <c r="J2451" s="5"/>
      <c r="N2451" s="5"/>
      <c r="R2451" s="5"/>
    </row>
    <row r="2452" spans="2:18" x14ac:dyDescent="0.2">
      <c r="B2452" s="5"/>
      <c r="F2452" s="5"/>
      <c r="J2452" s="5"/>
      <c r="N2452" s="5"/>
      <c r="R2452" s="5"/>
    </row>
    <row r="2453" spans="2:18" x14ac:dyDescent="0.2">
      <c r="B2453" s="5"/>
      <c r="F2453" s="5"/>
      <c r="J2453" s="5"/>
      <c r="N2453" s="5"/>
      <c r="R2453" s="5"/>
    </row>
    <row r="2454" spans="2:18" x14ac:dyDescent="0.2">
      <c r="B2454" s="5"/>
      <c r="F2454" s="5"/>
      <c r="J2454" s="5"/>
      <c r="N2454" s="5"/>
      <c r="R2454" s="5"/>
    </row>
    <row r="2455" spans="2:18" x14ac:dyDescent="0.2">
      <c r="B2455" s="5"/>
      <c r="F2455" s="5"/>
      <c r="J2455" s="5"/>
      <c r="N2455" s="5"/>
      <c r="R2455" s="5"/>
    </row>
    <row r="2456" spans="2:18" x14ac:dyDescent="0.2">
      <c r="B2456" s="5"/>
      <c r="F2456" s="5"/>
      <c r="J2456" s="5"/>
      <c r="N2456" s="5"/>
      <c r="R2456" s="5"/>
    </row>
    <row r="2457" spans="2:18" x14ac:dyDescent="0.2">
      <c r="B2457" s="5"/>
      <c r="F2457" s="5"/>
      <c r="J2457" s="5"/>
      <c r="N2457" s="5"/>
      <c r="R2457" s="5"/>
    </row>
    <row r="2458" spans="2:18" x14ac:dyDescent="0.2">
      <c r="B2458" s="5"/>
      <c r="F2458" s="5"/>
      <c r="J2458" s="5"/>
      <c r="N2458" s="5"/>
      <c r="R2458" s="5"/>
    </row>
    <row r="2459" spans="2:18" x14ac:dyDescent="0.2">
      <c r="B2459" s="5"/>
      <c r="F2459" s="5"/>
      <c r="J2459" s="5"/>
      <c r="N2459" s="5"/>
      <c r="R2459" s="5"/>
    </row>
    <row r="2460" spans="2:18" x14ac:dyDescent="0.2">
      <c r="B2460" s="5"/>
      <c r="F2460" s="5"/>
      <c r="J2460" s="5"/>
      <c r="N2460" s="5"/>
      <c r="R2460" s="5"/>
    </row>
    <row r="2461" spans="2:18" x14ac:dyDescent="0.2">
      <c r="B2461" s="5"/>
      <c r="F2461" s="5"/>
      <c r="J2461" s="5"/>
      <c r="N2461" s="5"/>
      <c r="R2461" s="5"/>
    </row>
    <row r="2462" spans="2:18" x14ac:dyDescent="0.2">
      <c r="B2462" s="5"/>
      <c r="F2462" s="5"/>
      <c r="J2462" s="5"/>
      <c r="N2462" s="5"/>
      <c r="R2462" s="5"/>
    </row>
    <row r="2463" spans="2:18" x14ac:dyDescent="0.2">
      <c r="B2463" s="5"/>
      <c r="F2463" s="5"/>
      <c r="J2463" s="5"/>
      <c r="N2463" s="5"/>
      <c r="R2463" s="5"/>
    </row>
    <row r="2464" spans="2:18" x14ac:dyDescent="0.2">
      <c r="B2464" s="5"/>
      <c r="F2464" s="5"/>
      <c r="J2464" s="5"/>
      <c r="N2464" s="5"/>
      <c r="R2464" s="5"/>
    </row>
    <row r="2465" spans="2:18" x14ac:dyDescent="0.2">
      <c r="B2465" s="5"/>
      <c r="F2465" s="5"/>
      <c r="J2465" s="5"/>
      <c r="N2465" s="5"/>
      <c r="R2465" s="5"/>
    </row>
    <row r="2466" spans="2:18" x14ac:dyDescent="0.2">
      <c r="B2466" s="5"/>
      <c r="F2466" s="5"/>
      <c r="J2466" s="5"/>
      <c r="N2466" s="5"/>
      <c r="R2466" s="5"/>
    </row>
    <row r="2467" spans="2:18" x14ac:dyDescent="0.2">
      <c r="B2467" s="5"/>
      <c r="F2467" s="5"/>
      <c r="J2467" s="5"/>
      <c r="N2467" s="5"/>
      <c r="R2467" s="5"/>
    </row>
    <row r="2468" spans="2:18" x14ac:dyDescent="0.2">
      <c r="B2468" s="5"/>
      <c r="F2468" s="5"/>
      <c r="J2468" s="5"/>
      <c r="N2468" s="5"/>
      <c r="R2468" s="5"/>
    </row>
    <row r="2469" spans="2:18" x14ac:dyDescent="0.2">
      <c r="B2469" s="5"/>
      <c r="F2469" s="5"/>
      <c r="J2469" s="5"/>
      <c r="N2469" s="5"/>
      <c r="R2469" s="5"/>
    </row>
    <row r="2470" spans="2:18" x14ac:dyDescent="0.2">
      <c r="B2470" s="5"/>
      <c r="F2470" s="5"/>
      <c r="J2470" s="5"/>
      <c r="N2470" s="5"/>
      <c r="R2470" s="5"/>
    </row>
    <row r="2471" spans="2:18" x14ac:dyDescent="0.2">
      <c r="B2471" s="5"/>
      <c r="F2471" s="5"/>
      <c r="J2471" s="5"/>
      <c r="N2471" s="5"/>
      <c r="R2471" s="5"/>
    </row>
    <row r="2472" spans="2:18" x14ac:dyDescent="0.2">
      <c r="B2472" s="5"/>
      <c r="F2472" s="5"/>
      <c r="J2472" s="5"/>
      <c r="N2472" s="5"/>
      <c r="R2472" s="5"/>
    </row>
    <row r="2473" spans="2:18" x14ac:dyDescent="0.2">
      <c r="B2473" s="5"/>
      <c r="F2473" s="5"/>
      <c r="J2473" s="5"/>
      <c r="N2473" s="5"/>
      <c r="R2473" s="5"/>
    </row>
    <row r="2474" spans="2:18" x14ac:dyDescent="0.2">
      <c r="B2474" s="5"/>
      <c r="F2474" s="5"/>
      <c r="J2474" s="5"/>
      <c r="N2474" s="5"/>
      <c r="R2474" s="5"/>
    </row>
    <row r="2475" spans="2:18" x14ac:dyDescent="0.2">
      <c r="B2475" s="5"/>
      <c r="F2475" s="5"/>
      <c r="J2475" s="5"/>
      <c r="N2475" s="5"/>
      <c r="R2475" s="5"/>
    </row>
    <row r="2476" spans="2:18" x14ac:dyDescent="0.2">
      <c r="B2476" s="5"/>
      <c r="F2476" s="5"/>
      <c r="J2476" s="5"/>
      <c r="N2476" s="5"/>
      <c r="R2476" s="5"/>
    </row>
    <row r="2477" spans="2:18" x14ac:dyDescent="0.2">
      <c r="B2477" s="5"/>
      <c r="F2477" s="5"/>
      <c r="J2477" s="5"/>
      <c r="N2477" s="5"/>
      <c r="R2477" s="5"/>
    </row>
    <row r="2478" spans="2:18" x14ac:dyDescent="0.2">
      <c r="B2478" s="5"/>
      <c r="F2478" s="5"/>
      <c r="J2478" s="5"/>
      <c r="N2478" s="5"/>
      <c r="R2478" s="5"/>
    </row>
    <row r="2479" spans="2:18" x14ac:dyDescent="0.2">
      <c r="B2479" s="5"/>
      <c r="F2479" s="5"/>
      <c r="J2479" s="5"/>
      <c r="N2479" s="5"/>
      <c r="R2479" s="5"/>
    </row>
    <row r="2480" spans="2:18" x14ac:dyDescent="0.2">
      <c r="B2480" s="5"/>
      <c r="F2480" s="5"/>
      <c r="J2480" s="5"/>
      <c r="N2480" s="5"/>
      <c r="R2480" s="5"/>
    </row>
    <row r="2481" spans="2:18" x14ac:dyDescent="0.2">
      <c r="B2481" s="5"/>
      <c r="F2481" s="5"/>
      <c r="J2481" s="5"/>
      <c r="N2481" s="5"/>
      <c r="R2481" s="5"/>
    </row>
    <row r="2482" spans="2:18" x14ac:dyDescent="0.2">
      <c r="B2482" s="5"/>
      <c r="F2482" s="5"/>
      <c r="J2482" s="5"/>
      <c r="N2482" s="5"/>
      <c r="R2482" s="5"/>
    </row>
    <row r="2483" spans="2:18" x14ac:dyDescent="0.2">
      <c r="B2483" s="5"/>
      <c r="F2483" s="5"/>
      <c r="J2483" s="5"/>
      <c r="N2483" s="5"/>
      <c r="R2483" s="5"/>
    </row>
    <row r="2484" spans="2:18" x14ac:dyDescent="0.2">
      <c r="B2484" s="5"/>
      <c r="F2484" s="5"/>
      <c r="J2484" s="5"/>
      <c r="N2484" s="5"/>
      <c r="R2484" s="5"/>
    </row>
    <row r="2485" spans="2:18" x14ac:dyDescent="0.2">
      <c r="B2485" s="5"/>
      <c r="F2485" s="5"/>
      <c r="J2485" s="5"/>
      <c r="N2485" s="5"/>
      <c r="R2485" s="5"/>
    </row>
    <row r="2486" spans="2:18" x14ac:dyDescent="0.2">
      <c r="B2486" s="5"/>
      <c r="F2486" s="5"/>
      <c r="J2486" s="5"/>
      <c r="N2486" s="5"/>
      <c r="R2486" s="5"/>
    </row>
    <row r="2487" spans="2:18" x14ac:dyDescent="0.2">
      <c r="B2487" s="5"/>
      <c r="F2487" s="5"/>
      <c r="J2487" s="5"/>
      <c r="N2487" s="5"/>
      <c r="R2487" s="5"/>
    </row>
    <row r="2488" spans="2:18" x14ac:dyDescent="0.2">
      <c r="B2488" s="5"/>
      <c r="F2488" s="5"/>
      <c r="J2488" s="5"/>
      <c r="N2488" s="5"/>
      <c r="R2488" s="5"/>
    </row>
    <row r="2489" spans="2:18" x14ac:dyDescent="0.2">
      <c r="B2489" s="5"/>
      <c r="F2489" s="5"/>
      <c r="J2489" s="5"/>
      <c r="N2489" s="5"/>
      <c r="R2489" s="5"/>
    </row>
    <row r="2490" spans="2:18" x14ac:dyDescent="0.2">
      <c r="B2490" s="5"/>
      <c r="F2490" s="5"/>
      <c r="J2490" s="5"/>
      <c r="N2490" s="5"/>
      <c r="R2490" s="5"/>
    </row>
    <row r="2491" spans="2:18" x14ac:dyDescent="0.2">
      <c r="B2491" s="5"/>
      <c r="F2491" s="5"/>
      <c r="J2491" s="5"/>
      <c r="N2491" s="5"/>
      <c r="R2491" s="5"/>
    </row>
    <row r="2492" spans="2:18" x14ac:dyDescent="0.2">
      <c r="B2492" s="5"/>
      <c r="F2492" s="5"/>
      <c r="J2492" s="5"/>
      <c r="N2492" s="5"/>
      <c r="R2492" s="5"/>
    </row>
    <row r="2493" spans="2:18" x14ac:dyDescent="0.2">
      <c r="B2493" s="5"/>
      <c r="F2493" s="5"/>
      <c r="J2493" s="5"/>
      <c r="N2493" s="5"/>
      <c r="R2493" s="5"/>
    </row>
    <row r="2494" spans="2:18" x14ac:dyDescent="0.2">
      <c r="B2494" s="5"/>
      <c r="F2494" s="5"/>
      <c r="J2494" s="5"/>
      <c r="N2494" s="5"/>
      <c r="R2494" s="5"/>
    </row>
    <row r="2495" spans="2:18" x14ac:dyDescent="0.2">
      <c r="B2495" s="5"/>
      <c r="F2495" s="5"/>
      <c r="J2495" s="5"/>
      <c r="N2495" s="5"/>
      <c r="R2495" s="5"/>
    </row>
    <row r="2496" spans="2:18" x14ac:dyDescent="0.2">
      <c r="B2496" s="5"/>
      <c r="F2496" s="5"/>
      <c r="J2496" s="5"/>
      <c r="N2496" s="5"/>
      <c r="R2496" s="5"/>
    </row>
    <row r="2497" spans="2:18" x14ac:dyDescent="0.2">
      <c r="B2497" s="5"/>
      <c r="F2497" s="5"/>
      <c r="J2497" s="5"/>
      <c r="N2497" s="5"/>
      <c r="R2497" s="5"/>
    </row>
    <row r="2498" spans="2:18" x14ac:dyDescent="0.2">
      <c r="B2498" s="5"/>
      <c r="F2498" s="5"/>
      <c r="J2498" s="5"/>
      <c r="N2498" s="5"/>
      <c r="R2498" s="5"/>
    </row>
    <row r="2499" spans="2:18" x14ac:dyDescent="0.2">
      <c r="B2499" s="5"/>
      <c r="F2499" s="5"/>
      <c r="J2499" s="5"/>
      <c r="N2499" s="5"/>
      <c r="R2499" s="5"/>
    </row>
    <row r="2500" spans="2:18" x14ac:dyDescent="0.2">
      <c r="B2500" s="5"/>
      <c r="F2500" s="5"/>
      <c r="J2500" s="5"/>
      <c r="N2500" s="5"/>
      <c r="R2500" s="5"/>
    </row>
    <row r="2501" spans="2:18" x14ac:dyDescent="0.2">
      <c r="B2501" s="5"/>
      <c r="F2501" s="5"/>
      <c r="J2501" s="5"/>
      <c r="N2501" s="5"/>
      <c r="R2501" s="5"/>
    </row>
    <row r="2502" spans="2:18" x14ac:dyDescent="0.2">
      <c r="B2502" s="5"/>
      <c r="F2502" s="5"/>
      <c r="J2502" s="5"/>
      <c r="N2502" s="5"/>
      <c r="R2502" s="5"/>
    </row>
    <row r="2503" spans="2:18" x14ac:dyDescent="0.2">
      <c r="B2503" s="5"/>
      <c r="F2503" s="5"/>
      <c r="J2503" s="5"/>
      <c r="N2503" s="5"/>
      <c r="R2503" s="5"/>
    </row>
    <row r="2504" spans="2:18" x14ac:dyDescent="0.2">
      <c r="B2504" s="5"/>
      <c r="F2504" s="5"/>
      <c r="J2504" s="5"/>
      <c r="N2504" s="5"/>
      <c r="R2504" s="5"/>
    </row>
    <row r="2505" spans="2:18" x14ac:dyDescent="0.2">
      <c r="B2505" s="5"/>
      <c r="F2505" s="5"/>
      <c r="J2505" s="5"/>
      <c r="N2505" s="5"/>
      <c r="R2505" s="5"/>
    </row>
    <row r="2506" spans="2:18" x14ac:dyDescent="0.2">
      <c r="B2506" s="5"/>
      <c r="F2506" s="5"/>
      <c r="J2506" s="5"/>
      <c r="N2506" s="5"/>
      <c r="R2506" s="5"/>
    </row>
    <row r="2507" spans="2:18" x14ac:dyDescent="0.2">
      <c r="B2507" s="5"/>
      <c r="F2507" s="5"/>
      <c r="J2507" s="5"/>
      <c r="N2507" s="5"/>
      <c r="R2507" s="5"/>
    </row>
    <row r="2508" spans="2:18" x14ac:dyDescent="0.2">
      <c r="B2508" s="5"/>
      <c r="F2508" s="5"/>
      <c r="J2508" s="5"/>
      <c r="N2508" s="5"/>
      <c r="R2508" s="5"/>
    </row>
    <row r="2509" spans="2:18" x14ac:dyDescent="0.2">
      <c r="B2509" s="5"/>
      <c r="F2509" s="5"/>
      <c r="J2509" s="5"/>
      <c r="N2509" s="5"/>
      <c r="R2509" s="5"/>
    </row>
    <row r="2510" spans="2:18" x14ac:dyDescent="0.2">
      <c r="B2510" s="5"/>
      <c r="F2510" s="5"/>
      <c r="J2510" s="5"/>
      <c r="N2510" s="5"/>
      <c r="R2510" s="5"/>
    </row>
    <row r="2511" spans="2:18" x14ac:dyDescent="0.2">
      <c r="B2511" s="5"/>
      <c r="F2511" s="5"/>
      <c r="J2511" s="5"/>
      <c r="N2511" s="5"/>
      <c r="R2511" s="5"/>
    </row>
    <row r="2512" spans="2:18" x14ac:dyDescent="0.2">
      <c r="B2512" s="5"/>
      <c r="F2512" s="5"/>
      <c r="J2512" s="5"/>
      <c r="N2512" s="5"/>
      <c r="R2512" s="5"/>
    </row>
    <row r="2513" spans="2:18" x14ac:dyDescent="0.2">
      <c r="B2513" s="5"/>
      <c r="F2513" s="5"/>
      <c r="J2513" s="5"/>
      <c r="N2513" s="5"/>
      <c r="R2513" s="5"/>
    </row>
    <row r="2514" spans="2:18" x14ac:dyDescent="0.2">
      <c r="B2514" s="5"/>
      <c r="F2514" s="5"/>
      <c r="J2514" s="5"/>
      <c r="N2514" s="5"/>
      <c r="R2514" s="5"/>
    </row>
    <row r="2515" spans="2:18" x14ac:dyDescent="0.2">
      <c r="B2515" s="5"/>
      <c r="F2515" s="5"/>
      <c r="J2515" s="5"/>
      <c r="N2515" s="5"/>
      <c r="R2515" s="5"/>
    </row>
    <row r="2516" spans="2:18" x14ac:dyDescent="0.2">
      <c r="B2516" s="5"/>
      <c r="F2516" s="5"/>
      <c r="J2516" s="5"/>
      <c r="N2516" s="5"/>
      <c r="R2516" s="5"/>
    </row>
    <row r="2517" spans="2:18" x14ac:dyDescent="0.2">
      <c r="B2517" s="5"/>
      <c r="F2517" s="5"/>
      <c r="J2517" s="5"/>
      <c r="N2517" s="5"/>
      <c r="R2517" s="5"/>
    </row>
    <row r="2518" spans="2:18" x14ac:dyDescent="0.2">
      <c r="B2518" s="5"/>
      <c r="F2518" s="5"/>
      <c r="J2518" s="5"/>
      <c r="N2518" s="5"/>
      <c r="R2518" s="5"/>
    </row>
    <row r="2519" spans="2:18" x14ac:dyDescent="0.2">
      <c r="B2519" s="5"/>
      <c r="F2519" s="5"/>
      <c r="J2519" s="5"/>
      <c r="N2519" s="5"/>
      <c r="R2519" s="5"/>
    </row>
    <row r="2520" spans="2:18" x14ac:dyDescent="0.2">
      <c r="B2520" s="5"/>
      <c r="F2520" s="5"/>
      <c r="J2520" s="5"/>
      <c r="N2520" s="5"/>
      <c r="R2520" s="5"/>
    </row>
    <row r="2521" spans="2:18" x14ac:dyDescent="0.2">
      <c r="B2521" s="5"/>
      <c r="F2521" s="5"/>
      <c r="J2521" s="5"/>
      <c r="N2521" s="5"/>
      <c r="R2521" s="5"/>
    </row>
    <row r="2522" spans="2:18" x14ac:dyDescent="0.2">
      <c r="B2522" s="5"/>
      <c r="F2522" s="5"/>
      <c r="J2522" s="5"/>
      <c r="N2522" s="5"/>
      <c r="R2522" s="5"/>
    </row>
    <row r="2523" spans="2:18" x14ac:dyDescent="0.2">
      <c r="B2523" s="5"/>
      <c r="F2523" s="5"/>
      <c r="J2523" s="5"/>
      <c r="N2523" s="5"/>
      <c r="R2523" s="5"/>
    </row>
    <row r="2524" spans="2:18" x14ac:dyDescent="0.2">
      <c r="B2524" s="5"/>
      <c r="F2524" s="5"/>
      <c r="J2524" s="5"/>
      <c r="N2524" s="5"/>
      <c r="R2524" s="5"/>
    </row>
    <row r="2525" spans="2:18" x14ac:dyDescent="0.2">
      <c r="B2525" s="5"/>
      <c r="F2525" s="5"/>
      <c r="J2525" s="5"/>
      <c r="N2525" s="5"/>
      <c r="R2525" s="5"/>
    </row>
    <row r="2526" spans="2:18" x14ac:dyDescent="0.2">
      <c r="B2526" s="5"/>
      <c r="F2526" s="5"/>
      <c r="J2526" s="5"/>
      <c r="N2526" s="5"/>
      <c r="R2526" s="5"/>
    </row>
    <row r="2527" spans="2:18" x14ac:dyDescent="0.2">
      <c r="B2527" s="5"/>
      <c r="F2527" s="5"/>
      <c r="J2527" s="5"/>
      <c r="N2527" s="5"/>
      <c r="R2527" s="5"/>
    </row>
    <row r="2528" spans="2:18" x14ac:dyDescent="0.2">
      <c r="B2528" s="5"/>
      <c r="F2528" s="5"/>
      <c r="J2528" s="5"/>
      <c r="N2528" s="5"/>
      <c r="R2528" s="5"/>
    </row>
    <row r="2529" spans="2:18" x14ac:dyDescent="0.2">
      <c r="B2529" s="5"/>
      <c r="F2529" s="5"/>
      <c r="J2529" s="5"/>
      <c r="N2529" s="5"/>
      <c r="R2529" s="5"/>
    </row>
    <row r="2530" spans="2:18" x14ac:dyDescent="0.2">
      <c r="B2530" s="5"/>
      <c r="F2530" s="5"/>
      <c r="J2530" s="5"/>
      <c r="N2530" s="5"/>
      <c r="R2530" s="5"/>
    </row>
    <row r="2531" spans="2:18" x14ac:dyDescent="0.2">
      <c r="B2531" s="5"/>
      <c r="F2531" s="5"/>
      <c r="J2531" s="5"/>
      <c r="N2531" s="5"/>
      <c r="R2531" s="5"/>
    </row>
    <row r="2532" spans="2:18" x14ac:dyDescent="0.2">
      <c r="B2532" s="5"/>
      <c r="F2532" s="5"/>
      <c r="J2532" s="5"/>
      <c r="N2532" s="5"/>
      <c r="R2532" s="5"/>
    </row>
    <row r="2533" spans="2:18" x14ac:dyDescent="0.2">
      <c r="B2533" s="5"/>
      <c r="F2533" s="5"/>
      <c r="J2533" s="5"/>
      <c r="N2533" s="5"/>
      <c r="R2533" s="5"/>
    </row>
    <row r="2534" spans="2:18" x14ac:dyDescent="0.2">
      <c r="B2534" s="5"/>
      <c r="F2534" s="5"/>
      <c r="J2534" s="5"/>
      <c r="N2534" s="5"/>
      <c r="R2534" s="5"/>
    </row>
    <row r="2535" spans="2:18" x14ac:dyDescent="0.2">
      <c r="B2535" s="5"/>
      <c r="F2535" s="5"/>
      <c r="J2535" s="5"/>
      <c r="N2535" s="5"/>
      <c r="R2535" s="5"/>
    </row>
    <row r="2536" spans="2:18" x14ac:dyDescent="0.2">
      <c r="B2536" s="5"/>
      <c r="F2536" s="5"/>
      <c r="J2536" s="5"/>
      <c r="N2536" s="5"/>
      <c r="R2536" s="5"/>
    </row>
    <row r="2537" spans="2:18" x14ac:dyDescent="0.2">
      <c r="B2537" s="5"/>
      <c r="F2537" s="5"/>
      <c r="J2537" s="5"/>
      <c r="N2537" s="5"/>
      <c r="R2537" s="5"/>
    </row>
    <row r="2538" spans="2:18" x14ac:dyDescent="0.2">
      <c r="B2538" s="5"/>
      <c r="F2538" s="5"/>
      <c r="J2538" s="5"/>
      <c r="N2538" s="5"/>
      <c r="R2538" s="5"/>
    </row>
    <row r="2539" spans="2:18" x14ac:dyDescent="0.2">
      <c r="B2539" s="5"/>
      <c r="F2539" s="5"/>
      <c r="J2539" s="5"/>
      <c r="N2539" s="5"/>
      <c r="R2539" s="5"/>
    </row>
    <row r="2540" spans="2:18" x14ac:dyDescent="0.2">
      <c r="B2540" s="5"/>
      <c r="F2540" s="5"/>
      <c r="J2540" s="5"/>
      <c r="N2540" s="5"/>
      <c r="R2540" s="5"/>
    </row>
    <row r="2541" spans="2:18" x14ac:dyDescent="0.2">
      <c r="B2541" s="5"/>
      <c r="F2541" s="5"/>
      <c r="J2541" s="5"/>
      <c r="N2541" s="5"/>
      <c r="R2541" s="5"/>
    </row>
    <row r="2542" spans="2:18" x14ac:dyDescent="0.2">
      <c r="B2542" s="5"/>
      <c r="F2542" s="5"/>
      <c r="J2542" s="5"/>
      <c r="N2542" s="5"/>
      <c r="R2542" s="5"/>
    </row>
    <row r="2543" spans="2:18" x14ac:dyDescent="0.2">
      <c r="B2543" s="5"/>
      <c r="F2543" s="5"/>
      <c r="J2543" s="5"/>
      <c r="N2543" s="5"/>
      <c r="R2543" s="5"/>
    </row>
    <row r="2544" spans="2:18" x14ac:dyDescent="0.2">
      <c r="B2544" s="5"/>
      <c r="F2544" s="5"/>
      <c r="J2544" s="5"/>
      <c r="N2544" s="5"/>
      <c r="R2544" s="5"/>
    </row>
    <row r="2545" spans="2:18" x14ac:dyDescent="0.2">
      <c r="B2545" s="5"/>
      <c r="F2545" s="5"/>
      <c r="J2545" s="5"/>
      <c r="N2545" s="5"/>
      <c r="R2545" s="5"/>
    </row>
    <row r="2546" spans="2:18" x14ac:dyDescent="0.2">
      <c r="B2546" s="5"/>
      <c r="F2546" s="5"/>
      <c r="J2546" s="5"/>
      <c r="N2546" s="5"/>
      <c r="R2546" s="5"/>
    </row>
    <row r="2547" spans="2:18" x14ac:dyDescent="0.2">
      <c r="B2547" s="5"/>
      <c r="F2547" s="5"/>
      <c r="J2547" s="5"/>
      <c r="N2547" s="5"/>
      <c r="R2547" s="5"/>
    </row>
    <row r="2548" spans="2:18" x14ac:dyDescent="0.2">
      <c r="B2548" s="5"/>
      <c r="F2548" s="5"/>
      <c r="J2548" s="5"/>
      <c r="N2548" s="5"/>
      <c r="R2548" s="5"/>
    </row>
    <row r="2549" spans="2:18" x14ac:dyDescent="0.2">
      <c r="B2549" s="5"/>
      <c r="F2549" s="5"/>
      <c r="J2549" s="5"/>
      <c r="N2549" s="5"/>
      <c r="R2549" s="5"/>
    </row>
    <row r="2550" spans="2:18" x14ac:dyDescent="0.2">
      <c r="B2550" s="5"/>
      <c r="F2550" s="5"/>
      <c r="J2550" s="5"/>
      <c r="N2550" s="5"/>
      <c r="R2550" s="5"/>
    </row>
    <row r="2551" spans="2:18" x14ac:dyDescent="0.2">
      <c r="B2551" s="5"/>
      <c r="F2551" s="5"/>
      <c r="J2551" s="5"/>
      <c r="N2551" s="5"/>
      <c r="R2551" s="5"/>
    </row>
    <row r="2552" spans="2:18" x14ac:dyDescent="0.2">
      <c r="B2552" s="5"/>
      <c r="F2552" s="5"/>
      <c r="J2552" s="5"/>
      <c r="N2552" s="5"/>
      <c r="R2552" s="5"/>
    </row>
    <row r="2553" spans="2:18" x14ac:dyDescent="0.2">
      <c r="B2553" s="5"/>
      <c r="F2553" s="5"/>
      <c r="J2553" s="5"/>
      <c r="N2553" s="5"/>
      <c r="R2553" s="5"/>
    </row>
    <row r="2554" spans="2:18" x14ac:dyDescent="0.2">
      <c r="B2554" s="5"/>
      <c r="F2554" s="5"/>
      <c r="J2554" s="5"/>
      <c r="N2554" s="5"/>
      <c r="R2554" s="5"/>
    </row>
    <row r="2555" spans="2:18" x14ac:dyDescent="0.2">
      <c r="B2555" s="5"/>
      <c r="F2555" s="5"/>
      <c r="J2555" s="5"/>
      <c r="N2555" s="5"/>
      <c r="R2555" s="5"/>
    </row>
    <row r="2556" spans="2:18" x14ac:dyDescent="0.2">
      <c r="B2556" s="5"/>
      <c r="F2556" s="5"/>
      <c r="J2556" s="5"/>
      <c r="N2556" s="5"/>
      <c r="R2556" s="5"/>
    </row>
    <row r="2557" spans="2:18" x14ac:dyDescent="0.2">
      <c r="B2557" s="5"/>
      <c r="F2557" s="5"/>
      <c r="J2557" s="5"/>
      <c r="N2557" s="5"/>
      <c r="R2557" s="5"/>
    </row>
    <row r="2558" spans="2:18" x14ac:dyDescent="0.2">
      <c r="B2558" s="5"/>
      <c r="F2558" s="5"/>
      <c r="J2558" s="5"/>
      <c r="N2558" s="5"/>
      <c r="R2558" s="5"/>
    </row>
    <row r="2559" spans="2:18" x14ac:dyDescent="0.2">
      <c r="B2559" s="5"/>
      <c r="F2559" s="5"/>
      <c r="J2559" s="5"/>
      <c r="N2559" s="5"/>
      <c r="R2559" s="5"/>
    </row>
    <row r="2560" spans="2:18" x14ac:dyDescent="0.2">
      <c r="B2560" s="5"/>
      <c r="F2560" s="5"/>
      <c r="J2560" s="5"/>
      <c r="N2560" s="5"/>
      <c r="R2560" s="5"/>
    </row>
    <row r="2561" spans="2:18" x14ac:dyDescent="0.2">
      <c r="B2561" s="5"/>
      <c r="F2561" s="5"/>
      <c r="J2561" s="5"/>
      <c r="N2561" s="5"/>
      <c r="R2561" s="5"/>
    </row>
    <row r="2562" spans="2:18" x14ac:dyDescent="0.2">
      <c r="B2562" s="5"/>
      <c r="F2562" s="5"/>
      <c r="J2562" s="5"/>
      <c r="N2562" s="5"/>
      <c r="R2562" s="5"/>
    </row>
    <row r="2563" spans="2:18" x14ac:dyDescent="0.2">
      <c r="B2563" s="5"/>
      <c r="F2563" s="5"/>
      <c r="J2563" s="5"/>
      <c r="N2563" s="5"/>
      <c r="R2563" s="5"/>
    </row>
    <row r="2564" spans="2:18" x14ac:dyDescent="0.2">
      <c r="B2564" s="5"/>
      <c r="F2564" s="5"/>
      <c r="J2564" s="5"/>
      <c r="N2564" s="5"/>
      <c r="R2564" s="5"/>
    </row>
    <row r="2565" spans="2:18" x14ac:dyDescent="0.2">
      <c r="B2565" s="5"/>
      <c r="F2565" s="5"/>
      <c r="J2565" s="5"/>
      <c r="N2565" s="5"/>
      <c r="R2565" s="5"/>
    </row>
    <row r="2566" spans="2:18" x14ac:dyDescent="0.2">
      <c r="B2566" s="5"/>
      <c r="F2566" s="5"/>
      <c r="J2566" s="5"/>
      <c r="N2566" s="5"/>
      <c r="R2566" s="5"/>
    </row>
    <row r="2567" spans="2:18" x14ac:dyDescent="0.2">
      <c r="B2567" s="5"/>
      <c r="F2567" s="5"/>
      <c r="J2567" s="5"/>
      <c r="N2567" s="5"/>
      <c r="R2567" s="5"/>
    </row>
    <row r="2568" spans="2:18" x14ac:dyDescent="0.2">
      <c r="B2568" s="5"/>
      <c r="F2568" s="5"/>
      <c r="J2568" s="5"/>
      <c r="N2568" s="5"/>
      <c r="R2568" s="5"/>
    </row>
    <row r="2569" spans="2:18" x14ac:dyDescent="0.2">
      <c r="B2569" s="5"/>
      <c r="F2569" s="5"/>
      <c r="J2569" s="5"/>
      <c r="N2569" s="5"/>
      <c r="R2569" s="5"/>
    </row>
    <row r="2570" spans="2:18" x14ac:dyDescent="0.2">
      <c r="B2570" s="5"/>
      <c r="F2570" s="5"/>
      <c r="J2570" s="5"/>
      <c r="N2570" s="5"/>
      <c r="R2570" s="5"/>
    </row>
    <row r="2571" spans="2:18" x14ac:dyDescent="0.2">
      <c r="B2571" s="5"/>
      <c r="F2571" s="5"/>
      <c r="J2571" s="5"/>
      <c r="N2571" s="5"/>
      <c r="R2571" s="5"/>
    </row>
    <row r="2572" spans="2:18" x14ac:dyDescent="0.2">
      <c r="B2572" s="5"/>
      <c r="F2572" s="5"/>
      <c r="J2572" s="5"/>
      <c r="N2572" s="5"/>
      <c r="R2572" s="5"/>
    </row>
    <row r="2573" spans="2:18" x14ac:dyDescent="0.2">
      <c r="B2573" s="5"/>
      <c r="F2573" s="5"/>
      <c r="J2573" s="5"/>
      <c r="N2573" s="5"/>
      <c r="R2573" s="5"/>
    </row>
    <row r="2574" spans="2:18" x14ac:dyDescent="0.2">
      <c r="B2574" s="5"/>
      <c r="F2574" s="5"/>
      <c r="J2574" s="5"/>
      <c r="N2574" s="5"/>
      <c r="R2574" s="5"/>
    </row>
    <row r="2575" spans="2:18" x14ac:dyDescent="0.2">
      <c r="B2575" s="5"/>
      <c r="F2575" s="5"/>
      <c r="J2575" s="5"/>
      <c r="N2575" s="5"/>
      <c r="R2575" s="5"/>
    </row>
    <row r="2576" spans="2:18" x14ac:dyDescent="0.2">
      <c r="B2576" s="5"/>
      <c r="F2576" s="5"/>
      <c r="J2576" s="5"/>
      <c r="N2576" s="5"/>
      <c r="R2576" s="5"/>
    </row>
    <row r="2577" spans="2:18" x14ac:dyDescent="0.2">
      <c r="B2577" s="5"/>
      <c r="F2577" s="5"/>
      <c r="J2577" s="5"/>
      <c r="N2577" s="5"/>
      <c r="R2577" s="5"/>
    </row>
    <row r="2578" spans="2:18" x14ac:dyDescent="0.2">
      <c r="B2578" s="5"/>
      <c r="F2578" s="5"/>
      <c r="J2578" s="5"/>
      <c r="N2578" s="5"/>
      <c r="R2578" s="5"/>
    </row>
    <row r="2579" spans="2:18" x14ac:dyDescent="0.2">
      <c r="B2579" s="5"/>
      <c r="F2579" s="5"/>
      <c r="J2579" s="5"/>
      <c r="N2579" s="5"/>
      <c r="R2579" s="5"/>
    </row>
    <row r="2580" spans="2:18" x14ac:dyDescent="0.2">
      <c r="B2580" s="5"/>
      <c r="F2580" s="5"/>
      <c r="J2580" s="5"/>
      <c r="N2580" s="5"/>
      <c r="R2580" s="5"/>
    </row>
    <row r="2581" spans="2:18" x14ac:dyDescent="0.2">
      <c r="B2581" s="5"/>
      <c r="F2581" s="5"/>
      <c r="J2581" s="5"/>
      <c r="N2581" s="5"/>
      <c r="R2581" s="5"/>
    </row>
    <row r="2582" spans="2:18" x14ac:dyDescent="0.2">
      <c r="B2582" s="5"/>
      <c r="F2582" s="5"/>
      <c r="J2582" s="5"/>
      <c r="N2582" s="5"/>
      <c r="R2582" s="5"/>
    </row>
    <row r="2583" spans="2:18" x14ac:dyDescent="0.2">
      <c r="B2583" s="5"/>
      <c r="F2583" s="5"/>
      <c r="J2583" s="5"/>
      <c r="N2583" s="5"/>
      <c r="R2583" s="5"/>
    </row>
    <row r="2584" spans="2:18" x14ac:dyDescent="0.2">
      <c r="B2584" s="5"/>
      <c r="F2584" s="5"/>
      <c r="J2584" s="5"/>
      <c r="N2584" s="5"/>
      <c r="R2584" s="5"/>
    </row>
    <row r="2585" spans="2:18" x14ac:dyDescent="0.2">
      <c r="B2585" s="5"/>
      <c r="F2585" s="5"/>
      <c r="J2585" s="5"/>
      <c r="N2585" s="5"/>
      <c r="R2585" s="5"/>
    </row>
    <row r="2586" spans="2:18" x14ac:dyDescent="0.2">
      <c r="B2586" s="5"/>
      <c r="F2586" s="5"/>
      <c r="J2586" s="5"/>
      <c r="N2586" s="5"/>
      <c r="R2586" s="5"/>
    </row>
    <row r="2587" spans="2:18" x14ac:dyDescent="0.2">
      <c r="B2587" s="5"/>
      <c r="F2587" s="5"/>
      <c r="J2587" s="5"/>
      <c r="N2587" s="5"/>
      <c r="R2587" s="5"/>
    </row>
    <row r="2588" spans="2:18" x14ac:dyDescent="0.2">
      <c r="B2588" s="5"/>
      <c r="F2588" s="5"/>
      <c r="J2588" s="5"/>
      <c r="N2588" s="5"/>
      <c r="R2588" s="5"/>
    </row>
    <row r="2589" spans="2:18" x14ac:dyDescent="0.2">
      <c r="B2589" s="5"/>
      <c r="F2589" s="5"/>
      <c r="J2589" s="5"/>
      <c r="N2589" s="5"/>
      <c r="R2589" s="5"/>
    </row>
    <row r="2590" spans="2:18" x14ac:dyDescent="0.2">
      <c r="B2590" s="5"/>
      <c r="F2590" s="5"/>
      <c r="J2590" s="5"/>
      <c r="N2590" s="5"/>
      <c r="R2590" s="5"/>
    </row>
    <row r="2591" spans="2:18" x14ac:dyDescent="0.2">
      <c r="B2591" s="5"/>
      <c r="F2591" s="5"/>
      <c r="J2591" s="5"/>
      <c r="N2591" s="5"/>
      <c r="R2591" s="5"/>
    </row>
    <row r="2592" spans="2:18" x14ac:dyDescent="0.2">
      <c r="B2592" s="5"/>
      <c r="F2592" s="5"/>
      <c r="J2592" s="5"/>
      <c r="N2592" s="5"/>
      <c r="R2592" s="5"/>
    </row>
    <row r="2593" spans="2:18" x14ac:dyDescent="0.2">
      <c r="B2593" s="5"/>
      <c r="F2593" s="5"/>
      <c r="J2593" s="5"/>
      <c r="N2593" s="5"/>
      <c r="R2593" s="5"/>
    </row>
    <row r="2594" spans="2:18" x14ac:dyDescent="0.2">
      <c r="B2594" s="5"/>
      <c r="F2594" s="5"/>
      <c r="J2594" s="5"/>
      <c r="N2594" s="5"/>
      <c r="R2594" s="5"/>
    </row>
    <row r="2595" spans="2:18" x14ac:dyDescent="0.2">
      <c r="B2595" s="5"/>
      <c r="F2595" s="5"/>
      <c r="J2595" s="5"/>
      <c r="N2595" s="5"/>
      <c r="R2595" s="5"/>
    </row>
    <row r="2596" spans="2:18" x14ac:dyDescent="0.2">
      <c r="B2596" s="5"/>
      <c r="F2596" s="5"/>
      <c r="J2596" s="5"/>
      <c r="N2596" s="5"/>
      <c r="R2596" s="5"/>
    </row>
    <row r="2597" spans="2:18" x14ac:dyDescent="0.2">
      <c r="B2597" s="5"/>
      <c r="F2597" s="5"/>
      <c r="J2597" s="5"/>
      <c r="N2597" s="5"/>
      <c r="R2597" s="5"/>
    </row>
    <row r="2598" spans="2:18" x14ac:dyDescent="0.2">
      <c r="B2598" s="5"/>
      <c r="F2598" s="5"/>
      <c r="J2598" s="5"/>
      <c r="N2598" s="5"/>
      <c r="R2598" s="5"/>
    </row>
    <row r="2599" spans="2:18" x14ac:dyDescent="0.2">
      <c r="B2599" s="5"/>
      <c r="F2599" s="5"/>
      <c r="J2599" s="5"/>
      <c r="N2599" s="5"/>
      <c r="R2599" s="5"/>
    </row>
    <row r="2600" spans="2:18" x14ac:dyDescent="0.2">
      <c r="B2600" s="5"/>
      <c r="F2600" s="5"/>
      <c r="J2600" s="5"/>
      <c r="N2600" s="5"/>
      <c r="R2600" s="5"/>
    </row>
    <row r="2601" spans="2:18" x14ac:dyDescent="0.2">
      <c r="B2601" s="5"/>
      <c r="F2601" s="5"/>
      <c r="J2601" s="5"/>
      <c r="N2601" s="5"/>
      <c r="R2601" s="5"/>
    </row>
    <row r="2602" spans="2:18" x14ac:dyDescent="0.2">
      <c r="B2602" s="5"/>
      <c r="F2602" s="5"/>
      <c r="J2602" s="5"/>
      <c r="N2602" s="5"/>
      <c r="R2602" s="5"/>
    </row>
    <row r="2603" spans="2:18" x14ac:dyDescent="0.2">
      <c r="B2603" s="5"/>
      <c r="F2603" s="5"/>
      <c r="J2603" s="5"/>
      <c r="N2603" s="5"/>
      <c r="R2603" s="5"/>
    </row>
    <row r="2604" spans="2:18" x14ac:dyDescent="0.2">
      <c r="B2604" s="5"/>
      <c r="F2604" s="5"/>
      <c r="J2604" s="5"/>
      <c r="N2604" s="5"/>
      <c r="R2604" s="5"/>
    </row>
    <row r="2605" spans="2:18" x14ac:dyDescent="0.2">
      <c r="B2605" s="5"/>
      <c r="F2605" s="5"/>
      <c r="J2605" s="5"/>
      <c r="N2605" s="5"/>
      <c r="R2605" s="5"/>
    </row>
    <row r="2606" spans="2:18" x14ac:dyDescent="0.2">
      <c r="B2606" s="5"/>
      <c r="F2606" s="5"/>
      <c r="J2606" s="5"/>
      <c r="N2606" s="5"/>
      <c r="R2606" s="5"/>
    </row>
    <row r="2607" spans="2:18" x14ac:dyDescent="0.2">
      <c r="B2607" s="5"/>
      <c r="F2607" s="5"/>
      <c r="J2607" s="5"/>
      <c r="N2607" s="5"/>
      <c r="R2607" s="5"/>
    </row>
    <row r="2608" spans="2:18" x14ac:dyDescent="0.2">
      <c r="B2608" s="5"/>
      <c r="F2608" s="5"/>
      <c r="J2608" s="5"/>
      <c r="N2608" s="5"/>
      <c r="R2608" s="5"/>
    </row>
    <row r="2609" spans="2:18" x14ac:dyDescent="0.2">
      <c r="B2609" s="5"/>
      <c r="F2609" s="5"/>
      <c r="J2609" s="5"/>
      <c r="N2609" s="5"/>
      <c r="R2609" s="5"/>
    </row>
    <row r="2610" spans="2:18" x14ac:dyDescent="0.2">
      <c r="B2610" s="5"/>
      <c r="F2610" s="5"/>
      <c r="J2610" s="5"/>
      <c r="N2610" s="5"/>
      <c r="R2610" s="5"/>
    </row>
    <row r="2611" spans="2:18" x14ac:dyDescent="0.2">
      <c r="B2611" s="5"/>
      <c r="F2611" s="5"/>
      <c r="J2611" s="5"/>
      <c r="N2611" s="5"/>
      <c r="R2611" s="5"/>
    </row>
    <row r="2612" spans="2:18" x14ac:dyDescent="0.2">
      <c r="B2612" s="5"/>
      <c r="F2612" s="5"/>
      <c r="J2612" s="5"/>
      <c r="N2612" s="5"/>
      <c r="R2612" s="5"/>
    </row>
    <row r="2613" spans="2:18" x14ac:dyDescent="0.2">
      <c r="B2613" s="5"/>
      <c r="F2613" s="5"/>
      <c r="J2613" s="5"/>
      <c r="N2613" s="5"/>
      <c r="R2613" s="5"/>
    </row>
    <row r="2614" spans="2:18" x14ac:dyDescent="0.2">
      <c r="B2614" s="5"/>
      <c r="F2614" s="5"/>
      <c r="J2614" s="5"/>
      <c r="N2614" s="5"/>
      <c r="R2614" s="5"/>
    </row>
    <row r="2615" spans="2:18" x14ac:dyDescent="0.2">
      <c r="B2615" s="5"/>
      <c r="F2615" s="5"/>
      <c r="J2615" s="5"/>
      <c r="N2615" s="5"/>
      <c r="R2615" s="5"/>
    </row>
    <row r="2616" spans="2:18" x14ac:dyDescent="0.2">
      <c r="B2616" s="5"/>
      <c r="F2616" s="5"/>
      <c r="J2616" s="5"/>
      <c r="N2616" s="5"/>
      <c r="R2616" s="5"/>
    </row>
    <row r="2617" spans="2:18" x14ac:dyDescent="0.2">
      <c r="B2617" s="5"/>
      <c r="F2617" s="5"/>
      <c r="J2617" s="5"/>
      <c r="N2617" s="5"/>
      <c r="R2617" s="5"/>
    </row>
    <row r="2618" spans="2:18" x14ac:dyDescent="0.2">
      <c r="B2618" s="5"/>
      <c r="F2618" s="5"/>
      <c r="J2618" s="5"/>
      <c r="N2618" s="5"/>
      <c r="R2618" s="5"/>
    </row>
    <row r="2619" spans="2:18" x14ac:dyDescent="0.2">
      <c r="B2619" s="5"/>
      <c r="F2619" s="5"/>
      <c r="J2619" s="5"/>
      <c r="N2619" s="5"/>
      <c r="R2619" s="5"/>
    </row>
    <row r="2620" spans="2:18" x14ac:dyDescent="0.2">
      <c r="B2620" s="5"/>
      <c r="F2620" s="5"/>
      <c r="J2620" s="5"/>
      <c r="N2620" s="5"/>
      <c r="R2620" s="5"/>
    </row>
    <row r="2621" spans="2:18" x14ac:dyDescent="0.2">
      <c r="B2621" s="5"/>
      <c r="F2621" s="5"/>
      <c r="J2621" s="5"/>
      <c r="N2621" s="5"/>
      <c r="R2621" s="5"/>
    </row>
    <row r="2622" spans="2:18" x14ac:dyDescent="0.2">
      <c r="B2622" s="5"/>
      <c r="F2622" s="5"/>
      <c r="J2622" s="5"/>
      <c r="N2622" s="5"/>
      <c r="R2622" s="5"/>
    </row>
    <row r="2623" spans="2:18" x14ac:dyDescent="0.2">
      <c r="B2623" s="5"/>
      <c r="F2623" s="5"/>
      <c r="J2623" s="5"/>
      <c r="N2623" s="5"/>
      <c r="R2623" s="5"/>
    </row>
    <row r="2624" spans="2:18" x14ac:dyDescent="0.2">
      <c r="B2624" s="5"/>
      <c r="F2624" s="5"/>
      <c r="J2624" s="5"/>
      <c r="N2624" s="5"/>
      <c r="R2624" s="5"/>
    </row>
    <row r="2625" spans="2:18" x14ac:dyDescent="0.2">
      <c r="B2625" s="5"/>
      <c r="F2625" s="5"/>
      <c r="J2625" s="5"/>
      <c r="N2625" s="5"/>
      <c r="R2625" s="5"/>
    </row>
    <row r="2626" spans="2:18" x14ac:dyDescent="0.2">
      <c r="B2626" s="5"/>
      <c r="F2626" s="5"/>
      <c r="J2626" s="5"/>
      <c r="N2626" s="5"/>
      <c r="R2626" s="5"/>
    </row>
    <row r="2627" spans="2:18" x14ac:dyDescent="0.2">
      <c r="B2627" s="5"/>
      <c r="F2627" s="5"/>
      <c r="J2627" s="5"/>
      <c r="N2627" s="5"/>
      <c r="R2627" s="5"/>
    </row>
    <row r="2628" spans="2:18" x14ac:dyDescent="0.2">
      <c r="B2628" s="5"/>
      <c r="F2628" s="5"/>
      <c r="J2628" s="5"/>
      <c r="N2628" s="5"/>
      <c r="R2628" s="5"/>
    </row>
    <row r="2629" spans="2:18" x14ac:dyDescent="0.2">
      <c r="B2629" s="5"/>
      <c r="F2629" s="5"/>
      <c r="J2629" s="5"/>
      <c r="N2629" s="5"/>
      <c r="R2629" s="5"/>
    </row>
    <row r="2630" spans="2:18" x14ac:dyDescent="0.2">
      <c r="B2630" s="5"/>
      <c r="F2630" s="5"/>
      <c r="J2630" s="5"/>
      <c r="N2630" s="5"/>
      <c r="R2630" s="5"/>
    </row>
    <row r="2631" spans="2:18" x14ac:dyDescent="0.2">
      <c r="B2631" s="5"/>
      <c r="F2631" s="5"/>
      <c r="J2631" s="5"/>
      <c r="N2631" s="5"/>
      <c r="R2631" s="5"/>
    </row>
    <row r="2632" spans="2:18" x14ac:dyDescent="0.2">
      <c r="B2632" s="5"/>
      <c r="F2632" s="5"/>
      <c r="J2632" s="5"/>
      <c r="N2632" s="5"/>
      <c r="R2632" s="5"/>
    </row>
    <row r="2633" spans="2:18" x14ac:dyDescent="0.2">
      <c r="B2633" s="5"/>
      <c r="F2633" s="5"/>
      <c r="J2633" s="5"/>
      <c r="N2633" s="5"/>
      <c r="R2633" s="5"/>
    </row>
    <row r="2634" spans="2:18" x14ac:dyDescent="0.2">
      <c r="B2634" s="5"/>
      <c r="F2634" s="5"/>
      <c r="J2634" s="5"/>
      <c r="N2634" s="5"/>
      <c r="R2634" s="5"/>
    </row>
    <row r="2635" spans="2:18" x14ac:dyDescent="0.2">
      <c r="B2635" s="5"/>
      <c r="F2635" s="5"/>
      <c r="J2635" s="5"/>
      <c r="N2635" s="5"/>
      <c r="R2635" s="5"/>
    </row>
    <row r="2636" spans="2:18" x14ac:dyDescent="0.2">
      <c r="B2636" s="5"/>
      <c r="F2636" s="5"/>
      <c r="J2636" s="5"/>
      <c r="N2636" s="5"/>
      <c r="R2636" s="5"/>
    </row>
    <row r="2637" spans="2:18" x14ac:dyDescent="0.2">
      <c r="B2637" s="5"/>
      <c r="F2637" s="5"/>
      <c r="J2637" s="5"/>
      <c r="N2637" s="5"/>
      <c r="R2637" s="5"/>
    </row>
    <row r="2638" spans="2:18" x14ac:dyDescent="0.2">
      <c r="B2638" s="5"/>
      <c r="F2638" s="5"/>
      <c r="J2638" s="5"/>
      <c r="N2638" s="5"/>
      <c r="R2638" s="5"/>
    </row>
    <row r="2639" spans="2:18" x14ac:dyDescent="0.2">
      <c r="B2639" s="5"/>
      <c r="F2639" s="5"/>
      <c r="J2639" s="5"/>
      <c r="N2639" s="5"/>
      <c r="R2639" s="5"/>
    </row>
    <row r="2640" spans="2:18" x14ac:dyDescent="0.2">
      <c r="B2640" s="5"/>
      <c r="F2640" s="5"/>
      <c r="J2640" s="5"/>
      <c r="N2640" s="5"/>
      <c r="R2640" s="5"/>
    </row>
    <row r="2641" spans="2:18" x14ac:dyDescent="0.2">
      <c r="B2641" s="5"/>
      <c r="F2641" s="5"/>
      <c r="J2641" s="5"/>
      <c r="N2641" s="5"/>
      <c r="R2641" s="5"/>
    </row>
    <row r="2642" spans="2:18" x14ac:dyDescent="0.2">
      <c r="B2642" s="5"/>
      <c r="F2642" s="5"/>
      <c r="J2642" s="5"/>
      <c r="N2642" s="5"/>
      <c r="R2642" s="5"/>
    </row>
    <row r="2643" spans="2:18" x14ac:dyDescent="0.2">
      <c r="B2643" s="5"/>
      <c r="F2643" s="5"/>
      <c r="J2643" s="5"/>
      <c r="N2643" s="5"/>
      <c r="R2643" s="5"/>
    </row>
    <row r="2644" spans="2:18" x14ac:dyDescent="0.2">
      <c r="B2644" s="5"/>
      <c r="F2644" s="5"/>
      <c r="J2644" s="5"/>
      <c r="N2644" s="5"/>
      <c r="R2644" s="5"/>
    </row>
    <row r="2645" spans="2:18" x14ac:dyDescent="0.2">
      <c r="B2645" s="5"/>
      <c r="F2645" s="5"/>
      <c r="J2645" s="5"/>
      <c r="N2645" s="5"/>
      <c r="R2645" s="5"/>
    </row>
    <row r="2646" spans="2:18" x14ac:dyDescent="0.2">
      <c r="B2646" s="5"/>
      <c r="F2646" s="5"/>
      <c r="J2646" s="5"/>
      <c r="N2646" s="5"/>
      <c r="R2646" s="5"/>
    </row>
    <row r="2647" spans="2:18" x14ac:dyDescent="0.2">
      <c r="B2647" s="5"/>
      <c r="F2647" s="5"/>
      <c r="J2647" s="5"/>
      <c r="N2647" s="5"/>
      <c r="R2647" s="5"/>
    </row>
    <row r="2648" spans="2:18" x14ac:dyDescent="0.2">
      <c r="B2648" s="5"/>
      <c r="F2648" s="5"/>
      <c r="J2648" s="5"/>
      <c r="N2648" s="5"/>
      <c r="R2648" s="5"/>
    </row>
    <row r="2649" spans="2:18" x14ac:dyDescent="0.2">
      <c r="B2649" s="5"/>
      <c r="F2649" s="5"/>
      <c r="J2649" s="5"/>
      <c r="N2649" s="5"/>
      <c r="R2649" s="5"/>
    </row>
    <row r="2650" spans="2:18" x14ac:dyDescent="0.2">
      <c r="B2650" s="5"/>
      <c r="F2650" s="5"/>
      <c r="J2650" s="5"/>
      <c r="N2650" s="5"/>
      <c r="R2650" s="5"/>
    </row>
    <row r="2651" spans="2:18" x14ac:dyDescent="0.2">
      <c r="B2651" s="5"/>
      <c r="F2651" s="5"/>
      <c r="J2651" s="5"/>
      <c r="N2651" s="5"/>
      <c r="R2651" s="5"/>
    </row>
    <row r="2652" spans="2:18" x14ac:dyDescent="0.2">
      <c r="B2652" s="5"/>
      <c r="F2652" s="5"/>
      <c r="J2652" s="5"/>
      <c r="N2652" s="5"/>
      <c r="R2652" s="5"/>
    </row>
    <row r="2653" spans="2:18" x14ac:dyDescent="0.2">
      <c r="B2653" s="5"/>
      <c r="F2653" s="5"/>
      <c r="J2653" s="5"/>
      <c r="N2653" s="5"/>
      <c r="R2653" s="5"/>
    </row>
    <row r="2654" spans="2:18" x14ac:dyDescent="0.2">
      <c r="B2654" s="5"/>
      <c r="F2654" s="5"/>
      <c r="J2654" s="5"/>
      <c r="N2654" s="5"/>
      <c r="R2654" s="5"/>
    </row>
    <row r="2655" spans="2:18" x14ac:dyDescent="0.2">
      <c r="B2655" s="5"/>
      <c r="F2655" s="5"/>
      <c r="J2655" s="5"/>
      <c r="N2655" s="5"/>
      <c r="R2655" s="5"/>
    </row>
    <row r="2656" spans="2:18" x14ac:dyDescent="0.2">
      <c r="B2656" s="5"/>
      <c r="F2656" s="5"/>
      <c r="J2656" s="5"/>
      <c r="N2656" s="5"/>
      <c r="R2656" s="5"/>
    </row>
    <row r="2657" spans="2:18" x14ac:dyDescent="0.2">
      <c r="B2657" s="5"/>
      <c r="F2657" s="5"/>
      <c r="J2657" s="5"/>
      <c r="N2657" s="5"/>
      <c r="R2657" s="5"/>
    </row>
    <row r="2658" spans="2:18" x14ac:dyDescent="0.2">
      <c r="B2658" s="5"/>
      <c r="F2658" s="5"/>
      <c r="J2658" s="5"/>
      <c r="N2658" s="5"/>
      <c r="R2658" s="5"/>
    </row>
    <row r="2659" spans="2:18" x14ac:dyDescent="0.2">
      <c r="B2659" s="5"/>
      <c r="F2659" s="5"/>
      <c r="J2659" s="5"/>
      <c r="N2659" s="5"/>
      <c r="R2659" s="5"/>
    </row>
    <row r="2660" spans="2:18" x14ac:dyDescent="0.2">
      <c r="B2660" s="5"/>
      <c r="F2660" s="5"/>
      <c r="J2660" s="5"/>
      <c r="N2660" s="5"/>
      <c r="R2660" s="5"/>
    </row>
    <row r="2661" spans="2:18" x14ac:dyDescent="0.2">
      <c r="B2661" s="5"/>
      <c r="F2661" s="5"/>
      <c r="J2661" s="5"/>
      <c r="N2661" s="5"/>
      <c r="R2661" s="5"/>
    </row>
    <row r="2662" spans="2:18" x14ac:dyDescent="0.2">
      <c r="B2662" s="5"/>
      <c r="F2662" s="5"/>
      <c r="J2662" s="5"/>
      <c r="N2662" s="5"/>
      <c r="R2662" s="5"/>
    </row>
    <row r="2663" spans="2:18" x14ac:dyDescent="0.2">
      <c r="B2663" s="5"/>
      <c r="F2663" s="5"/>
      <c r="J2663" s="5"/>
      <c r="N2663" s="5"/>
      <c r="R2663" s="5"/>
    </row>
    <row r="2664" spans="2:18" x14ac:dyDescent="0.2">
      <c r="B2664" s="5"/>
      <c r="F2664" s="5"/>
      <c r="J2664" s="5"/>
      <c r="N2664" s="5"/>
      <c r="R2664" s="5"/>
    </row>
    <row r="2665" spans="2:18" x14ac:dyDescent="0.2">
      <c r="B2665" s="5"/>
      <c r="F2665" s="5"/>
      <c r="J2665" s="5"/>
      <c r="N2665" s="5"/>
      <c r="R2665" s="5"/>
    </row>
    <row r="2666" spans="2:18" x14ac:dyDescent="0.2">
      <c r="B2666" s="5"/>
      <c r="F2666" s="5"/>
      <c r="J2666" s="5"/>
      <c r="N2666" s="5"/>
      <c r="R2666" s="5"/>
    </row>
    <row r="2667" spans="2:18" x14ac:dyDescent="0.2">
      <c r="B2667" s="5"/>
      <c r="F2667" s="5"/>
      <c r="J2667" s="5"/>
      <c r="N2667" s="5"/>
      <c r="R2667" s="5"/>
    </row>
    <row r="2668" spans="2:18" x14ac:dyDescent="0.2">
      <c r="B2668" s="5"/>
      <c r="F2668" s="5"/>
      <c r="J2668" s="5"/>
      <c r="N2668" s="5"/>
      <c r="R2668" s="5"/>
    </row>
    <row r="2669" spans="2:18" x14ac:dyDescent="0.2">
      <c r="B2669" s="5"/>
      <c r="F2669" s="5"/>
      <c r="J2669" s="5"/>
      <c r="N2669" s="5"/>
      <c r="R2669" s="5"/>
    </row>
    <row r="2670" spans="2:18" x14ac:dyDescent="0.2">
      <c r="B2670" s="5"/>
      <c r="F2670" s="5"/>
      <c r="J2670" s="5"/>
      <c r="N2670" s="5"/>
      <c r="R2670" s="5"/>
    </row>
    <row r="2671" spans="2:18" x14ac:dyDescent="0.2">
      <c r="B2671" s="5"/>
      <c r="F2671" s="5"/>
      <c r="J2671" s="5"/>
      <c r="N2671" s="5"/>
      <c r="R2671" s="5"/>
    </row>
    <row r="2672" spans="2:18" x14ac:dyDescent="0.2">
      <c r="B2672" s="5"/>
      <c r="F2672" s="5"/>
      <c r="J2672" s="5"/>
      <c r="N2672" s="5"/>
      <c r="R2672" s="5"/>
    </row>
    <row r="2673" spans="2:18" x14ac:dyDescent="0.2">
      <c r="B2673" s="5"/>
      <c r="F2673" s="5"/>
      <c r="J2673" s="5"/>
      <c r="N2673" s="5"/>
      <c r="R2673" s="5"/>
    </row>
    <row r="2674" spans="2:18" x14ac:dyDescent="0.2">
      <c r="B2674" s="5"/>
      <c r="F2674" s="5"/>
      <c r="J2674" s="5"/>
      <c r="N2674" s="5"/>
      <c r="R2674" s="5"/>
    </row>
    <row r="2675" spans="2:18" x14ac:dyDescent="0.2">
      <c r="B2675" s="5"/>
      <c r="F2675" s="5"/>
      <c r="J2675" s="5"/>
      <c r="N2675" s="5"/>
      <c r="R2675" s="5"/>
    </row>
    <row r="2676" spans="2:18" x14ac:dyDescent="0.2">
      <c r="B2676" s="5"/>
      <c r="F2676" s="5"/>
      <c r="J2676" s="5"/>
      <c r="N2676" s="5"/>
      <c r="R2676" s="5"/>
    </row>
    <row r="2677" spans="2:18" x14ac:dyDescent="0.2">
      <c r="B2677" s="5"/>
      <c r="F2677" s="5"/>
      <c r="J2677" s="5"/>
      <c r="N2677" s="5"/>
      <c r="R2677" s="5"/>
    </row>
    <row r="2678" spans="2:18" x14ac:dyDescent="0.2">
      <c r="B2678" s="5"/>
      <c r="F2678" s="5"/>
      <c r="J2678" s="5"/>
      <c r="N2678" s="5"/>
      <c r="R2678" s="5"/>
    </row>
    <row r="2679" spans="2:18" x14ac:dyDescent="0.2">
      <c r="B2679" s="5"/>
      <c r="F2679" s="5"/>
      <c r="J2679" s="5"/>
      <c r="N2679" s="5"/>
      <c r="R2679" s="5"/>
    </row>
    <row r="2680" spans="2:18" x14ac:dyDescent="0.2">
      <c r="B2680" s="5"/>
      <c r="F2680" s="5"/>
      <c r="J2680" s="5"/>
      <c r="N2680" s="5"/>
      <c r="R2680" s="5"/>
    </row>
    <row r="2681" spans="2:18" x14ac:dyDescent="0.2">
      <c r="B2681" s="5"/>
      <c r="F2681" s="5"/>
      <c r="J2681" s="5"/>
      <c r="N2681" s="5"/>
      <c r="R2681" s="5"/>
    </row>
    <row r="2682" spans="2:18" x14ac:dyDescent="0.2">
      <c r="B2682" s="5"/>
      <c r="F2682" s="5"/>
      <c r="J2682" s="5"/>
      <c r="N2682" s="5"/>
      <c r="R2682" s="5"/>
    </row>
    <row r="2683" spans="2:18" x14ac:dyDescent="0.2">
      <c r="B2683" s="5"/>
      <c r="F2683" s="5"/>
      <c r="J2683" s="5"/>
      <c r="N2683" s="5"/>
      <c r="R2683" s="5"/>
    </row>
    <row r="2684" spans="2:18" x14ac:dyDescent="0.2">
      <c r="B2684" s="5"/>
      <c r="F2684" s="5"/>
      <c r="J2684" s="5"/>
      <c r="N2684" s="5"/>
      <c r="R2684" s="5"/>
    </row>
    <row r="2685" spans="2:18" x14ac:dyDescent="0.2">
      <c r="B2685" s="5"/>
      <c r="F2685" s="5"/>
      <c r="J2685" s="5"/>
      <c r="N2685" s="5"/>
      <c r="R2685" s="5"/>
    </row>
    <row r="2686" spans="2:18" x14ac:dyDescent="0.2">
      <c r="B2686" s="5"/>
      <c r="F2686" s="5"/>
      <c r="J2686" s="5"/>
      <c r="N2686" s="5"/>
      <c r="R2686" s="5"/>
    </row>
    <row r="2687" spans="2:18" x14ac:dyDescent="0.2">
      <c r="B2687" s="5"/>
      <c r="F2687" s="5"/>
      <c r="J2687" s="5"/>
      <c r="N2687" s="5"/>
      <c r="R2687" s="5"/>
    </row>
    <row r="2688" spans="2:18" x14ac:dyDescent="0.2">
      <c r="B2688" s="5"/>
      <c r="F2688" s="5"/>
      <c r="J2688" s="5"/>
      <c r="N2688" s="5"/>
      <c r="R2688" s="5"/>
    </row>
    <row r="2689" spans="2:18" x14ac:dyDescent="0.2">
      <c r="B2689" s="5"/>
      <c r="F2689" s="5"/>
      <c r="J2689" s="5"/>
      <c r="N2689" s="5"/>
      <c r="R2689" s="5"/>
    </row>
    <row r="2690" spans="2:18" x14ac:dyDescent="0.2">
      <c r="B2690" s="5"/>
      <c r="F2690" s="5"/>
      <c r="J2690" s="5"/>
      <c r="N2690" s="5"/>
      <c r="R2690" s="5"/>
    </row>
    <row r="2691" spans="2:18" x14ac:dyDescent="0.2">
      <c r="B2691" s="5"/>
      <c r="F2691" s="5"/>
      <c r="J2691" s="5"/>
      <c r="N2691" s="5"/>
      <c r="R2691" s="5"/>
    </row>
    <row r="2692" spans="2:18" x14ac:dyDescent="0.2">
      <c r="B2692" s="5"/>
      <c r="F2692" s="5"/>
      <c r="J2692" s="5"/>
      <c r="N2692" s="5"/>
      <c r="R2692" s="5"/>
    </row>
    <row r="2693" spans="2:18" x14ac:dyDescent="0.2">
      <c r="B2693" s="5"/>
      <c r="F2693" s="5"/>
      <c r="J2693" s="5"/>
      <c r="N2693" s="5"/>
      <c r="R2693" s="5"/>
    </row>
    <row r="2694" spans="2:18" x14ac:dyDescent="0.2">
      <c r="B2694" s="5"/>
      <c r="F2694" s="5"/>
      <c r="J2694" s="5"/>
      <c r="N2694" s="5"/>
      <c r="R2694" s="5"/>
    </row>
    <row r="2695" spans="2:18" x14ac:dyDescent="0.2">
      <c r="B2695" s="5"/>
      <c r="F2695" s="5"/>
      <c r="J2695" s="5"/>
      <c r="N2695" s="5"/>
      <c r="R2695" s="5"/>
    </row>
    <row r="2696" spans="2:18" x14ac:dyDescent="0.2">
      <c r="B2696" s="5"/>
      <c r="F2696" s="5"/>
      <c r="J2696" s="5"/>
      <c r="N2696" s="5"/>
      <c r="R2696" s="5"/>
    </row>
    <row r="2697" spans="2:18" x14ac:dyDescent="0.2">
      <c r="B2697" s="5"/>
      <c r="F2697" s="5"/>
      <c r="J2697" s="5"/>
      <c r="N2697" s="5"/>
      <c r="R2697" s="5"/>
    </row>
    <row r="2698" spans="2:18" x14ac:dyDescent="0.2">
      <c r="B2698" s="5"/>
      <c r="F2698" s="5"/>
      <c r="J2698" s="5"/>
      <c r="N2698" s="5"/>
      <c r="R2698" s="5"/>
    </row>
    <row r="2699" spans="2:18" x14ac:dyDescent="0.2">
      <c r="B2699" s="5"/>
      <c r="F2699" s="5"/>
      <c r="J2699" s="5"/>
      <c r="N2699" s="5"/>
      <c r="R2699" s="5"/>
    </row>
    <row r="2700" spans="2:18" x14ac:dyDescent="0.2">
      <c r="B2700" s="5"/>
      <c r="F2700" s="5"/>
      <c r="J2700" s="5"/>
      <c r="N2700" s="5"/>
      <c r="R2700" s="5"/>
    </row>
    <row r="2701" spans="2:18" x14ac:dyDescent="0.2">
      <c r="B2701" s="5"/>
      <c r="F2701" s="5"/>
      <c r="J2701" s="5"/>
      <c r="N2701" s="5"/>
      <c r="R2701" s="5"/>
    </row>
    <row r="2702" spans="2:18" x14ac:dyDescent="0.2">
      <c r="B2702" s="5"/>
      <c r="F2702" s="5"/>
      <c r="J2702" s="5"/>
      <c r="N2702" s="5"/>
      <c r="R2702" s="5"/>
    </row>
    <row r="2703" spans="2:18" x14ac:dyDescent="0.2">
      <c r="B2703" s="5"/>
      <c r="F2703" s="5"/>
      <c r="J2703" s="5"/>
      <c r="N2703" s="5"/>
      <c r="R2703" s="5"/>
    </row>
    <row r="2704" spans="2:18" x14ac:dyDescent="0.2">
      <c r="B2704" s="5"/>
      <c r="F2704" s="5"/>
      <c r="J2704" s="5"/>
      <c r="N2704" s="5"/>
      <c r="R2704" s="5"/>
    </row>
    <row r="2705" spans="2:18" x14ac:dyDescent="0.2">
      <c r="B2705" s="5"/>
      <c r="F2705" s="5"/>
      <c r="J2705" s="5"/>
      <c r="N2705" s="5"/>
      <c r="R2705" s="5"/>
    </row>
    <row r="2706" spans="2:18" x14ac:dyDescent="0.2">
      <c r="B2706" s="5"/>
      <c r="F2706" s="5"/>
      <c r="J2706" s="5"/>
      <c r="N2706" s="5"/>
      <c r="R2706" s="5"/>
    </row>
    <row r="2707" spans="2:18" x14ac:dyDescent="0.2">
      <c r="B2707" s="5"/>
      <c r="F2707" s="5"/>
      <c r="J2707" s="5"/>
      <c r="N2707" s="5"/>
      <c r="R2707" s="5"/>
    </row>
    <row r="2708" spans="2:18" x14ac:dyDescent="0.2">
      <c r="B2708" s="5"/>
      <c r="F2708" s="5"/>
      <c r="J2708" s="5"/>
      <c r="N2708" s="5"/>
      <c r="R2708" s="5"/>
    </row>
    <row r="2709" spans="2:18" x14ac:dyDescent="0.2">
      <c r="B2709" s="5"/>
      <c r="F2709" s="5"/>
      <c r="J2709" s="5"/>
      <c r="N2709" s="5"/>
      <c r="R2709" s="5"/>
    </row>
    <row r="2710" spans="2:18" x14ac:dyDescent="0.2">
      <c r="B2710" s="5"/>
      <c r="F2710" s="5"/>
      <c r="J2710" s="5"/>
      <c r="N2710" s="5"/>
      <c r="R2710" s="5"/>
    </row>
    <row r="2711" spans="2:18" x14ac:dyDescent="0.2">
      <c r="B2711" s="5"/>
      <c r="F2711" s="5"/>
      <c r="J2711" s="5"/>
      <c r="N2711" s="5"/>
      <c r="R2711" s="5"/>
    </row>
    <row r="2712" spans="2:18" x14ac:dyDescent="0.2">
      <c r="B2712" s="5"/>
      <c r="F2712" s="5"/>
      <c r="J2712" s="5"/>
      <c r="N2712" s="5"/>
      <c r="R2712" s="5"/>
    </row>
    <row r="2713" spans="2:18" x14ac:dyDescent="0.2">
      <c r="B2713" s="5"/>
      <c r="F2713" s="5"/>
      <c r="J2713" s="5"/>
      <c r="N2713" s="5"/>
      <c r="R2713" s="5"/>
    </row>
    <row r="2714" spans="2:18" x14ac:dyDescent="0.2">
      <c r="B2714" s="5"/>
      <c r="F2714" s="5"/>
      <c r="J2714" s="5"/>
      <c r="N2714" s="5"/>
      <c r="R2714" s="5"/>
    </row>
    <row r="2715" spans="2:18" x14ac:dyDescent="0.2">
      <c r="B2715" s="5"/>
      <c r="F2715" s="5"/>
      <c r="J2715" s="5"/>
      <c r="N2715" s="5"/>
      <c r="R2715" s="5"/>
    </row>
    <row r="2716" spans="2:18" x14ac:dyDescent="0.2">
      <c r="B2716" s="5"/>
      <c r="F2716" s="5"/>
      <c r="J2716" s="5"/>
      <c r="N2716" s="5"/>
      <c r="R2716" s="5"/>
    </row>
    <row r="2717" spans="2:18" x14ac:dyDescent="0.2">
      <c r="B2717" s="5"/>
      <c r="F2717" s="5"/>
      <c r="J2717" s="5"/>
      <c r="N2717" s="5"/>
      <c r="R2717" s="5"/>
    </row>
    <row r="2718" spans="2:18" x14ac:dyDescent="0.2">
      <c r="B2718" s="5"/>
      <c r="F2718" s="5"/>
      <c r="J2718" s="5"/>
      <c r="N2718" s="5"/>
      <c r="R2718" s="5"/>
    </row>
    <row r="2719" spans="2:18" x14ac:dyDescent="0.2">
      <c r="B2719" s="5"/>
      <c r="F2719" s="5"/>
      <c r="J2719" s="5"/>
      <c r="N2719" s="5"/>
      <c r="R2719" s="5"/>
    </row>
    <row r="2720" spans="2:18" x14ac:dyDescent="0.2">
      <c r="B2720" s="5"/>
      <c r="F2720" s="5"/>
      <c r="J2720" s="5"/>
      <c r="N2720" s="5"/>
      <c r="R2720" s="5"/>
    </row>
    <row r="2721" spans="2:18" x14ac:dyDescent="0.2">
      <c r="B2721" s="5"/>
      <c r="F2721" s="5"/>
      <c r="J2721" s="5"/>
      <c r="N2721" s="5"/>
      <c r="R2721" s="5"/>
    </row>
    <row r="2722" spans="2:18" x14ac:dyDescent="0.2">
      <c r="B2722" s="5"/>
      <c r="F2722" s="5"/>
      <c r="J2722" s="5"/>
      <c r="N2722" s="5"/>
      <c r="R2722" s="5"/>
    </row>
    <row r="2723" spans="2:18" x14ac:dyDescent="0.2">
      <c r="B2723" s="5"/>
      <c r="F2723" s="5"/>
      <c r="J2723" s="5"/>
      <c r="N2723" s="5"/>
      <c r="R2723" s="5"/>
    </row>
    <row r="2724" spans="2:18" x14ac:dyDescent="0.2">
      <c r="B2724" s="5"/>
      <c r="F2724" s="5"/>
      <c r="J2724" s="5"/>
      <c r="N2724" s="5"/>
      <c r="R2724" s="5"/>
    </row>
    <row r="2725" spans="2:18" x14ac:dyDescent="0.2">
      <c r="B2725" s="5"/>
      <c r="F2725" s="5"/>
      <c r="J2725" s="5"/>
      <c r="N2725" s="5"/>
      <c r="R2725" s="5"/>
    </row>
    <row r="2726" spans="2:18" x14ac:dyDescent="0.2">
      <c r="B2726" s="5"/>
      <c r="F2726" s="5"/>
      <c r="J2726" s="5"/>
      <c r="N2726" s="5"/>
      <c r="R2726" s="5"/>
    </row>
    <row r="2727" spans="2:18" x14ac:dyDescent="0.2">
      <c r="B2727" s="5"/>
      <c r="F2727" s="5"/>
      <c r="J2727" s="5"/>
      <c r="N2727" s="5"/>
      <c r="R2727" s="5"/>
    </row>
    <row r="2728" spans="2:18" x14ac:dyDescent="0.2">
      <c r="B2728" s="5"/>
      <c r="F2728" s="5"/>
      <c r="J2728" s="5"/>
      <c r="N2728" s="5"/>
      <c r="R2728" s="5"/>
    </row>
    <row r="2729" spans="2:18" x14ac:dyDescent="0.2">
      <c r="B2729" s="5"/>
      <c r="F2729" s="5"/>
      <c r="J2729" s="5"/>
      <c r="N2729" s="5"/>
      <c r="R2729" s="5"/>
    </row>
    <row r="2730" spans="2:18" x14ac:dyDescent="0.2">
      <c r="B2730" s="5"/>
      <c r="F2730" s="5"/>
      <c r="J2730" s="5"/>
      <c r="N2730" s="5"/>
      <c r="R2730" s="5"/>
    </row>
    <row r="2731" spans="2:18" x14ac:dyDescent="0.2">
      <c r="B2731" s="5"/>
      <c r="F2731" s="5"/>
      <c r="J2731" s="5"/>
      <c r="N2731" s="5"/>
      <c r="R2731" s="5"/>
    </row>
    <row r="2732" spans="2:18" x14ac:dyDescent="0.2">
      <c r="B2732" s="5"/>
      <c r="F2732" s="5"/>
      <c r="J2732" s="5"/>
      <c r="N2732" s="5"/>
      <c r="R2732" s="5"/>
    </row>
    <row r="2733" spans="2:18" x14ac:dyDescent="0.2">
      <c r="B2733" s="5"/>
      <c r="F2733" s="5"/>
      <c r="J2733" s="5"/>
      <c r="N2733" s="5"/>
      <c r="R2733" s="5"/>
    </row>
    <row r="2734" spans="2:18" x14ac:dyDescent="0.2">
      <c r="B2734" s="5"/>
      <c r="F2734" s="5"/>
      <c r="J2734" s="5"/>
      <c r="N2734" s="5"/>
      <c r="R2734" s="5"/>
    </row>
    <row r="2735" spans="2:18" x14ac:dyDescent="0.2">
      <c r="B2735" s="5"/>
      <c r="F2735" s="5"/>
      <c r="J2735" s="5"/>
      <c r="N2735" s="5"/>
      <c r="R2735" s="5"/>
    </row>
    <row r="2736" spans="2:18" x14ac:dyDescent="0.2">
      <c r="B2736" s="5"/>
      <c r="F2736" s="5"/>
      <c r="J2736" s="5"/>
      <c r="N2736" s="5"/>
      <c r="R2736" s="5"/>
    </row>
    <row r="2737" spans="2:18" x14ac:dyDescent="0.2">
      <c r="B2737" s="5"/>
      <c r="F2737" s="5"/>
      <c r="J2737" s="5"/>
      <c r="N2737" s="5"/>
      <c r="R2737" s="5"/>
    </row>
    <row r="2738" spans="2:18" x14ac:dyDescent="0.2">
      <c r="B2738" s="5"/>
      <c r="F2738" s="5"/>
      <c r="J2738" s="5"/>
      <c r="N2738" s="5"/>
      <c r="R2738" s="5"/>
    </row>
    <row r="2739" spans="2:18" x14ac:dyDescent="0.2">
      <c r="B2739" s="5"/>
      <c r="F2739" s="5"/>
      <c r="J2739" s="5"/>
      <c r="N2739" s="5"/>
      <c r="R2739" s="5"/>
    </row>
    <row r="2740" spans="2:18" x14ac:dyDescent="0.2">
      <c r="B2740" s="5"/>
      <c r="F2740" s="5"/>
      <c r="J2740" s="5"/>
      <c r="N2740" s="5"/>
      <c r="R2740" s="5"/>
    </row>
    <row r="2741" spans="2:18" x14ac:dyDescent="0.2">
      <c r="B2741" s="5"/>
      <c r="F2741" s="5"/>
      <c r="J2741" s="5"/>
      <c r="N2741" s="5"/>
      <c r="R2741" s="5"/>
    </row>
    <row r="2742" spans="2:18" x14ac:dyDescent="0.2">
      <c r="B2742" s="5"/>
      <c r="F2742" s="5"/>
      <c r="J2742" s="5"/>
      <c r="N2742" s="5"/>
      <c r="R2742" s="5"/>
    </row>
    <row r="2743" spans="2:18" x14ac:dyDescent="0.2">
      <c r="B2743" s="5"/>
      <c r="F2743" s="5"/>
      <c r="J2743" s="5"/>
      <c r="N2743" s="5"/>
      <c r="R2743" s="5"/>
    </row>
    <row r="2744" spans="2:18" x14ac:dyDescent="0.2">
      <c r="B2744" s="5"/>
      <c r="F2744" s="5"/>
      <c r="J2744" s="5"/>
      <c r="N2744" s="5"/>
      <c r="R2744" s="5"/>
    </row>
    <row r="2745" spans="2:18" x14ac:dyDescent="0.2">
      <c r="B2745" s="5"/>
      <c r="F2745" s="5"/>
      <c r="J2745" s="5"/>
      <c r="N2745" s="5"/>
      <c r="R2745" s="5"/>
    </row>
    <row r="2746" spans="2:18" x14ac:dyDescent="0.2">
      <c r="B2746" s="5"/>
      <c r="F2746" s="5"/>
      <c r="J2746" s="5"/>
      <c r="N2746" s="5"/>
      <c r="R2746" s="5"/>
    </row>
    <row r="2747" spans="2:18" x14ac:dyDescent="0.2">
      <c r="B2747" s="5"/>
      <c r="F2747" s="5"/>
      <c r="J2747" s="5"/>
      <c r="N2747" s="5"/>
      <c r="R2747" s="5"/>
    </row>
    <row r="2748" spans="2:18" x14ac:dyDescent="0.2">
      <c r="B2748" s="5"/>
      <c r="F2748" s="5"/>
      <c r="J2748" s="5"/>
      <c r="N2748" s="5"/>
      <c r="R2748" s="5"/>
    </row>
    <row r="2749" spans="2:18" x14ac:dyDescent="0.2">
      <c r="B2749" s="5"/>
      <c r="F2749" s="5"/>
      <c r="J2749" s="5"/>
      <c r="N2749" s="5"/>
      <c r="R2749" s="5"/>
    </row>
    <row r="2750" spans="2:18" x14ac:dyDescent="0.2">
      <c r="B2750" s="5"/>
      <c r="F2750" s="5"/>
      <c r="J2750" s="5"/>
      <c r="N2750" s="5"/>
      <c r="R2750" s="5"/>
    </row>
    <row r="2751" spans="2:18" x14ac:dyDescent="0.2">
      <c r="B2751" s="5"/>
      <c r="F2751" s="5"/>
      <c r="J2751" s="5"/>
      <c r="N2751" s="5"/>
      <c r="R2751" s="5"/>
    </row>
    <row r="2752" spans="2:18" x14ac:dyDescent="0.2">
      <c r="B2752" s="5"/>
      <c r="F2752" s="5"/>
      <c r="J2752" s="5"/>
      <c r="N2752" s="5"/>
      <c r="R2752" s="5"/>
    </row>
    <row r="2753" spans="2:18" x14ac:dyDescent="0.2">
      <c r="B2753" s="5"/>
      <c r="F2753" s="5"/>
      <c r="J2753" s="5"/>
      <c r="N2753" s="5"/>
      <c r="R2753" s="5"/>
    </row>
    <row r="2754" spans="2:18" x14ac:dyDescent="0.2">
      <c r="B2754" s="5"/>
      <c r="F2754" s="5"/>
      <c r="J2754" s="5"/>
      <c r="N2754" s="5"/>
      <c r="R2754" s="5"/>
    </row>
    <row r="2755" spans="2:18" x14ac:dyDescent="0.2">
      <c r="B2755" s="5"/>
      <c r="F2755" s="5"/>
      <c r="J2755" s="5"/>
      <c r="N2755" s="5"/>
      <c r="R2755" s="5"/>
    </row>
    <row r="2756" spans="2:18" x14ac:dyDescent="0.2">
      <c r="B2756" s="5"/>
      <c r="F2756" s="5"/>
      <c r="J2756" s="5"/>
      <c r="N2756" s="5"/>
      <c r="R2756" s="5"/>
    </row>
    <row r="2757" spans="2:18" x14ac:dyDescent="0.2">
      <c r="B2757" s="5"/>
      <c r="F2757" s="5"/>
      <c r="J2757" s="5"/>
      <c r="N2757" s="5"/>
      <c r="R2757" s="5"/>
    </row>
    <row r="2758" spans="2:18" x14ac:dyDescent="0.2">
      <c r="B2758" s="5"/>
      <c r="F2758" s="5"/>
      <c r="J2758" s="5"/>
      <c r="N2758" s="5"/>
      <c r="R2758" s="5"/>
    </row>
    <row r="2759" spans="2:18" x14ac:dyDescent="0.2">
      <c r="B2759" s="5"/>
      <c r="F2759" s="5"/>
      <c r="J2759" s="5"/>
      <c r="N2759" s="5"/>
      <c r="R2759" s="5"/>
    </row>
    <row r="2760" spans="2:18" x14ac:dyDescent="0.2">
      <c r="B2760" s="5"/>
      <c r="F2760" s="5"/>
      <c r="J2760" s="5"/>
      <c r="N2760" s="5"/>
      <c r="R2760" s="5"/>
    </row>
    <row r="2761" spans="2:18" x14ac:dyDescent="0.2">
      <c r="B2761" s="5"/>
      <c r="F2761" s="5"/>
      <c r="J2761" s="5"/>
      <c r="N2761" s="5"/>
      <c r="R2761" s="5"/>
    </row>
    <row r="2762" spans="2:18" x14ac:dyDescent="0.2">
      <c r="B2762" s="5"/>
      <c r="F2762" s="5"/>
      <c r="J2762" s="5"/>
      <c r="N2762" s="5"/>
      <c r="R2762" s="5"/>
    </row>
    <row r="2763" spans="2:18" x14ac:dyDescent="0.2">
      <c r="B2763" s="5"/>
      <c r="F2763" s="5"/>
      <c r="J2763" s="5"/>
      <c r="N2763" s="5"/>
      <c r="R2763" s="5"/>
    </row>
    <row r="2764" spans="2:18" x14ac:dyDescent="0.2">
      <c r="B2764" s="5"/>
      <c r="F2764" s="5"/>
      <c r="J2764" s="5"/>
      <c r="N2764" s="5"/>
      <c r="R2764" s="5"/>
    </row>
    <row r="2765" spans="2:18" x14ac:dyDescent="0.2">
      <c r="B2765" s="5"/>
      <c r="F2765" s="5"/>
      <c r="J2765" s="5"/>
      <c r="N2765" s="5"/>
      <c r="R2765" s="5"/>
    </row>
    <row r="2766" spans="2:18" x14ac:dyDescent="0.2">
      <c r="B2766" s="5"/>
      <c r="F2766" s="5"/>
      <c r="J2766" s="5"/>
      <c r="N2766" s="5"/>
      <c r="R2766" s="5"/>
    </row>
    <row r="2767" spans="2:18" x14ac:dyDescent="0.2">
      <c r="B2767" s="5"/>
      <c r="F2767" s="5"/>
      <c r="J2767" s="5"/>
      <c r="N2767" s="5"/>
      <c r="R2767" s="5"/>
    </row>
    <row r="2768" spans="2:18" x14ac:dyDescent="0.2">
      <c r="B2768" s="5"/>
      <c r="F2768" s="5"/>
      <c r="J2768" s="5"/>
      <c r="N2768" s="5"/>
      <c r="R2768" s="5"/>
    </row>
    <row r="2769" spans="2:18" x14ac:dyDescent="0.2">
      <c r="B2769" s="5"/>
      <c r="F2769" s="5"/>
      <c r="J2769" s="5"/>
      <c r="N2769" s="5"/>
      <c r="R2769" s="5"/>
    </row>
    <row r="2770" spans="2:18" x14ac:dyDescent="0.2">
      <c r="B2770" s="5"/>
      <c r="F2770" s="5"/>
      <c r="J2770" s="5"/>
      <c r="N2770" s="5"/>
      <c r="R2770" s="5"/>
    </row>
    <row r="2771" spans="2:18" x14ac:dyDescent="0.2">
      <c r="B2771" s="5"/>
      <c r="F2771" s="5"/>
      <c r="J2771" s="5"/>
      <c r="N2771" s="5"/>
      <c r="R2771" s="5"/>
    </row>
    <row r="2772" spans="2:18" x14ac:dyDescent="0.2">
      <c r="B2772" s="5"/>
      <c r="F2772" s="5"/>
      <c r="J2772" s="5"/>
      <c r="N2772" s="5"/>
      <c r="R2772" s="5"/>
    </row>
    <row r="2773" spans="2:18" x14ac:dyDescent="0.2">
      <c r="B2773" s="5"/>
      <c r="F2773" s="5"/>
      <c r="J2773" s="5"/>
      <c r="N2773" s="5"/>
      <c r="R2773" s="5"/>
    </row>
    <row r="2774" spans="2:18" x14ac:dyDescent="0.2">
      <c r="B2774" s="5"/>
      <c r="F2774" s="5"/>
      <c r="J2774" s="5"/>
      <c r="N2774" s="5"/>
      <c r="R2774" s="5"/>
    </row>
    <row r="2775" spans="2:18" x14ac:dyDescent="0.2">
      <c r="B2775" s="5"/>
      <c r="F2775" s="5"/>
      <c r="J2775" s="5"/>
      <c r="N2775" s="5"/>
      <c r="R2775" s="5"/>
    </row>
    <row r="2776" spans="2:18" x14ac:dyDescent="0.2">
      <c r="B2776" s="5"/>
      <c r="F2776" s="5"/>
      <c r="J2776" s="5"/>
      <c r="N2776" s="5"/>
      <c r="R2776" s="5"/>
    </row>
    <row r="2777" spans="2:18" x14ac:dyDescent="0.2">
      <c r="B2777" s="5"/>
      <c r="F2777" s="5"/>
      <c r="J2777" s="5"/>
      <c r="N2777" s="5"/>
      <c r="R2777" s="5"/>
    </row>
    <row r="2778" spans="2:18" x14ac:dyDescent="0.2">
      <c r="B2778" s="5"/>
      <c r="F2778" s="5"/>
      <c r="J2778" s="5"/>
      <c r="N2778" s="5"/>
      <c r="R2778" s="5"/>
    </row>
    <row r="2779" spans="2:18" x14ac:dyDescent="0.2">
      <c r="B2779" s="5"/>
      <c r="F2779" s="5"/>
      <c r="J2779" s="5"/>
      <c r="N2779" s="5"/>
      <c r="R2779" s="5"/>
    </row>
    <row r="2780" spans="2:18" x14ac:dyDescent="0.2">
      <c r="B2780" s="5"/>
      <c r="F2780" s="5"/>
      <c r="J2780" s="5"/>
      <c r="N2780" s="5"/>
      <c r="R2780" s="5"/>
    </row>
    <row r="2781" spans="2:18" x14ac:dyDescent="0.2">
      <c r="B2781" s="5"/>
      <c r="F2781" s="5"/>
      <c r="J2781" s="5"/>
      <c r="N2781" s="5"/>
      <c r="R2781" s="5"/>
    </row>
    <row r="2782" spans="2:18" x14ac:dyDescent="0.2">
      <c r="B2782" s="5"/>
      <c r="F2782" s="5"/>
      <c r="J2782" s="5"/>
      <c r="N2782" s="5"/>
      <c r="R2782" s="5"/>
    </row>
    <row r="2783" spans="2:18" x14ac:dyDescent="0.2">
      <c r="B2783" s="5"/>
      <c r="F2783" s="5"/>
      <c r="J2783" s="5"/>
      <c r="N2783" s="5"/>
      <c r="R2783" s="5"/>
    </row>
    <row r="2784" spans="2:18" x14ac:dyDescent="0.2">
      <c r="B2784" s="5"/>
      <c r="F2784" s="5"/>
      <c r="J2784" s="5"/>
      <c r="N2784" s="5"/>
      <c r="R2784" s="5"/>
    </row>
    <row r="2785" spans="2:18" x14ac:dyDescent="0.2">
      <c r="B2785" s="5"/>
      <c r="F2785" s="5"/>
      <c r="J2785" s="5"/>
      <c r="N2785" s="5"/>
      <c r="R2785" s="5"/>
    </row>
    <row r="2786" spans="2:18" x14ac:dyDescent="0.2">
      <c r="B2786" s="5"/>
      <c r="F2786" s="5"/>
      <c r="J2786" s="5"/>
      <c r="N2786" s="5"/>
      <c r="R2786" s="5"/>
    </row>
    <row r="2787" spans="2:18" x14ac:dyDescent="0.2">
      <c r="B2787" s="5"/>
      <c r="F2787" s="5"/>
      <c r="J2787" s="5"/>
      <c r="N2787" s="5"/>
      <c r="R2787" s="5"/>
    </row>
    <row r="2788" spans="2:18" x14ac:dyDescent="0.2">
      <c r="B2788" s="5"/>
      <c r="F2788" s="5"/>
      <c r="J2788" s="5"/>
      <c r="N2788" s="5"/>
      <c r="R2788" s="5"/>
    </row>
    <row r="2789" spans="2:18" x14ac:dyDescent="0.2">
      <c r="B2789" s="5"/>
      <c r="F2789" s="5"/>
      <c r="J2789" s="5"/>
      <c r="N2789" s="5"/>
      <c r="R2789" s="5"/>
    </row>
    <row r="2790" spans="2:18" x14ac:dyDescent="0.2">
      <c r="B2790" s="5"/>
      <c r="F2790" s="5"/>
      <c r="J2790" s="5"/>
      <c r="N2790" s="5"/>
      <c r="R2790" s="5"/>
    </row>
    <row r="2791" spans="2:18" x14ac:dyDescent="0.2">
      <c r="B2791" s="5"/>
      <c r="F2791" s="5"/>
      <c r="J2791" s="5"/>
      <c r="N2791" s="5"/>
      <c r="R2791" s="5"/>
    </row>
    <row r="2792" spans="2:18" x14ac:dyDescent="0.2">
      <c r="B2792" s="5"/>
      <c r="F2792" s="5"/>
      <c r="J2792" s="5"/>
      <c r="N2792" s="5"/>
      <c r="R2792" s="5"/>
    </row>
    <row r="2793" spans="2:18" x14ac:dyDescent="0.2">
      <c r="B2793" s="5"/>
      <c r="F2793" s="5"/>
      <c r="J2793" s="5"/>
      <c r="N2793" s="5"/>
      <c r="R2793" s="5"/>
    </row>
    <row r="2794" spans="2:18" x14ac:dyDescent="0.2">
      <c r="B2794" s="5"/>
      <c r="F2794" s="5"/>
      <c r="J2794" s="5"/>
      <c r="N2794" s="5"/>
      <c r="R2794" s="5"/>
    </row>
    <row r="2795" spans="2:18" x14ac:dyDescent="0.2">
      <c r="B2795" s="5"/>
      <c r="F2795" s="5"/>
      <c r="J2795" s="5"/>
      <c r="N2795" s="5"/>
      <c r="R2795" s="5"/>
    </row>
    <row r="2796" spans="2:18" x14ac:dyDescent="0.2">
      <c r="B2796" s="5"/>
      <c r="F2796" s="5"/>
      <c r="J2796" s="5"/>
      <c r="N2796" s="5"/>
      <c r="R2796" s="5"/>
    </row>
    <row r="2797" spans="2:18" x14ac:dyDescent="0.2">
      <c r="B2797" s="5"/>
      <c r="F2797" s="5"/>
      <c r="J2797" s="5"/>
      <c r="N2797" s="5"/>
      <c r="R2797" s="5"/>
    </row>
    <row r="2798" spans="2:18" x14ac:dyDescent="0.2">
      <c r="B2798" s="5"/>
      <c r="F2798" s="5"/>
      <c r="J2798" s="5"/>
      <c r="N2798" s="5"/>
      <c r="R2798" s="5"/>
    </row>
    <row r="2799" spans="2:18" x14ac:dyDescent="0.2">
      <c r="B2799" s="5"/>
      <c r="F2799" s="5"/>
      <c r="J2799" s="5"/>
      <c r="N2799" s="5"/>
      <c r="R2799" s="5"/>
    </row>
    <row r="2800" spans="2:18" x14ac:dyDescent="0.2">
      <c r="B2800" s="5"/>
      <c r="F2800" s="5"/>
      <c r="J2800" s="5"/>
      <c r="N2800" s="5"/>
      <c r="R2800" s="5"/>
    </row>
    <row r="2801" spans="2:18" x14ac:dyDescent="0.2">
      <c r="B2801" s="5"/>
      <c r="F2801" s="5"/>
      <c r="J2801" s="5"/>
      <c r="N2801" s="5"/>
      <c r="R2801" s="5"/>
    </row>
    <row r="2802" spans="2:18" x14ac:dyDescent="0.2">
      <c r="B2802" s="5"/>
      <c r="F2802" s="5"/>
      <c r="J2802" s="5"/>
      <c r="N2802" s="5"/>
      <c r="R2802" s="5"/>
    </row>
    <row r="2803" spans="2:18" x14ac:dyDescent="0.2">
      <c r="B2803" s="5"/>
      <c r="F2803" s="5"/>
      <c r="J2803" s="5"/>
      <c r="N2803" s="5"/>
      <c r="R2803" s="5"/>
    </row>
    <row r="2804" spans="2:18" x14ac:dyDescent="0.2">
      <c r="B2804" s="5"/>
      <c r="F2804" s="5"/>
      <c r="J2804" s="5"/>
      <c r="N2804" s="5"/>
      <c r="R2804" s="5"/>
    </row>
    <row r="2805" spans="2:18" x14ac:dyDescent="0.2">
      <c r="B2805" s="5"/>
      <c r="F2805" s="5"/>
      <c r="J2805" s="5"/>
      <c r="N2805" s="5"/>
      <c r="R2805" s="5"/>
    </row>
    <row r="2806" spans="2:18" x14ac:dyDescent="0.2">
      <c r="B2806" s="5"/>
      <c r="F2806" s="5"/>
      <c r="J2806" s="5"/>
      <c r="N2806" s="5"/>
      <c r="R2806" s="5"/>
    </row>
    <row r="2807" spans="2:18" x14ac:dyDescent="0.2">
      <c r="B2807" s="5"/>
      <c r="F2807" s="5"/>
      <c r="J2807" s="5"/>
      <c r="N2807" s="5"/>
      <c r="R2807" s="5"/>
    </row>
    <row r="2808" spans="2:18" x14ac:dyDescent="0.2">
      <c r="B2808" s="5"/>
      <c r="F2808" s="5"/>
      <c r="J2808" s="5"/>
      <c r="N2808" s="5"/>
      <c r="R2808" s="5"/>
    </row>
    <row r="2809" spans="2:18" x14ac:dyDescent="0.2">
      <c r="B2809" s="5"/>
      <c r="F2809" s="5"/>
      <c r="J2809" s="5"/>
      <c r="N2809" s="5"/>
      <c r="R2809" s="5"/>
    </row>
    <row r="2810" spans="2:18" x14ac:dyDescent="0.2">
      <c r="B2810" s="5"/>
      <c r="F2810" s="5"/>
      <c r="J2810" s="5"/>
      <c r="N2810" s="5"/>
      <c r="R2810" s="5"/>
    </row>
    <row r="2811" spans="2:18" x14ac:dyDescent="0.2">
      <c r="B2811" s="5"/>
      <c r="F2811" s="5"/>
      <c r="J2811" s="5"/>
      <c r="N2811" s="5"/>
      <c r="R2811" s="5"/>
    </row>
    <row r="2812" spans="2:18" x14ac:dyDescent="0.2">
      <c r="B2812" s="5"/>
      <c r="F2812" s="5"/>
      <c r="J2812" s="5"/>
      <c r="N2812" s="5"/>
      <c r="R2812" s="5"/>
    </row>
    <row r="2813" spans="2:18" x14ac:dyDescent="0.2">
      <c r="B2813" s="5"/>
      <c r="F2813" s="5"/>
      <c r="J2813" s="5"/>
      <c r="N2813" s="5"/>
      <c r="R2813" s="5"/>
    </row>
    <row r="2814" spans="2:18" x14ac:dyDescent="0.2">
      <c r="B2814" s="5"/>
      <c r="F2814" s="5"/>
      <c r="J2814" s="5"/>
      <c r="N2814" s="5"/>
      <c r="R2814" s="5"/>
    </row>
    <row r="2815" spans="2:18" x14ac:dyDescent="0.2">
      <c r="B2815" s="5"/>
      <c r="F2815" s="5"/>
      <c r="J2815" s="5"/>
      <c r="N2815" s="5"/>
      <c r="R2815" s="5"/>
    </row>
    <row r="2816" spans="2:18" x14ac:dyDescent="0.2">
      <c r="B2816" s="5"/>
      <c r="F2816" s="5"/>
      <c r="J2816" s="5"/>
      <c r="N2816" s="5"/>
      <c r="R2816" s="5"/>
    </row>
    <row r="2817" spans="2:18" x14ac:dyDescent="0.2">
      <c r="B2817" s="5"/>
      <c r="F2817" s="5"/>
      <c r="J2817" s="5"/>
      <c r="N2817" s="5"/>
      <c r="R2817" s="5"/>
    </row>
    <row r="2818" spans="2:18" x14ac:dyDescent="0.2">
      <c r="B2818" s="5"/>
      <c r="F2818" s="5"/>
      <c r="J2818" s="5"/>
      <c r="N2818" s="5"/>
      <c r="R2818" s="5"/>
    </row>
    <row r="2819" spans="2:18" x14ac:dyDescent="0.2">
      <c r="B2819" s="5"/>
      <c r="F2819" s="5"/>
      <c r="J2819" s="5"/>
      <c r="N2819" s="5"/>
      <c r="R2819" s="5"/>
    </row>
    <row r="2820" spans="2:18" x14ac:dyDescent="0.2">
      <c r="B2820" s="5"/>
      <c r="F2820" s="5"/>
      <c r="J2820" s="5"/>
      <c r="N2820" s="5"/>
      <c r="R2820" s="5"/>
    </row>
    <row r="2821" spans="2:18" x14ac:dyDescent="0.2">
      <c r="B2821" s="5"/>
      <c r="F2821" s="5"/>
      <c r="J2821" s="5"/>
      <c r="N2821" s="5"/>
      <c r="R2821" s="5"/>
    </row>
    <row r="2822" spans="2:18" x14ac:dyDescent="0.2">
      <c r="B2822" s="5"/>
      <c r="F2822" s="5"/>
      <c r="J2822" s="5"/>
      <c r="N2822" s="5"/>
      <c r="R2822" s="5"/>
    </row>
    <row r="2823" spans="2:18" x14ac:dyDescent="0.2">
      <c r="B2823" s="5"/>
      <c r="F2823" s="5"/>
      <c r="J2823" s="5"/>
      <c r="N2823" s="5"/>
      <c r="R2823" s="5"/>
    </row>
    <row r="2824" spans="2:18" x14ac:dyDescent="0.2">
      <c r="B2824" s="5"/>
      <c r="F2824" s="5"/>
      <c r="J2824" s="5"/>
      <c r="N2824" s="5"/>
      <c r="R2824" s="5"/>
    </row>
    <row r="2825" spans="2:18" x14ac:dyDescent="0.2">
      <c r="B2825" s="5"/>
      <c r="F2825" s="5"/>
      <c r="J2825" s="5"/>
      <c r="N2825" s="5"/>
      <c r="R2825" s="5"/>
    </row>
    <row r="2826" spans="2:18" x14ac:dyDescent="0.2">
      <c r="B2826" s="5"/>
      <c r="F2826" s="5"/>
      <c r="J2826" s="5"/>
      <c r="N2826" s="5"/>
      <c r="R2826" s="5"/>
    </row>
    <row r="2827" spans="2:18" x14ac:dyDescent="0.2">
      <c r="B2827" s="5"/>
      <c r="F2827" s="5"/>
      <c r="J2827" s="5"/>
      <c r="N2827" s="5"/>
      <c r="R2827" s="5"/>
    </row>
    <row r="2828" spans="2:18" x14ac:dyDescent="0.2">
      <c r="B2828" s="5"/>
      <c r="F2828" s="5"/>
      <c r="J2828" s="5"/>
      <c r="N2828" s="5"/>
      <c r="R2828" s="5"/>
    </row>
    <row r="2829" spans="2:18" x14ac:dyDescent="0.2">
      <c r="B2829" s="5"/>
      <c r="F2829" s="5"/>
      <c r="J2829" s="5"/>
      <c r="N2829" s="5"/>
      <c r="R2829" s="5"/>
    </row>
    <row r="2830" spans="2:18" x14ac:dyDescent="0.2">
      <c r="B2830" s="5"/>
      <c r="F2830" s="5"/>
      <c r="J2830" s="5"/>
      <c r="N2830" s="5"/>
      <c r="R2830" s="5"/>
    </row>
    <row r="2831" spans="2:18" x14ac:dyDescent="0.2">
      <c r="B2831" s="5"/>
      <c r="F2831" s="5"/>
      <c r="J2831" s="5"/>
      <c r="N2831" s="5"/>
      <c r="R2831" s="5"/>
    </row>
    <row r="2832" spans="2:18" x14ac:dyDescent="0.2">
      <c r="B2832" s="5"/>
      <c r="F2832" s="5"/>
      <c r="J2832" s="5"/>
      <c r="N2832" s="5"/>
      <c r="R2832" s="5"/>
    </row>
    <row r="2833" spans="2:18" x14ac:dyDescent="0.2">
      <c r="B2833" s="5"/>
      <c r="F2833" s="5"/>
      <c r="J2833" s="5"/>
      <c r="N2833" s="5"/>
      <c r="R2833" s="5"/>
    </row>
    <row r="2834" spans="2:18" x14ac:dyDescent="0.2">
      <c r="B2834" s="5"/>
      <c r="F2834" s="5"/>
      <c r="J2834" s="5"/>
      <c r="N2834" s="5"/>
      <c r="R2834" s="5"/>
    </row>
    <row r="2835" spans="2:18" x14ac:dyDescent="0.2">
      <c r="B2835" s="5"/>
      <c r="F2835" s="5"/>
      <c r="J2835" s="5"/>
      <c r="N2835" s="5"/>
      <c r="R2835" s="5"/>
    </row>
    <row r="2836" spans="2:18" x14ac:dyDescent="0.2">
      <c r="B2836" s="5"/>
      <c r="F2836" s="5"/>
      <c r="J2836" s="5"/>
      <c r="N2836" s="5"/>
      <c r="R2836" s="5"/>
    </row>
    <row r="2837" spans="2:18" x14ac:dyDescent="0.2">
      <c r="B2837" s="5"/>
      <c r="F2837" s="5"/>
      <c r="J2837" s="5"/>
      <c r="N2837" s="5"/>
      <c r="R2837" s="5"/>
    </row>
    <row r="2838" spans="2:18" x14ac:dyDescent="0.2">
      <c r="B2838" s="5"/>
      <c r="F2838" s="5"/>
      <c r="J2838" s="5"/>
      <c r="N2838" s="5"/>
      <c r="R2838" s="5"/>
    </row>
    <row r="2839" spans="2:18" x14ac:dyDescent="0.2">
      <c r="B2839" s="5"/>
      <c r="F2839" s="5"/>
      <c r="J2839" s="5"/>
      <c r="N2839" s="5"/>
      <c r="R2839" s="5"/>
    </row>
    <row r="2840" spans="2:18" x14ac:dyDescent="0.2">
      <c r="B2840" s="5"/>
      <c r="F2840" s="5"/>
      <c r="J2840" s="5"/>
      <c r="N2840" s="5"/>
      <c r="R2840" s="5"/>
    </row>
    <row r="2841" spans="2:18" x14ac:dyDescent="0.2">
      <c r="B2841" s="5"/>
      <c r="F2841" s="5"/>
      <c r="J2841" s="5"/>
      <c r="N2841" s="5"/>
      <c r="R2841" s="5"/>
    </row>
    <row r="2842" spans="2:18" x14ac:dyDescent="0.2">
      <c r="B2842" s="5"/>
      <c r="F2842" s="5"/>
      <c r="J2842" s="5"/>
      <c r="N2842" s="5"/>
      <c r="R2842" s="5"/>
    </row>
    <row r="2843" spans="2:18" x14ac:dyDescent="0.2">
      <c r="B2843" s="5"/>
      <c r="F2843" s="5"/>
      <c r="J2843" s="5"/>
      <c r="N2843" s="5"/>
      <c r="R2843" s="5"/>
    </row>
    <row r="2844" spans="2:18" x14ac:dyDescent="0.2">
      <c r="B2844" s="5"/>
      <c r="F2844" s="5"/>
      <c r="J2844" s="5"/>
      <c r="N2844" s="5"/>
      <c r="R2844" s="5"/>
    </row>
    <row r="2845" spans="2:18" x14ac:dyDescent="0.2">
      <c r="B2845" s="5"/>
      <c r="F2845" s="5"/>
      <c r="J2845" s="5"/>
      <c r="N2845" s="5"/>
      <c r="R2845" s="5"/>
    </row>
    <row r="2846" spans="2:18" x14ac:dyDescent="0.2">
      <c r="B2846" s="5"/>
      <c r="F2846" s="5"/>
      <c r="J2846" s="5"/>
      <c r="N2846" s="5"/>
      <c r="R2846" s="5"/>
    </row>
    <row r="2847" spans="2:18" x14ac:dyDescent="0.2">
      <c r="B2847" s="5"/>
      <c r="F2847" s="5"/>
      <c r="J2847" s="5"/>
      <c r="N2847" s="5"/>
      <c r="R2847" s="5"/>
    </row>
    <row r="2848" spans="2:18" x14ac:dyDescent="0.2">
      <c r="B2848" s="5"/>
      <c r="F2848" s="5"/>
      <c r="J2848" s="5"/>
      <c r="N2848" s="5"/>
      <c r="R2848" s="5"/>
    </row>
    <row r="2849" spans="2:18" x14ac:dyDescent="0.2">
      <c r="B2849" s="5"/>
      <c r="F2849" s="5"/>
      <c r="J2849" s="5"/>
      <c r="N2849" s="5"/>
      <c r="R2849" s="5"/>
    </row>
    <row r="2850" spans="2:18" x14ac:dyDescent="0.2">
      <c r="B2850" s="5"/>
      <c r="F2850" s="5"/>
      <c r="J2850" s="5"/>
      <c r="N2850" s="5"/>
      <c r="R2850" s="5"/>
    </row>
    <row r="2851" spans="2:18" x14ac:dyDescent="0.2">
      <c r="B2851" s="5"/>
      <c r="F2851" s="5"/>
      <c r="J2851" s="5"/>
      <c r="N2851" s="5"/>
      <c r="R2851" s="5"/>
    </row>
    <row r="2852" spans="2:18" x14ac:dyDescent="0.2">
      <c r="B2852" s="5"/>
      <c r="F2852" s="5"/>
      <c r="J2852" s="5"/>
      <c r="N2852" s="5"/>
      <c r="R2852" s="5"/>
    </row>
    <row r="2853" spans="2:18" x14ac:dyDescent="0.2">
      <c r="B2853" s="5"/>
      <c r="F2853" s="5"/>
      <c r="J2853" s="5"/>
      <c r="N2853" s="5"/>
      <c r="R2853" s="5"/>
    </row>
    <row r="2854" spans="2:18" x14ac:dyDescent="0.2">
      <c r="B2854" s="5"/>
      <c r="F2854" s="5"/>
      <c r="J2854" s="5"/>
      <c r="N2854" s="5"/>
      <c r="R2854" s="5"/>
    </row>
    <row r="2855" spans="2:18" x14ac:dyDescent="0.2">
      <c r="B2855" s="5"/>
      <c r="F2855" s="5"/>
      <c r="J2855" s="5"/>
      <c r="N2855" s="5"/>
      <c r="R2855" s="5"/>
    </row>
    <row r="2856" spans="2:18" x14ac:dyDescent="0.2">
      <c r="B2856" s="5"/>
      <c r="F2856" s="5"/>
      <c r="J2856" s="5"/>
      <c r="N2856" s="5"/>
      <c r="R2856" s="5"/>
    </row>
    <row r="2857" spans="2:18" x14ac:dyDescent="0.2">
      <c r="B2857" s="5"/>
      <c r="F2857" s="5"/>
      <c r="J2857" s="5"/>
      <c r="N2857" s="5"/>
      <c r="R2857" s="5"/>
    </row>
    <row r="2858" spans="2:18" x14ac:dyDescent="0.2">
      <c r="B2858" s="5"/>
      <c r="F2858" s="5"/>
      <c r="J2858" s="5"/>
      <c r="N2858" s="5"/>
      <c r="R2858" s="5"/>
    </row>
    <row r="2859" spans="2:18" x14ac:dyDescent="0.2">
      <c r="B2859" s="5"/>
      <c r="F2859" s="5"/>
      <c r="J2859" s="5"/>
      <c r="N2859" s="5"/>
      <c r="R2859" s="5"/>
    </row>
    <row r="2860" spans="2:18" x14ac:dyDescent="0.2">
      <c r="B2860" s="5"/>
      <c r="F2860" s="5"/>
      <c r="J2860" s="5"/>
      <c r="N2860" s="5"/>
      <c r="R2860" s="5"/>
    </row>
    <row r="2861" spans="2:18" x14ac:dyDescent="0.2">
      <c r="B2861" s="5"/>
      <c r="F2861" s="5"/>
      <c r="J2861" s="5"/>
      <c r="N2861" s="5"/>
      <c r="R2861" s="5"/>
    </row>
    <row r="2862" spans="2:18" x14ac:dyDescent="0.2">
      <c r="B2862" s="5"/>
      <c r="F2862" s="5"/>
      <c r="J2862" s="5"/>
      <c r="N2862" s="5"/>
      <c r="R2862" s="5"/>
    </row>
    <row r="2863" spans="2:18" x14ac:dyDescent="0.2">
      <c r="B2863" s="5"/>
      <c r="F2863" s="5"/>
      <c r="J2863" s="5"/>
      <c r="N2863" s="5"/>
      <c r="R2863" s="5"/>
    </row>
    <row r="2864" spans="2:18" x14ac:dyDescent="0.2">
      <c r="B2864" s="5"/>
      <c r="F2864" s="5"/>
      <c r="J2864" s="5"/>
      <c r="N2864" s="5"/>
      <c r="R2864" s="5"/>
    </row>
    <row r="2865" spans="2:18" x14ac:dyDescent="0.2">
      <c r="B2865" s="5"/>
      <c r="F2865" s="5"/>
      <c r="J2865" s="5"/>
      <c r="N2865" s="5"/>
      <c r="R2865" s="5"/>
    </row>
    <row r="2866" spans="2:18" x14ac:dyDescent="0.2">
      <c r="B2866" s="5"/>
      <c r="F2866" s="5"/>
      <c r="J2866" s="5"/>
      <c r="N2866" s="5"/>
      <c r="R2866" s="5"/>
    </row>
    <row r="2867" spans="2:18" x14ac:dyDescent="0.2">
      <c r="B2867" s="5"/>
      <c r="F2867" s="5"/>
      <c r="J2867" s="5"/>
      <c r="N2867" s="5"/>
      <c r="R2867" s="5"/>
    </row>
    <row r="2868" spans="2:18" x14ac:dyDescent="0.2">
      <c r="B2868" s="5"/>
      <c r="F2868" s="5"/>
      <c r="J2868" s="5"/>
      <c r="N2868" s="5"/>
      <c r="R2868" s="5"/>
    </row>
    <row r="2869" spans="2:18" x14ac:dyDescent="0.2">
      <c r="B2869" s="5"/>
      <c r="F2869" s="5"/>
      <c r="J2869" s="5"/>
      <c r="N2869" s="5"/>
      <c r="R2869" s="5"/>
    </row>
    <row r="2870" spans="2:18" x14ac:dyDescent="0.2">
      <c r="B2870" s="5"/>
      <c r="F2870" s="5"/>
      <c r="J2870" s="5"/>
      <c r="N2870" s="5"/>
      <c r="R2870" s="5"/>
    </row>
    <row r="2871" spans="2:18" x14ac:dyDescent="0.2">
      <c r="B2871" s="5"/>
      <c r="F2871" s="5"/>
      <c r="J2871" s="5"/>
      <c r="N2871" s="5"/>
      <c r="R2871" s="5"/>
    </row>
    <row r="2872" spans="2:18" x14ac:dyDescent="0.2">
      <c r="B2872" s="5"/>
      <c r="F2872" s="5"/>
      <c r="J2872" s="5"/>
      <c r="N2872" s="5"/>
      <c r="R2872" s="5"/>
    </row>
    <row r="2873" spans="2:18" x14ac:dyDescent="0.2">
      <c r="B2873" s="5"/>
      <c r="F2873" s="5"/>
      <c r="J2873" s="5"/>
      <c r="N2873" s="5"/>
      <c r="R2873" s="5"/>
    </row>
    <row r="2874" spans="2:18" x14ac:dyDescent="0.2">
      <c r="B2874" s="5"/>
      <c r="F2874" s="5"/>
      <c r="J2874" s="5"/>
      <c r="N2874" s="5"/>
      <c r="R2874" s="5"/>
    </row>
    <row r="2875" spans="2:18" x14ac:dyDescent="0.2">
      <c r="B2875" s="5"/>
      <c r="F2875" s="5"/>
      <c r="J2875" s="5"/>
      <c r="N2875" s="5"/>
      <c r="R2875" s="5"/>
    </row>
    <row r="2876" spans="2:18" x14ac:dyDescent="0.2">
      <c r="B2876" s="5"/>
      <c r="F2876" s="5"/>
      <c r="J2876" s="5"/>
      <c r="N2876" s="5"/>
      <c r="R2876" s="5"/>
    </row>
    <row r="2877" spans="2:18" x14ac:dyDescent="0.2">
      <c r="B2877" s="5"/>
      <c r="F2877" s="5"/>
      <c r="J2877" s="5"/>
      <c r="N2877" s="5"/>
      <c r="R2877" s="5"/>
    </row>
    <row r="2878" spans="2:18" x14ac:dyDescent="0.2">
      <c r="B2878" s="5"/>
      <c r="F2878" s="5"/>
      <c r="J2878" s="5"/>
      <c r="N2878" s="5"/>
      <c r="R2878" s="5"/>
    </row>
    <row r="2879" spans="2:18" x14ac:dyDescent="0.2">
      <c r="B2879" s="5"/>
      <c r="F2879" s="5"/>
      <c r="J2879" s="5"/>
      <c r="N2879" s="5"/>
      <c r="R2879" s="5"/>
    </row>
    <row r="2880" spans="2:18" x14ac:dyDescent="0.2">
      <c r="B2880" s="5"/>
      <c r="F2880" s="5"/>
      <c r="J2880" s="5"/>
      <c r="N2880" s="5"/>
      <c r="R2880" s="5"/>
    </row>
    <row r="2881" spans="2:18" x14ac:dyDescent="0.2">
      <c r="B2881" s="5"/>
      <c r="F2881" s="5"/>
      <c r="J2881" s="5"/>
      <c r="N2881" s="5"/>
      <c r="R2881" s="5"/>
    </row>
    <row r="2882" spans="2:18" x14ac:dyDescent="0.2">
      <c r="B2882" s="5"/>
      <c r="F2882" s="5"/>
      <c r="J2882" s="5"/>
      <c r="N2882" s="5"/>
      <c r="R2882" s="5"/>
    </row>
    <row r="2883" spans="2:18" x14ac:dyDescent="0.2">
      <c r="B2883" s="5"/>
      <c r="F2883" s="5"/>
      <c r="J2883" s="5"/>
      <c r="N2883" s="5"/>
      <c r="R2883" s="5"/>
    </row>
    <row r="2884" spans="2:18" x14ac:dyDescent="0.2">
      <c r="B2884" s="5"/>
      <c r="F2884" s="5"/>
      <c r="J2884" s="5"/>
      <c r="N2884" s="5"/>
      <c r="R2884" s="5"/>
    </row>
    <row r="2885" spans="2:18" x14ac:dyDescent="0.2">
      <c r="B2885" s="5"/>
      <c r="F2885" s="5"/>
      <c r="J2885" s="5"/>
      <c r="N2885" s="5"/>
      <c r="R2885" s="5"/>
    </row>
    <row r="2886" spans="2:18" x14ac:dyDescent="0.2">
      <c r="B2886" s="5"/>
      <c r="F2886" s="5"/>
      <c r="J2886" s="5"/>
      <c r="N2886" s="5"/>
      <c r="R2886" s="5"/>
    </row>
    <row r="2887" spans="2:18" x14ac:dyDescent="0.2">
      <c r="B2887" s="5"/>
      <c r="F2887" s="5"/>
      <c r="J2887" s="5"/>
      <c r="N2887" s="5"/>
      <c r="R2887" s="5"/>
    </row>
    <row r="2888" spans="2:18" x14ac:dyDescent="0.2">
      <c r="B2888" s="5"/>
      <c r="F2888" s="5"/>
      <c r="J2888" s="5"/>
      <c r="N2888" s="5"/>
      <c r="R2888" s="5"/>
    </row>
    <row r="2889" spans="2:18" x14ac:dyDescent="0.2">
      <c r="B2889" s="5"/>
      <c r="F2889" s="5"/>
      <c r="J2889" s="5"/>
      <c r="N2889" s="5"/>
      <c r="R2889" s="5"/>
    </row>
    <row r="2890" spans="2:18" x14ac:dyDescent="0.2">
      <c r="B2890" s="5"/>
      <c r="F2890" s="5"/>
      <c r="J2890" s="5"/>
      <c r="N2890" s="5"/>
      <c r="R2890" s="5"/>
    </row>
    <row r="2891" spans="2:18" x14ac:dyDescent="0.2">
      <c r="B2891" s="5"/>
      <c r="F2891" s="5"/>
      <c r="J2891" s="5"/>
      <c r="N2891" s="5"/>
      <c r="R2891" s="5"/>
    </row>
    <row r="2892" spans="2:18" x14ac:dyDescent="0.2">
      <c r="B2892" s="5"/>
      <c r="F2892" s="5"/>
      <c r="J2892" s="5"/>
      <c r="N2892" s="5"/>
      <c r="R2892" s="5"/>
    </row>
    <row r="2893" spans="2:18" x14ac:dyDescent="0.2">
      <c r="B2893" s="5"/>
      <c r="F2893" s="5"/>
      <c r="J2893" s="5"/>
      <c r="N2893" s="5"/>
      <c r="R2893" s="5"/>
    </row>
    <row r="2894" spans="2:18" x14ac:dyDescent="0.2">
      <c r="B2894" s="5"/>
      <c r="F2894" s="5"/>
      <c r="J2894" s="5"/>
      <c r="N2894" s="5"/>
      <c r="R2894" s="5"/>
    </row>
    <row r="2895" spans="2:18" x14ac:dyDescent="0.2">
      <c r="B2895" s="5"/>
      <c r="F2895" s="5"/>
      <c r="J2895" s="5"/>
      <c r="N2895" s="5"/>
      <c r="R2895" s="5"/>
    </row>
    <row r="2896" spans="2:18" x14ac:dyDescent="0.2">
      <c r="B2896" s="5"/>
      <c r="F2896" s="5"/>
      <c r="J2896" s="5"/>
      <c r="N2896" s="5"/>
      <c r="R2896" s="5"/>
    </row>
    <row r="2897" spans="2:18" x14ac:dyDescent="0.2">
      <c r="B2897" s="5"/>
      <c r="F2897" s="5"/>
      <c r="J2897" s="5"/>
      <c r="N2897" s="5"/>
      <c r="R2897" s="5"/>
    </row>
    <row r="2898" spans="2:18" x14ac:dyDescent="0.2">
      <c r="B2898" s="5"/>
      <c r="F2898" s="5"/>
      <c r="J2898" s="5"/>
      <c r="N2898" s="5"/>
      <c r="R2898" s="5"/>
    </row>
    <row r="2899" spans="2:18" x14ac:dyDescent="0.2">
      <c r="B2899" s="5"/>
      <c r="F2899" s="5"/>
      <c r="J2899" s="5"/>
      <c r="N2899" s="5"/>
      <c r="R2899" s="5"/>
    </row>
    <row r="2900" spans="2:18" x14ac:dyDescent="0.2">
      <c r="B2900" s="5"/>
      <c r="F2900" s="5"/>
      <c r="J2900" s="5"/>
      <c r="N2900" s="5"/>
      <c r="R2900" s="5"/>
    </row>
    <row r="2901" spans="2:18" x14ac:dyDescent="0.2">
      <c r="B2901" s="5"/>
      <c r="F2901" s="5"/>
      <c r="J2901" s="5"/>
      <c r="N2901" s="5"/>
      <c r="R2901" s="5"/>
    </row>
    <row r="2902" spans="2:18" x14ac:dyDescent="0.2">
      <c r="B2902" s="5"/>
      <c r="F2902" s="5"/>
      <c r="J2902" s="5"/>
      <c r="N2902" s="5"/>
      <c r="R2902" s="5"/>
    </row>
    <row r="2903" spans="2:18" x14ac:dyDescent="0.2">
      <c r="B2903" s="5"/>
      <c r="F2903" s="5"/>
      <c r="J2903" s="5"/>
      <c r="N2903" s="5"/>
      <c r="R2903" s="5"/>
    </row>
    <row r="2904" spans="2:18" x14ac:dyDescent="0.2">
      <c r="B2904" s="5"/>
      <c r="F2904" s="5"/>
      <c r="J2904" s="5"/>
      <c r="N2904" s="5"/>
      <c r="R2904" s="5"/>
    </row>
    <row r="2905" spans="2:18" x14ac:dyDescent="0.2">
      <c r="B2905" s="5"/>
      <c r="F2905" s="5"/>
      <c r="J2905" s="5"/>
      <c r="N2905" s="5"/>
      <c r="R2905" s="5"/>
    </row>
    <row r="2906" spans="2:18" x14ac:dyDescent="0.2">
      <c r="B2906" s="5"/>
      <c r="F2906" s="5"/>
      <c r="J2906" s="5"/>
      <c r="N2906" s="5"/>
      <c r="R2906" s="5"/>
    </row>
    <row r="2907" spans="2:18" x14ac:dyDescent="0.2">
      <c r="B2907" s="5"/>
      <c r="F2907" s="5"/>
      <c r="J2907" s="5"/>
      <c r="N2907" s="5"/>
      <c r="R2907" s="5"/>
    </row>
    <row r="2908" spans="2:18" x14ac:dyDescent="0.2">
      <c r="B2908" s="5"/>
      <c r="F2908" s="5"/>
      <c r="J2908" s="5"/>
      <c r="N2908" s="5"/>
      <c r="R2908" s="5"/>
    </row>
    <row r="2909" spans="2:18" x14ac:dyDescent="0.2">
      <c r="B2909" s="5"/>
      <c r="F2909" s="5"/>
      <c r="J2909" s="5"/>
      <c r="N2909" s="5"/>
      <c r="R2909" s="5"/>
    </row>
    <row r="2910" spans="2:18" x14ac:dyDescent="0.2">
      <c r="B2910" s="5"/>
      <c r="F2910" s="5"/>
      <c r="J2910" s="5"/>
      <c r="N2910" s="5"/>
      <c r="R2910" s="5"/>
    </row>
    <row r="2911" spans="2:18" x14ac:dyDescent="0.2">
      <c r="B2911" s="5"/>
      <c r="F2911" s="5"/>
      <c r="J2911" s="5"/>
      <c r="N2911" s="5"/>
      <c r="R2911" s="5"/>
    </row>
    <row r="2912" spans="2:18" x14ac:dyDescent="0.2">
      <c r="B2912" s="5"/>
      <c r="F2912" s="5"/>
      <c r="J2912" s="5"/>
      <c r="N2912" s="5"/>
      <c r="R2912" s="5"/>
    </row>
    <row r="2913" spans="2:18" x14ac:dyDescent="0.2">
      <c r="B2913" s="5"/>
      <c r="F2913" s="5"/>
      <c r="J2913" s="5"/>
      <c r="N2913" s="5"/>
      <c r="R2913" s="5"/>
    </row>
    <row r="2914" spans="2:18" x14ac:dyDescent="0.2">
      <c r="B2914" s="5"/>
      <c r="F2914" s="5"/>
      <c r="J2914" s="5"/>
      <c r="N2914" s="5"/>
      <c r="R2914" s="5"/>
    </row>
    <row r="2915" spans="2:18" x14ac:dyDescent="0.2">
      <c r="B2915" s="5"/>
      <c r="F2915" s="5"/>
      <c r="J2915" s="5"/>
      <c r="N2915" s="5"/>
      <c r="R2915" s="5"/>
    </row>
    <row r="2916" spans="2:18" x14ac:dyDescent="0.2">
      <c r="B2916" s="5"/>
      <c r="F2916" s="5"/>
      <c r="J2916" s="5"/>
      <c r="N2916" s="5"/>
      <c r="R2916" s="5"/>
    </row>
    <row r="2917" spans="2:18" x14ac:dyDescent="0.2">
      <c r="B2917" s="5"/>
      <c r="F2917" s="5"/>
      <c r="J2917" s="5"/>
      <c r="N2917" s="5"/>
      <c r="R2917" s="5"/>
    </row>
    <row r="2918" spans="2:18" x14ac:dyDescent="0.2">
      <c r="B2918" s="5"/>
      <c r="F2918" s="5"/>
      <c r="J2918" s="5"/>
      <c r="N2918" s="5"/>
      <c r="R2918" s="5"/>
    </row>
    <row r="2919" spans="2:18" x14ac:dyDescent="0.2">
      <c r="B2919" s="5"/>
      <c r="F2919" s="5"/>
      <c r="J2919" s="5"/>
      <c r="N2919" s="5"/>
      <c r="R2919" s="5"/>
    </row>
    <row r="2920" spans="2:18" x14ac:dyDescent="0.2">
      <c r="B2920" s="5"/>
      <c r="F2920" s="5"/>
      <c r="J2920" s="5"/>
      <c r="N2920" s="5"/>
      <c r="R2920" s="5"/>
    </row>
    <row r="2921" spans="2:18" x14ac:dyDescent="0.2">
      <c r="B2921" s="5"/>
      <c r="F2921" s="5"/>
      <c r="J2921" s="5"/>
      <c r="N2921" s="5"/>
      <c r="R2921" s="5"/>
    </row>
    <row r="2922" spans="2:18" x14ac:dyDescent="0.2">
      <c r="B2922" s="5"/>
      <c r="F2922" s="5"/>
      <c r="J2922" s="5"/>
      <c r="N2922" s="5"/>
      <c r="R2922" s="5"/>
    </row>
    <row r="2923" spans="2:18" x14ac:dyDescent="0.2">
      <c r="B2923" s="5"/>
      <c r="F2923" s="5"/>
      <c r="J2923" s="5"/>
      <c r="N2923" s="5"/>
      <c r="R2923" s="5"/>
    </row>
    <row r="2924" spans="2:18" x14ac:dyDescent="0.2">
      <c r="B2924" s="5"/>
      <c r="F2924" s="5"/>
      <c r="J2924" s="5"/>
      <c r="N2924" s="5"/>
      <c r="R2924" s="5"/>
    </row>
    <row r="2925" spans="2:18" x14ac:dyDescent="0.2">
      <c r="B2925" s="5"/>
      <c r="F2925" s="5"/>
      <c r="J2925" s="5"/>
      <c r="N2925" s="5"/>
      <c r="R2925" s="5"/>
    </row>
    <row r="2926" spans="2:18" x14ac:dyDescent="0.2">
      <c r="B2926" s="5"/>
      <c r="F2926" s="5"/>
      <c r="J2926" s="5"/>
      <c r="N2926" s="5"/>
      <c r="R2926" s="5"/>
    </row>
    <row r="2927" spans="2:18" x14ac:dyDescent="0.2">
      <c r="B2927" s="5"/>
      <c r="F2927" s="5"/>
      <c r="J2927" s="5"/>
      <c r="N2927" s="5"/>
      <c r="R2927" s="5"/>
    </row>
    <row r="2928" spans="2:18" x14ac:dyDescent="0.2">
      <c r="B2928" s="5"/>
      <c r="F2928" s="5"/>
      <c r="J2928" s="5"/>
      <c r="N2928" s="5"/>
      <c r="R2928" s="5"/>
    </row>
    <row r="2929" spans="2:18" x14ac:dyDescent="0.2">
      <c r="B2929" s="5"/>
      <c r="F2929" s="5"/>
      <c r="J2929" s="5"/>
      <c r="N2929" s="5"/>
      <c r="R2929" s="5"/>
    </row>
    <row r="2930" spans="2:18" x14ac:dyDescent="0.2">
      <c r="B2930" s="5"/>
      <c r="F2930" s="5"/>
      <c r="J2930" s="5"/>
      <c r="N2930" s="5"/>
      <c r="R2930" s="5"/>
    </row>
    <row r="2931" spans="2:18" x14ac:dyDescent="0.2">
      <c r="B2931" s="5"/>
      <c r="F2931" s="5"/>
      <c r="J2931" s="5"/>
      <c r="N2931" s="5"/>
      <c r="R2931" s="5"/>
    </row>
    <row r="2932" spans="2:18" x14ac:dyDescent="0.2">
      <c r="B2932" s="5"/>
      <c r="F2932" s="5"/>
      <c r="J2932" s="5"/>
      <c r="N2932" s="5"/>
      <c r="R2932" s="5"/>
    </row>
    <row r="2933" spans="2:18" x14ac:dyDescent="0.2">
      <c r="B2933" s="5"/>
      <c r="F2933" s="5"/>
      <c r="J2933" s="5"/>
      <c r="N2933" s="5"/>
      <c r="R2933" s="5"/>
    </row>
    <row r="2934" spans="2:18" x14ac:dyDescent="0.2">
      <c r="B2934" s="5"/>
      <c r="F2934" s="5"/>
      <c r="J2934" s="5"/>
      <c r="N2934" s="5"/>
      <c r="R2934" s="5"/>
    </row>
    <row r="2935" spans="2:18" x14ac:dyDescent="0.2">
      <c r="B2935" s="5"/>
      <c r="F2935" s="5"/>
      <c r="J2935" s="5"/>
      <c r="N2935" s="5"/>
      <c r="R2935" s="5"/>
    </row>
    <row r="2936" spans="2:18" x14ac:dyDescent="0.2">
      <c r="B2936" s="5"/>
      <c r="F2936" s="5"/>
      <c r="J2936" s="5"/>
      <c r="N2936" s="5"/>
      <c r="R2936" s="5"/>
    </row>
    <row r="2937" spans="2:18" x14ac:dyDescent="0.2">
      <c r="B2937" s="5"/>
      <c r="F2937" s="5"/>
      <c r="J2937" s="5"/>
      <c r="N2937" s="5"/>
      <c r="R2937" s="5"/>
    </row>
    <row r="2938" spans="2:18" x14ac:dyDescent="0.2">
      <c r="B2938" s="5"/>
      <c r="F2938" s="5"/>
      <c r="J2938" s="5"/>
      <c r="N2938" s="5"/>
      <c r="R2938" s="5"/>
    </row>
    <row r="2939" spans="2:18" x14ac:dyDescent="0.2">
      <c r="B2939" s="5"/>
      <c r="F2939" s="5"/>
      <c r="J2939" s="5"/>
      <c r="N2939" s="5"/>
      <c r="R2939" s="5"/>
    </row>
    <row r="2940" spans="2:18" x14ac:dyDescent="0.2">
      <c r="B2940" s="5"/>
      <c r="F2940" s="5"/>
      <c r="J2940" s="5"/>
      <c r="N2940" s="5"/>
      <c r="R2940" s="5"/>
    </row>
    <row r="2941" spans="2:18" x14ac:dyDescent="0.2">
      <c r="B2941" s="5"/>
      <c r="F2941" s="5"/>
      <c r="J2941" s="5"/>
      <c r="N2941" s="5"/>
      <c r="R2941" s="5"/>
    </row>
    <row r="2942" spans="2:18" x14ac:dyDescent="0.2">
      <c r="B2942" s="5"/>
      <c r="F2942" s="5"/>
      <c r="J2942" s="5"/>
      <c r="N2942" s="5"/>
      <c r="R2942" s="5"/>
    </row>
    <row r="2943" spans="2:18" x14ac:dyDescent="0.2">
      <c r="B2943" s="5"/>
      <c r="F2943" s="5"/>
      <c r="J2943" s="5"/>
      <c r="N2943" s="5"/>
      <c r="R2943" s="5"/>
    </row>
    <row r="2944" spans="2:18" x14ac:dyDescent="0.2">
      <c r="B2944" s="5"/>
      <c r="F2944" s="5"/>
      <c r="J2944" s="5"/>
      <c r="N2944" s="5"/>
      <c r="R2944" s="5"/>
    </row>
    <row r="2945" spans="2:18" x14ac:dyDescent="0.2">
      <c r="B2945" s="5"/>
      <c r="F2945" s="5"/>
      <c r="J2945" s="5"/>
      <c r="N2945" s="5"/>
      <c r="R2945" s="5"/>
    </row>
    <row r="2946" spans="2:18" x14ac:dyDescent="0.2">
      <c r="B2946" s="5"/>
      <c r="F2946" s="5"/>
      <c r="J2946" s="5"/>
      <c r="N2946" s="5"/>
      <c r="R2946" s="5"/>
    </row>
    <row r="2947" spans="2:18" x14ac:dyDescent="0.2">
      <c r="B2947" s="5"/>
      <c r="F2947" s="5"/>
      <c r="J2947" s="5"/>
      <c r="N2947" s="5"/>
      <c r="R2947" s="5"/>
    </row>
    <row r="2948" spans="2:18" x14ac:dyDescent="0.2">
      <c r="B2948" s="5"/>
      <c r="F2948" s="5"/>
      <c r="J2948" s="5"/>
      <c r="N2948" s="5"/>
      <c r="R2948" s="5"/>
    </row>
    <row r="2949" spans="2:18" x14ac:dyDescent="0.2">
      <c r="B2949" s="5"/>
      <c r="F2949" s="5"/>
      <c r="J2949" s="5"/>
      <c r="N2949" s="5"/>
      <c r="R2949" s="5"/>
    </row>
    <row r="2950" spans="2:18" x14ac:dyDescent="0.2">
      <c r="B2950" s="5"/>
      <c r="F2950" s="5"/>
      <c r="J2950" s="5"/>
      <c r="N2950" s="5"/>
      <c r="R2950" s="5"/>
    </row>
    <row r="2951" spans="2:18" x14ac:dyDescent="0.2">
      <c r="B2951" s="5"/>
      <c r="F2951" s="5"/>
      <c r="J2951" s="5"/>
      <c r="N2951" s="5"/>
      <c r="R2951" s="5"/>
    </row>
    <row r="2952" spans="2:18" x14ac:dyDescent="0.2">
      <c r="B2952" s="5"/>
      <c r="F2952" s="5"/>
      <c r="J2952" s="5"/>
      <c r="N2952" s="5"/>
      <c r="R2952" s="5"/>
    </row>
    <row r="2953" spans="2:18" x14ac:dyDescent="0.2">
      <c r="B2953" s="5"/>
      <c r="F2953" s="5"/>
      <c r="J2953" s="5"/>
      <c r="N2953" s="5"/>
      <c r="R2953" s="5"/>
    </row>
    <row r="2954" spans="2:18" x14ac:dyDescent="0.2">
      <c r="B2954" s="5"/>
      <c r="F2954" s="5"/>
      <c r="J2954" s="5"/>
      <c r="N2954" s="5"/>
      <c r="R2954" s="5"/>
    </row>
    <row r="2955" spans="2:18" x14ac:dyDescent="0.2">
      <c r="B2955" s="5"/>
      <c r="F2955" s="5"/>
      <c r="J2955" s="5"/>
      <c r="N2955" s="5"/>
      <c r="R2955" s="5"/>
    </row>
    <row r="2956" spans="2:18" x14ac:dyDescent="0.2">
      <c r="B2956" s="5"/>
      <c r="F2956" s="5"/>
      <c r="J2956" s="5"/>
      <c r="N2956" s="5"/>
      <c r="R2956" s="5"/>
    </row>
    <row r="2957" spans="2:18" x14ac:dyDescent="0.2">
      <c r="B2957" s="5"/>
      <c r="F2957" s="5"/>
      <c r="J2957" s="5"/>
      <c r="N2957" s="5"/>
      <c r="R2957" s="5"/>
    </row>
    <row r="2958" spans="2:18" x14ac:dyDescent="0.2">
      <c r="B2958" s="5"/>
      <c r="F2958" s="5"/>
      <c r="J2958" s="5"/>
      <c r="N2958" s="5"/>
      <c r="R2958" s="5"/>
    </row>
    <row r="2959" spans="2:18" x14ac:dyDescent="0.2">
      <c r="B2959" s="5"/>
      <c r="F2959" s="5"/>
      <c r="J2959" s="5"/>
      <c r="N2959" s="5"/>
      <c r="R2959" s="5"/>
    </row>
    <row r="2960" spans="2:18" x14ac:dyDescent="0.2">
      <c r="B2960" s="5"/>
      <c r="F2960" s="5"/>
      <c r="J2960" s="5"/>
      <c r="N2960" s="5"/>
      <c r="R2960" s="5"/>
    </row>
    <row r="2961" spans="2:18" x14ac:dyDescent="0.2">
      <c r="B2961" s="5"/>
      <c r="F2961" s="5"/>
      <c r="J2961" s="5"/>
      <c r="N2961" s="5"/>
      <c r="R2961" s="5"/>
    </row>
    <row r="2962" spans="2:18" x14ac:dyDescent="0.2">
      <c r="B2962" s="5"/>
      <c r="F2962" s="5"/>
      <c r="J2962" s="5"/>
      <c r="N2962" s="5"/>
      <c r="R2962" s="5"/>
    </row>
    <row r="2963" spans="2:18" x14ac:dyDescent="0.2">
      <c r="B2963" s="5"/>
      <c r="F2963" s="5"/>
      <c r="J2963" s="5"/>
      <c r="N2963" s="5"/>
      <c r="R2963" s="5"/>
    </row>
    <row r="2964" spans="2:18" x14ac:dyDescent="0.2">
      <c r="B2964" s="5"/>
      <c r="F2964" s="5"/>
      <c r="J2964" s="5"/>
      <c r="N2964" s="5"/>
      <c r="R2964" s="5"/>
    </row>
    <row r="2965" spans="2:18" x14ac:dyDescent="0.2">
      <c r="B2965" s="5"/>
      <c r="F2965" s="5"/>
      <c r="J2965" s="5"/>
      <c r="N2965" s="5"/>
      <c r="R2965" s="5"/>
    </row>
    <row r="2966" spans="2:18" x14ac:dyDescent="0.2">
      <c r="B2966" s="5"/>
      <c r="F2966" s="5"/>
      <c r="J2966" s="5"/>
      <c r="N2966" s="5"/>
      <c r="R2966" s="5"/>
    </row>
    <row r="2967" spans="2:18" x14ac:dyDescent="0.2">
      <c r="B2967" s="5"/>
      <c r="F2967" s="5"/>
      <c r="J2967" s="5"/>
      <c r="N2967" s="5"/>
      <c r="R2967" s="5"/>
    </row>
    <row r="2968" spans="2:18" x14ac:dyDescent="0.2">
      <c r="B2968" s="5"/>
      <c r="F2968" s="5"/>
      <c r="J2968" s="5"/>
      <c r="N2968" s="5"/>
      <c r="R2968" s="5"/>
    </row>
    <row r="2969" spans="2:18" x14ac:dyDescent="0.2">
      <c r="B2969" s="5"/>
      <c r="F2969" s="5"/>
      <c r="J2969" s="5"/>
      <c r="N2969" s="5"/>
      <c r="R2969" s="5"/>
    </row>
    <row r="2970" spans="2:18" x14ac:dyDescent="0.2">
      <c r="B2970" s="5"/>
      <c r="F2970" s="5"/>
      <c r="J2970" s="5"/>
      <c r="N2970" s="5"/>
      <c r="R2970" s="5"/>
    </row>
    <row r="2971" spans="2:18" x14ac:dyDescent="0.2">
      <c r="B2971" s="5"/>
      <c r="F2971" s="5"/>
      <c r="J2971" s="5"/>
      <c r="N2971" s="5"/>
      <c r="R2971" s="5"/>
    </row>
    <row r="2972" spans="2:18" x14ac:dyDescent="0.2">
      <c r="B2972" s="5"/>
      <c r="F2972" s="5"/>
      <c r="J2972" s="5"/>
      <c r="N2972" s="5"/>
      <c r="R2972" s="5"/>
    </row>
    <row r="2973" spans="2:18" x14ac:dyDescent="0.2">
      <c r="B2973" s="5"/>
      <c r="F2973" s="5"/>
      <c r="J2973" s="5"/>
      <c r="N2973" s="5"/>
      <c r="R2973" s="5"/>
    </row>
    <row r="2974" spans="2:18" x14ac:dyDescent="0.2">
      <c r="B2974" s="5"/>
      <c r="F2974" s="5"/>
      <c r="J2974" s="5"/>
      <c r="N2974" s="5"/>
      <c r="R2974" s="5"/>
    </row>
    <row r="2975" spans="2:18" x14ac:dyDescent="0.2">
      <c r="B2975" s="5"/>
      <c r="F2975" s="5"/>
      <c r="J2975" s="5"/>
      <c r="N2975" s="5"/>
      <c r="R2975" s="5"/>
    </row>
    <row r="2976" spans="2:18" x14ac:dyDescent="0.2">
      <c r="B2976" s="5"/>
      <c r="F2976" s="5"/>
      <c r="J2976" s="5"/>
      <c r="N2976" s="5"/>
      <c r="R2976" s="5"/>
    </row>
    <row r="2977" spans="2:18" x14ac:dyDescent="0.2">
      <c r="B2977" s="5"/>
      <c r="F2977" s="5"/>
      <c r="J2977" s="5"/>
      <c r="N2977" s="5"/>
      <c r="R2977" s="5"/>
    </row>
    <row r="2978" spans="2:18" x14ac:dyDescent="0.2">
      <c r="B2978" s="5"/>
      <c r="F2978" s="5"/>
      <c r="J2978" s="5"/>
      <c r="N2978" s="5"/>
      <c r="R2978" s="5"/>
    </row>
    <row r="2979" spans="2:18" x14ac:dyDescent="0.2">
      <c r="B2979" s="5"/>
      <c r="F2979" s="5"/>
      <c r="J2979" s="5"/>
      <c r="N2979" s="5"/>
      <c r="R2979" s="5"/>
    </row>
    <row r="2980" spans="2:18" x14ac:dyDescent="0.2">
      <c r="B2980" s="5"/>
      <c r="F2980" s="5"/>
      <c r="J2980" s="5"/>
      <c r="N2980" s="5"/>
      <c r="R2980" s="5"/>
    </row>
    <row r="2981" spans="2:18" x14ac:dyDescent="0.2">
      <c r="B2981" s="5"/>
      <c r="F2981" s="5"/>
      <c r="J2981" s="5"/>
      <c r="N2981" s="5"/>
      <c r="R2981" s="5"/>
    </row>
    <row r="2982" spans="2:18" x14ac:dyDescent="0.2">
      <c r="B2982" s="5"/>
      <c r="F2982" s="5"/>
      <c r="J2982" s="5"/>
      <c r="N2982" s="5"/>
      <c r="R2982" s="5"/>
    </row>
    <row r="2983" spans="2:18" x14ac:dyDescent="0.2">
      <c r="B2983" s="5"/>
      <c r="F2983" s="5"/>
      <c r="J2983" s="5"/>
      <c r="N2983" s="5"/>
      <c r="R2983" s="5"/>
    </row>
    <row r="2984" spans="2:18" x14ac:dyDescent="0.2">
      <c r="B2984" s="5"/>
      <c r="F2984" s="5"/>
      <c r="J2984" s="5"/>
      <c r="N2984" s="5"/>
      <c r="R2984" s="5"/>
    </row>
    <row r="2985" spans="2:18" x14ac:dyDescent="0.2">
      <c r="B2985" s="5"/>
      <c r="F2985" s="5"/>
      <c r="J2985" s="5"/>
      <c r="N2985" s="5"/>
      <c r="R2985" s="5"/>
    </row>
    <row r="2986" spans="2:18" x14ac:dyDescent="0.2">
      <c r="B2986" s="5"/>
      <c r="F2986" s="5"/>
      <c r="J2986" s="5"/>
      <c r="N2986" s="5"/>
      <c r="R2986" s="5"/>
    </row>
    <row r="2987" spans="2:18" x14ac:dyDescent="0.2">
      <c r="B2987" s="5"/>
      <c r="F2987" s="5"/>
      <c r="J2987" s="5"/>
      <c r="N2987" s="5"/>
      <c r="R2987" s="5"/>
    </row>
    <row r="2988" spans="2:18" x14ac:dyDescent="0.2">
      <c r="B2988" s="5"/>
      <c r="F2988" s="5"/>
      <c r="J2988" s="5"/>
      <c r="N2988" s="5"/>
      <c r="R2988" s="5"/>
    </row>
    <row r="2989" spans="2:18" x14ac:dyDescent="0.2">
      <c r="B2989" s="5"/>
      <c r="F2989" s="5"/>
      <c r="J2989" s="5"/>
      <c r="N2989" s="5"/>
      <c r="R2989" s="5"/>
    </row>
    <row r="2990" spans="2:18" x14ac:dyDescent="0.2">
      <c r="B2990" s="5"/>
      <c r="F2990" s="5"/>
      <c r="J2990" s="5"/>
      <c r="N2990" s="5"/>
      <c r="R2990" s="5"/>
    </row>
    <row r="2991" spans="2:18" x14ac:dyDescent="0.2">
      <c r="B2991" s="5"/>
      <c r="F2991" s="5"/>
      <c r="J2991" s="5"/>
      <c r="N2991" s="5"/>
      <c r="R2991" s="5"/>
    </row>
    <row r="2992" spans="2:18" x14ac:dyDescent="0.2">
      <c r="B2992" s="5"/>
      <c r="F2992" s="5"/>
      <c r="J2992" s="5"/>
      <c r="N2992" s="5"/>
      <c r="R2992" s="5"/>
    </row>
    <row r="2993" spans="2:18" x14ac:dyDescent="0.2">
      <c r="B2993" s="5"/>
      <c r="F2993" s="5"/>
      <c r="J2993" s="5"/>
      <c r="N2993" s="5"/>
      <c r="R2993" s="5"/>
    </row>
    <row r="2994" spans="2:18" x14ac:dyDescent="0.2">
      <c r="B2994" s="5"/>
      <c r="F2994" s="5"/>
      <c r="J2994" s="5"/>
      <c r="N2994" s="5"/>
      <c r="R2994" s="5"/>
    </row>
    <row r="2995" spans="2:18" x14ac:dyDescent="0.2">
      <c r="B2995" s="5"/>
      <c r="F2995" s="5"/>
      <c r="J2995" s="5"/>
      <c r="N2995" s="5"/>
      <c r="R2995" s="5"/>
    </row>
    <row r="2996" spans="2:18" x14ac:dyDescent="0.2">
      <c r="B2996" s="5"/>
      <c r="F2996" s="5"/>
      <c r="J2996" s="5"/>
      <c r="N2996" s="5"/>
      <c r="R2996" s="5"/>
    </row>
    <row r="2997" spans="2:18" x14ac:dyDescent="0.2">
      <c r="B2997" s="5"/>
      <c r="F2997" s="5"/>
      <c r="J2997" s="5"/>
      <c r="N2997" s="5"/>
      <c r="R2997" s="5"/>
    </row>
    <row r="2998" spans="2:18" x14ac:dyDescent="0.2">
      <c r="B2998" s="5"/>
      <c r="F2998" s="5"/>
      <c r="J2998" s="5"/>
      <c r="N2998" s="5"/>
      <c r="R2998" s="5"/>
    </row>
    <row r="2999" spans="2:18" x14ac:dyDescent="0.2">
      <c r="B2999" s="5"/>
      <c r="F2999" s="5"/>
      <c r="J2999" s="5"/>
      <c r="N2999" s="5"/>
      <c r="R2999" s="5"/>
    </row>
    <row r="3000" spans="2:18" x14ac:dyDescent="0.2">
      <c r="B3000" s="5"/>
      <c r="F3000" s="5"/>
      <c r="J3000" s="5"/>
      <c r="N3000" s="5"/>
      <c r="R3000" s="5"/>
    </row>
    <row r="3001" spans="2:18" x14ac:dyDescent="0.2">
      <c r="B3001" s="5"/>
      <c r="F3001" s="5"/>
      <c r="J3001" s="5"/>
      <c r="N3001" s="5"/>
      <c r="R3001" s="5"/>
    </row>
    <row r="3002" spans="2:18" x14ac:dyDescent="0.2">
      <c r="B3002" s="5"/>
      <c r="F3002" s="5"/>
      <c r="J3002" s="5"/>
      <c r="N3002" s="5"/>
      <c r="R3002" s="5"/>
    </row>
    <row r="3003" spans="2:18" x14ac:dyDescent="0.2">
      <c r="B3003" s="5"/>
      <c r="F3003" s="5"/>
      <c r="J3003" s="5"/>
      <c r="N3003" s="5"/>
      <c r="R3003" s="5"/>
    </row>
    <row r="3004" spans="2:18" x14ac:dyDescent="0.2">
      <c r="B3004" s="5"/>
      <c r="F3004" s="5"/>
      <c r="J3004" s="5"/>
      <c r="N3004" s="5"/>
      <c r="R3004" s="5"/>
    </row>
    <row r="3005" spans="2:18" x14ac:dyDescent="0.2">
      <c r="B3005" s="5"/>
      <c r="F3005" s="5"/>
      <c r="J3005" s="5"/>
      <c r="N3005" s="5"/>
      <c r="R3005" s="5"/>
    </row>
    <row r="3006" spans="2:18" x14ac:dyDescent="0.2">
      <c r="B3006" s="5"/>
      <c r="F3006" s="5"/>
      <c r="J3006" s="5"/>
      <c r="N3006" s="5"/>
      <c r="R3006" s="5"/>
    </row>
    <row r="3007" spans="2:18" x14ac:dyDescent="0.2">
      <c r="B3007" s="5"/>
      <c r="F3007" s="5"/>
      <c r="J3007" s="5"/>
      <c r="N3007" s="5"/>
      <c r="R3007" s="5"/>
    </row>
    <row r="3008" spans="2:18" x14ac:dyDescent="0.2">
      <c r="B3008" s="5"/>
      <c r="F3008" s="5"/>
      <c r="J3008" s="5"/>
      <c r="N3008" s="5"/>
      <c r="R3008" s="5"/>
    </row>
    <row r="3009" spans="2:18" x14ac:dyDescent="0.2">
      <c r="B3009" s="5"/>
      <c r="F3009" s="5"/>
      <c r="J3009" s="5"/>
      <c r="N3009" s="5"/>
      <c r="R3009" s="5"/>
    </row>
    <row r="3010" spans="2:18" x14ac:dyDescent="0.2">
      <c r="B3010" s="5"/>
      <c r="F3010" s="5"/>
      <c r="J3010" s="5"/>
      <c r="N3010" s="5"/>
      <c r="R3010" s="5"/>
    </row>
    <row r="3011" spans="2:18" x14ac:dyDescent="0.2">
      <c r="B3011" s="5"/>
      <c r="F3011" s="5"/>
      <c r="J3011" s="5"/>
      <c r="N3011" s="5"/>
      <c r="R3011" s="5"/>
    </row>
    <row r="3012" spans="2:18" x14ac:dyDescent="0.2">
      <c r="B3012" s="5"/>
      <c r="F3012" s="5"/>
      <c r="J3012" s="5"/>
      <c r="N3012" s="5"/>
      <c r="R3012" s="5"/>
    </row>
    <row r="3013" spans="2:18" x14ac:dyDescent="0.2">
      <c r="B3013" s="5"/>
      <c r="F3013" s="5"/>
      <c r="J3013" s="5"/>
      <c r="N3013" s="5"/>
      <c r="R3013" s="5"/>
    </row>
    <row r="3014" spans="2:18" x14ac:dyDescent="0.2">
      <c r="B3014" s="5"/>
      <c r="F3014" s="5"/>
      <c r="J3014" s="5"/>
      <c r="N3014" s="5"/>
      <c r="R3014" s="5"/>
    </row>
    <row r="3015" spans="2:18" x14ac:dyDescent="0.2">
      <c r="B3015" s="5"/>
      <c r="F3015" s="5"/>
      <c r="J3015" s="5"/>
      <c r="N3015" s="5"/>
      <c r="R3015" s="5"/>
    </row>
    <row r="3016" spans="2:18" x14ac:dyDescent="0.2">
      <c r="B3016" s="5"/>
      <c r="F3016" s="5"/>
      <c r="J3016" s="5"/>
      <c r="N3016" s="5"/>
      <c r="R3016" s="5"/>
    </row>
    <row r="3017" spans="2:18" x14ac:dyDescent="0.2">
      <c r="B3017" s="5"/>
      <c r="F3017" s="5"/>
      <c r="J3017" s="5"/>
      <c r="N3017" s="5"/>
      <c r="R3017" s="5"/>
    </row>
    <row r="3018" spans="2:18" x14ac:dyDescent="0.2">
      <c r="B3018" s="5"/>
      <c r="F3018" s="5"/>
      <c r="J3018" s="5"/>
      <c r="N3018" s="5"/>
      <c r="R3018" s="5"/>
    </row>
    <row r="3019" spans="2:18" x14ac:dyDescent="0.2">
      <c r="B3019" s="5"/>
      <c r="F3019" s="5"/>
      <c r="J3019" s="5"/>
      <c r="N3019" s="5"/>
      <c r="R3019" s="5"/>
    </row>
    <row r="3020" spans="2:18" x14ac:dyDescent="0.2">
      <c r="B3020" s="5"/>
      <c r="F3020" s="5"/>
      <c r="J3020" s="5"/>
      <c r="N3020" s="5"/>
      <c r="R3020" s="5"/>
    </row>
    <row r="3021" spans="2:18" x14ac:dyDescent="0.2">
      <c r="B3021" s="5"/>
      <c r="F3021" s="5"/>
      <c r="J3021" s="5"/>
      <c r="N3021" s="5"/>
      <c r="R3021" s="5"/>
    </row>
    <row r="3022" spans="2:18" x14ac:dyDescent="0.2">
      <c r="B3022" s="5"/>
      <c r="F3022" s="5"/>
      <c r="J3022" s="5"/>
      <c r="N3022" s="5"/>
      <c r="R3022" s="5"/>
    </row>
    <row r="3023" spans="2:18" x14ac:dyDescent="0.2">
      <c r="B3023" s="5"/>
      <c r="F3023" s="5"/>
      <c r="J3023" s="5"/>
      <c r="N3023" s="5"/>
      <c r="R3023" s="5"/>
    </row>
    <row r="3024" spans="2:18" x14ac:dyDescent="0.2">
      <c r="B3024" s="5"/>
      <c r="F3024" s="5"/>
      <c r="J3024" s="5"/>
      <c r="N3024" s="5"/>
      <c r="R3024" s="5"/>
    </row>
    <row r="3025" spans="2:18" x14ac:dyDescent="0.2">
      <c r="B3025" s="5"/>
      <c r="F3025" s="5"/>
      <c r="J3025" s="5"/>
      <c r="N3025" s="5"/>
      <c r="R3025" s="5"/>
    </row>
    <row r="3026" spans="2:18" x14ac:dyDescent="0.2">
      <c r="B3026" s="5"/>
      <c r="F3026" s="5"/>
      <c r="J3026" s="5"/>
      <c r="N3026" s="5"/>
      <c r="R3026" s="5"/>
    </row>
    <row r="3027" spans="2:18" x14ac:dyDescent="0.2">
      <c r="B3027" s="5"/>
      <c r="F3027" s="5"/>
      <c r="J3027" s="5"/>
      <c r="N3027" s="5"/>
      <c r="R3027" s="5"/>
    </row>
    <row r="3028" spans="2:18" x14ac:dyDescent="0.2">
      <c r="B3028" s="5"/>
      <c r="F3028" s="5"/>
      <c r="J3028" s="5"/>
      <c r="N3028" s="5"/>
      <c r="R3028" s="5"/>
    </row>
    <row r="3029" spans="2:18" x14ac:dyDescent="0.2">
      <c r="B3029" s="5"/>
      <c r="F3029" s="5"/>
      <c r="J3029" s="5"/>
      <c r="N3029" s="5"/>
      <c r="R3029" s="5"/>
    </row>
    <row r="3030" spans="2:18" x14ac:dyDescent="0.2">
      <c r="B3030" s="5"/>
      <c r="F3030" s="5"/>
      <c r="J3030" s="5"/>
      <c r="N3030" s="5"/>
      <c r="R3030" s="5"/>
    </row>
    <row r="3031" spans="2:18" x14ac:dyDescent="0.2">
      <c r="B3031" s="5"/>
      <c r="F3031" s="5"/>
      <c r="J3031" s="5"/>
      <c r="N3031" s="5"/>
      <c r="R3031" s="5"/>
    </row>
    <row r="3032" spans="2:18" x14ac:dyDescent="0.2">
      <c r="B3032" s="5"/>
      <c r="F3032" s="5"/>
      <c r="J3032" s="5"/>
      <c r="N3032" s="5"/>
      <c r="R3032" s="5"/>
    </row>
    <row r="3033" spans="2:18" x14ac:dyDescent="0.2">
      <c r="B3033" s="5"/>
      <c r="F3033" s="5"/>
      <c r="J3033" s="5"/>
      <c r="N3033" s="5"/>
      <c r="R3033" s="5"/>
    </row>
    <row r="3034" spans="2:18" x14ac:dyDescent="0.2">
      <c r="B3034" s="5"/>
      <c r="F3034" s="5"/>
      <c r="J3034" s="5"/>
      <c r="N3034" s="5"/>
      <c r="R3034" s="5"/>
    </row>
    <row r="3035" spans="2:18" x14ac:dyDescent="0.2">
      <c r="B3035" s="5"/>
      <c r="F3035" s="5"/>
      <c r="J3035" s="5"/>
      <c r="N3035" s="5"/>
      <c r="R3035" s="5"/>
    </row>
    <row r="3036" spans="2:18" x14ac:dyDescent="0.2">
      <c r="B3036" s="5"/>
      <c r="F3036" s="5"/>
      <c r="J3036" s="5"/>
      <c r="N3036" s="5"/>
      <c r="R3036" s="5"/>
    </row>
    <row r="3037" spans="2:18" x14ac:dyDescent="0.2">
      <c r="B3037" s="5"/>
      <c r="F3037" s="5"/>
      <c r="J3037" s="5"/>
      <c r="N3037" s="5"/>
      <c r="R3037" s="5"/>
    </row>
    <row r="3038" spans="2:18" x14ac:dyDescent="0.2">
      <c r="B3038" s="5"/>
      <c r="F3038" s="5"/>
      <c r="J3038" s="5"/>
      <c r="N3038" s="5"/>
      <c r="R3038" s="5"/>
    </row>
    <row r="3039" spans="2:18" x14ac:dyDescent="0.2">
      <c r="B3039" s="5"/>
      <c r="F3039" s="5"/>
      <c r="J3039" s="5"/>
      <c r="N3039" s="5"/>
      <c r="R3039" s="5"/>
    </row>
    <row r="3040" spans="2:18" x14ac:dyDescent="0.2">
      <c r="B3040" s="5"/>
      <c r="F3040" s="5"/>
      <c r="J3040" s="5"/>
      <c r="N3040" s="5"/>
      <c r="R3040" s="5"/>
    </row>
    <row r="3041" spans="2:18" x14ac:dyDescent="0.2">
      <c r="B3041" s="5"/>
      <c r="F3041" s="5"/>
      <c r="J3041" s="5"/>
      <c r="N3041" s="5"/>
      <c r="R3041" s="5"/>
    </row>
    <row r="3042" spans="2:18" x14ac:dyDescent="0.2">
      <c r="B3042" s="5"/>
      <c r="F3042" s="5"/>
      <c r="J3042" s="5"/>
      <c r="N3042" s="5"/>
      <c r="R3042" s="5"/>
    </row>
    <row r="3043" spans="2:18" x14ac:dyDescent="0.2">
      <c r="B3043" s="5"/>
      <c r="F3043" s="5"/>
      <c r="J3043" s="5"/>
      <c r="N3043" s="5"/>
      <c r="R3043" s="5"/>
    </row>
    <row r="3044" spans="2:18" x14ac:dyDescent="0.2">
      <c r="B3044" s="5"/>
      <c r="F3044" s="5"/>
      <c r="J3044" s="5"/>
      <c r="N3044" s="5"/>
      <c r="R3044" s="5"/>
    </row>
    <row r="3045" spans="2:18" x14ac:dyDescent="0.2">
      <c r="B3045" s="5"/>
      <c r="F3045" s="5"/>
      <c r="J3045" s="5"/>
      <c r="N3045" s="5"/>
      <c r="R3045" s="5"/>
    </row>
    <row r="3046" spans="2:18" x14ac:dyDescent="0.2">
      <c r="B3046" s="5"/>
      <c r="F3046" s="5"/>
      <c r="J3046" s="5"/>
      <c r="N3046" s="5"/>
      <c r="R3046" s="5"/>
    </row>
    <row r="3047" spans="2:18" x14ac:dyDescent="0.2">
      <c r="B3047" s="5"/>
      <c r="F3047" s="5"/>
      <c r="J3047" s="5"/>
      <c r="N3047" s="5"/>
      <c r="R3047" s="5"/>
    </row>
    <row r="3048" spans="2:18" x14ac:dyDescent="0.2">
      <c r="B3048" s="5"/>
      <c r="F3048" s="5"/>
      <c r="J3048" s="5"/>
      <c r="N3048" s="5"/>
      <c r="R3048" s="5"/>
    </row>
    <row r="3049" spans="2:18" x14ac:dyDescent="0.2">
      <c r="B3049" s="5"/>
      <c r="F3049" s="5"/>
      <c r="J3049" s="5"/>
      <c r="N3049" s="5"/>
      <c r="R3049" s="5"/>
    </row>
    <row r="3050" spans="2:18" x14ac:dyDescent="0.2">
      <c r="B3050" s="5"/>
      <c r="F3050" s="5"/>
      <c r="J3050" s="5"/>
      <c r="N3050" s="5"/>
      <c r="R3050" s="5"/>
    </row>
    <row r="3051" spans="2:18" x14ac:dyDescent="0.2">
      <c r="B3051" s="5"/>
      <c r="F3051" s="5"/>
      <c r="J3051" s="5"/>
      <c r="N3051" s="5"/>
      <c r="R3051" s="5"/>
    </row>
    <row r="3052" spans="2:18" x14ac:dyDescent="0.2">
      <c r="B3052" s="5"/>
      <c r="F3052" s="5"/>
      <c r="J3052" s="5"/>
      <c r="N3052" s="5"/>
      <c r="R3052" s="5"/>
    </row>
    <row r="3053" spans="2:18" x14ac:dyDescent="0.2">
      <c r="B3053" s="5"/>
      <c r="F3053" s="5"/>
      <c r="J3053" s="5"/>
      <c r="N3053" s="5"/>
      <c r="R3053" s="5"/>
    </row>
    <row r="3054" spans="2:18" x14ac:dyDescent="0.2">
      <c r="B3054" s="5"/>
      <c r="F3054" s="5"/>
      <c r="J3054" s="5"/>
      <c r="N3054" s="5"/>
      <c r="R3054" s="5"/>
    </row>
    <row r="3055" spans="2:18" x14ac:dyDescent="0.2">
      <c r="B3055" s="5"/>
      <c r="F3055" s="5"/>
      <c r="J3055" s="5"/>
      <c r="N3055" s="5"/>
      <c r="R3055" s="5"/>
    </row>
    <row r="3056" spans="2:18" x14ac:dyDescent="0.2">
      <c r="B3056" s="5"/>
      <c r="F3056" s="5"/>
      <c r="J3056" s="5"/>
      <c r="N3056" s="5"/>
      <c r="R3056" s="5"/>
    </row>
    <row r="3057" spans="2:18" x14ac:dyDescent="0.2">
      <c r="B3057" s="5"/>
      <c r="F3057" s="5"/>
      <c r="J3057" s="5"/>
      <c r="N3057" s="5"/>
      <c r="R3057" s="5"/>
    </row>
    <row r="3058" spans="2:18" x14ac:dyDescent="0.2">
      <c r="B3058" s="5"/>
      <c r="F3058" s="5"/>
      <c r="J3058" s="5"/>
      <c r="N3058" s="5"/>
      <c r="R3058" s="5"/>
    </row>
    <row r="3059" spans="2:18" x14ac:dyDescent="0.2">
      <c r="B3059" s="5"/>
      <c r="F3059" s="5"/>
      <c r="J3059" s="5"/>
      <c r="N3059" s="5"/>
      <c r="R3059" s="5"/>
    </row>
    <row r="3060" spans="2:18" x14ac:dyDescent="0.2">
      <c r="B3060" s="5"/>
      <c r="F3060" s="5"/>
      <c r="J3060" s="5"/>
      <c r="N3060" s="5"/>
      <c r="R3060" s="5"/>
    </row>
    <row r="3061" spans="2:18" x14ac:dyDescent="0.2">
      <c r="B3061" s="5"/>
      <c r="F3061" s="5"/>
      <c r="J3061" s="5"/>
      <c r="N3061" s="5"/>
      <c r="R3061" s="5"/>
    </row>
    <row r="3062" spans="2:18" x14ac:dyDescent="0.2">
      <c r="B3062" s="5"/>
      <c r="F3062" s="5"/>
      <c r="J3062" s="5"/>
      <c r="N3062" s="5"/>
      <c r="R3062" s="5"/>
    </row>
    <row r="3063" spans="2:18" x14ac:dyDescent="0.2">
      <c r="B3063" s="5"/>
      <c r="F3063" s="5"/>
      <c r="J3063" s="5"/>
      <c r="N3063" s="5"/>
      <c r="R3063" s="5"/>
    </row>
    <row r="3064" spans="2:18" x14ac:dyDescent="0.2">
      <c r="B3064" s="5"/>
      <c r="F3064" s="5"/>
      <c r="J3064" s="5"/>
      <c r="N3064" s="5"/>
      <c r="R3064" s="5"/>
    </row>
    <row r="3065" spans="2:18" x14ac:dyDescent="0.2">
      <c r="B3065" s="5"/>
      <c r="F3065" s="5"/>
      <c r="J3065" s="5"/>
      <c r="N3065" s="5"/>
      <c r="R3065" s="5"/>
    </row>
    <row r="3066" spans="2:18" x14ac:dyDescent="0.2">
      <c r="B3066" s="5"/>
      <c r="F3066" s="5"/>
      <c r="J3066" s="5"/>
      <c r="N3066" s="5"/>
      <c r="R3066" s="5"/>
    </row>
    <row r="3067" spans="2:18" x14ac:dyDescent="0.2">
      <c r="B3067" s="5"/>
      <c r="F3067" s="5"/>
      <c r="J3067" s="5"/>
      <c r="N3067" s="5"/>
      <c r="R3067" s="5"/>
    </row>
    <row r="3068" spans="2:18" x14ac:dyDescent="0.2">
      <c r="B3068" s="5"/>
      <c r="F3068" s="5"/>
      <c r="J3068" s="5"/>
      <c r="N3068" s="5"/>
      <c r="R3068" s="5"/>
    </row>
    <row r="3069" spans="2:18" x14ac:dyDescent="0.2">
      <c r="B3069" s="5"/>
      <c r="F3069" s="5"/>
      <c r="J3069" s="5"/>
      <c r="N3069" s="5"/>
      <c r="R3069" s="5"/>
    </row>
    <row r="3070" spans="2:18" x14ac:dyDescent="0.2">
      <c r="B3070" s="5"/>
      <c r="F3070" s="5"/>
      <c r="J3070" s="5"/>
      <c r="N3070" s="5"/>
      <c r="R3070" s="5"/>
    </row>
    <row r="3071" spans="2:18" x14ac:dyDescent="0.2">
      <c r="B3071" s="5"/>
      <c r="F3071" s="5"/>
      <c r="J3071" s="5"/>
      <c r="N3071" s="5"/>
      <c r="R3071" s="5"/>
    </row>
    <row r="3072" spans="2:18" x14ac:dyDescent="0.2">
      <c r="B3072" s="5"/>
      <c r="F3072" s="5"/>
      <c r="J3072" s="5"/>
      <c r="N3072" s="5"/>
      <c r="R3072" s="5"/>
    </row>
    <row r="3073" spans="2:18" x14ac:dyDescent="0.2">
      <c r="B3073" s="5"/>
      <c r="F3073" s="5"/>
      <c r="J3073" s="5"/>
      <c r="N3073" s="5"/>
      <c r="R3073" s="5"/>
    </row>
    <row r="3074" spans="2:18" x14ac:dyDescent="0.2">
      <c r="B3074" s="5"/>
      <c r="F3074" s="5"/>
      <c r="J3074" s="5"/>
      <c r="N3074" s="5"/>
      <c r="R3074" s="5"/>
    </row>
    <row r="3075" spans="2:18" x14ac:dyDescent="0.2">
      <c r="B3075" s="5"/>
      <c r="F3075" s="5"/>
      <c r="J3075" s="5"/>
      <c r="N3075" s="5"/>
      <c r="R3075" s="5"/>
    </row>
    <row r="3076" spans="2:18" x14ac:dyDescent="0.2">
      <c r="B3076" s="5"/>
      <c r="F3076" s="5"/>
      <c r="J3076" s="5"/>
      <c r="N3076" s="5"/>
      <c r="R3076" s="5"/>
    </row>
    <row r="3077" spans="2:18" x14ac:dyDescent="0.2">
      <c r="B3077" s="5"/>
      <c r="F3077" s="5"/>
      <c r="J3077" s="5"/>
      <c r="N3077" s="5"/>
      <c r="R3077" s="5"/>
    </row>
    <row r="3078" spans="2:18" x14ac:dyDescent="0.2">
      <c r="B3078" s="5"/>
      <c r="F3078" s="5"/>
      <c r="J3078" s="5"/>
      <c r="N3078" s="5"/>
      <c r="R3078" s="5"/>
    </row>
    <row r="3079" spans="2:18" x14ac:dyDescent="0.2">
      <c r="B3079" s="5"/>
      <c r="F3079" s="5"/>
      <c r="J3079" s="5"/>
      <c r="N3079" s="5"/>
      <c r="R3079" s="5"/>
    </row>
    <row r="3080" spans="2:18" x14ac:dyDescent="0.2">
      <c r="B3080" s="5"/>
      <c r="F3080" s="5"/>
      <c r="J3080" s="5"/>
      <c r="N3080" s="5"/>
      <c r="R3080" s="5"/>
    </row>
    <row r="3081" spans="2:18" x14ac:dyDescent="0.2">
      <c r="B3081" s="5"/>
      <c r="F3081" s="5"/>
      <c r="J3081" s="5"/>
      <c r="N3081" s="5"/>
      <c r="R3081" s="5"/>
    </row>
    <row r="3082" spans="2:18" x14ac:dyDescent="0.2">
      <c r="B3082" s="5"/>
      <c r="F3082" s="5"/>
      <c r="J3082" s="5"/>
      <c r="N3082" s="5"/>
      <c r="R3082" s="5"/>
    </row>
    <row r="3083" spans="2:18" x14ac:dyDescent="0.2">
      <c r="B3083" s="5"/>
      <c r="F3083" s="5"/>
      <c r="J3083" s="5"/>
      <c r="N3083" s="5"/>
      <c r="R3083" s="5"/>
    </row>
    <row r="3084" spans="2:18" x14ac:dyDescent="0.2">
      <c r="B3084" s="5"/>
      <c r="F3084" s="5"/>
      <c r="J3084" s="5"/>
      <c r="N3084" s="5"/>
      <c r="R3084" s="5"/>
    </row>
    <row r="3085" spans="2:18" x14ac:dyDescent="0.2">
      <c r="B3085" s="5"/>
      <c r="F3085" s="5"/>
      <c r="J3085" s="5"/>
      <c r="N3085" s="5"/>
      <c r="R3085" s="5"/>
    </row>
    <row r="3086" spans="2:18" x14ac:dyDescent="0.2">
      <c r="B3086" s="5"/>
      <c r="F3086" s="5"/>
      <c r="J3086" s="5"/>
      <c r="N3086" s="5"/>
      <c r="R3086" s="5"/>
    </row>
    <row r="3087" spans="2:18" x14ac:dyDescent="0.2">
      <c r="B3087" s="5"/>
      <c r="F3087" s="5"/>
      <c r="J3087" s="5"/>
      <c r="N3087" s="5"/>
      <c r="R3087" s="5"/>
    </row>
    <row r="3088" spans="2:18" x14ac:dyDescent="0.2">
      <c r="B3088" s="5"/>
      <c r="F3088" s="5"/>
      <c r="J3088" s="5"/>
      <c r="N3088" s="5"/>
      <c r="R3088" s="5"/>
    </row>
    <row r="3089" spans="2:18" x14ac:dyDescent="0.2">
      <c r="B3089" s="5"/>
      <c r="F3089" s="5"/>
      <c r="J3089" s="5"/>
      <c r="N3089" s="5"/>
      <c r="R3089" s="5"/>
    </row>
    <row r="3090" spans="2:18" x14ac:dyDescent="0.2">
      <c r="B3090" s="5"/>
      <c r="F3090" s="5"/>
      <c r="J3090" s="5"/>
      <c r="N3090" s="5"/>
      <c r="R3090" s="5"/>
    </row>
    <row r="3091" spans="2:18" x14ac:dyDescent="0.2">
      <c r="B3091" s="5"/>
      <c r="F3091" s="5"/>
      <c r="J3091" s="5"/>
      <c r="N3091" s="5"/>
      <c r="R3091" s="5"/>
    </row>
    <row r="3092" spans="2:18" x14ac:dyDescent="0.2">
      <c r="B3092" s="5"/>
      <c r="F3092" s="5"/>
      <c r="J3092" s="5"/>
      <c r="N3092" s="5"/>
      <c r="R3092" s="5"/>
    </row>
    <row r="3093" spans="2:18" x14ac:dyDescent="0.2">
      <c r="B3093" s="5"/>
      <c r="F3093" s="5"/>
      <c r="J3093" s="5"/>
      <c r="N3093" s="5"/>
      <c r="R3093" s="5"/>
    </row>
    <row r="3094" spans="2:18" x14ac:dyDescent="0.2">
      <c r="B3094" s="5"/>
      <c r="F3094" s="5"/>
      <c r="J3094" s="5"/>
      <c r="N3094" s="5"/>
      <c r="R3094" s="5"/>
    </row>
    <row r="3095" spans="2:18" x14ac:dyDescent="0.2">
      <c r="B3095" s="5"/>
      <c r="F3095" s="5"/>
      <c r="J3095" s="5"/>
      <c r="N3095" s="5"/>
      <c r="R3095" s="5"/>
    </row>
    <row r="3096" spans="2:18" x14ac:dyDescent="0.2">
      <c r="B3096" s="5"/>
      <c r="F3096" s="5"/>
      <c r="J3096" s="5"/>
      <c r="N3096" s="5"/>
      <c r="R3096" s="5"/>
    </row>
    <row r="3097" spans="2:18" x14ac:dyDescent="0.2">
      <c r="B3097" s="5"/>
      <c r="F3097" s="5"/>
      <c r="J3097" s="5"/>
      <c r="N3097" s="5"/>
      <c r="R3097" s="5"/>
    </row>
    <row r="3098" spans="2:18" x14ac:dyDescent="0.2">
      <c r="B3098" s="5"/>
      <c r="F3098" s="5"/>
      <c r="J3098" s="5"/>
      <c r="N3098" s="5"/>
      <c r="R3098" s="5"/>
    </row>
    <row r="3099" spans="2:18" x14ac:dyDescent="0.2">
      <c r="B3099" s="5"/>
      <c r="F3099" s="5"/>
      <c r="J3099" s="5"/>
      <c r="N3099" s="5"/>
      <c r="R3099" s="5"/>
    </row>
    <row r="3100" spans="2:18" x14ac:dyDescent="0.2">
      <c r="B3100" s="5"/>
      <c r="F3100" s="5"/>
      <c r="J3100" s="5"/>
      <c r="N3100" s="5"/>
      <c r="R3100" s="5"/>
    </row>
    <row r="3101" spans="2:18" x14ac:dyDescent="0.2">
      <c r="B3101" s="5"/>
      <c r="F3101" s="5"/>
      <c r="J3101" s="5"/>
      <c r="N3101" s="5"/>
      <c r="R3101" s="5"/>
    </row>
    <row r="3102" spans="2:18" x14ac:dyDescent="0.2">
      <c r="B3102" s="5"/>
      <c r="F3102" s="5"/>
      <c r="J3102" s="5"/>
      <c r="N3102" s="5"/>
      <c r="R3102" s="5"/>
    </row>
    <row r="3103" spans="2:18" x14ac:dyDescent="0.2">
      <c r="B3103" s="5"/>
      <c r="F3103" s="5"/>
      <c r="J3103" s="5"/>
      <c r="N3103" s="5"/>
      <c r="R3103" s="5"/>
    </row>
    <row r="3104" spans="2:18" x14ac:dyDescent="0.2">
      <c r="B3104" s="5"/>
      <c r="F3104" s="5"/>
      <c r="J3104" s="5"/>
      <c r="N3104" s="5"/>
      <c r="R3104" s="5"/>
    </row>
    <row r="3105" spans="2:18" x14ac:dyDescent="0.2">
      <c r="B3105" s="5"/>
      <c r="F3105" s="5"/>
      <c r="J3105" s="5"/>
      <c r="N3105" s="5"/>
      <c r="R3105" s="5"/>
    </row>
    <row r="3106" spans="2:18" x14ac:dyDescent="0.2">
      <c r="B3106" s="5"/>
      <c r="F3106" s="5"/>
      <c r="J3106" s="5"/>
      <c r="N3106" s="5"/>
      <c r="R3106" s="5"/>
    </row>
    <row r="3107" spans="2:18" x14ac:dyDescent="0.2">
      <c r="B3107" s="5"/>
      <c r="F3107" s="5"/>
      <c r="J3107" s="5"/>
      <c r="N3107" s="5"/>
      <c r="R3107" s="5"/>
    </row>
    <row r="3108" spans="2:18" x14ac:dyDescent="0.2">
      <c r="B3108" s="5"/>
      <c r="F3108" s="5"/>
      <c r="J3108" s="5"/>
      <c r="N3108" s="5"/>
      <c r="R3108" s="5"/>
    </row>
    <row r="3109" spans="2:18" x14ac:dyDescent="0.2">
      <c r="B3109" s="5"/>
      <c r="F3109" s="5"/>
      <c r="J3109" s="5"/>
      <c r="N3109" s="5"/>
      <c r="R3109" s="5"/>
    </row>
    <row r="3110" spans="2:18" x14ac:dyDescent="0.2">
      <c r="B3110" s="5"/>
      <c r="F3110" s="5"/>
      <c r="J3110" s="5"/>
      <c r="N3110" s="5"/>
      <c r="R3110" s="5"/>
    </row>
    <row r="3111" spans="2:18" x14ac:dyDescent="0.2">
      <c r="B3111" s="5"/>
      <c r="F3111" s="5"/>
      <c r="J3111" s="5"/>
      <c r="N3111" s="5"/>
      <c r="R3111" s="5"/>
    </row>
    <row r="3112" spans="2:18" x14ac:dyDescent="0.2">
      <c r="B3112" s="5"/>
      <c r="F3112" s="5"/>
      <c r="J3112" s="5"/>
      <c r="N3112" s="5"/>
      <c r="R3112" s="5"/>
    </row>
    <row r="3113" spans="2:18" x14ac:dyDescent="0.2">
      <c r="B3113" s="5"/>
      <c r="F3113" s="5"/>
      <c r="J3113" s="5"/>
      <c r="N3113" s="5"/>
      <c r="R3113" s="5"/>
    </row>
    <row r="3114" spans="2:18" x14ac:dyDescent="0.2">
      <c r="B3114" s="5"/>
      <c r="F3114" s="5"/>
      <c r="J3114" s="5"/>
      <c r="N3114" s="5"/>
      <c r="R3114" s="5"/>
    </row>
    <row r="3115" spans="2:18" x14ac:dyDescent="0.2">
      <c r="B3115" s="5"/>
      <c r="F3115" s="5"/>
      <c r="J3115" s="5"/>
      <c r="N3115" s="5"/>
      <c r="R3115" s="5"/>
    </row>
    <row r="3116" spans="2:18" x14ac:dyDescent="0.2">
      <c r="B3116" s="5"/>
      <c r="F3116" s="5"/>
      <c r="J3116" s="5"/>
      <c r="N3116" s="5"/>
      <c r="R3116" s="5"/>
    </row>
    <row r="3117" spans="2:18" x14ac:dyDescent="0.2">
      <c r="B3117" s="5"/>
      <c r="F3117" s="5"/>
      <c r="J3117" s="5"/>
      <c r="N3117" s="5"/>
      <c r="R3117" s="5"/>
    </row>
    <row r="3118" spans="2:18" x14ac:dyDescent="0.2">
      <c r="B3118" s="5"/>
      <c r="F3118" s="5"/>
      <c r="J3118" s="5"/>
      <c r="N3118" s="5"/>
      <c r="R3118" s="5"/>
    </row>
    <row r="3119" spans="2:18" x14ac:dyDescent="0.2">
      <c r="B3119" s="5"/>
      <c r="F3119" s="5"/>
      <c r="J3119" s="5"/>
      <c r="N3119" s="5"/>
      <c r="R3119" s="5"/>
    </row>
    <row r="3120" spans="2:18" x14ac:dyDescent="0.2">
      <c r="B3120" s="5"/>
      <c r="F3120" s="5"/>
      <c r="J3120" s="5"/>
      <c r="N3120" s="5"/>
      <c r="R3120" s="5"/>
    </row>
    <row r="3121" spans="2:18" x14ac:dyDescent="0.2">
      <c r="B3121" s="5"/>
      <c r="F3121" s="5"/>
      <c r="J3121" s="5"/>
      <c r="N3121" s="5"/>
      <c r="R3121" s="5"/>
    </row>
    <row r="3122" spans="2:18" x14ac:dyDescent="0.2">
      <c r="B3122" s="5"/>
      <c r="F3122" s="5"/>
      <c r="J3122" s="5"/>
      <c r="N3122" s="5"/>
      <c r="R3122" s="5"/>
    </row>
    <row r="3123" spans="2:18" x14ac:dyDescent="0.2">
      <c r="B3123" s="5"/>
      <c r="F3123" s="5"/>
      <c r="J3123" s="5"/>
      <c r="N3123" s="5"/>
      <c r="R3123" s="5"/>
    </row>
    <row r="3124" spans="2:18" x14ac:dyDescent="0.2">
      <c r="B3124" s="5"/>
      <c r="F3124" s="5"/>
      <c r="J3124" s="5"/>
      <c r="N3124" s="5"/>
      <c r="R3124" s="5"/>
    </row>
    <row r="3125" spans="2:18" x14ac:dyDescent="0.2">
      <c r="B3125" s="5"/>
      <c r="F3125" s="5"/>
      <c r="J3125" s="5"/>
      <c r="N3125" s="5"/>
      <c r="R3125" s="5"/>
    </row>
    <row r="3126" spans="2:18" x14ac:dyDescent="0.2">
      <c r="B3126" s="5"/>
      <c r="F3126" s="5"/>
      <c r="J3126" s="5"/>
      <c r="N3126" s="5"/>
      <c r="R3126" s="5"/>
    </row>
    <row r="3127" spans="2:18" x14ac:dyDescent="0.2">
      <c r="B3127" s="5"/>
      <c r="F3127" s="5"/>
      <c r="J3127" s="5"/>
      <c r="N3127" s="5"/>
      <c r="R3127" s="5"/>
    </row>
    <row r="3128" spans="2:18" x14ac:dyDescent="0.2">
      <c r="B3128" s="5"/>
      <c r="F3128" s="5"/>
      <c r="J3128" s="5"/>
      <c r="N3128" s="5"/>
      <c r="R3128" s="5"/>
    </row>
    <row r="3129" spans="2:18" x14ac:dyDescent="0.2">
      <c r="B3129" s="5"/>
      <c r="F3129" s="5"/>
      <c r="J3129" s="5"/>
      <c r="N3129" s="5"/>
      <c r="R3129" s="5"/>
    </row>
    <row r="3130" spans="2:18" x14ac:dyDescent="0.2">
      <c r="B3130" s="5"/>
      <c r="F3130" s="5"/>
      <c r="J3130" s="5"/>
      <c r="N3130" s="5"/>
      <c r="R3130" s="5"/>
    </row>
    <row r="3131" spans="2:18" x14ac:dyDescent="0.2">
      <c r="B3131" s="5"/>
      <c r="F3131" s="5"/>
      <c r="J3131" s="5"/>
      <c r="N3131" s="5"/>
      <c r="R3131" s="5"/>
    </row>
    <row r="3132" spans="2:18" x14ac:dyDescent="0.2">
      <c r="B3132" s="5"/>
      <c r="F3132" s="5"/>
      <c r="J3132" s="5"/>
      <c r="N3132" s="5"/>
      <c r="R3132" s="5"/>
    </row>
    <row r="3133" spans="2:18" x14ac:dyDescent="0.2">
      <c r="B3133" s="5"/>
      <c r="F3133" s="5"/>
      <c r="J3133" s="5"/>
      <c r="N3133" s="5"/>
      <c r="R3133" s="5"/>
    </row>
    <row r="3134" spans="2:18" x14ac:dyDescent="0.2">
      <c r="B3134" s="5"/>
      <c r="F3134" s="5"/>
      <c r="J3134" s="5"/>
      <c r="N3134" s="5"/>
      <c r="R3134" s="5"/>
    </row>
    <row r="3135" spans="2:18" x14ac:dyDescent="0.2">
      <c r="B3135" s="5"/>
      <c r="F3135" s="5"/>
      <c r="J3135" s="5"/>
      <c r="N3135" s="5"/>
      <c r="R3135" s="5"/>
    </row>
    <row r="3136" spans="2:18" x14ac:dyDescent="0.2">
      <c r="B3136" s="5"/>
      <c r="F3136" s="5"/>
      <c r="J3136" s="5"/>
      <c r="N3136" s="5"/>
      <c r="R3136" s="5"/>
    </row>
    <row r="3137" spans="2:18" x14ac:dyDescent="0.2">
      <c r="B3137" s="5"/>
      <c r="F3137" s="5"/>
      <c r="J3137" s="5"/>
      <c r="N3137" s="5"/>
      <c r="R3137" s="5"/>
    </row>
    <row r="3138" spans="2:18" x14ac:dyDescent="0.2">
      <c r="B3138" s="5"/>
      <c r="F3138" s="5"/>
      <c r="J3138" s="5"/>
      <c r="N3138" s="5"/>
      <c r="R3138" s="5"/>
    </row>
    <row r="3139" spans="2:18" x14ac:dyDescent="0.2">
      <c r="B3139" s="5"/>
      <c r="F3139" s="5"/>
      <c r="J3139" s="5"/>
      <c r="N3139" s="5"/>
      <c r="R3139" s="5"/>
    </row>
    <row r="3140" spans="2:18" x14ac:dyDescent="0.2">
      <c r="B3140" s="5"/>
      <c r="F3140" s="5"/>
      <c r="J3140" s="5"/>
      <c r="N3140" s="5"/>
      <c r="R3140" s="5"/>
    </row>
    <row r="3141" spans="2:18" x14ac:dyDescent="0.2">
      <c r="B3141" s="5"/>
      <c r="F3141" s="5"/>
      <c r="J3141" s="5"/>
      <c r="N3141" s="5"/>
      <c r="R3141" s="5"/>
    </row>
    <row r="3142" spans="2:18" x14ac:dyDescent="0.2">
      <c r="B3142" s="5"/>
      <c r="F3142" s="5"/>
      <c r="J3142" s="5"/>
      <c r="N3142" s="5"/>
      <c r="R3142" s="5"/>
    </row>
    <row r="3143" spans="2:18" x14ac:dyDescent="0.2">
      <c r="B3143" s="5"/>
      <c r="F3143" s="5"/>
      <c r="J3143" s="5"/>
      <c r="N3143" s="5"/>
      <c r="R3143" s="5"/>
    </row>
    <row r="3144" spans="2:18" x14ac:dyDescent="0.2">
      <c r="B3144" s="5"/>
      <c r="F3144" s="5"/>
      <c r="J3144" s="5"/>
      <c r="N3144" s="5"/>
      <c r="R3144" s="5"/>
    </row>
    <row r="3145" spans="2:18" x14ac:dyDescent="0.2">
      <c r="B3145" s="5"/>
      <c r="F3145" s="5"/>
      <c r="J3145" s="5"/>
      <c r="N3145" s="5"/>
      <c r="R3145" s="5"/>
    </row>
    <row r="3146" spans="2:18" x14ac:dyDescent="0.2">
      <c r="B3146" s="5"/>
      <c r="F3146" s="5"/>
      <c r="J3146" s="5"/>
      <c r="N3146" s="5"/>
      <c r="R3146" s="5"/>
    </row>
    <row r="3147" spans="2:18" x14ac:dyDescent="0.2">
      <c r="B3147" s="5"/>
      <c r="F3147" s="5"/>
      <c r="J3147" s="5"/>
      <c r="N3147" s="5"/>
      <c r="R3147" s="5"/>
    </row>
    <row r="3148" spans="2:18" x14ac:dyDescent="0.2">
      <c r="B3148" s="5"/>
      <c r="F3148" s="5"/>
      <c r="J3148" s="5"/>
      <c r="N3148" s="5"/>
      <c r="R3148" s="5"/>
    </row>
    <row r="3149" spans="2:18" x14ac:dyDescent="0.2">
      <c r="B3149" s="5"/>
      <c r="F3149" s="5"/>
      <c r="J3149" s="5"/>
      <c r="N3149" s="5"/>
      <c r="R3149" s="5"/>
    </row>
    <row r="3150" spans="2:18" x14ac:dyDescent="0.2">
      <c r="B3150" s="5"/>
      <c r="F3150" s="5"/>
      <c r="J3150" s="5"/>
      <c r="N3150" s="5"/>
      <c r="R3150" s="5"/>
    </row>
    <row r="3151" spans="2:18" x14ac:dyDescent="0.2">
      <c r="B3151" s="5"/>
      <c r="F3151" s="5"/>
      <c r="J3151" s="5"/>
      <c r="N3151" s="5"/>
      <c r="R3151" s="5"/>
    </row>
    <row r="3152" spans="2:18" x14ac:dyDescent="0.2">
      <c r="B3152" s="5"/>
      <c r="F3152" s="5"/>
      <c r="J3152" s="5"/>
      <c r="N3152" s="5"/>
      <c r="R3152" s="5"/>
    </row>
    <row r="3153" spans="2:18" x14ac:dyDescent="0.2">
      <c r="B3153" s="5"/>
      <c r="F3153" s="5"/>
      <c r="J3153" s="5"/>
      <c r="N3153" s="5"/>
      <c r="R3153" s="5"/>
    </row>
    <row r="3154" spans="2:18" x14ac:dyDescent="0.2">
      <c r="B3154" s="5"/>
      <c r="F3154" s="5"/>
      <c r="J3154" s="5"/>
      <c r="N3154" s="5"/>
      <c r="R3154" s="5"/>
    </row>
    <row r="3155" spans="2:18" x14ac:dyDescent="0.2">
      <c r="B3155" s="5"/>
      <c r="F3155" s="5"/>
      <c r="J3155" s="5"/>
      <c r="N3155" s="5"/>
      <c r="R3155" s="5"/>
    </row>
    <row r="3156" spans="2:18" x14ac:dyDescent="0.2">
      <c r="B3156" s="5"/>
      <c r="F3156" s="5"/>
      <c r="J3156" s="5"/>
      <c r="N3156" s="5"/>
      <c r="R3156" s="5"/>
    </row>
    <row r="3157" spans="2:18" x14ac:dyDescent="0.2">
      <c r="B3157" s="5"/>
      <c r="F3157" s="5"/>
      <c r="J3157" s="5"/>
      <c r="N3157" s="5"/>
      <c r="R3157" s="5"/>
    </row>
    <row r="3158" spans="2:18" x14ac:dyDescent="0.2">
      <c r="B3158" s="5"/>
      <c r="F3158" s="5"/>
      <c r="J3158" s="5"/>
      <c r="N3158" s="5"/>
      <c r="R3158" s="5"/>
    </row>
    <row r="3159" spans="2:18" x14ac:dyDescent="0.2">
      <c r="B3159" s="5"/>
      <c r="F3159" s="5"/>
      <c r="J3159" s="5"/>
      <c r="N3159" s="5"/>
      <c r="R3159" s="5"/>
    </row>
    <row r="3160" spans="2:18" x14ac:dyDescent="0.2">
      <c r="B3160" s="5"/>
      <c r="F3160" s="5"/>
      <c r="J3160" s="5"/>
      <c r="N3160" s="5"/>
      <c r="R3160" s="5"/>
    </row>
    <row r="3161" spans="2:18" x14ac:dyDescent="0.2">
      <c r="B3161" s="5"/>
      <c r="F3161" s="5"/>
      <c r="J3161" s="5"/>
      <c r="N3161" s="5"/>
      <c r="R3161" s="5"/>
    </row>
    <row r="3162" spans="2:18" x14ac:dyDescent="0.2">
      <c r="B3162" s="5"/>
      <c r="F3162" s="5"/>
      <c r="J3162" s="5"/>
      <c r="N3162" s="5"/>
      <c r="R3162" s="5"/>
    </row>
    <row r="3163" spans="2:18" x14ac:dyDescent="0.2">
      <c r="B3163" s="5"/>
      <c r="F3163" s="5"/>
      <c r="J3163" s="5"/>
      <c r="N3163" s="5"/>
      <c r="R3163" s="5"/>
    </row>
    <row r="3164" spans="2:18" x14ac:dyDescent="0.2">
      <c r="B3164" s="5"/>
      <c r="F3164" s="5"/>
      <c r="J3164" s="5"/>
      <c r="N3164" s="5"/>
      <c r="R3164" s="5"/>
    </row>
    <row r="3165" spans="2:18" x14ac:dyDescent="0.2">
      <c r="B3165" s="5"/>
      <c r="F3165" s="5"/>
      <c r="J3165" s="5"/>
      <c r="N3165" s="5"/>
      <c r="R3165" s="5"/>
    </row>
    <row r="3166" spans="2:18" x14ac:dyDescent="0.2">
      <c r="B3166" s="5"/>
      <c r="F3166" s="5"/>
      <c r="J3166" s="5"/>
      <c r="N3166" s="5"/>
      <c r="R3166" s="5"/>
    </row>
    <row r="3167" spans="2:18" x14ac:dyDescent="0.2">
      <c r="B3167" s="5"/>
      <c r="F3167" s="5"/>
      <c r="J3167" s="5"/>
      <c r="N3167" s="5"/>
      <c r="R3167" s="5"/>
    </row>
    <row r="3168" spans="2:18" x14ac:dyDescent="0.2">
      <c r="B3168" s="5"/>
      <c r="F3168" s="5"/>
      <c r="J3168" s="5"/>
      <c r="N3168" s="5"/>
      <c r="R3168" s="5"/>
    </row>
    <row r="3169" spans="2:18" x14ac:dyDescent="0.2">
      <c r="B3169" s="5"/>
      <c r="F3169" s="5"/>
      <c r="J3169" s="5"/>
      <c r="N3169" s="5"/>
      <c r="R3169" s="5"/>
    </row>
    <row r="3170" spans="2:18" x14ac:dyDescent="0.2">
      <c r="B3170" s="5"/>
      <c r="F3170" s="5"/>
      <c r="J3170" s="5"/>
      <c r="N3170" s="5"/>
      <c r="R3170" s="5"/>
    </row>
    <row r="3171" spans="2:18" x14ac:dyDescent="0.2">
      <c r="B3171" s="5"/>
      <c r="F3171" s="5"/>
      <c r="J3171" s="5"/>
      <c r="N3171" s="5"/>
      <c r="R3171" s="5"/>
    </row>
    <row r="3172" spans="2:18" x14ac:dyDescent="0.2">
      <c r="B3172" s="5"/>
      <c r="F3172" s="5"/>
      <c r="J3172" s="5"/>
      <c r="N3172" s="5"/>
      <c r="R3172" s="5"/>
    </row>
    <row r="3173" spans="2:18" x14ac:dyDescent="0.2">
      <c r="B3173" s="5"/>
      <c r="F3173" s="5"/>
      <c r="J3173" s="5"/>
      <c r="N3173" s="5"/>
      <c r="R3173" s="5"/>
    </row>
    <row r="3174" spans="2:18" x14ac:dyDescent="0.2">
      <c r="B3174" s="5"/>
      <c r="F3174" s="5"/>
      <c r="J3174" s="5"/>
      <c r="N3174" s="5"/>
      <c r="R3174" s="5"/>
    </row>
    <row r="3175" spans="2:18" x14ac:dyDescent="0.2">
      <c r="B3175" s="5"/>
      <c r="F3175" s="5"/>
      <c r="J3175" s="5"/>
      <c r="N3175" s="5"/>
      <c r="R3175" s="5"/>
    </row>
    <row r="3176" spans="2:18" x14ac:dyDescent="0.2">
      <c r="B3176" s="5"/>
      <c r="F3176" s="5"/>
      <c r="J3176" s="5"/>
      <c r="N3176" s="5"/>
      <c r="R3176" s="5"/>
    </row>
    <row r="3177" spans="2:18" x14ac:dyDescent="0.2">
      <c r="B3177" s="5"/>
      <c r="F3177" s="5"/>
      <c r="J3177" s="5"/>
      <c r="N3177" s="5"/>
      <c r="R3177" s="5"/>
    </row>
    <row r="3178" spans="2:18" x14ac:dyDescent="0.2">
      <c r="B3178" s="5"/>
      <c r="F3178" s="5"/>
      <c r="J3178" s="5"/>
      <c r="N3178" s="5"/>
      <c r="R3178" s="5"/>
    </row>
    <row r="3179" spans="2:18" x14ac:dyDescent="0.2">
      <c r="B3179" s="5"/>
      <c r="F3179" s="5"/>
      <c r="J3179" s="5"/>
      <c r="N3179" s="5"/>
      <c r="R3179" s="5"/>
    </row>
    <row r="3180" spans="2:18" x14ac:dyDescent="0.2">
      <c r="B3180" s="5"/>
      <c r="F3180" s="5"/>
      <c r="J3180" s="5"/>
      <c r="N3180" s="5"/>
      <c r="R3180" s="5"/>
    </row>
    <row r="3181" spans="2:18" x14ac:dyDescent="0.2">
      <c r="B3181" s="5"/>
      <c r="F3181" s="5"/>
      <c r="J3181" s="5"/>
      <c r="N3181" s="5"/>
      <c r="R3181" s="5"/>
    </row>
    <row r="3182" spans="2:18" x14ac:dyDescent="0.2">
      <c r="B3182" s="5"/>
      <c r="F3182" s="5"/>
      <c r="J3182" s="5"/>
      <c r="N3182" s="5"/>
      <c r="R3182" s="5"/>
    </row>
    <row r="3183" spans="2:18" x14ac:dyDescent="0.2">
      <c r="B3183" s="5"/>
      <c r="F3183" s="5"/>
      <c r="J3183" s="5"/>
      <c r="N3183" s="5"/>
      <c r="R3183" s="5"/>
    </row>
    <row r="3184" spans="2:18" x14ac:dyDescent="0.2">
      <c r="B3184" s="5"/>
      <c r="F3184" s="5"/>
      <c r="J3184" s="5"/>
      <c r="N3184" s="5"/>
      <c r="R3184" s="5"/>
    </row>
    <row r="3185" spans="2:18" x14ac:dyDescent="0.2">
      <c r="B3185" s="5"/>
      <c r="F3185" s="5"/>
      <c r="J3185" s="5"/>
      <c r="N3185" s="5"/>
      <c r="R3185" s="5"/>
    </row>
    <row r="3186" spans="2:18" x14ac:dyDescent="0.2">
      <c r="B3186" s="5"/>
      <c r="F3186" s="5"/>
      <c r="J3186" s="5"/>
      <c r="N3186" s="5"/>
      <c r="R3186" s="5"/>
    </row>
    <row r="3187" spans="2:18" x14ac:dyDescent="0.2">
      <c r="B3187" s="5"/>
      <c r="F3187" s="5"/>
      <c r="J3187" s="5"/>
      <c r="N3187" s="5"/>
      <c r="R3187" s="5"/>
    </row>
    <row r="3188" spans="2:18" x14ac:dyDescent="0.2">
      <c r="B3188" s="5"/>
      <c r="F3188" s="5"/>
      <c r="J3188" s="5"/>
      <c r="N3188" s="5"/>
      <c r="R3188" s="5"/>
    </row>
    <row r="3189" spans="2:18" x14ac:dyDescent="0.2">
      <c r="B3189" s="5"/>
      <c r="F3189" s="5"/>
      <c r="J3189" s="5"/>
      <c r="N3189" s="5"/>
      <c r="R3189" s="5"/>
    </row>
    <row r="3190" spans="2:18" x14ac:dyDescent="0.2">
      <c r="B3190" s="5"/>
      <c r="F3190" s="5"/>
      <c r="J3190" s="5"/>
      <c r="N3190" s="5"/>
      <c r="R3190" s="5"/>
    </row>
    <row r="3191" spans="2:18" x14ac:dyDescent="0.2">
      <c r="B3191" s="5"/>
      <c r="F3191" s="5"/>
      <c r="J3191" s="5"/>
      <c r="N3191" s="5"/>
      <c r="R3191" s="5"/>
    </row>
    <row r="3192" spans="2:18" x14ac:dyDescent="0.2">
      <c r="B3192" s="5"/>
      <c r="F3192" s="5"/>
      <c r="J3192" s="5"/>
      <c r="N3192" s="5"/>
      <c r="R3192" s="5"/>
    </row>
    <row r="3193" spans="2:18" x14ac:dyDescent="0.2">
      <c r="B3193" s="5"/>
      <c r="F3193" s="5"/>
      <c r="J3193" s="5"/>
      <c r="N3193" s="5"/>
      <c r="R3193" s="5"/>
    </row>
    <row r="3194" spans="2:18" x14ac:dyDescent="0.2">
      <c r="B3194" s="5"/>
      <c r="F3194" s="5"/>
      <c r="J3194" s="5"/>
      <c r="N3194" s="5"/>
      <c r="R3194" s="5"/>
    </row>
    <row r="3195" spans="2:18" x14ac:dyDescent="0.2">
      <c r="B3195" s="5"/>
      <c r="F3195" s="5"/>
      <c r="J3195" s="5"/>
      <c r="N3195" s="5"/>
      <c r="R3195" s="5"/>
    </row>
    <row r="3196" spans="2:18" x14ac:dyDescent="0.2">
      <c r="B3196" s="5"/>
      <c r="F3196" s="5"/>
      <c r="J3196" s="5"/>
      <c r="N3196" s="5"/>
      <c r="R3196" s="5"/>
    </row>
    <row r="3197" spans="2:18" x14ac:dyDescent="0.2">
      <c r="B3197" s="5"/>
      <c r="F3197" s="5"/>
      <c r="J3197" s="5"/>
      <c r="N3197" s="5"/>
      <c r="R3197" s="5"/>
    </row>
    <row r="3198" spans="2:18" x14ac:dyDescent="0.2">
      <c r="B3198" s="5"/>
      <c r="F3198" s="5"/>
      <c r="J3198" s="5"/>
      <c r="N3198" s="5"/>
      <c r="R3198" s="5"/>
    </row>
    <row r="3199" spans="2:18" x14ac:dyDescent="0.2">
      <c r="B3199" s="5"/>
      <c r="F3199" s="5"/>
      <c r="J3199" s="5"/>
      <c r="N3199" s="5"/>
      <c r="R3199" s="5"/>
    </row>
    <row r="3200" spans="2:18" x14ac:dyDescent="0.2">
      <c r="B3200" s="5"/>
      <c r="F3200" s="5"/>
      <c r="J3200" s="5"/>
      <c r="N3200" s="5"/>
      <c r="R3200" s="5"/>
    </row>
    <row r="3201" spans="2:18" x14ac:dyDescent="0.2">
      <c r="B3201" s="5"/>
      <c r="F3201" s="5"/>
      <c r="J3201" s="5"/>
      <c r="N3201" s="5"/>
      <c r="R3201" s="5"/>
    </row>
    <row r="3202" spans="2:18" x14ac:dyDescent="0.2">
      <c r="B3202" s="5"/>
      <c r="F3202" s="5"/>
      <c r="J3202" s="5"/>
      <c r="N3202" s="5"/>
      <c r="R3202" s="5"/>
    </row>
    <row r="3203" spans="2:18" x14ac:dyDescent="0.2">
      <c r="B3203" s="5"/>
      <c r="F3203" s="5"/>
      <c r="J3203" s="5"/>
      <c r="N3203" s="5"/>
      <c r="R3203" s="5"/>
    </row>
    <row r="3204" spans="2:18" x14ac:dyDescent="0.2">
      <c r="B3204" s="5"/>
      <c r="F3204" s="5"/>
      <c r="J3204" s="5"/>
      <c r="N3204" s="5"/>
      <c r="R3204" s="5"/>
    </row>
    <row r="3205" spans="2:18" x14ac:dyDescent="0.2">
      <c r="B3205" s="5"/>
      <c r="F3205" s="5"/>
      <c r="J3205" s="5"/>
      <c r="N3205" s="5"/>
      <c r="R3205" s="5"/>
    </row>
    <row r="3206" spans="2:18" x14ac:dyDescent="0.2">
      <c r="B3206" s="5"/>
      <c r="F3206" s="5"/>
      <c r="J3206" s="5"/>
      <c r="N3206" s="5"/>
      <c r="R3206" s="5"/>
    </row>
    <row r="3207" spans="2:18" x14ac:dyDescent="0.2">
      <c r="B3207" s="5"/>
      <c r="F3207" s="5"/>
      <c r="J3207" s="5"/>
      <c r="N3207" s="5"/>
      <c r="R3207" s="5"/>
    </row>
    <row r="3208" spans="2:18" x14ac:dyDescent="0.2">
      <c r="B3208" s="5"/>
      <c r="F3208" s="5"/>
      <c r="J3208" s="5"/>
      <c r="N3208" s="5"/>
      <c r="R3208" s="5"/>
    </row>
    <row r="3209" spans="2:18" x14ac:dyDescent="0.2">
      <c r="B3209" s="5"/>
      <c r="F3209" s="5"/>
      <c r="J3209" s="5"/>
      <c r="N3209" s="5"/>
      <c r="R3209" s="5"/>
    </row>
    <row r="3210" spans="2:18" x14ac:dyDescent="0.2">
      <c r="B3210" s="5"/>
      <c r="F3210" s="5"/>
      <c r="J3210" s="5"/>
      <c r="N3210" s="5"/>
      <c r="R3210" s="5"/>
    </row>
    <row r="3211" spans="2:18" x14ac:dyDescent="0.2">
      <c r="B3211" s="5"/>
      <c r="F3211" s="5"/>
      <c r="J3211" s="5"/>
      <c r="N3211" s="5"/>
      <c r="R3211" s="5"/>
    </row>
    <row r="3212" spans="2:18" x14ac:dyDescent="0.2">
      <c r="B3212" s="5"/>
      <c r="F3212" s="5"/>
      <c r="J3212" s="5"/>
      <c r="N3212" s="5"/>
      <c r="R3212" s="5"/>
    </row>
    <row r="3213" spans="2:18" x14ac:dyDescent="0.2">
      <c r="B3213" s="5"/>
      <c r="F3213" s="5"/>
      <c r="J3213" s="5"/>
      <c r="N3213" s="5"/>
      <c r="R3213" s="5"/>
    </row>
    <row r="3214" spans="2:18" x14ac:dyDescent="0.2">
      <c r="B3214" s="5"/>
      <c r="F3214" s="5"/>
      <c r="J3214" s="5"/>
      <c r="N3214" s="5"/>
      <c r="R3214" s="5"/>
    </row>
    <row r="3215" spans="2:18" x14ac:dyDescent="0.2">
      <c r="B3215" s="5"/>
      <c r="F3215" s="5"/>
      <c r="J3215" s="5"/>
      <c r="N3215" s="5"/>
      <c r="R3215" s="5"/>
    </row>
    <row r="3216" spans="2:18" x14ac:dyDescent="0.2">
      <c r="B3216" s="5"/>
      <c r="F3216" s="5"/>
      <c r="J3216" s="5"/>
      <c r="N3216" s="5"/>
      <c r="R3216" s="5"/>
    </row>
    <row r="3217" spans="2:18" x14ac:dyDescent="0.2">
      <c r="B3217" s="5"/>
      <c r="F3217" s="5"/>
      <c r="J3217" s="5"/>
      <c r="N3217" s="5"/>
      <c r="R3217" s="5"/>
    </row>
    <row r="3218" spans="2:18" x14ac:dyDescent="0.2">
      <c r="B3218" s="5"/>
      <c r="F3218" s="5"/>
      <c r="J3218" s="5"/>
      <c r="N3218" s="5"/>
      <c r="R3218" s="5"/>
    </row>
    <row r="3219" spans="2:18" x14ac:dyDescent="0.2">
      <c r="B3219" s="5"/>
      <c r="F3219" s="5"/>
      <c r="J3219" s="5"/>
      <c r="N3219" s="5"/>
      <c r="R3219" s="5"/>
    </row>
    <row r="3220" spans="2:18" x14ac:dyDescent="0.2">
      <c r="B3220" s="5"/>
      <c r="F3220" s="5"/>
      <c r="J3220" s="5"/>
      <c r="N3220" s="5"/>
      <c r="R3220" s="5"/>
    </row>
    <row r="3221" spans="2:18" x14ac:dyDescent="0.2">
      <c r="B3221" s="5"/>
      <c r="F3221" s="5"/>
      <c r="J3221" s="5"/>
      <c r="N3221" s="5"/>
      <c r="R3221" s="5"/>
    </row>
    <row r="3222" spans="2:18" x14ac:dyDescent="0.2">
      <c r="B3222" s="5"/>
      <c r="F3222" s="5"/>
      <c r="J3222" s="5"/>
      <c r="N3222" s="5"/>
      <c r="R3222" s="5"/>
    </row>
    <row r="3223" spans="2:18" x14ac:dyDescent="0.2">
      <c r="B3223" s="5"/>
      <c r="F3223" s="5"/>
      <c r="J3223" s="5"/>
      <c r="N3223" s="5"/>
      <c r="R3223" s="5"/>
    </row>
    <row r="3224" spans="2:18" x14ac:dyDescent="0.2">
      <c r="B3224" s="5"/>
      <c r="F3224" s="5"/>
      <c r="J3224" s="5"/>
      <c r="N3224" s="5"/>
      <c r="R3224" s="5"/>
    </row>
    <row r="3225" spans="2:18" x14ac:dyDescent="0.2">
      <c r="B3225" s="5"/>
      <c r="F3225" s="5"/>
      <c r="J3225" s="5"/>
      <c r="N3225" s="5"/>
      <c r="R3225" s="5"/>
    </row>
    <row r="3226" spans="2:18" x14ac:dyDescent="0.2">
      <c r="B3226" s="5"/>
      <c r="F3226" s="5"/>
      <c r="J3226" s="5"/>
      <c r="N3226" s="5"/>
      <c r="R3226" s="5"/>
    </row>
    <row r="3227" spans="2:18" x14ac:dyDescent="0.2">
      <c r="B3227" s="5"/>
      <c r="F3227" s="5"/>
      <c r="J3227" s="5"/>
      <c r="N3227" s="5"/>
      <c r="R3227" s="5"/>
    </row>
    <row r="3228" spans="2:18" x14ac:dyDescent="0.2">
      <c r="B3228" s="5"/>
      <c r="F3228" s="5"/>
      <c r="J3228" s="5"/>
      <c r="N3228" s="5"/>
      <c r="R3228" s="5"/>
    </row>
    <row r="3229" spans="2:18" x14ac:dyDescent="0.2">
      <c r="B3229" s="5"/>
      <c r="F3229" s="5"/>
      <c r="J3229" s="5"/>
      <c r="N3229" s="5"/>
      <c r="R3229" s="5"/>
    </row>
    <row r="3230" spans="2:18" x14ac:dyDescent="0.2">
      <c r="B3230" s="5"/>
      <c r="F3230" s="5"/>
      <c r="J3230" s="5"/>
      <c r="N3230" s="5"/>
      <c r="R3230" s="5"/>
    </row>
    <row r="3231" spans="2:18" x14ac:dyDescent="0.2">
      <c r="B3231" s="5"/>
      <c r="F3231" s="5"/>
      <c r="J3231" s="5"/>
      <c r="N3231" s="5"/>
      <c r="R3231" s="5"/>
    </row>
    <row r="3232" spans="2:18" x14ac:dyDescent="0.2">
      <c r="B3232" s="5"/>
      <c r="F3232" s="5"/>
      <c r="J3232" s="5"/>
      <c r="N3232" s="5"/>
      <c r="R3232" s="5"/>
    </row>
    <row r="3233" spans="2:18" x14ac:dyDescent="0.2">
      <c r="B3233" s="5"/>
      <c r="F3233" s="5"/>
      <c r="J3233" s="5"/>
      <c r="N3233" s="5"/>
      <c r="R3233" s="5"/>
    </row>
    <row r="3234" spans="2:18" x14ac:dyDescent="0.2">
      <c r="B3234" s="5"/>
      <c r="F3234" s="5"/>
      <c r="J3234" s="5"/>
      <c r="N3234" s="5"/>
      <c r="R3234" s="5"/>
    </row>
    <row r="3235" spans="2:18" x14ac:dyDescent="0.2">
      <c r="B3235" s="5"/>
      <c r="F3235" s="5"/>
      <c r="J3235" s="5"/>
      <c r="N3235" s="5"/>
      <c r="R3235" s="5"/>
    </row>
    <row r="3236" spans="2:18" x14ac:dyDescent="0.2">
      <c r="B3236" s="5"/>
      <c r="F3236" s="5"/>
      <c r="J3236" s="5"/>
      <c r="N3236" s="5"/>
      <c r="R3236" s="5"/>
    </row>
    <row r="3237" spans="2:18" x14ac:dyDescent="0.2">
      <c r="B3237" s="5"/>
      <c r="F3237" s="5"/>
      <c r="J3237" s="5"/>
      <c r="N3237" s="5"/>
      <c r="R3237" s="5"/>
    </row>
    <row r="3238" spans="2:18" x14ac:dyDescent="0.2">
      <c r="B3238" s="5"/>
      <c r="F3238" s="5"/>
      <c r="J3238" s="5"/>
      <c r="N3238" s="5"/>
      <c r="R3238" s="5"/>
    </row>
    <row r="3239" spans="2:18" x14ac:dyDescent="0.2">
      <c r="B3239" s="5"/>
      <c r="F3239" s="5"/>
      <c r="J3239" s="5"/>
      <c r="N3239" s="5"/>
      <c r="R3239" s="5"/>
    </row>
    <row r="3240" spans="2:18" x14ac:dyDescent="0.2">
      <c r="B3240" s="5"/>
      <c r="F3240" s="5"/>
      <c r="J3240" s="5"/>
      <c r="N3240" s="5"/>
      <c r="R3240" s="5"/>
    </row>
    <row r="3241" spans="2:18" x14ac:dyDescent="0.2">
      <c r="B3241" s="5"/>
      <c r="F3241" s="5"/>
      <c r="J3241" s="5"/>
      <c r="N3241" s="5"/>
      <c r="R3241" s="5"/>
    </row>
    <row r="3242" spans="2:18" x14ac:dyDescent="0.2">
      <c r="B3242" s="5"/>
      <c r="F3242" s="5"/>
      <c r="J3242" s="5"/>
      <c r="N3242" s="5"/>
      <c r="R3242" s="5"/>
    </row>
    <row r="3243" spans="2:18" x14ac:dyDescent="0.2">
      <c r="B3243" s="5"/>
      <c r="F3243" s="5"/>
      <c r="J3243" s="5"/>
      <c r="N3243" s="5"/>
      <c r="R3243" s="5"/>
    </row>
    <row r="3244" spans="2:18" x14ac:dyDescent="0.2">
      <c r="B3244" s="5"/>
      <c r="F3244" s="5"/>
      <c r="J3244" s="5"/>
      <c r="N3244" s="5"/>
      <c r="R3244" s="5"/>
    </row>
    <row r="3245" spans="2:18" x14ac:dyDescent="0.2">
      <c r="B3245" s="5"/>
      <c r="F3245" s="5"/>
      <c r="J3245" s="5"/>
      <c r="N3245" s="5"/>
      <c r="R3245" s="5"/>
    </row>
    <row r="3246" spans="2:18" x14ac:dyDescent="0.2">
      <c r="B3246" s="5"/>
      <c r="F3246" s="5"/>
      <c r="J3246" s="5"/>
      <c r="N3246" s="5"/>
      <c r="R3246" s="5"/>
    </row>
    <row r="3247" spans="2:18" x14ac:dyDescent="0.2">
      <c r="B3247" s="5"/>
      <c r="F3247" s="5"/>
      <c r="J3247" s="5"/>
      <c r="N3247" s="5"/>
      <c r="R3247" s="5"/>
    </row>
    <row r="3248" spans="2:18" x14ac:dyDescent="0.2">
      <c r="B3248" s="5"/>
      <c r="F3248" s="5"/>
      <c r="J3248" s="5"/>
      <c r="N3248" s="5"/>
      <c r="R3248" s="5"/>
    </row>
    <row r="3249" spans="2:18" x14ac:dyDescent="0.2">
      <c r="B3249" s="5"/>
      <c r="F3249" s="5"/>
      <c r="J3249" s="5"/>
      <c r="N3249" s="5"/>
      <c r="R3249" s="5"/>
    </row>
    <row r="3250" spans="2:18" x14ac:dyDescent="0.2">
      <c r="B3250" s="5"/>
      <c r="F3250" s="5"/>
      <c r="J3250" s="5"/>
      <c r="N3250" s="5"/>
      <c r="R3250" s="5"/>
    </row>
    <row r="3251" spans="2:18" x14ac:dyDescent="0.2">
      <c r="B3251" s="5"/>
      <c r="F3251" s="5"/>
      <c r="J3251" s="5"/>
      <c r="N3251" s="5"/>
      <c r="R3251" s="5"/>
    </row>
    <row r="3252" spans="2:18" x14ac:dyDescent="0.2">
      <c r="B3252" s="5"/>
      <c r="F3252" s="5"/>
      <c r="J3252" s="5"/>
      <c r="N3252" s="5"/>
      <c r="R3252" s="5"/>
    </row>
    <row r="3253" spans="2:18" x14ac:dyDescent="0.2">
      <c r="B3253" s="5"/>
      <c r="F3253" s="5"/>
      <c r="J3253" s="5"/>
      <c r="N3253" s="5"/>
      <c r="R3253" s="5"/>
    </row>
    <row r="3254" spans="2:18" x14ac:dyDescent="0.2">
      <c r="B3254" s="5"/>
      <c r="F3254" s="5"/>
      <c r="J3254" s="5"/>
      <c r="N3254" s="5"/>
      <c r="R3254" s="5"/>
    </row>
    <row r="3255" spans="2:18" x14ac:dyDescent="0.2">
      <c r="B3255" s="5"/>
      <c r="F3255" s="5"/>
      <c r="J3255" s="5"/>
      <c r="N3255" s="5"/>
      <c r="R3255" s="5"/>
    </row>
    <row r="3256" spans="2:18" x14ac:dyDescent="0.2">
      <c r="B3256" s="5"/>
      <c r="F3256" s="5"/>
      <c r="J3256" s="5"/>
      <c r="N3256" s="5"/>
      <c r="R3256" s="5"/>
    </row>
    <row r="3257" spans="2:18" x14ac:dyDescent="0.2">
      <c r="B3257" s="5"/>
      <c r="F3257" s="5"/>
      <c r="J3257" s="5"/>
      <c r="N3257" s="5"/>
      <c r="R3257" s="5"/>
    </row>
    <row r="3258" spans="2:18" x14ac:dyDescent="0.2">
      <c r="B3258" s="5"/>
      <c r="F3258" s="5"/>
      <c r="J3258" s="5"/>
      <c r="N3258" s="5"/>
      <c r="R3258" s="5"/>
    </row>
    <row r="3259" spans="2:18" x14ac:dyDescent="0.2">
      <c r="B3259" s="5"/>
      <c r="F3259" s="5"/>
      <c r="J3259" s="5"/>
      <c r="N3259" s="5"/>
      <c r="R3259" s="5"/>
    </row>
    <row r="3260" spans="2:18" x14ac:dyDescent="0.2">
      <c r="B3260" s="5"/>
      <c r="F3260" s="5"/>
      <c r="J3260" s="5"/>
      <c r="N3260" s="5"/>
      <c r="R3260" s="5"/>
    </row>
    <row r="3261" spans="2:18" x14ac:dyDescent="0.2">
      <c r="B3261" s="5"/>
      <c r="F3261" s="5"/>
      <c r="J3261" s="5"/>
      <c r="N3261" s="5"/>
      <c r="R3261" s="5"/>
    </row>
    <row r="3262" spans="2:18" x14ac:dyDescent="0.2">
      <c r="B3262" s="5"/>
      <c r="F3262" s="5"/>
      <c r="J3262" s="5"/>
      <c r="N3262" s="5"/>
      <c r="R3262" s="5"/>
    </row>
    <row r="3263" spans="2:18" x14ac:dyDescent="0.2">
      <c r="B3263" s="5"/>
      <c r="F3263" s="5"/>
      <c r="J3263" s="5"/>
      <c r="N3263" s="5"/>
      <c r="R3263" s="5"/>
    </row>
    <row r="3264" spans="2:18" x14ac:dyDescent="0.2">
      <c r="B3264" s="5"/>
      <c r="F3264" s="5"/>
      <c r="J3264" s="5"/>
      <c r="N3264" s="5"/>
      <c r="R3264" s="5"/>
    </row>
    <row r="3265" spans="2:18" x14ac:dyDescent="0.2">
      <c r="B3265" s="5"/>
      <c r="F3265" s="5"/>
      <c r="J3265" s="5"/>
      <c r="N3265" s="5"/>
      <c r="R3265" s="5"/>
    </row>
    <row r="3266" spans="2:18" x14ac:dyDescent="0.2">
      <c r="B3266" s="5"/>
      <c r="F3266" s="5"/>
      <c r="J3266" s="5"/>
      <c r="N3266" s="5"/>
      <c r="R3266" s="5"/>
    </row>
    <row r="3267" spans="2:18" x14ac:dyDescent="0.2">
      <c r="B3267" s="5"/>
      <c r="F3267" s="5"/>
      <c r="J3267" s="5"/>
      <c r="N3267" s="5"/>
      <c r="R3267" s="5"/>
    </row>
    <row r="3268" spans="2:18" x14ac:dyDescent="0.2">
      <c r="B3268" s="5"/>
      <c r="F3268" s="5"/>
      <c r="J3268" s="5"/>
      <c r="N3268" s="5"/>
      <c r="R3268" s="5"/>
    </row>
    <row r="3269" spans="2:18" x14ac:dyDescent="0.2">
      <c r="B3269" s="5"/>
      <c r="F3269" s="5"/>
      <c r="J3269" s="5"/>
      <c r="N3269" s="5"/>
      <c r="R3269" s="5"/>
    </row>
    <row r="3270" spans="2:18" x14ac:dyDescent="0.2">
      <c r="B3270" s="5"/>
      <c r="F3270" s="5"/>
      <c r="J3270" s="5"/>
      <c r="N3270" s="5"/>
      <c r="R3270" s="5"/>
    </row>
    <row r="3271" spans="2:18" x14ac:dyDescent="0.2">
      <c r="B3271" s="5"/>
      <c r="F3271" s="5"/>
      <c r="J3271" s="5"/>
      <c r="N3271" s="5"/>
      <c r="R3271" s="5"/>
    </row>
    <row r="3272" spans="2:18" x14ac:dyDescent="0.2">
      <c r="B3272" s="5"/>
      <c r="F3272" s="5"/>
      <c r="J3272" s="5"/>
      <c r="N3272" s="5"/>
      <c r="R3272" s="5"/>
    </row>
    <row r="3273" spans="2:18" x14ac:dyDescent="0.2">
      <c r="B3273" s="5"/>
      <c r="F3273" s="5"/>
      <c r="J3273" s="5"/>
      <c r="N3273" s="5"/>
      <c r="R3273" s="5"/>
    </row>
    <row r="3274" spans="2:18" x14ac:dyDescent="0.2">
      <c r="B3274" s="5"/>
      <c r="F3274" s="5"/>
      <c r="J3274" s="5"/>
      <c r="N3274" s="5"/>
      <c r="R3274" s="5"/>
    </row>
    <row r="3275" spans="2:18" x14ac:dyDescent="0.2">
      <c r="B3275" s="5"/>
      <c r="F3275" s="5"/>
      <c r="J3275" s="5"/>
      <c r="N3275" s="5"/>
      <c r="R3275" s="5"/>
    </row>
    <row r="3276" spans="2:18" x14ac:dyDescent="0.2">
      <c r="B3276" s="5"/>
      <c r="F3276" s="5"/>
      <c r="J3276" s="5"/>
      <c r="N3276" s="5"/>
      <c r="R3276" s="5"/>
    </row>
    <row r="3277" spans="2:18" x14ac:dyDescent="0.2">
      <c r="B3277" s="5"/>
      <c r="F3277" s="5"/>
      <c r="J3277" s="5"/>
      <c r="N3277" s="5"/>
      <c r="R3277" s="5"/>
    </row>
    <row r="3278" spans="2:18" x14ac:dyDescent="0.2">
      <c r="B3278" s="5"/>
      <c r="F3278" s="5"/>
      <c r="J3278" s="5"/>
      <c r="N3278" s="5"/>
      <c r="R3278" s="5"/>
    </row>
    <row r="3279" spans="2:18" x14ac:dyDescent="0.2">
      <c r="B3279" s="5"/>
      <c r="F3279" s="5"/>
      <c r="J3279" s="5"/>
      <c r="N3279" s="5"/>
      <c r="R3279" s="5"/>
    </row>
    <row r="3280" spans="2:18" x14ac:dyDescent="0.2">
      <c r="B3280" s="5"/>
      <c r="F3280" s="5"/>
      <c r="J3280" s="5"/>
      <c r="N3280" s="5"/>
      <c r="R3280" s="5"/>
    </row>
    <row r="3281" spans="2:18" x14ac:dyDescent="0.2">
      <c r="B3281" s="5"/>
      <c r="F3281" s="5"/>
      <c r="J3281" s="5"/>
      <c r="N3281" s="5"/>
      <c r="R3281" s="5"/>
    </row>
    <row r="3282" spans="2:18" x14ac:dyDescent="0.2">
      <c r="B3282" s="5"/>
      <c r="F3282" s="5"/>
      <c r="J3282" s="5"/>
      <c r="N3282" s="5"/>
      <c r="R3282" s="5"/>
    </row>
    <row r="3283" spans="2:18" x14ac:dyDescent="0.2">
      <c r="B3283" s="5"/>
      <c r="F3283" s="5"/>
      <c r="J3283" s="5"/>
      <c r="N3283" s="5"/>
      <c r="R3283" s="5"/>
    </row>
    <row r="3284" spans="2:18" x14ac:dyDescent="0.2">
      <c r="B3284" s="5"/>
      <c r="F3284" s="5"/>
      <c r="J3284" s="5"/>
      <c r="N3284" s="5"/>
      <c r="R3284" s="5"/>
    </row>
    <row r="3285" spans="2:18" x14ac:dyDescent="0.2">
      <c r="B3285" s="5"/>
      <c r="F3285" s="5"/>
      <c r="J3285" s="5"/>
      <c r="N3285" s="5"/>
      <c r="R3285" s="5"/>
    </row>
    <row r="3286" spans="2:18" x14ac:dyDescent="0.2">
      <c r="B3286" s="5"/>
      <c r="F3286" s="5"/>
      <c r="J3286" s="5"/>
      <c r="N3286" s="5"/>
      <c r="R3286" s="5"/>
    </row>
    <row r="3287" spans="2:18" x14ac:dyDescent="0.2">
      <c r="B3287" s="5"/>
      <c r="F3287" s="5"/>
      <c r="J3287" s="5"/>
      <c r="N3287" s="5"/>
      <c r="R3287" s="5"/>
    </row>
    <row r="3288" spans="2:18" x14ac:dyDescent="0.2">
      <c r="B3288" s="5"/>
      <c r="F3288" s="5"/>
      <c r="J3288" s="5"/>
      <c r="N3288" s="5"/>
      <c r="R3288" s="5"/>
    </row>
    <row r="3289" spans="2:18" x14ac:dyDescent="0.2">
      <c r="B3289" s="5"/>
      <c r="F3289" s="5"/>
      <c r="J3289" s="5"/>
      <c r="N3289" s="5"/>
      <c r="R3289" s="5"/>
    </row>
    <row r="3290" spans="2:18" x14ac:dyDescent="0.2">
      <c r="B3290" s="5"/>
      <c r="F3290" s="5"/>
      <c r="J3290" s="5"/>
      <c r="N3290" s="5"/>
      <c r="R3290" s="5"/>
    </row>
    <row r="3291" spans="2:18" x14ac:dyDescent="0.2">
      <c r="B3291" s="5"/>
      <c r="F3291" s="5"/>
      <c r="J3291" s="5"/>
      <c r="N3291" s="5"/>
      <c r="R3291" s="5"/>
    </row>
    <row r="3292" spans="2:18" x14ac:dyDescent="0.2">
      <c r="B3292" s="5"/>
      <c r="F3292" s="5"/>
      <c r="J3292" s="5"/>
      <c r="N3292" s="5"/>
      <c r="R3292" s="5"/>
    </row>
    <row r="3293" spans="2:18" x14ac:dyDescent="0.2">
      <c r="B3293" s="5"/>
      <c r="F3293" s="5"/>
      <c r="J3293" s="5"/>
      <c r="N3293" s="5"/>
      <c r="R3293" s="5"/>
    </row>
    <row r="3294" spans="2:18" x14ac:dyDescent="0.2">
      <c r="B3294" s="5"/>
      <c r="F3294" s="5"/>
      <c r="J3294" s="5"/>
      <c r="N3294" s="5"/>
      <c r="R3294" s="5"/>
    </row>
    <row r="3295" spans="2:18" x14ac:dyDescent="0.2">
      <c r="B3295" s="5"/>
      <c r="F3295" s="5"/>
      <c r="J3295" s="5"/>
      <c r="N3295" s="5"/>
      <c r="R3295" s="5"/>
    </row>
    <row r="3296" spans="2:18" x14ac:dyDescent="0.2">
      <c r="B3296" s="5"/>
      <c r="F3296" s="5"/>
      <c r="J3296" s="5"/>
      <c r="N3296" s="5"/>
      <c r="R3296" s="5"/>
    </row>
    <row r="3297" spans="2:18" x14ac:dyDescent="0.2">
      <c r="B3297" s="5"/>
      <c r="F3297" s="5"/>
      <c r="J3297" s="5"/>
      <c r="N3297" s="5"/>
      <c r="R3297" s="5"/>
    </row>
    <row r="3298" spans="2:18" x14ac:dyDescent="0.2">
      <c r="B3298" s="5"/>
      <c r="F3298" s="5"/>
      <c r="J3298" s="5"/>
      <c r="N3298" s="5"/>
      <c r="R3298" s="5"/>
    </row>
    <row r="3299" spans="2:18" x14ac:dyDescent="0.2">
      <c r="B3299" s="5"/>
      <c r="F3299" s="5"/>
      <c r="J3299" s="5"/>
      <c r="N3299" s="5"/>
      <c r="R3299" s="5"/>
    </row>
    <row r="3300" spans="2:18" x14ac:dyDescent="0.2">
      <c r="B3300" s="5"/>
      <c r="F3300" s="5"/>
      <c r="J3300" s="5"/>
      <c r="N3300" s="5"/>
      <c r="R3300" s="5"/>
    </row>
    <row r="3301" spans="2:18" x14ac:dyDescent="0.2">
      <c r="B3301" s="5"/>
      <c r="F3301" s="5"/>
      <c r="J3301" s="5"/>
      <c r="N3301" s="5"/>
      <c r="R3301" s="5"/>
    </row>
    <row r="3302" spans="2:18" x14ac:dyDescent="0.2">
      <c r="B3302" s="5"/>
      <c r="F3302" s="5"/>
      <c r="J3302" s="5"/>
      <c r="N3302" s="5"/>
      <c r="R3302" s="5"/>
    </row>
    <row r="3303" spans="2:18" x14ac:dyDescent="0.2">
      <c r="B3303" s="5"/>
      <c r="F3303" s="5"/>
      <c r="J3303" s="5"/>
      <c r="N3303" s="5"/>
      <c r="R3303" s="5"/>
    </row>
    <row r="3304" spans="2:18" x14ac:dyDescent="0.2">
      <c r="B3304" s="5"/>
      <c r="F3304" s="5"/>
      <c r="J3304" s="5"/>
      <c r="N3304" s="5"/>
      <c r="R3304" s="5"/>
    </row>
    <row r="3305" spans="2:18" x14ac:dyDescent="0.2">
      <c r="B3305" s="5"/>
      <c r="F3305" s="5"/>
      <c r="J3305" s="5"/>
      <c r="N3305" s="5"/>
      <c r="R3305" s="5"/>
    </row>
    <row r="3306" spans="2:18" x14ac:dyDescent="0.2">
      <c r="B3306" s="5"/>
      <c r="F3306" s="5"/>
      <c r="J3306" s="5"/>
      <c r="N3306" s="5"/>
      <c r="R3306" s="5"/>
    </row>
    <row r="3307" spans="2:18" x14ac:dyDescent="0.2">
      <c r="B3307" s="5"/>
      <c r="F3307" s="5"/>
      <c r="J3307" s="5"/>
      <c r="N3307" s="5"/>
      <c r="R3307" s="5"/>
    </row>
    <row r="3308" spans="2:18" x14ac:dyDescent="0.2">
      <c r="B3308" s="5"/>
      <c r="F3308" s="5"/>
      <c r="J3308" s="5"/>
      <c r="N3308" s="5"/>
      <c r="R3308" s="5"/>
    </row>
    <row r="3309" spans="2:18" x14ac:dyDescent="0.2">
      <c r="B3309" s="5"/>
      <c r="F3309" s="5"/>
      <c r="J3309" s="5"/>
      <c r="N3309" s="5"/>
      <c r="R3309" s="5"/>
    </row>
    <row r="3310" spans="2:18" x14ac:dyDescent="0.2">
      <c r="B3310" s="5"/>
      <c r="F3310" s="5"/>
      <c r="J3310" s="5"/>
      <c r="N3310" s="5"/>
      <c r="R3310" s="5"/>
    </row>
    <row r="3311" spans="2:18" x14ac:dyDescent="0.2">
      <c r="B3311" s="5"/>
      <c r="F3311" s="5"/>
      <c r="J3311" s="5"/>
      <c r="N3311" s="5"/>
      <c r="R3311" s="5"/>
    </row>
    <row r="3312" spans="2:18" x14ac:dyDescent="0.2">
      <c r="B3312" s="5"/>
      <c r="F3312" s="5"/>
      <c r="J3312" s="5"/>
      <c r="N3312" s="5"/>
      <c r="R3312" s="5"/>
    </row>
    <row r="3313" spans="2:18" x14ac:dyDescent="0.2">
      <c r="B3313" s="5"/>
      <c r="F3313" s="5"/>
      <c r="J3313" s="5"/>
      <c r="N3313" s="5"/>
      <c r="R3313" s="5"/>
    </row>
    <row r="3314" spans="2:18" x14ac:dyDescent="0.2">
      <c r="B3314" s="5"/>
      <c r="F3314" s="5"/>
      <c r="J3314" s="5"/>
      <c r="N3314" s="5"/>
      <c r="R3314" s="5"/>
    </row>
    <row r="3315" spans="2:18" x14ac:dyDescent="0.2">
      <c r="B3315" s="5"/>
      <c r="F3315" s="5"/>
      <c r="J3315" s="5"/>
      <c r="N3315" s="5"/>
      <c r="R3315" s="5"/>
    </row>
    <row r="3316" spans="2:18" x14ac:dyDescent="0.2">
      <c r="B3316" s="5"/>
      <c r="F3316" s="5"/>
      <c r="J3316" s="5"/>
      <c r="N3316" s="5"/>
      <c r="R3316" s="5"/>
    </row>
    <row r="3317" spans="2:18" x14ac:dyDescent="0.2">
      <c r="B3317" s="5"/>
      <c r="F3317" s="5"/>
      <c r="J3317" s="5"/>
      <c r="N3317" s="5"/>
      <c r="R3317" s="5"/>
    </row>
    <row r="3318" spans="2:18" x14ac:dyDescent="0.2">
      <c r="B3318" s="5"/>
      <c r="F3318" s="5"/>
      <c r="J3318" s="5"/>
      <c r="N3318" s="5"/>
      <c r="R3318" s="5"/>
    </row>
    <row r="3319" spans="2:18" x14ac:dyDescent="0.2">
      <c r="B3319" s="5"/>
      <c r="F3319" s="5"/>
      <c r="J3319" s="5"/>
      <c r="N3319" s="5"/>
      <c r="R3319" s="5"/>
    </row>
    <row r="3320" spans="2:18" x14ac:dyDescent="0.2">
      <c r="B3320" s="5"/>
      <c r="F3320" s="5"/>
      <c r="J3320" s="5"/>
      <c r="N3320" s="5"/>
      <c r="R3320" s="5"/>
    </row>
    <row r="3321" spans="2:18" x14ac:dyDescent="0.2">
      <c r="B3321" s="5"/>
      <c r="F3321" s="5"/>
      <c r="J3321" s="5"/>
      <c r="N3321" s="5"/>
      <c r="R3321" s="5"/>
    </row>
    <row r="3322" spans="2:18" x14ac:dyDescent="0.2">
      <c r="B3322" s="5"/>
      <c r="F3322" s="5"/>
      <c r="J3322" s="5"/>
      <c r="N3322" s="5"/>
      <c r="R3322" s="5"/>
    </row>
    <row r="3323" spans="2:18" x14ac:dyDescent="0.2">
      <c r="B3323" s="5"/>
      <c r="F3323" s="5"/>
      <c r="J3323" s="5"/>
      <c r="N3323" s="5"/>
      <c r="R3323" s="5"/>
    </row>
    <row r="3324" spans="2:18" x14ac:dyDescent="0.2">
      <c r="B3324" s="5"/>
      <c r="F3324" s="5"/>
      <c r="J3324" s="5"/>
      <c r="N3324" s="5"/>
      <c r="R3324" s="5"/>
    </row>
    <row r="3325" spans="2:18" x14ac:dyDescent="0.2">
      <c r="B3325" s="5"/>
      <c r="F3325" s="5"/>
      <c r="J3325" s="5"/>
      <c r="N3325" s="5"/>
      <c r="R3325" s="5"/>
    </row>
    <row r="3326" spans="2:18" x14ac:dyDescent="0.2">
      <c r="B3326" s="5"/>
      <c r="F3326" s="5"/>
      <c r="J3326" s="5"/>
      <c r="N3326" s="5"/>
      <c r="R3326" s="5"/>
    </row>
    <row r="3327" spans="2:18" x14ac:dyDescent="0.2">
      <c r="B3327" s="5"/>
      <c r="F3327" s="5"/>
      <c r="J3327" s="5"/>
      <c r="N3327" s="5"/>
      <c r="R3327" s="5"/>
    </row>
    <row r="3328" spans="2:18" x14ac:dyDescent="0.2">
      <c r="B3328" s="5"/>
      <c r="F3328" s="5"/>
      <c r="J3328" s="5"/>
      <c r="N3328" s="5"/>
      <c r="R3328" s="5"/>
    </row>
    <row r="3329" spans="2:18" x14ac:dyDescent="0.2">
      <c r="B3329" s="5"/>
      <c r="F3329" s="5"/>
      <c r="J3329" s="5"/>
      <c r="N3329" s="5"/>
      <c r="R3329" s="5"/>
    </row>
    <row r="3330" spans="2:18" x14ac:dyDescent="0.2">
      <c r="B3330" s="5"/>
      <c r="F3330" s="5"/>
      <c r="J3330" s="5"/>
      <c r="N3330" s="5"/>
      <c r="R3330" s="5"/>
    </row>
    <row r="3331" spans="2:18" x14ac:dyDescent="0.2">
      <c r="B3331" s="5"/>
      <c r="F3331" s="5"/>
      <c r="J3331" s="5"/>
      <c r="N3331" s="5"/>
      <c r="R3331" s="5"/>
    </row>
    <row r="3332" spans="2:18" x14ac:dyDescent="0.2">
      <c r="B3332" s="5"/>
      <c r="F3332" s="5"/>
      <c r="J3332" s="5"/>
      <c r="N3332" s="5"/>
      <c r="R3332" s="5"/>
    </row>
    <row r="3333" spans="2:18" x14ac:dyDescent="0.2">
      <c r="B3333" s="5"/>
      <c r="F3333" s="5"/>
      <c r="J3333" s="5"/>
      <c r="N3333" s="5"/>
      <c r="R3333" s="5"/>
    </row>
    <row r="3334" spans="2:18" x14ac:dyDescent="0.2">
      <c r="B3334" s="5"/>
      <c r="F3334" s="5"/>
      <c r="J3334" s="5"/>
      <c r="N3334" s="5"/>
      <c r="R3334" s="5"/>
    </row>
    <row r="3335" spans="2:18" x14ac:dyDescent="0.2">
      <c r="B3335" s="5"/>
      <c r="F3335" s="5"/>
      <c r="J3335" s="5"/>
      <c r="N3335" s="5"/>
      <c r="R3335" s="5"/>
    </row>
    <row r="3336" spans="2:18" x14ac:dyDescent="0.2">
      <c r="B3336" s="5"/>
      <c r="F3336" s="5"/>
      <c r="J3336" s="5"/>
      <c r="N3336" s="5"/>
      <c r="R3336" s="5"/>
    </row>
    <row r="3337" spans="2:18" x14ac:dyDescent="0.2">
      <c r="B3337" s="5"/>
      <c r="F3337" s="5"/>
      <c r="J3337" s="5"/>
      <c r="N3337" s="5"/>
      <c r="R3337" s="5"/>
    </row>
    <row r="3338" spans="2:18" x14ac:dyDescent="0.2">
      <c r="B3338" s="5"/>
      <c r="F3338" s="5"/>
      <c r="J3338" s="5"/>
      <c r="N3338" s="5"/>
      <c r="R3338" s="5"/>
    </row>
    <row r="3339" spans="2:18" x14ac:dyDescent="0.2">
      <c r="B3339" s="5"/>
      <c r="F3339" s="5"/>
      <c r="J3339" s="5"/>
      <c r="N3339" s="5"/>
      <c r="R3339" s="5"/>
    </row>
    <row r="3340" spans="2:18" x14ac:dyDescent="0.2">
      <c r="B3340" s="5"/>
      <c r="F3340" s="5"/>
      <c r="J3340" s="5"/>
      <c r="N3340" s="5"/>
      <c r="R3340" s="5"/>
    </row>
    <row r="3341" spans="2:18" x14ac:dyDescent="0.2">
      <c r="B3341" s="5"/>
      <c r="F3341" s="5"/>
      <c r="J3341" s="5"/>
      <c r="N3341" s="5"/>
      <c r="R3341" s="5"/>
    </row>
    <row r="3342" spans="2:18" x14ac:dyDescent="0.2">
      <c r="B3342" s="5"/>
      <c r="F3342" s="5"/>
      <c r="J3342" s="5"/>
      <c r="N3342" s="5"/>
      <c r="R3342" s="5"/>
    </row>
    <row r="3343" spans="2:18" x14ac:dyDescent="0.2">
      <c r="B3343" s="5"/>
      <c r="F3343" s="5"/>
      <c r="J3343" s="5"/>
      <c r="N3343" s="5"/>
      <c r="R3343" s="5"/>
    </row>
    <row r="3344" spans="2:18" x14ac:dyDescent="0.2">
      <c r="B3344" s="5"/>
      <c r="F3344" s="5"/>
      <c r="J3344" s="5"/>
      <c r="N3344" s="5"/>
      <c r="R3344" s="5"/>
    </row>
    <row r="3345" spans="2:18" x14ac:dyDescent="0.2">
      <c r="B3345" s="5"/>
      <c r="F3345" s="5"/>
      <c r="J3345" s="5"/>
      <c r="N3345" s="5"/>
      <c r="R3345" s="5"/>
    </row>
    <row r="3346" spans="2:18" x14ac:dyDescent="0.2">
      <c r="B3346" s="5"/>
      <c r="F3346" s="5"/>
      <c r="J3346" s="5"/>
      <c r="N3346" s="5"/>
      <c r="R3346" s="5"/>
    </row>
    <row r="3347" spans="2:18" x14ac:dyDescent="0.2">
      <c r="B3347" s="5"/>
      <c r="F3347" s="5"/>
      <c r="J3347" s="5"/>
      <c r="N3347" s="5"/>
      <c r="R3347" s="5"/>
    </row>
    <row r="3348" spans="2:18" x14ac:dyDescent="0.2">
      <c r="B3348" s="5"/>
      <c r="F3348" s="5"/>
      <c r="J3348" s="5"/>
      <c r="N3348" s="5"/>
      <c r="R3348" s="5"/>
    </row>
    <row r="3349" spans="2:18" x14ac:dyDescent="0.2">
      <c r="B3349" s="5"/>
      <c r="F3349" s="5"/>
      <c r="J3349" s="5"/>
      <c r="N3349" s="5"/>
      <c r="R3349" s="5"/>
    </row>
    <row r="3350" spans="2:18" x14ac:dyDescent="0.2">
      <c r="B3350" s="5"/>
      <c r="F3350" s="5"/>
      <c r="J3350" s="5"/>
      <c r="N3350" s="5"/>
      <c r="R3350" s="5"/>
    </row>
    <row r="3351" spans="2:18" x14ac:dyDescent="0.2">
      <c r="B3351" s="5"/>
      <c r="F3351" s="5"/>
      <c r="J3351" s="5"/>
      <c r="N3351" s="5"/>
      <c r="R3351" s="5"/>
    </row>
    <row r="3352" spans="2:18" x14ac:dyDescent="0.2">
      <c r="B3352" s="5"/>
      <c r="F3352" s="5"/>
      <c r="J3352" s="5"/>
      <c r="N3352" s="5"/>
      <c r="R3352" s="5"/>
    </row>
    <row r="3353" spans="2:18" x14ac:dyDescent="0.2">
      <c r="B3353" s="5"/>
      <c r="F3353" s="5"/>
      <c r="J3353" s="5"/>
      <c r="N3353" s="5"/>
      <c r="R3353" s="5"/>
    </row>
    <row r="3354" spans="2:18" x14ac:dyDescent="0.2">
      <c r="B3354" s="5"/>
      <c r="F3354" s="5"/>
      <c r="J3354" s="5"/>
      <c r="N3354" s="5"/>
      <c r="R3354" s="5"/>
    </row>
    <row r="3355" spans="2:18" x14ac:dyDescent="0.2">
      <c r="B3355" s="5"/>
      <c r="F3355" s="5"/>
      <c r="J3355" s="5"/>
      <c r="N3355" s="5"/>
      <c r="R3355" s="5"/>
    </row>
    <row r="3356" spans="2:18" x14ac:dyDescent="0.2">
      <c r="B3356" s="5"/>
      <c r="F3356" s="5"/>
      <c r="J3356" s="5"/>
      <c r="N3356" s="5"/>
      <c r="R3356" s="5"/>
    </row>
    <row r="3357" spans="2:18" x14ac:dyDescent="0.2">
      <c r="B3357" s="5"/>
      <c r="F3357" s="5"/>
      <c r="J3357" s="5"/>
      <c r="N3357" s="5"/>
      <c r="R3357" s="5"/>
    </row>
    <row r="3358" spans="2:18" x14ac:dyDescent="0.2">
      <c r="B3358" s="5"/>
      <c r="F3358" s="5"/>
      <c r="J3358" s="5"/>
      <c r="N3358" s="5"/>
      <c r="R3358" s="5"/>
    </row>
    <row r="3359" spans="2:18" x14ac:dyDescent="0.2">
      <c r="B3359" s="5"/>
      <c r="F3359" s="5"/>
      <c r="J3359" s="5"/>
      <c r="N3359" s="5"/>
      <c r="R3359" s="5"/>
    </row>
    <row r="3360" spans="2:18" x14ac:dyDescent="0.2">
      <c r="B3360" s="5"/>
      <c r="F3360" s="5"/>
      <c r="J3360" s="5"/>
      <c r="N3360" s="5"/>
      <c r="R3360" s="5"/>
    </row>
    <row r="3361" spans="2:18" x14ac:dyDescent="0.2">
      <c r="B3361" s="5"/>
      <c r="F3361" s="5"/>
      <c r="J3361" s="5"/>
      <c r="N3361" s="5"/>
      <c r="R3361" s="5"/>
    </row>
    <row r="3362" spans="2:18" x14ac:dyDescent="0.2">
      <c r="B3362" s="5"/>
      <c r="F3362" s="5"/>
      <c r="J3362" s="5"/>
      <c r="N3362" s="5"/>
      <c r="R3362" s="5"/>
    </row>
    <row r="3363" spans="2:18" x14ac:dyDescent="0.2">
      <c r="B3363" s="5"/>
      <c r="F3363" s="5"/>
      <c r="J3363" s="5"/>
      <c r="N3363" s="5"/>
      <c r="R3363" s="5"/>
    </row>
    <row r="3364" spans="2:18" x14ac:dyDescent="0.2">
      <c r="B3364" s="5"/>
      <c r="F3364" s="5"/>
      <c r="J3364" s="5"/>
      <c r="N3364" s="5"/>
      <c r="R3364" s="5"/>
    </row>
    <row r="3365" spans="2:18" x14ac:dyDescent="0.2">
      <c r="B3365" s="5"/>
      <c r="F3365" s="5"/>
      <c r="J3365" s="5"/>
      <c r="N3365" s="5"/>
      <c r="R3365" s="5"/>
    </row>
    <row r="3366" spans="2:18" x14ac:dyDescent="0.2">
      <c r="B3366" s="5"/>
      <c r="F3366" s="5"/>
      <c r="J3366" s="5"/>
      <c r="N3366" s="5"/>
      <c r="R3366" s="5"/>
    </row>
    <row r="3367" spans="2:18" x14ac:dyDescent="0.2">
      <c r="B3367" s="5"/>
      <c r="F3367" s="5"/>
      <c r="J3367" s="5"/>
      <c r="N3367" s="5"/>
      <c r="R3367" s="5"/>
    </row>
    <row r="3368" spans="2:18" x14ac:dyDescent="0.2">
      <c r="B3368" s="5"/>
      <c r="F3368" s="5"/>
      <c r="J3368" s="5"/>
      <c r="N3368" s="5"/>
      <c r="R3368" s="5"/>
    </row>
    <row r="3369" spans="2:18" x14ac:dyDescent="0.2">
      <c r="B3369" s="5"/>
      <c r="F3369" s="5"/>
      <c r="J3369" s="5"/>
      <c r="N3369" s="5"/>
      <c r="R3369" s="5"/>
    </row>
    <row r="3370" spans="2:18" x14ac:dyDescent="0.2">
      <c r="B3370" s="5"/>
      <c r="F3370" s="5"/>
      <c r="J3370" s="5"/>
      <c r="N3370" s="5"/>
      <c r="R3370" s="5"/>
    </row>
    <row r="3371" spans="2:18" x14ac:dyDescent="0.2">
      <c r="B3371" s="5"/>
      <c r="F3371" s="5"/>
      <c r="J3371" s="5"/>
      <c r="N3371" s="5"/>
      <c r="R3371" s="5"/>
    </row>
    <row r="3372" spans="2:18" x14ac:dyDescent="0.2">
      <c r="B3372" s="5"/>
      <c r="F3372" s="5"/>
      <c r="J3372" s="5"/>
      <c r="N3372" s="5"/>
      <c r="R3372" s="5"/>
    </row>
    <row r="3373" spans="2:18" x14ac:dyDescent="0.2">
      <c r="B3373" s="5"/>
      <c r="F3373" s="5"/>
      <c r="J3373" s="5"/>
      <c r="N3373" s="5"/>
      <c r="R3373" s="5"/>
    </row>
    <row r="3374" spans="2:18" x14ac:dyDescent="0.2">
      <c r="B3374" s="5"/>
      <c r="F3374" s="5"/>
      <c r="J3374" s="5"/>
      <c r="N3374" s="5"/>
      <c r="R3374" s="5"/>
    </row>
    <row r="3375" spans="2:18" x14ac:dyDescent="0.2">
      <c r="B3375" s="5"/>
      <c r="F3375" s="5"/>
      <c r="J3375" s="5"/>
      <c r="N3375" s="5"/>
      <c r="R3375" s="5"/>
    </row>
    <row r="3376" spans="2:18" x14ac:dyDescent="0.2">
      <c r="B3376" s="5"/>
      <c r="F3376" s="5"/>
      <c r="J3376" s="5"/>
      <c r="N3376" s="5"/>
      <c r="R3376" s="5"/>
    </row>
    <row r="3377" spans="2:18" x14ac:dyDescent="0.2">
      <c r="B3377" s="5"/>
      <c r="F3377" s="5"/>
      <c r="J3377" s="5"/>
      <c r="N3377" s="5"/>
      <c r="R3377" s="5"/>
    </row>
    <row r="3378" spans="2:18" x14ac:dyDescent="0.2">
      <c r="B3378" s="5"/>
      <c r="F3378" s="5"/>
      <c r="J3378" s="5"/>
      <c r="N3378" s="5"/>
      <c r="R3378" s="5"/>
    </row>
    <row r="3379" spans="2:18" x14ac:dyDescent="0.2">
      <c r="B3379" s="5"/>
      <c r="F3379" s="5"/>
      <c r="J3379" s="5"/>
      <c r="N3379" s="5"/>
      <c r="R3379" s="5"/>
    </row>
    <row r="3380" spans="2:18" x14ac:dyDescent="0.2">
      <c r="B3380" s="5"/>
      <c r="F3380" s="5"/>
      <c r="J3380" s="5"/>
      <c r="N3380" s="5"/>
      <c r="R3380" s="5"/>
    </row>
    <row r="3381" spans="2:18" x14ac:dyDescent="0.2">
      <c r="B3381" s="5"/>
      <c r="F3381" s="5"/>
      <c r="J3381" s="5"/>
      <c r="N3381" s="5"/>
      <c r="R3381" s="5"/>
    </row>
    <row r="3382" spans="2:18" x14ac:dyDescent="0.2">
      <c r="B3382" s="5"/>
      <c r="F3382" s="5"/>
      <c r="J3382" s="5"/>
      <c r="N3382" s="5"/>
      <c r="R3382" s="5"/>
    </row>
    <row r="3383" spans="2:18" x14ac:dyDescent="0.2">
      <c r="B3383" s="5"/>
      <c r="F3383" s="5"/>
      <c r="J3383" s="5"/>
      <c r="N3383" s="5"/>
      <c r="R3383" s="5"/>
    </row>
    <row r="3384" spans="2:18" x14ac:dyDescent="0.2">
      <c r="B3384" s="5"/>
      <c r="F3384" s="5"/>
      <c r="J3384" s="5"/>
      <c r="N3384" s="5"/>
      <c r="R3384" s="5"/>
    </row>
    <row r="3385" spans="2:18" x14ac:dyDescent="0.2">
      <c r="B3385" s="5"/>
      <c r="F3385" s="5"/>
      <c r="J3385" s="5"/>
      <c r="N3385" s="5"/>
      <c r="R3385" s="5"/>
    </row>
    <row r="3386" spans="2:18" x14ac:dyDescent="0.2">
      <c r="B3386" s="5"/>
      <c r="F3386" s="5"/>
      <c r="J3386" s="5"/>
      <c r="N3386" s="5"/>
      <c r="R3386" s="5"/>
    </row>
    <row r="3387" spans="2:18" x14ac:dyDescent="0.2">
      <c r="B3387" s="5"/>
      <c r="F3387" s="5"/>
      <c r="J3387" s="5"/>
      <c r="N3387" s="5"/>
      <c r="R3387" s="5"/>
    </row>
    <row r="3388" spans="2:18" x14ac:dyDescent="0.2">
      <c r="B3388" s="5"/>
      <c r="F3388" s="5"/>
      <c r="J3388" s="5"/>
      <c r="N3388" s="5"/>
      <c r="R3388" s="5"/>
    </row>
    <row r="3389" spans="2:18" x14ac:dyDescent="0.2">
      <c r="B3389" s="5"/>
      <c r="F3389" s="5"/>
      <c r="J3389" s="5"/>
      <c r="N3389" s="5"/>
      <c r="R3389" s="5"/>
    </row>
    <row r="3390" spans="2:18" x14ac:dyDescent="0.2">
      <c r="B3390" s="5"/>
      <c r="F3390" s="5"/>
      <c r="J3390" s="5"/>
      <c r="N3390" s="5"/>
      <c r="R3390" s="5"/>
    </row>
    <row r="3391" spans="2:18" x14ac:dyDescent="0.2">
      <c r="B3391" s="5"/>
      <c r="F3391" s="5"/>
      <c r="J3391" s="5"/>
      <c r="N3391" s="5"/>
      <c r="R3391" s="5"/>
    </row>
    <row r="3392" spans="2:18" x14ac:dyDescent="0.2">
      <c r="B3392" s="5"/>
      <c r="F3392" s="5"/>
      <c r="J3392" s="5"/>
      <c r="N3392" s="5"/>
      <c r="R3392" s="5"/>
    </row>
    <row r="3393" spans="2:18" x14ac:dyDescent="0.2">
      <c r="B3393" s="5"/>
      <c r="F3393" s="5"/>
      <c r="J3393" s="5"/>
      <c r="N3393" s="5"/>
      <c r="R3393" s="5"/>
    </row>
    <row r="3394" spans="2:18" x14ac:dyDescent="0.2">
      <c r="B3394" s="5"/>
      <c r="F3394" s="5"/>
      <c r="J3394" s="5"/>
      <c r="N3394" s="5"/>
      <c r="R3394" s="5"/>
    </row>
    <row r="3395" spans="2:18" x14ac:dyDescent="0.2">
      <c r="B3395" s="5"/>
      <c r="F3395" s="5"/>
      <c r="J3395" s="5"/>
      <c r="N3395" s="5"/>
      <c r="R3395" s="5"/>
    </row>
    <row r="3396" spans="2:18" x14ac:dyDescent="0.2">
      <c r="B3396" s="5"/>
      <c r="F3396" s="5"/>
      <c r="J3396" s="5"/>
      <c r="N3396" s="5"/>
      <c r="R3396" s="5"/>
    </row>
    <row r="3397" spans="2:18" x14ac:dyDescent="0.2">
      <c r="B3397" s="5"/>
      <c r="F3397" s="5"/>
      <c r="J3397" s="5"/>
      <c r="N3397" s="5"/>
      <c r="R3397" s="5"/>
    </row>
    <row r="3398" spans="2:18" x14ac:dyDescent="0.2">
      <c r="B3398" s="5"/>
      <c r="F3398" s="5"/>
      <c r="J3398" s="5"/>
      <c r="N3398" s="5"/>
      <c r="R3398" s="5"/>
    </row>
    <row r="3399" spans="2:18" x14ac:dyDescent="0.2">
      <c r="B3399" s="5"/>
      <c r="F3399" s="5"/>
      <c r="J3399" s="5"/>
      <c r="N3399" s="5"/>
      <c r="R3399" s="5"/>
    </row>
    <row r="3400" spans="2:18" x14ac:dyDescent="0.2">
      <c r="B3400" s="5"/>
      <c r="F3400" s="5"/>
      <c r="J3400" s="5"/>
      <c r="N3400" s="5"/>
      <c r="R3400" s="5"/>
    </row>
    <row r="3401" spans="2:18" x14ac:dyDescent="0.2">
      <c r="B3401" s="5"/>
      <c r="F3401" s="5"/>
      <c r="J3401" s="5"/>
      <c r="N3401" s="5"/>
      <c r="R3401" s="5"/>
    </row>
    <row r="3402" spans="2:18" x14ac:dyDescent="0.2">
      <c r="B3402" s="5"/>
      <c r="F3402" s="5"/>
      <c r="J3402" s="5"/>
      <c r="N3402" s="5"/>
      <c r="R3402" s="5"/>
    </row>
    <row r="3403" spans="2:18" x14ac:dyDescent="0.2">
      <c r="B3403" s="5"/>
      <c r="F3403" s="5"/>
      <c r="J3403" s="5"/>
      <c r="N3403" s="5"/>
      <c r="R3403" s="5"/>
    </row>
    <row r="3404" spans="2:18" x14ac:dyDescent="0.2">
      <c r="B3404" s="5"/>
      <c r="F3404" s="5"/>
      <c r="J3404" s="5"/>
      <c r="N3404" s="5"/>
      <c r="R3404" s="5"/>
    </row>
    <row r="3405" spans="2:18" x14ac:dyDescent="0.2">
      <c r="B3405" s="5"/>
      <c r="F3405" s="5"/>
      <c r="J3405" s="5"/>
      <c r="N3405" s="5"/>
      <c r="R3405" s="5"/>
    </row>
    <row r="3406" spans="2:18" x14ac:dyDescent="0.2">
      <c r="B3406" s="5"/>
      <c r="F3406" s="5"/>
      <c r="J3406" s="5"/>
      <c r="N3406" s="5"/>
      <c r="R3406" s="5"/>
    </row>
    <row r="3407" spans="2:18" x14ac:dyDescent="0.2">
      <c r="B3407" s="5"/>
      <c r="F3407" s="5"/>
      <c r="J3407" s="5"/>
      <c r="N3407" s="5"/>
      <c r="R3407" s="5"/>
    </row>
    <row r="3408" spans="2:18" x14ac:dyDescent="0.2">
      <c r="B3408" s="5"/>
      <c r="F3408" s="5"/>
      <c r="J3408" s="5"/>
      <c r="N3408" s="5"/>
      <c r="R3408" s="5"/>
    </row>
    <row r="3409" spans="2:18" x14ac:dyDescent="0.2">
      <c r="B3409" s="5"/>
      <c r="F3409" s="5"/>
      <c r="J3409" s="5"/>
      <c r="N3409" s="5"/>
      <c r="R3409" s="5"/>
    </row>
    <row r="3410" spans="2:18" x14ac:dyDescent="0.2">
      <c r="B3410" s="5"/>
      <c r="F3410" s="5"/>
      <c r="J3410" s="5"/>
      <c r="N3410" s="5"/>
      <c r="R3410" s="5"/>
    </row>
    <row r="3411" spans="2:18" x14ac:dyDescent="0.2">
      <c r="B3411" s="5"/>
      <c r="F3411" s="5"/>
      <c r="J3411" s="5"/>
      <c r="N3411" s="5"/>
      <c r="R3411" s="5"/>
    </row>
    <row r="3412" spans="2:18" x14ac:dyDescent="0.2">
      <c r="B3412" s="5"/>
      <c r="F3412" s="5"/>
      <c r="J3412" s="5"/>
      <c r="N3412" s="5"/>
      <c r="R3412" s="5"/>
    </row>
    <row r="3413" spans="2:18" x14ac:dyDescent="0.2">
      <c r="B3413" s="5"/>
      <c r="F3413" s="5"/>
      <c r="J3413" s="5"/>
      <c r="N3413" s="5"/>
      <c r="R3413" s="5"/>
    </row>
    <row r="3414" spans="2:18" x14ac:dyDescent="0.2">
      <c r="B3414" s="5"/>
      <c r="F3414" s="5"/>
      <c r="J3414" s="5"/>
      <c r="N3414" s="5"/>
      <c r="R3414" s="5"/>
    </row>
    <row r="3415" spans="2:18" x14ac:dyDescent="0.2">
      <c r="B3415" s="5"/>
      <c r="F3415" s="5"/>
      <c r="J3415" s="5"/>
      <c r="N3415" s="5"/>
      <c r="R3415" s="5"/>
    </row>
    <row r="3416" spans="2:18" x14ac:dyDescent="0.2">
      <c r="B3416" s="5"/>
      <c r="F3416" s="5"/>
      <c r="J3416" s="5"/>
      <c r="N3416" s="5"/>
      <c r="R3416" s="5"/>
    </row>
    <row r="3417" spans="2:18" x14ac:dyDescent="0.2">
      <c r="B3417" s="5"/>
      <c r="F3417" s="5"/>
      <c r="J3417" s="5"/>
      <c r="N3417" s="5"/>
      <c r="R3417" s="5"/>
    </row>
    <row r="3418" spans="2:18" x14ac:dyDescent="0.2">
      <c r="B3418" s="5"/>
      <c r="F3418" s="5"/>
      <c r="J3418" s="5"/>
      <c r="N3418" s="5"/>
      <c r="R3418" s="5"/>
    </row>
    <row r="3419" spans="2:18" x14ac:dyDescent="0.2">
      <c r="B3419" s="5"/>
      <c r="F3419" s="5"/>
      <c r="J3419" s="5"/>
      <c r="N3419" s="5"/>
      <c r="R3419" s="5"/>
    </row>
    <row r="3420" spans="2:18" x14ac:dyDescent="0.2">
      <c r="B3420" s="5"/>
      <c r="F3420" s="5"/>
      <c r="J3420" s="5"/>
      <c r="N3420" s="5"/>
      <c r="R3420" s="5"/>
    </row>
    <row r="3421" spans="2:18" x14ac:dyDescent="0.2">
      <c r="B3421" s="5"/>
      <c r="F3421" s="5"/>
      <c r="J3421" s="5"/>
      <c r="N3421" s="5"/>
      <c r="R3421" s="5"/>
    </row>
    <row r="3422" spans="2:18" x14ac:dyDescent="0.2">
      <c r="B3422" s="5"/>
      <c r="F3422" s="5"/>
      <c r="J3422" s="5"/>
      <c r="N3422" s="5"/>
      <c r="R3422" s="5"/>
    </row>
    <row r="3423" spans="2:18" x14ac:dyDescent="0.2">
      <c r="B3423" s="5"/>
      <c r="F3423" s="5"/>
      <c r="J3423" s="5"/>
      <c r="N3423" s="5"/>
      <c r="R3423" s="5"/>
    </row>
    <row r="3424" spans="2:18" x14ac:dyDescent="0.2">
      <c r="B3424" s="5"/>
      <c r="F3424" s="5"/>
      <c r="J3424" s="5"/>
      <c r="N3424" s="5"/>
      <c r="R3424" s="5"/>
    </row>
    <row r="3425" spans="2:18" x14ac:dyDescent="0.2">
      <c r="B3425" s="5"/>
      <c r="F3425" s="5"/>
      <c r="J3425" s="5"/>
      <c r="N3425" s="5"/>
      <c r="R3425" s="5"/>
    </row>
    <row r="3426" spans="2:18" x14ac:dyDescent="0.2">
      <c r="B3426" s="5"/>
      <c r="F3426" s="5"/>
      <c r="J3426" s="5"/>
      <c r="N3426" s="5"/>
      <c r="R3426" s="5"/>
    </row>
    <row r="3427" spans="2:18" x14ac:dyDescent="0.2">
      <c r="B3427" s="5"/>
      <c r="F3427" s="5"/>
      <c r="J3427" s="5"/>
      <c r="N3427" s="5"/>
      <c r="R3427" s="5"/>
    </row>
    <row r="3428" spans="2:18" x14ac:dyDescent="0.2">
      <c r="B3428" s="5"/>
      <c r="F3428" s="5"/>
      <c r="J3428" s="5"/>
      <c r="N3428" s="5"/>
      <c r="R3428" s="5"/>
    </row>
    <row r="3429" spans="2:18" x14ac:dyDescent="0.2">
      <c r="B3429" s="5"/>
      <c r="F3429" s="5"/>
      <c r="J3429" s="5"/>
      <c r="N3429" s="5"/>
      <c r="R3429" s="5"/>
    </row>
    <row r="3430" spans="2:18" x14ac:dyDescent="0.2">
      <c r="B3430" s="5"/>
      <c r="F3430" s="5"/>
      <c r="J3430" s="5"/>
      <c r="N3430" s="5"/>
      <c r="R3430" s="5"/>
    </row>
    <row r="3431" spans="2:18" x14ac:dyDescent="0.2">
      <c r="B3431" s="5"/>
      <c r="F3431" s="5"/>
      <c r="J3431" s="5"/>
      <c r="N3431" s="5"/>
      <c r="R3431" s="5"/>
    </row>
    <row r="3432" spans="2:18" x14ac:dyDescent="0.2">
      <c r="B3432" s="5"/>
      <c r="F3432" s="5"/>
      <c r="J3432" s="5"/>
      <c r="N3432" s="5"/>
      <c r="R3432" s="5"/>
    </row>
    <row r="3433" spans="2:18" x14ac:dyDescent="0.2">
      <c r="B3433" s="5"/>
      <c r="F3433" s="5"/>
      <c r="J3433" s="5"/>
      <c r="N3433" s="5"/>
      <c r="R3433" s="5"/>
    </row>
    <row r="3434" spans="2:18" x14ac:dyDescent="0.2">
      <c r="B3434" s="5"/>
      <c r="F3434" s="5"/>
      <c r="J3434" s="5"/>
      <c r="N3434" s="5"/>
      <c r="R3434" s="5"/>
    </row>
    <row r="3435" spans="2:18" x14ac:dyDescent="0.2">
      <c r="B3435" s="5"/>
      <c r="F3435" s="5"/>
      <c r="J3435" s="5"/>
      <c r="N3435" s="5"/>
      <c r="R3435" s="5"/>
    </row>
    <row r="3436" spans="2:18" x14ac:dyDescent="0.2">
      <c r="B3436" s="5"/>
      <c r="F3436" s="5"/>
      <c r="J3436" s="5"/>
      <c r="N3436" s="5"/>
      <c r="R3436" s="5"/>
    </row>
    <row r="3437" spans="2:18" x14ac:dyDescent="0.2">
      <c r="B3437" s="5"/>
      <c r="F3437" s="5"/>
      <c r="J3437" s="5"/>
      <c r="N3437" s="5"/>
      <c r="R3437" s="5"/>
    </row>
    <row r="3438" spans="2:18" x14ac:dyDescent="0.2">
      <c r="B3438" s="5"/>
      <c r="F3438" s="5"/>
      <c r="J3438" s="5"/>
      <c r="N3438" s="5"/>
      <c r="R3438" s="5"/>
    </row>
    <row r="3439" spans="2:18" x14ac:dyDescent="0.2">
      <c r="B3439" s="5"/>
      <c r="F3439" s="5"/>
      <c r="J3439" s="5"/>
      <c r="N3439" s="5"/>
      <c r="R3439" s="5"/>
    </row>
    <row r="3440" spans="2:18" x14ac:dyDescent="0.2">
      <c r="B3440" s="5"/>
      <c r="F3440" s="5"/>
      <c r="J3440" s="5"/>
      <c r="N3440" s="5"/>
      <c r="R3440" s="5"/>
    </row>
    <row r="3441" spans="2:18" x14ac:dyDescent="0.2">
      <c r="B3441" s="5"/>
      <c r="F3441" s="5"/>
      <c r="J3441" s="5"/>
      <c r="N3441" s="5"/>
      <c r="R3441" s="5"/>
    </row>
    <row r="3442" spans="2:18" x14ac:dyDescent="0.2">
      <c r="B3442" s="5"/>
      <c r="F3442" s="5"/>
      <c r="J3442" s="5"/>
      <c r="N3442" s="5"/>
      <c r="R3442" s="5"/>
    </row>
    <row r="3443" spans="2:18" x14ac:dyDescent="0.2">
      <c r="B3443" s="5"/>
      <c r="F3443" s="5"/>
      <c r="J3443" s="5"/>
      <c r="N3443" s="5"/>
      <c r="R3443" s="5"/>
    </row>
    <row r="3444" spans="2:18" x14ac:dyDescent="0.2">
      <c r="B3444" s="5"/>
      <c r="F3444" s="5"/>
      <c r="J3444" s="5"/>
      <c r="N3444" s="5"/>
      <c r="R3444" s="5"/>
    </row>
    <row r="3445" spans="2:18" x14ac:dyDescent="0.2">
      <c r="B3445" s="5"/>
      <c r="F3445" s="5"/>
      <c r="J3445" s="5"/>
      <c r="N3445" s="5"/>
      <c r="R3445" s="5"/>
    </row>
    <row r="3446" spans="2:18" x14ac:dyDescent="0.2">
      <c r="B3446" s="5"/>
      <c r="F3446" s="5"/>
      <c r="J3446" s="5"/>
      <c r="N3446" s="5"/>
      <c r="R3446" s="5"/>
    </row>
    <row r="3447" spans="2:18" x14ac:dyDescent="0.2">
      <c r="B3447" s="5"/>
      <c r="F3447" s="5"/>
      <c r="J3447" s="5"/>
      <c r="N3447" s="5"/>
      <c r="R3447" s="5"/>
    </row>
    <row r="3448" spans="2:18" x14ac:dyDescent="0.2">
      <c r="B3448" s="5"/>
      <c r="F3448" s="5"/>
      <c r="J3448" s="5"/>
      <c r="N3448" s="5"/>
      <c r="R3448" s="5"/>
    </row>
    <row r="3449" spans="2:18" x14ac:dyDescent="0.2">
      <c r="B3449" s="5"/>
      <c r="F3449" s="5"/>
      <c r="J3449" s="5"/>
      <c r="N3449" s="5"/>
      <c r="R3449" s="5"/>
    </row>
    <row r="3450" spans="2:18" x14ac:dyDescent="0.2">
      <c r="B3450" s="5"/>
      <c r="F3450" s="5"/>
      <c r="J3450" s="5"/>
      <c r="N3450" s="5"/>
      <c r="R3450" s="5"/>
    </row>
    <row r="3451" spans="2:18" x14ac:dyDescent="0.2">
      <c r="B3451" s="5"/>
      <c r="F3451" s="5"/>
      <c r="J3451" s="5"/>
      <c r="N3451" s="5"/>
      <c r="R3451" s="5"/>
    </row>
    <row r="3452" spans="2:18" x14ac:dyDescent="0.2">
      <c r="B3452" s="5"/>
      <c r="F3452" s="5"/>
      <c r="J3452" s="5"/>
      <c r="N3452" s="5"/>
      <c r="R3452" s="5"/>
    </row>
    <row r="3453" spans="2:18" x14ac:dyDescent="0.2">
      <c r="B3453" s="5"/>
      <c r="F3453" s="5"/>
      <c r="J3453" s="5"/>
      <c r="N3453" s="5"/>
      <c r="R3453" s="5"/>
    </row>
    <row r="3454" spans="2:18" x14ac:dyDescent="0.2">
      <c r="B3454" s="5"/>
      <c r="F3454" s="5"/>
      <c r="J3454" s="5"/>
      <c r="N3454" s="5"/>
      <c r="R3454" s="5"/>
    </row>
    <row r="3455" spans="2:18" x14ac:dyDescent="0.2">
      <c r="B3455" s="5"/>
      <c r="F3455" s="5"/>
      <c r="J3455" s="5"/>
      <c r="N3455" s="5"/>
      <c r="R3455" s="5"/>
    </row>
    <row r="3456" spans="2:18" x14ac:dyDescent="0.2">
      <c r="B3456" s="5"/>
      <c r="F3456" s="5"/>
      <c r="J3456" s="5"/>
      <c r="N3456" s="5"/>
      <c r="R3456" s="5"/>
    </row>
    <row r="3457" spans="2:18" x14ac:dyDescent="0.2">
      <c r="B3457" s="5"/>
      <c r="F3457" s="5"/>
      <c r="J3457" s="5"/>
      <c r="N3457" s="5"/>
      <c r="R3457" s="5"/>
    </row>
    <row r="3458" spans="2:18" x14ac:dyDescent="0.2">
      <c r="B3458" s="5"/>
      <c r="F3458" s="5"/>
      <c r="J3458" s="5"/>
      <c r="N3458" s="5"/>
      <c r="R3458" s="5"/>
    </row>
    <row r="3459" spans="2:18" x14ac:dyDescent="0.2">
      <c r="B3459" s="5"/>
      <c r="F3459" s="5"/>
      <c r="J3459" s="5"/>
      <c r="N3459" s="5"/>
      <c r="R3459" s="5"/>
    </row>
    <row r="3460" spans="2:18" x14ac:dyDescent="0.2">
      <c r="B3460" s="5"/>
      <c r="F3460" s="5"/>
      <c r="J3460" s="5"/>
      <c r="N3460" s="5"/>
      <c r="R3460" s="5"/>
    </row>
    <row r="3461" spans="2:18" x14ac:dyDescent="0.2">
      <c r="B3461" s="5"/>
      <c r="F3461" s="5"/>
      <c r="J3461" s="5"/>
      <c r="N3461" s="5"/>
      <c r="R3461" s="5"/>
    </row>
    <row r="3462" spans="2:18" x14ac:dyDescent="0.2">
      <c r="B3462" s="5"/>
      <c r="F3462" s="5"/>
      <c r="J3462" s="5"/>
      <c r="N3462" s="5"/>
      <c r="R3462" s="5"/>
    </row>
    <row r="3463" spans="2:18" x14ac:dyDescent="0.2">
      <c r="B3463" s="5"/>
      <c r="F3463" s="5"/>
      <c r="J3463" s="5"/>
      <c r="N3463" s="5"/>
      <c r="R3463" s="5"/>
    </row>
    <row r="3464" spans="2:18" x14ac:dyDescent="0.2">
      <c r="B3464" s="5"/>
      <c r="F3464" s="5"/>
      <c r="J3464" s="5"/>
      <c r="N3464" s="5"/>
      <c r="R3464" s="5"/>
    </row>
    <row r="3465" spans="2:18" x14ac:dyDescent="0.2">
      <c r="B3465" s="5"/>
      <c r="F3465" s="5"/>
      <c r="J3465" s="5"/>
      <c r="N3465" s="5"/>
      <c r="R3465" s="5"/>
    </row>
    <row r="3466" spans="2:18" x14ac:dyDescent="0.2">
      <c r="B3466" s="5"/>
      <c r="F3466" s="5"/>
      <c r="J3466" s="5"/>
      <c r="N3466" s="5"/>
      <c r="R3466" s="5"/>
    </row>
    <row r="3467" spans="2:18" x14ac:dyDescent="0.2">
      <c r="B3467" s="5"/>
      <c r="F3467" s="5"/>
      <c r="J3467" s="5"/>
      <c r="N3467" s="5"/>
      <c r="R3467" s="5"/>
    </row>
    <row r="3468" spans="2:18" x14ac:dyDescent="0.2">
      <c r="B3468" s="5"/>
      <c r="F3468" s="5"/>
      <c r="J3468" s="5"/>
      <c r="N3468" s="5"/>
      <c r="R3468" s="5"/>
    </row>
    <row r="3469" spans="2:18" x14ac:dyDescent="0.2">
      <c r="B3469" s="5"/>
      <c r="F3469" s="5"/>
      <c r="J3469" s="5"/>
      <c r="N3469" s="5"/>
      <c r="R3469" s="5"/>
    </row>
    <row r="3470" spans="2:18" x14ac:dyDescent="0.2">
      <c r="B3470" s="5"/>
      <c r="F3470" s="5"/>
      <c r="J3470" s="5"/>
      <c r="N3470" s="5"/>
      <c r="R3470" s="5"/>
    </row>
    <row r="3471" spans="2:18" x14ac:dyDescent="0.2">
      <c r="B3471" s="5"/>
      <c r="F3471" s="5"/>
      <c r="J3471" s="5"/>
      <c r="N3471" s="5"/>
      <c r="R3471" s="5"/>
    </row>
    <row r="3472" spans="2:18" x14ac:dyDescent="0.2">
      <c r="B3472" s="5"/>
      <c r="F3472" s="5"/>
      <c r="J3472" s="5"/>
      <c r="N3472" s="5"/>
      <c r="R3472" s="5"/>
    </row>
    <row r="3473" spans="2:18" x14ac:dyDescent="0.2">
      <c r="B3473" s="5"/>
      <c r="F3473" s="5"/>
      <c r="J3473" s="5"/>
      <c r="N3473" s="5"/>
      <c r="R3473" s="5"/>
    </row>
    <row r="3474" spans="2:18" x14ac:dyDescent="0.2">
      <c r="B3474" s="5"/>
      <c r="F3474" s="5"/>
      <c r="J3474" s="5"/>
      <c r="N3474" s="5"/>
      <c r="R3474" s="5"/>
    </row>
    <row r="3475" spans="2:18" x14ac:dyDescent="0.2">
      <c r="B3475" s="5"/>
      <c r="F3475" s="5"/>
      <c r="J3475" s="5"/>
      <c r="N3475" s="5"/>
      <c r="R3475" s="5"/>
    </row>
    <row r="3476" spans="2:18" x14ac:dyDescent="0.2">
      <c r="B3476" s="5"/>
      <c r="F3476" s="5"/>
      <c r="J3476" s="5"/>
      <c r="N3476" s="5"/>
      <c r="R3476" s="5"/>
    </row>
    <row r="3477" spans="2:18" x14ac:dyDescent="0.2">
      <c r="B3477" s="5"/>
      <c r="F3477" s="5"/>
      <c r="J3477" s="5"/>
      <c r="N3477" s="5"/>
      <c r="R3477" s="5"/>
    </row>
    <row r="3478" spans="2:18" x14ac:dyDescent="0.2">
      <c r="B3478" s="5"/>
      <c r="F3478" s="5"/>
      <c r="J3478" s="5"/>
      <c r="N3478" s="5"/>
      <c r="R3478" s="5"/>
    </row>
    <row r="3479" spans="2:18" x14ac:dyDescent="0.2">
      <c r="B3479" s="5"/>
      <c r="F3479" s="5"/>
      <c r="J3479" s="5"/>
      <c r="N3479" s="5"/>
      <c r="R3479" s="5"/>
    </row>
    <row r="3480" spans="2:18" x14ac:dyDescent="0.2">
      <c r="B3480" s="5"/>
      <c r="F3480" s="5"/>
      <c r="J3480" s="5"/>
      <c r="N3480" s="5"/>
      <c r="R3480" s="5"/>
    </row>
    <row r="3481" spans="2:18" x14ac:dyDescent="0.2">
      <c r="B3481" s="5"/>
      <c r="F3481" s="5"/>
      <c r="J3481" s="5"/>
      <c r="N3481" s="5"/>
      <c r="R3481" s="5"/>
    </row>
    <row r="3482" spans="2:18" x14ac:dyDescent="0.2">
      <c r="B3482" s="5"/>
      <c r="F3482" s="5"/>
      <c r="J3482" s="5"/>
      <c r="N3482" s="5"/>
      <c r="R3482" s="5"/>
    </row>
    <row r="3483" spans="2:18" x14ac:dyDescent="0.2">
      <c r="B3483" s="5"/>
      <c r="F3483" s="5"/>
      <c r="J3483" s="5"/>
      <c r="N3483" s="5"/>
      <c r="R3483" s="5"/>
    </row>
    <row r="3484" spans="2:18" x14ac:dyDescent="0.2">
      <c r="B3484" s="5"/>
      <c r="F3484" s="5"/>
      <c r="J3484" s="5"/>
      <c r="N3484" s="5"/>
      <c r="R3484" s="5"/>
    </row>
    <row r="3485" spans="2:18" x14ac:dyDescent="0.2">
      <c r="B3485" s="5"/>
      <c r="F3485" s="5"/>
      <c r="J3485" s="5"/>
      <c r="N3485" s="5"/>
      <c r="R3485" s="5"/>
    </row>
    <row r="3486" spans="2:18" x14ac:dyDescent="0.2">
      <c r="B3486" s="5"/>
      <c r="F3486" s="5"/>
      <c r="J3486" s="5"/>
      <c r="N3486" s="5"/>
      <c r="R3486" s="5"/>
    </row>
    <row r="3487" spans="2:18" x14ac:dyDescent="0.2">
      <c r="B3487" s="5"/>
      <c r="F3487" s="5"/>
      <c r="J3487" s="5"/>
      <c r="N3487" s="5"/>
      <c r="R3487" s="5"/>
    </row>
    <row r="3488" spans="2:18" x14ac:dyDescent="0.2">
      <c r="B3488" s="5"/>
      <c r="F3488" s="5"/>
      <c r="J3488" s="5"/>
      <c r="N3488" s="5"/>
      <c r="R3488" s="5"/>
    </row>
    <row r="3489" spans="2:18" x14ac:dyDescent="0.2">
      <c r="B3489" s="5"/>
      <c r="F3489" s="5"/>
      <c r="J3489" s="5"/>
      <c r="N3489" s="5"/>
      <c r="R3489" s="5"/>
    </row>
    <row r="3490" spans="2:18" x14ac:dyDescent="0.2">
      <c r="B3490" s="5"/>
      <c r="F3490" s="5"/>
      <c r="J3490" s="5"/>
      <c r="N3490" s="5"/>
      <c r="R3490" s="5"/>
    </row>
    <row r="3491" spans="2:18" x14ac:dyDescent="0.2">
      <c r="B3491" s="5"/>
      <c r="F3491" s="5"/>
      <c r="J3491" s="5"/>
      <c r="N3491" s="5"/>
      <c r="R3491" s="5"/>
    </row>
    <row r="3492" spans="2:18" x14ac:dyDescent="0.2">
      <c r="B3492" s="5"/>
      <c r="F3492" s="5"/>
      <c r="J3492" s="5"/>
      <c r="N3492" s="5"/>
      <c r="R3492" s="5"/>
    </row>
    <row r="3493" spans="2:18" x14ac:dyDescent="0.2">
      <c r="B3493" s="5"/>
      <c r="F3493" s="5"/>
      <c r="J3493" s="5"/>
      <c r="N3493" s="5"/>
      <c r="R3493" s="5"/>
    </row>
    <row r="3494" spans="2:18" x14ac:dyDescent="0.2">
      <c r="B3494" s="5"/>
      <c r="F3494" s="5"/>
      <c r="J3494" s="5"/>
      <c r="N3494" s="5"/>
      <c r="R3494" s="5"/>
    </row>
    <row r="3495" spans="2:18" x14ac:dyDescent="0.2">
      <c r="B3495" s="5"/>
      <c r="F3495" s="5"/>
      <c r="J3495" s="5"/>
      <c r="N3495" s="5"/>
      <c r="R3495" s="5"/>
    </row>
    <row r="3496" spans="2:18" x14ac:dyDescent="0.2">
      <c r="B3496" s="5"/>
      <c r="F3496" s="5"/>
      <c r="J3496" s="5"/>
      <c r="N3496" s="5"/>
      <c r="R3496" s="5"/>
    </row>
    <row r="3497" spans="2:18" x14ac:dyDescent="0.2">
      <c r="B3497" s="5"/>
      <c r="F3497" s="5"/>
      <c r="J3497" s="5"/>
      <c r="N3497" s="5"/>
      <c r="R3497" s="5"/>
    </row>
    <row r="3498" spans="2:18" x14ac:dyDescent="0.2">
      <c r="B3498" s="5"/>
      <c r="F3498" s="5"/>
      <c r="J3498" s="5"/>
      <c r="N3498" s="5"/>
      <c r="R3498" s="5"/>
    </row>
    <row r="3499" spans="2:18" x14ac:dyDescent="0.2">
      <c r="B3499" s="5"/>
      <c r="F3499" s="5"/>
      <c r="J3499" s="5"/>
      <c r="N3499" s="5"/>
      <c r="R3499" s="5"/>
    </row>
    <row r="3500" spans="2:18" x14ac:dyDescent="0.2">
      <c r="B3500" s="5"/>
      <c r="F3500" s="5"/>
      <c r="J3500" s="5"/>
      <c r="N3500" s="5"/>
      <c r="R3500" s="5"/>
    </row>
    <row r="3501" spans="2:18" x14ac:dyDescent="0.2">
      <c r="B3501" s="5"/>
      <c r="F3501" s="5"/>
      <c r="J3501" s="5"/>
      <c r="N3501" s="5"/>
      <c r="R3501" s="5"/>
    </row>
    <row r="3502" spans="2:18" x14ac:dyDescent="0.2">
      <c r="B3502" s="5"/>
      <c r="F3502" s="5"/>
      <c r="J3502" s="5"/>
      <c r="N3502" s="5"/>
      <c r="R3502" s="5"/>
    </row>
    <row r="3503" spans="2:18" x14ac:dyDescent="0.2">
      <c r="B3503" s="5"/>
      <c r="F3503" s="5"/>
      <c r="J3503" s="5"/>
      <c r="N3503" s="5"/>
      <c r="R3503" s="5"/>
    </row>
    <row r="3504" spans="2:18" x14ac:dyDescent="0.2">
      <c r="B3504" s="5"/>
      <c r="F3504" s="5"/>
      <c r="J3504" s="5"/>
      <c r="N3504" s="5"/>
      <c r="R3504" s="5"/>
    </row>
    <row r="3505" spans="2:18" x14ac:dyDescent="0.2">
      <c r="B3505" s="5"/>
      <c r="F3505" s="5"/>
      <c r="J3505" s="5"/>
      <c r="N3505" s="5"/>
      <c r="R3505" s="5"/>
    </row>
    <row r="3506" spans="2:18" x14ac:dyDescent="0.2">
      <c r="B3506" s="5"/>
      <c r="F3506" s="5"/>
      <c r="J3506" s="5"/>
      <c r="N3506" s="5"/>
      <c r="R3506" s="5"/>
    </row>
    <row r="3507" spans="2:18" x14ac:dyDescent="0.2">
      <c r="B3507" s="5"/>
      <c r="F3507" s="5"/>
      <c r="J3507" s="5"/>
      <c r="N3507" s="5"/>
      <c r="R3507" s="5"/>
    </row>
    <row r="3508" spans="2:18" x14ac:dyDescent="0.2">
      <c r="B3508" s="5"/>
      <c r="F3508" s="5"/>
      <c r="J3508" s="5"/>
      <c r="N3508" s="5"/>
      <c r="R3508" s="5"/>
    </row>
    <row r="3509" spans="2:18" x14ac:dyDescent="0.2">
      <c r="B3509" s="5"/>
      <c r="F3509" s="5"/>
      <c r="J3509" s="5"/>
      <c r="N3509" s="5"/>
      <c r="R3509" s="5"/>
    </row>
    <row r="3510" spans="2:18" x14ac:dyDescent="0.2">
      <c r="B3510" s="5"/>
      <c r="F3510" s="5"/>
      <c r="J3510" s="5"/>
      <c r="N3510" s="5"/>
      <c r="R3510" s="5"/>
    </row>
    <row r="3511" spans="2:18" x14ac:dyDescent="0.2">
      <c r="B3511" s="5"/>
      <c r="F3511" s="5"/>
      <c r="J3511" s="5"/>
      <c r="N3511" s="5"/>
      <c r="R3511" s="5"/>
    </row>
    <row r="3512" spans="2:18" x14ac:dyDescent="0.2">
      <c r="B3512" s="5"/>
      <c r="F3512" s="5"/>
      <c r="J3512" s="5"/>
      <c r="N3512" s="5"/>
      <c r="R3512" s="5"/>
    </row>
    <row r="3513" spans="2:18" x14ac:dyDescent="0.2">
      <c r="B3513" s="5"/>
      <c r="F3513" s="5"/>
      <c r="J3513" s="5"/>
      <c r="N3513" s="5"/>
      <c r="R3513" s="5"/>
    </row>
    <row r="3514" spans="2:18" x14ac:dyDescent="0.2">
      <c r="B3514" s="5"/>
      <c r="F3514" s="5"/>
      <c r="J3514" s="5"/>
      <c r="N3514" s="5"/>
      <c r="R3514" s="5"/>
    </row>
    <row r="3515" spans="2:18" x14ac:dyDescent="0.2">
      <c r="B3515" s="5"/>
      <c r="F3515" s="5"/>
      <c r="J3515" s="5"/>
      <c r="N3515" s="5"/>
      <c r="R3515" s="5"/>
    </row>
    <row r="3516" spans="2:18" x14ac:dyDescent="0.2">
      <c r="B3516" s="5"/>
      <c r="F3516" s="5"/>
      <c r="J3516" s="5"/>
      <c r="N3516" s="5"/>
      <c r="R3516" s="5"/>
    </row>
    <row r="3517" spans="2:18" x14ac:dyDescent="0.2">
      <c r="B3517" s="5"/>
      <c r="F3517" s="5"/>
      <c r="J3517" s="5"/>
      <c r="N3517" s="5"/>
      <c r="R3517" s="5"/>
    </row>
    <row r="3518" spans="2:18" x14ac:dyDescent="0.2">
      <c r="B3518" s="5"/>
      <c r="F3518" s="5"/>
      <c r="J3518" s="5"/>
      <c r="N3518" s="5"/>
      <c r="R3518" s="5"/>
    </row>
    <row r="3519" spans="2:18" x14ac:dyDescent="0.2">
      <c r="B3519" s="5"/>
      <c r="F3519" s="5"/>
      <c r="J3519" s="5"/>
      <c r="N3519" s="5"/>
      <c r="R3519" s="5"/>
    </row>
    <row r="3520" spans="2:18" x14ac:dyDescent="0.2">
      <c r="B3520" s="5"/>
      <c r="F3520" s="5"/>
      <c r="J3520" s="5"/>
      <c r="N3520" s="5"/>
      <c r="R3520" s="5"/>
    </row>
    <row r="3521" spans="2:18" x14ac:dyDescent="0.2">
      <c r="B3521" s="5"/>
      <c r="F3521" s="5"/>
      <c r="J3521" s="5"/>
      <c r="N3521" s="5"/>
      <c r="R3521" s="5"/>
    </row>
    <row r="3522" spans="2:18" x14ac:dyDescent="0.2">
      <c r="B3522" s="5"/>
      <c r="F3522" s="5"/>
      <c r="J3522" s="5"/>
      <c r="N3522" s="5"/>
      <c r="R3522" s="5"/>
    </row>
    <row r="3523" spans="2:18" x14ac:dyDescent="0.2">
      <c r="B3523" s="5"/>
      <c r="F3523" s="5"/>
      <c r="J3523" s="5"/>
      <c r="N3523" s="5"/>
      <c r="R3523" s="5"/>
    </row>
    <row r="3524" spans="2:18" x14ac:dyDescent="0.2">
      <c r="B3524" s="5"/>
      <c r="F3524" s="5"/>
      <c r="J3524" s="5"/>
      <c r="N3524" s="5"/>
      <c r="R3524" s="5"/>
    </row>
    <row r="3525" spans="2:18" x14ac:dyDescent="0.2">
      <c r="B3525" s="5"/>
      <c r="F3525" s="5"/>
      <c r="J3525" s="5"/>
      <c r="N3525" s="5"/>
      <c r="R3525" s="5"/>
    </row>
    <row r="3526" spans="2:18" x14ac:dyDescent="0.2">
      <c r="B3526" s="5"/>
      <c r="F3526" s="5"/>
      <c r="J3526" s="5"/>
      <c r="N3526" s="5"/>
      <c r="R3526" s="5"/>
    </row>
    <row r="3527" spans="2:18" x14ac:dyDescent="0.2">
      <c r="B3527" s="5"/>
      <c r="F3527" s="5"/>
      <c r="J3527" s="5"/>
      <c r="N3527" s="5"/>
      <c r="R3527" s="5"/>
    </row>
    <row r="3528" spans="2:18" x14ac:dyDescent="0.2">
      <c r="B3528" s="5"/>
      <c r="F3528" s="5"/>
      <c r="J3528" s="5"/>
      <c r="N3528" s="5"/>
      <c r="R3528" s="5"/>
    </row>
    <row r="3529" spans="2:18" x14ac:dyDescent="0.2">
      <c r="B3529" s="5"/>
      <c r="F3529" s="5"/>
      <c r="J3529" s="5"/>
      <c r="N3529" s="5"/>
      <c r="R3529" s="5"/>
    </row>
    <row r="3530" spans="2:18" x14ac:dyDescent="0.2">
      <c r="B3530" s="5"/>
      <c r="F3530" s="5"/>
      <c r="J3530" s="5"/>
      <c r="N3530" s="5"/>
      <c r="R3530" s="5"/>
    </row>
    <row r="3531" spans="2:18" x14ac:dyDescent="0.2">
      <c r="B3531" s="5"/>
      <c r="F3531" s="5"/>
      <c r="J3531" s="5"/>
      <c r="N3531" s="5"/>
      <c r="R3531" s="5"/>
    </row>
    <row r="3532" spans="2:18" x14ac:dyDescent="0.2">
      <c r="B3532" s="5"/>
      <c r="F3532" s="5"/>
      <c r="J3532" s="5"/>
      <c r="N3532" s="5"/>
      <c r="R3532" s="5"/>
    </row>
    <row r="3533" spans="2:18" x14ac:dyDescent="0.2">
      <c r="B3533" s="5"/>
      <c r="F3533" s="5"/>
      <c r="J3533" s="5"/>
      <c r="N3533" s="5"/>
      <c r="R3533" s="5"/>
    </row>
    <row r="3534" spans="2:18" x14ac:dyDescent="0.2">
      <c r="B3534" s="5"/>
      <c r="F3534" s="5"/>
      <c r="J3534" s="5"/>
      <c r="N3534" s="5"/>
      <c r="R3534" s="5"/>
    </row>
    <row r="3535" spans="2:18" x14ac:dyDescent="0.2">
      <c r="B3535" s="5"/>
      <c r="F3535" s="5"/>
      <c r="J3535" s="5"/>
      <c r="N3535" s="5"/>
      <c r="R3535" s="5"/>
    </row>
    <row r="3536" spans="2:18" x14ac:dyDescent="0.2">
      <c r="B3536" s="5"/>
      <c r="F3536" s="5"/>
      <c r="J3536" s="5"/>
      <c r="N3536" s="5"/>
      <c r="R3536" s="5"/>
    </row>
    <row r="3537" spans="2:18" x14ac:dyDescent="0.2">
      <c r="B3537" s="5"/>
      <c r="F3537" s="5"/>
      <c r="J3537" s="5"/>
      <c r="N3537" s="5"/>
      <c r="R3537" s="5"/>
    </row>
    <row r="3538" spans="2:18" x14ac:dyDescent="0.2">
      <c r="B3538" s="5"/>
      <c r="F3538" s="5"/>
      <c r="J3538" s="5"/>
      <c r="N3538" s="5"/>
      <c r="R3538" s="5"/>
    </row>
    <row r="3539" spans="2:18" x14ac:dyDescent="0.2">
      <c r="B3539" s="5"/>
      <c r="F3539" s="5"/>
      <c r="J3539" s="5"/>
      <c r="N3539" s="5"/>
      <c r="R3539" s="5"/>
    </row>
    <row r="3540" spans="2:18" x14ac:dyDescent="0.2">
      <c r="B3540" s="5"/>
      <c r="F3540" s="5"/>
      <c r="J3540" s="5"/>
      <c r="N3540" s="5"/>
      <c r="R3540" s="5"/>
    </row>
    <row r="3541" spans="2:18" x14ac:dyDescent="0.2">
      <c r="B3541" s="5"/>
      <c r="F3541" s="5"/>
      <c r="J3541" s="5"/>
      <c r="N3541" s="5"/>
      <c r="R3541" s="5"/>
    </row>
    <row r="3542" spans="2:18" x14ac:dyDescent="0.2">
      <c r="B3542" s="5"/>
      <c r="F3542" s="5"/>
      <c r="J3542" s="5"/>
      <c r="N3542" s="5"/>
      <c r="R3542" s="5"/>
    </row>
    <row r="3543" spans="2:18" x14ac:dyDescent="0.2">
      <c r="B3543" s="5"/>
      <c r="F3543" s="5"/>
      <c r="J3543" s="5"/>
      <c r="N3543" s="5"/>
      <c r="R3543" s="5"/>
    </row>
    <row r="3544" spans="2:18" x14ac:dyDescent="0.2">
      <c r="B3544" s="5"/>
      <c r="F3544" s="5"/>
      <c r="J3544" s="5"/>
      <c r="N3544" s="5"/>
      <c r="R3544" s="5"/>
    </row>
    <row r="3545" spans="2:18" x14ac:dyDescent="0.2">
      <c r="B3545" s="5"/>
      <c r="F3545" s="5"/>
      <c r="J3545" s="5"/>
      <c r="N3545" s="5"/>
      <c r="R3545" s="5"/>
    </row>
    <row r="3546" spans="2:18" x14ac:dyDescent="0.2">
      <c r="B3546" s="5"/>
      <c r="F3546" s="5"/>
      <c r="J3546" s="5"/>
      <c r="N3546" s="5"/>
      <c r="R3546" s="5"/>
    </row>
    <row r="3547" spans="2:18" x14ac:dyDescent="0.2">
      <c r="B3547" s="5"/>
      <c r="F3547" s="5"/>
      <c r="J3547" s="5"/>
      <c r="N3547" s="5"/>
      <c r="R3547" s="5"/>
    </row>
    <row r="3548" spans="2:18" x14ac:dyDescent="0.2">
      <c r="B3548" s="5"/>
      <c r="F3548" s="5"/>
      <c r="J3548" s="5"/>
      <c r="N3548" s="5"/>
      <c r="R3548" s="5"/>
    </row>
    <row r="3549" spans="2:18" x14ac:dyDescent="0.2">
      <c r="B3549" s="5"/>
      <c r="F3549" s="5"/>
      <c r="J3549" s="5"/>
      <c r="N3549" s="5"/>
      <c r="R3549" s="5"/>
    </row>
    <row r="3550" spans="2:18" x14ac:dyDescent="0.2">
      <c r="B3550" s="5"/>
      <c r="F3550" s="5"/>
      <c r="J3550" s="5"/>
      <c r="N3550" s="5"/>
      <c r="R3550" s="5"/>
    </row>
    <row r="3551" spans="2:18" x14ac:dyDescent="0.2">
      <c r="B3551" s="5"/>
      <c r="F3551" s="5"/>
      <c r="J3551" s="5"/>
      <c r="N3551" s="5"/>
      <c r="R3551" s="5"/>
    </row>
    <row r="3552" spans="2:18" x14ac:dyDescent="0.2">
      <c r="B3552" s="5"/>
      <c r="F3552" s="5"/>
      <c r="J3552" s="5"/>
      <c r="N3552" s="5"/>
      <c r="R3552" s="5"/>
    </row>
    <row r="3553" spans="2:18" x14ac:dyDescent="0.2">
      <c r="B3553" s="5"/>
      <c r="F3553" s="5"/>
      <c r="J3553" s="5"/>
      <c r="N3553" s="5"/>
      <c r="R3553" s="5"/>
    </row>
    <row r="3554" spans="2:18" x14ac:dyDescent="0.2">
      <c r="B3554" s="5"/>
      <c r="F3554" s="5"/>
      <c r="J3554" s="5"/>
      <c r="N3554" s="5"/>
      <c r="R3554" s="5"/>
    </row>
    <row r="3555" spans="2:18" x14ac:dyDescent="0.2">
      <c r="B3555" s="5"/>
      <c r="F3555" s="5"/>
      <c r="J3555" s="5"/>
      <c r="N3555" s="5"/>
      <c r="R3555" s="5"/>
    </row>
    <row r="3556" spans="2:18" x14ac:dyDescent="0.2">
      <c r="B3556" s="5"/>
      <c r="F3556" s="5"/>
      <c r="J3556" s="5"/>
      <c r="N3556" s="5"/>
      <c r="R3556" s="5"/>
    </row>
    <row r="3557" spans="2:18" x14ac:dyDescent="0.2">
      <c r="B3557" s="5"/>
      <c r="F3557" s="5"/>
      <c r="J3557" s="5"/>
      <c r="N3557" s="5"/>
      <c r="R3557" s="5"/>
    </row>
    <row r="3558" spans="2:18" x14ac:dyDescent="0.2">
      <c r="B3558" s="5"/>
      <c r="F3558" s="5"/>
      <c r="J3558" s="5"/>
      <c r="N3558" s="5"/>
      <c r="R3558" s="5"/>
    </row>
    <row r="3559" spans="2:18" x14ac:dyDescent="0.2">
      <c r="B3559" s="5"/>
      <c r="F3559" s="5"/>
      <c r="J3559" s="5"/>
      <c r="N3559" s="5"/>
      <c r="R3559" s="5"/>
    </row>
    <row r="3560" spans="2:18" x14ac:dyDescent="0.2">
      <c r="B3560" s="5"/>
      <c r="F3560" s="5"/>
      <c r="J3560" s="5"/>
      <c r="N3560" s="5"/>
      <c r="R3560" s="5"/>
    </row>
    <row r="3561" spans="2:18" x14ac:dyDescent="0.2">
      <c r="B3561" s="5"/>
      <c r="F3561" s="5"/>
      <c r="J3561" s="5"/>
      <c r="N3561" s="5"/>
      <c r="R3561" s="5"/>
    </row>
    <row r="3562" spans="2:18" x14ac:dyDescent="0.2">
      <c r="B3562" s="5"/>
      <c r="F3562" s="5"/>
      <c r="J3562" s="5"/>
      <c r="N3562" s="5"/>
      <c r="R3562" s="5"/>
    </row>
    <row r="3563" spans="2:18" x14ac:dyDescent="0.2">
      <c r="B3563" s="5"/>
      <c r="F3563" s="5"/>
      <c r="J3563" s="5"/>
      <c r="N3563" s="5"/>
      <c r="R3563" s="5"/>
    </row>
    <row r="3564" spans="2:18" x14ac:dyDescent="0.2">
      <c r="B3564" s="5"/>
      <c r="F3564" s="5"/>
      <c r="J3564" s="5"/>
      <c r="N3564" s="5"/>
      <c r="R3564" s="5"/>
    </row>
    <row r="3565" spans="2:18" x14ac:dyDescent="0.2">
      <c r="B3565" s="5"/>
      <c r="F3565" s="5"/>
      <c r="J3565" s="5"/>
      <c r="N3565" s="5"/>
      <c r="R3565" s="5"/>
    </row>
    <row r="3566" spans="2:18" x14ac:dyDescent="0.2">
      <c r="B3566" s="5"/>
      <c r="F3566" s="5"/>
      <c r="J3566" s="5"/>
      <c r="N3566" s="5"/>
      <c r="R3566" s="5"/>
    </row>
    <row r="3567" spans="2:18" x14ac:dyDescent="0.2">
      <c r="B3567" s="5"/>
      <c r="F3567" s="5"/>
      <c r="J3567" s="5"/>
      <c r="N3567" s="5"/>
      <c r="R3567" s="5"/>
    </row>
    <row r="3568" spans="2:18" x14ac:dyDescent="0.2">
      <c r="B3568" s="5"/>
      <c r="F3568" s="5"/>
      <c r="J3568" s="5"/>
      <c r="N3568" s="5"/>
      <c r="R3568" s="5"/>
    </row>
    <row r="3569" spans="2:18" x14ac:dyDescent="0.2">
      <c r="B3569" s="5"/>
      <c r="F3569" s="5"/>
      <c r="J3569" s="5"/>
      <c r="N3569" s="5"/>
      <c r="R3569" s="5"/>
    </row>
    <row r="3570" spans="2:18" x14ac:dyDescent="0.2">
      <c r="B3570" s="5"/>
      <c r="F3570" s="5"/>
      <c r="J3570" s="5"/>
      <c r="N3570" s="5"/>
      <c r="R3570" s="5"/>
    </row>
    <row r="3571" spans="2:18" x14ac:dyDescent="0.2">
      <c r="B3571" s="5"/>
      <c r="F3571" s="5"/>
      <c r="J3571" s="5"/>
      <c r="N3571" s="5"/>
      <c r="R3571" s="5"/>
    </row>
    <row r="3572" spans="2:18" x14ac:dyDescent="0.2">
      <c r="B3572" s="5"/>
      <c r="F3572" s="5"/>
      <c r="J3572" s="5"/>
      <c r="N3572" s="5"/>
      <c r="R3572" s="5"/>
    </row>
    <row r="3573" spans="2:18" x14ac:dyDescent="0.2">
      <c r="B3573" s="5"/>
      <c r="F3573" s="5"/>
      <c r="J3573" s="5"/>
      <c r="N3573" s="5"/>
      <c r="R3573" s="5"/>
    </row>
    <row r="3574" spans="2:18" x14ac:dyDescent="0.2">
      <c r="B3574" s="5"/>
      <c r="F3574" s="5"/>
      <c r="J3574" s="5"/>
      <c r="N3574" s="5"/>
      <c r="R3574" s="5"/>
    </row>
    <row r="3575" spans="2:18" x14ac:dyDescent="0.2">
      <c r="B3575" s="5"/>
      <c r="F3575" s="5"/>
      <c r="J3575" s="5"/>
      <c r="N3575" s="5"/>
      <c r="R3575" s="5"/>
    </row>
    <row r="3576" spans="2:18" x14ac:dyDescent="0.2">
      <c r="B3576" s="5"/>
      <c r="F3576" s="5"/>
      <c r="J3576" s="5"/>
      <c r="N3576" s="5"/>
      <c r="R3576" s="5"/>
    </row>
    <row r="3577" spans="2:18" x14ac:dyDescent="0.2">
      <c r="B3577" s="5"/>
      <c r="F3577" s="5"/>
      <c r="J3577" s="5"/>
      <c r="N3577" s="5"/>
      <c r="R3577" s="5"/>
    </row>
    <row r="3578" spans="2:18" x14ac:dyDescent="0.2">
      <c r="B3578" s="5"/>
      <c r="F3578" s="5"/>
      <c r="J3578" s="5"/>
      <c r="N3578" s="5"/>
      <c r="R3578" s="5"/>
    </row>
    <row r="3579" spans="2:18" x14ac:dyDescent="0.2">
      <c r="B3579" s="5"/>
      <c r="F3579" s="5"/>
      <c r="J3579" s="5"/>
      <c r="N3579" s="5"/>
      <c r="R3579" s="5"/>
    </row>
    <row r="3580" spans="2:18" x14ac:dyDescent="0.2">
      <c r="B3580" s="5"/>
      <c r="F3580" s="5"/>
      <c r="J3580" s="5"/>
      <c r="N3580" s="5"/>
      <c r="R3580" s="5"/>
    </row>
    <row r="3581" spans="2:18" x14ac:dyDescent="0.2">
      <c r="B3581" s="5"/>
      <c r="F3581" s="5"/>
      <c r="J3581" s="5"/>
      <c r="N3581" s="5"/>
      <c r="R3581" s="5"/>
    </row>
    <row r="3582" spans="2:18" x14ac:dyDescent="0.2">
      <c r="B3582" s="5"/>
      <c r="F3582" s="5"/>
      <c r="J3582" s="5"/>
      <c r="N3582" s="5"/>
      <c r="R3582" s="5"/>
    </row>
    <row r="3583" spans="2:18" x14ac:dyDescent="0.2">
      <c r="B3583" s="5"/>
      <c r="F3583" s="5"/>
      <c r="J3583" s="5"/>
      <c r="N3583" s="5"/>
      <c r="R3583" s="5"/>
    </row>
    <row r="3584" spans="2:18" x14ac:dyDescent="0.2">
      <c r="B3584" s="5"/>
      <c r="F3584" s="5"/>
      <c r="J3584" s="5"/>
      <c r="N3584" s="5"/>
      <c r="R3584" s="5"/>
    </row>
    <row r="3585" spans="2:18" x14ac:dyDescent="0.2">
      <c r="B3585" s="5"/>
      <c r="F3585" s="5"/>
      <c r="J3585" s="5"/>
      <c r="N3585" s="5"/>
      <c r="R3585" s="5"/>
    </row>
    <row r="3586" spans="2:18" x14ac:dyDescent="0.2">
      <c r="B3586" s="5"/>
      <c r="F3586" s="5"/>
      <c r="J3586" s="5"/>
      <c r="N3586" s="5"/>
      <c r="R3586" s="5"/>
    </row>
    <row r="3587" spans="2:18" x14ac:dyDescent="0.2">
      <c r="B3587" s="5"/>
      <c r="F3587" s="5"/>
      <c r="J3587" s="5"/>
      <c r="N3587" s="5"/>
      <c r="R3587" s="5"/>
    </row>
    <row r="3588" spans="2:18" x14ac:dyDescent="0.2">
      <c r="B3588" s="5"/>
      <c r="F3588" s="5"/>
      <c r="J3588" s="5"/>
      <c r="N3588" s="5"/>
      <c r="R3588" s="5"/>
    </row>
    <row r="3589" spans="2:18" x14ac:dyDescent="0.2">
      <c r="B3589" s="5"/>
      <c r="F3589" s="5"/>
      <c r="J3589" s="5"/>
      <c r="N3589" s="5"/>
      <c r="R3589" s="5"/>
    </row>
    <row r="3590" spans="2:18" x14ac:dyDescent="0.2">
      <c r="B3590" s="5"/>
      <c r="F3590" s="5"/>
      <c r="J3590" s="5"/>
      <c r="N3590" s="5"/>
      <c r="R3590" s="5"/>
    </row>
    <row r="3591" spans="2:18" x14ac:dyDescent="0.2">
      <c r="B3591" s="5"/>
      <c r="F3591" s="5"/>
      <c r="J3591" s="5"/>
      <c r="N3591" s="5"/>
      <c r="R3591" s="5"/>
    </row>
    <row r="3592" spans="2:18" x14ac:dyDescent="0.2">
      <c r="B3592" s="5"/>
      <c r="F3592" s="5"/>
      <c r="J3592" s="5"/>
      <c r="N3592" s="5"/>
      <c r="R3592" s="5"/>
    </row>
    <row r="3593" spans="2:18" x14ac:dyDescent="0.2">
      <c r="B3593" s="5"/>
      <c r="F3593" s="5"/>
      <c r="J3593" s="5"/>
      <c r="N3593" s="5"/>
      <c r="R3593" s="5"/>
    </row>
    <row r="3594" spans="2:18" x14ac:dyDescent="0.2">
      <c r="B3594" s="5"/>
      <c r="F3594" s="5"/>
      <c r="J3594" s="5"/>
      <c r="N3594" s="5"/>
      <c r="R3594" s="5"/>
    </row>
    <row r="3595" spans="2:18" x14ac:dyDescent="0.2">
      <c r="B3595" s="5"/>
      <c r="F3595" s="5"/>
      <c r="J3595" s="5"/>
      <c r="N3595" s="5"/>
      <c r="R3595" s="5"/>
    </row>
    <row r="3596" spans="2:18" x14ac:dyDescent="0.2">
      <c r="B3596" s="5"/>
      <c r="F3596" s="5"/>
      <c r="J3596" s="5"/>
      <c r="N3596" s="5"/>
      <c r="R3596" s="5"/>
    </row>
    <row r="3597" spans="2:18" x14ac:dyDescent="0.2">
      <c r="B3597" s="5"/>
      <c r="F3597" s="5"/>
      <c r="J3597" s="5"/>
      <c r="N3597" s="5"/>
      <c r="R3597" s="5"/>
    </row>
    <row r="3598" spans="2:18" x14ac:dyDescent="0.2">
      <c r="B3598" s="5"/>
      <c r="F3598" s="5"/>
      <c r="J3598" s="5"/>
      <c r="N3598" s="5"/>
      <c r="R3598" s="5"/>
    </row>
    <row r="3599" spans="2:18" x14ac:dyDescent="0.2">
      <c r="B3599" s="5"/>
      <c r="F3599" s="5"/>
      <c r="J3599" s="5"/>
      <c r="N3599" s="5"/>
      <c r="R3599" s="5"/>
    </row>
    <row r="3600" spans="2:18" x14ac:dyDescent="0.2">
      <c r="B3600" s="5"/>
      <c r="F3600" s="5"/>
      <c r="J3600" s="5"/>
      <c r="N3600" s="5"/>
      <c r="R3600" s="5"/>
    </row>
    <row r="3601" spans="2:18" x14ac:dyDescent="0.2">
      <c r="B3601" s="5"/>
      <c r="F3601" s="5"/>
      <c r="J3601" s="5"/>
      <c r="N3601" s="5"/>
      <c r="R3601" s="5"/>
    </row>
    <row r="3602" spans="2:18" x14ac:dyDescent="0.2">
      <c r="B3602" s="5"/>
      <c r="F3602" s="5"/>
      <c r="J3602" s="5"/>
      <c r="N3602" s="5"/>
      <c r="R3602" s="5"/>
    </row>
    <row r="3603" spans="2:18" x14ac:dyDescent="0.2">
      <c r="B3603" s="5"/>
      <c r="F3603" s="5"/>
      <c r="J3603" s="5"/>
      <c r="N3603" s="5"/>
      <c r="R3603" s="5"/>
    </row>
    <row r="3604" spans="2:18" x14ac:dyDescent="0.2">
      <c r="B3604" s="5"/>
      <c r="F3604" s="5"/>
      <c r="J3604" s="5"/>
      <c r="N3604" s="5"/>
      <c r="R3604" s="5"/>
    </row>
    <row r="3605" spans="2:18" x14ac:dyDescent="0.2">
      <c r="B3605" s="5"/>
      <c r="F3605" s="5"/>
      <c r="J3605" s="5"/>
      <c r="N3605" s="5"/>
      <c r="R3605" s="5"/>
    </row>
    <row r="3606" spans="2:18" x14ac:dyDescent="0.2">
      <c r="B3606" s="5"/>
      <c r="F3606" s="5"/>
      <c r="J3606" s="5"/>
      <c r="N3606" s="5"/>
      <c r="R3606" s="5"/>
    </row>
    <row r="3607" spans="2:18" x14ac:dyDescent="0.2">
      <c r="B3607" s="5"/>
      <c r="F3607" s="5"/>
      <c r="J3607" s="5"/>
      <c r="N3607" s="5"/>
      <c r="R3607" s="5"/>
    </row>
    <row r="3608" spans="2:18" x14ac:dyDescent="0.2">
      <c r="B3608" s="5"/>
      <c r="F3608" s="5"/>
      <c r="J3608" s="5"/>
      <c r="N3608" s="5"/>
      <c r="R3608" s="5"/>
    </row>
    <row r="3609" spans="2:18" x14ac:dyDescent="0.2">
      <c r="B3609" s="5"/>
      <c r="F3609" s="5"/>
      <c r="J3609" s="5"/>
      <c r="N3609" s="5"/>
      <c r="R3609" s="5"/>
    </row>
    <row r="3610" spans="2:18" x14ac:dyDescent="0.2">
      <c r="B3610" s="5"/>
      <c r="F3610" s="5"/>
      <c r="J3610" s="5"/>
      <c r="N3610" s="5"/>
      <c r="R3610" s="5"/>
    </row>
    <row r="3611" spans="2:18" x14ac:dyDescent="0.2">
      <c r="B3611" s="5"/>
      <c r="F3611" s="5"/>
      <c r="J3611" s="5"/>
      <c r="N3611" s="5"/>
      <c r="R3611" s="5"/>
    </row>
    <row r="3612" spans="2:18" x14ac:dyDescent="0.2">
      <c r="B3612" s="5"/>
      <c r="F3612" s="5"/>
      <c r="J3612" s="5"/>
      <c r="N3612" s="5"/>
      <c r="R3612" s="5"/>
    </row>
    <row r="3613" spans="2:18" x14ac:dyDescent="0.2">
      <c r="B3613" s="5"/>
      <c r="F3613" s="5"/>
      <c r="J3613" s="5"/>
      <c r="N3613" s="5"/>
      <c r="R3613" s="5"/>
    </row>
    <row r="3614" spans="2:18" x14ac:dyDescent="0.2">
      <c r="B3614" s="5"/>
      <c r="F3614" s="5"/>
      <c r="J3614" s="5"/>
      <c r="N3614" s="5"/>
      <c r="R3614" s="5"/>
    </row>
    <row r="3615" spans="2:18" x14ac:dyDescent="0.2">
      <c r="B3615" s="5"/>
      <c r="F3615" s="5"/>
      <c r="J3615" s="5"/>
      <c r="N3615" s="5"/>
      <c r="R3615" s="5"/>
    </row>
    <row r="3616" spans="2:18" x14ac:dyDescent="0.2">
      <c r="B3616" s="5"/>
      <c r="F3616" s="5"/>
      <c r="J3616" s="5"/>
      <c r="N3616" s="5"/>
      <c r="R3616" s="5"/>
    </row>
    <row r="3617" spans="2:18" x14ac:dyDescent="0.2">
      <c r="B3617" s="5"/>
      <c r="F3617" s="5"/>
      <c r="J3617" s="5"/>
      <c r="N3617" s="5"/>
      <c r="R3617" s="5"/>
    </row>
    <row r="3618" spans="2:18" x14ac:dyDescent="0.2">
      <c r="B3618" s="5"/>
      <c r="F3618" s="5"/>
      <c r="J3618" s="5"/>
      <c r="N3618" s="5"/>
      <c r="R3618" s="5"/>
    </row>
    <row r="3619" spans="2:18" x14ac:dyDescent="0.2">
      <c r="B3619" s="5"/>
      <c r="F3619" s="5"/>
      <c r="J3619" s="5"/>
      <c r="N3619" s="5"/>
      <c r="R3619" s="5"/>
    </row>
    <row r="3620" spans="2:18" x14ac:dyDescent="0.2">
      <c r="B3620" s="5"/>
      <c r="F3620" s="5"/>
      <c r="J3620" s="5"/>
      <c r="N3620" s="5"/>
      <c r="R3620" s="5"/>
    </row>
    <row r="3621" spans="2:18" x14ac:dyDescent="0.2">
      <c r="B3621" s="5"/>
      <c r="F3621" s="5"/>
      <c r="J3621" s="5"/>
      <c r="N3621" s="5"/>
      <c r="R3621" s="5"/>
    </row>
    <row r="3622" spans="2:18" x14ac:dyDescent="0.2">
      <c r="B3622" s="5"/>
      <c r="F3622" s="5"/>
      <c r="J3622" s="5"/>
      <c r="N3622" s="5"/>
      <c r="R3622" s="5"/>
    </row>
    <row r="3623" spans="2:18" x14ac:dyDescent="0.2">
      <c r="B3623" s="5"/>
      <c r="F3623" s="5"/>
      <c r="J3623" s="5"/>
      <c r="N3623" s="5"/>
      <c r="R3623" s="5"/>
    </row>
    <row r="3624" spans="2:18" x14ac:dyDescent="0.2">
      <c r="B3624" s="5"/>
      <c r="F3624" s="5"/>
      <c r="J3624" s="5"/>
      <c r="N3624" s="5"/>
      <c r="R3624" s="5"/>
    </row>
    <row r="3625" spans="2:18" x14ac:dyDescent="0.2">
      <c r="B3625" s="5"/>
      <c r="F3625" s="5"/>
      <c r="J3625" s="5"/>
      <c r="N3625" s="5"/>
      <c r="R3625" s="5"/>
    </row>
    <row r="3626" spans="2:18" x14ac:dyDescent="0.2">
      <c r="B3626" s="5"/>
      <c r="F3626" s="5"/>
      <c r="J3626" s="5"/>
      <c r="N3626" s="5"/>
      <c r="R3626" s="5"/>
    </row>
    <row r="3627" spans="2:18" x14ac:dyDescent="0.2">
      <c r="B3627" s="5"/>
      <c r="F3627" s="5"/>
      <c r="J3627" s="5"/>
      <c r="N3627" s="5"/>
      <c r="R3627" s="5"/>
    </row>
    <row r="3628" spans="2:18" x14ac:dyDescent="0.2">
      <c r="B3628" s="5"/>
      <c r="F3628" s="5"/>
      <c r="J3628" s="5"/>
      <c r="N3628" s="5"/>
      <c r="R3628" s="5"/>
    </row>
    <row r="3629" spans="2:18" x14ac:dyDescent="0.2">
      <c r="B3629" s="5"/>
      <c r="F3629" s="5"/>
      <c r="J3629" s="5"/>
      <c r="N3629" s="5"/>
      <c r="R3629" s="5"/>
    </row>
    <row r="3630" spans="2:18" x14ac:dyDescent="0.2">
      <c r="B3630" s="5"/>
      <c r="F3630" s="5"/>
      <c r="J3630" s="5"/>
      <c r="N3630" s="5"/>
      <c r="R3630" s="5"/>
    </row>
    <row r="3631" spans="2:18" x14ac:dyDescent="0.2">
      <c r="B3631" s="5"/>
      <c r="F3631" s="5"/>
      <c r="J3631" s="5"/>
      <c r="N3631" s="5"/>
      <c r="R3631" s="5"/>
    </row>
    <row r="3632" spans="2:18" x14ac:dyDescent="0.2">
      <c r="B3632" s="5"/>
      <c r="F3632" s="5"/>
      <c r="J3632" s="5"/>
      <c r="N3632" s="5"/>
      <c r="R3632" s="5"/>
    </row>
    <row r="3633" spans="2:18" x14ac:dyDescent="0.2">
      <c r="B3633" s="5"/>
      <c r="F3633" s="5"/>
      <c r="J3633" s="5"/>
      <c r="N3633" s="5"/>
      <c r="R3633" s="5"/>
    </row>
    <row r="3634" spans="2:18" x14ac:dyDescent="0.2">
      <c r="B3634" s="5"/>
      <c r="F3634" s="5"/>
      <c r="J3634" s="5"/>
      <c r="N3634" s="5"/>
      <c r="R3634" s="5"/>
    </row>
    <row r="3635" spans="2:18" x14ac:dyDescent="0.2">
      <c r="B3635" s="5"/>
      <c r="F3635" s="5"/>
      <c r="J3635" s="5"/>
      <c r="N3635" s="5"/>
      <c r="R3635" s="5"/>
    </row>
    <row r="3636" spans="2:18" x14ac:dyDescent="0.2">
      <c r="B3636" s="5"/>
      <c r="F3636" s="5"/>
      <c r="J3636" s="5"/>
      <c r="N3636" s="5"/>
      <c r="R3636" s="5"/>
    </row>
    <row r="3637" spans="2:18" x14ac:dyDescent="0.2">
      <c r="B3637" s="5"/>
      <c r="F3637" s="5"/>
      <c r="J3637" s="5"/>
      <c r="N3637" s="5"/>
      <c r="R3637" s="5"/>
    </row>
    <row r="3638" spans="2:18" x14ac:dyDescent="0.2">
      <c r="B3638" s="5"/>
      <c r="F3638" s="5"/>
      <c r="J3638" s="5"/>
      <c r="N3638" s="5"/>
      <c r="R3638" s="5"/>
    </row>
    <row r="3639" spans="2:18" x14ac:dyDescent="0.2">
      <c r="B3639" s="5"/>
      <c r="F3639" s="5"/>
      <c r="J3639" s="5"/>
      <c r="N3639" s="5"/>
      <c r="R3639" s="5"/>
    </row>
    <row r="3640" spans="2:18" x14ac:dyDescent="0.2">
      <c r="B3640" s="5"/>
      <c r="F3640" s="5"/>
      <c r="J3640" s="5"/>
      <c r="N3640" s="5"/>
      <c r="R3640" s="5"/>
    </row>
    <row r="3641" spans="2:18" x14ac:dyDescent="0.2">
      <c r="B3641" s="5"/>
      <c r="F3641" s="5"/>
      <c r="J3641" s="5"/>
      <c r="N3641" s="5"/>
      <c r="R3641" s="5"/>
    </row>
    <row r="3642" spans="2:18" x14ac:dyDescent="0.2">
      <c r="B3642" s="5"/>
      <c r="F3642" s="5"/>
      <c r="J3642" s="5"/>
      <c r="N3642" s="5"/>
      <c r="R3642" s="5"/>
    </row>
    <row r="3643" spans="2:18" x14ac:dyDescent="0.2">
      <c r="B3643" s="5"/>
      <c r="F3643" s="5"/>
      <c r="J3643" s="5"/>
      <c r="N3643" s="5"/>
      <c r="R3643" s="5"/>
    </row>
    <row r="3644" spans="2:18" x14ac:dyDescent="0.2">
      <c r="B3644" s="5"/>
      <c r="F3644" s="5"/>
      <c r="J3644" s="5"/>
      <c r="N3644" s="5"/>
      <c r="R3644" s="5"/>
    </row>
    <row r="3645" spans="2:18" x14ac:dyDescent="0.2">
      <c r="B3645" s="5"/>
      <c r="F3645" s="5"/>
      <c r="J3645" s="5"/>
      <c r="N3645" s="5"/>
      <c r="R3645" s="5"/>
    </row>
    <row r="3646" spans="2:18" x14ac:dyDescent="0.2">
      <c r="B3646" s="5"/>
      <c r="F3646" s="5"/>
      <c r="J3646" s="5"/>
      <c r="N3646" s="5"/>
      <c r="R3646" s="5"/>
    </row>
    <row r="3647" spans="2:18" x14ac:dyDescent="0.2">
      <c r="B3647" s="5"/>
      <c r="F3647" s="5"/>
      <c r="J3647" s="5"/>
      <c r="N3647" s="5"/>
      <c r="R3647" s="5"/>
    </row>
    <row r="3648" spans="2:18" x14ac:dyDescent="0.2">
      <c r="B3648" s="5"/>
      <c r="F3648" s="5"/>
      <c r="J3648" s="5"/>
      <c r="N3648" s="5"/>
      <c r="R3648" s="5"/>
    </row>
    <row r="3649" spans="2:18" x14ac:dyDescent="0.2">
      <c r="B3649" s="5"/>
      <c r="F3649" s="5"/>
      <c r="J3649" s="5"/>
      <c r="N3649" s="5"/>
      <c r="R3649" s="5"/>
    </row>
    <row r="3650" spans="2:18" x14ac:dyDescent="0.2">
      <c r="B3650" s="5"/>
      <c r="F3650" s="5"/>
      <c r="J3650" s="5"/>
      <c r="N3650" s="5"/>
      <c r="R3650" s="5"/>
    </row>
    <row r="3651" spans="2:18" x14ac:dyDescent="0.2">
      <c r="B3651" s="5"/>
      <c r="F3651" s="5"/>
      <c r="J3651" s="5"/>
      <c r="N3651" s="5"/>
      <c r="R3651" s="5"/>
    </row>
    <row r="3652" spans="2:18" x14ac:dyDescent="0.2">
      <c r="B3652" s="5"/>
      <c r="F3652" s="5"/>
      <c r="J3652" s="5"/>
      <c r="N3652" s="5"/>
      <c r="R3652" s="5"/>
    </row>
    <row r="3653" spans="2:18" x14ac:dyDescent="0.2">
      <c r="B3653" s="5"/>
      <c r="F3653" s="5"/>
      <c r="J3653" s="5"/>
      <c r="N3653" s="5"/>
      <c r="R3653" s="5"/>
    </row>
    <row r="3654" spans="2:18" x14ac:dyDescent="0.2">
      <c r="B3654" s="5"/>
      <c r="F3654" s="5"/>
      <c r="J3654" s="5"/>
      <c r="N3654" s="5"/>
      <c r="R3654" s="5"/>
    </row>
    <row r="3655" spans="2:18" x14ac:dyDescent="0.2">
      <c r="B3655" s="5"/>
      <c r="F3655" s="5"/>
      <c r="J3655" s="5"/>
      <c r="N3655" s="5"/>
      <c r="R3655" s="5"/>
    </row>
    <row r="3656" spans="2:18" x14ac:dyDescent="0.2">
      <c r="B3656" s="5"/>
      <c r="F3656" s="5"/>
      <c r="J3656" s="5"/>
      <c r="N3656" s="5"/>
      <c r="R3656" s="5"/>
    </row>
    <row r="3657" spans="2:18" x14ac:dyDescent="0.2">
      <c r="B3657" s="5"/>
      <c r="F3657" s="5"/>
      <c r="J3657" s="5"/>
      <c r="N3657" s="5"/>
      <c r="R3657" s="5"/>
    </row>
    <row r="3658" spans="2:18" x14ac:dyDescent="0.2">
      <c r="B3658" s="5"/>
      <c r="F3658" s="5"/>
      <c r="J3658" s="5"/>
      <c r="N3658" s="5"/>
      <c r="R3658" s="5"/>
    </row>
    <row r="3659" spans="2:18" x14ac:dyDescent="0.2">
      <c r="B3659" s="5"/>
      <c r="F3659" s="5"/>
      <c r="J3659" s="5"/>
      <c r="N3659" s="5"/>
      <c r="R3659" s="5"/>
    </row>
    <row r="3660" spans="2:18" x14ac:dyDescent="0.2">
      <c r="B3660" s="5"/>
      <c r="F3660" s="5"/>
      <c r="J3660" s="5"/>
      <c r="N3660" s="5"/>
      <c r="R3660" s="5"/>
    </row>
    <row r="3661" spans="2:18" x14ac:dyDescent="0.2">
      <c r="B3661" s="5"/>
      <c r="F3661" s="5"/>
      <c r="J3661" s="5"/>
      <c r="N3661" s="5"/>
      <c r="R3661" s="5"/>
    </row>
    <row r="3662" spans="2:18" x14ac:dyDescent="0.2">
      <c r="B3662" s="5"/>
      <c r="F3662" s="5"/>
      <c r="J3662" s="5"/>
      <c r="N3662" s="5"/>
      <c r="R3662" s="5"/>
    </row>
    <row r="3663" spans="2:18" x14ac:dyDescent="0.2">
      <c r="B3663" s="5"/>
      <c r="F3663" s="5"/>
      <c r="J3663" s="5"/>
      <c r="N3663" s="5"/>
      <c r="R3663" s="5"/>
    </row>
    <row r="3664" spans="2:18" x14ac:dyDescent="0.2">
      <c r="B3664" s="5"/>
      <c r="F3664" s="5"/>
      <c r="J3664" s="5"/>
      <c r="N3664" s="5"/>
      <c r="R3664" s="5"/>
    </row>
    <row r="3665" spans="2:18" x14ac:dyDescent="0.2">
      <c r="B3665" s="5"/>
      <c r="F3665" s="5"/>
      <c r="J3665" s="5"/>
      <c r="N3665" s="5"/>
      <c r="R3665" s="5"/>
    </row>
    <row r="3666" spans="2:18" x14ac:dyDescent="0.2">
      <c r="B3666" s="5"/>
      <c r="F3666" s="5"/>
      <c r="J3666" s="5"/>
      <c r="N3666" s="5"/>
      <c r="R3666" s="5"/>
    </row>
    <row r="3667" spans="2:18" x14ac:dyDescent="0.2">
      <c r="B3667" s="5"/>
      <c r="F3667" s="5"/>
      <c r="J3667" s="5"/>
      <c r="N3667" s="5"/>
      <c r="R3667" s="5"/>
    </row>
    <row r="3668" spans="2:18" x14ac:dyDescent="0.2">
      <c r="B3668" s="5"/>
      <c r="F3668" s="5"/>
      <c r="J3668" s="5"/>
      <c r="N3668" s="5"/>
      <c r="R3668" s="5"/>
    </row>
    <row r="3669" spans="2:18" x14ac:dyDescent="0.2">
      <c r="B3669" s="5"/>
      <c r="F3669" s="5"/>
      <c r="J3669" s="5"/>
      <c r="N3669" s="5"/>
      <c r="R3669" s="5"/>
    </row>
    <row r="3670" spans="2:18" x14ac:dyDescent="0.2">
      <c r="B3670" s="5"/>
      <c r="F3670" s="5"/>
      <c r="J3670" s="5"/>
      <c r="N3670" s="5"/>
      <c r="R3670" s="5"/>
    </row>
    <row r="3671" spans="2:18" x14ac:dyDescent="0.2">
      <c r="B3671" s="5"/>
      <c r="F3671" s="5"/>
      <c r="J3671" s="5"/>
      <c r="N3671" s="5"/>
      <c r="R3671" s="5"/>
    </row>
    <row r="3672" spans="2:18" x14ac:dyDescent="0.2">
      <c r="B3672" s="5"/>
      <c r="F3672" s="5"/>
      <c r="J3672" s="5"/>
      <c r="N3672" s="5"/>
      <c r="R3672" s="5"/>
    </row>
    <row r="3673" spans="2:18" x14ac:dyDescent="0.2">
      <c r="B3673" s="5"/>
      <c r="F3673" s="5"/>
      <c r="J3673" s="5"/>
      <c r="N3673" s="5"/>
      <c r="R3673" s="5"/>
    </row>
    <row r="3674" spans="2:18" x14ac:dyDescent="0.2">
      <c r="B3674" s="5"/>
      <c r="F3674" s="5"/>
      <c r="J3674" s="5"/>
      <c r="N3674" s="5"/>
      <c r="R3674" s="5"/>
    </row>
    <row r="3675" spans="2:18" x14ac:dyDescent="0.2">
      <c r="B3675" s="5"/>
      <c r="F3675" s="5"/>
      <c r="J3675" s="5"/>
      <c r="N3675" s="5"/>
      <c r="R3675" s="5"/>
    </row>
    <row r="3676" spans="2:18" x14ac:dyDescent="0.2">
      <c r="B3676" s="5"/>
      <c r="F3676" s="5"/>
      <c r="J3676" s="5"/>
      <c r="N3676" s="5"/>
      <c r="R3676" s="5"/>
    </row>
    <row r="3677" spans="2:18" x14ac:dyDescent="0.2">
      <c r="B3677" s="5"/>
      <c r="F3677" s="5"/>
      <c r="J3677" s="5"/>
      <c r="N3677" s="5"/>
      <c r="R3677" s="5"/>
    </row>
    <row r="3678" spans="2:18" x14ac:dyDescent="0.2">
      <c r="B3678" s="5"/>
      <c r="F3678" s="5"/>
      <c r="J3678" s="5"/>
      <c r="N3678" s="5"/>
      <c r="R3678" s="5"/>
    </row>
    <row r="3679" spans="2:18" x14ac:dyDescent="0.2">
      <c r="B3679" s="5"/>
      <c r="F3679" s="5"/>
      <c r="J3679" s="5"/>
      <c r="N3679" s="5"/>
      <c r="R3679" s="5"/>
    </row>
    <row r="3680" spans="2:18" x14ac:dyDescent="0.2">
      <c r="B3680" s="5"/>
      <c r="F3680" s="5"/>
      <c r="J3680" s="5"/>
      <c r="N3680" s="5"/>
      <c r="R3680" s="5"/>
    </row>
    <row r="3681" spans="2:18" x14ac:dyDescent="0.2">
      <c r="B3681" s="5"/>
      <c r="F3681" s="5"/>
      <c r="J3681" s="5"/>
      <c r="N3681" s="5"/>
      <c r="R3681" s="5"/>
    </row>
    <row r="3682" spans="2:18" x14ac:dyDescent="0.2">
      <c r="B3682" s="5"/>
      <c r="F3682" s="5"/>
      <c r="J3682" s="5"/>
      <c r="N3682" s="5"/>
      <c r="R3682" s="5"/>
    </row>
    <row r="3683" spans="2:18" x14ac:dyDescent="0.2">
      <c r="B3683" s="5"/>
      <c r="F3683" s="5"/>
      <c r="J3683" s="5"/>
      <c r="N3683" s="5"/>
      <c r="R3683" s="5"/>
    </row>
    <row r="3684" spans="2:18" x14ac:dyDescent="0.2">
      <c r="B3684" s="5"/>
      <c r="F3684" s="5"/>
      <c r="J3684" s="5"/>
      <c r="N3684" s="5"/>
      <c r="R3684" s="5"/>
    </row>
    <row r="3685" spans="2:18" x14ac:dyDescent="0.2">
      <c r="B3685" s="5"/>
      <c r="F3685" s="5"/>
      <c r="J3685" s="5"/>
      <c r="N3685" s="5"/>
      <c r="R3685" s="5"/>
    </row>
    <row r="3686" spans="2:18" x14ac:dyDescent="0.2">
      <c r="B3686" s="5"/>
      <c r="F3686" s="5"/>
      <c r="J3686" s="5"/>
      <c r="N3686" s="5"/>
      <c r="R3686" s="5"/>
    </row>
    <row r="3687" spans="2:18" x14ac:dyDescent="0.2">
      <c r="B3687" s="5"/>
      <c r="F3687" s="5"/>
      <c r="J3687" s="5"/>
      <c r="N3687" s="5"/>
      <c r="R3687" s="5"/>
    </row>
    <row r="3688" spans="2:18" x14ac:dyDescent="0.2">
      <c r="B3688" s="5"/>
      <c r="F3688" s="5"/>
      <c r="J3688" s="5"/>
      <c r="N3688" s="5"/>
      <c r="R3688" s="5"/>
    </row>
    <row r="3689" spans="2:18" x14ac:dyDescent="0.2">
      <c r="B3689" s="5"/>
      <c r="F3689" s="5"/>
      <c r="J3689" s="5"/>
      <c r="N3689" s="5"/>
      <c r="R3689" s="5"/>
    </row>
    <row r="3690" spans="2:18" x14ac:dyDescent="0.2">
      <c r="B3690" s="5"/>
      <c r="F3690" s="5"/>
      <c r="J3690" s="5"/>
      <c r="N3690" s="5"/>
      <c r="R3690" s="5"/>
    </row>
    <row r="3691" spans="2:18" x14ac:dyDescent="0.2">
      <c r="B3691" s="5"/>
      <c r="F3691" s="5"/>
      <c r="J3691" s="5"/>
      <c r="N3691" s="5"/>
      <c r="R3691" s="5"/>
    </row>
    <row r="3692" spans="2:18" x14ac:dyDescent="0.2">
      <c r="B3692" s="5"/>
      <c r="F3692" s="5"/>
      <c r="J3692" s="5"/>
      <c r="N3692" s="5"/>
      <c r="R3692" s="5"/>
    </row>
    <row r="3693" spans="2:18" x14ac:dyDescent="0.2">
      <c r="B3693" s="5"/>
      <c r="F3693" s="5"/>
      <c r="J3693" s="5"/>
      <c r="N3693" s="5"/>
      <c r="R3693" s="5"/>
    </row>
    <row r="3694" spans="2:18" x14ac:dyDescent="0.2">
      <c r="B3694" s="5"/>
      <c r="F3694" s="5"/>
      <c r="J3694" s="5"/>
      <c r="N3694" s="5"/>
      <c r="R3694" s="5"/>
    </row>
    <row r="3695" spans="2:18" x14ac:dyDescent="0.2">
      <c r="B3695" s="5"/>
      <c r="F3695" s="5"/>
      <c r="J3695" s="5"/>
      <c r="N3695" s="5"/>
      <c r="R3695" s="5"/>
    </row>
    <row r="3696" spans="2:18" x14ac:dyDescent="0.2">
      <c r="B3696" s="5"/>
      <c r="F3696" s="5"/>
      <c r="J3696" s="5"/>
      <c r="N3696" s="5"/>
      <c r="R3696" s="5"/>
    </row>
    <row r="3697" spans="2:18" x14ac:dyDescent="0.2">
      <c r="B3697" s="5"/>
      <c r="F3697" s="5"/>
      <c r="J3697" s="5"/>
      <c r="N3697" s="5"/>
      <c r="R3697" s="5"/>
    </row>
    <row r="3698" spans="2:18" x14ac:dyDescent="0.2">
      <c r="B3698" s="5"/>
      <c r="F3698" s="5"/>
      <c r="J3698" s="5"/>
      <c r="N3698" s="5"/>
      <c r="R3698" s="5"/>
    </row>
    <row r="3699" spans="2:18" x14ac:dyDescent="0.2">
      <c r="B3699" s="5"/>
      <c r="F3699" s="5"/>
      <c r="J3699" s="5"/>
      <c r="N3699" s="5"/>
      <c r="R3699" s="5"/>
    </row>
    <row r="3700" spans="2:18" x14ac:dyDescent="0.2">
      <c r="B3700" s="5"/>
      <c r="F3700" s="5"/>
      <c r="J3700" s="5"/>
      <c r="N3700" s="5"/>
      <c r="R3700" s="5"/>
    </row>
    <row r="3701" spans="2:18" x14ac:dyDescent="0.2">
      <c r="B3701" s="5"/>
      <c r="F3701" s="5"/>
      <c r="J3701" s="5"/>
      <c r="N3701" s="5"/>
      <c r="R3701" s="5"/>
    </row>
    <row r="3702" spans="2:18" x14ac:dyDescent="0.2">
      <c r="B3702" s="5"/>
      <c r="F3702" s="5"/>
      <c r="J3702" s="5"/>
      <c r="N3702" s="5"/>
      <c r="R3702" s="5"/>
    </row>
    <row r="3703" spans="2:18" x14ac:dyDescent="0.2">
      <c r="B3703" s="5"/>
      <c r="F3703" s="5"/>
      <c r="J3703" s="5"/>
      <c r="N3703" s="5"/>
      <c r="R3703" s="5"/>
    </row>
    <row r="3704" spans="2:18" x14ac:dyDescent="0.2">
      <c r="B3704" s="5"/>
      <c r="F3704" s="5"/>
      <c r="J3704" s="5"/>
      <c r="N3704" s="5"/>
      <c r="R3704" s="5"/>
    </row>
    <row r="3705" spans="2:18" x14ac:dyDescent="0.2">
      <c r="B3705" s="5"/>
      <c r="F3705" s="5"/>
      <c r="J3705" s="5"/>
      <c r="N3705" s="5"/>
      <c r="R3705" s="5"/>
    </row>
    <row r="3706" spans="2:18" x14ac:dyDescent="0.2">
      <c r="B3706" s="5"/>
      <c r="F3706" s="5"/>
      <c r="J3706" s="5"/>
      <c r="N3706" s="5"/>
      <c r="R3706" s="5"/>
    </row>
    <row r="3707" spans="2:18" x14ac:dyDescent="0.2">
      <c r="B3707" s="5"/>
      <c r="F3707" s="5"/>
      <c r="J3707" s="5"/>
      <c r="N3707" s="5"/>
      <c r="R3707" s="5"/>
    </row>
    <row r="3708" spans="2:18" x14ac:dyDescent="0.2">
      <c r="B3708" s="5"/>
      <c r="F3708" s="5"/>
      <c r="J3708" s="5"/>
      <c r="N3708" s="5"/>
      <c r="R3708" s="5"/>
    </row>
    <row r="3709" spans="2:18" x14ac:dyDescent="0.2">
      <c r="B3709" s="5"/>
      <c r="F3709" s="5"/>
      <c r="J3709" s="5"/>
      <c r="N3709" s="5"/>
      <c r="R3709" s="5"/>
    </row>
    <row r="3710" spans="2:18" x14ac:dyDescent="0.2">
      <c r="B3710" s="5"/>
      <c r="F3710" s="5"/>
      <c r="J3710" s="5"/>
      <c r="N3710" s="5"/>
      <c r="R3710" s="5"/>
    </row>
    <row r="3711" spans="2:18" x14ac:dyDescent="0.2">
      <c r="B3711" s="5"/>
      <c r="F3711" s="5"/>
      <c r="J3711" s="5"/>
      <c r="N3711" s="5"/>
      <c r="R3711" s="5"/>
    </row>
    <row r="3712" spans="2:18" x14ac:dyDescent="0.2">
      <c r="B3712" s="5"/>
      <c r="F3712" s="5"/>
      <c r="J3712" s="5"/>
      <c r="N3712" s="5"/>
      <c r="R3712" s="5"/>
    </row>
    <row r="3713" spans="2:18" x14ac:dyDescent="0.2">
      <c r="B3713" s="5"/>
      <c r="F3713" s="5"/>
      <c r="J3713" s="5"/>
      <c r="N3713" s="5"/>
      <c r="R3713" s="5"/>
    </row>
    <row r="3714" spans="2:18" x14ac:dyDescent="0.2">
      <c r="B3714" s="5"/>
      <c r="F3714" s="5"/>
      <c r="J3714" s="5"/>
      <c r="N3714" s="5"/>
      <c r="R3714" s="5"/>
    </row>
    <row r="3715" spans="2:18" x14ac:dyDescent="0.2">
      <c r="B3715" s="5"/>
      <c r="F3715" s="5"/>
      <c r="J3715" s="5"/>
      <c r="N3715" s="5"/>
      <c r="R3715" s="5"/>
    </row>
    <row r="3716" spans="2:18" x14ac:dyDescent="0.2">
      <c r="B3716" s="5"/>
      <c r="F3716" s="5"/>
      <c r="J3716" s="5"/>
      <c r="N3716" s="5"/>
      <c r="R3716" s="5"/>
    </row>
    <row r="3717" spans="2:18" x14ac:dyDescent="0.2">
      <c r="B3717" s="5"/>
      <c r="F3717" s="5"/>
      <c r="J3717" s="5"/>
      <c r="N3717" s="5"/>
      <c r="R3717" s="5"/>
    </row>
    <row r="3718" spans="2:18" x14ac:dyDescent="0.2">
      <c r="B3718" s="5"/>
      <c r="F3718" s="5"/>
      <c r="J3718" s="5"/>
      <c r="N3718" s="5"/>
      <c r="R3718" s="5"/>
    </row>
    <row r="3719" spans="2:18" x14ac:dyDescent="0.2">
      <c r="B3719" s="5"/>
      <c r="F3719" s="5"/>
      <c r="J3719" s="5"/>
      <c r="N3719" s="5"/>
      <c r="R3719" s="5"/>
    </row>
    <row r="3720" spans="2:18" x14ac:dyDescent="0.2">
      <c r="B3720" s="5"/>
      <c r="F3720" s="5"/>
      <c r="J3720" s="5"/>
      <c r="N3720" s="5"/>
      <c r="R3720" s="5"/>
    </row>
    <row r="3721" spans="2:18" x14ac:dyDescent="0.2">
      <c r="B3721" s="5"/>
      <c r="F3721" s="5"/>
      <c r="J3721" s="5"/>
      <c r="N3721" s="5"/>
      <c r="R3721" s="5"/>
    </row>
    <row r="3722" spans="2:18" x14ac:dyDescent="0.2">
      <c r="B3722" s="5"/>
      <c r="F3722" s="5"/>
      <c r="J3722" s="5"/>
      <c r="N3722" s="5"/>
      <c r="R3722" s="5"/>
    </row>
    <row r="3723" spans="2:18" x14ac:dyDescent="0.2">
      <c r="B3723" s="5"/>
      <c r="F3723" s="5"/>
      <c r="J3723" s="5"/>
      <c r="N3723" s="5"/>
      <c r="R3723" s="5"/>
    </row>
    <row r="3724" spans="2:18" x14ac:dyDescent="0.2">
      <c r="B3724" s="5"/>
      <c r="F3724" s="5"/>
      <c r="J3724" s="5"/>
      <c r="N3724" s="5"/>
      <c r="R3724" s="5"/>
    </row>
    <row r="3725" spans="2:18" x14ac:dyDescent="0.2">
      <c r="B3725" s="5"/>
      <c r="F3725" s="5"/>
      <c r="J3725" s="5"/>
      <c r="N3725" s="5"/>
      <c r="R3725" s="5"/>
    </row>
    <row r="3726" spans="2:18" x14ac:dyDescent="0.2">
      <c r="B3726" s="5"/>
      <c r="F3726" s="5"/>
      <c r="J3726" s="5"/>
      <c r="N3726" s="5"/>
      <c r="R3726" s="5"/>
    </row>
    <row r="3727" spans="2:18" x14ac:dyDescent="0.2">
      <c r="B3727" s="5"/>
      <c r="F3727" s="5"/>
      <c r="J3727" s="5"/>
      <c r="N3727" s="5"/>
      <c r="R3727" s="5"/>
    </row>
    <row r="3728" spans="2:18" x14ac:dyDescent="0.2">
      <c r="B3728" s="5"/>
      <c r="F3728" s="5"/>
      <c r="J3728" s="5"/>
      <c r="N3728" s="5"/>
      <c r="R3728" s="5"/>
    </row>
    <row r="3729" spans="2:18" x14ac:dyDescent="0.2">
      <c r="B3729" s="5"/>
      <c r="F3729" s="5"/>
      <c r="J3729" s="5"/>
      <c r="N3729" s="5"/>
      <c r="R3729" s="5"/>
    </row>
    <row r="3730" spans="2:18" x14ac:dyDescent="0.2">
      <c r="B3730" s="5"/>
      <c r="F3730" s="5"/>
      <c r="J3730" s="5"/>
      <c r="N3730" s="5"/>
      <c r="R3730" s="5"/>
    </row>
    <row r="3731" spans="2:18" x14ac:dyDescent="0.2">
      <c r="B3731" s="5"/>
      <c r="F3731" s="5"/>
      <c r="J3731" s="5"/>
      <c r="N3731" s="5"/>
      <c r="R3731" s="5"/>
    </row>
    <row r="3732" spans="2:18" x14ac:dyDescent="0.2">
      <c r="B3732" s="5"/>
      <c r="F3732" s="5"/>
      <c r="J3732" s="5"/>
      <c r="N3732" s="5"/>
      <c r="R3732" s="5"/>
    </row>
    <row r="3733" spans="2:18" x14ac:dyDescent="0.2">
      <c r="B3733" s="5"/>
      <c r="F3733" s="5"/>
      <c r="J3733" s="5"/>
      <c r="N3733" s="5"/>
      <c r="R3733" s="5"/>
    </row>
    <row r="3734" spans="2:18" x14ac:dyDescent="0.2">
      <c r="B3734" s="5"/>
      <c r="F3734" s="5"/>
      <c r="J3734" s="5"/>
      <c r="N3734" s="5"/>
      <c r="R3734" s="5"/>
    </row>
    <row r="3735" spans="2:18" x14ac:dyDescent="0.2">
      <c r="B3735" s="5"/>
      <c r="F3735" s="5"/>
      <c r="J3735" s="5"/>
      <c r="N3735" s="5"/>
      <c r="R3735" s="5"/>
    </row>
    <row r="3736" spans="2:18" x14ac:dyDescent="0.2">
      <c r="B3736" s="5"/>
      <c r="F3736" s="5"/>
      <c r="J3736" s="5"/>
      <c r="N3736" s="5"/>
      <c r="R3736" s="5"/>
    </row>
    <row r="3737" spans="2:18" x14ac:dyDescent="0.2">
      <c r="B3737" s="5"/>
      <c r="F3737" s="5"/>
      <c r="J3737" s="5"/>
      <c r="N3737" s="5"/>
      <c r="R3737" s="5"/>
    </row>
    <row r="3738" spans="2:18" x14ac:dyDescent="0.2">
      <c r="B3738" s="5"/>
      <c r="F3738" s="5"/>
      <c r="J3738" s="5"/>
      <c r="N3738" s="5"/>
      <c r="R3738" s="5"/>
    </row>
    <row r="3739" spans="2:18" x14ac:dyDescent="0.2">
      <c r="B3739" s="5"/>
      <c r="F3739" s="5"/>
      <c r="J3739" s="5"/>
      <c r="N3739" s="5"/>
      <c r="R3739" s="5"/>
    </row>
    <row r="3740" spans="2:18" x14ac:dyDescent="0.2">
      <c r="B3740" s="5"/>
      <c r="F3740" s="5"/>
      <c r="J3740" s="5"/>
      <c r="N3740" s="5"/>
      <c r="R3740" s="5"/>
    </row>
    <row r="3741" spans="2:18" x14ac:dyDescent="0.2">
      <c r="B3741" s="5"/>
      <c r="F3741" s="5"/>
      <c r="J3741" s="5"/>
      <c r="N3741" s="5"/>
      <c r="R3741" s="5"/>
    </row>
    <row r="3742" spans="2:18" x14ac:dyDescent="0.2">
      <c r="B3742" s="5"/>
      <c r="F3742" s="5"/>
      <c r="J3742" s="5"/>
      <c r="N3742" s="5"/>
      <c r="R3742" s="5"/>
    </row>
    <row r="3743" spans="2:18" x14ac:dyDescent="0.2">
      <c r="B3743" s="5"/>
      <c r="F3743" s="5"/>
      <c r="J3743" s="5"/>
      <c r="N3743" s="5"/>
      <c r="R3743" s="5"/>
    </row>
    <row r="3744" spans="2:18" x14ac:dyDescent="0.2">
      <c r="B3744" s="5"/>
      <c r="F3744" s="5"/>
      <c r="J3744" s="5"/>
      <c r="N3744" s="5"/>
      <c r="R3744" s="5"/>
    </row>
    <row r="3745" spans="2:18" x14ac:dyDescent="0.2">
      <c r="B3745" s="5"/>
      <c r="F3745" s="5"/>
      <c r="J3745" s="5"/>
      <c r="N3745" s="5"/>
      <c r="R3745" s="5"/>
    </row>
    <row r="3746" spans="2:18" x14ac:dyDescent="0.2">
      <c r="B3746" s="5"/>
      <c r="F3746" s="5"/>
      <c r="J3746" s="5"/>
      <c r="N3746" s="5"/>
      <c r="R3746" s="5"/>
    </row>
    <row r="3747" spans="2:18" x14ac:dyDescent="0.2">
      <c r="B3747" s="5"/>
      <c r="F3747" s="5"/>
      <c r="J3747" s="5"/>
      <c r="N3747" s="5"/>
      <c r="R3747" s="5"/>
    </row>
    <row r="3748" spans="2:18" x14ac:dyDescent="0.2">
      <c r="B3748" s="5"/>
      <c r="F3748" s="5"/>
      <c r="J3748" s="5"/>
      <c r="N3748" s="5"/>
      <c r="R3748" s="5"/>
    </row>
    <row r="3749" spans="2:18" x14ac:dyDescent="0.2">
      <c r="B3749" s="5"/>
      <c r="F3749" s="5"/>
      <c r="J3749" s="5"/>
      <c r="N3749" s="5"/>
      <c r="R3749" s="5"/>
    </row>
    <row r="3750" spans="2:18" x14ac:dyDescent="0.2">
      <c r="B3750" s="5"/>
      <c r="F3750" s="5"/>
      <c r="J3750" s="5"/>
      <c r="N3750" s="5"/>
      <c r="R3750" s="5"/>
    </row>
    <row r="3751" spans="2:18" x14ac:dyDescent="0.2">
      <c r="B3751" s="5"/>
      <c r="F3751" s="5"/>
      <c r="J3751" s="5"/>
      <c r="N3751" s="5"/>
      <c r="R3751" s="5"/>
    </row>
    <row r="3752" spans="2:18" x14ac:dyDescent="0.2">
      <c r="B3752" s="5"/>
      <c r="F3752" s="5"/>
      <c r="J3752" s="5"/>
      <c r="N3752" s="5"/>
      <c r="R3752" s="5"/>
    </row>
    <row r="3753" spans="2:18" x14ac:dyDescent="0.2">
      <c r="B3753" s="5"/>
      <c r="F3753" s="5"/>
      <c r="J3753" s="5"/>
      <c r="N3753" s="5"/>
      <c r="R3753" s="5"/>
    </row>
    <row r="3754" spans="2:18" x14ac:dyDescent="0.2">
      <c r="B3754" s="5"/>
      <c r="F3754" s="5"/>
      <c r="J3754" s="5"/>
      <c r="N3754" s="5"/>
      <c r="R3754" s="5"/>
    </row>
    <row r="3755" spans="2:18" x14ac:dyDescent="0.2">
      <c r="B3755" s="5"/>
      <c r="F3755" s="5"/>
      <c r="J3755" s="5"/>
      <c r="N3755" s="5"/>
      <c r="R3755" s="5"/>
    </row>
    <row r="3756" spans="2:18" x14ac:dyDescent="0.2">
      <c r="B3756" s="5"/>
      <c r="F3756" s="5"/>
      <c r="J3756" s="5"/>
      <c r="N3756" s="5"/>
      <c r="R3756" s="5"/>
    </row>
    <row r="3757" spans="2:18" x14ac:dyDescent="0.2">
      <c r="B3757" s="5"/>
      <c r="F3757" s="5"/>
      <c r="J3757" s="5"/>
      <c r="N3757" s="5"/>
      <c r="R3757" s="5"/>
    </row>
    <row r="3758" spans="2:18" x14ac:dyDescent="0.2">
      <c r="B3758" s="5"/>
      <c r="F3758" s="5"/>
      <c r="J3758" s="5"/>
      <c r="N3758" s="5"/>
      <c r="R3758" s="5"/>
    </row>
    <row r="3759" spans="2:18" x14ac:dyDescent="0.2">
      <c r="B3759" s="5"/>
      <c r="F3759" s="5"/>
      <c r="J3759" s="5"/>
      <c r="N3759" s="5"/>
      <c r="R3759" s="5"/>
    </row>
    <row r="3760" spans="2:18" x14ac:dyDescent="0.2">
      <c r="B3760" s="5"/>
      <c r="F3760" s="5"/>
      <c r="J3760" s="5"/>
      <c r="N3760" s="5"/>
      <c r="R3760" s="5"/>
    </row>
    <row r="3761" spans="2:18" x14ac:dyDescent="0.2">
      <c r="B3761" s="5"/>
      <c r="F3761" s="5"/>
      <c r="J3761" s="5"/>
      <c r="N3761" s="5"/>
      <c r="R3761" s="5"/>
    </row>
    <row r="3762" spans="2:18" x14ac:dyDescent="0.2">
      <c r="B3762" s="5"/>
      <c r="F3762" s="5"/>
      <c r="J3762" s="5"/>
      <c r="N3762" s="5"/>
      <c r="R3762" s="5"/>
    </row>
    <row r="3763" spans="2:18" x14ac:dyDescent="0.2">
      <c r="B3763" s="5"/>
      <c r="F3763" s="5"/>
      <c r="J3763" s="5"/>
      <c r="N3763" s="5"/>
      <c r="R3763" s="5"/>
    </row>
    <row r="3764" spans="2:18" x14ac:dyDescent="0.2">
      <c r="B3764" s="5"/>
      <c r="F3764" s="5"/>
      <c r="J3764" s="5"/>
      <c r="N3764" s="5"/>
      <c r="R3764" s="5"/>
    </row>
    <row r="3765" spans="2:18" x14ac:dyDescent="0.2">
      <c r="B3765" s="5"/>
      <c r="F3765" s="5"/>
      <c r="J3765" s="5"/>
      <c r="N3765" s="5"/>
      <c r="R3765" s="5"/>
    </row>
    <row r="3766" spans="2:18" x14ac:dyDescent="0.2">
      <c r="B3766" s="5"/>
      <c r="F3766" s="5"/>
      <c r="J3766" s="5"/>
      <c r="N3766" s="5"/>
      <c r="R3766" s="5"/>
    </row>
    <row r="3767" spans="2:18" x14ac:dyDescent="0.2">
      <c r="B3767" s="5"/>
      <c r="F3767" s="5"/>
      <c r="J3767" s="5"/>
      <c r="N3767" s="5"/>
      <c r="R3767" s="5"/>
    </row>
    <row r="3768" spans="2:18" x14ac:dyDescent="0.2">
      <c r="B3768" s="5"/>
      <c r="F3768" s="5"/>
      <c r="J3768" s="5"/>
      <c r="N3768" s="5"/>
      <c r="R3768" s="5"/>
    </row>
    <row r="3769" spans="2:18" x14ac:dyDescent="0.2">
      <c r="B3769" s="5"/>
      <c r="F3769" s="5"/>
      <c r="J3769" s="5"/>
      <c r="N3769" s="5"/>
      <c r="R3769" s="5"/>
    </row>
    <row r="3770" spans="2:18" x14ac:dyDescent="0.2">
      <c r="B3770" s="5"/>
      <c r="F3770" s="5"/>
      <c r="J3770" s="5"/>
      <c r="N3770" s="5"/>
      <c r="R3770" s="5"/>
    </row>
    <row r="3771" spans="2:18" x14ac:dyDescent="0.2">
      <c r="B3771" s="5"/>
      <c r="F3771" s="5"/>
      <c r="J3771" s="5"/>
      <c r="N3771" s="5"/>
      <c r="R3771" s="5"/>
    </row>
    <row r="3772" spans="2:18" x14ac:dyDescent="0.2">
      <c r="B3772" s="5"/>
      <c r="F3772" s="5"/>
      <c r="J3772" s="5"/>
      <c r="N3772" s="5"/>
      <c r="R3772" s="5"/>
    </row>
    <row r="3773" spans="2:18" x14ac:dyDescent="0.2">
      <c r="B3773" s="5"/>
      <c r="F3773" s="5"/>
      <c r="J3773" s="5"/>
      <c r="N3773" s="5"/>
      <c r="R3773" s="5"/>
    </row>
    <row r="3774" spans="2:18" x14ac:dyDescent="0.2">
      <c r="B3774" s="5"/>
      <c r="F3774" s="5"/>
      <c r="J3774" s="5"/>
      <c r="N3774" s="5"/>
      <c r="R3774" s="5"/>
    </row>
    <row r="3775" spans="2:18" x14ac:dyDescent="0.2">
      <c r="B3775" s="5"/>
      <c r="F3775" s="5"/>
      <c r="J3775" s="5"/>
      <c r="N3775" s="5"/>
      <c r="R3775" s="5"/>
    </row>
    <row r="3776" spans="2:18" x14ac:dyDescent="0.2">
      <c r="B3776" s="5"/>
      <c r="F3776" s="5"/>
      <c r="J3776" s="5"/>
      <c r="N3776" s="5"/>
      <c r="R3776" s="5"/>
    </row>
    <row r="3777" spans="2:18" x14ac:dyDescent="0.2">
      <c r="B3777" s="5"/>
      <c r="F3777" s="5"/>
      <c r="J3777" s="5"/>
      <c r="N3777" s="5"/>
      <c r="R3777" s="5"/>
    </row>
    <row r="3778" spans="2:18" x14ac:dyDescent="0.2">
      <c r="B3778" s="5"/>
      <c r="F3778" s="5"/>
      <c r="J3778" s="5"/>
      <c r="N3778" s="5"/>
      <c r="R3778" s="5"/>
    </row>
    <row r="3779" spans="2:18" x14ac:dyDescent="0.2">
      <c r="B3779" s="5"/>
      <c r="F3779" s="5"/>
      <c r="J3779" s="5"/>
      <c r="N3779" s="5"/>
      <c r="R3779" s="5"/>
    </row>
    <row r="3780" spans="2:18" x14ac:dyDescent="0.2">
      <c r="B3780" s="5"/>
      <c r="F3780" s="5"/>
      <c r="J3780" s="5"/>
      <c r="N3780" s="5"/>
      <c r="R3780" s="5"/>
    </row>
    <row r="3781" spans="2:18" x14ac:dyDescent="0.2">
      <c r="B3781" s="5"/>
      <c r="F3781" s="5"/>
      <c r="J3781" s="5"/>
      <c r="N3781" s="5"/>
      <c r="R3781" s="5"/>
    </row>
    <row r="3782" spans="2:18" x14ac:dyDescent="0.2">
      <c r="B3782" s="5"/>
      <c r="F3782" s="5"/>
      <c r="J3782" s="5"/>
      <c r="N3782" s="5"/>
      <c r="R3782" s="5"/>
    </row>
    <row r="3783" spans="2:18" x14ac:dyDescent="0.2">
      <c r="B3783" s="5"/>
      <c r="F3783" s="5"/>
      <c r="J3783" s="5"/>
      <c r="N3783" s="5"/>
      <c r="R3783" s="5"/>
    </row>
    <row r="3784" spans="2:18" x14ac:dyDescent="0.2">
      <c r="B3784" s="5"/>
      <c r="F3784" s="5"/>
      <c r="J3784" s="5"/>
      <c r="N3784" s="5"/>
      <c r="R3784" s="5"/>
    </row>
    <row r="3785" spans="2:18" x14ac:dyDescent="0.2">
      <c r="B3785" s="5"/>
      <c r="F3785" s="5"/>
      <c r="J3785" s="5"/>
      <c r="N3785" s="5"/>
      <c r="R3785" s="5"/>
    </row>
    <row r="3786" spans="2:18" x14ac:dyDescent="0.2">
      <c r="B3786" s="5"/>
      <c r="F3786" s="5"/>
      <c r="J3786" s="5"/>
      <c r="N3786" s="5"/>
      <c r="R3786" s="5"/>
    </row>
    <row r="3787" spans="2:18" x14ac:dyDescent="0.2">
      <c r="B3787" s="5"/>
      <c r="F3787" s="5"/>
      <c r="J3787" s="5"/>
      <c r="N3787" s="5"/>
      <c r="R3787" s="5"/>
    </row>
    <row r="3788" spans="2:18" x14ac:dyDescent="0.2">
      <c r="B3788" s="5"/>
      <c r="F3788" s="5"/>
      <c r="J3788" s="5"/>
      <c r="N3788" s="5"/>
      <c r="R3788" s="5"/>
    </row>
    <row r="3789" spans="2:18" x14ac:dyDescent="0.2">
      <c r="B3789" s="5"/>
      <c r="F3789" s="5"/>
      <c r="J3789" s="5"/>
      <c r="N3789" s="5"/>
      <c r="R3789" s="5"/>
    </row>
    <row r="3790" spans="2:18" x14ac:dyDescent="0.2">
      <c r="B3790" s="5"/>
      <c r="F3790" s="5"/>
      <c r="J3790" s="5"/>
      <c r="N3790" s="5"/>
      <c r="R3790" s="5"/>
    </row>
    <row r="3791" spans="2:18" x14ac:dyDescent="0.2">
      <c r="B3791" s="5"/>
      <c r="F3791" s="5"/>
      <c r="J3791" s="5"/>
      <c r="N3791" s="5"/>
      <c r="R3791" s="5"/>
    </row>
    <row r="3792" spans="2:18" x14ac:dyDescent="0.2">
      <c r="B3792" s="5"/>
      <c r="F3792" s="5"/>
      <c r="J3792" s="5"/>
      <c r="N3792" s="5"/>
      <c r="R3792" s="5"/>
    </row>
    <row r="3793" spans="2:18" x14ac:dyDescent="0.2">
      <c r="B3793" s="5"/>
      <c r="F3793" s="5"/>
      <c r="J3793" s="5"/>
      <c r="N3793" s="5"/>
      <c r="R3793" s="5"/>
    </row>
    <row r="3794" spans="2:18" x14ac:dyDescent="0.2">
      <c r="B3794" s="5"/>
      <c r="F3794" s="5"/>
      <c r="J3794" s="5"/>
      <c r="N3794" s="5"/>
      <c r="R3794" s="5"/>
    </row>
    <row r="3795" spans="2:18" x14ac:dyDescent="0.2">
      <c r="B3795" s="5"/>
      <c r="F3795" s="5"/>
      <c r="J3795" s="5"/>
      <c r="N3795" s="5"/>
      <c r="R3795" s="5"/>
    </row>
    <row r="3796" spans="2:18" x14ac:dyDescent="0.2">
      <c r="B3796" s="5"/>
      <c r="F3796" s="5"/>
      <c r="J3796" s="5"/>
      <c r="N3796" s="5"/>
      <c r="R3796" s="5"/>
    </row>
    <row r="3797" spans="2:18" x14ac:dyDescent="0.2">
      <c r="B3797" s="5"/>
      <c r="F3797" s="5"/>
      <c r="J3797" s="5"/>
      <c r="N3797" s="5"/>
      <c r="R3797" s="5"/>
    </row>
    <row r="3798" spans="2:18" x14ac:dyDescent="0.2">
      <c r="B3798" s="5"/>
      <c r="F3798" s="5"/>
      <c r="J3798" s="5"/>
      <c r="N3798" s="5"/>
      <c r="R3798" s="5"/>
    </row>
    <row r="3799" spans="2:18" x14ac:dyDescent="0.2">
      <c r="B3799" s="5"/>
      <c r="F3799" s="5"/>
      <c r="J3799" s="5"/>
      <c r="N3799" s="5"/>
      <c r="R3799" s="5"/>
    </row>
    <row r="3800" spans="2:18" x14ac:dyDescent="0.2">
      <c r="B3800" s="5"/>
      <c r="F3800" s="5"/>
      <c r="J3800" s="5"/>
      <c r="N3800" s="5"/>
      <c r="R3800" s="5"/>
    </row>
    <row r="3801" spans="2:18" x14ac:dyDescent="0.2">
      <c r="B3801" s="5"/>
      <c r="F3801" s="5"/>
      <c r="J3801" s="5"/>
      <c r="N3801" s="5"/>
      <c r="R3801" s="5"/>
    </row>
    <row r="3802" spans="2:18" x14ac:dyDescent="0.2">
      <c r="B3802" s="5"/>
      <c r="F3802" s="5"/>
      <c r="J3802" s="5"/>
      <c r="N3802" s="5"/>
      <c r="R3802" s="5"/>
    </row>
    <row r="3803" spans="2:18" x14ac:dyDescent="0.2">
      <c r="B3803" s="5"/>
      <c r="F3803" s="5"/>
      <c r="J3803" s="5"/>
      <c r="N3803" s="5"/>
      <c r="R3803" s="5"/>
    </row>
    <row r="3804" spans="2:18" x14ac:dyDescent="0.2">
      <c r="B3804" s="5"/>
      <c r="F3804" s="5"/>
      <c r="J3804" s="5"/>
      <c r="N3804" s="5"/>
      <c r="R3804" s="5"/>
    </row>
    <row r="3805" spans="2:18" x14ac:dyDescent="0.2">
      <c r="B3805" s="5"/>
      <c r="F3805" s="5"/>
      <c r="J3805" s="5"/>
      <c r="N3805" s="5"/>
      <c r="R3805" s="5"/>
    </row>
    <row r="3806" spans="2:18" x14ac:dyDescent="0.2">
      <c r="B3806" s="5"/>
      <c r="F3806" s="5"/>
      <c r="J3806" s="5"/>
      <c r="N3806" s="5"/>
      <c r="R3806" s="5"/>
    </row>
    <row r="3807" spans="2:18" x14ac:dyDescent="0.2">
      <c r="B3807" s="5"/>
      <c r="F3807" s="5"/>
      <c r="J3807" s="5"/>
      <c r="N3807" s="5"/>
      <c r="R3807" s="5"/>
    </row>
    <row r="3808" spans="2:18" x14ac:dyDescent="0.2">
      <c r="B3808" s="5"/>
      <c r="F3808" s="5"/>
      <c r="J3808" s="5"/>
      <c r="N3808" s="5"/>
      <c r="R3808" s="5"/>
    </row>
    <row r="3809" spans="2:18" x14ac:dyDescent="0.2">
      <c r="B3809" s="5"/>
      <c r="F3809" s="5"/>
      <c r="J3809" s="5"/>
      <c r="N3809" s="5"/>
      <c r="R3809" s="5"/>
    </row>
    <row r="3810" spans="2:18" x14ac:dyDescent="0.2">
      <c r="B3810" s="5"/>
      <c r="F3810" s="5"/>
      <c r="J3810" s="5"/>
      <c r="N3810" s="5"/>
      <c r="R3810" s="5"/>
    </row>
    <row r="3811" spans="2:18" x14ac:dyDescent="0.2">
      <c r="B3811" s="5"/>
      <c r="F3811" s="5"/>
      <c r="J3811" s="5"/>
      <c r="N3811" s="5"/>
      <c r="R3811" s="5"/>
    </row>
    <row r="3812" spans="2:18" x14ac:dyDescent="0.2">
      <c r="B3812" s="5"/>
      <c r="F3812" s="5"/>
      <c r="J3812" s="5"/>
      <c r="N3812" s="5"/>
      <c r="R3812" s="5"/>
    </row>
    <row r="3813" spans="2:18" x14ac:dyDescent="0.2">
      <c r="B3813" s="5"/>
      <c r="F3813" s="5"/>
      <c r="J3813" s="5"/>
      <c r="N3813" s="5"/>
      <c r="R3813" s="5"/>
    </row>
    <row r="3814" spans="2:18" x14ac:dyDescent="0.2">
      <c r="B3814" s="5"/>
      <c r="F3814" s="5"/>
      <c r="J3814" s="5"/>
      <c r="N3814" s="5"/>
      <c r="R3814" s="5"/>
    </row>
    <row r="3815" spans="2:18" x14ac:dyDescent="0.2">
      <c r="B3815" s="5"/>
      <c r="F3815" s="5"/>
      <c r="J3815" s="5"/>
      <c r="N3815" s="5"/>
      <c r="R3815" s="5"/>
    </row>
    <row r="3816" spans="2:18" x14ac:dyDescent="0.2">
      <c r="B3816" s="5"/>
      <c r="F3816" s="5"/>
      <c r="J3816" s="5"/>
      <c r="N3816" s="5"/>
      <c r="R3816" s="5"/>
    </row>
    <row r="3817" spans="2:18" x14ac:dyDescent="0.2">
      <c r="B3817" s="5"/>
      <c r="F3817" s="5"/>
      <c r="J3817" s="5"/>
      <c r="N3817" s="5"/>
      <c r="R3817" s="5"/>
    </row>
    <row r="3818" spans="2:18" x14ac:dyDescent="0.2">
      <c r="B3818" s="5"/>
      <c r="F3818" s="5"/>
      <c r="J3818" s="5"/>
      <c r="N3818" s="5"/>
      <c r="R3818" s="5"/>
    </row>
    <row r="3819" spans="2:18" x14ac:dyDescent="0.2">
      <c r="B3819" s="5"/>
      <c r="F3819" s="5"/>
      <c r="J3819" s="5"/>
      <c r="N3819" s="5"/>
      <c r="R3819" s="5"/>
    </row>
    <row r="3820" spans="2:18" x14ac:dyDescent="0.2">
      <c r="B3820" s="5"/>
      <c r="F3820" s="5"/>
      <c r="J3820" s="5"/>
      <c r="N3820" s="5"/>
      <c r="R3820" s="5"/>
    </row>
    <row r="3821" spans="2:18" x14ac:dyDescent="0.2">
      <c r="B3821" s="5"/>
      <c r="F3821" s="5"/>
      <c r="J3821" s="5"/>
      <c r="N3821" s="5"/>
      <c r="R3821" s="5"/>
    </row>
    <row r="3822" spans="2:18" x14ac:dyDescent="0.2">
      <c r="B3822" s="5"/>
      <c r="F3822" s="5"/>
      <c r="J3822" s="5"/>
      <c r="N3822" s="5"/>
      <c r="R3822" s="5"/>
    </row>
    <row r="3823" spans="2:18" x14ac:dyDescent="0.2">
      <c r="B3823" s="5"/>
      <c r="F3823" s="5"/>
      <c r="J3823" s="5"/>
      <c r="N3823" s="5"/>
      <c r="R3823" s="5"/>
    </row>
    <row r="3824" spans="2:18" x14ac:dyDescent="0.2">
      <c r="B3824" s="5"/>
      <c r="F3824" s="5"/>
      <c r="J3824" s="5"/>
      <c r="N3824" s="5"/>
      <c r="R3824" s="5"/>
    </row>
    <row r="3825" spans="2:18" x14ac:dyDescent="0.2">
      <c r="B3825" s="5"/>
      <c r="F3825" s="5"/>
      <c r="J3825" s="5"/>
      <c r="N3825" s="5"/>
      <c r="R3825" s="5"/>
    </row>
    <row r="3826" spans="2:18" x14ac:dyDescent="0.2">
      <c r="B3826" s="5"/>
      <c r="F3826" s="5"/>
      <c r="J3826" s="5"/>
      <c r="N3826" s="5"/>
      <c r="R3826" s="5"/>
    </row>
    <row r="3827" spans="2:18" x14ac:dyDescent="0.2">
      <c r="B3827" s="5"/>
      <c r="F3827" s="5"/>
      <c r="J3827" s="5"/>
      <c r="N3827" s="5"/>
      <c r="R3827" s="5"/>
    </row>
    <row r="3828" spans="2:18" x14ac:dyDescent="0.2">
      <c r="B3828" s="5"/>
      <c r="F3828" s="5"/>
      <c r="J3828" s="5"/>
      <c r="N3828" s="5"/>
      <c r="R3828" s="5"/>
    </row>
    <row r="3829" spans="2:18" x14ac:dyDescent="0.2">
      <c r="B3829" s="5"/>
      <c r="F3829" s="5"/>
      <c r="J3829" s="5"/>
      <c r="N3829" s="5"/>
      <c r="R3829" s="5"/>
    </row>
    <row r="3830" spans="2:18" x14ac:dyDescent="0.2">
      <c r="B3830" s="5"/>
      <c r="F3830" s="5"/>
      <c r="J3830" s="5"/>
      <c r="N3830" s="5"/>
      <c r="R3830" s="5"/>
    </row>
    <row r="3831" spans="2:18" x14ac:dyDescent="0.2">
      <c r="B3831" s="5"/>
      <c r="F3831" s="5"/>
      <c r="J3831" s="5"/>
      <c r="N3831" s="5"/>
      <c r="R3831" s="5"/>
    </row>
    <row r="3832" spans="2:18" x14ac:dyDescent="0.2">
      <c r="B3832" s="5"/>
      <c r="F3832" s="5"/>
      <c r="J3832" s="5"/>
      <c r="N3832" s="5"/>
      <c r="R3832" s="5"/>
    </row>
    <row r="3833" spans="2:18" x14ac:dyDescent="0.2">
      <c r="B3833" s="5"/>
      <c r="F3833" s="5"/>
      <c r="J3833" s="5"/>
      <c r="N3833" s="5"/>
      <c r="R3833" s="5"/>
    </row>
    <row r="3834" spans="2:18" x14ac:dyDescent="0.2">
      <c r="B3834" s="5"/>
      <c r="F3834" s="5"/>
      <c r="J3834" s="5"/>
      <c r="N3834" s="5"/>
      <c r="R3834" s="5"/>
    </row>
    <row r="3835" spans="2:18" x14ac:dyDescent="0.2">
      <c r="B3835" s="5"/>
      <c r="F3835" s="5"/>
      <c r="J3835" s="5"/>
      <c r="N3835" s="5"/>
      <c r="R3835" s="5"/>
    </row>
    <row r="3836" spans="2:18" x14ac:dyDescent="0.2">
      <c r="B3836" s="5"/>
      <c r="F3836" s="5"/>
      <c r="J3836" s="5"/>
      <c r="N3836" s="5"/>
      <c r="R3836" s="5"/>
    </row>
    <row r="3837" spans="2:18" x14ac:dyDescent="0.2">
      <c r="B3837" s="5"/>
      <c r="F3837" s="5"/>
      <c r="J3837" s="5"/>
      <c r="N3837" s="5"/>
      <c r="R3837" s="5"/>
    </row>
    <row r="3838" spans="2:18" x14ac:dyDescent="0.2">
      <c r="B3838" s="5"/>
      <c r="F3838" s="5"/>
      <c r="J3838" s="5"/>
      <c r="N3838" s="5"/>
      <c r="R3838" s="5"/>
    </row>
    <row r="3839" spans="2:18" x14ac:dyDescent="0.2">
      <c r="B3839" s="5"/>
      <c r="F3839" s="5"/>
      <c r="J3839" s="5"/>
      <c r="N3839" s="5"/>
      <c r="R3839" s="5"/>
    </row>
    <row r="3840" spans="2:18" x14ac:dyDescent="0.2">
      <c r="B3840" s="5"/>
      <c r="F3840" s="5"/>
      <c r="J3840" s="5"/>
      <c r="N3840" s="5"/>
      <c r="R3840" s="5"/>
    </row>
    <row r="3841" spans="2:18" x14ac:dyDescent="0.2">
      <c r="B3841" s="5"/>
      <c r="F3841" s="5"/>
      <c r="J3841" s="5"/>
      <c r="N3841" s="5"/>
      <c r="R3841" s="5"/>
    </row>
    <row r="3842" spans="2:18" x14ac:dyDescent="0.2">
      <c r="B3842" s="5"/>
      <c r="F3842" s="5"/>
      <c r="J3842" s="5"/>
      <c r="N3842" s="5"/>
      <c r="R3842" s="5"/>
    </row>
    <row r="3843" spans="2:18" x14ac:dyDescent="0.2">
      <c r="B3843" s="5"/>
      <c r="F3843" s="5"/>
      <c r="J3843" s="5"/>
      <c r="N3843" s="5"/>
      <c r="R3843" s="5"/>
    </row>
    <row r="3844" spans="2:18" x14ac:dyDescent="0.2">
      <c r="B3844" s="5"/>
      <c r="F3844" s="5"/>
      <c r="J3844" s="5"/>
      <c r="N3844" s="5"/>
      <c r="R3844" s="5"/>
    </row>
    <row r="3845" spans="2:18" x14ac:dyDescent="0.2">
      <c r="B3845" s="5"/>
      <c r="F3845" s="5"/>
      <c r="J3845" s="5"/>
      <c r="N3845" s="5"/>
      <c r="R3845" s="5"/>
    </row>
    <row r="3846" spans="2:18" x14ac:dyDescent="0.2">
      <c r="B3846" s="5"/>
      <c r="F3846" s="5"/>
      <c r="J3846" s="5"/>
      <c r="N3846" s="5"/>
      <c r="R3846" s="5"/>
    </row>
    <row r="3847" spans="2:18" x14ac:dyDescent="0.2">
      <c r="B3847" s="5"/>
      <c r="F3847" s="5"/>
      <c r="J3847" s="5"/>
      <c r="N3847" s="5"/>
      <c r="R3847" s="5"/>
    </row>
    <row r="3848" spans="2:18" x14ac:dyDescent="0.2">
      <c r="B3848" s="5"/>
      <c r="F3848" s="5"/>
      <c r="J3848" s="5"/>
      <c r="N3848" s="5"/>
      <c r="R3848" s="5"/>
    </row>
    <row r="3849" spans="2:18" x14ac:dyDescent="0.2">
      <c r="B3849" s="5"/>
      <c r="F3849" s="5"/>
      <c r="J3849" s="5"/>
      <c r="N3849" s="5"/>
      <c r="R3849" s="5"/>
    </row>
    <row r="3850" spans="2:18" x14ac:dyDescent="0.2">
      <c r="B3850" s="5"/>
      <c r="F3850" s="5"/>
      <c r="J3850" s="5"/>
      <c r="N3850" s="5"/>
      <c r="R3850" s="5"/>
    </row>
    <row r="3851" spans="2:18" x14ac:dyDescent="0.2">
      <c r="B3851" s="5"/>
      <c r="F3851" s="5"/>
      <c r="J3851" s="5"/>
      <c r="N3851" s="5"/>
      <c r="R3851" s="5"/>
    </row>
    <row r="3852" spans="2:18" x14ac:dyDescent="0.2">
      <c r="B3852" s="5"/>
      <c r="F3852" s="5"/>
      <c r="J3852" s="5"/>
      <c r="N3852" s="5"/>
      <c r="R3852" s="5"/>
    </row>
    <row r="3853" spans="2:18" x14ac:dyDescent="0.2">
      <c r="B3853" s="5"/>
      <c r="F3853" s="5"/>
      <c r="J3853" s="5"/>
      <c r="N3853" s="5"/>
      <c r="R3853" s="5"/>
    </row>
    <row r="3854" spans="2:18" x14ac:dyDescent="0.2">
      <c r="B3854" s="5"/>
      <c r="F3854" s="5"/>
      <c r="J3854" s="5"/>
      <c r="N3854" s="5"/>
      <c r="R3854" s="5"/>
    </row>
    <row r="3855" spans="2:18" x14ac:dyDescent="0.2">
      <c r="B3855" s="5"/>
      <c r="F3855" s="5"/>
      <c r="J3855" s="5"/>
      <c r="N3855" s="5"/>
      <c r="R3855" s="5"/>
    </row>
    <row r="3856" spans="2:18" x14ac:dyDescent="0.2">
      <c r="B3856" s="5"/>
      <c r="F3856" s="5"/>
      <c r="J3856" s="5"/>
      <c r="N3856" s="5"/>
      <c r="R3856" s="5"/>
    </row>
    <row r="3857" spans="2:18" x14ac:dyDescent="0.2">
      <c r="B3857" s="5"/>
      <c r="F3857" s="5"/>
      <c r="J3857" s="5"/>
      <c r="N3857" s="5"/>
      <c r="R3857" s="5"/>
    </row>
    <row r="3858" spans="2:18" x14ac:dyDescent="0.2">
      <c r="B3858" s="5"/>
      <c r="F3858" s="5"/>
      <c r="J3858" s="5"/>
      <c r="N3858" s="5"/>
      <c r="R3858" s="5"/>
    </row>
    <row r="3859" spans="2:18" x14ac:dyDescent="0.2">
      <c r="B3859" s="5"/>
      <c r="F3859" s="5"/>
      <c r="J3859" s="5"/>
      <c r="N3859" s="5"/>
      <c r="R3859" s="5"/>
    </row>
    <row r="3860" spans="2:18" x14ac:dyDescent="0.2">
      <c r="B3860" s="5"/>
      <c r="F3860" s="5"/>
      <c r="J3860" s="5"/>
      <c r="N3860" s="5"/>
      <c r="R3860" s="5"/>
    </row>
    <row r="3861" spans="2:18" x14ac:dyDescent="0.2">
      <c r="B3861" s="5"/>
      <c r="F3861" s="5"/>
      <c r="J3861" s="5"/>
      <c r="N3861" s="5"/>
      <c r="R3861" s="5"/>
    </row>
    <row r="3862" spans="2:18" x14ac:dyDescent="0.2">
      <c r="B3862" s="5"/>
      <c r="F3862" s="5"/>
      <c r="J3862" s="5"/>
      <c r="N3862" s="5"/>
      <c r="R3862" s="5"/>
    </row>
    <row r="3863" spans="2:18" x14ac:dyDescent="0.2">
      <c r="B3863" s="5"/>
      <c r="F3863" s="5"/>
      <c r="J3863" s="5"/>
      <c r="N3863" s="5"/>
      <c r="R3863" s="5"/>
    </row>
    <row r="3864" spans="2:18" x14ac:dyDescent="0.2">
      <c r="B3864" s="5"/>
      <c r="F3864" s="5"/>
      <c r="J3864" s="5"/>
      <c r="N3864" s="5"/>
      <c r="R3864" s="5"/>
    </row>
    <row r="3865" spans="2:18" x14ac:dyDescent="0.2">
      <c r="B3865" s="5"/>
      <c r="F3865" s="5"/>
      <c r="J3865" s="5"/>
      <c r="N3865" s="5"/>
      <c r="R3865" s="5"/>
    </row>
    <row r="3866" spans="2:18" x14ac:dyDescent="0.2">
      <c r="B3866" s="5"/>
      <c r="F3866" s="5"/>
      <c r="J3866" s="5"/>
      <c r="N3866" s="5"/>
      <c r="R3866" s="5"/>
    </row>
    <row r="3867" spans="2:18" x14ac:dyDescent="0.2">
      <c r="B3867" s="5"/>
      <c r="F3867" s="5"/>
      <c r="J3867" s="5"/>
      <c r="N3867" s="5"/>
      <c r="R3867" s="5"/>
    </row>
    <row r="3868" spans="2:18" x14ac:dyDescent="0.2">
      <c r="B3868" s="5"/>
      <c r="F3868" s="5"/>
      <c r="J3868" s="5"/>
      <c r="N3868" s="5"/>
      <c r="R3868" s="5"/>
    </row>
    <row r="3869" spans="2:18" x14ac:dyDescent="0.2">
      <c r="B3869" s="5"/>
      <c r="F3869" s="5"/>
      <c r="J3869" s="5"/>
      <c r="N3869" s="5"/>
      <c r="R3869" s="5"/>
    </row>
    <row r="3870" spans="2:18" x14ac:dyDescent="0.2">
      <c r="B3870" s="5"/>
      <c r="F3870" s="5"/>
      <c r="J3870" s="5"/>
      <c r="N3870" s="5"/>
      <c r="R3870" s="5"/>
    </row>
    <row r="3871" spans="2:18" x14ac:dyDescent="0.2">
      <c r="B3871" s="5"/>
      <c r="F3871" s="5"/>
      <c r="J3871" s="5"/>
      <c r="N3871" s="5"/>
      <c r="R3871" s="5"/>
    </row>
    <row r="3872" spans="2:18" x14ac:dyDescent="0.2">
      <c r="B3872" s="5"/>
      <c r="F3872" s="5"/>
      <c r="J3872" s="5"/>
      <c r="N3872" s="5"/>
      <c r="R3872" s="5"/>
    </row>
    <row r="3873" spans="2:18" x14ac:dyDescent="0.2">
      <c r="B3873" s="5"/>
      <c r="F3873" s="5"/>
      <c r="J3873" s="5"/>
      <c r="N3873" s="5"/>
      <c r="R3873" s="5"/>
    </row>
    <row r="3874" spans="2:18" x14ac:dyDescent="0.2">
      <c r="B3874" s="5"/>
      <c r="F3874" s="5"/>
      <c r="J3874" s="5"/>
      <c r="N3874" s="5"/>
      <c r="R3874" s="5"/>
    </row>
    <row r="3875" spans="2:18" x14ac:dyDescent="0.2">
      <c r="B3875" s="5"/>
      <c r="F3875" s="5"/>
      <c r="J3875" s="5"/>
      <c r="N3875" s="5"/>
      <c r="R3875" s="5"/>
    </row>
    <row r="3876" spans="2:18" x14ac:dyDescent="0.2">
      <c r="B3876" s="5"/>
      <c r="F3876" s="5"/>
      <c r="J3876" s="5"/>
      <c r="N3876" s="5"/>
      <c r="R3876" s="5"/>
    </row>
    <row r="3877" spans="2:18" x14ac:dyDescent="0.2">
      <c r="B3877" s="5"/>
      <c r="F3877" s="5"/>
      <c r="J3877" s="5"/>
      <c r="N3877" s="5"/>
      <c r="R3877" s="5"/>
    </row>
    <row r="3878" spans="2:18" x14ac:dyDescent="0.2">
      <c r="B3878" s="5"/>
      <c r="F3878" s="5"/>
      <c r="J3878" s="5"/>
      <c r="N3878" s="5"/>
      <c r="R3878" s="5"/>
    </row>
    <row r="3879" spans="2:18" x14ac:dyDescent="0.2">
      <c r="B3879" s="5"/>
      <c r="F3879" s="5"/>
      <c r="J3879" s="5"/>
      <c r="N3879" s="5"/>
      <c r="R3879" s="5"/>
    </row>
    <row r="3880" spans="2:18" x14ac:dyDescent="0.2">
      <c r="B3880" s="5"/>
      <c r="F3880" s="5"/>
      <c r="J3880" s="5"/>
      <c r="N3880" s="5"/>
      <c r="R3880" s="5"/>
    </row>
    <row r="3881" spans="2:18" x14ac:dyDescent="0.2">
      <c r="B3881" s="5"/>
      <c r="F3881" s="5"/>
      <c r="J3881" s="5"/>
      <c r="N3881" s="5"/>
      <c r="R3881" s="5"/>
    </row>
    <row r="3882" spans="2:18" x14ac:dyDescent="0.2">
      <c r="B3882" s="5"/>
      <c r="F3882" s="5"/>
      <c r="J3882" s="5"/>
      <c r="N3882" s="5"/>
      <c r="R3882" s="5"/>
    </row>
    <row r="3883" spans="2:18" x14ac:dyDescent="0.2">
      <c r="B3883" s="5"/>
      <c r="F3883" s="5"/>
      <c r="J3883" s="5"/>
      <c r="N3883" s="5"/>
      <c r="R3883" s="5"/>
    </row>
    <row r="3884" spans="2:18" x14ac:dyDescent="0.2">
      <c r="B3884" s="5"/>
      <c r="F3884" s="5"/>
      <c r="J3884" s="5"/>
      <c r="N3884" s="5"/>
      <c r="R3884" s="5"/>
    </row>
    <row r="3885" spans="2:18" x14ac:dyDescent="0.2">
      <c r="B3885" s="5"/>
      <c r="F3885" s="5"/>
      <c r="J3885" s="5"/>
      <c r="N3885" s="5"/>
      <c r="R3885" s="5"/>
    </row>
    <row r="3886" spans="2:18" x14ac:dyDescent="0.2">
      <c r="B3886" s="5"/>
      <c r="F3886" s="5"/>
      <c r="J3886" s="5"/>
      <c r="N3886" s="5"/>
      <c r="R3886" s="5"/>
    </row>
    <row r="3887" spans="2:18" x14ac:dyDescent="0.2">
      <c r="B3887" s="5"/>
      <c r="F3887" s="5"/>
      <c r="J3887" s="5"/>
      <c r="N3887" s="5"/>
      <c r="R3887" s="5"/>
    </row>
    <row r="3888" spans="2:18" x14ac:dyDescent="0.2">
      <c r="B3888" s="5"/>
      <c r="F3888" s="5"/>
      <c r="J3888" s="5"/>
      <c r="N3888" s="5"/>
      <c r="R3888" s="5"/>
    </row>
    <row r="3889" spans="2:18" x14ac:dyDescent="0.2">
      <c r="B3889" s="5"/>
      <c r="F3889" s="5"/>
      <c r="J3889" s="5"/>
      <c r="N3889" s="5"/>
      <c r="R3889" s="5"/>
    </row>
    <row r="3890" spans="2:18" x14ac:dyDescent="0.2">
      <c r="B3890" s="5"/>
      <c r="F3890" s="5"/>
      <c r="J3890" s="5"/>
      <c r="N3890" s="5"/>
      <c r="R3890" s="5"/>
    </row>
    <row r="3891" spans="2:18" x14ac:dyDescent="0.2">
      <c r="B3891" s="5"/>
      <c r="F3891" s="5"/>
      <c r="J3891" s="5"/>
      <c r="N3891" s="5"/>
      <c r="R3891" s="5"/>
    </row>
    <row r="3892" spans="2:18" x14ac:dyDescent="0.2">
      <c r="B3892" s="5"/>
      <c r="F3892" s="5"/>
      <c r="J3892" s="5"/>
      <c r="N3892" s="5"/>
      <c r="R3892" s="5"/>
    </row>
    <row r="3893" spans="2:18" x14ac:dyDescent="0.2">
      <c r="B3893" s="5"/>
      <c r="F3893" s="5"/>
      <c r="J3893" s="5"/>
      <c r="N3893" s="5"/>
      <c r="R3893" s="5"/>
    </row>
    <row r="3894" spans="2:18" x14ac:dyDescent="0.2">
      <c r="B3894" s="5"/>
      <c r="F3894" s="5"/>
      <c r="J3894" s="5"/>
      <c r="N3894" s="5"/>
      <c r="R3894" s="5"/>
    </row>
    <row r="3895" spans="2:18" x14ac:dyDescent="0.2">
      <c r="B3895" s="5"/>
      <c r="F3895" s="5"/>
      <c r="J3895" s="5"/>
      <c r="N3895" s="5"/>
      <c r="R3895" s="5"/>
    </row>
    <row r="3896" spans="2:18" x14ac:dyDescent="0.2">
      <c r="B3896" s="5"/>
      <c r="F3896" s="5"/>
      <c r="J3896" s="5"/>
      <c r="N3896" s="5"/>
      <c r="R3896" s="5"/>
    </row>
    <row r="3897" spans="2:18" x14ac:dyDescent="0.2">
      <c r="B3897" s="5"/>
      <c r="F3897" s="5"/>
      <c r="J3897" s="5"/>
      <c r="N3897" s="5"/>
      <c r="R3897" s="5"/>
    </row>
    <row r="3898" spans="2:18" x14ac:dyDescent="0.2">
      <c r="B3898" s="5"/>
      <c r="F3898" s="5"/>
      <c r="J3898" s="5"/>
      <c r="N3898" s="5"/>
      <c r="R3898" s="5"/>
    </row>
    <row r="3899" spans="2:18" x14ac:dyDescent="0.2">
      <c r="B3899" s="5"/>
      <c r="F3899" s="5"/>
      <c r="J3899" s="5"/>
      <c r="N3899" s="5"/>
      <c r="R3899" s="5"/>
    </row>
    <row r="3900" spans="2:18" x14ac:dyDescent="0.2">
      <c r="B3900" s="5"/>
      <c r="F3900" s="5"/>
      <c r="J3900" s="5"/>
      <c r="N3900" s="5"/>
      <c r="R3900" s="5"/>
    </row>
    <row r="3901" spans="2:18" x14ac:dyDescent="0.2">
      <c r="B3901" s="5"/>
      <c r="F3901" s="5"/>
      <c r="J3901" s="5"/>
      <c r="N3901" s="5"/>
      <c r="R3901" s="5"/>
    </row>
    <row r="3902" spans="2:18" x14ac:dyDescent="0.2">
      <c r="B3902" s="5"/>
      <c r="F3902" s="5"/>
      <c r="J3902" s="5"/>
      <c r="N3902" s="5"/>
      <c r="R3902" s="5"/>
    </row>
    <row r="3903" spans="2:18" x14ac:dyDescent="0.2">
      <c r="B3903" s="5"/>
      <c r="F3903" s="5"/>
      <c r="J3903" s="5"/>
      <c r="N3903" s="5"/>
      <c r="R3903" s="5"/>
    </row>
    <row r="3904" spans="2:18" x14ac:dyDescent="0.2">
      <c r="B3904" s="5"/>
      <c r="F3904" s="5"/>
      <c r="J3904" s="5"/>
      <c r="N3904" s="5"/>
      <c r="R3904" s="5"/>
    </row>
    <row r="3905" spans="2:18" x14ac:dyDescent="0.2">
      <c r="B3905" s="5"/>
      <c r="F3905" s="5"/>
      <c r="J3905" s="5"/>
      <c r="N3905" s="5"/>
      <c r="R3905" s="5"/>
    </row>
    <row r="3906" spans="2:18" x14ac:dyDescent="0.2">
      <c r="B3906" s="5"/>
      <c r="F3906" s="5"/>
      <c r="J3906" s="5"/>
      <c r="N3906" s="5"/>
      <c r="R3906" s="5"/>
    </row>
    <row r="3907" spans="2:18" x14ac:dyDescent="0.2">
      <c r="B3907" s="5"/>
      <c r="F3907" s="5"/>
      <c r="J3907" s="5"/>
      <c r="N3907" s="5"/>
      <c r="R3907" s="5"/>
    </row>
    <row r="3908" spans="2:18" x14ac:dyDescent="0.2">
      <c r="B3908" s="5"/>
      <c r="F3908" s="5"/>
      <c r="J3908" s="5"/>
      <c r="N3908" s="5"/>
      <c r="R3908" s="5"/>
    </row>
    <row r="3909" spans="2:18" x14ac:dyDescent="0.2">
      <c r="B3909" s="5"/>
      <c r="F3909" s="5"/>
      <c r="J3909" s="5"/>
      <c r="N3909" s="5"/>
      <c r="R3909" s="5"/>
    </row>
    <row r="3910" spans="2:18" x14ac:dyDescent="0.2">
      <c r="B3910" s="5"/>
      <c r="F3910" s="5"/>
      <c r="J3910" s="5"/>
      <c r="N3910" s="5"/>
      <c r="R3910" s="5"/>
    </row>
    <row r="3911" spans="2:18" x14ac:dyDescent="0.2">
      <c r="B3911" s="5"/>
      <c r="F3911" s="5"/>
      <c r="J3911" s="5"/>
      <c r="N3911" s="5"/>
      <c r="R3911" s="5"/>
    </row>
    <row r="3912" spans="2:18" x14ac:dyDescent="0.2">
      <c r="B3912" s="5"/>
      <c r="F3912" s="5"/>
      <c r="J3912" s="5"/>
      <c r="N3912" s="5"/>
      <c r="R3912" s="5"/>
    </row>
    <row r="3913" spans="2:18" x14ac:dyDescent="0.2">
      <c r="B3913" s="5"/>
      <c r="F3913" s="5"/>
      <c r="J3913" s="5"/>
      <c r="N3913" s="5"/>
      <c r="R3913" s="5"/>
    </row>
    <row r="3914" spans="2:18" x14ac:dyDescent="0.2">
      <c r="B3914" s="5"/>
      <c r="F3914" s="5"/>
      <c r="J3914" s="5"/>
      <c r="N3914" s="5"/>
      <c r="R3914" s="5"/>
    </row>
    <row r="3915" spans="2:18" x14ac:dyDescent="0.2">
      <c r="B3915" s="5"/>
      <c r="F3915" s="5"/>
      <c r="J3915" s="5"/>
      <c r="N3915" s="5"/>
      <c r="R3915" s="5"/>
    </row>
    <row r="3916" spans="2:18" x14ac:dyDescent="0.2">
      <c r="B3916" s="5"/>
      <c r="F3916" s="5"/>
      <c r="J3916" s="5"/>
      <c r="N3916" s="5"/>
      <c r="R3916" s="5"/>
    </row>
    <row r="3917" spans="2:18" x14ac:dyDescent="0.2">
      <c r="B3917" s="5"/>
      <c r="F3917" s="5"/>
      <c r="J3917" s="5"/>
      <c r="N3917" s="5"/>
      <c r="R3917" s="5"/>
    </row>
    <row r="3918" spans="2:18" x14ac:dyDescent="0.2">
      <c r="B3918" s="5"/>
      <c r="F3918" s="5"/>
      <c r="J3918" s="5"/>
      <c r="N3918" s="5"/>
      <c r="R3918" s="5"/>
    </row>
    <row r="3919" spans="2:18" x14ac:dyDescent="0.2">
      <c r="B3919" s="5"/>
      <c r="F3919" s="5"/>
      <c r="J3919" s="5"/>
      <c r="N3919" s="5"/>
      <c r="R3919" s="5"/>
    </row>
    <row r="3920" spans="2:18" x14ac:dyDescent="0.2">
      <c r="B3920" s="5"/>
      <c r="F3920" s="5"/>
      <c r="J3920" s="5"/>
      <c r="N3920" s="5"/>
      <c r="R3920" s="5"/>
    </row>
    <row r="3921" spans="2:18" x14ac:dyDescent="0.2">
      <c r="B3921" s="5"/>
      <c r="F3921" s="5"/>
      <c r="J3921" s="5"/>
      <c r="N3921" s="5"/>
      <c r="R3921" s="5"/>
    </row>
    <row r="3922" spans="2:18" x14ac:dyDescent="0.2">
      <c r="B3922" s="5"/>
      <c r="F3922" s="5"/>
      <c r="J3922" s="5"/>
      <c r="N3922" s="5"/>
      <c r="R3922" s="5"/>
    </row>
    <row r="3923" spans="2:18" x14ac:dyDescent="0.2">
      <c r="B3923" s="5"/>
      <c r="F3923" s="5"/>
      <c r="J3923" s="5"/>
      <c r="N3923" s="5"/>
      <c r="R3923" s="5"/>
    </row>
    <row r="3924" spans="2:18" x14ac:dyDescent="0.2">
      <c r="B3924" s="5"/>
      <c r="F3924" s="5"/>
      <c r="J3924" s="5"/>
      <c r="N3924" s="5"/>
      <c r="R3924" s="5"/>
    </row>
    <row r="3925" spans="2:18" x14ac:dyDescent="0.2">
      <c r="B3925" s="5"/>
      <c r="F3925" s="5"/>
      <c r="J3925" s="5"/>
      <c r="N3925" s="5"/>
      <c r="R3925" s="5"/>
    </row>
    <row r="3926" spans="2:18" x14ac:dyDescent="0.2">
      <c r="B3926" s="5"/>
      <c r="F3926" s="5"/>
      <c r="J3926" s="5"/>
      <c r="N3926" s="5"/>
      <c r="R3926" s="5"/>
    </row>
    <row r="3927" spans="2:18" x14ac:dyDescent="0.2">
      <c r="B3927" s="5"/>
      <c r="F3927" s="5"/>
      <c r="J3927" s="5"/>
      <c r="N3927" s="5"/>
      <c r="R3927" s="5"/>
    </row>
    <row r="3928" spans="2:18" x14ac:dyDescent="0.2">
      <c r="B3928" s="5"/>
      <c r="F3928" s="5"/>
      <c r="J3928" s="5"/>
      <c r="N3928" s="5"/>
      <c r="R3928" s="5"/>
    </row>
    <row r="3929" spans="2:18" x14ac:dyDescent="0.2">
      <c r="B3929" s="5"/>
      <c r="F3929" s="5"/>
      <c r="J3929" s="5"/>
      <c r="N3929" s="5"/>
      <c r="R3929" s="5"/>
    </row>
    <row r="3930" spans="2:18" x14ac:dyDescent="0.2">
      <c r="B3930" s="5"/>
      <c r="F3930" s="5"/>
      <c r="J3930" s="5"/>
      <c r="N3930" s="5"/>
      <c r="R3930" s="5"/>
    </row>
    <row r="3931" spans="2:18" x14ac:dyDescent="0.2">
      <c r="B3931" s="5"/>
      <c r="F3931" s="5"/>
      <c r="J3931" s="5"/>
      <c r="N3931" s="5"/>
      <c r="R3931" s="5"/>
    </row>
    <row r="3932" spans="2:18" x14ac:dyDescent="0.2">
      <c r="B3932" s="5"/>
      <c r="F3932" s="5"/>
      <c r="J3932" s="5"/>
      <c r="N3932" s="5"/>
      <c r="R3932" s="5"/>
    </row>
    <row r="3933" spans="2:18" x14ac:dyDescent="0.2">
      <c r="B3933" s="5"/>
      <c r="F3933" s="5"/>
      <c r="J3933" s="5"/>
      <c r="N3933" s="5"/>
      <c r="R3933" s="5"/>
    </row>
    <row r="3934" spans="2:18" x14ac:dyDescent="0.2">
      <c r="B3934" s="5"/>
      <c r="F3934" s="5"/>
      <c r="J3934" s="5"/>
      <c r="N3934" s="5"/>
      <c r="R3934" s="5"/>
    </row>
    <row r="3935" spans="2:18" x14ac:dyDescent="0.2">
      <c r="B3935" s="5"/>
      <c r="F3935" s="5"/>
      <c r="J3935" s="5"/>
      <c r="N3935" s="5"/>
      <c r="R3935" s="5"/>
    </row>
    <row r="3936" spans="2:18" x14ac:dyDescent="0.2">
      <c r="B3936" s="5"/>
      <c r="F3936" s="5"/>
      <c r="J3936" s="5"/>
      <c r="N3936" s="5"/>
      <c r="R3936" s="5"/>
    </row>
    <row r="3937" spans="2:18" x14ac:dyDescent="0.2">
      <c r="B3937" s="5"/>
      <c r="F3937" s="5"/>
      <c r="J3937" s="5"/>
      <c r="N3937" s="5"/>
      <c r="R3937" s="5"/>
    </row>
    <row r="3938" spans="2:18" x14ac:dyDescent="0.2">
      <c r="B3938" s="5"/>
      <c r="F3938" s="5"/>
      <c r="J3938" s="5"/>
      <c r="N3938" s="5"/>
      <c r="R3938" s="5"/>
    </row>
    <row r="3939" spans="2:18" x14ac:dyDescent="0.2">
      <c r="B3939" s="5"/>
      <c r="F3939" s="5"/>
      <c r="J3939" s="5"/>
      <c r="N3939" s="5"/>
      <c r="R3939" s="5"/>
    </row>
    <row r="3940" spans="2:18" x14ac:dyDescent="0.2">
      <c r="B3940" s="5"/>
      <c r="F3940" s="5"/>
      <c r="J3940" s="5"/>
      <c r="N3940" s="5"/>
      <c r="R3940" s="5"/>
    </row>
    <row r="3941" spans="2:18" x14ac:dyDescent="0.2">
      <c r="B3941" s="5"/>
      <c r="F3941" s="5"/>
      <c r="J3941" s="5"/>
      <c r="N3941" s="5"/>
      <c r="R3941" s="5"/>
    </row>
    <row r="3942" spans="2:18" x14ac:dyDescent="0.2">
      <c r="B3942" s="5"/>
      <c r="F3942" s="5"/>
      <c r="J3942" s="5"/>
      <c r="N3942" s="5"/>
      <c r="R3942" s="5"/>
    </row>
    <row r="3943" spans="2:18" x14ac:dyDescent="0.2">
      <c r="B3943" s="5"/>
      <c r="F3943" s="5"/>
      <c r="J3943" s="5"/>
      <c r="N3943" s="5"/>
      <c r="R3943" s="5"/>
    </row>
    <row r="3944" spans="2:18" x14ac:dyDescent="0.2">
      <c r="B3944" s="5"/>
      <c r="F3944" s="5"/>
      <c r="J3944" s="5"/>
      <c r="N3944" s="5"/>
      <c r="R3944" s="5"/>
    </row>
    <row r="3945" spans="2:18" x14ac:dyDescent="0.2">
      <c r="B3945" s="5"/>
      <c r="F3945" s="5"/>
      <c r="J3945" s="5"/>
      <c r="N3945" s="5"/>
      <c r="R3945" s="5"/>
    </row>
    <row r="3946" spans="2:18" x14ac:dyDescent="0.2">
      <c r="B3946" s="5"/>
      <c r="F3946" s="5"/>
      <c r="J3946" s="5"/>
      <c r="N3946" s="5"/>
      <c r="R3946" s="5"/>
    </row>
    <row r="3947" spans="2:18" x14ac:dyDescent="0.2">
      <c r="B3947" s="5"/>
      <c r="F3947" s="5"/>
      <c r="J3947" s="5"/>
      <c r="N3947" s="5"/>
      <c r="R3947" s="5"/>
    </row>
    <row r="3948" spans="2:18" x14ac:dyDescent="0.2">
      <c r="B3948" s="5"/>
      <c r="F3948" s="5"/>
      <c r="J3948" s="5"/>
      <c r="N3948" s="5"/>
      <c r="R3948" s="5"/>
    </row>
    <row r="3949" spans="2:18" x14ac:dyDescent="0.2">
      <c r="B3949" s="5"/>
      <c r="F3949" s="5"/>
      <c r="J3949" s="5"/>
      <c r="N3949" s="5"/>
      <c r="R3949" s="5"/>
    </row>
    <row r="3950" spans="2:18" x14ac:dyDescent="0.2">
      <c r="B3950" s="5"/>
      <c r="F3950" s="5"/>
      <c r="J3950" s="5"/>
      <c r="N3950" s="5"/>
      <c r="R3950" s="5"/>
    </row>
    <row r="3951" spans="2:18" x14ac:dyDescent="0.2">
      <c r="B3951" s="5"/>
      <c r="F3951" s="5"/>
      <c r="J3951" s="5"/>
      <c r="N3951" s="5"/>
      <c r="R3951" s="5"/>
    </row>
    <row r="3952" spans="2:18" x14ac:dyDescent="0.2">
      <c r="B3952" s="5"/>
      <c r="F3952" s="5"/>
      <c r="J3952" s="5"/>
      <c r="N3952" s="5"/>
      <c r="R3952" s="5"/>
    </row>
    <row r="3953" spans="2:18" x14ac:dyDescent="0.2">
      <c r="B3953" s="5"/>
      <c r="F3953" s="5"/>
      <c r="J3953" s="5"/>
      <c r="N3953" s="5"/>
      <c r="R3953" s="5"/>
    </row>
    <row r="3954" spans="2:18" x14ac:dyDescent="0.2">
      <c r="B3954" s="5"/>
      <c r="F3954" s="5"/>
      <c r="J3954" s="5"/>
      <c r="N3954" s="5"/>
      <c r="R3954" s="5"/>
    </row>
    <row r="3955" spans="2:18" x14ac:dyDescent="0.2">
      <c r="B3955" s="5"/>
      <c r="F3955" s="5"/>
      <c r="J3955" s="5"/>
      <c r="N3955" s="5"/>
      <c r="R3955" s="5"/>
    </row>
    <row r="3956" spans="2:18" x14ac:dyDescent="0.2">
      <c r="B3956" s="5"/>
      <c r="F3956" s="5"/>
      <c r="J3956" s="5"/>
      <c r="N3956" s="5"/>
      <c r="R3956" s="5"/>
    </row>
    <row r="3957" spans="2:18" x14ac:dyDescent="0.2">
      <c r="B3957" s="5"/>
      <c r="F3957" s="5"/>
      <c r="J3957" s="5"/>
      <c r="N3957" s="5"/>
      <c r="R3957" s="5"/>
    </row>
    <row r="3958" spans="2:18" x14ac:dyDescent="0.2">
      <c r="B3958" s="5"/>
      <c r="F3958" s="5"/>
      <c r="J3958" s="5"/>
      <c r="N3958" s="5"/>
      <c r="R3958" s="5"/>
    </row>
    <row r="3959" spans="2:18" x14ac:dyDescent="0.2">
      <c r="B3959" s="5"/>
      <c r="F3959" s="5"/>
      <c r="J3959" s="5"/>
      <c r="N3959" s="5"/>
      <c r="R3959" s="5"/>
    </row>
    <row r="3960" spans="2:18" x14ac:dyDescent="0.2">
      <c r="B3960" s="5"/>
      <c r="F3960" s="5"/>
      <c r="J3960" s="5"/>
      <c r="N3960" s="5"/>
      <c r="R3960" s="5"/>
    </row>
    <row r="3961" spans="2:18" x14ac:dyDescent="0.2">
      <c r="B3961" s="5"/>
      <c r="F3961" s="5"/>
      <c r="J3961" s="5"/>
      <c r="N3961" s="5"/>
      <c r="R3961" s="5"/>
    </row>
    <row r="3962" spans="2:18" x14ac:dyDescent="0.2">
      <c r="B3962" s="5"/>
      <c r="F3962" s="5"/>
      <c r="J3962" s="5"/>
      <c r="N3962" s="5"/>
      <c r="R3962" s="5"/>
    </row>
    <row r="3963" spans="2:18" x14ac:dyDescent="0.2">
      <c r="B3963" s="5"/>
      <c r="F3963" s="5"/>
      <c r="J3963" s="5"/>
      <c r="N3963" s="5"/>
      <c r="R3963" s="5"/>
    </row>
    <row r="3964" spans="2:18" x14ac:dyDescent="0.2">
      <c r="B3964" s="5"/>
      <c r="F3964" s="5"/>
      <c r="J3964" s="5"/>
      <c r="N3964" s="5"/>
      <c r="R3964" s="5"/>
    </row>
    <row r="3965" spans="2:18" x14ac:dyDescent="0.2">
      <c r="B3965" s="5"/>
      <c r="F3965" s="5"/>
      <c r="J3965" s="5"/>
      <c r="N3965" s="5"/>
      <c r="R3965" s="5"/>
    </row>
    <row r="3966" spans="2:18" x14ac:dyDescent="0.2">
      <c r="B3966" s="5"/>
      <c r="F3966" s="5"/>
      <c r="J3966" s="5"/>
      <c r="N3966" s="5"/>
      <c r="R3966" s="5"/>
    </row>
    <row r="3967" spans="2:18" x14ac:dyDescent="0.2">
      <c r="B3967" s="5"/>
      <c r="F3967" s="5"/>
      <c r="J3967" s="5"/>
      <c r="N3967" s="5"/>
      <c r="R3967" s="5"/>
    </row>
    <row r="3968" spans="2:18" x14ac:dyDescent="0.2">
      <c r="B3968" s="5"/>
      <c r="F3968" s="5"/>
      <c r="J3968" s="5"/>
      <c r="N3968" s="5"/>
      <c r="R3968" s="5"/>
    </row>
    <row r="3969" spans="2:18" x14ac:dyDescent="0.2">
      <c r="B3969" s="5"/>
      <c r="F3969" s="5"/>
      <c r="J3969" s="5"/>
      <c r="N3969" s="5"/>
      <c r="R3969" s="5"/>
    </row>
    <row r="3970" spans="2:18" x14ac:dyDescent="0.2">
      <c r="B3970" s="5"/>
      <c r="F3970" s="5"/>
      <c r="J3970" s="5"/>
      <c r="N3970" s="5"/>
      <c r="R3970" s="5"/>
    </row>
    <row r="3971" spans="2:18" x14ac:dyDescent="0.2">
      <c r="B3971" s="5"/>
      <c r="F3971" s="5"/>
      <c r="J3971" s="5"/>
      <c r="N3971" s="5"/>
      <c r="R3971" s="5"/>
    </row>
    <row r="3972" spans="2:18" x14ac:dyDescent="0.2">
      <c r="B3972" s="5"/>
      <c r="F3972" s="5"/>
      <c r="J3972" s="5"/>
      <c r="N3972" s="5"/>
      <c r="R3972" s="5"/>
    </row>
    <row r="3973" spans="2:18" x14ac:dyDescent="0.2">
      <c r="B3973" s="5"/>
      <c r="F3973" s="5"/>
      <c r="J3973" s="5"/>
      <c r="N3973" s="5"/>
      <c r="R3973" s="5"/>
    </row>
    <row r="3974" spans="2:18" x14ac:dyDescent="0.2">
      <c r="B3974" s="5"/>
      <c r="F3974" s="5"/>
      <c r="J3974" s="5"/>
      <c r="N3974" s="5"/>
      <c r="R3974" s="5"/>
    </row>
    <row r="3975" spans="2:18" x14ac:dyDescent="0.2">
      <c r="B3975" s="5"/>
      <c r="F3975" s="5"/>
      <c r="J3975" s="5"/>
      <c r="N3975" s="5"/>
      <c r="R3975" s="5"/>
    </row>
    <row r="3976" spans="2:18" x14ac:dyDescent="0.2">
      <c r="B3976" s="5"/>
      <c r="F3976" s="5"/>
      <c r="J3976" s="5"/>
      <c r="N3976" s="5"/>
      <c r="R3976" s="5"/>
    </row>
    <row r="3977" spans="2:18" x14ac:dyDescent="0.2">
      <c r="B3977" s="5"/>
      <c r="F3977" s="5"/>
      <c r="J3977" s="5"/>
      <c r="N3977" s="5"/>
      <c r="R3977" s="5"/>
    </row>
    <row r="3978" spans="2:18" x14ac:dyDescent="0.2">
      <c r="B3978" s="5"/>
      <c r="F3978" s="5"/>
      <c r="J3978" s="5"/>
      <c r="N3978" s="5"/>
      <c r="R3978" s="5"/>
    </row>
    <row r="3979" spans="2:18" x14ac:dyDescent="0.2">
      <c r="B3979" s="5"/>
      <c r="F3979" s="5"/>
      <c r="J3979" s="5"/>
      <c r="N3979" s="5"/>
      <c r="R3979" s="5"/>
    </row>
    <row r="3980" spans="2:18" x14ac:dyDescent="0.2">
      <c r="B3980" s="5"/>
      <c r="F3980" s="5"/>
      <c r="J3980" s="5"/>
      <c r="N3980" s="5"/>
      <c r="R3980" s="5"/>
    </row>
    <row r="3981" spans="2:18" x14ac:dyDescent="0.2">
      <c r="B3981" s="5"/>
      <c r="F3981" s="5"/>
      <c r="J3981" s="5"/>
      <c r="N3981" s="5"/>
      <c r="R3981" s="5"/>
    </row>
    <row r="3982" spans="2:18" x14ac:dyDescent="0.2">
      <c r="B3982" s="5"/>
      <c r="F3982" s="5"/>
      <c r="J3982" s="5"/>
      <c r="N3982" s="5"/>
      <c r="R3982" s="5"/>
    </row>
    <row r="3983" spans="2:18" x14ac:dyDescent="0.2">
      <c r="B3983" s="5"/>
      <c r="F3983" s="5"/>
      <c r="J3983" s="5"/>
      <c r="N3983" s="5"/>
      <c r="R3983" s="5"/>
    </row>
    <row r="3984" spans="2:18" x14ac:dyDescent="0.2">
      <c r="B3984" s="5"/>
      <c r="F3984" s="5"/>
      <c r="J3984" s="5"/>
      <c r="N3984" s="5"/>
      <c r="R3984" s="5"/>
    </row>
    <row r="3985" spans="2:18" x14ac:dyDescent="0.2">
      <c r="B3985" s="5"/>
      <c r="F3985" s="5"/>
      <c r="J3985" s="5"/>
      <c r="N3985" s="5"/>
      <c r="R3985" s="5"/>
    </row>
    <row r="3986" spans="2:18" x14ac:dyDescent="0.2">
      <c r="B3986" s="5"/>
      <c r="F3986" s="5"/>
      <c r="J3986" s="5"/>
      <c r="N3986" s="5"/>
      <c r="R3986" s="5"/>
    </row>
    <row r="3987" spans="2:18" x14ac:dyDescent="0.2">
      <c r="B3987" s="5"/>
      <c r="F3987" s="5"/>
      <c r="J3987" s="5"/>
      <c r="N3987" s="5"/>
      <c r="R3987" s="5"/>
    </row>
    <row r="3988" spans="2:18" x14ac:dyDescent="0.2">
      <c r="B3988" s="5"/>
      <c r="F3988" s="5"/>
      <c r="J3988" s="5"/>
      <c r="N3988" s="5"/>
      <c r="R3988" s="5"/>
    </row>
    <row r="3989" spans="2:18" x14ac:dyDescent="0.2">
      <c r="B3989" s="5"/>
      <c r="F3989" s="5"/>
      <c r="J3989" s="5"/>
      <c r="N3989" s="5"/>
      <c r="R3989" s="5"/>
    </row>
    <row r="3990" spans="2:18" x14ac:dyDescent="0.2">
      <c r="B3990" s="5"/>
      <c r="F3990" s="5"/>
      <c r="J3990" s="5"/>
      <c r="N3990" s="5"/>
      <c r="R3990" s="5"/>
    </row>
    <row r="3991" spans="2:18" x14ac:dyDescent="0.2">
      <c r="B3991" s="5"/>
      <c r="F3991" s="5"/>
      <c r="J3991" s="5"/>
      <c r="N3991" s="5"/>
      <c r="R3991" s="5"/>
    </row>
    <row r="3992" spans="2:18" x14ac:dyDescent="0.2">
      <c r="B3992" s="5"/>
      <c r="F3992" s="5"/>
      <c r="J3992" s="5"/>
      <c r="N3992" s="5"/>
      <c r="R3992" s="5"/>
    </row>
    <row r="3993" spans="2:18" x14ac:dyDescent="0.2">
      <c r="B3993" s="5"/>
      <c r="F3993" s="5"/>
      <c r="J3993" s="5"/>
      <c r="N3993" s="5"/>
      <c r="R3993" s="5"/>
    </row>
    <row r="3994" spans="2:18" x14ac:dyDescent="0.2">
      <c r="B3994" s="5"/>
      <c r="F3994" s="5"/>
      <c r="J3994" s="5"/>
      <c r="N3994" s="5"/>
      <c r="R3994" s="5"/>
    </row>
    <row r="3995" spans="2:18" x14ac:dyDescent="0.2">
      <c r="B3995" s="5"/>
      <c r="F3995" s="5"/>
      <c r="J3995" s="5"/>
      <c r="N3995" s="5"/>
      <c r="R3995" s="5"/>
    </row>
    <row r="3996" spans="2:18" x14ac:dyDescent="0.2">
      <c r="B3996" s="5"/>
      <c r="F3996" s="5"/>
      <c r="J3996" s="5"/>
      <c r="N3996" s="5"/>
      <c r="R3996" s="5"/>
    </row>
    <row r="3997" spans="2:18" x14ac:dyDescent="0.2">
      <c r="B3997" s="5"/>
      <c r="F3997" s="5"/>
      <c r="J3997" s="5"/>
      <c r="N3997" s="5"/>
      <c r="R3997" s="5"/>
    </row>
    <row r="3998" spans="2:18" x14ac:dyDescent="0.2">
      <c r="B3998" s="5"/>
      <c r="F3998" s="5"/>
      <c r="J3998" s="5"/>
      <c r="N3998" s="5"/>
      <c r="R3998" s="5"/>
    </row>
    <row r="3999" spans="2:18" x14ac:dyDescent="0.2">
      <c r="B3999" s="5"/>
      <c r="F3999" s="5"/>
      <c r="J3999" s="5"/>
      <c r="N3999" s="5"/>
      <c r="R3999" s="5"/>
    </row>
    <row r="4000" spans="2:18" x14ac:dyDescent="0.2">
      <c r="B4000" s="5"/>
      <c r="F4000" s="5"/>
      <c r="J4000" s="5"/>
      <c r="N4000" s="5"/>
      <c r="R4000" s="5"/>
    </row>
    <row r="4001" spans="2:18" x14ac:dyDescent="0.2">
      <c r="B4001" s="5"/>
      <c r="F4001" s="5"/>
      <c r="J4001" s="5"/>
      <c r="N4001" s="5"/>
      <c r="R4001" s="5"/>
    </row>
    <row r="4002" spans="2:18" x14ac:dyDescent="0.2">
      <c r="B4002" s="5"/>
      <c r="F4002" s="5"/>
      <c r="J4002" s="5"/>
      <c r="N4002" s="5"/>
      <c r="R4002" s="5"/>
    </row>
    <row r="4003" spans="2:18" x14ac:dyDescent="0.2">
      <c r="B4003" s="5"/>
      <c r="F4003" s="5"/>
      <c r="J4003" s="5"/>
      <c r="N4003" s="5"/>
      <c r="R4003" s="5"/>
    </row>
    <row r="4004" spans="2:18" x14ac:dyDescent="0.2">
      <c r="B4004" s="5"/>
      <c r="F4004" s="5"/>
      <c r="J4004" s="5"/>
      <c r="N4004" s="5"/>
      <c r="R4004" s="5"/>
    </row>
    <row r="4005" spans="2:18" x14ac:dyDescent="0.2">
      <c r="B4005" s="5"/>
      <c r="F4005" s="5"/>
      <c r="J4005" s="5"/>
      <c r="N4005" s="5"/>
      <c r="R4005" s="5"/>
    </row>
    <row r="4006" spans="2:18" x14ac:dyDescent="0.2">
      <c r="B4006" s="5"/>
      <c r="F4006" s="5"/>
      <c r="J4006" s="5"/>
      <c r="N4006" s="5"/>
      <c r="R4006" s="5"/>
    </row>
    <row r="4007" spans="2:18" x14ac:dyDescent="0.2">
      <c r="B4007" s="5"/>
      <c r="F4007" s="5"/>
      <c r="J4007" s="5"/>
      <c r="N4007" s="5"/>
      <c r="R4007" s="5"/>
    </row>
    <row r="4008" spans="2:18" x14ac:dyDescent="0.2">
      <c r="B4008" s="5"/>
      <c r="F4008" s="5"/>
      <c r="J4008" s="5"/>
      <c r="N4008" s="5"/>
      <c r="R4008" s="5"/>
    </row>
    <row r="4009" spans="2:18" x14ac:dyDescent="0.2">
      <c r="B4009" s="5"/>
      <c r="F4009" s="5"/>
      <c r="J4009" s="5"/>
      <c r="N4009" s="5"/>
      <c r="R4009" s="5"/>
    </row>
    <row r="4010" spans="2:18" x14ac:dyDescent="0.2">
      <c r="B4010" s="5"/>
      <c r="F4010" s="5"/>
      <c r="J4010" s="5"/>
      <c r="N4010" s="5"/>
      <c r="R4010" s="5"/>
    </row>
    <row r="4011" spans="2:18" x14ac:dyDescent="0.2">
      <c r="B4011" s="5"/>
      <c r="F4011" s="5"/>
      <c r="J4011" s="5"/>
      <c r="N4011" s="5"/>
      <c r="R4011" s="5"/>
    </row>
    <row r="4012" spans="2:18" x14ac:dyDescent="0.2">
      <c r="B4012" s="5"/>
      <c r="F4012" s="5"/>
      <c r="J4012" s="5"/>
      <c r="N4012" s="5"/>
      <c r="R4012" s="5"/>
    </row>
    <row r="4013" spans="2:18" x14ac:dyDescent="0.2">
      <c r="B4013" s="5"/>
      <c r="F4013" s="5"/>
      <c r="J4013" s="5"/>
      <c r="N4013" s="5"/>
      <c r="R4013" s="5"/>
    </row>
    <row r="4014" spans="2:18" x14ac:dyDescent="0.2">
      <c r="B4014" s="5"/>
      <c r="F4014" s="5"/>
      <c r="J4014" s="5"/>
      <c r="N4014" s="5"/>
      <c r="R4014" s="5"/>
    </row>
    <row r="4015" spans="2:18" x14ac:dyDescent="0.2">
      <c r="B4015" s="5"/>
      <c r="F4015" s="5"/>
      <c r="J4015" s="5"/>
      <c r="N4015" s="5"/>
      <c r="R4015" s="5"/>
    </row>
    <row r="4016" spans="2:18" x14ac:dyDescent="0.2">
      <c r="B4016" s="5"/>
      <c r="F4016" s="5"/>
      <c r="J4016" s="5"/>
      <c r="N4016" s="5"/>
      <c r="R4016" s="5"/>
    </row>
    <row r="4017" spans="2:18" x14ac:dyDescent="0.2">
      <c r="B4017" s="5"/>
      <c r="F4017" s="5"/>
      <c r="J4017" s="5"/>
      <c r="N4017" s="5"/>
      <c r="R4017" s="5"/>
    </row>
    <row r="4018" spans="2:18" x14ac:dyDescent="0.2">
      <c r="B4018" s="5"/>
      <c r="F4018" s="5"/>
      <c r="J4018" s="5"/>
      <c r="N4018" s="5"/>
      <c r="R4018" s="5"/>
    </row>
    <row r="4019" spans="2:18" x14ac:dyDescent="0.2">
      <c r="B4019" s="5"/>
      <c r="F4019" s="5"/>
      <c r="J4019" s="5"/>
      <c r="N4019" s="5"/>
      <c r="R4019" s="5"/>
    </row>
    <row r="4020" spans="2:18" x14ac:dyDescent="0.2">
      <c r="B4020" s="5"/>
      <c r="F4020" s="5"/>
      <c r="J4020" s="5"/>
      <c r="N4020" s="5"/>
      <c r="R4020" s="5"/>
    </row>
    <row r="4021" spans="2:18" x14ac:dyDescent="0.2">
      <c r="B4021" s="5"/>
      <c r="F4021" s="5"/>
      <c r="J4021" s="5"/>
      <c r="N4021" s="5"/>
      <c r="R4021" s="5"/>
    </row>
    <row r="4022" spans="2:18" x14ac:dyDescent="0.2">
      <c r="B4022" s="5"/>
      <c r="F4022" s="5"/>
      <c r="J4022" s="5"/>
      <c r="N4022" s="5"/>
      <c r="R4022" s="5"/>
    </row>
    <row r="4023" spans="2:18" x14ac:dyDescent="0.2">
      <c r="B4023" s="5"/>
      <c r="F4023" s="5"/>
      <c r="J4023" s="5"/>
      <c r="N4023" s="5"/>
      <c r="R4023" s="5"/>
    </row>
    <row r="4024" spans="2:18" x14ac:dyDescent="0.2">
      <c r="B4024" s="5"/>
      <c r="F4024" s="5"/>
      <c r="J4024" s="5"/>
      <c r="N4024" s="5"/>
      <c r="R4024" s="5"/>
    </row>
    <row r="4025" spans="2:18" x14ac:dyDescent="0.2">
      <c r="B4025" s="5"/>
      <c r="F4025" s="5"/>
      <c r="J4025" s="5"/>
      <c r="N4025" s="5"/>
      <c r="R4025" s="5"/>
    </row>
    <row r="4026" spans="2:18" x14ac:dyDescent="0.2">
      <c r="B4026" s="5"/>
      <c r="F4026" s="5"/>
      <c r="J4026" s="5"/>
      <c r="N4026" s="5"/>
      <c r="R4026" s="5"/>
    </row>
    <row r="4027" spans="2:18" x14ac:dyDescent="0.2">
      <c r="B4027" s="5"/>
      <c r="F4027" s="5"/>
      <c r="J4027" s="5"/>
      <c r="N4027" s="5"/>
      <c r="R4027" s="5"/>
    </row>
    <row r="4028" spans="2:18" x14ac:dyDescent="0.2">
      <c r="B4028" s="5"/>
      <c r="F4028" s="5"/>
      <c r="J4028" s="5"/>
      <c r="N4028" s="5"/>
      <c r="R4028" s="5"/>
    </row>
    <row r="4029" spans="2:18" x14ac:dyDescent="0.2">
      <c r="B4029" s="5"/>
      <c r="F4029" s="5"/>
      <c r="J4029" s="5"/>
      <c r="N4029" s="5"/>
      <c r="R4029" s="5"/>
    </row>
    <row r="4030" spans="2:18" x14ac:dyDescent="0.2">
      <c r="B4030" s="5"/>
      <c r="F4030" s="5"/>
      <c r="J4030" s="5"/>
      <c r="N4030" s="5"/>
      <c r="R4030" s="5"/>
    </row>
    <row r="4031" spans="2:18" x14ac:dyDescent="0.2">
      <c r="B4031" s="5"/>
      <c r="F4031" s="5"/>
      <c r="J4031" s="5"/>
      <c r="N4031" s="5"/>
      <c r="R4031" s="5"/>
    </row>
    <row r="4032" spans="2:18" x14ac:dyDescent="0.2">
      <c r="B4032" s="5"/>
      <c r="F4032" s="5"/>
      <c r="J4032" s="5"/>
      <c r="N4032" s="5"/>
      <c r="R4032" s="5"/>
    </row>
    <row r="4033" spans="2:18" x14ac:dyDescent="0.2">
      <c r="B4033" s="5"/>
      <c r="F4033" s="5"/>
      <c r="J4033" s="5"/>
      <c r="N4033" s="5"/>
      <c r="R4033" s="5"/>
    </row>
    <row r="4034" spans="2:18" x14ac:dyDescent="0.2">
      <c r="B4034" s="5"/>
      <c r="F4034" s="5"/>
      <c r="J4034" s="5"/>
      <c r="N4034" s="5"/>
      <c r="R4034" s="5"/>
    </row>
    <row r="4035" spans="2:18" x14ac:dyDescent="0.2">
      <c r="B4035" s="5"/>
      <c r="F4035" s="5"/>
      <c r="J4035" s="5"/>
      <c r="N4035" s="5"/>
      <c r="R4035" s="5"/>
    </row>
    <row r="4036" spans="2:18" x14ac:dyDescent="0.2">
      <c r="B4036" s="5"/>
      <c r="F4036" s="5"/>
      <c r="J4036" s="5"/>
      <c r="N4036" s="5"/>
      <c r="R4036" s="5"/>
    </row>
    <row r="4037" spans="2:18" x14ac:dyDescent="0.2">
      <c r="B4037" s="5"/>
      <c r="F4037" s="5"/>
      <c r="J4037" s="5"/>
      <c r="N4037" s="5"/>
      <c r="R4037" s="5"/>
    </row>
    <row r="4038" spans="2:18" x14ac:dyDescent="0.2">
      <c r="B4038" s="5"/>
      <c r="F4038" s="5"/>
      <c r="J4038" s="5"/>
      <c r="N4038" s="5"/>
      <c r="R4038" s="5"/>
    </row>
    <row r="4039" spans="2:18" x14ac:dyDescent="0.2">
      <c r="B4039" s="5"/>
      <c r="F4039" s="5"/>
      <c r="J4039" s="5"/>
      <c r="N4039" s="5"/>
      <c r="R4039" s="5"/>
    </row>
    <row r="4040" spans="2:18" x14ac:dyDescent="0.2">
      <c r="B4040" s="5"/>
      <c r="F4040" s="5"/>
      <c r="J4040" s="5"/>
      <c r="N4040" s="5"/>
      <c r="R4040" s="5"/>
    </row>
    <row r="4041" spans="2:18" x14ac:dyDescent="0.2">
      <c r="B4041" s="5"/>
      <c r="F4041" s="5"/>
      <c r="J4041" s="5"/>
      <c r="N4041" s="5"/>
      <c r="R4041" s="5"/>
    </row>
    <row r="4042" spans="2:18" x14ac:dyDescent="0.2">
      <c r="B4042" s="5"/>
      <c r="F4042" s="5"/>
      <c r="J4042" s="5"/>
      <c r="N4042" s="5"/>
      <c r="R4042" s="5"/>
    </row>
    <row r="4043" spans="2:18" x14ac:dyDescent="0.2">
      <c r="B4043" s="5"/>
      <c r="F4043" s="5"/>
      <c r="J4043" s="5"/>
      <c r="N4043" s="5"/>
      <c r="R4043" s="5"/>
    </row>
    <row r="4044" spans="2:18" x14ac:dyDescent="0.2">
      <c r="B4044" s="5"/>
      <c r="F4044" s="5"/>
      <c r="J4044" s="5"/>
      <c r="N4044" s="5"/>
      <c r="R4044" s="5"/>
    </row>
    <row r="4045" spans="2:18" x14ac:dyDescent="0.2">
      <c r="B4045" s="5"/>
      <c r="F4045" s="5"/>
      <c r="J4045" s="5"/>
      <c r="N4045" s="5"/>
      <c r="R4045" s="5"/>
    </row>
    <row r="4046" spans="2:18" x14ac:dyDescent="0.2">
      <c r="B4046" s="5"/>
      <c r="F4046" s="5"/>
      <c r="J4046" s="5"/>
      <c r="N4046" s="5"/>
      <c r="R4046" s="5"/>
    </row>
    <row r="4047" spans="2:18" x14ac:dyDescent="0.2">
      <c r="B4047" s="5"/>
      <c r="F4047" s="5"/>
      <c r="J4047" s="5"/>
      <c r="N4047" s="5"/>
      <c r="R4047" s="5"/>
    </row>
    <row r="4048" spans="2:18" x14ac:dyDescent="0.2">
      <c r="B4048" s="5"/>
      <c r="F4048" s="5"/>
      <c r="J4048" s="5"/>
      <c r="N4048" s="5"/>
      <c r="R4048" s="5"/>
    </row>
    <row r="4049" spans="2:18" x14ac:dyDescent="0.2">
      <c r="B4049" s="5"/>
      <c r="F4049" s="5"/>
      <c r="J4049" s="5"/>
      <c r="N4049" s="5"/>
      <c r="R4049" s="5"/>
    </row>
    <row r="4050" spans="2:18" x14ac:dyDescent="0.2">
      <c r="B4050" s="5"/>
      <c r="F4050" s="5"/>
      <c r="J4050" s="5"/>
      <c r="N4050" s="5"/>
      <c r="R4050" s="5"/>
    </row>
    <row r="4051" spans="2:18" x14ac:dyDescent="0.2">
      <c r="B4051" s="5"/>
      <c r="F4051" s="5"/>
      <c r="J4051" s="5"/>
      <c r="N4051" s="5"/>
      <c r="R4051" s="5"/>
    </row>
    <row r="4052" spans="2:18" x14ac:dyDescent="0.2">
      <c r="B4052" s="5"/>
      <c r="F4052" s="5"/>
      <c r="J4052" s="5"/>
      <c r="N4052" s="5"/>
      <c r="R4052" s="5"/>
    </row>
    <row r="4053" spans="2:18" x14ac:dyDescent="0.2">
      <c r="B4053" s="5"/>
      <c r="F4053" s="5"/>
      <c r="J4053" s="5"/>
      <c r="N4053" s="5"/>
      <c r="R4053" s="5"/>
    </row>
    <row r="4054" spans="2:18" x14ac:dyDescent="0.2">
      <c r="B4054" s="5"/>
      <c r="F4054" s="5"/>
      <c r="J4054" s="5"/>
      <c r="N4054" s="5"/>
      <c r="R4054" s="5"/>
    </row>
    <row r="4055" spans="2:18" x14ac:dyDescent="0.2">
      <c r="B4055" s="5"/>
      <c r="F4055" s="5"/>
      <c r="J4055" s="5"/>
      <c r="N4055" s="5"/>
      <c r="R4055" s="5"/>
    </row>
    <row r="4056" spans="2:18" x14ac:dyDescent="0.2">
      <c r="B4056" s="5"/>
      <c r="F4056" s="5"/>
      <c r="J4056" s="5"/>
      <c r="N4056" s="5"/>
      <c r="R4056" s="5"/>
    </row>
    <row r="4057" spans="2:18" x14ac:dyDescent="0.2">
      <c r="B4057" s="5"/>
      <c r="F4057" s="5"/>
      <c r="J4057" s="5"/>
      <c r="N4057" s="5"/>
      <c r="R4057" s="5"/>
    </row>
    <row r="4058" spans="2:18" x14ac:dyDescent="0.2">
      <c r="B4058" s="5"/>
      <c r="F4058" s="5"/>
      <c r="J4058" s="5"/>
      <c r="N4058" s="5"/>
      <c r="R4058" s="5"/>
    </row>
    <row r="4059" spans="2:18" x14ac:dyDescent="0.2">
      <c r="B4059" s="5"/>
      <c r="F4059" s="5"/>
      <c r="J4059" s="5"/>
      <c r="N4059" s="5"/>
      <c r="R4059" s="5"/>
    </row>
    <row r="4060" spans="2:18" x14ac:dyDescent="0.2">
      <c r="B4060" s="5"/>
      <c r="F4060" s="5"/>
      <c r="J4060" s="5"/>
      <c r="N4060" s="5"/>
      <c r="R4060" s="5"/>
    </row>
    <row r="4061" spans="2:18" x14ac:dyDescent="0.2">
      <c r="B4061" s="5"/>
      <c r="F4061" s="5"/>
      <c r="J4061" s="5"/>
      <c r="N4061" s="5"/>
      <c r="R4061" s="5"/>
    </row>
    <row r="4062" spans="2:18" x14ac:dyDescent="0.2">
      <c r="B4062" s="5"/>
      <c r="F4062" s="5"/>
      <c r="J4062" s="5"/>
      <c r="N4062" s="5"/>
      <c r="R4062" s="5"/>
    </row>
    <row r="4063" spans="2:18" x14ac:dyDescent="0.2">
      <c r="B4063" s="5"/>
      <c r="F4063" s="5"/>
      <c r="J4063" s="5"/>
      <c r="N4063" s="5"/>
      <c r="R4063" s="5"/>
    </row>
    <row r="4064" spans="2:18" x14ac:dyDescent="0.2">
      <c r="B4064" s="5"/>
      <c r="F4064" s="5"/>
      <c r="J4064" s="5"/>
      <c r="N4064" s="5"/>
      <c r="R4064" s="5"/>
    </row>
    <row r="4065" spans="2:18" x14ac:dyDescent="0.2">
      <c r="B4065" s="5"/>
      <c r="F4065" s="5"/>
      <c r="J4065" s="5"/>
      <c r="N4065" s="5"/>
      <c r="R4065" s="5"/>
    </row>
    <row r="4066" spans="2:18" x14ac:dyDescent="0.2">
      <c r="B4066" s="5"/>
      <c r="F4066" s="5"/>
      <c r="J4066" s="5"/>
      <c r="N4066" s="5"/>
      <c r="R4066" s="5"/>
    </row>
    <row r="4067" spans="2:18" x14ac:dyDescent="0.2">
      <c r="B4067" s="5"/>
      <c r="F4067" s="5"/>
      <c r="J4067" s="5"/>
      <c r="N4067" s="5"/>
      <c r="R4067" s="5"/>
    </row>
    <row r="4068" spans="2:18" x14ac:dyDescent="0.2">
      <c r="B4068" s="5"/>
      <c r="F4068" s="5"/>
      <c r="J4068" s="5"/>
      <c r="N4068" s="5"/>
      <c r="R4068" s="5"/>
    </row>
    <row r="4069" spans="2:18" x14ac:dyDescent="0.2">
      <c r="B4069" s="5"/>
      <c r="F4069" s="5"/>
      <c r="J4069" s="5"/>
      <c r="N4069" s="5"/>
      <c r="R4069" s="5"/>
    </row>
    <row r="4070" spans="2:18" x14ac:dyDescent="0.2">
      <c r="B4070" s="5"/>
      <c r="F4070" s="5"/>
      <c r="J4070" s="5"/>
      <c r="N4070" s="5"/>
      <c r="R4070" s="5"/>
    </row>
    <row r="4071" spans="2:18" x14ac:dyDescent="0.2">
      <c r="B4071" s="5"/>
      <c r="F4071" s="5"/>
      <c r="J4071" s="5"/>
      <c r="N4071" s="5"/>
      <c r="R4071" s="5"/>
    </row>
    <row r="4072" spans="2:18" x14ac:dyDescent="0.2">
      <c r="B4072" s="5"/>
      <c r="F4072" s="5"/>
      <c r="J4072" s="5"/>
      <c r="N4072" s="5"/>
      <c r="R4072" s="5"/>
    </row>
    <row r="4073" spans="2:18" x14ac:dyDescent="0.2">
      <c r="B4073" s="5"/>
      <c r="F4073" s="5"/>
      <c r="J4073" s="5"/>
      <c r="N4073" s="5"/>
      <c r="R4073" s="5"/>
    </row>
    <row r="4074" spans="2:18" x14ac:dyDescent="0.2">
      <c r="B4074" s="5"/>
      <c r="F4074" s="5"/>
      <c r="J4074" s="5"/>
      <c r="N4074" s="5"/>
      <c r="R4074" s="5"/>
    </row>
    <row r="4075" spans="2:18" x14ac:dyDescent="0.2">
      <c r="B4075" s="5"/>
      <c r="F4075" s="5"/>
      <c r="J4075" s="5"/>
      <c r="N4075" s="5"/>
      <c r="R4075" s="5"/>
    </row>
    <row r="4076" spans="2:18" x14ac:dyDescent="0.2">
      <c r="B4076" s="5"/>
      <c r="F4076" s="5"/>
      <c r="J4076" s="5"/>
      <c r="N4076" s="5"/>
      <c r="R4076" s="5"/>
    </row>
    <row r="4077" spans="2:18" x14ac:dyDescent="0.2">
      <c r="B4077" s="5"/>
      <c r="F4077" s="5"/>
      <c r="J4077" s="5"/>
      <c r="N4077" s="5"/>
      <c r="R4077" s="5"/>
    </row>
    <row r="4078" spans="2:18" x14ac:dyDescent="0.2">
      <c r="B4078" s="5"/>
      <c r="F4078" s="5"/>
      <c r="J4078" s="5"/>
      <c r="N4078" s="5"/>
      <c r="R4078" s="5"/>
    </row>
    <row r="4079" spans="2:18" x14ac:dyDescent="0.2">
      <c r="B4079" s="5"/>
      <c r="F4079" s="5"/>
      <c r="J4079" s="5"/>
      <c r="N4079" s="5"/>
      <c r="R4079" s="5"/>
    </row>
    <row r="4080" spans="2:18" x14ac:dyDescent="0.2">
      <c r="B4080" s="5"/>
      <c r="F4080" s="5"/>
      <c r="J4080" s="5"/>
      <c r="N4080" s="5"/>
      <c r="R4080" s="5"/>
    </row>
    <row r="4081" spans="2:18" x14ac:dyDescent="0.2">
      <c r="B4081" s="5"/>
      <c r="F4081" s="5"/>
      <c r="J4081" s="5"/>
      <c r="N4081" s="5"/>
      <c r="R4081" s="5"/>
    </row>
    <row r="4082" spans="2:18" x14ac:dyDescent="0.2">
      <c r="B4082" s="5"/>
      <c r="F4082" s="5"/>
      <c r="J4082" s="5"/>
      <c r="N4082" s="5"/>
      <c r="R4082" s="5"/>
    </row>
    <row r="4083" spans="2:18" x14ac:dyDescent="0.2">
      <c r="B4083" s="5"/>
      <c r="F4083" s="5"/>
      <c r="J4083" s="5"/>
      <c r="N4083" s="5"/>
      <c r="R4083" s="5"/>
    </row>
    <row r="4084" spans="2:18" x14ac:dyDescent="0.2">
      <c r="B4084" s="5"/>
      <c r="F4084" s="5"/>
      <c r="J4084" s="5"/>
      <c r="N4084" s="5"/>
      <c r="R4084" s="5"/>
    </row>
    <row r="4085" spans="2:18" x14ac:dyDescent="0.2">
      <c r="B4085" s="5"/>
      <c r="F4085" s="5"/>
      <c r="J4085" s="5"/>
      <c r="N4085" s="5"/>
      <c r="R4085" s="5"/>
    </row>
    <row r="4086" spans="2:18" x14ac:dyDescent="0.2">
      <c r="B4086" s="5"/>
      <c r="F4086" s="5"/>
      <c r="J4086" s="5"/>
      <c r="N4086" s="5"/>
      <c r="R4086" s="5"/>
    </row>
    <row r="4087" spans="2:18" x14ac:dyDescent="0.2">
      <c r="B4087" s="5"/>
      <c r="F4087" s="5"/>
      <c r="J4087" s="5"/>
      <c r="N4087" s="5"/>
      <c r="R4087" s="5"/>
    </row>
    <row r="4088" spans="2:18" x14ac:dyDescent="0.2">
      <c r="B4088" s="5"/>
      <c r="F4088" s="5"/>
      <c r="J4088" s="5"/>
      <c r="N4088" s="5"/>
      <c r="R4088" s="5"/>
    </row>
    <row r="4089" spans="2:18" x14ac:dyDescent="0.2">
      <c r="B4089" s="5"/>
      <c r="F4089" s="5"/>
      <c r="J4089" s="5"/>
      <c r="N4089" s="5"/>
      <c r="R4089" s="5"/>
    </row>
    <row r="4090" spans="2:18" x14ac:dyDescent="0.2">
      <c r="B4090" s="5"/>
      <c r="F4090" s="5"/>
      <c r="J4090" s="5"/>
      <c r="N4090" s="5"/>
      <c r="R4090" s="5"/>
    </row>
    <row r="4091" spans="2:18" x14ac:dyDescent="0.2">
      <c r="B4091" s="5"/>
      <c r="F4091" s="5"/>
      <c r="J4091" s="5"/>
      <c r="N4091" s="5"/>
      <c r="R4091" s="5"/>
    </row>
    <row r="4092" spans="2:18" x14ac:dyDescent="0.2">
      <c r="B4092" s="5"/>
      <c r="F4092" s="5"/>
      <c r="J4092" s="5"/>
      <c r="N4092" s="5"/>
      <c r="R4092" s="5"/>
    </row>
    <row r="4093" spans="2:18" x14ac:dyDescent="0.2">
      <c r="B4093" s="5"/>
      <c r="F4093" s="5"/>
      <c r="J4093" s="5"/>
      <c r="N4093" s="5"/>
      <c r="R4093" s="5"/>
    </row>
    <row r="4094" spans="2:18" x14ac:dyDescent="0.2">
      <c r="B4094" s="5"/>
      <c r="F4094" s="5"/>
      <c r="J4094" s="5"/>
      <c r="N4094" s="5"/>
      <c r="R4094" s="5"/>
    </row>
    <row r="4095" spans="2:18" x14ac:dyDescent="0.2">
      <c r="B4095" s="5"/>
      <c r="F4095" s="5"/>
      <c r="J4095" s="5"/>
      <c r="N4095" s="5"/>
      <c r="R4095" s="5"/>
    </row>
    <row r="4096" spans="2:18" x14ac:dyDescent="0.2">
      <c r="B4096" s="5"/>
      <c r="F4096" s="5"/>
      <c r="J4096" s="5"/>
      <c r="N4096" s="5"/>
      <c r="R4096" s="5"/>
    </row>
    <row r="4097" spans="2:18" x14ac:dyDescent="0.2">
      <c r="B4097" s="5"/>
      <c r="F4097" s="5"/>
      <c r="J4097" s="5"/>
      <c r="N4097" s="5"/>
      <c r="R4097" s="5"/>
    </row>
    <row r="4098" spans="2:18" x14ac:dyDescent="0.2">
      <c r="B4098" s="5"/>
      <c r="F4098" s="5"/>
      <c r="J4098" s="5"/>
      <c r="N4098" s="5"/>
      <c r="R4098" s="5"/>
    </row>
    <row r="4099" spans="2:18" x14ac:dyDescent="0.2">
      <c r="B4099" s="5"/>
      <c r="F4099" s="5"/>
      <c r="J4099" s="5"/>
      <c r="N4099" s="5"/>
      <c r="R4099" s="5"/>
    </row>
    <row r="4100" spans="2:18" x14ac:dyDescent="0.2">
      <c r="B4100" s="5"/>
      <c r="F4100" s="5"/>
      <c r="J4100" s="5"/>
      <c r="N4100" s="5"/>
      <c r="R4100" s="5"/>
    </row>
    <row r="4101" spans="2:18" x14ac:dyDescent="0.2">
      <c r="B4101" s="5"/>
      <c r="F4101" s="5"/>
      <c r="J4101" s="5"/>
      <c r="N4101" s="5"/>
      <c r="R4101" s="5"/>
    </row>
    <row r="4102" spans="2:18" x14ac:dyDescent="0.2">
      <c r="B4102" s="5"/>
      <c r="F4102" s="5"/>
      <c r="J4102" s="5"/>
      <c r="N4102" s="5"/>
      <c r="R4102" s="5"/>
    </row>
    <row r="4103" spans="2:18" x14ac:dyDescent="0.2">
      <c r="B4103" s="5"/>
      <c r="F4103" s="5"/>
      <c r="J4103" s="5"/>
      <c r="N4103" s="5"/>
      <c r="R4103" s="5"/>
    </row>
    <row r="4104" spans="2:18" x14ac:dyDescent="0.2">
      <c r="B4104" s="5"/>
      <c r="F4104" s="5"/>
      <c r="J4104" s="5"/>
      <c r="N4104" s="5"/>
      <c r="R4104" s="5"/>
    </row>
    <row r="4105" spans="2:18" x14ac:dyDescent="0.2">
      <c r="B4105" s="5"/>
      <c r="F4105" s="5"/>
      <c r="J4105" s="5"/>
      <c r="N4105" s="5"/>
      <c r="R4105" s="5"/>
    </row>
    <row r="4106" spans="2:18" x14ac:dyDescent="0.2">
      <c r="B4106" s="5"/>
      <c r="F4106" s="5"/>
      <c r="J4106" s="5"/>
      <c r="N4106" s="5"/>
      <c r="R4106" s="5"/>
    </row>
    <row r="4107" spans="2:18" x14ac:dyDescent="0.2">
      <c r="B4107" s="5"/>
      <c r="F4107" s="5"/>
      <c r="J4107" s="5"/>
      <c r="N4107" s="5"/>
      <c r="R4107" s="5"/>
    </row>
    <row r="4108" spans="2:18" x14ac:dyDescent="0.2">
      <c r="B4108" s="5"/>
      <c r="F4108" s="5"/>
      <c r="J4108" s="5"/>
      <c r="N4108" s="5"/>
      <c r="R4108" s="5"/>
    </row>
    <row r="4109" spans="2:18" x14ac:dyDescent="0.2">
      <c r="B4109" s="5"/>
      <c r="F4109" s="5"/>
      <c r="J4109" s="5"/>
      <c r="N4109" s="5"/>
      <c r="R4109" s="5"/>
    </row>
    <row r="4110" spans="2:18" x14ac:dyDescent="0.2">
      <c r="B4110" s="5"/>
      <c r="F4110" s="5"/>
      <c r="J4110" s="5"/>
      <c r="N4110" s="5"/>
      <c r="R4110" s="5"/>
    </row>
    <row r="4111" spans="2:18" x14ac:dyDescent="0.2">
      <c r="B4111" s="5"/>
      <c r="F4111" s="5"/>
      <c r="J4111" s="5"/>
      <c r="N4111" s="5"/>
      <c r="R4111" s="5"/>
    </row>
    <row r="4112" spans="2:18" x14ac:dyDescent="0.2">
      <c r="B4112" s="5"/>
      <c r="F4112" s="5"/>
      <c r="J4112" s="5"/>
      <c r="N4112" s="5"/>
      <c r="R4112" s="5"/>
    </row>
    <row r="4113" spans="2:18" x14ac:dyDescent="0.2">
      <c r="B4113" s="5"/>
      <c r="F4113" s="5"/>
      <c r="J4113" s="5"/>
      <c r="N4113" s="5"/>
      <c r="R4113" s="5"/>
    </row>
    <row r="4114" spans="2:18" x14ac:dyDescent="0.2">
      <c r="B4114" s="5"/>
      <c r="F4114" s="5"/>
      <c r="J4114" s="5"/>
      <c r="N4114" s="5"/>
      <c r="R4114" s="5"/>
    </row>
    <row r="4115" spans="2:18" x14ac:dyDescent="0.2">
      <c r="B4115" s="5"/>
      <c r="F4115" s="5"/>
      <c r="J4115" s="5"/>
      <c r="N4115" s="5"/>
      <c r="R4115" s="5"/>
    </row>
    <row r="4116" spans="2:18" x14ac:dyDescent="0.2">
      <c r="B4116" s="5"/>
      <c r="F4116" s="5"/>
      <c r="J4116" s="5"/>
      <c r="N4116" s="5"/>
      <c r="R4116" s="5"/>
    </row>
    <row r="4117" spans="2:18" x14ac:dyDescent="0.2">
      <c r="B4117" s="5"/>
      <c r="F4117" s="5"/>
      <c r="J4117" s="5"/>
      <c r="N4117" s="5"/>
      <c r="R4117" s="5"/>
    </row>
    <row r="4118" spans="2:18" x14ac:dyDescent="0.2">
      <c r="B4118" s="5"/>
      <c r="F4118" s="5"/>
      <c r="J4118" s="5"/>
      <c r="N4118" s="5"/>
      <c r="R4118" s="5"/>
    </row>
    <row r="4119" spans="2:18" x14ac:dyDescent="0.2">
      <c r="B4119" s="5"/>
      <c r="F4119" s="5"/>
      <c r="J4119" s="5"/>
      <c r="N4119" s="5"/>
      <c r="R4119" s="5"/>
    </row>
    <row r="4120" spans="2:18" x14ac:dyDescent="0.2">
      <c r="B4120" s="5"/>
      <c r="F4120" s="5"/>
      <c r="J4120" s="5"/>
      <c r="N4120" s="5"/>
      <c r="R4120" s="5"/>
    </row>
    <row r="4121" spans="2:18" x14ac:dyDescent="0.2">
      <c r="B4121" s="5"/>
      <c r="F4121" s="5"/>
      <c r="J4121" s="5"/>
      <c r="N4121" s="5"/>
      <c r="R4121" s="5"/>
    </row>
    <row r="4122" spans="2:18" x14ac:dyDescent="0.2">
      <c r="B4122" s="5"/>
      <c r="F4122" s="5"/>
      <c r="J4122" s="5"/>
      <c r="N4122" s="5"/>
      <c r="R4122" s="5"/>
    </row>
    <row r="4123" spans="2:18" x14ac:dyDescent="0.2">
      <c r="B4123" s="5"/>
      <c r="F4123" s="5"/>
      <c r="J4123" s="5"/>
      <c r="N4123" s="5"/>
      <c r="R4123" s="5"/>
    </row>
    <row r="4124" spans="2:18" x14ac:dyDescent="0.2">
      <c r="B4124" s="5"/>
      <c r="F4124" s="5"/>
      <c r="J4124" s="5"/>
      <c r="N4124" s="5"/>
      <c r="R4124" s="5"/>
    </row>
    <row r="4125" spans="2:18" x14ac:dyDescent="0.2">
      <c r="B4125" s="5"/>
      <c r="F4125" s="5"/>
      <c r="J4125" s="5"/>
      <c r="N4125" s="5"/>
      <c r="R4125" s="5"/>
    </row>
    <row r="4126" spans="2:18" x14ac:dyDescent="0.2">
      <c r="B4126" s="5"/>
      <c r="F4126" s="5"/>
      <c r="J4126" s="5"/>
      <c r="N4126" s="5"/>
      <c r="R4126" s="5"/>
    </row>
    <row r="4127" spans="2:18" x14ac:dyDescent="0.2">
      <c r="B4127" s="5"/>
      <c r="F4127" s="5"/>
      <c r="J4127" s="5"/>
      <c r="N4127" s="5"/>
      <c r="R4127" s="5"/>
    </row>
    <row r="4128" spans="2:18" x14ac:dyDescent="0.2">
      <c r="B4128" s="5"/>
      <c r="F4128" s="5"/>
      <c r="J4128" s="5"/>
      <c r="N4128" s="5"/>
      <c r="R4128" s="5"/>
    </row>
    <row r="4129" spans="2:18" x14ac:dyDescent="0.2">
      <c r="B4129" s="5"/>
      <c r="F4129" s="5"/>
      <c r="J4129" s="5"/>
      <c r="N4129" s="5"/>
      <c r="R4129" s="5"/>
    </row>
    <row r="4130" spans="2:18" x14ac:dyDescent="0.2">
      <c r="B4130" s="5"/>
      <c r="F4130" s="5"/>
      <c r="J4130" s="5"/>
      <c r="N4130" s="5"/>
      <c r="R4130" s="5"/>
    </row>
    <row r="4131" spans="2:18" x14ac:dyDescent="0.2">
      <c r="B4131" s="5"/>
      <c r="F4131" s="5"/>
      <c r="J4131" s="5"/>
      <c r="N4131" s="5"/>
      <c r="R4131" s="5"/>
    </row>
    <row r="4132" spans="2:18" x14ac:dyDescent="0.2">
      <c r="B4132" s="5"/>
      <c r="F4132" s="5"/>
      <c r="J4132" s="5"/>
      <c r="N4132" s="5"/>
      <c r="R4132" s="5"/>
    </row>
    <row r="4133" spans="2:18" x14ac:dyDescent="0.2">
      <c r="B4133" s="5"/>
      <c r="F4133" s="5"/>
      <c r="J4133" s="5"/>
      <c r="N4133" s="5"/>
      <c r="R4133" s="5"/>
    </row>
    <row r="4134" spans="2:18" x14ac:dyDescent="0.2">
      <c r="B4134" s="5"/>
      <c r="F4134" s="5"/>
      <c r="J4134" s="5"/>
      <c r="N4134" s="5"/>
      <c r="R4134" s="5"/>
    </row>
    <row r="4135" spans="2:18" x14ac:dyDescent="0.2">
      <c r="B4135" s="5"/>
      <c r="F4135" s="5"/>
      <c r="J4135" s="5"/>
      <c r="N4135" s="5"/>
      <c r="R4135" s="5"/>
    </row>
    <row r="4136" spans="2:18" x14ac:dyDescent="0.2">
      <c r="B4136" s="5"/>
      <c r="F4136" s="5"/>
      <c r="J4136" s="5"/>
      <c r="N4136" s="5"/>
      <c r="R4136" s="5"/>
    </row>
    <row r="4137" spans="2:18" x14ac:dyDescent="0.2">
      <c r="B4137" s="5"/>
      <c r="F4137" s="5"/>
      <c r="J4137" s="5"/>
      <c r="N4137" s="5"/>
      <c r="R4137" s="5"/>
    </row>
    <row r="4138" spans="2:18" x14ac:dyDescent="0.2">
      <c r="B4138" s="5"/>
      <c r="F4138" s="5"/>
      <c r="J4138" s="5"/>
      <c r="N4138" s="5"/>
      <c r="R4138" s="5"/>
    </row>
    <row r="4139" spans="2:18" x14ac:dyDescent="0.2">
      <c r="B4139" s="5"/>
      <c r="F4139" s="5"/>
      <c r="J4139" s="5"/>
      <c r="N4139" s="5"/>
      <c r="R4139" s="5"/>
    </row>
    <row r="4140" spans="2:18" x14ac:dyDescent="0.2">
      <c r="B4140" s="5"/>
      <c r="F4140" s="5"/>
      <c r="J4140" s="5"/>
      <c r="N4140" s="5"/>
      <c r="R4140" s="5"/>
    </row>
    <row r="4141" spans="2:18" x14ac:dyDescent="0.2">
      <c r="B4141" s="5"/>
      <c r="F4141" s="5"/>
      <c r="J4141" s="5"/>
      <c r="N4141" s="5"/>
      <c r="R4141" s="5"/>
    </row>
    <row r="4142" spans="2:18" x14ac:dyDescent="0.2">
      <c r="B4142" s="5"/>
      <c r="F4142" s="5"/>
      <c r="J4142" s="5"/>
      <c r="N4142" s="5"/>
      <c r="R4142" s="5"/>
    </row>
    <row r="4143" spans="2:18" x14ac:dyDescent="0.2">
      <c r="B4143" s="5"/>
      <c r="F4143" s="5"/>
      <c r="J4143" s="5"/>
      <c r="N4143" s="5"/>
      <c r="R4143" s="5"/>
    </row>
    <row r="4144" spans="2:18" x14ac:dyDescent="0.2">
      <c r="B4144" s="5"/>
      <c r="F4144" s="5"/>
      <c r="J4144" s="5"/>
      <c r="N4144" s="5"/>
      <c r="R4144" s="5"/>
    </row>
    <row r="4145" spans="2:18" x14ac:dyDescent="0.2">
      <c r="B4145" s="5"/>
      <c r="F4145" s="5"/>
      <c r="J4145" s="5"/>
      <c r="N4145" s="5"/>
      <c r="R4145" s="5"/>
    </row>
    <row r="4146" spans="2:18" x14ac:dyDescent="0.2">
      <c r="B4146" s="5"/>
      <c r="F4146" s="5"/>
      <c r="J4146" s="5"/>
      <c r="N4146" s="5"/>
      <c r="R4146" s="5"/>
    </row>
    <row r="4147" spans="2:18" x14ac:dyDescent="0.2">
      <c r="B4147" s="5"/>
      <c r="F4147" s="5"/>
      <c r="J4147" s="5"/>
      <c r="N4147" s="5"/>
      <c r="R4147" s="5"/>
    </row>
    <row r="4148" spans="2:18" x14ac:dyDescent="0.2">
      <c r="B4148" s="5"/>
      <c r="F4148" s="5"/>
      <c r="J4148" s="5"/>
      <c r="N4148" s="5"/>
      <c r="R4148" s="5"/>
    </row>
    <row r="4149" spans="2:18" x14ac:dyDescent="0.2">
      <c r="B4149" s="5"/>
      <c r="F4149" s="5"/>
      <c r="J4149" s="5"/>
      <c r="N4149" s="5"/>
      <c r="R4149" s="5"/>
    </row>
    <row r="4150" spans="2:18" x14ac:dyDescent="0.2">
      <c r="B4150" s="5"/>
      <c r="F4150" s="5"/>
      <c r="J4150" s="5"/>
      <c r="N4150" s="5"/>
      <c r="R4150" s="5"/>
    </row>
    <row r="4151" spans="2:18" x14ac:dyDescent="0.2">
      <c r="B4151" s="5"/>
      <c r="F4151" s="5"/>
      <c r="J4151" s="5"/>
      <c r="N4151" s="5"/>
      <c r="R4151" s="5"/>
    </row>
    <row r="4152" spans="2:18" x14ac:dyDescent="0.2">
      <c r="B4152" s="5"/>
      <c r="F4152" s="5"/>
      <c r="J4152" s="5"/>
      <c r="N4152" s="5"/>
      <c r="R4152" s="5"/>
    </row>
    <row r="4153" spans="2:18" x14ac:dyDescent="0.2">
      <c r="B4153" s="5"/>
      <c r="F4153" s="5"/>
      <c r="J4153" s="5"/>
      <c r="N4153" s="5"/>
      <c r="R4153" s="5"/>
    </row>
    <row r="4154" spans="2:18" x14ac:dyDescent="0.2">
      <c r="B4154" s="5"/>
      <c r="F4154" s="5"/>
      <c r="J4154" s="5"/>
      <c r="N4154" s="5"/>
      <c r="R4154" s="5"/>
    </row>
    <row r="4155" spans="2:18" x14ac:dyDescent="0.2">
      <c r="B4155" s="5"/>
      <c r="F4155" s="5"/>
      <c r="J4155" s="5"/>
      <c r="N4155" s="5"/>
      <c r="R4155" s="5"/>
    </row>
    <row r="4156" spans="2:18" x14ac:dyDescent="0.2">
      <c r="B4156" s="5"/>
      <c r="F4156" s="5"/>
      <c r="J4156" s="5"/>
      <c r="N4156" s="5"/>
      <c r="R4156" s="5"/>
    </row>
    <row r="4157" spans="2:18" x14ac:dyDescent="0.2">
      <c r="B4157" s="5"/>
      <c r="F4157" s="5"/>
      <c r="J4157" s="5"/>
      <c r="N4157" s="5"/>
      <c r="R4157" s="5"/>
    </row>
    <row r="4158" spans="2:18" x14ac:dyDescent="0.2">
      <c r="B4158" s="5"/>
      <c r="F4158" s="5"/>
      <c r="J4158" s="5"/>
      <c r="N4158" s="5"/>
      <c r="R4158" s="5"/>
    </row>
    <row r="4159" spans="2:18" x14ac:dyDescent="0.2">
      <c r="B4159" s="5"/>
      <c r="F4159" s="5"/>
      <c r="J4159" s="5"/>
      <c r="N4159" s="5"/>
      <c r="R4159" s="5"/>
    </row>
    <row r="4160" spans="2:18" x14ac:dyDescent="0.2">
      <c r="B4160" s="5"/>
      <c r="F4160" s="5"/>
      <c r="J4160" s="5"/>
      <c r="N4160" s="5"/>
      <c r="R4160" s="5"/>
    </row>
    <row r="4161" spans="2:18" x14ac:dyDescent="0.2">
      <c r="B4161" s="5"/>
      <c r="F4161" s="5"/>
      <c r="J4161" s="5"/>
      <c r="N4161" s="5"/>
      <c r="R4161" s="5"/>
    </row>
    <row r="4162" spans="2:18" x14ac:dyDescent="0.2">
      <c r="B4162" s="5"/>
      <c r="F4162" s="5"/>
      <c r="J4162" s="5"/>
      <c r="N4162" s="5"/>
      <c r="R4162" s="5"/>
    </row>
    <row r="4163" spans="2:18" x14ac:dyDescent="0.2">
      <c r="B4163" s="5"/>
      <c r="F4163" s="5"/>
      <c r="J4163" s="5"/>
      <c r="N4163" s="5"/>
      <c r="R4163" s="5"/>
    </row>
    <row r="4164" spans="2:18" x14ac:dyDescent="0.2">
      <c r="B4164" s="5"/>
      <c r="F4164" s="5"/>
      <c r="J4164" s="5"/>
      <c r="N4164" s="5"/>
      <c r="R4164" s="5"/>
    </row>
    <row r="4165" spans="2:18" x14ac:dyDescent="0.2">
      <c r="B4165" s="5"/>
      <c r="F4165" s="5"/>
      <c r="J4165" s="5"/>
      <c r="N4165" s="5"/>
      <c r="R4165" s="5"/>
    </row>
    <row r="4166" spans="2:18" x14ac:dyDescent="0.2">
      <c r="B4166" s="5"/>
      <c r="F4166" s="5"/>
      <c r="J4166" s="5"/>
      <c r="N4166" s="5"/>
      <c r="R4166" s="5"/>
    </row>
    <row r="4167" spans="2:18" x14ac:dyDescent="0.2">
      <c r="B4167" s="5"/>
      <c r="F4167" s="5"/>
      <c r="J4167" s="5"/>
      <c r="N4167" s="5"/>
      <c r="R4167" s="5"/>
    </row>
    <row r="4168" spans="2:18" x14ac:dyDescent="0.2">
      <c r="B4168" s="5"/>
      <c r="F4168" s="5"/>
      <c r="J4168" s="5"/>
      <c r="N4168" s="5"/>
      <c r="R4168" s="5"/>
    </row>
    <row r="4169" spans="2:18" x14ac:dyDescent="0.2">
      <c r="B4169" s="5"/>
      <c r="F4169" s="5"/>
      <c r="J4169" s="5"/>
      <c r="N4169" s="5"/>
      <c r="R4169" s="5"/>
    </row>
    <row r="4170" spans="2:18" x14ac:dyDescent="0.2">
      <c r="B4170" s="5"/>
      <c r="F4170" s="5"/>
      <c r="J4170" s="5"/>
      <c r="N4170" s="5"/>
      <c r="R4170" s="5"/>
    </row>
    <row r="4171" spans="2:18" x14ac:dyDescent="0.2">
      <c r="B4171" s="5"/>
      <c r="F4171" s="5"/>
      <c r="J4171" s="5"/>
      <c r="N4171" s="5"/>
      <c r="R4171" s="5"/>
    </row>
    <row r="4172" spans="2:18" x14ac:dyDescent="0.2">
      <c r="B4172" s="5"/>
      <c r="F4172" s="5"/>
      <c r="J4172" s="5"/>
      <c r="N4172" s="5"/>
      <c r="R4172" s="5"/>
    </row>
    <row r="4173" spans="2:18" x14ac:dyDescent="0.2">
      <c r="B4173" s="5"/>
      <c r="F4173" s="5"/>
      <c r="J4173" s="5"/>
      <c r="N4173" s="5"/>
      <c r="R4173" s="5"/>
    </row>
    <row r="4174" spans="2:18" x14ac:dyDescent="0.2">
      <c r="B4174" s="5"/>
      <c r="F4174" s="5"/>
      <c r="J4174" s="5"/>
      <c r="N4174" s="5"/>
      <c r="R4174" s="5"/>
    </row>
    <row r="4175" spans="2:18" x14ac:dyDescent="0.2">
      <c r="B4175" s="5"/>
      <c r="F4175" s="5"/>
      <c r="J4175" s="5"/>
      <c r="N4175" s="5"/>
      <c r="R4175" s="5"/>
    </row>
    <row r="4176" spans="2:18" x14ac:dyDescent="0.2">
      <c r="B4176" s="5"/>
      <c r="F4176" s="5"/>
      <c r="J4176" s="5"/>
      <c r="N4176" s="5"/>
      <c r="R4176" s="5"/>
    </row>
    <row r="4177" spans="2:18" x14ac:dyDescent="0.2">
      <c r="B4177" s="5"/>
      <c r="F4177" s="5"/>
      <c r="J4177" s="5"/>
      <c r="N4177" s="5"/>
      <c r="R4177" s="5"/>
    </row>
    <row r="4178" spans="2:18" x14ac:dyDescent="0.2">
      <c r="B4178" s="5"/>
      <c r="F4178" s="5"/>
      <c r="J4178" s="5"/>
      <c r="N4178" s="5"/>
      <c r="R4178" s="5"/>
    </row>
    <row r="4179" spans="2:18" x14ac:dyDescent="0.2">
      <c r="B4179" s="5"/>
      <c r="F4179" s="5"/>
      <c r="J4179" s="5"/>
      <c r="N4179" s="5"/>
      <c r="R4179" s="5"/>
    </row>
    <row r="4180" spans="2:18" x14ac:dyDescent="0.2">
      <c r="B4180" s="5"/>
      <c r="F4180" s="5"/>
      <c r="J4180" s="5"/>
      <c r="N4180" s="5"/>
      <c r="R4180" s="5"/>
    </row>
    <row r="4181" spans="2:18" x14ac:dyDescent="0.2">
      <c r="B4181" s="5"/>
      <c r="F4181" s="5"/>
      <c r="J4181" s="5"/>
      <c r="N4181" s="5"/>
      <c r="R4181" s="5"/>
    </row>
    <row r="4182" spans="2:18" x14ac:dyDescent="0.2">
      <c r="B4182" s="5"/>
      <c r="F4182" s="5"/>
      <c r="J4182" s="5"/>
      <c r="N4182" s="5"/>
      <c r="R4182" s="5"/>
    </row>
    <row r="4183" spans="2:18" x14ac:dyDescent="0.2">
      <c r="B4183" s="5"/>
      <c r="F4183" s="5"/>
      <c r="J4183" s="5"/>
      <c r="N4183" s="5"/>
      <c r="R4183" s="5"/>
    </row>
    <row r="4184" spans="2:18" x14ac:dyDescent="0.2">
      <c r="B4184" s="5"/>
      <c r="F4184" s="5"/>
      <c r="J4184" s="5"/>
      <c r="N4184" s="5"/>
      <c r="R4184" s="5"/>
    </row>
    <row r="4185" spans="2:18" x14ac:dyDescent="0.2">
      <c r="B4185" s="5"/>
      <c r="F4185" s="5"/>
      <c r="J4185" s="5"/>
      <c r="N4185" s="5"/>
      <c r="R4185" s="5"/>
    </row>
    <row r="4186" spans="2:18" x14ac:dyDescent="0.2">
      <c r="B4186" s="5"/>
      <c r="F4186" s="5"/>
      <c r="J4186" s="5"/>
      <c r="N4186" s="5"/>
      <c r="R4186" s="5"/>
    </row>
    <row r="4187" spans="2:18" x14ac:dyDescent="0.2">
      <c r="B4187" s="5"/>
      <c r="F4187" s="5"/>
      <c r="J4187" s="5"/>
      <c r="N4187" s="5"/>
      <c r="R4187" s="5"/>
    </row>
    <row r="4188" spans="2:18" x14ac:dyDescent="0.2">
      <c r="B4188" s="5"/>
      <c r="F4188" s="5"/>
      <c r="J4188" s="5"/>
      <c r="N4188" s="5"/>
      <c r="R4188" s="5"/>
    </row>
    <row r="4189" spans="2:18" x14ac:dyDescent="0.2">
      <c r="B4189" s="5"/>
      <c r="F4189" s="5"/>
      <c r="J4189" s="5"/>
      <c r="N4189" s="5"/>
      <c r="R4189" s="5"/>
    </row>
    <row r="4190" spans="2:18" x14ac:dyDescent="0.2">
      <c r="B4190" s="5"/>
      <c r="F4190" s="5"/>
      <c r="J4190" s="5"/>
      <c r="N4190" s="5"/>
      <c r="R4190" s="5"/>
    </row>
    <row r="4191" spans="2:18" x14ac:dyDescent="0.2">
      <c r="B4191" s="5"/>
      <c r="F4191" s="5"/>
      <c r="J4191" s="5"/>
      <c r="N4191" s="5"/>
      <c r="R4191" s="5"/>
    </row>
    <row r="4192" spans="2:18" x14ac:dyDescent="0.2">
      <c r="B4192" s="5"/>
      <c r="F4192" s="5"/>
      <c r="J4192" s="5"/>
      <c r="N4192" s="5"/>
      <c r="R4192" s="5"/>
    </row>
    <row r="4193" spans="2:18" x14ac:dyDescent="0.2">
      <c r="B4193" s="5"/>
      <c r="F4193" s="5"/>
      <c r="J4193" s="5"/>
      <c r="N4193" s="5"/>
      <c r="R4193" s="5"/>
    </row>
    <row r="4194" spans="2:18" x14ac:dyDescent="0.2">
      <c r="B4194" s="5"/>
      <c r="F4194" s="5"/>
      <c r="J4194" s="5"/>
      <c r="N4194" s="5"/>
      <c r="R4194" s="5"/>
    </row>
    <row r="4195" spans="2:18" x14ac:dyDescent="0.2">
      <c r="B4195" s="5"/>
      <c r="F4195" s="5"/>
      <c r="J4195" s="5"/>
      <c r="N4195" s="5"/>
      <c r="R4195" s="5"/>
    </row>
    <row r="4196" spans="2:18" x14ac:dyDescent="0.2">
      <c r="B4196" s="5"/>
      <c r="F4196" s="5"/>
      <c r="J4196" s="5"/>
      <c r="N4196" s="5"/>
      <c r="R4196" s="5"/>
    </row>
    <row r="4197" spans="2:18" x14ac:dyDescent="0.2">
      <c r="B4197" s="5"/>
      <c r="F4197" s="5"/>
      <c r="J4197" s="5"/>
      <c r="N4197" s="5"/>
      <c r="R4197" s="5"/>
    </row>
    <row r="4198" spans="2:18" x14ac:dyDescent="0.2">
      <c r="B4198" s="5"/>
      <c r="F4198" s="5"/>
      <c r="J4198" s="5"/>
      <c r="N4198" s="5"/>
      <c r="R4198" s="5"/>
    </row>
    <row r="4199" spans="2:18" x14ac:dyDescent="0.2">
      <c r="B4199" s="5"/>
      <c r="F4199" s="5"/>
      <c r="J4199" s="5"/>
      <c r="N4199" s="5"/>
      <c r="R4199" s="5"/>
    </row>
    <row r="4200" spans="2:18" x14ac:dyDescent="0.2">
      <c r="B4200" s="5"/>
      <c r="F4200" s="5"/>
      <c r="J4200" s="5"/>
      <c r="N4200" s="5"/>
      <c r="R4200" s="5"/>
    </row>
    <row r="4201" spans="2:18" x14ac:dyDescent="0.2">
      <c r="B4201" s="5"/>
      <c r="F4201" s="5"/>
      <c r="J4201" s="5"/>
      <c r="N4201" s="5"/>
      <c r="R4201" s="5"/>
    </row>
    <row r="4202" spans="2:18" x14ac:dyDescent="0.2">
      <c r="B4202" s="5"/>
      <c r="F4202" s="5"/>
      <c r="J4202" s="5"/>
      <c r="N4202" s="5"/>
      <c r="R4202" s="5"/>
    </row>
    <row r="4203" spans="2:18" x14ac:dyDescent="0.2">
      <c r="B4203" s="5"/>
      <c r="F4203" s="5"/>
      <c r="J4203" s="5"/>
      <c r="N4203" s="5"/>
      <c r="R4203" s="5"/>
    </row>
    <row r="4204" spans="2:18" x14ac:dyDescent="0.2">
      <c r="B4204" s="5"/>
      <c r="F4204" s="5"/>
      <c r="J4204" s="5"/>
      <c r="N4204" s="5"/>
      <c r="R4204" s="5"/>
    </row>
    <row r="4205" spans="2:18" x14ac:dyDescent="0.2">
      <c r="B4205" s="5"/>
      <c r="F4205" s="5"/>
      <c r="J4205" s="5"/>
      <c r="N4205" s="5"/>
      <c r="R4205" s="5"/>
    </row>
    <row r="4206" spans="2:18" x14ac:dyDescent="0.2">
      <c r="B4206" s="5"/>
      <c r="F4206" s="5"/>
      <c r="J4206" s="5"/>
      <c r="N4206" s="5"/>
      <c r="R4206" s="5"/>
    </row>
    <row r="4207" spans="2:18" x14ac:dyDescent="0.2">
      <c r="B4207" s="5"/>
      <c r="F4207" s="5"/>
      <c r="J4207" s="5"/>
      <c r="N4207" s="5"/>
      <c r="R4207" s="5"/>
    </row>
    <row r="4208" spans="2:18" x14ac:dyDescent="0.2">
      <c r="B4208" s="5"/>
      <c r="F4208" s="5"/>
      <c r="J4208" s="5"/>
      <c r="N4208" s="5"/>
      <c r="R4208" s="5"/>
    </row>
    <row r="4209" spans="2:18" x14ac:dyDescent="0.2">
      <c r="B4209" s="5"/>
      <c r="F4209" s="5"/>
      <c r="J4209" s="5"/>
      <c r="N4209" s="5"/>
      <c r="R4209" s="5"/>
    </row>
    <row r="4210" spans="2:18" x14ac:dyDescent="0.2">
      <c r="B4210" s="5"/>
      <c r="F4210" s="5"/>
      <c r="J4210" s="5"/>
      <c r="N4210" s="5"/>
      <c r="R4210" s="5"/>
    </row>
    <row r="4211" spans="2:18" x14ac:dyDescent="0.2">
      <c r="B4211" s="5"/>
      <c r="F4211" s="5"/>
      <c r="J4211" s="5"/>
      <c r="N4211" s="5"/>
      <c r="R4211" s="5"/>
    </row>
    <row r="4212" spans="2:18" x14ac:dyDescent="0.2">
      <c r="B4212" s="5"/>
      <c r="F4212" s="5"/>
      <c r="J4212" s="5"/>
      <c r="N4212" s="5"/>
      <c r="R4212" s="5"/>
    </row>
    <row r="4213" spans="2:18" x14ac:dyDescent="0.2">
      <c r="B4213" s="5"/>
      <c r="F4213" s="5"/>
      <c r="J4213" s="5"/>
      <c r="N4213" s="5"/>
      <c r="R4213" s="5"/>
    </row>
    <row r="4214" spans="2:18" x14ac:dyDescent="0.2">
      <c r="B4214" s="5"/>
      <c r="F4214" s="5"/>
      <c r="J4214" s="5"/>
      <c r="N4214" s="5"/>
      <c r="R4214" s="5"/>
    </row>
    <row r="4215" spans="2:18" x14ac:dyDescent="0.2">
      <c r="B4215" s="5"/>
      <c r="F4215" s="5"/>
      <c r="J4215" s="5"/>
      <c r="N4215" s="5"/>
      <c r="R4215" s="5"/>
    </row>
    <row r="4216" spans="2:18" x14ac:dyDescent="0.2">
      <c r="B4216" s="5"/>
      <c r="F4216" s="5"/>
      <c r="J4216" s="5"/>
      <c r="N4216" s="5"/>
      <c r="R4216" s="5"/>
    </row>
    <row r="4217" spans="2:18" x14ac:dyDescent="0.2">
      <c r="B4217" s="5"/>
      <c r="F4217" s="5"/>
      <c r="J4217" s="5"/>
      <c r="N4217" s="5"/>
      <c r="R4217" s="5"/>
    </row>
    <row r="4218" spans="2:18" x14ac:dyDescent="0.2">
      <c r="B4218" s="5"/>
      <c r="F4218" s="5"/>
      <c r="J4218" s="5"/>
      <c r="N4218" s="5"/>
      <c r="R4218" s="5"/>
    </row>
    <row r="4219" spans="2:18" x14ac:dyDescent="0.2">
      <c r="B4219" s="5"/>
      <c r="F4219" s="5"/>
      <c r="J4219" s="5"/>
      <c r="N4219" s="5"/>
      <c r="R4219" s="5"/>
    </row>
    <row r="4220" spans="2:18" x14ac:dyDescent="0.2">
      <c r="B4220" s="5"/>
      <c r="F4220" s="5"/>
      <c r="J4220" s="5"/>
      <c r="N4220" s="5"/>
      <c r="R4220" s="5"/>
    </row>
    <row r="4221" spans="2:18" x14ac:dyDescent="0.2">
      <c r="B4221" s="5"/>
      <c r="F4221" s="5"/>
      <c r="J4221" s="5"/>
      <c r="N4221" s="5"/>
      <c r="R4221" s="5"/>
    </row>
    <row r="4222" spans="2:18" x14ac:dyDescent="0.2">
      <c r="B4222" s="5"/>
      <c r="F4222" s="5"/>
      <c r="J4222" s="5"/>
      <c r="N4222" s="5"/>
      <c r="R4222" s="5"/>
    </row>
    <row r="4223" spans="2:18" x14ac:dyDescent="0.2">
      <c r="B4223" s="5"/>
      <c r="F4223" s="5"/>
      <c r="J4223" s="5"/>
      <c r="N4223" s="5"/>
      <c r="R4223" s="5"/>
    </row>
    <row r="4224" spans="2:18" x14ac:dyDescent="0.2">
      <c r="B4224" s="5"/>
      <c r="F4224" s="5"/>
      <c r="J4224" s="5"/>
      <c r="N4224" s="5"/>
      <c r="R4224" s="5"/>
    </row>
    <row r="4225" spans="2:18" x14ac:dyDescent="0.2">
      <c r="B4225" s="5"/>
      <c r="F4225" s="5"/>
      <c r="J4225" s="5"/>
      <c r="N4225" s="5"/>
      <c r="R4225" s="5"/>
    </row>
    <row r="4226" spans="2:18" x14ac:dyDescent="0.2">
      <c r="B4226" s="5"/>
      <c r="F4226" s="5"/>
      <c r="J4226" s="5"/>
      <c r="N4226" s="5"/>
      <c r="R4226" s="5"/>
    </row>
    <row r="4227" spans="2:18" x14ac:dyDescent="0.2">
      <c r="B4227" s="5"/>
      <c r="F4227" s="5"/>
      <c r="J4227" s="5"/>
      <c r="N4227" s="5"/>
      <c r="R4227" s="5"/>
    </row>
    <row r="4228" spans="2:18" x14ac:dyDescent="0.2">
      <c r="B4228" s="5"/>
      <c r="F4228" s="5"/>
      <c r="J4228" s="5"/>
      <c r="N4228" s="5"/>
      <c r="R4228" s="5"/>
    </row>
    <row r="4229" spans="2:18" x14ac:dyDescent="0.2">
      <c r="B4229" s="5"/>
      <c r="F4229" s="5"/>
      <c r="J4229" s="5"/>
      <c r="N4229" s="5"/>
      <c r="R4229" s="5"/>
    </row>
    <row r="4230" spans="2:18" x14ac:dyDescent="0.2">
      <c r="B4230" s="5"/>
      <c r="F4230" s="5"/>
      <c r="J4230" s="5"/>
      <c r="N4230" s="5"/>
      <c r="R4230" s="5"/>
    </row>
    <row r="4231" spans="2:18" x14ac:dyDescent="0.2">
      <c r="B4231" s="5"/>
      <c r="F4231" s="5"/>
      <c r="J4231" s="5"/>
      <c r="N4231" s="5"/>
      <c r="R4231" s="5"/>
    </row>
    <row r="4232" spans="2:18" x14ac:dyDescent="0.2">
      <c r="B4232" s="5"/>
      <c r="F4232" s="5"/>
      <c r="J4232" s="5"/>
      <c r="N4232" s="5"/>
      <c r="R4232" s="5"/>
    </row>
    <row r="4233" spans="2:18" x14ac:dyDescent="0.2">
      <c r="B4233" s="5"/>
      <c r="F4233" s="5"/>
      <c r="J4233" s="5"/>
      <c r="N4233" s="5"/>
      <c r="R4233" s="5"/>
    </row>
    <row r="4234" spans="2:18" x14ac:dyDescent="0.2">
      <c r="B4234" s="5"/>
      <c r="F4234" s="5"/>
      <c r="J4234" s="5"/>
      <c r="N4234" s="5"/>
      <c r="R4234" s="5"/>
    </row>
    <row r="4235" spans="2:18" x14ac:dyDescent="0.2">
      <c r="B4235" s="5"/>
      <c r="F4235" s="5"/>
      <c r="J4235" s="5"/>
      <c r="N4235" s="5"/>
      <c r="R4235" s="5"/>
    </row>
    <row r="4236" spans="2:18" x14ac:dyDescent="0.2">
      <c r="B4236" s="5"/>
      <c r="F4236" s="5"/>
      <c r="J4236" s="5"/>
      <c r="N4236" s="5"/>
      <c r="R4236" s="5"/>
    </row>
    <row r="4237" spans="2:18" x14ac:dyDescent="0.2">
      <c r="B4237" s="5"/>
      <c r="F4237" s="5"/>
      <c r="J4237" s="5"/>
      <c r="N4237" s="5"/>
      <c r="R4237" s="5"/>
    </row>
    <row r="4238" spans="2:18" x14ac:dyDescent="0.2">
      <c r="B4238" s="5"/>
      <c r="F4238" s="5"/>
      <c r="J4238" s="5"/>
      <c r="N4238" s="5"/>
      <c r="R4238" s="5"/>
    </row>
    <row r="4239" spans="2:18" x14ac:dyDescent="0.2">
      <c r="B4239" s="5"/>
      <c r="F4239" s="5"/>
      <c r="J4239" s="5"/>
      <c r="N4239" s="5"/>
      <c r="R4239" s="5"/>
    </row>
    <row r="4240" spans="2:18" x14ac:dyDescent="0.2">
      <c r="B4240" s="5"/>
      <c r="F4240" s="5"/>
      <c r="J4240" s="5"/>
      <c r="N4240" s="5"/>
      <c r="R4240" s="5"/>
    </row>
    <row r="4241" spans="2:18" x14ac:dyDescent="0.2">
      <c r="B4241" s="5"/>
      <c r="F4241" s="5"/>
      <c r="J4241" s="5"/>
      <c r="N4241" s="5"/>
      <c r="R4241" s="5"/>
    </row>
    <row r="4242" spans="2:18" x14ac:dyDescent="0.2">
      <c r="B4242" s="5"/>
      <c r="F4242" s="5"/>
      <c r="J4242" s="5"/>
      <c r="N4242" s="5"/>
      <c r="R4242" s="5"/>
    </row>
    <row r="4243" spans="2:18" x14ac:dyDescent="0.2">
      <c r="B4243" s="5"/>
      <c r="F4243" s="5"/>
      <c r="J4243" s="5"/>
      <c r="N4243" s="5"/>
      <c r="R4243" s="5"/>
    </row>
    <row r="4244" spans="2:18" x14ac:dyDescent="0.2">
      <c r="B4244" s="5"/>
      <c r="F4244" s="5"/>
      <c r="J4244" s="5"/>
      <c r="N4244" s="5"/>
      <c r="R4244" s="5"/>
    </row>
    <row r="4245" spans="2:18" x14ac:dyDescent="0.2">
      <c r="B4245" s="5"/>
      <c r="F4245" s="5"/>
      <c r="J4245" s="5"/>
      <c r="N4245" s="5"/>
      <c r="R4245" s="5"/>
    </row>
    <row r="4246" spans="2:18" x14ac:dyDescent="0.2">
      <c r="B4246" s="5"/>
      <c r="F4246" s="5"/>
      <c r="J4246" s="5"/>
      <c r="N4246" s="5"/>
      <c r="R4246" s="5"/>
    </row>
    <row r="4247" spans="2:18" x14ac:dyDescent="0.2">
      <c r="B4247" s="5"/>
      <c r="F4247" s="5"/>
      <c r="J4247" s="5"/>
      <c r="N4247" s="5"/>
      <c r="R4247" s="5"/>
    </row>
    <row r="4248" spans="2:18" x14ac:dyDescent="0.2">
      <c r="B4248" s="5"/>
      <c r="F4248" s="5"/>
      <c r="J4248" s="5"/>
      <c r="N4248" s="5"/>
      <c r="R4248" s="5"/>
    </row>
    <row r="4249" spans="2:18" x14ac:dyDescent="0.2">
      <c r="B4249" s="5"/>
      <c r="F4249" s="5"/>
      <c r="J4249" s="5"/>
      <c r="N4249" s="5"/>
      <c r="R4249" s="5"/>
    </row>
    <row r="4250" spans="2:18" x14ac:dyDescent="0.2">
      <c r="B4250" s="5"/>
      <c r="F4250" s="5"/>
      <c r="J4250" s="5"/>
      <c r="N4250" s="5"/>
      <c r="R4250" s="5"/>
    </row>
    <row r="4251" spans="2:18" x14ac:dyDescent="0.2">
      <c r="B4251" s="5"/>
      <c r="F4251" s="5"/>
      <c r="J4251" s="5"/>
      <c r="N4251" s="5"/>
      <c r="R4251" s="5"/>
    </row>
    <row r="4252" spans="2:18" x14ac:dyDescent="0.2">
      <c r="B4252" s="5"/>
      <c r="F4252" s="5"/>
      <c r="J4252" s="5"/>
      <c r="N4252" s="5"/>
      <c r="R4252" s="5"/>
    </row>
    <row r="4253" spans="2:18" x14ac:dyDescent="0.2">
      <c r="B4253" s="5"/>
      <c r="F4253" s="5"/>
      <c r="J4253" s="5"/>
      <c r="N4253" s="5"/>
      <c r="R4253" s="5"/>
    </row>
    <row r="4254" spans="2:18" x14ac:dyDescent="0.2">
      <c r="B4254" s="5"/>
      <c r="F4254" s="5"/>
      <c r="J4254" s="5"/>
      <c r="N4254" s="5"/>
      <c r="R4254" s="5"/>
    </row>
    <row r="4255" spans="2:18" x14ac:dyDescent="0.2">
      <c r="B4255" s="5"/>
      <c r="F4255" s="5"/>
      <c r="J4255" s="5"/>
      <c r="N4255" s="5"/>
      <c r="R4255" s="5"/>
    </row>
    <row r="4256" spans="2:18" x14ac:dyDescent="0.2">
      <c r="B4256" s="5"/>
      <c r="F4256" s="5"/>
      <c r="J4256" s="5"/>
      <c r="N4256" s="5"/>
      <c r="R4256" s="5"/>
    </row>
    <row r="4257" spans="2:18" x14ac:dyDescent="0.2">
      <c r="B4257" s="5"/>
      <c r="F4257" s="5"/>
      <c r="J4257" s="5"/>
      <c r="N4257" s="5"/>
      <c r="R4257" s="5"/>
    </row>
    <row r="4258" spans="2:18" x14ac:dyDescent="0.2">
      <c r="B4258" s="5"/>
      <c r="F4258" s="5"/>
      <c r="J4258" s="5"/>
      <c r="N4258" s="5"/>
      <c r="R4258" s="5"/>
    </row>
    <row r="4259" spans="2:18" x14ac:dyDescent="0.2">
      <c r="B4259" s="5"/>
      <c r="F4259" s="5"/>
      <c r="J4259" s="5"/>
      <c r="N4259" s="5"/>
      <c r="R4259" s="5"/>
    </row>
    <row r="4260" spans="2:18" x14ac:dyDescent="0.2">
      <c r="B4260" s="5"/>
      <c r="F4260" s="5"/>
      <c r="J4260" s="5"/>
      <c r="N4260" s="5"/>
      <c r="R4260" s="5"/>
    </row>
    <row r="4261" spans="2:18" x14ac:dyDescent="0.2">
      <c r="B4261" s="5"/>
      <c r="F4261" s="5"/>
      <c r="J4261" s="5"/>
      <c r="N4261" s="5"/>
      <c r="R4261" s="5"/>
    </row>
    <row r="4262" spans="2:18" x14ac:dyDescent="0.2">
      <c r="B4262" s="5"/>
      <c r="F4262" s="5"/>
      <c r="J4262" s="5"/>
      <c r="N4262" s="5"/>
      <c r="R4262" s="5"/>
    </row>
    <row r="4263" spans="2:18" x14ac:dyDescent="0.2">
      <c r="B4263" s="5"/>
      <c r="F4263" s="5"/>
      <c r="J4263" s="5"/>
      <c r="N4263" s="5"/>
      <c r="R4263" s="5"/>
    </row>
    <row r="4264" spans="2:18" x14ac:dyDescent="0.2">
      <c r="B4264" s="5"/>
      <c r="F4264" s="5"/>
      <c r="J4264" s="5"/>
      <c r="N4264" s="5"/>
      <c r="R4264" s="5"/>
    </row>
    <row r="4265" spans="2:18" x14ac:dyDescent="0.2">
      <c r="B4265" s="5"/>
      <c r="F4265" s="5"/>
      <c r="J4265" s="5"/>
      <c r="N4265" s="5"/>
      <c r="R4265" s="5"/>
    </row>
    <row r="4266" spans="2:18" x14ac:dyDescent="0.2">
      <c r="B4266" s="5"/>
      <c r="F4266" s="5"/>
      <c r="J4266" s="5"/>
      <c r="N4266" s="5"/>
      <c r="R4266" s="5"/>
    </row>
    <row r="4267" spans="2:18" x14ac:dyDescent="0.2">
      <c r="B4267" s="5"/>
      <c r="F4267" s="5"/>
      <c r="J4267" s="5"/>
      <c r="N4267" s="5"/>
      <c r="R4267" s="5"/>
    </row>
    <row r="4268" spans="2:18" x14ac:dyDescent="0.2">
      <c r="B4268" s="5"/>
      <c r="F4268" s="5"/>
      <c r="J4268" s="5"/>
      <c r="N4268" s="5"/>
      <c r="R4268" s="5"/>
    </row>
    <row r="4269" spans="2:18" x14ac:dyDescent="0.2">
      <c r="B4269" s="5"/>
      <c r="F4269" s="5"/>
      <c r="J4269" s="5"/>
      <c r="N4269" s="5"/>
      <c r="R4269" s="5"/>
    </row>
    <row r="4270" spans="2:18" x14ac:dyDescent="0.2">
      <c r="B4270" s="5"/>
      <c r="F4270" s="5"/>
      <c r="J4270" s="5"/>
      <c r="N4270" s="5"/>
      <c r="R4270" s="5"/>
    </row>
    <row r="4271" spans="2:18" x14ac:dyDescent="0.2">
      <c r="B4271" s="5"/>
      <c r="F4271" s="5"/>
      <c r="J4271" s="5"/>
      <c r="N4271" s="5"/>
      <c r="R4271" s="5"/>
    </row>
    <row r="4272" spans="2:18" x14ac:dyDescent="0.2">
      <c r="B4272" s="5"/>
      <c r="F4272" s="5"/>
      <c r="J4272" s="5"/>
      <c r="N4272" s="5"/>
      <c r="R4272" s="5"/>
    </row>
    <row r="4273" spans="2:18" x14ac:dyDescent="0.2">
      <c r="B4273" s="5"/>
      <c r="F4273" s="5"/>
      <c r="J4273" s="5"/>
      <c r="N4273" s="5"/>
      <c r="R4273" s="5"/>
    </row>
    <row r="4274" spans="2:18" x14ac:dyDescent="0.2">
      <c r="B4274" s="5"/>
      <c r="F4274" s="5"/>
      <c r="J4274" s="5"/>
      <c r="N4274" s="5"/>
      <c r="R4274" s="5"/>
    </row>
    <row r="4275" spans="2:18" x14ac:dyDescent="0.2">
      <c r="B4275" s="5"/>
      <c r="F4275" s="5"/>
      <c r="J4275" s="5"/>
      <c r="N4275" s="5"/>
      <c r="R4275" s="5"/>
    </row>
    <row r="4276" spans="2:18" x14ac:dyDescent="0.2">
      <c r="B4276" s="5"/>
      <c r="F4276" s="5"/>
      <c r="J4276" s="5"/>
      <c r="N4276" s="5"/>
      <c r="R4276" s="5"/>
    </row>
    <row r="4277" spans="2:18" x14ac:dyDescent="0.2">
      <c r="B4277" s="5"/>
      <c r="F4277" s="5"/>
      <c r="J4277" s="5"/>
      <c r="N4277" s="5"/>
      <c r="R4277" s="5"/>
    </row>
    <row r="4278" spans="2:18" x14ac:dyDescent="0.2">
      <c r="B4278" s="5"/>
      <c r="F4278" s="5"/>
      <c r="J4278" s="5"/>
      <c r="N4278" s="5"/>
      <c r="R4278" s="5"/>
    </row>
    <row r="4279" spans="2:18" x14ac:dyDescent="0.2">
      <c r="B4279" s="5"/>
      <c r="F4279" s="5"/>
      <c r="J4279" s="5"/>
      <c r="N4279" s="5"/>
      <c r="R4279" s="5"/>
    </row>
    <row r="4280" spans="2:18" x14ac:dyDescent="0.2">
      <c r="B4280" s="5"/>
      <c r="F4280" s="5"/>
      <c r="J4280" s="5"/>
      <c r="N4280" s="5"/>
      <c r="R4280" s="5"/>
    </row>
    <row r="4281" spans="2:18" x14ac:dyDescent="0.2">
      <c r="B4281" s="5"/>
      <c r="F4281" s="5"/>
      <c r="J4281" s="5"/>
      <c r="N4281" s="5"/>
      <c r="R4281" s="5"/>
    </row>
    <row r="4282" spans="2:18" x14ac:dyDescent="0.2">
      <c r="B4282" s="5"/>
      <c r="F4282" s="5"/>
      <c r="J4282" s="5"/>
      <c r="N4282" s="5"/>
      <c r="R4282" s="5"/>
    </row>
    <row r="4283" spans="2:18" x14ac:dyDescent="0.2">
      <c r="B4283" s="5"/>
      <c r="F4283" s="5"/>
      <c r="J4283" s="5"/>
      <c r="N4283" s="5"/>
      <c r="R4283" s="5"/>
    </row>
    <row r="4284" spans="2:18" x14ac:dyDescent="0.2">
      <c r="B4284" s="5"/>
      <c r="F4284" s="5"/>
      <c r="J4284" s="5"/>
      <c r="N4284" s="5"/>
      <c r="R4284" s="5"/>
    </row>
    <row r="4285" spans="2:18" x14ac:dyDescent="0.2">
      <c r="B4285" s="5"/>
      <c r="F4285" s="5"/>
      <c r="J4285" s="5"/>
      <c r="N4285" s="5"/>
      <c r="R4285" s="5"/>
    </row>
    <row r="4286" spans="2:18" x14ac:dyDescent="0.2">
      <c r="B4286" s="5"/>
      <c r="F4286" s="5"/>
      <c r="J4286" s="5"/>
      <c r="N4286" s="5"/>
      <c r="R4286" s="5"/>
    </row>
    <row r="4287" spans="2:18" x14ac:dyDescent="0.2">
      <c r="B4287" s="5"/>
      <c r="F4287" s="5"/>
      <c r="J4287" s="5"/>
      <c r="N4287" s="5"/>
      <c r="R4287" s="5"/>
    </row>
    <row r="4288" spans="2:18" x14ac:dyDescent="0.2">
      <c r="B4288" s="5"/>
      <c r="F4288" s="5"/>
      <c r="J4288" s="5"/>
      <c r="N4288" s="5"/>
      <c r="R4288" s="5"/>
    </row>
    <row r="4289" spans="2:18" x14ac:dyDescent="0.2">
      <c r="B4289" s="5"/>
      <c r="F4289" s="5"/>
      <c r="J4289" s="5"/>
      <c r="N4289" s="5"/>
      <c r="R4289" s="5"/>
    </row>
    <row r="4290" spans="2:18" x14ac:dyDescent="0.2">
      <c r="B4290" s="5"/>
      <c r="F4290" s="5"/>
      <c r="J4290" s="5"/>
      <c r="N4290" s="5"/>
      <c r="R4290" s="5"/>
    </row>
    <row r="4291" spans="2:18" x14ac:dyDescent="0.2">
      <c r="B4291" s="5"/>
      <c r="F4291" s="5"/>
      <c r="J4291" s="5"/>
      <c r="N4291" s="5"/>
      <c r="R4291" s="5"/>
    </row>
    <row r="4292" spans="2:18" x14ac:dyDescent="0.2">
      <c r="B4292" s="5"/>
      <c r="F4292" s="5"/>
      <c r="J4292" s="5"/>
      <c r="N4292" s="5"/>
      <c r="R4292" s="5"/>
    </row>
    <row r="4293" spans="2:18" x14ac:dyDescent="0.2">
      <c r="B4293" s="5"/>
      <c r="F4293" s="5"/>
      <c r="J4293" s="5"/>
      <c r="N4293" s="5"/>
      <c r="R4293" s="5"/>
    </row>
    <row r="4294" spans="2:18" x14ac:dyDescent="0.2">
      <c r="B4294" s="5"/>
      <c r="F4294" s="5"/>
      <c r="J4294" s="5"/>
      <c r="N4294" s="5"/>
      <c r="R4294" s="5"/>
    </row>
    <row r="4295" spans="2:18" x14ac:dyDescent="0.2">
      <c r="B4295" s="5"/>
      <c r="F4295" s="5"/>
      <c r="J4295" s="5"/>
      <c r="N4295" s="5"/>
      <c r="R4295" s="5"/>
    </row>
    <row r="4296" spans="2:18" x14ac:dyDescent="0.2">
      <c r="B4296" s="5"/>
      <c r="F4296" s="5"/>
      <c r="J4296" s="5"/>
      <c r="N4296" s="5"/>
      <c r="R4296" s="5"/>
    </row>
    <row r="4297" spans="2:18" x14ac:dyDescent="0.2">
      <c r="B4297" s="5"/>
      <c r="F4297" s="5"/>
      <c r="J4297" s="5"/>
      <c r="N4297" s="5"/>
      <c r="R4297" s="5"/>
    </row>
    <row r="4298" spans="2:18" x14ac:dyDescent="0.2">
      <c r="B4298" s="5"/>
      <c r="F4298" s="5"/>
      <c r="J4298" s="5"/>
      <c r="N4298" s="5"/>
      <c r="R4298" s="5"/>
    </row>
    <row r="4299" spans="2:18" x14ac:dyDescent="0.2">
      <c r="B4299" s="5"/>
      <c r="F4299" s="5"/>
      <c r="J4299" s="5"/>
      <c r="N4299" s="5"/>
      <c r="R4299" s="5"/>
    </row>
    <row r="4300" spans="2:18" x14ac:dyDescent="0.2">
      <c r="B4300" s="5"/>
      <c r="F4300" s="5"/>
      <c r="J4300" s="5"/>
      <c r="N4300" s="5"/>
      <c r="R4300" s="5"/>
    </row>
    <row r="4301" spans="2:18" x14ac:dyDescent="0.2">
      <c r="B4301" s="5"/>
      <c r="F4301" s="5"/>
      <c r="J4301" s="5"/>
      <c r="N4301" s="5"/>
      <c r="R4301" s="5"/>
    </row>
    <row r="4302" spans="2:18" x14ac:dyDescent="0.2">
      <c r="B4302" s="5"/>
      <c r="F4302" s="5"/>
      <c r="J4302" s="5"/>
      <c r="N4302" s="5"/>
      <c r="R4302" s="5"/>
    </row>
    <row r="4303" spans="2:18" x14ac:dyDescent="0.2">
      <c r="B4303" s="5"/>
      <c r="F4303" s="5"/>
      <c r="J4303" s="5"/>
      <c r="N4303" s="5"/>
      <c r="R4303" s="5"/>
    </row>
    <row r="4304" spans="2:18" x14ac:dyDescent="0.2">
      <c r="B4304" s="5"/>
      <c r="F4304" s="5"/>
      <c r="J4304" s="5"/>
      <c r="N4304" s="5"/>
      <c r="R4304" s="5"/>
    </row>
    <row r="4305" spans="2:18" x14ac:dyDescent="0.2">
      <c r="B4305" s="5"/>
      <c r="F4305" s="5"/>
      <c r="J4305" s="5"/>
      <c r="N4305" s="5"/>
      <c r="R4305" s="5"/>
    </row>
    <row r="4306" spans="2:18" x14ac:dyDescent="0.2">
      <c r="B4306" s="5"/>
      <c r="F4306" s="5"/>
      <c r="J4306" s="5"/>
      <c r="N4306" s="5"/>
      <c r="R4306" s="5"/>
    </row>
    <row r="4307" spans="2:18" x14ac:dyDescent="0.2">
      <c r="B4307" s="5"/>
      <c r="F4307" s="5"/>
      <c r="J4307" s="5"/>
      <c r="N4307" s="5"/>
      <c r="R4307" s="5"/>
    </row>
    <row r="4308" spans="2:18" x14ac:dyDescent="0.2">
      <c r="B4308" s="5"/>
      <c r="F4308" s="5"/>
      <c r="J4308" s="5"/>
      <c r="N4308" s="5"/>
      <c r="R4308" s="5"/>
    </row>
    <row r="4309" spans="2:18" x14ac:dyDescent="0.2">
      <c r="B4309" s="5"/>
      <c r="F4309" s="5"/>
      <c r="J4309" s="5"/>
      <c r="N4309" s="5"/>
      <c r="R4309" s="5"/>
    </row>
    <row r="4310" spans="2:18" x14ac:dyDescent="0.2">
      <c r="B4310" s="5"/>
      <c r="F4310" s="5"/>
      <c r="J4310" s="5"/>
      <c r="N4310" s="5"/>
      <c r="R4310" s="5"/>
    </row>
    <row r="4311" spans="2:18" x14ac:dyDescent="0.2">
      <c r="B4311" s="5"/>
      <c r="F4311" s="5"/>
      <c r="J4311" s="5"/>
      <c r="N4311" s="5"/>
      <c r="R4311" s="5"/>
    </row>
    <row r="4312" spans="2:18" x14ac:dyDescent="0.2">
      <c r="B4312" s="5"/>
      <c r="F4312" s="5"/>
      <c r="J4312" s="5"/>
      <c r="N4312" s="5"/>
      <c r="R4312" s="5"/>
    </row>
    <row r="4313" spans="2:18" x14ac:dyDescent="0.2">
      <c r="B4313" s="5"/>
      <c r="F4313" s="5"/>
      <c r="J4313" s="5"/>
      <c r="N4313" s="5"/>
      <c r="R4313" s="5"/>
    </row>
    <row r="4314" spans="2:18" x14ac:dyDescent="0.2">
      <c r="B4314" s="5"/>
      <c r="F4314" s="5"/>
      <c r="J4314" s="5"/>
      <c r="N4314" s="5"/>
      <c r="R4314" s="5"/>
    </row>
    <row r="4315" spans="2:18" x14ac:dyDescent="0.2">
      <c r="B4315" s="5"/>
      <c r="F4315" s="5"/>
      <c r="J4315" s="5"/>
      <c r="N4315" s="5"/>
      <c r="R4315" s="5"/>
    </row>
    <row r="4316" spans="2:18" x14ac:dyDescent="0.2">
      <c r="B4316" s="5"/>
      <c r="F4316" s="5"/>
      <c r="J4316" s="5"/>
      <c r="N4316" s="5"/>
      <c r="R4316" s="5"/>
    </row>
    <row r="4317" spans="2:18" x14ac:dyDescent="0.2">
      <c r="B4317" s="5"/>
      <c r="F4317" s="5"/>
      <c r="J4317" s="5"/>
      <c r="N4317" s="5"/>
      <c r="R4317" s="5"/>
    </row>
    <row r="4318" spans="2:18" x14ac:dyDescent="0.2">
      <c r="B4318" s="5"/>
      <c r="F4318" s="5"/>
      <c r="J4318" s="5"/>
      <c r="N4318" s="5"/>
      <c r="R4318" s="5"/>
    </row>
    <row r="4319" spans="2:18" x14ac:dyDescent="0.2">
      <c r="B4319" s="5"/>
      <c r="F4319" s="5"/>
      <c r="J4319" s="5"/>
      <c r="N4319" s="5"/>
      <c r="R4319" s="5"/>
    </row>
    <row r="4320" spans="2:18" x14ac:dyDescent="0.2">
      <c r="B4320" s="5"/>
      <c r="F4320" s="5"/>
      <c r="J4320" s="5"/>
      <c r="N4320" s="5"/>
      <c r="R4320" s="5"/>
    </row>
    <row r="4321" spans="2:18" x14ac:dyDescent="0.2">
      <c r="B4321" s="5"/>
      <c r="F4321" s="5"/>
      <c r="J4321" s="5"/>
      <c r="N4321" s="5"/>
      <c r="R4321" s="5"/>
    </row>
    <row r="4322" spans="2:18" x14ac:dyDescent="0.2">
      <c r="B4322" s="5"/>
      <c r="F4322" s="5"/>
      <c r="J4322" s="5"/>
      <c r="N4322" s="5"/>
      <c r="R4322" s="5"/>
    </row>
    <row r="4323" spans="2:18" x14ac:dyDescent="0.2">
      <c r="B4323" s="5"/>
      <c r="F4323" s="5"/>
      <c r="J4323" s="5"/>
      <c r="N4323" s="5"/>
      <c r="R4323" s="5"/>
    </row>
    <row r="4324" spans="2:18" x14ac:dyDescent="0.2">
      <c r="B4324" s="5"/>
      <c r="F4324" s="5"/>
      <c r="J4324" s="5"/>
      <c r="N4324" s="5"/>
      <c r="R4324" s="5"/>
    </row>
    <row r="4325" spans="2:18" x14ac:dyDescent="0.2">
      <c r="B4325" s="5"/>
      <c r="F4325" s="5"/>
      <c r="J4325" s="5"/>
      <c r="N4325" s="5"/>
      <c r="R4325" s="5"/>
    </row>
    <row r="4326" spans="2:18" x14ac:dyDescent="0.2">
      <c r="B4326" s="5"/>
      <c r="F4326" s="5"/>
      <c r="J4326" s="5"/>
      <c r="N4326" s="5"/>
      <c r="R4326" s="5"/>
    </row>
    <row r="4327" spans="2:18" x14ac:dyDescent="0.2">
      <c r="B4327" s="5"/>
      <c r="F4327" s="5"/>
      <c r="J4327" s="5"/>
      <c r="N4327" s="5"/>
      <c r="R4327" s="5"/>
    </row>
    <row r="4328" spans="2:18" x14ac:dyDescent="0.2">
      <c r="B4328" s="5"/>
      <c r="F4328" s="5"/>
      <c r="J4328" s="5"/>
      <c r="N4328" s="5"/>
      <c r="R4328" s="5"/>
    </row>
    <row r="4329" spans="2:18" x14ac:dyDescent="0.2">
      <c r="B4329" s="5"/>
      <c r="F4329" s="5"/>
      <c r="J4329" s="5"/>
      <c r="N4329" s="5"/>
      <c r="R4329" s="5"/>
    </row>
    <row r="4330" spans="2:18" x14ac:dyDescent="0.2">
      <c r="B4330" s="5"/>
      <c r="F4330" s="5"/>
      <c r="J4330" s="5"/>
      <c r="N4330" s="5"/>
      <c r="R4330" s="5"/>
    </row>
    <row r="4331" spans="2:18" x14ac:dyDescent="0.2">
      <c r="B4331" s="5"/>
      <c r="F4331" s="5"/>
      <c r="J4331" s="5"/>
      <c r="N4331" s="5"/>
      <c r="R4331" s="5"/>
    </row>
    <row r="4332" spans="2:18" x14ac:dyDescent="0.2">
      <c r="B4332" s="5"/>
      <c r="F4332" s="5"/>
      <c r="J4332" s="5"/>
      <c r="N4332" s="5"/>
      <c r="R4332" s="5"/>
    </row>
    <row r="4333" spans="2:18" x14ac:dyDescent="0.2">
      <c r="B4333" s="5"/>
      <c r="F4333" s="5"/>
      <c r="J4333" s="5"/>
      <c r="N4333" s="5"/>
      <c r="R4333" s="5"/>
    </row>
    <row r="4334" spans="2:18" x14ac:dyDescent="0.2">
      <c r="B4334" s="5"/>
      <c r="F4334" s="5"/>
      <c r="J4334" s="5"/>
      <c r="N4334" s="5"/>
      <c r="R4334" s="5"/>
    </row>
    <row r="4335" spans="2:18" x14ac:dyDescent="0.2">
      <c r="B4335" s="5"/>
      <c r="F4335" s="5"/>
      <c r="J4335" s="5"/>
      <c r="N4335" s="5"/>
      <c r="R4335" s="5"/>
    </row>
    <row r="4336" spans="2:18" x14ac:dyDescent="0.2">
      <c r="B4336" s="5"/>
      <c r="F4336" s="5"/>
      <c r="J4336" s="5"/>
      <c r="N4336" s="5"/>
      <c r="R4336" s="5"/>
    </row>
    <row r="4337" spans="2:18" x14ac:dyDescent="0.2">
      <c r="B4337" s="5"/>
      <c r="F4337" s="5"/>
      <c r="J4337" s="5"/>
      <c r="N4337" s="5"/>
      <c r="R4337" s="5"/>
    </row>
    <row r="4338" spans="2:18" x14ac:dyDescent="0.2">
      <c r="B4338" s="5"/>
      <c r="F4338" s="5"/>
      <c r="J4338" s="5"/>
      <c r="N4338" s="5"/>
      <c r="R4338" s="5"/>
    </row>
    <row r="4339" spans="2:18" x14ac:dyDescent="0.2">
      <c r="B4339" s="5"/>
      <c r="F4339" s="5"/>
      <c r="J4339" s="5"/>
      <c r="N4339" s="5"/>
      <c r="R4339" s="5"/>
    </row>
    <row r="4340" spans="2:18" x14ac:dyDescent="0.2">
      <c r="B4340" s="5"/>
      <c r="F4340" s="5"/>
      <c r="J4340" s="5"/>
      <c r="N4340" s="5"/>
      <c r="R4340" s="5"/>
    </row>
    <row r="4341" spans="2:18" x14ac:dyDescent="0.2">
      <c r="B4341" s="5"/>
      <c r="F4341" s="5"/>
      <c r="J4341" s="5"/>
      <c r="N4341" s="5"/>
      <c r="R4341" s="5"/>
    </row>
    <row r="4342" spans="2:18" x14ac:dyDescent="0.2">
      <c r="B4342" s="5"/>
      <c r="F4342" s="5"/>
      <c r="J4342" s="5"/>
      <c r="N4342" s="5"/>
      <c r="R4342" s="5"/>
    </row>
    <row r="4343" spans="2:18" x14ac:dyDescent="0.2">
      <c r="B4343" s="5"/>
      <c r="F4343" s="5"/>
      <c r="J4343" s="5"/>
      <c r="N4343" s="5"/>
      <c r="R4343" s="5"/>
    </row>
    <row r="4344" spans="2:18" x14ac:dyDescent="0.2">
      <c r="B4344" s="5"/>
      <c r="F4344" s="5"/>
      <c r="J4344" s="5"/>
      <c r="N4344" s="5"/>
      <c r="R4344" s="5"/>
    </row>
    <row r="4345" spans="2:18" x14ac:dyDescent="0.2">
      <c r="B4345" s="5"/>
      <c r="F4345" s="5"/>
      <c r="J4345" s="5"/>
      <c r="N4345" s="5"/>
      <c r="R4345" s="5"/>
    </row>
    <row r="4346" spans="2:18" x14ac:dyDescent="0.2">
      <c r="B4346" s="5"/>
      <c r="F4346" s="5"/>
      <c r="J4346" s="5"/>
      <c r="N4346" s="5"/>
      <c r="R4346" s="5"/>
    </row>
    <row r="4347" spans="2:18" x14ac:dyDescent="0.2">
      <c r="B4347" s="5"/>
      <c r="F4347" s="5"/>
      <c r="J4347" s="5"/>
      <c r="N4347" s="5"/>
      <c r="R4347" s="5"/>
    </row>
    <row r="4348" spans="2:18" x14ac:dyDescent="0.2">
      <c r="B4348" s="5"/>
      <c r="F4348" s="5"/>
      <c r="J4348" s="5"/>
      <c r="N4348" s="5"/>
      <c r="R4348" s="5"/>
    </row>
    <row r="4349" spans="2:18" x14ac:dyDescent="0.2">
      <c r="B4349" s="5"/>
      <c r="F4349" s="5"/>
      <c r="J4349" s="5"/>
      <c r="N4349" s="5"/>
      <c r="R4349" s="5"/>
    </row>
    <row r="4350" spans="2:18" x14ac:dyDescent="0.2">
      <c r="B4350" s="5"/>
      <c r="F4350" s="5"/>
      <c r="J4350" s="5"/>
      <c r="N4350" s="5"/>
      <c r="R4350" s="5"/>
    </row>
    <row r="4351" spans="2:18" x14ac:dyDescent="0.2">
      <c r="B4351" s="5"/>
      <c r="F4351" s="5"/>
      <c r="J4351" s="5"/>
      <c r="N4351" s="5"/>
      <c r="R4351" s="5"/>
    </row>
    <row r="4352" spans="2:18" x14ac:dyDescent="0.2">
      <c r="B4352" s="5"/>
      <c r="F4352" s="5"/>
      <c r="J4352" s="5"/>
      <c r="N4352" s="5"/>
      <c r="R4352" s="5"/>
    </row>
    <row r="4353" spans="2:18" x14ac:dyDescent="0.2">
      <c r="B4353" s="5"/>
      <c r="F4353" s="5"/>
      <c r="J4353" s="5"/>
      <c r="N4353" s="5"/>
      <c r="R4353" s="5"/>
    </row>
    <row r="4354" spans="2:18" x14ac:dyDescent="0.2">
      <c r="B4354" s="5"/>
      <c r="F4354" s="5"/>
      <c r="J4354" s="5"/>
      <c r="N4354" s="5"/>
      <c r="R4354" s="5"/>
    </row>
    <row r="4355" spans="2:18" x14ac:dyDescent="0.2">
      <c r="B4355" s="5"/>
      <c r="F4355" s="5"/>
      <c r="J4355" s="5"/>
      <c r="N4355" s="5"/>
      <c r="R4355" s="5"/>
    </row>
    <row r="4356" spans="2:18" x14ac:dyDescent="0.2">
      <c r="B4356" s="5"/>
      <c r="F4356" s="5"/>
      <c r="J4356" s="5"/>
      <c r="N4356" s="5"/>
      <c r="R4356" s="5"/>
    </row>
    <row r="4357" spans="2:18" x14ac:dyDescent="0.2">
      <c r="B4357" s="5"/>
      <c r="F4357" s="5"/>
      <c r="J4357" s="5"/>
      <c r="N4357" s="5"/>
      <c r="R4357" s="5"/>
    </row>
    <row r="4358" spans="2:18" x14ac:dyDescent="0.2">
      <c r="B4358" s="5"/>
      <c r="F4358" s="5"/>
      <c r="J4358" s="5"/>
      <c r="N4358" s="5"/>
      <c r="R4358" s="5"/>
    </row>
    <row r="4359" spans="2:18" x14ac:dyDescent="0.2">
      <c r="B4359" s="5"/>
      <c r="F4359" s="5"/>
      <c r="J4359" s="5"/>
      <c r="N4359" s="5"/>
      <c r="R4359" s="5"/>
    </row>
    <row r="4360" spans="2:18" x14ac:dyDescent="0.2">
      <c r="B4360" s="5"/>
      <c r="F4360" s="5"/>
      <c r="J4360" s="5"/>
      <c r="N4360" s="5"/>
      <c r="R4360" s="5"/>
    </row>
    <row r="4361" spans="2:18" x14ac:dyDescent="0.2">
      <c r="B4361" s="5"/>
      <c r="F4361" s="5"/>
      <c r="J4361" s="5"/>
      <c r="N4361" s="5"/>
      <c r="R4361" s="5"/>
    </row>
    <row r="4362" spans="2:18" x14ac:dyDescent="0.2">
      <c r="B4362" s="5"/>
      <c r="F4362" s="5"/>
      <c r="J4362" s="5"/>
      <c r="N4362" s="5"/>
      <c r="R4362" s="5"/>
    </row>
    <row r="4363" spans="2:18" x14ac:dyDescent="0.2">
      <c r="B4363" s="5"/>
      <c r="F4363" s="5"/>
      <c r="J4363" s="5"/>
      <c r="N4363" s="5"/>
      <c r="R4363" s="5"/>
    </row>
    <row r="4364" spans="2:18" x14ac:dyDescent="0.2">
      <c r="B4364" s="5"/>
      <c r="F4364" s="5"/>
      <c r="J4364" s="5"/>
      <c r="N4364" s="5"/>
      <c r="R4364" s="5"/>
    </row>
    <row r="4365" spans="2:18" x14ac:dyDescent="0.2">
      <c r="B4365" s="5"/>
      <c r="F4365" s="5"/>
      <c r="J4365" s="5"/>
      <c r="N4365" s="5"/>
      <c r="R4365" s="5"/>
    </row>
    <row r="4366" spans="2:18" x14ac:dyDescent="0.2">
      <c r="B4366" s="5"/>
      <c r="F4366" s="5"/>
      <c r="J4366" s="5"/>
      <c r="N4366" s="5"/>
      <c r="R4366" s="5"/>
    </row>
    <row r="4367" spans="2:18" x14ac:dyDescent="0.2">
      <c r="B4367" s="5"/>
      <c r="F4367" s="5"/>
      <c r="J4367" s="5"/>
      <c r="N4367" s="5"/>
      <c r="R4367" s="5"/>
    </row>
    <row r="4368" spans="2:18" x14ac:dyDescent="0.2">
      <c r="B4368" s="5"/>
      <c r="F4368" s="5"/>
      <c r="J4368" s="5"/>
      <c r="N4368" s="5"/>
      <c r="R4368" s="5"/>
    </row>
    <row r="4369" spans="2:18" x14ac:dyDescent="0.2">
      <c r="B4369" s="5"/>
      <c r="F4369" s="5"/>
      <c r="J4369" s="5"/>
      <c r="N4369" s="5"/>
      <c r="R4369" s="5"/>
    </row>
    <row r="4370" spans="2:18" x14ac:dyDescent="0.2">
      <c r="B4370" s="5"/>
      <c r="F4370" s="5"/>
      <c r="J4370" s="5"/>
      <c r="N4370" s="5"/>
      <c r="R4370" s="5"/>
    </row>
    <row r="4371" spans="2:18" x14ac:dyDescent="0.2">
      <c r="B4371" s="5"/>
      <c r="F4371" s="5"/>
      <c r="J4371" s="5"/>
      <c r="N4371" s="5"/>
      <c r="R4371" s="5"/>
    </row>
    <row r="4372" spans="2:18" x14ac:dyDescent="0.2">
      <c r="B4372" s="5"/>
      <c r="F4372" s="5"/>
      <c r="J4372" s="5"/>
      <c r="N4372" s="5"/>
      <c r="R4372" s="5"/>
    </row>
    <row r="4373" spans="2:18" x14ac:dyDescent="0.2">
      <c r="B4373" s="5"/>
      <c r="F4373" s="5"/>
      <c r="J4373" s="5"/>
      <c r="N4373" s="5"/>
      <c r="R4373" s="5"/>
    </row>
    <row r="4374" spans="2:18" x14ac:dyDescent="0.2">
      <c r="B4374" s="5"/>
      <c r="F4374" s="5"/>
      <c r="J4374" s="5"/>
      <c r="N4374" s="5"/>
      <c r="R4374" s="5"/>
    </row>
    <row r="4375" spans="2:18" x14ac:dyDescent="0.2">
      <c r="B4375" s="5"/>
      <c r="F4375" s="5"/>
      <c r="J4375" s="5"/>
      <c r="N4375" s="5"/>
      <c r="R4375" s="5"/>
    </row>
    <row r="4376" spans="2:18" x14ac:dyDescent="0.2">
      <c r="B4376" s="5"/>
      <c r="F4376" s="5"/>
      <c r="J4376" s="5"/>
      <c r="N4376" s="5"/>
      <c r="R4376" s="5"/>
    </row>
    <row r="4377" spans="2:18" x14ac:dyDescent="0.2">
      <c r="B4377" s="5"/>
      <c r="F4377" s="5"/>
      <c r="J4377" s="5"/>
      <c r="N4377" s="5"/>
      <c r="R4377" s="5"/>
    </row>
    <row r="4378" spans="2:18" x14ac:dyDescent="0.2">
      <c r="B4378" s="5"/>
      <c r="F4378" s="5"/>
      <c r="J4378" s="5"/>
      <c r="N4378" s="5"/>
      <c r="R4378" s="5"/>
    </row>
    <row r="4379" spans="2:18" x14ac:dyDescent="0.2">
      <c r="B4379" s="5"/>
      <c r="F4379" s="5"/>
      <c r="J4379" s="5"/>
      <c r="N4379" s="5"/>
      <c r="R4379" s="5"/>
    </row>
    <row r="4380" spans="2:18" x14ac:dyDescent="0.2">
      <c r="B4380" s="5"/>
      <c r="F4380" s="5"/>
      <c r="J4380" s="5"/>
      <c r="N4380" s="5"/>
      <c r="R4380" s="5"/>
    </row>
    <row r="4381" spans="2:18" x14ac:dyDescent="0.2">
      <c r="B4381" s="5"/>
      <c r="F4381" s="5"/>
      <c r="J4381" s="5"/>
      <c r="N4381" s="5"/>
      <c r="R4381" s="5"/>
    </row>
    <row r="4382" spans="2:18" x14ac:dyDescent="0.2">
      <c r="B4382" s="5"/>
      <c r="F4382" s="5"/>
      <c r="J4382" s="5"/>
      <c r="N4382" s="5"/>
      <c r="R4382" s="5"/>
    </row>
    <row r="4383" spans="2:18" x14ac:dyDescent="0.2">
      <c r="B4383" s="5"/>
      <c r="F4383" s="5"/>
      <c r="J4383" s="5"/>
      <c r="N4383" s="5"/>
      <c r="R4383" s="5"/>
    </row>
    <row r="4384" spans="2:18" x14ac:dyDescent="0.2">
      <c r="B4384" s="5"/>
      <c r="F4384" s="5"/>
      <c r="J4384" s="5"/>
      <c r="N4384" s="5"/>
      <c r="R4384" s="5"/>
    </row>
    <row r="4385" spans="2:18" x14ac:dyDescent="0.2">
      <c r="B4385" s="5"/>
      <c r="F4385" s="5"/>
      <c r="J4385" s="5"/>
      <c r="N4385" s="5"/>
      <c r="R4385" s="5"/>
    </row>
    <row r="4386" spans="2:18" x14ac:dyDescent="0.2">
      <c r="B4386" s="5"/>
      <c r="F4386" s="5"/>
      <c r="J4386" s="5"/>
      <c r="N4386" s="5"/>
      <c r="R4386" s="5"/>
    </row>
    <row r="4387" spans="2:18" x14ac:dyDescent="0.2">
      <c r="B4387" s="5"/>
      <c r="F4387" s="5"/>
      <c r="J4387" s="5"/>
      <c r="N4387" s="5"/>
      <c r="R4387" s="5"/>
    </row>
    <row r="4388" spans="2:18" x14ac:dyDescent="0.2">
      <c r="B4388" s="5"/>
      <c r="F4388" s="5"/>
      <c r="J4388" s="5"/>
      <c r="N4388" s="5"/>
      <c r="R4388" s="5"/>
    </row>
    <row r="4389" spans="2:18" x14ac:dyDescent="0.2">
      <c r="B4389" s="5"/>
      <c r="F4389" s="5"/>
      <c r="J4389" s="5"/>
      <c r="N4389" s="5"/>
      <c r="R4389" s="5"/>
    </row>
    <row r="4390" spans="2:18" x14ac:dyDescent="0.2">
      <c r="B4390" s="5"/>
      <c r="F4390" s="5"/>
      <c r="J4390" s="5"/>
      <c r="N4390" s="5"/>
      <c r="R4390" s="5"/>
    </row>
    <row r="4391" spans="2:18" x14ac:dyDescent="0.2">
      <c r="B4391" s="5"/>
      <c r="F4391" s="5"/>
      <c r="J4391" s="5"/>
      <c r="N4391" s="5"/>
      <c r="R4391" s="5"/>
    </row>
    <row r="4392" spans="2:18" x14ac:dyDescent="0.2">
      <c r="B4392" s="5"/>
      <c r="F4392" s="5"/>
      <c r="J4392" s="5"/>
      <c r="N4392" s="5"/>
      <c r="R4392" s="5"/>
    </row>
    <row r="4393" spans="2:18" x14ac:dyDescent="0.2">
      <c r="B4393" s="5"/>
      <c r="F4393" s="5"/>
      <c r="J4393" s="5"/>
      <c r="N4393" s="5"/>
      <c r="R4393" s="5"/>
    </row>
    <row r="4394" spans="2:18" x14ac:dyDescent="0.2">
      <c r="B4394" s="5"/>
      <c r="F4394" s="5"/>
      <c r="J4394" s="5"/>
      <c r="N4394" s="5"/>
      <c r="R4394" s="5"/>
    </row>
    <row r="4395" spans="2:18" x14ac:dyDescent="0.2">
      <c r="B4395" s="5"/>
      <c r="F4395" s="5"/>
      <c r="J4395" s="5"/>
      <c r="N4395" s="5"/>
      <c r="R4395" s="5"/>
    </row>
    <row r="4396" spans="2:18" x14ac:dyDescent="0.2">
      <c r="B4396" s="5"/>
      <c r="F4396" s="5"/>
      <c r="J4396" s="5"/>
      <c r="N4396" s="5"/>
      <c r="R4396" s="5"/>
    </row>
    <row r="4397" spans="2:18" x14ac:dyDescent="0.2">
      <c r="B4397" s="5"/>
      <c r="F4397" s="5"/>
      <c r="J4397" s="5"/>
      <c r="N4397" s="5"/>
      <c r="R4397" s="5"/>
    </row>
    <row r="4398" spans="2:18" x14ac:dyDescent="0.2">
      <c r="B4398" s="5"/>
      <c r="F4398" s="5"/>
      <c r="J4398" s="5"/>
      <c r="N4398" s="5"/>
      <c r="R4398" s="5"/>
    </row>
    <row r="4399" spans="2:18" x14ac:dyDescent="0.2">
      <c r="B4399" s="5"/>
      <c r="F4399" s="5"/>
      <c r="J4399" s="5"/>
      <c r="N4399" s="5"/>
      <c r="R4399" s="5"/>
    </row>
    <row r="4400" spans="2:18" x14ac:dyDescent="0.2">
      <c r="B4400" s="5"/>
      <c r="F4400" s="5"/>
      <c r="J4400" s="5"/>
      <c r="N4400" s="5"/>
      <c r="R4400" s="5"/>
    </row>
    <row r="4401" spans="2:18" x14ac:dyDescent="0.2">
      <c r="B4401" s="5"/>
      <c r="F4401" s="5"/>
      <c r="J4401" s="5"/>
      <c r="N4401" s="5"/>
      <c r="R4401" s="5"/>
    </row>
    <row r="4402" spans="2:18" x14ac:dyDescent="0.2">
      <c r="B4402" s="5"/>
      <c r="F4402" s="5"/>
      <c r="J4402" s="5"/>
      <c r="N4402" s="5"/>
      <c r="R4402" s="5"/>
    </row>
    <row r="4403" spans="2:18" x14ac:dyDescent="0.2">
      <c r="B4403" s="5"/>
      <c r="F4403" s="5"/>
      <c r="J4403" s="5"/>
      <c r="N4403" s="5"/>
      <c r="R4403" s="5"/>
    </row>
    <row r="4404" spans="2:18" x14ac:dyDescent="0.2">
      <c r="B4404" s="5"/>
      <c r="F4404" s="5"/>
      <c r="J4404" s="5"/>
      <c r="N4404" s="5"/>
      <c r="R4404" s="5"/>
    </row>
    <row r="4405" spans="2:18" x14ac:dyDescent="0.2">
      <c r="B4405" s="5"/>
      <c r="F4405" s="5"/>
      <c r="J4405" s="5"/>
      <c r="N4405" s="5"/>
      <c r="R4405" s="5"/>
    </row>
    <row r="4406" spans="2:18" x14ac:dyDescent="0.2">
      <c r="B4406" s="5"/>
      <c r="F4406" s="5"/>
      <c r="J4406" s="5"/>
      <c r="N4406" s="5"/>
      <c r="R4406" s="5"/>
    </row>
    <row r="4407" spans="2:18" x14ac:dyDescent="0.2">
      <c r="B4407" s="5"/>
      <c r="F4407" s="5"/>
      <c r="J4407" s="5"/>
      <c r="N4407" s="5"/>
      <c r="R4407" s="5"/>
    </row>
    <row r="4408" spans="2:18" x14ac:dyDescent="0.2">
      <c r="B4408" s="5"/>
      <c r="F4408" s="5"/>
      <c r="J4408" s="5"/>
      <c r="N4408" s="5"/>
      <c r="R4408" s="5"/>
    </row>
    <row r="4409" spans="2:18" x14ac:dyDescent="0.2">
      <c r="B4409" s="5"/>
      <c r="F4409" s="5"/>
      <c r="J4409" s="5"/>
      <c r="N4409" s="5"/>
      <c r="R4409" s="5"/>
    </row>
    <row r="4410" spans="2:18" x14ac:dyDescent="0.2">
      <c r="B4410" s="5"/>
      <c r="F4410" s="5"/>
      <c r="J4410" s="5"/>
      <c r="N4410" s="5"/>
      <c r="R4410" s="5"/>
    </row>
    <row r="4411" spans="2:18" x14ac:dyDescent="0.2">
      <c r="B4411" s="5"/>
      <c r="F4411" s="5"/>
      <c r="J4411" s="5"/>
      <c r="N4411" s="5"/>
      <c r="R4411" s="5"/>
    </row>
    <row r="4412" spans="2:18" x14ac:dyDescent="0.2">
      <c r="B4412" s="5"/>
      <c r="F4412" s="5"/>
      <c r="J4412" s="5"/>
      <c r="N4412" s="5"/>
      <c r="R4412" s="5"/>
    </row>
    <row r="4413" spans="2:18" x14ac:dyDescent="0.2">
      <c r="B4413" s="5"/>
      <c r="F4413" s="5"/>
      <c r="J4413" s="5"/>
      <c r="N4413" s="5"/>
      <c r="R4413" s="5"/>
    </row>
    <row r="4414" spans="2:18" x14ac:dyDescent="0.2">
      <c r="B4414" s="5"/>
      <c r="F4414" s="5"/>
      <c r="J4414" s="5"/>
      <c r="N4414" s="5"/>
      <c r="R4414" s="5"/>
    </row>
    <row r="4415" spans="2:18" x14ac:dyDescent="0.2">
      <c r="B4415" s="5"/>
      <c r="F4415" s="5"/>
      <c r="J4415" s="5"/>
      <c r="N4415" s="5"/>
      <c r="R4415" s="5"/>
    </row>
    <row r="4416" spans="2:18" x14ac:dyDescent="0.2">
      <c r="B4416" s="5"/>
      <c r="F4416" s="5"/>
      <c r="J4416" s="5"/>
      <c r="N4416" s="5"/>
      <c r="R4416" s="5"/>
    </row>
    <row r="4417" spans="2:18" x14ac:dyDescent="0.2">
      <c r="B4417" s="5"/>
      <c r="F4417" s="5"/>
      <c r="J4417" s="5"/>
      <c r="N4417" s="5"/>
      <c r="R4417" s="5"/>
    </row>
    <row r="4418" spans="2:18" x14ac:dyDescent="0.2">
      <c r="B4418" s="5"/>
      <c r="F4418" s="5"/>
      <c r="J4418" s="5"/>
      <c r="N4418" s="5"/>
      <c r="R4418" s="5"/>
    </row>
    <row r="4419" spans="2:18" x14ac:dyDescent="0.2">
      <c r="B4419" s="5"/>
      <c r="F4419" s="5"/>
      <c r="J4419" s="5"/>
      <c r="N4419" s="5"/>
      <c r="R4419" s="5"/>
    </row>
    <row r="4420" spans="2:18" x14ac:dyDescent="0.2">
      <c r="B4420" s="5"/>
      <c r="F4420" s="5"/>
      <c r="J4420" s="5"/>
      <c r="N4420" s="5"/>
      <c r="R4420" s="5"/>
    </row>
    <row r="4421" spans="2:18" x14ac:dyDescent="0.2">
      <c r="B4421" s="5"/>
      <c r="F4421" s="5"/>
      <c r="J4421" s="5"/>
      <c r="N4421" s="5"/>
      <c r="R4421" s="5"/>
    </row>
    <row r="4422" spans="2:18" x14ac:dyDescent="0.2">
      <c r="B4422" s="5"/>
      <c r="F4422" s="5"/>
      <c r="J4422" s="5"/>
      <c r="N4422" s="5"/>
      <c r="R4422" s="5"/>
    </row>
    <row r="4423" spans="2:18" x14ac:dyDescent="0.2">
      <c r="B4423" s="5"/>
      <c r="F4423" s="5"/>
      <c r="J4423" s="5"/>
      <c r="N4423" s="5"/>
      <c r="R4423" s="5"/>
    </row>
    <row r="4424" spans="2:18" x14ac:dyDescent="0.2">
      <c r="B4424" s="5"/>
      <c r="F4424" s="5"/>
      <c r="J4424" s="5"/>
      <c r="N4424" s="5"/>
      <c r="R4424" s="5"/>
    </row>
    <row r="4425" spans="2:18" x14ac:dyDescent="0.2">
      <c r="B4425" s="5"/>
      <c r="F4425" s="5"/>
      <c r="J4425" s="5"/>
      <c r="N4425" s="5"/>
      <c r="R4425" s="5"/>
    </row>
    <row r="4426" spans="2:18" x14ac:dyDescent="0.2">
      <c r="B4426" s="5"/>
      <c r="F4426" s="5"/>
      <c r="J4426" s="5"/>
      <c r="N4426" s="5"/>
      <c r="R4426" s="5"/>
    </row>
    <row r="4427" spans="2:18" x14ac:dyDescent="0.2">
      <c r="B4427" s="5"/>
      <c r="F4427" s="5"/>
      <c r="J4427" s="5"/>
      <c r="N4427" s="5"/>
      <c r="R4427" s="5"/>
    </row>
    <row r="4428" spans="2:18" x14ac:dyDescent="0.2">
      <c r="B4428" s="5"/>
      <c r="F4428" s="5"/>
      <c r="J4428" s="5"/>
      <c r="N4428" s="5"/>
      <c r="R4428" s="5"/>
    </row>
    <row r="4429" spans="2:18" x14ac:dyDescent="0.2">
      <c r="B4429" s="5"/>
      <c r="F4429" s="5"/>
      <c r="J4429" s="5"/>
      <c r="N4429" s="5"/>
      <c r="R4429" s="5"/>
    </row>
    <row r="4430" spans="2:18" x14ac:dyDescent="0.2">
      <c r="B4430" s="5"/>
      <c r="F4430" s="5"/>
      <c r="J4430" s="5"/>
      <c r="N4430" s="5"/>
      <c r="R4430" s="5"/>
    </row>
    <row r="4431" spans="2:18" x14ac:dyDescent="0.2">
      <c r="B4431" s="5"/>
      <c r="F4431" s="5"/>
      <c r="J4431" s="5"/>
      <c r="N4431" s="5"/>
      <c r="R4431" s="5"/>
    </row>
    <row r="4432" spans="2:18" x14ac:dyDescent="0.2">
      <c r="B4432" s="5"/>
      <c r="F4432" s="5"/>
      <c r="J4432" s="5"/>
      <c r="N4432" s="5"/>
      <c r="R4432" s="5"/>
    </row>
    <row r="4433" spans="2:18" x14ac:dyDescent="0.2">
      <c r="B4433" s="5"/>
      <c r="F4433" s="5"/>
      <c r="J4433" s="5"/>
      <c r="N4433" s="5"/>
      <c r="R4433" s="5"/>
    </row>
    <row r="4434" spans="2:18" x14ac:dyDescent="0.2">
      <c r="B4434" s="5"/>
      <c r="F4434" s="5"/>
      <c r="J4434" s="5"/>
      <c r="N4434" s="5"/>
      <c r="R4434" s="5"/>
    </row>
    <row r="4435" spans="2:18" x14ac:dyDescent="0.2">
      <c r="B4435" s="5"/>
      <c r="F4435" s="5"/>
      <c r="J4435" s="5"/>
      <c r="N4435" s="5"/>
      <c r="R4435" s="5"/>
    </row>
    <row r="4436" spans="2:18" x14ac:dyDescent="0.2">
      <c r="B4436" s="5"/>
      <c r="F4436" s="5"/>
      <c r="J4436" s="5"/>
      <c r="N4436" s="5"/>
      <c r="R4436" s="5"/>
    </row>
    <row r="4437" spans="2:18" x14ac:dyDescent="0.2">
      <c r="B4437" s="5"/>
      <c r="F4437" s="5"/>
      <c r="J4437" s="5"/>
      <c r="N4437" s="5"/>
      <c r="R4437" s="5"/>
    </row>
    <row r="4438" spans="2:18" x14ac:dyDescent="0.2">
      <c r="B4438" s="5"/>
      <c r="F4438" s="5"/>
      <c r="J4438" s="5"/>
      <c r="N4438" s="5"/>
      <c r="R4438" s="5"/>
    </row>
    <row r="4439" spans="2:18" x14ac:dyDescent="0.2">
      <c r="B4439" s="5"/>
      <c r="F4439" s="5"/>
      <c r="J4439" s="5"/>
      <c r="N4439" s="5"/>
      <c r="R4439" s="5"/>
    </row>
    <row r="4440" spans="2:18" x14ac:dyDescent="0.2">
      <c r="B4440" s="5"/>
      <c r="F4440" s="5"/>
      <c r="J4440" s="5"/>
      <c r="N4440" s="5"/>
      <c r="R4440" s="5"/>
    </row>
    <row r="4441" spans="2:18" x14ac:dyDescent="0.2">
      <c r="B4441" s="5"/>
      <c r="F4441" s="5"/>
      <c r="J4441" s="5"/>
      <c r="N4441" s="5"/>
      <c r="R4441" s="5"/>
    </row>
    <row r="4442" spans="2:18" x14ac:dyDescent="0.2">
      <c r="B4442" s="5"/>
      <c r="F4442" s="5"/>
      <c r="J4442" s="5"/>
      <c r="N4442" s="5"/>
      <c r="R4442" s="5"/>
    </row>
    <row r="4443" spans="2:18" x14ac:dyDescent="0.2">
      <c r="B4443" s="5"/>
      <c r="F4443" s="5"/>
      <c r="J4443" s="5"/>
      <c r="N4443" s="5"/>
      <c r="R4443" s="5"/>
    </row>
    <row r="4444" spans="2:18" x14ac:dyDescent="0.2">
      <c r="B4444" s="5"/>
      <c r="F4444" s="5"/>
      <c r="J4444" s="5"/>
      <c r="N4444" s="5"/>
      <c r="R4444" s="5"/>
    </row>
    <row r="4445" spans="2:18" x14ac:dyDescent="0.2">
      <c r="B4445" s="5"/>
      <c r="F4445" s="5"/>
      <c r="J4445" s="5"/>
      <c r="N4445" s="5"/>
      <c r="R4445" s="5"/>
    </row>
    <row r="4446" spans="2:18" x14ac:dyDescent="0.2">
      <c r="B4446" s="5"/>
      <c r="F4446" s="5"/>
      <c r="J4446" s="5"/>
      <c r="N4446" s="5"/>
      <c r="R4446" s="5"/>
    </row>
    <row r="4447" spans="2:18" x14ac:dyDescent="0.2">
      <c r="B4447" s="5"/>
      <c r="F4447" s="5"/>
      <c r="J4447" s="5"/>
      <c r="N4447" s="5"/>
      <c r="R4447" s="5"/>
    </row>
    <row r="4448" spans="2:18" x14ac:dyDescent="0.2">
      <c r="B4448" s="5"/>
      <c r="F4448" s="5"/>
      <c r="J4448" s="5"/>
      <c r="N4448" s="5"/>
      <c r="R4448" s="5"/>
    </row>
    <row r="4449" spans="2:18" x14ac:dyDescent="0.2">
      <c r="B4449" s="5"/>
      <c r="F4449" s="5"/>
      <c r="J4449" s="5"/>
      <c r="N4449" s="5"/>
      <c r="R4449" s="5"/>
    </row>
    <row r="4450" spans="2:18" x14ac:dyDescent="0.2">
      <c r="B4450" s="5"/>
      <c r="F4450" s="5"/>
      <c r="J4450" s="5"/>
      <c r="N4450" s="5"/>
      <c r="R4450" s="5"/>
    </row>
    <row r="4451" spans="2:18" x14ac:dyDescent="0.2">
      <c r="B4451" s="5"/>
      <c r="F4451" s="5"/>
      <c r="J4451" s="5"/>
      <c r="N4451" s="5"/>
      <c r="R4451" s="5"/>
    </row>
    <row r="4452" spans="2:18" x14ac:dyDescent="0.2">
      <c r="B4452" s="5"/>
      <c r="F4452" s="5"/>
      <c r="J4452" s="5"/>
      <c r="N4452" s="5"/>
      <c r="R4452" s="5"/>
    </row>
    <row r="4453" spans="2:18" x14ac:dyDescent="0.2">
      <c r="B4453" s="5"/>
      <c r="F4453" s="5"/>
      <c r="J4453" s="5"/>
      <c r="N4453" s="5"/>
      <c r="R4453" s="5"/>
    </row>
    <row r="4454" spans="2:18" x14ac:dyDescent="0.2">
      <c r="B4454" s="5"/>
      <c r="F4454" s="5"/>
      <c r="J4454" s="5"/>
      <c r="N4454" s="5"/>
      <c r="R4454" s="5"/>
    </row>
    <row r="4455" spans="2:18" x14ac:dyDescent="0.2">
      <c r="B4455" s="5"/>
      <c r="F4455" s="5"/>
      <c r="J4455" s="5"/>
      <c r="N4455" s="5"/>
      <c r="R4455" s="5"/>
    </row>
    <row r="4456" spans="2:18" x14ac:dyDescent="0.2">
      <c r="B4456" s="5"/>
      <c r="F4456" s="5"/>
      <c r="J4456" s="5"/>
      <c r="N4456" s="5"/>
      <c r="R4456" s="5"/>
    </row>
    <row r="4457" spans="2:18" x14ac:dyDescent="0.2">
      <c r="B4457" s="5"/>
      <c r="F4457" s="5"/>
      <c r="J4457" s="5"/>
      <c r="N4457" s="5"/>
      <c r="R4457" s="5"/>
    </row>
    <row r="4458" spans="2:18" x14ac:dyDescent="0.2">
      <c r="B4458" s="5"/>
      <c r="F4458" s="5"/>
      <c r="J4458" s="5"/>
      <c r="N4458" s="5"/>
      <c r="R4458" s="5"/>
    </row>
    <row r="4459" spans="2:18" x14ac:dyDescent="0.2">
      <c r="B4459" s="5"/>
      <c r="F4459" s="5"/>
      <c r="J4459" s="5"/>
      <c r="N4459" s="5"/>
      <c r="R4459" s="5"/>
    </row>
    <row r="4460" spans="2:18" x14ac:dyDescent="0.2">
      <c r="B4460" s="5"/>
      <c r="F4460" s="5"/>
      <c r="J4460" s="5"/>
      <c r="N4460" s="5"/>
      <c r="R4460" s="5"/>
    </row>
    <row r="4461" spans="2:18" x14ac:dyDescent="0.2">
      <c r="B4461" s="5"/>
      <c r="F4461" s="5"/>
      <c r="J4461" s="5"/>
      <c r="N4461" s="5"/>
      <c r="R4461" s="5"/>
    </row>
    <row r="4462" spans="2:18" x14ac:dyDescent="0.2">
      <c r="B4462" s="5"/>
      <c r="F4462" s="5"/>
      <c r="J4462" s="5"/>
      <c r="N4462" s="5"/>
      <c r="R4462" s="5"/>
    </row>
    <row r="4463" spans="2:18" x14ac:dyDescent="0.2">
      <c r="B4463" s="5"/>
      <c r="F4463" s="5"/>
      <c r="J4463" s="5"/>
      <c r="N4463" s="5"/>
      <c r="R4463" s="5"/>
    </row>
    <row r="4464" spans="2:18" x14ac:dyDescent="0.2">
      <c r="B4464" s="5"/>
      <c r="F4464" s="5"/>
      <c r="J4464" s="5"/>
      <c r="N4464" s="5"/>
      <c r="R4464" s="5"/>
    </row>
    <row r="4465" spans="2:18" x14ac:dyDescent="0.2">
      <c r="B4465" s="5"/>
      <c r="F4465" s="5"/>
      <c r="J4465" s="5"/>
      <c r="N4465" s="5"/>
      <c r="R4465" s="5"/>
    </row>
    <row r="4466" spans="2:18" x14ac:dyDescent="0.2">
      <c r="B4466" s="5"/>
      <c r="F4466" s="5"/>
      <c r="J4466" s="5"/>
      <c r="N4466" s="5"/>
      <c r="R4466" s="5"/>
    </row>
    <row r="4467" spans="2:18" x14ac:dyDescent="0.2">
      <c r="B4467" s="5"/>
      <c r="F4467" s="5"/>
      <c r="J4467" s="5"/>
      <c r="N4467" s="5"/>
      <c r="R4467" s="5"/>
    </row>
    <row r="4468" spans="2:18" x14ac:dyDescent="0.2">
      <c r="B4468" s="5"/>
      <c r="F4468" s="5"/>
      <c r="J4468" s="5"/>
      <c r="N4468" s="5"/>
      <c r="R4468" s="5"/>
    </row>
    <row r="4469" spans="2:18" x14ac:dyDescent="0.2">
      <c r="B4469" s="5"/>
      <c r="F4469" s="5"/>
      <c r="J4469" s="5"/>
      <c r="N4469" s="5"/>
      <c r="R4469" s="5"/>
    </row>
    <row r="4470" spans="2:18" x14ac:dyDescent="0.2">
      <c r="B4470" s="5"/>
      <c r="F4470" s="5"/>
      <c r="J4470" s="5"/>
      <c r="N4470" s="5"/>
      <c r="R4470" s="5"/>
    </row>
    <row r="4471" spans="2:18" x14ac:dyDescent="0.2">
      <c r="B4471" s="5"/>
      <c r="F4471" s="5"/>
      <c r="J4471" s="5"/>
      <c r="N4471" s="5"/>
      <c r="R4471" s="5"/>
    </row>
    <row r="4472" spans="2:18" x14ac:dyDescent="0.2">
      <c r="B4472" s="5"/>
      <c r="F4472" s="5"/>
      <c r="J4472" s="5"/>
      <c r="N4472" s="5"/>
      <c r="R4472" s="5"/>
    </row>
    <row r="4473" spans="2:18" x14ac:dyDescent="0.2">
      <c r="B4473" s="5"/>
      <c r="F4473" s="5"/>
      <c r="J4473" s="5"/>
      <c r="N4473" s="5"/>
      <c r="R4473" s="5"/>
    </row>
    <row r="4474" spans="2:18" x14ac:dyDescent="0.2">
      <c r="B4474" s="5"/>
      <c r="F4474" s="5"/>
      <c r="J4474" s="5"/>
      <c r="N4474" s="5"/>
      <c r="R4474" s="5"/>
    </row>
    <row r="4475" spans="2:18" x14ac:dyDescent="0.2">
      <c r="B4475" s="5"/>
      <c r="F4475" s="5"/>
      <c r="J4475" s="5"/>
      <c r="N4475" s="5"/>
      <c r="R4475" s="5"/>
    </row>
    <row r="4476" spans="2:18" x14ac:dyDescent="0.2">
      <c r="B4476" s="5"/>
      <c r="F4476" s="5"/>
      <c r="J4476" s="5"/>
      <c r="N4476" s="5"/>
      <c r="R4476" s="5"/>
    </row>
    <row r="4477" spans="2:18" x14ac:dyDescent="0.2">
      <c r="B4477" s="5"/>
      <c r="F4477" s="5"/>
      <c r="J4477" s="5"/>
      <c r="N4477" s="5"/>
      <c r="R4477" s="5"/>
    </row>
    <row r="4478" spans="2:18" x14ac:dyDescent="0.2">
      <c r="B4478" s="5"/>
      <c r="F4478" s="5"/>
      <c r="J4478" s="5"/>
      <c r="N4478" s="5"/>
      <c r="R4478" s="5"/>
    </row>
    <row r="4479" spans="2:18" x14ac:dyDescent="0.2">
      <c r="B4479" s="5"/>
      <c r="F4479" s="5"/>
      <c r="J4479" s="5"/>
      <c r="N4479" s="5"/>
      <c r="R4479" s="5"/>
    </row>
    <row r="4480" spans="2:18" x14ac:dyDescent="0.2">
      <c r="B4480" s="5"/>
      <c r="F4480" s="5"/>
      <c r="J4480" s="5"/>
      <c r="N4480" s="5"/>
      <c r="R4480" s="5"/>
    </row>
    <row r="4481" spans="2:18" x14ac:dyDescent="0.2">
      <c r="B4481" s="5"/>
      <c r="F4481" s="5"/>
      <c r="J4481" s="5"/>
      <c r="N4481" s="5"/>
      <c r="R4481" s="5"/>
    </row>
    <row r="4482" spans="2:18" x14ac:dyDescent="0.2">
      <c r="B4482" s="5"/>
      <c r="F4482" s="5"/>
      <c r="J4482" s="5"/>
      <c r="N4482" s="5"/>
      <c r="R4482" s="5"/>
    </row>
    <row r="4483" spans="2:18" x14ac:dyDescent="0.2">
      <c r="B4483" s="5"/>
      <c r="F4483" s="5"/>
      <c r="J4483" s="5"/>
      <c r="N4483" s="5"/>
      <c r="R4483" s="5"/>
    </row>
    <row r="4484" spans="2:18" x14ac:dyDescent="0.2">
      <c r="B4484" s="5"/>
      <c r="F4484" s="5"/>
      <c r="J4484" s="5"/>
      <c r="N4484" s="5"/>
      <c r="R4484" s="5"/>
    </row>
    <row r="4485" spans="2:18" x14ac:dyDescent="0.2">
      <c r="B4485" s="5"/>
      <c r="F4485" s="5"/>
      <c r="J4485" s="5"/>
      <c r="N4485" s="5"/>
      <c r="R4485" s="5"/>
    </row>
    <row r="4486" spans="2:18" x14ac:dyDescent="0.2">
      <c r="B4486" s="5"/>
      <c r="F4486" s="5"/>
      <c r="J4486" s="5"/>
      <c r="N4486" s="5"/>
      <c r="R4486" s="5"/>
    </row>
    <row r="4487" spans="2:18" x14ac:dyDescent="0.2">
      <c r="B4487" s="5"/>
      <c r="F4487" s="5"/>
      <c r="J4487" s="5"/>
      <c r="N4487" s="5"/>
      <c r="R4487" s="5"/>
    </row>
    <row r="4488" spans="2:18" x14ac:dyDescent="0.2">
      <c r="B4488" s="5"/>
      <c r="F4488" s="5"/>
      <c r="J4488" s="5"/>
      <c r="N4488" s="5"/>
      <c r="R4488" s="5"/>
    </row>
    <row r="4489" spans="2:18" x14ac:dyDescent="0.2">
      <c r="B4489" s="5"/>
      <c r="F4489" s="5"/>
      <c r="J4489" s="5"/>
      <c r="N4489" s="5"/>
      <c r="R4489" s="5"/>
    </row>
    <row r="4490" spans="2:18" x14ac:dyDescent="0.2">
      <c r="B4490" s="5"/>
      <c r="F4490" s="5"/>
      <c r="J4490" s="5"/>
      <c r="N4490" s="5"/>
      <c r="R4490" s="5"/>
    </row>
    <row r="4491" spans="2:18" x14ac:dyDescent="0.2">
      <c r="B4491" s="5"/>
      <c r="F4491" s="5"/>
      <c r="J4491" s="5"/>
      <c r="N4491" s="5"/>
      <c r="R4491" s="5"/>
    </row>
    <row r="4492" spans="2:18" x14ac:dyDescent="0.2">
      <c r="B4492" s="5"/>
      <c r="F4492" s="5"/>
      <c r="J4492" s="5"/>
      <c r="N4492" s="5"/>
      <c r="R4492" s="5"/>
    </row>
    <row r="4493" spans="2:18" x14ac:dyDescent="0.2">
      <c r="B4493" s="5"/>
      <c r="F4493" s="5"/>
      <c r="J4493" s="5"/>
      <c r="N4493" s="5"/>
      <c r="R4493" s="5"/>
    </row>
    <row r="4494" spans="2:18" x14ac:dyDescent="0.2">
      <c r="B4494" s="5"/>
      <c r="F4494" s="5"/>
      <c r="J4494" s="5"/>
      <c r="N4494" s="5"/>
      <c r="R4494" s="5"/>
    </row>
    <row r="4495" spans="2:18" x14ac:dyDescent="0.2">
      <c r="B4495" s="5"/>
      <c r="F4495" s="5"/>
      <c r="J4495" s="5"/>
      <c r="N4495" s="5"/>
      <c r="R4495" s="5"/>
    </row>
    <row r="4496" spans="2:18" x14ac:dyDescent="0.2">
      <c r="B4496" s="5"/>
      <c r="F4496" s="5"/>
      <c r="J4496" s="5"/>
      <c r="N4496" s="5"/>
      <c r="R4496" s="5"/>
    </row>
    <row r="4497" spans="2:18" x14ac:dyDescent="0.2">
      <c r="B4497" s="5"/>
      <c r="F4497" s="5"/>
      <c r="J4497" s="5"/>
      <c r="N4497" s="5"/>
      <c r="R4497" s="5"/>
    </row>
    <row r="4498" spans="2:18" x14ac:dyDescent="0.2">
      <c r="B4498" s="5"/>
      <c r="F4498" s="5"/>
      <c r="J4498" s="5"/>
      <c r="N4498" s="5"/>
      <c r="R4498" s="5"/>
    </row>
    <row r="4499" spans="2:18" x14ac:dyDescent="0.2">
      <c r="B4499" s="5"/>
      <c r="F4499" s="5"/>
      <c r="J4499" s="5"/>
      <c r="N4499" s="5"/>
      <c r="R4499" s="5"/>
    </row>
    <row r="4500" spans="2:18" x14ac:dyDescent="0.2">
      <c r="B4500" s="5"/>
      <c r="F4500" s="5"/>
      <c r="J4500" s="5"/>
      <c r="N4500" s="5"/>
      <c r="R4500" s="5"/>
    </row>
    <row r="4501" spans="2:18" x14ac:dyDescent="0.2">
      <c r="B4501" s="5"/>
      <c r="F4501" s="5"/>
      <c r="J4501" s="5"/>
      <c r="N4501" s="5"/>
      <c r="R4501" s="5"/>
    </row>
    <row r="4502" spans="2:18" x14ac:dyDescent="0.2">
      <c r="B4502" s="5"/>
      <c r="F4502" s="5"/>
      <c r="J4502" s="5"/>
      <c r="N4502" s="5"/>
      <c r="R4502" s="5"/>
    </row>
    <row r="4503" spans="2:18" x14ac:dyDescent="0.2">
      <c r="B4503" s="5"/>
      <c r="F4503" s="5"/>
      <c r="J4503" s="5"/>
      <c r="N4503" s="5"/>
      <c r="R4503" s="5"/>
    </row>
    <row r="4504" spans="2:18" x14ac:dyDescent="0.2">
      <c r="B4504" s="5"/>
      <c r="F4504" s="5"/>
      <c r="J4504" s="5"/>
      <c r="N4504" s="5"/>
      <c r="R4504" s="5"/>
    </row>
    <row r="4505" spans="2:18" x14ac:dyDescent="0.2">
      <c r="B4505" s="5"/>
      <c r="F4505" s="5"/>
      <c r="J4505" s="5"/>
      <c r="N4505" s="5"/>
      <c r="R4505" s="5"/>
    </row>
    <row r="4506" spans="2:18" x14ac:dyDescent="0.2">
      <c r="B4506" s="5"/>
      <c r="F4506" s="5"/>
      <c r="J4506" s="5"/>
      <c r="N4506" s="5"/>
      <c r="R4506" s="5"/>
    </row>
    <row r="4507" spans="2:18" x14ac:dyDescent="0.2">
      <c r="B4507" s="5"/>
      <c r="F4507" s="5"/>
      <c r="J4507" s="5"/>
      <c r="N4507" s="5"/>
      <c r="R4507" s="5"/>
    </row>
    <row r="4508" spans="2:18" x14ac:dyDescent="0.2">
      <c r="B4508" s="5"/>
      <c r="F4508" s="5"/>
      <c r="J4508" s="5"/>
      <c r="N4508" s="5"/>
      <c r="R4508" s="5"/>
    </row>
    <row r="4509" spans="2:18" x14ac:dyDescent="0.2">
      <c r="B4509" s="5"/>
      <c r="F4509" s="5"/>
      <c r="J4509" s="5"/>
      <c r="N4509" s="5"/>
      <c r="R4509" s="5"/>
    </row>
    <row r="4510" spans="2:18" x14ac:dyDescent="0.2">
      <c r="B4510" s="5"/>
      <c r="F4510" s="5"/>
      <c r="J4510" s="5"/>
      <c r="N4510" s="5"/>
      <c r="R4510" s="5"/>
    </row>
    <row r="4511" spans="2:18" x14ac:dyDescent="0.2">
      <c r="B4511" s="5"/>
      <c r="F4511" s="5"/>
      <c r="J4511" s="5"/>
      <c r="N4511" s="5"/>
      <c r="R4511" s="5"/>
    </row>
    <row r="4512" spans="2:18" x14ac:dyDescent="0.2">
      <c r="B4512" s="5"/>
      <c r="F4512" s="5"/>
      <c r="J4512" s="5"/>
      <c r="N4512" s="5"/>
      <c r="R4512" s="5"/>
    </row>
    <row r="4513" spans="2:18" x14ac:dyDescent="0.2">
      <c r="B4513" s="5"/>
      <c r="F4513" s="5"/>
      <c r="J4513" s="5"/>
      <c r="N4513" s="5"/>
      <c r="R4513" s="5"/>
    </row>
    <row r="4514" spans="2:18" x14ac:dyDescent="0.2">
      <c r="B4514" s="5"/>
      <c r="F4514" s="5"/>
      <c r="J4514" s="5"/>
      <c r="N4514" s="5"/>
      <c r="R4514" s="5"/>
    </row>
    <row r="4515" spans="2:18" x14ac:dyDescent="0.2">
      <c r="B4515" s="5"/>
      <c r="F4515" s="5"/>
      <c r="J4515" s="5"/>
      <c r="N4515" s="5"/>
      <c r="R4515" s="5"/>
    </row>
    <row r="4516" spans="2:18" x14ac:dyDescent="0.2">
      <c r="B4516" s="5"/>
      <c r="F4516" s="5"/>
      <c r="J4516" s="5"/>
      <c r="N4516" s="5"/>
      <c r="R4516" s="5"/>
    </row>
    <row r="4517" spans="2:18" x14ac:dyDescent="0.2">
      <c r="B4517" s="5"/>
      <c r="F4517" s="5"/>
      <c r="J4517" s="5"/>
      <c r="N4517" s="5"/>
      <c r="R4517" s="5"/>
    </row>
    <row r="4518" spans="2:18" x14ac:dyDescent="0.2">
      <c r="B4518" s="5"/>
      <c r="F4518" s="5"/>
      <c r="J4518" s="5"/>
      <c r="N4518" s="5"/>
      <c r="R4518" s="5"/>
    </row>
    <row r="4519" spans="2:18" x14ac:dyDescent="0.2">
      <c r="B4519" s="5"/>
      <c r="F4519" s="5"/>
      <c r="J4519" s="5"/>
      <c r="N4519" s="5"/>
      <c r="R4519" s="5"/>
    </row>
    <row r="4520" spans="2:18" x14ac:dyDescent="0.2">
      <c r="B4520" s="5"/>
      <c r="F4520" s="5"/>
      <c r="J4520" s="5"/>
      <c r="N4520" s="5"/>
      <c r="R4520" s="5"/>
    </row>
    <row r="4521" spans="2:18" x14ac:dyDescent="0.2">
      <c r="B4521" s="5"/>
      <c r="F4521" s="5"/>
      <c r="J4521" s="5"/>
      <c r="N4521" s="5"/>
      <c r="R4521" s="5"/>
    </row>
    <row r="4522" spans="2:18" x14ac:dyDescent="0.2">
      <c r="B4522" s="5"/>
      <c r="F4522" s="5"/>
      <c r="J4522" s="5"/>
      <c r="N4522" s="5"/>
      <c r="R4522" s="5"/>
    </row>
    <row r="4523" spans="2:18" x14ac:dyDescent="0.2">
      <c r="B4523" s="5"/>
      <c r="F4523" s="5"/>
      <c r="J4523" s="5"/>
      <c r="N4523" s="5"/>
      <c r="R4523" s="5"/>
    </row>
    <row r="4524" spans="2:18" x14ac:dyDescent="0.2">
      <c r="B4524" s="5"/>
      <c r="F4524" s="5"/>
      <c r="J4524" s="5"/>
      <c r="N4524" s="5"/>
      <c r="R4524" s="5"/>
    </row>
    <row r="4525" spans="2:18" x14ac:dyDescent="0.2">
      <c r="B4525" s="5"/>
      <c r="F4525" s="5"/>
      <c r="J4525" s="5"/>
      <c r="N4525" s="5"/>
      <c r="R4525" s="5"/>
    </row>
    <row r="4526" spans="2:18" x14ac:dyDescent="0.2">
      <c r="B4526" s="5"/>
      <c r="F4526" s="5"/>
      <c r="J4526" s="5"/>
      <c r="N4526" s="5"/>
      <c r="R4526" s="5"/>
    </row>
    <row r="4527" spans="2:18" x14ac:dyDescent="0.2">
      <c r="B4527" s="5"/>
      <c r="F4527" s="5"/>
      <c r="J4527" s="5"/>
      <c r="N4527" s="5"/>
      <c r="R4527" s="5"/>
    </row>
    <row r="4528" spans="2:18" x14ac:dyDescent="0.2">
      <c r="B4528" s="5"/>
      <c r="F4528" s="5"/>
      <c r="J4528" s="5"/>
      <c r="N4528" s="5"/>
      <c r="R4528" s="5"/>
    </row>
    <row r="4529" spans="2:18" x14ac:dyDescent="0.2">
      <c r="B4529" s="5"/>
      <c r="F4529" s="5"/>
      <c r="J4529" s="5"/>
      <c r="N4529" s="5"/>
      <c r="R4529" s="5"/>
    </row>
    <row r="4530" spans="2:18" x14ac:dyDescent="0.2">
      <c r="B4530" s="5"/>
      <c r="F4530" s="5"/>
      <c r="J4530" s="5"/>
      <c r="N4530" s="5"/>
      <c r="R4530" s="5"/>
    </row>
    <row r="4531" spans="2:18" x14ac:dyDescent="0.2">
      <c r="B4531" s="5"/>
      <c r="F4531" s="5"/>
      <c r="J4531" s="5"/>
      <c r="N4531" s="5"/>
      <c r="R4531" s="5"/>
    </row>
    <row r="4532" spans="2:18" x14ac:dyDescent="0.2">
      <c r="B4532" s="5"/>
      <c r="F4532" s="5"/>
      <c r="J4532" s="5"/>
      <c r="N4532" s="5"/>
      <c r="R4532" s="5"/>
    </row>
    <row r="4533" spans="2:18" x14ac:dyDescent="0.2">
      <c r="B4533" s="5"/>
      <c r="F4533" s="5"/>
      <c r="J4533" s="5"/>
      <c r="N4533" s="5"/>
      <c r="R4533" s="5"/>
    </row>
    <row r="4534" spans="2:18" x14ac:dyDescent="0.2">
      <c r="B4534" s="5"/>
      <c r="F4534" s="5"/>
      <c r="J4534" s="5"/>
      <c r="N4534" s="5"/>
      <c r="R4534" s="5"/>
    </row>
    <row r="4535" spans="2:18" x14ac:dyDescent="0.2">
      <c r="B4535" s="5"/>
      <c r="F4535" s="5"/>
      <c r="J4535" s="5"/>
      <c r="N4535" s="5"/>
      <c r="R4535" s="5"/>
    </row>
    <row r="4536" spans="2:18" x14ac:dyDescent="0.2">
      <c r="B4536" s="5"/>
      <c r="F4536" s="5"/>
      <c r="J4536" s="5"/>
      <c r="N4536" s="5"/>
      <c r="R4536" s="5"/>
    </row>
    <row r="4537" spans="2:18" x14ac:dyDescent="0.2">
      <c r="B4537" s="5"/>
      <c r="F4537" s="5"/>
      <c r="J4537" s="5"/>
      <c r="N4537" s="5"/>
      <c r="R4537" s="5"/>
    </row>
    <row r="4538" spans="2:18" x14ac:dyDescent="0.2">
      <c r="B4538" s="5"/>
      <c r="F4538" s="5"/>
      <c r="J4538" s="5"/>
      <c r="N4538" s="5"/>
      <c r="R4538" s="5"/>
    </row>
    <row r="4539" spans="2:18" x14ac:dyDescent="0.2">
      <c r="B4539" s="5"/>
      <c r="F4539" s="5"/>
      <c r="J4539" s="5"/>
      <c r="N4539" s="5"/>
      <c r="R4539" s="5"/>
    </row>
    <row r="4540" spans="2:18" x14ac:dyDescent="0.2">
      <c r="B4540" s="5"/>
      <c r="F4540" s="5"/>
      <c r="J4540" s="5"/>
      <c r="N4540" s="5"/>
      <c r="R4540" s="5"/>
    </row>
    <row r="4541" spans="2:18" x14ac:dyDescent="0.2">
      <c r="B4541" s="5"/>
      <c r="F4541" s="5"/>
      <c r="J4541" s="5"/>
      <c r="N4541" s="5"/>
      <c r="R4541" s="5"/>
    </row>
    <row r="4542" spans="2:18" x14ac:dyDescent="0.2">
      <c r="B4542" s="5"/>
      <c r="F4542" s="5"/>
      <c r="J4542" s="5"/>
      <c r="N4542" s="5"/>
      <c r="R4542" s="5"/>
    </row>
    <row r="4543" spans="2:18" x14ac:dyDescent="0.2">
      <c r="B4543" s="5"/>
      <c r="F4543" s="5"/>
      <c r="J4543" s="5"/>
      <c r="N4543" s="5"/>
      <c r="R4543" s="5"/>
    </row>
    <row r="4544" spans="2:18" x14ac:dyDescent="0.2">
      <c r="B4544" s="5"/>
      <c r="F4544" s="5"/>
      <c r="J4544" s="5"/>
      <c r="N4544" s="5"/>
      <c r="R4544" s="5"/>
    </row>
    <row r="4545" spans="2:18" x14ac:dyDescent="0.2">
      <c r="B4545" s="5"/>
      <c r="F4545" s="5"/>
      <c r="J4545" s="5"/>
      <c r="N4545" s="5"/>
      <c r="R4545" s="5"/>
    </row>
    <row r="4546" spans="2:18" x14ac:dyDescent="0.2">
      <c r="B4546" s="5"/>
      <c r="F4546" s="5"/>
      <c r="J4546" s="5"/>
      <c r="N4546" s="5"/>
      <c r="R4546" s="5"/>
    </row>
    <row r="4547" spans="2:18" x14ac:dyDescent="0.2">
      <c r="B4547" s="5"/>
      <c r="F4547" s="5"/>
      <c r="J4547" s="5"/>
      <c r="N4547" s="5"/>
      <c r="R4547" s="5"/>
    </row>
    <row r="4548" spans="2:18" x14ac:dyDescent="0.2">
      <c r="B4548" s="5"/>
      <c r="F4548" s="5"/>
      <c r="J4548" s="5"/>
      <c r="N4548" s="5"/>
      <c r="R4548" s="5"/>
    </row>
    <row r="4549" spans="2:18" x14ac:dyDescent="0.2">
      <c r="B4549" s="5"/>
      <c r="F4549" s="5"/>
      <c r="J4549" s="5"/>
      <c r="N4549" s="5"/>
      <c r="R4549" s="5"/>
    </row>
    <row r="4550" spans="2:18" x14ac:dyDescent="0.2">
      <c r="B4550" s="5"/>
      <c r="F4550" s="5"/>
      <c r="J4550" s="5"/>
      <c r="N4550" s="5"/>
      <c r="R4550" s="5"/>
    </row>
    <row r="4551" spans="2:18" x14ac:dyDescent="0.2">
      <c r="B4551" s="5"/>
      <c r="F4551" s="5"/>
      <c r="J4551" s="5"/>
      <c r="N4551" s="5"/>
      <c r="R4551" s="5"/>
    </row>
    <row r="4552" spans="2:18" x14ac:dyDescent="0.2">
      <c r="B4552" s="5"/>
      <c r="F4552" s="5"/>
      <c r="J4552" s="5"/>
      <c r="N4552" s="5"/>
      <c r="R4552" s="5"/>
    </row>
    <row r="4553" spans="2:18" x14ac:dyDescent="0.2">
      <c r="B4553" s="5"/>
      <c r="F4553" s="5"/>
      <c r="J4553" s="5"/>
      <c r="N4553" s="5"/>
      <c r="R4553" s="5"/>
    </row>
    <row r="4554" spans="2:18" x14ac:dyDescent="0.2">
      <c r="B4554" s="5"/>
      <c r="F4554" s="5"/>
      <c r="J4554" s="5"/>
      <c r="N4554" s="5"/>
      <c r="R4554" s="5"/>
    </row>
    <row r="4555" spans="2:18" x14ac:dyDescent="0.2">
      <c r="B4555" s="5"/>
      <c r="F4555" s="5"/>
      <c r="J4555" s="5"/>
      <c r="N4555" s="5"/>
      <c r="R4555" s="5"/>
    </row>
    <row r="4556" spans="2:18" x14ac:dyDescent="0.2">
      <c r="B4556" s="5"/>
      <c r="F4556" s="5"/>
      <c r="J4556" s="5"/>
      <c r="N4556" s="5"/>
      <c r="R4556" s="5"/>
    </row>
    <row r="4557" spans="2:18" x14ac:dyDescent="0.2">
      <c r="B4557" s="5"/>
      <c r="F4557" s="5"/>
      <c r="J4557" s="5"/>
      <c r="N4557" s="5"/>
      <c r="R4557" s="5"/>
    </row>
    <row r="4558" spans="2:18" x14ac:dyDescent="0.2">
      <c r="B4558" s="5"/>
      <c r="F4558" s="5"/>
      <c r="J4558" s="5"/>
      <c r="N4558" s="5"/>
      <c r="R4558" s="5"/>
    </row>
    <row r="4559" spans="2:18" x14ac:dyDescent="0.2">
      <c r="B4559" s="5"/>
      <c r="F4559" s="5"/>
      <c r="J4559" s="5"/>
      <c r="N4559" s="5"/>
      <c r="R4559" s="5"/>
    </row>
    <row r="4560" spans="2:18" x14ac:dyDescent="0.2">
      <c r="B4560" s="5"/>
      <c r="F4560" s="5"/>
      <c r="J4560" s="5"/>
      <c r="N4560" s="5"/>
      <c r="R4560" s="5"/>
    </row>
    <row r="4561" spans="2:18" x14ac:dyDescent="0.2">
      <c r="B4561" s="5"/>
      <c r="F4561" s="5"/>
      <c r="J4561" s="5"/>
      <c r="N4561" s="5"/>
      <c r="R4561" s="5"/>
    </row>
    <row r="4562" spans="2:18" x14ac:dyDescent="0.2">
      <c r="B4562" s="5"/>
      <c r="F4562" s="5"/>
      <c r="J4562" s="5"/>
      <c r="N4562" s="5"/>
      <c r="R4562" s="5"/>
    </row>
    <row r="4563" spans="2:18" x14ac:dyDescent="0.2">
      <c r="B4563" s="5"/>
      <c r="F4563" s="5"/>
      <c r="J4563" s="5"/>
      <c r="N4563" s="5"/>
      <c r="R4563" s="5"/>
    </row>
    <row r="4564" spans="2:18" x14ac:dyDescent="0.2">
      <c r="B4564" s="5"/>
      <c r="F4564" s="5"/>
      <c r="J4564" s="5"/>
      <c r="N4564" s="5"/>
      <c r="R4564" s="5"/>
    </row>
    <row r="4565" spans="2:18" x14ac:dyDescent="0.2">
      <c r="B4565" s="5"/>
      <c r="F4565" s="5"/>
      <c r="J4565" s="5"/>
      <c r="N4565" s="5"/>
      <c r="R4565" s="5"/>
    </row>
    <row r="4566" spans="2:18" x14ac:dyDescent="0.2">
      <c r="B4566" s="5"/>
      <c r="F4566" s="5"/>
      <c r="J4566" s="5"/>
      <c r="N4566" s="5"/>
      <c r="R4566" s="5"/>
    </row>
    <row r="4567" spans="2:18" x14ac:dyDescent="0.2">
      <c r="B4567" s="5"/>
      <c r="F4567" s="5"/>
      <c r="J4567" s="5"/>
      <c r="N4567" s="5"/>
      <c r="R4567" s="5"/>
    </row>
    <row r="4568" spans="2:18" x14ac:dyDescent="0.2">
      <c r="B4568" s="5"/>
      <c r="F4568" s="5"/>
      <c r="J4568" s="5"/>
      <c r="N4568" s="5"/>
      <c r="R4568" s="5"/>
    </row>
    <row r="4569" spans="2:18" x14ac:dyDescent="0.2">
      <c r="B4569" s="5"/>
      <c r="F4569" s="5"/>
      <c r="J4569" s="5"/>
      <c r="N4569" s="5"/>
      <c r="R4569" s="5"/>
    </row>
    <row r="4570" spans="2:18" x14ac:dyDescent="0.2">
      <c r="B4570" s="5"/>
      <c r="F4570" s="5"/>
      <c r="J4570" s="5"/>
      <c r="N4570" s="5"/>
      <c r="R4570" s="5"/>
    </row>
    <row r="4571" spans="2:18" x14ac:dyDescent="0.2">
      <c r="B4571" s="5"/>
      <c r="F4571" s="5"/>
      <c r="J4571" s="5"/>
      <c r="N4571" s="5"/>
      <c r="R4571" s="5"/>
    </row>
    <row r="4572" spans="2:18" x14ac:dyDescent="0.2">
      <c r="B4572" s="5"/>
      <c r="F4572" s="5"/>
      <c r="J4572" s="5"/>
      <c r="N4572" s="5"/>
      <c r="R4572" s="5"/>
    </row>
    <row r="4573" spans="2:18" x14ac:dyDescent="0.2">
      <c r="B4573" s="5"/>
      <c r="F4573" s="5"/>
      <c r="J4573" s="5"/>
      <c r="N4573" s="5"/>
      <c r="R4573" s="5"/>
    </row>
    <row r="4574" spans="2:18" x14ac:dyDescent="0.2">
      <c r="B4574" s="5"/>
      <c r="F4574" s="5"/>
      <c r="J4574" s="5"/>
      <c r="N4574" s="5"/>
      <c r="R4574" s="5"/>
    </row>
    <row r="4575" spans="2:18" x14ac:dyDescent="0.2">
      <c r="B4575" s="5"/>
      <c r="F4575" s="5"/>
      <c r="J4575" s="5"/>
      <c r="N4575" s="5"/>
      <c r="R4575" s="5"/>
    </row>
    <row r="4576" spans="2:18" x14ac:dyDescent="0.2">
      <c r="B4576" s="5"/>
      <c r="F4576" s="5"/>
      <c r="J4576" s="5"/>
      <c r="N4576" s="5"/>
      <c r="R4576" s="5"/>
    </row>
    <row r="4577" spans="2:18" x14ac:dyDescent="0.2">
      <c r="B4577" s="5"/>
      <c r="F4577" s="5"/>
      <c r="J4577" s="5"/>
      <c r="N4577" s="5"/>
      <c r="R4577" s="5"/>
    </row>
    <row r="4578" spans="2:18" x14ac:dyDescent="0.2">
      <c r="B4578" s="5"/>
      <c r="F4578" s="5"/>
      <c r="J4578" s="5"/>
      <c r="N4578" s="5"/>
      <c r="R4578" s="5"/>
    </row>
    <row r="4579" spans="2:18" x14ac:dyDescent="0.2">
      <c r="B4579" s="5"/>
      <c r="F4579" s="5"/>
      <c r="J4579" s="5"/>
      <c r="N4579" s="5"/>
      <c r="R4579" s="5"/>
    </row>
    <row r="4580" spans="2:18" x14ac:dyDescent="0.2">
      <c r="B4580" s="5"/>
      <c r="F4580" s="5"/>
      <c r="J4580" s="5"/>
      <c r="N4580" s="5"/>
      <c r="R4580" s="5"/>
    </row>
    <row r="4581" spans="2:18" x14ac:dyDescent="0.2">
      <c r="B4581" s="5"/>
      <c r="F4581" s="5"/>
      <c r="J4581" s="5"/>
      <c r="N4581" s="5"/>
      <c r="R4581" s="5"/>
    </row>
    <row r="4582" spans="2:18" x14ac:dyDescent="0.2">
      <c r="B4582" s="5"/>
      <c r="F4582" s="5"/>
      <c r="J4582" s="5"/>
      <c r="N4582" s="5"/>
      <c r="R4582" s="5"/>
    </row>
    <row r="4583" spans="2:18" x14ac:dyDescent="0.2">
      <c r="B4583" s="5"/>
      <c r="F4583" s="5"/>
      <c r="J4583" s="5"/>
      <c r="N4583" s="5"/>
      <c r="R4583" s="5"/>
    </row>
    <row r="4584" spans="2:18" x14ac:dyDescent="0.2">
      <c r="B4584" s="5"/>
      <c r="F4584" s="5"/>
      <c r="J4584" s="5"/>
      <c r="N4584" s="5"/>
      <c r="R4584" s="5"/>
    </row>
    <row r="4585" spans="2:18" x14ac:dyDescent="0.2">
      <c r="B4585" s="5"/>
      <c r="F4585" s="5"/>
      <c r="J4585" s="5"/>
      <c r="N4585" s="5"/>
      <c r="R4585" s="5"/>
    </row>
    <row r="4586" spans="2:18" x14ac:dyDescent="0.2">
      <c r="B4586" s="5"/>
      <c r="F4586" s="5"/>
      <c r="J4586" s="5"/>
      <c r="N4586" s="5"/>
      <c r="R4586" s="5"/>
    </row>
    <row r="4587" spans="2:18" x14ac:dyDescent="0.2">
      <c r="B4587" s="5"/>
      <c r="F4587" s="5"/>
      <c r="J4587" s="5"/>
      <c r="N4587" s="5"/>
      <c r="R4587" s="5"/>
    </row>
    <row r="4588" spans="2:18" x14ac:dyDescent="0.2">
      <c r="B4588" s="5"/>
      <c r="F4588" s="5"/>
      <c r="J4588" s="5"/>
      <c r="N4588" s="5"/>
      <c r="R4588" s="5"/>
    </row>
    <row r="4589" spans="2:18" x14ac:dyDescent="0.2">
      <c r="B4589" s="5"/>
      <c r="F4589" s="5"/>
      <c r="J4589" s="5"/>
      <c r="N4589" s="5"/>
      <c r="R4589" s="5"/>
    </row>
    <row r="4590" spans="2:18" x14ac:dyDescent="0.2">
      <c r="B4590" s="5"/>
      <c r="F4590" s="5"/>
      <c r="J4590" s="5"/>
      <c r="N4590" s="5"/>
      <c r="R4590" s="5"/>
    </row>
    <row r="4591" spans="2:18" x14ac:dyDescent="0.2">
      <c r="B4591" s="5"/>
      <c r="F4591" s="5"/>
      <c r="J4591" s="5"/>
      <c r="N4591" s="5"/>
      <c r="R4591" s="5"/>
    </row>
    <row r="4592" spans="2:18" x14ac:dyDescent="0.2">
      <c r="B4592" s="5"/>
      <c r="F4592" s="5"/>
      <c r="J4592" s="5"/>
      <c r="N4592" s="5"/>
      <c r="R4592" s="5"/>
    </row>
    <row r="4593" spans="2:18" x14ac:dyDescent="0.2">
      <c r="B4593" s="5"/>
      <c r="F4593" s="5"/>
      <c r="J4593" s="5"/>
      <c r="N4593" s="5"/>
      <c r="R4593" s="5"/>
    </row>
    <row r="4594" spans="2:18" x14ac:dyDescent="0.2">
      <c r="B4594" s="5"/>
      <c r="F4594" s="5"/>
      <c r="J4594" s="5"/>
      <c r="N4594" s="5"/>
      <c r="R4594" s="5"/>
    </row>
    <row r="4595" spans="2:18" x14ac:dyDescent="0.2">
      <c r="B4595" s="5"/>
      <c r="F4595" s="5"/>
      <c r="J4595" s="5"/>
      <c r="N4595" s="5"/>
      <c r="R4595" s="5"/>
    </row>
    <row r="4596" spans="2:18" x14ac:dyDescent="0.2">
      <c r="B4596" s="5"/>
      <c r="F4596" s="5"/>
      <c r="J4596" s="5"/>
      <c r="N4596" s="5"/>
      <c r="R4596" s="5"/>
    </row>
    <row r="4597" spans="2:18" x14ac:dyDescent="0.2">
      <c r="B4597" s="5"/>
      <c r="F4597" s="5"/>
      <c r="J4597" s="5"/>
      <c r="N4597" s="5"/>
      <c r="R4597" s="5"/>
    </row>
    <row r="4598" spans="2:18" x14ac:dyDescent="0.2">
      <c r="B4598" s="5"/>
      <c r="F4598" s="5"/>
      <c r="J4598" s="5"/>
      <c r="N4598" s="5"/>
      <c r="R4598" s="5"/>
    </row>
    <row r="4599" spans="2:18" x14ac:dyDescent="0.2">
      <c r="B4599" s="5"/>
      <c r="F4599" s="5"/>
      <c r="J4599" s="5"/>
      <c r="N4599" s="5"/>
      <c r="R4599" s="5"/>
    </row>
    <row r="4600" spans="2:18" x14ac:dyDescent="0.2">
      <c r="B4600" s="5"/>
      <c r="F4600" s="5"/>
      <c r="J4600" s="5"/>
      <c r="N4600" s="5"/>
      <c r="R4600" s="5"/>
    </row>
    <row r="4601" spans="2:18" x14ac:dyDescent="0.2">
      <c r="B4601" s="5"/>
      <c r="F4601" s="5"/>
      <c r="J4601" s="5"/>
      <c r="N4601" s="5"/>
      <c r="R4601" s="5"/>
    </row>
    <row r="4602" spans="2:18" x14ac:dyDescent="0.2">
      <c r="B4602" s="5"/>
      <c r="F4602" s="5"/>
      <c r="J4602" s="5"/>
      <c r="N4602" s="5"/>
      <c r="R4602" s="5"/>
    </row>
    <row r="4603" spans="2:18" x14ac:dyDescent="0.2">
      <c r="B4603" s="5"/>
      <c r="F4603" s="5"/>
      <c r="J4603" s="5"/>
      <c r="N4603" s="5"/>
      <c r="R4603" s="5"/>
    </row>
    <row r="4604" spans="2:18" x14ac:dyDescent="0.2">
      <c r="B4604" s="5"/>
      <c r="F4604" s="5"/>
      <c r="J4604" s="5"/>
      <c r="N4604" s="5"/>
      <c r="R4604" s="5"/>
    </row>
    <row r="4605" spans="2:18" x14ac:dyDescent="0.2">
      <c r="B4605" s="5"/>
      <c r="F4605" s="5"/>
      <c r="J4605" s="5"/>
      <c r="N4605" s="5"/>
      <c r="R4605" s="5"/>
    </row>
    <row r="4606" spans="2:18" x14ac:dyDescent="0.2">
      <c r="B4606" s="5"/>
      <c r="F4606" s="5"/>
      <c r="J4606" s="5"/>
      <c r="N4606" s="5"/>
      <c r="R4606" s="5"/>
    </row>
    <row r="4607" spans="2:18" x14ac:dyDescent="0.2">
      <c r="B4607" s="5"/>
      <c r="F4607" s="5"/>
      <c r="J4607" s="5"/>
      <c r="N4607" s="5"/>
      <c r="R4607" s="5"/>
    </row>
    <row r="4608" spans="2:18" x14ac:dyDescent="0.2">
      <c r="B4608" s="5"/>
      <c r="F4608" s="5"/>
      <c r="J4608" s="5"/>
      <c r="N4608" s="5"/>
      <c r="R4608" s="5"/>
    </row>
    <row r="4609" spans="2:18" x14ac:dyDescent="0.2">
      <c r="B4609" s="5"/>
      <c r="F4609" s="5"/>
      <c r="J4609" s="5"/>
      <c r="N4609" s="5"/>
      <c r="R4609" s="5"/>
    </row>
    <row r="4610" spans="2:18" x14ac:dyDescent="0.2">
      <c r="B4610" s="5"/>
      <c r="F4610" s="5"/>
      <c r="J4610" s="5"/>
      <c r="N4610" s="5"/>
      <c r="R4610" s="5"/>
    </row>
    <row r="4611" spans="2:18" x14ac:dyDescent="0.2">
      <c r="B4611" s="5"/>
      <c r="F4611" s="5"/>
      <c r="J4611" s="5"/>
      <c r="N4611" s="5"/>
      <c r="R4611" s="5"/>
    </row>
    <row r="4612" spans="2:18" x14ac:dyDescent="0.2">
      <c r="B4612" s="5"/>
      <c r="F4612" s="5"/>
      <c r="J4612" s="5"/>
      <c r="N4612" s="5"/>
      <c r="R4612" s="5"/>
    </row>
    <row r="4613" spans="2:18" x14ac:dyDescent="0.2">
      <c r="B4613" s="5"/>
      <c r="F4613" s="5"/>
      <c r="J4613" s="5"/>
      <c r="N4613" s="5"/>
      <c r="R4613" s="5"/>
    </row>
    <row r="4614" spans="2:18" x14ac:dyDescent="0.2">
      <c r="B4614" s="5"/>
      <c r="F4614" s="5"/>
      <c r="J4614" s="5"/>
      <c r="N4614" s="5"/>
      <c r="R4614" s="5"/>
    </row>
    <row r="4615" spans="2:18" x14ac:dyDescent="0.2">
      <c r="B4615" s="5"/>
      <c r="F4615" s="5"/>
      <c r="J4615" s="5"/>
      <c r="N4615" s="5"/>
      <c r="R4615" s="5"/>
    </row>
    <row r="4616" spans="2:18" x14ac:dyDescent="0.2">
      <c r="B4616" s="5"/>
      <c r="F4616" s="5"/>
      <c r="J4616" s="5"/>
      <c r="N4616" s="5"/>
      <c r="R4616" s="5"/>
    </row>
    <row r="4617" spans="2:18" x14ac:dyDescent="0.2">
      <c r="B4617" s="5"/>
      <c r="F4617" s="5"/>
      <c r="J4617" s="5"/>
      <c r="N4617" s="5"/>
      <c r="R4617" s="5"/>
    </row>
    <row r="4618" spans="2:18" x14ac:dyDescent="0.2">
      <c r="B4618" s="5"/>
      <c r="F4618" s="5"/>
      <c r="J4618" s="5"/>
      <c r="N4618" s="5"/>
      <c r="R4618" s="5"/>
    </row>
    <row r="4619" spans="2:18" x14ac:dyDescent="0.2">
      <c r="B4619" s="5"/>
      <c r="F4619" s="5"/>
      <c r="J4619" s="5"/>
      <c r="N4619" s="5"/>
      <c r="R4619" s="5"/>
    </row>
    <row r="4620" spans="2:18" x14ac:dyDescent="0.2">
      <c r="B4620" s="5"/>
      <c r="F4620" s="5"/>
      <c r="J4620" s="5"/>
      <c r="N4620" s="5"/>
      <c r="R4620" s="5"/>
    </row>
    <row r="4621" spans="2:18" x14ac:dyDescent="0.2">
      <c r="B4621" s="5"/>
      <c r="F4621" s="5"/>
      <c r="J4621" s="5"/>
      <c r="N4621" s="5"/>
      <c r="R4621" s="5"/>
    </row>
    <row r="4622" spans="2:18" x14ac:dyDescent="0.2">
      <c r="B4622" s="5"/>
      <c r="F4622" s="5"/>
      <c r="J4622" s="5"/>
      <c r="N4622" s="5"/>
      <c r="R4622" s="5"/>
    </row>
    <row r="4623" spans="2:18" x14ac:dyDescent="0.2">
      <c r="B4623" s="5"/>
      <c r="F4623" s="5"/>
      <c r="J4623" s="5"/>
      <c r="N4623" s="5"/>
      <c r="R4623" s="5"/>
    </row>
    <row r="4624" spans="2:18" x14ac:dyDescent="0.2">
      <c r="B4624" s="5"/>
      <c r="F4624" s="5"/>
      <c r="J4624" s="5"/>
      <c r="N4624" s="5"/>
      <c r="R4624" s="5"/>
    </row>
    <row r="4625" spans="2:18" x14ac:dyDescent="0.2">
      <c r="B4625" s="5"/>
      <c r="F4625" s="5"/>
      <c r="J4625" s="5"/>
      <c r="N4625" s="5"/>
      <c r="R4625" s="5"/>
    </row>
    <row r="4626" spans="2:18" x14ac:dyDescent="0.2">
      <c r="B4626" s="5"/>
      <c r="F4626" s="5"/>
      <c r="J4626" s="5"/>
      <c r="N4626" s="5"/>
      <c r="R4626" s="5"/>
    </row>
    <row r="4627" spans="2:18" x14ac:dyDescent="0.2">
      <c r="B4627" s="5"/>
      <c r="F4627" s="5"/>
      <c r="J4627" s="5"/>
      <c r="N4627" s="5"/>
      <c r="R4627" s="5"/>
    </row>
    <row r="4628" spans="2:18" x14ac:dyDescent="0.2">
      <c r="B4628" s="5"/>
      <c r="F4628" s="5"/>
      <c r="J4628" s="5"/>
      <c r="N4628" s="5"/>
      <c r="R4628" s="5"/>
    </row>
    <row r="4629" spans="2:18" x14ac:dyDescent="0.2">
      <c r="B4629" s="5"/>
      <c r="F4629" s="5"/>
      <c r="J4629" s="5"/>
      <c r="N4629" s="5"/>
      <c r="R4629" s="5"/>
    </row>
    <row r="4630" spans="2:18" x14ac:dyDescent="0.2">
      <c r="B4630" s="5"/>
      <c r="F4630" s="5"/>
      <c r="J4630" s="5"/>
      <c r="N4630" s="5"/>
      <c r="R4630" s="5"/>
    </row>
    <row r="4631" spans="2:18" x14ac:dyDescent="0.2">
      <c r="B4631" s="5"/>
      <c r="F4631" s="5"/>
      <c r="J4631" s="5"/>
      <c r="N4631" s="5"/>
      <c r="R4631" s="5"/>
    </row>
    <row r="4632" spans="2:18" x14ac:dyDescent="0.2">
      <c r="B4632" s="5"/>
      <c r="F4632" s="5"/>
      <c r="J4632" s="5"/>
      <c r="N4632" s="5"/>
      <c r="R4632" s="5"/>
    </row>
    <row r="4633" spans="2:18" x14ac:dyDescent="0.2">
      <c r="B4633" s="5"/>
      <c r="F4633" s="5"/>
      <c r="J4633" s="5"/>
      <c r="N4633" s="5"/>
      <c r="R4633" s="5"/>
    </row>
    <row r="4634" spans="2:18" x14ac:dyDescent="0.2">
      <c r="B4634" s="5"/>
      <c r="F4634" s="5"/>
      <c r="J4634" s="5"/>
      <c r="N4634" s="5"/>
      <c r="R4634" s="5"/>
    </row>
    <row r="4635" spans="2:18" x14ac:dyDescent="0.2">
      <c r="B4635" s="5"/>
      <c r="F4635" s="5"/>
      <c r="J4635" s="5"/>
      <c r="N4635" s="5"/>
      <c r="R4635" s="5"/>
    </row>
    <row r="4636" spans="2:18" x14ac:dyDescent="0.2">
      <c r="B4636" s="5"/>
      <c r="F4636" s="5"/>
      <c r="J4636" s="5"/>
      <c r="N4636" s="5"/>
      <c r="R4636" s="5"/>
    </row>
    <row r="4637" spans="2:18" x14ac:dyDescent="0.2">
      <c r="B4637" s="5"/>
      <c r="F4637" s="5"/>
      <c r="J4637" s="5"/>
      <c r="N4637" s="5"/>
      <c r="R4637" s="5"/>
    </row>
    <row r="4638" spans="2:18" x14ac:dyDescent="0.2">
      <c r="B4638" s="5"/>
      <c r="F4638" s="5"/>
      <c r="J4638" s="5"/>
      <c r="N4638" s="5"/>
      <c r="R4638" s="5"/>
    </row>
    <row r="4639" spans="2:18" x14ac:dyDescent="0.2">
      <c r="B4639" s="5"/>
      <c r="F4639" s="5"/>
      <c r="J4639" s="5"/>
      <c r="N4639" s="5"/>
      <c r="R4639" s="5"/>
    </row>
    <row r="4640" spans="2:18" x14ac:dyDescent="0.2">
      <c r="B4640" s="5"/>
      <c r="F4640" s="5"/>
      <c r="J4640" s="5"/>
      <c r="N4640" s="5"/>
      <c r="R4640" s="5"/>
    </row>
    <row r="4641" spans="2:18" x14ac:dyDescent="0.2">
      <c r="B4641" s="5"/>
      <c r="F4641" s="5"/>
      <c r="J4641" s="5"/>
      <c r="N4641" s="5"/>
      <c r="R4641" s="5"/>
    </row>
    <row r="4642" spans="2:18" x14ac:dyDescent="0.2">
      <c r="B4642" s="5"/>
      <c r="F4642" s="5"/>
      <c r="J4642" s="5"/>
      <c r="N4642" s="5"/>
      <c r="R4642" s="5"/>
    </row>
    <row r="4643" spans="2:18" x14ac:dyDescent="0.2">
      <c r="B4643" s="5"/>
      <c r="F4643" s="5"/>
      <c r="J4643" s="5"/>
      <c r="N4643" s="5"/>
      <c r="R4643" s="5"/>
    </row>
    <row r="4644" spans="2:18" x14ac:dyDescent="0.2">
      <c r="B4644" s="5"/>
      <c r="F4644" s="5"/>
      <c r="J4644" s="5"/>
      <c r="N4644" s="5"/>
      <c r="R4644" s="5"/>
    </row>
    <row r="4645" spans="2:18" x14ac:dyDescent="0.2">
      <c r="B4645" s="5"/>
      <c r="F4645" s="5"/>
      <c r="J4645" s="5"/>
      <c r="N4645" s="5"/>
      <c r="R4645" s="5"/>
    </row>
    <row r="4646" spans="2:18" x14ac:dyDescent="0.2">
      <c r="B4646" s="5"/>
      <c r="F4646" s="5"/>
      <c r="J4646" s="5"/>
      <c r="N4646" s="5"/>
      <c r="R4646" s="5"/>
    </row>
    <row r="4647" spans="2:18" x14ac:dyDescent="0.2">
      <c r="B4647" s="5"/>
      <c r="F4647" s="5"/>
      <c r="J4647" s="5"/>
      <c r="N4647" s="5"/>
      <c r="R4647" s="5"/>
    </row>
    <row r="4648" spans="2:18" x14ac:dyDescent="0.2">
      <c r="B4648" s="5"/>
      <c r="F4648" s="5"/>
      <c r="J4648" s="5"/>
      <c r="N4648" s="5"/>
      <c r="R4648" s="5"/>
    </row>
    <row r="4649" spans="2:18" x14ac:dyDescent="0.2">
      <c r="B4649" s="5"/>
      <c r="F4649" s="5"/>
      <c r="J4649" s="5"/>
      <c r="N4649" s="5"/>
      <c r="R4649" s="5"/>
    </row>
    <row r="4650" spans="2:18" x14ac:dyDescent="0.2">
      <c r="B4650" s="5"/>
      <c r="F4650" s="5"/>
      <c r="J4650" s="5"/>
      <c r="N4650" s="5"/>
      <c r="R4650" s="5"/>
    </row>
    <row r="4651" spans="2:18" x14ac:dyDescent="0.2">
      <c r="B4651" s="5"/>
      <c r="F4651" s="5"/>
      <c r="J4651" s="5"/>
      <c r="N4651" s="5"/>
      <c r="R4651" s="5"/>
    </row>
    <row r="4652" spans="2:18" x14ac:dyDescent="0.2">
      <c r="B4652" s="5"/>
      <c r="F4652" s="5"/>
      <c r="J4652" s="5"/>
      <c r="N4652" s="5"/>
      <c r="R4652" s="5"/>
    </row>
    <row r="4653" spans="2:18" x14ac:dyDescent="0.2">
      <c r="B4653" s="5"/>
      <c r="F4653" s="5"/>
      <c r="J4653" s="5"/>
      <c r="N4653" s="5"/>
      <c r="R4653" s="5"/>
    </row>
    <row r="4654" spans="2:18" x14ac:dyDescent="0.2">
      <c r="B4654" s="5"/>
      <c r="F4654" s="5"/>
      <c r="J4654" s="5"/>
      <c r="N4654" s="5"/>
      <c r="R4654" s="5"/>
    </row>
    <row r="4655" spans="2:18" x14ac:dyDescent="0.2">
      <c r="B4655" s="5"/>
      <c r="F4655" s="5"/>
      <c r="J4655" s="5"/>
      <c r="N4655" s="5"/>
      <c r="R4655" s="5"/>
    </row>
    <row r="4656" spans="2:18" x14ac:dyDescent="0.2">
      <c r="B4656" s="5"/>
      <c r="F4656" s="5"/>
      <c r="J4656" s="5"/>
      <c r="N4656" s="5"/>
      <c r="R4656" s="5"/>
    </row>
    <row r="4657" spans="2:18" x14ac:dyDescent="0.2">
      <c r="B4657" s="5"/>
      <c r="F4657" s="5"/>
      <c r="J4657" s="5"/>
      <c r="N4657" s="5"/>
      <c r="R4657" s="5"/>
    </row>
    <row r="4658" spans="2:18" x14ac:dyDescent="0.2">
      <c r="B4658" s="5"/>
      <c r="F4658" s="5"/>
      <c r="J4658" s="5"/>
      <c r="N4658" s="5"/>
      <c r="R4658" s="5"/>
    </row>
    <row r="4659" spans="2:18" x14ac:dyDescent="0.2">
      <c r="B4659" s="5"/>
      <c r="F4659" s="5"/>
      <c r="J4659" s="5"/>
      <c r="N4659" s="5"/>
      <c r="R4659" s="5"/>
    </row>
    <row r="4660" spans="2:18" x14ac:dyDescent="0.2">
      <c r="B4660" s="5"/>
      <c r="F4660" s="5"/>
      <c r="J4660" s="5"/>
      <c r="N4660" s="5"/>
      <c r="R4660" s="5"/>
    </row>
    <row r="4661" spans="2:18" x14ac:dyDescent="0.2">
      <c r="B4661" s="5"/>
      <c r="F4661" s="5"/>
      <c r="J4661" s="5"/>
      <c r="N4661" s="5"/>
      <c r="R4661" s="5"/>
    </row>
    <row r="4662" spans="2:18" x14ac:dyDescent="0.2">
      <c r="B4662" s="5"/>
      <c r="F4662" s="5"/>
      <c r="J4662" s="5"/>
      <c r="N4662" s="5"/>
      <c r="R4662" s="5"/>
    </row>
    <row r="4663" spans="2:18" x14ac:dyDescent="0.2">
      <c r="B4663" s="5"/>
      <c r="F4663" s="5"/>
      <c r="J4663" s="5"/>
      <c r="N4663" s="5"/>
      <c r="R4663" s="5"/>
    </row>
    <row r="4664" spans="2:18" x14ac:dyDescent="0.2">
      <c r="B4664" s="5"/>
      <c r="F4664" s="5"/>
      <c r="J4664" s="5"/>
      <c r="N4664" s="5"/>
      <c r="R4664" s="5"/>
    </row>
    <row r="4665" spans="2:18" x14ac:dyDescent="0.2">
      <c r="B4665" s="5"/>
      <c r="F4665" s="5"/>
      <c r="J4665" s="5"/>
      <c r="N4665" s="5"/>
      <c r="R4665" s="5"/>
    </row>
    <row r="4666" spans="2:18" x14ac:dyDescent="0.2">
      <c r="B4666" s="5"/>
      <c r="F4666" s="5"/>
      <c r="J4666" s="5"/>
      <c r="N4666" s="5"/>
      <c r="R4666" s="5"/>
    </row>
    <row r="4667" spans="2:18" x14ac:dyDescent="0.2">
      <c r="B4667" s="5"/>
      <c r="F4667" s="5"/>
      <c r="J4667" s="5"/>
      <c r="N4667" s="5"/>
      <c r="R4667" s="5"/>
    </row>
    <row r="4668" spans="2:18" x14ac:dyDescent="0.2">
      <c r="B4668" s="5"/>
      <c r="F4668" s="5"/>
      <c r="J4668" s="5"/>
      <c r="N4668" s="5"/>
      <c r="R4668" s="5"/>
    </row>
    <row r="4669" spans="2:18" x14ac:dyDescent="0.2">
      <c r="B4669" s="5"/>
      <c r="F4669" s="5"/>
      <c r="J4669" s="5"/>
      <c r="N4669" s="5"/>
      <c r="R4669" s="5"/>
    </row>
    <row r="4670" spans="2:18" x14ac:dyDescent="0.2">
      <c r="B4670" s="5"/>
      <c r="F4670" s="5"/>
      <c r="J4670" s="5"/>
      <c r="N4670" s="5"/>
      <c r="R4670" s="5"/>
    </row>
    <row r="4671" spans="2:18" x14ac:dyDescent="0.2">
      <c r="B4671" s="5"/>
      <c r="F4671" s="5"/>
      <c r="J4671" s="5"/>
      <c r="N4671" s="5"/>
      <c r="R4671" s="5"/>
    </row>
    <row r="4672" spans="2:18" x14ac:dyDescent="0.2">
      <c r="B4672" s="5"/>
      <c r="F4672" s="5"/>
      <c r="J4672" s="5"/>
      <c r="N4672" s="5"/>
      <c r="R4672" s="5"/>
    </row>
    <row r="4673" spans="2:18" x14ac:dyDescent="0.2">
      <c r="B4673" s="5"/>
      <c r="F4673" s="5"/>
      <c r="J4673" s="5"/>
      <c r="N4673" s="5"/>
      <c r="R4673" s="5"/>
    </row>
    <row r="4674" spans="2:18" x14ac:dyDescent="0.2">
      <c r="B4674" s="5"/>
      <c r="F4674" s="5"/>
      <c r="J4674" s="5"/>
      <c r="N4674" s="5"/>
      <c r="R4674" s="5"/>
    </row>
    <row r="4675" spans="2:18" x14ac:dyDescent="0.2">
      <c r="B4675" s="5"/>
      <c r="F4675" s="5"/>
      <c r="J4675" s="5"/>
      <c r="N4675" s="5"/>
      <c r="R4675" s="5"/>
    </row>
    <row r="4676" spans="2:18" x14ac:dyDescent="0.2">
      <c r="B4676" s="5"/>
      <c r="F4676" s="5"/>
      <c r="J4676" s="5"/>
      <c r="N4676" s="5"/>
      <c r="R4676" s="5"/>
    </row>
    <row r="4677" spans="2:18" x14ac:dyDescent="0.2">
      <c r="B4677" s="5"/>
      <c r="F4677" s="5"/>
      <c r="J4677" s="5"/>
      <c r="N4677" s="5"/>
      <c r="R4677" s="5"/>
    </row>
    <row r="4678" spans="2:18" x14ac:dyDescent="0.2">
      <c r="B4678" s="5"/>
      <c r="F4678" s="5"/>
      <c r="J4678" s="5"/>
      <c r="N4678" s="5"/>
      <c r="R4678" s="5"/>
    </row>
    <row r="4679" spans="2:18" x14ac:dyDescent="0.2">
      <c r="B4679" s="5"/>
      <c r="F4679" s="5"/>
      <c r="J4679" s="5"/>
      <c r="N4679" s="5"/>
      <c r="R4679" s="5"/>
    </row>
    <row r="4680" spans="2:18" x14ac:dyDescent="0.2">
      <c r="B4680" s="5"/>
      <c r="F4680" s="5"/>
      <c r="J4680" s="5"/>
      <c r="N4680" s="5"/>
      <c r="R4680" s="5"/>
    </row>
    <row r="4681" spans="2:18" x14ac:dyDescent="0.2">
      <c r="B4681" s="5"/>
      <c r="F4681" s="5"/>
      <c r="J4681" s="5"/>
      <c r="N4681" s="5"/>
      <c r="R4681" s="5"/>
    </row>
    <row r="4682" spans="2:18" x14ac:dyDescent="0.2">
      <c r="B4682" s="5"/>
      <c r="F4682" s="5"/>
      <c r="J4682" s="5"/>
      <c r="N4682" s="5"/>
      <c r="R4682" s="5"/>
    </row>
    <row r="4683" spans="2:18" x14ac:dyDescent="0.2">
      <c r="B4683" s="5"/>
      <c r="F4683" s="5"/>
      <c r="J4683" s="5"/>
      <c r="N4683" s="5"/>
      <c r="R4683" s="5"/>
    </row>
    <row r="4684" spans="2:18" x14ac:dyDescent="0.2">
      <c r="B4684" s="5"/>
      <c r="F4684" s="5"/>
      <c r="J4684" s="5"/>
      <c r="N4684" s="5"/>
      <c r="R4684" s="5"/>
    </row>
    <row r="4685" spans="2:18" x14ac:dyDescent="0.2">
      <c r="B4685" s="5"/>
      <c r="F4685" s="5"/>
      <c r="J4685" s="5"/>
      <c r="N4685" s="5"/>
      <c r="R4685" s="5"/>
    </row>
    <row r="4686" spans="2:18" x14ac:dyDescent="0.2">
      <c r="B4686" s="5"/>
      <c r="F4686" s="5"/>
      <c r="J4686" s="5"/>
      <c r="N4686" s="5"/>
      <c r="R4686" s="5"/>
    </row>
    <row r="4687" spans="2:18" x14ac:dyDescent="0.2">
      <c r="B4687" s="5"/>
      <c r="F4687" s="5"/>
      <c r="J4687" s="5"/>
      <c r="N4687" s="5"/>
      <c r="R4687" s="5"/>
    </row>
    <row r="4688" spans="2:18" x14ac:dyDescent="0.2">
      <c r="B4688" s="5"/>
      <c r="F4688" s="5"/>
      <c r="J4688" s="5"/>
      <c r="N4688" s="5"/>
      <c r="R4688" s="5"/>
    </row>
    <row r="4689" spans="2:18" x14ac:dyDescent="0.2">
      <c r="B4689" s="5"/>
      <c r="F4689" s="5"/>
      <c r="J4689" s="5"/>
      <c r="N4689" s="5"/>
      <c r="R4689" s="5"/>
    </row>
    <row r="4690" spans="2:18" x14ac:dyDescent="0.2">
      <c r="B4690" s="5"/>
      <c r="F4690" s="5"/>
      <c r="J4690" s="5"/>
      <c r="N4690" s="5"/>
      <c r="R4690" s="5"/>
    </row>
    <row r="4691" spans="2:18" x14ac:dyDescent="0.2">
      <c r="B4691" s="5"/>
      <c r="F4691" s="5"/>
      <c r="J4691" s="5"/>
      <c r="N4691" s="5"/>
      <c r="R4691" s="5"/>
    </row>
    <row r="4692" spans="2:18" x14ac:dyDescent="0.2">
      <c r="B4692" s="5"/>
      <c r="F4692" s="5"/>
      <c r="J4692" s="5"/>
      <c r="N4692" s="5"/>
      <c r="R4692" s="5"/>
    </row>
    <row r="4693" spans="2:18" x14ac:dyDescent="0.2">
      <c r="B4693" s="5"/>
      <c r="F4693" s="5"/>
      <c r="J4693" s="5"/>
      <c r="N4693" s="5"/>
      <c r="R4693" s="5"/>
    </row>
    <row r="4694" spans="2:18" x14ac:dyDescent="0.2">
      <c r="B4694" s="5"/>
      <c r="F4694" s="5"/>
      <c r="J4694" s="5"/>
      <c r="N4694" s="5"/>
      <c r="R4694" s="5"/>
    </row>
    <row r="4695" spans="2:18" x14ac:dyDescent="0.2">
      <c r="B4695" s="5"/>
      <c r="F4695" s="5"/>
      <c r="J4695" s="5"/>
      <c r="N4695" s="5"/>
      <c r="R4695" s="5"/>
    </row>
    <row r="4696" spans="2:18" x14ac:dyDescent="0.2">
      <c r="B4696" s="5"/>
      <c r="F4696" s="5"/>
      <c r="J4696" s="5"/>
      <c r="N4696" s="5"/>
      <c r="R4696" s="5"/>
    </row>
    <row r="4697" spans="2:18" x14ac:dyDescent="0.2">
      <c r="B4697" s="5"/>
      <c r="F4697" s="5"/>
      <c r="J4697" s="5"/>
      <c r="N4697" s="5"/>
      <c r="R4697" s="5"/>
    </row>
    <row r="4698" spans="2:18" x14ac:dyDescent="0.2">
      <c r="B4698" s="5"/>
      <c r="F4698" s="5"/>
      <c r="J4698" s="5"/>
      <c r="N4698" s="5"/>
      <c r="R4698" s="5"/>
    </row>
    <row r="4699" spans="2:18" x14ac:dyDescent="0.2">
      <c r="B4699" s="5"/>
      <c r="F4699" s="5"/>
      <c r="J4699" s="5"/>
      <c r="N4699" s="5"/>
      <c r="R4699" s="5"/>
    </row>
    <row r="4700" spans="2:18" x14ac:dyDescent="0.2">
      <c r="B4700" s="5"/>
      <c r="F4700" s="5"/>
      <c r="J4700" s="5"/>
      <c r="N4700" s="5"/>
      <c r="R4700" s="5"/>
    </row>
    <row r="4701" spans="2:18" x14ac:dyDescent="0.2">
      <c r="B4701" s="5"/>
      <c r="F4701" s="5"/>
      <c r="J4701" s="5"/>
      <c r="N4701" s="5"/>
      <c r="R4701" s="5"/>
    </row>
    <row r="4702" spans="2:18" x14ac:dyDescent="0.2">
      <c r="B4702" s="5"/>
      <c r="F4702" s="5"/>
      <c r="J4702" s="5"/>
      <c r="N4702" s="5"/>
      <c r="R4702" s="5"/>
    </row>
    <row r="4703" spans="2:18" x14ac:dyDescent="0.2">
      <c r="B4703" s="5"/>
      <c r="F4703" s="5"/>
      <c r="J4703" s="5"/>
      <c r="N4703" s="5"/>
      <c r="R4703" s="5"/>
    </row>
    <row r="4704" spans="2:18" x14ac:dyDescent="0.2">
      <c r="B4704" s="5"/>
      <c r="F4704" s="5"/>
      <c r="J4704" s="5"/>
      <c r="N4704" s="5"/>
      <c r="R4704" s="5"/>
    </row>
    <row r="4705" spans="2:18" x14ac:dyDescent="0.2">
      <c r="B4705" s="5"/>
      <c r="F4705" s="5"/>
      <c r="J4705" s="5"/>
      <c r="N4705" s="5"/>
      <c r="R4705" s="5"/>
    </row>
    <row r="4706" spans="2:18" x14ac:dyDescent="0.2">
      <c r="B4706" s="5"/>
      <c r="F4706" s="5"/>
      <c r="J4706" s="5"/>
      <c r="N4706" s="5"/>
      <c r="R4706" s="5"/>
    </row>
    <row r="4707" spans="2:18" x14ac:dyDescent="0.2">
      <c r="B4707" s="5"/>
      <c r="F4707" s="5"/>
      <c r="J4707" s="5"/>
      <c r="N4707" s="5"/>
      <c r="R4707" s="5"/>
    </row>
    <row r="4708" spans="2:18" x14ac:dyDescent="0.2">
      <c r="B4708" s="5"/>
      <c r="F4708" s="5"/>
      <c r="J4708" s="5"/>
      <c r="N4708" s="5"/>
      <c r="R4708" s="5"/>
    </row>
    <row r="4709" spans="2:18" x14ac:dyDescent="0.2">
      <c r="B4709" s="5"/>
      <c r="F4709" s="5"/>
      <c r="J4709" s="5"/>
      <c r="N4709" s="5"/>
      <c r="R4709" s="5"/>
    </row>
    <row r="4710" spans="2:18" x14ac:dyDescent="0.2">
      <c r="B4710" s="5"/>
      <c r="F4710" s="5"/>
      <c r="J4710" s="5"/>
      <c r="N4710" s="5"/>
      <c r="R4710" s="5"/>
    </row>
    <row r="4711" spans="2:18" x14ac:dyDescent="0.2">
      <c r="B4711" s="5"/>
      <c r="F4711" s="5"/>
      <c r="J4711" s="5"/>
      <c r="N4711" s="5"/>
      <c r="R4711" s="5"/>
    </row>
    <row r="4712" spans="2:18" x14ac:dyDescent="0.2">
      <c r="B4712" s="5"/>
      <c r="F4712" s="5"/>
      <c r="J4712" s="5"/>
      <c r="N4712" s="5"/>
      <c r="R4712" s="5"/>
    </row>
    <row r="4713" spans="2:18" x14ac:dyDescent="0.2">
      <c r="B4713" s="5"/>
      <c r="F4713" s="5"/>
      <c r="J4713" s="5"/>
      <c r="N4713" s="5"/>
      <c r="R4713" s="5"/>
    </row>
    <row r="4714" spans="2:18" x14ac:dyDescent="0.2">
      <c r="B4714" s="5"/>
      <c r="F4714" s="5"/>
      <c r="J4714" s="5"/>
      <c r="N4714" s="5"/>
      <c r="R4714" s="5"/>
    </row>
    <row r="4715" spans="2:18" x14ac:dyDescent="0.2">
      <c r="B4715" s="5"/>
      <c r="F4715" s="5"/>
      <c r="J4715" s="5"/>
      <c r="N4715" s="5"/>
      <c r="R4715" s="5"/>
    </row>
    <row r="4716" spans="2:18" x14ac:dyDescent="0.2">
      <c r="B4716" s="5"/>
      <c r="F4716" s="5"/>
      <c r="J4716" s="5"/>
      <c r="N4716" s="5"/>
      <c r="R4716" s="5"/>
    </row>
    <row r="4717" spans="2:18" x14ac:dyDescent="0.2">
      <c r="B4717" s="5"/>
      <c r="F4717" s="5"/>
      <c r="J4717" s="5"/>
      <c r="N4717" s="5"/>
      <c r="R4717" s="5"/>
    </row>
    <row r="4718" spans="2:18" x14ac:dyDescent="0.2">
      <c r="B4718" s="5"/>
      <c r="F4718" s="5"/>
      <c r="J4718" s="5"/>
      <c r="N4718" s="5"/>
      <c r="R4718" s="5"/>
    </row>
    <row r="4719" spans="2:18" x14ac:dyDescent="0.2">
      <c r="B4719" s="5"/>
      <c r="F4719" s="5"/>
      <c r="J4719" s="5"/>
      <c r="N4719" s="5"/>
      <c r="R4719" s="5"/>
    </row>
    <row r="4720" spans="2:18" x14ac:dyDescent="0.2">
      <c r="B4720" s="5"/>
      <c r="F4720" s="5"/>
      <c r="J4720" s="5"/>
      <c r="N4720" s="5"/>
      <c r="R4720" s="5"/>
    </row>
    <row r="4721" spans="2:18" x14ac:dyDescent="0.2">
      <c r="B4721" s="5"/>
      <c r="F4721" s="5"/>
      <c r="J4721" s="5"/>
      <c r="N4721" s="5"/>
      <c r="R4721" s="5"/>
    </row>
    <row r="4722" spans="2:18" x14ac:dyDescent="0.2">
      <c r="B4722" s="5"/>
      <c r="F4722" s="5"/>
      <c r="J4722" s="5"/>
      <c r="N4722" s="5"/>
      <c r="R4722" s="5"/>
    </row>
    <row r="4723" spans="2:18" x14ac:dyDescent="0.2">
      <c r="B4723" s="5"/>
      <c r="F4723" s="5"/>
      <c r="J4723" s="5"/>
      <c r="N4723" s="5"/>
      <c r="R4723" s="5"/>
    </row>
    <row r="4724" spans="2:18" x14ac:dyDescent="0.2">
      <c r="B4724" s="5"/>
      <c r="F4724" s="5"/>
      <c r="J4724" s="5"/>
      <c r="N4724" s="5"/>
      <c r="R4724" s="5"/>
    </row>
    <row r="4725" spans="2:18" x14ac:dyDescent="0.2">
      <c r="B4725" s="5"/>
      <c r="F4725" s="5"/>
      <c r="J4725" s="5"/>
      <c r="N4725" s="5"/>
      <c r="R4725" s="5"/>
    </row>
    <row r="4726" spans="2:18" x14ac:dyDescent="0.2">
      <c r="B4726" s="5"/>
      <c r="F4726" s="5"/>
      <c r="J4726" s="5"/>
      <c r="N4726" s="5"/>
      <c r="R4726" s="5"/>
    </row>
    <row r="4727" spans="2:18" x14ac:dyDescent="0.2">
      <c r="B4727" s="5"/>
      <c r="F4727" s="5"/>
      <c r="J4727" s="5"/>
      <c r="N4727" s="5"/>
      <c r="R4727" s="5"/>
    </row>
    <row r="4728" spans="2:18" x14ac:dyDescent="0.2">
      <c r="B4728" s="5"/>
      <c r="F4728" s="5"/>
      <c r="J4728" s="5"/>
      <c r="N4728" s="5"/>
      <c r="R4728" s="5"/>
    </row>
    <row r="4729" spans="2:18" x14ac:dyDescent="0.2">
      <c r="B4729" s="5"/>
      <c r="F4729" s="5"/>
      <c r="J4729" s="5"/>
      <c r="N4729" s="5"/>
      <c r="R4729" s="5"/>
    </row>
    <row r="4730" spans="2:18" x14ac:dyDescent="0.2">
      <c r="B4730" s="5"/>
      <c r="F4730" s="5"/>
      <c r="J4730" s="5"/>
      <c r="N4730" s="5"/>
      <c r="R4730" s="5"/>
    </row>
    <row r="4731" spans="2:18" x14ac:dyDescent="0.2">
      <c r="B4731" s="5"/>
      <c r="F4731" s="5"/>
      <c r="J4731" s="5"/>
      <c r="N4731" s="5"/>
      <c r="R4731" s="5"/>
    </row>
    <row r="4732" spans="2:18" x14ac:dyDescent="0.2">
      <c r="B4732" s="5"/>
      <c r="F4732" s="5"/>
      <c r="J4732" s="5"/>
      <c r="N4732" s="5"/>
      <c r="R4732" s="5"/>
    </row>
    <row r="4733" spans="2:18" x14ac:dyDescent="0.2">
      <c r="B4733" s="5"/>
      <c r="F4733" s="5"/>
      <c r="J4733" s="5"/>
      <c r="N4733" s="5"/>
      <c r="R4733" s="5"/>
    </row>
    <row r="4734" spans="2:18" x14ac:dyDescent="0.2">
      <c r="B4734" s="5"/>
      <c r="F4734" s="5"/>
      <c r="J4734" s="5"/>
      <c r="N4734" s="5"/>
      <c r="R4734" s="5"/>
    </row>
    <row r="4735" spans="2:18" x14ac:dyDescent="0.2">
      <c r="B4735" s="5"/>
      <c r="F4735" s="5"/>
      <c r="J4735" s="5"/>
      <c r="N4735" s="5"/>
      <c r="R4735" s="5"/>
    </row>
    <row r="4736" spans="2:18" x14ac:dyDescent="0.2">
      <c r="B4736" s="5"/>
      <c r="F4736" s="5"/>
      <c r="J4736" s="5"/>
      <c r="N4736" s="5"/>
      <c r="R4736" s="5"/>
    </row>
    <row r="4737" spans="2:18" x14ac:dyDescent="0.2">
      <c r="B4737" s="5"/>
      <c r="F4737" s="5"/>
      <c r="J4737" s="5"/>
      <c r="N4737" s="5"/>
      <c r="R4737" s="5"/>
    </row>
    <row r="4738" spans="2:18" x14ac:dyDescent="0.2">
      <c r="B4738" s="5"/>
      <c r="F4738" s="5"/>
      <c r="J4738" s="5"/>
      <c r="N4738" s="5"/>
      <c r="R4738" s="5"/>
    </row>
    <row r="4739" spans="2:18" x14ac:dyDescent="0.2">
      <c r="B4739" s="5"/>
      <c r="F4739" s="5"/>
      <c r="J4739" s="5"/>
      <c r="N4739" s="5"/>
      <c r="R4739" s="5"/>
    </row>
    <row r="4740" spans="2:18" x14ac:dyDescent="0.2">
      <c r="B4740" s="5"/>
      <c r="F4740" s="5"/>
      <c r="J4740" s="5"/>
      <c r="N4740" s="5"/>
      <c r="R4740" s="5"/>
    </row>
    <row r="4741" spans="2:18" x14ac:dyDescent="0.2">
      <c r="B4741" s="5"/>
      <c r="F4741" s="5"/>
      <c r="J4741" s="5"/>
      <c r="N4741" s="5"/>
      <c r="R4741" s="5"/>
    </row>
    <row r="4742" spans="2:18" x14ac:dyDescent="0.2">
      <c r="B4742" s="5"/>
      <c r="F4742" s="5"/>
      <c r="J4742" s="5"/>
      <c r="N4742" s="5"/>
      <c r="R4742" s="5"/>
    </row>
    <row r="4743" spans="2:18" x14ac:dyDescent="0.2">
      <c r="B4743" s="5"/>
      <c r="F4743" s="5"/>
      <c r="J4743" s="5"/>
      <c r="N4743" s="5"/>
      <c r="R4743" s="5"/>
    </row>
    <row r="4744" spans="2:18" x14ac:dyDescent="0.2">
      <c r="B4744" s="5"/>
      <c r="F4744" s="5"/>
      <c r="J4744" s="5"/>
      <c r="N4744" s="5"/>
      <c r="R4744" s="5"/>
    </row>
    <row r="4745" spans="2:18" x14ac:dyDescent="0.2">
      <c r="B4745" s="5"/>
      <c r="F4745" s="5"/>
      <c r="J4745" s="5"/>
      <c r="N4745" s="5"/>
      <c r="R4745" s="5"/>
    </row>
    <row r="4746" spans="2:18" x14ac:dyDescent="0.2">
      <c r="B4746" s="5"/>
      <c r="F4746" s="5"/>
      <c r="J4746" s="5"/>
      <c r="N4746" s="5"/>
      <c r="R4746" s="5"/>
    </row>
    <row r="4747" spans="2:18" x14ac:dyDescent="0.2">
      <c r="B4747" s="5"/>
      <c r="F4747" s="5"/>
      <c r="J4747" s="5"/>
      <c r="N4747" s="5"/>
      <c r="R4747" s="5"/>
    </row>
    <row r="4748" spans="2:18" x14ac:dyDescent="0.2">
      <c r="B4748" s="5"/>
      <c r="F4748" s="5"/>
      <c r="J4748" s="5"/>
      <c r="N4748" s="5"/>
      <c r="R4748" s="5"/>
    </row>
    <row r="4749" spans="2:18" x14ac:dyDescent="0.2">
      <c r="B4749" s="5"/>
      <c r="F4749" s="5"/>
      <c r="J4749" s="5"/>
      <c r="N4749" s="5"/>
      <c r="R4749" s="5"/>
    </row>
    <row r="4750" spans="2:18" x14ac:dyDescent="0.2">
      <c r="B4750" s="5"/>
      <c r="F4750" s="5"/>
      <c r="J4750" s="5"/>
      <c r="N4750" s="5"/>
      <c r="R4750" s="5"/>
    </row>
    <row r="4751" spans="2:18" x14ac:dyDescent="0.2">
      <c r="B4751" s="5"/>
      <c r="F4751" s="5"/>
      <c r="J4751" s="5"/>
      <c r="N4751" s="5"/>
      <c r="R4751" s="5"/>
    </row>
    <row r="4752" spans="2:18" x14ac:dyDescent="0.2">
      <c r="B4752" s="5"/>
      <c r="F4752" s="5"/>
      <c r="J4752" s="5"/>
      <c r="N4752" s="5"/>
      <c r="R4752" s="5"/>
    </row>
    <row r="4753" spans="2:18" x14ac:dyDescent="0.2">
      <c r="B4753" s="5"/>
      <c r="F4753" s="5"/>
      <c r="J4753" s="5"/>
      <c r="N4753" s="5"/>
      <c r="R4753" s="5"/>
    </row>
    <row r="4754" spans="2:18" x14ac:dyDescent="0.2">
      <c r="B4754" s="5"/>
      <c r="F4754" s="5"/>
      <c r="J4754" s="5"/>
      <c r="N4754" s="5"/>
      <c r="R4754" s="5"/>
    </row>
    <row r="4755" spans="2:18" x14ac:dyDescent="0.2">
      <c r="B4755" s="5"/>
      <c r="F4755" s="5"/>
      <c r="J4755" s="5"/>
      <c r="N4755" s="5"/>
      <c r="R4755" s="5"/>
    </row>
    <row r="4756" spans="2:18" x14ac:dyDescent="0.2">
      <c r="B4756" s="5"/>
      <c r="F4756" s="5"/>
      <c r="J4756" s="5"/>
      <c r="N4756" s="5"/>
      <c r="R4756" s="5"/>
    </row>
    <row r="4757" spans="2:18" x14ac:dyDescent="0.2">
      <c r="B4757" s="5"/>
      <c r="F4757" s="5"/>
      <c r="J4757" s="5"/>
      <c r="N4757" s="5"/>
      <c r="R4757" s="5"/>
    </row>
    <row r="4758" spans="2:18" x14ac:dyDescent="0.2">
      <c r="B4758" s="5"/>
      <c r="F4758" s="5"/>
      <c r="J4758" s="5"/>
      <c r="N4758" s="5"/>
      <c r="R4758" s="5"/>
    </row>
    <row r="4759" spans="2:18" x14ac:dyDescent="0.2">
      <c r="B4759" s="5"/>
      <c r="F4759" s="5"/>
      <c r="J4759" s="5"/>
      <c r="N4759" s="5"/>
      <c r="R4759" s="5"/>
    </row>
    <row r="4760" spans="2:18" x14ac:dyDescent="0.2">
      <c r="B4760" s="5"/>
      <c r="F4760" s="5"/>
      <c r="J4760" s="5"/>
      <c r="N4760" s="5"/>
      <c r="R4760" s="5"/>
    </row>
    <row r="4761" spans="2:18" x14ac:dyDescent="0.2">
      <c r="B4761" s="5"/>
      <c r="F4761" s="5"/>
      <c r="J4761" s="5"/>
      <c r="N4761" s="5"/>
      <c r="R4761" s="5"/>
    </row>
    <row r="4762" spans="2:18" x14ac:dyDescent="0.2">
      <c r="B4762" s="5"/>
      <c r="F4762" s="5"/>
      <c r="J4762" s="5"/>
      <c r="N4762" s="5"/>
      <c r="R4762" s="5"/>
    </row>
    <row r="4763" spans="2:18" x14ac:dyDescent="0.2">
      <c r="B4763" s="5"/>
      <c r="F4763" s="5"/>
      <c r="J4763" s="5"/>
      <c r="N4763" s="5"/>
      <c r="R4763" s="5"/>
    </row>
    <row r="4764" spans="2:18" x14ac:dyDescent="0.2">
      <c r="B4764" s="5"/>
      <c r="F4764" s="5"/>
      <c r="J4764" s="5"/>
      <c r="N4764" s="5"/>
      <c r="R4764" s="5"/>
    </row>
    <row r="4765" spans="2:18" x14ac:dyDescent="0.2">
      <c r="B4765" s="5"/>
      <c r="F4765" s="5"/>
      <c r="J4765" s="5"/>
      <c r="N4765" s="5"/>
      <c r="R4765" s="5"/>
    </row>
    <row r="4766" spans="2:18" x14ac:dyDescent="0.2">
      <c r="B4766" s="5"/>
      <c r="F4766" s="5"/>
      <c r="J4766" s="5"/>
      <c r="N4766" s="5"/>
      <c r="R4766" s="5"/>
    </row>
    <row r="4767" spans="2:18" x14ac:dyDescent="0.2">
      <c r="B4767" s="5"/>
      <c r="F4767" s="5"/>
      <c r="J4767" s="5"/>
      <c r="N4767" s="5"/>
      <c r="R4767" s="5"/>
    </row>
    <row r="4768" spans="2:18" x14ac:dyDescent="0.2">
      <c r="B4768" s="5"/>
      <c r="F4768" s="5"/>
      <c r="J4768" s="5"/>
      <c r="N4768" s="5"/>
      <c r="R4768" s="5"/>
    </row>
    <row r="4769" spans="2:18" x14ac:dyDescent="0.2">
      <c r="B4769" s="5"/>
      <c r="F4769" s="5"/>
      <c r="J4769" s="5"/>
      <c r="N4769" s="5"/>
      <c r="R4769" s="5"/>
    </row>
    <row r="4770" spans="2:18" x14ac:dyDescent="0.2">
      <c r="B4770" s="5"/>
      <c r="F4770" s="5"/>
      <c r="J4770" s="5"/>
      <c r="N4770" s="5"/>
      <c r="R4770" s="5"/>
    </row>
    <row r="4771" spans="2:18" x14ac:dyDescent="0.2">
      <c r="B4771" s="5"/>
      <c r="F4771" s="5"/>
      <c r="J4771" s="5"/>
      <c r="N4771" s="5"/>
      <c r="R4771" s="5"/>
    </row>
    <row r="4772" spans="2:18" x14ac:dyDescent="0.2">
      <c r="B4772" s="5"/>
      <c r="F4772" s="5"/>
      <c r="J4772" s="5"/>
      <c r="N4772" s="5"/>
      <c r="R4772" s="5"/>
    </row>
    <row r="4773" spans="2:18" x14ac:dyDescent="0.2">
      <c r="B4773" s="5"/>
      <c r="F4773" s="5"/>
      <c r="J4773" s="5"/>
      <c r="N4773" s="5"/>
      <c r="R4773" s="5"/>
    </row>
    <row r="4774" spans="2:18" x14ac:dyDescent="0.2">
      <c r="B4774" s="5"/>
      <c r="F4774" s="5"/>
      <c r="J4774" s="5"/>
      <c r="N4774" s="5"/>
      <c r="R4774" s="5"/>
    </row>
    <row r="4775" spans="2:18" x14ac:dyDescent="0.2">
      <c r="B4775" s="5"/>
      <c r="F4775" s="5"/>
      <c r="J4775" s="5"/>
      <c r="N4775" s="5"/>
      <c r="R4775" s="5"/>
    </row>
    <row r="4776" spans="2:18" x14ac:dyDescent="0.2">
      <c r="B4776" s="5"/>
      <c r="F4776" s="5"/>
      <c r="J4776" s="5"/>
      <c r="N4776" s="5"/>
      <c r="R4776" s="5"/>
    </row>
    <row r="4777" spans="2:18" x14ac:dyDescent="0.2">
      <c r="B4777" s="5"/>
      <c r="F4777" s="5"/>
      <c r="J4777" s="5"/>
      <c r="N4777" s="5"/>
      <c r="R4777" s="5"/>
    </row>
    <row r="4778" spans="2:18" x14ac:dyDescent="0.2">
      <c r="B4778" s="5"/>
      <c r="F4778" s="5"/>
      <c r="J4778" s="5"/>
      <c r="N4778" s="5"/>
      <c r="R4778" s="5"/>
    </row>
    <row r="4779" spans="2:18" x14ac:dyDescent="0.2">
      <c r="B4779" s="5"/>
      <c r="F4779" s="5"/>
      <c r="J4779" s="5"/>
      <c r="N4779" s="5"/>
      <c r="R4779" s="5"/>
    </row>
    <row r="4780" spans="2:18" x14ac:dyDescent="0.2">
      <c r="B4780" s="5"/>
      <c r="F4780" s="5"/>
      <c r="J4780" s="5"/>
      <c r="N4780" s="5"/>
      <c r="R4780" s="5"/>
    </row>
    <row r="4781" spans="2:18" x14ac:dyDescent="0.2">
      <c r="B4781" s="5"/>
      <c r="F4781" s="5"/>
      <c r="J4781" s="5"/>
      <c r="N4781" s="5"/>
      <c r="R4781" s="5"/>
    </row>
    <row r="4782" spans="2:18" x14ac:dyDescent="0.2">
      <c r="B4782" s="5"/>
      <c r="F4782" s="5"/>
      <c r="J4782" s="5"/>
      <c r="N4782" s="5"/>
      <c r="R4782" s="5"/>
    </row>
    <row r="4783" spans="2:18" x14ac:dyDescent="0.2">
      <c r="B4783" s="5"/>
      <c r="F4783" s="5"/>
      <c r="J4783" s="5"/>
      <c r="N4783" s="5"/>
      <c r="R4783" s="5"/>
    </row>
    <row r="4784" spans="2:18" x14ac:dyDescent="0.2">
      <c r="B4784" s="5"/>
      <c r="F4784" s="5"/>
      <c r="J4784" s="5"/>
      <c r="N4784" s="5"/>
      <c r="R4784" s="5"/>
    </row>
    <row r="4785" spans="2:18" x14ac:dyDescent="0.2">
      <c r="B4785" s="5"/>
      <c r="F4785" s="5"/>
      <c r="J4785" s="5"/>
      <c r="N4785" s="5"/>
      <c r="R4785" s="5"/>
    </row>
    <row r="4786" spans="2:18" x14ac:dyDescent="0.2">
      <c r="B4786" s="5"/>
      <c r="F4786" s="5"/>
      <c r="J4786" s="5"/>
      <c r="N4786" s="5"/>
      <c r="R4786" s="5"/>
    </row>
    <row r="4787" spans="2:18" x14ac:dyDescent="0.2">
      <c r="B4787" s="5"/>
      <c r="F4787" s="5"/>
      <c r="J4787" s="5"/>
      <c r="N4787" s="5"/>
      <c r="R4787" s="5"/>
    </row>
    <row r="4788" spans="2:18" x14ac:dyDescent="0.2">
      <c r="B4788" s="5"/>
      <c r="F4788" s="5"/>
      <c r="J4788" s="5"/>
      <c r="N4788" s="5"/>
      <c r="R4788" s="5"/>
    </row>
    <row r="4789" spans="2:18" x14ac:dyDescent="0.2">
      <c r="B4789" s="5"/>
      <c r="F4789" s="5"/>
      <c r="J4789" s="5"/>
      <c r="N4789" s="5"/>
      <c r="R4789" s="5"/>
    </row>
    <row r="4790" spans="2:18" x14ac:dyDescent="0.2">
      <c r="B4790" s="5"/>
      <c r="F4790" s="5"/>
      <c r="J4790" s="5"/>
      <c r="N4790" s="5"/>
      <c r="R4790" s="5"/>
    </row>
    <row r="4791" spans="2:18" x14ac:dyDescent="0.2">
      <c r="B4791" s="5"/>
      <c r="F4791" s="5"/>
      <c r="J4791" s="5"/>
      <c r="N4791" s="5"/>
      <c r="R4791" s="5"/>
    </row>
    <row r="4792" spans="2:18" x14ac:dyDescent="0.2">
      <c r="B4792" s="5"/>
      <c r="F4792" s="5"/>
      <c r="J4792" s="5"/>
      <c r="N4792" s="5"/>
      <c r="R4792" s="5"/>
    </row>
    <row r="4793" spans="2:18" x14ac:dyDescent="0.2">
      <c r="B4793" s="5"/>
      <c r="F4793" s="5"/>
      <c r="J4793" s="5"/>
      <c r="N4793" s="5"/>
      <c r="R4793" s="5"/>
    </row>
    <row r="4794" spans="2:18" x14ac:dyDescent="0.2">
      <c r="B4794" s="5"/>
      <c r="F4794" s="5"/>
      <c r="J4794" s="5"/>
      <c r="N4794" s="5"/>
      <c r="R4794" s="5"/>
    </row>
    <row r="4795" spans="2:18" x14ac:dyDescent="0.2">
      <c r="B4795" s="5"/>
      <c r="F4795" s="5"/>
      <c r="J4795" s="5"/>
      <c r="N4795" s="5"/>
      <c r="R4795" s="5"/>
    </row>
    <row r="4796" spans="2:18" x14ac:dyDescent="0.2">
      <c r="B4796" s="5"/>
      <c r="F4796" s="5"/>
      <c r="J4796" s="5"/>
      <c r="N4796" s="5"/>
      <c r="R4796" s="5"/>
    </row>
    <row r="4797" spans="2:18" x14ac:dyDescent="0.2">
      <c r="B4797" s="5"/>
      <c r="F4797" s="5"/>
      <c r="J4797" s="5"/>
      <c r="N4797" s="5"/>
      <c r="R4797" s="5"/>
    </row>
    <row r="4798" spans="2:18" x14ac:dyDescent="0.2">
      <c r="B4798" s="5"/>
      <c r="F4798" s="5"/>
      <c r="J4798" s="5"/>
      <c r="N4798" s="5"/>
      <c r="R4798" s="5"/>
    </row>
    <row r="4799" spans="2:18" x14ac:dyDescent="0.2">
      <c r="B4799" s="5"/>
      <c r="F4799" s="5"/>
      <c r="J4799" s="5"/>
      <c r="N4799" s="5"/>
      <c r="R4799" s="5"/>
    </row>
    <row r="4800" spans="2:18" x14ac:dyDescent="0.2">
      <c r="B4800" s="5"/>
      <c r="F4800" s="5"/>
      <c r="J4800" s="5"/>
      <c r="N4800" s="5"/>
      <c r="R4800" s="5"/>
    </row>
    <row r="4801" spans="2:18" x14ac:dyDescent="0.2">
      <c r="B4801" s="5"/>
      <c r="F4801" s="5"/>
      <c r="J4801" s="5"/>
      <c r="N4801" s="5"/>
      <c r="R4801" s="5"/>
    </row>
    <row r="4802" spans="2:18" x14ac:dyDescent="0.2">
      <c r="B4802" s="5"/>
      <c r="F4802" s="5"/>
      <c r="J4802" s="5"/>
      <c r="N4802" s="5"/>
      <c r="R4802" s="5"/>
    </row>
    <row r="4803" spans="2:18" x14ac:dyDescent="0.2">
      <c r="B4803" s="5"/>
      <c r="F4803" s="5"/>
      <c r="J4803" s="5"/>
      <c r="N4803" s="5"/>
      <c r="R4803" s="5"/>
    </row>
    <row r="4804" spans="2:18" x14ac:dyDescent="0.2">
      <c r="B4804" s="5"/>
      <c r="F4804" s="5"/>
      <c r="J4804" s="5"/>
      <c r="N4804" s="5"/>
      <c r="R4804" s="5"/>
    </row>
    <row r="4805" spans="2:18" x14ac:dyDescent="0.2">
      <c r="B4805" s="5"/>
      <c r="F4805" s="5"/>
      <c r="J4805" s="5"/>
      <c r="N4805" s="5"/>
      <c r="R4805" s="5"/>
    </row>
    <row r="4806" spans="2:18" x14ac:dyDescent="0.2">
      <c r="B4806" s="5"/>
      <c r="F4806" s="5"/>
      <c r="J4806" s="5"/>
      <c r="N4806" s="5"/>
      <c r="R4806" s="5"/>
    </row>
    <row r="4807" spans="2:18" x14ac:dyDescent="0.2">
      <c r="B4807" s="5"/>
      <c r="F4807" s="5"/>
      <c r="J4807" s="5"/>
      <c r="N4807" s="5"/>
      <c r="R4807" s="5"/>
    </row>
    <row r="4808" spans="2:18" x14ac:dyDescent="0.2">
      <c r="B4808" s="5"/>
      <c r="F4808" s="5"/>
      <c r="J4808" s="5"/>
      <c r="N4808" s="5"/>
      <c r="R4808" s="5"/>
    </row>
    <row r="4809" spans="2:18" x14ac:dyDescent="0.2">
      <c r="B4809" s="5"/>
      <c r="F4809" s="5"/>
      <c r="J4809" s="5"/>
      <c r="N4809" s="5"/>
      <c r="R4809" s="5"/>
    </row>
    <row r="4810" spans="2:18" x14ac:dyDescent="0.2">
      <c r="B4810" s="5"/>
      <c r="F4810" s="5"/>
      <c r="J4810" s="5"/>
      <c r="N4810" s="5"/>
      <c r="R4810" s="5"/>
    </row>
    <row r="4811" spans="2:18" x14ac:dyDescent="0.2">
      <c r="B4811" s="5"/>
      <c r="F4811" s="5"/>
      <c r="J4811" s="5"/>
      <c r="N4811" s="5"/>
      <c r="R4811" s="5"/>
    </row>
    <row r="4812" spans="2:18" x14ac:dyDescent="0.2">
      <c r="B4812" s="5"/>
      <c r="F4812" s="5"/>
      <c r="J4812" s="5"/>
      <c r="N4812" s="5"/>
      <c r="R4812" s="5"/>
    </row>
    <row r="4813" spans="2:18" x14ac:dyDescent="0.2">
      <c r="B4813" s="5"/>
      <c r="F4813" s="5"/>
      <c r="J4813" s="5"/>
      <c r="N4813" s="5"/>
      <c r="R4813" s="5"/>
    </row>
    <row r="4814" spans="2:18" x14ac:dyDescent="0.2">
      <c r="B4814" s="5"/>
      <c r="F4814" s="5"/>
      <c r="J4814" s="5"/>
      <c r="N4814" s="5"/>
      <c r="R4814" s="5"/>
    </row>
    <row r="4815" spans="2:18" x14ac:dyDescent="0.2">
      <c r="B4815" s="5"/>
      <c r="F4815" s="5"/>
      <c r="J4815" s="5"/>
      <c r="N4815" s="5"/>
      <c r="R4815" s="5"/>
    </row>
    <row r="4816" spans="2:18" x14ac:dyDescent="0.2">
      <c r="B4816" s="5"/>
      <c r="F4816" s="5"/>
      <c r="J4816" s="5"/>
      <c r="N4816" s="5"/>
      <c r="R4816" s="5"/>
    </row>
    <row r="4817" spans="2:18" x14ac:dyDescent="0.2">
      <c r="B4817" s="5"/>
      <c r="F4817" s="5"/>
      <c r="J4817" s="5"/>
      <c r="N4817" s="5"/>
      <c r="R4817" s="5"/>
    </row>
    <row r="4818" spans="2:18" x14ac:dyDescent="0.2">
      <c r="B4818" s="5"/>
      <c r="F4818" s="5"/>
      <c r="J4818" s="5"/>
      <c r="N4818" s="5"/>
      <c r="R4818" s="5"/>
    </row>
    <row r="4819" spans="2:18" x14ac:dyDescent="0.2">
      <c r="B4819" s="5"/>
      <c r="F4819" s="5"/>
      <c r="J4819" s="5"/>
      <c r="N4819" s="5"/>
      <c r="R4819" s="5"/>
    </row>
    <row r="4820" spans="2:18" x14ac:dyDescent="0.2">
      <c r="B4820" s="5"/>
      <c r="F4820" s="5"/>
      <c r="J4820" s="5"/>
      <c r="N4820" s="5"/>
      <c r="R4820" s="5"/>
    </row>
    <row r="4821" spans="2:18" x14ac:dyDescent="0.2">
      <c r="B4821" s="5"/>
      <c r="F4821" s="5"/>
      <c r="J4821" s="5"/>
      <c r="N4821" s="5"/>
      <c r="R4821" s="5"/>
    </row>
    <row r="4822" spans="2:18" x14ac:dyDescent="0.2">
      <c r="B4822" s="5"/>
      <c r="F4822" s="5"/>
      <c r="J4822" s="5"/>
      <c r="N4822" s="5"/>
      <c r="R4822" s="5"/>
    </row>
    <row r="4823" spans="2:18" x14ac:dyDescent="0.2">
      <c r="B4823" s="5"/>
      <c r="F4823" s="5"/>
      <c r="J4823" s="5"/>
      <c r="N4823" s="5"/>
      <c r="R4823" s="5"/>
    </row>
    <row r="4824" spans="2:18" x14ac:dyDescent="0.2">
      <c r="B4824" s="5"/>
      <c r="F4824" s="5"/>
      <c r="J4824" s="5"/>
      <c r="N4824" s="5"/>
      <c r="R4824" s="5"/>
    </row>
    <row r="4825" spans="2:18" x14ac:dyDescent="0.2">
      <c r="B4825" s="5"/>
      <c r="F4825" s="5"/>
      <c r="J4825" s="5"/>
      <c r="N4825" s="5"/>
      <c r="R4825" s="5"/>
    </row>
    <row r="4826" spans="2:18" x14ac:dyDescent="0.2">
      <c r="B4826" s="5"/>
      <c r="F4826" s="5"/>
      <c r="J4826" s="5"/>
      <c r="N4826" s="5"/>
      <c r="R4826" s="5"/>
    </row>
    <row r="4827" spans="2:18" x14ac:dyDescent="0.2">
      <c r="B4827" s="5"/>
      <c r="F4827" s="5"/>
      <c r="J4827" s="5"/>
      <c r="N4827" s="5"/>
      <c r="R4827" s="5"/>
    </row>
    <row r="4828" spans="2:18" x14ac:dyDescent="0.2">
      <c r="B4828" s="5"/>
      <c r="F4828" s="5"/>
      <c r="J4828" s="5"/>
      <c r="N4828" s="5"/>
      <c r="R4828" s="5"/>
    </row>
    <row r="4829" spans="2:18" x14ac:dyDescent="0.2">
      <c r="B4829" s="5"/>
      <c r="F4829" s="5"/>
      <c r="J4829" s="5"/>
      <c r="N4829" s="5"/>
      <c r="R4829" s="5"/>
    </row>
    <row r="4830" spans="2:18" x14ac:dyDescent="0.2">
      <c r="B4830" s="5"/>
      <c r="F4830" s="5"/>
      <c r="J4830" s="5"/>
      <c r="N4830" s="5"/>
      <c r="R4830" s="5"/>
    </row>
    <row r="4831" spans="2:18" x14ac:dyDescent="0.2">
      <c r="B4831" s="5"/>
      <c r="F4831" s="5"/>
      <c r="J4831" s="5"/>
      <c r="N4831" s="5"/>
      <c r="R4831" s="5"/>
    </row>
    <row r="4832" spans="2:18" x14ac:dyDescent="0.2">
      <c r="B4832" s="5"/>
      <c r="F4832" s="5"/>
      <c r="J4832" s="5"/>
      <c r="N4832" s="5"/>
      <c r="R4832" s="5"/>
    </row>
    <row r="4833" spans="2:18" x14ac:dyDescent="0.2">
      <c r="B4833" s="5"/>
      <c r="F4833" s="5"/>
      <c r="J4833" s="5"/>
      <c r="N4833" s="5"/>
      <c r="R4833" s="5"/>
    </row>
    <row r="4834" spans="2:18" x14ac:dyDescent="0.2">
      <c r="B4834" s="5"/>
      <c r="F4834" s="5"/>
      <c r="J4834" s="5"/>
      <c r="N4834" s="5"/>
      <c r="R4834" s="5"/>
    </row>
    <row r="4835" spans="2:18" x14ac:dyDescent="0.2">
      <c r="B4835" s="5"/>
      <c r="F4835" s="5"/>
      <c r="J4835" s="5"/>
      <c r="N4835" s="5"/>
      <c r="R4835" s="5"/>
    </row>
    <row r="4836" spans="2:18" x14ac:dyDescent="0.2">
      <c r="B4836" s="5"/>
      <c r="F4836" s="5"/>
      <c r="J4836" s="5"/>
      <c r="N4836" s="5"/>
      <c r="R4836" s="5"/>
    </row>
    <row r="4837" spans="2:18" x14ac:dyDescent="0.2">
      <c r="B4837" s="5"/>
      <c r="F4837" s="5"/>
      <c r="J4837" s="5"/>
      <c r="N4837" s="5"/>
      <c r="R4837" s="5"/>
    </row>
    <row r="4838" spans="2:18" x14ac:dyDescent="0.2">
      <c r="B4838" s="5"/>
      <c r="F4838" s="5"/>
      <c r="J4838" s="5"/>
      <c r="N4838" s="5"/>
      <c r="R4838" s="5"/>
    </row>
    <row r="4839" spans="2:18" x14ac:dyDescent="0.2">
      <c r="B4839" s="5"/>
      <c r="F4839" s="5"/>
      <c r="J4839" s="5"/>
      <c r="N4839" s="5"/>
      <c r="R4839" s="5"/>
    </row>
    <row r="4840" spans="2:18" x14ac:dyDescent="0.2">
      <c r="B4840" s="5"/>
      <c r="F4840" s="5"/>
      <c r="J4840" s="5"/>
      <c r="N4840" s="5"/>
      <c r="R4840" s="5"/>
    </row>
    <row r="4841" spans="2:18" x14ac:dyDescent="0.2">
      <c r="B4841" s="5"/>
      <c r="F4841" s="5"/>
      <c r="J4841" s="5"/>
      <c r="N4841" s="5"/>
      <c r="R4841" s="5"/>
    </row>
    <row r="4842" spans="2:18" x14ac:dyDescent="0.2">
      <c r="B4842" s="5"/>
      <c r="F4842" s="5"/>
      <c r="J4842" s="5"/>
      <c r="N4842" s="5"/>
      <c r="R4842" s="5"/>
    </row>
    <row r="4843" spans="2:18" x14ac:dyDescent="0.2">
      <c r="B4843" s="5"/>
      <c r="F4843" s="5"/>
      <c r="J4843" s="5"/>
      <c r="N4843" s="5"/>
      <c r="R4843" s="5"/>
    </row>
    <row r="4844" spans="2:18" x14ac:dyDescent="0.2">
      <c r="B4844" s="5"/>
      <c r="F4844" s="5"/>
      <c r="J4844" s="5"/>
      <c r="N4844" s="5"/>
      <c r="R4844" s="5"/>
    </row>
    <row r="4845" spans="2:18" x14ac:dyDescent="0.2">
      <c r="B4845" s="5"/>
      <c r="F4845" s="5"/>
      <c r="J4845" s="5"/>
      <c r="N4845" s="5"/>
      <c r="R4845" s="5"/>
    </row>
    <row r="4846" spans="2:18" x14ac:dyDescent="0.2">
      <c r="B4846" s="5"/>
      <c r="F4846" s="5"/>
      <c r="J4846" s="5"/>
      <c r="N4846" s="5"/>
      <c r="R4846" s="5"/>
    </row>
    <row r="4847" spans="2:18" x14ac:dyDescent="0.2">
      <c r="B4847" s="5"/>
      <c r="F4847" s="5"/>
      <c r="J4847" s="5"/>
      <c r="N4847" s="5"/>
      <c r="R4847" s="5"/>
    </row>
    <row r="4848" spans="2:18" x14ac:dyDescent="0.2">
      <c r="B4848" s="5"/>
      <c r="F4848" s="5"/>
      <c r="J4848" s="5"/>
      <c r="N4848" s="5"/>
      <c r="R4848" s="5"/>
    </row>
    <row r="4849" spans="2:18" x14ac:dyDescent="0.2">
      <c r="B4849" s="5"/>
      <c r="F4849" s="5"/>
      <c r="J4849" s="5"/>
      <c r="N4849" s="5"/>
      <c r="R4849" s="5"/>
    </row>
    <row r="4850" spans="2:18" x14ac:dyDescent="0.2">
      <c r="B4850" s="5"/>
      <c r="F4850" s="5"/>
      <c r="J4850" s="5"/>
      <c r="N4850" s="5"/>
      <c r="R4850" s="5"/>
    </row>
    <row r="4851" spans="2:18" x14ac:dyDescent="0.2">
      <c r="B4851" s="5"/>
      <c r="F4851" s="5"/>
      <c r="J4851" s="5"/>
      <c r="N4851" s="5"/>
      <c r="R4851" s="5"/>
    </row>
    <row r="4852" spans="2:18" x14ac:dyDescent="0.2">
      <c r="B4852" s="5"/>
      <c r="F4852" s="5"/>
      <c r="J4852" s="5"/>
      <c r="N4852" s="5"/>
      <c r="R4852" s="5"/>
    </row>
    <row r="4853" spans="2:18" x14ac:dyDescent="0.2">
      <c r="B4853" s="5"/>
      <c r="F4853" s="5"/>
      <c r="J4853" s="5"/>
      <c r="N4853" s="5"/>
      <c r="R4853" s="5"/>
    </row>
    <row r="4854" spans="2:18" x14ac:dyDescent="0.2">
      <c r="B4854" s="5"/>
      <c r="F4854" s="5"/>
      <c r="J4854" s="5"/>
      <c r="N4854" s="5"/>
      <c r="R4854" s="5"/>
    </row>
    <row r="4855" spans="2:18" x14ac:dyDescent="0.2">
      <c r="B4855" s="5"/>
      <c r="F4855" s="5"/>
      <c r="J4855" s="5"/>
      <c r="N4855" s="5"/>
      <c r="R4855" s="5"/>
    </row>
    <row r="4856" spans="2:18" x14ac:dyDescent="0.2">
      <c r="B4856" s="5"/>
      <c r="F4856" s="5"/>
      <c r="J4856" s="5"/>
      <c r="N4856" s="5"/>
      <c r="R4856" s="5"/>
    </row>
    <row r="4857" spans="2:18" x14ac:dyDescent="0.2">
      <c r="B4857" s="5"/>
      <c r="F4857" s="5"/>
      <c r="J4857" s="5"/>
      <c r="N4857" s="5"/>
      <c r="R4857" s="5"/>
    </row>
    <row r="4858" spans="2:18" x14ac:dyDescent="0.2">
      <c r="B4858" s="5"/>
      <c r="F4858" s="5"/>
      <c r="J4858" s="5"/>
      <c r="N4858" s="5"/>
      <c r="R4858" s="5"/>
    </row>
    <row r="4859" spans="2:18" x14ac:dyDescent="0.2">
      <c r="B4859" s="5"/>
      <c r="F4859" s="5"/>
      <c r="J4859" s="5"/>
      <c r="N4859" s="5"/>
      <c r="R4859" s="5"/>
    </row>
    <row r="4860" spans="2:18" x14ac:dyDescent="0.2">
      <c r="B4860" s="5"/>
      <c r="F4860" s="5"/>
      <c r="J4860" s="5"/>
      <c r="N4860" s="5"/>
      <c r="R4860" s="5"/>
    </row>
    <row r="4861" spans="2:18" x14ac:dyDescent="0.2">
      <c r="B4861" s="5"/>
      <c r="F4861" s="5"/>
      <c r="J4861" s="5"/>
      <c r="N4861" s="5"/>
      <c r="R4861" s="5"/>
    </row>
    <row r="4862" spans="2:18" x14ac:dyDescent="0.2">
      <c r="B4862" s="5"/>
      <c r="F4862" s="5"/>
      <c r="J4862" s="5"/>
      <c r="N4862" s="5"/>
      <c r="R4862" s="5"/>
    </row>
    <row r="4863" spans="2:18" x14ac:dyDescent="0.2">
      <c r="B4863" s="5"/>
      <c r="F4863" s="5"/>
      <c r="J4863" s="5"/>
      <c r="N4863" s="5"/>
      <c r="R4863" s="5"/>
    </row>
    <row r="4864" spans="2:18" x14ac:dyDescent="0.2">
      <c r="B4864" s="5"/>
      <c r="F4864" s="5"/>
      <c r="J4864" s="5"/>
      <c r="N4864" s="5"/>
      <c r="R4864" s="5"/>
    </row>
    <row r="4865" spans="2:18" x14ac:dyDescent="0.2">
      <c r="B4865" s="5"/>
      <c r="F4865" s="5"/>
      <c r="J4865" s="5"/>
      <c r="N4865" s="5"/>
      <c r="R4865" s="5"/>
    </row>
    <row r="4866" spans="2:18" x14ac:dyDescent="0.2">
      <c r="B4866" s="5"/>
      <c r="F4866" s="5"/>
      <c r="J4866" s="5"/>
      <c r="N4866" s="5"/>
      <c r="R4866" s="5"/>
    </row>
    <row r="4867" spans="2:18" x14ac:dyDescent="0.2">
      <c r="B4867" s="5"/>
      <c r="F4867" s="5"/>
      <c r="J4867" s="5"/>
      <c r="N4867" s="5"/>
      <c r="R4867" s="5"/>
    </row>
    <row r="4868" spans="2:18" x14ac:dyDescent="0.2">
      <c r="B4868" s="5"/>
      <c r="F4868" s="5"/>
      <c r="J4868" s="5"/>
      <c r="N4868" s="5"/>
      <c r="R4868" s="5"/>
    </row>
    <row r="4869" spans="2:18" x14ac:dyDescent="0.2">
      <c r="B4869" s="5"/>
      <c r="F4869" s="5"/>
      <c r="J4869" s="5"/>
      <c r="N4869" s="5"/>
      <c r="R4869" s="5"/>
    </row>
    <row r="4870" spans="2:18" x14ac:dyDescent="0.2">
      <c r="B4870" s="5"/>
      <c r="F4870" s="5"/>
      <c r="J4870" s="5"/>
      <c r="N4870" s="5"/>
      <c r="R4870" s="5"/>
    </row>
    <row r="4871" spans="2:18" x14ac:dyDescent="0.2">
      <c r="B4871" s="5"/>
      <c r="F4871" s="5"/>
      <c r="J4871" s="5"/>
      <c r="N4871" s="5"/>
      <c r="R4871" s="5"/>
    </row>
    <row r="4872" spans="2:18" x14ac:dyDescent="0.2">
      <c r="B4872" s="5"/>
      <c r="F4872" s="5"/>
      <c r="J4872" s="5"/>
      <c r="N4872" s="5"/>
      <c r="R4872" s="5"/>
    </row>
    <row r="4873" spans="2:18" x14ac:dyDescent="0.2">
      <c r="B4873" s="5"/>
      <c r="F4873" s="5"/>
      <c r="J4873" s="5"/>
      <c r="N4873" s="5"/>
      <c r="R4873" s="5"/>
    </row>
    <row r="4874" spans="2:18" x14ac:dyDescent="0.2">
      <c r="B4874" s="5"/>
      <c r="F4874" s="5"/>
      <c r="J4874" s="5"/>
      <c r="N4874" s="5"/>
      <c r="R4874" s="5"/>
    </row>
    <row r="4875" spans="2:18" x14ac:dyDescent="0.2">
      <c r="B4875" s="5"/>
      <c r="F4875" s="5"/>
      <c r="J4875" s="5"/>
      <c r="N4875" s="5"/>
      <c r="R4875" s="5"/>
    </row>
    <row r="4876" spans="2:18" x14ac:dyDescent="0.2">
      <c r="B4876" s="5"/>
      <c r="F4876" s="5"/>
      <c r="J4876" s="5"/>
      <c r="N4876" s="5"/>
      <c r="R4876" s="5"/>
    </row>
    <row r="4877" spans="2:18" x14ac:dyDescent="0.2">
      <c r="B4877" s="5"/>
      <c r="F4877" s="5"/>
      <c r="J4877" s="5"/>
      <c r="N4877" s="5"/>
      <c r="R4877" s="5"/>
    </row>
    <row r="4878" spans="2:18" x14ac:dyDescent="0.2">
      <c r="B4878" s="5"/>
      <c r="F4878" s="5"/>
      <c r="J4878" s="5"/>
      <c r="N4878" s="5"/>
      <c r="R4878" s="5"/>
    </row>
    <row r="4879" spans="2:18" x14ac:dyDescent="0.2">
      <c r="B4879" s="5"/>
      <c r="F4879" s="5"/>
      <c r="J4879" s="5"/>
      <c r="N4879" s="5"/>
      <c r="R4879" s="5"/>
    </row>
    <row r="4880" spans="2:18" x14ac:dyDescent="0.2">
      <c r="B4880" s="5"/>
      <c r="F4880" s="5"/>
      <c r="J4880" s="5"/>
      <c r="N4880" s="5"/>
      <c r="R4880" s="5"/>
    </row>
    <row r="4881" spans="2:18" x14ac:dyDescent="0.2">
      <c r="B4881" s="5"/>
      <c r="F4881" s="5"/>
      <c r="J4881" s="5"/>
      <c r="N4881" s="5"/>
      <c r="R4881" s="5"/>
    </row>
    <row r="4882" spans="2:18" x14ac:dyDescent="0.2">
      <c r="B4882" s="5"/>
      <c r="F4882" s="5"/>
      <c r="J4882" s="5"/>
      <c r="N4882" s="5"/>
      <c r="R4882" s="5"/>
    </row>
    <row r="4883" spans="2:18" x14ac:dyDescent="0.2">
      <c r="B4883" s="5"/>
      <c r="F4883" s="5"/>
      <c r="J4883" s="5"/>
      <c r="N4883" s="5"/>
      <c r="R4883" s="5"/>
    </row>
    <row r="4884" spans="2:18" x14ac:dyDescent="0.2">
      <c r="B4884" s="5"/>
      <c r="F4884" s="5"/>
      <c r="J4884" s="5"/>
      <c r="N4884" s="5"/>
      <c r="R4884" s="5"/>
    </row>
    <row r="4885" spans="2:18" x14ac:dyDescent="0.2">
      <c r="B4885" s="5"/>
      <c r="F4885" s="5"/>
      <c r="J4885" s="5"/>
      <c r="N4885" s="5"/>
      <c r="R4885" s="5"/>
    </row>
    <row r="4886" spans="2:18" x14ac:dyDescent="0.2">
      <c r="B4886" s="5"/>
      <c r="F4886" s="5"/>
      <c r="J4886" s="5"/>
      <c r="N4886" s="5"/>
      <c r="R4886" s="5"/>
    </row>
    <row r="4887" spans="2:18" x14ac:dyDescent="0.2">
      <c r="B4887" s="5"/>
      <c r="F4887" s="5"/>
      <c r="J4887" s="5"/>
      <c r="N4887" s="5"/>
      <c r="R4887" s="5"/>
    </row>
    <row r="4888" spans="2:18" x14ac:dyDescent="0.2">
      <c r="B4888" s="5"/>
      <c r="F4888" s="5"/>
      <c r="J4888" s="5"/>
      <c r="N4888" s="5"/>
      <c r="R4888" s="5"/>
    </row>
    <row r="4889" spans="2:18" x14ac:dyDescent="0.2">
      <c r="B4889" s="5"/>
      <c r="F4889" s="5"/>
      <c r="J4889" s="5"/>
      <c r="N4889" s="5"/>
      <c r="R4889" s="5"/>
    </row>
    <row r="4890" spans="2:18" x14ac:dyDescent="0.2">
      <c r="B4890" s="5"/>
      <c r="F4890" s="5"/>
      <c r="J4890" s="5"/>
      <c r="N4890" s="5"/>
      <c r="R4890" s="5"/>
    </row>
    <row r="4891" spans="2:18" x14ac:dyDescent="0.2">
      <c r="B4891" s="5"/>
      <c r="F4891" s="5"/>
      <c r="J4891" s="5"/>
      <c r="N4891" s="5"/>
      <c r="R4891" s="5"/>
    </row>
    <row r="4892" spans="2:18" x14ac:dyDescent="0.2">
      <c r="B4892" s="5"/>
      <c r="F4892" s="5"/>
      <c r="J4892" s="5"/>
      <c r="N4892" s="5"/>
      <c r="R4892" s="5"/>
    </row>
    <row r="4893" spans="2:18" x14ac:dyDescent="0.2">
      <c r="B4893" s="5"/>
      <c r="F4893" s="5"/>
      <c r="J4893" s="5"/>
      <c r="N4893" s="5"/>
      <c r="R4893" s="5"/>
    </row>
    <row r="4894" spans="2:18" x14ac:dyDescent="0.2">
      <c r="B4894" s="5"/>
      <c r="F4894" s="5"/>
      <c r="J4894" s="5"/>
      <c r="N4894" s="5"/>
      <c r="R4894" s="5"/>
    </row>
    <row r="4895" spans="2:18" x14ac:dyDescent="0.2">
      <c r="B4895" s="5"/>
      <c r="F4895" s="5"/>
      <c r="J4895" s="5"/>
      <c r="N4895" s="5"/>
      <c r="R4895" s="5"/>
    </row>
    <row r="4896" spans="2:18" x14ac:dyDescent="0.2">
      <c r="B4896" s="5"/>
      <c r="F4896" s="5"/>
      <c r="J4896" s="5"/>
      <c r="N4896" s="5"/>
      <c r="R4896" s="5"/>
    </row>
    <row r="4897" spans="2:18" x14ac:dyDescent="0.2">
      <c r="B4897" s="5"/>
      <c r="F4897" s="5"/>
      <c r="J4897" s="5"/>
      <c r="N4897" s="5"/>
      <c r="R4897" s="5"/>
    </row>
    <row r="4898" spans="2:18" x14ac:dyDescent="0.2">
      <c r="B4898" s="5"/>
      <c r="F4898" s="5"/>
      <c r="J4898" s="5"/>
      <c r="N4898" s="5"/>
      <c r="R4898" s="5"/>
    </row>
    <row r="4899" spans="2:18" x14ac:dyDescent="0.2">
      <c r="B4899" s="5"/>
      <c r="F4899" s="5"/>
      <c r="J4899" s="5"/>
      <c r="N4899" s="5"/>
      <c r="R4899" s="5"/>
    </row>
    <row r="4900" spans="2:18" x14ac:dyDescent="0.2">
      <c r="B4900" s="5"/>
      <c r="F4900" s="5"/>
      <c r="J4900" s="5"/>
      <c r="N4900" s="5"/>
      <c r="R4900" s="5"/>
    </row>
    <row r="4901" spans="2:18" x14ac:dyDescent="0.2">
      <c r="B4901" s="5"/>
      <c r="F4901" s="5"/>
      <c r="J4901" s="5"/>
      <c r="N4901" s="5"/>
      <c r="R4901" s="5"/>
    </row>
    <row r="4902" spans="2:18" x14ac:dyDescent="0.2">
      <c r="B4902" s="5"/>
      <c r="F4902" s="5"/>
      <c r="J4902" s="5"/>
      <c r="N4902" s="5"/>
      <c r="R4902" s="5"/>
    </row>
    <row r="4903" spans="2:18" x14ac:dyDescent="0.2">
      <c r="B4903" s="5"/>
      <c r="F4903" s="5"/>
      <c r="J4903" s="5"/>
      <c r="N4903" s="5"/>
      <c r="R4903" s="5"/>
    </row>
    <row r="4904" spans="2:18" x14ac:dyDescent="0.2">
      <c r="B4904" s="5"/>
      <c r="F4904" s="5"/>
      <c r="J4904" s="5"/>
      <c r="N4904" s="5"/>
      <c r="R4904" s="5"/>
    </row>
    <row r="4905" spans="2:18" x14ac:dyDescent="0.2">
      <c r="B4905" s="5"/>
      <c r="F4905" s="5"/>
      <c r="J4905" s="5"/>
      <c r="N4905" s="5"/>
      <c r="R4905" s="5"/>
    </row>
    <row r="4906" spans="2:18" x14ac:dyDescent="0.2">
      <c r="B4906" s="5"/>
      <c r="F4906" s="5"/>
      <c r="J4906" s="5"/>
      <c r="N4906" s="5"/>
      <c r="R4906" s="5"/>
    </row>
    <row r="4907" spans="2:18" x14ac:dyDescent="0.2">
      <c r="B4907" s="5"/>
      <c r="F4907" s="5"/>
      <c r="J4907" s="5"/>
      <c r="N4907" s="5"/>
      <c r="R4907" s="5"/>
    </row>
    <row r="4908" spans="2:18" x14ac:dyDescent="0.2">
      <c r="B4908" s="5"/>
      <c r="F4908" s="5"/>
      <c r="J4908" s="5"/>
      <c r="N4908" s="5"/>
      <c r="R4908" s="5"/>
    </row>
    <row r="4909" spans="2:18" x14ac:dyDescent="0.2">
      <c r="B4909" s="5"/>
      <c r="F4909" s="5"/>
      <c r="J4909" s="5"/>
      <c r="N4909" s="5"/>
      <c r="R4909" s="5"/>
    </row>
    <row r="4910" spans="2:18" x14ac:dyDescent="0.2">
      <c r="B4910" s="5"/>
      <c r="F4910" s="5"/>
      <c r="J4910" s="5"/>
      <c r="N4910" s="5"/>
      <c r="R4910" s="5"/>
    </row>
    <row r="4911" spans="2:18" x14ac:dyDescent="0.2">
      <c r="B4911" s="5"/>
      <c r="F4911" s="5"/>
      <c r="J4911" s="5"/>
      <c r="N4911" s="5"/>
      <c r="R4911" s="5"/>
    </row>
    <row r="4912" spans="2:18" x14ac:dyDescent="0.2">
      <c r="B4912" s="5"/>
      <c r="F4912" s="5"/>
      <c r="J4912" s="5"/>
      <c r="N4912" s="5"/>
      <c r="R4912" s="5"/>
    </row>
    <row r="4913" spans="2:18" x14ac:dyDescent="0.2">
      <c r="B4913" s="5"/>
      <c r="F4913" s="5"/>
      <c r="J4913" s="5"/>
      <c r="N4913" s="5"/>
      <c r="R4913" s="5"/>
    </row>
    <row r="4914" spans="2:18" x14ac:dyDescent="0.2">
      <c r="B4914" s="5"/>
      <c r="F4914" s="5"/>
      <c r="J4914" s="5"/>
      <c r="N4914" s="5"/>
      <c r="R4914" s="5"/>
    </row>
    <row r="4915" spans="2:18" x14ac:dyDescent="0.2">
      <c r="B4915" s="5"/>
      <c r="F4915" s="5"/>
      <c r="J4915" s="5"/>
      <c r="N4915" s="5"/>
      <c r="R4915" s="5"/>
    </row>
    <row r="4916" spans="2:18" x14ac:dyDescent="0.2">
      <c r="B4916" s="5"/>
      <c r="F4916" s="5"/>
      <c r="J4916" s="5"/>
      <c r="N4916" s="5"/>
      <c r="R4916" s="5"/>
    </row>
    <row r="4917" spans="2:18" x14ac:dyDescent="0.2">
      <c r="B4917" s="5"/>
      <c r="F4917" s="5"/>
      <c r="J4917" s="5"/>
      <c r="N4917" s="5"/>
      <c r="R4917" s="5"/>
    </row>
    <row r="4918" spans="2:18" x14ac:dyDescent="0.2">
      <c r="B4918" s="5"/>
      <c r="F4918" s="5"/>
      <c r="J4918" s="5"/>
      <c r="N4918" s="5"/>
      <c r="R4918" s="5"/>
    </row>
    <row r="4919" spans="2:18" x14ac:dyDescent="0.2">
      <c r="B4919" s="5"/>
      <c r="F4919" s="5"/>
      <c r="J4919" s="5"/>
      <c r="N4919" s="5"/>
      <c r="R4919" s="5"/>
    </row>
    <row r="4920" spans="2:18" x14ac:dyDescent="0.2">
      <c r="B4920" s="5"/>
      <c r="F4920" s="5"/>
      <c r="J4920" s="5"/>
      <c r="N4920" s="5"/>
      <c r="R4920" s="5"/>
    </row>
    <row r="4921" spans="2:18" x14ac:dyDescent="0.2">
      <c r="B4921" s="5"/>
      <c r="F4921" s="5"/>
      <c r="J4921" s="5"/>
      <c r="N4921" s="5"/>
      <c r="R4921" s="5"/>
    </row>
    <row r="4922" spans="2:18" x14ac:dyDescent="0.2">
      <c r="B4922" s="5"/>
      <c r="F4922" s="5"/>
      <c r="J4922" s="5"/>
      <c r="N4922" s="5"/>
      <c r="R4922" s="5"/>
    </row>
    <row r="4923" spans="2:18" x14ac:dyDescent="0.2">
      <c r="B4923" s="5"/>
      <c r="F4923" s="5"/>
      <c r="J4923" s="5"/>
      <c r="N4923" s="5"/>
      <c r="R4923" s="5"/>
    </row>
    <row r="4924" spans="2:18" x14ac:dyDescent="0.2">
      <c r="B4924" s="5"/>
      <c r="F4924" s="5"/>
      <c r="J4924" s="5"/>
      <c r="N4924" s="5"/>
      <c r="R4924" s="5"/>
    </row>
    <row r="4925" spans="2:18" x14ac:dyDescent="0.2">
      <c r="B4925" s="5"/>
      <c r="F4925" s="5"/>
      <c r="J4925" s="5"/>
      <c r="N4925" s="5"/>
      <c r="R4925" s="5"/>
    </row>
    <row r="4926" spans="2:18" x14ac:dyDescent="0.2">
      <c r="B4926" s="5"/>
      <c r="F4926" s="5"/>
      <c r="J4926" s="5"/>
      <c r="N4926" s="5"/>
      <c r="R4926" s="5"/>
    </row>
    <row r="4927" spans="2:18" x14ac:dyDescent="0.2">
      <c r="B4927" s="5"/>
      <c r="F4927" s="5"/>
      <c r="J4927" s="5"/>
      <c r="N4927" s="5"/>
      <c r="R4927" s="5"/>
    </row>
    <row r="4928" spans="2:18" x14ac:dyDescent="0.2">
      <c r="B4928" s="5"/>
      <c r="F4928" s="5"/>
      <c r="J4928" s="5"/>
      <c r="N4928" s="5"/>
      <c r="R4928" s="5"/>
    </row>
    <row r="4929" spans="2:18" x14ac:dyDescent="0.2">
      <c r="B4929" s="5"/>
      <c r="F4929" s="5"/>
      <c r="J4929" s="5"/>
      <c r="N4929" s="5"/>
      <c r="R4929" s="5"/>
    </row>
    <row r="4930" spans="2:18" x14ac:dyDescent="0.2">
      <c r="B4930" s="5"/>
      <c r="F4930" s="5"/>
      <c r="J4930" s="5"/>
      <c r="N4930" s="5"/>
      <c r="R4930" s="5"/>
    </row>
    <row r="4931" spans="2:18" x14ac:dyDescent="0.2">
      <c r="B4931" s="5"/>
      <c r="F4931" s="5"/>
      <c r="J4931" s="5"/>
      <c r="N4931" s="5"/>
      <c r="R4931" s="5"/>
    </row>
    <row r="4932" spans="2:18" x14ac:dyDescent="0.2">
      <c r="B4932" s="5"/>
      <c r="F4932" s="5"/>
      <c r="J4932" s="5"/>
      <c r="N4932" s="5"/>
      <c r="R4932" s="5"/>
    </row>
    <row r="4933" spans="2:18" x14ac:dyDescent="0.2">
      <c r="B4933" s="5"/>
      <c r="F4933" s="5"/>
      <c r="J4933" s="5"/>
      <c r="N4933" s="5"/>
      <c r="R4933" s="5"/>
    </row>
    <row r="4934" spans="2:18" x14ac:dyDescent="0.2">
      <c r="B4934" s="5"/>
      <c r="F4934" s="5"/>
      <c r="J4934" s="5"/>
      <c r="N4934" s="5"/>
      <c r="R4934" s="5"/>
    </row>
    <row r="4935" spans="2:18" x14ac:dyDescent="0.2">
      <c r="B4935" s="5"/>
      <c r="F4935" s="5"/>
      <c r="J4935" s="5"/>
      <c r="N4935" s="5"/>
      <c r="R4935" s="5"/>
    </row>
    <row r="4936" spans="2:18" x14ac:dyDescent="0.2">
      <c r="B4936" s="5"/>
      <c r="F4936" s="5"/>
      <c r="J4936" s="5"/>
      <c r="N4936" s="5"/>
      <c r="R4936" s="5"/>
    </row>
    <row r="4937" spans="2:18" x14ac:dyDescent="0.2">
      <c r="B4937" s="5"/>
      <c r="F4937" s="5"/>
      <c r="J4937" s="5"/>
      <c r="N4937" s="5"/>
      <c r="R4937" s="5"/>
    </row>
    <row r="4938" spans="2:18" x14ac:dyDescent="0.2">
      <c r="B4938" s="5"/>
      <c r="F4938" s="5"/>
      <c r="J4938" s="5"/>
      <c r="N4938" s="5"/>
      <c r="R4938" s="5"/>
    </row>
    <row r="4939" spans="2:18" x14ac:dyDescent="0.2">
      <c r="B4939" s="5"/>
      <c r="F4939" s="5"/>
      <c r="J4939" s="5"/>
      <c r="N4939" s="5"/>
      <c r="R4939" s="5"/>
    </row>
    <row r="4940" spans="2:18" x14ac:dyDescent="0.2">
      <c r="B4940" s="5"/>
      <c r="F4940" s="5"/>
      <c r="J4940" s="5"/>
      <c r="N4940" s="5"/>
      <c r="R4940" s="5"/>
    </row>
    <row r="4941" spans="2:18" x14ac:dyDescent="0.2">
      <c r="B4941" s="5"/>
      <c r="F4941" s="5"/>
      <c r="J4941" s="5"/>
      <c r="N4941" s="5"/>
      <c r="R4941" s="5"/>
    </row>
    <row r="4942" spans="2:18" x14ac:dyDescent="0.2">
      <c r="B4942" s="5"/>
      <c r="F4942" s="5"/>
      <c r="J4942" s="5"/>
      <c r="N4942" s="5"/>
      <c r="R4942" s="5"/>
    </row>
    <row r="4943" spans="2:18" x14ac:dyDescent="0.2">
      <c r="B4943" s="5"/>
      <c r="F4943" s="5"/>
      <c r="J4943" s="5"/>
      <c r="N4943" s="5"/>
      <c r="R4943" s="5"/>
    </row>
    <row r="4944" spans="2:18" x14ac:dyDescent="0.2">
      <c r="B4944" s="5"/>
      <c r="F4944" s="5"/>
      <c r="J4944" s="5"/>
      <c r="N4944" s="5"/>
      <c r="R4944" s="5"/>
    </row>
    <row r="4945" spans="2:18" x14ac:dyDescent="0.2">
      <c r="B4945" s="5"/>
      <c r="F4945" s="5"/>
      <c r="J4945" s="5"/>
      <c r="N4945" s="5"/>
      <c r="R4945" s="5"/>
    </row>
    <row r="4946" spans="2:18" x14ac:dyDescent="0.2">
      <c r="B4946" s="5"/>
      <c r="F4946" s="5"/>
      <c r="J4946" s="5"/>
      <c r="N4946" s="5"/>
      <c r="R4946" s="5"/>
    </row>
    <row r="4947" spans="2:18" x14ac:dyDescent="0.2">
      <c r="B4947" s="5"/>
      <c r="F4947" s="5"/>
      <c r="J4947" s="5"/>
      <c r="N4947" s="5"/>
      <c r="R4947" s="5"/>
    </row>
    <row r="4948" spans="2:18" x14ac:dyDescent="0.2">
      <c r="B4948" s="5"/>
      <c r="F4948" s="5"/>
      <c r="J4948" s="5"/>
      <c r="N4948" s="5"/>
      <c r="R4948" s="5"/>
    </row>
    <row r="4949" spans="2:18" x14ac:dyDescent="0.2">
      <c r="B4949" s="5"/>
      <c r="F4949" s="5"/>
      <c r="J4949" s="5"/>
      <c r="N4949" s="5"/>
      <c r="R4949" s="5"/>
    </row>
    <row r="4950" spans="2:18" x14ac:dyDescent="0.2">
      <c r="B4950" s="5"/>
      <c r="F4950" s="5"/>
      <c r="J4950" s="5"/>
      <c r="N4950" s="5"/>
      <c r="R4950" s="5"/>
    </row>
    <row r="4951" spans="2:18" x14ac:dyDescent="0.2">
      <c r="B4951" s="5"/>
      <c r="F4951" s="5"/>
      <c r="J4951" s="5"/>
      <c r="N4951" s="5"/>
      <c r="R4951" s="5"/>
    </row>
    <row r="4952" spans="2:18" x14ac:dyDescent="0.2">
      <c r="B4952" s="5"/>
      <c r="F4952" s="5"/>
      <c r="J4952" s="5"/>
      <c r="N4952" s="5"/>
      <c r="R4952" s="5"/>
    </row>
    <row r="4953" spans="2:18" x14ac:dyDescent="0.2">
      <c r="B4953" s="5"/>
      <c r="F4953" s="5"/>
      <c r="J4953" s="5"/>
      <c r="N4953" s="5"/>
      <c r="R4953" s="5"/>
    </row>
    <row r="4954" spans="2:18" x14ac:dyDescent="0.2">
      <c r="B4954" s="5"/>
      <c r="F4954" s="5"/>
      <c r="J4954" s="5"/>
      <c r="N4954" s="5"/>
      <c r="R4954" s="5"/>
    </row>
    <row r="4955" spans="2:18" x14ac:dyDescent="0.2">
      <c r="B4955" s="5"/>
      <c r="F4955" s="5"/>
      <c r="J4955" s="5"/>
      <c r="N4955" s="5"/>
      <c r="R4955" s="5"/>
    </row>
    <row r="4956" spans="2:18" x14ac:dyDescent="0.2">
      <c r="B4956" s="5"/>
      <c r="F4956" s="5"/>
      <c r="J4956" s="5"/>
      <c r="N4956" s="5"/>
      <c r="R4956" s="5"/>
    </row>
    <row r="4957" spans="2:18" x14ac:dyDescent="0.2">
      <c r="B4957" s="5"/>
      <c r="F4957" s="5"/>
      <c r="J4957" s="5"/>
      <c r="N4957" s="5"/>
      <c r="R4957" s="5"/>
    </row>
    <row r="4958" spans="2:18" x14ac:dyDescent="0.2">
      <c r="B4958" s="5"/>
      <c r="F4958" s="5"/>
      <c r="J4958" s="5"/>
      <c r="N4958" s="5"/>
      <c r="R4958" s="5"/>
    </row>
    <row r="4959" spans="2:18" x14ac:dyDescent="0.2">
      <c r="B4959" s="5"/>
      <c r="F4959" s="5"/>
      <c r="J4959" s="5"/>
      <c r="N4959" s="5"/>
      <c r="R4959" s="5"/>
    </row>
    <row r="4960" spans="2:18" x14ac:dyDescent="0.2">
      <c r="B4960" s="5"/>
      <c r="F4960" s="5"/>
      <c r="J4960" s="5"/>
      <c r="N4960" s="5"/>
      <c r="R4960" s="5"/>
    </row>
    <row r="4961" spans="2:18" x14ac:dyDescent="0.2">
      <c r="B4961" s="5"/>
      <c r="F4961" s="5"/>
      <c r="J4961" s="5"/>
      <c r="N4961" s="5"/>
      <c r="R4961" s="5"/>
    </row>
    <row r="4962" spans="2:18" x14ac:dyDescent="0.2">
      <c r="B4962" s="5"/>
      <c r="F4962" s="5"/>
      <c r="J4962" s="5"/>
      <c r="N4962" s="5"/>
      <c r="R4962" s="5"/>
    </row>
    <row r="4963" spans="2:18" x14ac:dyDescent="0.2">
      <c r="B4963" s="5"/>
      <c r="F4963" s="5"/>
      <c r="J4963" s="5"/>
      <c r="N4963" s="5"/>
      <c r="R4963" s="5"/>
    </row>
    <row r="4964" spans="2:18" x14ac:dyDescent="0.2">
      <c r="B4964" s="5"/>
      <c r="F4964" s="5"/>
      <c r="J4964" s="5"/>
      <c r="N4964" s="5"/>
      <c r="R4964" s="5"/>
    </row>
    <row r="4965" spans="2:18" x14ac:dyDescent="0.2">
      <c r="B4965" s="5"/>
      <c r="F4965" s="5"/>
      <c r="J4965" s="5"/>
      <c r="N4965" s="5"/>
      <c r="R4965" s="5"/>
    </row>
    <row r="4966" spans="2:18" x14ac:dyDescent="0.2">
      <c r="B4966" s="5"/>
      <c r="F4966" s="5"/>
      <c r="J4966" s="5"/>
      <c r="N4966" s="5"/>
      <c r="R4966" s="5"/>
    </row>
    <row r="4967" spans="2:18" x14ac:dyDescent="0.2">
      <c r="B4967" s="5"/>
      <c r="F4967" s="5"/>
      <c r="J4967" s="5"/>
      <c r="N4967" s="5"/>
      <c r="R4967" s="5"/>
    </row>
    <row r="4968" spans="2:18" x14ac:dyDescent="0.2">
      <c r="B4968" s="5"/>
      <c r="F4968" s="5"/>
      <c r="J4968" s="5"/>
      <c r="N4968" s="5"/>
      <c r="R4968" s="5"/>
    </row>
    <row r="4969" spans="2:18" x14ac:dyDescent="0.2">
      <c r="B4969" s="5"/>
      <c r="F4969" s="5"/>
      <c r="J4969" s="5"/>
      <c r="N4969" s="5"/>
      <c r="R4969" s="5"/>
    </row>
    <row r="4970" spans="2:18" x14ac:dyDescent="0.2">
      <c r="B4970" s="5"/>
      <c r="F4970" s="5"/>
      <c r="J4970" s="5"/>
      <c r="N4970" s="5"/>
      <c r="R4970" s="5"/>
    </row>
    <row r="4971" spans="2:18" x14ac:dyDescent="0.2">
      <c r="B4971" s="5"/>
      <c r="F4971" s="5"/>
      <c r="J4971" s="5"/>
      <c r="N4971" s="5"/>
      <c r="R4971" s="5"/>
    </row>
    <row r="4972" spans="2:18" x14ac:dyDescent="0.2">
      <c r="B4972" s="5"/>
      <c r="F4972" s="5"/>
      <c r="J4972" s="5"/>
      <c r="N4972" s="5"/>
      <c r="R4972" s="5"/>
    </row>
    <row r="4973" spans="2:18" x14ac:dyDescent="0.2">
      <c r="B4973" s="5"/>
      <c r="F4973" s="5"/>
      <c r="J4973" s="5"/>
      <c r="N4973" s="5"/>
      <c r="R4973" s="5"/>
    </row>
    <row r="4974" spans="2:18" x14ac:dyDescent="0.2">
      <c r="B4974" s="5"/>
      <c r="F4974" s="5"/>
      <c r="J4974" s="5"/>
      <c r="N4974" s="5"/>
      <c r="R4974" s="5"/>
    </row>
    <row r="4975" spans="2:18" x14ac:dyDescent="0.2">
      <c r="B4975" s="5"/>
      <c r="F4975" s="5"/>
      <c r="J4975" s="5"/>
      <c r="N4975" s="5"/>
      <c r="R4975" s="5"/>
    </row>
    <row r="4976" spans="2:18" x14ac:dyDescent="0.2">
      <c r="B4976" s="5"/>
      <c r="F4976" s="5"/>
      <c r="J4976" s="5"/>
      <c r="N4976" s="5"/>
      <c r="R4976" s="5"/>
    </row>
    <row r="4977" spans="2:18" x14ac:dyDescent="0.2">
      <c r="B4977" s="5"/>
      <c r="F4977" s="5"/>
      <c r="J4977" s="5"/>
      <c r="N4977" s="5"/>
      <c r="R4977" s="5"/>
    </row>
    <row r="4978" spans="2:18" x14ac:dyDescent="0.2">
      <c r="B4978" s="5"/>
      <c r="F4978" s="5"/>
      <c r="J4978" s="5"/>
      <c r="N4978" s="5"/>
      <c r="R4978" s="5"/>
    </row>
    <row r="4979" spans="2:18" x14ac:dyDescent="0.2">
      <c r="B4979" s="5"/>
      <c r="F4979" s="5"/>
      <c r="J4979" s="5"/>
      <c r="N4979" s="5"/>
      <c r="R4979" s="5"/>
    </row>
    <row r="4980" spans="2:18" x14ac:dyDescent="0.2">
      <c r="B4980" s="5"/>
      <c r="F4980" s="5"/>
      <c r="J4980" s="5"/>
      <c r="N4980" s="5"/>
      <c r="R4980" s="5"/>
    </row>
    <row r="4981" spans="2:18" x14ac:dyDescent="0.2">
      <c r="B4981" s="5"/>
      <c r="F4981" s="5"/>
      <c r="J4981" s="5"/>
      <c r="N4981" s="5"/>
      <c r="R4981" s="5"/>
    </row>
    <row r="4982" spans="2:18" x14ac:dyDescent="0.2">
      <c r="B4982" s="5"/>
      <c r="F4982" s="5"/>
      <c r="J4982" s="5"/>
      <c r="N4982" s="5"/>
      <c r="R4982" s="5"/>
    </row>
    <row r="4983" spans="2:18" x14ac:dyDescent="0.2">
      <c r="B4983" s="5"/>
      <c r="F4983" s="5"/>
      <c r="J4983" s="5"/>
      <c r="N4983" s="5"/>
      <c r="R4983" s="5"/>
    </row>
    <row r="4984" spans="2:18" x14ac:dyDescent="0.2">
      <c r="B4984" s="5"/>
      <c r="F4984" s="5"/>
      <c r="J4984" s="5"/>
      <c r="N4984" s="5"/>
      <c r="R4984" s="5"/>
    </row>
    <row r="4985" spans="2:18" x14ac:dyDescent="0.2">
      <c r="B4985" s="5"/>
      <c r="F4985" s="5"/>
      <c r="J4985" s="5"/>
      <c r="N4985" s="5"/>
      <c r="R4985" s="5"/>
    </row>
    <row r="4986" spans="2:18" x14ac:dyDescent="0.2">
      <c r="B4986" s="5"/>
      <c r="F4986" s="5"/>
      <c r="J4986" s="5"/>
      <c r="N4986" s="5"/>
      <c r="R4986" s="5"/>
    </row>
    <row r="4987" spans="2:18" x14ac:dyDescent="0.2">
      <c r="B4987" s="5"/>
      <c r="F4987" s="5"/>
      <c r="J4987" s="5"/>
      <c r="N4987" s="5"/>
      <c r="R4987" s="5"/>
    </row>
    <row r="4988" spans="2:18" x14ac:dyDescent="0.2">
      <c r="B4988" s="5"/>
      <c r="F4988" s="5"/>
      <c r="J4988" s="5"/>
      <c r="N4988" s="5"/>
      <c r="R4988" s="5"/>
    </row>
    <row r="4989" spans="2:18" x14ac:dyDescent="0.2">
      <c r="B4989" s="5"/>
      <c r="F4989" s="5"/>
      <c r="J4989" s="5"/>
      <c r="N4989" s="5"/>
      <c r="R4989" s="5"/>
    </row>
    <row r="4990" spans="2:18" x14ac:dyDescent="0.2">
      <c r="B4990" s="5"/>
      <c r="F4990" s="5"/>
      <c r="J4990" s="5"/>
      <c r="N4990" s="5"/>
      <c r="R4990" s="5"/>
    </row>
    <row r="4991" spans="2:18" x14ac:dyDescent="0.2">
      <c r="B4991" s="5"/>
      <c r="F4991" s="5"/>
      <c r="J4991" s="5"/>
      <c r="N4991" s="5"/>
      <c r="R4991" s="5"/>
    </row>
    <row r="4992" spans="2:18" x14ac:dyDescent="0.2">
      <c r="B4992" s="5"/>
      <c r="F4992" s="5"/>
      <c r="J4992" s="5"/>
      <c r="N4992" s="5"/>
      <c r="R4992" s="5"/>
    </row>
    <row r="4993" spans="2:18" x14ac:dyDescent="0.2">
      <c r="B4993" s="5"/>
      <c r="F4993" s="5"/>
      <c r="J4993" s="5"/>
      <c r="N4993" s="5"/>
      <c r="R4993" s="5"/>
    </row>
    <row r="4994" spans="2:18" x14ac:dyDescent="0.2">
      <c r="B4994" s="5"/>
      <c r="F4994" s="5"/>
      <c r="J4994" s="5"/>
      <c r="N4994" s="5"/>
      <c r="R4994" s="5"/>
    </row>
    <row r="4995" spans="2:18" x14ac:dyDescent="0.2">
      <c r="B4995" s="5"/>
      <c r="F4995" s="5"/>
      <c r="J4995" s="5"/>
      <c r="N4995" s="5"/>
      <c r="R4995" s="5"/>
    </row>
    <row r="4996" spans="2:18" x14ac:dyDescent="0.2">
      <c r="B4996" s="5"/>
      <c r="F4996" s="5"/>
      <c r="J4996" s="5"/>
      <c r="N4996" s="5"/>
      <c r="R4996" s="5"/>
    </row>
    <row r="4997" spans="2:18" x14ac:dyDescent="0.2">
      <c r="B4997" s="5"/>
      <c r="F4997" s="5"/>
      <c r="J4997" s="5"/>
      <c r="N4997" s="5"/>
      <c r="R4997" s="5"/>
    </row>
    <row r="4998" spans="2:18" x14ac:dyDescent="0.2">
      <c r="B4998" s="5"/>
      <c r="F4998" s="5"/>
      <c r="J4998" s="5"/>
      <c r="N4998" s="5"/>
      <c r="R4998" s="5"/>
    </row>
    <row r="4999" spans="2:18" x14ac:dyDescent="0.2">
      <c r="B4999" s="5"/>
      <c r="F4999" s="5"/>
      <c r="J4999" s="5"/>
      <c r="N4999" s="5"/>
      <c r="R4999" s="5"/>
    </row>
    <row r="5000" spans="2:18" x14ac:dyDescent="0.2">
      <c r="B5000" s="5"/>
      <c r="F5000" s="5"/>
      <c r="J5000" s="5"/>
      <c r="N5000" s="5"/>
      <c r="R5000" s="5"/>
    </row>
  </sheetData>
  <phoneticPr fontId="4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"/>
  <sheetViews>
    <sheetView workbookViewId="0">
      <selection activeCell="F18" sqref="F18"/>
    </sheetView>
  </sheetViews>
  <sheetFormatPr defaultRowHeight="14" x14ac:dyDescent="0.2"/>
  <sheetData>
    <row r="1" spans="1:2" x14ac:dyDescent="0.2">
      <c r="A1" t="s">
        <v>0</v>
      </c>
      <c r="B1" t="s">
        <v>68</v>
      </c>
    </row>
  </sheetData>
  <phoneticPr fontId="4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69</v>
      </c>
      <c r="B1" s="1" t="s">
        <v>70</v>
      </c>
    </row>
    <row r="2" spans="1:2" ht="15.65" customHeight="1" x14ac:dyDescent="0.2">
      <c r="A2" s="1" t="s">
        <v>71</v>
      </c>
    </row>
    <row r="3" spans="1:2" ht="15.65" customHeight="1" x14ac:dyDescent="0.2">
      <c r="A3" s="1" t="s">
        <v>72</v>
      </c>
    </row>
    <row r="4" spans="1:2" ht="15.65" customHeight="1" x14ac:dyDescent="0.2">
      <c r="A4" s="1" t="s">
        <v>73</v>
      </c>
    </row>
    <row r="5" spans="1:2" ht="15.65" customHeight="1" x14ac:dyDescent="0.2">
      <c r="A5" s="1" t="s">
        <v>74</v>
      </c>
    </row>
    <row r="6" spans="1:2" ht="15.65" customHeight="1" x14ac:dyDescent="0.2">
      <c r="A6" s="1" t="s">
        <v>75</v>
      </c>
      <c r="B6" t="s">
        <v>76</v>
      </c>
    </row>
    <row r="7" spans="1:2" ht="15.65" customHeight="1" x14ac:dyDescent="0.2">
      <c r="A7" s="1" t="s">
        <v>77</v>
      </c>
      <c r="B7" s="1" t="b">
        <v>0</v>
      </c>
    </row>
    <row r="8" spans="1:2" ht="15.65" customHeight="1" x14ac:dyDescent="0.2">
      <c r="A8" s="1" t="s">
        <v>78</v>
      </c>
      <c r="B8" s="1" t="b">
        <v>0</v>
      </c>
    </row>
    <row r="9" spans="1:2" ht="15.65" customHeight="1" x14ac:dyDescent="0.2">
      <c r="A9" s="1" t="s">
        <v>79</v>
      </c>
      <c r="B9" s="1" t="b">
        <v>0</v>
      </c>
    </row>
    <row r="13" spans="1:2" ht="15.65" customHeight="1" x14ac:dyDescent="0.2">
      <c r="A13" s="2" t="s">
        <v>80</v>
      </c>
    </row>
    <row r="14" spans="1:2" ht="15.65" customHeight="1" x14ac:dyDescent="0.2">
      <c r="A14" s="1" t="s">
        <v>81</v>
      </c>
    </row>
    <row r="15" spans="1:2" ht="15.65" customHeight="1" x14ac:dyDescent="0.2">
      <c r="A15" s="1" t="s">
        <v>82</v>
      </c>
    </row>
    <row r="16" spans="1:2" ht="15.65" customHeight="1" x14ac:dyDescent="0.2">
      <c r="A16" s="1" t="s">
        <v>83</v>
      </c>
    </row>
    <row r="17" spans="1:1" ht="15.65" customHeight="1" x14ac:dyDescent="0.2">
      <c r="A17" s="1" t="s">
        <v>84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Main</vt:lpstr>
      <vt:lpstr>RealTime</vt:lpstr>
      <vt:lpstr>pricing</vt:lpstr>
      <vt:lpstr>HistChart</vt:lpstr>
      <vt:lpstr>BOJ</vt:lpstr>
      <vt:lpstr>Historical</vt:lpstr>
      <vt:lpstr>Calc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2026-10-11T17:51:12Z</dcterms:modified>
</cp:coreProperties>
</file>