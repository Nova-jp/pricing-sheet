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CB4307F0-C0F4-4FBC-BC75-A0A6BCF80150}" xr6:coauthVersionLast="47" xr6:coauthVersionMax="47" xr10:uidLastSave="{00000000-0000-0000-0000-000000000000}"/>
  <bookViews>
    <workbookView xWindow="-110" yWindow="-110" windowWidth="19420" windowHeight="11500" tabRatio="500" firstSheet="1" activeTab="3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_xlwings.conf" sheetId="5" r:id="rId6"/>
  </sheets>
  <functionGroups builtInGroupCount="19">
    <functionGroup name="xlwings"/>
  </functionGroups>
  <externalReferences>
    <externalReference r:id="rId7"/>
  </externalReference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n" hidden="1" xlm="1">#NAME?</definedName>
    <definedName name="_xlpm.r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wapAnnuity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wapPV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1" l="1"/>
  <c r="E44" i="1"/>
  <c r="F44" i="1"/>
  <c r="D45" i="1"/>
  <c r="E45" i="1"/>
  <c r="F45" i="1"/>
  <c r="D36" i="1"/>
  <c r="D37" i="1"/>
  <c r="D38" i="1"/>
  <c r="D39" i="1"/>
  <c r="D41" i="1"/>
  <c r="D42" i="1"/>
  <c r="D40" i="1"/>
  <c r="E40" i="1"/>
  <c r="F36" i="1"/>
  <c r="F37" i="1"/>
  <c r="F38" i="1"/>
  <c r="F39" i="1"/>
  <c r="F40" i="1"/>
  <c r="F41" i="1"/>
  <c r="F42" i="1"/>
  <c r="E41" i="1"/>
  <c r="E42" i="1"/>
  <c r="E36" i="1"/>
  <c r="E37" i="1"/>
  <c r="E38" i="1"/>
  <c r="E39" i="1"/>
  <c r="D43" i="1"/>
  <c r="E43" i="1"/>
  <c r="F43" i="1"/>
  <c r="D2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F16" i="9"/>
  <c r="F15" i="9"/>
  <c r="F14" i="9"/>
  <c r="F13" i="9"/>
  <c r="F12" i="9"/>
  <c r="F11" i="9"/>
  <c r="F10" i="9"/>
  <c r="F9" i="9"/>
  <c r="F8" i="9"/>
  <c r="F7" i="9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C21" i="9" a="1"/>
  <c r="H10" i="9" l="1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Q2" i="2" l="1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R14" i="2" l="1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s="1"/>
  <c r="Q28" i="7" s="1"/>
  <c r="F21" i="7" l="1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O2" i="2" l="1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Y1" i="2" a="1"/>
  <c r="A28" i="7" a="1"/>
  <c r="K28" i="7" a="1"/>
  <c r="P28" i="7" a="1"/>
  <c r="F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Y1" i="2"/>
  <c r="AC1" i="2"/>
  <c r="K28" i="7"/>
  <c r="S29" i="7" a="1"/>
  <c r="S29" i="7" s="1"/>
  <c r="P28" i="7"/>
  <c r="A28" i="7"/>
  <c r="Q29" i="7" a="1"/>
  <c r="Q29" i="7" s="1"/>
  <c r="F28" i="7"/>
  <c r="R29" i="7" a="1"/>
  <c r="R2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<sst xmlns="http://schemas.openxmlformats.org/spreadsheetml/2006/main" count="294" uniqueCount="155">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</sst>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0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istorical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設定"/>
      <sheetName val="Vol設定"/>
      <sheetName val="Mid"/>
      <sheetName val="Fixing"/>
      <sheetName val="Vol"/>
      <sheetName val="VolMatrix"/>
      <sheetName val="銘柄"/>
      <sheetName val="Raw"/>
      <sheetName val="RawFixing"/>
      <sheetName val="RawV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115</v>
      </c>
    </row>
    <row r="3" spans="1:3" x14ac:dyDescent="0.2">
      <c r="A3" t="s">
        <v>116</v>
      </c>
      <c r="B3" s="16"/>
      <c r="C3" t="s">
        <v>117</v>
      </c>
    </row>
    <row r="4" spans="1:3" x14ac:dyDescent="0.2">
      <c r="A4" t="s">
        <v>118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E20" sqref="E20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122</v>
      </c>
      <c r="F1" t="s">
        <v>123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78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124</v>
      </c>
      <c r="B36">
        <v>0</v>
      </c>
      <c r="C36" t="s">
        <v>125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126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127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128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129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130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131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132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133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RiskGrid(pricing!$A$1:$S$201,RealTime!$B$2:$D$45,評価日,_xlfn.ANCHORARRAY([1]Fixing!$A$5))</f>
      </c>
      <c r="Z1" s="15">
        <f ca="1"/>
      </c>
      <c r="AB1" t="s">
        <v>119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IF($E2="","",NotionalForDelta($E2,$G2,$H2,$I2,$K2,$L2,$N2,$O2,$S2,RealTime!$B$2:$D$45,評価日,_xlfn.ANCHORARRAY([1]Fixing!$A$5)))</f>
      </c>
      <c r="G2" s="3" t="s">
        <v>109</v>
      </c>
      <c r="I2" s="3" t="s">
        <v>110</v>
      </c>
      <c r="K2" t="s">
        <v>79</v>
      </c>
      <c r="L2" t="s">
        <v>59</v>
      </c>
      <c r="M2" t="s">
        <v>60</v>
      </c>
      <c r="N2" t="s">
        <v>79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IF(A2=1,FairRate($G2,$H2,$I2,$K2,$L2,$N2,$O2,RealTime!$B$2:$D$45,評価日,_xlfn.ANCHORARRAY([1]Fixing!$A$5)),"")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SwapPV($G2,$H2,$I2,$K2,$L2,$N2,$O2,$D2,$S2,$J2,RealTime!$B$2:$D$45,評価日,_xlfn.ANCHORARRAY([1]Fixing!$A$5))</f>
      </c>
      <c r="U2">
        <f ca="1">SwapDelta($G2,$H2,$I2,$K2,$L2,$N2,$O2,$D2,$S2,$J2,RealTime!$B$2:$D$45,評価日,_xlfn.ANCHORARRAY([1]Fixing!$A$5))</f>
      </c>
      <c r="V2">
        <f ca="1">SwapAnnuityDelta($G2,$H2,$I2,$K2,$L2,$N2,$O2,$D2,$S2,RealTime!$B$2:$D$45,評価日,_xlfn.ANCHORARRAY([1]Fixing!$A$5))</f>
      </c>
      <c r="Y2">
        <f ca="1"/>
      </c>
      <c r="Z2" s="17">
        <f ca="1"/>
      </c>
      <c r="AA2" s="17">
        <f ca="1">Z2</f>
      </c>
      <c r="AB2" t="s">
        <v>120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IF($E3="","",NotionalForDelta($E3,$G3,$H3,$I3,$K3,$L3,$N3,$O3,$S3,RealTime!$B$2:$D$45,評価日,_xlfn.ANCHORARRAY([1]Fixing!$A$5)))</f>
      </c>
      <c r="G3" s="3" t="s">
        <v>110</v>
      </c>
      <c r="I3" s="3" t="s">
        <v>111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IF(A3=1,FairRate($G3,$H3,$I3,$K3,$L3,$N3,$O3,RealTime!$B$2:$D$45,評価日,_xlfn.ANCHORARRAY([1]Fixing!$A$5)),"")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SwapPV($G3,$H3,$I3,$K3,$L3,$N3,$O3,$D3,$S3,$J3,RealTime!$B$2:$D$45,評価日,_xlfn.ANCHORARRAY([1]Fixing!$A$5))</f>
      </c>
      <c r="U3">
        <f ca="1">SwapDelta($G3,$H3,$I3,$K3,$L3,$N3,$O3,$D3,$S3,$J3,RealTime!$B$2:$D$45,評価日,_xlfn.ANCHORARRAY([1]Fixing!$A$5))</f>
      </c>
      <c r="V3">
        <f ca="1">SwapAnnuityDelta($G3,$H3,$I3,$K3,$L3,$N3,$O3,$D3,$S3,RealTime!$B$2:$D$45,評価日,_xlfn.ANCHORARRAY([1]Fixing!$A$5))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IF($E4="","",NotionalForDelta($E4,$G4,$H4,$I4,$K4,$L4,$N4,$O4,$S4,RealTime!$B$2:$D$45,評価日,_xlfn.ANCHORARRAY([1]Fixing!$A$5)))</f>
      </c>
      <c r="G4" s="3" t="s">
        <v>111</v>
      </c>
      <c r="I4" s="3" t="s">
        <v>112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IF(A4=1,FairRate($G4,$H4,$I4,$K4,$L4,$N4,$O4,RealTime!$B$2:$D$45,評価日,_xlfn.ANCHORARRAY([1]Fixing!$A$5)),"")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SwapPV($G4,$H4,$I4,$K4,$L4,$N4,$O4,$D4,$S4,$J4,RealTime!$B$2:$D$45,評価日,_xlfn.ANCHORARRAY([1]Fixing!$A$5))</f>
      </c>
      <c r="U4">
        <f ca="1">SwapDelta($G4,$H4,$I4,$K4,$L4,$N4,$O4,$D4,$S4,$J4,RealTime!$B$2:$D$45,評価日,_xlfn.ANCHORARRAY([1]Fixing!$A$5))</f>
      </c>
      <c r="V4">
        <f ca="1">SwapAnnuityDelta($G4,$H4,$I4,$K4,$L4,$N4,$O4,$D4,$S4,RealTime!$B$2:$D$45,評価日,_xlfn.ANCHORARRAY([1]Fixing!$A$5))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IF($E5="","",NotionalForDelta($E5,$G5,$H5,$I5,$K5,$L5,$N5,$O5,$S5,RealTime!$B$2:$D$45,評価日,_xlfn.ANCHORARRAY([1]Fixing!$A$5)))</f>
      </c>
      <c r="G5" s="3">
        <v>53598</v>
      </c>
      <c r="H5" t="s">
        <v>114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IF(A5=1,FairRate($G5,$H5,$I5,$K5,$L5,$N5,$O5,RealTime!$B$2:$D$45,評価日,_xlfn.ANCHORARRAY([1]Fixing!$A$5)),"")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IF($E6="","",NotionalForDelta($E6,$G6,$H6,$I6,$K6,$L6,$N6,$O6,$S6,RealTime!$B$2:$D$45,評価日,_xlfn.ANCHORARRAY([1]Fixing!$A$5)))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IF(A6=1,FairRate($G6,$H6,$I6,$K6,$L6,$N6,$O6,RealTime!$B$2:$D$45,評価日,_xlfn.ANCHORARRAY([1]Fixing!$A$5)),"")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IF($E7="","",NotionalForDelta($E7,$G7,$H7,$I7,$K7,$L7,$N7,$O7,$S7,RealTime!$B$2:$D$45,評価日,_xlfn.ANCHORARRAY([1]Fixing!$A$5)))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IF(A7=1,FairRate($G7,$H7,$I7,$K7,$L7,$N7,$O7,RealTime!$B$2:$D$45,評価日,_xlfn.ANCHORARRAY([1]Fixing!$A$5)),"")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IF($E8="","",NotionalForDelta($E8,$G8,$H8,$I8,$K8,$L8,$N8,$O8,$S8,RealTime!$B$2:$D$45,評価日,_xlfn.ANCHORARRAY([1]Fixing!$A$5)))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IF(A8=1,FairRate($G8,$H8,$I8,$K8,$L8,$N8,$O8,RealTime!$B$2:$D$45,評価日,_xlfn.ANCHORARRAY([1]Fixing!$A$5)),"")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IF($E9="","",NotionalForDelta($E9,$G9,$H9,$I9,$K9,$L9,$N9,$O9,$S9,RealTime!$B$2:$D$45,評価日,_xlfn.ANCHORARRAY([1]Fixing!$A$5)))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IF(A9=1,FairRate($G9,$H9,$I9,$K9,$L9,$N9,$O9,RealTime!$B$2:$D$45,評価日,_xlfn.ANCHORARRAY([1]Fixing!$A$5)),"")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IF($E10="","",NotionalForDelta($E10,$G10,$H10,$I10,$K10,$L10,$N10,$O10,$S10,RealTime!$B$2:$D$45,評価日,_xlfn.ANCHORARRAY([1]Fixing!$A$5)))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IF(A10=1,FairRate($G10,$H10,$I10,$K10,$L10,$N10,$O10,RealTime!$B$2:$D$45,評価日,_xlfn.ANCHORARRAY([1]Fixing!$A$5)),"")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IF($E11="","",NotionalForDelta($E11,$G11,$H11,$I11,$K11,$L11,$N11,$O11,$S11,RealTime!$B$2:$D$45,評価日,_xlfn.ANCHORARRAY([1]Fixing!$A$5)))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IF(A11=1,FairRate($G11,$H11,$I11,$K11,$L11,$N11,$O11,RealTime!$B$2:$D$45,評価日,_xlfn.ANCHORARRAY([1]Fixing!$A$5)),"")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IF($E12="","",NotionalForDelta($E12,$G12,$H12,$I12,$K12,$L12,$N12,$O12,$S12,RealTime!$B$2:$D$45,評価日,_xlfn.ANCHORARRAY([1]Fixing!$A$5)))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IF(A12=1,FairRate($G12,$H12,$I12,$K12,$L12,$N12,$O12,RealTime!$B$2:$D$45,評価日,_xlfn.ANCHORARRAY([1]Fixing!$A$5)),"")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IF($E13="","",NotionalForDelta($E13,$G13,$H13,$I13,$K13,$L13,$N13,$O13,$S13,RealTime!$B$2:$D$45,評価日,_xlfn.ANCHORARRAY([1]Fixing!$A$5)))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IF(A13=1,FairRate($G13,$H13,$I13,$K13,$L13,$N13,$O13,RealTime!$B$2:$D$45,評価日,_xlfn.ANCHORARRAY([1]Fixing!$A$5)),"")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IF($E14="","",NotionalForDelta($E14,$G14,$H14,$I14,$K14,$L14,$N14,$O14,$S14,RealTime!$B$2:$D$45,評価日,_xlfn.ANCHORARRAY([1]Fixing!$A$5)))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IF(A14=1,FairRate($G14,$H14,$I14,$K14,$L14,$N14,$O14,RealTime!$B$2:$D$45,評価日,_xlfn.ANCHORARRAY([1]Fixing!$A$5)),"")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IF($E15="","",NotionalForDelta($E15,$G15,$H15,$I15,$K15,$L15,$N15,$O15,$S15,RealTime!$B$2:$D$45,評価日,_xlfn.ANCHORARRAY([1]Fixing!$A$5)))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IF(A15=1,FairRate($G15,$H15,$I15,$K15,$L15,$N15,$O15,RealTime!$B$2:$D$45,評価日,_xlfn.ANCHORARRAY([1]Fixing!$A$5)),"")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IF($E16="","",NotionalForDelta($E16,$G16,$H16,$I16,$K16,$L16,$N16,$O16,$S16,RealTime!$B$2:$D$45,評価日,_xlfn.ANCHORARRAY([1]Fixing!$A$5)))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IF(A16=1,FairRate($G16,$H16,$I16,$K16,$L16,$N16,$O16,RealTime!$B$2:$D$45,評価日,_xlfn.ANCHORARRAY([1]Fixing!$A$5)),"")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IF($E17="","",NotionalForDelta($E17,$G17,$H17,$I17,$K17,$L17,$N17,$O17,$S17,RealTime!$B$2:$D$45,評価日,_xlfn.ANCHORARRAY([1]Fixing!$A$5)))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IF(A17=1,FairRate($G17,$H17,$I17,$K17,$L17,$N17,$O17,RealTime!$B$2:$D$45,評価日,_xlfn.ANCHORARRAY([1]Fixing!$A$5)),"")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IF($E18="","",NotionalForDelta($E18,$G18,$H18,$I18,$K18,$L18,$N18,$O18,$S18,RealTime!$B$2:$D$45,評価日,_xlfn.ANCHORARRAY([1]Fixing!$A$5)))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IF(A18=1,FairRate($G18,$H18,$I18,$K18,$L18,$N18,$O18,RealTime!$B$2:$D$45,評価日,_xlfn.ANCHORARRAY([1]Fixing!$A$5)),"")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IF($E19="","",NotionalForDelta($E19,$G19,$H19,$I19,$K19,$L19,$N19,$O19,$S19,RealTime!$B$2:$D$45,評価日,_xlfn.ANCHORARRAY([1]Fixing!$A$5)))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IF(A19=1,FairRate($G19,$H19,$I19,$K19,$L19,$N19,$O19,RealTime!$B$2:$D$45,評価日,_xlfn.ANCHORARRAY([1]Fixing!$A$5)),"")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IF($E20="","",NotionalForDelta($E20,$G20,$H20,$I20,$K20,$L20,$N20,$O20,$S20,RealTime!$B$2:$D$45,評価日,_xlfn.ANCHORARRAY([1]Fixing!$A$5)))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IF(A20=1,FairRate($G20,$H20,$I20,$K20,$L20,$N20,$O20,RealTime!$B$2:$D$45,評価日,_xlfn.ANCHORARRAY([1]Fixing!$A$5)),"")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IF($E21="","",NotionalForDelta($E21,$G21,$H21,$I21,$K21,$L21,$N21,$O21,$S21,RealTime!$B$2:$D$45,評価日,_xlfn.ANCHORARRAY([1]Fixing!$A$5)))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IF(A21=1,FairRate($G21,$H21,$I21,$K21,$L21,$N21,$O21,RealTime!$B$2:$D$45,評価日,_xlfn.ANCHORARRAY([1]Fixing!$A$5)),"")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IF($E22="","",NotionalForDelta($E22,$G22,$H22,$I22,$K22,$L22,$N22,$O22,$S22,RealTime!$B$2:$D$45,評価日,_xlfn.ANCHORARRAY([1]Fixing!$A$5)))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IF(A22=1,FairRate($G22,$H22,$I22,$K22,$L22,$N22,$O22,RealTime!$B$2:$D$45,評価日,_xlfn.ANCHORARRAY([1]Fixing!$A$5)),"")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IF($E23="","",NotionalForDelta($E23,$G23,$H23,$I23,$K23,$L23,$N23,$O23,$S23,RealTime!$B$2:$D$45,評価日,_xlfn.ANCHORARRAY([1]Fixing!$A$5)))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IF(A23=1,FairRate($G23,$H23,$I23,$K23,$L23,$N23,$O23,RealTime!$B$2:$D$45,評価日,_xlfn.ANCHORARRAY([1]Fixing!$A$5)),"")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IF($E24="","",NotionalForDelta($E24,$G24,$H24,$I24,$K24,$L24,$N24,$O24,$S24,RealTime!$B$2:$D$45,評価日,_xlfn.ANCHORARRAY([1]Fixing!$A$5)))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IF(A24=1,FairRate($G24,$H24,$I24,$K24,$L24,$N24,$O24,RealTime!$B$2:$D$45,評価日,_xlfn.ANCHORARRAY([1]Fixing!$A$5)),"")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IF($E25="","",NotionalForDelta($E25,$G25,$H25,$I25,$K25,$L25,$N25,$O25,$S25,RealTime!$B$2:$D$45,評価日,_xlfn.ANCHORARRAY([1]Fixing!$A$5)))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IF(A25=1,FairRate($G25,$H25,$I25,$K25,$L25,$N25,$O25,RealTime!$B$2:$D$45,評価日,_xlfn.ANCHORARRAY([1]Fixing!$A$5)),"")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IF($E26="","",NotionalForDelta($E26,$G26,$H26,$I26,$K26,$L26,$N26,$O26,$S26,RealTime!$B$2:$D$45,評価日,_xlfn.ANCHORARRAY([1]Fixing!$A$5)))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IF(A26=1,FairRate($G26,$H26,$I26,$K26,$L26,$N26,$O26,RealTime!$B$2:$D$45,評価日,_xlfn.ANCHORARRAY([1]Fixing!$A$5)),"")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IF($E27="","",NotionalForDelta($E27,$G27,$H27,$I27,$K27,$L27,$N27,$O27,$S27,RealTime!$B$2:$D$45,評価日,_xlfn.ANCHORARRAY([1]Fixing!$A$5)))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IF(A27=1,FairRate($G27,$H27,$I27,$K27,$L27,$N27,$O27,RealTime!$B$2:$D$45,評価日,_xlfn.ANCHORARRAY([1]Fixing!$A$5)),"")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IF($E28="","",NotionalForDelta($E28,$G28,$H28,$I28,$K28,$L28,$N28,$O28,$S28,RealTime!$B$2:$D$45,評価日,_xlfn.ANCHORARRAY([1]Fixing!$A$5)))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IF(A28=1,FairRate($G28,$H28,$I28,$K28,$L28,$N28,$O28,RealTime!$B$2:$D$45,評価日,_xlfn.ANCHORARRAY([1]Fixing!$A$5)),"")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IF($E29="","",NotionalForDelta($E29,$G29,$H29,$I29,$K29,$L29,$N29,$O29,$S29,RealTime!$B$2:$D$45,評価日,_xlfn.ANCHORARRAY([1]Fixing!$A$5)))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IF(A29=1,FairRate($G29,$H29,$I29,$K29,$L29,$N29,$O29,RealTime!$B$2:$D$45,評価日,_xlfn.ANCHORARRAY([1]Fixing!$A$5)),"")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IF($E30="","",NotionalForDelta($E30,$G30,$H30,$I30,$K30,$L30,$N30,$O30,$S30,RealTime!$B$2:$D$45,評価日,_xlfn.ANCHORARRAY([1]Fixing!$A$5)))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IF(A30=1,FairRate($G30,$H30,$I30,$K30,$L30,$N30,$O30,RealTime!$B$2:$D$45,評価日,_xlfn.ANCHORARRAY([1]Fixing!$A$5)),"")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IF($E31="","",NotionalForDelta($E31,$G31,$H31,$I31,$K31,$L31,$N31,$O31,$S31,RealTime!$B$2:$D$45,評価日,_xlfn.ANCHORARRAY([1]Fixing!$A$5)))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IF($E32="","",NotionalForDelta($E32,$G32,$H32,$I32,$K32,$L32,$N32,$O32,$S32,RealTime!$B$2:$D$45,評価日,_xlfn.ANCHORARRAY([1]Fixing!$A$5)))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IF($E33="","",NotionalForDelta($E33,$G33,$H33,$I33,$K33,$L33,$N33,$O33,$S33,RealTime!$B$2:$D$45,評価日,_xlfn.ANCHORARRAY([1]Fixing!$A$5)))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IF($E34="","",NotionalForDelta($E34,$G34,$H34,$I34,$K34,$L34,$N34,$O34,$S34,RealTime!$B$2:$D$45,評価日,_xlfn.ANCHORARRAY([1]Fixing!$A$5)))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IF($E35="","",NotionalForDelta($E35,$G35,$H35,$I35,$K35,$L35,$N35,$O35,$S35,RealTime!$B$2:$D$45,評価日,_xlfn.ANCHORARRAY([1]Fixing!$A$5)))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IF($E36="","",NotionalForDelta($E36,$G36,$H36,$I36,$K36,$L36,$N36,$O36,$S36,RealTime!$B$2:$D$45,評価日,_xlfn.ANCHORARRAY([1]Fixing!$A$5)))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IF($E37="","",NotionalForDelta($E37,$G37,$H37,$I37,$K37,$L37,$N37,$O37,$S37,RealTime!$B$2:$D$45,評価日,_xlfn.ANCHORARRAY([1]Fixing!$A$5)))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IF($E38="","",NotionalForDelta($E38,$G38,$H38,$I38,$K38,$L38,$N38,$O38,$S38,RealTime!$B$2:$D$45,評価日,_xlfn.ANCHORARRAY([1]Fixing!$A$5)))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IF($E39="","",NotionalForDelta($E39,$G39,$H39,$I39,$K39,$L39,$N39,$O39,$S39,RealTime!$B$2:$D$45,評価日,_xlfn.ANCHORARRAY([1]Fixing!$A$5)))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IF($E40="","",NotionalForDelta($E40,$G40,$H40,$I40,$K40,$L40,$N40,$O40,$S40,RealTime!$B$2:$D$45,評価日,_xlfn.ANCHORARRAY([1]Fixing!$A$5)))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IF($E41="","",NotionalForDelta($E41,$G41,$H41,$I41,$K41,$L41,$N41,$O41,$S41,RealTime!$B$2:$D$45,評価日,_xlfn.ANCHORARRAY([1]Fixing!$A$5)))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IF($E42="","",NotionalForDelta($E42,$G42,$H42,$I42,$K42,$L42,$N42,$O42,$S42,RealTime!$B$2:$D$45,評価日,_xlfn.ANCHORARRAY([1]Fixing!$A$5)))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IF($E43="","",NotionalForDelta($E43,$G43,$H43,$I43,$K43,$L43,$N43,$O43,$S43,RealTime!$B$2:$D$45,評価日,_xlfn.ANCHORARRAY([1]Fixing!$A$5)))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IF($E44="","",NotionalForDelta($E44,$G44,$H44,$I44,$K44,$L44,$N44,$O44,$S44,RealTime!$B$2:$D$45,評価日,_xlfn.ANCHORARRAY([1]Fixing!$A$5)))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IF($E45="","",NotionalForDelta($E45,$G45,$H45,$I45,$K45,$L45,$N45,$O45,$S45,RealTime!$B$2:$D$45,評価日,_xlfn.ANCHORARRAY([1]Fixing!$A$5)))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IF($E46="","",NotionalForDelta($E46,$G46,$H46,$I46,$K46,$L46,$N46,$O46,$S46,RealTime!$B$2:$D$45,評価日,_xlfn.ANCHORARRAY([1]Fixing!$A$5)))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IF($E47="","",NotionalForDelta($E47,$G47,$H47,$I47,$K47,$L47,$N47,$O47,$S47,RealTime!$B$2:$D$45,評価日,_xlfn.ANCHORARRAY([1]Fixing!$A$5)))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IF($E48="","",NotionalForDelta($E48,$G48,$H48,$I48,$K48,$L48,$N48,$O48,$S48,RealTime!$B$2:$D$45,評価日,_xlfn.ANCHORARRAY([1]Fixing!$A$5)))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IF($E49="","",NotionalForDelta($E49,$G49,$H49,$I49,$K49,$L49,$N49,$O49,$S49,RealTime!$B$2:$D$45,評価日,_xlfn.ANCHORARRAY([1]Fixing!$A$5)))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IF($E50="","",NotionalForDelta($E50,$G50,$H50,$I50,$K50,$L50,$N50,$O50,$S50,RealTime!$B$2:$D$45,評価日,_xlfn.ANCHORARRAY([1]Fixing!$A$5)))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IF($E51="","",NotionalForDelta($E51,$G51,$H51,$I51,$K51,$L51,$N51,$O51,$S51,RealTime!$B$2:$D$45,評価日,_xlfn.ANCHORARRAY([1]Fixing!$A$5)))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IF($E52="","",NotionalForDelta($E52,$G52,$H52,$I52,$K52,$L52,$N52,$O52,$S52,RealTime!$B$2:$D$45,評価日,_xlfn.ANCHORARRAY([1]Fixing!$A$5)))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IF($E53="","",NotionalForDelta($E53,$G53,$H53,$I53,$K53,$L53,$N53,$O53,$S53,RealTime!$B$2:$D$45,評価日,_xlfn.ANCHORARRAY([1]Fixing!$A$5)))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IF($E54="","",NotionalForDelta($E54,$G54,$H54,$I54,$K54,$L54,$N54,$O54,$S54,RealTime!$B$2:$D$45,評価日,_xlfn.ANCHORARRAY([1]Fixing!$A$5)))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IF($E55="","",NotionalForDelta($E55,$G55,$H55,$I55,$K55,$L55,$N55,$O55,$S55,RealTime!$B$2:$D$45,評価日,_xlfn.ANCHORARRAY([1]Fixing!$A$5)))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IF($E56="","",NotionalForDelta($E56,$G56,$H56,$I56,$K56,$L56,$N56,$O56,$S56,RealTime!$B$2:$D$45,評価日,_xlfn.ANCHORARRAY([1]Fixing!$A$5)))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IF($E57="","",NotionalForDelta($E57,$G57,$H57,$I57,$K57,$L57,$N57,$O57,$S57,RealTime!$B$2:$D$45,評価日,_xlfn.ANCHORARRAY([1]Fixing!$A$5)))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IF($E58="","",NotionalForDelta($E58,$G58,$H58,$I58,$K58,$L58,$N58,$O58,$S58,RealTime!$B$2:$D$45,評価日,_xlfn.ANCHORARRAY([1]Fixing!$A$5)))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IF($E59="","",NotionalForDelta($E59,$G59,$H59,$I59,$K59,$L59,$N59,$O59,$S59,RealTime!$B$2:$D$45,評価日,_xlfn.ANCHORARRAY([1]Fixing!$A$5)))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IF($E60="","",NotionalForDelta($E60,$G60,$H60,$I60,$K60,$L60,$N60,$O60,$S60,RealTime!$B$2:$D$45,評価日,_xlfn.ANCHORARRAY([1]Fixing!$A$5)))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IF($E61="","",NotionalForDelta($E61,$G61,$H61,$I61,$K61,$L61,$N61,$O61,$S61,RealTime!$B$2:$D$45,評価日,_xlfn.ANCHORARRAY([1]Fixing!$A$5)))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IF($E62="","",NotionalForDelta($E62,$G62,$H62,$I62,$K62,$L62,$N62,$O62,$S62,RealTime!$B$2:$D$45,評価日,_xlfn.ANCHORARRAY([1]Fixing!$A$5)))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IF($E63="","",NotionalForDelta($E63,$G63,$H63,$I63,$K63,$L63,$N63,$O63,$S63,RealTime!$B$2:$D$45,評価日,_xlfn.ANCHORARRAY([1]Fixing!$A$5)))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IF($E64="","",NotionalForDelta($E64,$G64,$H64,$I64,$K64,$L64,$N64,$O64,$S64,RealTime!$B$2:$D$45,評価日,_xlfn.ANCHORARRAY([1]Fixing!$A$5)))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IF($E65="","",NotionalForDelta($E65,$G65,$H65,$I65,$K65,$L65,$N65,$O65,$S65,RealTime!$B$2:$D$45,評価日,_xlfn.ANCHORARRAY([1]Fixing!$A$5)))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IF($E66="","",NotionalForDelta($E66,$G66,$H66,$I66,$K66,$L66,$N66,$O66,$S66,RealTime!$B$2:$D$45,評価日,_xlfn.ANCHORARRAY([1]Fixing!$A$5)))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IF($E67="","",NotionalForDelta($E67,$G67,$H67,$I67,$K67,$L67,$N67,$O67,$S67,RealTime!$B$2:$D$45,評価日,_xlfn.ANCHORARRAY([1]Fixing!$A$5)))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IF($E68="","",NotionalForDelta($E68,$G68,$H68,$I68,$K68,$L68,$N68,$O68,$S68,RealTime!$B$2:$D$45,評価日,_xlfn.ANCHORARRAY([1]Fixing!$A$5)))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IF($E69="","",NotionalForDelta($E69,$G69,$H69,$I69,$K69,$L69,$N69,$O69,$S69,RealTime!$B$2:$D$45,評価日,_xlfn.ANCHORARRAY([1]Fixing!$A$5)))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IF($E70="","",NotionalForDelta($E70,$G70,$H70,$I70,$K70,$L70,$N70,$O70,$S70,RealTime!$B$2:$D$45,評価日,_xlfn.ANCHORARRAY([1]Fixing!$A$5)))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IF($E71="","",NotionalForDelta($E71,$G71,$H71,$I71,$K71,$L71,$N71,$O71,$S71,RealTime!$B$2:$D$45,評価日,_xlfn.ANCHORARRAY([1]Fixing!$A$5)))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IF($E72="","",NotionalForDelta($E72,$G72,$H72,$I72,$K72,$L72,$N72,$O72,$S72,RealTime!$B$2:$D$45,評価日,_xlfn.ANCHORARRAY([1]Fixing!$A$5)))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IF($E73="","",NotionalForDelta($E73,$G73,$H73,$I73,$K73,$L73,$N73,$O73,$S73,RealTime!$B$2:$D$45,評価日,_xlfn.ANCHORARRAY([1]Fixing!$A$5)))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IF($E74="","",NotionalForDelta($E74,$G74,$H74,$I74,$K74,$L74,$N74,$O74,$S74,RealTime!$B$2:$D$45,評価日,_xlfn.ANCHORARRAY([1]Fixing!$A$5)))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IF($E75="","",NotionalForDelta($E75,$G75,$H75,$I75,$K75,$L75,$N75,$O75,$S75,RealTime!$B$2:$D$45,評価日,_xlfn.ANCHORARRAY([1]Fixing!$A$5)))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IF($E76="","",NotionalForDelta($E76,$G76,$H76,$I76,$K76,$L76,$N76,$O76,$S76,RealTime!$B$2:$D$45,評価日,_xlfn.ANCHORARRAY([1]Fixing!$A$5)))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IF($E77="","",NotionalForDelta($E77,$G77,$H77,$I77,$K77,$L77,$N77,$O77,$S77,RealTime!$B$2:$D$45,評価日,_xlfn.ANCHORARRAY([1]Fixing!$A$5)))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IF($E78="","",NotionalForDelta($E78,$G78,$H78,$I78,$K78,$L78,$N78,$O78,$S78,RealTime!$B$2:$D$45,評価日,_xlfn.ANCHORARRAY([1]Fixing!$A$5)))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IF($E79="","",NotionalForDelta($E79,$G79,$H79,$I79,$K79,$L79,$N79,$O79,$S79,RealTime!$B$2:$D$45,評価日,_xlfn.ANCHORARRAY([1]Fixing!$A$5)))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IF($E80="","",NotionalForDelta($E80,$G80,$H80,$I80,$K80,$L80,$N80,$O80,$S80,RealTime!$B$2:$D$45,評価日,_xlfn.ANCHORARRAY([1]Fixing!$A$5)))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IF($E81="","",NotionalForDelta($E81,$G81,$H81,$I81,$K81,$L81,$N81,$O81,$S81,RealTime!$B$2:$D$45,評価日,_xlfn.ANCHORARRAY([1]Fixing!$A$5)))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IF($E82="","",NotionalForDelta($E82,$G82,$H82,$I82,$K82,$L82,$N82,$O82,$S82,RealTime!$B$2:$D$45,評価日,_xlfn.ANCHORARRAY([1]Fixing!$A$5)))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IF($E83="","",NotionalForDelta($E83,$G83,$H83,$I83,$K83,$L83,$N83,$O83,$S83,RealTime!$B$2:$D$45,評価日,_xlfn.ANCHORARRAY([1]Fixing!$A$5)))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IF($E84="","",NotionalForDelta($E84,$G84,$H84,$I84,$K84,$L84,$N84,$O84,$S84,RealTime!$B$2:$D$45,評価日,_xlfn.ANCHORARRAY([1]Fixing!$A$5)))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IF($E85="","",NotionalForDelta($E85,$G85,$H85,$I85,$K85,$L85,$N85,$O85,$S85,RealTime!$B$2:$D$45,評価日,_xlfn.ANCHORARRAY([1]Fixing!$A$5)))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IF($E86="","",NotionalForDelta($E86,$G86,$H86,$I86,$K86,$L86,$N86,$O86,$S86,RealTime!$B$2:$D$45,評価日,_xlfn.ANCHORARRAY([1]Fixing!$A$5)))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IF($E87="","",NotionalForDelta($E87,$G87,$H87,$I87,$K87,$L87,$N87,$O87,$S87,RealTime!$B$2:$D$45,評価日,_xlfn.ANCHORARRAY([1]Fixing!$A$5)))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IF($E88="","",NotionalForDelta($E88,$G88,$H88,$I88,$K88,$L88,$N88,$O88,$S88,RealTime!$B$2:$D$45,評価日,_xlfn.ANCHORARRAY([1]Fixing!$A$5)))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IF($E89="","",NotionalForDelta($E89,$G89,$H89,$I89,$K89,$L89,$N89,$O89,$S89,RealTime!$B$2:$D$45,評価日,_xlfn.ANCHORARRAY([1]Fixing!$A$5)))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IF($E90="","",NotionalForDelta($E90,$G90,$H90,$I90,$K90,$L90,$N90,$O90,$S90,RealTime!$B$2:$D$45,評価日,_xlfn.ANCHORARRAY([1]Fixing!$A$5)))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IF($E91="","",NotionalForDelta($E91,$G91,$H91,$I91,$K91,$L91,$N91,$O91,$S91,RealTime!$B$2:$D$45,評価日,_xlfn.ANCHORARRAY([1]Fixing!$A$5)))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IF($E92="","",NotionalForDelta($E92,$G92,$H92,$I92,$K92,$L92,$N92,$O92,$S92,RealTime!$B$2:$D$45,評価日,_xlfn.ANCHORARRAY([1]Fixing!$A$5)))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IF($E93="","",NotionalForDelta($E93,$G93,$H93,$I93,$K93,$L93,$N93,$O93,$S93,RealTime!$B$2:$D$45,評価日,_xlfn.ANCHORARRAY([1]Fixing!$A$5)))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IF($E94="","",NotionalForDelta($E94,$G94,$H94,$I94,$K94,$L94,$N94,$O94,$S94,RealTime!$B$2:$D$45,評価日,_xlfn.ANCHORARRAY([1]Fixing!$A$5)))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IF($E95="","",NotionalForDelta($E95,$G95,$H95,$I95,$K95,$L95,$N95,$O95,$S95,RealTime!$B$2:$D$45,評価日,_xlfn.ANCHORARRAY([1]Fixing!$A$5)))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IF($E96="","",NotionalForDelta($E96,$G96,$H96,$I96,$K96,$L96,$N96,$O96,$S96,RealTime!$B$2:$D$45,評価日,_xlfn.ANCHORARRAY([1]Fixing!$A$5)))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IF($E97="","",NotionalForDelta($E97,$G97,$H97,$I97,$K97,$L97,$N97,$O97,$S97,RealTime!$B$2:$D$45,評価日,_xlfn.ANCHORARRAY([1]Fixing!$A$5)))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IF($E98="","",NotionalForDelta($E98,$G98,$H98,$I98,$K98,$L98,$N98,$O98,$S98,RealTime!$B$2:$D$45,評価日,_xlfn.ANCHORARRAY([1]Fixing!$A$5)))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IF($E99="","",NotionalForDelta($E99,$G99,$H99,$I99,$K99,$L99,$N99,$O99,$S99,RealTime!$B$2:$D$45,評価日,_xlfn.ANCHORARRAY([1]Fixing!$A$5)))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IF($E100="","",NotionalForDelta($E100,$G100,$H100,$I100,$K100,$L100,$N100,$O100,$S100,RealTime!$B$2:$D$45,評価日,_xlfn.ANCHORARRAY([1]Fixing!$A$5)))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IF($E101="","",NotionalForDelta($E101,$G101,$H101,$I101,$K101,$L101,$N101,$O101,$S101,RealTime!$B$2:$D$45,評価日,_xlfn.ANCHORARRAY([1]Fixing!$A$5)))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IF($E102="","",NotionalForDelta($E102,$G102,$H102,$I102,$K102,$L102,$N102,$O102,$S102,RealTime!$B$2:$D$45,評価日,_xlfn.ANCHORARRAY([1]Fixing!$A$5)))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IF($E103="","",NotionalForDelta($E103,$G103,$H103,$I103,$K103,$L103,$N103,$O103,$S103,RealTime!$B$2:$D$45,評価日,_xlfn.ANCHORARRAY([1]Fixing!$A$5)))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IF($E104="","",NotionalForDelta($E104,$G104,$H104,$I104,$K104,$L104,$N104,$O104,$S104,RealTime!$B$2:$D$45,評価日,_xlfn.ANCHORARRAY([1]Fixing!$A$5)))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IF($E105="","",NotionalForDelta($E105,$G105,$H105,$I105,$K105,$L105,$N105,$O105,$S105,RealTime!$B$2:$D$45,評価日,_xlfn.ANCHORARRAY([1]Fixing!$A$5)))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IF($E106="","",NotionalForDelta($E106,$G106,$H106,$I106,$K106,$L106,$N106,$O106,$S106,RealTime!$B$2:$D$45,評価日,_xlfn.ANCHORARRAY([1]Fixing!$A$5)))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IF($E107="","",NotionalForDelta($E107,$G107,$H107,$I107,$K107,$L107,$N107,$O107,$S107,RealTime!$B$2:$D$45,評価日,_xlfn.ANCHORARRAY([1]Fixing!$A$5)))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IF($E108="","",NotionalForDelta($E108,$G108,$H108,$I108,$K108,$L108,$N108,$O108,$S108,RealTime!$B$2:$D$45,評価日,_xlfn.ANCHORARRAY([1]Fixing!$A$5)))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IF($E109="","",NotionalForDelta($E109,$G109,$H109,$I109,$K109,$L109,$N109,$O109,$S109,RealTime!$B$2:$D$45,評価日,_xlfn.ANCHORARRAY([1]Fixing!$A$5)))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IF($E110="","",NotionalForDelta($E110,$G110,$H110,$I110,$K110,$L110,$N110,$O110,$S110,RealTime!$B$2:$D$45,評価日,_xlfn.ANCHORARRAY([1]Fixing!$A$5)))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IF($E111="","",NotionalForDelta($E111,$G111,$H111,$I111,$K111,$L111,$N111,$O111,$S111,RealTime!$B$2:$D$45,評価日,_xlfn.ANCHORARRAY([1]Fixing!$A$5)))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IF($E112="","",NotionalForDelta($E112,$G112,$H112,$I112,$K112,$L112,$N112,$O112,$S112,RealTime!$B$2:$D$45,評価日,_xlfn.ANCHORARRAY([1]Fixing!$A$5)))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IF($E113="","",NotionalForDelta($E113,$G113,$H113,$I113,$K113,$L113,$N113,$O113,$S113,RealTime!$B$2:$D$45,評価日,_xlfn.ANCHORARRAY([1]Fixing!$A$5)))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IF($E114="","",NotionalForDelta($E114,$G114,$H114,$I114,$K114,$L114,$N114,$O114,$S114,RealTime!$B$2:$D$45,評価日,_xlfn.ANCHORARRAY([1]Fixing!$A$5)))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IF($E115="","",NotionalForDelta($E115,$G115,$H115,$I115,$K115,$L115,$N115,$O115,$S115,RealTime!$B$2:$D$45,評価日,_xlfn.ANCHORARRAY([1]Fixing!$A$5)))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IF($E116="","",NotionalForDelta($E116,$G116,$H116,$I116,$K116,$L116,$N116,$O116,$S116,RealTime!$B$2:$D$45,評価日,_xlfn.ANCHORARRAY([1]Fixing!$A$5)))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IF($E117="","",NotionalForDelta($E117,$G117,$H117,$I117,$K117,$L117,$N117,$O117,$S117,RealTime!$B$2:$D$45,評価日,_xlfn.ANCHORARRAY([1]Fixing!$A$5)))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IF($E118="","",NotionalForDelta($E118,$G118,$H118,$I118,$K118,$L118,$N118,$O118,$S118,RealTime!$B$2:$D$45,評価日,_xlfn.ANCHORARRAY([1]Fixing!$A$5)))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IF($E119="","",NotionalForDelta($E119,$G119,$H119,$I119,$K119,$L119,$N119,$O119,$S119,RealTime!$B$2:$D$45,評価日,_xlfn.ANCHORARRAY([1]Fixing!$A$5)))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IF($E120="","",NotionalForDelta($E120,$G120,$H120,$I120,$K120,$L120,$N120,$O120,$S120,RealTime!$B$2:$D$45,評価日,_xlfn.ANCHORARRAY([1]Fixing!$A$5)))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IF($E121="","",NotionalForDelta($E121,$G121,$H121,$I121,$K121,$L121,$N121,$O121,$S121,RealTime!$B$2:$D$45,評価日,_xlfn.ANCHORARRAY([1]Fixing!$A$5)))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IF($E122="","",NotionalForDelta($E122,$G122,$H122,$I122,$K122,$L122,$N122,$O122,$S122,RealTime!$B$2:$D$45,評価日,_xlfn.ANCHORARRAY([1]Fixing!$A$5)))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IF($E123="","",NotionalForDelta($E123,$G123,$H123,$I123,$K123,$L123,$N123,$O123,$S123,RealTime!$B$2:$D$45,評価日,_xlfn.ANCHORARRAY([1]Fixing!$A$5)))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IF($E124="","",NotionalForDelta($E124,$G124,$H124,$I124,$K124,$L124,$N124,$O124,$S124,RealTime!$B$2:$D$45,評価日,_xlfn.ANCHORARRAY([1]Fixing!$A$5)))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IF($E125="","",NotionalForDelta($E125,$G125,$H125,$I125,$K125,$L125,$N125,$O125,$S125,RealTime!$B$2:$D$45,評価日,_xlfn.ANCHORARRAY([1]Fixing!$A$5)))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IF($E126="","",NotionalForDelta($E126,$G126,$H126,$I126,$K126,$L126,$N126,$O126,$S126,RealTime!$B$2:$D$45,評価日,_xlfn.ANCHORARRAY([1]Fixing!$A$5)))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IF($E127="","",NotionalForDelta($E127,$G127,$H127,$I127,$K127,$L127,$N127,$O127,$S127,RealTime!$B$2:$D$45,評価日,_xlfn.ANCHORARRAY([1]Fixing!$A$5)))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IF($E128="","",NotionalForDelta($E128,$G128,$H128,$I128,$K128,$L128,$N128,$O128,$S128,RealTime!$B$2:$D$45,評価日,_xlfn.ANCHORARRAY([1]Fixing!$A$5)))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IF($E129="","",NotionalForDelta($E129,$G129,$H129,$I129,$K129,$L129,$N129,$O129,$S129,RealTime!$B$2:$D$45,評価日,_xlfn.ANCHORARRAY([1]Fixing!$A$5)))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IF($E130="","",NotionalForDelta($E130,$G130,$H130,$I130,$K130,$L130,$N130,$O130,$S130,RealTime!$B$2:$D$45,評価日,_xlfn.ANCHORARRAY([1]Fixing!$A$5)))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IF($E131="","",NotionalForDelta($E131,$G131,$H131,$I131,$K131,$L131,$N131,$O131,$S131,RealTime!$B$2:$D$45,評価日,_xlfn.ANCHORARRAY([1]Fixing!$A$5)))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IF($E132="","",NotionalForDelta($E132,$G132,$H132,$I132,$K132,$L132,$N132,$O132,$S132,RealTime!$B$2:$D$45,評価日,_xlfn.ANCHORARRAY([1]Fixing!$A$5)))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IF($E133="","",NotionalForDelta($E133,$G133,$H133,$I133,$K133,$L133,$N133,$O133,$S133,RealTime!$B$2:$D$45,評価日,_xlfn.ANCHORARRAY([1]Fixing!$A$5)))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IF($E134="","",NotionalForDelta($E134,$G134,$H134,$I134,$K134,$L134,$N134,$O134,$S134,RealTime!$B$2:$D$45,評価日,_xlfn.ANCHORARRAY([1]Fixing!$A$5)))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IF($E135="","",NotionalForDelta($E135,$G135,$H135,$I135,$K135,$L135,$N135,$O135,$S135,RealTime!$B$2:$D$45,評価日,_xlfn.ANCHORARRAY([1]Fixing!$A$5)))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IF($E136="","",NotionalForDelta($E136,$G136,$H136,$I136,$K136,$L136,$N136,$O136,$S136,RealTime!$B$2:$D$45,評価日,_xlfn.ANCHORARRAY([1]Fixing!$A$5)))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IF($E137="","",NotionalForDelta($E137,$G137,$H137,$I137,$K137,$L137,$N137,$O137,$S137,RealTime!$B$2:$D$45,評価日,_xlfn.ANCHORARRAY([1]Fixing!$A$5)))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IF($E138="","",NotionalForDelta($E138,$G138,$H138,$I138,$K138,$L138,$N138,$O138,$S138,RealTime!$B$2:$D$45,評価日,_xlfn.ANCHORARRAY([1]Fixing!$A$5)))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IF($E139="","",NotionalForDelta($E139,$G139,$H139,$I139,$K139,$L139,$N139,$O139,$S139,RealTime!$B$2:$D$45,評価日,_xlfn.ANCHORARRAY([1]Fixing!$A$5)))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IF($E140="","",NotionalForDelta($E140,$G140,$H140,$I140,$K140,$L140,$N140,$O140,$S140,RealTime!$B$2:$D$45,評価日,_xlfn.ANCHORARRAY([1]Fixing!$A$5)))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IF($E141="","",NotionalForDelta($E141,$G141,$H141,$I141,$K141,$L141,$N141,$O141,$S141,RealTime!$B$2:$D$45,評価日,_xlfn.ANCHORARRAY([1]Fixing!$A$5)))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IF($E142="","",NotionalForDelta($E142,$G142,$H142,$I142,$K142,$L142,$N142,$O142,$S142,RealTime!$B$2:$D$45,評価日,_xlfn.ANCHORARRAY([1]Fixing!$A$5)))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IF($E143="","",NotionalForDelta($E143,$G143,$H143,$I143,$K143,$L143,$N143,$O143,$S143,RealTime!$B$2:$D$45,評価日,_xlfn.ANCHORARRAY([1]Fixing!$A$5)))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IF($E144="","",NotionalForDelta($E144,$G144,$H144,$I144,$K144,$L144,$N144,$O144,$S144,RealTime!$B$2:$D$45,評価日,_xlfn.ANCHORARRAY([1]Fixing!$A$5)))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IF($E145="","",NotionalForDelta($E145,$G145,$H145,$I145,$K145,$L145,$N145,$O145,$S145,RealTime!$B$2:$D$45,評価日,_xlfn.ANCHORARRAY([1]Fixing!$A$5)))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IF($E146="","",NotionalForDelta($E146,$G146,$H146,$I146,$K146,$L146,$N146,$O146,$S146,RealTime!$B$2:$D$45,評価日,_xlfn.ANCHORARRAY([1]Fixing!$A$5)))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IF($E147="","",NotionalForDelta($E147,$G147,$H147,$I147,$K147,$L147,$N147,$O147,$S147,RealTime!$B$2:$D$45,評価日,_xlfn.ANCHORARRAY([1]Fixing!$A$5)))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IF($E148="","",NotionalForDelta($E148,$G148,$H148,$I148,$K148,$L148,$N148,$O148,$S148,RealTime!$B$2:$D$45,評価日,_xlfn.ANCHORARRAY([1]Fixing!$A$5)))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IF($E149="","",NotionalForDelta($E149,$G149,$H149,$I149,$K149,$L149,$N149,$O149,$S149,RealTime!$B$2:$D$45,評価日,_xlfn.ANCHORARRAY([1]Fixing!$A$5)))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IF($E150="","",NotionalForDelta($E150,$G150,$H150,$I150,$K150,$L150,$N150,$O150,$S150,RealTime!$B$2:$D$45,評価日,_xlfn.ANCHORARRAY([1]Fixing!$A$5)))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IF($E151="","",NotionalForDelta($E151,$G151,$H151,$I151,$K151,$L151,$N151,$O151,$S151,RealTime!$B$2:$D$45,評価日,_xlfn.ANCHORARRAY([1]Fixing!$A$5)))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IF($E152="","",NotionalForDelta($E152,$G152,$H152,$I152,$K152,$L152,$N152,$O152,$S152,RealTime!$B$2:$D$45,評価日,_xlfn.ANCHORARRAY([1]Fixing!$A$5)))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IF($E153="","",NotionalForDelta($E153,$G153,$H153,$I153,$K153,$L153,$N153,$O153,$S153,RealTime!$B$2:$D$45,評価日,_xlfn.ANCHORARRAY([1]Fixing!$A$5)))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IF($E154="","",NotionalForDelta($E154,$G154,$H154,$I154,$K154,$L154,$N154,$O154,$S154,RealTime!$B$2:$D$45,評価日,_xlfn.ANCHORARRAY([1]Fixing!$A$5)))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IF($E155="","",NotionalForDelta($E155,$G155,$H155,$I155,$K155,$L155,$N155,$O155,$S155,RealTime!$B$2:$D$45,評価日,_xlfn.ANCHORARRAY([1]Fixing!$A$5)))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IF($E156="","",NotionalForDelta($E156,$G156,$H156,$I156,$K156,$L156,$N156,$O156,$S156,RealTime!$B$2:$D$45,評価日,_xlfn.ANCHORARRAY([1]Fixing!$A$5)))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IF($E157="","",NotionalForDelta($E157,$G157,$H157,$I157,$K157,$L157,$N157,$O157,$S157,RealTime!$B$2:$D$45,評価日,_xlfn.ANCHORARRAY([1]Fixing!$A$5)))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IF($E158="","",NotionalForDelta($E158,$G158,$H158,$I158,$K158,$L158,$N158,$O158,$S158,RealTime!$B$2:$D$45,評価日,_xlfn.ANCHORARRAY([1]Fixing!$A$5)))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IF($E159="","",NotionalForDelta($E159,$G159,$H159,$I159,$K159,$L159,$N159,$O159,$S159,RealTime!$B$2:$D$45,評価日,_xlfn.ANCHORARRAY([1]Fixing!$A$5)))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IF($E160="","",NotionalForDelta($E160,$G160,$H160,$I160,$K160,$L160,$N160,$O160,$S160,RealTime!$B$2:$D$45,評価日,_xlfn.ANCHORARRAY([1]Fixing!$A$5)))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IF($E161="","",NotionalForDelta($E161,$G161,$H161,$I161,$K161,$L161,$N161,$O161,$S161,RealTime!$B$2:$D$45,評価日,_xlfn.ANCHORARRAY([1]Fixing!$A$5)))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IF($E162="","",NotionalForDelta($E162,$G162,$H162,$I162,$K162,$L162,$N162,$O162,$S162,RealTime!$B$2:$D$45,評価日,_xlfn.ANCHORARRAY([1]Fixing!$A$5)))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IF($E163="","",NotionalForDelta($E163,$G163,$H163,$I163,$K163,$L163,$N163,$O163,$S163,RealTime!$B$2:$D$45,評価日,_xlfn.ANCHORARRAY([1]Fixing!$A$5)))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IF($E164="","",NotionalForDelta($E164,$G164,$H164,$I164,$K164,$L164,$N164,$O164,$S164,RealTime!$B$2:$D$45,評価日,_xlfn.ANCHORARRAY([1]Fixing!$A$5)))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IF($E165="","",NotionalForDelta($E165,$G165,$H165,$I165,$K165,$L165,$N165,$O165,$S165,RealTime!$B$2:$D$45,評価日,_xlfn.ANCHORARRAY([1]Fixing!$A$5)))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IF($E166="","",NotionalForDelta($E166,$G166,$H166,$I166,$K166,$L166,$N166,$O166,$S166,RealTime!$B$2:$D$45,評価日,_xlfn.ANCHORARRAY([1]Fixing!$A$5)))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IF($E167="","",NotionalForDelta($E167,$G167,$H167,$I167,$K167,$L167,$N167,$O167,$S167,RealTime!$B$2:$D$45,評価日,_xlfn.ANCHORARRAY([1]Fixing!$A$5)))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IF($E168="","",NotionalForDelta($E168,$G168,$H168,$I168,$K168,$L168,$N168,$O168,$S168,RealTime!$B$2:$D$45,評価日,_xlfn.ANCHORARRAY([1]Fixing!$A$5)))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IF($E169="","",NotionalForDelta($E169,$G169,$H169,$I169,$K169,$L169,$N169,$O169,$S169,RealTime!$B$2:$D$45,評価日,_xlfn.ANCHORARRAY([1]Fixing!$A$5)))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IF($E170="","",NotionalForDelta($E170,$G170,$H170,$I170,$K170,$L170,$N170,$O170,$S170,RealTime!$B$2:$D$45,評価日,_xlfn.ANCHORARRAY([1]Fixing!$A$5)))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IF($E171="","",NotionalForDelta($E171,$G171,$H171,$I171,$K171,$L171,$N171,$O171,$S171,RealTime!$B$2:$D$45,評価日,_xlfn.ANCHORARRAY([1]Fixing!$A$5)))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IF($E172="","",NotionalForDelta($E172,$G172,$H172,$I172,$K172,$L172,$N172,$O172,$S172,RealTime!$B$2:$D$45,評価日,_xlfn.ANCHORARRAY([1]Fixing!$A$5)))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IF($E173="","",NotionalForDelta($E173,$G173,$H173,$I173,$K173,$L173,$N173,$O173,$S173,RealTime!$B$2:$D$45,評価日,_xlfn.ANCHORARRAY([1]Fixing!$A$5)))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IF($E174="","",NotionalForDelta($E174,$G174,$H174,$I174,$K174,$L174,$N174,$O174,$S174,RealTime!$B$2:$D$45,評価日,_xlfn.ANCHORARRAY([1]Fixing!$A$5)))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IF($E175="","",NotionalForDelta($E175,$G175,$H175,$I175,$K175,$L175,$N175,$O175,$S175,RealTime!$B$2:$D$45,評価日,_xlfn.ANCHORARRAY([1]Fixing!$A$5)))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IF($E176="","",NotionalForDelta($E176,$G176,$H176,$I176,$K176,$L176,$N176,$O176,$S176,RealTime!$B$2:$D$45,評価日,_xlfn.ANCHORARRAY([1]Fixing!$A$5)))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IF($E177="","",NotionalForDelta($E177,$G177,$H177,$I177,$K177,$L177,$N177,$O177,$S177,RealTime!$B$2:$D$45,評価日,_xlfn.ANCHORARRAY([1]Fixing!$A$5)))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IF($E178="","",NotionalForDelta($E178,$G178,$H178,$I178,$K178,$L178,$N178,$O178,$S178,RealTime!$B$2:$D$45,評価日,_xlfn.ANCHORARRAY([1]Fixing!$A$5)))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IF($E179="","",NotionalForDelta($E179,$G179,$H179,$I179,$K179,$L179,$N179,$O179,$S179,RealTime!$B$2:$D$45,評価日,_xlfn.ANCHORARRAY([1]Fixing!$A$5)))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IF($E180="","",NotionalForDelta($E180,$G180,$H180,$I180,$K180,$L180,$N180,$O180,$S180,RealTime!$B$2:$D$45,評価日,_xlfn.ANCHORARRAY([1]Fixing!$A$5)))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IF($E181="","",NotionalForDelta($E181,$G181,$H181,$I181,$K181,$L181,$N181,$O181,$S181,RealTime!$B$2:$D$45,評価日,_xlfn.ANCHORARRAY([1]Fixing!$A$5)))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IF($E182="","",NotionalForDelta($E182,$G182,$H182,$I182,$K182,$L182,$N182,$O182,$S182,RealTime!$B$2:$D$45,評価日,_xlfn.ANCHORARRAY([1]Fixing!$A$5)))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IF($E183="","",NotionalForDelta($E183,$G183,$H183,$I183,$K183,$L183,$N183,$O183,$S183,RealTime!$B$2:$D$45,評価日,_xlfn.ANCHORARRAY([1]Fixing!$A$5)))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IF($E184="","",NotionalForDelta($E184,$G184,$H184,$I184,$K184,$L184,$N184,$O184,$S184,RealTime!$B$2:$D$45,評価日,_xlfn.ANCHORARRAY([1]Fixing!$A$5)))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IF($E185="","",NotionalForDelta($E185,$G185,$H185,$I185,$K185,$L185,$N185,$O185,$S185,RealTime!$B$2:$D$45,評価日,_xlfn.ANCHORARRAY([1]Fixing!$A$5)))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IF($E186="","",NotionalForDelta($E186,$G186,$H186,$I186,$K186,$L186,$N186,$O186,$S186,RealTime!$B$2:$D$45,評価日,_xlfn.ANCHORARRAY([1]Fixing!$A$5)))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IF($E187="","",NotionalForDelta($E187,$G187,$H187,$I187,$K187,$L187,$N187,$O187,$S187,RealTime!$B$2:$D$45,評価日,_xlfn.ANCHORARRAY([1]Fixing!$A$5)))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IF($E188="","",NotionalForDelta($E188,$G188,$H188,$I188,$K188,$L188,$N188,$O188,$S188,RealTime!$B$2:$D$45,評価日,_xlfn.ANCHORARRAY([1]Fixing!$A$5)))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IF($E189="","",NotionalForDelta($E189,$G189,$H189,$I189,$K189,$L189,$N189,$O189,$S189,RealTime!$B$2:$D$45,評価日,_xlfn.ANCHORARRAY([1]Fixing!$A$5)))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IF($E190="","",NotionalForDelta($E190,$G190,$H190,$I190,$K190,$L190,$N190,$O190,$S190,RealTime!$B$2:$D$45,評価日,_xlfn.ANCHORARRAY([1]Fixing!$A$5)))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IF($E191="","",NotionalForDelta($E191,$G191,$H191,$I191,$K191,$L191,$N191,$O191,$S191,RealTime!$B$2:$D$45,評価日,_xlfn.ANCHORARRAY([1]Fixing!$A$5)))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IF($E192="","",NotionalForDelta($E192,$G192,$H192,$I192,$K192,$L192,$N192,$O192,$S192,RealTime!$B$2:$D$45,評価日,_xlfn.ANCHORARRAY([1]Fixing!$A$5)))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IF($E193="","",NotionalForDelta($E193,$G193,$H193,$I193,$K193,$L193,$N193,$O193,$S193,RealTime!$B$2:$D$45,評価日,_xlfn.ANCHORARRAY([1]Fixing!$A$5)))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IF($E194="","",NotionalForDelta($E194,$G194,$H194,$I194,$K194,$L194,$N194,$O194,$S194,RealTime!$B$2:$D$45,評価日,_xlfn.ANCHORARRAY([1]Fixing!$A$5)))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IF($E195="","",NotionalForDelta($E195,$G195,$H195,$I195,$K195,$L195,$N195,$O195,$S195,RealTime!$B$2:$D$45,評価日,_xlfn.ANCHORARRAY([1]Fixing!$A$5)))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IF($E196="","",NotionalForDelta($E196,$G196,$H196,$I196,$K196,$L196,$N196,$O196,$S196,RealTime!$B$2:$D$45,評価日,_xlfn.ANCHORARRAY([1]Fixing!$A$5)))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IF($E197="","",NotionalForDelta($E197,$G197,$H197,$I197,$K197,$L197,$N197,$O197,$S197,RealTime!$B$2:$D$45,評価日,_xlfn.ANCHORARRAY([1]Fixing!$A$5)))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IF($E198="","",NotionalForDelta($E198,$G198,$H198,$I198,$K198,$L198,$N198,$O198,$S198,RealTime!$B$2:$D$45,評価日,_xlfn.ANCHORARRAY([1]Fixing!$A$5)))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IF($E199="","",NotionalForDelta($E199,$G199,$H199,$I199,$K199,$L199,$N199,$O199,$S199,RealTime!$B$2:$D$45,評価日,_xlfn.ANCHORARRAY([1]Fixing!$A$5)))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IF($E200="","",NotionalForDelta($E200,$G200,$H200,$I200,$K200,$L200,$N200,$O200,$S200,RealTime!$B$2:$D$45,評価日,_xlfn.ANCHORARRAY([1]Fixing!$A$5)))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S5000"/>
  <sheetViews>
    <sheetView tabSelected="1" zoomScale="72" workbookViewId="0">
      <selection activeCell="I13" sqref="I13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</cols>
  <sheetData>
    <row r="1" spans="1:16" ht="15.5" x14ac:dyDescent="0.25">
      <c r="A1" s="8" t="s">
        <v>85</v>
      </c>
    </row>
    <row r="3" spans="1:16" x14ac:dyDescent="0.2">
      <c r="A3" s="5" t="s">
        <v>81</v>
      </c>
      <c r="B3" s="7">
        <f>IF(評価日="","",評価日)</f>
      </c>
      <c r="C3" s="11" t="s">
        <v>121</v>
      </c>
    </row>
    <row r="4" spans="1:16" x14ac:dyDescent="0.2">
      <c r="A4" s="5" t="s">
        <v>82</v>
      </c>
      <c r="B4" s="7"/>
      <c r="C4" s="11"/>
    </row>
    <row r="5" spans="1:16" x14ac:dyDescent="0.2">
      <c r="A5" s="5" t="s">
        <v>83</v>
      </c>
      <c r="B5" s="7"/>
      <c r="C5" s="11"/>
    </row>
    <row r="6" spans="1:16" x14ac:dyDescent="0.2">
      <c r="A6" s="5" t="s">
        <v>86</v>
      </c>
      <c r="B6" cm="1">
        <f t="array" ref="B6">IF(SUMPRODUCT(($B$9:$B$11&lt;&gt;"×")*(($H$9:$H$11="カーブ")+($H$9:$H$11="フライ")))&gt;0,"bp","%")</f>
      </c>
      <c r="C6" s="11" t="s">
        <v>88</v>
      </c>
    </row>
    <row r="7" spans="1:16" x14ac:dyDescent="0.2">
      <c r="A7" s="5" t="s">
        <v>87</v>
      </c>
      <c r="B7">
        <f>IF($B$6="bp",100,1)</f>
      </c>
    </row>
    <row r="8" spans="1:16" x14ac:dyDescent="0.2">
      <c r="A8" s="9" t="s">
        <v>89</v>
      </c>
      <c r="B8" s="6" t="s">
        <v>90</v>
      </c>
      <c r="C8" s="6" t="s">
        <v>91</v>
      </c>
      <c r="D8" s="6" t="s">
        <v>92</v>
      </c>
      <c r="E8" s="6" t="s">
        <v>93</v>
      </c>
      <c r="F8" s="9" t="s">
        <v>80</v>
      </c>
      <c r="G8" s="6" t="s">
        <v>94</v>
      </c>
      <c r="H8" s="6" t="s">
        <v>95</v>
      </c>
      <c r="I8" s="6" t="s">
        <v>96</v>
      </c>
    </row>
    <row r="9" spans="1:16" x14ac:dyDescent="0.2">
      <c r="A9" s="4">
        <v>1</v>
      </c>
      <c r="B9" s="12" t="s">
        <v>113</v>
      </c>
      <c r="C9" s="12">
        <v>5</v>
      </c>
      <c r="D9" s="12"/>
      <c r="E9" s="12"/>
      <c r="F9" s="7" t="s">
        <v>84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</row>
    <row r="10" spans="1:16" x14ac:dyDescent="0.2">
      <c r="A10" s="4">
        <v>2</v>
      </c>
      <c r="B10" s="12" t="s">
        <v>97</v>
      </c>
      <c r="C10" s="12">
        <v>2</v>
      </c>
      <c r="D10" s="12">
        <v>3</v>
      </c>
      <c r="E10" s="12">
        <v>4</v>
      </c>
      <c r="F10" s="7" t="s">
        <v>84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</row>
    <row r="11" spans="1:16" x14ac:dyDescent="0.2">
      <c r="A11" s="4">
        <v>3</v>
      </c>
      <c r="B11" s="12" t="s">
        <v>97</v>
      </c>
      <c r="C11" s="12">
        <v>2</v>
      </c>
      <c r="D11" s="12">
        <v>3</v>
      </c>
      <c r="E11" s="12"/>
      <c r="F11" s="7" t="s">
        <v>84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</row>
    <row r="12" spans="1:16" x14ac:dyDescent="0.2">
      <c r="A12" s="13" t="s">
        <v>98</v>
      </c>
    </row>
    <row r="14" spans="1:16" x14ac:dyDescent="0.2">
      <c r="A14" s="9" t="s">
        <v>89</v>
      </c>
      <c r="B14" s="6" t="s">
        <v>99</v>
      </c>
      <c r="C14" s="6" t="s">
        <v>100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</row>
    <row r="15" spans="1:16" x14ac:dyDescent="0.2">
      <c r="A15" s="5">
        <v>1</v>
      </c>
      <c r="B15" t="s">
        <v>101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cm="1">
        <f t="array" ref="K15">IF($C15="","",_xlfn.LET(_xlpm.v,INDEX(pricing!$O:$O,$C15),IF(_xlpm.v="","",_xlpm.v)))</f>
      </c>
      <c r="O15" s="5"/>
      <c r="P15"/>
    </row>
    <row r="16" spans="1:16" x14ac:dyDescent="0.2">
      <c r="A16" s="5">
        <v>1</v>
      </c>
      <c r="B16" t="s">
        <v>102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5"/>
      <c r="P16"/>
    </row>
    <row r="17" spans="1:19" x14ac:dyDescent="0.2">
      <c r="A17" s="5">
        <v>1</v>
      </c>
      <c r="B17" t="s">
        <v>103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5"/>
      <c r="P17"/>
    </row>
    <row r="18" spans="1:19" x14ac:dyDescent="0.2">
      <c r="A18" s="5">
        <v>2</v>
      </c>
      <c r="B18" t="s">
        <v>101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5"/>
      <c r="P18"/>
    </row>
    <row r="19" spans="1:19" x14ac:dyDescent="0.2">
      <c r="A19" s="5">
        <v>2</v>
      </c>
      <c r="B19" t="s">
        <v>102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5"/>
      <c r="P19"/>
    </row>
    <row r="20" spans="1:19" x14ac:dyDescent="0.2">
      <c r="A20" s="5">
        <v>2</v>
      </c>
      <c r="B20" t="s">
        <v>103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5"/>
      <c r="P20"/>
    </row>
    <row r="21" spans="1:19" x14ac:dyDescent="0.2">
      <c r="A21" s="5">
        <v>3</v>
      </c>
      <c r="B21" t="s">
        <v>101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5"/>
      <c r="P21"/>
    </row>
    <row r="22" spans="1:19" x14ac:dyDescent="0.2">
      <c r="A22" s="5">
        <v>3</v>
      </c>
      <c r="B22" t="s">
        <v>102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5"/>
      <c r="P22"/>
    </row>
    <row r="23" spans="1:19" x14ac:dyDescent="0.2">
      <c r="A23" s="5">
        <v>3</v>
      </c>
      <c r="B23" t="s">
        <v>103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5"/>
      <c r="P23"/>
    </row>
    <row r="26" spans="1:19" x14ac:dyDescent="0.2">
      <c r="A26" s="9" t="s">
        <v>104</v>
      </c>
    </row>
    <row r="27" spans="1:19" x14ac:dyDescent="0.2">
      <c r="A27" s="5" t="s">
        <v>105</v>
      </c>
      <c r="F27" s="5" t="s">
        <v>106</v>
      </c>
      <c r="K27" s="5" t="s">
        <v>107</v>
      </c>
      <c r="P27" s="5" t="s">
        <v>108</v>
      </c>
    </row>
    <row r="28" spans="1:19" x14ac:dyDescent="0.2">
      <c r="A28" s="5" cm="1">
        <f t="array" aca="1" ref="A28:D493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3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3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3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</row>
    <row r="29" spans="1:19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3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3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3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</row>
    <row r="30" spans="1:19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</row>
    <row r="31" spans="1:19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</row>
    <row r="32" spans="1:19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</row>
    <row r="33" spans="1:19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</row>
    <row r="34" spans="1:19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</row>
    <row r="35" spans="1:19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</row>
    <row r="36" spans="1:19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</row>
    <row r="37" spans="1:19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</row>
    <row r="38" spans="1:19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</row>
    <row r="39" spans="1:19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</row>
    <row r="40" spans="1:19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</row>
    <row r="41" spans="1:19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</row>
    <row r="42" spans="1:19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</row>
    <row r="43" spans="1:19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</row>
    <row r="44" spans="1:19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</row>
    <row r="45" spans="1:19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</row>
    <row r="46" spans="1:19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</row>
    <row r="47" spans="1:19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</row>
    <row r="48" spans="1:19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</row>
    <row r="49" spans="1:19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</row>
    <row r="50" spans="1:19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</row>
    <row r="51" spans="1:19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</row>
    <row r="52" spans="1:19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</row>
    <row r="53" spans="1:19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</row>
    <row r="54" spans="1:19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</row>
    <row r="55" spans="1:19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</row>
    <row r="56" spans="1:19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</row>
    <row r="57" spans="1:19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</row>
    <row r="58" spans="1:19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</row>
    <row r="59" spans="1:19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</row>
    <row r="60" spans="1:19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</row>
    <row r="61" spans="1:19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</row>
    <row r="62" spans="1:19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</row>
    <row r="63" spans="1:19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</row>
    <row r="64" spans="1:19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</row>
    <row r="65" spans="1:19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</row>
    <row r="66" spans="1:19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</row>
    <row r="67" spans="1:19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</row>
    <row r="68" spans="1:19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</row>
    <row r="69" spans="1:19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</row>
    <row r="70" spans="1:19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</row>
    <row r="71" spans="1:19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</row>
    <row r="72" spans="1:19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</row>
    <row r="73" spans="1:19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</row>
    <row r="74" spans="1:19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</row>
    <row r="75" spans="1:19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</row>
    <row r="76" spans="1:19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</row>
    <row r="77" spans="1:19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</row>
    <row r="78" spans="1:19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</row>
    <row r="79" spans="1:19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</row>
    <row r="80" spans="1:19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</row>
    <row r="81" spans="1:19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</row>
    <row r="82" spans="1:19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</row>
    <row r="83" spans="1:19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</row>
    <row r="84" spans="1:19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</row>
    <row r="85" spans="1:19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</row>
    <row r="86" spans="1:19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</row>
    <row r="87" spans="1:19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</row>
    <row r="88" spans="1:19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</row>
    <row r="89" spans="1:19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</row>
    <row r="90" spans="1:19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</row>
    <row r="91" spans="1:19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</row>
    <row r="92" spans="1:19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</row>
    <row r="93" spans="1:19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</row>
    <row r="94" spans="1:19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</row>
    <row r="95" spans="1:19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</row>
    <row r="96" spans="1:19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</row>
    <row r="97" spans="1:19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</row>
    <row r="98" spans="1:19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</row>
    <row r="99" spans="1:19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</row>
    <row r="100" spans="1:19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</row>
    <row r="101" spans="1:19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</row>
    <row r="102" spans="1:19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</row>
    <row r="103" spans="1:19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</row>
    <row r="104" spans="1:19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</row>
    <row r="105" spans="1:19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</row>
    <row r="106" spans="1:19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</row>
    <row r="107" spans="1:19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</row>
    <row r="108" spans="1:19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</row>
    <row r="109" spans="1:19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</row>
    <row r="110" spans="1:19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</row>
    <row r="111" spans="1:19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</row>
    <row r="112" spans="1:19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</row>
    <row r="113" spans="1:19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</row>
    <row r="114" spans="1:19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</row>
    <row r="115" spans="1:19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</row>
    <row r="116" spans="1:19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</row>
    <row r="117" spans="1:19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</row>
    <row r="118" spans="1:19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</row>
    <row r="119" spans="1:19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</row>
    <row r="120" spans="1:19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</row>
    <row r="121" spans="1:19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</row>
    <row r="122" spans="1:19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</row>
    <row r="123" spans="1:19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</row>
    <row r="124" spans="1:19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</row>
    <row r="125" spans="1:19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</row>
    <row r="126" spans="1:19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</row>
    <row r="127" spans="1:19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</row>
    <row r="128" spans="1:19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</row>
    <row r="129" spans="1:19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</row>
    <row r="130" spans="1:19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</row>
    <row r="131" spans="1:19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</row>
    <row r="132" spans="1:19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</row>
    <row r="133" spans="1:19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</row>
    <row r="134" spans="1:19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</row>
    <row r="135" spans="1:19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</row>
    <row r="136" spans="1:19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</row>
    <row r="137" spans="1:19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</row>
    <row r="138" spans="1:19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</row>
    <row r="139" spans="1:19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</row>
    <row r="140" spans="1:19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</row>
    <row r="141" spans="1:19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</row>
    <row r="142" spans="1:19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</row>
    <row r="143" spans="1:19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</row>
    <row r="144" spans="1:19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</row>
    <row r="145" spans="1:19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</row>
    <row r="146" spans="1:19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</row>
    <row r="147" spans="1:19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</row>
    <row r="148" spans="1:19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</row>
    <row r="149" spans="1:19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</row>
    <row r="150" spans="1:19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</row>
    <row r="151" spans="1:19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</row>
    <row r="152" spans="1:19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</row>
    <row r="153" spans="1:19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</row>
    <row r="154" spans="1:19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</row>
    <row r="155" spans="1:19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</row>
    <row r="156" spans="1:19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</row>
    <row r="157" spans="1:19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</row>
    <row r="158" spans="1:19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</row>
    <row r="159" spans="1:19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</row>
    <row r="160" spans="1:19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</row>
    <row r="161" spans="1:19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</row>
    <row r="162" spans="1:19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</row>
    <row r="163" spans="1:19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</row>
    <row r="164" spans="1:19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</row>
    <row r="165" spans="1:19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</row>
    <row r="166" spans="1:19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</row>
    <row r="167" spans="1:19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</row>
    <row r="168" spans="1:19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</row>
    <row r="169" spans="1:19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</row>
    <row r="170" spans="1:19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</row>
    <row r="171" spans="1:19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</row>
    <row r="172" spans="1:19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</row>
    <row r="173" spans="1:19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</row>
    <row r="174" spans="1:19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</row>
    <row r="175" spans="1:19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</row>
    <row r="176" spans="1:19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</row>
    <row r="177" spans="1:19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</row>
    <row r="178" spans="1:19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</row>
    <row r="179" spans="1:19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</row>
    <row r="180" spans="1:19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</row>
    <row r="181" spans="1:19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</row>
    <row r="182" spans="1:19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</row>
    <row r="183" spans="1:19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</row>
    <row r="184" spans="1:19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</row>
    <row r="185" spans="1:19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</row>
    <row r="186" spans="1:19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</row>
    <row r="187" spans="1:19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</row>
    <row r="188" spans="1:19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</row>
    <row r="189" spans="1:19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</row>
    <row r="190" spans="1:19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</row>
    <row r="191" spans="1:19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</row>
    <row r="192" spans="1:19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</row>
    <row r="193" spans="1:19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</row>
    <row r="194" spans="1:19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</row>
    <row r="195" spans="1:19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</row>
    <row r="196" spans="1:19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</row>
    <row r="197" spans="1:19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</row>
    <row r="198" spans="1:19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</row>
    <row r="199" spans="1:19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</row>
    <row r="200" spans="1:19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</row>
    <row r="201" spans="1:19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</row>
    <row r="202" spans="1:19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</row>
    <row r="203" spans="1:19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</row>
    <row r="204" spans="1:19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</row>
    <row r="205" spans="1:19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</row>
    <row r="206" spans="1:19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</row>
    <row r="207" spans="1:19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</row>
    <row r="208" spans="1:19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</row>
    <row r="209" spans="1:19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</row>
    <row r="210" spans="1:19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</row>
    <row r="211" spans="1:19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</row>
    <row r="212" spans="1:19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</row>
    <row r="213" spans="1:19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</row>
    <row r="214" spans="1:19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</row>
    <row r="215" spans="1:19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</row>
    <row r="216" spans="1:19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</row>
    <row r="217" spans="1:19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</row>
    <row r="218" spans="1:19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</row>
    <row r="219" spans="1:19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</row>
    <row r="220" spans="1:19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</row>
    <row r="221" spans="1:19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</row>
    <row r="222" spans="1:19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</row>
    <row r="223" spans="1:19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</row>
    <row r="224" spans="1:19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</row>
    <row r="225" spans="1:19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</row>
    <row r="226" spans="1:19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</row>
    <row r="227" spans="1:19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</row>
    <row r="228" spans="1:19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</row>
    <row r="229" spans="1:19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</row>
    <row r="230" spans="1:19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</row>
    <row r="231" spans="1:19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</row>
    <row r="232" spans="1:19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</row>
    <row r="233" spans="1:19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</row>
    <row r="234" spans="1:19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</row>
    <row r="235" spans="1:19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</row>
    <row r="236" spans="1:19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</row>
    <row r="237" spans="1:19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</row>
    <row r="238" spans="1:19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</row>
    <row r="239" spans="1:19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</row>
    <row r="240" spans="1:19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</row>
    <row r="241" spans="1:19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</row>
    <row r="242" spans="1:19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</row>
    <row r="243" spans="1:19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</row>
    <row r="244" spans="1:19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</row>
    <row r="245" spans="1:19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</row>
    <row r="246" spans="1:19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</row>
    <row r="247" spans="1:19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</row>
    <row r="248" spans="1:19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</row>
    <row r="249" spans="1:19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</row>
    <row r="250" spans="1:19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</row>
    <row r="251" spans="1:19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</row>
    <row r="252" spans="1:19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</row>
    <row r="253" spans="1:19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</row>
    <row r="254" spans="1:19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</row>
    <row r="255" spans="1:19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</row>
    <row r="256" spans="1:19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</row>
    <row r="257" spans="1:19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</row>
    <row r="258" spans="1:19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</row>
    <row r="259" spans="1:19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</row>
    <row r="260" spans="1:19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</row>
    <row r="261" spans="1:19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</row>
    <row r="262" spans="1:19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</row>
    <row r="263" spans="1:19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</row>
    <row r="264" spans="1:19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</row>
    <row r="265" spans="1:19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</row>
    <row r="266" spans="1:19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</row>
    <row r="267" spans="1:19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</row>
    <row r="268" spans="1:19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</row>
    <row r="269" spans="1:19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</row>
    <row r="270" spans="1:19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</row>
    <row r="271" spans="1:19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</row>
    <row r="272" spans="1:19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</row>
    <row r="273" spans="1:19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</row>
    <row r="274" spans="1:19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</row>
    <row r="275" spans="1:19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</row>
    <row r="276" spans="1:19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</row>
    <row r="277" spans="1:19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</row>
    <row r="278" spans="1:19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</row>
    <row r="279" spans="1:19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</row>
    <row r="280" spans="1:19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</row>
    <row r="281" spans="1:19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</row>
    <row r="282" spans="1:19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</row>
    <row r="283" spans="1:19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</row>
    <row r="284" spans="1:19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</row>
    <row r="285" spans="1:19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</row>
    <row r="286" spans="1:19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</row>
    <row r="287" spans="1:19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</row>
    <row r="288" spans="1:19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</row>
    <row r="289" spans="1:19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</row>
    <row r="290" spans="1:19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</row>
    <row r="291" spans="1:19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</row>
    <row r="292" spans="1:19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</row>
    <row r="293" spans="1:19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</row>
    <row r="294" spans="1:19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</row>
    <row r="295" spans="1:19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</row>
    <row r="296" spans="1:19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</row>
    <row r="297" spans="1:19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</row>
    <row r="298" spans="1:19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</row>
    <row r="299" spans="1:19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</row>
    <row r="300" spans="1:19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</row>
    <row r="301" spans="1:19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</row>
    <row r="302" spans="1:19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</row>
    <row r="303" spans="1:19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</row>
    <row r="304" spans="1:19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</row>
    <row r="305" spans="1:19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</row>
    <row r="306" spans="1:19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</row>
    <row r="307" spans="1:19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</row>
    <row r="308" spans="1:19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</row>
    <row r="309" spans="1:19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</row>
    <row r="310" spans="1:19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</row>
    <row r="311" spans="1:19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</row>
    <row r="312" spans="1:19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</row>
    <row r="313" spans="1:19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</row>
    <row r="314" spans="1:19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</row>
    <row r="315" spans="1:19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</row>
    <row r="316" spans="1:19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</row>
    <row r="317" spans="1:19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</row>
    <row r="318" spans="1:19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</row>
    <row r="319" spans="1:19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</row>
    <row r="320" spans="1:19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</row>
    <row r="321" spans="1:19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</row>
    <row r="322" spans="1:19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</row>
    <row r="323" spans="1:19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</row>
    <row r="324" spans="1:19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</row>
    <row r="325" spans="1:19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</row>
    <row r="326" spans="1:19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</row>
    <row r="327" spans="1:19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</row>
    <row r="328" spans="1:19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</row>
    <row r="329" spans="1:19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</row>
    <row r="330" spans="1:19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</row>
    <row r="331" spans="1:19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</row>
    <row r="332" spans="1:19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</row>
    <row r="333" spans="1:19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</row>
    <row r="334" spans="1:19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</row>
    <row r="335" spans="1:19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</row>
    <row r="336" spans="1:19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</row>
    <row r="337" spans="1:19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</row>
    <row r="338" spans="1:19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</row>
    <row r="339" spans="1:19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</row>
    <row r="340" spans="1:19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</row>
    <row r="341" spans="1:19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</row>
    <row r="342" spans="1:19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</row>
    <row r="343" spans="1:19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</row>
    <row r="344" spans="1:19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</row>
    <row r="345" spans="1:19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</row>
    <row r="346" spans="1:19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</row>
    <row r="347" spans="1:19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</row>
    <row r="348" spans="1:19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</row>
    <row r="349" spans="1:19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</row>
    <row r="350" spans="1:19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</row>
    <row r="351" spans="1:19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</row>
    <row r="352" spans="1:19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</row>
    <row r="353" spans="1:19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</row>
    <row r="354" spans="1:19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</row>
    <row r="355" spans="1:19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</row>
    <row r="356" spans="1:19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</row>
    <row r="357" spans="1:19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</row>
    <row r="358" spans="1:19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</row>
    <row r="359" spans="1:19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</row>
    <row r="360" spans="1:19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</row>
    <row r="361" spans="1:19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</row>
    <row r="362" spans="1:19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</row>
    <row r="363" spans="1:19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</row>
    <row r="364" spans="1:19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</row>
    <row r="365" spans="1:19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</row>
    <row r="366" spans="1:19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</row>
    <row r="367" spans="1:19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</row>
    <row r="368" spans="1:19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</row>
    <row r="369" spans="1:19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</row>
    <row r="370" spans="1:19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</row>
    <row r="371" spans="1:19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</row>
    <row r="372" spans="1:19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</row>
    <row r="373" spans="1:19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</row>
    <row r="374" spans="1:19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</row>
    <row r="375" spans="1:19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</row>
    <row r="376" spans="1:19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</row>
    <row r="377" spans="1:19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</row>
    <row r="378" spans="1:19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</row>
    <row r="379" spans="1:19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</row>
    <row r="380" spans="1:19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</row>
    <row r="381" spans="1:19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</row>
    <row r="382" spans="1:19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</row>
    <row r="383" spans="1:19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</row>
    <row r="384" spans="1:19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</row>
    <row r="385" spans="1:19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</row>
    <row r="386" spans="1:19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</row>
    <row r="387" spans="1:19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</row>
    <row r="388" spans="1:19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</row>
    <row r="389" spans="1:19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</row>
    <row r="390" spans="1:19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</row>
    <row r="391" spans="1:19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</row>
    <row r="392" spans="1:19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</row>
    <row r="393" spans="1:19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</row>
    <row r="394" spans="1:19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</row>
    <row r="395" spans="1:19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</row>
    <row r="396" spans="1:19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</row>
    <row r="397" spans="1:19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</row>
    <row r="398" spans="1:19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</row>
    <row r="399" spans="1:19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</row>
    <row r="400" spans="1:19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</row>
    <row r="401" spans="1:19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</row>
    <row r="402" spans="1:19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</row>
    <row r="403" spans="1:19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</row>
    <row r="404" spans="1:19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</row>
    <row r="405" spans="1:19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</row>
    <row r="406" spans="1:19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</row>
    <row r="407" spans="1:19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</row>
    <row r="408" spans="1:19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</row>
    <row r="409" spans="1:19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</row>
    <row r="410" spans="1:19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</row>
    <row r="411" spans="1:19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</row>
    <row r="412" spans="1:19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</row>
    <row r="413" spans="1:19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</row>
    <row r="414" spans="1:19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</row>
    <row r="415" spans="1:19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</row>
    <row r="416" spans="1:19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</row>
    <row r="417" spans="1:19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</row>
    <row r="418" spans="1:19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</row>
    <row r="419" spans="1:19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</row>
    <row r="420" spans="1:19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</row>
    <row r="421" spans="1:19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</row>
    <row r="422" spans="1:19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</row>
    <row r="423" spans="1:19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</row>
    <row r="424" spans="1:19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</row>
    <row r="425" spans="1:19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</row>
    <row r="426" spans="1:19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</row>
    <row r="427" spans="1:19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</row>
    <row r="428" spans="1:19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</row>
    <row r="429" spans="1:19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</row>
    <row r="430" spans="1:19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</row>
    <row r="431" spans="1:19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</row>
    <row r="432" spans="1:19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</row>
    <row r="433" spans="1:19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</row>
    <row r="434" spans="1:19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</row>
    <row r="435" spans="1:19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</row>
    <row r="436" spans="1:19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</row>
    <row r="437" spans="1:19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</row>
    <row r="438" spans="1:19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</row>
    <row r="439" spans="1:19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</row>
    <row r="440" spans="1:19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</row>
    <row r="441" spans="1:19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</row>
    <row r="442" spans="1:19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</row>
    <row r="443" spans="1:19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</row>
    <row r="444" spans="1:19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</row>
    <row r="445" spans="1:19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</row>
    <row r="446" spans="1:19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</row>
    <row r="447" spans="1:19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</row>
    <row r="448" spans="1:19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</row>
    <row r="449" spans="1:19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</row>
    <row r="450" spans="1:19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</row>
    <row r="451" spans="1:19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</row>
    <row r="452" spans="1:19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</row>
    <row r="453" spans="1:19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</row>
    <row r="454" spans="1:19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</row>
    <row r="455" spans="1:19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</row>
    <row r="456" spans="1:19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</row>
    <row r="457" spans="1:19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</row>
    <row r="458" spans="1:19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</row>
    <row r="459" spans="1:19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</row>
    <row r="460" spans="1:19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</row>
    <row r="461" spans="1:19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</row>
    <row r="462" spans="1:19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</row>
    <row r="463" spans="1:19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</row>
    <row r="464" spans="1:19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</row>
    <row r="465" spans="1:19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</row>
    <row r="466" spans="1:19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</row>
    <row r="467" spans="1:19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</row>
    <row r="468" spans="1:19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</row>
    <row r="469" spans="1:19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</row>
    <row r="470" spans="1:19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</row>
    <row r="471" spans="1:19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</row>
    <row r="472" spans="1:19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</row>
    <row r="473" spans="1:19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</row>
    <row r="474" spans="1:19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</row>
    <row r="475" spans="1:19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</row>
    <row r="476" spans="1:19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</row>
    <row r="477" spans="1:19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</row>
    <row r="478" spans="1:19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</row>
    <row r="479" spans="1:19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</row>
    <row r="480" spans="1:19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</row>
    <row r="481" spans="1:19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</row>
    <row r="482" spans="1:19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</row>
    <row r="483" spans="1:19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</row>
    <row r="484" spans="1:19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</row>
    <row r="485" spans="1:19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</row>
    <row r="486" spans="1:19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</row>
    <row r="487" spans="1:19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</row>
    <row r="488" spans="1:19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</row>
    <row r="489" spans="1:19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</row>
    <row r="490" spans="1:19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</row>
    <row r="491" spans="1:19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</row>
    <row r="492" spans="1:19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</row>
    <row r="493" spans="1:19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</row>
    <row r="494" spans="1:19" x14ac:dyDescent="0.2">
      <c r="B494" s="10"/>
      <c r="C494" s="10"/>
      <c r="D494" s="10"/>
      <c r="G494" s="10"/>
      <c r="H494" s="10"/>
      <c r="I494" s="10"/>
      <c r="L494" s="10"/>
      <c r="M494" s="10"/>
      <c r="N494" s="10"/>
      <c r="Q494" s="14"/>
      <c r="R494" s="14"/>
      <c r="S494" s="14"/>
    </row>
    <row r="495" spans="1:19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19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B9:B11" xr:uid="{6ECF7BDA-99C6-47BC-97A1-F9D70329A05A}">
      <formula1>"○,×"</formula1>
    </dataValidation>
    <dataValidation type="list" allowBlank="1" showInputMessage="1" showErrorMessage="1" sqref="F9:F11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134</v>
      </c>
    </row>
    <row r="2" spans="1:8" x14ac:dyDescent="0.2">
      <c r="A2" t="s">
        <v>116</v>
      </c>
      <c r="B2" s="5">
        <f>IF(評価日="","今日(RealTime)",評価日)</f>
      </c>
    </row>
    <row r="3" spans="1:8" x14ac:dyDescent="0.2">
      <c r="A3" t="s">
        <v>135</v>
      </c>
      <c r="B3" s="10">
        <f ca="1">RealTime!$D$2</f>
      </c>
    </row>
    <row r="5" spans="1:8" x14ac:dyDescent="0.2">
      <c r="A5" s="6" t="s">
        <v>136</v>
      </c>
    </row>
    <row r="6" spans="1:8" ht="30" customHeight="1" x14ac:dyDescent="0.2">
      <c r="A6" s="19" t="s">
        <v>0</v>
      </c>
      <c r="B6" s="19" t="s">
        <v>137</v>
      </c>
      <c r="C6" s="19" t="s">
        <v>138</v>
      </c>
      <c r="D6" s="19" t="s">
        <v>139</v>
      </c>
      <c r="E6" s="19" t="s">
        <v>140</v>
      </c>
      <c r="F6" s="19" t="s">
        <v>141</v>
      </c>
      <c r="G6" s="19" t="s">
        <v>142</v>
      </c>
      <c r="H6" s="19" t="s">
        <v>143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144</v>
      </c>
    </row>
    <row r="20" spans="1:4" ht="30" customHeight="1" x14ac:dyDescent="0.2">
      <c r="A20" s="19" t="s">
        <v>145</v>
      </c>
      <c r="B20" s="19" t="s">
        <v>146</v>
      </c>
      <c r="C20" s="19" t="s">
        <v>147</v>
      </c>
      <c r="D20" s="19" t="s">
        <v>148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149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62</v>
      </c>
      <c r="B1" s="1" t="s">
        <v>63</v>
      </c>
    </row>
    <row r="2" spans="1:2" ht="15.65" customHeight="1" x14ac:dyDescent="0.2">
      <c r="A2" s="1" t="s">
        <v>64</v>
      </c>
    </row>
    <row r="3" spans="1:2" ht="15.65" customHeight="1" x14ac:dyDescent="0.2">
      <c r="A3" s="1" t="s">
        <v>65</v>
      </c>
    </row>
    <row r="4" spans="1:2" ht="15.65" customHeight="1" x14ac:dyDescent="0.2">
      <c r="A4" s="1" t="s">
        <v>66</v>
      </c>
    </row>
    <row r="5" spans="1:2" ht="15.65" customHeight="1" x14ac:dyDescent="0.2">
      <c r="A5" s="1" t="s">
        <v>67</v>
      </c>
    </row>
    <row r="6" spans="1:2" ht="15.65" customHeight="1" x14ac:dyDescent="0.2">
      <c r="A6" s="1" t="s">
        <v>68</v>
      </c>
      <c r="B6" t="s">
        <v>69</v>
      </c>
    </row>
    <row r="7" spans="1:2" ht="15.65" customHeight="1" x14ac:dyDescent="0.2">
      <c r="A7" s="1" t="s">
        <v>70</v>
      </c>
      <c r="B7" s="1" t="b">
        <v>0</v>
      </c>
    </row>
    <row r="8" spans="1:2" ht="15.65" customHeight="1" x14ac:dyDescent="0.2">
      <c r="A8" s="1" t="s">
        <v>71</v>
      </c>
      <c r="B8" s="1" t="b">
        <v>0</v>
      </c>
    </row>
    <row r="9" spans="1:2" ht="15.65" customHeight="1" x14ac:dyDescent="0.2">
      <c r="A9" s="1" t="s">
        <v>72</v>
      </c>
      <c r="B9" s="1" t="b">
        <v>0</v>
      </c>
    </row>
    <row r="13" spans="1:2" ht="15.65" customHeight="1" x14ac:dyDescent="0.2">
      <c r="A13" s="2" t="s">
        <v>73</v>
      </c>
    </row>
    <row r="14" spans="1:2" ht="15.65" customHeight="1" x14ac:dyDescent="0.2">
      <c r="A14" s="1" t="s">
        <v>74</v>
      </c>
    </row>
    <row r="15" spans="1:2" ht="15.65" customHeight="1" x14ac:dyDescent="0.2">
      <c r="A15" s="1" t="s">
        <v>75</v>
      </c>
    </row>
    <row r="16" spans="1:2" ht="15.65" customHeight="1" x14ac:dyDescent="0.2">
      <c r="A16" s="1" t="s">
        <v>76</v>
      </c>
    </row>
    <row r="17" spans="1:1" ht="15.65" customHeight="1" x14ac:dyDescent="0.2">
      <c r="A17" s="1" t="s">
        <v>77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RealTime</vt:lpstr>
      <vt:lpstr>pricing</vt:lpstr>
      <vt:lpstr>HistChart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2026-10-11T23:10:38Z</dcterms:modified>
</cp:coreProperties>
</file>