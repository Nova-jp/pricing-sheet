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11BF1719-E005-4FAF-A9FC-B48B4A6A8753}" xr6:coauthVersionLast="47" xr6:coauthVersionMax="47" xr10:uidLastSave="{00000000-0000-0000-0000-000000000000}"/>
  <bookViews>
    <workbookView xWindow="-110" yWindow="-110" windowWidth="19420" windowHeight="11500" tabRatio="500" firstSheet="1" activeTab="3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_xlwings.conf" sheetId="5" r:id="rId6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r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H">HistChart!$T$29:INDEX(HistChart!$T:$T,ROW(HistChart!$P$28)+ROWS(_xlfn.ANCHORARRAY(HistChart!$P$28))-1)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2" i="7" l="1"/>
  <c r="AD9" i="7" a="1"/>
  <c r="AD9" i="7" s="1"/>
  <c r="AE4" i="7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Y1" i="2" a="1"/>
  <c r="Y1" i="2"/>
  <c r="D44" i="1"/>
  <c r="E44" i="1"/>
  <c r="F44" i="1"/>
  <c r="D45" i="1"/>
  <c r="E45" i="1"/>
  <c r="F45" i="1"/>
  <c r="D36" i="1"/>
  <c r="D37" i="1"/>
  <c r="D38" i="1"/>
  <c r="D39" i="1"/>
  <c r="D41" i="1"/>
  <c r="D42" i="1"/>
  <c r="D40" i="1"/>
  <c r="E40" i="1"/>
  <c r="F36" i="1"/>
  <c r="F37" i="1"/>
  <c r="F38" i="1"/>
  <c r="F39" i="1"/>
  <c r="F40" i="1"/>
  <c r="F41" i="1"/>
  <c r="F42" i="1"/>
  <c r="E41" i="1"/>
  <c r="E42" i="1"/>
  <c r="E36" i="1"/>
  <c r="E37" i="1"/>
  <c r="E38" i="1"/>
  <c r="E39" i="1"/>
  <c r="D43" i="1"/>
  <c r="E43" i="1"/>
  <c r="F43" i="1"/>
  <c r="D2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F16" i="9"/>
  <c r="F15" i="9"/>
  <c r="F14" i="9"/>
  <c r="F13" i="9"/>
  <c r="F12" i="9"/>
  <c r="F11" i="9"/>
  <c r="F10" i="9"/>
  <c r="F9" i="9"/>
  <c r="F8" i="9"/>
  <c r="F7" i="9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C21" i="9" a="1"/>
  <c r="AE9" i="7" l="1" a="1"/>
  <c r="H10" i="9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AE9" i="7" l="1"/>
  <c r="AE42" i="7" s="1"/>
  <c r="Q2" i="2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AG9" i="7" l="1" a="1"/>
  <c r="R14" i="2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l="1"/>
  <c r="Q28" i="7" s="1"/>
  <c r="AG9" i="7"/>
  <c r="AG42" i="7" s="1"/>
  <c r="F21" i="7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AE5" i="7" a="1"/>
  <c r="AE5" i="7" l="1"/>
  <c r="AE7" i="7" s="1"/>
  <c r="O2" i="2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P28" i="7" a="1"/>
  <c r="A28" i="7" a="1"/>
  <c r="F28" i="7" a="1"/>
  <c r="K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AC1" i="2"/>
  <c r="K28" i="7"/>
  <c r="S29" i="7" a="1"/>
  <c r="S29" i="7" s="1"/>
  <c r="P28" i="7"/>
  <c r="A28" i="7"/>
  <c r="Q29" i="7" a="1"/>
  <c r="Q29" i="7" s="1"/>
  <c r="F28" i="7"/>
  <c r="R29" i="7" a="1"/>
  <c r="R29" i="7" s="1"/>
  <c r="U29" i="7" a="1"/>
  <c r="U29" i="7" l="1"/>
  <c r="AE6" i="7" a="1"/>
  <c r="AE6" i="7" s="1"/>
  <c r="T29" i="7" s="1" a="1"/>
  <c r="T29" i="7" s="1"/>
  <c r="T2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<sst xmlns="http://schemas.openxmlformats.org/spreadsheetml/2006/main" count="313" uniqueCount="170">
  <si>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</si>
  <si>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</si>
  <si>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</si>
  <si>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</si>
  <si>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</si>
  <si>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</si>
  <si>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</si>
  <si>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</si>
  <si>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</si>
  <si>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</si>
  <si>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</si>
  <si>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</si>
  <si>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</si>
  <si>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</si>
  <si>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</si>
  <si>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</si>
  <si>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</si>
  <si>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</si>
  <si>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</si>
  <si>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</si>
  <si>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</si>
  <si>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</si>
  <si>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</si>
  <si>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</si>
  <si>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</si>
  <si>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</si>
  <si>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</si>
  <si>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</si>
  <si>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</si>
  <si>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</si>
  <si>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</si>
  <si>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</si>
  <si>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</si>
  <si>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</si>
  <si>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</si>
  <si>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</si>
  <si>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</si>
  <si>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</si>
  <si>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</si>
  <si>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</si>
  <si>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</si>
  <si>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</si>
  <si>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</si>
  <si>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</si>
  <si>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</si>
  <si>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</si>
  <si>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</si>
  <si>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</si>
  <si>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</si>
  <si>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</si>
  <si>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</si>
  <si>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</si>
  <si>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</si>
  <si>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</si>
  <si>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</si>
  <si>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</si>
  <si>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</si>
  <si>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</si>
  <si>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</si>
  <si>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</si>
  <si>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</si>
  <si>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</si>
  <si>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</si>
  <si>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</si>
  <si>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</si>
  <si>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</si>
  <si>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</si>
  <si>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</si>
  <si>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</si>
  <si>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</si>
  <si>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</si>
  <si>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</si>
  <si>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</si>
  <si>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</si>
  <si>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</si>
  <si>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</si>
  <si>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</si>
  <si>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</si>
  <si>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</si>
  <si>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</si>
  <si>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</si>
  <si>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</si>
  <si>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</si>
  <si>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</si>
  <si>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</si>
  <si>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</si>
  <si>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</si>
  <si>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</si>
  <si>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</si>
  <si>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</si>
  <si>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</si>
  <si>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</si>
  <si>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</si>
  <si>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</si>
  <si>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</si>
  <si>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</si>
  <si>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</si>
  <si>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</si>
  <si>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</si>
  <si>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</si>
  <si>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</si>
  <si>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</si>
  <si>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</si>
  <si>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</si>
  <si>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</si>
  <si>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</si>
  <si>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</si>
  <si>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</si>
  <si>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</si>
  <si>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</si>
  <si>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</si>
  <si>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</si>
  <si>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</si>
  <si>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</si>
  <si>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</si>
  <si>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</si>
  <si>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</si>
  <si>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</si>
  <si>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</si>
  <si>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</si>
  <si>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</si>
  <si>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</si>
  <si>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</si>
  <si>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</si>
  <si>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</si>
  <si>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</si>
  <si>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</si>
  <si>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</si>
  <si>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</si>
  <si>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</si>
  <si>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</si>
  <si>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</si>
  <si>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</si>
  <si>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</si>
  <si>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</si>
  <si>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</si>
  <si>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</si>
  <si>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</si>
  <si>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</si>
  <si>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</si>
  <si>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</si>
  <si>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</si>
  <si>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</si>
  <si>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</si>
  <si>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</si>
  <si>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</si>
  <si>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</si>
  <si>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</si>
  <si>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</si>
  <si>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</si>
  <si>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</si>
  <si>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</si>
  <si>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</si>
  <si>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</si>
  <si>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</si>
  <si>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</si>
  <si>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</si>
  <si>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</si>
  <si>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</si>
  <si>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</si>
  <si>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</si>
  <si>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</si>
  <si>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</si>
  <si>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</si>
  <si>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</si>
  <si>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</si>
  <si>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</si>
  <si>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</si>
  <si>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4"/>
  </si>
  <si>
    <t>状態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</si>
</sst>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2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  <xf numFmtId="178" fontId="0" fillId="2" borderId="0" xfId="0" applyNumberFormat="1" applyFill="1"/>
    <xf numFmtId="178" fontId="5" fillId="0" borderId="0" xfId="0" applyNumberFormat="1" applyFon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HistChart!$T$28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115</v>
      </c>
    </row>
    <row r="3" spans="1:3" x14ac:dyDescent="0.2">
      <c r="A3" t="s">
        <v>116</v>
      </c>
      <c r="B3" s="16"/>
      <c r="C3" t="s">
        <v>117</v>
      </c>
    </row>
    <row r="4" spans="1:3" x14ac:dyDescent="0.2">
      <c r="A4" t="s">
        <v>118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E20" sqref="E20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122</v>
      </c>
      <c r="F1" t="s">
        <v>123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78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124</v>
      </c>
      <c r="B36">
        <v>0</v>
      </c>
      <c r="C36" t="s">
        <v>125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126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127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128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129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130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131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132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133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RiskGrid(pricing!$A$1:$S$201,RealTime!$B$2:$D$45,評価日)</f>
      </c>
      <c r="Z1" s="15">
        <f ca="1"/>
      </c>
      <c r="AB1" t="s">
        <v>119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IF($E2="","",NotionalForDelta($E2,$G2,$H2,$I2,$K2,$L2,$N2,$O2,$S2,RealTime!$B$2:$D$45,評価日))</f>
      </c>
      <c r="G2" s="3" t="s">
        <v>109</v>
      </c>
      <c r="I2" s="3" t="s">
        <v>110</v>
      </c>
      <c r="K2" t="s">
        <v>79</v>
      </c>
      <c r="L2" t="s">
        <v>59</v>
      </c>
      <c r="M2" t="s">
        <v>60</v>
      </c>
      <c r="N2" t="s">
        <v>79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SwapPV($G2,$H2,$I2,$K2,$L2,$N2,$O2,$D2,$S2,$J2,RealTime!$B$2:$D$45,評価日)</f>
      </c>
      <c r="U2">
        <f ca="1">SwapDelta($G2,$H2,$I2,$K2,$L2,$N2,$O2,$D2,$S2,$J2,RealTime!$B$2:$D$45,評価日)</f>
      </c>
      <c r="V2">
        <f ca="1">SwapAnnuityDelta($G2,$H2,$I2,$K2,$L2,$N2,$O2,$D2,$S2,RealTime!$B$2:$D$45,評価日)</f>
      </c>
      <c r="Y2">
        <f ca="1"/>
      </c>
      <c r="Z2" s="17">
        <f ca="1"/>
      </c>
      <c r="AA2" s="17">
        <f ca="1">Z2</f>
      </c>
      <c r="AB2" t="s">
        <v>120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IF($E3="","",NotionalForDelta($E3,$G3,$H3,$I3,$K3,$L3,$N3,$O3,$S3,RealTime!$B$2:$D$45,評価日))</f>
      </c>
      <c r="G3" s="3" t="s">
        <v>110</v>
      </c>
      <c r="I3" s="3" t="s">
        <v>111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SwapPV($G3,$H3,$I3,$K3,$L3,$N3,$O3,$D3,$S3,$J3,RealTime!$B$2:$D$45,評価日)</f>
      </c>
      <c r="U3">
        <f ca="1">SwapDelta($G3,$H3,$I3,$K3,$L3,$N3,$O3,$D3,$S3,$J3,RealTime!$B$2:$D$45,評価日)</f>
      </c>
      <c r="V3">
        <f ca="1">SwapAnnuityDelta($G3,$H3,$I3,$K3,$L3,$N3,$O3,$D3,$S3,RealTime!$B$2:$D$45,評価日)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IF($E4="","",NotionalForDelta($E4,$G4,$H4,$I4,$K4,$L4,$N4,$O4,$S4,RealTime!$B$2:$D$45,評価日))</f>
      </c>
      <c r="G4" s="3" t="s">
        <v>111</v>
      </c>
      <c r="I4" s="3" t="s">
        <v>112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SwapPV($G4,$H4,$I4,$K4,$L4,$N4,$O4,$D4,$S4,$J4,RealTime!$B$2:$D$45,評価日)</f>
      </c>
      <c r="U4">
        <f ca="1">SwapDelta($G4,$H4,$I4,$K4,$L4,$N4,$O4,$D4,$S4,$J4,RealTime!$B$2:$D$45,評価日)</f>
      </c>
      <c r="V4">
        <f ca="1">SwapAnnuityDelta($G4,$H4,$I4,$K4,$L4,$N4,$O4,$D4,$S4,RealTime!$B$2:$D$45,評価日)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IF($E5="","",NotionalForDelta($E5,$G5,$H5,$I5,$K5,$L5,$N5,$O5,$S5,RealTime!$B$2:$D$45,評価日))</f>
      </c>
      <c r="G5" s="3">
        <v>53598</v>
      </c>
      <c r="H5" t="s">
        <v>114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G5000"/>
  <sheetViews>
    <sheetView tabSelected="1" zoomScale="72" workbookViewId="0">
      <selection activeCell="AF7" sqref="AF7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  <col min="30" max="30" width="14.58203125" customWidth="1"/>
    <col min="31" max="33" width="16.58203125" customWidth="1"/>
  </cols>
  <sheetData>
    <row r="1" spans="1:33" ht="15.5" x14ac:dyDescent="0.25">
      <c r="A1" s="8" t="s">
        <v>85</v>
      </c>
      <c r="AD1" s="6" t="s">
        <v>155</v>
      </c>
    </row>
    <row r="2" spans="1:33" x14ac:dyDescent="0.2">
      <c r="AD2" t="s">
        <v>156</v>
      </c>
    </row>
    <row r="3" spans="1:33" x14ac:dyDescent="0.2">
      <c r="A3" s="5" t="s">
        <v>81</v>
      </c>
      <c r="B3" s="7">
        <f>IF(評価日="","",評価日)</f>
      </c>
      <c r="C3" s="11" t="s">
        <v>121</v>
      </c>
      <c r="AD3" t="s">
        <v>90</v>
      </c>
      <c r="AE3" s="12" t="s">
        <v>97</v>
      </c>
      <c r="AF3" t="s">
        <v>157</v>
      </c>
    </row>
    <row r="4" spans="1:33" x14ac:dyDescent="0.2">
      <c r="A4" s="5" t="s">
        <v>82</v>
      </c>
      <c r="B4" s="7"/>
      <c r="C4" s="11"/>
      <c r="AD4" t="s">
        <v>80</v>
      </c>
      <c r="AE4">
        <f>IF($F$9="","ROLLING",$F$9)</f>
      </c>
      <c r="AF4" t="s">
        <v>158</v>
      </c>
    </row>
    <row r="5" spans="1:33" x14ac:dyDescent="0.2">
      <c r="A5" s="5" t="s">
        <v>83</v>
      </c>
      <c r="B5" s="7"/>
      <c r="C5" s="11"/>
      <c r="AD5" t="s">
        <v>159</v>
      </c>
      <c r="AE5" s="15" cm="1">
        <f t="array" aca="1" ref="AE5" ca="1">IFERROR(_xlfn.LET(_xlpm.t,$H$9,_xlpm.leg,IF(_xlpm.t="アウトライト",1,IF(OR(_xlpm.t="カーブ",_xlpm.t="フライ"),2,NA())),_xlpm.r,INDEX($C$15:$C$16,_xlpm.leg),_xlpm.n,INDEX(pricing!$D:$D,_xlpm.r),_xlpm.pr,INDEX(pricing!$S:$S,_xlpm.r),_xlpm.c,INDEX($E$15:$K$16,_xlpm.leg,0),IF(OR(_xlpm.n="",_xlpm.n=0),NA(),SwapAnnuityDelta(INDEX(_xlpm.c,1),INDEX(_xlpm.c,2),INDEX(_xlpm.c,3),INDEX(_xlpm.c,4),INDEX(_xlpm.c,5),INDEX(_xlpm.c,6),INDEX(_xlpm.c,7),_xlpm.n,IF(_xlpm.pr="","PAY",_xlpm.pr),RealTime!$B$2:$D$45,評価日)/IF(_xlpm.t="フライ",2,1))),NA())</f>
      </c>
      <c r="AF5" t="s">
        <v>168</v>
      </c>
    </row>
    <row r="6" spans="1:33" x14ac:dyDescent="0.2">
      <c r="A6" s="5" t="s">
        <v>86</v>
      </c>
      <c r="B6" cm="1">
        <f t="array" ref="B6">IF(SUMPRODUCT(($B$9:$B$11&lt;&gt;"×")*(($H$9:$H$11="カーブ")+($H$9:$H$11="フライ")))&gt;0,"bp","%")</f>
      </c>
      <c r="C6" s="11" t="s">
        <v>88</v>
      </c>
      <c r="AD6" t="s">
        <v>160</v>
      </c>
      <c r="AE6" s="5" cm="1">
        <f t="array" aca="1" ref="AE6" ca="1">IFERROR(_xlfn.LET(_xlpm.d,HistChart_Date,_xlpm.ok,ISNUMBER(HistChart_S1)*ISNUMBER(_xlfn.ANCHORARRAY(U29)),MIN(_xlfn._xlws.FILTER(_xlpm.d,_xlpm.ok))),"")</f>
      </c>
      <c r="AF6" t="s">
        <v>161</v>
      </c>
    </row>
    <row r="7" spans="1:33" x14ac:dyDescent="0.2">
      <c r="A7" s="5" t="s">
        <v>87</v>
      </c>
      <c r="B7">
        <f ca="1">IF($B$6="bp",100,1)</f>
      </c>
      <c r="AD7" t="s">
        <v>169</v>
      </c>
      <c r="AE7">
        <f ca="1">IF($AE$3="×","",IF(ISNUMBER($AE$5),IF($AE$5=0,"縮尺が0です(手入力してください)","OK"),"縮尺を計算できません(系列1の行のnotionalが空欄など。AE5に手入力してください)"))</f>
      </c>
    </row>
    <row r="8" spans="1:33" x14ac:dyDescent="0.2">
      <c r="A8" s="9" t="s">
        <v>89</v>
      </c>
      <c r="B8" s="6" t="s">
        <v>90</v>
      </c>
      <c r="C8" s="6" t="s">
        <v>91</v>
      </c>
      <c r="D8" s="6" t="s">
        <v>92</v>
      </c>
      <c r="E8" s="6" t="s">
        <v>93</v>
      </c>
      <c r="F8" s="9" t="s">
        <v>80</v>
      </c>
      <c r="G8" s="6" t="s">
        <v>94</v>
      </c>
      <c r="H8" s="6" t="s">
        <v>95</v>
      </c>
      <c r="I8" s="6" t="s">
        <v>96</v>
      </c>
      <c r="AD8" s="6" t="s">
        <v>0</v>
      </c>
      <c r="AE8" s="6" t="s">
        <v>162</v>
      </c>
      <c r="AF8" s="6" t="s">
        <v>163</v>
      </c>
      <c r="AG8" s="6" t="s">
        <v>164</v>
      </c>
    </row>
    <row r="9" spans="1:33" x14ac:dyDescent="0.2">
      <c r="A9" s="4">
        <v>1</v>
      </c>
      <c r="B9" s="12" t="s">
        <v>97</v>
      </c>
      <c r="C9" s="12">
        <v>2</v>
      </c>
      <c r="D9" s="12"/>
      <c r="E9" s="12"/>
      <c r="F9" s="7" t="s">
        <v>84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  <c r="AD9" cm="1">
        <f t="array" ref="AD9:AD41">RealTime!$C$3:$C$35</f>
      </c>
      <c r="AE9" s="15" cm="1">
        <f t="array" aca="1" ref="AE9:AE41" ca="1">IFERROR(_xlfn.XLOOKUP(_xlfn.ANCHORARRAY(AD9),INDEX(_xlfn.ANCHORARRAY(pricing!$Y$1),0,1),INDEX(_xlfn.ANCHORARRAY(pricing!$Y$1),0,2),""),"")</f>
      </c>
      <c r="AF9" s="20"/>
      <c r="AG9" s="15" cm="1">
        <f t="array" aca="1" ref="AG9:AG41" ca="1">_xlfn.LET(_xlpm.f,_xlfn.ANCHORARRAY(AE9),_xlpm.h,AF9:AF41,IF(ISNUMBER(_xlpm.f)+ISNUMBER(_xlpm.h),IF(ISNUMBER(_xlpm.f),_xlpm.f,0)-IF(ISNUMBER(_xlpm.h),_xlpm.h,0),""))</f>
      </c>
    </row>
    <row r="10" spans="1:33" x14ac:dyDescent="0.2">
      <c r="A10" s="4">
        <v>2</v>
      </c>
      <c r="B10" s="12" t="s">
        <v>113</v>
      </c>
      <c r="C10" s="12">
        <v>2</v>
      </c>
      <c r="D10" s="12">
        <v>3</v>
      </c>
      <c r="E10" s="12">
        <v>4</v>
      </c>
      <c r="F10" s="7" t="s">
        <v>84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E10" s="15">
        <f ca="1"/>
      </c>
      <c r="AF10" s="20"/>
      <c r="AG10" s="15">
        <f ca="1"/>
      </c>
    </row>
    <row r="11" spans="1:33" x14ac:dyDescent="0.2">
      <c r="A11" s="4">
        <v>3</v>
      </c>
      <c r="B11" s="12" t="s">
        <v>113</v>
      </c>
      <c r="C11" s="12">
        <v>2</v>
      </c>
      <c r="D11" s="12">
        <v>3</v>
      </c>
      <c r="E11" s="12"/>
      <c r="F11" s="7" t="s">
        <v>84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E11" s="15">
        <f ca="1"/>
      </c>
      <c r="AF11" s="20"/>
      <c r="AG11" s="15">
        <f ca="1"/>
      </c>
    </row>
    <row r="12" spans="1:33" x14ac:dyDescent="0.2">
      <c r="A12" s="13" t="s">
        <v>98</v>
      </c>
      <c r="AE12" s="15">
        <f ca="1"/>
      </c>
      <c r="AF12" s="20"/>
      <c r="AG12" s="15">
        <f ca="1"/>
      </c>
    </row>
    <row r="13" spans="1:33" x14ac:dyDescent="0.2">
      <c r="AE13" s="15">
        <f ca="1"/>
      </c>
      <c r="AF13" s="20"/>
      <c r="AG13" s="15">
        <f ca="1"/>
      </c>
    </row>
    <row r="14" spans="1:33" x14ac:dyDescent="0.2">
      <c r="A14" s="9" t="s">
        <v>89</v>
      </c>
      <c r="B14" s="6" t="s">
        <v>99</v>
      </c>
      <c r="C14" s="6" t="s">
        <v>100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  <c r="AE14" s="15">
        <f ca="1"/>
      </c>
      <c r="AF14" s="20"/>
      <c r="AG14" s="15">
        <f ca="1"/>
      </c>
    </row>
    <row r="15" spans="1:33" x14ac:dyDescent="0.2">
      <c r="A15" s="5">
        <v>1</v>
      </c>
      <c r="B15" t="s">
        <v>101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cm="1">
        <f t="array" ref="K15">IF($C15="","",_xlfn.LET(_xlpm.v,INDEX(pricing!$O:$O,$C15),IF(_xlpm.v="","",_xlpm.v)))</f>
      </c>
      <c r="O15" s="5"/>
      <c r="P15"/>
      <c r="AE15" s="15">
        <f ca="1"/>
      </c>
      <c r="AF15" s="20"/>
      <c r="AG15" s="15">
        <f ca="1"/>
      </c>
    </row>
    <row r="16" spans="1:33" x14ac:dyDescent="0.2">
      <c r="A16" s="5">
        <v>1</v>
      </c>
      <c r="B16" t="s">
        <v>102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5"/>
      <c r="P16"/>
      <c r="AE16" s="15">
        <f ca="1"/>
      </c>
      <c r="AF16" s="20"/>
      <c r="AG16" s="15">
        <f ca="1"/>
      </c>
    </row>
    <row r="17" spans="1:33" x14ac:dyDescent="0.2">
      <c r="A17" s="5">
        <v>1</v>
      </c>
      <c r="B17" t="s">
        <v>103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5"/>
      <c r="P17"/>
      <c r="AE17" s="15">
        <f ca="1"/>
      </c>
      <c r="AF17" s="20"/>
      <c r="AG17" s="15">
        <f ca="1"/>
      </c>
    </row>
    <row r="18" spans="1:33" x14ac:dyDescent="0.2">
      <c r="A18" s="5">
        <v>2</v>
      </c>
      <c r="B18" t="s">
        <v>101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5"/>
      <c r="P18"/>
      <c r="AE18" s="15">
        <f ca="1"/>
      </c>
      <c r="AF18" s="20"/>
      <c r="AG18" s="15">
        <f ca="1"/>
      </c>
    </row>
    <row r="19" spans="1:33" x14ac:dyDescent="0.2">
      <c r="A19" s="5">
        <v>2</v>
      </c>
      <c r="B19" t="s">
        <v>102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5"/>
      <c r="P19"/>
      <c r="AE19" s="15">
        <f ca="1"/>
      </c>
      <c r="AF19" s="20"/>
      <c r="AG19" s="15">
        <f ca="1"/>
      </c>
    </row>
    <row r="20" spans="1:33" x14ac:dyDescent="0.2">
      <c r="A20" s="5">
        <v>2</v>
      </c>
      <c r="B20" t="s">
        <v>103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5"/>
      <c r="P20"/>
      <c r="AE20" s="15">
        <f ca="1"/>
      </c>
      <c r="AF20" s="20"/>
      <c r="AG20" s="15">
        <f ca="1"/>
      </c>
    </row>
    <row r="21" spans="1:33" x14ac:dyDescent="0.2">
      <c r="A21" s="5">
        <v>3</v>
      </c>
      <c r="B21" t="s">
        <v>101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5"/>
      <c r="P21"/>
      <c r="AE21" s="15">
        <f ca="1"/>
      </c>
      <c r="AF21" s="20"/>
      <c r="AG21" s="15">
        <f ca="1"/>
      </c>
    </row>
    <row r="22" spans="1:33" x14ac:dyDescent="0.2">
      <c r="A22" s="5">
        <v>3</v>
      </c>
      <c r="B22" t="s">
        <v>102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5"/>
      <c r="P22"/>
      <c r="AE22" s="15">
        <f ca="1"/>
      </c>
      <c r="AF22" s="20"/>
      <c r="AG22" s="15">
        <f ca="1"/>
      </c>
    </row>
    <row r="23" spans="1:33" x14ac:dyDescent="0.2">
      <c r="A23" s="5">
        <v>3</v>
      </c>
      <c r="B23" t="s">
        <v>103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5"/>
      <c r="P23"/>
      <c r="AE23" s="15">
        <f ca="1"/>
      </c>
      <c r="AF23" s="20"/>
      <c r="AG23" s="15">
        <f ca="1"/>
      </c>
    </row>
    <row r="24" spans="1:33" x14ac:dyDescent="0.2">
      <c r="AE24" s="15">
        <f ca="1"/>
      </c>
      <c r="AF24" s="20"/>
      <c r="AG24" s="15">
        <f ca="1"/>
      </c>
    </row>
    <row r="25" spans="1:33" x14ac:dyDescent="0.2">
      <c r="AE25" s="15">
        <f ca="1"/>
      </c>
      <c r="AF25" s="20"/>
      <c r="AG25" s="15">
        <f ca="1"/>
      </c>
    </row>
    <row r="26" spans="1:33" x14ac:dyDescent="0.2">
      <c r="A26" s="9" t="s">
        <v>104</v>
      </c>
      <c r="AE26" s="15">
        <f ca="1"/>
      </c>
      <c r="AF26" s="20"/>
      <c r="AG26" s="15">
        <f ca="1"/>
      </c>
    </row>
    <row r="27" spans="1:33" x14ac:dyDescent="0.2">
      <c r="A27" s="5" t="s">
        <v>105</v>
      </c>
      <c r="F27" s="5" t="s">
        <v>106</v>
      </c>
      <c r="K27" s="5" t="s">
        <v>107</v>
      </c>
      <c r="P27" s="5" t="s">
        <v>108</v>
      </c>
      <c r="AE27" s="15">
        <f ca="1"/>
      </c>
      <c r="AF27" s="20"/>
      <c r="AG27" s="15">
        <f ca="1"/>
      </c>
    </row>
    <row r="28" spans="1:33" x14ac:dyDescent="0.2">
      <c r="A28" s="5" cm="1">
        <f t="array" aca="1" ref="A28:D493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3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3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3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  <c r="T28">
        <f ca="1">IF(COUNT(HistChart_H)=0,"","ヘッジ("&amp;$AE$4&amp;")")</f>
      </c>
      <c r="U28" t="s">
        <v>167</v>
      </c>
      <c r="AE28" s="15">
        <f ca="1"/>
      </c>
      <c r="AF28" s="20">
        <v>1</v>
      </c>
      <c r="AG28" s="15">
        <f ca="1"/>
      </c>
    </row>
    <row r="29" spans="1:33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3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3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3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  <c r="T29" cm="1">
        <f t="array" aca="1" ref="T29:T493" ca="1">IFERROR(_xlfn.LET(_xlpm.d,HistChart_Date,_xlpm.v,_xlfn.ANCHORARRAY(U29),_xlpm.s,HistChart_S1,_xlpm.t0,$AE$6,_xlpm.v0,_xlfn.XLOOKUP(_xlpm.t0,_xlpm.d,_xlpm.v),_xlpm.s0,_xlfn.XLOOKUP(_xlpm.t0,_xlpm.d,_xlpm.s),_xlpm.x,_xlpm.s0+(_xlpm.v-_xlpm.v0)*$B$7/$AE$5,IF(ISNUMBER(_xlpm.x),_xlpm.x,NA())),NA())</f>
      </c>
      <c r="U29" cm="1">
        <f t="array" aca="1" ref="U29:U493" ca="1">IF($AE$3="×",NA(),IFERROR(_xlfn.LET(_xlpm.h,$AF$9:$AF$41,_xlpm.k,ISNUMBER(_xlpm.h)*(_xlpm.h&lt;&gt;0),_xlpm.tk,_xlfn._xlws.FILTER($AD$9:$AD$41,_xlpm.k),_xlpm.w,_xlfn._xlws.FILTER(_xlpm.h,_xlpm.k),_xlpm.r,HedgeHistoricalRates(_xlpm.tk,$AE$4,HistChart_Date,$B$3,RealTime!$B$2:$D$45),_xlfn.BYROW(_xlpm.r,_xlfn.LAMBDA(_xlpm.x,IF(COUNT(_xlpm.x)&lt;COLUMNS(_xlpm.x),NA(),SUM(_xlpm.x*TRANSPOSE(_xlpm.w)))))),NA()))</f>
      </c>
      <c r="AE29" s="15">
        <f ca="1"/>
      </c>
      <c r="AF29" s="20"/>
      <c r="AG29" s="15">
        <f ca="1"/>
      </c>
    </row>
    <row r="30" spans="1:33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  <c r="T30">
        <f ca="1"/>
      </c>
      <c r="U30">
        <f ca="1"/>
      </c>
      <c r="AE30" s="15">
        <f ca="1"/>
      </c>
      <c r="AF30" s="20"/>
      <c r="AG30" s="15">
        <f ca="1"/>
      </c>
    </row>
    <row r="31" spans="1:33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E31" s="15">
        <f ca="1"/>
      </c>
      <c r="AF31" s="20"/>
      <c r="AG31" s="15">
        <f ca="1"/>
      </c>
    </row>
    <row r="32" spans="1:33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E32" s="15">
        <f ca="1"/>
      </c>
      <c r="AF32" s="20"/>
      <c r="AG32" s="15">
        <f ca="1"/>
      </c>
    </row>
    <row r="33" spans="1:33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E33" s="15">
        <f ca="1"/>
      </c>
      <c r="AF33" s="20">
        <v>1</v>
      </c>
      <c r="AG33" s="15">
        <f ca="1"/>
      </c>
    </row>
    <row r="34" spans="1:33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E34" s="15">
        <f ca="1"/>
      </c>
      <c r="AF34" s="20"/>
      <c r="AG34" s="15">
        <f ca="1"/>
      </c>
    </row>
    <row r="35" spans="1:33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E35" s="15">
        <f ca="1"/>
      </c>
      <c r="AF35" s="20"/>
      <c r="AG35" s="15">
        <f ca="1"/>
      </c>
    </row>
    <row r="36" spans="1:33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E36" s="15">
        <f ca="1"/>
      </c>
      <c r="AF36" s="20"/>
      <c r="AG36" s="15">
        <f ca="1"/>
      </c>
    </row>
    <row r="37" spans="1:33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E37" s="15">
        <f ca="1"/>
      </c>
      <c r="AF37" s="20"/>
      <c r="AG37" s="15">
        <f ca="1"/>
      </c>
    </row>
    <row r="38" spans="1:33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E38" s="15">
        <f ca="1"/>
      </c>
      <c r="AF38" s="20"/>
      <c r="AG38" s="15">
        <f ca="1"/>
      </c>
    </row>
    <row r="39" spans="1:33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E39" s="15">
        <f ca="1"/>
      </c>
      <c r="AF39" s="20"/>
      <c r="AG39" s="15">
        <f ca="1"/>
      </c>
    </row>
    <row r="40" spans="1:33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E40" s="15">
        <f ca="1"/>
      </c>
      <c r="AF40" s="20"/>
      <c r="AG40" s="15">
        <f ca="1"/>
      </c>
    </row>
    <row r="41" spans="1:33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E41" s="15">
        <f ca="1"/>
      </c>
      <c r="AF41" s="20"/>
      <c r="AG41" s="15">
        <f ca="1"/>
      </c>
    </row>
    <row r="42" spans="1:33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 s="6" t="s">
        <v>165</v>
      </c>
      <c r="AE42" s="21">
        <f ca="1">SUM(_xlfn.ANCHORARRAY(AE9))</f>
      </c>
      <c r="AF42" s="21">
        <f ca="1">SUM(AF9:AF41)</f>
      </c>
      <c r="AG42" s="21">
        <f ca="1">SUM(_xlfn.ANCHORARRAY(AG9))</f>
      </c>
    </row>
    <row r="43" spans="1:33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</row>
    <row r="44" spans="1:33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D44" t="s">
        <v>166</v>
      </c>
    </row>
    <row r="45" spans="1:33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</row>
    <row r="46" spans="1:33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</row>
    <row r="47" spans="1:33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33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2">
      <c r="B494" s="10"/>
      <c r="C494" s="10"/>
      <c r="D494" s="10"/>
      <c r="G494" s="10"/>
      <c r="H494" s="10"/>
      <c r="I494" s="10"/>
      <c r="L494" s="10"/>
      <c r="M494" s="10"/>
      <c r="N494" s="10"/>
      <c r="Q494" s="14"/>
      <c r="R494" s="14"/>
      <c r="S494" s="14"/>
    </row>
    <row r="495" spans="1:21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21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AE3 B9:B11" xr:uid="{6ECF7BDA-99C6-47BC-97A1-F9D70329A05A}">
      <formula1>"○,×"</formula1>
    </dataValidation>
    <dataValidation type="list" allowBlank="1" showInputMessage="1" showErrorMessage="1" sqref="F9:F11 AE4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134</v>
      </c>
    </row>
    <row r="2" spans="1:8" x14ac:dyDescent="0.2">
      <c r="A2" t="s">
        <v>116</v>
      </c>
      <c r="B2" s="5">
        <f>IF(評価日="","今日(RealTime)",評価日)</f>
      </c>
    </row>
    <row r="3" spans="1:8" x14ac:dyDescent="0.2">
      <c r="A3" t="s">
        <v>135</v>
      </c>
      <c r="B3" s="10">
        <f ca="1">RealTime!$D$2</f>
      </c>
    </row>
    <row r="5" spans="1:8" x14ac:dyDescent="0.2">
      <c r="A5" s="6" t="s">
        <v>136</v>
      </c>
    </row>
    <row r="6" spans="1:8" ht="30" customHeight="1" x14ac:dyDescent="0.2">
      <c r="A6" s="19" t="s">
        <v>0</v>
      </c>
      <c r="B6" s="19" t="s">
        <v>137</v>
      </c>
      <c r="C6" s="19" t="s">
        <v>138</v>
      </c>
      <c r="D6" s="19" t="s">
        <v>139</v>
      </c>
      <c r="E6" s="19" t="s">
        <v>140</v>
      </c>
      <c r="F6" s="19" t="s">
        <v>141</v>
      </c>
      <c r="G6" s="19" t="s">
        <v>142</v>
      </c>
      <c r="H6" s="19" t="s">
        <v>143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144</v>
      </c>
    </row>
    <row r="20" spans="1:4" ht="30" customHeight="1" x14ac:dyDescent="0.2">
      <c r="A20" s="19" t="s">
        <v>145</v>
      </c>
      <c r="B20" s="19" t="s">
        <v>146</v>
      </c>
      <c r="C20" s="19" t="s">
        <v>147</v>
      </c>
      <c r="D20" s="19" t="s">
        <v>148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149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62</v>
      </c>
      <c r="B1" s="1" t="s">
        <v>63</v>
      </c>
    </row>
    <row r="2" spans="1:2" ht="15.65" customHeight="1" x14ac:dyDescent="0.2">
      <c r="A2" s="1" t="s">
        <v>64</v>
      </c>
    </row>
    <row r="3" spans="1:2" ht="15.65" customHeight="1" x14ac:dyDescent="0.2">
      <c r="A3" s="1" t="s">
        <v>65</v>
      </c>
    </row>
    <row r="4" spans="1:2" ht="15.65" customHeight="1" x14ac:dyDescent="0.2">
      <c r="A4" s="1" t="s">
        <v>66</v>
      </c>
    </row>
    <row r="5" spans="1:2" ht="15.65" customHeight="1" x14ac:dyDescent="0.2">
      <c r="A5" s="1" t="s">
        <v>67</v>
      </c>
    </row>
    <row r="6" spans="1:2" ht="15.65" customHeight="1" x14ac:dyDescent="0.2">
      <c r="A6" s="1" t="s">
        <v>68</v>
      </c>
      <c r="B6" t="s">
        <v>69</v>
      </c>
    </row>
    <row r="7" spans="1:2" ht="15.65" customHeight="1" x14ac:dyDescent="0.2">
      <c r="A7" s="1" t="s">
        <v>70</v>
      </c>
      <c r="B7" s="1" t="b">
        <v>0</v>
      </c>
    </row>
    <row r="8" spans="1:2" ht="15.65" customHeight="1" x14ac:dyDescent="0.2">
      <c r="A8" s="1" t="s">
        <v>71</v>
      </c>
      <c r="B8" s="1" t="b">
        <v>0</v>
      </c>
    </row>
    <row r="9" spans="1:2" ht="15.65" customHeight="1" x14ac:dyDescent="0.2">
      <c r="A9" s="1" t="s">
        <v>72</v>
      </c>
      <c r="B9" s="1" t="b">
        <v>0</v>
      </c>
    </row>
    <row r="13" spans="1:2" ht="15.65" customHeight="1" x14ac:dyDescent="0.2">
      <c r="A13" s="2" t="s">
        <v>73</v>
      </c>
    </row>
    <row r="14" spans="1:2" ht="15.65" customHeight="1" x14ac:dyDescent="0.2">
      <c r="A14" s="1" t="s">
        <v>74</v>
      </c>
    </row>
    <row r="15" spans="1:2" ht="15.65" customHeight="1" x14ac:dyDescent="0.2">
      <c r="A15" s="1" t="s">
        <v>75</v>
      </c>
    </row>
    <row r="16" spans="1:2" ht="15.65" customHeight="1" x14ac:dyDescent="0.2">
      <c r="A16" s="1" t="s">
        <v>76</v>
      </c>
    </row>
    <row r="17" spans="1:1" ht="15.65" customHeight="1" x14ac:dyDescent="0.2">
      <c r="A17" s="1" t="s">
        <v>77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RealTime</vt:lpstr>
      <vt:lpstr>pricing</vt:lpstr>
      <vt:lpstr>HistChart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2026-10-12T14:17:28Z</dcterms:modified>
</cp:coreProperties>
</file>