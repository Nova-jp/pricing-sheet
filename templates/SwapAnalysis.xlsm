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C25DC0DB-D861-45DE-91EC-9EAFC03D7B5D}" xr6:coauthVersionLast="47" xr6:coauthVersionMax="47" xr10:uidLastSave="{00000000-0000-0000-0000-000000000000}"/>
  <bookViews>
    <workbookView xWindow="-110" yWindow="-110" windowWidth="19420" windowHeight="11500" activeTab="1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BOJ" sheetId="11" r:id="rId5"/>
    <sheet name="FwdMonitor" sheetId="15" r:id="rId6"/>
  </sheets>
  <functionGroups builtInGroupCount="19"/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dx" hidden="1" xlm="1">#NAME?</definedName>
    <definedName name="_xlpm.isImm" hidden="1" xlm="1">#NAME?</definedName>
    <definedName name="_xlpm.keep" hidden="1" xlm="1">#NAME?</definedName>
    <definedName name="_xlpm.lag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fx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FWM_Base">FwdMonitor!$B$4</definedName>
    <definedName name="FWM_Ch1">_xlfn.ANCHORARRAY(FwdMonitor!$GN$4)</definedName>
    <definedName name="FWM_Ch2">_xlfn.ANCHORARRAY(FwdMonitor!$GO$4)</definedName>
    <definedName name="FWM_Ch3">_xlfn.ANCHORARRAY(FwdMonitor!$GP$4)</definedName>
    <definedName name="FWM_Ch4">_xlfn.ANCHORARRAY(FwdMonitor!$GQ$4)</definedName>
    <definedName name="FWM_ChDate">_xlfn.ANCHORARRAY(FwdMonitor!$GM$4)</definedName>
    <definedName name="FWM_Cmp">FwdMonitor!$B$5</definedName>
    <definedName name="FWM_Dates">_xlfn.DROP(INDEX(FWM_HC,,1),1)</definedName>
    <definedName name="FWM_From">FwdMonitor!$B$7</definedName>
    <definedName name="FWM_HC">_xlfn.ANCHORARRAY(FwdMonitor!$AO$3)</definedName>
    <definedName name="FWM_HF">_xlfn.ANCHORARRAY(FwdMonitor!$CK$3)</definedName>
    <definedName name="FWM_HR">_xlfn.ANCHORARRAY(FwdMonitor!$EG$3)</definedName>
    <definedName name="FWM_Labels">FwdMonitor!$A$12:$A$35</definedName>
    <definedName name="FWM_Leg">_xlfn.LAMBDA(_xlpm.m,_xlpm.n,_xlpm.sfx,_xlfn.LET(_xlpm.h,CHOOSE(_xlfn.XMATCH(_xlpm.m,{"CMT","FIXED","ROLLING"}),FWM_HC,FWM_HF,FWM_HR),IF(_xlpm.n="",0,INDEX(_xlfn.DROP(_xlpm.h,1),,_xlfn.XMATCH(_xlpm.n&amp;_xlpm.sfx,_xlfn.TAKE(_xlpm.h,1))))))</definedName>
    <definedName name="FWM_Live">FwdMonitor!$B$12:$B$35</definedName>
    <definedName name="FWM_LiveOf">_xlfn.LAMBDA(_xlpm.n,IF(_xlpm.n="",0,_xlfn.XLOOKUP(_xlpm.n,FWM_Labels,FWM_Live)))</definedName>
    <definedName name="FWM_Row">_xlfn.LAMBDA(_xlpm.r,_xlpm.sfx,_xlfn.LET(_xlpm.m,INDEX(FWM_TMode,_xlpm.r),IF(_xlpm.sfx="",100,1)*(N(INDEX(FWM_TW1,_xlpm.r))*FWM_Leg(_xlpm.m,INDEX(FWM_TL1,_xlpm.r),_xlpm.sfx)+N(INDEX(FWM_TW2,_xlpm.r))*FWM_Leg(_xlpm.m,INDEX(FWM_TL2,_xlpm.r),_xlpm.sfx)+N(INDEX(FWM_TW3,_xlpm.r))*FWM_Leg(_xlpm.m,INDEX(FWM_TL3,_xlpm.r),_xlpm.sfx))))</definedName>
    <definedName name="FWM_Sigma">_xlfn.LAMBDA(_xlpm.x,_xlfn.LET(_xlpm.d,_xlfn.TAKE(_xlpm.x,-FWM_Win),SQRT(SUMSQ(_xlpm.d)/ROWS(_xlpm.d))))</definedName>
    <definedName name="FWM_TL1">FwdMonitor!$D$39:$D$48</definedName>
    <definedName name="FWM_TL2">FwdMonitor!$F$39:$F$48</definedName>
    <definedName name="FWM_TL3">FwdMonitor!$H$39:$H$48</definedName>
    <definedName name="FWM_TMode">FwdMonitor!$C$39:$C$48</definedName>
    <definedName name="FWM_TName">FwdMonitor!$B$39:$B$48</definedName>
    <definedName name="FWM_TShow">FwdMonitor!$A$39:$A$48</definedName>
    <definedName name="FWM_TW1">FwdMonitor!$E$39:$E$48</definedName>
    <definedName name="FWM_TW2">FwdMonitor!$G$39:$G$48</definedName>
    <definedName name="FWM_TW3">FwdMonitor!$I$39:$I$48</definedName>
    <definedName name="FWM_View">FwdMonitor!$B$8</definedName>
    <definedName name="FWM_Win">FwdMonitor!$B$6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Q4" i="15" l="1" a="1"/>
  <c r="GQ3" i="15" a="1"/>
  <c r="GP4" i="15" a="1"/>
  <c r="GP3" i="15" a="1"/>
  <c r="GO4" i="15" a="1"/>
  <c r="GO3" i="15" a="1"/>
  <c r="GN4" i="15" a="1"/>
  <c r="GN3" i="15" a="1"/>
  <c r="GS4" i="15" a="1"/>
  <c r="K29" i="15"/>
  <c r="K12" i="15"/>
  <c r="GE3" i="15"/>
  <c r="GJ3" i="15" s="1"/>
  <c r="GH10" i="15"/>
  <c r="GH9" i="15"/>
  <c r="GH8" i="15"/>
  <c r="GH7" i="15"/>
  <c r="GH6" i="15"/>
  <c r="GH5" i="15"/>
  <c r="GH4" i="15"/>
  <c r="GC19" i="15"/>
  <c r="GC18" i="15"/>
  <c r="GC17" i="15"/>
  <c r="GC16" i="15"/>
  <c r="GC15" i="15"/>
  <c r="GC14" i="15"/>
  <c r="GC13" i="15"/>
  <c r="GC12" i="15"/>
  <c r="GC11" i="15"/>
  <c r="GC10" i="15"/>
  <c r="GC9" i="15"/>
  <c r="GC8" i="15"/>
  <c r="GC7" i="15"/>
  <c r="GC6" i="15"/>
  <c r="GC5" i="15"/>
  <c r="GC4" i="15"/>
  <c r="O48" i="15" a="1"/>
  <c r="N48" i="15"/>
  <c r="M48" i="15" a="1"/>
  <c r="L48" i="15" a="1"/>
  <c r="K48" i="15" a="1"/>
  <c r="J48" i="15" a="1"/>
  <c r="B48" i="15"/>
  <c r="O47" i="15" a="1"/>
  <c r="N47" i="15"/>
  <c r="M47" i="15" a="1"/>
  <c r="L47" i="15" a="1"/>
  <c r="K47" i="15" a="1"/>
  <c r="J47" i="15" a="1"/>
  <c r="B47" i="15"/>
  <c r="O46" i="15" a="1"/>
  <c r="N46" i="15"/>
  <c r="M46" i="15" a="1"/>
  <c r="L46" i="15" a="1"/>
  <c r="K46" i="15" a="1"/>
  <c r="J46" i="15" a="1"/>
  <c r="B46" i="15"/>
  <c r="O45" i="15" a="1"/>
  <c r="N45" i="15"/>
  <c r="M45" i="15" a="1"/>
  <c r="L45" i="15" a="1"/>
  <c r="K45" i="15" a="1"/>
  <c r="J45" i="15" a="1"/>
  <c r="B45" i="15"/>
  <c r="B44" i="15"/>
  <c r="B43" i="15"/>
  <c r="B42" i="15"/>
  <c r="B41" i="15"/>
  <c r="B40" i="15"/>
  <c r="B39" i="15"/>
  <c r="EG3" i="15" a="1"/>
  <c r="CK3" i="15" a="1"/>
  <c r="AO3" i="15" a="1"/>
  <c r="AA3" i="15" a="1"/>
  <c r="BF17" i="9" a="1"/>
  <c r="BP4" i="9" a="1"/>
  <c r="F4" i="9" a="1"/>
  <c r="CE4" i="6" a="1"/>
  <c r="CF4" i="6" s="1" a="1"/>
  <c r="Z17" i="6" a="1"/>
  <c r="AC4" i="6" a="1"/>
  <c r="E4" i="6" a="1"/>
  <c r="AO12" i="9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AK60" i="9" a="1"/>
  <c r="V60" i="9" a="1"/>
  <c r="G60" i="9" a="1"/>
  <c r="AN12" i="9" a="1"/>
  <c r="BM5" i="9" a="1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AB4" i="6" a="1"/>
  <c r="JG4" i="9" a="1"/>
  <c r="V35" i="9" a="1"/>
  <c r="G35" i="9" a="1"/>
  <c r="M40" i="15" l="1" a="1"/>
  <c r="M44" i="15" a="1"/>
  <c r="M42" i="15" a="1"/>
  <c r="C35" i="15" a="1"/>
  <c r="H33" i="15" a="1"/>
  <c r="M43" i="15" a="1"/>
  <c r="M41" i="15" a="1"/>
  <c r="M39" i="15" a="1"/>
  <c r="H35" i="15" a="1"/>
  <c r="H34" i="15" a="1"/>
  <c r="C34" i="15" a="1"/>
  <c r="C33" i="15" a="1"/>
  <c r="H32" i="15" a="1"/>
  <c r="C32" i="15" a="1"/>
  <c r="H31" i="15" a="1"/>
  <c r="C31" i="15" a="1"/>
  <c r="H30" i="15" a="1"/>
  <c r="C30" i="15" a="1"/>
  <c r="H29" i="15" a="1"/>
  <c r="C29" i="15" a="1"/>
  <c r="H27" i="15" a="1"/>
  <c r="C27" i="15" a="1"/>
  <c r="H26" i="15" a="1"/>
  <c r="C26" i="15" a="1"/>
  <c r="H25" i="15" a="1"/>
  <c r="C25" i="15" a="1"/>
  <c r="H24" i="15" a="1"/>
  <c r="C24" i="15" a="1"/>
  <c r="H23" i="15" a="1"/>
  <c r="C23" i="15" a="1"/>
  <c r="H22" i="15" a="1"/>
  <c r="C22" i="15" a="1"/>
  <c r="H21" i="15" a="1"/>
  <c r="C21" i="15" a="1"/>
  <c r="H20" i="15" a="1"/>
  <c r="C20" i="15" a="1"/>
  <c r="H19" i="15" a="1"/>
  <c r="C19" i="15" a="1"/>
  <c r="H18" i="15" a="1"/>
  <c r="C18" i="15" a="1"/>
  <c r="H17" i="15" a="1"/>
  <c r="C17" i="15" a="1"/>
  <c r="C13" i="15" a="1"/>
  <c r="GM4" i="15" a="1"/>
  <c r="H16" i="15" a="1"/>
  <c r="C16" i="15" a="1"/>
  <c r="H15" i="15" a="1"/>
  <c r="C15" i="15" a="1"/>
  <c r="H14" i="15" a="1"/>
  <c r="C14" i="15" a="1"/>
  <c r="H13" i="15" a="1"/>
  <c r="H12" i="15" a="1"/>
  <c r="C12" i="15" a="1"/>
  <c r="AF3" i="15" a="1"/>
  <c r="GT4" i="15" s="1" a="1"/>
  <c r="D1" i="15" a="1"/>
  <c r="P3" i="1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B18" i="15" l="1" a="1"/>
  <c r="D18" i="15" s="1"/>
  <c r="I18" i="15" s="1"/>
  <c r="B34" i="15" a="1"/>
  <c r="B14" i="15" a="1"/>
  <c r="D14" i="15" s="1"/>
  <c r="I14" i="15" s="1"/>
  <c r="B17" i="15" a="1"/>
  <c r="D17" i="15" s="1"/>
  <c r="I17" i="15" s="1"/>
  <c r="B19" i="15" a="1"/>
  <c r="B21" i="15" a="1"/>
  <c r="D21" i="15" s="1"/>
  <c r="I21" i="15" s="1"/>
  <c r="B22" i="15" a="1"/>
  <c r="D22" i="15" s="1"/>
  <c r="I22" i="15" s="1"/>
  <c r="B23" i="15" a="1"/>
  <c r="D23" i="15" s="1"/>
  <c r="I23" i="15" s="1"/>
  <c r="B24" i="15" a="1"/>
  <c r="D24" i="15" s="1"/>
  <c r="I24" i="15" s="1"/>
  <c r="B25" i="15" a="1"/>
  <c r="B26" i="15" a="1"/>
  <c r="B27" i="15" a="1"/>
  <c r="B29" i="15" a="1"/>
  <c r="B31" i="15" a="1"/>
  <c r="B32" i="15" a="1"/>
  <c r="D32" i="15" s="1"/>
  <c r="I32" i="15" s="1"/>
  <c r="B33" i="15" a="1"/>
  <c r="K34" i="15" s="1"/>
  <c r="B35" i="15" a="1"/>
  <c r="B13" i="15" a="1"/>
  <c r="B12" i="15" a="1"/>
  <c r="B15" i="15" a="1"/>
  <c r="B16" i="15" a="1"/>
  <c r="D16" i="15" s="1"/>
  <c r="I16" i="15" s="1"/>
  <c r="B20" i="15" a="1"/>
  <c r="D20" i="15" s="1"/>
  <c r="I20" i="15" s="1"/>
  <c r="B30" i="15" a="1"/>
  <c r="D34" i="15"/>
  <c r="I34" i="15" s="1"/>
  <c r="D33" i="15"/>
  <c r="I33" i="15" s="1"/>
  <c r="D31" i="15"/>
  <c r="I31" i="15" s="1"/>
  <c r="D29" i="15"/>
  <c r="I29" i="15" s="1"/>
  <c r="D27" i="15"/>
  <c r="I27" i="15" s="1"/>
  <c r="D26" i="15"/>
  <c r="I26" i="15" s="1"/>
  <c r="D25" i="15"/>
  <c r="I25" i="15" s="1"/>
  <c r="E34" i="15" a="1"/>
  <c r="J34" i="15" s="1"/>
  <c r="F33" i="15" a="1"/>
  <c r="F32" i="15" a="1"/>
  <c r="F31" i="15" a="1"/>
  <c r="F35" i="15" a="1"/>
  <c r="E35" i="15" a="1"/>
  <c r="J35" i="15" s="1"/>
  <c r="G34" i="15" a="1"/>
  <c r="G33" i="15" a="1"/>
  <c r="E31" i="15" a="1"/>
  <c r="J31" i="15" s="1"/>
  <c r="G30" i="15" a="1"/>
  <c r="F30" i="15" a="1"/>
  <c r="E30" i="15" a="1"/>
  <c r="J30" i="15" s="1"/>
  <c r="G29" i="15" a="1"/>
  <c r="F29" i="15" a="1"/>
  <c r="E29" i="15" a="1"/>
  <c r="J29" i="15" s="1"/>
  <c r="G27" i="15" a="1"/>
  <c r="F27" i="15" a="1"/>
  <c r="E27" i="15" a="1"/>
  <c r="J27" i="15" s="1"/>
  <c r="G26" i="15" a="1"/>
  <c r="F26" i="15" a="1"/>
  <c r="E26" i="15" a="1"/>
  <c r="J26" i="15" s="1"/>
  <c r="G25" i="15" a="1"/>
  <c r="F25" i="15" a="1"/>
  <c r="E25" i="15" a="1"/>
  <c r="J25" i="15" s="1"/>
  <c r="G24" i="15" a="1"/>
  <c r="F24" i="15" a="1"/>
  <c r="E24" i="15" a="1"/>
  <c r="J24" i="15" s="1"/>
  <c r="G23" i="15" a="1"/>
  <c r="F23" i="15" a="1"/>
  <c r="E23" i="15" a="1"/>
  <c r="J23" i="15" s="1"/>
  <c r="G22" i="15" a="1"/>
  <c r="F22" i="15" a="1"/>
  <c r="E22" i="15" a="1"/>
  <c r="J22" i="15" s="1"/>
  <c r="G21" i="15" a="1"/>
  <c r="F21" i="15" a="1"/>
  <c r="E21" i="15" a="1"/>
  <c r="J21" i="15" s="1"/>
  <c r="G20" i="15" a="1"/>
  <c r="F20" i="15" a="1"/>
  <c r="E20" i="15" a="1"/>
  <c r="J20" i="15" s="1"/>
  <c r="G19" i="15" a="1"/>
  <c r="F19" i="15" a="1"/>
  <c r="E19" i="15" a="1"/>
  <c r="J19" i="15" s="1"/>
  <c r="F17" i="15" a="1"/>
  <c r="E17" i="15" a="1"/>
  <c r="J17" i="15" s="1"/>
  <c r="F16" i="15" a="1"/>
  <c r="E16" i="15" a="1"/>
  <c r="J16" i="15" s="1"/>
  <c r="G14" i="15" a="1"/>
  <c r="F14" i="15" a="1"/>
  <c r="E14" i="15" a="1"/>
  <c r="J14" i="15" s="1"/>
  <c r="E13" i="15" a="1"/>
  <c r="J13" i="15" s="1"/>
  <c r="F34" i="15" a="1"/>
  <c r="E33" i="15" a="1"/>
  <c r="J33" i="15" s="1"/>
  <c r="G32" i="15" a="1"/>
  <c r="E32" i="15" a="1"/>
  <c r="J32" i="15" s="1"/>
  <c r="G31" i="15" a="1"/>
  <c r="GI10" i="15"/>
  <c r="GI9" i="15"/>
  <c r="GI8" i="15"/>
  <c r="GI7" i="15"/>
  <c r="GI6" i="15"/>
  <c r="GI5" i="15"/>
  <c r="GI4" i="15"/>
  <c r="GD19" i="15"/>
  <c r="GD18" i="15"/>
  <c r="GD17" i="15"/>
  <c r="GD16" i="15"/>
  <c r="GD15" i="15"/>
  <c r="GD14" i="15"/>
  <c r="GD13" i="15"/>
  <c r="J41" i="15" a="1"/>
  <c r="J39" i="15" a="1"/>
  <c r="GD9" i="15"/>
  <c r="GD8" i="15"/>
  <c r="GD7" i="15"/>
  <c r="GD6" i="15"/>
  <c r="GD5" i="15"/>
  <c r="J42" i="15" a="1"/>
  <c r="J44" i="15" a="1"/>
  <c r="J40" i="15" a="1"/>
  <c r="J43" i="15" a="1"/>
  <c r="B8" i="1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K12" i="9" a="1"/>
  <c r="K16" i="15" l="1"/>
  <c r="GD11" i="15"/>
  <c r="D19" i="15"/>
  <c r="I19" i="15" s="1"/>
  <c r="G35" i="15" a="1"/>
  <c r="D35" i="15"/>
  <c r="I35" i="15" s="1"/>
  <c r="D13" i="15"/>
  <c r="I13" i="15" s="1"/>
  <c r="G13" i="15" a="1"/>
  <c r="K13" i="15"/>
  <c r="GD4" i="15"/>
  <c r="D12" i="15"/>
  <c r="I12" i="15" s="1"/>
  <c r="G12" i="15" a="1"/>
  <c r="E12" i="15" a="1"/>
  <c r="J12" i="15" s="1"/>
  <c r="F12" i="15" a="1"/>
  <c r="D15" i="15"/>
  <c r="I15" i="15" s="1"/>
  <c r="G15" i="15" a="1"/>
  <c r="F15" i="15" a="1"/>
  <c r="E15" i="15" a="1"/>
  <c r="J15" i="15" s="1"/>
  <c r="K30" i="15"/>
  <c r="K35" i="15"/>
  <c r="K22" i="15"/>
  <c r="K24" i="15"/>
  <c r="K26" i="15"/>
  <c r="K32" i="15"/>
  <c r="K15" i="15"/>
  <c r="K20" i="15"/>
  <c r="K23" i="15"/>
  <c r="K25" i="15"/>
  <c r="K27" i="15"/>
  <c r="K33" i="15"/>
  <c r="K19" i="15"/>
  <c r="G18" i="15" a="1"/>
  <c r="F18" i="15" a="1"/>
  <c r="E18" i="15" a="1"/>
  <c r="J18" i="15" s="1"/>
  <c r="GD10" i="15"/>
  <c r="K18" i="15"/>
  <c r="G17" i="15" a="1"/>
  <c r="K14" i="15"/>
  <c r="F13" i="15" a="1"/>
  <c r="K17" i="15"/>
  <c r="G16" i="15" a="1"/>
  <c r="K21" i="15"/>
  <c r="GD12" i="15"/>
  <c r="K31" i="15"/>
  <c r="D30" i="15"/>
  <c r="I30" i="15" s="1"/>
  <c r="L41" i="15" a="1"/>
  <c r="O41" i="15" a="1"/>
  <c r="K41" i="15" a="1"/>
  <c r="N41" i="15" s="1"/>
  <c r="K39" i="15" a="1"/>
  <c r="N39" i="15" s="1"/>
  <c r="O39" i="15" a="1"/>
  <c r="L39" i="15" a="1"/>
  <c r="L42" i="15" a="1"/>
  <c r="O42" i="15" a="1"/>
  <c r="K42" i="15" a="1"/>
  <c r="N42" i="15" s="1"/>
  <c r="O44" i="15" a="1"/>
  <c r="L44" i="15" a="1"/>
  <c r="K44" i="15" a="1"/>
  <c r="N44" i="15" s="1"/>
  <c r="L40" i="15" a="1"/>
  <c r="K40" i="15" a="1"/>
  <c r="N40" i="15" s="1"/>
  <c r="O40" i="15" a="1"/>
  <c r="GJ9" i="15"/>
  <c r="GK9" i="15"/>
  <c r="GJ8" i="15"/>
  <c r="GK8" i="15"/>
  <c r="GJ5" i="15"/>
  <c r="GK5" i="15"/>
  <c r="GJ4" i="15"/>
  <c r="GK4" i="15"/>
  <c r="GE19" i="15"/>
  <c r="GF19" i="15"/>
  <c r="GF18" i="15"/>
  <c r="GE18" i="15"/>
  <c r="GF17" i="15"/>
  <c r="GE17" i="15"/>
  <c r="GF16" i="15"/>
  <c r="GE16" i="15"/>
  <c r="GE15" i="15"/>
  <c r="GF15" i="15"/>
  <c r="GF14" i="15"/>
  <c r="GE14" i="15"/>
  <c r="GE13" i="15"/>
  <c r="GF13" i="15"/>
  <c r="GE12" i="15"/>
  <c r="GF12" i="15"/>
  <c r="GE11" i="15"/>
  <c r="GF11" i="15"/>
  <c r="GJ10" i="15"/>
  <c r="GK10" i="15"/>
  <c r="GE6" i="15"/>
  <c r="GF6" i="15"/>
  <c r="GK7" i="15"/>
  <c r="GJ7" i="15"/>
  <c r="GJ6" i="15"/>
  <c r="GK6" i="15"/>
  <c r="O43" i="15" a="1"/>
  <c r="K43" i="15" a="1"/>
  <c r="N43" i="15" s="1"/>
  <c r="L43" i="15" a="1"/>
  <c r="GF4" i="15"/>
  <c r="GE4" i="15"/>
  <c r="D14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GE5" i="15" l="1"/>
  <c r="GF5" i="15"/>
  <c r="GE7" i="15"/>
  <c r="GF7" i="15"/>
  <c r="GF10" i="15"/>
  <c r="GE10" i="15"/>
  <c r="GE9" i="15"/>
  <c r="GF9" i="15"/>
  <c r="GE8" i="15"/>
  <c r="GF8" i="15"/>
  <c r="GS4" i="14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12" i="9" s="1" a="1"/>
  <c r="G36" i="9" a="1"/>
  <c r="J11" i="10"/>
  <c r="J13" i="10"/>
  <c r="BK4" i="10" a="1"/>
  <c r="J15" i="10" a="1"/>
  <c r="BJ4" i="10" a="1"/>
  <c r="J14" i="10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<sst xmlns="http://schemas.openxmlformats.org/spreadsheetml/2006/main" count="930" uniqueCount="326">
  <si>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</si>
  <si>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</si>
  <si>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</si>
  <si>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</si>
  <si>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</si>
  <si>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</si>
  <si>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</si>
  <si>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</si>
  <si>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</si>
  <si>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</si>
  <si>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</si>
  <si>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</si>
  <si>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</si>
  <si>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</si>
  <si>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</si>
  <si>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</si>
  <si>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</si>
  <si>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</si>
  <si>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</si>
  <si>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</si>
  <si>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</si>
  <si>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</si>
  <si>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</si>
  <si>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</si>
  <si>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</si>
  <si>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</si>
  <si>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</si>
  <si>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</si>
  <si>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</si>
  <si>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</si>
  <si>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</si>
  <si>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</si>
  <si>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</si>
  <si>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</si>
  <si>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</si>
  <si>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</si>
  <si>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</si>
  <si>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</si>
  <si>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</si>
  <si>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</si>
  <si>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</si>
  <si>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</si>
  <si>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</si>
  <si>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</si>
  <si>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</si>
  <si>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</si>
  <si>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</si>
  <si>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</si>
  <si>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</si>
  <si>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</si>
  <si>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</si>
  <si>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</si>
  <si>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</si>
  <si>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</si>
  <si>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</si>
  <si>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</si>
  <si>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</si>
  <si>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</si>
  <si>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</si>
  <si>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</si>
  <si>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</si>
  <si>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</si>
  <si>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</si>
  <si>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</si>
  <si>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</si>
  <si>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</si>
  <si>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</si>
  <si>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</si>
  <si>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</si>
  <si>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</si>
  <si>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</si>
  <si>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</si>
  <si>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</si>
  <si>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</si>
  <si>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</si>
  <si>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</si>
  <si>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</si>
  <si>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</si>
  <si>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</si>
  <si>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</si>
  <si>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</si>
  <si>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</si>
  <si>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</si>
  <si>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</si>
  <si>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</si>
  <si>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</si>
  <si>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</si>
  <si>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</si>
  <si>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</si>
  <si>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</si>
  <si>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</si>
  <si>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</si>
  <si>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</si>
  <si>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</si>
  <si>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</si>
  <si>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</si>
  <si>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</si>
  <si>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</si>
  <si>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</si>
  <si>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</si>
  <si>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</si>
  <si>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</si>
  <si>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</si>
  <si>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</si>
  <si>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</si>
  <si>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</si>
  <si>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</si>
  <si>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</si>
  <si>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</si>
  <si>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</si>
  <si>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</si>
  <si>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</si>
  <si>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</si>
  <si>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</si>
  <si>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</si>
  <si>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</si>
  <si>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</si>
  <si>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</si>
  <si>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</si>
  <si>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</si>
  <si>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</si>
  <si>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</si>
  <si>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</si>
  <si>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</si>
  <si>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</si>
  <si>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</si>
  <si>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</si>
  <si>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</si>
  <si>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</si>
  <si>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</si>
  <si>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</si>
  <si>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</si>
  <si>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</si>
  <si>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</si>
  <si>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</si>
  <si>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</si>
  <si>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</si>
  <si>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</si>
  <si>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</si>
  <si>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</si>
  <si>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</si>
  <si>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</si>
  <si>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</si>
  <si>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</si>
  <si>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</si>
  <si>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</si>
  <si>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</si>
  <si>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</si>
  <si>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</si>
  <si>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</si>
  <si>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</si>
  <si>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</si>
  <si>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</si>
  <si>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</si>
  <si>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</si>
  <si>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</si>
  <si>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</si>
  <si>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</si>
  <si>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</si>
  <si>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</si>
  <si>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</si>
  <si>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</si>
  <si>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</si>
  <si>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</si>
  <si>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</si>
  <si>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</si>
  <si>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</si>
  <si>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</si>
  <si>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</si>
  <si>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</si>
  <si>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</si>
  <si>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</si>
  <si>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</si>
  <si>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</si>
  <si>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</si>
  <si>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</si>
  <si>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</si>
  <si>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</si>
  <si>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</si>
  <si>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</si>
  <si>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</si>
  <si>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</si>
  <si>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</si>
  <si>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</si>
  <si>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</si>
  <si>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</si>
  <si>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</si>
  <si>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</si>
  <si>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</si>
  <si>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</si>
  <si>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</si>
  <si>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</si>
  <si>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</si>
  <si>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</si>
  <si>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</si>
  <si>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</si>
  <si>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</si>
  <si>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</si>
  <si>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</si>
  <si>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</si>
  <si>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</si>
  <si>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</si>
  <si>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</si>
  <si>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</si>
  <si>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</si>
  <si>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</si>
  <si>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</si>
  <si>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</si>
  <si>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</si>
  <si>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</si>
  <si>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</si>
  <si>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</si>
  <si>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</si>
  <si>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</si>
  <si>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</si>
  <si>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</si>
  <si>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</si>
  <si>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</si>
  <si>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</si>
  <si>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</si>
  <si>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</si>
  <si>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</si>
  <si>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</si>
  <si>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</si>
  <si>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</si>
  <si>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</si>
  <si>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</si>
  <si>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</si>
  <si>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</si>
  <si>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</si>
  <si>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</si>
  <si>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</si>
  <si>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</si>
  <si>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</si>
  <si>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</si>
  <si>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</si>
  <si>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</si>
  <si>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</si>
  <si>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</si>
  <si>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</si>
  <si>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</si>
  <si>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</si>
  <si>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</si>
  <si>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</si>
  <si>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</si>
  <si>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</si>
  <si>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</si>
  <si>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</si>
  <si>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</si>
  <si>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</si>
  <si>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</si>
  <si>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</si>
  <si>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</si>
  <si>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</si>
  <si>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</si>
  <si>
    <t>Live: reads the latest rates on every Shift+F9. Fixed: keeps the rates last read on this sheet. History is from the DB (morning batch); only 'Live (%)' uses the live curve.</t>
  </si>
  <si>
    <t>FwdMonitor (JPY OIS forwards NyMy: live vs history)</t>
  </si>
  <si>
    <t>Settings</t>
  </si>
  <si>
    <t>Base date</t>
  </si>
  <si>
    <t>FIXED / ROLLING: trades of this date (blank = today)</t>
  </si>
  <si>
    <t>Compare date</t>
  </si>
  <si>
    <t>Strip and 'vs compare' column (nearest DB date on or before)</t>
  </si>
  <si>
    <t>Sigma window (bd)</t>
  </si>
  <si>
    <t>Business days for the daily-change sigma of the Z-scores</t>
  </si>
  <si>
    <t>Chart from</t>
  </si>
  <si>
    <t>Start of the comparison chart (blank = all)</t>
  </si>
  <si>
    <t>Chart view</t>
  </si>
  <si>
    <t>Level / Change (change from the chart start)</t>
  </si>
  <si>
    <t>FwdHistory CMT (%, dF = same-trade daily change in bp)</t>
  </si>
  <si>
    <t>FwdHistory FIXED (%, dF = same-trade daily change in bp)</t>
  </si>
  <si>
    <t>FwdHistory ROLLING (%, dF = same-trade daily change in bp)</t>
  </si>
  <si>
    <t>Monitor (CMT: spot + N years, M years)</t>
  </si>
  <si>
    <t>Series</t>
  </si>
  <si>
    <t>Live (%)</t>
  </si>
  <si>
    <t>Close (%)</t>
  </si>
  <si>
    <t>Chg 1D (bp)</t>
  </si>
  <si>
    <t>Chg 1W (bp)</t>
  </si>
  <si>
    <t>Chg 1M (bp)</t>
  </si>
  <si>
    <t>vs compare (bp)</t>
  </si>
  <si>
    <t>Sigma (bp/day)</t>
  </si>
  <si>
    <t>Z (1D)</t>
  </si>
  <si>
    <t>Z (1W)</t>
  </si>
  <si>
    <t>1y1y</t>
  </si>
  <si>
    <t>2y1y</t>
  </si>
  <si>
    <t>3y1y</t>
  </si>
  <si>
    <t>4y1y</t>
  </si>
  <si>
    <t>5y1y</t>
  </si>
  <si>
    <t>6y1y</t>
  </si>
  <si>
    <t>7y1y</t>
  </si>
  <si>
    <t>8y1y</t>
  </si>
  <si>
    <t>9y1y</t>
  </si>
  <si>
    <t>10y1y</t>
  </si>
  <si>
    <t>11y1y</t>
  </si>
  <si>
    <t>15y1y</t>
  </si>
  <si>
    <t>20y1y</t>
  </si>
  <si>
    <t>25y1y</t>
  </si>
  <si>
    <t>30y1y</t>
  </si>
  <si>
    <t>35y1y</t>
  </si>
  <si>
    <t>5y5y</t>
  </si>
  <si>
    <t>10y5y</t>
  </si>
  <si>
    <t>15y5y</t>
  </si>
  <si>
    <t>20y5y</t>
  </si>
  <si>
    <t>25y5y</t>
  </si>
  <si>
    <t>30y5y</t>
  </si>
  <si>
    <t>35y5y</t>
  </si>
  <si>
    <t>Chg = live - DB close (same tenor definition, includes roll-down). Z = Chg / (sigma x sqrt(days)); sigma = RMS of same-trade daily changes over the window.</t>
  </si>
  <si>
    <t>Comparison (1 leg = forward, 2 legs = curve, 3 legs = fly; weights in bp, e.g. -1/+1, -1/+2/-1)</t>
  </si>
  <si>
    <t>Show</t>
  </si>
  <si>
    <t>Name</t>
  </si>
  <si>
    <t>Leg1</t>
  </si>
  <si>
    <t>w1</t>
  </si>
  <si>
    <t>Leg2</t>
  </si>
  <si>
    <t>w2</t>
  </si>
  <si>
    <t>Leg3</t>
  </si>
  <si>
    <t>w3</t>
  </si>
  <si>
    <t>Live (bp)</t>
  </si>
  <si>
    <t>CMT</t>
  </si>
  <si>
    <t>FIXED</t>
  </si>
  <si>
    <t>Show: the first 4 rows with Show = Yes go to the chart. Mode per row: CMT = spot + N years, FIXED = trade dates of the base date fixed, ROLLING = business-day offsets of the base date kept.</t>
  </si>
  <si>
    <t>Strip Nx1Y</t>
  </si>
  <si>
    <t>N (y)</t>
  </si>
  <si>
    <t>Chg (bp)</t>
  </si>
  <si>
    <t>Strip Nx5Y</t>
  </si>
  <si>
    <t>Comparison chart (first 4 rows with Show = Yes)</t>
  </si>
  <si>
    <t>Curve vs prev (bp)</t>
  </si>
  <si>
    <t>Live (FwdLive on the labels without the blank row)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</si>
</sst>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  <numFmt numFmtId="184" formatCode="\+0.0;\-0.0;0.0"/>
    <numFmt numFmtId="185" formatCode="\+0.00;\-0.00;0.00"/>
  </numFmts>
  <fonts count="13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6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46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Nx1Y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FwdMonitor!$GC$4:$GC$19</c:f>
            </c:numRef>
          </c:xVal>
          <c:yVal>
            <c:numRef>
              <c:f>FwdMonitor!$GD$4:$GD$19</c:f>
            </c:numRef>
          </c:yVal>
          <c:smooth val="0"/>
          <c:extLst>
            <c:ext xmlns:c16="http://schemas.microsoft.com/office/drawing/2014/chart" uri="{C3380CC4-5D6E-409C-BE32-E72D297353CC}">
              <c16:uniqueId val="{00000002-E787-412D-B68E-DA821C2A1D4C}"/>
            </c:ext>
          </c:extLst>
        </c:ser>
        <c:ser>
          <c:idx val="1"/>
          <c:order val="1"/>
          <c:tx>
            <c:strRef>
              <c:f>FwdMonitor!$GE$3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FwdMonitor!$GC$4:$GC$19</c:f>
            </c:numRef>
          </c:xVal>
          <c:yVal>
            <c:numRef>
              <c:f>FwdMonitor!$GE$4:$GE$19</c:f>
            </c:numRef>
          </c:yVal>
          <c:smooth val="0"/>
          <c:extLst>
            <c:ext xmlns:c16="http://schemas.microsoft.com/office/drawing/2014/chart" uri="{C3380CC4-5D6E-409C-BE32-E72D297353CC}">
              <c16:uniqueId val="{00000003-E787-412D-B68E-DA821C2A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698960"/>
        <c:axId val="1838699440"/>
      </c:scatterChart>
      <c:valAx>
        <c:axId val="18386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699440"/>
        <c:crosses val="autoZero"/>
        <c:crossBetween val="midCat"/>
      </c:valAx>
      <c:valAx>
        <c:axId val="183869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698960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Nx1Y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FwdMonitor!$A$12:$A$27</c:f>
            </c:strRef>
          </c:cat>
          <c:val>
            <c:numRef>
              <c:f>FwdMonitor!$GF$4:$GF$19</c:f>
            </c:numRef>
          </c:val>
          <c:extLst>
            <c:ext xmlns:c16="http://schemas.microsoft.com/office/drawing/2014/chart" uri="{C3380CC4-5D6E-409C-BE32-E72D297353CC}">
              <c16:uniqueId val="{00000002-D7A2-436D-9AA8-2E6CC5B5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794608"/>
        <c:axId val="2003795088"/>
      </c:barChart>
      <c:catAx>
        <c:axId val="200379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3795088"/>
        <c:crosses val="autoZero"/>
        <c:auto val="1"/>
        <c:lblAlgn val="ctr"/>
        <c:lblOffset val="100"/>
        <c:noMultiLvlLbl val="0"/>
      </c:catAx>
      <c:valAx>
        <c:axId val="200379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794608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Nx5Y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FwdMonitor!$GH$4:$GH$10</c:f>
            </c:numRef>
          </c:xVal>
          <c:yVal>
            <c:numRef>
              <c:f>FwdMonitor!$GI$4:$GI$10</c:f>
            </c:numRef>
          </c:yVal>
          <c:smooth val="0"/>
          <c:extLst>
            <c:ext xmlns:c16="http://schemas.microsoft.com/office/drawing/2014/chart" uri="{C3380CC4-5D6E-409C-BE32-E72D297353CC}">
              <c16:uniqueId val="{00000002-4836-4BE7-997E-85F6BCC26D2E}"/>
            </c:ext>
          </c:extLst>
        </c:ser>
        <c:ser>
          <c:idx val="1"/>
          <c:order val="1"/>
          <c:tx>
            <c:strRef>
              <c:f>FwdMonitor!$GJ$3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FwdMonitor!$GH$4:$GH$10</c:f>
            </c:numRef>
          </c:xVal>
          <c:yVal>
            <c:numRef>
              <c:f>FwdMonitor!$GJ$4:$GJ$10</c:f>
            </c:numRef>
          </c:yVal>
          <c:smooth val="0"/>
          <c:extLst>
            <c:ext xmlns:c16="http://schemas.microsoft.com/office/drawing/2014/chart" uri="{C3380CC4-5D6E-409C-BE32-E72D297353CC}">
              <c16:uniqueId val="{00000003-4836-4BE7-997E-85F6BCC2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3584"/>
        <c:axId val="2001651664"/>
      </c:scatterChart>
      <c:val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1664"/>
        <c:crosses val="autoZero"/>
        <c:crossBetween val="midCat"/>
      </c:valAx>
      <c:valAx>
        <c:axId val="200165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Nx5Y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FwdMonitor!$A$29:$A$35</c:f>
            </c:strRef>
          </c:cat>
          <c:val>
            <c:numRef>
              <c:f>FwdMonitor!$GK$4:$GK$10</c:f>
            </c:numRef>
          </c:val>
          <c:extLst>
            <c:ext xmlns:c16="http://schemas.microsoft.com/office/drawing/2014/chart" uri="{C3380CC4-5D6E-409C-BE32-E72D297353CC}">
              <c16:uniqueId val="{00000002-FBAD-4B3B-AD1C-F475887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1653584"/>
        <c:axId val="2001654064"/>
      </c:barChart>
      <c:cat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4064"/>
        <c:crosses val="autoZero"/>
        <c:auto val="1"/>
        <c:lblAlgn val="ctr"/>
        <c:lblOffset val="100"/>
        <c:noMultiLvlLbl val="0"/>
      </c:catAx>
      <c:valAx>
        <c:axId val="200165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Comparison (bp)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FwdMonitor!$GN$3</c:f>
            </c:strRef>
          </c:tx>
          <c:spPr>
            <a:ln w="25400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[0]!FWM_Ch1</c:f>
            </c:numRef>
          </c:val>
          <c:smooth val="0"/>
          <c:extLst>
            <c:ext xmlns:c16="http://schemas.microsoft.com/office/drawing/2014/chart" uri="{C3380CC4-5D6E-409C-BE32-E72D297353CC}">
              <c16:uniqueId val="{00000002-1506-4CFC-95DF-177A4A8293F4}"/>
            </c:ext>
          </c:extLst>
        </c:ser>
        <c:ser>
          <c:idx val="1"/>
          <c:order val="1"/>
          <c:tx>
            <c:strRef>
              <c:f>FwdMonitor!$GO$3</c:f>
            </c:strRef>
          </c:tx>
          <c:spPr>
            <a:ln w="25400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[0]!FWM_Ch2</c:f>
            </c:numRef>
          </c:val>
          <c:smooth val="0"/>
          <c:extLst>
            <c:ext xmlns:c16="http://schemas.microsoft.com/office/drawing/2014/chart" uri="{C3380CC4-5D6E-409C-BE32-E72D297353CC}">
              <c16:uniqueId val="{00000003-1506-4CFC-95DF-177A4A8293F4}"/>
            </c:ext>
          </c:extLst>
        </c:ser>
        <c:ser>
          <c:idx val="2"/>
          <c:order val="2"/>
          <c:tx>
            <c:strRef>
              <c:f>FwdMonitor!$GP$3</c:f>
            </c:strRef>
          </c:tx>
          <c:spPr>
            <a:ln w="25400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[0]!FWM_Ch3</c:f>
            </c:numRef>
          </c:val>
          <c:smooth val="0"/>
          <c:extLst>
            <c:ext xmlns:c16="http://schemas.microsoft.com/office/drawing/2014/chart" uri="{C3380CC4-5D6E-409C-BE32-E72D297353CC}">
              <c16:uniqueId val="{00000004-1506-4CFC-95DF-177A4A8293F4}"/>
            </c:ext>
          </c:extLst>
        </c:ser>
        <c:ser>
          <c:idx val="3"/>
          <c:order val="3"/>
          <c:tx>
            <c:strRef>
              <c:f>FwdMonitor!$GQ$3</c:f>
            </c:strRef>
          </c:tx>
          <c:spPr>
            <a:ln w="25400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[0]!FWM_Ch4</c:f>
            </c:numRef>
          </c:val>
          <c:smooth val="0"/>
          <c:extLst>
            <c:ext xmlns:c16="http://schemas.microsoft.com/office/drawing/2014/chart" uri="{C3380CC4-5D6E-409C-BE32-E72D297353CC}">
              <c16:uniqueId val="{00000005-1506-4CFC-95DF-177A4A829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59616"/>
        <c:axId val="2003958176"/>
      </c:lineChart>
      <c:dateAx>
        <c:axId val="20039596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2003958176"/>
        <c:crosses val="autoZero"/>
        <c:auto val="1"/>
        <c:lblOffset val="100"/>
        <c:baseTimeUnit val="days"/>
      </c:dateAx>
      <c:valAx>
        <c:axId val="20039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9596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5" Type="http://schemas.openxmlformats.org/officeDocument/2006/relationships/chart" Target="../charts/chart80.xml"/><Relationship Id="rId4" Type="http://schemas.openxmlformats.org/officeDocument/2006/relationships/chart" Target="../charts/chart7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17</xdr:col>
      <xdr:colOff>609600</xdr:colOff>
      <xdr:row>13</xdr:row>
      <xdr:rowOff>82550</xdr:rowOff>
    </xdr:to>
    <xdr:graphicFrame macro="">
      <xdr:nvGraphicFramePr>
        <xdr:cNvPr id="2" name="FWM_Strip1">
          <a:extLst>
            <a:ext uri="{FF2B5EF4-FFF2-40B4-BE49-F238E27FC236}">
              <a16:creationId xmlns:a16="http://schemas.microsoft.com/office/drawing/2014/main" id="{CE15A1FB-B93F-4E7C-77D6-8E271357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17</xdr:row>
      <xdr:rowOff>0</xdr:rowOff>
    </xdr:from>
    <xdr:to>
      <xdr:col>17</xdr:col>
      <xdr:colOff>609600</xdr:colOff>
      <xdr:row>24</xdr:row>
      <xdr:rowOff>6350</xdr:rowOff>
    </xdr:to>
    <xdr:graphicFrame macro="">
      <xdr:nvGraphicFramePr>
        <xdr:cNvPr id="3" name="FWM_Chg1">
          <a:extLst>
            <a:ext uri="{FF2B5EF4-FFF2-40B4-BE49-F238E27FC236}">
              <a16:creationId xmlns:a16="http://schemas.microsoft.com/office/drawing/2014/main" id="{FA9D5D51-3ADF-E31E-FE3C-0C829164A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25</xdr:col>
      <xdr:colOff>609600</xdr:colOff>
      <xdr:row>13</xdr:row>
      <xdr:rowOff>82550</xdr:rowOff>
    </xdr:to>
    <xdr:graphicFrame macro="">
      <xdr:nvGraphicFramePr>
        <xdr:cNvPr id="4" name="FWM_Strip5">
          <a:extLst>
            <a:ext uri="{FF2B5EF4-FFF2-40B4-BE49-F238E27FC236}">
              <a16:creationId xmlns:a16="http://schemas.microsoft.com/office/drawing/2014/main" id="{60A6CDFD-0512-3D2D-F509-3480883EE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25</xdr:col>
      <xdr:colOff>609600</xdr:colOff>
      <xdr:row>24</xdr:row>
      <xdr:rowOff>6350</xdr:rowOff>
    </xdr:to>
    <xdr:graphicFrame macro="">
      <xdr:nvGraphicFramePr>
        <xdr:cNvPr id="5" name="FWM_Chg5">
          <a:extLst>
            <a:ext uri="{FF2B5EF4-FFF2-40B4-BE49-F238E27FC236}">
              <a16:creationId xmlns:a16="http://schemas.microsoft.com/office/drawing/2014/main" id="{46CBECEC-161D-01E6-04B3-F775C48A1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12</xdr:col>
      <xdr:colOff>304800</xdr:colOff>
      <xdr:row>66</xdr:row>
      <xdr:rowOff>50800</xdr:rowOff>
    </xdr:to>
    <xdr:graphicFrame macro="">
      <xdr:nvGraphicFramePr>
        <xdr:cNvPr id="6" name="FWM_Compare">
          <a:extLst>
            <a:ext uri="{FF2B5EF4-FFF2-40B4-BE49-F238E27FC236}">
              <a16:creationId xmlns:a16="http://schemas.microsoft.com/office/drawing/2014/main" id="{EE611711-654E-21AF-3D5A-3B1A46A40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aca="1" ref="E4:F8" ca="1">PcaWindow(PCA_Selected,PCA_Mode,PCA_Standardize,PCA_window,PCA_WindowEnd)</f>
      </c>
      <c r="F4" s="7">
        <f ca="1"/>
      </c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aca="1" ref="AC4:AY23" ca="1">PcaModel(PCA_Selected,PCA_Mode,PCA_Standardize,PCA_window,PCA_WindowEnd)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:CE22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191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201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</row>
    <row r="6" spans="1:84" x14ac:dyDescent="0.55000000000000004">
      <c r="A6" t="s">
        <v>192</v>
      </c>
      <c r="B6" s="2" t="s">
        <v>221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</row>
    <row r="7" spans="1:84" x14ac:dyDescent="0.55000000000000004">
      <c r="A7" t="s">
        <v>193</v>
      </c>
      <c r="B7" s="2" t="s">
        <v>222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</row>
    <row r="8" spans="1:84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</row>
    <row r="9" spans="1:84" x14ac:dyDescent="0.55000000000000004">
      <c r="A9" s="4" t="s">
        <v>249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</row>
    <row r="10" spans="1:84" x14ac:dyDescent="0.55000000000000004">
      <c r="A10" t="s">
        <v>250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</row>
    <row r="11" spans="1:84" x14ac:dyDescent="0.55000000000000004">
      <c r="A11" t="s">
        <v>194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</row>
    <row r="12" spans="1:84" x14ac:dyDescent="0.55000000000000004">
      <c r="A12" t="s">
        <v>202</v>
      </c>
      <c r="B12" s="2"/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</row>
    <row r="13" spans="1:84" x14ac:dyDescent="0.55000000000000004">
      <c r="A13" t="s">
        <v>203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</row>
    <row r="14" spans="1:84" x14ac:dyDescent="0.55000000000000004">
      <c r="A14" s="5" t="s">
        <v>204</v>
      </c>
      <c r="B14" s="5" t="s">
        <v>205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:AA36" ca="1">PcaEigen(PCA_Selected,PCA_Mode,PCA_Standardize,PCA_window,PCA_WindowEnd)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tabSelected="1" zoomScale="44" workbookViewId="0">
      <pane xSplit="4" ySplit="9" topLeftCell="R59" activePane="bottomRight" state="frozenSplit"/>
      <selection pane="topRight" activeCell="E1" sqref="E1"/>
      <selection pane="bottomLeft" activeCell="A10" sqref="A10"/>
      <selection pane="bottomRight" activeCell="AE8" sqref="AE8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aca="1" ref="CO4:DP184" ca="1">PcaGrid(_xlfn.ANCHORARRAY($CB$4),_xlfn.LET(_xlpm.r,$E$4:$BP$7,_xlfn.CHOOSECOLS(IF(_xlpm.r="","",_xlpm.r),_xlfn.SEQUENCE(1,10,1,7))))</f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EP4" t="s">
        <v>150</v>
      </c>
      <c r="EQ4" cm="1">
        <f t="array" aca="1" ref="EQ4:FR21" ca="1">_xlfn.LET(_xlpm.g,_xlfn.DROP(_xlfn.ANCHORARRAY($CO$4),1),_xlfn._xlws.FILTER(_xlpm.g,_xlfn.TAKE(_xlpm.g,,1)=1))</f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aca="1" ref="HS4:HY184" ca="1">PcaGridResidStd(_xlfn.ANCHORARRAY($CB$4),_xlfn.LET(_xlpm.r,$E$4:$BP$7,_xlfn.CHOOSECOLS(IF(_xlpm.r="","",_xlpm.r),_xlfn.SEQUENCE(1,10,1,7))),_xlfn.VSTACK($D$12,$D$28,$D$44,$D$60,$D$76),$B$55)</f>
      </c>
      <c r="HT4">
        <f ca="1"/>
      </c>
      <c r="HU4">
        <f ca="1"/>
      </c>
      <c r="HV4">
        <f ca="1"/>
      </c>
      <c r="HW4">
        <f ca="1"/>
      </c>
      <c r="HX4">
        <f ca="1"/>
      </c>
      <c r="HY4">
        <f ca="1"/>
      </c>
    </row>
    <row r="5" spans="1:233" x14ac:dyDescent="0.55000000000000004">
      <c r="A5" t="s">
        <v>254</v>
      </c>
      <c r="D5" t="s">
        <v>145</v>
      </c>
      <c r="E5" s="2">
        <v>100</v>
      </c>
      <c r="L5" s="2">
        <v>50</v>
      </c>
      <c r="S5" s="2">
        <v>250</v>
      </c>
      <c r="Z5" s="2">
        <v>250</v>
      </c>
      <c r="AG5" s="2">
        <v>60</v>
      </c>
      <c r="AN5" s="2">
        <v>60</v>
      </c>
      <c r="AU5" s="2">
        <v>60</v>
      </c>
      <c r="BB5" s="2">
        <v>60</v>
      </c>
      <c r="BI5" s="2">
        <v>120</v>
      </c>
      <c r="BP5" s="2">
        <v>120</v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aca="1" ref="GX5:GX22" ca="1">_xlfn.LET(_xlpm.V,_xlfn.DROP(_xlfn.ANCHORARRAY($EQ$4),,10),IF(1&lt;=COLUMNS(_xlpm.V),_xlfn.CHOOSECOLS(_xlpm.V,1),IF(_xlfn.SEQUENCE(ROWS(_xlpm.V)),NA())))</f>
      </c>
      <c r="GY5" cm="1">
        <f t="array" aca="1" ref="GY5:GY22" ca="1">_xlfn.LET(_xlpm.V,_xlfn.DROP(_xlfn.ANCHORARRAY($EQ$4),,10),IF(2&lt;=COLUMNS(_xlpm.V),_xlfn.CHOOSECOLS(_xlpm.V,2),IF(_xlfn.SEQUENCE(ROWS(_xlpm.V)),NA())))</f>
      </c>
      <c r="GZ5" cm="1">
        <f t="array" aca="1" ref="GZ5:GZ22" ca="1">_xlfn.LET(_xlpm.V,_xlfn.DROP(_xlfn.ANCHORARRAY($EQ$4),,10),IF(3&lt;=COLUMNS(_xlpm.V),_xlfn.CHOOSECOLS(_xlpm.V,3),IF(_xlfn.SEQUENCE(ROWS(_xlpm.V)),NA())))</f>
      </c>
      <c r="HA5" cm="1">
        <f t="array" aca="1" ref="HA5:HA22" ca="1">_xlfn.LET(_xlpm.V,_xlfn.DROP(_xlfn.ANCHORARRAY($EQ$4),,10),IF(4&lt;=COLUMNS(_xlpm.V),_xlfn.CHOOSECOLS(_xlpm.V,4),IF(_xlfn.SEQUENCE(ROWS(_xlpm.V)),NA())))</f>
      </c>
      <c r="HB5" cm="1">
        <f t="array" aca="1" ref="HB5:HB22" ca="1">_xlfn.LET(_xlpm.V,_xlfn.DROP(_xlfn.ANCHORARRAY($EQ$4),,10),IF(5&lt;=COLUMNS(_xlpm.V),_xlfn.CHOOSECOLS(_xlpm.V,5),IF(_xlfn.SEQUENCE(ROWS(_xlpm.V)),NA())))</f>
      </c>
      <c r="HD5" cm="1">
        <f t="array" aca="1" ref="HD5:HD22" ca="1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aca="1" ref="HF5:HF22" ca="1">_xlfn.CHOOSECOLS(_xlfn.ANCHORARRAY($EQ$4),8)+_xlfn.CHOOSECOLS(_xlfn.ANCHORARRAY($EQ$4),10)</f>
      </c>
      <c r="HG5" cm="1">
        <f t="array" aca="1" ref="HG5:HG22" ca="1">_xlfn.CHOOSECOLS(_xlfn.ANCHORARRAY($EQ$4),8)-_xlfn.CHOOSECOLS(_xlfn.ANCHORARRAY($EQ$4),10)</f>
      </c>
      <c r="HH5" cm="1">
        <f t="array" aca="1" ref="HH5:HH22" ca="1">_xlfn.LET(_xlpm.v,_xlfn.CHOOSECOLS(_xlfn._xlws.FILTER(_xlfn.DROP(_xlfn.ANCHORARRAY($HS$4),1),_xlfn.TAKE(_xlfn.DROP(_xlfn.ANCHORARRAY($HS$4),1),,1)=1),3),IF(_xlpm.v="",NA(),_xlpm.v))</f>
      </c>
      <c r="HI5" cm="1">
        <f t="array" aca="1" ref="HI5:HI22" ca="1">-_xlfn.ANCHORARRAY($HH$5)</f>
      </c>
      <c r="HJ5" cm="1">
        <f t="array" aca="1" ref="HJ5:HJ22" ca="1">_xlfn.LET(_xlpm.v,_xlfn.CHOOSECOLS(_xlfn._xlws.FILTER(_xlfn.DROP(_xlfn.ANCHORARRAY($HS$4),1),_xlfn.TAKE(_xlfn.DROP(_xlfn.ANCHORARRAY($HS$4),1),,1)=1),4),IF(_xlpm.v="",NA(),_xlpm.v))</f>
      </c>
      <c r="HK5" cm="1">
        <f t="array" aca="1" ref="HK5:HK22" ca="1">-_xlfn.ANCHORARRAY($HJ$5)</f>
      </c>
      <c r="HL5" cm="1">
        <f t="array" aca="1" ref="HL5:HL22" ca="1">_xlfn.LET(_xlpm.v,_xlfn.CHOOSECOLS(_xlfn._xlws.FILTER(_xlfn.DROP(_xlfn.ANCHORARRAY($HS$4),1),_xlfn.TAKE(_xlfn.DROP(_xlfn.ANCHORARRAY($HS$4),1),,1)=1),5),IF(_xlpm.v="",NA(),_xlpm.v))</f>
      </c>
      <c r="HM5" cm="1">
        <f t="array" aca="1" ref="HM5:HM22" ca="1">-_xlfn.ANCHORARRAY($HL$5)</f>
      </c>
      <c r="HN5" cm="1">
        <f t="array" aca="1" ref="HN5:HN22" ca="1">_xlfn.LET(_xlpm.v,_xlfn.CHOOSECOLS(_xlfn._xlws.FILTER(_xlfn.DROP(_xlfn.ANCHORARRAY($HS$4),1),_xlfn.TAKE(_xlfn.DROP(_xlfn.ANCHORARRAY($HS$4),1),,1)=1),6),IF(_xlpm.v="",NA(),_xlpm.v))</f>
      </c>
      <c r="HO5" cm="1">
        <f t="array" aca="1" ref="HO5:HO22" ca="1">-_xlfn.ANCHORARRAY($HN$5)</f>
      </c>
      <c r="HP5" cm="1">
        <f t="array" aca="1" ref="HP5:HP22" ca="1">_xlfn.LET(_xlpm.v,_xlfn.CHOOSECOLS(_xlfn._xlws.FILTER(_xlfn.DROP(_xlfn.ANCHORARRAY($HS$4),1),_xlfn.TAKE(_xlfn.DROP(_xlfn.ANCHORARRAY($HS$4),1),,1)=1),7),IF(_xlpm.v="",NA(),_xlpm.v))</f>
      </c>
      <c r="HQ5" cm="1">
        <f t="array" aca="1" ref="HQ5:HQ22" ca="1">-_xlfn.ANCHORARRAY($HP$5)</f>
      </c>
      <c r="HR5" cm="1">
        <f t="array" aca="1" ref="HR5" ca="1">IFERROR(INDEX(_xlfn._xlws.FILTER(_xlfn.DROP(_xlfn.ANCHORARRAY($HS$4),1),_xlfn.TAKE(_xlfn.DROP(_xlfn.ANCHORARRAY($HS$4),1),,1)=1),1,2),"")</f>
      </c>
      <c r="HS5">
        <f ca="1"/>
      </c>
      <c r="HT5">
        <f ca="1"/>
      </c>
      <c r="HU5">
        <f ca="1"/>
      </c>
      <c r="HV5">
        <f ca="1"/>
      </c>
      <c r="HW5">
        <f ca="1"/>
      </c>
      <c r="HX5">
        <f ca="1"/>
      </c>
      <c r="HY5">
        <f ca="1"/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151</v>
      </c>
      <c r="L6" s="2" t="s">
        <v>151</v>
      </c>
      <c r="S6" s="2" t="s">
        <v>154</v>
      </c>
      <c r="Z6" s="2" t="s">
        <v>154</v>
      </c>
      <c r="AG6" s="2" t="s">
        <v>151</v>
      </c>
      <c r="AN6" s="2" t="s">
        <v>151</v>
      </c>
      <c r="AU6" s="2" t="s">
        <v>154</v>
      </c>
      <c r="BB6" s="2" t="s">
        <v>154</v>
      </c>
      <c r="BI6" s="2" t="s">
        <v>151</v>
      </c>
      <c r="BP6" s="2" t="s">
        <v>154</v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S6">
        <f ca="1"/>
      </c>
      <c r="HT6">
        <f ca="1"/>
      </c>
      <c r="HU6">
        <f ca="1"/>
      </c>
      <c r="HV6">
        <f ca="1"/>
      </c>
      <c r="HW6">
        <f ca="1"/>
      </c>
      <c r="HX6">
        <f ca="1"/>
      </c>
      <c r="HY6">
        <f ca="1"/>
      </c>
    </row>
    <row r="7" spans="1:233" x14ac:dyDescent="0.55000000000000004">
      <c r="D7" t="s">
        <v>147</v>
      </c>
      <c r="E7" s="2" t="s">
        <v>142</v>
      </c>
      <c r="L7" s="2" t="s">
        <v>143</v>
      </c>
      <c r="S7" s="2" t="s">
        <v>142</v>
      </c>
      <c r="Z7" s="2" t="s">
        <v>143</v>
      </c>
      <c r="AG7" s="2" t="s">
        <v>142</v>
      </c>
      <c r="AN7" s="2" t="s">
        <v>143</v>
      </c>
      <c r="AU7" s="2" t="s">
        <v>142</v>
      </c>
      <c r="BB7" s="2" t="s">
        <v>143</v>
      </c>
      <c r="BI7" s="2" t="s">
        <v>142</v>
      </c>
      <c r="BP7" s="2" t="s">
        <v>142</v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S7">
        <f ca="1"/>
      </c>
      <c r="HT7">
        <f ca="1"/>
      </c>
      <c r="HU7">
        <f ca="1"/>
      </c>
      <c r="HV7">
        <f ca="1"/>
      </c>
      <c r="HW7">
        <f ca="1"/>
      </c>
      <c r="HX7">
        <f ca="1"/>
      </c>
      <c r="HY7">
        <f ca="1"/>
      </c>
    </row>
    <row r="8" spans="1:233" x14ac:dyDescent="0.55000000000000004">
      <c r="D8" t="s">
        <v>148</v>
      </c>
      <c r="E8">
        <f ca="1"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 ca="1"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 ca="1"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 ca="1"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 ca="1"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 ca="1"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 ca="1"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 ca="1"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 ca="1"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 ca="1">IFERROR(_xlfn.LET(_xlpm.sl,_xlfn.ANCHORARRAY($EQ$454),IF(ISNUMBER(INDEX(_xlpm.sl,1,2)),TEXT(INDEX(_xlpm.sl,1,2),"yyyy-mm-dd")&amp;" - "&amp;TEXT(INDEX(_xlpm.sl,1,3),"yyyy-mm-dd")&amp;"  (n="&amp;INDEX(_xlpm.sl,1,4)&amp;")","Error")),"Error")</f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S8">
        <f ca="1"/>
      </c>
      <c r="HT8">
        <f ca="1"/>
      </c>
      <c r="HU8">
        <f ca="1"/>
      </c>
      <c r="HV8">
        <f ca="1"/>
      </c>
      <c r="HW8">
        <f ca="1"/>
      </c>
      <c r="HX8">
        <f ca="1"/>
      </c>
      <c r="HY8">
        <f ca="1"/>
      </c>
    </row>
    <row r="9" spans="1:233" x14ac:dyDescent="0.55000000000000004">
      <c r="D9" t="s">
        <v>149</v>
      </c>
      <c r="E9">
        <f ca="1">IFERROR(_xlfn.TEXTJOIN(" / ",TRUE,INDEX(_xlfn.ANCHORARRAY($EQ$4),1,6),IF($E$6="Change",INDEX(_xlfn.ANCHORARRAY($CL$4),4,2),""),$HR$5),"")</f>
      </c>
      <c r="L9">
        <f ca="1"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 ca="1">IFERROR(_xlfn.TEXTJOIN(" / ",TRUE,INDEX(_xlfn.ANCHORARRAY($EQ$204),1,6),IF($AG$6="Change",INDEX(_xlfn.ANCHORARRAY($CL$4),4,2),""),$HR$205),"")</f>
      </c>
      <c r="AN9">
        <f ca="1">IFERROR(_xlfn.TEXTJOIN(" / ",TRUE,INDEX(_xlfn.ANCHORARRAY($EQ$254),1,6),IF($AN$6="Change",INDEX(_xlfn.ANCHORARRAY($CL$4),4,2),""),$HR$255),"")</f>
      </c>
      <c r="AU9">
        <f ca="1">IFERROR(_xlfn.TEXTJOIN(" / ",TRUE,INDEX(_xlfn.ANCHORARRAY($EQ$304),1,6),IF($AU$6="Change",INDEX(_xlfn.ANCHORARRAY($CL$4),4,2),""),$HR$305),"")</f>
      </c>
      <c r="BB9">
        <f ca="1">IFERROR(_xlfn.TEXTJOIN(" / ",TRUE,INDEX(_xlfn.ANCHORARRAY($EQ$354),1,6),IF($BB$6="Change",INDEX(_xlfn.ANCHORARRAY($CL$4),4,2),""),$HR$355),"")</f>
      </c>
      <c r="BI9">
        <f ca="1">IFERROR(_xlfn.TEXTJOIN(" / ",TRUE,INDEX(_xlfn.ANCHORARRAY($EQ$404),1,6),IF($BI$6="Change",INDEX(_xlfn.ANCHORARRAY($CL$4),4,2),""),$HR$405),"")</f>
      </c>
      <c r="BP9">
        <f ca="1">IFERROR(_xlfn.TEXTJOIN(" / ",TRUE,INDEX(_xlfn.ANCHORARRAY($EQ$454),1,6),IF($BP$6="Change",INDEX(_xlfn.ANCHORARRAY($CL$4),4,2),""),$HR$455),"")</f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S9">
        <f ca="1"/>
      </c>
      <c r="HT9">
        <f ca="1"/>
      </c>
      <c r="HU9">
        <f ca="1"/>
      </c>
      <c r="HV9">
        <f ca="1"/>
      </c>
      <c r="HW9">
        <f ca="1"/>
      </c>
      <c r="HX9">
        <f ca="1"/>
      </c>
      <c r="HY9">
        <f ca="1"/>
      </c>
    </row>
    <row r="10" spans="1:233" x14ac:dyDescent="0.55000000000000004">
      <c r="A10" s="4" t="s">
        <v>140</v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S10">
        <f ca="1"/>
      </c>
      <c r="HT10">
        <f ca="1"/>
      </c>
      <c r="HU10">
        <f ca="1"/>
      </c>
      <c r="HV10">
        <f ca="1"/>
      </c>
      <c r="HW10">
        <f ca="1"/>
      </c>
      <c r="HX10">
        <f ca="1"/>
      </c>
      <c r="HY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S11">
        <f ca="1"/>
      </c>
      <c r="HT11">
        <f ca="1"/>
      </c>
      <c r="HU11">
        <f ca="1"/>
      </c>
      <c r="HV11">
        <f ca="1"/>
      </c>
      <c r="HW11">
        <f ca="1"/>
      </c>
      <c r="HX11">
        <f ca="1"/>
      </c>
      <c r="HY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S12">
        <f ca="1"/>
      </c>
      <c r="HT12">
        <f ca="1"/>
      </c>
      <c r="HU12">
        <f ca="1"/>
      </c>
      <c r="HV12">
        <f ca="1"/>
      </c>
      <c r="HW12">
        <f ca="1"/>
      </c>
      <c r="HX12">
        <f ca="1"/>
      </c>
      <c r="HY12">
        <f ca="1"/>
      </c>
    </row>
    <row r="13" spans="1:233" x14ac:dyDescent="0.55000000000000004">
      <c r="A13" t="s">
        <v>1</v>
      </c>
      <c r="B13" s="6" t="s">
        <v>43</v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S13">
        <f ca="1"/>
      </c>
      <c r="HT13">
        <f ca="1"/>
      </c>
      <c r="HU13">
        <f ca="1"/>
      </c>
      <c r="HV13">
        <f ca="1"/>
      </c>
      <c r="HW13">
        <f ca="1"/>
      </c>
      <c r="HX13">
        <f ca="1"/>
      </c>
      <c r="HY13">
        <f ca="1"/>
      </c>
    </row>
    <row r="14" spans="1:233" x14ac:dyDescent="0.55000000000000004">
      <c r="A14" t="s">
        <v>2</v>
      </c>
      <c r="B14" s="6" t="s">
        <v>43</v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S14">
        <f ca="1"/>
      </c>
      <c r="HT14">
        <f ca="1"/>
      </c>
      <c r="HU14">
        <f ca="1"/>
      </c>
      <c r="HV14">
        <f ca="1"/>
      </c>
      <c r="HW14">
        <f ca="1"/>
      </c>
      <c r="HX14">
        <f ca="1"/>
      </c>
      <c r="HY14">
        <f ca="1"/>
      </c>
    </row>
    <row r="15" spans="1:233" x14ac:dyDescent="0.55000000000000004">
      <c r="A15" t="s">
        <v>3</v>
      </c>
      <c r="B15" s="6" t="s">
        <v>43</v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S15">
        <f ca="1"/>
      </c>
      <c r="HT15">
        <f ca="1"/>
      </c>
      <c r="HU15">
        <f ca="1"/>
      </c>
      <c r="HV15">
        <f ca="1"/>
      </c>
      <c r="HW15">
        <f ca="1"/>
      </c>
      <c r="HX15">
        <f ca="1"/>
      </c>
      <c r="HY15">
        <f ca="1"/>
      </c>
    </row>
    <row r="16" spans="1:233" x14ac:dyDescent="0.55000000000000004">
      <c r="A16" t="s">
        <v>4</v>
      </c>
      <c r="B16" s="6" t="s">
        <v>43</v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S16">
        <f ca="1"/>
      </c>
      <c r="HT16">
        <f ca="1"/>
      </c>
      <c r="HU16">
        <f ca="1"/>
      </c>
      <c r="HV16">
        <f ca="1"/>
      </c>
      <c r="HW16">
        <f ca="1"/>
      </c>
      <c r="HX16">
        <f ca="1"/>
      </c>
      <c r="HY16">
        <f ca="1"/>
      </c>
    </row>
    <row r="17" spans="1:233" x14ac:dyDescent="0.55000000000000004">
      <c r="A17" t="s">
        <v>5</v>
      </c>
      <c r="B17" s="6" t="s">
        <v>43</v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S17">
        <f ca="1"/>
      </c>
      <c r="HT17">
        <f ca="1"/>
      </c>
      <c r="HU17">
        <f ca="1"/>
      </c>
      <c r="HV17">
        <f ca="1"/>
      </c>
      <c r="HW17">
        <f ca="1"/>
      </c>
      <c r="HX17">
        <f ca="1"/>
      </c>
      <c r="HY17">
        <f ca="1"/>
      </c>
    </row>
    <row r="18" spans="1:233" x14ac:dyDescent="0.55000000000000004">
      <c r="A18" t="s">
        <v>6</v>
      </c>
      <c r="B18" s="6" t="s">
        <v>43</v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S18">
        <f ca="1"/>
      </c>
      <c r="HT18">
        <f ca="1"/>
      </c>
      <c r="HU18">
        <f ca="1"/>
      </c>
      <c r="HV18">
        <f ca="1"/>
      </c>
      <c r="HW18">
        <f ca="1"/>
      </c>
      <c r="HX18">
        <f ca="1"/>
      </c>
      <c r="HY18">
        <f ca="1"/>
      </c>
    </row>
    <row r="19" spans="1:233" x14ac:dyDescent="0.55000000000000004">
      <c r="A19" t="s">
        <v>7</v>
      </c>
      <c r="B19" s="6" t="s">
        <v>42</v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S19">
        <f ca="1"/>
      </c>
      <c r="HT19">
        <f ca="1"/>
      </c>
      <c r="HU19">
        <f ca="1"/>
      </c>
      <c r="HV19">
        <f ca="1"/>
      </c>
      <c r="HW19">
        <f ca="1"/>
      </c>
      <c r="HX19">
        <f ca="1"/>
      </c>
      <c r="HY19">
        <f ca="1"/>
      </c>
    </row>
    <row r="20" spans="1:233" x14ac:dyDescent="0.55000000000000004">
      <c r="A20" t="s">
        <v>8</v>
      </c>
      <c r="B20" s="6" t="s">
        <v>43</v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S20">
        <f ca="1"/>
      </c>
      <c r="HT20">
        <f ca="1"/>
      </c>
      <c r="HU20">
        <f ca="1"/>
      </c>
      <c r="HV20">
        <f ca="1"/>
      </c>
      <c r="HW20">
        <f ca="1"/>
      </c>
      <c r="HX20">
        <f ca="1"/>
      </c>
      <c r="HY20">
        <f ca="1"/>
      </c>
    </row>
    <row r="21" spans="1:233" x14ac:dyDescent="0.55000000000000004">
      <c r="A21" t="s">
        <v>9</v>
      </c>
      <c r="B21" s="6" t="s">
        <v>43</v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S21">
        <f ca="1"/>
      </c>
      <c r="HT21">
        <f ca="1"/>
      </c>
      <c r="HU21">
        <f ca="1"/>
      </c>
      <c r="HV21">
        <f ca="1"/>
      </c>
      <c r="HW21">
        <f ca="1"/>
      </c>
      <c r="HX21">
        <f ca="1"/>
      </c>
      <c r="HY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S22">
        <f ca="1"/>
      </c>
      <c r="HT22">
        <f ca="1"/>
      </c>
      <c r="HU22">
        <f ca="1"/>
      </c>
      <c r="HV22">
        <f ca="1"/>
      </c>
      <c r="HW22">
        <f ca="1"/>
      </c>
      <c r="HX22">
        <f ca="1"/>
      </c>
      <c r="HY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GR23" s="11"/>
      <c r="GS23" s="11"/>
      <c r="GT23" s="11"/>
      <c r="GU23" s="11"/>
      <c r="GV23" s="11"/>
      <c r="HS23">
        <f ca="1"/>
      </c>
      <c r="HT23">
        <f ca="1"/>
      </c>
      <c r="HU23">
        <f ca="1"/>
      </c>
      <c r="HV23">
        <f ca="1"/>
      </c>
      <c r="HW23">
        <f ca="1"/>
      </c>
      <c r="HX23">
        <f ca="1"/>
      </c>
      <c r="HY23">
        <f ca="1"/>
      </c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GR24" s="11"/>
      <c r="GS24" s="11"/>
      <c r="GT24" s="11"/>
      <c r="GU24" s="11"/>
      <c r="GV24" s="11"/>
      <c r="HS24">
        <f ca="1"/>
      </c>
      <c r="HT24">
        <f ca="1"/>
      </c>
      <c r="HU24">
        <f ca="1"/>
      </c>
      <c r="HV24">
        <f ca="1"/>
      </c>
      <c r="HW24">
        <f ca="1"/>
      </c>
      <c r="HX24">
        <f ca="1"/>
      </c>
      <c r="HY24">
        <f ca="1"/>
      </c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GR25" s="11"/>
      <c r="GS25" s="11"/>
      <c r="GT25" s="11"/>
      <c r="GU25" s="11"/>
      <c r="GV25" s="11"/>
      <c r="HS25">
        <f ca="1"/>
      </c>
      <c r="HT25">
        <f ca="1"/>
      </c>
      <c r="HU25">
        <f ca="1"/>
      </c>
      <c r="HV25">
        <f ca="1"/>
      </c>
      <c r="HW25">
        <f ca="1"/>
      </c>
      <c r="HX25">
        <f ca="1"/>
      </c>
      <c r="HY25">
        <f ca="1"/>
      </c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GR26" s="11"/>
      <c r="GS26" s="11"/>
      <c r="GT26" s="11"/>
      <c r="GU26" s="11"/>
      <c r="GV26" s="11"/>
      <c r="HS26">
        <f ca="1"/>
      </c>
      <c r="HT26">
        <f ca="1"/>
      </c>
      <c r="HU26">
        <f ca="1"/>
      </c>
      <c r="HV26">
        <f ca="1"/>
      </c>
      <c r="HW26">
        <f ca="1"/>
      </c>
      <c r="HX26">
        <f ca="1"/>
      </c>
      <c r="HY26">
        <f ca="1"/>
      </c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GR27" s="11"/>
      <c r="GS27" s="11"/>
      <c r="GT27" s="11"/>
      <c r="GU27" s="11"/>
      <c r="GV27" s="11"/>
      <c r="HS27">
        <f ca="1"/>
      </c>
      <c r="HT27">
        <f ca="1"/>
      </c>
      <c r="HU27">
        <f ca="1"/>
      </c>
      <c r="HV27">
        <f ca="1"/>
      </c>
      <c r="HW27">
        <f ca="1"/>
      </c>
      <c r="HX27">
        <f ca="1"/>
      </c>
      <c r="HY27">
        <f ca="1"/>
      </c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GR28" s="11"/>
      <c r="GS28" s="11"/>
      <c r="GT28" s="11"/>
      <c r="GU28" s="11"/>
      <c r="GV28" s="11"/>
      <c r="HS28">
        <f ca="1"/>
      </c>
      <c r="HT28">
        <f ca="1"/>
      </c>
      <c r="HU28">
        <f ca="1"/>
      </c>
      <c r="HV28">
        <f ca="1"/>
      </c>
      <c r="HW28">
        <f ca="1"/>
      </c>
      <c r="HX28">
        <f ca="1"/>
      </c>
      <c r="HY28">
        <f ca="1"/>
      </c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GR29" s="11"/>
      <c r="GS29" s="11"/>
      <c r="GT29" s="11"/>
      <c r="GU29" s="11"/>
      <c r="GV29" s="11"/>
      <c r="HS29">
        <f ca="1"/>
      </c>
      <c r="HT29">
        <f ca="1"/>
      </c>
      <c r="HU29">
        <f ca="1"/>
      </c>
      <c r="HV29">
        <f ca="1"/>
      </c>
      <c r="HW29">
        <f ca="1"/>
      </c>
      <c r="HX29">
        <f ca="1"/>
      </c>
      <c r="HY29">
        <f ca="1"/>
      </c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GR30" s="11"/>
      <c r="GS30" s="11"/>
      <c r="GT30" s="11"/>
      <c r="GU30" s="11"/>
      <c r="GV30" s="11"/>
      <c r="HS30">
        <f ca="1"/>
      </c>
      <c r="HT30">
        <f ca="1"/>
      </c>
      <c r="HU30">
        <f ca="1"/>
      </c>
      <c r="HV30">
        <f ca="1"/>
      </c>
      <c r="HW30">
        <f ca="1"/>
      </c>
      <c r="HX30">
        <f ca="1"/>
      </c>
      <c r="HY30">
        <f ca="1"/>
      </c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GR31" s="11"/>
      <c r="GS31" s="11"/>
      <c r="GT31" s="11"/>
      <c r="GU31" s="11"/>
      <c r="GV31" s="11"/>
      <c r="HS31">
        <f ca="1"/>
      </c>
      <c r="HT31">
        <f ca="1"/>
      </c>
      <c r="HU31">
        <f ca="1"/>
      </c>
      <c r="HV31">
        <f ca="1"/>
      </c>
      <c r="HW31">
        <f ca="1"/>
      </c>
      <c r="HX31">
        <f ca="1"/>
      </c>
      <c r="HY31">
        <f ca="1"/>
      </c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GR32" s="11"/>
      <c r="GS32" s="11"/>
      <c r="GT32" s="11"/>
      <c r="GU32" s="11"/>
      <c r="GV32" s="11"/>
      <c r="HS32">
        <f ca="1"/>
      </c>
      <c r="HT32">
        <f ca="1"/>
      </c>
      <c r="HU32">
        <f ca="1"/>
      </c>
      <c r="HV32">
        <f ca="1"/>
      </c>
      <c r="HW32">
        <f ca="1"/>
      </c>
      <c r="HX32">
        <f ca="1"/>
      </c>
      <c r="HY32">
        <f ca="1"/>
      </c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GR33" s="11"/>
      <c r="GS33" s="11"/>
      <c r="GT33" s="11"/>
      <c r="GU33" s="11"/>
      <c r="GV33" s="11"/>
      <c r="HS33">
        <f ca="1"/>
      </c>
      <c r="HT33">
        <f ca="1"/>
      </c>
      <c r="HU33">
        <f ca="1"/>
      </c>
      <c r="HV33">
        <f ca="1"/>
      </c>
      <c r="HW33">
        <f ca="1"/>
      </c>
      <c r="HX33">
        <f ca="1"/>
      </c>
      <c r="HY33">
        <f ca="1"/>
      </c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GR34" s="11"/>
      <c r="GS34" s="11"/>
      <c r="GT34" s="11"/>
      <c r="GU34" s="11"/>
      <c r="GV34" s="11"/>
      <c r="HS34">
        <f ca="1"/>
      </c>
      <c r="HT34">
        <f ca="1"/>
      </c>
      <c r="HU34">
        <f ca="1"/>
      </c>
      <c r="HV34">
        <f ca="1"/>
      </c>
      <c r="HW34">
        <f ca="1"/>
      </c>
      <c r="HX34">
        <f ca="1"/>
      </c>
      <c r="HY34">
        <f ca="1"/>
      </c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GR35" s="11"/>
      <c r="GS35" s="11"/>
      <c r="GT35" s="11"/>
      <c r="GU35" s="11"/>
      <c r="GV35" s="11"/>
      <c r="HS35">
        <f ca="1"/>
      </c>
      <c r="HT35">
        <f ca="1"/>
      </c>
      <c r="HU35">
        <f ca="1"/>
      </c>
      <c r="HV35">
        <f ca="1"/>
      </c>
      <c r="HW35">
        <f ca="1"/>
      </c>
      <c r="HX35">
        <f ca="1"/>
      </c>
      <c r="HY35">
        <f ca="1"/>
      </c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GR36" s="11"/>
      <c r="GS36" s="11"/>
      <c r="GT36" s="11"/>
      <c r="GU36" s="11"/>
      <c r="GV36" s="11"/>
      <c r="HS36">
        <f ca="1"/>
      </c>
      <c r="HT36">
        <f ca="1"/>
      </c>
      <c r="HU36">
        <f ca="1"/>
      </c>
      <c r="HV36">
        <f ca="1"/>
      </c>
      <c r="HW36">
        <f ca="1"/>
      </c>
      <c r="HX36">
        <f ca="1"/>
      </c>
      <c r="HY36">
        <f ca="1"/>
      </c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GR37" s="11"/>
      <c r="GS37" s="11"/>
      <c r="GT37" s="11"/>
      <c r="GU37" s="11"/>
      <c r="GV37" s="11"/>
      <c r="HS37">
        <f ca="1"/>
      </c>
      <c r="HT37">
        <f ca="1"/>
      </c>
      <c r="HU37">
        <f ca="1"/>
      </c>
      <c r="HV37">
        <f ca="1"/>
      </c>
      <c r="HW37">
        <f ca="1"/>
      </c>
      <c r="HX37">
        <f ca="1"/>
      </c>
      <c r="HY37">
        <f ca="1"/>
      </c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GR38" s="11"/>
      <c r="GS38" s="11"/>
      <c r="GT38" s="11"/>
      <c r="GU38" s="11"/>
      <c r="GV38" s="11"/>
      <c r="HS38">
        <f ca="1"/>
      </c>
      <c r="HT38">
        <f ca="1"/>
      </c>
      <c r="HU38">
        <f ca="1"/>
      </c>
      <c r="HV38">
        <f ca="1"/>
      </c>
      <c r="HW38">
        <f ca="1"/>
      </c>
      <c r="HX38">
        <f ca="1"/>
      </c>
      <c r="HY38">
        <f ca="1"/>
      </c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GR39" s="11"/>
      <c r="GS39" s="11"/>
      <c r="GT39" s="11"/>
      <c r="GU39" s="11"/>
      <c r="GV39" s="11"/>
      <c r="HS39">
        <f ca="1"/>
      </c>
      <c r="HT39">
        <f ca="1"/>
      </c>
      <c r="HU39">
        <f ca="1"/>
      </c>
      <c r="HV39">
        <f ca="1"/>
      </c>
      <c r="HW39">
        <f ca="1"/>
      </c>
      <c r="HX39">
        <f ca="1"/>
      </c>
      <c r="HY39">
        <f ca="1"/>
      </c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GR40" s="11"/>
      <c r="GS40" s="11"/>
      <c r="GT40" s="11"/>
      <c r="GU40" s="11"/>
      <c r="GV40" s="11"/>
      <c r="HS40">
        <f ca="1"/>
      </c>
      <c r="HT40">
        <f ca="1"/>
      </c>
      <c r="HU40">
        <f ca="1"/>
      </c>
      <c r="HV40">
        <f ca="1"/>
      </c>
      <c r="HW40">
        <f ca="1"/>
      </c>
      <c r="HX40">
        <f ca="1"/>
      </c>
      <c r="HY40">
        <f ca="1"/>
      </c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GR41" s="11"/>
      <c r="GS41" s="11"/>
      <c r="GT41" s="11"/>
      <c r="GU41" s="11"/>
      <c r="GV41" s="11"/>
      <c r="HS41">
        <f ca="1"/>
      </c>
      <c r="HT41">
        <f ca="1"/>
      </c>
      <c r="HU41">
        <f ca="1"/>
      </c>
      <c r="HV41">
        <f ca="1"/>
      </c>
      <c r="HW41">
        <f ca="1"/>
      </c>
      <c r="HX41">
        <f ca="1"/>
      </c>
      <c r="HY41">
        <f ca="1"/>
      </c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GR42" s="11"/>
      <c r="GS42" s="11"/>
      <c r="GT42" s="11"/>
      <c r="GU42" s="11"/>
      <c r="GV42" s="11"/>
      <c r="HS42">
        <f ca="1"/>
      </c>
      <c r="HT42">
        <f ca="1"/>
      </c>
      <c r="HU42">
        <f ca="1"/>
      </c>
      <c r="HV42">
        <f ca="1"/>
      </c>
      <c r="HW42">
        <f ca="1"/>
      </c>
      <c r="HX42">
        <f ca="1"/>
      </c>
      <c r="HY42">
        <f ca="1"/>
      </c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GR43" s="11"/>
      <c r="GS43" s="11"/>
      <c r="GT43" s="11"/>
      <c r="GU43" s="11"/>
      <c r="GV43" s="11"/>
      <c r="HS43">
        <f ca="1"/>
      </c>
      <c r="HT43">
        <f ca="1"/>
      </c>
      <c r="HU43">
        <f ca="1"/>
      </c>
      <c r="HV43">
        <f ca="1"/>
      </c>
      <c r="HW43">
        <f ca="1"/>
      </c>
      <c r="HX43">
        <f ca="1"/>
      </c>
      <c r="HY43">
        <f ca="1"/>
      </c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GR44" s="11"/>
      <c r="GS44" s="11"/>
      <c r="GT44" s="11"/>
      <c r="GU44" s="11"/>
      <c r="GV44" s="11"/>
      <c r="HS44">
        <f ca="1"/>
      </c>
      <c r="HT44">
        <f ca="1"/>
      </c>
      <c r="HU44">
        <f ca="1"/>
      </c>
      <c r="HV44">
        <f ca="1"/>
      </c>
      <c r="HW44">
        <f ca="1"/>
      </c>
      <c r="HX44">
        <f ca="1"/>
      </c>
      <c r="HY44">
        <f ca="1"/>
      </c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GR45" s="11"/>
      <c r="GS45" s="11"/>
      <c r="GT45" s="11"/>
      <c r="GU45" s="11"/>
      <c r="GV45" s="11"/>
      <c r="HS45">
        <f ca="1"/>
      </c>
      <c r="HT45">
        <f ca="1"/>
      </c>
      <c r="HU45">
        <f ca="1"/>
      </c>
      <c r="HV45">
        <f ca="1"/>
      </c>
      <c r="HW45">
        <f ca="1"/>
      </c>
      <c r="HX45">
        <f ca="1"/>
      </c>
      <c r="HY45">
        <f ca="1"/>
      </c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GR46" s="11"/>
      <c r="GS46" s="11"/>
      <c r="GT46" s="11"/>
      <c r="GU46" s="11"/>
      <c r="GV46" s="11"/>
      <c r="HS46">
        <f ca="1"/>
      </c>
      <c r="HT46">
        <f ca="1"/>
      </c>
      <c r="HU46">
        <f ca="1"/>
      </c>
      <c r="HV46">
        <f ca="1"/>
      </c>
      <c r="HW46">
        <f ca="1"/>
      </c>
      <c r="HX46">
        <f ca="1"/>
      </c>
      <c r="HY46">
        <f ca="1"/>
      </c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HS47">
        <f ca="1"/>
      </c>
      <c r="HT47">
        <f ca="1"/>
      </c>
      <c r="HU47">
        <f ca="1"/>
      </c>
      <c r="HV47">
        <f ca="1"/>
      </c>
      <c r="HW47">
        <f ca="1"/>
      </c>
      <c r="HX47">
        <f ca="1"/>
      </c>
      <c r="HY47">
        <f ca="1"/>
      </c>
    </row>
    <row r="48" spans="1:233" x14ac:dyDescent="0.55000000000000004">
      <c r="A48" t="s">
        <v>35</v>
      </c>
      <c r="B48" s="6" t="s">
        <v>43</v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HS48">
        <f ca="1"/>
      </c>
      <c r="HT48">
        <f ca="1"/>
      </c>
      <c r="HU48">
        <f ca="1"/>
      </c>
      <c r="HV48">
        <f ca="1"/>
      </c>
      <c r="HW48">
        <f ca="1"/>
      </c>
      <c r="HX48">
        <f ca="1"/>
      </c>
      <c r="HY48">
        <f ca="1"/>
      </c>
    </row>
    <row r="49" spans="1:233" x14ac:dyDescent="0.55000000000000004">
      <c r="A49" t="s">
        <v>36</v>
      </c>
      <c r="B49" s="6" t="s">
        <v>43</v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HS49">
        <f ca="1"/>
      </c>
      <c r="HT49">
        <f ca="1"/>
      </c>
      <c r="HU49">
        <f ca="1"/>
      </c>
      <c r="HV49">
        <f ca="1"/>
      </c>
      <c r="HW49">
        <f ca="1"/>
      </c>
      <c r="HX49">
        <f ca="1"/>
      </c>
      <c r="HY49">
        <f ca="1"/>
      </c>
    </row>
    <row r="50" spans="1:233" x14ac:dyDescent="0.55000000000000004">
      <c r="A50" t="s">
        <v>37</v>
      </c>
      <c r="B50" s="6" t="s">
        <v>43</v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HS50">
        <f ca="1"/>
      </c>
      <c r="HT50">
        <f ca="1"/>
      </c>
      <c r="HU50">
        <f ca="1"/>
      </c>
      <c r="HV50">
        <f ca="1"/>
      </c>
      <c r="HW50">
        <f ca="1"/>
      </c>
      <c r="HX50">
        <f ca="1"/>
      </c>
      <c r="HY50">
        <f ca="1"/>
      </c>
    </row>
    <row r="51" spans="1:233" x14ac:dyDescent="0.55000000000000004">
      <c r="A51" t="s">
        <v>38</v>
      </c>
      <c r="B51" s="6" t="s">
        <v>43</v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HS51">
        <f ca="1"/>
      </c>
      <c r="HT51">
        <f ca="1"/>
      </c>
      <c r="HU51">
        <f ca="1"/>
      </c>
      <c r="HV51">
        <f ca="1"/>
      </c>
      <c r="HW51">
        <f ca="1"/>
      </c>
      <c r="HX51">
        <f ca="1"/>
      </c>
      <c r="HY51">
        <f ca="1"/>
      </c>
    </row>
    <row r="52" spans="1:233" x14ac:dyDescent="0.55000000000000004">
      <c r="A52" t="s">
        <v>39</v>
      </c>
      <c r="B52" s="6" t="s">
        <v>43</v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HS52">
        <f ca="1"/>
      </c>
      <c r="HT52">
        <f ca="1"/>
      </c>
      <c r="HU52">
        <f ca="1"/>
      </c>
      <c r="HV52">
        <f ca="1"/>
      </c>
      <c r="HW52">
        <f ca="1"/>
      </c>
      <c r="HX52">
        <f ca="1"/>
      </c>
      <c r="HY52">
        <f ca="1"/>
      </c>
    </row>
    <row r="53" spans="1:233" x14ac:dyDescent="0.55000000000000004">
      <c r="A53" t="s">
        <v>40</v>
      </c>
      <c r="B53" s="6" t="s">
        <v>43</v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HS53">
        <f ca="1"/>
      </c>
      <c r="HT53">
        <f ca="1"/>
      </c>
      <c r="HU53">
        <f ca="1"/>
      </c>
      <c r="HV53">
        <f ca="1"/>
      </c>
      <c r="HW53">
        <f ca="1"/>
      </c>
      <c r="HX53">
        <f ca="1"/>
      </c>
      <c r="HY53">
        <f ca="1"/>
      </c>
    </row>
    <row r="54" spans="1:233" x14ac:dyDescent="0.55000000000000004"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EP54" t="s">
        <v>152</v>
      </c>
      <c r="EQ54" cm="1">
        <f t="array" aca="1" ref="EQ54:FR71" ca="1">_xlfn.LET(_xlpm.g,_xlfn.DROP(_xlfn.ANCHORARRAY($CO$4),1),_xlfn._xlws.FILTER(_xlpm.g,_xlfn.TAKE(_xlpm.g,,1)=2))</f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  <c r="HS54">
        <f ca="1"/>
      </c>
      <c r="HT54">
        <f ca="1"/>
      </c>
      <c r="HU54">
        <f ca="1"/>
      </c>
      <c r="HV54">
        <f ca="1"/>
      </c>
      <c r="HW54">
        <f ca="1"/>
      </c>
      <c r="HX54">
        <f ca="1"/>
      </c>
      <c r="HY54">
        <f ca="1"/>
      </c>
    </row>
    <row r="55" spans="1:233" x14ac:dyDescent="0.55000000000000004">
      <c r="A55" t="s">
        <v>177</v>
      </c>
      <c r="B55" s="3"/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aca="1" ref="GX55:GX72" ca="1">_xlfn.LET(_xlpm.V,_xlfn.DROP(_xlfn.ANCHORARRAY($EQ$54),,10),IF(1&lt;=COLUMNS(_xlpm.V),_xlfn.CHOOSECOLS(_xlpm.V,1),IF(_xlfn.SEQUENCE(ROWS(_xlpm.V)),NA())))</f>
      </c>
      <c r="GY55" cm="1">
        <f t="array" aca="1" ref="GY55:GY72" ca="1">_xlfn.LET(_xlpm.V,_xlfn.DROP(_xlfn.ANCHORARRAY($EQ$54),,10),IF(2&lt;=COLUMNS(_xlpm.V),_xlfn.CHOOSECOLS(_xlpm.V,2),IF(_xlfn.SEQUENCE(ROWS(_xlpm.V)),NA())))</f>
      </c>
      <c r="GZ55" cm="1">
        <f t="array" aca="1" ref="GZ55:GZ72" ca="1">_xlfn.LET(_xlpm.V,_xlfn.DROP(_xlfn.ANCHORARRAY($EQ$54),,10),IF(3&lt;=COLUMNS(_xlpm.V),_xlfn.CHOOSECOLS(_xlpm.V,3),IF(_xlfn.SEQUENCE(ROWS(_xlpm.V)),NA())))</f>
      </c>
      <c r="HA55" cm="1">
        <f t="array" aca="1" ref="HA55:HA72" ca="1">_xlfn.LET(_xlpm.V,_xlfn.DROP(_xlfn.ANCHORARRAY($EQ$54),,10),IF(4&lt;=COLUMNS(_xlpm.V),_xlfn.CHOOSECOLS(_xlpm.V,4),IF(_xlfn.SEQUENCE(ROWS(_xlpm.V)),NA())))</f>
      </c>
      <c r="HB55" cm="1">
        <f t="array" aca="1" ref="HB55:HB72" ca="1">_xlfn.LET(_xlpm.V,_xlfn.DROP(_xlfn.ANCHORARRAY($EQ$54),,10),IF(5&lt;=COLUMNS(_xlpm.V),_xlfn.CHOOSECOLS(_xlpm.V,5),IF(_xlfn.SEQUENCE(ROWS(_xlpm.V)),NA())))</f>
      </c>
      <c r="HD55" cm="1">
        <f t="array" aca="1" ref="HD55:HD72" ca="1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aca="1" ref="HF55:HF72" ca="1">_xlfn.CHOOSECOLS(_xlfn.ANCHORARRAY($EQ$54),8)+_xlfn.CHOOSECOLS(_xlfn.ANCHORARRAY($EQ$54),10)</f>
      </c>
      <c r="HG55" cm="1">
        <f t="array" aca="1" ref="HG55:HG72" ca="1">_xlfn.CHOOSECOLS(_xlfn.ANCHORARRAY($EQ$54),8)-_xlfn.CHOOSECOLS(_xlfn.ANCHORARRAY($EQ$54),10)</f>
      </c>
      <c r="HH55" cm="1">
        <f t="array" aca="1" ref="HH55:HH72" ca="1">_xlfn.LET(_xlpm.v,_xlfn.CHOOSECOLS(_xlfn._xlws.FILTER(_xlfn.DROP(_xlfn.ANCHORARRAY($HS$4),1),_xlfn.TAKE(_xlfn.DROP(_xlfn.ANCHORARRAY($HS$4),1),,1)=2),3),IF(_xlpm.v="",NA(),_xlpm.v))</f>
      </c>
      <c r="HI55" cm="1">
        <f t="array" aca="1" ref="HI55:HI72" ca="1">-_xlfn.ANCHORARRAY($HH$55)</f>
      </c>
      <c r="HJ55" cm="1">
        <f t="array" aca="1" ref="HJ55:HJ72" ca="1">_xlfn.LET(_xlpm.v,_xlfn.CHOOSECOLS(_xlfn._xlws.FILTER(_xlfn.DROP(_xlfn.ANCHORARRAY($HS$4),1),_xlfn.TAKE(_xlfn.DROP(_xlfn.ANCHORARRAY($HS$4),1),,1)=2),4),IF(_xlpm.v="",NA(),_xlpm.v))</f>
      </c>
      <c r="HK55" cm="1">
        <f t="array" aca="1" ref="HK55:HK72" ca="1">-_xlfn.ANCHORARRAY($HJ$55)</f>
      </c>
      <c r="HL55" cm="1">
        <f t="array" aca="1" ref="HL55:HL72" ca="1">_xlfn.LET(_xlpm.v,_xlfn.CHOOSECOLS(_xlfn._xlws.FILTER(_xlfn.DROP(_xlfn.ANCHORARRAY($HS$4),1),_xlfn.TAKE(_xlfn.DROP(_xlfn.ANCHORARRAY($HS$4),1),,1)=2),5),IF(_xlpm.v="",NA(),_xlpm.v))</f>
      </c>
      <c r="HM55" cm="1">
        <f t="array" aca="1" ref="HM55:HM72" ca="1">-_xlfn.ANCHORARRAY($HL$55)</f>
      </c>
      <c r="HN55" cm="1">
        <f t="array" aca="1" ref="HN55:HN72" ca="1">_xlfn.LET(_xlpm.v,_xlfn.CHOOSECOLS(_xlfn._xlws.FILTER(_xlfn.DROP(_xlfn.ANCHORARRAY($HS$4),1),_xlfn.TAKE(_xlfn.DROP(_xlfn.ANCHORARRAY($HS$4),1),,1)=2),6),IF(_xlpm.v="",NA(),_xlpm.v))</f>
      </c>
      <c r="HO55" cm="1">
        <f t="array" aca="1" ref="HO55:HO72" ca="1">-_xlfn.ANCHORARRAY($HN$55)</f>
      </c>
      <c r="HP55" cm="1">
        <f t="array" aca="1" ref="HP55:HP72" ca="1">_xlfn.LET(_xlpm.v,_xlfn.CHOOSECOLS(_xlfn._xlws.FILTER(_xlfn.DROP(_xlfn.ANCHORARRAY($HS$4),1),_xlfn.TAKE(_xlfn.DROP(_xlfn.ANCHORARRAY($HS$4),1),,1)=2),7),IF(_xlpm.v="",NA(),_xlpm.v))</f>
      </c>
      <c r="HQ55" cm="1">
        <f t="array" aca="1" ref="HQ55:HQ72" ca="1">-_xlfn.ANCHORARRAY($HP$55)</f>
      </c>
      <c r="HR55" cm="1">
        <f t="array" aca="1" ref="HR55" ca="1">IFERROR(INDEX(_xlfn._xlws.FILTER(_xlfn.DROP(_xlfn.ANCHORARRAY($HS$4),1),_xlfn.TAKE(_xlfn.DROP(_xlfn.ANCHORARRAY($HS$4),1),,1)=2),1,2),"")</f>
      </c>
      <c r="HS55">
        <f ca="1"/>
      </c>
      <c r="HT55">
        <f ca="1"/>
      </c>
      <c r="HU55">
        <f ca="1"/>
      </c>
      <c r="HV55">
        <f ca="1"/>
      </c>
      <c r="HW55">
        <f ca="1"/>
      </c>
      <c r="HX55">
        <f ca="1"/>
      </c>
      <c r="HY55">
        <f ca="1"/>
      </c>
    </row>
    <row r="56" spans="1:233" x14ac:dyDescent="0.55000000000000004"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S56">
        <f ca="1"/>
      </c>
      <c r="HT56">
        <f ca="1"/>
      </c>
      <c r="HU56">
        <f ca="1"/>
      </c>
      <c r="HV56">
        <f ca="1"/>
      </c>
      <c r="HW56">
        <f ca="1"/>
      </c>
      <c r="HX56">
        <f ca="1"/>
      </c>
      <c r="HY56">
        <f ca="1"/>
      </c>
    </row>
    <row r="57" spans="1:233" x14ac:dyDescent="0.55000000000000004"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S57">
        <f ca="1"/>
      </c>
      <c r="HT57">
        <f ca="1"/>
      </c>
      <c r="HU57">
        <f ca="1"/>
      </c>
      <c r="HV57">
        <f ca="1"/>
      </c>
      <c r="HW57">
        <f ca="1"/>
      </c>
      <c r="HX57">
        <f ca="1"/>
      </c>
      <c r="HY57">
        <f ca="1"/>
      </c>
    </row>
    <row r="58" spans="1:233" x14ac:dyDescent="0.55000000000000004"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S58">
        <f ca="1"/>
      </c>
      <c r="HT58">
        <f ca="1"/>
      </c>
      <c r="HU58">
        <f ca="1"/>
      </c>
      <c r="HV58">
        <f ca="1"/>
      </c>
      <c r="HW58">
        <f ca="1"/>
      </c>
      <c r="HX58">
        <f ca="1"/>
      </c>
      <c r="HY58">
        <f ca="1"/>
      </c>
    </row>
    <row r="59" spans="1:233" x14ac:dyDescent="0.55000000000000004">
      <c r="D59" t="s">
        <v>163</v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S59">
        <f ca="1"/>
      </c>
      <c r="HT59">
        <f ca="1"/>
      </c>
      <c r="HU59">
        <f ca="1"/>
      </c>
      <c r="HV59">
        <f ca="1"/>
      </c>
      <c r="HW59">
        <f ca="1"/>
      </c>
      <c r="HX59">
        <f ca="1"/>
      </c>
      <c r="HY59">
        <f ca="1"/>
      </c>
    </row>
    <row r="60" spans="1:233" x14ac:dyDescent="0.55000000000000004">
      <c r="D60" s="2">
        <v>4</v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S60">
        <f ca="1"/>
      </c>
      <c r="HT60">
        <f ca="1"/>
      </c>
      <c r="HU60">
        <f ca="1"/>
      </c>
      <c r="HV60">
        <f ca="1"/>
      </c>
      <c r="HW60">
        <f ca="1"/>
      </c>
      <c r="HX60">
        <f ca="1"/>
      </c>
      <c r="HY60">
        <f ca="1"/>
      </c>
    </row>
    <row r="61" spans="1:233" x14ac:dyDescent="0.55000000000000004"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S61">
        <f ca="1"/>
      </c>
      <c r="HT61">
        <f ca="1"/>
      </c>
      <c r="HU61">
        <f ca="1"/>
      </c>
      <c r="HV61">
        <f ca="1"/>
      </c>
      <c r="HW61">
        <f ca="1"/>
      </c>
      <c r="HX61">
        <f ca="1"/>
      </c>
      <c r="HY61">
        <f ca="1"/>
      </c>
    </row>
    <row r="62" spans="1:233" x14ac:dyDescent="0.55000000000000004"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S62">
        <f ca="1"/>
      </c>
      <c r="HT62">
        <f ca="1"/>
      </c>
      <c r="HU62">
        <f ca="1"/>
      </c>
      <c r="HV62">
        <f ca="1"/>
      </c>
      <c r="HW62">
        <f ca="1"/>
      </c>
      <c r="HX62">
        <f ca="1"/>
      </c>
      <c r="HY62">
        <f ca="1"/>
      </c>
    </row>
    <row r="63" spans="1:233" x14ac:dyDescent="0.55000000000000004"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S63">
        <f ca="1"/>
      </c>
      <c r="HT63">
        <f ca="1"/>
      </c>
      <c r="HU63">
        <f ca="1"/>
      </c>
      <c r="HV63">
        <f ca="1"/>
      </c>
      <c r="HW63">
        <f ca="1"/>
      </c>
      <c r="HX63">
        <f ca="1"/>
      </c>
      <c r="HY63">
        <f ca="1"/>
      </c>
    </row>
    <row r="64" spans="1:233" x14ac:dyDescent="0.55000000000000004"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S64">
        <f ca="1"/>
      </c>
      <c r="HT64">
        <f ca="1"/>
      </c>
      <c r="HU64">
        <f ca="1"/>
      </c>
      <c r="HV64">
        <f ca="1"/>
      </c>
      <c r="HW64">
        <f ca="1"/>
      </c>
      <c r="HX64">
        <f ca="1"/>
      </c>
      <c r="HY64">
        <f ca="1"/>
      </c>
    </row>
    <row r="65" spans="4:233" x14ac:dyDescent="0.55000000000000004"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S65">
        <f ca="1"/>
      </c>
      <c r="HT65">
        <f ca="1"/>
      </c>
      <c r="HU65">
        <f ca="1"/>
      </c>
      <c r="HV65">
        <f ca="1"/>
      </c>
      <c r="HW65">
        <f ca="1"/>
      </c>
      <c r="HX65">
        <f ca="1"/>
      </c>
      <c r="HY65">
        <f ca="1"/>
      </c>
    </row>
    <row r="66" spans="4:233" x14ac:dyDescent="0.55000000000000004"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S66">
        <f ca="1"/>
      </c>
      <c r="HT66">
        <f ca="1"/>
      </c>
      <c r="HU66">
        <f ca="1"/>
      </c>
      <c r="HV66">
        <f ca="1"/>
      </c>
      <c r="HW66">
        <f ca="1"/>
      </c>
      <c r="HX66">
        <f ca="1"/>
      </c>
      <c r="HY66">
        <f ca="1"/>
      </c>
    </row>
    <row r="67" spans="4:233" x14ac:dyDescent="0.55000000000000004"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S67">
        <f ca="1"/>
      </c>
      <c r="HT67">
        <f ca="1"/>
      </c>
      <c r="HU67">
        <f ca="1"/>
      </c>
      <c r="HV67">
        <f ca="1"/>
      </c>
      <c r="HW67">
        <f ca="1"/>
      </c>
      <c r="HX67">
        <f ca="1"/>
      </c>
      <c r="HY67">
        <f ca="1"/>
      </c>
    </row>
    <row r="68" spans="4:233" x14ac:dyDescent="0.55000000000000004"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S68">
        <f ca="1"/>
      </c>
      <c r="HT68">
        <f ca="1"/>
      </c>
      <c r="HU68">
        <f ca="1"/>
      </c>
      <c r="HV68">
        <f ca="1"/>
      </c>
      <c r="HW68">
        <f ca="1"/>
      </c>
      <c r="HX68">
        <f ca="1"/>
      </c>
      <c r="HY68">
        <f ca="1"/>
      </c>
    </row>
    <row r="69" spans="4:233" x14ac:dyDescent="0.55000000000000004"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S69">
        <f ca="1"/>
      </c>
      <c r="HT69">
        <f ca="1"/>
      </c>
      <c r="HU69">
        <f ca="1"/>
      </c>
      <c r="HV69">
        <f ca="1"/>
      </c>
      <c r="HW69">
        <f ca="1"/>
      </c>
      <c r="HX69">
        <f ca="1"/>
      </c>
      <c r="HY69">
        <f ca="1"/>
      </c>
    </row>
    <row r="70" spans="4:233" x14ac:dyDescent="0.55000000000000004"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S70">
        <f ca="1"/>
      </c>
      <c r="HT70">
        <f ca="1"/>
      </c>
      <c r="HU70">
        <f ca="1"/>
      </c>
      <c r="HV70">
        <f ca="1"/>
      </c>
      <c r="HW70">
        <f ca="1"/>
      </c>
      <c r="HX70">
        <f ca="1"/>
      </c>
      <c r="HY70">
        <f ca="1"/>
      </c>
    </row>
    <row r="71" spans="4:233" x14ac:dyDescent="0.55000000000000004"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S71">
        <f ca="1"/>
      </c>
      <c r="HT71">
        <f ca="1"/>
      </c>
      <c r="HU71">
        <f ca="1"/>
      </c>
      <c r="HV71">
        <f ca="1"/>
      </c>
      <c r="HW71">
        <f ca="1"/>
      </c>
      <c r="HX71">
        <f ca="1"/>
      </c>
      <c r="HY71">
        <f ca="1"/>
      </c>
    </row>
    <row r="72" spans="4:233" x14ac:dyDescent="0.55000000000000004"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S72">
        <f ca="1"/>
      </c>
      <c r="HT72">
        <f ca="1"/>
      </c>
      <c r="HU72">
        <f ca="1"/>
      </c>
      <c r="HV72">
        <f ca="1"/>
      </c>
      <c r="HW72">
        <f ca="1"/>
      </c>
      <c r="HX72">
        <f ca="1"/>
      </c>
      <c r="HY72">
        <f ca="1"/>
      </c>
    </row>
    <row r="73" spans="4:233" x14ac:dyDescent="0.55000000000000004"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GR73" s="11"/>
      <c r="GS73" s="11"/>
      <c r="GT73" s="11"/>
      <c r="GU73" s="11"/>
      <c r="GV73" s="11"/>
      <c r="HS73">
        <f ca="1"/>
      </c>
      <c r="HT73">
        <f ca="1"/>
      </c>
      <c r="HU73">
        <f ca="1"/>
      </c>
      <c r="HV73">
        <f ca="1"/>
      </c>
      <c r="HW73">
        <f ca="1"/>
      </c>
      <c r="HX73">
        <f ca="1"/>
      </c>
      <c r="HY73">
        <f ca="1"/>
      </c>
    </row>
    <row r="74" spans="4:233" x14ac:dyDescent="0.55000000000000004"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GR74" s="11"/>
      <c r="GS74" s="11"/>
      <c r="GT74" s="11"/>
      <c r="GU74" s="11"/>
      <c r="GV74" s="11"/>
      <c r="HS74">
        <f ca="1"/>
      </c>
      <c r="HT74">
        <f ca="1"/>
      </c>
      <c r="HU74">
        <f ca="1"/>
      </c>
      <c r="HV74">
        <f ca="1"/>
      </c>
      <c r="HW74">
        <f ca="1"/>
      </c>
      <c r="HX74">
        <f ca="1"/>
      </c>
      <c r="HY74">
        <f ca="1"/>
      </c>
    </row>
    <row r="75" spans="4:233" x14ac:dyDescent="0.55000000000000004">
      <c r="D75" t="s">
        <v>163</v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GR75" s="11"/>
      <c r="GS75" s="11"/>
      <c r="GT75" s="11"/>
      <c r="GU75" s="11"/>
      <c r="GV75" s="11"/>
      <c r="HS75">
        <f ca="1"/>
      </c>
      <c r="HT75">
        <f ca="1"/>
      </c>
      <c r="HU75">
        <f ca="1"/>
      </c>
      <c r="HV75">
        <f ca="1"/>
      </c>
      <c r="HW75">
        <f ca="1"/>
      </c>
      <c r="HX75">
        <f ca="1"/>
      </c>
      <c r="HY75">
        <f ca="1"/>
      </c>
    </row>
    <row r="76" spans="4:233" x14ac:dyDescent="0.55000000000000004">
      <c r="D76" s="2">
        <v>5</v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GR76" s="11"/>
      <c r="GS76" s="11"/>
      <c r="GT76" s="11"/>
      <c r="GU76" s="11"/>
      <c r="GV76" s="11"/>
      <c r="HS76">
        <f ca="1"/>
      </c>
      <c r="HT76">
        <f ca="1"/>
      </c>
      <c r="HU76">
        <f ca="1"/>
      </c>
      <c r="HV76">
        <f ca="1"/>
      </c>
      <c r="HW76">
        <f ca="1"/>
      </c>
      <c r="HX76">
        <f ca="1"/>
      </c>
      <c r="HY76">
        <f ca="1"/>
      </c>
    </row>
    <row r="77" spans="4:233" x14ac:dyDescent="0.55000000000000004"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GR77" s="11"/>
      <c r="GS77" s="11"/>
      <c r="GT77" s="11"/>
      <c r="GU77" s="11"/>
      <c r="GV77" s="11"/>
      <c r="HS77">
        <f ca="1"/>
      </c>
      <c r="HT77">
        <f ca="1"/>
      </c>
      <c r="HU77">
        <f ca="1"/>
      </c>
      <c r="HV77">
        <f ca="1"/>
      </c>
      <c r="HW77">
        <f ca="1"/>
      </c>
      <c r="HX77">
        <f ca="1"/>
      </c>
      <c r="HY77">
        <f ca="1"/>
      </c>
    </row>
    <row r="78" spans="4:233" x14ac:dyDescent="0.55000000000000004"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GR78" s="11"/>
      <c r="GS78" s="11"/>
      <c r="GT78" s="11"/>
      <c r="GU78" s="11"/>
      <c r="GV78" s="11"/>
      <c r="HS78">
        <f ca="1"/>
      </c>
      <c r="HT78">
        <f ca="1"/>
      </c>
      <c r="HU78">
        <f ca="1"/>
      </c>
      <c r="HV78">
        <f ca="1"/>
      </c>
      <c r="HW78">
        <f ca="1"/>
      </c>
      <c r="HX78">
        <f ca="1"/>
      </c>
      <c r="HY78">
        <f ca="1"/>
      </c>
    </row>
    <row r="79" spans="4:233" x14ac:dyDescent="0.55000000000000004"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GR79" s="11"/>
      <c r="GS79" s="11"/>
      <c r="GT79" s="11"/>
      <c r="GU79" s="11"/>
      <c r="GV79" s="11"/>
      <c r="HS79">
        <f ca="1"/>
      </c>
      <c r="HT79">
        <f ca="1"/>
      </c>
      <c r="HU79">
        <f ca="1"/>
      </c>
      <c r="HV79">
        <f ca="1"/>
      </c>
      <c r="HW79">
        <f ca="1"/>
      </c>
      <c r="HX79">
        <f ca="1"/>
      </c>
      <c r="HY79">
        <f ca="1"/>
      </c>
    </row>
    <row r="80" spans="4:233" x14ac:dyDescent="0.55000000000000004"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GR80" s="11"/>
      <c r="GS80" s="11"/>
      <c r="GT80" s="11"/>
      <c r="GU80" s="11"/>
      <c r="GV80" s="11"/>
      <c r="HS80">
        <f ca="1"/>
      </c>
      <c r="HT80">
        <f ca="1"/>
      </c>
      <c r="HU80">
        <f ca="1"/>
      </c>
      <c r="HV80">
        <f ca="1"/>
      </c>
      <c r="HW80">
        <f ca="1"/>
      </c>
      <c r="HX80">
        <f ca="1"/>
      </c>
      <c r="HY80">
        <f ca="1"/>
      </c>
    </row>
    <row r="81" spans="4:233" x14ac:dyDescent="0.55000000000000004"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GR81" s="11"/>
      <c r="GS81" s="11"/>
      <c r="GT81" s="11"/>
      <c r="GU81" s="11"/>
      <c r="GV81" s="11"/>
      <c r="HS81">
        <f ca="1"/>
      </c>
      <c r="HT81">
        <f ca="1"/>
      </c>
      <c r="HU81">
        <f ca="1"/>
      </c>
      <c r="HV81">
        <f ca="1"/>
      </c>
      <c r="HW81">
        <f ca="1"/>
      </c>
      <c r="HX81">
        <f ca="1"/>
      </c>
      <c r="HY81">
        <f ca="1"/>
      </c>
    </row>
    <row r="82" spans="4:233" x14ac:dyDescent="0.55000000000000004"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GR82" s="11"/>
      <c r="GS82" s="11"/>
      <c r="GT82" s="11"/>
      <c r="GU82" s="11"/>
      <c r="GV82" s="11"/>
      <c r="HS82">
        <f ca="1"/>
      </c>
      <c r="HT82">
        <f ca="1"/>
      </c>
      <c r="HU82">
        <f ca="1"/>
      </c>
      <c r="HV82">
        <f ca="1"/>
      </c>
      <c r="HW82">
        <f ca="1"/>
      </c>
      <c r="HX82">
        <f ca="1"/>
      </c>
      <c r="HY82">
        <f ca="1"/>
      </c>
    </row>
    <row r="83" spans="4:233" x14ac:dyDescent="0.55000000000000004"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GR83" s="11"/>
      <c r="GS83" s="11"/>
      <c r="GT83" s="11"/>
      <c r="GU83" s="11"/>
      <c r="GV83" s="11"/>
      <c r="HS83">
        <f ca="1"/>
      </c>
      <c r="HT83">
        <f ca="1"/>
      </c>
      <c r="HU83">
        <f ca="1"/>
      </c>
      <c r="HV83">
        <f ca="1"/>
      </c>
      <c r="HW83">
        <f ca="1"/>
      </c>
      <c r="HX83">
        <f ca="1"/>
      </c>
      <c r="HY83">
        <f ca="1"/>
      </c>
    </row>
    <row r="84" spans="4:233" x14ac:dyDescent="0.55000000000000004"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GR84" s="11"/>
      <c r="GS84" s="11"/>
      <c r="GT84" s="11"/>
      <c r="GU84" s="11"/>
      <c r="GV84" s="11"/>
      <c r="HS84">
        <f ca="1"/>
      </c>
      <c r="HT84">
        <f ca="1"/>
      </c>
      <c r="HU84">
        <f ca="1"/>
      </c>
      <c r="HV84">
        <f ca="1"/>
      </c>
      <c r="HW84">
        <f ca="1"/>
      </c>
      <c r="HX84">
        <f ca="1"/>
      </c>
      <c r="HY84">
        <f ca="1"/>
      </c>
    </row>
    <row r="85" spans="4:233" x14ac:dyDescent="0.55000000000000004"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GR85" s="11"/>
      <c r="GS85" s="11"/>
      <c r="GT85" s="11"/>
      <c r="GU85" s="11"/>
      <c r="GV85" s="11"/>
      <c r="HS85">
        <f ca="1"/>
      </c>
      <c r="HT85">
        <f ca="1"/>
      </c>
      <c r="HU85">
        <f ca="1"/>
      </c>
      <c r="HV85">
        <f ca="1"/>
      </c>
      <c r="HW85">
        <f ca="1"/>
      </c>
      <c r="HX85">
        <f ca="1"/>
      </c>
      <c r="HY85">
        <f ca="1"/>
      </c>
    </row>
    <row r="86" spans="4:233" x14ac:dyDescent="0.55000000000000004"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GR86" s="11"/>
      <c r="GS86" s="11"/>
      <c r="GT86" s="11"/>
      <c r="GU86" s="11"/>
      <c r="GV86" s="11"/>
      <c r="HS86">
        <f ca="1"/>
      </c>
      <c r="HT86">
        <f ca="1"/>
      </c>
      <c r="HU86">
        <f ca="1"/>
      </c>
      <c r="HV86">
        <f ca="1"/>
      </c>
      <c r="HW86">
        <f ca="1"/>
      </c>
      <c r="HX86">
        <f ca="1"/>
      </c>
      <c r="HY86">
        <f ca="1"/>
      </c>
    </row>
    <row r="87" spans="4:233" x14ac:dyDescent="0.55000000000000004"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GR87" s="11"/>
      <c r="GS87" s="11"/>
      <c r="GT87" s="11"/>
      <c r="GU87" s="11"/>
      <c r="GV87" s="11"/>
      <c r="HS87">
        <f ca="1"/>
      </c>
      <c r="HT87">
        <f ca="1"/>
      </c>
      <c r="HU87">
        <f ca="1"/>
      </c>
      <c r="HV87">
        <f ca="1"/>
      </c>
      <c r="HW87">
        <f ca="1"/>
      </c>
      <c r="HX87">
        <f ca="1"/>
      </c>
      <c r="HY87">
        <f ca="1"/>
      </c>
    </row>
    <row r="88" spans="4:233" x14ac:dyDescent="0.55000000000000004"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GR88" s="11"/>
      <c r="GS88" s="11"/>
      <c r="GT88" s="11"/>
      <c r="GU88" s="11"/>
      <c r="GV88" s="11"/>
      <c r="HS88">
        <f ca="1"/>
      </c>
      <c r="HT88">
        <f ca="1"/>
      </c>
      <c r="HU88">
        <f ca="1"/>
      </c>
      <c r="HV88">
        <f ca="1"/>
      </c>
      <c r="HW88">
        <f ca="1"/>
      </c>
      <c r="HX88">
        <f ca="1"/>
      </c>
      <c r="HY88">
        <f ca="1"/>
      </c>
    </row>
    <row r="89" spans="4:233" x14ac:dyDescent="0.55000000000000004"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GR89" s="11"/>
      <c r="GS89" s="11"/>
      <c r="GT89" s="11"/>
      <c r="GU89" s="11"/>
      <c r="GV89" s="11"/>
      <c r="HS89">
        <f ca="1"/>
      </c>
      <c r="HT89">
        <f ca="1"/>
      </c>
      <c r="HU89">
        <f ca="1"/>
      </c>
      <c r="HV89">
        <f ca="1"/>
      </c>
      <c r="HW89">
        <f ca="1"/>
      </c>
      <c r="HX89">
        <f ca="1"/>
      </c>
      <c r="HY89">
        <f ca="1"/>
      </c>
    </row>
    <row r="90" spans="4:233" x14ac:dyDescent="0.55000000000000004"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GR90" s="11"/>
      <c r="GS90" s="11"/>
      <c r="GT90" s="11"/>
      <c r="GU90" s="11"/>
      <c r="GV90" s="11"/>
      <c r="HS90">
        <f ca="1"/>
      </c>
      <c r="HT90">
        <f ca="1"/>
      </c>
      <c r="HU90">
        <f ca="1"/>
      </c>
      <c r="HV90">
        <f ca="1"/>
      </c>
      <c r="HW90">
        <f ca="1"/>
      </c>
      <c r="HX90">
        <f ca="1"/>
      </c>
      <c r="HY90">
        <f ca="1"/>
      </c>
    </row>
    <row r="91" spans="4:233" x14ac:dyDescent="0.55000000000000004">
      <c r="D91" t="s">
        <v>164</v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GR91" s="11"/>
      <c r="GS91" s="11"/>
      <c r="GT91" s="11"/>
      <c r="GU91" s="11"/>
      <c r="GV91" s="11"/>
      <c r="HS91">
        <f ca="1"/>
      </c>
      <c r="HT91">
        <f ca="1"/>
      </c>
      <c r="HU91">
        <f ca="1"/>
      </c>
      <c r="HV91">
        <f ca="1"/>
      </c>
      <c r="HW91">
        <f ca="1"/>
      </c>
      <c r="HX91">
        <f ca="1"/>
      </c>
      <c r="HY91">
        <f ca="1"/>
      </c>
    </row>
    <row r="92" spans="4:233" x14ac:dyDescent="0.55000000000000004"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GR92" s="11"/>
      <c r="GS92" s="11"/>
      <c r="GT92" s="11"/>
      <c r="GU92" s="11"/>
      <c r="GV92" s="11"/>
      <c r="HS92">
        <f ca="1"/>
      </c>
      <c r="HT92">
        <f ca="1"/>
      </c>
      <c r="HU92">
        <f ca="1"/>
      </c>
      <c r="HV92">
        <f ca="1"/>
      </c>
      <c r="HW92">
        <f ca="1"/>
      </c>
      <c r="HX92">
        <f ca="1"/>
      </c>
      <c r="HY92">
        <f ca="1"/>
      </c>
    </row>
    <row r="93" spans="4:233" x14ac:dyDescent="0.55000000000000004"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GR93" s="11"/>
      <c r="GS93" s="11"/>
      <c r="GT93" s="11"/>
      <c r="GU93" s="11"/>
      <c r="GV93" s="11"/>
      <c r="HS93">
        <f ca="1"/>
      </c>
      <c r="HT93">
        <f ca="1"/>
      </c>
      <c r="HU93">
        <f ca="1"/>
      </c>
      <c r="HV93">
        <f ca="1"/>
      </c>
      <c r="HW93">
        <f ca="1"/>
      </c>
      <c r="HX93">
        <f ca="1"/>
      </c>
      <c r="HY93">
        <f ca="1"/>
      </c>
    </row>
    <row r="94" spans="4:233" x14ac:dyDescent="0.55000000000000004"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GR94" s="11"/>
      <c r="GS94" s="11"/>
      <c r="GT94" s="11"/>
      <c r="GU94" s="11"/>
      <c r="GV94" s="11"/>
      <c r="HS94">
        <f ca="1"/>
      </c>
      <c r="HT94">
        <f ca="1"/>
      </c>
      <c r="HU94">
        <f ca="1"/>
      </c>
      <c r="HV94">
        <f ca="1"/>
      </c>
      <c r="HW94">
        <f ca="1"/>
      </c>
      <c r="HX94">
        <f ca="1"/>
      </c>
      <c r="HY94">
        <f ca="1"/>
      </c>
    </row>
    <row r="95" spans="4:233" x14ac:dyDescent="0.55000000000000004"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GR95" s="11"/>
      <c r="GS95" s="11"/>
      <c r="GT95" s="11"/>
      <c r="GU95" s="11"/>
      <c r="GV95" s="11"/>
      <c r="HS95">
        <f ca="1"/>
      </c>
      <c r="HT95">
        <f ca="1"/>
      </c>
      <c r="HU95">
        <f ca="1"/>
      </c>
      <c r="HV95">
        <f ca="1"/>
      </c>
      <c r="HW95">
        <f ca="1"/>
      </c>
      <c r="HX95">
        <f ca="1"/>
      </c>
      <c r="HY95">
        <f ca="1"/>
      </c>
    </row>
    <row r="96" spans="4:233" x14ac:dyDescent="0.55000000000000004"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GR96" s="11"/>
      <c r="GS96" s="11"/>
      <c r="GT96" s="11"/>
      <c r="GU96" s="11"/>
      <c r="GV96" s="11"/>
      <c r="HS96">
        <f ca="1"/>
      </c>
      <c r="HT96">
        <f ca="1"/>
      </c>
      <c r="HU96">
        <f ca="1"/>
      </c>
      <c r="HV96">
        <f ca="1"/>
      </c>
      <c r="HW96">
        <f ca="1"/>
      </c>
      <c r="HX96">
        <f ca="1"/>
      </c>
      <c r="HY96">
        <f ca="1"/>
      </c>
    </row>
    <row r="97" spans="4:233" x14ac:dyDescent="0.55000000000000004"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HS97">
        <f ca="1"/>
      </c>
      <c r="HT97">
        <f ca="1"/>
      </c>
      <c r="HU97">
        <f ca="1"/>
      </c>
      <c r="HV97">
        <f ca="1"/>
      </c>
      <c r="HW97">
        <f ca="1"/>
      </c>
      <c r="HX97">
        <f ca="1"/>
      </c>
      <c r="HY97">
        <f ca="1"/>
      </c>
    </row>
    <row r="98" spans="4:233" x14ac:dyDescent="0.55000000000000004"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HS98">
        <f ca="1"/>
      </c>
      <c r="HT98">
        <f ca="1"/>
      </c>
      <c r="HU98">
        <f ca="1"/>
      </c>
      <c r="HV98">
        <f ca="1"/>
      </c>
      <c r="HW98">
        <f ca="1"/>
      </c>
      <c r="HX98">
        <f ca="1"/>
      </c>
      <c r="HY98">
        <f ca="1"/>
      </c>
    </row>
    <row r="99" spans="4:233" x14ac:dyDescent="0.55000000000000004"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HS99">
        <f ca="1"/>
      </c>
      <c r="HT99">
        <f ca="1"/>
      </c>
      <c r="HU99">
        <f ca="1"/>
      </c>
      <c r="HV99">
        <f ca="1"/>
      </c>
      <c r="HW99">
        <f ca="1"/>
      </c>
      <c r="HX99">
        <f ca="1"/>
      </c>
      <c r="HY99">
        <f ca="1"/>
      </c>
    </row>
    <row r="100" spans="4:233" x14ac:dyDescent="0.55000000000000004"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HS100">
        <f ca="1"/>
      </c>
      <c r="HT100">
        <f ca="1"/>
      </c>
      <c r="HU100">
        <f ca="1"/>
      </c>
      <c r="HV100">
        <f ca="1"/>
      </c>
      <c r="HW100">
        <f ca="1"/>
      </c>
      <c r="HX100">
        <f ca="1"/>
      </c>
      <c r="HY100">
        <f ca="1"/>
      </c>
    </row>
    <row r="101" spans="4:233" x14ac:dyDescent="0.55000000000000004"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HS101">
        <f ca="1"/>
      </c>
      <c r="HT101">
        <f ca="1"/>
      </c>
      <c r="HU101">
        <f ca="1"/>
      </c>
      <c r="HV101">
        <f ca="1"/>
      </c>
      <c r="HW101">
        <f ca="1"/>
      </c>
      <c r="HX101">
        <f ca="1"/>
      </c>
      <c r="HY101">
        <f ca="1"/>
      </c>
    </row>
    <row r="102" spans="4:233" x14ac:dyDescent="0.55000000000000004"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HS102">
        <f ca="1"/>
      </c>
      <c r="HT102">
        <f ca="1"/>
      </c>
      <c r="HU102">
        <f ca="1"/>
      </c>
      <c r="HV102">
        <f ca="1"/>
      </c>
      <c r="HW102">
        <f ca="1"/>
      </c>
      <c r="HX102">
        <f ca="1"/>
      </c>
      <c r="HY102">
        <f ca="1"/>
      </c>
    </row>
    <row r="103" spans="4:233" x14ac:dyDescent="0.55000000000000004"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HS103">
        <f ca="1"/>
      </c>
      <c r="HT103">
        <f ca="1"/>
      </c>
      <c r="HU103">
        <f ca="1"/>
      </c>
      <c r="HV103">
        <f ca="1"/>
      </c>
      <c r="HW103">
        <f ca="1"/>
      </c>
      <c r="HX103">
        <f ca="1"/>
      </c>
      <c r="HY103">
        <f ca="1"/>
      </c>
    </row>
    <row r="104" spans="4:233" x14ac:dyDescent="0.55000000000000004"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EP104" t="s">
        <v>153</v>
      </c>
      <c r="EQ104" cm="1">
        <f t="array" aca="1" ref="EQ104:FR121" ca="1">_xlfn.LET(_xlpm.g,_xlfn.DROP(_xlfn.ANCHORARRAY($CO$4),1),_xlfn._xlws.FILTER(_xlpm.g,_xlfn.TAKE(_xlpm.g,,1)=3))</f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  <c r="HS104">
        <f ca="1"/>
      </c>
      <c r="HT104">
        <f ca="1"/>
      </c>
      <c r="HU104">
        <f ca="1"/>
      </c>
      <c r="HV104">
        <f ca="1"/>
      </c>
      <c r="HW104">
        <f ca="1"/>
      </c>
      <c r="HX104">
        <f ca="1"/>
      </c>
      <c r="HY104">
        <f ca="1"/>
      </c>
    </row>
    <row r="105" spans="4:233" x14ac:dyDescent="0.55000000000000004"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aca="1" ref="GX105:GX122" ca="1">_xlfn.LET(_xlpm.V,_xlfn.DROP(_xlfn.ANCHORARRAY($EQ$104),,10),IF(1&lt;=COLUMNS(_xlpm.V),_xlfn.CHOOSECOLS(_xlpm.V,1),IF(_xlfn.SEQUENCE(ROWS(_xlpm.V)),NA())))</f>
      </c>
      <c r="GY105" cm="1">
        <f t="array" aca="1" ref="GY105:GY122" ca="1">_xlfn.LET(_xlpm.V,_xlfn.DROP(_xlfn.ANCHORARRAY($EQ$104),,10),IF(2&lt;=COLUMNS(_xlpm.V),_xlfn.CHOOSECOLS(_xlpm.V,2),IF(_xlfn.SEQUENCE(ROWS(_xlpm.V)),NA())))</f>
      </c>
      <c r="GZ105" cm="1">
        <f t="array" aca="1" ref="GZ105:GZ122" ca="1">_xlfn.LET(_xlpm.V,_xlfn.DROP(_xlfn.ANCHORARRAY($EQ$104),,10),IF(3&lt;=COLUMNS(_xlpm.V),_xlfn.CHOOSECOLS(_xlpm.V,3),IF(_xlfn.SEQUENCE(ROWS(_xlpm.V)),NA())))</f>
      </c>
      <c r="HA105" cm="1">
        <f t="array" aca="1" ref="HA105:HA122" ca="1">_xlfn.LET(_xlpm.V,_xlfn.DROP(_xlfn.ANCHORARRAY($EQ$104),,10),IF(4&lt;=COLUMNS(_xlpm.V),_xlfn.CHOOSECOLS(_xlpm.V,4),IF(_xlfn.SEQUENCE(ROWS(_xlpm.V)),NA())))</f>
      </c>
      <c r="HB105" cm="1">
        <f t="array" aca="1" ref="HB105:HB122" ca="1">_xlfn.LET(_xlpm.V,_xlfn.DROP(_xlfn.ANCHORARRAY($EQ$104),,10),IF(5&lt;=COLUMNS(_xlpm.V),_xlfn.CHOOSECOLS(_xlpm.V,5),IF(_xlfn.SEQUENCE(ROWS(_xlpm.V)),NA())))</f>
      </c>
      <c r="HD105" cm="1">
        <f t="array" aca="1" ref="HD105:HD122" ca="1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aca="1" ref="HF105:HF122" ca="1">_xlfn.CHOOSECOLS(_xlfn.ANCHORARRAY($EQ$104),8)+_xlfn.CHOOSECOLS(_xlfn.ANCHORARRAY($EQ$104),10)</f>
      </c>
      <c r="HG105" cm="1">
        <f t="array" aca="1" ref="HG105:HG122" ca="1">_xlfn.CHOOSECOLS(_xlfn.ANCHORARRAY($EQ$104),8)-_xlfn.CHOOSECOLS(_xlfn.ANCHORARRAY($EQ$104),10)</f>
      </c>
      <c r="HH105" cm="1">
        <f t="array" aca="1" ref="HH105:HH122" ca="1">_xlfn.LET(_xlpm.v,_xlfn.CHOOSECOLS(_xlfn._xlws.FILTER(_xlfn.DROP(_xlfn.ANCHORARRAY($HS$4),1),_xlfn.TAKE(_xlfn.DROP(_xlfn.ANCHORARRAY($HS$4),1),,1)=3),3),IF(_xlpm.v="",NA(),_xlpm.v))</f>
      </c>
      <c r="HI105" cm="1">
        <f t="array" aca="1" ref="HI105:HI122" ca="1">-_xlfn.ANCHORARRAY($HH$105)</f>
      </c>
      <c r="HJ105" cm="1">
        <f t="array" aca="1" ref="HJ105:HJ122" ca="1">_xlfn.LET(_xlpm.v,_xlfn.CHOOSECOLS(_xlfn._xlws.FILTER(_xlfn.DROP(_xlfn.ANCHORARRAY($HS$4),1),_xlfn.TAKE(_xlfn.DROP(_xlfn.ANCHORARRAY($HS$4),1),,1)=3),4),IF(_xlpm.v="",NA(),_xlpm.v))</f>
      </c>
      <c r="HK105" cm="1">
        <f t="array" aca="1" ref="HK105:HK122" ca="1">-_xlfn.ANCHORARRAY($HJ$105)</f>
      </c>
      <c r="HL105" cm="1">
        <f t="array" aca="1" ref="HL105:HL122" ca="1">_xlfn.LET(_xlpm.v,_xlfn.CHOOSECOLS(_xlfn._xlws.FILTER(_xlfn.DROP(_xlfn.ANCHORARRAY($HS$4),1),_xlfn.TAKE(_xlfn.DROP(_xlfn.ANCHORARRAY($HS$4),1),,1)=3),5),IF(_xlpm.v="",NA(),_xlpm.v))</f>
      </c>
      <c r="HM105" cm="1">
        <f t="array" aca="1" ref="HM105:HM122" ca="1">-_xlfn.ANCHORARRAY($HL$105)</f>
      </c>
      <c r="HN105" cm="1">
        <f t="array" aca="1" ref="HN105:HN122" ca="1">_xlfn.LET(_xlpm.v,_xlfn.CHOOSECOLS(_xlfn._xlws.FILTER(_xlfn.DROP(_xlfn.ANCHORARRAY($HS$4),1),_xlfn.TAKE(_xlfn.DROP(_xlfn.ANCHORARRAY($HS$4),1),,1)=3),6),IF(_xlpm.v="",NA(),_xlpm.v))</f>
      </c>
      <c r="HO105" cm="1">
        <f t="array" aca="1" ref="HO105:HO122" ca="1">-_xlfn.ANCHORARRAY($HN$105)</f>
      </c>
      <c r="HP105" cm="1">
        <f t="array" aca="1" ref="HP105:HP122" ca="1">_xlfn.LET(_xlpm.v,_xlfn.CHOOSECOLS(_xlfn._xlws.FILTER(_xlfn.DROP(_xlfn.ANCHORARRAY($HS$4),1),_xlfn.TAKE(_xlfn.DROP(_xlfn.ANCHORARRAY($HS$4),1),,1)=3),7),IF(_xlpm.v="",NA(),_xlpm.v))</f>
      </c>
      <c r="HQ105" cm="1">
        <f t="array" aca="1" ref="HQ105:HQ122" ca="1">-_xlfn.ANCHORARRAY($HP$105)</f>
      </c>
      <c r="HR105" cm="1">
        <f t="array" aca="1" ref="HR105" ca="1">IFERROR(INDEX(_xlfn._xlws.FILTER(_xlfn.DROP(_xlfn.ANCHORARRAY($HS$4),1),_xlfn.TAKE(_xlfn.DROP(_xlfn.ANCHORARRAY($HS$4),1),,1)=3),1,2),"")</f>
      </c>
      <c r="HS105">
        <f ca="1"/>
      </c>
      <c r="HT105">
        <f ca="1"/>
      </c>
      <c r="HU105">
        <f ca="1"/>
      </c>
      <c r="HV105">
        <f ca="1"/>
      </c>
      <c r="HW105">
        <f ca="1"/>
      </c>
      <c r="HX105">
        <f ca="1"/>
      </c>
      <c r="HY105">
        <f ca="1"/>
      </c>
    </row>
    <row r="106" spans="4:233" x14ac:dyDescent="0.55000000000000004"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S106">
        <f ca="1"/>
      </c>
      <c r="HT106">
        <f ca="1"/>
      </c>
      <c r="HU106">
        <f ca="1"/>
      </c>
      <c r="HV106">
        <f ca="1"/>
      </c>
      <c r="HW106">
        <f ca="1"/>
      </c>
      <c r="HX106">
        <f ca="1"/>
      </c>
      <c r="HY106">
        <f ca="1"/>
      </c>
    </row>
    <row r="107" spans="4:233" x14ac:dyDescent="0.55000000000000004">
      <c r="D107" t="s">
        <v>163</v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S107">
        <f ca="1"/>
      </c>
      <c r="HT107">
        <f ca="1"/>
      </c>
      <c r="HU107">
        <f ca="1"/>
      </c>
      <c r="HV107">
        <f ca="1"/>
      </c>
      <c r="HW107">
        <f ca="1"/>
      </c>
      <c r="HX107">
        <f ca="1"/>
      </c>
      <c r="HY107">
        <f ca="1"/>
      </c>
    </row>
    <row r="108" spans="4:233" x14ac:dyDescent="0.55000000000000004">
      <c r="D108" s="2">
        <v>3</v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S108">
        <f ca="1"/>
      </c>
      <c r="HT108">
        <f ca="1"/>
      </c>
      <c r="HU108">
        <f ca="1"/>
      </c>
      <c r="HV108">
        <f ca="1"/>
      </c>
      <c r="HW108">
        <f ca="1"/>
      </c>
      <c r="HX108">
        <f ca="1"/>
      </c>
      <c r="HY108">
        <f ca="1"/>
      </c>
    </row>
    <row r="109" spans="4:233" x14ac:dyDescent="0.55000000000000004"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S109">
        <f ca="1"/>
      </c>
      <c r="HT109">
        <f ca="1"/>
      </c>
      <c r="HU109">
        <f ca="1"/>
      </c>
      <c r="HV109">
        <f ca="1"/>
      </c>
      <c r="HW109">
        <f ca="1"/>
      </c>
      <c r="HX109">
        <f ca="1"/>
      </c>
      <c r="HY109">
        <f ca="1"/>
      </c>
    </row>
    <row r="110" spans="4:233" x14ac:dyDescent="0.55000000000000004"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S110">
        <f ca="1"/>
      </c>
      <c r="HT110">
        <f ca="1"/>
      </c>
      <c r="HU110">
        <f ca="1"/>
      </c>
      <c r="HV110">
        <f ca="1"/>
      </c>
      <c r="HW110">
        <f ca="1"/>
      </c>
      <c r="HX110">
        <f ca="1"/>
      </c>
      <c r="HY110">
        <f ca="1"/>
      </c>
    </row>
    <row r="111" spans="4:233" x14ac:dyDescent="0.55000000000000004"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S111">
        <f ca="1"/>
      </c>
      <c r="HT111">
        <f ca="1"/>
      </c>
      <c r="HU111">
        <f ca="1"/>
      </c>
      <c r="HV111">
        <f ca="1"/>
      </c>
      <c r="HW111">
        <f ca="1"/>
      </c>
      <c r="HX111">
        <f ca="1"/>
      </c>
      <c r="HY111">
        <f ca="1"/>
      </c>
    </row>
    <row r="112" spans="4:233" x14ac:dyDescent="0.55000000000000004"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S112">
        <f ca="1"/>
      </c>
      <c r="HT112">
        <f ca="1"/>
      </c>
      <c r="HU112">
        <f ca="1"/>
      </c>
      <c r="HV112">
        <f ca="1"/>
      </c>
      <c r="HW112">
        <f ca="1"/>
      </c>
      <c r="HX112">
        <f ca="1"/>
      </c>
      <c r="HY112">
        <f ca="1"/>
      </c>
    </row>
    <row r="113" spans="93:233" x14ac:dyDescent="0.55000000000000004"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S113">
        <f ca="1"/>
      </c>
      <c r="HT113">
        <f ca="1"/>
      </c>
      <c r="HU113">
        <f ca="1"/>
      </c>
      <c r="HV113">
        <f ca="1"/>
      </c>
      <c r="HW113">
        <f ca="1"/>
      </c>
      <c r="HX113">
        <f ca="1"/>
      </c>
      <c r="HY113">
        <f ca="1"/>
      </c>
    </row>
    <row r="114" spans="93:233" x14ac:dyDescent="0.55000000000000004"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S114">
        <f ca="1"/>
      </c>
      <c r="HT114">
        <f ca="1"/>
      </c>
      <c r="HU114">
        <f ca="1"/>
      </c>
      <c r="HV114">
        <f ca="1"/>
      </c>
      <c r="HW114">
        <f ca="1"/>
      </c>
      <c r="HX114">
        <f ca="1"/>
      </c>
      <c r="HY114">
        <f ca="1"/>
      </c>
    </row>
    <row r="115" spans="93:233" x14ac:dyDescent="0.55000000000000004"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S115">
        <f ca="1"/>
      </c>
      <c r="HT115">
        <f ca="1"/>
      </c>
      <c r="HU115">
        <f ca="1"/>
      </c>
      <c r="HV115">
        <f ca="1"/>
      </c>
      <c r="HW115">
        <f ca="1"/>
      </c>
      <c r="HX115">
        <f ca="1"/>
      </c>
      <c r="HY115">
        <f ca="1"/>
      </c>
    </row>
    <row r="116" spans="93:233" x14ac:dyDescent="0.55000000000000004"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S116">
        <f ca="1"/>
      </c>
      <c r="HT116">
        <f ca="1"/>
      </c>
      <c r="HU116">
        <f ca="1"/>
      </c>
      <c r="HV116">
        <f ca="1"/>
      </c>
      <c r="HW116">
        <f ca="1"/>
      </c>
      <c r="HX116">
        <f ca="1"/>
      </c>
      <c r="HY116">
        <f ca="1"/>
      </c>
    </row>
    <row r="117" spans="93:233" x14ac:dyDescent="0.55000000000000004"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S117">
        <f ca="1"/>
      </c>
      <c r="HT117">
        <f ca="1"/>
      </c>
      <c r="HU117">
        <f ca="1"/>
      </c>
      <c r="HV117">
        <f ca="1"/>
      </c>
      <c r="HW117">
        <f ca="1"/>
      </c>
      <c r="HX117">
        <f ca="1"/>
      </c>
      <c r="HY117">
        <f ca="1"/>
      </c>
    </row>
    <row r="118" spans="93:233" x14ac:dyDescent="0.55000000000000004"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S118">
        <f ca="1"/>
      </c>
      <c r="HT118">
        <f ca="1"/>
      </c>
      <c r="HU118">
        <f ca="1"/>
      </c>
      <c r="HV118">
        <f ca="1"/>
      </c>
      <c r="HW118">
        <f ca="1"/>
      </c>
      <c r="HX118">
        <f ca="1"/>
      </c>
      <c r="HY118">
        <f ca="1"/>
      </c>
    </row>
    <row r="119" spans="93:233" x14ac:dyDescent="0.55000000000000004"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S119">
        <f ca="1"/>
      </c>
      <c r="HT119">
        <f ca="1"/>
      </c>
      <c r="HU119">
        <f ca="1"/>
      </c>
      <c r="HV119">
        <f ca="1"/>
      </c>
      <c r="HW119">
        <f ca="1"/>
      </c>
      <c r="HX119">
        <f ca="1"/>
      </c>
      <c r="HY119">
        <f ca="1"/>
      </c>
    </row>
    <row r="120" spans="93:233" x14ac:dyDescent="0.55000000000000004"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S120">
        <f ca="1"/>
      </c>
      <c r="HT120">
        <f ca="1"/>
      </c>
      <c r="HU120">
        <f ca="1"/>
      </c>
      <c r="HV120">
        <f ca="1"/>
      </c>
      <c r="HW120">
        <f ca="1"/>
      </c>
      <c r="HX120">
        <f ca="1"/>
      </c>
      <c r="HY120">
        <f ca="1"/>
      </c>
    </row>
    <row r="121" spans="93:233" x14ac:dyDescent="0.55000000000000004"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S121">
        <f ca="1"/>
      </c>
      <c r="HT121">
        <f ca="1"/>
      </c>
      <c r="HU121">
        <f ca="1"/>
      </c>
      <c r="HV121">
        <f ca="1"/>
      </c>
      <c r="HW121">
        <f ca="1"/>
      </c>
      <c r="HX121">
        <f ca="1"/>
      </c>
      <c r="HY121">
        <f ca="1"/>
      </c>
    </row>
    <row r="122" spans="93:233" x14ac:dyDescent="0.55000000000000004"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S122">
        <f ca="1"/>
      </c>
      <c r="HT122">
        <f ca="1"/>
      </c>
      <c r="HU122">
        <f ca="1"/>
      </c>
      <c r="HV122">
        <f ca="1"/>
      </c>
      <c r="HW122">
        <f ca="1"/>
      </c>
      <c r="HX122">
        <f ca="1"/>
      </c>
      <c r="HY122">
        <f ca="1"/>
      </c>
    </row>
    <row r="123" spans="93:233" x14ac:dyDescent="0.55000000000000004"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GR123" s="11"/>
      <c r="GS123" s="11"/>
      <c r="GT123" s="11"/>
      <c r="GU123" s="11"/>
      <c r="GV123" s="11"/>
      <c r="HS123">
        <f ca="1"/>
      </c>
      <c r="HT123">
        <f ca="1"/>
      </c>
      <c r="HU123">
        <f ca="1"/>
      </c>
      <c r="HV123">
        <f ca="1"/>
      </c>
      <c r="HW123">
        <f ca="1"/>
      </c>
      <c r="HX123">
        <f ca="1"/>
      </c>
      <c r="HY123">
        <f ca="1"/>
      </c>
    </row>
    <row r="124" spans="93:233" x14ac:dyDescent="0.55000000000000004"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GR124" s="11"/>
      <c r="GS124" s="11"/>
      <c r="GT124" s="11"/>
      <c r="GU124" s="11"/>
      <c r="GV124" s="11"/>
      <c r="HS124">
        <f ca="1"/>
      </c>
      <c r="HT124">
        <f ca="1"/>
      </c>
      <c r="HU124">
        <f ca="1"/>
      </c>
      <c r="HV124">
        <f ca="1"/>
      </c>
      <c r="HW124">
        <f ca="1"/>
      </c>
      <c r="HX124">
        <f ca="1"/>
      </c>
      <c r="HY124">
        <f ca="1"/>
      </c>
    </row>
    <row r="125" spans="93:233" x14ac:dyDescent="0.55000000000000004"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GR125" s="11"/>
      <c r="GS125" s="11"/>
      <c r="GT125" s="11"/>
      <c r="GU125" s="11"/>
      <c r="GV125" s="11"/>
      <c r="HS125">
        <f ca="1"/>
      </c>
      <c r="HT125">
        <f ca="1"/>
      </c>
      <c r="HU125">
        <f ca="1"/>
      </c>
      <c r="HV125">
        <f ca="1"/>
      </c>
      <c r="HW125">
        <f ca="1"/>
      </c>
      <c r="HX125">
        <f ca="1"/>
      </c>
      <c r="HY125">
        <f ca="1"/>
      </c>
    </row>
    <row r="126" spans="93:233" x14ac:dyDescent="0.55000000000000004"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GR126" s="11"/>
      <c r="GS126" s="11"/>
      <c r="GT126" s="11"/>
      <c r="GU126" s="11"/>
      <c r="GV126" s="11"/>
      <c r="HS126">
        <f ca="1"/>
      </c>
      <c r="HT126">
        <f ca="1"/>
      </c>
      <c r="HU126">
        <f ca="1"/>
      </c>
      <c r="HV126">
        <f ca="1"/>
      </c>
      <c r="HW126">
        <f ca="1"/>
      </c>
      <c r="HX126">
        <f ca="1"/>
      </c>
      <c r="HY126">
        <f ca="1"/>
      </c>
    </row>
    <row r="127" spans="93:233" x14ac:dyDescent="0.55000000000000004"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GR127" s="11"/>
      <c r="GS127" s="11"/>
      <c r="GT127" s="11"/>
      <c r="GU127" s="11"/>
      <c r="GV127" s="11"/>
      <c r="HS127">
        <f ca="1"/>
      </c>
      <c r="HT127">
        <f ca="1"/>
      </c>
      <c r="HU127">
        <f ca="1"/>
      </c>
      <c r="HV127">
        <f ca="1"/>
      </c>
      <c r="HW127">
        <f ca="1"/>
      </c>
      <c r="HX127">
        <f ca="1"/>
      </c>
      <c r="HY127">
        <f ca="1"/>
      </c>
    </row>
    <row r="128" spans="93:233" x14ac:dyDescent="0.55000000000000004"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GR128" s="11"/>
      <c r="GS128" s="11"/>
      <c r="GT128" s="11"/>
      <c r="GU128" s="11"/>
      <c r="GV128" s="11"/>
      <c r="HS128">
        <f ca="1"/>
      </c>
      <c r="HT128">
        <f ca="1"/>
      </c>
      <c r="HU128">
        <f ca="1"/>
      </c>
      <c r="HV128">
        <f ca="1"/>
      </c>
      <c r="HW128">
        <f ca="1"/>
      </c>
      <c r="HX128">
        <f ca="1"/>
      </c>
      <c r="HY128">
        <f ca="1"/>
      </c>
    </row>
    <row r="129" spans="93:233" x14ac:dyDescent="0.55000000000000004"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GR129" s="11"/>
      <c r="GS129" s="11"/>
      <c r="GT129" s="11"/>
      <c r="GU129" s="11"/>
      <c r="GV129" s="11"/>
      <c r="HS129">
        <f ca="1"/>
      </c>
      <c r="HT129">
        <f ca="1"/>
      </c>
      <c r="HU129">
        <f ca="1"/>
      </c>
      <c r="HV129">
        <f ca="1"/>
      </c>
      <c r="HW129">
        <f ca="1"/>
      </c>
      <c r="HX129">
        <f ca="1"/>
      </c>
      <c r="HY129">
        <f ca="1"/>
      </c>
    </row>
    <row r="130" spans="93:233" x14ac:dyDescent="0.55000000000000004"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GR130" s="11"/>
      <c r="GS130" s="11"/>
      <c r="GT130" s="11"/>
      <c r="GU130" s="11"/>
      <c r="GV130" s="11"/>
      <c r="HS130">
        <f ca="1"/>
      </c>
      <c r="HT130">
        <f ca="1"/>
      </c>
      <c r="HU130">
        <f ca="1"/>
      </c>
      <c r="HV130">
        <f ca="1"/>
      </c>
      <c r="HW130">
        <f ca="1"/>
      </c>
      <c r="HX130">
        <f ca="1"/>
      </c>
      <c r="HY130">
        <f ca="1"/>
      </c>
    </row>
    <row r="131" spans="93:233" x14ac:dyDescent="0.55000000000000004"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GR131" s="11"/>
      <c r="GS131" s="11"/>
      <c r="GT131" s="11"/>
      <c r="GU131" s="11"/>
      <c r="GV131" s="11"/>
      <c r="HS131">
        <f ca="1"/>
      </c>
      <c r="HT131">
        <f ca="1"/>
      </c>
      <c r="HU131">
        <f ca="1"/>
      </c>
      <c r="HV131">
        <f ca="1"/>
      </c>
      <c r="HW131">
        <f ca="1"/>
      </c>
      <c r="HX131">
        <f ca="1"/>
      </c>
      <c r="HY131">
        <f ca="1"/>
      </c>
    </row>
    <row r="132" spans="93:233" x14ac:dyDescent="0.55000000000000004"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GR132" s="11"/>
      <c r="GS132" s="11"/>
      <c r="GT132" s="11"/>
      <c r="GU132" s="11"/>
      <c r="GV132" s="11"/>
      <c r="HS132">
        <f ca="1"/>
      </c>
      <c r="HT132">
        <f ca="1"/>
      </c>
      <c r="HU132">
        <f ca="1"/>
      </c>
      <c r="HV132">
        <f ca="1"/>
      </c>
      <c r="HW132">
        <f ca="1"/>
      </c>
      <c r="HX132">
        <f ca="1"/>
      </c>
      <c r="HY132">
        <f ca="1"/>
      </c>
    </row>
    <row r="133" spans="93:233" x14ac:dyDescent="0.55000000000000004"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GR133" s="11"/>
      <c r="GS133" s="11"/>
      <c r="GT133" s="11"/>
      <c r="GU133" s="11"/>
      <c r="GV133" s="11"/>
      <c r="HS133">
        <f ca="1"/>
      </c>
      <c r="HT133">
        <f ca="1"/>
      </c>
      <c r="HU133">
        <f ca="1"/>
      </c>
      <c r="HV133">
        <f ca="1"/>
      </c>
      <c r="HW133">
        <f ca="1"/>
      </c>
      <c r="HX133">
        <f ca="1"/>
      </c>
      <c r="HY133">
        <f ca="1"/>
      </c>
    </row>
    <row r="134" spans="93:233" x14ac:dyDescent="0.55000000000000004"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GR134" s="11"/>
      <c r="GS134" s="11"/>
      <c r="GT134" s="11"/>
      <c r="GU134" s="11"/>
      <c r="GV134" s="11"/>
      <c r="HS134">
        <f ca="1"/>
      </c>
      <c r="HT134">
        <f ca="1"/>
      </c>
      <c r="HU134">
        <f ca="1"/>
      </c>
      <c r="HV134">
        <f ca="1"/>
      </c>
      <c r="HW134">
        <f ca="1"/>
      </c>
      <c r="HX134">
        <f ca="1"/>
      </c>
      <c r="HY134">
        <f ca="1"/>
      </c>
    </row>
    <row r="135" spans="93:233" x14ac:dyDescent="0.55000000000000004"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GR135" s="11"/>
      <c r="GS135" s="11"/>
      <c r="GT135" s="11"/>
      <c r="GU135" s="11"/>
      <c r="GV135" s="11"/>
      <c r="HS135">
        <f ca="1"/>
      </c>
      <c r="HT135">
        <f ca="1"/>
      </c>
      <c r="HU135">
        <f ca="1"/>
      </c>
      <c r="HV135">
        <f ca="1"/>
      </c>
      <c r="HW135">
        <f ca="1"/>
      </c>
      <c r="HX135">
        <f ca="1"/>
      </c>
      <c r="HY135">
        <f ca="1"/>
      </c>
    </row>
    <row r="136" spans="93:233" x14ac:dyDescent="0.55000000000000004"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GR136" s="11"/>
      <c r="GS136" s="11"/>
      <c r="GT136" s="11"/>
      <c r="GU136" s="11"/>
      <c r="GV136" s="11"/>
      <c r="HS136">
        <f ca="1"/>
      </c>
      <c r="HT136">
        <f ca="1"/>
      </c>
      <c r="HU136">
        <f ca="1"/>
      </c>
      <c r="HV136">
        <f ca="1"/>
      </c>
      <c r="HW136">
        <f ca="1"/>
      </c>
      <c r="HX136">
        <f ca="1"/>
      </c>
      <c r="HY136">
        <f ca="1"/>
      </c>
    </row>
    <row r="137" spans="93:233" x14ac:dyDescent="0.55000000000000004"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GR137" s="11"/>
      <c r="GS137" s="11"/>
      <c r="GT137" s="11"/>
      <c r="GU137" s="11"/>
      <c r="GV137" s="11"/>
      <c r="HS137">
        <f ca="1"/>
      </c>
      <c r="HT137">
        <f ca="1"/>
      </c>
      <c r="HU137">
        <f ca="1"/>
      </c>
      <c r="HV137">
        <f ca="1"/>
      </c>
      <c r="HW137">
        <f ca="1"/>
      </c>
      <c r="HX137">
        <f ca="1"/>
      </c>
      <c r="HY137">
        <f ca="1"/>
      </c>
    </row>
    <row r="138" spans="93:233" x14ac:dyDescent="0.55000000000000004"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GR138" s="11"/>
      <c r="GS138" s="11"/>
      <c r="GT138" s="11"/>
      <c r="GU138" s="11"/>
      <c r="GV138" s="11"/>
      <c r="HS138">
        <f ca="1"/>
      </c>
      <c r="HT138">
        <f ca="1"/>
      </c>
      <c r="HU138">
        <f ca="1"/>
      </c>
      <c r="HV138">
        <f ca="1"/>
      </c>
      <c r="HW138">
        <f ca="1"/>
      </c>
      <c r="HX138">
        <f ca="1"/>
      </c>
      <c r="HY138">
        <f ca="1"/>
      </c>
    </row>
    <row r="139" spans="93:233" x14ac:dyDescent="0.55000000000000004"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GR139" s="11"/>
      <c r="GS139" s="11"/>
      <c r="GT139" s="11"/>
      <c r="GU139" s="11"/>
      <c r="GV139" s="11"/>
      <c r="HS139">
        <f ca="1"/>
      </c>
      <c r="HT139">
        <f ca="1"/>
      </c>
      <c r="HU139">
        <f ca="1"/>
      </c>
      <c r="HV139">
        <f ca="1"/>
      </c>
      <c r="HW139">
        <f ca="1"/>
      </c>
      <c r="HX139">
        <f ca="1"/>
      </c>
      <c r="HY139">
        <f ca="1"/>
      </c>
    </row>
    <row r="140" spans="93:233" x14ac:dyDescent="0.55000000000000004"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GR140" s="11"/>
      <c r="GS140" s="11"/>
      <c r="GT140" s="11"/>
      <c r="GU140" s="11"/>
      <c r="GV140" s="11"/>
      <c r="HS140">
        <f ca="1"/>
      </c>
      <c r="HT140">
        <f ca="1"/>
      </c>
      <c r="HU140">
        <f ca="1"/>
      </c>
      <c r="HV140">
        <f ca="1"/>
      </c>
      <c r="HW140">
        <f ca="1"/>
      </c>
      <c r="HX140">
        <f ca="1"/>
      </c>
      <c r="HY140">
        <f ca="1"/>
      </c>
    </row>
    <row r="141" spans="93:233" x14ac:dyDescent="0.55000000000000004"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GR141" s="11"/>
      <c r="GS141" s="11"/>
      <c r="GT141" s="11"/>
      <c r="GU141" s="11"/>
      <c r="GV141" s="11"/>
      <c r="HS141">
        <f ca="1"/>
      </c>
      <c r="HT141">
        <f ca="1"/>
      </c>
      <c r="HU141">
        <f ca="1"/>
      </c>
      <c r="HV141">
        <f ca="1"/>
      </c>
      <c r="HW141">
        <f ca="1"/>
      </c>
      <c r="HX141">
        <f ca="1"/>
      </c>
      <c r="HY141">
        <f ca="1"/>
      </c>
    </row>
    <row r="142" spans="93:233" x14ac:dyDescent="0.55000000000000004"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GR142" s="11"/>
      <c r="GS142" s="11"/>
      <c r="GT142" s="11"/>
      <c r="GU142" s="11"/>
      <c r="GV142" s="11"/>
      <c r="HS142">
        <f ca="1"/>
      </c>
      <c r="HT142">
        <f ca="1"/>
      </c>
      <c r="HU142">
        <f ca="1"/>
      </c>
      <c r="HV142">
        <f ca="1"/>
      </c>
      <c r="HW142">
        <f ca="1"/>
      </c>
      <c r="HX142">
        <f ca="1"/>
      </c>
      <c r="HY142">
        <f ca="1"/>
      </c>
    </row>
    <row r="143" spans="93:233" x14ac:dyDescent="0.55000000000000004"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GR143" s="11"/>
      <c r="GS143" s="11"/>
      <c r="GT143" s="11"/>
      <c r="GU143" s="11"/>
      <c r="GV143" s="11"/>
      <c r="HS143">
        <f ca="1"/>
      </c>
      <c r="HT143">
        <f ca="1"/>
      </c>
      <c r="HU143">
        <f ca="1"/>
      </c>
      <c r="HV143">
        <f ca="1"/>
      </c>
      <c r="HW143">
        <f ca="1"/>
      </c>
      <c r="HX143">
        <f ca="1"/>
      </c>
      <c r="HY143">
        <f ca="1"/>
      </c>
    </row>
    <row r="144" spans="93:233" x14ac:dyDescent="0.55000000000000004"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GR144" s="11"/>
      <c r="GS144" s="11"/>
      <c r="GT144" s="11"/>
      <c r="GU144" s="11"/>
      <c r="GV144" s="11"/>
      <c r="HS144">
        <f ca="1"/>
      </c>
      <c r="HT144">
        <f ca="1"/>
      </c>
      <c r="HU144">
        <f ca="1"/>
      </c>
      <c r="HV144">
        <f ca="1"/>
      </c>
      <c r="HW144">
        <f ca="1"/>
      </c>
      <c r="HX144">
        <f ca="1"/>
      </c>
      <c r="HY144">
        <f ca="1"/>
      </c>
    </row>
    <row r="145" spans="93:233" x14ac:dyDescent="0.55000000000000004"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GR145" s="11"/>
      <c r="GS145" s="11"/>
      <c r="GT145" s="11"/>
      <c r="GU145" s="11"/>
      <c r="GV145" s="11"/>
      <c r="HS145">
        <f ca="1"/>
      </c>
      <c r="HT145">
        <f ca="1"/>
      </c>
      <c r="HU145">
        <f ca="1"/>
      </c>
      <c r="HV145">
        <f ca="1"/>
      </c>
      <c r="HW145">
        <f ca="1"/>
      </c>
      <c r="HX145">
        <f ca="1"/>
      </c>
      <c r="HY145">
        <f ca="1"/>
      </c>
    </row>
    <row r="146" spans="93:233" x14ac:dyDescent="0.55000000000000004"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GR146" s="11"/>
      <c r="GS146" s="11"/>
      <c r="GT146" s="11"/>
      <c r="GU146" s="11"/>
      <c r="GV146" s="11"/>
      <c r="HS146">
        <f ca="1"/>
      </c>
      <c r="HT146">
        <f ca="1"/>
      </c>
      <c r="HU146">
        <f ca="1"/>
      </c>
      <c r="HV146">
        <f ca="1"/>
      </c>
      <c r="HW146">
        <f ca="1"/>
      </c>
      <c r="HX146">
        <f ca="1"/>
      </c>
      <c r="HY146">
        <f ca="1"/>
      </c>
    </row>
    <row r="147" spans="93:233" x14ac:dyDescent="0.55000000000000004"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HS147">
        <f ca="1"/>
      </c>
      <c r="HT147">
        <f ca="1"/>
      </c>
      <c r="HU147">
        <f ca="1"/>
      </c>
      <c r="HV147">
        <f ca="1"/>
      </c>
      <c r="HW147">
        <f ca="1"/>
      </c>
      <c r="HX147">
        <f ca="1"/>
      </c>
      <c r="HY147">
        <f ca="1"/>
      </c>
    </row>
    <row r="148" spans="93:233" x14ac:dyDescent="0.55000000000000004"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HS148">
        <f ca="1"/>
      </c>
      <c r="HT148">
        <f ca="1"/>
      </c>
      <c r="HU148">
        <f ca="1"/>
      </c>
      <c r="HV148">
        <f ca="1"/>
      </c>
      <c r="HW148">
        <f ca="1"/>
      </c>
      <c r="HX148">
        <f ca="1"/>
      </c>
      <c r="HY148">
        <f ca="1"/>
      </c>
    </row>
    <row r="149" spans="93:233" x14ac:dyDescent="0.55000000000000004"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HS149">
        <f ca="1"/>
      </c>
      <c r="HT149">
        <f ca="1"/>
      </c>
      <c r="HU149">
        <f ca="1"/>
      </c>
      <c r="HV149">
        <f ca="1"/>
      </c>
      <c r="HW149">
        <f ca="1"/>
      </c>
      <c r="HX149">
        <f ca="1"/>
      </c>
      <c r="HY149">
        <f ca="1"/>
      </c>
    </row>
    <row r="150" spans="93:233" x14ac:dyDescent="0.55000000000000004"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HS150">
        <f ca="1"/>
      </c>
      <c r="HT150">
        <f ca="1"/>
      </c>
      <c r="HU150">
        <f ca="1"/>
      </c>
      <c r="HV150">
        <f ca="1"/>
      </c>
      <c r="HW150">
        <f ca="1"/>
      </c>
      <c r="HX150">
        <f ca="1"/>
      </c>
      <c r="HY150">
        <f ca="1"/>
      </c>
    </row>
    <row r="151" spans="93:233" x14ac:dyDescent="0.55000000000000004"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HS151">
        <f ca="1"/>
      </c>
      <c r="HT151">
        <f ca="1"/>
      </c>
      <c r="HU151">
        <f ca="1"/>
      </c>
      <c r="HV151">
        <f ca="1"/>
      </c>
      <c r="HW151">
        <f ca="1"/>
      </c>
      <c r="HX151">
        <f ca="1"/>
      </c>
      <c r="HY151">
        <f ca="1"/>
      </c>
    </row>
    <row r="152" spans="93:233" x14ac:dyDescent="0.55000000000000004"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HS152">
        <f ca="1"/>
      </c>
      <c r="HT152">
        <f ca="1"/>
      </c>
      <c r="HU152">
        <f ca="1"/>
      </c>
      <c r="HV152">
        <f ca="1"/>
      </c>
      <c r="HW152">
        <f ca="1"/>
      </c>
      <c r="HX152">
        <f ca="1"/>
      </c>
      <c r="HY152">
        <f ca="1"/>
      </c>
    </row>
    <row r="153" spans="93:233" x14ac:dyDescent="0.55000000000000004"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HS153">
        <f ca="1"/>
      </c>
      <c r="HT153">
        <f ca="1"/>
      </c>
      <c r="HU153">
        <f ca="1"/>
      </c>
      <c r="HV153">
        <f ca="1"/>
      </c>
      <c r="HW153">
        <f ca="1"/>
      </c>
      <c r="HX153">
        <f ca="1"/>
      </c>
      <c r="HY153">
        <f ca="1"/>
      </c>
    </row>
    <row r="154" spans="93:233" x14ac:dyDescent="0.55000000000000004"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EP154" t="s">
        <v>155</v>
      </c>
      <c r="EQ154" cm="1">
        <f t="array" aca="1" ref="EQ154:FR171" ca="1">_xlfn.LET(_xlpm.g,_xlfn.DROP(_xlfn.ANCHORARRAY($CO$4),1),_xlfn._xlws.FILTER(_xlpm.g,_xlfn.TAKE(_xlpm.g,,1)=4))</f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  <c r="HS154">
        <f ca="1"/>
      </c>
      <c r="HT154">
        <f ca="1"/>
      </c>
      <c r="HU154">
        <f ca="1"/>
      </c>
      <c r="HV154">
        <f ca="1"/>
      </c>
      <c r="HW154">
        <f ca="1"/>
      </c>
      <c r="HX154">
        <f ca="1"/>
      </c>
      <c r="HY154">
        <f ca="1"/>
      </c>
    </row>
    <row r="155" spans="93:233" x14ac:dyDescent="0.55000000000000004"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aca="1" ref="GX155:GX172" ca="1">_xlfn.LET(_xlpm.V,_xlfn.DROP(_xlfn.ANCHORARRAY($EQ$154),,10),IF(1&lt;=COLUMNS(_xlpm.V),_xlfn.CHOOSECOLS(_xlpm.V,1),IF(_xlfn.SEQUENCE(ROWS(_xlpm.V)),NA())))</f>
      </c>
      <c r="GY155" cm="1">
        <f t="array" aca="1" ref="GY155:GY172" ca="1">_xlfn.LET(_xlpm.V,_xlfn.DROP(_xlfn.ANCHORARRAY($EQ$154),,10),IF(2&lt;=COLUMNS(_xlpm.V),_xlfn.CHOOSECOLS(_xlpm.V,2),IF(_xlfn.SEQUENCE(ROWS(_xlpm.V)),NA())))</f>
      </c>
      <c r="GZ155" cm="1">
        <f t="array" aca="1" ref="GZ155:GZ172" ca="1">_xlfn.LET(_xlpm.V,_xlfn.DROP(_xlfn.ANCHORARRAY($EQ$154),,10),IF(3&lt;=COLUMNS(_xlpm.V),_xlfn.CHOOSECOLS(_xlpm.V,3),IF(_xlfn.SEQUENCE(ROWS(_xlpm.V)),NA())))</f>
      </c>
      <c r="HA155" cm="1">
        <f t="array" aca="1" ref="HA155:HA172" ca="1">_xlfn.LET(_xlpm.V,_xlfn.DROP(_xlfn.ANCHORARRAY($EQ$154),,10),IF(4&lt;=COLUMNS(_xlpm.V),_xlfn.CHOOSECOLS(_xlpm.V,4),IF(_xlfn.SEQUENCE(ROWS(_xlpm.V)),NA())))</f>
      </c>
      <c r="HB155" cm="1">
        <f t="array" aca="1" ref="HB155:HB172" ca="1">_xlfn.LET(_xlpm.V,_xlfn.DROP(_xlfn.ANCHORARRAY($EQ$154),,10),IF(5&lt;=COLUMNS(_xlpm.V),_xlfn.CHOOSECOLS(_xlpm.V,5),IF(_xlfn.SEQUENCE(ROWS(_xlpm.V)),NA())))</f>
      </c>
      <c r="HD155" cm="1">
        <f t="array" aca="1" ref="HD155:HD172" ca="1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aca="1" ref="HF155:HF172" ca="1">_xlfn.CHOOSECOLS(_xlfn.ANCHORARRAY($EQ$154),8)+_xlfn.CHOOSECOLS(_xlfn.ANCHORARRAY($EQ$154),10)</f>
      </c>
      <c r="HG155" cm="1">
        <f t="array" aca="1" ref="HG155:HG172" ca="1">_xlfn.CHOOSECOLS(_xlfn.ANCHORARRAY($EQ$154),8)-_xlfn.CHOOSECOLS(_xlfn.ANCHORARRAY($EQ$154),10)</f>
      </c>
      <c r="HH155" cm="1">
        <f t="array" aca="1" ref="HH155:HH172" ca="1">_xlfn.LET(_xlpm.v,_xlfn.CHOOSECOLS(_xlfn._xlws.FILTER(_xlfn.DROP(_xlfn.ANCHORARRAY($HS$4),1),_xlfn.TAKE(_xlfn.DROP(_xlfn.ANCHORARRAY($HS$4),1),,1)=4),3),IF(_xlpm.v="",NA(),_xlpm.v))</f>
      </c>
      <c r="HI155" cm="1">
        <f t="array" aca="1" ref="HI155:HI172" ca="1">-_xlfn.ANCHORARRAY($HH$155)</f>
      </c>
      <c r="HJ155" cm="1">
        <f t="array" aca="1" ref="HJ155:HJ172" ca="1">_xlfn.LET(_xlpm.v,_xlfn.CHOOSECOLS(_xlfn._xlws.FILTER(_xlfn.DROP(_xlfn.ANCHORARRAY($HS$4),1),_xlfn.TAKE(_xlfn.DROP(_xlfn.ANCHORARRAY($HS$4),1),,1)=4),4),IF(_xlpm.v="",NA(),_xlpm.v))</f>
      </c>
      <c r="HK155" cm="1">
        <f t="array" aca="1" ref="HK155:HK172" ca="1">-_xlfn.ANCHORARRAY($HJ$155)</f>
      </c>
      <c r="HL155" cm="1">
        <f t="array" aca="1" ref="HL155:HL172" ca="1">_xlfn.LET(_xlpm.v,_xlfn.CHOOSECOLS(_xlfn._xlws.FILTER(_xlfn.DROP(_xlfn.ANCHORARRAY($HS$4),1),_xlfn.TAKE(_xlfn.DROP(_xlfn.ANCHORARRAY($HS$4),1),,1)=4),5),IF(_xlpm.v="",NA(),_xlpm.v))</f>
      </c>
      <c r="HM155" cm="1">
        <f t="array" aca="1" ref="HM155:HM172" ca="1">-_xlfn.ANCHORARRAY($HL$155)</f>
      </c>
      <c r="HN155" cm="1">
        <f t="array" aca="1" ref="HN155:HN172" ca="1">_xlfn.LET(_xlpm.v,_xlfn.CHOOSECOLS(_xlfn._xlws.FILTER(_xlfn.DROP(_xlfn.ANCHORARRAY($HS$4),1),_xlfn.TAKE(_xlfn.DROP(_xlfn.ANCHORARRAY($HS$4),1),,1)=4),6),IF(_xlpm.v="",NA(),_xlpm.v))</f>
      </c>
      <c r="HO155" cm="1">
        <f t="array" aca="1" ref="HO155:HO172" ca="1">-_xlfn.ANCHORARRAY($HN$155)</f>
      </c>
      <c r="HP155" cm="1">
        <f t="array" aca="1" ref="HP155:HP172" ca="1">_xlfn.LET(_xlpm.v,_xlfn.CHOOSECOLS(_xlfn._xlws.FILTER(_xlfn.DROP(_xlfn.ANCHORARRAY($HS$4),1),_xlfn.TAKE(_xlfn.DROP(_xlfn.ANCHORARRAY($HS$4),1),,1)=4),7),IF(_xlpm.v="",NA(),_xlpm.v))</f>
      </c>
      <c r="HQ155" cm="1">
        <f t="array" aca="1" ref="HQ155:HQ172" ca="1">-_xlfn.ANCHORARRAY($HP$155)</f>
      </c>
      <c r="HR155" cm="1">
        <f t="array" aca="1" ref="HR155" ca="1">IFERROR(INDEX(_xlfn._xlws.FILTER(_xlfn.DROP(_xlfn.ANCHORARRAY($HS$4),1),_xlfn.TAKE(_xlfn.DROP(_xlfn.ANCHORARRAY($HS$4),1),,1)=4),1,2),"")</f>
      </c>
      <c r="HS155">
        <f ca="1"/>
      </c>
      <c r="HT155">
        <f ca="1"/>
      </c>
      <c r="HU155">
        <f ca="1"/>
      </c>
      <c r="HV155">
        <f ca="1"/>
      </c>
      <c r="HW155">
        <f ca="1"/>
      </c>
      <c r="HX155">
        <f ca="1"/>
      </c>
      <c r="HY155">
        <f ca="1"/>
      </c>
    </row>
    <row r="156" spans="93:233" x14ac:dyDescent="0.55000000000000004"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S156">
        <f ca="1"/>
      </c>
      <c r="HT156">
        <f ca="1"/>
      </c>
      <c r="HU156">
        <f ca="1"/>
      </c>
      <c r="HV156">
        <f ca="1"/>
      </c>
      <c r="HW156">
        <f ca="1"/>
      </c>
      <c r="HX156">
        <f ca="1"/>
      </c>
      <c r="HY156">
        <f ca="1"/>
      </c>
    </row>
    <row r="157" spans="93:233" x14ac:dyDescent="0.55000000000000004"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S157">
        <f ca="1"/>
      </c>
      <c r="HT157">
        <f ca="1"/>
      </c>
      <c r="HU157">
        <f ca="1"/>
      </c>
      <c r="HV157">
        <f ca="1"/>
      </c>
      <c r="HW157">
        <f ca="1"/>
      </c>
      <c r="HX157">
        <f ca="1"/>
      </c>
      <c r="HY157">
        <f ca="1"/>
      </c>
    </row>
    <row r="158" spans="93:233" x14ac:dyDescent="0.55000000000000004"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S158">
        <f ca="1"/>
      </c>
      <c r="HT158">
        <f ca="1"/>
      </c>
      <c r="HU158">
        <f ca="1"/>
      </c>
      <c r="HV158">
        <f ca="1"/>
      </c>
      <c r="HW158">
        <f ca="1"/>
      </c>
      <c r="HX158">
        <f ca="1"/>
      </c>
      <c r="HY158">
        <f ca="1"/>
      </c>
    </row>
    <row r="159" spans="93:233" x14ac:dyDescent="0.55000000000000004"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S159">
        <f ca="1"/>
      </c>
      <c r="HT159">
        <f ca="1"/>
      </c>
      <c r="HU159">
        <f ca="1"/>
      </c>
      <c r="HV159">
        <f ca="1"/>
      </c>
      <c r="HW159">
        <f ca="1"/>
      </c>
      <c r="HX159">
        <f ca="1"/>
      </c>
      <c r="HY159">
        <f ca="1"/>
      </c>
    </row>
    <row r="160" spans="93:233" x14ac:dyDescent="0.55000000000000004"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S160">
        <f ca="1"/>
      </c>
      <c r="HT160">
        <f ca="1"/>
      </c>
      <c r="HU160">
        <f ca="1"/>
      </c>
      <c r="HV160">
        <f ca="1"/>
      </c>
      <c r="HW160">
        <f ca="1"/>
      </c>
      <c r="HX160">
        <f ca="1"/>
      </c>
      <c r="HY160">
        <f ca="1"/>
      </c>
    </row>
    <row r="161" spans="93:233" x14ac:dyDescent="0.55000000000000004"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GX161">
        <f ca="1"/>
      </c>
      <c r="GY161">
        <f ca="1"/>
      </c>
      <c r="GZ161">
        <f ca="1"/>
      </c>
      <c r="HA161">
        <f ca="1"/>
      </c>
      <c r="HB161">
        <f ca="1"/>
      </c>
      <c r="HD161">
        <f ca="1"/>
      </c>
      <c r="HE161">
        <f ca="1"/>
      </c>
      <c r="HF161">
        <f ca="1"/>
      </c>
      <c r="HG161">
        <f ca="1"/>
      </c>
      <c r="HH161">
        <f ca="1"/>
      </c>
      <c r="HI161">
        <f ca="1"/>
      </c>
      <c r="HJ161">
        <f ca="1"/>
      </c>
      <c r="HK161">
        <f ca="1"/>
      </c>
      <c r="HL161">
        <f ca="1"/>
      </c>
      <c r="HM161">
        <f ca="1"/>
      </c>
      <c r="HN161">
        <f ca="1"/>
      </c>
      <c r="HO161">
        <f ca="1"/>
      </c>
      <c r="HP161">
        <f ca="1"/>
      </c>
      <c r="HQ161">
        <f ca="1"/>
      </c>
      <c r="HS161">
        <f ca="1"/>
      </c>
      <c r="HT161">
        <f ca="1"/>
      </c>
      <c r="HU161">
        <f ca="1"/>
      </c>
      <c r="HV161">
        <f ca="1"/>
      </c>
      <c r="HW161">
        <f ca="1"/>
      </c>
      <c r="HX161">
        <f ca="1"/>
      </c>
      <c r="HY161">
        <f ca="1"/>
      </c>
    </row>
    <row r="162" spans="93:233" x14ac:dyDescent="0.55000000000000004"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GX162">
        <f ca="1"/>
      </c>
      <c r="GY162">
        <f ca="1"/>
      </c>
      <c r="GZ162">
        <f ca="1"/>
      </c>
      <c r="HA162">
        <f ca="1"/>
      </c>
      <c r="HB162">
        <f ca="1"/>
      </c>
      <c r="HD162">
        <f ca="1"/>
      </c>
      <c r="HE162">
        <f ca="1"/>
      </c>
      <c r="HF162">
        <f ca="1"/>
      </c>
      <c r="HG162">
        <f ca="1"/>
      </c>
      <c r="HH162">
        <f ca="1"/>
      </c>
      <c r="HI162">
        <f ca="1"/>
      </c>
      <c r="HJ162">
        <f ca="1"/>
      </c>
      <c r="HK162">
        <f ca="1"/>
      </c>
      <c r="HL162">
        <f ca="1"/>
      </c>
      <c r="HM162">
        <f ca="1"/>
      </c>
      <c r="HN162">
        <f ca="1"/>
      </c>
      <c r="HO162">
        <f ca="1"/>
      </c>
      <c r="HP162">
        <f ca="1"/>
      </c>
      <c r="HQ162">
        <f ca="1"/>
      </c>
      <c r="HS162">
        <f ca="1"/>
      </c>
      <c r="HT162">
        <f ca="1"/>
      </c>
      <c r="HU162">
        <f ca="1"/>
      </c>
      <c r="HV162">
        <f ca="1"/>
      </c>
      <c r="HW162">
        <f ca="1"/>
      </c>
      <c r="HX162">
        <f ca="1"/>
      </c>
      <c r="HY162">
        <f ca="1"/>
      </c>
    </row>
    <row r="163" spans="93:233" x14ac:dyDescent="0.55000000000000004"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GX163">
        <f ca="1"/>
      </c>
      <c r="GY163">
        <f ca="1"/>
      </c>
      <c r="GZ163">
        <f ca="1"/>
      </c>
      <c r="HA163">
        <f ca="1"/>
      </c>
      <c r="HB163">
        <f ca="1"/>
      </c>
      <c r="HD163">
        <f ca="1"/>
      </c>
      <c r="HE163">
        <f ca="1"/>
      </c>
      <c r="HF163">
        <f ca="1"/>
      </c>
      <c r="HG163">
        <f ca="1"/>
      </c>
      <c r="HH163">
        <f ca="1"/>
      </c>
      <c r="HI163">
        <f ca="1"/>
      </c>
      <c r="HJ163">
        <f ca="1"/>
      </c>
      <c r="HK163">
        <f ca="1"/>
      </c>
      <c r="HL163">
        <f ca="1"/>
      </c>
      <c r="HM163">
        <f ca="1"/>
      </c>
      <c r="HN163">
        <f ca="1"/>
      </c>
      <c r="HO163">
        <f ca="1"/>
      </c>
      <c r="HP163">
        <f ca="1"/>
      </c>
      <c r="HQ163">
        <f ca="1"/>
      </c>
      <c r="HS163">
        <f ca="1"/>
      </c>
      <c r="HT163">
        <f ca="1"/>
      </c>
      <c r="HU163">
        <f ca="1"/>
      </c>
      <c r="HV163">
        <f ca="1"/>
      </c>
      <c r="HW163">
        <f ca="1"/>
      </c>
      <c r="HX163">
        <f ca="1"/>
      </c>
      <c r="HY163">
        <f ca="1"/>
      </c>
    </row>
    <row r="164" spans="93:233" x14ac:dyDescent="0.55000000000000004"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GX164">
        <f ca="1"/>
      </c>
      <c r="GY164">
        <f ca="1"/>
      </c>
      <c r="GZ164">
        <f ca="1"/>
      </c>
      <c r="HA164">
        <f ca="1"/>
      </c>
      <c r="HB164">
        <f ca="1"/>
      </c>
      <c r="HD164">
        <f ca="1"/>
      </c>
      <c r="HE164">
        <f ca="1"/>
      </c>
      <c r="HF164">
        <f ca="1"/>
      </c>
      <c r="HG164">
        <f ca="1"/>
      </c>
      <c r="HH164">
        <f ca="1"/>
      </c>
      <c r="HI164">
        <f ca="1"/>
      </c>
      <c r="HJ164">
        <f ca="1"/>
      </c>
      <c r="HK164">
        <f ca="1"/>
      </c>
      <c r="HL164">
        <f ca="1"/>
      </c>
      <c r="HM164">
        <f ca="1"/>
      </c>
      <c r="HN164">
        <f ca="1"/>
      </c>
      <c r="HO164">
        <f ca="1"/>
      </c>
      <c r="HP164">
        <f ca="1"/>
      </c>
      <c r="HQ164">
        <f ca="1"/>
      </c>
      <c r="HS164">
        <f ca="1"/>
      </c>
      <c r="HT164">
        <f ca="1"/>
      </c>
      <c r="HU164">
        <f ca="1"/>
      </c>
      <c r="HV164">
        <f ca="1"/>
      </c>
      <c r="HW164">
        <f ca="1"/>
      </c>
      <c r="HX164">
        <f ca="1"/>
      </c>
      <c r="HY164">
        <f ca="1"/>
      </c>
    </row>
    <row r="165" spans="93:233" x14ac:dyDescent="0.55000000000000004"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GX165">
        <f ca="1"/>
      </c>
      <c r="GY165">
        <f ca="1"/>
      </c>
      <c r="GZ165">
        <f ca="1"/>
      </c>
      <c r="HA165">
        <f ca="1"/>
      </c>
      <c r="HB165">
        <f ca="1"/>
      </c>
      <c r="HD165">
        <f ca="1"/>
      </c>
      <c r="HE165">
        <f ca="1"/>
      </c>
      <c r="HF165">
        <f ca="1"/>
      </c>
      <c r="HG165">
        <f ca="1"/>
      </c>
      <c r="HH165">
        <f ca="1"/>
      </c>
      <c r="HI165">
        <f ca="1"/>
      </c>
      <c r="HJ165">
        <f ca="1"/>
      </c>
      <c r="HK165">
        <f ca="1"/>
      </c>
      <c r="HL165">
        <f ca="1"/>
      </c>
      <c r="HM165">
        <f ca="1"/>
      </c>
      <c r="HN165">
        <f ca="1"/>
      </c>
      <c r="HO165">
        <f ca="1"/>
      </c>
      <c r="HP165">
        <f ca="1"/>
      </c>
      <c r="HQ165">
        <f ca="1"/>
      </c>
      <c r="HS165">
        <f ca="1"/>
      </c>
      <c r="HT165">
        <f ca="1"/>
      </c>
      <c r="HU165">
        <f ca="1"/>
      </c>
      <c r="HV165">
        <f ca="1"/>
      </c>
      <c r="HW165">
        <f ca="1"/>
      </c>
      <c r="HX165">
        <f ca="1"/>
      </c>
      <c r="HY165">
        <f ca="1"/>
      </c>
    </row>
    <row r="166" spans="93:233" x14ac:dyDescent="0.55000000000000004"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GX166">
        <f ca="1"/>
      </c>
      <c r="GY166">
        <f ca="1"/>
      </c>
      <c r="GZ166">
        <f ca="1"/>
      </c>
      <c r="HA166">
        <f ca="1"/>
      </c>
      <c r="HB166">
        <f ca="1"/>
      </c>
      <c r="HD166">
        <f ca="1"/>
      </c>
      <c r="HE166">
        <f ca="1"/>
      </c>
      <c r="HF166">
        <f ca="1"/>
      </c>
      <c r="HG166">
        <f ca="1"/>
      </c>
      <c r="HH166">
        <f ca="1"/>
      </c>
      <c r="HI166">
        <f ca="1"/>
      </c>
      <c r="HJ166">
        <f ca="1"/>
      </c>
      <c r="HK166">
        <f ca="1"/>
      </c>
      <c r="HL166">
        <f ca="1"/>
      </c>
      <c r="HM166">
        <f ca="1"/>
      </c>
      <c r="HN166">
        <f ca="1"/>
      </c>
      <c r="HO166">
        <f ca="1"/>
      </c>
      <c r="HP166">
        <f ca="1"/>
      </c>
      <c r="HQ166">
        <f ca="1"/>
      </c>
      <c r="HS166">
        <f ca="1"/>
      </c>
      <c r="HT166">
        <f ca="1"/>
      </c>
      <c r="HU166">
        <f ca="1"/>
      </c>
      <c r="HV166">
        <f ca="1"/>
      </c>
      <c r="HW166">
        <f ca="1"/>
      </c>
      <c r="HX166">
        <f ca="1"/>
      </c>
      <c r="HY166">
        <f ca="1"/>
      </c>
    </row>
    <row r="167" spans="93:233" x14ac:dyDescent="0.55000000000000004"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GX167">
        <f ca="1"/>
      </c>
      <c r="GY167">
        <f ca="1"/>
      </c>
      <c r="GZ167">
        <f ca="1"/>
      </c>
      <c r="HA167">
        <f ca="1"/>
      </c>
      <c r="HB167">
        <f ca="1"/>
      </c>
      <c r="HD167">
        <f ca="1"/>
      </c>
      <c r="HE167">
        <f ca="1"/>
      </c>
      <c r="HF167">
        <f ca="1"/>
      </c>
      <c r="HG167">
        <f ca="1"/>
      </c>
      <c r="HH167">
        <f ca="1"/>
      </c>
      <c r="HI167">
        <f ca="1"/>
      </c>
      <c r="HJ167">
        <f ca="1"/>
      </c>
      <c r="HK167">
        <f ca="1"/>
      </c>
      <c r="HL167">
        <f ca="1"/>
      </c>
      <c r="HM167">
        <f ca="1"/>
      </c>
      <c r="HN167">
        <f ca="1"/>
      </c>
      <c r="HO167">
        <f ca="1"/>
      </c>
      <c r="HP167">
        <f ca="1"/>
      </c>
      <c r="HQ167">
        <f ca="1"/>
      </c>
      <c r="HS167">
        <f ca="1"/>
      </c>
      <c r="HT167">
        <f ca="1"/>
      </c>
      <c r="HU167">
        <f ca="1"/>
      </c>
      <c r="HV167">
        <f ca="1"/>
      </c>
      <c r="HW167">
        <f ca="1"/>
      </c>
      <c r="HX167">
        <f ca="1"/>
      </c>
      <c r="HY167">
        <f ca="1"/>
      </c>
    </row>
    <row r="168" spans="93:233" x14ac:dyDescent="0.55000000000000004"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GX168">
        <f ca="1"/>
      </c>
      <c r="GY168">
        <f ca="1"/>
      </c>
      <c r="GZ168">
        <f ca="1"/>
      </c>
      <c r="HA168">
        <f ca="1"/>
      </c>
      <c r="HB168">
        <f ca="1"/>
      </c>
      <c r="HD168">
        <f ca="1"/>
      </c>
      <c r="HE168">
        <f ca="1"/>
      </c>
      <c r="HF168">
        <f ca="1"/>
      </c>
      <c r="HG168">
        <f ca="1"/>
      </c>
      <c r="HH168">
        <f ca="1"/>
      </c>
      <c r="HI168">
        <f ca="1"/>
      </c>
      <c r="HJ168">
        <f ca="1"/>
      </c>
      <c r="HK168">
        <f ca="1"/>
      </c>
      <c r="HL168">
        <f ca="1"/>
      </c>
      <c r="HM168">
        <f ca="1"/>
      </c>
      <c r="HN168">
        <f ca="1"/>
      </c>
      <c r="HO168">
        <f ca="1"/>
      </c>
      <c r="HP168">
        <f ca="1"/>
      </c>
      <c r="HQ168">
        <f ca="1"/>
      </c>
      <c r="HS168">
        <f ca="1"/>
      </c>
      <c r="HT168">
        <f ca="1"/>
      </c>
      <c r="HU168">
        <f ca="1"/>
      </c>
      <c r="HV168">
        <f ca="1"/>
      </c>
      <c r="HW168">
        <f ca="1"/>
      </c>
      <c r="HX168">
        <f ca="1"/>
      </c>
      <c r="HY168">
        <f ca="1"/>
      </c>
    </row>
    <row r="169" spans="93:233" x14ac:dyDescent="0.55000000000000004"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GX169">
        <f ca="1"/>
      </c>
      <c r="GY169">
        <f ca="1"/>
      </c>
      <c r="GZ169">
        <f ca="1"/>
      </c>
      <c r="HA169">
        <f ca="1"/>
      </c>
      <c r="HB169">
        <f ca="1"/>
      </c>
      <c r="HD169">
        <f ca="1"/>
      </c>
      <c r="HE169">
        <f ca="1"/>
      </c>
      <c r="HF169">
        <f ca="1"/>
      </c>
      <c r="HG169">
        <f ca="1"/>
      </c>
      <c r="HH169">
        <f ca="1"/>
      </c>
      <c r="HI169">
        <f ca="1"/>
      </c>
      <c r="HJ169">
        <f ca="1"/>
      </c>
      <c r="HK169">
        <f ca="1"/>
      </c>
      <c r="HL169">
        <f ca="1"/>
      </c>
      <c r="HM169">
        <f ca="1"/>
      </c>
      <c r="HN169">
        <f ca="1"/>
      </c>
      <c r="HO169">
        <f ca="1"/>
      </c>
      <c r="HP169">
        <f ca="1"/>
      </c>
      <c r="HQ169">
        <f ca="1"/>
      </c>
      <c r="HS169">
        <f ca="1"/>
      </c>
      <c r="HT169">
        <f ca="1"/>
      </c>
      <c r="HU169">
        <f ca="1"/>
      </c>
      <c r="HV169">
        <f ca="1"/>
      </c>
      <c r="HW169">
        <f ca="1"/>
      </c>
      <c r="HX169">
        <f ca="1"/>
      </c>
      <c r="HY169">
        <f ca="1"/>
      </c>
    </row>
    <row r="170" spans="93:233" x14ac:dyDescent="0.55000000000000004"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GX170">
        <f ca="1"/>
      </c>
      <c r="GY170">
        <f ca="1"/>
      </c>
      <c r="GZ170">
        <f ca="1"/>
      </c>
      <c r="HA170">
        <f ca="1"/>
      </c>
      <c r="HB170">
        <f ca="1"/>
      </c>
      <c r="HD170">
        <f ca="1"/>
      </c>
      <c r="HE170">
        <f ca="1"/>
      </c>
      <c r="HF170">
        <f ca="1"/>
      </c>
      <c r="HG170">
        <f ca="1"/>
      </c>
      <c r="HH170">
        <f ca="1"/>
      </c>
      <c r="HI170">
        <f ca="1"/>
      </c>
      <c r="HJ170">
        <f ca="1"/>
      </c>
      <c r="HK170">
        <f ca="1"/>
      </c>
      <c r="HL170">
        <f ca="1"/>
      </c>
      <c r="HM170">
        <f ca="1"/>
      </c>
      <c r="HN170">
        <f ca="1"/>
      </c>
      <c r="HO170">
        <f ca="1"/>
      </c>
      <c r="HP170">
        <f ca="1"/>
      </c>
      <c r="HQ170">
        <f ca="1"/>
      </c>
      <c r="HS170">
        <f ca="1"/>
      </c>
      <c r="HT170">
        <f ca="1"/>
      </c>
      <c r="HU170">
        <f ca="1"/>
      </c>
      <c r="HV170">
        <f ca="1"/>
      </c>
      <c r="HW170">
        <f ca="1"/>
      </c>
      <c r="HX170">
        <f ca="1"/>
      </c>
      <c r="HY170">
        <f ca="1"/>
      </c>
    </row>
    <row r="171" spans="93:233" x14ac:dyDescent="0.55000000000000004"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GX171">
        <f ca="1"/>
      </c>
      <c r="GY171">
        <f ca="1"/>
      </c>
      <c r="GZ171">
        <f ca="1"/>
      </c>
      <c r="HA171">
        <f ca="1"/>
      </c>
      <c r="HB171">
        <f ca="1"/>
      </c>
      <c r="HD171">
        <f ca="1"/>
      </c>
      <c r="HE171">
        <f ca="1"/>
      </c>
      <c r="HF171">
        <f ca="1"/>
      </c>
      <c r="HG171">
        <f ca="1"/>
      </c>
      <c r="HH171">
        <f ca="1"/>
      </c>
      <c r="HI171">
        <f ca="1"/>
      </c>
      <c r="HJ171">
        <f ca="1"/>
      </c>
      <c r="HK171">
        <f ca="1"/>
      </c>
      <c r="HL171">
        <f ca="1"/>
      </c>
      <c r="HM171">
        <f ca="1"/>
      </c>
      <c r="HN171">
        <f ca="1"/>
      </c>
      <c r="HO171">
        <f ca="1"/>
      </c>
      <c r="HP171">
        <f ca="1"/>
      </c>
      <c r="HQ171">
        <f ca="1"/>
      </c>
      <c r="HS171">
        <f ca="1"/>
      </c>
      <c r="HT171">
        <f ca="1"/>
      </c>
      <c r="HU171">
        <f ca="1"/>
      </c>
      <c r="HV171">
        <f ca="1"/>
      </c>
      <c r="HW171">
        <f ca="1"/>
      </c>
      <c r="HX171">
        <f ca="1"/>
      </c>
      <c r="HY171">
        <f ca="1"/>
      </c>
    </row>
    <row r="172" spans="93:233" x14ac:dyDescent="0.55000000000000004"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GX172">
        <f ca="1"/>
      </c>
      <c r="GY172">
        <f ca="1"/>
      </c>
      <c r="GZ172">
        <f ca="1"/>
      </c>
      <c r="HA172">
        <f ca="1"/>
      </c>
      <c r="HB172">
        <f ca="1"/>
      </c>
      <c r="HD172">
        <f ca="1"/>
      </c>
      <c r="HE172">
        <f ca="1"/>
      </c>
      <c r="HF172">
        <f ca="1"/>
      </c>
      <c r="HG172">
        <f ca="1"/>
      </c>
      <c r="HH172">
        <f ca="1"/>
      </c>
      <c r="HI172">
        <f ca="1"/>
      </c>
      <c r="HJ172">
        <f ca="1"/>
      </c>
      <c r="HK172">
        <f ca="1"/>
      </c>
      <c r="HL172">
        <f ca="1"/>
      </c>
      <c r="HM172">
        <f ca="1"/>
      </c>
      <c r="HN172">
        <f ca="1"/>
      </c>
      <c r="HO172">
        <f ca="1"/>
      </c>
      <c r="HP172">
        <f ca="1"/>
      </c>
      <c r="HQ172">
        <f ca="1"/>
      </c>
      <c r="HS172">
        <f ca="1"/>
      </c>
      <c r="HT172">
        <f ca="1"/>
      </c>
      <c r="HU172">
        <f ca="1"/>
      </c>
      <c r="HV172">
        <f ca="1"/>
      </c>
      <c r="HW172">
        <f ca="1"/>
      </c>
      <c r="HX172">
        <f ca="1"/>
      </c>
      <c r="HY172">
        <f ca="1"/>
      </c>
    </row>
    <row r="173" spans="93:233" x14ac:dyDescent="0.55000000000000004"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GR173" s="11"/>
      <c r="GS173" s="11"/>
      <c r="GT173" s="11"/>
      <c r="GU173" s="11"/>
      <c r="GV173" s="11"/>
      <c r="HS173">
        <f ca="1"/>
      </c>
      <c r="HT173">
        <f ca="1"/>
      </c>
      <c r="HU173">
        <f ca="1"/>
      </c>
      <c r="HV173">
        <f ca="1"/>
      </c>
      <c r="HW173">
        <f ca="1"/>
      </c>
      <c r="HX173">
        <f ca="1"/>
      </c>
      <c r="HY173">
        <f ca="1"/>
      </c>
    </row>
    <row r="174" spans="93:233" x14ac:dyDescent="0.55000000000000004"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GR174" s="11"/>
      <c r="GS174" s="11"/>
      <c r="GT174" s="11"/>
      <c r="GU174" s="11"/>
      <c r="GV174" s="11"/>
      <c r="HS174">
        <f ca="1"/>
      </c>
      <c r="HT174">
        <f ca="1"/>
      </c>
      <c r="HU174">
        <f ca="1"/>
      </c>
      <c r="HV174">
        <f ca="1"/>
      </c>
      <c r="HW174">
        <f ca="1"/>
      </c>
      <c r="HX174">
        <f ca="1"/>
      </c>
      <c r="HY174">
        <f ca="1"/>
      </c>
    </row>
    <row r="175" spans="93:233" x14ac:dyDescent="0.55000000000000004"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GR175" s="11"/>
      <c r="GS175" s="11"/>
      <c r="GT175" s="11"/>
      <c r="GU175" s="11"/>
      <c r="GV175" s="11"/>
      <c r="HS175">
        <f ca="1"/>
      </c>
      <c r="HT175">
        <f ca="1"/>
      </c>
      <c r="HU175">
        <f ca="1"/>
      </c>
      <c r="HV175">
        <f ca="1"/>
      </c>
      <c r="HW175">
        <f ca="1"/>
      </c>
      <c r="HX175">
        <f ca="1"/>
      </c>
      <c r="HY175">
        <f ca="1"/>
      </c>
    </row>
    <row r="176" spans="93:233" x14ac:dyDescent="0.55000000000000004"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GR176" s="11"/>
      <c r="GS176" s="11"/>
      <c r="GT176" s="11"/>
      <c r="GU176" s="11"/>
      <c r="GV176" s="11"/>
      <c r="HS176">
        <f ca="1"/>
      </c>
      <c r="HT176">
        <f ca="1"/>
      </c>
      <c r="HU176">
        <f ca="1"/>
      </c>
      <c r="HV176">
        <f ca="1"/>
      </c>
      <c r="HW176">
        <f ca="1"/>
      </c>
      <c r="HX176">
        <f ca="1"/>
      </c>
      <c r="HY176">
        <f ca="1"/>
      </c>
    </row>
    <row r="177" spans="93:233" x14ac:dyDescent="0.55000000000000004"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GR177" s="11"/>
      <c r="GS177" s="11"/>
      <c r="GT177" s="11"/>
      <c r="GU177" s="11"/>
      <c r="GV177" s="11"/>
      <c r="HS177">
        <f ca="1"/>
      </c>
      <c r="HT177">
        <f ca="1"/>
      </c>
      <c r="HU177">
        <f ca="1"/>
      </c>
      <c r="HV177">
        <f ca="1"/>
      </c>
      <c r="HW177">
        <f ca="1"/>
      </c>
      <c r="HX177">
        <f ca="1"/>
      </c>
      <c r="HY177">
        <f ca="1"/>
      </c>
    </row>
    <row r="178" spans="93:233" x14ac:dyDescent="0.55000000000000004"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GR178" s="11"/>
      <c r="GS178" s="11"/>
      <c r="GT178" s="11"/>
      <c r="GU178" s="11"/>
      <c r="GV178" s="11"/>
      <c r="HS178">
        <f ca="1"/>
      </c>
      <c r="HT178">
        <f ca="1"/>
      </c>
      <c r="HU178">
        <f ca="1"/>
      </c>
      <c r="HV178">
        <f ca="1"/>
      </c>
      <c r="HW178">
        <f ca="1"/>
      </c>
      <c r="HX178">
        <f ca="1"/>
      </c>
      <c r="HY178">
        <f ca="1"/>
      </c>
    </row>
    <row r="179" spans="93:233" x14ac:dyDescent="0.55000000000000004"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GR179" s="11"/>
      <c r="GS179" s="11"/>
      <c r="GT179" s="11"/>
      <c r="GU179" s="11"/>
      <c r="GV179" s="11"/>
      <c r="HS179">
        <f ca="1"/>
      </c>
      <c r="HT179">
        <f ca="1"/>
      </c>
      <c r="HU179">
        <f ca="1"/>
      </c>
      <c r="HV179">
        <f ca="1"/>
      </c>
      <c r="HW179">
        <f ca="1"/>
      </c>
      <c r="HX179">
        <f ca="1"/>
      </c>
      <c r="HY179">
        <f ca="1"/>
      </c>
    </row>
    <row r="180" spans="93:233" x14ac:dyDescent="0.55000000000000004"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GR180" s="11"/>
      <c r="GS180" s="11"/>
      <c r="GT180" s="11"/>
      <c r="GU180" s="11"/>
      <c r="GV180" s="11"/>
      <c r="HS180">
        <f ca="1"/>
      </c>
      <c r="HT180">
        <f ca="1"/>
      </c>
      <c r="HU180">
        <f ca="1"/>
      </c>
      <c r="HV180">
        <f ca="1"/>
      </c>
      <c r="HW180">
        <f ca="1"/>
      </c>
      <c r="HX180">
        <f ca="1"/>
      </c>
      <c r="HY180">
        <f ca="1"/>
      </c>
    </row>
    <row r="181" spans="93:233" x14ac:dyDescent="0.55000000000000004"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GR181" s="11"/>
      <c r="GS181" s="11"/>
      <c r="GT181" s="11"/>
      <c r="GU181" s="11"/>
      <c r="GV181" s="11"/>
      <c r="HS181">
        <f ca="1"/>
      </c>
      <c r="HT181">
        <f ca="1"/>
      </c>
      <c r="HU181">
        <f ca="1"/>
      </c>
      <c r="HV181">
        <f ca="1"/>
      </c>
      <c r="HW181">
        <f ca="1"/>
      </c>
      <c r="HX181">
        <f ca="1"/>
      </c>
      <c r="HY181">
        <f ca="1"/>
      </c>
    </row>
    <row r="182" spans="93:233" x14ac:dyDescent="0.55000000000000004"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GR182" s="11"/>
      <c r="GS182" s="11"/>
      <c r="GT182" s="11"/>
      <c r="GU182" s="11"/>
      <c r="GV182" s="11"/>
      <c r="HS182">
        <f ca="1"/>
      </c>
      <c r="HT182">
        <f ca="1"/>
      </c>
      <c r="HU182">
        <f ca="1"/>
      </c>
      <c r="HV182">
        <f ca="1"/>
      </c>
      <c r="HW182">
        <f ca="1"/>
      </c>
      <c r="HX182">
        <f ca="1"/>
      </c>
      <c r="HY182">
        <f ca="1"/>
      </c>
    </row>
    <row r="183" spans="93:233" x14ac:dyDescent="0.55000000000000004"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GR183" s="11"/>
      <c r="GS183" s="11"/>
      <c r="GT183" s="11"/>
      <c r="GU183" s="11"/>
      <c r="GV183" s="11"/>
      <c r="HS183">
        <f ca="1"/>
      </c>
      <c r="HT183">
        <f ca="1"/>
      </c>
      <c r="HU183">
        <f ca="1"/>
      </c>
      <c r="HV183">
        <f ca="1"/>
      </c>
      <c r="HW183">
        <f ca="1"/>
      </c>
      <c r="HX183">
        <f ca="1"/>
      </c>
      <c r="HY183">
        <f ca="1"/>
      </c>
    </row>
    <row r="184" spans="93:233" x14ac:dyDescent="0.55000000000000004"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GR184" s="11"/>
      <c r="GS184" s="11"/>
      <c r="GT184" s="11"/>
      <c r="GU184" s="11"/>
      <c r="GV184" s="11"/>
      <c r="HS184">
        <f ca="1"/>
      </c>
      <c r="HT184">
        <f ca="1"/>
      </c>
      <c r="HU184">
        <f ca="1"/>
      </c>
      <c r="HV184">
        <f ca="1"/>
      </c>
      <c r="HW184">
        <f ca="1"/>
      </c>
      <c r="HX184">
        <f ca="1"/>
      </c>
      <c r="HY184">
        <f ca="1"/>
      </c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aca="1" ref="EQ204:FR221" ca="1">_xlfn.LET(_xlpm.g,_xlfn.DROP(_xlfn.ANCHORARRAY($CO$4),1),_xlfn._xlws.FILTER(_xlpm.g,_xlfn.TAKE(_xlpm.g,,1)=5))</f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aca="1" ref="GX205:GX222" ca="1">_xlfn.LET(_xlpm.V,_xlfn.DROP(_xlfn.ANCHORARRAY($EQ$204),,10),IF(1&lt;=COLUMNS(_xlpm.V),_xlfn.CHOOSECOLS(_xlpm.V,1),IF(_xlfn.SEQUENCE(ROWS(_xlpm.V)),NA())))</f>
      </c>
      <c r="GY205" cm="1">
        <f t="array" aca="1" ref="GY205:GY222" ca="1">_xlfn.LET(_xlpm.V,_xlfn.DROP(_xlfn.ANCHORARRAY($EQ$204),,10),IF(2&lt;=COLUMNS(_xlpm.V),_xlfn.CHOOSECOLS(_xlpm.V,2),IF(_xlfn.SEQUENCE(ROWS(_xlpm.V)),NA())))</f>
      </c>
      <c r="GZ205" cm="1">
        <f t="array" aca="1" ref="GZ205:GZ222" ca="1">_xlfn.LET(_xlpm.V,_xlfn.DROP(_xlfn.ANCHORARRAY($EQ$204),,10),IF(3&lt;=COLUMNS(_xlpm.V),_xlfn.CHOOSECOLS(_xlpm.V,3),IF(_xlfn.SEQUENCE(ROWS(_xlpm.V)),NA())))</f>
      </c>
      <c r="HA205" cm="1">
        <f t="array" aca="1" ref="HA205:HA222" ca="1">_xlfn.LET(_xlpm.V,_xlfn.DROP(_xlfn.ANCHORARRAY($EQ$204),,10),IF(4&lt;=COLUMNS(_xlpm.V),_xlfn.CHOOSECOLS(_xlpm.V,4),IF(_xlfn.SEQUENCE(ROWS(_xlpm.V)),NA())))</f>
      </c>
      <c r="HB205" cm="1">
        <f t="array" aca="1" ref="HB205:HB222" ca="1">_xlfn.LET(_xlpm.V,_xlfn.DROP(_xlfn.ANCHORARRAY($EQ$204),,10),IF(5&lt;=COLUMNS(_xlpm.V),_xlfn.CHOOSECOLS(_xlpm.V,5),IF(_xlfn.SEQUENCE(ROWS(_xlpm.V)),NA())))</f>
      </c>
      <c r="HD205" cm="1">
        <f t="array" aca="1" ref="HD205:HD222" ca="1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aca="1" ref="HF205:HF222" ca="1">_xlfn.CHOOSECOLS(_xlfn.ANCHORARRAY($EQ$204),8)+_xlfn.CHOOSECOLS(_xlfn.ANCHORARRAY($EQ$204),10)</f>
      </c>
      <c r="HG205" cm="1">
        <f t="array" aca="1" ref="HG205:HG222" ca="1">_xlfn.CHOOSECOLS(_xlfn.ANCHORARRAY($EQ$204),8)-_xlfn.CHOOSECOLS(_xlfn.ANCHORARRAY($EQ$204),10)</f>
      </c>
      <c r="HH205" cm="1">
        <f t="array" aca="1" ref="HH205:HH222" ca="1">_xlfn.LET(_xlpm.v,_xlfn.CHOOSECOLS(_xlfn._xlws.FILTER(_xlfn.DROP(_xlfn.ANCHORARRAY($HS$4),1),_xlfn.TAKE(_xlfn.DROP(_xlfn.ANCHORARRAY($HS$4),1),,1)=5),3),IF(_xlpm.v="",NA(),_xlpm.v))</f>
      </c>
      <c r="HI205" cm="1">
        <f t="array" aca="1" ref="HI205:HI222" ca="1">-_xlfn.ANCHORARRAY($HH$205)</f>
      </c>
      <c r="HJ205" cm="1">
        <f t="array" aca="1" ref="HJ205:HJ222" ca="1">_xlfn.LET(_xlpm.v,_xlfn.CHOOSECOLS(_xlfn._xlws.FILTER(_xlfn.DROP(_xlfn.ANCHORARRAY($HS$4),1),_xlfn.TAKE(_xlfn.DROP(_xlfn.ANCHORARRAY($HS$4),1),,1)=5),4),IF(_xlpm.v="",NA(),_xlpm.v))</f>
      </c>
      <c r="HK205" cm="1">
        <f t="array" aca="1" ref="HK205:HK222" ca="1">-_xlfn.ANCHORARRAY($HJ$205)</f>
      </c>
      <c r="HL205" cm="1">
        <f t="array" aca="1" ref="HL205:HL222" ca="1">_xlfn.LET(_xlpm.v,_xlfn.CHOOSECOLS(_xlfn._xlws.FILTER(_xlfn.DROP(_xlfn.ANCHORARRAY($HS$4),1),_xlfn.TAKE(_xlfn.DROP(_xlfn.ANCHORARRAY($HS$4),1),,1)=5),5),IF(_xlpm.v="",NA(),_xlpm.v))</f>
      </c>
      <c r="HM205" cm="1">
        <f t="array" aca="1" ref="HM205:HM222" ca="1">-_xlfn.ANCHORARRAY($HL$205)</f>
      </c>
      <c r="HN205" cm="1">
        <f t="array" aca="1" ref="HN205:HN222" ca="1">_xlfn.LET(_xlpm.v,_xlfn.CHOOSECOLS(_xlfn._xlws.FILTER(_xlfn.DROP(_xlfn.ANCHORARRAY($HS$4),1),_xlfn.TAKE(_xlfn.DROP(_xlfn.ANCHORARRAY($HS$4),1),,1)=5),6),IF(_xlpm.v="",NA(),_xlpm.v))</f>
      </c>
      <c r="HO205" cm="1">
        <f t="array" aca="1" ref="HO205:HO222" ca="1">-_xlfn.ANCHORARRAY($HN$205)</f>
      </c>
      <c r="HP205" cm="1">
        <f t="array" aca="1" ref="HP205:HP222" ca="1">_xlfn.LET(_xlpm.v,_xlfn.CHOOSECOLS(_xlfn._xlws.FILTER(_xlfn.DROP(_xlfn.ANCHORARRAY($HS$4),1),_xlfn.TAKE(_xlfn.DROP(_xlfn.ANCHORARRAY($HS$4),1),,1)=5),7),IF(_xlpm.v="",NA(),_xlpm.v))</f>
      </c>
      <c r="HQ205" cm="1">
        <f t="array" aca="1" ref="HQ205:HQ222" ca="1">-_xlfn.ANCHORARRAY($HP$205)</f>
      </c>
      <c r="HR205" cm="1">
        <f t="array" aca="1" ref="HR205" ca="1">IFERROR(INDEX(_xlfn._xlws.FILTER(_xlfn.DROP(_xlfn.ANCHORARRAY($HS$4),1),_xlfn.TAKE(_xlfn.DROP(_xlfn.ANCHORARRAY($HS$4),1),,1)=5),1,2),"")</f>
      </c>
    </row>
    <row r="206" spans="146:226" x14ac:dyDescent="0.55000000000000004"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GX206">
        <f ca="1"/>
      </c>
      <c r="GY206">
        <f ca="1"/>
      </c>
      <c r="GZ206">
        <f ca="1"/>
      </c>
      <c r="HA206">
        <f ca="1"/>
      </c>
      <c r="HB206">
        <f ca="1"/>
      </c>
      <c r="HD206">
        <f ca="1"/>
      </c>
      <c r="HE206">
        <f ca="1"/>
      </c>
      <c r="HF206">
        <f ca="1"/>
      </c>
      <c r="HG206">
        <f ca="1"/>
      </c>
      <c r="HH206">
        <f ca="1"/>
      </c>
      <c r="HI206">
        <f ca="1"/>
      </c>
      <c r="HJ206">
        <f ca="1"/>
      </c>
      <c r="HK206">
        <f ca="1"/>
      </c>
      <c r="HL206">
        <f ca="1"/>
      </c>
      <c r="HM206">
        <f ca="1"/>
      </c>
      <c r="HN206">
        <f ca="1"/>
      </c>
      <c r="HO206">
        <f ca="1"/>
      </c>
      <c r="HP206">
        <f ca="1"/>
      </c>
      <c r="HQ206">
        <f ca="1"/>
      </c>
    </row>
    <row r="207" spans="146:226" x14ac:dyDescent="0.55000000000000004"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GX207">
        <f ca="1"/>
      </c>
      <c r="GY207">
        <f ca="1"/>
      </c>
      <c r="GZ207">
        <f ca="1"/>
      </c>
      <c r="HA207">
        <f ca="1"/>
      </c>
      <c r="HB207">
        <f ca="1"/>
      </c>
      <c r="HD207">
        <f ca="1"/>
      </c>
      <c r="HE207">
        <f ca="1"/>
      </c>
      <c r="HF207">
        <f ca="1"/>
      </c>
      <c r="HG207">
        <f ca="1"/>
      </c>
      <c r="HH207">
        <f ca="1"/>
      </c>
      <c r="HI207">
        <f ca="1"/>
      </c>
      <c r="HJ207">
        <f ca="1"/>
      </c>
      <c r="HK207">
        <f ca="1"/>
      </c>
      <c r="HL207">
        <f ca="1"/>
      </c>
      <c r="HM207">
        <f ca="1"/>
      </c>
      <c r="HN207">
        <f ca="1"/>
      </c>
      <c r="HO207">
        <f ca="1"/>
      </c>
      <c r="HP207">
        <f ca="1"/>
      </c>
      <c r="HQ207">
        <f ca="1"/>
      </c>
    </row>
    <row r="208" spans="146:226" x14ac:dyDescent="0.55000000000000004"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GX208">
        <f ca="1"/>
      </c>
      <c r="GY208">
        <f ca="1"/>
      </c>
      <c r="GZ208">
        <f ca="1"/>
      </c>
      <c r="HA208">
        <f ca="1"/>
      </c>
      <c r="HB208">
        <f ca="1"/>
      </c>
      <c r="HD208">
        <f ca="1"/>
      </c>
      <c r="HE208">
        <f ca="1"/>
      </c>
      <c r="HF208">
        <f ca="1"/>
      </c>
      <c r="HG208">
        <f ca="1"/>
      </c>
      <c r="HH208">
        <f ca="1"/>
      </c>
      <c r="HI208">
        <f ca="1"/>
      </c>
      <c r="HJ208">
        <f ca="1"/>
      </c>
      <c r="HK208">
        <f ca="1"/>
      </c>
      <c r="HL208">
        <f ca="1"/>
      </c>
      <c r="HM208">
        <f ca="1"/>
      </c>
      <c r="HN208">
        <f ca="1"/>
      </c>
      <c r="HO208">
        <f ca="1"/>
      </c>
      <c r="HP208">
        <f ca="1"/>
      </c>
      <c r="HQ208">
        <f ca="1"/>
      </c>
    </row>
    <row r="209" spans="147:225" x14ac:dyDescent="0.55000000000000004"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GX209">
        <f ca="1"/>
      </c>
      <c r="GY209">
        <f ca="1"/>
      </c>
      <c r="GZ209">
        <f ca="1"/>
      </c>
      <c r="HA209">
        <f ca="1"/>
      </c>
      <c r="HB209">
        <f ca="1"/>
      </c>
      <c r="HD209">
        <f ca="1"/>
      </c>
      <c r="HE209">
        <f ca="1"/>
      </c>
      <c r="HF209">
        <f ca="1"/>
      </c>
      <c r="HG209">
        <f ca="1"/>
      </c>
      <c r="HH209">
        <f ca="1"/>
      </c>
      <c r="HI209">
        <f ca="1"/>
      </c>
      <c r="HJ209">
        <f ca="1"/>
      </c>
      <c r="HK209">
        <f ca="1"/>
      </c>
      <c r="HL209">
        <f ca="1"/>
      </c>
      <c r="HM209">
        <f ca="1"/>
      </c>
      <c r="HN209">
        <f ca="1"/>
      </c>
      <c r="HO209">
        <f ca="1"/>
      </c>
      <c r="HP209">
        <f ca="1"/>
      </c>
      <c r="HQ209">
        <f ca="1"/>
      </c>
    </row>
    <row r="210" spans="147:225" x14ac:dyDescent="0.55000000000000004"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GX210">
        <f ca="1"/>
      </c>
      <c r="GY210">
        <f ca="1"/>
      </c>
      <c r="GZ210">
        <f ca="1"/>
      </c>
      <c r="HA210">
        <f ca="1"/>
      </c>
      <c r="HB210">
        <f ca="1"/>
      </c>
      <c r="HD210">
        <f ca="1"/>
      </c>
      <c r="HE210">
        <f ca="1"/>
      </c>
      <c r="HF210">
        <f ca="1"/>
      </c>
      <c r="HG210">
        <f ca="1"/>
      </c>
      <c r="HH210">
        <f ca="1"/>
      </c>
      <c r="HI210">
        <f ca="1"/>
      </c>
      <c r="HJ210">
        <f ca="1"/>
      </c>
      <c r="HK210">
        <f ca="1"/>
      </c>
      <c r="HL210">
        <f ca="1"/>
      </c>
      <c r="HM210">
        <f ca="1"/>
      </c>
      <c r="HN210">
        <f ca="1"/>
      </c>
      <c r="HO210">
        <f ca="1"/>
      </c>
      <c r="HP210">
        <f ca="1"/>
      </c>
      <c r="HQ210">
        <f ca="1"/>
      </c>
    </row>
    <row r="211" spans="147:225" x14ac:dyDescent="0.55000000000000004"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GX211">
        <f ca="1"/>
      </c>
      <c r="GY211">
        <f ca="1"/>
      </c>
      <c r="GZ211">
        <f ca="1"/>
      </c>
      <c r="HA211">
        <f ca="1"/>
      </c>
      <c r="HB211">
        <f ca="1"/>
      </c>
      <c r="HD211">
        <f ca="1"/>
      </c>
      <c r="HE211">
        <f ca="1"/>
      </c>
      <c r="HF211">
        <f ca="1"/>
      </c>
      <c r="HG211">
        <f ca="1"/>
      </c>
      <c r="HH211">
        <f ca="1"/>
      </c>
      <c r="HI211">
        <f ca="1"/>
      </c>
      <c r="HJ211">
        <f ca="1"/>
      </c>
      <c r="HK211">
        <f ca="1"/>
      </c>
      <c r="HL211">
        <f ca="1"/>
      </c>
      <c r="HM211">
        <f ca="1"/>
      </c>
      <c r="HN211">
        <f ca="1"/>
      </c>
      <c r="HO211">
        <f ca="1"/>
      </c>
      <c r="HP211">
        <f ca="1"/>
      </c>
      <c r="HQ211">
        <f ca="1"/>
      </c>
    </row>
    <row r="212" spans="147:225" x14ac:dyDescent="0.55000000000000004"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GX212">
        <f ca="1"/>
      </c>
      <c r="GY212">
        <f ca="1"/>
      </c>
      <c r="GZ212">
        <f ca="1"/>
      </c>
      <c r="HA212">
        <f ca="1"/>
      </c>
      <c r="HB212">
        <f ca="1"/>
      </c>
      <c r="HD212">
        <f ca="1"/>
      </c>
      <c r="HE212">
        <f ca="1"/>
      </c>
      <c r="HF212">
        <f ca="1"/>
      </c>
      <c r="HG212">
        <f ca="1"/>
      </c>
      <c r="HH212">
        <f ca="1"/>
      </c>
      <c r="HI212">
        <f ca="1"/>
      </c>
      <c r="HJ212">
        <f ca="1"/>
      </c>
      <c r="HK212">
        <f ca="1"/>
      </c>
      <c r="HL212">
        <f ca="1"/>
      </c>
      <c r="HM212">
        <f ca="1"/>
      </c>
      <c r="HN212">
        <f ca="1"/>
      </c>
      <c r="HO212">
        <f ca="1"/>
      </c>
      <c r="HP212">
        <f ca="1"/>
      </c>
      <c r="HQ212">
        <f ca="1"/>
      </c>
    </row>
    <row r="213" spans="147:225" x14ac:dyDescent="0.55000000000000004"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GX213">
        <f ca="1"/>
      </c>
      <c r="GY213">
        <f ca="1"/>
      </c>
      <c r="GZ213">
        <f ca="1"/>
      </c>
      <c r="HA213">
        <f ca="1"/>
      </c>
      <c r="HB213">
        <f ca="1"/>
      </c>
      <c r="HD213">
        <f ca="1"/>
      </c>
      <c r="HE213">
        <f ca="1"/>
      </c>
      <c r="HF213">
        <f ca="1"/>
      </c>
      <c r="HG213">
        <f ca="1"/>
      </c>
      <c r="HH213">
        <f ca="1"/>
      </c>
      <c r="HI213">
        <f ca="1"/>
      </c>
      <c r="HJ213">
        <f ca="1"/>
      </c>
      <c r="HK213">
        <f ca="1"/>
      </c>
      <c r="HL213">
        <f ca="1"/>
      </c>
      <c r="HM213">
        <f ca="1"/>
      </c>
      <c r="HN213">
        <f ca="1"/>
      </c>
      <c r="HO213">
        <f ca="1"/>
      </c>
      <c r="HP213">
        <f ca="1"/>
      </c>
      <c r="HQ213">
        <f ca="1"/>
      </c>
    </row>
    <row r="214" spans="147:225" x14ac:dyDescent="0.55000000000000004"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GX214">
        <f ca="1"/>
      </c>
      <c r="GY214">
        <f ca="1"/>
      </c>
      <c r="GZ214">
        <f ca="1"/>
      </c>
      <c r="HA214">
        <f ca="1"/>
      </c>
      <c r="HB214">
        <f ca="1"/>
      </c>
      <c r="HD214">
        <f ca="1"/>
      </c>
      <c r="HE214">
        <f ca="1"/>
      </c>
      <c r="HF214">
        <f ca="1"/>
      </c>
      <c r="HG214">
        <f ca="1"/>
      </c>
      <c r="HH214">
        <f ca="1"/>
      </c>
      <c r="HI214">
        <f ca="1"/>
      </c>
      <c r="HJ214">
        <f ca="1"/>
      </c>
      <c r="HK214">
        <f ca="1"/>
      </c>
      <c r="HL214">
        <f ca="1"/>
      </c>
      <c r="HM214">
        <f ca="1"/>
      </c>
      <c r="HN214">
        <f ca="1"/>
      </c>
      <c r="HO214">
        <f ca="1"/>
      </c>
      <c r="HP214">
        <f ca="1"/>
      </c>
      <c r="HQ214">
        <f ca="1"/>
      </c>
    </row>
    <row r="215" spans="147:225" x14ac:dyDescent="0.55000000000000004"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GX215">
        <f ca="1"/>
      </c>
      <c r="GY215">
        <f ca="1"/>
      </c>
      <c r="GZ215">
        <f ca="1"/>
      </c>
      <c r="HA215">
        <f ca="1"/>
      </c>
      <c r="HB215">
        <f ca="1"/>
      </c>
      <c r="HD215">
        <f ca="1"/>
      </c>
      <c r="HE215">
        <f ca="1"/>
      </c>
      <c r="HF215">
        <f ca="1"/>
      </c>
      <c r="HG215">
        <f ca="1"/>
      </c>
      <c r="HH215">
        <f ca="1"/>
      </c>
      <c r="HI215">
        <f ca="1"/>
      </c>
      <c r="HJ215">
        <f ca="1"/>
      </c>
      <c r="HK215">
        <f ca="1"/>
      </c>
      <c r="HL215">
        <f ca="1"/>
      </c>
      <c r="HM215">
        <f ca="1"/>
      </c>
      <c r="HN215">
        <f ca="1"/>
      </c>
      <c r="HO215">
        <f ca="1"/>
      </c>
      <c r="HP215">
        <f ca="1"/>
      </c>
      <c r="HQ215">
        <f ca="1"/>
      </c>
    </row>
    <row r="216" spans="147:225" x14ac:dyDescent="0.55000000000000004"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GX216">
        <f ca="1"/>
      </c>
      <c r="GY216">
        <f ca="1"/>
      </c>
      <c r="GZ216">
        <f ca="1"/>
      </c>
      <c r="HA216">
        <f ca="1"/>
      </c>
      <c r="HB216">
        <f ca="1"/>
      </c>
      <c r="HD216">
        <f ca="1"/>
      </c>
      <c r="HE216">
        <f ca="1"/>
      </c>
      <c r="HF216">
        <f ca="1"/>
      </c>
      <c r="HG216">
        <f ca="1"/>
      </c>
      <c r="HH216">
        <f ca="1"/>
      </c>
      <c r="HI216">
        <f ca="1"/>
      </c>
      <c r="HJ216">
        <f ca="1"/>
      </c>
      <c r="HK216">
        <f ca="1"/>
      </c>
      <c r="HL216">
        <f ca="1"/>
      </c>
      <c r="HM216">
        <f ca="1"/>
      </c>
      <c r="HN216">
        <f ca="1"/>
      </c>
      <c r="HO216">
        <f ca="1"/>
      </c>
      <c r="HP216">
        <f ca="1"/>
      </c>
      <c r="HQ216">
        <f ca="1"/>
      </c>
    </row>
    <row r="217" spans="147:225" x14ac:dyDescent="0.55000000000000004"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GX217">
        <f ca="1"/>
      </c>
      <c r="GY217">
        <f ca="1"/>
      </c>
      <c r="GZ217">
        <f ca="1"/>
      </c>
      <c r="HA217">
        <f ca="1"/>
      </c>
      <c r="HB217">
        <f ca="1"/>
      </c>
      <c r="HD217">
        <f ca="1"/>
      </c>
      <c r="HE217">
        <f ca="1"/>
      </c>
      <c r="HF217">
        <f ca="1"/>
      </c>
      <c r="HG217">
        <f ca="1"/>
      </c>
      <c r="HH217">
        <f ca="1"/>
      </c>
      <c r="HI217">
        <f ca="1"/>
      </c>
      <c r="HJ217">
        <f ca="1"/>
      </c>
      <c r="HK217">
        <f ca="1"/>
      </c>
      <c r="HL217">
        <f ca="1"/>
      </c>
      <c r="HM217">
        <f ca="1"/>
      </c>
      <c r="HN217">
        <f ca="1"/>
      </c>
      <c r="HO217">
        <f ca="1"/>
      </c>
      <c r="HP217">
        <f ca="1"/>
      </c>
      <c r="HQ217">
        <f ca="1"/>
      </c>
    </row>
    <row r="218" spans="147:225" x14ac:dyDescent="0.55000000000000004"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GX218">
        <f ca="1"/>
      </c>
      <c r="GY218">
        <f ca="1"/>
      </c>
      <c r="GZ218">
        <f ca="1"/>
      </c>
      <c r="HA218">
        <f ca="1"/>
      </c>
      <c r="HB218">
        <f ca="1"/>
      </c>
      <c r="HD218">
        <f ca="1"/>
      </c>
      <c r="HE218">
        <f ca="1"/>
      </c>
      <c r="HF218">
        <f ca="1"/>
      </c>
      <c r="HG218">
        <f ca="1"/>
      </c>
      <c r="HH218">
        <f ca="1"/>
      </c>
      <c r="HI218">
        <f ca="1"/>
      </c>
      <c r="HJ218">
        <f ca="1"/>
      </c>
      <c r="HK218">
        <f ca="1"/>
      </c>
      <c r="HL218">
        <f ca="1"/>
      </c>
      <c r="HM218">
        <f ca="1"/>
      </c>
      <c r="HN218">
        <f ca="1"/>
      </c>
      <c r="HO218">
        <f ca="1"/>
      </c>
      <c r="HP218">
        <f ca="1"/>
      </c>
      <c r="HQ218">
        <f ca="1"/>
      </c>
    </row>
    <row r="219" spans="147:225" x14ac:dyDescent="0.55000000000000004"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GX219">
        <f ca="1"/>
      </c>
      <c r="GY219">
        <f ca="1"/>
      </c>
      <c r="GZ219">
        <f ca="1"/>
      </c>
      <c r="HA219">
        <f ca="1"/>
      </c>
      <c r="HB219">
        <f ca="1"/>
      </c>
      <c r="HD219">
        <f ca="1"/>
      </c>
      <c r="HE219">
        <f ca="1"/>
      </c>
      <c r="HF219">
        <f ca="1"/>
      </c>
      <c r="HG219">
        <f ca="1"/>
      </c>
      <c r="HH219">
        <f ca="1"/>
      </c>
      <c r="HI219">
        <f ca="1"/>
      </c>
      <c r="HJ219">
        <f ca="1"/>
      </c>
      <c r="HK219">
        <f ca="1"/>
      </c>
      <c r="HL219">
        <f ca="1"/>
      </c>
      <c r="HM219">
        <f ca="1"/>
      </c>
      <c r="HN219">
        <f ca="1"/>
      </c>
      <c r="HO219">
        <f ca="1"/>
      </c>
      <c r="HP219">
        <f ca="1"/>
      </c>
      <c r="HQ219">
        <f ca="1"/>
      </c>
    </row>
    <row r="220" spans="147:225" x14ac:dyDescent="0.55000000000000004"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GX220">
        <f ca="1"/>
      </c>
      <c r="GY220">
        <f ca="1"/>
      </c>
      <c r="GZ220">
        <f ca="1"/>
      </c>
      <c r="HA220">
        <f ca="1"/>
      </c>
      <c r="HB220">
        <f ca="1"/>
      </c>
      <c r="HD220">
        <f ca="1"/>
      </c>
      <c r="HE220">
        <f ca="1"/>
      </c>
      <c r="HF220">
        <f ca="1"/>
      </c>
      <c r="HG220">
        <f ca="1"/>
      </c>
      <c r="HH220">
        <f ca="1"/>
      </c>
      <c r="HI220">
        <f ca="1"/>
      </c>
      <c r="HJ220">
        <f ca="1"/>
      </c>
      <c r="HK220">
        <f ca="1"/>
      </c>
      <c r="HL220">
        <f ca="1"/>
      </c>
      <c r="HM220">
        <f ca="1"/>
      </c>
      <c r="HN220">
        <f ca="1"/>
      </c>
      <c r="HO220">
        <f ca="1"/>
      </c>
      <c r="HP220">
        <f ca="1"/>
      </c>
      <c r="HQ220">
        <f ca="1"/>
      </c>
    </row>
    <row r="221" spans="147:225" x14ac:dyDescent="0.55000000000000004"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GX221">
        <f ca="1"/>
      </c>
      <c r="GY221">
        <f ca="1"/>
      </c>
      <c r="GZ221">
        <f ca="1"/>
      </c>
      <c r="HA221">
        <f ca="1"/>
      </c>
      <c r="HB221">
        <f ca="1"/>
      </c>
      <c r="HD221">
        <f ca="1"/>
      </c>
      <c r="HE221">
        <f ca="1"/>
      </c>
      <c r="HF221">
        <f ca="1"/>
      </c>
      <c r="HG221">
        <f ca="1"/>
      </c>
      <c r="HH221">
        <f ca="1"/>
      </c>
      <c r="HI221">
        <f ca="1"/>
      </c>
      <c r="HJ221">
        <f ca="1"/>
      </c>
      <c r="HK221">
        <f ca="1"/>
      </c>
      <c r="HL221">
        <f ca="1"/>
      </c>
      <c r="HM221">
        <f ca="1"/>
      </c>
      <c r="HN221">
        <f ca="1"/>
      </c>
      <c r="HO221">
        <f ca="1"/>
      </c>
      <c r="HP221">
        <f ca="1"/>
      </c>
      <c r="HQ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GX222">
        <f ca="1"/>
      </c>
      <c r="GY222">
        <f ca="1"/>
      </c>
      <c r="GZ222">
        <f ca="1"/>
      </c>
      <c r="HA222">
        <f ca="1"/>
      </c>
      <c r="HB222">
        <f ca="1"/>
      </c>
      <c r="HD222">
        <f ca="1"/>
      </c>
      <c r="HE222">
        <f ca="1"/>
      </c>
      <c r="HF222">
        <f ca="1"/>
      </c>
      <c r="HG222">
        <f ca="1"/>
      </c>
      <c r="HH222">
        <f ca="1"/>
      </c>
      <c r="HI222">
        <f ca="1"/>
      </c>
      <c r="HJ222">
        <f ca="1"/>
      </c>
      <c r="HK222">
        <f ca="1"/>
      </c>
      <c r="HL222">
        <f ca="1"/>
      </c>
      <c r="HM222">
        <f ca="1"/>
      </c>
      <c r="HN222">
        <f ca="1"/>
      </c>
      <c r="HO222">
        <f ca="1"/>
      </c>
      <c r="HP222">
        <f ca="1"/>
      </c>
      <c r="HQ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aca="1" ref="EQ254:FR271" ca="1">_xlfn.LET(_xlpm.g,_xlfn.DROP(_xlfn.ANCHORARRAY($CO$4),1),_xlfn._xlws.FILTER(_xlpm.g,_xlfn.TAKE(_xlpm.g,,1)=6))</f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aca="1" ref="GX255:GX272" ca="1">_xlfn.LET(_xlpm.V,_xlfn.DROP(_xlfn.ANCHORARRAY($EQ$254),,10),IF(1&lt;=COLUMNS(_xlpm.V),_xlfn.CHOOSECOLS(_xlpm.V,1),IF(_xlfn.SEQUENCE(ROWS(_xlpm.V)),NA())))</f>
      </c>
      <c r="GY255" cm="1">
        <f t="array" aca="1" ref="GY255:GY272" ca="1">_xlfn.LET(_xlpm.V,_xlfn.DROP(_xlfn.ANCHORARRAY($EQ$254),,10),IF(2&lt;=COLUMNS(_xlpm.V),_xlfn.CHOOSECOLS(_xlpm.V,2),IF(_xlfn.SEQUENCE(ROWS(_xlpm.V)),NA())))</f>
      </c>
      <c r="GZ255" cm="1">
        <f t="array" aca="1" ref="GZ255:GZ272" ca="1">_xlfn.LET(_xlpm.V,_xlfn.DROP(_xlfn.ANCHORARRAY($EQ$254),,10),IF(3&lt;=COLUMNS(_xlpm.V),_xlfn.CHOOSECOLS(_xlpm.V,3),IF(_xlfn.SEQUENCE(ROWS(_xlpm.V)),NA())))</f>
      </c>
      <c r="HA255" cm="1">
        <f t="array" aca="1" ref="HA255:HA272" ca="1">_xlfn.LET(_xlpm.V,_xlfn.DROP(_xlfn.ANCHORARRAY($EQ$254),,10),IF(4&lt;=COLUMNS(_xlpm.V),_xlfn.CHOOSECOLS(_xlpm.V,4),IF(_xlfn.SEQUENCE(ROWS(_xlpm.V)),NA())))</f>
      </c>
      <c r="HB255" cm="1">
        <f t="array" aca="1" ref="HB255:HB272" ca="1">_xlfn.LET(_xlpm.V,_xlfn.DROP(_xlfn.ANCHORARRAY($EQ$254),,10),IF(5&lt;=COLUMNS(_xlpm.V),_xlfn.CHOOSECOLS(_xlpm.V,5),IF(_xlfn.SEQUENCE(ROWS(_xlpm.V)),NA())))</f>
      </c>
      <c r="HD255" cm="1">
        <f t="array" aca="1" ref="HD255:HD272" ca="1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aca="1" ref="HF255:HF272" ca="1">_xlfn.CHOOSECOLS(_xlfn.ANCHORARRAY($EQ$254),8)+_xlfn.CHOOSECOLS(_xlfn.ANCHORARRAY($EQ$254),10)</f>
      </c>
      <c r="HG255" cm="1">
        <f t="array" aca="1" ref="HG255:HG272" ca="1">_xlfn.CHOOSECOLS(_xlfn.ANCHORARRAY($EQ$254),8)-_xlfn.CHOOSECOLS(_xlfn.ANCHORARRAY($EQ$254),10)</f>
      </c>
      <c r="HH255" cm="1">
        <f t="array" aca="1" ref="HH255:HH272" ca="1">_xlfn.LET(_xlpm.v,_xlfn.CHOOSECOLS(_xlfn._xlws.FILTER(_xlfn.DROP(_xlfn.ANCHORARRAY($HS$4),1),_xlfn.TAKE(_xlfn.DROP(_xlfn.ANCHORARRAY($HS$4),1),,1)=6),3),IF(_xlpm.v="",NA(),_xlpm.v))</f>
      </c>
      <c r="HI255" cm="1">
        <f t="array" aca="1" ref="HI255:HI272" ca="1">-_xlfn.ANCHORARRAY($HH$255)</f>
      </c>
      <c r="HJ255" cm="1">
        <f t="array" aca="1" ref="HJ255:HJ272" ca="1">_xlfn.LET(_xlpm.v,_xlfn.CHOOSECOLS(_xlfn._xlws.FILTER(_xlfn.DROP(_xlfn.ANCHORARRAY($HS$4),1),_xlfn.TAKE(_xlfn.DROP(_xlfn.ANCHORARRAY($HS$4),1),,1)=6),4),IF(_xlpm.v="",NA(),_xlpm.v))</f>
      </c>
      <c r="HK255" cm="1">
        <f t="array" aca="1" ref="HK255:HK272" ca="1">-_xlfn.ANCHORARRAY($HJ$255)</f>
      </c>
      <c r="HL255" cm="1">
        <f t="array" aca="1" ref="HL255:HL272" ca="1">_xlfn.LET(_xlpm.v,_xlfn.CHOOSECOLS(_xlfn._xlws.FILTER(_xlfn.DROP(_xlfn.ANCHORARRAY($HS$4),1),_xlfn.TAKE(_xlfn.DROP(_xlfn.ANCHORARRAY($HS$4),1),,1)=6),5),IF(_xlpm.v="",NA(),_xlpm.v))</f>
      </c>
      <c r="HM255" cm="1">
        <f t="array" aca="1" ref="HM255:HM272" ca="1">-_xlfn.ANCHORARRAY($HL$255)</f>
      </c>
      <c r="HN255" cm="1">
        <f t="array" aca="1" ref="HN255:HN272" ca="1">_xlfn.LET(_xlpm.v,_xlfn.CHOOSECOLS(_xlfn._xlws.FILTER(_xlfn.DROP(_xlfn.ANCHORARRAY($HS$4),1),_xlfn.TAKE(_xlfn.DROP(_xlfn.ANCHORARRAY($HS$4),1),,1)=6),6),IF(_xlpm.v="",NA(),_xlpm.v))</f>
      </c>
      <c r="HO255" cm="1">
        <f t="array" aca="1" ref="HO255:HO272" ca="1">-_xlfn.ANCHORARRAY($HN$255)</f>
      </c>
      <c r="HP255" cm="1">
        <f t="array" aca="1" ref="HP255:HP272" ca="1">_xlfn.LET(_xlpm.v,_xlfn.CHOOSECOLS(_xlfn._xlws.FILTER(_xlfn.DROP(_xlfn.ANCHORARRAY($HS$4),1),_xlfn.TAKE(_xlfn.DROP(_xlfn.ANCHORARRAY($HS$4),1),,1)=6),7),IF(_xlpm.v="",NA(),_xlpm.v))</f>
      </c>
      <c r="HQ255" cm="1">
        <f t="array" aca="1" ref="HQ255:HQ272" ca="1">-_xlfn.ANCHORARRAY($HP$255)</f>
      </c>
      <c r="HR255" cm="1">
        <f t="array" aca="1" ref="HR255" ca="1">IFERROR(INDEX(_xlfn._xlws.FILTER(_xlfn.DROP(_xlfn.ANCHORARRAY($HS$4),1),_xlfn.TAKE(_xlfn.DROP(_xlfn.ANCHORARRAY($HS$4),1),,1)=6),1,2),"")</f>
      </c>
    </row>
    <row r="256" spans="146:226" x14ac:dyDescent="0.55000000000000004"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GX256">
        <f ca="1"/>
      </c>
      <c r="GY256">
        <f ca="1"/>
      </c>
      <c r="GZ256">
        <f ca="1"/>
      </c>
      <c r="HA256">
        <f ca="1"/>
      </c>
      <c r="HB256">
        <f ca="1"/>
      </c>
      <c r="HD256">
        <f ca="1"/>
      </c>
      <c r="HE256">
        <f ca="1"/>
      </c>
      <c r="HF256">
        <f ca="1"/>
      </c>
      <c r="HG256">
        <f ca="1"/>
      </c>
      <c r="HH256">
        <f ca="1"/>
      </c>
      <c r="HI256">
        <f ca="1"/>
      </c>
      <c r="HJ256">
        <f ca="1"/>
      </c>
      <c r="HK256">
        <f ca="1"/>
      </c>
      <c r="HL256">
        <f ca="1"/>
      </c>
      <c r="HM256">
        <f ca="1"/>
      </c>
      <c r="HN256">
        <f ca="1"/>
      </c>
      <c r="HO256">
        <f ca="1"/>
      </c>
      <c r="HP256">
        <f ca="1"/>
      </c>
      <c r="HQ256">
        <f ca="1"/>
      </c>
    </row>
    <row r="257" spans="147:225" x14ac:dyDescent="0.55000000000000004"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GX257">
        <f ca="1"/>
      </c>
      <c r="GY257">
        <f ca="1"/>
      </c>
      <c r="GZ257">
        <f ca="1"/>
      </c>
      <c r="HA257">
        <f ca="1"/>
      </c>
      <c r="HB257">
        <f ca="1"/>
      </c>
      <c r="HD257">
        <f ca="1"/>
      </c>
      <c r="HE257">
        <f ca="1"/>
      </c>
      <c r="HF257">
        <f ca="1"/>
      </c>
      <c r="HG257">
        <f ca="1"/>
      </c>
      <c r="HH257">
        <f ca="1"/>
      </c>
      <c r="HI257">
        <f ca="1"/>
      </c>
      <c r="HJ257">
        <f ca="1"/>
      </c>
      <c r="HK257">
        <f ca="1"/>
      </c>
      <c r="HL257">
        <f ca="1"/>
      </c>
      <c r="HM257">
        <f ca="1"/>
      </c>
      <c r="HN257">
        <f ca="1"/>
      </c>
      <c r="HO257">
        <f ca="1"/>
      </c>
      <c r="HP257">
        <f ca="1"/>
      </c>
      <c r="HQ257">
        <f ca="1"/>
      </c>
    </row>
    <row r="258" spans="147:225" x14ac:dyDescent="0.55000000000000004"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GX258">
        <f ca="1"/>
      </c>
      <c r="GY258">
        <f ca="1"/>
      </c>
      <c r="GZ258">
        <f ca="1"/>
      </c>
      <c r="HA258">
        <f ca="1"/>
      </c>
      <c r="HB258">
        <f ca="1"/>
      </c>
      <c r="HD258">
        <f ca="1"/>
      </c>
      <c r="HE258">
        <f ca="1"/>
      </c>
      <c r="HF258">
        <f ca="1"/>
      </c>
      <c r="HG258">
        <f ca="1"/>
      </c>
      <c r="HH258">
        <f ca="1"/>
      </c>
      <c r="HI258">
        <f ca="1"/>
      </c>
      <c r="HJ258">
        <f ca="1"/>
      </c>
      <c r="HK258">
        <f ca="1"/>
      </c>
      <c r="HL258">
        <f ca="1"/>
      </c>
      <c r="HM258">
        <f ca="1"/>
      </c>
      <c r="HN258">
        <f ca="1"/>
      </c>
      <c r="HO258">
        <f ca="1"/>
      </c>
      <c r="HP258">
        <f ca="1"/>
      </c>
      <c r="HQ258">
        <f ca="1"/>
      </c>
    </row>
    <row r="259" spans="147:225" x14ac:dyDescent="0.55000000000000004"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GX259">
        <f ca="1"/>
      </c>
      <c r="GY259">
        <f ca="1"/>
      </c>
      <c r="GZ259">
        <f ca="1"/>
      </c>
      <c r="HA259">
        <f ca="1"/>
      </c>
      <c r="HB259">
        <f ca="1"/>
      </c>
      <c r="HD259">
        <f ca="1"/>
      </c>
      <c r="HE259">
        <f ca="1"/>
      </c>
      <c r="HF259">
        <f ca="1"/>
      </c>
      <c r="HG259">
        <f ca="1"/>
      </c>
      <c r="HH259">
        <f ca="1"/>
      </c>
      <c r="HI259">
        <f ca="1"/>
      </c>
      <c r="HJ259">
        <f ca="1"/>
      </c>
      <c r="HK259">
        <f ca="1"/>
      </c>
      <c r="HL259">
        <f ca="1"/>
      </c>
      <c r="HM259">
        <f ca="1"/>
      </c>
      <c r="HN259">
        <f ca="1"/>
      </c>
      <c r="HO259">
        <f ca="1"/>
      </c>
      <c r="HP259">
        <f ca="1"/>
      </c>
      <c r="HQ259">
        <f ca="1"/>
      </c>
    </row>
    <row r="260" spans="147:225" x14ac:dyDescent="0.55000000000000004"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GX260">
        <f ca="1"/>
      </c>
      <c r="GY260">
        <f ca="1"/>
      </c>
      <c r="GZ260">
        <f ca="1"/>
      </c>
      <c r="HA260">
        <f ca="1"/>
      </c>
      <c r="HB260">
        <f ca="1"/>
      </c>
      <c r="HD260">
        <f ca="1"/>
      </c>
      <c r="HE260">
        <f ca="1"/>
      </c>
      <c r="HF260">
        <f ca="1"/>
      </c>
      <c r="HG260">
        <f ca="1"/>
      </c>
      <c r="HH260">
        <f ca="1"/>
      </c>
      <c r="HI260">
        <f ca="1"/>
      </c>
      <c r="HJ260">
        <f ca="1"/>
      </c>
      <c r="HK260">
        <f ca="1"/>
      </c>
      <c r="HL260">
        <f ca="1"/>
      </c>
      <c r="HM260">
        <f ca="1"/>
      </c>
      <c r="HN260">
        <f ca="1"/>
      </c>
      <c r="HO260">
        <f ca="1"/>
      </c>
      <c r="HP260">
        <f ca="1"/>
      </c>
      <c r="HQ260">
        <f ca="1"/>
      </c>
    </row>
    <row r="261" spans="147:225" x14ac:dyDescent="0.55000000000000004"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GX261">
        <f ca="1"/>
      </c>
      <c r="GY261">
        <f ca="1"/>
      </c>
      <c r="GZ261">
        <f ca="1"/>
      </c>
      <c r="HA261">
        <f ca="1"/>
      </c>
      <c r="HB261">
        <f ca="1"/>
      </c>
      <c r="HD261">
        <f ca="1"/>
      </c>
      <c r="HE261">
        <f ca="1"/>
      </c>
      <c r="HF261">
        <f ca="1"/>
      </c>
      <c r="HG261">
        <f ca="1"/>
      </c>
      <c r="HH261">
        <f ca="1"/>
      </c>
      <c r="HI261">
        <f ca="1"/>
      </c>
      <c r="HJ261">
        <f ca="1"/>
      </c>
      <c r="HK261">
        <f ca="1"/>
      </c>
      <c r="HL261">
        <f ca="1"/>
      </c>
      <c r="HM261">
        <f ca="1"/>
      </c>
      <c r="HN261">
        <f ca="1"/>
      </c>
      <c r="HO261">
        <f ca="1"/>
      </c>
      <c r="HP261">
        <f ca="1"/>
      </c>
      <c r="HQ261">
        <f ca="1"/>
      </c>
    </row>
    <row r="262" spans="147:225" x14ac:dyDescent="0.55000000000000004"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GX262">
        <f ca="1"/>
      </c>
      <c r="GY262">
        <f ca="1"/>
      </c>
      <c r="GZ262">
        <f ca="1"/>
      </c>
      <c r="HA262">
        <f ca="1"/>
      </c>
      <c r="HB262">
        <f ca="1"/>
      </c>
      <c r="HD262">
        <f ca="1"/>
      </c>
      <c r="HE262">
        <f ca="1"/>
      </c>
      <c r="HF262">
        <f ca="1"/>
      </c>
      <c r="HG262">
        <f ca="1"/>
      </c>
      <c r="HH262">
        <f ca="1"/>
      </c>
      <c r="HI262">
        <f ca="1"/>
      </c>
      <c r="HJ262">
        <f ca="1"/>
      </c>
      <c r="HK262">
        <f ca="1"/>
      </c>
      <c r="HL262">
        <f ca="1"/>
      </c>
      <c r="HM262">
        <f ca="1"/>
      </c>
      <c r="HN262">
        <f ca="1"/>
      </c>
      <c r="HO262">
        <f ca="1"/>
      </c>
      <c r="HP262">
        <f ca="1"/>
      </c>
      <c r="HQ262">
        <f ca="1"/>
      </c>
    </row>
    <row r="263" spans="147:225" x14ac:dyDescent="0.55000000000000004"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GX263">
        <f ca="1"/>
      </c>
      <c r="GY263">
        <f ca="1"/>
      </c>
      <c r="GZ263">
        <f ca="1"/>
      </c>
      <c r="HA263">
        <f ca="1"/>
      </c>
      <c r="HB263">
        <f ca="1"/>
      </c>
      <c r="HD263">
        <f ca="1"/>
      </c>
      <c r="HE263">
        <f ca="1"/>
      </c>
      <c r="HF263">
        <f ca="1"/>
      </c>
      <c r="HG263">
        <f ca="1"/>
      </c>
      <c r="HH263">
        <f ca="1"/>
      </c>
      <c r="HI263">
        <f ca="1"/>
      </c>
      <c r="HJ263">
        <f ca="1"/>
      </c>
      <c r="HK263">
        <f ca="1"/>
      </c>
      <c r="HL263">
        <f ca="1"/>
      </c>
      <c r="HM263">
        <f ca="1"/>
      </c>
      <c r="HN263">
        <f ca="1"/>
      </c>
      <c r="HO263">
        <f ca="1"/>
      </c>
      <c r="HP263">
        <f ca="1"/>
      </c>
      <c r="HQ263">
        <f ca="1"/>
      </c>
    </row>
    <row r="264" spans="147:225" x14ac:dyDescent="0.55000000000000004"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GX264">
        <f ca="1"/>
      </c>
      <c r="GY264">
        <f ca="1"/>
      </c>
      <c r="GZ264">
        <f ca="1"/>
      </c>
      <c r="HA264">
        <f ca="1"/>
      </c>
      <c r="HB264">
        <f ca="1"/>
      </c>
      <c r="HD264">
        <f ca="1"/>
      </c>
      <c r="HE264">
        <f ca="1"/>
      </c>
      <c r="HF264">
        <f ca="1"/>
      </c>
      <c r="HG264">
        <f ca="1"/>
      </c>
      <c r="HH264">
        <f ca="1"/>
      </c>
      <c r="HI264">
        <f ca="1"/>
      </c>
      <c r="HJ264">
        <f ca="1"/>
      </c>
      <c r="HK264">
        <f ca="1"/>
      </c>
      <c r="HL264">
        <f ca="1"/>
      </c>
      <c r="HM264">
        <f ca="1"/>
      </c>
      <c r="HN264">
        <f ca="1"/>
      </c>
      <c r="HO264">
        <f ca="1"/>
      </c>
      <c r="HP264">
        <f ca="1"/>
      </c>
      <c r="HQ264">
        <f ca="1"/>
      </c>
    </row>
    <row r="265" spans="147:225" x14ac:dyDescent="0.55000000000000004"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GX265">
        <f ca="1"/>
      </c>
      <c r="GY265">
        <f ca="1"/>
      </c>
      <c r="GZ265">
        <f ca="1"/>
      </c>
      <c r="HA265">
        <f ca="1"/>
      </c>
      <c r="HB265">
        <f ca="1"/>
      </c>
      <c r="HD265">
        <f ca="1"/>
      </c>
      <c r="HE265">
        <f ca="1"/>
      </c>
      <c r="HF265">
        <f ca="1"/>
      </c>
      <c r="HG265">
        <f ca="1"/>
      </c>
      <c r="HH265">
        <f ca="1"/>
      </c>
      <c r="HI265">
        <f ca="1"/>
      </c>
      <c r="HJ265">
        <f ca="1"/>
      </c>
      <c r="HK265">
        <f ca="1"/>
      </c>
      <c r="HL265">
        <f ca="1"/>
      </c>
      <c r="HM265">
        <f ca="1"/>
      </c>
      <c r="HN265">
        <f ca="1"/>
      </c>
      <c r="HO265">
        <f ca="1"/>
      </c>
      <c r="HP265">
        <f ca="1"/>
      </c>
      <c r="HQ265">
        <f ca="1"/>
      </c>
    </row>
    <row r="266" spans="147:225" x14ac:dyDescent="0.55000000000000004"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GX266">
        <f ca="1"/>
      </c>
      <c r="GY266">
        <f ca="1"/>
      </c>
      <c r="GZ266">
        <f ca="1"/>
      </c>
      <c r="HA266">
        <f ca="1"/>
      </c>
      <c r="HB266">
        <f ca="1"/>
      </c>
      <c r="HD266">
        <f ca="1"/>
      </c>
      <c r="HE266">
        <f ca="1"/>
      </c>
      <c r="HF266">
        <f ca="1"/>
      </c>
      <c r="HG266">
        <f ca="1"/>
      </c>
      <c r="HH266">
        <f ca="1"/>
      </c>
      <c r="HI266">
        <f ca="1"/>
      </c>
      <c r="HJ266">
        <f ca="1"/>
      </c>
      <c r="HK266">
        <f ca="1"/>
      </c>
      <c r="HL266">
        <f ca="1"/>
      </c>
      <c r="HM266">
        <f ca="1"/>
      </c>
      <c r="HN266">
        <f ca="1"/>
      </c>
      <c r="HO266">
        <f ca="1"/>
      </c>
      <c r="HP266">
        <f ca="1"/>
      </c>
      <c r="HQ266">
        <f ca="1"/>
      </c>
    </row>
    <row r="267" spans="147:225" x14ac:dyDescent="0.55000000000000004"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GX267">
        <f ca="1"/>
      </c>
      <c r="GY267">
        <f ca="1"/>
      </c>
      <c r="GZ267">
        <f ca="1"/>
      </c>
      <c r="HA267">
        <f ca="1"/>
      </c>
      <c r="HB267">
        <f ca="1"/>
      </c>
      <c r="HD267">
        <f ca="1"/>
      </c>
      <c r="HE267">
        <f ca="1"/>
      </c>
      <c r="HF267">
        <f ca="1"/>
      </c>
      <c r="HG267">
        <f ca="1"/>
      </c>
      <c r="HH267">
        <f ca="1"/>
      </c>
      <c r="HI267">
        <f ca="1"/>
      </c>
      <c r="HJ267">
        <f ca="1"/>
      </c>
      <c r="HK267">
        <f ca="1"/>
      </c>
      <c r="HL267">
        <f ca="1"/>
      </c>
      <c r="HM267">
        <f ca="1"/>
      </c>
      <c r="HN267">
        <f ca="1"/>
      </c>
      <c r="HO267">
        <f ca="1"/>
      </c>
      <c r="HP267">
        <f ca="1"/>
      </c>
      <c r="HQ267">
        <f ca="1"/>
      </c>
    </row>
    <row r="268" spans="147:225" x14ac:dyDescent="0.55000000000000004"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GX268">
        <f ca="1"/>
      </c>
      <c r="GY268">
        <f ca="1"/>
      </c>
      <c r="GZ268">
        <f ca="1"/>
      </c>
      <c r="HA268">
        <f ca="1"/>
      </c>
      <c r="HB268">
        <f ca="1"/>
      </c>
      <c r="HD268">
        <f ca="1"/>
      </c>
      <c r="HE268">
        <f ca="1"/>
      </c>
      <c r="HF268">
        <f ca="1"/>
      </c>
      <c r="HG268">
        <f ca="1"/>
      </c>
      <c r="HH268">
        <f ca="1"/>
      </c>
      <c r="HI268">
        <f ca="1"/>
      </c>
      <c r="HJ268">
        <f ca="1"/>
      </c>
      <c r="HK268">
        <f ca="1"/>
      </c>
      <c r="HL268">
        <f ca="1"/>
      </c>
      <c r="HM268">
        <f ca="1"/>
      </c>
      <c r="HN268">
        <f ca="1"/>
      </c>
      <c r="HO268">
        <f ca="1"/>
      </c>
      <c r="HP268">
        <f ca="1"/>
      </c>
      <c r="HQ268">
        <f ca="1"/>
      </c>
    </row>
    <row r="269" spans="147:225" x14ac:dyDescent="0.55000000000000004"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GX269">
        <f ca="1"/>
      </c>
      <c r="GY269">
        <f ca="1"/>
      </c>
      <c r="GZ269">
        <f ca="1"/>
      </c>
      <c r="HA269">
        <f ca="1"/>
      </c>
      <c r="HB269">
        <f ca="1"/>
      </c>
      <c r="HD269">
        <f ca="1"/>
      </c>
      <c r="HE269">
        <f ca="1"/>
      </c>
      <c r="HF269">
        <f ca="1"/>
      </c>
      <c r="HG269">
        <f ca="1"/>
      </c>
      <c r="HH269">
        <f ca="1"/>
      </c>
      <c r="HI269">
        <f ca="1"/>
      </c>
      <c r="HJ269">
        <f ca="1"/>
      </c>
      <c r="HK269">
        <f ca="1"/>
      </c>
      <c r="HL269">
        <f ca="1"/>
      </c>
      <c r="HM269">
        <f ca="1"/>
      </c>
      <c r="HN269">
        <f ca="1"/>
      </c>
      <c r="HO269">
        <f ca="1"/>
      </c>
      <c r="HP269">
        <f ca="1"/>
      </c>
      <c r="HQ269">
        <f ca="1"/>
      </c>
    </row>
    <row r="270" spans="147:225" x14ac:dyDescent="0.55000000000000004"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GX270">
        <f ca="1"/>
      </c>
      <c r="GY270">
        <f ca="1"/>
      </c>
      <c r="GZ270">
        <f ca="1"/>
      </c>
      <c r="HA270">
        <f ca="1"/>
      </c>
      <c r="HB270">
        <f ca="1"/>
      </c>
      <c r="HD270">
        <f ca="1"/>
      </c>
      <c r="HE270">
        <f ca="1"/>
      </c>
      <c r="HF270">
        <f ca="1"/>
      </c>
      <c r="HG270">
        <f ca="1"/>
      </c>
      <c r="HH270">
        <f ca="1"/>
      </c>
      <c r="HI270">
        <f ca="1"/>
      </c>
      <c r="HJ270">
        <f ca="1"/>
      </c>
      <c r="HK270">
        <f ca="1"/>
      </c>
      <c r="HL270">
        <f ca="1"/>
      </c>
      <c r="HM270">
        <f ca="1"/>
      </c>
      <c r="HN270">
        <f ca="1"/>
      </c>
      <c r="HO270">
        <f ca="1"/>
      </c>
      <c r="HP270">
        <f ca="1"/>
      </c>
      <c r="HQ270">
        <f ca="1"/>
      </c>
    </row>
    <row r="271" spans="147:225" x14ac:dyDescent="0.55000000000000004"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GX271">
        <f ca="1"/>
      </c>
      <c r="GY271">
        <f ca="1"/>
      </c>
      <c r="GZ271">
        <f ca="1"/>
      </c>
      <c r="HA271">
        <f ca="1"/>
      </c>
      <c r="HB271">
        <f ca="1"/>
      </c>
      <c r="HD271">
        <f ca="1"/>
      </c>
      <c r="HE271">
        <f ca="1"/>
      </c>
      <c r="HF271">
        <f ca="1"/>
      </c>
      <c r="HG271">
        <f ca="1"/>
      </c>
      <c r="HH271">
        <f ca="1"/>
      </c>
      <c r="HI271">
        <f ca="1"/>
      </c>
      <c r="HJ271">
        <f ca="1"/>
      </c>
      <c r="HK271">
        <f ca="1"/>
      </c>
      <c r="HL271">
        <f ca="1"/>
      </c>
      <c r="HM271">
        <f ca="1"/>
      </c>
      <c r="HN271">
        <f ca="1"/>
      </c>
      <c r="HO271">
        <f ca="1"/>
      </c>
      <c r="HP271">
        <f ca="1"/>
      </c>
      <c r="HQ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GX272">
        <f ca="1"/>
      </c>
      <c r="GY272">
        <f ca="1"/>
      </c>
      <c r="GZ272">
        <f ca="1"/>
      </c>
      <c r="HA272">
        <f ca="1"/>
      </c>
      <c r="HB272">
        <f ca="1"/>
      </c>
      <c r="HD272">
        <f ca="1"/>
      </c>
      <c r="HE272">
        <f ca="1"/>
      </c>
      <c r="HF272">
        <f ca="1"/>
      </c>
      <c r="HG272">
        <f ca="1"/>
      </c>
      <c r="HH272">
        <f ca="1"/>
      </c>
      <c r="HI272">
        <f ca="1"/>
      </c>
      <c r="HJ272">
        <f ca="1"/>
      </c>
      <c r="HK272">
        <f ca="1"/>
      </c>
      <c r="HL272">
        <f ca="1"/>
      </c>
      <c r="HM272">
        <f ca="1"/>
      </c>
      <c r="HN272">
        <f ca="1"/>
      </c>
      <c r="HO272">
        <f ca="1"/>
      </c>
      <c r="HP272">
        <f ca="1"/>
      </c>
      <c r="HQ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aca="1" ref="EQ304:FR321" ca="1">_xlfn.LET(_xlpm.g,_xlfn.DROP(_xlfn.ANCHORARRAY($CO$4),1),_xlfn._xlws.FILTER(_xlpm.g,_xlfn.TAKE(_xlpm.g,,1)=7))</f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aca="1" ref="GX305:GX322" ca="1">_xlfn.LET(_xlpm.V,_xlfn.DROP(_xlfn.ANCHORARRAY($EQ$304),,10),IF(1&lt;=COLUMNS(_xlpm.V),_xlfn.CHOOSECOLS(_xlpm.V,1),IF(_xlfn.SEQUENCE(ROWS(_xlpm.V)),NA())))</f>
      </c>
      <c r="GY305" cm="1">
        <f t="array" aca="1" ref="GY305:GY322" ca="1">_xlfn.LET(_xlpm.V,_xlfn.DROP(_xlfn.ANCHORARRAY($EQ$304),,10),IF(2&lt;=COLUMNS(_xlpm.V),_xlfn.CHOOSECOLS(_xlpm.V,2),IF(_xlfn.SEQUENCE(ROWS(_xlpm.V)),NA())))</f>
      </c>
      <c r="GZ305" cm="1">
        <f t="array" aca="1" ref="GZ305:GZ322" ca="1">_xlfn.LET(_xlpm.V,_xlfn.DROP(_xlfn.ANCHORARRAY($EQ$304),,10),IF(3&lt;=COLUMNS(_xlpm.V),_xlfn.CHOOSECOLS(_xlpm.V,3),IF(_xlfn.SEQUENCE(ROWS(_xlpm.V)),NA())))</f>
      </c>
      <c r="HA305" cm="1">
        <f t="array" aca="1" ref="HA305:HA322" ca="1">_xlfn.LET(_xlpm.V,_xlfn.DROP(_xlfn.ANCHORARRAY($EQ$304),,10),IF(4&lt;=COLUMNS(_xlpm.V),_xlfn.CHOOSECOLS(_xlpm.V,4),IF(_xlfn.SEQUENCE(ROWS(_xlpm.V)),NA())))</f>
      </c>
      <c r="HB305" cm="1">
        <f t="array" aca="1" ref="HB305:HB322" ca="1">_xlfn.LET(_xlpm.V,_xlfn.DROP(_xlfn.ANCHORARRAY($EQ$304),,10),IF(5&lt;=COLUMNS(_xlpm.V),_xlfn.CHOOSECOLS(_xlpm.V,5),IF(_xlfn.SEQUENCE(ROWS(_xlpm.V)),NA())))</f>
      </c>
      <c r="HD305" cm="1">
        <f t="array" aca="1" ref="HD305:HD322" ca="1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aca="1" ref="HF305:HF322" ca="1">_xlfn.CHOOSECOLS(_xlfn.ANCHORARRAY($EQ$304),8)+_xlfn.CHOOSECOLS(_xlfn.ANCHORARRAY($EQ$304),10)</f>
      </c>
      <c r="HG305" cm="1">
        <f t="array" aca="1" ref="HG305:HG322" ca="1">_xlfn.CHOOSECOLS(_xlfn.ANCHORARRAY($EQ$304),8)-_xlfn.CHOOSECOLS(_xlfn.ANCHORARRAY($EQ$304),10)</f>
      </c>
      <c r="HH305" cm="1">
        <f t="array" aca="1" ref="HH305:HH322" ca="1">_xlfn.LET(_xlpm.v,_xlfn.CHOOSECOLS(_xlfn._xlws.FILTER(_xlfn.DROP(_xlfn.ANCHORARRAY($HS$4),1),_xlfn.TAKE(_xlfn.DROP(_xlfn.ANCHORARRAY($HS$4),1),,1)=7),3),IF(_xlpm.v="",NA(),_xlpm.v))</f>
      </c>
      <c r="HI305" cm="1">
        <f t="array" aca="1" ref="HI305:HI322" ca="1">-_xlfn.ANCHORARRAY($HH$305)</f>
      </c>
      <c r="HJ305" cm="1">
        <f t="array" aca="1" ref="HJ305:HJ322" ca="1">_xlfn.LET(_xlpm.v,_xlfn.CHOOSECOLS(_xlfn._xlws.FILTER(_xlfn.DROP(_xlfn.ANCHORARRAY($HS$4),1),_xlfn.TAKE(_xlfn.DROP(_xlfn.ANCHORARRAY($HS$4),1),,1)=7),4),IF(_xlpm.v="",NA(),_xlpm.v))</f>
      </c>
      <c r="HK305" cm="1">
        <f t="array" aca="1" ref="HK305:HK322" ca="1">-_xlfn.ANCHORARRAY($HJ$305)</f>
      </c>
      <c r="HL305" cm="1">
        <f t="array" aca="1" ref="HL305:HL322" ca="1">_xlfn.LET(_xlpm.v,_xlfn.CHOOSECOLS(_xlfn._xlws.FILTER(_xlfn.DROP(_xlfn.ANCHORARRAY($HS$4),1),_xlfn.TAKE(_xlfn.DROP(_xlfn.ANCHORARRAY($HS$4),1),,1)=7),5),IF(_xlpm.v="",NA(),_xlpm.v))</f>
      </c>
      <c r="HM305" cm="1">
        <f t="array" aca="1" ref="HM305:HM322" ca="1">-_xlfn.ANCHORARRAY($HL$305)</f>
      </c>
      <c r="HN305" cm="1">
        <f t="array" aca="1" ref="HN305:HN322" ca="1">_xlfn.LET(_xlpm.v,_xlfn.CHOOSECOLS(_xlfn._xlws.FILTER(_xlfn.DROP(_xlfn.ANCHORARRAY($HS$4),1),_xlfn.TAKE(_xlfn.DROP(_xlfn.ANCHORARRAY($HS$4),1),,1)=7),6),IF(_xlpm.v="",NA(),_xlpm.v))</f>
      </c>
      <c r="HO305" cm="1">
        <f t="array" aca="1" ref="HO305:HO322" ca="1">-_xlfn.ANCHORARRAY($HN$305)</f>
      </c>
      <c r="HP305" cm="1">
        <f t="array" aca="1" ref="HP305:HP322" ca="1">_xlfn.LET(_xlpm.v,_xlfn.CHOOSECOLS(_xlfn._xlws.FILTER(_xlfn.DROP(_xlfn.ANCHORARRAY($HS$4),1),_xlfn.TAKE(_xlfn.DROP(_xlfn.ANCHORARRAY($HS$4),1),,1)=7),7),IF(_xlpm.v="",NA(),_xlpm.v))</f>
      </c>
      <c r="HQ305" cm="1">
        <f t="array" aca="1" ref="HQ305:HQ322" ca="1">-_xlfn.ANCHORARRAY($HP$305)</f>
      </c>
      <c r="HR305" cm="1">
        <f t="array" aca="1" ref="HR305" ca="1">IFERROR(INDEX(_xlfn._xlws.FILTER(_xlfn.DROP(_xlfn.ANCHORARRAY($HS$4),1),_xlfn.TAKE(_xlfn.DROP(_xlfn.ANCHORARRAY($HS$4),1),,1)=7),1,2),"")</f>
      </c>
    </row>
    <row r="306" spans="147:226" x14ac:dyDescent="0.55000000000000004"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GX306">
        <f ca="1"/>
      </c>
      <c r="GY306">
        <f ca="1"/>
      </c>
      <c r="GZ306">
        <f ca="1"/>
      </c>
      <c r="HA306">
        <f ca="1"/>
      </c>
      <c r="HB306">
        <f ca="1"/>
      </c>
      <c r="HD306">
        <f ca="1"/>
      </c>
      <c r="HE306">
        <f ca="1"/>
      </c>
      <c r="HF306">
        <f ca="1"/>
      </c>
      <c r="HG306">
        <f ca="1"/>
      </c>
      <c r="HH306">
        <f ca="1"/>
      </c>
      <c r="HI306">
        <f ca="1"/>
      </c>
      <c r="HJ306">
        <f ca="1"/>
      </c>
      <c r="HK306">
        <f ca="1"/>
      </c>
      <c r="HL306">
        <f ca="1"/>
      </c>
      <c r="HM306">
        <f ca="1"/>
      </c>
      <c r="HN306">
        <f ca="1"/>
      </c>
      <c r="HO306">
        <f ca="1"/>
      </c>
      <c r="HP306">
        <f ca="1"/>
      </c>
      <c r="HQ306">
        <f ca="1"/>
      </c>
    </row>
    <row r="307" spans="147:226" x14ac:dyDescent="0.55000000000000004"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GX307">
        <f ca="1"/>
      </c>
      <c r="GY307">
        <f ca="1"/>
      </c>
      <c r="GZ307">
        <f ca="1"/>
      </c>
      <c r="HA307">
        <f ca="1"/>
      </c>
      <c r="HB307">
        <f ca="1"/>
      </c>
      <c r="HD307">
        <f ca="1"/>
      </c>
      <c r="HE307">
        <f ca="1"/>
      </c>
      <c r="HF307">
        <f ca="1"/>
      </c>
      <c r="HG307">
        <f ca="1"/>
      </c>
      <c r="HH307">
        <f ca="1"/>
      </c>
      <c r="HI307">
        <f ca="1"/>
      </c>
      <c r="HJ307">
        <f ca="1"/>
      </c>
      <c r="HK307">
        <f ca="1"/>
      </c>
      <c r="HL307">
        <f ca="1"/>
      </c>
      <c r="HM307">
        <f ca="1"/>
      </c>
      <c r="HN307">
        <f ca="1"/>
      </c>
      <c r="HO307">
        <f ca="1"/>
      </c>
      <c r="HP307">
        <f ca="1"/>
      </c>
      <c r="HQ307">
        <f ca="1"/>
      </c>
    </row>
    <row r="308" spans="147:226" x14ac:dyDescent="0.55000000000000004"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GX308">
        <f ca="1"/>
      </c>
      <c r="GY308">
        <f ca="1"/>
      </c>
      <c r="GZ308">
        <f ca="1"/>
      </c>
      <c r="HA308">
        <f ca="1"/>
      </c>
      <c r="HB308">
        <f ca="1"/>
      </c>
      <c r="HD308">
        <f ca="1"/>
      </c>
      <c r="HE308">
        <f ca="1"/>
      </c>
      <c r="HF308">
        <f ca="1"/>
      </c>
      <c r="HG308">
        <f ca="1"/>
      </c>
      <c r="HH308">
        <f ca="1"/>
      </c>
      <c r="HI308">
        <f ca="1"/>
      </c>
      <c r="HJ308">
        <f ca="1"/>
      </c>
      <c r="HK308">
        <f ca="1"/>
      </c>
      <c r="HL308">
        <f ca="1"/>
      </c>
      <c r="HM308">
        <f ca="1"/>
      </c>
      <c r="HN308">
        <f ca="1"/>
      </c>
      <c r="HO308">
        <f ca="1"/>
      </c>
      <c r="HP308">
        <f ca="1"/>
      </c>
      <c r="HQ308">
        <f ca="1"/>
      </c>
    </row>
    <row r="309" spans="147:226" x14ac:dyDescent="0.55000000000000004"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GX309">
        <f ca="1"/>
      </c>
      <c r="GY309">
        <f ca="1"/>
      </c>
      <c r="GZ309">
        <f ca="1"/>
      </c>
      <c r="HA309">
        <f ca="1"/>
      </c>
      <c r="HB309">
        <f ca="1"/>
      </c>
      <c r="HD309">
        <f ca="1"/>
      </c>
      <c r="HE309">
        <f ca="1"/>
      </c>
      <c r="HF309">
        <f ca="1"/>
      </c>
      <c r="HG309">
        <f ca="1"/>
      </c>
      <c r="HH309">
        <f ca="1"/>
      </c>
      <c r="HI309">
        <f ca="1"/>
      </c>
      <c r="HJ309">
        <f ca="1"/>
      </c>
      <c r="HK309">
        <f ca="1"/>
      </c>
      <c r="HL309">
        <f ca="1"/>
      </c>
      <c r="HM309">
        <f ca="1"/>
      </c>
      <c r="HN309">
        <f ca="1"/>
      </c>
      <c r="HO309">
        <f ca="1"/>
      </c>
      <c r="HP309">
        <f ca="1"/>
      </c>
      <c r="HQ309">
        <f ca="1"/>
      </c>
    </row>
    <row r="310" spans="147:226" x14ac:dyDescent="0.55000000000000004"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GX310">
        <f ca="1"/>
      </c>
      <c r="GY310">
        <f ca="1"/>
      </c>
      <c r="GZ310">
        <f ca="1"/>
      </c>
      <c r="HA310">
        <f ca="1"/>
      </c>
      <c r="HB310">
        <f ca="1"/>
      </c>
      <c r="HD310">
        <f ca="1"/>
      </c>
      <c r="HE310">
        <f ca="1"/>
      </c>
      <c r="HF310">
        <f ca="1"/>
      </c>
      <c r="HG310">
        <f ca="1"/>
      </c>
      <c r="HH310">
        <f ca="1"/>
      </c>
      <c r="HI310">
        <f ca="1"/>
      </c>
      <c r="HJ310">
        <f ca="1"/>
      </c>
      <c r="HK310">
        <f ca="1"/>
      </c>
      <c r="HL310">
        <f ca="1"/>
      </c>
      <c r="HM310">
        <f ca="1"/>
      </c>
      <c r="HN310">
        <f ca="1"/>
      </c>
      <c r="HO310">
        <f ca="1"/>
      </c>
      <c r="HP310">
        <f ca="1"/>
      </c>
      <c r="HQ310">
        <f ca="1"/>
      </c>
    </row>
    <row r="311" spans="147:226" x14ac:dyDescent="0.55000000000000004"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GX311">
        <f ca="1"/>
      </c>
      <c r="GY311">
        <f ca="1"/>
      </c>
      <c r="GZ311">
        <f ca="1"/>
      </c>
      <c r="HA311">
        <f ca="1"/>
      </c>
      <c r="HB311">
        <f ca="1"/>
      </c>
      <c r="HD311">
        <f ca="1"/>
      </c>
      <c r="HE311">
        <f ca="1"/>
      </c>
      <c r="HF311">
        <f ca="1"/>
      </c>
      <c r="HG311">
        <f ca="1"/>
      </c>
      <c r="HH311">
        <f ca="1"/>
      </c>
      <c r="HI311">
        <f ca="1"/>
      </c>
      <c r="HJ311">
        <f ca="1"/>
      </c>
      <c r="HK311">
        <f ca="1"/>
      </c>
      <c r="HL311">
        <f ca="1"/>
      </c>
      <c r="HM311">
        <f ca="1"/>
      </c>
      <c r="HN311">
        <f ca="1"/>
      </c>
      <c r="HO311">
        <f ca="1"/>
      </c>
      <c r="HP311">
        <f ca="1"/>
      </c>
      <c r="HQ311">
        <f ca="1"/>
      </c>
    </row>
    <row r="312" spans="147:226" x14ac:dyDescent="0.55000000000000004"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GX312">
        <f ca="1"/>
      </c>
      <c r="GY312">
        <f ca="1"/>
      </c>
      <c r="GZ312">
        <f ca="1"/>
      </c>
      <c r="HA312">
        <f ca="1"/>
      </c>
      <c r="HB312">
        <f ca="1"/>
      </c>
      <c r="HD312">
        <f ca="1"/>
      </c>
      <c r="HE312">
        <f ca="1"/>
      </c>
      <c r="HF312">
        <f ca="1"/>
      </c>
      <c r="HG312">
        <f ca="1"/>
      </c>
      <c r="HH312">
        <f ca="1"/>
      </c>
      <c r="HI312">
        <f ca="1"/>
      </c>
      <c r="HJ312">
        <f ca="1"/>
      </c>
      <c r="HK312">
        <f ca="1"/>
      </c>
      <c r="HL312">
        <f ca="1"/>
      </c>
      <c r="HM312">
        <f ca="1"/>
      </c>
      <c r="HN312">
        <f ca="1"/>
      </c>
      <c r="HO312">
        <f ca="1"/>
      </c>
      <c r="HP312">
        <f ca="1"/>
      </c>
      <c r="HQ312">
        <f ca="1"/>
      </c>
    </row>
    <row r="313" spans="147:226" x14ac:dyDescent="0.55000000000000004"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GX313">
        <f ca="1"/>
      </c>
      <c r="GY313">
        <f ca="1"/>
      </c>
      <c r="GZ313">
        <f ca="1"/>
      </c>
      <c r="HA313">
        <f ca="1"/>
      </c>
      <c r="HB313">
        <f ca="1"/>
      </c>
      <c r="HD313">
        <f ca="1"/>
      </c>
      <c r="HE313">
        <f ca="1"/>
      </c>
      <c r="HF313">
        <f ca="1"/>
      </c>
      <c r="HG313">
        <f ca="1"/>
      </c>
      <c r="HH313">
        <f ca="1"/>
      </c>
      <c r="HI313">
        <f ca="1"/>
      </c>
      <c r="HJ313">
        <f ca="1"/>
      </c>
      <c r="HK313">
        <f ca="1"/>
      </c>
      <c r="HL313">
        <f ca="1"/>
      </c>
      <c r="HM313">
        <f ca="1"/>
      </c>
      <c r="HN313">
        <f ca="1"/>
      </c>
      <c r="HO313">
        <f ca="1"/>
      </c>
      <c r="HP313">
        <f ca="1"/>
      </c>
      <c r="HQ313">
        <f ca="1"/>
      </c>
    </row>
    <row r="314" spans="147:226" x14ac:dyDescent="0.55000000000000004"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GX314">
        <f ca="1"/>
      </c>
      <c r="GY314">
        <f ca="1"/>
      </c>
      <c r="GZ314">
        <f ca="1"/>
      </c>
      <c r="HA314">
        <f ca="1"/>
      </c>
      <c r="HB314">
        <f ca="1"/>
      </c>
      <c r="HD314">
        <f ca="1"/>
      </c>
      <c r="HE314">
        <f ca="1"/>
      </c>
      <c r="HF314">
        <f ca="1"/>
      </c>
      <c r="HG314">
        <f ca="1"/>
      </c>
      <c r="HH314">
        <f ca="1"/>
      </c>
      <c r="HI314">
        <f ca="1"/>
      </c>
      <c r="HJ314">
        <f ca="1"/>
      </c>
      <c r="HK314">
        <f ca="1"/>
      </c>
      <c r="HL314">
        <f ca="1"/>
      </c>
      <c r="HM314">
        <f ca="1"/>
      </c>
      <c r="HN314">
        <f ca="1"/>
      </c>
      <c r="HO314">
        <f ca="1"/>
      </c>
      <c r="HP314">
        <f ca="1"/>
      </c>
      <c r="HQ314">
        <f ca="1"/>
      </c>
    </row>
    <row r="315" spans="147:226" x14ac:dyDescent="0.55000000000000004"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GX315">
        <f ca="1"/>
      </c>
      <c r="GY315">
        <f ca="1"/>
      </c>
      <c r="GZ315">
        <f ca="1"/>
      </c>
      <c r="HA315">
        <f ca="1"/>
      </c>
      <c r="HB315">
        <f ca="1"/>
      </c>
      <c r="HD315">
        <f ca="1"/>
      </c>
      <c r="HE315">
        <f ca="1"/>
      </c>
      <c r="HF315">
        <f ca="1"/>
      </c>
      <c r="HG315">
        <f ca="1"/>
      </c>
      <c r="HH315">
        <f ca="1"/>
      </c>
      <c r="HI315">
        <f ca="1"/>
      </c>
      <c r="HJ315">
        <f ca="1"/>
      </c>
      <c r="HK315">
        <f ca="1"/>
      </c>
      <c r="HL315">
        <f ca="1"/>
      </c>
      <c r="HM315">
        <f ca="1"/>
      </c>
      <c r="HN315">
        <f ca="1"/>
      </c>
      <c r="HO315">
        <f ca="1"/>
      </c>
      <c r="HP315">
        <f ca="1"/>
      </c>
      <c r="HQ315">
        <f ca="1"/>
      </c>
    </row>
    <row r="316" spans="147:226" x14ac:dyDescent="0.55000000000000004"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GX316">
        <f ca="1"/>
      </c>
      <c r="GY316">
        <f ca="1"/>
      </c>
      <c r="GZ316">
        <f ca="1"/>
      </c>
      <c r="HA316">
        <f ca="1"/>
      </c>
      <c r="HB316">
        <f ca="1"/>
      </c>
      <c r="HD316">
        <f ca="1"/>
      </c>
      <c r="HE316">
        <f ca="1"/>
      </c>
      <c r="HF316">
        <f ca="1"/>
      </c>
      <c r="HG316">
        <f ca="1"/>
      </c>
      <c r="HH316">
        <f ca="1"/>
      </c>
      <c r="HI316">
        <f ca="1"/>
      </c>
      <c r="HJ316">
        <f ca="1"/>
      </c>
      <c r="HK316">
        <f ca="1"/>
      </c>
      <c r="HL316">
        <f ca="1"/>
      </c>
      <c r="HM316">
        <f ca="1"/>
      </c>
      <c r="HN316">
        <f ca="1"/>
      </c>
      <c r="HO316">
        <f ca="1"/>
      </c>
      <c r="HP316">
        <f ca="1"/>
      </c>
      <c r="HQ316">
        <f ca="1"/>
      </c>
    </row>
    <row r="317" spans="147:226" x14ac:dyDescent="0.55000000000000004"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GX317">
        <f ca="1"/>
      </c>
      <c r="GY317">
        <f ca="1"/>
      </c>
      <c r="GZ317">
        <f ca="1"/>
      </c>
      <c r="HA317">
        <f ca="1"/>
      </c>
      <c r="HB317">
        <f ca="1"/>
      </c>
      <c r="HD317">
        <f ca="1"/>
      </c>
      <c r="HE317">
        <f ca="1"/>
      </c>
      <c r="HF317">
        <f ca="1"/>
      </c>
      <c r="HG317">
        <f ca="1"/>
      </c>
      <c r="HH317">
        <f ca="1"/>
      </c>
      <c r="HI317">
        <f ca="1"/>
      </c>
      <c r="HJ317">
        <f ca="1"/>
      </c>
      <c r="HK317">
        <f ca="1"/>
      </c>
      <c r="HL317">
        <f ca="1"/>
      </c>
      <c r="HM317">
        <f ca="1"/>
      </c>
      <c r="HN317">
        <f ca="1"/>
      </c>
      <c r="HO317">
        <f ca="1"/>
      </c>
      <c r="HP317">
        <f ca="1"/>
      </c>
      <c r="HQ317">
        <f ca="1"/>
      </c>
    </row>
    <row r="318" spans="147:226" x14ac:dyDescent="0.55000000000000004"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GX318">
        <f ca="1"/>
      </c>
      <c r="GY318">
        <f ca="1"/>
      </c>
      <c r="GZ318">
        <f ca="1"/>
      </c>
      <c r="HA318">
        <f ca="1"/>
      </c>
      <c r="HB318">
        <f ca="1"/>
      </c>
      <c r="HD318">
        <f ca="1"/>
      </c>
      <c r="HE318">
        <f ca="1"/>
      </c>
      <c r="HF318">
        <f ca="1"/>
      </c>
      <c r="HG318">
        <f ca="1"/>
      </c>
      <c r="HH318">
        <f ca="1"/>
      </c>
      <c r="HI318">
        <f ca="1"/>
      </c>
      <c r="HJ318">
        <f ca="1"/>
      </c>
      <c r="HK318">
        <f ca="1"/>
      </c>
      <c r="HL318">
        <f ca="1"/>
      </c>
      <c r="HM318">
        <f ca="1"/>
      </c>
      <c r="HN318">
        <f ca="1"/>
      </c>
      <c r="HO318">
        <f ca="1"/>
      </c>
      <c r="HP318">
        <f ca="1"/>
      </c>
      <c r="HQ318">
        <f ca="1"/>
      </c>
    </row>
    <row r="319" spans="147:226" x14ac:dyDescent="0.55000000000000004"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GX319">
        <f ca="1"/>
      </c>
      <c r="GY319">
        <f ca="1"/>
      </c>
      <c r="GZ319">
        <f ca="1"/>
      </c>
      <c r="HA319">
        <f ca="1"/>
      </c>
      <c r="HB319">
        <f ca="1"/>
      </c>
      <c r="HD319">
        <f ca="1"/>
      </c>
      <c r="HE319">
        <f ca="1"/>
      </c>
      <c r="HF319">
        <f ca="1"/>
      </c>
      <c r="HG319">
        <f ca="1"/>
      </c>
      <c r="HH319">
        <f ca="1"/>
      </c>
      <c r="HI319">
        <f ca="1"/>
      </c>
      <c r="HJ319">
        <f ca="1"/>
      </c>
      <c r="HK319">
        <f ca="1"/>
      </c>
      <c r="HL319">
        <f ca="1"/>
      </c>
      <c r="HM319">
        <f ca="1"/>
      </c>
      <c r="HN319">
        <f ca="1"/>
      </c>
      <c r="HO319">
        <f ca="1"/>
      </c>
      <c r="HP319">
        <f ca="1"/>
      </c>
      <c r="HQ319">
        <f ca="1"/>
      </c>
    </row>
    <row r="320" spans="147:226" x14ac:dyDescent="0.55000000000000004"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GX320">
        <f ca="1"/>
      </c>
      <c r="GY320">
        <f ca="1"/>
      </c>
      <c r="GZ320">
        <f ca="1"/>
      </c>
      <c r="HA320">
        <f ca="1"/>
      </c>
      <c r="HB320">
        <f ca="1"/>
      </c>
      <c r="HD320">
        <f ca="1"/>
      </c>
      <c r="HE320">
        <f ca="1"/>
      </c>
      <c r="HF320">
        <f ca="1"/>
      </c>
      <c r="HG320">
        <f ca="1"/>
      </c>
      <c r="HH320">
        <f ca="1"/>
      </c>
      <c r="HI320">
        <f ca="1"/>
      </c>
      <c r="HJ320">
        <f ca="1"/>
      </c>
      <c r="HK320">
        <f ca="1"/>
      </c>
      <c r="HL320">
        <f ca="1"/>
      </c>
      <c r="HM320">
        <f ca="1"/>
      </c>
      <c r="HN320">
        <f ca="1"/>
      </c>
      <c r="HO320">
        <f ca="1"/>
      </c>
      <c r="HP320">
        <f ca="1"/>
      </c>
      <c r="HQ320">
        <f ca="1"/>
      </c>
    </row>
    <row r="321" spans="147:225" x14ac:dyDescent="0.55000000000000004"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GX321">
        <f ca="1"/>
      </c>
      <c r="GY321">
        <f ca="1"/>
      </c>
      <c r="GZ321">
        <f ca="1"/>
      </c>
      <c r="HA321">
        <f ca="1"/>
      </c>
      <c r="HB321">
        <f ca="1"/>
      </c>
      <c r="HD321">
        <f ca="1"/>
      </c>
      <c r="HE321">
        <f ca="1"/>
      </c>
      <c r="HF321">
        <f ca="1"/>
      </c>
      <c r="HG321">
        <f ca="1"/>
      </c>
      <c r="HH321">
        <f ca="1"/>
      </c>
      <c r="HI321">
        <f ca="1"/>
      </c>
      <c r="HJ321">
        <f ca="1"/>
      </c>
      <c r="HK321">
        <f ca="1"/>
      </c>
      <c r="HL321">
        <f ca="1"/>
      </c>
      <c r="HM321">
        <f ca="1"/>
      </c>
      <c r="HN321">
        <f ca="1"/>
      </c>
      <c r="HO321">
        <f ca="1"/>
      </c>
      <c r="HP321">
        <f ca="1"/>
      </c>
      <c r="HQ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GX322">
        <f ca="1"/>
      </c>
      <c r="GY322">
        <f ca="1"/>
      </c>
      <c r="GZ322">
        <f ca="1"/>
      </c>
      <c r="HA322">
        <f ca="1"/>
      </c>
      <c r="HB322">
        <f ca="1"/>
      </c>
      <c r="HD322">
        <f ca="1"/>
      </c>
      <c r="HE322">
        <f ca="1"/>
      </c>
      <c r="HF322">
        <f ca="1"/>
      </c>
      <c r="HG322">
        <f ca="1"/>
      </c>
      <c r="HH322">
        <f ca="1"/>
      </c>
      <c r="HI322">
        <f ca="1"/>
      </c>
      <c r="HJ322">
        <f ca="1"/>
      </c>
      <c r="HK322">
        <f ca="1"/>
      </c>
      <c r="HL322">
        <f ca="1"/>
      </c>
      <c r="HM322">
        <f ca="1"/>
      </c>
      <c r="HN322">
        <f ca="1"/>
      </c>
      <c r="HO322">
        <f ca="1"/>
      </c>
      <c r="HP322">
        <f ca="1"/>
      </c>
      <c r="HQ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aca="1" ref="EQ354:FR371" ca="1">_xlfn.LET(_xlpm.g,_xlfn.DROP(_xlfn.ANCHORARRAY($CO$4),1),_xlfn._xlws.FILTER(_xlpm.g,_xlfn.TAKE(_xlpm.g,,1)=8))</f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aca="1" ref="GX355:GX372" ca="1">_xlfn.LET(_xlpm.V,_xlfn.DROP(_xlfn.ANCHORARRAY($EQ$354),,10),IF(1&lt;=COLUMNS(_xlpm.V),_xlfn.CHOOSECOLS(_xlpm.V,1),IF(_xlfn.SEQUENCE(ROWS(_xlpm.V)),NA())))</f>
      </c>
      <c r="GY355" cm="1">
        <f t="array" aca="1" ref="GY355:GY372" ca="1">_xlfn.LET(_xlpm.V,_xlfn.DROP(_xlfn.ANCHORARRAY($EQ$354),,10),IF(2&lt;=COLUMNS(_xlpm.V),_xlfn.CHOOSECOLS(_xlpm.V,2),IF(_xlfn.SEQUENCE(ROWS(_xlpm.V)),NA())))</f>
      </c>
      <c r="GZ355" cm="1">
        <f t="array" aca="1" ref="GZ355:GZ372" ca="1">_xlfn.LET(_xlpm.V,_xlfn.DROP(_xlfn.ANCHORARRAY($EQ$354),,10),IF(3&lt;=COLUMNS(_xlpm.V),_xlfn.CHOOSECOLS(_xlpm.V,3),IF(_xlfn.SEQUENCE(ROWS(_xlpm.V)),NA())))</f>
      </c>
      <c r="HA355" cm="1">
        <f t="array" aca="1" ref="HA355:HA372" ca="1">_xlfn.LET(_xlpm.V,_xlfn.DROP(_xlfn.ANCHORARRAY($EQ$354),,10),IF(4&lt;=COLUMNS(_xlpm.V),_xlfn.CHOOSECOLS(_xlpm.V,4),IF(_xlfn.SEQUENCE(ROWS(_xlpm.V)),NA())))</f>
      </c>
      <c r="HB355" cm="1">
        <f t="array" aca="1" ref="HB355:HB372" ca="1">_xlfn.LET(_xlpm.V,_xlfn.DROP(_xlfn.ANCHORARRAY($EQ$354),,10),IF(5&lt;=COLUMNS(_xlpm.V),_xlfn.CHOOSECOLS(_xlpm.V,5),IF(_xlfn.SEQUENCE(ROWS(_xlpm.V)),NA())))</f>
      </c>
      <c r="HD355" cm="1">
        <f t="array" aca="1" ref="HD355:HD372" ca="1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aca="1" ref="HF355:HF372" ca="1">_xlfn.CHOOSECOLS(_xlfn.ANCHORARRAY($EQ$354),8)+_xlfn.CHOOSECOLS(_xlfn.ANCHORARRAY($EQ$354),10)</f>
      </c>
      <c r="HG355" cm="1">
        <f t="array" aca="1" ref="HG355:HG372" ca="1">_xlfn.CHOOSECOLS(_xlfn.ANCHORARRAY($EQ$354),8)-_xlfn.CHOOSECOLS(_xlfn.ANCHORARRAY($EQ$354),10)</f>
      </c>
      <c r="HH355" cm="1">
        <f t="array" aca="1" ref="HH355:HH372" ca="1">_xlfn.LET(_xlpm.v,_xlfn.CHOOSECOLS(_xlfn._xlws.FILTER(_xlfn.DROP(_xlfn.ANCHORARRAY($HS$4),1),_xlfn.TAKE(_xlfn.DROP(_xlfn.ANCHORARRAY($HS$4),1),,1)=8),3),IF(_xlpm.v="",NA(),_xlpm.v))</f>
      </c>
      <c r="HI355" cm="1">
        <f t="array" aca="1" ref="HI355:HI372" ca="1">-_xlfn.ANCHORARRAY($HH$355)</f>
      </c>
      <c r="HJ355" cm="1">
        <f t="array" aca="1" ref="HJ355:HJ372" ca="1">_xlfn.LET(_xlpm.v,_xlfn.CHOOSECOLS(_xlfn._xlws.FILTER(_xlfn.DROP(_xlfn.ANCHORARRAY($HS$4),1),_xlfn.TAKE(_xlfn.DROP(_xlfn.ANCHORARRAY($HS$4),1),,1)=8),4),IF(_xlpm.v="",NA(),_xlpm.v))</f>
      </c>
      <c r="HK355" cm="1">
        <f t="array" aca="1" ref="HK355:HK372" ca="1">-_xlfn.ANCHORARRAY($HJ$355)</f>
      </c>
      <c r="HL355" cm="1">
        <f t="array" aca="1" ref="HL355:HL372" ca="1">_xlfn.LET(_xlpm.v,_xlfn.CHOOSECOLS(_xlfn._xlws.FILTER(_xlfn.DROP(_xlfn.ANCHORARRAY($HS$4),1),_xlfn.TAKE(_xlfn.DROP(_xlfn.ANCHORARRAY($HS$4),1),,1)=8),5),IF(_xlpm.v="",NA(),_xlpm.v))</f>
      </c>
      <c r="HM355" cm="1">
        <f t="array" aca="1" ref="HM355:HM372" ca="1">-_xlfn.ANCHORARRAY($HL$355)</f>
      </c>
      <c r="HN355" cm="1">
        <f t="array" aca="1" ref="HN355:HN372" ca="1">_xlfn.LET(_xlpm.v,_xlfn.CHOOSECOLS(_xlfn._xlws.FILTER(_xlfn.DROP(_xlfn.ANCHORARRAY($HS$4),1),_xlfn.TAKE(_xlfn.DROP(_xlfn.ANCHORARRAY($HS$4),1),,1)=8),6),IF(_xlpm.v="",NA(),_xlpm.v))</f>
      </c>
      <c r="HO355" cm="1">
        <f t="array" aca="1" ref="HO355:HO372" ca="1">-_xlfn.ANCHORARRAY($HN$355)</f>
      </c>
      <c r="HP355" cm="1">
        <f t="array" aca="1" ref="HP355:HP372" ca="1">_xlfn.LET(_xlpm.v,_xlfn.CHOOSECOLS(_xlfn._xlws.FILTER(_xlfn.DROP(_xlfn.ANCHORARRAY($HS$4),1),_xlfn.TAKE(_xlfn.DROP(_xlfn.ANCHORARRAY($HS$4),1),,1)=8),7),IF(_xlpm.v="",NA(),_xlpm.v))</f>
      </c>
      <c r="HQ355" cm="1">
        <f t="array" aca="1" ref="HQ355:HQ372" ca="1">-_xlfn.ANCHORARRAY($HP$355)</f>
      </c>
      <c r="HR355" cm="1">
        <f t="array" aca="1" ref="HR355" ca="1">IFERROR(INDEX(_xlfn._xlws.FILTER(_xlfn.DROP(_xlfn.ANCHORARRAY($HS$4),1),_xlfn.TAKE(_xlfn.DROP(_xlfn.ANCHORARRAY($HS$4),1),,1)=8),1,2),"")</f>
      </c>
    </row>
    <row r="356" spans="146:226" x14ac:dyDescent="0.55000000000000004"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GX356">
        <f ca="1"/>
      </c>
      <c r="GY356">
        <f ca="1"/>
      </c>
      <c r="GZ356">
        <f ca="1"/>
      </c>
      <c r="HA356">
        <f ca="1"/>
      </c>
      <c r="HB356">
        <f ca="1"/>
      </c>
      <c r="HD356">
        <f ca="1"/>
      </c>
      <c r="HE356">
        <f ca="1"/>
      </c>
      <c r="HF356">
        <f ca="1"/>
      </c>
      <c r="HG356">
        <f ca="1"/>
      </c>
      <c r="HH356">
        <f ca="1"/>
      </c>
      <c r="HI356">
        <f ca="1"/>
      </c>
      <c r="HJ356">
        <f ca="1"/>
      </c>
      <c r="HK356">
        <f ca="1"/>
      </c>
      <c r="HL356">
        <f ca="1"/>
      </c>
      <c r="HM356">
        <f ca="1"/>
      </c>
      <c r="HN356">
        <f ca="1"/>
      </c>
      <c r="HO356">
        <f ca="1"/>
      </c>
      <c r="HP356">
        <f ca="1"/>
      </c>
      <c r="HQ356">
        <f ca="1"/>
      </c>
    </row>
    <row r="357" spans="146:226" x14ac:dyDescent="0.55000000000000004"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GX357">
        <f ca="1"/>
      </c>
      <c r="GY357">
        <f ca="1"/>
      </c>
      <c r="GZ357">
        <f ca="1"/>
      </c>
      <c r="HA357">
        <f ca="1"/>
      </c>
      <c r="HB357">
        <f ca="1"/>
      </c>
      <c r="HD357">
        <f ca="1"/>
      </c>
      <c r="HE357">
        <f ca="1"/>
      </c>
      <c r="HF357">
        <f ca="1"/>
      </c>
      <c r="HG357">
        <f ca="1"/>
      </c>
      <c r="HH357">
        <f ca="1"/>
      </c>
      <c r="HI357">
        <f ca="1"/>
      </c>
      <c r="HJ357">
        <f ca="1"/>
      </c>
      <c r="HK357">
        <f ca="1"/>
      </c>
      <c r="HL357">
        <f ca="1"/>
      </c>
      <c r="HM357">
        <f ca="1"/>
      </c>
      <c r="HN357">
        <f ca="1"/>
      </c>
      <c r="HO357">
        <f ca="1"/>
      </c>
      <c r="HP357">
        <f ca="1"/>
      </c>
      <c r="HQ357">
        <f ca="1"/>
      </c>
    </row>
    <row r="358" spans="146:226" x14ac:dyDescent="0.55000000000000004"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GX358">
        <f ca="1"/>
      </c>
      <c r="GY358">
        <f ca="1"/>
      </c>
      <c r="GZ358">
        <f ca="1"/>
      </c>
      <c r="HA358">
        <f ca="1"/>
      </c>
      <c r="HB358">
        <f ca="1"/>
      </c>
      <c r="HD358">
        <f ca="1"/>
      </c>
      <c r="HE358">
        <f ca="1"/>
      </c>
      <c r="HF358">
        <f ca="1"/>
      </c>
      <c r="HG358">
        <f ca="1"/>
      </c>
      <c r="HH358">
        <f ca="1"/>
      </c>
      <c r="HI358">
        <f ca="1"/>
      </c>
      <c r="HJ358">
        <f ca="1"/>
      </c>
      <c r="HK358">
        <f ca="1"/>
      </c>
      <c r="HL358">
        <f ca="1"/>
      </c>
      <c r="HM358">
        <f ca="1"/>
      </c>
      <c r="HN358">
        <f ca="1"/>
      </c>
      <c r="HO358">
        <f ca="1"/>
      </c>
      <c r="HP358">
        <f ca="1"/>
      </c>
      <c r="HQ358">
        <f ca="1"/>
      </c>
    </row>
    <row r="359" spans="146:226" x14ac:dyDescent="0.55000000000000004"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GX359">
        <f ca="1"/>
      </c>
      <c r="GY359">
        <f ca="1"/>
      </c>
      <c r="GZ359">
        <f ca="1"/>
      </c>
      <c r="HA359">
        <f ca="1"/>
      </c>
      <c r="HB359">
        <f ca="1"/>
      </c>
      <c r="HD359">
        <f ca="1"/>
      </c>
      <c r="HE359">
        <f ca="1"/>
      </c>
      <c r="HF359">
        <f ca="1"/>
      </c>
      <c r="HG359">
        <f ca="1"/>
      </c>
      <c r="HH359">
        <f ca="1"/>
      </c>
      <c r="HI359">
        <f ca="1"/>
      </c>
      <c r="HJ359">
        <f ca="1"/>
      </c>
      <c r="HK359">
        <f ca="1"/>
      </c>
      <c r="HL359">
        <f ca="1"/>
      </c>
      <c r="HM359">
        <f ca="1"/>
      </c>
      <c r="HN359">
        <f ca="1"/>
      </c>
      <c r="HO359">
        <f ca="1"/>
      </c>
      <c r="HP359">
        <f ca="1"/>
      </c>
      <c r="HQ359">
        <f ca="1"/>
      </c>
    </row>
    <row r="360" spans="146:226" x14ac:dyDescent="0.55000000000000004"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GX360">
        <f ca="1"/>
      </c>
      <c r="GY360">
        <f ca="1"/>
      </c>
      <c r="GZ360">
        <f ca="1"/>
      </c>
      <c r="HA360">
        <f ca="1"/>
      </c>
      <c r="HB360">
        <f ca="1"/>
      </c>
      <c r="HD360">
        <f ca="1"/>
      </c>
      <c r="HE360">
        <f ca="1"/>
      </c>
      <c r="HF360">
        <f ca="1"/>
      </c>
      <c r="HG360">
        <f ca="1"/>
      </c>
      <c r="HH360">
        <f ca="1"/>
      </c>
      <c r="HI360">
        <f ca="1"/>
      </c>
      <c r="HJ360">
        <f ca="1"/>
      </c>
      <c r="HK360">
        <f ca="1"/>
      </c>
      <c r="HL360">
        <f ca="1"/>
      </c>
      <c r="HM360">
        <f ca="1"/>
      </c>
      <c r="HN360">
        <f ca="1"/>
      </c>
      <c r="HO360">
        <f ca="1"/>
      </c>
      <c r="HP360">
        <f ca="1"/>
      </c>
      <c r="HQ360">
        <f ca="1"/>
      </c>
    </row>
    <row r="361" spans="146:226" x14ac:dyDescent="0.55000000000000004"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GX361">
        <f ca="1"/>
      </c>
      <c r="GY361">
        <f ca="1"/>
      </c>
      <c r="GZ361">
        <f ca="1"/>
      </c>
      <c r="HA361">
        <f ca="1"/>
      </c>
      <c r="HB361">
        <f ca="1"/>
      </c>
      <c r="HD361">
        <f ca="1"/>
      </c>
      <c r="HE361">
        <f ca="1"/>
      </c>
      <c r="HF361">
        <f ca="1"/>
      </c>
      <c r="HG361">
        <f ca="1"/>
      </c>
      <c r="HH361">
        <f ca="1"/>
      </c>
      <c r="HI361">
        <f ca="1"/>
      </c>
      <c r="HJ361">
        <f ca="1"/>
      </c>
      <c r="HK361">
        <f ca="1"/>
      </c>
      <c r="HL361">
        <f ca="1"/>
      </c>
      <c r="HM361">
        <f ca="1"/>
      </c>
      <c r="HN361">
        <f ca="1"/>
      </c>
      <c r="HO361">
        <f ca="1"/>
      </c>
      <c r="HP361">
        <f ca="1"/>
      </c>
      <c r="HQ361">
        <f ca="1"/>
      </c>
    </row>
    <row r="362" spans="146:226" x14ac:dyDescent="0.55000000000000004"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GX362">
        <f ca="1"/>
      </c>
      <c r="GY362">
        <f ca="1"/>
      </c>
      <c r="GZ362">
        <f ca="1"/>
      </c>
      <c r="HA362">
        <f ca="1"/>
      </c>
      <c r="HB362">
        <f ca="1"/>
      </c>
      <c r="HD362">
        <f ca="1"/>
      </c>
      <c r="HE362">
        <f ca="1"/>
      </c>
      <c r="HF362">
        <f ca="1"/>
      </c>
      <c r="HG362">
        <f ca="1"/>
      </c>
      <c r="HH362">
        <f ca="1"/>
      </c>
      <c r="HI362">
        <f ca="1"/>
      </c>
      <c r="HJ362">
        <f ca="1"/>
      </c>
      <c r="HK362">
        <f ca="1"/>
      </c>
      <c r="HL362">
        <f ca="1"/>
      </c>
      <c r="HM362">
        <f ca="1"/>
      </c>
      <c r="HN362">
        <f ca="1"/>
      </c>
      <c r="HO362">
        <f ca="1"/>
      </c>
      <c r="HP362">
        <f ca="1"/>
      </c>
      <c r="HQ362">
        <f ca="1"/>
      </c>
    </row>
    <row r="363" spans="146:226" x14ac:dyDescent="0.55000000000000004"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GX363">
        <f ca="1"/>
      </c>
      <c r="GY363">
        <f ca="1"/>
      </c>
      <c r="GZ363">
        <f ca="1"/>
      </c>
      <c r="HA363">
        <f ca="1"/>
      </c>
      <c r="HB363">
        <f ca="1"/>
      </c>
      <c r="HD363">
        <f ca="1"/>
      </c>
      <c r="HE363">
        <f ca="1"/>
      </c>
      <c r="HF363">
        <f ca="1"/>
      </c>
      <c r="HG363">
        <f ca="1"/>
      </c>
      <c r="HH363">
        <f ca="1"/>
      </c>
      <c r="HI363">
        <f ca="1"/>
      </c>
      <c r="HJ363">
        <f ca="1"/>
      </c>
      <c r="HK363">
        <f ca="1"/>
      </c>
      <c r="HL363">
        <f ca="1"/>
      </c>
      <c r="HM363">
        <f ca="1"/>
      </c>
      <c r="HN363">
        <f ca="1"/>
      </c>
      <c r="HO363">
        <f ca="1"/>
      </c>
      <c r="HP363">
        <f ca="1"/>
      </c>
      <c r="HQ363">
        <f ca="1"/>
      </c>
    </row>
    <row r="364" spans="146:226" x14ac:dyDescent="0.55000000000000004"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GX364">
        <f ca="1"/>
      </c>
      <c r="GY364">
        <f ca="1"/>
      </c>
      <c r="GZ364">
        <f ca="1"/>
      </c>
      <c r="HA364">
        <f ca="1"/>
      </c>
      <c r="HB364">
        <f ca="1"/>
      </c>
      <c r="HD364">
        <f ca="1"/>
      </c>
      <c r="HE364">
        <f ca="1"/>
      </c>
      <c r="HF364">
        <f ca="1"/>
      </c>
      <c r="HG364">
        <f ca="1"/>
      </c>
      <c r="HH364">
        <f ca="1"/>
      </c>
      <c r="HI364">
        <f ca="1"/>
      </c>
      <c r="HJ364">
        <f ca="1"/>
      </c>
      <c r="HK364">
        <f ca="1"/>
      </c>
      <c r="HL364">
        <f ca="1"/>
      </c>
      <c r="HM364">
        <f ca="1"/>
      </c>
      <c r="HN364">
        <f ca="1"/>
      </c>
      <c r="HO364">
        <f ca="1"/>
      </c>
      <c r="HP364">
        <f ca="1"/>
      </c>
      <c r="HQ364">
        <f ca="1"/>
      </c>
    </row>
    <row r="365" spans="146:226" x14ac:dyDescent="0.55000000000000004"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GX365">
        <f ca="1"/>
      </c>
      <c r="GY365">
        <f ca="1"/>
      </c>
      <c r="GZ365">
        <f ca="1"/>
      </c>
      <c r="HA365">
        <f ca="1"/>
      </c>
      <c r="HB365">
        <f ca="1"/>
      </c>
      <c r="HD365">
        <f ca="1"/>
      </c>
      <c r="HE365">
        <f ca="1"/>
      </c>
      <c r="HF365">
        <f ca="1"/>
      </c>
      <c r="HG365">
        <f ca="1"/>
      </c>
      <c r="HH365">
        <f ca="1"/>
      </c>
      <c r="HI365">
        <f ca="1"/>
      </c>
      <c r="HJ365">
        <f ca="1"/>
      </c>
      <c r="HK365">
        <f ca="1"/>
      </c>
      <c r="HL365">
        <f ca="1"/>
      </c>
      <c r="HM365">
        <f ca="1"/>
      </c>
      <c r="HN365">
        <f ca="1"/>
      </c>
      <c r="HO365">
        <f ca="1"/>
      </c>
      <c r="HP365">
        <f ca="1"/>
      </c>
      <c r="HQ365">
        <f ca="1"/>
      </c>
    </row>
    <row r="366" spans="146:226" x14ac:dyDescent="0.55000000000000004"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GX366">
        <f ca="1"/>
      </c>
      <c r="GY366">
        <f ca="1"/>
      </c>
      <c r="GZ366">
        <f ca="1"/>
      </c>
      <c r="HA366">
        <f ca="1"/>
      </c>
      <c r="HB366">
        <f ca="1"/>
      </c>
      <c r="HD366">
        <f ca="1"/>
      </c>
      <c r="HE366">
        <f ca="1"/>
      </c>
      <c r="HF366">
        <f ca="1"/>
      </c>
      <c r="HG366">
        <f ca="1"/>
      </c>
      <c r="HH366">
        <f ca="1"/>
      </c>
      <c r="HI366">
        <f ca="1"/>
      </c>
      <c r="HJ366">
        <f ca="1"/>
      </c>
      <c r="HK366">
        <f ca="1"/>
      </c>
      <c r="HL366">
        <f ca="1"/>
      </c>
      <c r="HM366">
        <f ca="1"/>
      </c>
      <c r="HN366">
        <f ca="1"/>
      </c>
      <c r="HO366">
        <f ca="1"/>
      </c>
      <c r="HP366">
        <f ca="1"/>
      </c>
      <c r="HQ366">
        <f ca="1"/>
      </c>
    </row>
    <row r="367" spans="146:226" x14ac:dyDescent="0.55000000000000004"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GX367">
        <f ca="1"/>
      </c>
      <c r="GY367">
        <f ca="1"/>
      </c>
      <c r="GZ367">
        <f ca="1"/>
      </c>
      <c r="HA367">
        <f ca="1"/>
      </c>
      <c r="HB367">
        <f ca="1"/>
      </c>
      <c r="HD367">
        <f ca="1"/>
      </c>
      <c r="HE367">
        <f ca="1"/>
      </c>
      <c r="HF367">
        <f ca="1"/>
      </c>
      <c r="HG367">
        <f ca="1"/>
      </c>
      <c r="HH367">
        <f ca="1"/>
      </c>
      <c r="HI367">
        <f ca="1"/>
      </c>
      <c r="HJ367">
        <f ca="1"/>
      </c>
      <c r="HK367">
        <f ca="1"/>
      </c>
      <c r="HL367">
        <f ca="1"/>
      </c>
      <c r="HM367">
        <f ca="1"/>
      </c>
      <c r="HN367">
        <f ca="1"/>
      </c>
      <c r="HO367">
        <f ca="1"/>
      </c>
      <c r="HP367">
        <f ca="1"/>
      </c>
      <c r="HQ367">
        <f ca="1"/>
      </c>
    </row>
    <row r="368" spans="146:226" x14ac:dyDescent="0.55000000000000004"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GX368">
        <f ca="1"/>
      </c>
      <c r="GY368">
        <f ca="1"/>
      </c>
      <c r="GZ368">
        <f ca="1"/>
      </c>
      <c r="HA368">
        <f ca="1"/>
      </c>
      <c r="HB368">
        <f ca="1"/>
      </c>
      <c r="HD368">
        <f ca="1"/>
      </c>
      <c r="HE368">
        <f ca="1"/>
      </c>
      <c r="HF368">
        <f ca="1"/>
      </c>
      <c r="HG368">
        <f ca="1"/>
      </c>
      <c r="HH368">
        <f ca="1"/>
      </c>
      <c r="HI368">
        <f ca="1"/>
      </c>
      <c r="HJ368">
        <f ca="1"/>
      </c>
      <c r="HK368">
        <f ca="1"/>
      </c>
      <c r="HL368">
        <f ca="1"/>
      </c>
      <c r="HM368">
        <f ca="1"/>
      </c>
      <c r="HN368">
        <f ca="1"/>
      </c>
      <c r="HO368">
        <f ca="1"/>
      </c>
      <c r="HP368">
        <f ca="1"/>
      </c>
      <c r="HQ368">
        <f ca="1"/>
      </c>
    </row>
    <row r="369" spans="147:225" x14ac:dyDescent="0.55000000000000004"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GX369">
        <f ca="1"/>
      </c>
      <c r="GY369">
        <f ca="1"/>
      </c>
      <c r="GZ369">
        <f ca="1"/>
      </c>
      <c r="HA369">
        <f ca="1"/>
      </c>
      <c r="HB369">
        <f ca="1"/>
      </c>
      <c r="HD369">
        <f ca="1"/>
      </c>
      <c r="HE369">
        <f ca="1"/>
      </c>
      <c r="HF369">
        <f ca="1"/>
      </c>
      <c r="HG369">
        <f ca="1"/>
      </c>
      <c r="HH369">
        <f ca="1"/>
      </c>
      <c r="HI369">
        <f ca="1"/>
      </c>
      <c r="HJ369">
        <f ca="1"/>
      </c>
      <c r="HK369">
        <f ca="1"/>
      </c>
      <c r="HL369">
        <f ca="1"/>
      </c>
      <c r="HM369">
        <f ca="1"/>
      </c>
      <c r="HN369">
        <f ca="1"/>
      </c>
      <c r="HO369">
        <f ca="1"/>
      </c>
      <c r="HP369">
        <f ca="1"/>
      </c>
      <c r="HQ369">
        <f ca="1"/>
      </c>
    </row>
    <row r="370" spans="147:225" x14ac:dyDescent="0.55000000000000004"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GX370">
        <f ca="1"/>
      </c>
      <c r="GY370">
        <f ca="1"/>
      </c>
      <c r="GZ370">
        <f ca="1"/>
      </c>
      <c r="HA370">
        <f ca="1"/>
      </c>
      <c r="HB370">
        <f ca="1"/>
      </c>
      <c r="HD370">
        <f ca="1"/>
      </c>
      <c r="HE370">
        <f ca="1"/>
      </c>
      <c r="HF370">
        <f ca="1"/>
      </c>
      <c r="HG370">
        <f ca="1"/>
      </c>
      <c r="HH370">
        <f ca="1"/>
      </c>
      <c r="HI370">
        <f ca="1"/>
      </c>
      <c r="HJ370">
        <f ca="1"/>
      </c>
      <c r="HK370">
        <f ca="1"/>
      </c>
      <c r="HL370">
        <f ca="1"/>
      </c>
      <c r="HM370">
        <f ca="1"/>
      </c>
      <c r="HN370">
        <f ca="1"/>
      </c>
      <c r="HO370">
        <f ca="1"/>
      </c>
      <c r="HP370">
        <f ca="1"/>
      </c>
      <c r="HQ370">
        <f ca="1"/>
      </c>
    </row>
    <row r="371" spans="147:225" x14ac:dyDescent="0.55000000000000004"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GX371">
        <f ca="1"/>
      </c>
      <c r="GY371">
        <f ca="1"/>
      </c>
      <c r="GZ371">
        <f ca="1"/>
      </c>
      <c r="HA371">
        <f ca="1"/>
      </c>
      <c r="HB371">
        <f ca="1"/>
      </c>
      <c r="HD371">
        <f ca="1"/>
      </c>
      <c r="HE371">
        <f ca="1"/>
      </c>
      <c r="HF371">
        <f ca="1"/>
      </c>
      <c r="HG371">
        <f ca="1"/>
      </c>
      <c r="HH371">
        <f ca="1"/>
      </c>
      <c r="HI371">
        <f ca="1"/>
      </c>
      <c r="HJ371">
        <f ca="1"/>
      </c>
      <c r="HK371">
        <f ca="1"/>
      </c>
      <c r="HL371">
        <f ca="1"/>
      </c>
      <c r="HM371">
        <f ca="1"/>
      </c>
      <c r="HN371">
        <f ca="1"/>
      </c>
      <c r="HO371">
        <f ca="1"/>
      </c>
      <c r="HP371">
        <f ca="1"/>
      </c>
      <c r="HQ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GX372">
        <f ca="1"/>
      </c>
      <c r="GY372">
        <f ca="1"/>
      </c>
      <c r="GZ372">
        <f ca="1"/>
      </c>
      <c r="HA372">
        <f ca="1"/>
      </c>
      <c r="HB372">
        <f ca="1"/>
      </c>
      <c r="HD372">
        <f ca="1"/>
      </c>
      <c r="HE372">
        <f ca="1"/>
      </c>
      <c r="HF372">
        <f ca="1"/>
      </c>
      <c r="HG372">
        <f ca="1"/>
      </c>
      <c r="HH372">
        <f ca="1"/>
      </c>
      <c r="HI372">
        <f ca="1"/>
      </c>
      <c r="HJ372">
        <f ca="1"/>
      </c>
      <c r="HK372">
        <f ca="1"/>
      </c>
      <c r="HL372">
        <f ca="1"/>
      </c>
      <c r="HM372">
        <f ca="1"/>
      </c>
      <c r="HN372">
        <f ca="1"/>
      </c>
      <c r="HO372">
        <f ca="1"/>
      </c>
      <c r="HP372">
        <f ca="1"/>
      </c>
      <c r="HQ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aca="1" ref="EQ404:FR421" ca="1">_xlfn.LET(_xlpm.g,_xlfn.DROP(_xlfn.ANCHORARRAY($CO$4),1),_xlfn._xlws.FILTER(_xlpm.g,_xlfn.TAKE(_xlpm.g,,1)=9))</f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aca="1" ref="GX405:GX422" ca="1">_xlfn.LET(_xlpm.V,_xlfn.DROP(_xlfn.ANCHORARRAY($EQ$404),,10),IF(1&lt;=COLUMNS(_xlpm.V),_xlfn.CHOOSECOLS(_xlpm.V,1),IF(_xlfn.SEQUENCE(ROWS(_xlpm.V)),NA())))</f>
      </c>
      <c r="GY405" cm="1">
        <f t="array" aca="1" ref="GY405:GY422" ca="1">_xlfn.LET(_xlpm.V,_xlfn.DROP(_xlfn.ANCHORARRAY($EQ$404),,10),IF(2&lt;=COLUMNS(_xlpm.V),_xlfn.CHOOSECOLS(_xlpm.V,2),IF(_xlfn.SEQUENCE(ROWS(_xlpm.V)),NA())))</f>
      </c>
      <c r="GZ405" cm="1">
        <f t="array" aca="1" ref="GZ405:GZ422" ca="1">_xlfn.LET(_xlpm.V,_xlfn.DROP(_xlfn.ANCHORARRAY($EQ$404),,10),IF(3&lt;=COLUMNS(_xlpm.V),_xlfn.CHOOSECOLS(_xlpm.V,3),IF(_xlfn.SEQUENCE(ROWS(_xlpm.V)),NA())))</f>
      </c>
      <c r="HA405" cm="1">
        <f t="array" aca="1" ref="HA405:HA422" ca="1">_xlfn.LET(_xlpm.V,_xlfn.DROP(_xlfn.ANCHORARRAY($EQ$404),,10),IF(4&lt;=COLUMNS(_xlpm.V),_xlfn.CHOOSECOLS(_xlpm.V,4),IF(_xlfn.SEQUENCE(ROWS(_xlpm.V)),NA())))</f>
      </c>
      <c r="HB405" cm="1">
        <f t="array" aca="1" ref="HB405:HB422" ca="1">_xlfn.LET(_xlpm.V,_xlfn.DROP(_xlfn.ANCHORARRAY($EQ$404),,10),IF(5&lt;=COLUMNS(_xlpm.V),_xlfn.CHOOSECOLS(_xlpm.V,5),IF(_xlfn.SEQUENCE(ROWS(_xlpm.V)),NA())))</f>
      </c>
      <c r="HD405" cm="1">
        <f t="array" aca="1" ref="HD405:HD422" ca="1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aca="1" ref="HF405:HF422" ca="1">_xlfn.CHOOSECOLS(_xlfn.ANCHORARRAY($EQ$404),8)+_xlfn.CHOOSECOLS(_xlfn.ANCHORARRAY($EQ$404),10)</f>
      </c>
      <c r="HG405" cm="1">
        <f t="array" aca="1" ref="HG405:HG422" ca="1">_xlfn.CHOOSECOLS(_xlfn.ANCHORARRAY($EQ$404),8)-_xlfn.CHOOSECOLS(_xlfn.ANCHORARRAY($EQ$404),10)</f>
      </c>
      <c r="HH405" cm="1">
        <f t="array" aca="1" ref="HH405:HH422" ca="1">_xlfn.LET(_xlpm.v,_xlfn.CHOOSECOLS(_xlfn._xlws.FILTER(_xlfn.DROP(_xlfn.ANCHORARRAY($HS$4),1),_xlfn.TAKE(_xlfn.DROP(_xlfn.ANCHORARRAY($HS$4),1),,1)=9),3),IF(_xlpm.v="",NA(),_xlpm.v))</f>
      </c>
      <c r="HI405" cm="1">
        <f t="array" aca="1" ref="HI405:HI422" ca="1">-_xlfn.ANCHORARRAY($HH$405)</f>
      </c>
      <c r="HJ405" cm="1">
        <f t="array" aca="1" ref="HJ405:HJ422" ca="1">_xlfn.LET(_xlpm.v,_xlfn.CHOOSECOLS(_xlfn._xlws.FILTER(_xlfn.DROP(_xlfn.ANCHORARRAY($HS$4),1),_xlfn.TAKE(_xlfn.DROP(_xlfn.ANCHORARRAY($HS$4),1),,1)=9),4),IF(_xlpm.v="",NA(),_xlpm.v))</f>
      </c>
      <c r="HK405" cm="1">
        <f t="array" aca="1" ref="HK405:HK422" ca="1">-_xlfn.ANCHORARRAY($HJ$405)</f>
      </c>
      <c r="HL405" cm="1">
        <f t="array" aca="1" ref="HL405:HL422" ca="1">_xlfn.LET(_xlpm.v,_xlfn.CHOOSECOLS(_xlfn._xlws.FILTER(_xlfn.DROP(_xlfn.ANCHORARRAY($HS$4),1),_xlfn.TAKE(_xlfn.DROP(_xlfn.ANCHORARRAY($HS$4),1),,1)=9),5),IF(_xlpm.v="",NA(),_xlpm.v))</f>
      </c>
      <c r="HM405" cm="1">
        <f t="array" aca="1" ref="HM405:HM422" ca="1">-_xlfn.ANCHORARRAY($HL$405)</f>
      </c>
      <c r="HN405" cm="1">
        <f t="array" aca="1" ref="HN405:HN422" ca="1">_xlfn.LET(_xlpm.v,_xlfn.CHOOSECOLS(_xlfn._xlws.FILTER(_xlfn.DROP(_xlfn.ANCHORARRAY($HS$4),1),_xlfn.TAKE(_xlfn.DROP(_xlfn.ANCHORARRAY($HS$4),1),,1)=9),6),IF(_xlpm.v="",NA(),_xlpm.v))</f>
      </c>
      <c r="HO405" cm="1">
        <f t="array" aca="1" ref="HO405:HO422" ca="1">-_xlfn.ANCHORARRAY($HN$405)</f>
      </c>
      <c r="HP405" cm="1">
        <f t="array" aca="1" ref="HP405:HP422" ca="1">_xlfn.LET(_xlpm.v,_xlfn.CHOOSECOLS(_xlfn._xlws.FILTER(_xlfn.DROP(_xlfn.ANCHORARRAY($HS$4),1),_xlfn.TAKE(_xlfn.DROP(_xlfn.ANCHORARRAY($HS$4),1),,1)=9),7),IF(_xlpm.v="",NA(),_xlpm.v))</f>
      </c>
      <c r="HQ405" cm="1">
        <f t="array" aca="1" ref="HQ405:HQ422" ca="1">-_xlfn.ANCHORARRAY($HP$405)</f>
      </c>
      <c r="HR405" cm="1">
        <f t="array" aca="1" ref="HR405" ca="1">IFERROR(INDEX(_xlfn._xlws.FILTER(_xlfn.DROP(_xlfn.ANCHORARRAY($HS$4),1),_xlfn.TAKE(_xlfn.DROP(_xlfn.ANCHORARRAY($HS$4),1),,1)=9),1,2),"")</f>
      </c>
    </row>
    <row r="406" spans="146:226" x14ac:dyDescent="0.55000000000000004"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GX406">
        <f ca="1"/>
      </c>
      <c r="GY406">
        <f ca="1"/>
      </c>
      <c r="GZ406">
        <f ca="1"/>
      </c>
      <c r="HA406">
        <f ca="1"/>
      </c>
      <c r="HB406">
        <f ca="1"/>
      </c>
      <c r="HD406">
        <f ca="1"/>
      </c>
      <c r="HE406">
        <f ca="1"/>
      </c>
      <c r="HF406">
        <f ca="1"/>
      </c>
      <c r="HG406">
        <f ca="1"/>
      </c>
      <c r="HH406">
        <f ca="1"/>
      </c>
      <c r="HI406">
        <f ca="1"/>
      </c>
      <c r="HJ406">
        <f ca="1"/>
      </c>
      <c r="HK406">
        <f ca="1"/>
      </c>
      <c r="HL406">
        <f ca="1"/>
      </c>
      <c r="HM406">
        <f ca="1"/>
      </c>
      <c r="HN406">
        <f ca="1"/>
      </c>
      <c r="HO406">
        <f ca="1"/>
      </c>
      <c r="HP406">
        <f ca="1"/>
      </c>
      <c r="HQ406">
        <f ca="1"/>
      </c>
    </row>
    <row r="407" spans="146:226" x14ac:dyDescent="0.55000000000000004"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GX407">
        <f ca="1"/>
      </c>
      <c r="GY407">
        <f ca="1"/>
      </c>
      <c r="GZ407">
        <f ca="1"/>
      </c>
      <c r="HA407">
        <f ca="1"/>
      </c>
      <c r="HB407">
        <f ca="1"/>
      </c>
      <c r="HD407">
        <f ca="1"/>
      </c>
      <c r="HE407">
        <f ca="1"/>
      </c>
      <c r="HF407">
        <f ca="1"/>
      </c>
      <c r="HG407">
        <f ca="1"/>
      </c>
      <c r="HH407">
        <f ca="1"/>
      </c>
      <c r="HI407">
        <f ca="1"/>
      </c>
      <c r="HJ407">
        <f ca="1"/>
      </c>
      <c r="HK407">
        <f ca="1"/>
      </c>
      <c r="HL407">
        <f ca="1"/>
      </c>
      <c r="HM407">
        <f ca="1"/>
      </c>
      <c r="HN407">
        <f ca="1"/>
      </c>
      <c r="HO407">
        <f ca="1"/>
      </c>
      <c r="HP407">
        <f ca="1"/>
      </c>
      <c r="HQ407">
        <f ca="1"/>
      </c>
    </row>
    <row r="408" spans="146:226" x14ac:dyDescent="0.55000000000000004"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GX408">
        <f ca="1"/>
      </c>
      <c r="GY408">
        <f ca="1"/>
      </c>
      <c r="GZ408">
        <f ca="1"/>
      </c>
      <c r="HA408">
        <f ca="1"/>
      </c>
      <c r="HB408">
        <f ca="1"/>
      </c>
      <c r="HD408">
        <f ca="1"/>
      </c>
      <c r="HE408">
        <f ca="1"/>
      </c>
      <c r="HF408">
        <f ca="1"/>
      </c>
      <c r="HG408">
        <f ca="1"/>
      </c>
      <c r="HH408">
        <f ca="1"/>
      </c>
      <c r="HI408">
        <f ca="1"/>
      </c>
      <c r="HJ408">
        <f ca="1"/>
      </c>
      <c r="HK408">
        <f ca="1"/>
      </c>
      <c r="HL408">
        <f ca="1"/>
      </c>
      <c r="HM408">
        <f ca="1"/>
      </c>
      <c r="HN408">
        <f ca="1"/>
      </c>
      <c r="HO408">
        <f ca="1"/>
      </c>
      <c r="HP408">
        <f ca="1"/>
      </c>
      <c r="HQ408">
        <f ca="1"/>
      </c>
    </row>
    <row r="409" spans="146:226" x14ac:dyDescent="0.55000000000000004"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GX409">
        <f ca="1"/>
      </c>
      <c r="GY409">
        <f ca="1"/>
      </c>
      <c r="GZ409">
        <f ca="1"/>
      </c>
      <c r="HA409">
        <f ca="1"/>
      </c>
      <c r="HB409">
        <f ca="1"/>
      </c>
      <c r="HD409">
        <f ca="1"/>
      </c>
      <c r="HE409">
        <f ca="1"/>
      </c>
      <c r="HF409">
        <f ca="1"/>
      </c>
      <c r="HG409">
        <f ca="1"/>
      </c>
      <c r="HH409">
        <f ca="1"/>
      </c>
      <c r="HI409">
        <f ca="1"/>
      </c>
      <c r="HJ409">
        <f ca="1"/>
      </c>
      <c r="HK409">
        <f ca="1"/>
      </c>
      <c r="HL409">
        <f ca="1"/>
      </c>
      <c r="HM409">
        <f ca="1"/>
      </c>
      <c r="HN409">
        <f ca="1"/>
      </c>
      <c r="HO409">
        <f ca="1"/>
      </c>
      <c r="HP409">
        <f ca="1"/>
      </c>
      <c r="HQ409">
        <f ca="1"/>
      </c>
    </row>
    <row r="410" spans="146:226" x14ac:dyDescent="0.55000000000000004"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GX410">
        <f ca="1"/>
      </c>
      <c r="GY410">
        <f ca="1"/>
      </c>
      <c r="GZ410">
        <f ca="1"/>
      </c>
      <c r="HA410">
        <f ca="1"/>
      </c>
      <c r="HB410">
        <f ca="1"/>
      </c>
      <c r="HD410">
        <f ca="1"/>
      </c>
      <c r="HE410">
        <f ca="1"/>
      </c>
      <c r="HF410">
        <f ca="1"/>
      </c>
      <c r="HG410">
        <f ca="1"/>
      </c>
      <c r="HH410">
        <f ca="1"/>
      </c>
      <c r="HI410">
        <f ca="1"/>
      </c>
      <c r="HJ410">
        <f ca="1"/>
      </c>
      <c r="HK410">
        <f ca="1"/>
      </c>
      <c r="HL410">
        <f ca="1"/>
      </c>
      <c r="HM410">
        <f ca="1"/>
      </c>
      <c r="HN410">
        <f ca="1"/>
      </c>
      <c r="HO410">
        <f ca="1"/>
      </c>
      <c r="HP410">
        <f ca="1"/>
      </c>
      <c r="HQ410">
        <f ca="1"/>
      </c>
    </row>
    <row r="411" spans="146:226" x14ac:dyDescent="0.55000000000000004"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GX411">
        <f ca="1"/>
      </c>
      <c r="GY411">
        <f ca="1"/>
      </c>
      <c r="GZ411">
        <f ca="1"/>
      </c>
      <c r="HA411">
        <f ca="1"/>
      </c>
      <c r="HB411">
        <f ca="1"/>
      </c>
      <c r="HD411">
        <f ca="1"/>
      </c>
      <c r="HE411">
        <f ca="1"/>
      </c>
      <c r="HF411">
        <f ca="1"/>
      </c>
      <c r="HG411">
        <f ca="1"/>
      </c>
      <c r="HH411">
        <f ca="1"/>
      </c>
      <c r="HI411">
        <f ca="1"/>
      </c>
      <c r="HJ411">
        <f ca="1"/>
      </c>
      <c r="HK411">
        <f ca="1"/>
      </c>
      <c r="HL411">
        <f ca="1"/>
      </c>
      <c r="HM411">
        <f ca="1"/>
      </c>
      <c r="HN411">
        <f ca="1"/>
      </c>
      <c r="HO411">
        <f ca="1"/>
      </c>
      <c r="HP411">
        <f ca="1"/>
      </c>
      <c r="HQ411">
        <f ca="1"/>
      </c>
    </row>
    <row r="412" spans="146:226" x14ac:dyDescent="0.55000000000000004"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GX412">
        <f ca="1"/>
      </c>
      <c r="GY412">
        <f ca="1"/>
      </c>
      <c r="GZ412">
        <f ca="1"/>
      </c>
      <c r="HA412">
        <f ca="1"/>
      </c>
      <c r="HB412">
        <f ca="1"/>
      </c>
      <c r="HD412">
        <f ca="1"/>
      </c>
      <c r="HE412">
        <f ca="1"/>
      </c>
      <c r="HF412">
        <f ca="1"/>
      </c>
      <c r="HG412">
        <f ca="1"/>
      </c>
      <c r="HH412">
        <f ca="1"/>
      </c>
      <c r="HI412">
        <f ca="1"/>
      </c>
      <c r="HJ412">
        <f ca="1"/>
      </c>
      <c r="HK412">
        <f ca="1"/>
      </c>
      <c r="HL412">
        <f ca="1"/>
      </c>
      <c r="HM412">
        <f ca="1"/>
      </c>
      <c r="HN412">
        <f ca="1"/>
      </c>
      <c r="HO412">
        <f ca="1"/>
      </c>
      <c r="HP412">
        <f ca="1"/>
      </c>
      <c r="HQ412">
        <f ca="1"/>
      </c>
    </row>
    <row r="413" spans="146:226" x14ac:dyDescent="0.55000000000000004"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GX413">
        <f ca="1"/>
      </c>
      <c r="GY413">
        <f ca="1"/>
      </c>
      <c r="GZ413">
        <f ca="1"/>
      </c>
      <c r="HA413">
        <f ca="1"/>
      </c>
      <c r="HB413">
        <f ca="1"/>
      </c>
      <c r="HD413">
        <f ca="1"/>
      </c>
      <c r="HE413">
        <f ca="1"/>
      </c>
      <c r="HF413">
        <f ca="1"/>
      </c>
      <c r="HG413">
        <f ca="1"/>
      </c>
      <c r="HH413">
        <f ca="1"/>
      </c>
      <c r="HI413">
        <f ca="1"/>
      </c>
      <c r="HJ413">
        <f ca="1"/>
      </c>
      <c r="HK413">
        <f ca="1"/>
      </c>
      <c r="HL413">
        <f ca="1"/>
      </c>
      <c r="HM413">
        <f ca="1"/>
      </c>
      <c r="HN413">
        <f ca="1"/>
      </c>
      <c r="HO413">
        <f ca="1"/>
      </c>
      <c r="HP413">
        <f ca="1"/>
      </c>
      <c r="HQ413">
        <f ca="1"/>
      </c>
    </row>
    <row r="414" spans="146:226" x14ac:dyDescent="0.55000000000000004"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GX414">
        <f ca="1"/>
      </c>
      <c r="GY414">
        <f ca="1"/>
      </c>
      <c r="GZ414">
        <f ca="1"/>
      </c>
      <c r="HA414">
        <f ca="1"/>
      </c>
      <c r="HB414">
        <f ca="1"/>
      </c>
      <c r="HD414">
        <f ca="1"/>
      </c>
      <c r="HE414">
        <f ca="1"/>
      </c>
      <c r="HF414">
        <f ca="1"/>
      </c>
      <c r="HG414">
        <f ca="1"/>
      </c>
      <c r="HH414">
        <f ca="1"/>
      </c>
      <c r="HI414">
        <f ca="1"/>
      </c>
      <c r="HJ414">
        <f ca="1"/>
      </c>
      <c r="HK414">
        <f ca="1"/>
      </c>
      <c r="HL414">
        <f ca="1"/>
      </c>
      <c r="HM414">
        <f ca="1"/>
      </c>
      <c r="HN414">
        <f ca="1"/>
      </c>
      <c r="HO414">
        <f ca="1"/>
      </c>
      <c r="HP414">
        <f ca="1"/>
      </c>
      <c r="HQ414">
        <f ca="1"/>
      </c>
    </row>
    <row r="415" spans="146:226" x14ac:dyDescent="0.55000000000000004"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GX415">
        <f ca="1"/>
      </c>
      <c r="GY415">
        <f ca="1"/>
      </c>
      <c r="GZ415">
        <f ca="1"/>
      </c>
      <c r="HA415">
        <f ca="1"/>
      </c>
      <c r="HB415">
        <f ca="1"/>
      </c>
      <c r="HD415">
        <f ca="1"/>
      </c>
      <c r="HE415">
        <f ca="1"/>
      </c>
      <c r="HF415">
        <f ca="1"/>
      </c>
      <c r="HG415">
        <f ca="1"/>
      </c>
      <c r="HH415">
        <f ca="1"/>
      </c>
      <c r="HI415">
        <f ca="1"/>
      </c>
      <c r="HJ415">
        <f ca="1"/>
      </c>
      <c r="HK415">
        <f ca="1"/>
      </c>
      <c r="HL415">
        <f ca="1"/>
      </c>
      <c r="HM415">
        <f ca="1"/>
      </c>
      <c r="HN415">
        <f ca="1"/>
      </c>
      <c r="HO415">
        <f ca="1"/>
      </c>
      <c r="HP415">
        <f ca="1"/>
      </c>
      <c r="HQ415">
        <f ca="1"/>
      </c>
    </row>
    <row r="416" spans="146:226" x14ac:dyDescent="0.55000000000000004"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GX416">
        <f ca="1"/>
      </c>
      <c r="GY416">
        <f ca="1"/>
      </c>
      <c r="GZ416">
        <f ca="1"/>
      </c>
      <c r="HA416">
        <f ca="1"/>
      </c>
      <c r="HB416">
        <f ca="1"/>
      </c>
      <c r="HD416">
        <f ca="1"/>
      </c>
      <c r="HE416">
        <f ca="1"/>
      </c>
      <c r="HF416">
        <f ca="1"/>
      </c>
      <c r="HG416">
        <f ca="1"/>
      </c>
      <c r="HH416">
        <f ca="1"/>
      </c>
      <c r="HI416">
        <f ca="1"/>
      </c>
      <c r="HJ416">
        <f ca="1"/>
      </c>
      <c r="HK416">
        <f ca="1"/>
      </c>
      <c r="HL416">
        <f ca="1"/>
      </c>
      <c r="HM416">
        <f ca="1"/>
      </c>
      <c r="HN416">
        <f ca="1"/>
      </c>
      <c r="HO416">
        <f ca="1"/>
      </c>
      <c r="HP416">
        <f ca="1"/>
      </c>
      <c r="HQ416">
        <f ca="1"/>
      </c>
    </row>
    <row r="417" spans="147:225" x14ac:dyDescent="0.55000000000000004"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GX417">
        <f ca="1"/>
      </c>
      <c r="GY417">
        <f ca="1"/>
      </c>
      <c r="GZ417">
        <f ca="1"/>
      </c>
      <c r="HA417">
        <f ca="1"/>
      </c>
      <c r="HB417">
        <f ca="1"/>
      </c>
      <c r="HD417">
        <f ca="1"/>
      </c>
      <c r="HE417">
        <f ca="1"/>
      </c>
      <c r="HF417">
        <f ca="1"/>
      </c>
      <c r="HG417">
        <f ca="1"/>
      </c>
      <c r="HH417">
        <f ca="1"/>
      </c>
      <c r="HI417">
        <f ca="1"/>
      </c>
      <c r="HJ417">
        <f ca="1"/>
      </c>
      <c r="HK417">
        <f ca="1"/>
      </c>
      <c r="HL417">
        <f ca="1"/>
      </c>
      <c r="HM417">
        <f ca="1"/>
      </c>
      <c r="HN417">
        <f ca="1"/>
      </c>
      <c r="HO417">
        <f ca="1"/>
      </c>
      <c r="HP417">
        <f ca="1"/>
      </c>
      <c r="HQ417">
        <f ca="1"/>
      </c>
    </row>
    <row r="418" spans="147:225" x14ac:dyDescent="0.55000000000000004"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GX418">
        <f ca="1"/>
      </c>
      <c r="GY418">
        <f ca="1"/>
      </c>
      <c r="GZ418">
        <f ca="1"/>
      </c>
      <c r="HA418">
        <f ca="1"/>
      </c>
      <c r="HB418">
        <f ca="1"/>
      </c>
      <c r="HD418">
        <f ca="1"/>
      </c>
      <c r="HE418">
        <f ca="1"/>
      </c>
      <c r="HF418">
        <f ca="1"/>
      </c>
      <c r="HG418">
        <f ca="1"/>
      </c>
      <c r="HH418">
        <f ca="1"/>
      </c>
      <c r="HI418">
        <f ca="1"/>
      </c>
      <c r="HJ418">
        <f ca="1"/>
      </c>
      <c r="HK418">
        <f ca="1"/>
      </c>
      <c r="HL418">
        <f ca="1"/>
      </c>
      <c r="HM418">
        <f ca="1"/>
      </c>
      <c r="HN418">
        <f ca="1"/>
      </c>
      <c r="HO418">
        <f ca="1"/>
      </c>
      <c r="HP418">
        <f ca="1"/>
      </c>
      <c r="HQ418">
        <f ca="1"/>
      </c>
    </row>
    <row r="419" spans="147:225" x14ac:dyDescent="0.55000000000000004"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GX419">
        <f ca="1"/>
      </c>
      <c r="GY419">
        <f ca="1"/>
      </c>
      <c r="GZ419">
        <f ca="1"/>
      </c>
      <c r="HA419">
        <f ca="1"/>
      </c>
      <c r="HB419">
        <f ca="1"/>
      </c>
      <c r="HD419">
        <f ca="1"/>
      </c>
      <c r="HE419">
        <f ca="1"/>
      </c>
      <c r="HF419">
        <f ca="1"/>
      </c>
      <c r="HG419">
        <f ca="1"/>
      </c>
      <c r="HH419">
        <f ca="1"/>
      </c>
      <c r="HI419">
        <f ca="1"/>
      </c>
      <c r="HJ419">
        <f ca="1"/>
      </c>
      <c r="HK419">
        <f ca="1"/>
      </c>
      <c r="HL419">
        <f ca="1"/>
      </c>
      <c r="HM419">
        <f ca="1"/>
      </c>
      <c r="HN419">
        <f ca="1"/>
      </c>
      <c r="HO419">
        <f ca="1"/>
      </c>
      <c r="HP419">
        <f ca="1"/>
      </c>
      <c r="HQ419">
        <f ca="1"/>
      </c>
    </row>
    <row r="420" spans="147:225" x14ac:dyDescent="0.55000000000000004"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GX420">
        <f ca="1"/>
      </c>
      <c r="GY420">
        <f ca="1"/>
      </c>
      <c r="GZ420">
        <f ca="1"/>
      </c>
      <c r="HA420">
        <f ca="1"/>
      </c>
      <c r="HB420">
        <f ca="1"/>
      </c>
      <c r="HD420">
        <f ca="1"/>
      </c>
      <c r="HE420">
        <f ca="1"/>
      </c>
      <c r="HF420">
        <f ca="1"/>
      </c>
      <c r="HG420">
        <f ca="1"/>
      </c>
      <c r="HH420">
        <f ca="1"/>
      </c>
      <c r="HI420">
        <f ca="1"/>
      </c>
      <c r="HJ420">
        <f ca="1"/>
      </c>
      <c r="HK420">
        <f ca="1"/>
      </c>
      <c r="HL420">
        <f ca="1"/>
      </c>
      <c r="HM420">
        <f ca="1"/>
      </c>
      <c r="HN420">
        <f ca="1"/>
      </c>
      <c r="HO420">
        <f ca="1"/>
      </c>
      <c r="HP420">
        <f ca="1"/>
      </c>
      <c r="HQ420">
        <f ca="1"/>
      </c>
    </row>
    <row r="421" spans="147:225" x14ac:dyDescent="0.55000000000000004"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GX421">
        <f ca="1"/>
      </c>
      <c r="GY421">
        <f ca="1"/>
      </c>
      <c r="GZ421">
        <f ca="1"/>
      </c>
      <c r="HA421">
        <f ca="1"/>
      </c>
      <c r="HB421">
        <f ca="1"/>
      </c>
      <c r="HD421">
        <f ca="1"/>
      </c>
      <c r="HE421">
        <f ca="1"/>
      </c>
      <c r="HF421">
        <f ca="1"/>
      </c>
      <c r="HG421">
        <f ca="1"/>
      </c>
      <c r="HH421">
        <f ca="1"/>
      </c>
      <c r="HI421">
        <f ca="1"/>
      </c>
      <c r="HJ421">
        <f ca="1"/>
      </c>
      <c r="HK421">
        <f ca="1"/>
      </c>
      <c r="HL421">
        <f ca="1"/>
      </c>
      <c r="HM421">
        <f ca="1"/>
      </c>
      <c r="HN421">
        <f ca="1"/>
      </c>
      <c r="HO421">
        <f ca="1"/>
      </c>
      <c r="HP421">
        <f ca="1"/>
      </c>
      <c r="HQ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GX422">
        <f ca="1"/>
      </c>
      <c r="GY422">
        <f ca="1"/>
      </c>
      <c r="GZ422">
        <f ca="1"/>
      </c>
      <c r="HA422">
        <f ca="1"/>
      </c>
      <c r="HB422">
        <f ca="1"/>
      </c>
      <c r="HD422">
        <f ca="1"/>
      </c>
      <c r="HE422">
        <f ca="1"/>
      </c>
      <c r="HF422">
        <f ca="1"/>
      </c>
      <c r="HG422">
        <f ca="1"/>
      </c>
      <c r="HH422">
        <f ca="1"/>
      </c>
      <c r="HI422">
        <f ca="1"/>
      </c>
      <c r="HJ422">
        <f ca="1"/>
      </c>
      <c r="HK422">
        <f ca="1"/>
      </c>
      <c r="HL422">
        <f ca="1"/>
      </c>
      <c r="HM422">
        <f ca="1"/>
      </c>
      <c r="HN422">
        <f ca="1"/>
      </c>
      <c r="HO422">
        <f ca="1"/>
      </c>
      <c r="HP422">
        <f ca="1"/>
      </c>
      <c r="HQ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aca="1" ref="EQ454:FR471" ca="1">_xlfn.LET(_xlpm.g,_xlfn.DROP(_xlfn.ANCHORARRAY($CO$4),1),_xlfn._xlws.FILTER(_xlpm.g,_xlfn.TAKE(_xlpm.g,,1)=10))</f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aca="1" ref="GX455:GX472" ca="1">_xlfn.LET(_xlpm.V,_xlfn.DROP(_xlfn.ANCHORARRAY($EQ$454),,10),IF(1&lt;=COLUMNS(_xlpm.V),_xlfn.CHOOSECOLS(_xlpm.V,1),IF(_xlfn.SEQUENCE(ROWS(_xlpm.V)),NA())))</f>
      </c>
      <c r="GY455" cm="1">
        <f t="array" aca="1" ref="GY455:GY472" ca="1">_xlfn.LET(_xlpm.V,_xlfn.DROP(_xlfn.ANCHORARRAY($EQ$454),,10),IF(2&lt;=COLUMNS(_xlpm.V),_xlfn.CHOOSECOLS(_xlpm.V,2),IF(_xlfn.SEQUENCE(ROWS(_xlpm.V)),NA())))</f>
      </c>
      <c r="GZ455" cm="1">
        <f t="array" aca="1" ref="GZ455:GZ472" ca="1">_xlfn.LET(_xlpm.V,_xlfn.DROP(_xlfn.ANCHORARRAY($EQ$454),,10),IF(3&lt;=COLUMNS(_xlpm.V),_xlfn.CHOOSECOLS(_xlpm.V,3),IF(_xlfn.SEQUENCE(ROWS(_xlpm.V)),NA())))</f>
      </c>
      <c r="HA455" cm="1">
        <f t="array" aca="1" ref="HA455:HA472" ca="1">_xlfn.LET(_xlpm.V,_xlfn.DROP(_xlfn.ANCHORARRAY($EQ$454),,10),IF(4&lt;=COLUMNS(_xlpm.V),_xlfn.CHOOSECOLS(_xlpm.V,4),IF(_xlfn.SEQUENCE(ROWS(_xlpm.V)),NA())))</f>
      </c>
      <c r="HB455" cm="1">
        <f t="array" aca="1" ref="HB455:HB472" ca="1">_xlfn.LET(_xlpm.V,_xlfn.DROP(_xlfn.ANCHORARRAY($EQ$454),,10),IF(5&lt;=COLUMNS(_xlpm.V),_xlfn.CHOOSECOLS(_xlpm.V,5),IF(_xlfn.SEQUENCE(ROWS(_xlpm.V)),NA())))</f>
      </c>
      <c r="HD455" cm="1">
        <f t="array" aca="1" ref="HD455:HD472" ca="1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aca="1" ref="HF455:HF472" ca="1">_xlfn.CHOOSECOLS(_xlfn.ANCHORARRAY($EQ$454),8)+_xlfn.CHOOSECOLS(_xlfn.ANCHORARRAY($EQ$454),10)</f>
      </c>
      <c r="HG455" cm="1">
        <f t="array" aca="1" ref="HG455:HG472" ca="1">_xlfn.CHOOSECOLS(_xlfn.ANCHORARRAY($EQ$454),8)-_xlfn.CHOOSECOLS(_xlfn.ANCHORARRAY($EQ$454),10)</f>
      </c>
      <c r="HH455" cm="1">
        <f t="array" aca="1" ref="HH455:HH472" ca="1">_xlfn.LET(_xlpm.v,_xlfn.CHOOSECOLS(_xlfn._xlws.FILTER(_xlfn.DROP(_xlfn.ANCHORARRAY($HS$4),1),_xlfn.TAKE(_xlfn.DROP(_xlfn.ANCHORARRAY($HS$4),1),,1)=10),3),IF(_xlpm.v="",NA(),_xlpm.v))</f>
      </c>
      <c r="HI455" cm="1">
        <f t="array" aca="1" ref="HI455:HI472" ca="1">-_xlfn.ANCHORARRAY($HH$455)</f>
      </c>
      <c r="HJ455" cm="1">
        <f t="array" aca="1" ref="HJ455:HJ472" ca="1">_xlfn.LET(_xlpm.v,_xlfn.CHOOSECOLS(_xlfn._xlws.FILTER(_xlfn.DROP(_xlfn.ANCHORARRAY($HS$4),1),_xlfn.TAKE(_xlfn.DROP(_xlfn.ANCHORARRAY($HS$4),1),,1)=10),4),IF(_xlpm.v="",NA(),_xlpm.v))</f>
      </c>
      <c r="HK455" cm="1">
        <f t="array" aca="1" ref="HK455:HK472" ca="1">-_xlfn.ANCHORARRAY($HJ$455)</f>
      </c>
      <c r="HL455" cm="1">
        <f t="array" aca="1" ref="HL455:HL472" ca="1">_xlfn.LET(_xlpm.v,_xlfn.CHOOSECOLS(_xlfn._xlws.FILTER(_xlfn.DROP(_xlfn.ANCHORARRAY($HS$4),1),_xlfn.TAKE(_xlfn.DROP(_xlfn.ANCHORARRAY($HS$4),1),,1)=10),5),IF(_xlpm.v="",NA(),_xlpm.v))</f>
      </c>
      <c r="HM455" cm="1">
        <f t="array" aca="1" ref="HM455:HM472" ca="1">-_xlfn.ANCHORARRAY($HL$455)</f>
      </c>
      <c r="HN455" cm="1">
        <f t="array" aca="1" ref="HN455:HN472" ca="1">_xlfn.LET(_xlpm.v,_xlfn.CHOOSECOLS(_xlfn._xlws.FILTER(_xlfn.DROP(_xlfn.ANCHORARRAY($HS$4),1),_xlfn.TAKE(_xlfn.DROP(_xlfn.ANCHORARRAY($HS$4),1),,1)=10),6),IF(_xlpm.v="",NA(),_xlpm.v))</f>
      </c>
      <c r="HO455" cm="1">
        <f t="array" aca="1" ref="HO455:HO472" ca="1">-_xlfn.ANCHORARRAY($HN$455)</f>
      </c>
      <c r="HP455" cm="1">
        <f t="array" aca="1" ref="HP455:HP472" ca="1">_xlfn.LET(_xlpm.v,_xlfn.CHOOSECOLS(_xlfn._xlws.FILTER(_xlfn.DROP(_xlfn.ANCHORARRAY($HS$4),1),_xlfn.TAKE(_xlfn.DROP(_xlfn.ANCHORARRAY($HS$4),1),,1)=10),7),IF(_xlpm.v="",NA(),_xlpm.v))</f>
      </c>
      <c r="HQ455" cm="1">
        <f t="array" aca="1" ref="HQ455:HQ472" ca="1">-_xlfn.ANCHORARRAY($HP$455)</f>
      </c>
      <c r="HR455" cm="1">
        <f t="array" aca="1" ref="HR455" ca="1">IFERROR(INDEX(_xlfn._xlws.FILTER(_xlfn.DROP(_xlfn.ANCHORARRAY($HS$4),1),_xlfn.TAKE(_xlfn.DROP(_xlfn.ANCHORARRAY($HS$4),1),,1)=10),1,2),"")</f>
      </c>
    </row>
    <row r="456" spans="146:226" x14ac:dyDescent="0.55000000000000004"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GX456">
        <f ca="1"/>
      </c>
      <c r="GY456">
        <f ca="1"/>
      </c>
      <c r="GZ456">
        <f ca="1"/>
      </c>
      <c r="HA456">
        <f ca="1"/>
      </c>
      <c r="HB456">
        <f ca="1"/>
      </c>
      <c r="HD456">
        <f ca="1"/>
      </c>
      <c r="HE456">
        <f ca="1"/>
      </c>
      <c r="HF456">
        <f ca="1"/>
      </c>
      <c r="HG456">
        <f ca="1"/>
      </c>
      <c r="HH456">
        <f ca="1"/>
      </c>
      <c r="HI456">
        <f ca="1"/>
      </c>
      <c r="HJ456">
        <f ca="1"/>
      </c>
      <c r="HK456">
        <f ca="1"/>
      </c>
      <c r="HL456">
        <f ca="1"/>
      </c>
      <c r="HM456">
        <f ca="1"/>
      </c>
      <c r="HN456">
        <f ca="1"/>
      </c>
      <c r="HO456">
        <f ca="1"/>
      </c>
      <c r="HP456">
        <f ca="1"/>
      </c>
      <c r="HQ456">
        <f ca="1"/>
      </c>
    </row>
    <row r="457" spans="146:226" x14ac:dyDescent="0.55000000000000004"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GX457">
        <f ca="1"/>
      </c>
      <c r="GY457">
        <f ca="1"/>
      </c>
      <c r="GZ457">
        <f ca="1"/>
      </c>
      <c r="HA457">
        <f ca="1"/>
      </c>
      <c r="HB457">
        <f ca="1"/>
      </c>
      <c r="HD457">
        <f ca="1"/>
      </c>
      <c r="HE457">
        <f ca="1"/>
      </c>
      <c r="HF457">
        <f ca="1"/>
      </c>
      <c r="HG457">
        <f ca="1"/>
      </c>
      <c r="HH457">
        <f ca="1"/>
      </c>
      <c r="HI457">
        <f ca="1"/>
      </c>
      <c r="HJ457">
        <f ca="1"/>
      </c>
      <c r="HK457">
        <f ca="1"/>
      </c>
      <c r="HL457">
        <f ca="1"/>
      </c>
      <c r="HM457">
        <f ca="1"/>
      </c>
      <c r="HN457">
        <f ca="1"/>
      </c>
      <c r="HO457">
        <f ca="1"/>
      </c>
      <c r="HP457">
        <f ca="1"/>
      </c>
      <c r="HQ457">
        <f ca="1"/>
      </c>
    </row>
    <row r="458" spans="146:226" x14ac:dyDescent="0.55000000000000004"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GX458">
        <f ca="1"/>
      </c>
      <c r="GY458">
        <f ca="1"/>
      </c>
      <c r="GZ458">
        <f ca="1"/>
      </c>
      <c r="HA458">
        <f ca="1"/>
      </c>
      <c r="HB458">
        <f ca="1"/>
      </c>
      <c r="HD458">
        <f ca="1"/>
      </c>
      <c r="HE458">
        <f ca="1"/>
      </c>
      <c r="HF458">
        <f ca="1"/>
      </c>
      <c r="HG458">
        <f ca="1"/>
      </c>
      <c r="HH458">
        <f ca="1"/>
      </c>
      <c r="HI458">
        <f ca="1"/>
      </c>
      <c r="HJ458">
        <f ca="1"/>
      </c>
      <c r="HK458">
        <f ca="1"/>
      </c>
      <c r="HL458">
        <f ca="1"/>
      </c>
      <c r="HM458">
        <f ca="1"/>
      </c>
      <c r="HN458">
        <f ca="1"/>
      </c>
      <c r="HO458">
        <f ca="1"/>
      </c>
      <c r="HP458">
        <f ca="1"/>
      </c>
      <c r="HQ458">
        <f ca="1"/>
      </c>
    </row>
    <row r="459" spans="146:226" x14ac:dyDescent="0.55000000000000004"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GX459">
        <f ca="1"/>
      </c>
      <c r="GY459">
        <f ca="1"/>
      </c>
      <c r="GZ459">
        <f ca="1"/>
      </c>
      <c r="HA459">
        <f ca="1"/>
      </c>
      <c r="HB459">
        <f ca="1"/>
      </c>
      <c r="HD459">
        <f ca="1"/>
      </c>
      <c r="HE459">
        <f ca="1"/>
      </c>
      <c r="HF459">
        <f ca="1"/>
      </c>
      <c r="HG459">
        <f ca="1"/>
      </c>
      <c r="HH459">
        <f ca="1"/>
      </c>
      <c r="HI459">
        <f ca="1"/>
      </c>
      <c r="HJ459">
        <f ca="1"/>
      </c>
      <c r="HK459">
        <f ca="1"/>
      </c>
      <c r="HL459">
        <f ca="1"/>
      </c>
      <c r="HM459">
        <f ca="1"/>
      </c>
      <c r="HN459">
        <f ca="1"/>
      </c>
      <c r="HO459">
        <f ca="1"/>
      </c>
      <c r="HP459">
        <f ca="1"/>
      </c>
      <c r="HQ459">
        <f ca="1"/>
      </c>
    </row>
    <row r="460" spans="146:226" x14ac:dyDescent="0.55000000000000004"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GX460">
        <f ca="1"/>
      </c>
      <c r="GY460">
        <f ca="1"/>
      </c>
      <c r="GZ460">
        <f ca="1"/>
      </c>
      <c r="HA460">
        <f ca="1"/>
      </c>
      <c r="HB460">
        <f ca="1"/>
      </c>
      <c r="HD460">
        <f ca="1"/>
      </c>
      <c r="HE460">
        <f ca="1"/>
      </c>
      <c r="HF460">
        <f ca="1"/>
      </c>
      <c r="HG460">
        <f ca="1"/>
      </c>
      <c r="HH460">
        <f ca="1"/>
      </c>
      <c r="HI460">
        <f ca="1"/>
      </c>
      <c r="HJ460">
        <f ca="1"/>
      </c>
      <c r="HK460">
        <f ca="1"/>
      </c>
      <c r="HL460">
        <f ca="1"/>
      </c>
      <c r="HM460">
        <f ca="1"/>
      </c>
      <c r="HN460">
        <f ca="1"/>
      </c>
      <c r="HO460">
        <f ca="1"/>
      </c>
      <c r="HP460">
        <f ca="1"/>
      </c>
      <c r="HQ460">
        <f ca="1"/>
      </c>
    </row>
    <row r="461" spans="146:226" x14ac:dyDescent="0.55000000000000004"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GX461">
        <f ca="1"/>
      </c>
      <c r="GY461">
        <f ca="1"/>
      </c>
      <c r="GZ461">
        <f ca="1"/>
      </c>
      <c r="HA461">
        <f ca="1"/>
      </c>
      <c r="HB461">
        <f ca="1"/>
      </c>
      <c r="HD461">
        <f ca="1"/>
      </c>
      <c r="HE461">
        <f ca="1"/>
      </c>
      <c r="HF461">
        <f ca="1"/>
      </c>
      <c r="HG461">
        <f ca="1"/>
      </c>
      <c r="HH461">
        <f ca="1"/>
      </c>
      <c r="HI461">
        <f ca="1"/>
      </c>
      <c r="HJ461">
        <f ca="1"/>
      </c>
      <c r="HK461">
        <f ca="1"/>
      </c>
      <c r="HL461">
        <f ca="1"/>
      </c>
      <c r="HM461">
        <f ca="1"/>
      </c>
      <c r="HN461">
        <f ca="1"/>
      </c>
      <c r="HO461">
        <f ca="1"/>
      </c>
      <c r="HP461">
        <f ca="1"/>
      </c>
      <c r="HQ461">
        <f ca="1"/>
      </c>
    </row>
    <row r="462" spans="146:226" x14ac:dyDescent="0.55000000000000004"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GX462">
        <f ca="1"/>
      </c>
      <c r="GY462">
        <f ca="1"/>
      </c>
      <c r="GZ462">
        <f ca="1"/>
      </c>
      <c r="HA462">
        <f ca="1"/>
      </c>
      <c r="HB462">
        <f ca="1"/>
      </c>
      <c r="HD462">
        <f ca="1"/>
      </c>
      <c r="HE462">
        <f ca="1"/>
      </c>
      <c r="HF462">
        <f ca="1"/>
      </c>
      <c r="HG462">
        <f ca="1"/>
      </c>
      <c r="HH462">
        <f ca="1"/>
      </c>
      <c r="HI462">
        <f ca="1"/>
      </c>
      <c r="HJ462">
        <f ca="1"/>
      </c>
      <c r="HK462">
        <f ca="1"/>
      </c>
      <c r="HL462">
        <f ca="1"/>
      </c>
      <c r="HM462">
        <f ca="1"/>
      </c>
      <c r="HN462">
        <f ca="1"/>
      </c>
      <c r="HO462">
        <f ca="1"/>
      </c>
      <c r="HP462">
        <f ca="1"/>
      </c>
      <c r="HQ462">
        <f ca="1"/>
      </c>
    </row>
    <row r="463" spans="146:226" x14ac:dyDescent="0.55000000000000004"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GX463">
        <f ca="1"/>
      </c>
      <c r="GY463">
        <f ca="1"/>
      </c>
      <c r="GZ463">
        <f ca="1"/>
      </c>
      <c r="HA463">
        <f ca="1"/>
      </c>
      <c r="HB463">
        <f ca="1"/>
      </c>
      <c r="HD463">
        <f ca="1"/>
      </c>
      <c r="HE463">
        <f ca="1"/>
      </c>
      <c r="HF463">
        <f ca="1"/>
      </c>
      <c r="HG463">
        <f ca="1"/>
      </c>
      <c r="HH463">
        <f ca="1"/>
      </c>
      <c r="HI463">
        <f ca="1"/>
      </c>
      <c r="HJ463">
        <f ca="1"/>
      </c>
      <c r="HK463">
        <f ca="1"/>
      </c>
      <c r="HL463">
        <f ca="1"/>
      </c>
      <c r="HM463">
        <f ca="1"/>
      </c>
      <c r="HN463">
        <f ca="1"/>
      </c>
      <c r="HO463">
        <f ca="1"/>
      </c>
      <c r="HP463">
        <f ca="1"/>
      </c>
      <c r="HQ463">
        <f ca="1"/>
      </c>
    </row>
    <row r="464" spans="146:226" x14ac:dyDescent="0.55000000000000004"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GX464">
        <f ca="1"/>
      </c>
      <c r="GY464">
        <f ca="1"/>
      </c>
      <c r="GZ464">
        <f ca="1"/>
      </c>
      <c r="HA464">
        <f ca="1"/>
      </c>
      <c r="HB464">
        <f ca="1"/>
      </c>
      <c r="HD464">
        <f ca="1"/>
      </c>
      <c r="HE464">
        <f ca="1"/>
      </c>
      <c r="HF464">
        <f ca="1"/>
      </c>
      <c r="HG464">
        <f ca="1"/>
      </c>
      <c r="HH464">
        <f ca="1"/>
      </c>
      <c r="HI464">
        <f ca="1"/>
      </c>
      <c r="HJ464">
        <f ca="1"/>
      </c>
      <c r="HK464">
        <f ca="1"/>
      </c>
      <c r="HL464">
        <f ca="1"/>
      </c>
      <c r="HM464">
        <f ca="1"/>
      </c>
      <c r="HN464">
        <f ca="1"/>
      </c>
      <c r="HO464">
        <f ca="1"/>
      </c>
      <c r="HP464">
        <f ca="1"/>
      </c>
      <c r="HQ464">
        <f ca="1"/>
      </c>
    </row>
    <row r="465" spans="147:225" x14ac:dyDescent="0.55000000000000004"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GX465">
        <f ca="1"/>
      </c>
      <c r="GY465">
        <f ca="1"/>
      </c>
      <c r="GZ465">
        <f ca="1"/>
      </c>
      <c r="HA465">
        <f ca="1"/>
      </c>
      <c r="HB465">
        <f ca="1"/>
      </c>
      <c r="HD465">
        <f ca="1"/>
      </c>
      <c r="HE465">
        <f ca="1"/>
      </c>
      <c r="HF465">
        <f ca="1"/>
      </c>
      <c r="HG465">
        <f ca="1"/>
      </c>
      <c r="HH465">
        <f ca="1"/>
      </c>
      <c r="HI465">
        <f ca="1"/>
      </c>
      <c r="HJ465">
        <f ca="1"/>
      </c>
      <c r="HK465">
        <f ca="1"/>
      </c>
      <c r="HL465">
        <f ca="1"/>
      </c>
      <c r="HM465">
        <f ca="1"/>
      </c>
      <c r="HN465">
        <f ca="1"/>
      </c>
      <c r="HO465">
        <f ca="1"/>
      </c>
      <c r="HP465">
        <f ca="1"/>
      </c>
      <c r="HQ465">
        <f ca="1"/>
      </c>
    </row>
    <row r="466" spans="147:225" x14ac:dyDescent="0.55000000000000004"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GX466">
        <f ca="1"/>
      </c>
      <c r="GY466">
        <f ca="1"/>
      </c>
      <c r="GZ466">
        <f ca="1"/>
      </c>
      <c r="HA466">
        <f ca="1"/>
      </c>
      <c r="HB466">
        <f ca="1"/>
      </c>
      <c r="HD466">
        <f ca="1"/>
      </c>
      <c r="HE466">
        <f ca="1"/>
      </c>
      <c r="HF466">
        <f ca="1"/>
      </c>
      <c r="HG466">
        <f ca="1"/>
      </c>
      <c r="HH466">
        <f ca="1"/>
      </c>
      <c r="HI466">
        <f ca="1"/>
      </c>
      <c r="HJ466">
        <f ca="1"/>
      </c>
      <c r="HK466">
        <f ca="1"/>
      </c>
      <c r="HL466">
        <f ca="1"/>
      </c>
      <c r="HM466">
        <f ca="1"/>
      </c>
      <c r="HN466">
        <f ca="1"/>
      </c>
      <c r="HO466">
        <f ca="1"/>
      </c>
      <c r="HP466">
        <f ca="1"/>
      </c>
      <c r="HQ466">
        <f ca="1"/>
      </c>
    </row>
    <row r="467" spans="147:225" x14ac:dyDescent="0.55000000000000004"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GX467">
        <f ca="1"/>
      </c>
      <c r="GY467">
        <f ca="1"/>
      </c>
      <c r="GZ467">
        <f ca="1"/>
      </c>
      <c r="HA467">
        <f ca="1"/>
      </c>
      <c r="HB467">
        <f ca="1"/>
      </c>
      <c r="HD467">
        <f ca="1"/>
      </c>
      <c r="HE467">
        <f ca="1"/>
      </c>
      <c r="HF467">
        <f ca="1"/>
      </c>
      <c r="HG467">
        <f ca="1"/>
      </c>
      <c r="HH467">
        <f ca="1"/>
      </c>
      <c r="HI467">
        <f ca="1"/>
      </c>
      <c r="HJ467">
        <f ca="1"/>
      </c>
      <c r="HK467">
        <f ca="1"/>
      </c>
      <c r="HL467">
        <f ca="1"/>
      </c>
      <c r="HM467">
        <f ca="1"/>
      </c>
      <c r="HN467">
        <f ca="1"/>
      </c>
      <c r="HO467">
        <f ca="1"/>
      </c>
      <c r="HP467">
        <f ca="1"/>
      </c>
      <c r="HQ467">
        <f ca="1"/>
      </c>
    </row>
    <row r="468" spans="147:225" x14ac:dyDescent="0.55000000000000004"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GX468">
        <f ca="1"/>
      </c>
      <c r="GY468">
        <f ca="1"/>
      </c>
      <c r="GZ468">
        <f ca="1"/>
      </c>
      <c r="HA468">
        <f ca="1"/>
      </c>
      <c r="HB468">
        <f ca="1"/>
      </c>
      <c r="HD468">
        <f ca="1"/>
      </c>
      <c r="HE468">
        <f ca="1"/>
      </c>
      <c r="HF468">
        <f ca="1"/>
      </c>
      <c r="HG468">
        <f ca="1"/>
      </c>
      <c r="HH468">
        <f ca="1"/>
      </c>
      <c r="HI468">
        <f ca="1"/>
      </c>
      <c r="HJ468">
        <f ca="1"/>
      </c>
      <c r="HK468">
        <f ca="1"/>
      </c>
      <c r="HL468">
        <f ca="1"/>
      </c>
      <c r="HM468">
        <f ca="1"/>
      </c>
      <c r="HN468">
        <f ca="1"/>
      </c>
      <c r="HO468">
        <f ca="1"/>
      </c>
      <c r="HP468">
        <f ca="1"/>
      </c>
      <c r="HQ468">
        <f ca="1"/>
      </c>
    </row>
    <row r="469" spans="147:225" x14ac:dyDescent="0.55000000000000004"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GX469">
        <f ca="1"/>
      </c>
      <c r="GY469">
        <f ca="1"/>
      </c>
      <c r="GZ469">
        <f ca="1"/>
      </c>
      <c r="HA469">
        <f ca="1"/>
      </c>
      <c r="HB469">
        <f ca="1"/>
      </c>
      <c r="HD469">
        <f ca="1"/>
      </c>
      <c r="HE469">
        <f ca="1"/>
      </c>
      <c r="HF469">
        <f ca="1"/>
      </c>
      <c r="HG469">
        <f ca="1"/>
      </c>
      <c r="HH469">
        <f ca="1"/>
      </c>
      <c r="HI469">
        <f ca="1"/>
      </c>
      <c r="HJ469">
        <f ca="1"/>
      </c>
      <c r="HK469">
        <f ca="1"/>
      </c>
      <c r="HL469">
        <f ca="1"/>
      </c>
      <c r="HM469">
        <f ca="1"/>
      </c>
      <c r="HN469">
        <f ca="1"/>
      </c>
      <c r="HO469">
        <f ca="1"/>
      </c>
      <c r="HP469">
        <f ca="1"/>
      </c>
      <c r="HQ469">
        <f ca="1"/>
      </c>
    </row>
    <row r="470" spans="147:225" x14ac:dyDescent="0.55000000000000004"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GX470">
        <f ca="1"/>
      </c>
      <c r="GY470">
        <f ca="1"/>
      </c>
      <c r="GZ470">
        <f ca="1"/>
      </c>
      <c r="HA470">
        <f ca="1"/>
      </c>
      <c r="HB470">
        <f ca="1"/>
      </c>
      <c r="HD470">
        <f ca="1"/>
      </c>
      <c r="HE470">
        <f ca="1"/>
      </c>
      <c r="HF470">
        <f ca="1"/>
      </c>
      <c r="HG470">
        <f ca="1"/>
      </c>
      <c r="HH470">
        <f ca="1"/>
      </c>
      <c r="HI470">
        <f ca="1"/>
      </c>
      <c r="HJ470">
        <f ca="1"/>
      </c>
      <c r="HK470">
        <f ca="1"/>
      </c>
      <c r="HL470">
        <f ca="1"/>
      </c>
      <c r="HM470">
        <f ca="1"/>
      </c>
      <c r="HN470">
        <f ca="1"/>
      </c>
      <c r="HO470">
        <f ca="1"/>
      </c>
      <c r="HP470">
        <f ca="1"/>
      </c>
      <c r="HQ470">
        <f ca="1"/>
      </c>
    </row>
    <row r="471" spans="147:225" x14ac:dyDescent="0.55000000000000004"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GX471">
        <f ca="1"/>
      </c>
      <c r="GY471">
        <f ca="1"/>
      </c>
      <c r="GZ471">
        <f ca="1"/>
      </c>
      <c r="HA471">
        <f ca="1"/>
      </c>
      <c r="HB471">
        <f ca="1"/>
      </c>
      <c r="HD471">
        <f ca="1"/>
      </c>
      <c r="HE471">
        <f ca="1"/>
      </c>
      <c r="HF471">
        <f ca="1"/>
      </c>
      <c r="HG471">
        <f ca="1"/>
      </c>
      <c r="HH471">
        <f ca="1"/>
      </c>
      <c r="HI471">
        <f ca="1"/>
      </c>
      <c r="HJ471">
        <f ca="1"/>
      </c>
      <c r="HK471">
        <f ca="1"/>
      </c>
      <c r="HL471">
        <f ca="1"/>
      </c>
      <c r="HM471">
        <f ca="1"/>
      </c>
      <c r="HN471">
        <f ca="1"/>
      </c>
      <c r="HO471">
        <f ca="1"/>
      </c>
      <c r="HP471">
        <f ca="1"/>
      </c>
      <c r="HQ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GX472">
        <f ca="1"/>
      </c>
      <c r="GY472">
        <f ca="1"/>
      </c>
      <c r="GZ472">
        <f ca="1"/>
      </c>
      <c r="HA472">
        <f ca="1"/>
      </c>
      <c r="HB472">
        <f ca="1"/>
      </c>
      <c r="HD472">
        <f ca="1"/>
      </c>
      <c r="HE472">
        <f ca="1"/>
      </c>
      <c r="HF472">
        <f ca="1"/>
      </c>
      <c r="HG472">
        <f ca="1"/>
      </c>
      <c r="HH472">
        <f ca="1"/>
      </c>
      <c r="HI472">
        <f ca="1"/>
      </c>
      <c r="HJ472">
        <f ca="1"/>
      </c>
      <c r="HK472">
        <f ca="1"/>
      </c>
      <c r="HL472">
        <f ca="1"/>
      </c>
      <c r="HM472">
        <f ca="1"/>
      </c>
      <c r="HN472">
        <f ca="1"/>
      </c>
      <c r="HO472">
        <f ca="1"/>
      </c>
      <c r="HP472">
        <f ca="1"/>
      </c>
      <c r="HQ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0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P6 BI6 BB6 AU6 AN6 AG6 Z6 S6 L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opLeftCell="B1" zoomScale="56" workbookViewId="0">
      <selection activeCell="R5" sqref="R5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94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aca="1" ref="F4" ca="1">PcaWindow(VOL_Labels,VOL_Mode,VOL_Standardize,VOL_window,VOL_WindowEnd,"vol")</f>
      </c>
      <c r="G4" s="7"/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aca="1" ref="BP4" ca="1">PcaModel(VOL_Labels,VOL_Mode,VOL_Standardize,VOL_window,VOL_WindowEnd,"vol")</f>
      </c>
      <c r="JD4" cm="1">
        <f t="array" ref="JD4:JD19">_xlfn._xlws.FILTER($A$15:$A$30,$B$15:$B$30="○")</f>
      </c>
      <c r="JE4" cm="1">
        <f t="array" ref="JE4:JE15">_xlfn._xlws.FILTER($C$15:$C$26,$D$15:$D$26="○")</f>
      </c>
      <c r="JG4" cm="1">
        <f t="array" ref="JG4:JG195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G5" s="7"/>
      <c r="I5">
        <f ca="1"/>
      </c>
      <c r="J5">
        <f ca="1"/>
      </c>
      <c r="P5" t="s">
        <v>230</v>
      </c>
      <c r="BG5" s="7"/>
      <c r="BI5" cm="1">
        <f t="array" aca="1" ref="BI5:BI196" ca="1">_xlfn.DROP(_xlfn.TAKE(_xlfn.ANCHORARRAY($BP$4),,1),1)</f>
      </c>
      <c r="BJ5" s="11" cm="1">
        <f t="array" aca="1" ref="BJ5:BJ196" ca="1">PcaActual(VOL_Labels,VOL_Mode,VOL_ReconDate,_xlfn.ANCHORARRAY($LA$3),"vol")</f>
      </c>
      <c r="BK5" s="11" cm="1">
        <f t="array" aca="1" ref="BK5:BK196" ca="1">_xlfn.DROP(_xlfn.CHOOSECOLS(_xlfn.ANCHORARRAY($BP$4),2),1)</f>
      </c>
      <c r="BL5" s="11" cm="1">
        <f t="array" aca="1" ref="BL5:BL196" ca="1">_xlfn.DROP(_xlfn.CHOOSECOLS(_xlfn.ANCHORARRAY($BP$4),3),1)</f>
      </c>
      <c r="BM5" s="11" cm="1">
        <f t="array" aca="1" ref="BM5:BM196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96" ca="1">_xlfn.ANCHORARRAY(BJ5)-_xlfn.ANCHORARRAY(BM5)</f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LA7">
        <f ca="1"/>
      </c>
      <c r="LB7">
        <f ca="1"/>
      </c>
      <c r="LC7">
        <f ca="1"/>
      </c>
    </row>
    <row r="8" spans="1:315" x14ac:dyDescent="0.55000000000000004">
      <c r="G8" s="8"/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7">VOL_Expiries</f>
      </c>
      <c r="G12" s="11" cm="1">
        <f t="array" aca="1" ref="G12:R27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7">VOL_Expiries</f>
      </c>
      <c r="V12" s="14" cm="1">
        <f t="array" aca="1" ref="V12:AG27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2</v>
      </c>
      <c r="B15" s="6" t="s">
        <v>42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</v>
      </c>
      <c r="B16" s="6" t="s">
        <v>42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206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4</v>
      </c>
      <c r="B17" s="6" t="s">
        <v>42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" ca="1">PcaEigen(VOL_Labels,VOL_Mode,VOL_Standardize,VOL_window,VOL_WindowEnd,"vol")</f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7</v>
      </c>
      <c r="B18" s="6" t="s">
        <v>42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10</v>
      </c>
      <c r="B19" s="6" t="s">
        <v>42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49</v>
      </c>
      <c r="B20" s="6" t="s">
        <v>42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50</v>
      </c>
      <c r="B21" s="6" t="s">
        <v>42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51</v>
      </c>
      <c r="B22" s="6" t="s">
        <v>42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18</v>
      </c>
      <c r="B23" s="6" t="s">
        <v>42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19</v>
      </c>
      <c r="B24" s="6" t="s">
        <v>42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20</v>
      </c>
      <c r="B25" s="6" t="s">
        <v>42</v>
      </c>
      <c r="C25" t="s">
        <v>27</v>
      </c>
      <c r="D25" s="6" t="s">
        <v>42</v>
      </c>
      <c r="G25" s="11">
        <f ca="1"/>
      </c>
      <c r="H25" s="11">
        <f ca="1"/>
      </c>
      <c r="I25" s="11">
        <f ca="1"/>
      </c>
      <c r="J25" s="11">
        <f ca="1"/>
      </c>
      <c r="K25" s="11">
        <f ca="1"/>
      </c>
      <c r="L25" s="11">
        <f ca="1"/>
      </c>
      <c r="M25" s="11">
        <f ca="1"/>
      </c>
      <c r="N25" s="11">
        <f ca="1"/>
      </c>
      <c r="O25" s="11">
        <f ca="1"/>
      </c>
      <c r="P25" s="11">
        <f ca="1"/>
      </c>
      <c r="Q25" s="11">
        <f ca="1"/>
      </c>
      <c r="R25" s="11">
        <f ca="1"/>
      </c>
      <c r="S25" s="11"/>
      <c r="T25" s="11"/>
      <c r="U25" s="11"/>
      <c r="V25" s="14">
        <f ca="1"/>
      </c>
      <c r="W25" s="14">
        <f ca="1"/>
      </c>
      <c r="X25" s="14">
        <f ca="1"/>
      </c>
      <c r="Y25" s="14">
        <f ca="1"/>
      </c>
      <c r="Z25" s="14">
        <f ca="1"/>
      </c>
      <c r="AA25" s="14">
        <f ca="1"/>
      </c>
      <c r="AB25" s="14">
        <f ca="1"/>
      </c>
      <c r="AC25" s="14">
        <f ca="1"/>
      </c>
      <c r="AD25" s="14">
        <f ca="1"/>
      </c>
      <c r="AE25" s="14">
        <f ca="1"/>
      </c>
      <c r="AF25" s="14">
        <f ca="1"/>
      </c>
      <c r="AG25" s="14">
        <f ca="1"/>
      </c>
      <c r="AH25" s="14"/>
      <c r="AI25" s="14"/>
      <c r="AJ25" s="14"/>
      <c r="AK25" s="14"/>
      <c r="AL25" s="14"/>
      <c r="AM25" s="14"/>
      <c r="AN25" s="14"/>
      <c r="AO25" s="14"/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21</v>
      </c>
      <c r="B26" s="6" t="s">
        <v>42</v>
      </c>
      <c r="C26" t="s">
        <v>28</v>
      </c>
      <c r="D26" s="6" t="s">
        <v>42</v>
      </c>
      <c r="G26" s="11">
        <f ca="1"/>
      </c>
      <c r="H26" s="11">
        <f ca="1"/>
      </c>
      <c r="I26" s="11">
        <f ca="1"/>
      </c>
      <c r="J26" s="11">
        <f ca="1"/>
      </c>
      <c r="K26" s="11">
        <f ca="1"/>
      </c>
      <c r="L26" s="11">
        <f ca="1"/>
      </c>
      <c r="M26" s="11">
        <f ca="1"/>
      </c>
      <c r="N26" s="11">
        <f ca="1"/>
      </c>
      <c r="O26" s="11">
        <f ca="1"/>
      </c>
      <c r="P26" s="11">
        <f ca="1"/>
      </c>
      <c r="Q26" s="11">
        <f ca="1"/>
      </c>
      <c r="R26" s="11">
        <f ca="1"/>
      </c>
      <c r="S26" s="11"/>
      <c r="T26" s="11"/>
      <c r="U26" s="11"/>
      <c r="V26" s="14">
        <f ca="1"/>
      </c>
      <c r="W26" s="14">
        <f ca="1"/>
      </c>
      <c r="X26" s="14">
        <f ca="1"/>
      </c>
      <c r="Y26" s="14">
        <f ca="1"/>
      </c>
      <c r="Z26" s="14">
        <f ca="1"/>
      </c>
      <c r="AA26" s="14">
        <f ca="1"/>
      </c>
      <c r="AB26" s="14">
        <f ca="1"/>
      </c>
      <c r="AC26" s="14">
        <f ca="1"/>
      </c>
      <c r="AD26" s="14">
        <f ca="1"/>
      </c>
      <c r="AE26" s="14">
        <f ca="1"/>
      </c>
      <c r="AF26" s="14">
        <f ca="1"/>
      </c>
      <c r="AG26" s="14">
        <f ca="1"/>
      </c>
      <c r="AH26" s="14"/>
      <c r="AI26" s="14"/>
      <c r="AJ26" s="14"/>
      <c r="AK26" s="14"/>
      <c r="AL26" s="14"/>
      <c r="AM26" s="14"/>
      <c r="AN26" s="14"/>
      <c r="AO26" s="14"/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23</v>
      </c>
      <c r="B27" s="6" t="s">
        <v>42</v>
      </c>
      <c r="G27" s="11">
        <f ca="1"/>
      </c>
      <c r="H27" s="11">
        <f ca="1"/>
      </c>
      <c r="I27" s="11">
        <f ca="1"/>
      </c>
      <c r="J27" s="11">
        <f ca="1"/>
      </c>
      <c r="K27" s="11">
        <f ca="1"/>
      </c>
      <c r="L27" s="11">
        <f ca="1"/>
      </c>
      <c r="M27" s="11">
        <f ca="1"/>
      </c>
      <c r="N27" s="11">
        <f ca="1"/>
      </c>
      <c r="O27" s="11">
        <f ca="1"/>
      </c>
      <c r="P27" s="11">
        <f ca="1"/>
      </c>
      <c r="Q27" s="11">
        <f ca="1"/>
      </c>
      <c r="R27" s="11">
        <f ca="1"/>
      </c>
      <c r="S27" s="11"/>
      <c r="T27" s="11"/>
      <c r="U27" s="11"/>
      <c r="V27" s="14">
        <f ca="1"/>
      </c>
      <c r="W27" s="14">
        <f ca="1"/>
      </c>
      <c r="X27" s="14">
        <f ca="1"/>
      </c>
      <c r="Y27" s="14">
        <f ca="1"/>
      </c>
      <c r="Z27" s="14">
        <f ca="1"/>
      </c>
      <c r="AA27" s="14">
        <f ca="1"/>
      </c>
      <c r="AB27" s="14">
        <f ca="1"/>
      </c>
      <c r="AC27" s="14">
        <f ca="1"/>
      </c>
      <c r="AD27" s="14">
        <f ca="1"/>
      </c>
      <c r="AE27" s="14">
        <f ca="1"/>
      </c>
      <c r="AF27" s="14">
        <f ca="1"/>
      </c>
      <c r="AG27" s="14">
        <f ca="1"/>
      </c>
      <c r="AH27" s="14"/>
      <c r="AI27" s="14"/>
      <c r="AJ27" s="14"/>
      <c r="AK27" s="14"/>
      <c r="AL27" s="14"/>
      <c r="AM27" s="14"/>
      <c r="AN27" s="14"/>
      <c r="AO27" s="14"/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LA27">
        <f ca="1"/>
      </c>
      <c r="LB27">
        <f ca="1"/>
      </c>
      <c r="LC27">
        <f ca="1"/>
      </c>
    </row>
    <row r="28" spans="1:315" x14ac:dyDescent="0.55000000000000004">
      <c r="A28" t="s">
        <v>24</v>
      </c>
      <c r="B28" s="6" t="s">
        <v>42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LA28">
        <f ca="1"/>
      </c>
      <c r="LB28">
        <f ca="1"/>
      </c>
      <c r="LC28">
        <f ca="1"/>
      </c>
    </row>
    <row r="29" spans="1:315" x14ac:dyDescent="0.55000000000000004">
      <c r="A29" t="s">
        <v>27</v>
      </c>
      <c r="B29" s="6" t="s">
        <v>42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LA29">
        <f ca="1"/>
      </c>
      <c r="LB29">
        <f ca="1"/>
      </c>
      <c r="LC29">
        <f ca="1"/>
      </c>
    </row>
    <row r="30" spans="1:315" x14ac:dyDescent="0.55000000000000004">
      <c r="A30" t="s">
        <v>28</v>
      </c>
      <c r="B30" s="6" t="s">
        <v>42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LA31">
        <f ca="1"/>
      </c>
      <c r="LB31">
        <f ca="1"/>
      </c>
      <c r="LC31">
        <f ca="1"/>
      </c>
    </row>
    <row r="32" spans="1:315" x14ac:dyDescent="0.55000000000000004"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LA32">
        <f ca="1"/>
      </c>
      <c r="LB32">
        <f ca="1"/>
      </c>
      <c r="LC32">
        <f ca="1"/>
      </c>
    </row>
    <row r="33" spans="6:315" x14ac:dyDescent="0.55000000000000004"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51">VOL_Expiries</f>
      </c>
      <c r="G36" s="14" cm="1">
        <f t="array" aca="1" ref="G36:R51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51">VOL_Expiries</f>
      </c>
      <c r="V36" s="14" cm="1">
        <f t="array" aca="1" ref="V36:AG51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>
        <f ca="1"/>
      </c>
      <c r="H49" s="14">
        <f ca="1"/>
      </c>
      <c r="I49" s="14">
        <f ca="1"/>
      </c>
      <c r="J49" s="14">
        <f ca="1"/>
      </c>
      <c r="K49" s="14">
        <f ca="1"/>
      </c>
      <c r="L49" s="14">
        <f ca="1"/>
      </c>
      <c r="M49" s="14">
        <f ca="1"/>
      </c>
      <c r="N49" s="14">
        <f ca="1"/>
      </c>
      <c r="O49" s="14">
        <f ca="1"/>
      </c>
      <c r="P49" s="14">
        <f ca="1"/>
      </c>
      <c r="Q49" s="14">
        <f ca="1"/>
      </c>
      <c r="R49" s="14">
        <f ca="1"/>
      </c>
      <c r="S49" s="14"/>
      <c r="T49" s="14"/>
      <c r="U49" s="14"/>
      <c r="V49" s="14">
        <f ca="1"/>
      </c>
      <c r="W49" s="14">
        <f ca="1"/>
      </c>
      <c r="X49" s="14">
        <f ca="1"/>
      </c>
      <c r="Y49" s="14">
        <f ca="1"/>
      </c>
      <c r="Z49" s="14">
        <f ca="1"/>
      </c>
      <c r="AA49" s="14">
        <f ca="1"/>
      </c>
      <c r="AB49" s="14">
        <f ca="1"/>
      </c>
      <c r="AC49" s="14">
        <f ca="1"/>
      </c>
      <c r="AD49" s="14">
        <f ca="1"/>
      </c>
      <c r="AE49" s="14">
        <f ca="1"/>
      </c>
      <c r="AF49" s="14">
        <f ca="1"/>
      </c>
      <c r="AG49" s="14">
        <f ca="1"/>
      </c>
      <c r="AH49" s="14"/>
      <c r="AI49" s="14"/>
      <c r="AJ49" s="14"/>
      <c r="AK49" s="14"/>
      <c r="AL49" s="14"/>
      <c r="AM49" s="14"/>
      <c r="AN49" s="14"/>
      <c r="AO49" s="14"/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>
        <f ca="1"/>
      </c>
      <c r="H50" s="14">
        <f ca="1"/>
      </c>
      <c r="I50" s="14">
        <f ca="1"/>
      </c>
      <c r="J50" s="14">
        <f ca="1"/>
      </c>
      <c r="K50" s="14">
        <f ca="1"/>
      </c>
      <c r="L50" s="14">
        <f ca="1"/>
      </c>
      <c r="M50" s="14">
        <f ca="1"/>
      </c>
      <c r="N50" s="14">
        <f ca="1"/>
      </c>
      <c r="O50" s="14">
        <f ca="1"/>
      </c>
      <c r="P50" s="14">
        <f ca="1"/>
      </c>
      <c r="Q50" s="14">
        <f ca="1"/>
      </c>
      <c r="R50" s="14">
        <f ca="1"/>
      </c>
      <c r="S50" s="14"/>
      <c r="T50" s="14"/>
      <c r="U50" s="14"/>
      <c r="V50" s="14">
        <f ca="1"/>
      </c>
      <c r="W50" s="14">
        <f ca="1"/>
      </c>
      <c r="X50" s="14">
        <f ca="1"/>
      </c>
      <c r="Y50" s="14">
        <f ca="1"/>
      </c>
      <c r="Z50" s="14">
        <f ca="1"/>
      </c>
      <c r="AA50" s="14">
        <f ca="1"/>
      </c>
      <c r="AB50" s="14">
        <f ca="1"/>
      </c>
      <c r="AC50" s="14">
        <f ca="1"/>
      </c>
      <c r="AD50" s="14">
        <f ca="1"/>
      </c>
      <c r="AE50" s="14">
        <f ca="1"/>
      </c>
      <c r="AF50" s="14">
        <f ca="1"/>
      </c>
      <c r="AG50" s="14">
        <f ca="1"/>
      </c>
      <c r="AH50" s="14"/>
      <c r="AI50" s="14"/>
      <c r="AJ50" s="14"/>
      <c r="AK50" s="14"/>
      <c r="AL50" s="14"/>
      <c r="AM50" s="14"/>
      <c r="AN50" s="14"/>
      <c r="AO50" s="14"/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>
        <f ca="1"/>
      </c>
      <c r="H51" s="14">
        <f ca="1"/>
      </c>
      <c r="I51" s="14">
        <f ca="1"/>
      </c>
      <c r="J51" s="14">
        <f ca="1"/>
      </c>
      <c r="K51" s="14">
        <f ca="1"/>
      </c>
      <c r="L51" s="14">
        <f ca="1"/>
      </c>
      <c r="M51" s="14">
        <f ca="1"/>
      </c>
      <c r="N51" s="14">
        <f ca="1"/>
      </c>
      <c r="O51" s="14">
        <f ca="1"/>
      </c>
      <c r="P51" s="14">
        <f ca="1"/>
      </c>
      <c r="Q51" s="14">
        <f ca="1"/>
      </c>
      <c r="R51" s="14">
        <f ca="1"/>
      </c>
      <c r="S51" s="14"/>
      <c r="T51" s="14"/>
      <c r="U51" s="14"/>
      <c r="V51" s="14">
        <f ca="1"/>
      </c>
      <c r="W51" s="14">
        <f ca="1"/>
      </c>
      <c r="X51" s="14">
        <f ca="1"/>
      </c>
      <c r="Y51" s="14">
        <f ca="1"/>
      </c>
      <c r="Z51" s="14">
        <f ca="1"/>
      </c>
      <c r="AA51" s="14">
        <f ca="1"/>
      </c>
      <c r="AB51" s="14">
        <f ca="1"/>
      </c>
      <c r="AC51" s="14">
        <f ca="1"/>
      </c>
      <c r="AD51" s="14">
        <f ca="1"/>
      </c>
      <c r="AE51" s="14">
        <f ca="1"/>
      </c>
      <c r="AF51" s="14">
        <f ca="1"/>
      </c>
      <c r="AG51" s="14">
        <f ca="1"/>
      </c>
      <c r="AH51" s="14"/>
      <c r="AI51" s="14"/>
      <c r="AJ51" s="14"/>
      <c r="AK51" s="14"/>
      <c r="AL51" s="14"/>
      <c r="AM51" s="14"/>
      <c r="AN51" s="14"/>
      <c r="AO51" s="14"/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LA55">
        <f ca="1"/>
      </c>
      <c r="LB55">
        <f ca="1"/>
      </c>
      <c r="LC55">
        <f ca="1"/>
      </c>
    </row>
    <row r="56" spans="6:315" x14ac:dyDescent="0.55000000000000004"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LA56">
        <f ca="1"/>
      </c>
      <c r="LB56">
        <f ca="1"/>
      </c>
      <c r="LC56">
        <f ca="1"/>
      </c>
    </row>
    <row r="57" spans="6:315" x14ac:dyDescent="0.55000000000000004"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5">VOL_Expiries</f>
      </c>
      <c r="G60" s="13" cm="1">
        <f t="array" aca="1" ref="G60:R75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5">VOL_Expiries</f>
      </c>
      <c r="V60" s="13" cm="1">
        <f t="array" aca="1" ref="V60:AG75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5">VOL_Expiries</f>
      </c>
      <c r="AK60" s="13" cm="1">
        <f t="array" aca="1" ref="AK60:AV75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>
        <f ca="1"/>
      </c>
      <c r="H73" s="13">
        <f ca="1"/>
      </c>
      <c r="I73" s="13">
        <f ca="1"/>
      </c>
      <c r="J73" s="13">
        <f ca="1"/>
      </c>
      <c r="K73" s="13">
        <f ca="1"/>
      </c>
      <c r="L73" s="13">
        <f ca="1"/>
      </c>
      <c r="M73" s="13">
        <f ca="1"/>
      </c>
      <c r="N73" s="13">
        <f ca="1"/>
      </c>
      <c r="O73" s="13">
        <f ca="1"/>
      </c>
      <c r="P73" s="13">
        <f ca="1"/>
      </c>
      <c r="Q73" s="13">
        <f ca="1"/>
      </c>
      <c r="R73" s="13">
        <f ca="1"/>
      </c>
      <c r="S73" s="13"/>
      <c r="T73" s="13"/>
      <c r="U73" s="13"/>
      <c r="V73" s="13">
        <f ca="1"/>
      </c>
      <c r="W73" s="13">
        <f ca="1"/>
      </c>
      <c r="X73" s="13">
        <f ca="1"/>
      </c>
      <c r="Y73" s="13">
        <f ca="1"/>
      </c>
      <c r="Z73" s="13">
        <f ca="1"/>
      </c>
      <c r="AA73" s="13">
        <f ca="1"/>
      </c>
      <c r="AB73" s="13">
        <f ca="1"/>
      </c>
      <c r="AC73" s="13">
        <f ca="1"/>
      </c>
      <c r="AD73" s="13">
        <f ca="1"/>
      </c>
      <c r="AE73" s="13">
        <f ca="1"/>
      </c>
      <c r="AF73" s="13">
        <f ca="1"/>
      </c>
      <c r="AG73" s="13">
        <f ca="1"/>
      </c>
      <c r="AH73" s="13"/>
      <c r="AI73" s="13"/>
      <c r="AJ73" s="13"/>
      <c r="AK73" s="13">
        <f ca="1"/>
      </c>
      <c r="AL73" s="13">
        <f ca="1"/>
      </c>
      <c r="AM73" s="13">
        <f ca="1"/>
      </c>
      <c r="AN73" s="13">
        <f ca="1"/>
      </c>
      <c r="AO73" s="13">
        <f ca="1"/>
      </c>
      <c r="AP73" s="13">
        <f ca="1"/>
      </c>
      <c r="AQ73" s="13">
        <f ca="1"/>
      </c>
      <c r="AR73" s="13">
        <f ca="1"/>
      </c>
      <c r="AS73" s="13">
        <f ca="1"/>
      </c>
      <c r="AT73" s="13">
        <f ca="1"/>
      </c>
      <c r="AU73" s="13">
        <f ca="1"/>
      </c>
      <c r="AV73" s="13">
        <f ca="1"/>
      </c>
      <c r="AW73" s="13"/>
      <c r="AX73" s="13"/>
      <c r="AY73" s="13"/>
      <c r="AZ73" s="13"/>
      <c r="BA73" s="13"/>
      <c r="BB73" s="13"/>
      <c r="BC73" s="13"/>
      <c r="BD73" s="13"/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>
        <f ca="1"/>
      </c>
      <c r="H74" s="13">
        <f ca="1"/>
      </c>
      <c r="I74" s="13">
        <f ca="1"/>
      </c>
      <c r="J74" s="13">
        <f ca="1"/>
      </c>
      <c r="K74" s="13">
        <f ca="1"/>
      </c>
      <c r="L74" s="13">
        <f ca="1"/>
      </c>
      <c r="M74" s="13">
        <f ca="1"/>
      </c>
      <c r="N74" s="13">
        <f ca="1"/>
      </c>
      <c r="O74" s="13">
        <f ca="1"/>
      </c>
      <c r="P74" s="13">
        <f ca="1"/>
      </c>
      <c r="Q74" s="13">
        <f ca="1"/>
      </c>
      <c r="R74" s="13">
        <f ca="1"/>
      </c>
      <c r="S74" s="13"/>
      <c r="T74" s="13"/>
      <c r="U74" s="13"/>
      <c r="V74" s="13">
        <f ca="1"/>
      </c>
      <c r="W74" s="13">
        <f ca="1"/>
      </c>
      <c r="X74" s="13">
        <f ca="1"/>
      </c>
      <c r="Y74" s="13">
        <f ca="1"/>
      </c>
      <c r="Z74" s="13">
        <f ca="1"/>
      </c>
      <c r="AA74" s="13">
        <f ca="1"/>
      </c>
      <c r="AB74" s="13">
        <f ca="1"/>
      </c>
      <c r="AC74" s="13">
        <f ca="1"/>
      </c>
      <c r="AD74" s="13">
        <f ca="1"/>
      </c>
      <c r="AE74" s="13">
        <f ca="1"/>
      </c>
      <c r="AF74" s="13">
        <f ca="1"/>
      </c>
      <c r="AG74" s="13">
        <f ca="1"/>
      </c>
      <c r="AH74" s="13"/>
      <c r="AI74" s="13"/>
      <c r="AJ74" s="13"/>
      <c r="AK74" s="13">
        <f ca="1"/>
      </c>
      <c r="AL74" s="13">
        <f ca="1"/>
      </c>
      <c r="AM74" s="13">
        <f ca="1"/>
      </c>
      <c r="AN74" s="13">
        <f ca="1"/>
      </c>
      <c r="AO74" s="13">
        <f ca="1"/>
      </c>
      <c r="AP74" s="13">
        <f ca="1"/>
      </c>
      <c r="AQ74" s="13">
        <f ca="1"/>
      </c>
      <c r="AR74" s="13">
        <f ca="1"/>
      </c>
      <c r="AS74" s="13">
        <f ca="1"/>
      </c>
      <c r="AT74" s="13">
        <f ca="1"/>
      </c>
      <c r="AU74" s="13">
        <f ca="1"/>
      </c>
      <c r="AV74" s="13">
        <f ca="1"/>
      </c>
      <c r="AW74" s="13"/>
      <c r="AX74" s="13"/>
      <c r="AY74" s="13"/>
      <c r="AZ74" s="13"/>
      <c r="BA74" s="13"/>
      <c r="BB74" s="13"/>
      <c r="BC74" s="13"/>
      <c r="BD74" s="13"/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>
        <f ca="1"/>
      </c>
      <c r="H75" s="13">
        <f ca="1"/>
      </c>
      <c r="I75" s="13">
        <f ca="1"/>
      </c>
      <c r="J75" s="13">
        <f ca="1"/>
      </c>
      <c r="K75" s="13">
        <f ca="1"/>
      </c>
      <c r="L75" s="13">
        <f ca="1"/>
      </c>
      <c r="M75" s="13">
        <f ca="1"/>
      </c>
      <c r="N75" s="13">
        <f ca="1"/>
      </c>
      <c r="O75" s="13">
        <f ca="1"/>
      </c>
      <c r="P75" s="13">
        <f ca="1"/>
      </c>
      <c r="Q75" s="13">
        <f ca="1"/>
      </c>
      <c r="R75" s="13">
        <f ca="1"/>
      </c>
      <c r="S75" s="13"/>
      <c r="T75" s="13"/>
      <c r="U75" s="13"/>
      <c r="V75" s="13">
        <f ca="1"/>
      </c>
      <c r="W75" s="13">
        <f ca="1"/>
      </c>
      <c r="X75" s="13">
        <f ca="1"/>
      </c>
      <c r="Y75" s="13">
        <f ca="1"/>
      </c>
      <c r="Z75" s="13">
        <f ca="1"/>
      </c>
      <c r="AA75" s="13">
        <f ca="1"/>
      </c>
      <c r="AB75" s="13">
        <f ca="1"/>
      </c>
      <c r="AC75" s="13">
        <f ca="1"/>
      </c>
      <c r="AD75" s="13">
        <f ca="1"/>
      </c>
      <c r="AE75" s="13">
        <f ca="1"/>
      </c>
      <c r="AF75" s="13">
        <f ca="1"/>
      </c>
      <c r="AG75" s="13">
        <f ca="1"/>
      </c>
      <c r="AH75" s="13"/>
      <c r="AI75" s="13"/>
      <c r="AJ75" s="13"/>
      <c r="AK75" s="13">
        <f ca="1"/>
      </c>
      <c r="AL75" s="13">
        <f ca="1"/>
      </c>
      <c r="AM75" s="13">
        <f ca="1"/>
      </c>
      <c r="AN75" s="13">
        <f ca="1"/>
      </c>
      <c r="AO75" s="13">
        <f ca="1"/>
      </c>
      <c r="AP75" s="13">
        <f ca="1"/>
      </c>
      <c r="AQ75" s="13">
        <f ca="1"/>
      </c>
      <c r="AR75" s="13">
        <f ca="1"/>
      </c>
      <c r="AS75" s="13">
        <f ca="1"/>
      </c>
      <c r="AT75" s="13">
        <f ca="1"/>
      </c>
      <c r="AU75" s="13">
        <f ca="1"/>
      </c>
      <c r="AV75" s="13">
        <f ca="1"/>
      </c>
      <c r="AW75" s="13"/>
      <c r="AX75" s="13"/>
      <c r="AY75" s="13"/>
      <c r="AZ75" s="13"/>
      <c r="BA75" s="13"/>
      <c r="BB75" s="13"/>
      <c r="BC75" s="13"/>
      <c r="BD75" s="13"/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LA79">
        <f ca="1"/>
      </c>
      <c r="LB79">
        <f ca="1"/>
      </c>
      <c r="LC79">
        <f ca="1"/>
      </c>
    </row>
    <row r="80" spans="6:315" x14ac:dyDescent="0.55000000000000004"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LA80">
        <f ca="1"/>
      </c>
      <c r="LB80">
        <f ca="1"/>
      </c>
      <c r="LC80">
        <f ca="1"/>
      </c>
    </row>
    <row r="81" spans="61:315" x14ac:dyDescent="0.55000000000000004"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LA81">
        <f ca="1"/>
      </c>
      <c r="LB81">
        <f ca="1"/>
      </c>
      <c r="LC81">
        <f ca="1"/>
      </c>
    </row>
    <row r="82" spans="61:315" x14ac:dyDescent="0.55000000000000004"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LA82">
        <f ca="1"/>
      </c>
      <c r="LB82">
        <f ca="1"/>
      </c>
      <c r="LC82">
        <f ca="1"/>
      </c>
    </row>
    <row r="83" spans="61:315" x14ac:dyDescent="0.55000000000000004"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LA83">
        <f ca="1"/>
      </c>
      <c r="LB83">
        <f ca="1"/>
      </c>
      <c r="LC83">
        <f ca="1"/>
      </c>
    </row>
    <row r="84" spans="61:315" x14ac:dyDescent="0.55000000000000004"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LA84">
        <f ca="1"/>
      </c>
      <c r="LB84">
        <f ca="1"/>
      </c>
      <c r="LC84">
        <f ca="1"/>
      </c>
    </row>
    <row r="85" spans="61:315" x14ac:dyDescent="0.55000000000000004"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LA85">
        <f ca="1"/>
      </c>
      <c r="LB85">
        <f ca="1"/>
      </c>
      <c r="LC85">
        <f ca="1"/>
      </c>
    </row>
    <row r="86" spans="61:315" x14ac:dyDescent="0.55000000000000004"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LA86">
        <f ca="1"/>
      </c>
      <c r="LB86">
        <f ca="1"/>
      </c>
      <c r="LC86">
        <f ca="1"/>
      </c>
    </row>
    <row r="87" spans="61:315" x14ac:dyDescent="0.55000000000000004"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LA87">
        <f ca="1"/>
      </c>
      <c r="LB87">
        <f ca="1"/>
      </c>
      <c r="LC87">
        <f ca="1"/>
      </c>
    </row>
    <row r="88" spans="61:315" x14ac:dyDescent="0.55000000000000004"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LA88">
        <f ca="1"/>
      </c>
      <c r="LB88">
        <f ca="1"/>
      </c>
      <c r="LC88">
        <f ca="1"/>
      </c>
    </row>
    <row r="89" spans="61:315" x14ac:dyDescent="0.55000000000000004"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LA89">
        <f ca="1"/>
      </c>
      <c r="LB89">
        <f ca="1"/>
      </c>
      <c r="LC89">
        <f ca="1"/>
      </c>
    </row>
    <row r="90" spans="61:315" x14ac:dyDescent="0.55000000000000004"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LA90">
        <f ca="1"/>
      </c>
      <c r="LB90">
        <f ca="1"/>
      </c>
      <c r="LC90">
        <f ca="1"/>
      </c>
    </row>
    <row r="91" spans="61:315" x14ac:dyDescent="0.55000000000000004"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LA91">
        <f ca="1"/>
      </c>
      <c r="LB91">
        <f ca="1"/>
      </c>
      <c r="LC91">
        <f ca="1"/>
      </c>
    </row>
    <row r="92" spans="61:315" x14ac:dyDescent="0.55000000000000004"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LA92">
        <f ca="1"/>
      </c>
      <c r="LB92">
        <f ca="1"/>
      </c>
      <c r="LC92">
        <f ca="1"/>
      </c>
    </row>
    <row r="93" spans="61:315" x14ac:dyDescent="0.55000000000000004"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LA93">
        <f ca="1"/>
      </c>
      <c r="LB93">
        <f ca="1"/>
      </c>
      <c r="LC93">
        <f ca="1"/>
      </c>
    </row>
    <row r="94" spans="61:315" x14ac:dyDescent="0.55000000000000004"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LA94">
        <f ca="1"/>
      </c>
      <c r="LB94">
        <f ca="1"/>
      </c>
      <c r="LC94">
        <f ca="1"/>
      </c>
    </row>
    <row r="95" spans="61:315" x14ac:dyDescent="0.55000000000000004"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LA95">
        <f ca="1"/>
      </c>
      <c r="LB95">
        <f ca="1"/>
      </c>
      <c r="LC95">
        <f ca="1"/>
      </c>
    </row>
    <row r="96" spans="61:315" x14ac:dyDescent="0.55000000000000004"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LA96">
        <f ca="1"/>
      </c>
      <c r="LB96">
        <f ca="1"/>
      </c>
      <c r="LC96">
        <f ca="1"/>
      </c>
    </row>
    <row r="97" spans="61:315" x14ac:dyDescent="0.55000000000000004"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LA97">
        <f ca="1"/>
      </c>
      <c r="LB97">
        <f ca="1"/>
      </c>
      <c r="LC97">
        <f ca="1"/>
      </c>
    </row>
    <row r="98" spans="61:315" x14ac:dyDescent="0.55000000000000004"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LA98">
        <f ca="1"/>
      </c>
      <c r="LB98">
        <f ca="1"/>
      </c>
      <c r="LC98">
        <f ca="1"/>
      </c>
    </row>
    <row r="99" spans="61:315" x14ac:dyDescent="0.55000000000000004"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LA99">
        <f ca="1"/>
      </c>
      <c r="LB99">
        <f ca="1"/>
      </c>
      <c r="LC99">
        <f ca="1"/>
      </c>
    </row>
    <row r="100" spans="61:315" x14ac:dyDescent="0.55000000000000004"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LA100">
        <f ca="1"/>
      </c>
      <c r="LB100">
        <f ca="1"/>
      </c>
      <c r="LC100">
        <f ca="1"/>
      </c>
    </row>
    <row r="101" spans="61:315" x14ac:dyDescent="0.55000000000000004"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LA101">
        <f ca="1"/>
      </c>
      <c r="LB101">
        <f ca="1"/>
      </c>
      <c r="LC101">
        <f ca="1"/>
      </c>
    </row>
    <row r="102" spans="61:315" x14ac:dyDescent="0.55000000000000004"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LA102">
        <f ca="1"/>
      </c>
      <c r="LB102">
        <f ca="1"/>
      </c>
      <c r="LC102">
        <f ca="1"/>
      </c>
    </row>
    <row r="103" spans="61:315" x14ac:dyDescent="0.55000000000000004"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LA103">
        <f ca="1"/>
      </c>
      <c r="LB103">
        <f ca="1"/>
      </c>
      <c r="LC103">
        <f ca="1"/>
      </c>
    </row>
    <row r="104" spans="61:315" x14ac:dyDescent="0.55000000000000004"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LA104">
        <f ca="1"/>
      </c>
      <c r="LB104">
        <f ca="1"/>
      </c>
      <c r="LC104">
        <f ca="1"/>
      </c>
    </row>
    <row r="105" spans="61:315" x14ac:dyDescent="0.55000000000000004"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LA105">
        <f ca="1"/>
      </c>
      <c r="LB105">
        <f ca="1"/>
      </c>
      <c r="LC105">
        <f ca="1"/>
      </c>
    </row>
    <row r="106" spans="61:315" x14ac:dyDescent="0.55000000000000004"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LA106">
        <f ca="1"/>
      </c>
      <c r="LB106">
        <f ca="1"/>
      </c>
      <c r="LC106">
        <f ca="1"/>
      </c>
    </row>
    <row r="107" spans="61:315" x14ac:dyDescent="0.55000000000000004"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LA107">
        <f ca="1"/>
      </c>
      <c r="LB107">
        <f ca="1"/>
      </c>
      <c r="LC107">
        <f ca="1"/>
      </c>
    </row>
    <row r="108" spans="61:315" x14ac:dyDescent="0.55000000000000004"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LA108">
        <f ca="1"/>
      </c>
      <c r="LB108">
        <f ca="1"/>
      </c>
      <c r="LC108">
        <f ca="1"/>
      </c>
    </row>
    <row r="109" spans="61:315" x14ac:dyDescent="0.55000000000000004"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LA109">
        <f ca="1"/>
      </c>
      <c r="LB109">
        <f ca="1"/>
      </c>
      <c r="LC109">
        <f ca="1"/>
      </c>
    </row>
    <row r="110" spans="61:315" x14ac:dyDescent="0.55000000000000004"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LA110">
        <f ca="1"/>
      </c>
      <c r="LB110">
        <f ca="1"/>
      </c>
      <c r="LC110">
        <f ca="1"/>
      </c>
    </row>
    <row r="111" spans="61:315" x14ac:dyDescent="0.55000000000000004"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LA111">
        <f ca="1"/>
      </c>
      <c r="LB111">
        <f ca="1"/>
      </c>
      <c r="LC111">
        <f ca="1"/>
      </c>
    </row>
    <row r="112" spans="61:315" x14ac:dyDescent="0.55000000000000004"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LA112">
        <f ca="1"/>
      </c>
      <c r="LB112">
        <f ca="1"/>
      </c>
      <c r="LC112">
        <f ca="1"/>
      </c>
    </row>
    <row r="113" spans="61:315" x14ac:dyDescent="0.55000000000000004"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LA113">
        <f ca="1"/>
      </c>
      <c r="LB113">
        <f ca="1"/>
      </c>
      <c r="LC113">
        <f ca="1"/>
      </c>
    </row>
    <row r="114" spans="61:315" x14ac:dyDescent="0.55000000000000004"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LA114">
        <f ca="1"/>
      </c>
      <c r="LB114">
        <f ca="1"/>
      </c>
      <c r="LC114">
        <f ca="1"/>
      </c>
    </row>
    <row r="115" spans="61:315" x14ac:dyDescent="0.55000000000000004"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LA115">
        <f ca="1"/>
      </c>
      <c r="LB115">
        <f ca="1"/>
      </c>
      <c r="LC115">
        <f ca="1"/>
      </c>
    </row>
    <row r="116" spans="61:315" x14ac:dyDescent="0.55000000000000004"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LA116">
        <f ca="1"/>
      </c>
      <c r="LB116">
        <f ca="1"/>
      </c>
      <c r="LC116">
        <f ca="1"/>
      </c>
    </row>
    <row r="117" spans="61:315" x14ac:dyDescent="0.55000000000000004"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LA117">
        <f ca="1"/>
      </c>
      <c r="LB117">
        <f ca="1"/>
      </c>
      <c r="LC117">
        <f ca="1"/>
      </c>
    </row>
    <row r="118" spans="61:315" x14ac:dyDescent="0.55000000000000004"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LA118">
        <f ca="1"/>
      </c>
      <c r="LB118">
        <f ca="1"/>
      </c>
      <c r="LC118">
        <f ca="1"/>
      </c>
    </row>
    <row r="119" spans="61:315" x14ac:dyDescent="0.55000000000000004"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LA119">
        <f ca="1"/>
      </c>
      <c r="LB119">
        <f ca="1"/>
      </c>
      <c r="LC119">
        <f ca="1"/>
      </c>
    </row>
    <row r="120" spans="61:315" x14ac:dyDescent="0.55000000000000004"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LA120">
        <f ca="1"/>
      </c>
      <c r="LB120">
        <f ca="1"/>
      </c>
      <c r="LC120">
        <f ca="1"/>
      </c>
    </row>
    <row r="121" spans="61:315" x14ac:dyDescent="0.55000000000000004"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LA121">
        <f ca="1"/>
      </c>
      <c r="LB121">
        <f ca="1"/>
      </c>
      <c r="LC121">
        <f ca="1"/>
      </c>
    </row>
    <row r="122" spans="61:315" x14ac:dyDescent="0.55000000000000004"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LA122">
        <f ca="1"/>
      </c>
      <c r="LB122">
        <f ca="1"/>
      </c>
      <c r="LC122">
        <f ca="1"/>
      </c>
    </row>
    <row r="123" spans="61:315" x14ac:dyDescent="0.55000000000000004"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LA123">
        <f ca="1"/>
      </c>
      <c r="LB123">
        <f ca="1"/>
      </c>
      <c r="LC123">
        <f ca="1"/>
      </c>
    </row>
    <row r="124" spans="61:315" x14ac:dyDescent="0.55000000000000004"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LA124">
        <f ca="1"/>
      </c>
      <c r="LB124">
        <f ca="1"/>
      </c>
      <c r="LC124">
        <f ca="1"/>
      </c>
    </row>
    <row r="125" spans="61:315" x14ac:dyDescent="0.55000000000000004"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LA125">
        <f ca="1"/>
      </c>
      <c r="LB125">
        <f ca="1"/>
      </c>
      <c r="LC125">
        <f ca="1"/>
      </c>
    </row>
    <row r="126" spans="61:315" x14ac:dyDescent="0.55000000000000004"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LA126">
        <f ca="1"/>
      </c>
      <c r="LB126">
        <f ca="1"/>
      </c>
      <c r="LC126">
        <f ca="1"/>
      </c>
    </row>
    <row r="127" spans="61:315" x14ac:dyDescent="0.55000000000000004"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LA127">
        <f ca="1"/>
      </c>
      <c r="LB127">
        <f ca="1"/>
      </c>
      <c r="LC127">
        <f ca="1"/>
      </c>
    </row>
    <row r="128" spans="61:315" x14ac:dyDescent="0.55000000000000004"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LA128">
        <f ca="1"/>
      </c>
      <c r="LB128">
        <f ca="1"/>
      </c>
      <c r="LC128">
        <f ca="1"/>
      </c>
    </row>
    <row r="129" spans="61:315" x14ac:dyDescent="0.55000000000000004"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LA129">
        <f ca="1"/>
      </c>
      <c r="LB129">
        <f ca="1"/>
      </c>
      <c r="LC129">
        <f ca="1"/>
      </c>
    </row>
    <row r="130" spans="61:315" x14ac:dyDescent="0.55000000000000004"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LA130">
        <f ca="1"/>
      </c>
      <c r="LB130">
        <f ca="1"/>
      </c>
      <c r="LC130">
        <f ca="1"/>
      </c>
    </row>
    <row r="131" spans="61:315" x14ac:dyDescent="0.55000000000000004"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LA131">
        <f ca="1"/>
      </c>
      <c r="LB131">
        <f ca="1"/>
      </c>
      <c r="LC131">
        <f ca="1"/>
      </c>
    </row>
    <row r="132" spans="61:315" x14ac:dyDescent="0.55000000000000004"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LA132">
        <f ca="1"/>
      </c>
      <c r="LB132">
        <f ca="1"/>
      </c>
      <c r="LC132">
        <f ca="1"/>
      </c>
    </row>
    <row r="133" spans="61:315" x14ac:dyDescent="0.55000000000000004"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LA133">
        <f ca="1"/>
      </c>
      <c r="LB133">
        <f ca="1"/>
      </c>
      <c r="LC133">
        <f ca="1"/>
      </c>
    </row>
    <row r="134" spans="61:315" x14ac:dyDescent="0.55000000000000004"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LA134">
        <f ca="1"/>
      </c>
      <c r="LB134">
        <f ca="1"/>
      </c>
      <c r="LC134">
        <f ca="1"/>
      </c>
    </row>
    <row r="135" spans="61:315" x14ac:dyDescent="0.55000000000000004"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LA135">
        <f ca="1"/>
      </c>
      <c r="LB135">
        <f ca="1"/>
      </c>
      <c r="LC135">
        <f ca="1"/>
      </c>
    </row>
    <row r="136" spans="61:315" x14ac:dyDescent="0.55000000000000004"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LA136">
        <f ca="1"/>
      </c>
      <c r="LB136">
        <f ca="1"/>
      </c>
      <c r="LC136">
        <f ca="1"/>
      </c>
    </row>
    <row r="137" spans="61:315" x14ac:dyDescent="0.55000000000000004"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LA137">
        <f ca="1"/>
      </c>
      <c r="LB137">
        <f ca="1"/>
      </c>
      <c r="LC137">
        <f ca="1"/>
      </c>
    </row>
    <row r="138" spans="61:315" x14ac:dyDescent="0.55000000000000004"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LA138">
        <f ca="1"/>
      </c>
      <c r="LB138">
        <f ca="1"/>
      </c>
      <c r="LC138">
        <f ca="1"/>
      </c>
    </row>
    <row r="139" spans="61:315" x14ac:dyDescent="0.55000000000000004"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LA139">
        <f ca="1"/>
      </c>
      <c r="LB139">
        <f ca="1"/>
      </c>
      <c r="LC139">
        <f ca="1"/>
      </c>
    </row>
    <row r="140" spans="61:315" x14ac:dyDescent="0.55000000000000004"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LA140">
        <f ca="1"/>
      </c>
      <c r="LB140">
        <f ca="1"/>
      </c>
      <c r="LC140">
        <f ca="1"/>
      </c>
    </row>
    <row r="141" spans="61:315" x14ac:dyDescent="0.55000000000000004"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LA141">
        <f ca="1"/>
      </c>
      <c r="LB141">
        <f ca="1"/>
      </c>
      <c r="LC141">
        <f ca="1"/>
      </c>
    </row>
    <row r="142" spans="61:315" x14ac:dyDescent="0.55000000000000004"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LA142">
        <f ca="1"/>
      </c>
      <c r="LB142">
        <f ca="1"/>
      </c>
      <c r="LC142">
        <f ca="1"/>
      </c>
    </row>
    <row r="143" spans="61:315" x14ac:dyDescent="0.55000000000000004"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LA143">
        <f ca="1"/>
      </c>
      <c r="LB143">
        <f ca="1"/>
      </c>
      <c r="LC143">
        <f ca="1"/>
      </c>
    </row>
    <row r="144" spans="61:315" x14ac:dyDescent="0.55000000000000004"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LA144">
        <f ca="1"/>
      </c>
      <c r="LB144">
        <f ca="1"/>
      </c>
      <c r="LC144">
        <f ca="1"/>
      </c>
    </row>
    <row r="145" spans="61:315" x14ac:dyDescent="0.55000000000000004"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LA145">
        <f ca="1"/>
      </c>
      <c r="LB145">
        <f ca="1"/>
      </c>
      <c r="LC145">
        <f ca="1"/>
      </c>
    </row>
    <row r="146" spans="61:315" x14ac:dyDescent="0.55000000000000004"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LA146">
        <f ca="1"/>
      </c>
      <c r="LB146">
        <f ca="1"/>
      </c>
      <c r="LC146">
        <f ca="1"/>
      </c>
    </row>
    <row r="147" spans="61:315" x14ac:dyDescent="0.55000000000000004"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LA147">
        <f ca="1"/>
      </c>
      <c r="LB147">
        <f ca="1"/>
      </c>
      <c r="LC147">
        <f ca="1"/>
      </c>
    </row>
    <row r="148" spans="61:315" x14ac:dyDescent="0.55000000000000004"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LA148">
        <f ca="1"/>
      </c>
      <c r="LB148">
        <f ca="1"/>
      </c>
      <c r="LC148">
        <f ca="1"/>
      </c>
    </row>
    <row r="149" spans="61:315" x14ac:dyDescent="0.55000000000000004"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LA149">
        <f ca="1"/>
      </c>
      <c r="LB149">
        <f ca="1"/>
      </c>
      <c r="LC149">
        <f ca="1"/>
      </c>
    </row>
    <row r="150" spans="61:315" x14ac:dyDescent="0.55000000000000004"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LA150">
        <f ca="1"/>
      </c>
      <c r="LB150">
        <f ca="1"/>
      </c>
      <c r="LC150">
        <f ca="1"/>
      </c>
    </row>
    <row r="151" spans="61:315" x14ac:dyDescent="0.55000000000000004"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LA151">
        <f ca="1"/>
      </c>
      <c r="LB151">
        <f ca="1"/>
      </c>
      <c r="LC151">
        <f ca="1"/>
      </c>
    </row>
    <row r="152" spans="61:315" x14ac:dyDescent="0.55000000000000004"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LA152">
        <f ca="1"/>
      </c>
      <c r="LB152">
        <f ca="1"/>
      </c>
      <c r="LC152">
        <f ca="1"/>
      </c>
    </row>
    <row r="153" spans="61:315" x14ac:dyDescent="0.55000000000000004"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LA153">
        <f ca="1"/>
      </c>
      <c r="LB153">
        <f ca="1"/>
      </c>
      <c r="LC153">
        <f ca="1"/>
      </c>
    </row>
    <row r="154" spans="61:315" x14ac:dyDescent="0.55000000000000004"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LA154">
        <f ca="1"/>
      </c>
      <c r="LB154">
        <f ca="1"/>
      </c>
      <c r="LC154">
        <f ca="1"/>
      </c>
    </row>
    <row r="155" spans="61:315" x14ac:dyDescent="0.55000000000000004"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LA155">
        <f ca="1"/>
      </c>
      <c r="LB155">
        <f ca="1"/>
      </c>
      <c r="LC155">
        <f ca="1"/>
      </c>
    </row>
    <row r="156" spans="61:315" x14ac:dyDescent="0.55000000000000004"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LA156">
        <f ca="1"/>
      </c>
      <c r="LB156">
        <f ca="1"/>
      </c>
      <c r="LC156">
        <f ca="1"/>
      </c>
    </row>
    <row r="157" spans="61:315" x14ac:dyDescent="0.55000000000000004"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LA157">
        <f ca="1"/>
      </c>
      <c r="LB157">
        <f ca="1"/>
      </c>
      <c r="LC157">
        <f ca="1"/>
      </c>
    </row>
    <row r="158" spans="61:315" x14ac:dyDescent="0.55000000000000004"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LA158">
        <f ca="1"/>
      </c>
      <c r="LB158">
        <f ca="1"/>
      </c>
      <c r="LC158">
        <f ca="1"/>
      </c>
    </row>
    <row r="159" spans="61:315" x14ac:dyDescent="0.55000000000000004"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LA159">
        <f ca="1"/>
      </c>
      <c r="LB159">
        <f ca="1"/>
      </c>
      <c r="LC159">
        <f ca="1"/>
      </c>
    </row>
    <row r="160" spans="61:315" x14ac:dyDescent="0.55000000000000004"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LA160">
        <f ca="1"/>
      </c>
      <c r="LB160">
        <f ca="1"/>
      </c>
      <c r="LC160">
        <f ca="1"/>
      </c>
    </row>
    <row r="161" spans="61:315" x14ac:dyDescent="0.55000000000000004">
      <c r="BI161">
        <f ca="1"/>
      </c>
      <c r="BJ161" s="11">
        <f ca="1"/>
      </c>
      <c r="BK161" s="11">
        <f ca="1"/>
      </c>
      <c r="BL161" s="11">
        <f ca="1"/>
      </c>
      <c r="BM161" s="11">
        <f ca="1"/>
      </c>
      <c r="BN161" s="11">
        <f ca="1"/>
      </c>
      <c r="LA161">
        <f ca="1"/>
      </c>
      <c r="LB161">
        <f ca="1"/>
      </c>
      <c r="LC161">
        <f ca="1"/>
      </c>
    </row>
    <row r="162" spans="61:315" x14ac:dyDescent="0.55000000000000004">
      <c r="BI162">
        <f ca="1"/>
      </c>
      <c r="BJ162" s="11">
        <f ca="1"/>
      </c>
      <c r="BK162" s="11">
        <f ca="1"/>
      </c>
      <c r="BL162" s="11">
        <f ca="1"/>
      </c>
      <c r="BM162" s="11">
        <f ca="1"/>
      </c>
      <c r="BN162" s="11">
        <f ca="1"/>
      </c>
      <c r="LA162">
        <f ca="1"/>
      </c>
      <c r="LB162">
        <f ca="1"/>
      </c>
      <c r="LC162">
        <f ca="1"/>
      </c>
    </row>
    <row r="163" spans="61:315" x14ac:dyDescent="0.55000000000000004">
      <c r="BI163">
        <f ca="1"/>
      </c>
      <c r="BJ163" s="11">
        <f ca="1"/>
      </c>
      <c r="BK163" s="11">
        <f ca="1"/>
      </c>
      <c r="BL163" s="11">
        <f ca="1"/>
      </c>
      <c r="BM163" s="11">
        <f ca="1"/>
      </c>
      <c r="BN163" s="11">
        <f ca="1"/>
      </c>
      <c r="LA163">
        <f ca="1"/>
      </c>
      <c r="LB163">
        <f ca="1"/>
      </c>
      <c r="LC163">
        <f ca="1"/>
      </c>
    </row>
    <row r="164" spans="61:315" x14ac:dyDescent="0.55000000000000004">
      <c r="BI164">
        <f ca="1"/>
      </c>
      <c r="BJ164" s="11">
        <f ca="1"/>
      </c>
      <c r="BK164" s="11">
        <f ca="1"/>
      </c>
      <c r="BL164" s="11">
        <f ca="1"/>
      </c>
      <c r="BM164" s="11">
        <f ca="1"/>
      </c>
      <c r="BN164" s="11">
        <f ca="1"/>
      </c>
      <c r="LA164">
        <f ca="1"/>
      </c>
      <c r="LB164">
        <f ca="1"/>
      </c>
      <c r="LC164">
        <f ca="1"/>
      </c>
    </row>
    <row r="165" spans="61:315" x14ac:dyDescent="0.55000000000000004">
      <c r="BI165">
        <f ca="1"/>
      </c>
      <c r="BJ165" s="11">
        <f ca="1"/>
      </c>
      <c r="BK165" s="11">
        <f ca="1"/>
      </c>
      <c r="BL165" s="11">
        <f ca="1"/>
      </c>
      <c r="BM165" s="11">
        <f ca="1"/>
      </c>
      <c r="BN165" s="11">
        <f ca="1"/>
      </c>
      <c r="LA165">
        <f ca="1"/>
      </c>
      <c r="LB165">
        <f ca="1"/>
      </c>
      <c r="LC165">
        <f ca="1"/>
      </c>
    </row>
    <row r="166" spans="61:315" x14ac:dyDescent="0.55000000000000004">
      <c r="BI166">
        <f ca="1"/>
      </c>
      <c r="BJ166" s="11">
        <f ca="1"/>
      </c>
      <c r="BK166" s="11">
        <f ca="1"/>
      </c>
      <c r="BL166" s="11">
        <f ca="1"/>
      </c>
      <c r="BM166" s="11">
        <f ca="1"/>
      </c>
      <c r="BN166" s="11">
        <f ca="1"/>
      </c>
      <c r="LA166">
        <f ca="1"/>
      </c>
      <c r="LB166">
        <f ca="1"/>
      </c>
      <c r="LC166">
        <f ca="1"/>
      </c>
    </row>
    <row r="167" spans="61:315" x14ac:dyDescent="0.55000000000000004">
      <c r="BI167">
        <f ca="1"/>
      </c>
      <c r="BJ167" s="11">
        <f ca="1"/>
      </c>
      <c r="BK167" s="11">
        <f ca="1"/>
      </c>
      <c r="BL167" s="11">
        <f ca="1"/>
      </c>
      <c r="BM167" s="11">
        <f ca="1"/>
      </c>
      <c r="BN167" s="11">
        <f ca="1"/>
      </c>
      <c r="LA167">
        <f ca="1"/>
      </c>
      <c r="LB167">
        <f ca="1"/>
      </c>
      <c r="LC167">
        <f ca="1"/>
      </c>
    </row>
    <row r="168" spans="61:315" x14ac:dyDescent="0.55000000000000004">
      <c r="BI168">
        <f ca="1"/>
      </c>
      <c r="BJ168" s="11">
        <f ca="1"/>
      </c>
      <c r="BK168" s="11">
        <f ca="1"/>
      </c>
      <c r="BL168" s="11">
        <f ca="1"/>
      </c>
      <c r="BM168" s="11">
        <f ca="1"/>
      </c>
      <c r="BN168" s="11">
        <f ca="1"/>
      </c>
      <c r="LA168">
        <f ca="1"/>
      </c>
      <c r="LB168">
        <f ca="1"/>
      </c>
      <c r="LC168">
        <f ca="1"/>
      </c>
    </row>
    <row r="169" spans="61:315" x14ac:dyDescent="0.55000000000000004">
      <c r="BI169">
        <f ca="1"/>
      </c>
      <c r="BJ169" s="11">
        <f ca="1"/>
      </c>
      <c r="BK169" s="11">
        <f ca="1"/>
      </c>
      <c r="BL169" s="11">
        <f ca="1"/>
      </c>
      <c r="BM169" s="11">
        <f ca="1"/>
      </c>
      <c r="BN169" s="11">
        <f ca="1"/>
      </c>
      <c r="LA169">
        <f ca="1"/>
      </c>
      <c r="LB169">
        <f ca="1"/>
      </c>
      <c r="LC169">
        <f ca="1"/>
      </c>
    </row>
    <row r="170" spans="61:315" x14ac:dyDescent="0.55000000000000004">
      <c r="BI170">
        <f ca="1"/>
      </c>
      <c r="BJ170" s="11">
        <f ca="1"/>
      </c>
      <c r="BK170" s="11">
        <f ca="1"/>
      </c>
      <c r="BL170" s="11">
        <f ca="1"/>
      </c>
      <c r="BM170" s="11">
        <f ca="1"/>
      </c>
      <c r="BN170" s="11">
        <f ca="1"/>
      </c>
      <c r="LA170">
        <f ca="1"/>
      </c>
      <c r="LB170">
        <f ca="1"/>
      </c>
      <c r="LC170">
        <f ca="1"/>
      </c>
    </row>
    <row r="171" spans="61:315" x14ac:dyDescent="0.55000000000000004">
      <c r="BI171">
        <f ca="1"/>
      </c>
      <c r="BJ171" s="11">
        <f ca="1"/>
      </c>
      <c r="BK171" s="11">
        <f ca="1"/>
      </c>
      <c r="BL171" s="11">
        <f ca="1"/>
      </c>
      <c r="BM171" s="11">
        <f ca="1"/>
      </c>
      <c r="BN171" s="11">
        <f ca="1"/>
      </c>
      <c r="LA171">
        <f ca="1"/>
      </c>
      <c r="LB171">
        <f ca="1"/>
      </c>
      <c r="LC171">
        <f ca="1"/>
      </c>
    </row>
    <row r="172" spans="61:315" x14ac:dyDescent="0.55000000000000004">
      <c r="BI172">
        <f ca="1"/>
      </c>
      <c r="BJ172" s="11">
        <f ca="1"/>
      </c>
      <c r="BK172" s="11">
        <f ca="1"/>
      </c>
      <c r="BL172" s="11">
        <f ca="1"/>
      </c>
      <c r="BM172" s="11">
        <f ca="1"/>
      </c>
      <c r="BN172" s="11">
        <f ca="1"/>
      </c>
      <c r="LA172">
        <f ca="1"/>
      </c>
      <c r="LB172">
        <f ca="1"/>
      </c>
      <c r="LC172">
        <f ca="1"/>
      </c>
    </row>
    <row r="173" spans="61:315" x14ac:dyDescent="0.55000000000000004">
      <c r="BI173">
        <f ca="1"/>
      </c>
      <c r="BJ173" s="11">
        <f ca="1"/>
      </c>
      <c r="BK173" s="11">
        <f ca="1"/>
      </c>
      <c r="BL173" s="11">
        <f ca="1"/>
      </c>
      <c r="BM173" s="11">
        <f ca="1"/>
      </c>
      <c r="BN173" s="11">
        <f ca="1"/>
      </c>
      <c r="LA173">
        <f ca="1"/>
      </c>
      <c r="LB173">
        <f ca="1"/>
      </c>
      <c r="LC173">
        <f ca="1"/>
      </c>
    </row>
    <row r="174" spans="61:315" x14ac:dyDescent="0.55000000000000004">
      <c r="BI174">
        <f ca="1"/>
      </c>
      <c r="BJ174" s="11">
        <f ca="1"/>
      </c>
      <c r="BK174" s="11">
        <f ca="1"/>
      </c>
      <c r="BL174" s="11">
        <f ca="1"/>
      </c>
      <c r="BM174" s="11">
        <f ca="1"/>
      </c>
      <c r="BN174" s="11">
        <f ca="1"/>
      </c>
      <c r="LA174">
        <f ca="1"/>
      </c>
      <c r="LB174">
        <f ca="1"/>
      </c>
      <c r="LC174">
        <f ca="1"/>
      </c>
    </row>
    <row r="175" spans="61:315" x14ac:dyDescent="0.55000000000000004">
      <c r="BI175">
        <f ca="1"/>
      </c>
      <c r="BJ175" s="11">
        <f ca="1"/>
      </c>
      <c r="BK175" s="11">
        <f ca="1"/>
      </c>
      <c r="BL175" s="11">
        <f ca="1"/>
      </c>
      <c r="BM175" s="11">
        <f ca="1"/>
      </c>
      <c r="BN175" s="11">
        <f ca="1"/>
      </c>
      <c r="LA175">
        <f ca="1"/>
      </c>
      <c r="LB175">
        <f ca="1"/>
      </c>
      <c r="LC175">
        <f ca="1"/>
      </c>
    </row>
    <row r="176" spans="61:315" x14ac:dyDescent="0.55000000000000004">
      <c r="BI176">
        <f ca="1"/>
      </c>
      <c r="BJ176" s="11">
        <f ca="1"/>
      </c>
      <c r="BK176" s="11">
        <f ca="1"/>
      </c>
      <c r="BL176" s="11">
        <f ca="1"/>
      </c>
      <c r="BM176" s="11">
        <f ca="1"/>
      </c>
      <c r="BN176" s="11">
        <f ca="1"/>
      </c>
      <c r="LA176">
        <f ca="1"/>
      </c>
      <c r="LB176">
        <f ca="1"/>
      </c>
      <c r="LC176">
        <f ca="1"/>
      </c>
    </row>
    <row r="177" spans="61:315" x14ac:dyDescent="0.55000000000000004">
      <c r="BI177">
        <f ca="1"/>
      </c>
      <c r="BJ177" s="11">
        <f ca="1"/>
      </c>
      <c r="BK177" s="11">
        <f ca="1"/>
      </c>
      <c r="BL177" s="11">
        <f ca="1"/>
      </c>
      <c r="BM177" s="11">
        <f ca="1"/>
      </c>
      <c r="BN177" s="11">
        <f ca="1"/>
      </c>
      <c r="LA177">
        <f ca="1"/>
      </c>
      <c r="LB177">
        <f ca="1"/>
      </c>
      <c r="LC177">
        <f ca="1"/>
      </c>
    </row>
    <row r="178" spans="61:315" x14ac:dyDescent="0.55000000000000004">
      <c r="BI178">
        <f ca="1"/>
      </c>
      <c r="BJ178" s="11">
        <f ca="1"/>
      </c>
      <c r="BK178" s="11">
        <f ca="1"/>
      </c>
      <c r="BL178" s="11">
        <f ca="1"/>
      </c>
      <c r="BM178" s="11">
        <f ca="1"/>
      </c>
      <c r="BN178" s="11">
        <f ca="1"/>
      </c>
      <c r="LA178">
        <f ca="1"/>
      </c>
      <c r="LB178">
        <f ca="1"/>
      </c>
      <c r="LC178">
        <f ca="1"/>
      </c>
    </row>
    <row r="179" spans="61:315" x14ac:dyDescent="0.55000000000000004">
      <c r="BI179">
        <f ca="1"/>
      </c>
      <c r="BJ179" s="11">
        <f ca="1"/>
      </c>
      <c r="BK179" s="11">
        <f ca="1"/>
      </c>
      <c r="BL179" s="11">
        <f ca="1"/>
      </c>
      <c r="BM179" s="11">
        <f ca="1"/>
      </c>
      <c r="BN179" s="11">
        <f ca="1"/>
      </c>
      <c r="LA179">
        <f ca="1"/>
      </c>
      <c r="LB179">
        <f ca="1"/>
      </c>
      <c r="LC179">
        <f ca="1"/>
      </c>
    </row>
    <row r="180" spans="61:315" x14ac:dyDescent="0.55000000000000004">
      <c r="BI180">
        <f ca="1"/>
      </c>
      <c r="BJ180" s="11">
        <f ca="1"/>
      </c>
      <c r="BK180" s="11">
        <f ca="1"/>
      </c>
      <c r="BL180" s="11">
        <f ca="1"/>
      </c>
      <c r="BM180" s="11">
        <f ca="1"/>
      </c>
      <c r="BN180" s="11">
        <f ca="1"/>
      </c>
      <c r="LA180">
        <f ca="1"/>
      </c>
      <c r="LB180">
        <f ca="1"/>
      </c>
      <c r="LC180">
        <f ca="1"/>
      </c>
    </row>
    <row r="181" spans="61:315" x14ac:dyDescent="0.55000000000000004">
      <c r="BI181">
        <f ca="1"/>
      </c>
      <c r="BJ181" s="11">
        <f ca="1"/>
      </c>
      <c r="BK181" s="11">
        <f ca="1"/>
      </c>
      <c r="BL181" s="11">
        <f ca="1"/>
      </c>
      <c r="BM181" s="11">
        <f ca="1"/>
      </c>
      <c r="BN181" s="11">
        <f ca="1"/>
      </c>
      <c r="LA181">
        <f ca="1"/>
      </c>
      <c r="LB181">
        <f ca="1"/>
      </c>
      <c r="LC181">
        <f ca="1"/>
      </c>
    </row>
    <row r="182" spans="61:315" x14ac:dyDescent="0.55000000000000004">
      <c r="BI182">
        <f ca="1"/>
      </c>
      <c r="BJ182" s="11">
        <f ca="1"/>
      </c>
      <c r="BK182" s="11">
        <f ca="1"/>
      </c>
      <c r="BL182" s="11">
        <f ca="1"/>
      </c>
      <c r="BM182" s="11">
        <f ca="1"/>
      </c>
      <c r="BN182" s="11">
        <f ca="1"/>
      </c>
      <c r="LA182">
        <f ca="1"/>
      </c>
      <c r="LB182">
        <f ca="1"/>
      </c>
      <c r="LC182">
        <f ca="1"/>
      </c>
    </row>
    <row r="183" spans="61:315" x14ac:dyDescent="0.55000000000000004">
      <c r="BI183">
        <f ca="1"/>
      </c>
      <c r="BJ183" s="11">
        <f ca="1"/>
      </c>
      <c r="BK183" s="11">
        <f ca="1"/>
      </c>
      <c r="BL183" s="11">
        <f ca="1"/>
      </c>
      <c r="BM183" s="11">
        <f ca="1"/>
      </c>
      <c r="BN183" s="11">
        <f ca="1"/>
      </c>
      <c r="LA183">
        <f ca="1"/>
      </c>
      <c r="LB183">
        <f ca="1"/>
      </c>
      <c r="LC183">
        <f ca="1"/>
      </c>
    </row>
    <row r="184" spans="61:315" x14ac:dyDescent="0.55000000000000004">
      <c r="BI184">
        <f ca="1"/>
      </c>
      <c r="BJ184" s="11">
        <f ca="1"/>
      </c>
      <c r="BK184" s="11">
        <f ca="1"/>
      </c>
      <c r="BL184" s="11">
        <f ca="1"/>
      </c>
      <c r="BM184" s="11">
        <f ca="1"/>
      </c>
      <c r="BN184" s="11">
        <f ca="1"/>
      </c>
      <c r="LA184">
        <f ca="1"/>
      </c>
      <c r="LB184">
        <f ca="1"/>
      </c>
      <c r="LC184">
        <f ca="1"/>
      </c>
    </row>
    <row r="185" spans="61:315" x14ac:dyDescent="0.55000000000000004">
      <c r="BI185">
        <f ca="1"/>
      </c>
      <c r="BJ185" s="11">
        <f ca="1"/>
      </c>
      <c r="BK185" s="11">
        <f ca="1"/>
      </c>
      <c r="BL185" s="11">
        <f ca="1"/>
      </c>
      <c r="BM185" s="11">
        <f ca="1"/>
      </c>
      <c r="BN185" s="11">
        <f ca="1"/>
      </c>
      <c r="LA185">
        <f ca="1"/>
      </c>
      <c r="LB185">
        <f ca="1"/>
      </c>
      <c r="LC185">
        <f ca="1"/>
      </c>
    </row>
    <row r="186" spans="61:315" x14ac:dyDescent="0.55000000000000004">
      <c r="BI186">
        <f ca="1"/>
      </c>
      <c r="BJ186" s="11">
        <f ca="1"/>
      </c>
      <c r="BK186" s="11">
        <f ca="1"/>
      </c>
      <c r="BL186" s="11">
        <f ca="1"/>
      </c>
      <c r="BM186" s="11">
        <f ca="1"/>
      </c>
      <c r="BN186" s="11">
        <f ca="1"/>
      </c>
      <c r="LA186">
        <f ca="1"/>
      </c>
      <c r="LB186">
        <f ca="1"/>
      </c>
      <c r="LC186">
        <f ca="1"/>
      </c>
    </row>
    <row r="187" spans="61:315" x14ac:dyDescent="0.55000000000000004">
      <c r="BI187">
        <f ca="1"/>
      </c>
      <c r="BJ187" s="11">
        <f ca="1"/>
      </c>
      <c r="BK187" s="11">
        <f ca="1"/>
      </c>
      <c r="BL187" s="11">
        <f ca="1"/>
      </c>
      <c r="BM187" s="11">
        <f ca="1"/>
      </c>
      <c r="BN187" s="11">
        <f ca="1"/>
      </c>
      <c r="LA187">
        <f ca="1"/>
      </c>
      <c r="LB187">
        <f ca="1"/>
      </c>
      <c r="LC187">
        <f ca="1"/>
      </c>
    </row>
    <row r="188" spans="61:315" x14ac:dyDescent="0.55000000000000004">
      <c r="BI188">
        <f ca="1"/>
      </c>
      <c r="BJ188" s="11">
        <f ca="1"/>
      </c>
      <c r="BK188" s="11">
        <f ca="1"/>
      </c>
      <c r="BL188" s="11">
        <f ca="1"/>
      </c>
      <c r="BM188" s="11">
        <f ca="1"/>
      </c>
      <c r="BN188" s="11">
        <f ca="1"/>
      </c>
      <c r="LA188">
        <f ca="1"/>
      </c>
      <c r="LB188">
        <f ca="1"/>
      </c>
      <c r="LC188">
        <f ca="1"/>
      </c>
    </row>
    <row r="189" spans="61:315" x14ac:dyDescent="0.55000000000000004">
      <c r="BI189">
        <f ca="1"/>
      </c>
      <c r="BJ189" s="11">
        <f ca="1"/>
      </c>
      <c r="BK189" s="11">
        <f ca="1"/>
      </c>
      <c r="BL189" s="11">
        <f ca="1"/>
      </c>
      <c r="BM189" s="11">
        <f ca="1"/>
      </c>
      <c r="BN189" s="11">
        <f ca="1"/>
      </c>
      <c r="LA189">
        <f ca="1"/>
      </c>
      <c r="LB189">
        <f ca="1"/>
      </c>
      <c r="LC189">
        <f ca="1"/>
      </c>
    </row>
    <row r="190" spans="61:315" x14ac:dyDescent="0.55000000000000004">
      <c r="BI190">
        <f ca="1"/>
      </c>
      <c r="BJ190" s="11">
        <f ca="1"/>
      </c>
      <c r="BK190" s="11">
        <f ca="1"/>
      </c>
      <c r="BL190" s="11">
        <f ca="1"/>
      </c>
      <c r="BM190" s="11">
        <f ca="1"/>
      </c>
      <c r="BN190" s="11">
        <f ca="1"/>
      </c>
      <c r="LA190">
        <f ca="1"/>
      </c>
      <c r="LB190">
        <f ca="1"/>
      </c>
      <c r="LC190">
        <f ca="1"/>
      </c>
    </row>
    <row r="191" spans="61:315" x14ac:dyDescent="0.55000000000000004">
      <c r="BI191">
        <f ca="1"/>
      </c>
      <c r="BJ191" s="11">
        <f ca="1"/>
      </c>
      <c r="BK191" s="11">
        <f ca="1"/>
      </c>
      <c r="BL191" s="11">
        <f ca="1"/>
      </c>
      <c r="BM191" s="11">
        <f ca="1"/>
      </c>
      <c r="BN191" s="11">
        <f ca="1"/>
      </c>
      <c r="LA191">
        <f ca="1"/>
      </c>
      <c r="LB191">
        <f ca="1"/>
      </c>
      <c r="LC191">
        <f ca="1"/>
      </c>
    </row>
    <row r="192" spans="61:315" x14ac:dyDescent="0.55000000000000004">
      <c r="BI192">
        <f ca="1"/>
      </c>
      <c r="BJ192" s="11">
        <f ca="1"/>
      </c>
      <c r="BK192" s="11">
        <f ca="1"/>
      </c>
      <c r="BL192" s="11">
        <f ca="1"/>
      </c>
      <c r="BM192" s="11">
        <f ca="1"/>
      </c>
      <c r="BN192" s="11">
        <f ca="1"/>
      </c>
      <c r="LA192">
        <f ca="1"/>
      </c>
      <c r="LB192">
        <f ca="1"/>
      </c>
      <c r="LC192">
        <f ca="1"/>
      </c>
    </row>
    <row r="193" spans="61:315" x14ac:dyDescent="0.55000000000000004">
      <c r="BI193">
        <f ca="1"/>
      </c>
      <c r="BJ193" s="11">
        <f ca="1"/>
      </c>
      <c r="BK193" s="11">
        <f ca="1"/>
      </c>
      <c r="BL193" s="11">
        <f ca="1"/>
      </c>
      <c r="BM193" s="11">
        <f ca="1"/>
      </c>
      <c r="BN193" s="11">
        <f ca="1"/>
      </c>
      <c r="LA193">
        <f ca="1"/>
      </c>
      <c r="LB193">
        <f ca="1"/>
      </c>
      <c r="LC193">
        <f ca="1"/>
      </c>
    </row>
    <row r="194" spans="61:315" x14ac:dyDescent="0.55000000000000004">
      <c r="BI194">
        <f ca="1"/>
      </c>
      <c r="BJ194" s="11">
        <f ca="1"/>
      </c>
      <c r="BK194" s="11">
        <f ca="1"/>
      </c>
      <c r="BL194" s="11">
        <f ca="1"/>
      </c>
      <c r="BM194" s="11">
        <f ca="1"/>
      </c>
      <c r="BN194" s="11">
        <f ca="1"/>
      </c>
      <c r="LA194">
        <f ca="1"/>
      </c>
      <c r="LB194">
        <f ca="1"/>
      </c>
      <c r="LC194">
        <f ca="1"/>
      </c>
    </row>
    <row r="195" spans="61:315" x14ac:dyDescent="0.55000000000000004">
      <c r="BI195">
        <f ca="1"/>
      </c>
      <c r="BJ195" s="11">
        <f ca="1"/>
      </c>
      <c r="BK195" s="11">
        <f ca="1"/>
      </c>
      <c r="BL195" s="11">
        <f ca="1"/>
      </c>
      <c r="BM195" s="11">
        <f ca="1"/>
      </c>
      <c r="BN195" s="11">
        <f ca="1"/>
      </c>
    </row>
    <row r="196" spans="61:315" x14ac:dyDescent="0.55000000000000004">
      <c r="BI196">
        <f ca="1"/>
      </c>
      <c r="BJ196" s="11">
        <f ca="1"/>
      </c>
      <c r="BK196" s="11">
        <f ca="1"/>
      </c>
      <c r="BL196" s="11">
        <f ca="1"/>
      </c>
      <c r="BM196" s="11">
        <f ca="1"/>
      </c>
      <c r="BN196" s="11">
        <f ca="1"/>
      </c>
    </row>
    <row r="197" spans="61:315" x14ac:dyDescent="0.55000000000000004">
      <c r="BJ197" s="11"/>
      <c r="BK197" s="11"/>
      <c r="BL197" s="11"/>
      <c r="BM197" s="11"/>
      <c r="BN197" s="11"/>
    </row>
    <row r="198" spans="61:315" x14ac:dyDescent="0.55000000000000004">
      <c r="BJ198" s="11"/>
      <c r="BK198" s="11"/>
      <c r="BL198" s="11"/>
      <c r="BM198" s="11"/>
      <c r="BN198" s="11"/>
    </row>
    <row r="199" spans="61:315" x14ac:dyDescent="0.55000000000000004">
      <c r="BJ199" s="11"/>
      <c r="BK199" s="11"/>
      <c r="BL199" s="11"/>
      <c r="BM199" s="11"/>
      <c r="BN199" s="11"/>
    </row>
    <row r="200" spans="61:315" x14ac:dyDescent="0.55000000000000004">
      <c r="BJ200" s="11"/>
      <c r="BK200" s="11"/>
      <c r="BL200" s="11"/>
      <c r="BM200" s="11"/>
      <c r="BN200" s="11"/>
    </row>
    <row r="201" spans="61:315" x14ac:dyDescent="0.55000000000000004">
      <c r="BJ201" s="11"/>
      <c r="BK201" s="11"/>
      <c r="BL201" s="11"/>
      <c r="BM201" s="11"/>
      <c r="BN201" s="11"/>
    </row>
    <row r="202" spans="61:315" x14ac:dyDescent="0.55000000000000004">
      <c r="BJ202" s="11"/>
      <c r="BK202" s="11"/>
      <c r="BL202" s="11"/>
      <c r="BM202" s="11"/>
      <c r="BN202" s="11"/>
    </row>
    <row r="203" spans="61:315" x14ac:dyDescent="0.55000000000000004">
      <c r="BJ203" s="11"/>
      <c r="BK203" s="11"/>
      <c r="BL203" s="11"/>
      <c r="BM203" s="11"/>
      <c r="BN203" s="11"/>
    </row>
    <row r="204" spans="61:315" x14ac:dyDescent="0.55000000000000004">
      <c r="BJ204" s="11"/>
      <c r="BK204" s="11"/>
      <c r="BL204" s="11"/>
      <c r="BM204" s="11"/>
      <c r="BN204" s="11"/>
    </row>
    <row r="205" spans="61:315" x14ac:dyDescent="0.55000000000000004">
      <c r="BJ205" s="11"/>
      <c r="BK205" s="11"/>
      <c r="BL205" s="11"/>
      <c r="BM205" s="11"/>
      <c r="BN205" s="11"/>
    </row>
    <row r="206" spans="61:315" x14ac:dyDescent="0.55000000000000004">
      <c r="BJ206" s="11"/>
      <c r="BK206" s="11"/>
      <c r="BL206" s="11"/>
      <c r="BM206" s="11"/>
      <c r="BN206" s="11"/>
    </row>
    <row r="207" spans="61:315" x14ac:dyDescent="0.55000000000000004">
      <c r="BJ207" s="11"/>
      <c r="BK207" s="11"/>
      <c r="BL207" s="11"/>
      <c r="BM207" s="11"/>
      <c r="BN207" s="11"/>
    </row>
    <row r="208" spans="61:315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5F55-1C47-4FBD-A466-5C07F736E95B}">
  <sheetPr codeName="Sheet5"/>
  <dimension ref="A1:GU800"/>
  <sheetViews>
    <sheetView zoomScale="56" workbookViewId="0">
      <selection activeCell="K8" sqref="K8"/>
    </sheetView>
  </sheetViews>
  <sheetFormatPr defaultRowHeight="18.5" outlineLevelCol="1" x14ac:dyDescent="0.55000000000000004"/>
  <cols>
    <col min="1" max="1" width="18.58203125" customWidth="1"/>
    <col min="2" max="10" width="11.58203125" customWidth="1"/>
    <col min="11" max="11" width="13.58203125" customWidth="1"/>
    <col min="12" max="15" width="11.58203125" customWidth="1"/>
    <col min="27" max="199" width="8.6640625" hidden="1" customWidth="1" outlineLevel="1"/>
    <col min="200" max="202" width="0" hidden="1" customWidth="1" outlineLevel="1"/>
    <col min="203" max="203" width="8.6640625" collapsed="1"/>
  </cols>
  <sheetData>
    <row r="1" spans="1:202" x14ac:dyDescent="0.55000000000000004">
      <c r="A1" s="4" t="s">
        <v>58</v>
      </c>
      <c r="B1" s="2" t="s">
        <v>53</v>
      </c>
      <c r="C1" t="s">
        <v>59</v>
      </c>
      <c r="D1" cm="1">
        <f t="array" aca="1" ref="D1" ca="1">LiveInfo("swap",_xlfn.ANCHORARRAY($AA$3))</f>
      </c>
      <c r="E1" t="s">
        <v>255</v>
      </c>
    </row>
    <row r="2" spans="1:202" ht="20" x14ac:dyDescent="0.55000000000000004">
      <c r="A2" s="20" t="s">
        <v>256</v>
      </c>
      <c r="AA2" s="4" t="s">
        <v>116</v>
      </c>
      <c r="AB2" s="4"/>
      <c r="AC2" s="4"/>
      <c r="AD2" s="4"/>
      <c r="AE2" s="4"/>
      <c r="AF2" s="4" t="s">
        <v>117</v>
      </c>
      <c r="AG2" s="4"/>
      <c r="AH2" s="4"/>
      <c r="AI2" s="4"/>
      <c r="AJ2" s="4"/>
      <c r="AK2" s="4"/>
      <c r="AL2" s="4" t="s">
        <v>118</v>
      </c>
      <c r="AM2" s="4"/>
      <c r="AN2" s="4"/>
      <c r="AO2" s="4" t="s">
        <v>268</v>
      </c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 t="s">
        <v>269</v>
      </c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 t="s">
        <v>270</v>
      </c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 t="s">
        <v>319</v>
      </c>
      <c r="GD2" s="4"/>
      <c r="GE2" s="4"/>
      <c r="GF2" s="4"/>
      <c r="GG2" s="4"/>
      <c r="GH2" s="4" t="s">
        <v>322</v>
      </c>
      <c r="GI2" s="4"/>
      <c r="GJ2" s="4"/>
      <c r="GK2" s="4"/>
      <c r="GL2" s="4"/>
      <c r="GM2" s="4" t="s">
        <v>323</v>
      </c>
      <c r="GN2" s="4"/>
      <c r="GO2" s="4"/>
      <c r="GP2" s="4"/>
      <c r="GQ2" s="4"/>
      <c r="GS2" s="4" t="s">
        <v>325</v>
      </c>
      <c r="GT2" s="4"/>
    </row>
    <row r="3" spans="1:202" x14ac:dyDescent="0.55000000000000004">
      <c r="A3" s="4" t="s">
        <v>257</v>
      </c>
      <c r="AA3" s="4" cm="1">
        <f t="array" aca="1" ref="AA3:AD46" ca="1">IF($B$1="Fixed",LiveSnapshot("swap"),LiveQuotes("swap"))</f>
      </c>
      <c r="AB3" s="4">
        <f ca="1"/>
      </c>
      <c r="AC3" s="4">
        <f ca="1"/>
      </c>
      <c r="AD3" s="4">
        <f ca="1"/>
      </c>
      <c r="AE3" s="4"/>
      <c r="AF3" s="4" cm="1">
        <f t="array" aca="1" ref="AF3:AJ46" ca="1">_xlfn.LET(_xlpm.q,_xlfn.ANCHORARRAY($AA$3),_xlpm.t,$AL$4:$AL$47,_xlfn.HSTACK($AM$4:$AM$47,_xlpm.t,INDEX(_xlpm.q,_xlfn.XMATCH(_xlpm.t,INDEX(_xlpm.q,,1)),{2,3,4})))</f>
      </c>
      <c r="AG3" s="4">
        <f ca="1"/>
      </c>
      <c r="AH3" s="4">
        <f ca="1"/>
      </c>
      <c r="AI3" s="4">
        <f ca="1"/>
      </c>
      <c r="AJ3" s="4">
        <f ca="1"/>
      </c>
      <c r="AK3" s="4"/>
      <c r="AL3" s="4" t="s">
        <v>119</v>
      </c>
      <c r="AM3" s="4" t="s">
        <v>120</v>
      </c>
      <c r="AN3" s="4"/>
      <c r="AO3" s="4" cm="1">
        <f t="array" ref="AO3:CI486">FwdHistory($A$12:$A$35,"CMT",FWM_Base)</f>
      </c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 cm="1">
        <f t="array" ref="CK3:EE486">FwdHistory($A$12:$A$35,"FIXED",FWM_Base)</f>
      </c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 cm="1">
        <f t="array" ref="EG3:GA486">FwdHistory($A$12:$A$35,"ROLLING",FWM_Base)</f>
      </c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 t="s">
        <v>320</v>
      </c>
      <c r="GD3" s="4" t="s">
        <v>53</v>
      </c>
      <c r="GE3" s="4">
        <f>"Compare "&amp;TEXT(FWM_Cmp,"yyyy-mm-dd")</f>
      </c>
      <c r="GF3" s="4" t="s">
        <v>321</v>
      </c>
      <c r="GG3" s="4"/>
      <c r="GH3" s="4" t="s">
        <v>320</v>
      </c>
      <c r="GI3" s="4" t="s">
        <v>53</v>
      </c>
      <c r="GJ3" s="4">
        <f>GE3</f>
      </c>
      <c r="GK3" s="4" t="s">
        <v>321</v>
      </c>
      <c r="GL3" s="4"/>
      <c r="GM3" s="4" t="s">
        <v>75</v>
      </c>
      <c r="GN3" s="4" cm="1">
        <f t="array" aca="1" ref="GN3" ca="1">_xlfn.LET(_xlpm.r,IFERROR(SMALL(IF((FWM_TShow="Yes")*(FWM_TL1&lt;&gt;""),_xlfn.SEQUENCE(10)),1),0),IF(_xlpm.r=0,"",INDEX(FWM_TName,_xlpm.r)&amp;" ("&amp;INDEX(FWM_TMode,_xlpm.r)&amp;")"))</f>
      </c>
      <c r="GO3" s="4" cm="1">
        <f t="array" aca="1" ref="GO3" ca="1">_xlfn.LET(_xlpm.r,IFERROR(SMALL(IF((FWM_TShow="Yes")*(FWM_TL1&lt;&gt;""),_xlfn.SEQUENCE(10)),2),0),IF(_xlpm.r=0,"",INDEX(FWM_TName,_xlpm.r)&amp;" ("&amp;INDEX(FWM_TMode,_xlpm.r)&amp;")"))</f>
      </c>
      <c r="GP3" s="4" cm="1">
        <f t="array" aca="1" ref="GP3" ca="1">_xlfn.LET(_xlpm.r,IFERROR(SMALL(IF((FWM_TShow="Yes")*(FWM_TL1&lt;&gt;""),_xlfn.SEQUENCE(10)),3),0),IF(_xlpm.r=0,"",INDEX(FWM_TName,_xlpm.r)&amp;" ("&amp;INDEX(FWM_TMode,_xlpm.r)&amp;")"))</f>
      </c>
      <c r="GQ3" s="4" cm="1">
        <f t="array" aca="1" ref="GQ3" ca="1">_xlfn.LET(_xlpm.r,IFERROR(SMALL(IF((FWM_TShow="Yes")*(FWM_TL1&lt;&gt;""),_xlfn.SEQUENCE(10)),4),0),IF(_xlpm.r=0,"",INDEX(FWM_TName,_xlpm.r)&amp;" ("&amp;INDEX(FWM_TMode,_xlpm.r)&amp;")"))</f>
      </c>
      <c r="GS3" s="4" t="s">
        <v>272</v>
      </c>
      <c r="GT3" s="4" t="s">
        <v>273</v>
      </c>
    </row>
    <row r="4" spans="1:202" x14ac:dyDescent="0.55000000000000004">
      <c r="A4" s="4" t="s">
        <v>258</v>
      </c>
      <c r="B4" s="3"/>
      <c r="C4" t="s">
        <v>259</v>
      </c>
      <c r="AA4">
        <f ca="1"/>
      </c>
      <c r="AB4">
        <f ca="1"/>
      </c>
      <c r="AC4">
        <f ca="1"/>
      </c>
      <c r="AD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L4" t="s">
        <v>0</v>
      </c>
      <c r="GC4">
        <f>VALUE(_xlfn.TEXTBEFORE($A$12,"y"))</f>
      </c>
      <c r="GD4">
        <f ca="1">$B$12</f>
      </c>
      <c r="GE4">
        <f ca="1">IFERROR($B$12-$G$12/100,NA())</f>
      </c>
      <c r="GF4">
        <f ca="1">$G$12</f>
      </c>
      <c r="GH4">
        <f>VALUE(_xlfn.TEXTBEFORE($A$29,"y"))</f>
      </c>
      <c r="GI4">
        <f ca="1">$B$29</f>
      </c>
      <c r="GJ4">
        <f ca="1">IFERROR($B$29-$G$29/100,NA())</f>
      </c>
      <c r="GK4">
        <f ca="1">$G$29</f>
      </c>
      <c r="GM4" s="7" cm="1">
        <f t="array" ref="GM4:GM244">_xlfn._xlws.FILTER(FWM_Dates,FWM_Dates&gt;=N(FWM_From))</f>
      </c>
      <c r="GN4" cm="1">
        <f t="array" aca="1" ref="GN4:GN244" ca="1">_xlfn.LET(_xlpm.r,IFERROR(SMALL(IF((FWM_TShow="Yes")*(FWM_TL1&lt;&gt;""),_xlfn.SEQUENCE(10)),1)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O4" cm="1">
        <f t="array" aca="1" ref="GO4:GO244" ca="1">_xlfn.LET(_xlpm.r,IFERROR(SMALL(IF((FWM_TShow="Yes")*(FWM_TL1&lt;&gt;""),_xlfn.SEQUENCE(10)),2)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P4" cm="1">
        <f t="array" aca="1" ref="GP4:GP244" ca="1">_xlfn.LET(_xlpm.r,IFERROR(SMALL(IF((FWM_TShow="Yes")*(FWM_TL1&lt;&gt;""),_xlfn.SEQUENCE(10)),3)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Q4" cm="1">
        <f t="array" aca="1" ref="GQ4:GQ244" ca="1">_xlfn.LET(_xlpm.r,IFERROR(SMALL(IF((FWM_TShow="Yes")*(FWM_TL1&lt;&gt;""),_xlfn.SEQUENCE(10)),4)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GS4" cm="1">
        <f t="array" ref="GS4:GS26">_xlfn._xlws.FILTER($A$12:$A$35,$A$12:$A$35&lt;&gt;"")</f>
      </c>
      <c r="GT4" cm="1">
        <f t="array" aca="1" ref="GT4:GT26" ca="1">FwdLive(_xlfn.ANCHORARRAY($GS$4),_xlfn.TAKE(_xlfn.ANCHORARRAY($AF$3),,3))</f>
      </c>
    </row>
    <row r="5" spans="1:202" x14ac:dyDescent="0.55000000000000004">
      <c r="A5" s="4" t="s">
        <v>260</v>
      </c>
      <c r="B5" s="3">
        <v>46290</v>
      </c>
      <c r="C5" t="s">
        <v>261</v>
      </c>
      <c r="AA5">
        <f ca="1"/>
      </c>
      <c r="AB5">
        <f ca="1"/>
      </c>
      <c r="AC5">
        <f ca="1"/>
      </c>
      <c r="AD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L5" t="s">
        <v>1</v>
      </c>
      <c r="AM5">
        <v>1</v>
      </c>
      <c r="GC5">
        <f>VALUE(_xlfn.TEXTBEFORE($A$13,"y"))</f>
      </c>
      <c r="GD5">
        <f ca="1">$B$13</f>
      </c>
      <c r="GE5">
        <f ca="1">IFERROR($B$13-$G$13/100,NA())</f>
      </c>
      <c r="GF5">
        <f ca="1">$G$13</f>
      </c>
      <c r="GH5">
        <f>VALUE(_xlfn.TEXTBEFORE($A$30,"y"))</f>
      </c>
      <c r="GI5">
        <f ca="1">$B$30</f>
      </c>
      <c r="GJ5">
        <f ca="1">IFERROR($B$30-$G$30/100,NA())</f>
      </c>
      <c r="GK5">
        <f ca="1">$G$30</f>
      </c>
      <c r="GM5" s="7"/>
      <c r="GN5">
        <f ca="1"/>
      </c>
      <c r="GO5">
        <f ca="1"/>
      </c>
      <c r="GP5">
        <f ca="1"/>
      </c>
      <c r="GQ5">
        <f ca="1"/>
      </c>
      <c r="GT5">
        <f ca="1"/>
      </c>
    </row>
    <row r="6" spans="1:202" x14ac:dyDescent="0.55000000000000004">
      <c r="A6" s="4" t="s">
        <v>262</v>
      </c>
      <c r="B6" s="2">
        <v>63</v>
      </c>
      <c r="C6" t="s">
        <v>263</v>
      </c>
      <c r="AA6">
        <f ca="1"/>
      </c>
      <c r="AB6">
        <f ca="1"/>
      </c>
      <c r="AC6">
        <f ca="1"/>
      </c>
      <c r="AD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L6" t="s">
        <v>2</v>
      </c>
      <c r="AM6">
        <v>1</v>
      </c>
      <c r="GC6">
        <f>VALUE(_xlfn.TEXTBEFORE($A$14,"y"))</f>
      </c>
      <c r="GD6">
        <f ca="1">$B$14</f>
      </c>
      <c r="GE6">
        <f ca="1">IFERROR($B$14-$G$14/100,NA())</f>
      </c>
      <c r="GF6">
        <f ca="1">$G$14</f>
      </c>
      <c r="GH6">
        <f>VALUE(_xlfn.TEXTBEFORE($A$31,"y"))</f>
      </c>
      <c r="GI6">
        <f ca="1">$B$31</f>
      </c>
      <c r="GJ6">
        <f ca="1">IFERROR($B$31-$G$31/100,NA())</f>
      </c>
      <c r="GK6">
        <f ca="1">$G$31</f>
      </c>
      <c r="GM6" s="7"/>
      <c r="GN6">
        <f ca="1"/>
      </c>
      <c r="GO6">
        <f ca="1"/>
      </c>
      <c r="GP6">
        <f ca="1"/>
      </c>
      <c r="GQ6">
        <f ca="1"/>
      </c>
      <c r="GT6">
        <f ca="1"/>
      </c>
    </row>
    <row r="7" spans="1:202" x14ac:dyDescent="0.55000000000000004">
      <c r="A7" s="4" t="s">
        <v>264</v>
      </c>
      <c r="B7" s="3">
        <v>45955</v>
      </c>
      <c r="C7" t="s">
        <v>265</v>
      </c>
      <c r="AA7">
        <f ca="1"/>
      </c>
      <c r="AB7">
        <f ca="1"/>
      </c>
      <c r="AC7">
        <f ca="1"/>
      </c>
      <c r="AD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L7" t="s">
        <v>3</v>
      </c>
      <c r="AM7">
        <v>1</v>
      </c>
      <c r="GC7">
        <f>VALUE(_xlfn.TEXTBEFORE($A$15,"y"))</f>
      </c>
      <c r="GD7">
        <f ca="1">$B$15</f>
      </c>
      <c r="GE7">
        <f ca="1">IFERROR($B$15-$G$15/100,NA())</f>
      </c>
      <c r="GF7">
        <f ca="1">$G$15</f>
      </c>
      <c r="GH7">
        <f>VALUE(_xlfn.TEXTBEFORE($A$32,"y"))</f>
      </c>
      <c r="GI7">
        <f ca="1">$B$32</f>
      </c>
      <c r="GJ7">
        <f ca="1">IFERROR($B$32-$G$32/100,NA())</f>
      </c>
      <c r="GK7">
        <f ca="1">$G$32</f>
      </c>
      <c r="GM7" s="7"/>
      <c r="GN7">
        <f ca="1"/>
      </c>
      <c r="GO7">
        <f ca="1"/>
      </c>
      <c r="GP7">
        <f ca="1"/>
      </c>
      <c r="GQ7">
        <f ca="1"/>
      </c>
      <c r="GT7">
        <f ca="1"/>
      </c>
    </row>
    <row r="8" spans="1:202" x14ac:dyDescent="0.55000000000000004">
      <c r="A8" s="4" t="s">
        <v>266</v>
      </c>
      <c r="B8" s="2" t="s">
        <v>151</v>
      </c>
      <c r="C8" t="s">
        <v>267</v>
      </c>
      <c r="AA8">
        <f ca="1"/>
      </c>
      <c r="AB8">
        <f ca="1"/>
      </c>
      <c r="AC8">
        <f ca="1"/>
      </c>
      <c r="AD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L8" t="s">
        <v>4</v>
      </c>
      <c r="AM8">
        <v>1</v>
      </c>
      <c r="GC8">
        <f>VALUE(_xlfn.TEXTBEFORE($A$16,"y"))</f>
      </c>
      <c r="GD8">
        <f ca="1">$B$16</f>
      </c>
      <c r="GE8">
        <f ca="1">IFERROR($B$16-$G$16/100,NA())</f>
      </c>
      <c r="GF8">
        <f ca="1">$G$16</f>
      </c>
      <c r="GH8">
        <f>VALUE(_xlfn.TEXTBEFORE($A$33,"y"))</f>
      </c>
      <c r="GI8">
        <f ca="1">$B$33</f>
      </c>
      <c r="GJ8">
        <f ca="1">IFERROR($B$33-$G$33/100,NA())</f>
      </c>
      <c r="GK8">
        <f ca="1">$G$33</f>
      </c>
      <c r="GM8" s="7"/>
      <c r="GN8">
        <f ca="1"/>
      </c>
      <c r="GO8">
        <f ca="1"/>
      </c>
      <c r="GP8">
        <f ca="1"/>
      </c>
      <c r="GQ8">
        <f ca="1"/>
      </c>
      <c r="GT8">
        <f ca="1"/>
      </c>
    </row>
    <row r="9" spans="1:202" x14ac:dyDescent="0.55000000000000004">
      <c r="AA9">
        <f ca="1"/>
      </c>
      <c r="AB9">
        <f ca="1"/>
      </c>
      <c r="AC9">
        <f ca="1"/>
      </c>
      <c r="AD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L9" t="s">
        <v>5</v>
      </c>
      <c r="AM9">
        <v>1</v>
      </c>
      <c r="GC9">
        <f>VALUE(_xlfn.TEXTBEFORE($A$17,"y"))</f>
      </c>
      <c r="GD9">
        <f ca="1">$B$17</f>
      </c>
      <c r="GE9">
        <f ca="1">IFERROR($B$17-$G$17/100,NA())</f>
      </c>
      <c r="GF9">
        <f ca="1">$G$17</f>
      </c>
      <c r="GH9">
        <f>VALUE(_xlfn.TEXTBEFORE($A$34,"y"))</f>
      </c>
      <c r="GI9">
        <f ca="1">$B$34</f>
      </c>
      <c r="GJ9">
        <f ca="1">IFERROR($B$34-$G$34/100,NA())</f>
      </c>
      <c r="GK9">
        <f ca="1">$G$34</f>
      </c>
      <c r="GM9" s="7"/>
      <c r="GN9">
        <f ca="1"/>
      </c>
      <c r="GO9">
        <f ca="1"/>
      </c>
      <c r="GP9">
        <f ca="1"/>
      </c>
      <c r="GQ9">
        <f ca="1"/>
      </c>
      <c r="GT9">
        <f ca="1"/>
      </c>
    </row>
    <row r="10" spans="1:202" x14ac:dyDescent="0.55000000000000004">
      <c r="A10" s="4" t="s">
        <v>271</v>
      </c>
      <c r="AA10">
        <f ca="1"/>
      </c>
      <c r="AB10">
        <f ca="1"/>
      </c>
      <c r="AC10">
        <f ca="1"/>
      </c>
      <c r="AD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L10" t="s">
        <v>6</v>
      </c>
      <c r="AM10">
        <v>1</v>
      </c>
      <c r="GC10">
        <f>VALUE(_xlfn.TEXTBEFORE($A$18,"y"))</f>
      </c>
      <c r="GD10">
        <f ca="1">$B$18</f>
      </c>
      <c r="GE10">
        <f ca="1">IFERROR($B$18-$G$18/100,NA())</f>
      </c>
      <c r="GF10">
        <f ca="1">$G$18</f>
      </c>
      <c r="GH10">
        <f>VALUE(_xlfn.TEXTBEFORE($A$35,"y"))</f>
      </c>
      <c r="GI10">
        <f ca="1">$B$35</f>
      </c>
      <c r="GJ10">
        <f ca="1">IFERROR($B$35-$G$35/100,NA())</f>
      </c>
      <c r="GK10">
        <f ca="1">$G$35</f>
      </c>
      <c r="GM10" s="7"/>
      <c r="GN10">
        <f ca="1"/>
      </c>
      <c r="GO10">
        <f ca="1"/>
      </c>
      <c r="GP10">
        <f ca="1"/>
      </c>
      <c r="GQ10">
        <f ca="1"/>
      </c>
      <c r="GT10">
        <f ca="1"/>
      </c>
    </row>
    <row r="11" spans="1:202" x14ac:dyDescent="0.55000000000000004">
      <c r="A11" s="4" t="s">
        <v>272</v>
      </c>
      <c r="B11" s="4" t="s">
        <v>273</v>
      </c>
      <c r="C11" s="4" t="s">
        <v>274</v>
      </c>
      <c r="D11" s="4" t="s">
        <v>275</v>
      </c>
      <c r="E11" s="4" t="s">
        <v>276</v>
      </c>
      <c r="F11" s="4" t="s">
        <v>277</v>
      </c>
      <c r="G11" s="4" t="s">
        <v>278</v>
      </c>
      <c r="H11" s="4" t="s">
        <v>279</v>
      </c>
      <c r="I11" s="4" t="s">
        <v>280</v>
      </c>
      <c r="J11" s="4" t="s">
        <v>281</v>
      </c>
      <c r="K11" s="4" t="s">
        <v>324</v>
      </c>
      <c r="AA11">
        <f ca="1"/>
      </c>
      <c r="AB11">
        <f ca="1"/>
      </c>
      <c r="AC11">
        <f ca="1"/>
      </c>
      <c r="AD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L11" t="s">
        <v>7</v>
      </c>
      <c r="AM11">
        <v>1</v>
      </c>
      <c r="GC11">
        <f>VALUE(_xlfn.TEXTBEFORE($A$19,"y"))</f>
      </c>
      <c r="GD11">
        <f ca="1">$B$19</f>
      </c>
      <c r="GE11">
        <f ca="1">IFERROR($B$19-$G$19/100,NA())</f>
      </c>
      <c r="GF11">
        <f ca="1">$G$19</f>
      </c>
      <c r="GM11" s="7"/>
      <c r="GN11">
        <f ca="1"/>
      </c>
      <c r="GO11">
        <f ca="1"/>
      </c>
      <c r="GP11">
        <f ca="1"/>
      </c>
      <c r="GQ11">
        <f ca="1"/>
      </c>
      <c r="GT11">
        <f ca="1"/>
      </c>
    </row>
    <row r="12" spans="1:202" x14ac:dyDescent="0.55000000000000004">
      <c r="A12" t="s">
        <v>282</v>
      </c>
      <c r="B12" s="13" cm="1">
        <f t="array" aca="1" ref="B12" ca="1">_xlfn.XLOOKUP($A12,_xlfn.ANCHORARRAY($GS$4),_xlfn.ANCHORARRAY($GT$4),"")</f>
      </c>
      <c r="C12" s="13" cm="1">
        <f t="array" ref="C12">_xlfn.LET(_xlpm.h,FWM_HC,_xlpm.c,_xlfn.XMATCH($A12,_xlfn.TAKE(_xlpm.h,1)),INDEX(_xlpm.h,ROWS(_xlpm.h),_xlpm.c))</f>
      </c>
      <c r="D12" s="44">
        <f t="shared" ref="D12:D35" ca="1" si="0">(B12-C12)*100</f>
      </c>
      <c r="E12" s="44" cm="1">
        <f t="array" aca="1" ref="E12" ca="1">_xlfn.LET(_xlpm.h,FWM_HC,_xlpm.c,_xlfn.XMATCH($A12,_xlfn.TAKE(_xlpm.h,1)),(B12-INDEX(_xlpm.h,ROWS(_xlpm.h)-4,_xlpm.c))*100)</f>
      </c>
      <c r="F12" s="44" cm="1">
        <f t="array" aca="1" ref="F12" ca="1">_xlfn.LET(_xlpm.h,FWM_HC,_xlpm.c,_xlfn.XMATCH($A12,_xlfn.TAKE(_xlpm.h,1)),(B12-INDEX(_xlpm.h,ROWS(_xlpm.h)-20,_xlpm.c))*100)</f>
      </c>
      <c r="G12" s="44" cm="1">
        <f t="array" aca="1" ref="G12" ca="1">_xlfn.LET(_xlpm.h,FWM_HC,_xlpm.c,_xlfn.XMATCH($A12,_xlfn.TAKE(_xlpm.h,1)),(B12-_xlfn.XLOOKUP(FWM_Cmp,_xlfn.DROP(INDEX(_xlpm.h,,1),1),_xlfn.DROP(INDEX(_xlpm.h,,_xlpm.c),1),"",-1))*100)</f>
      </c>
      <c r="H12" s="11" cm="1">
        <f t="array" ref="H12">_xlfn.LET(_xlpm.h,FWM_HC,FWM_Sigma(_xlfn.DROP(INDEX(_xlpm.h,,_xlfn.XMATCH($A12&amp;" dF",_xlfn.TAKE(_xlpm.h,1))),1)))</f>
      </c>
      <c r="I12" s="45">
        <f t="shared" ref="I12:I35" ca="1" si="1">D12/H12</f>
      </c>
      <c r="J12" s="45">
        <f t="shared" ref="J12:J35" ca="1" si="2">E12/(H12*SQRT(5))</f>
      </c>
      <c r="K12" s="44">
        <f>IF(ISNUMBER(B11),(B12-B11)*100,"")</f>
      </c>
      <c r="AA12">
        <f ca="1"/>
      </c>
      <c r="AB12">
        <f ca="1"/>
      </c>
      <c r="AC12">
        <f ca="1"/>
      </c>
      <c r="AD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L12" t="s">
        <v>8</v>
      </c>
      <c r="AM12">
        <v>1</v>
      </c>
      <c r="GC12">
        <f>VALUE(_xlfn.TEXTBEFORE($A$20,"y"))</f>
      </c>
      <c r="GD12">
        <f ca="1">$B$20</f>
      </c>
      <c r="GE12">
        <f ca="1">IFERROR($B$20-$G$20/100,NA())</f>
      </c>
      <c r="GF12">
        <f ca="1">$G$20</f>
      </c>
      <c r="GM12" s="7"/>
      <c r="GN12">
        <f ca="1"/>
      </c>
      <c r="GO12">
        <f ca="1"/>
      </c>
      <c r="GP12">
        <f ca="1"/>
      </c>
      <c r="GQ12">
        <f ca="1"/>
      </c>
      <c r="GT12">
        <f ca="1"/>
      </c>
    </row>
    <row r="13" spans="1:202" x14ac:dyDescent="0.55000000000000004">
      <c r="A13" t="s">
        <v>283</v>
      </c>
      <c r="B13" s="13" cm="1">
        <f t="array" aca="1" ref="B13" ca="1">_xlfn.XLOOKUP($A13,_xlfn.ANCHORARRAY($GS$4),_xlfn.ANCHORARRAY($GT$4),"")</f>
      </c>
      <c r="C13" s="13" cm="1">
        <f t="array" ref="C13">_xlfn.LET(_xlpm.h,FWM_HC,_xlpm.c,_xlfn.XMATCH($A13,_xlfn.TAKE(_xlpm.h,1)),INDEX(_xlpm.h,ROWS(_xlpm.h),_xlpm.c))</f>
      </c>
      <c r="D13" s="44">
        <f t="shared" ca="1" si="0"/>
      </c>
      <c r="E13" s="44" cm="1">
        <f t="array" aca="1" ref="E13" ca="1">_xlfn.LET(_xlpm.h,FWM_HC,_xlpm.c,_xlfn.XMATCH($A13,_xlfn.TAKE(_xlpm.h,1)),(B13-INDEX(_xlpm.h,ROWS(_xlpm.h)-4,_xlpm.c))*100)</f>
      </c>
      <c r="F13" s="44" cm="1">
        <f t="array" aca="1" ref="F13" ca="1">_xlfn.LET(_xlpm.h,FWM_HC,_xlpm.c,_xlfn.XMATCH($A13,_xlfn.TAKE(_xlpm.h,1)),(B13-INDEX(_xlpm.h,ROWS(_xlpm.h)-20,_xlpm.c))*100)</f>
      </c>
      <c r="G13" s="44" cm="1">
        <f t="array" aca="1" ref="G13" ca="1">_xlfn.LET(_xlpm.h,FWM_HC,_xlpm.c,_xlfn.XMATCH($A13,_xlfn.TAKE(_xlpm.h,1)),(B13-_xlfn.XLOOKUP(FWM_Cmp,_xlfn.DROP(INDEX(_xlpm.h,,1),1),_xlfn.DROP(INDEX(_xlpm.h,,_xlpm.c),1),"",-1))*100)</f>
      </c>
      <c r="H13" s="11" cm="1">
        <f t="array" ref="H13">_xlfn.LET(_xlpm.h,FWM_HC,FWM_Sigma(_xlfn.DROP(INDEX(_xlpm.h,,_xlfn.XMATCH($A13&amp;" dF",_xlfn.TAKE(_xlpm.h,1))),1)))</f>
      </c>
      <c r="I13" s="45">
        <f t="shared" ca="1" si="1"/>
      </c>
      <c r="J13" s="45">
        <f t="shared" ca="1" si="2"/>
      </c>
      <c r="K13" s="44">
        <f ca="1">IF(ISNUMBER(B12),(B13-B12)*100,"")</f>
      </c>
      <c r="AA13">
        <f ca="1"/>
      </c>
      <c r="AB13">
        <f ca="1"/>
      </c>
      <c r="AC13">
        <f ca="1"/>
      </c>
      <c r="AD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L13" t="s">
        <v>9</v>
      </c>
      <c r="AM13">
        <v>1</v>
      </c>
      <c r="GC13">
        <f>VALUE(_xlfn.TEXTBEFORE($A$21,"y"))</f>
      </c>
      <c r="GD13">
        <f ca="1">$B$21</f>
      </c>
      <c r="GE13">
        <f ca="1">IFERROR($B$21-$G$21/100,NA())</f>
      </c>
      <c r="GF13">
        <f ca="1">$G$21</f>
      </c>
      <c r="GM13" s="7"/>
      <c r="GN13">
        <f ca="1"/>
      </c>
      <c r="GO13">
        <f ca="1"/>
      </c>
      <c r="GP13">
        <f ca="1"/>
      </c>
      <c r="GQ13">
        <f ca="1"/>
      </c>
      <c r="GT13">
        <f ca="1"/>
      </c>
    </row>
    <row r="14" spans="1:202" x14ac:dyDescent="0.55000000000000004">
      <c r="A14" t="s">
        <v>284</v>
      </c>
      <c r="B14" s="13" cm="1">
        <f t="array" aca="1" ref="B14" ca="1">_xlfn.XLOOKUP($A14,_xlfn.ANCHORARRAY($GS$4),_xlfn.ANCHORARRAY($GT$4),"")</f>
      </c>
      <c r="C14" s="13" cm="1">
        <f t="array" ref="C14">_xlfn.LET(_xlpm.h,FWM_HC,_xlpm.c,_xlfn.XMATCH($A14,_xlfn.TAKE(_xlpm.h,1)),INDEX(_xlpm.h,ROWS(_xlpm.h),_xlpm.c))</f>
      </c>
      <c r="D14" s="44">
        <f t="shared" ca="1" si="0"/>
      </c>
      <c r="E14" s="44" cm="1">
        <f t="array" aca="1" ref="E14" ca="1">_xlfn.LET(_xlpm.h,FWM_HC,_xlpm.c,_xlfn.XMATCH($A14,_xlfn.TAKE(_xlpm.h,1)),(B14-INDEX(_xlpm.h,ROWS(_xlpm.h)-4,_xlpm.c))*100)</f>
      </c>
      <c r="F14" s="44" cm="1">
        <f t="array" aca="1" ref="F14" ca="1">_xlfn.LET(_xlpm.h,FWM_HC,_xlpm.c,_xlfn.XMATCH($A14,_xlfn.TAKE(_xlpm.h,1)),(B14-INDEX(_xlpm.h,ROWS(_xlpm.h)-20,_xlpm.c))*100)</f>
      </c>
      <c r="G14" s="44" cm="1">
        <f t="array" aca="1" ref="G14" ca="1">_xlfn.LET(_xlpm.h,FWM_HC,_xlpm.c,_xlfn.XMATCH($A14,_xlfn.TAKE(_xlpm.h,1)),(B14-_xlfn.XLOOKUP(FWM_Cmp,_xlfn.DROP(INDEX(_xlpm.h,,1),1),_xlfn.DROP(INDEX(_xlpm.h,,_xlpm.c),1),"",-1))*100)</f>
      </c>
      <c r="H14" s="11" cm="1">
        <f t="array" ref="H14">_xlfn.LET(_xlpm.h,FWM_HC,FWM_Sigma(_xlfn.DROP(INDEX(_xlpm.h,,_xlfn.XMATCH($A14&amp;" dF",_xlfn.TAKE(_xlpm.h,1))),1)))</f>
      </c>
      <c r="I14" s="45">
        <f t="shared" ca="1" si="1"/>
      </c>
      <c r="J14" s="45">
        <f t="shared" ca="1" si="2"/>
      </c>
      <c r="K14" s="44">
        <f ca="1">IF(ISNUMBER(B13),(B14-B13)*100,"")</f>
      </c>
      <c r="AA14">
        <f ca="1"/>
      </c>
      <c r="AB14">
        <f ca="1"/>
      </c>
      <c r="AC14">
        <f ca="1"/>
      </c>
      <c r="AD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L14" t="s">
        <v>10</v>
      </c>
      <c r="AM14">
        <v>1</v>
      </c>
      <c r="GC14">
        <f>VALUE(_xlfn.TEXTBEFORE($A$22,"y"))</f>
      </c>
      <c r="GD14">
        <f ca="1">$B$22</f>
      </c>
      <c r="GE14">
        <f ca="1">IFERROR($B$22-$G$22/100,NA())</f>
      </c>
      <c r="GF14">
        <f ca="1">$G$22</f>
      </c>
      <c r="GM14" s="7"/>
      <c r="GN14">
        <f ca="1"/>
      </c>
      <c r="GO14">
        <f ca="1"/>
      </c>
      <c r="GP14">
        <f ca="1"/>
      </c>
      <c r="GQ14">
        <f ca="1"/>
      </c>
      <c r="GT14">
        <f ca="1"/>
      </c>
    </row>
    <row r="15" spans="1:202" x14ac:dyDescent="0.55000000000000004">
      <c r="A15" t="s">
        <v>285</v>
      </c>
      <c r="B15" s="13" cm="1">
        <f t="array" aca="1" ref="B15" ca="1">_xlfn.XLOOKUP($A15,_xlfn.ANCHORARRAY($GS$4),_xlfn.ANCHORARRAY($GT$4),"")</f>
      </c>
      <c r="C15" s="13" cm="1">
        <f t="array" ref="C15">_xlfn.LET(_xlpm.h,FWM_HC,_xlpm.c,_xlfn.XMATCH($A15,_xlfn.TAKE(_xlpm.h,1)),INDEX(_xlpm.h,ROWS(_xlpm.h),_xlpm.c))</f>
      </c>
      <c r="D15" s="44">
        <f t="shared" ca="1" si="0"/>
      </c>
      <c r="E15" s="44" cm="1">
        <f t="array" aca="1" ref="E15" ca="1">_xlfn.LET(_xlpm.h,FWM_HC,_xlpm.c,_xlfn.XMATCH($A15,_xlfn.TAKE(_xlpm.h,1)),(B15-INDEX(_xlpm.h,ROWS(_xlpm.h)-4,_xlpm.c))*100)</f>
      </c>
      <c r="F15" s="44" cm="1">
        <f t="array" aca="1" ref="F15" ca="1">_xlfn.LET(_xlpm.h,FWM_HC,_xlpm.c,_xlfn.XMATCH($A15,_xlfn.TAKE(_xlpm.h,1)),(B15-INDEX(_xlpm.h,ROWS(_xlpm.h)-20,_xlpm.c))*100)</f>
      </c>
      <c r="G15" s="44" cm="1">
        <f t="array" aca="1" ref="G15" ca="1">_xlfn.LET(_xlpm.h,FWM_HC,_xlpm.c,_xlfn.XMATCH($A15,_xlfn.TAKE(_xlpm.h,1)),(B15-_xlfn.XLOOKUP(FWM_Cmp,_xlfn.DROP(INDEX(_xlpm.h,,1),1),_xlfn.DROP(INDEX(_xlpm.h,,_xlpm.c),1),"",-1))*100)</f>
      </c>
      <c r="H15" s="11" cm="1">
        <f t="array" ref="H15">_xlfn.LET(_xlpm.h,FWM_HC,FWM_Sigma(_xlfn.DROP(INDEX(_xlpm.h,,_xlfn.XMATCH($A15&amp;" dF",_xlfn.TAKE(_xlpm.h,1))),1)))</f>
      </c>
      <c r="I15" s="45">
        <f t="shared" ca="1" si="1"/>
      </c>
      <c r="J15" s="45">
        <f t="shared" ca="1" si="2"/>
      </c>
      <c r="K15" s="44">
        <f ca="1">IF(ISNUMBER(B14),(B15-B14)*100,"")</f>
      </c>
      <c r="AA15">
        <f ca="1"/>
      </c>
      <c r="AB15">
        <f ca="1"/>
      </c>
      <c r="AC15">
        <f ca="1"/>
      </c>
      <c r="AD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L15" t="s">
        <v>11</v>
      </c>
      <c r="AM15">
        <v>1</v>
      </c>
      <c r="GC15">
        <f>VALUE(_xlfn.TEXTBEFORE($A$23,"y"))</f>
      </c>
      <c r="GD15">
        <f ca="1">$B$23</f>
      </c>
      <c r="GE15">
        <f ca="1">IFERROR($B$23-$G$23/100,NA())</f>
      </c>
      <c r="GF15">
        <f ca="1">$G$23</f>
      </c>
      <c r="GM15" s="7"/>
      <c r="GN15">
        <f ca="1"/>
      </c>
      <c r="GO15">
        <f ca="1"/>
      </c>
      <c r="GP15">
        <f ca="1"/>
      </c>
      <c r="GQ15">
        <f ca="1"/>
      </c>
      <c r="GT15">
        <f ca="1"/>
      </c>
    </row>
    <row r="16" spans="1:202" x14ac:dyDescent="0.55000000000000004">
      <c r="A16" t="s">
        <v>286</v>
      </c>
      <c r="B16" s="13" cm="1">
        <f t="array" aca="1" ref="B16" ca="1">_xlfn.XLOOKUP($A16,_xlfn.ANCHORARRAY($GS$4),_xlfn.ANCHORARRAY($GT$4),"")</f>
      </c>
      <c r="C16" s="13" cm="1">
        <f t="array" ref="C16">_xlfn.LET(_xlpm.h,FWM_HC,_xlpm.c,_xlfn.XMATCH($A16,_xlfn.TAKE(_xlpm.h,1)),INDEX(_xlpm.h,ROWS(_xlpm.h),_xlpm.c))</f>
      </c>
      <c r="D16" s="44">
        <f t="shared" ca="1" si="0"/>
      </c>
      <c r="E16" s="44" cm="1">
        <f t="array" aca="1" ref="E16" ca="1">_xlfn.LET(_xlpm.h,FWM_HC,_xlpm.c,_xlfn.XMATCH($A16,_xlfn.TAKE(_xlpm.h,1)),(B16-INDEX(_xlpm.h,ROWS(_xlpm.h)-4,_xlpm.c))*100)</f>
      </c>
      <c r="F16" s="44" cm="1">
        <f t="array" aca="1" ref="F16" ca="1">_xlfn.LET(_xlpm.h,FWM_HC,_xlpm.c,_xlfn.XMATCH($A16,_xlfn.TAKE(_xlpm.h,1)),(B16-INDEX(_xlpm.h,ROWS(_xlpm.h)-20,_xlpm.c))*100)</f>
      </c>
      <c r="G16" s="44" cm="1">
        <f t="array" aca="1" ref="G16" ca="1">_xlfn.LET(_xlpm.h,FWM_HC,_xlpm.c,_xlfn.XMATCH($A16,_xlfn.TAKE(_xlpm.h,1)),(B16-_xlfn.XLOOKUP(FWM_Cmp,_xlfn.DROP(INDEX(_xlpm.h,,1),1),_xlfn.DROP(INDEX(_xlpm.h,,_xlpm.c),1),"",-1))*100)</f>
      </c>
      <c r="H16" s="11" cm="1">
        <f t="array" ref="H16">_xlfn.LET(_xlpm.h,FWM_HC,FWM_Sigma(_xlfn.DROP(INDEX(_xlpm.h,,_xlfn.XMATCH($A16&amp;" dF",_xlfn.TAKE(_xlpm.h,1))),1)))</f>
      </c>
      <c r="I16" s="45">
        <f t="shared" ca="1" si="1"/>
      </c>
      <c r="J16" s="45">
        <f t="shared" ca="1" si="2"/>
      </c>
      <c r="K16" s="44">
        <f ca="1">IF(ISNUMBER(B15),(B16-B15)*100,"")</f>
      </c>
      <c r="AA16">
        <f ca="1"/>
      </c>
      <c r="AB16">
        <f ca="1"/>
      </c>
      <c r="AC16">
        <f ca="1"/>
      </c>
      <c r="AD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L16" t="s">
        <v>12</v>
      </c>
      <c r="AM16">
        <v>1</v>
      </c>
      <c r="GC16">
        <f>VALUE(_xlfn.TEXTBEFORE($A$24,"y"))</f>
      </c>
      <c r="GD16">
        <f ca="1">$B$24</f>
      </c>
      <c r="GE16">
        <f ca="1">IFERROR($B$24-$G$24/100,NA())</f>
      </c>
      <c r="GF16">
        <f ca="1">$G$24</f>
      </c>
      <c r="GM16" s="7"/>
      <c r="GN16">
        <f ca="1"/>
      </c>
      <c r="GO16">
        <f ca="1"/>
      </c>
      <c r="GP16">
        <f ca="1"/>
      </c>
      <c r="GQ16">
        <f ca="1"/>
      </c>
      <c r="GT16">
        <f ca="1"/>
      </c>
    </row>
    <row r="17" spans="1:202" x14ac:dyDescent="0.55000000000000004">
      <c r="A17" t="s">
        <v>287</v>
      </c>
      <c r="B17" s="13" cm="1">
        <f t="array" aca="1" ref="B17" ca="1">_xlfn.XLOOKUP($A17,_xlfn.ANCHORARRAY($GS$4),_xlfn.ANCHORARRAY($GT$4),"")</f>
      </c>
      <c r="C17" s="13" cm="1">
        <f t="array" ref="C17">_xlfn.LET(_xlpm.h,FWM_HC,_xlpm.c,_xlfn.XMATCH($A17,_xlfn.TAKE(_xlpm.h,1)),INDEX(_xlpm.h,ROWS(_xlpm.h),_xlpm.c))</f>
      </c>
      <c r="D17" s="44">
        <f t="shared" ca="1" si="0"/>
      </c>
      <c r="E17" s="44" cm="1">
        <f t="array" aca="1" ref="E17" ca="1">_xlfn.LET(_xlpm.h,FWM_HC,_xlpm.c,_xlfn.XMATCH($A17,_xlfn.TAKE(_xlpm.h,1)),(B17-INDEX(_xlpm.h,ROWS(_xlpm.h)-4,_xlpm.c))*100)</f>
      </c>
      <c r="F17" s="44" cm="1">
        <f t="array" aca="1" ref="F17" ca="1">_xlfn.LET(_xlpm.h,FWM_HC,_xlpm.c,_xlfn.XMATCH($A17,_xlfn.TAKE(_xlpm.h,1)),(B17-INDEX(_xlpm.h,ROWS(_xlpm.h)-20,_xlpm.c))*100)</f>
      </c>
      <c r="G17" s="44" cm="1">
        <f t="array" aca="1" ref="G17" ca="1">_xlfn.LET(_xlpm.h,FWM_HC,_xlpm.c,_xlfn.XMATCH($A17,_xlfn.TAKE(_xlpm.h,1)),(B17-_xlfn.XLOOKUP(FWM_Cmp,_xlfn.DROP(INDEX(_xlpm.h,,1),1),_xlfn.DROP(INDEX(_xlpm.h,,_xlpm.c),1),"",-1))*100)</f>
      </c>
      <c r="H17" s="11" cm="1">
        <f t="array" ref="H17">_xlfn.LET(_xlpm.h,FWM_HC,FWM_Sigma(_xlfn.DROP(INDEX(_xlpm.h,,_xlfn.XMATCH($A17&amp;" dF",_xlfn.TAKE(_xlpm.h,1))),1)))</f>
      </c>
      <c r="I17" s="45">
        <f t="shared" ca="1" si="1"/>
      </c>
      <c r="J17" s="45">
        <f t="shared" ca="1" si="2"/>
      </c>
      <c r="K17" s="44">
        <f ca="1">IF(ISNUMBER(B16),(B17-B16)*100,"")</f>
      </c>
      <c r="AA17">
        <f ca="1"/>
      </c>
      <c r="AB17">
        <f ca="1"/>
      </c>
      <c r="AC17">
        <f ca="1"/>
      </c>
      <c r="AD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L17" t="s">
        <v>41</v>
      </c>
      <c r="AM17">
        <v>1</v>
      </c>
      <c r="GC17">
        <f>VALUE(_xlfn.TEXTBEFORE($A$25,"y"))</f>
      </c>
      <c r="GD17">
        <f ca="1">$B$25</f>
      </c>
      <c r="GE17">
        <f ca="1">IFERROR($B$25-$G$25/100,NA())</f>
      </c>
      <c r="GF17">
        <f ca="1">$G$25</f>
      </c>
      <c r="GM17" s="7"/>
      <c r="GN17">
        <f ca="1"/>
      </c>
      <c r="GO17">
        <f ca="1"/>
      </c>
      <c r="GP17">
        <f ca="1"/>
      </c>
      <c r="GQ17">
        <f ca="1"/>
      </c>
      <c r="GT17">
        <f ca="1"/>
      </c>
    </row>
    <row r="18" spans="1:202" x14ac:dyDescent="0.55000000000000004">
      <c r="A18" t="s">
        <v>288</v>
      </c>
      <c r="B18" s="13" cm="1">
        <f t="array" aca="1" ref="B18" ca="1">_xlfn.XLOOKUP($A18,_xlfn.ANCHORARRAY($GS$4),_xlfn.ANCHORARRAY($GT$4),"")</f>
      </c>
      <c r="C18" s="13" cm="1">
        <f t="array" ref="C18">_xlfn.LET(_xlpm.h,FWM_HC,_xlpm.c,_xlfn.XMATCH($A18,_xlfn.TAKE(_xlpm.h,1)),INDEX(_xlpm.h,ROWS(_xlpm.h),_xlpm.c))</f>
      </c>
      <c r="D18" s="44">
        <f t="shared" ca="1" si="0"/>
      </c>
      <c r="E18" s="44" cm="1">
        <f t="array" aca="1" ref="E18" ca="1">_xlfn.LET(_xlpm.h,FWM_HC,_xlpm.c,_xlfn.XMATCH($A18,_xlfn.TAKE(_xlpm.h,1)),(B18-INDEX(_xlpm.h,ROWS(_xlpm.h)-4,_xlpm.c))*100)</f>
      </c>
      <c r="F18" s="44" cm="1">
        <f t="array" aca="1" ref="F18" ca="1">_xlfn.LET(_xlpm.h,FWM_HC,_xlpm.c,_xlfn.XMATCH($A18,_xlfn.TAKE(_xlpm.h,1)),(B18-INDEX(_xlpm.h,ROWS(_xlpm.h)-20,_xlpm.c))*100)</f>
      </c>
      <c r="G18" s="44" cm="1">
        <f t="array" aca="1" ref="G18" ca="1">_xlfn.LET(_xlpm.h,FWM_HC,_xlpm.c,_xlfn.XMATCH($A18,_xlfn.TAKE(_xlpm.h,1)),(B18-_xlfn.XLOOKUP(FWM_Cmp,_xlfn.DROP(INDEX(_xlpm.h,,1),1),_xlfn.DROP(INDEX(_xlpm.h,,_xlpm.c),1),"",-1))*100)</f>
      </c>
      <c r="H18" s="11" cm="1">
        <f t="array" ref="H18">_xlfn.LET(_xlpm.h,FWM_HC,FWM_Sigma(_xlfn.DROP(INDEX(_xlpm.h,,_xlfn.XMATCH($A18&amp;" dF",_xlfn.TAKE(_xlpm.h,1))),1)))</f>
      </c>
      <c r="I18" s="45">
        <f t="shared" ca="1" si="1"/>
      </c>
      <c r="J18" s="45">
        <f t="shared" ca="1" si="2"/>
      </c>
      <c r="K18" s="44">
        <f ca="1">IF(ISNUMBER(B17),(B18-B17)*100,"")</f>
      </c>
      <c r="AA18">
        <f ca="1"/>
      </c>
      <c r="AB18">
        <f ca="1"/>
      </c>
      <c r="AC18">
        <f ca="1"/>
      </c>
      <c r="AD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L18" t="s">
        <v>13</v>
      </c>
      <c r="AM18">
        <v>1</v>
      </c>
      <c r="GC18">
        <f>VALUE(_xlfn.TEXTBEFORE($A$26,"y"))</f>
      </c>
      <c r="GD18">
        <f ca="1">$B$26</f>
      </c>
      <c r="GE18">
        <f ca="1">IFERROR($B$26-$G$26/100,NA())</f>
      </c>
      <c r="GF18">
        <f ca="1">$G$26</f>
      </c>
      <c r="GM18" s="7"/>
      <c r="GN18">
        <f ca="1"/>
      </c>
      <c r="GO18">
        <f ca="1"/>
      </c>
      <c r="GP18">
        <f ca="1"/>
      </c>
      <c r="GQ18">
        <f ca="1"/>
      </c>
      <c r="GT18">
        <f ca="1"/>
      </c>
    </row>
    <row r="19" spans="1:202" x14ac:dyDescent="0.55000000000000004">
      <c r="A19" t="s">
        <v>289</v>
      </c>
      <c r="B19" s="13" cm="1">
        <f t="array" aca="1" ref="B19" ca="1">_xlfn.XLOOKUP($A19,_xlfn.ANCHORARRAY($GS$4),_xlfn.ANCHORARRAY($GT$4),"")</f>
      </c>
      <c r="C19" s="13" cm="1">
        <f t="array" ref="C19">_xlfn.LET(_xlpm.h,FWM_HC,_xlpm.c,_xlfn.XMATCH($A19,_xlfn.TAKE(_xlpm.h,1)),INDEX(_xlpm.h,ROWS(_xlpm.h),_xlpm.c))</f>
      </c>
      <c r="D19" s="44">
        <f t="shared" ca="1" si="0"/>
      </c>
      <c r="E19" s="44" cm="1">
        <f t="array" aca="1" ref="E19" ca="1">_xlfn.LET(_xlpm.h,FWM_HC,_xlpm.c,_xlfn.XMATCH($A19,_xlfn.TAKE(_xlpm.h,1)),(B19-INDEX(_xlpm.h,ROWS(_xlpm.h)-4,_xlpm.c))*100)</f>
      </c>
      <c r="F19" s="44" cm="1">
        <f t="array" aca="1" ref="F19" ca="1">_xlfn.LET(_xlpm.h,FWM_HC,_xlpm.c,_xlfn.XMATCH($A19,_xlfn.TAKE(_xlpm.h,1)),(B19-INDEX(_xlpm.h,ROWS(_xlpm.h)-20,_xlpm.c))*100)</f>
      </c>
      <c r="G19" s="44" cm="1">
        <f t="array" aca="1" ref="G19" ca="1">_xlfn.LET(_xlpm.h,FWM_HC,_xlpm.c,_xlfn.XMATCH($A19,_xlfn.TAKE(_xlpm.h,1)),(B19-_xlfn.XLOOKUP(FWM_Cmp,_xlfn.DROP(INDEX(_xlpm.h,,1),1),_xlfn.DROP(INDEX(_xlpm.h,,_xlpm.c),1),"",-1))*100)</f>
      </c>
      <c r="H19" s="11" cm="1">
        <f t="array" ref="H19">_xlfn.LET(_xlpm.h,FWM_HC,FWM_Sigma(_xlfn.DROP(INDEX(_xlpm.h,,_xlfn.XMATCH($A19&amp;" dF",_xlfn.TAKE(_xlpm.h,1))),1)))</f>
      </c>
      <c r="I19" s="45">
        <f t="shared" ca="1" si="1"/>
      </c>
      <c r="J19" s="45">
        <f t="shared" ca="1" si="2"/>
      </c>
      <c r="K19" s="44">
        <f ca="1">IF(ISNUMBER(B18),(B19-B18)*100,"")</f>
      </c>
      <c r="AA19">
        <f ca="1"/>
      </c>
      <c r="AB19">
        <f ca="1"/>
      </c>
      <c r="AC19">
        <f ca="1"/>
      </c>
      <c r="AD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L19" t="s">
        <v>14</v>
      </c>
      <c r="AM19">
        <v>1</v>
      </c>
      <c r="GC19">
        <f>VALUE(_xlfn.TEXTBEFORE($A$27,"y"))</f>
      </c>
      <c r="GD19">
        <f ca="1">$B$27</f>
      </c>
      <c r="GE19">
        <f ca="1">IFERROR($B$27-$G$27/100,NA())</f>
      </c>
      <c r="GF19">
        <f ca="1">$G$27</f>
      </c>
      <c r="GM19" s="7"/>
      <c r="GN19">
        <f ca="1"/>
      </c>
      <c r="GO19">
        <f ca="1"/>
      </c>
      <c r="GP19">
        <f ca="1"/>
      </c>
      <c r="GQ19">
        <f ca="1"/>
      </c>
      <c r="GT19">
        <f ca="1"/>
      </c>
    </row>
    <row r="20" spans="1:202" x14ac:dyDescent="0.55000000000000004">
      <c r="A20" t="s">
        <v>290</v>
      </c>
      <c r="B20" s="13" cm="1">
        <f t="array" aca="1" ref="B20" ca="1">_xlfn.XLOOKUP($A20,_xlfn.ANCHORARRAY($GS$4),_xlfn.ANCHORARRAY($GT$4),"")</f>
      </c>
      <c r="C20" s="13" cm="1">
        <f t="array" ref="C20">_xlfn.LET(_xlpm.h,FWM_HC,_xlpm.c,_xlfn.XMATCH($A20,_xlfn.TAKE(_xlpm.h,1)),INDEX(_xlpm.h,ROWS(_xlpm.h),_xlpm.c))</f>
      </c>
      <c r="D20" s="44">
        <f t="shared" ca="1" si="0"/>
      </c>
      <c r="E20" s="44" cm="1">
        <f t="array" aca="1" ref="E20" ca="1">_xlfn.LET(_xlpm.h,FWM_HC,_xlpm.c,_xlfn.XMATCH($A20,_xlfn.TAKE(_xlpm.h,1)),(B20-INDEX(_xlpm.h,ROWS(_xlpm.h)-4,_xlpm.c))*100)</f>
      </c>
      <c r="F20" s="44" cm="1">
        <f t="array" aca="1" ref="F20" ca="1">_xlfn.LET(_xlpm.h,FWM_HC,_xlpm.c,_xlfn.XMATCH($A20,_xlfn.TAKE(_xlpm.h,1)),(B20-INDEX(_xlpm.h,ROWS(_xlpm.h)-20,_xlpm.c))*100)</f>
      </c>
      <c r="G20" s="44" cm="1">
        <f t="array" aca="1" ref="G20" ca="1">_xlfn.LET(_xlpm.h,FWM_HC,_xlpm.c,_xlfn.XMATCH($A20,_xlfn.TAKE(_xlpm.h,1)),(B20-_xlfn.XLOOKUP(FWM_Cmp,_xlfn.DROP(INDEX(_xlpm.h,,1),1),_xlfn.DROP(INDEX(_xlpm.h,,_xlpm.c),1),"",-1))*100)</f>
      </c>
      <c r="H20" s="11" cm="1">
        <f t="array" ref="H20">_xlfn.LET(_xlpm.h,FWM_HC,FWM_Sigma(_xlfn.DROP(INDEX(_xlpm.h,,_xlfn.XMATCH($A20&amp;" dF",_xlfn.TAKE(_xlpm.h,1))),1)))</f>
      </c>
      <c r="I20" s="45">
        <f t="shared" ca="1" si="1"/>
      </c>
      <c r="J20" s="45">
        <f t="shared" ca="1" si="2"/>
      </c>
      <c r="K20" s="44">
        <f ca="1">IF(ISNUMBER(B19),(B20-B19)*100,"")</f>
      </c>
      <c r="AA20">
        <f ca="1"/>
      </c>
      <c r="AB20">
        <f ca="1"/>
      </c>
      <c r="AC20">
        <f ca="1"/>
      </c>
      <c r="AD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L20" t="s">
        <v>15</v>
      </c>
      <c r="AM20">
        <v>1</v>
      </c>
      <c r="GM20" s="7"/>
      <c r="GN20">
        <f ca="1"/>
      </c>
      <c r="GO20">
        <f ca="1"/>
      </c>
      <c r="GP20">
        <f ca="1"/>
      </c>
      <c r="GQ20">
        <f ca="1"/>
      </c>
      <c r="GT20">
        <f ca="1"/>
      </c>
    </row>
    <row r="21" spans="1:202" x14ac:dyDescent="0.55000000000000004">
      <c r="A21" t="s">
        <v>291</v>
      </c>
      <c r="B21" s="13" cm="1">
        <f t="array" aca="1" ref="B21" ca="1">_xlfn.XLOOKUP($A21,_xlfn.ANCHORARRAY($GS$4),_xlfn.ANCHORARRAY($GT$4),"")</f>
      </c>
      <c r="C21" s="13" cm="1">
        <f t="array" ref="C21">_xlfn.LET(_xlpm.h,FWM_HC,_xlpm.c,_xlfn.XMATCH($A21,_xlfn.TAKE(_xlpm.h,1)),INDEX(_xlpm.h,ROWS(_xlpm.h),_xlpm.c))</f>
      </c>
      <c r="D21" s="44">
        <f t="shared" ca="1" si="0"/>
      </c>
      <c r="E21" s="44" cm="1">
        <f t="array" aca="1" ref="E21" ca="1">_xlfn.LET(_xlpm.h,FWM_HC,_xlpm.c,_xlfn.XMATCH($A21,_xlfn.TAKE(_xlpm.h,1)),(B21-INDEX(_xlpm.h,ROWS(_xlpm.h)-4,_xlpm.c))*100)</f>
      </c>
      <c r="F21" s="44" cm="1">
        <f t="array" aca="1" ref="F21" ca="1">_xlfn.LET(_xlpm.h,FWM_HC,_xlpm.c,_xlfn.XMATCH($A21,_xlfn.TAKE(_xlpm.h,1)),(B21-INDEX(_xlpm.h,ROWS(_xlpm.h)-20,_xlpm.c))*100)</f>
      </c>
      <c r="G21" s="44" cm="1">
        <f t="array" aca="1" ref="G21" ca="1">_xlfn.LET(_xlpm.h,FWM_HC,_xlpm.c,_xlfn.XMATCH($A21,_xlfn.TAKE(_xlpm.h,1)),(B21-_xlfn.XLOOKUP(FWM_Cmp,_xlfn.DROP(INDEX(_xlpm.h,,1),1),_xlfn.DROP(INDEX(_xlpm.h,,_xlpm.c),1),"",-1))*100)</f>
      </c>
      <c r="H21" s="11" cm="1">
        <f t="array" ref="H21">_xlfn.LET(_xlpm.h,FWM_HC,FWM_Sigma(_xlfn.DROP(INDEX(_xlpm.h,,_xlfn.XMATCH($A21&amp;" dF",_xlfn.TAKE(_xlpm.h,1))),1)))</f>
      </c>
      <c r="I21" s="45">
        <f t="shared" ca="1" si="1"/>
      </c>
      <c r="J21" s="45">
        <f t="shared" ca="1" si="2"/>
      </c>
      <c r="K21" s="44">
        <f ca="1">IF(ISNUMBER(B20),(B21-B20)*100,"")</f>
      </c>
      <c r="AA21">
        <f ca="1"/>
      </c>
      <c r="AB21">
        <f ca="1"/>
      </c>
      <c r="AC21">
        <f ca="1"/>
      </c>
      <c r="AD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L21" t="s">
        <v>16</v>
      </c>
      <c r="AM21">
        <v>1</v>
      </c>
      <c r="GM21" s="7"/>
      <c r="GN21">
        <f ca="1"/>
      </c>
      <c r="GO21">
        <f ca="1"/>
      </c>
      <c r="GP21">
        <f ca="1"/>
      </c>
      <c r="GQ21">
        <f ca="1"/>
      </c>
      <c r="GT21">
        <f ca="1"/>
      </c>
    </row>
    <row r="22" spans="1:202" x14ac:dyDescent="0.55000000000000004">
      <c r="A22" t="s">
        <v>292</v>
      </c>
      <c r="B22" s="13" cm="1">
        <f t="array" aca="1" ref="B22" ca="1">_xlfn.XLOOKUP($A22,_xlfn.ANCHORARRAY($GS$4),_xlfn.ANCHORARRAY($GT$4),"")</f>
      </c>
      <c r="C22" s="13" cm="1">
        <f t="array" ref="C22">_xlfn.LET(_xlpm.h,FWM_HC,_xlpm.c,_xlfn.XMATCH($A22,_xlfn.TAKE(_xlpm.h,1)),INDEX(_xlpm.h,ROWS(_xlpm.h),_xlpm.c))</f>
      </c>
      <c r="D22" s="44">
        <f t="shared" ca="1" si="0"/>
      </c>
      <c r="E22" s="44" cm="1">
        <f t="array" aca="1" ref="E22" ca="1">_xlfn.LET(_xlpm.h,FWM_HC,_xlpm.c,_xlfn.XMATCH($A22,_xlfn.TAKE(_xlpm.h,1)),(B22-INDEX(_xlpm.h,ROWS(_xlpm.h)-4,_xlpm.c))*100)</f>
      </c>
      <c r="F22" s="44" cm="1">
        <f t="array" aca="1" ref="F22" ca="1">_xlfn.LET(_xlpm.h,FWM_HC,_xlpm.c,_xlfn.XMATCH($A22,_xlfn.TAKE(_xlpm.h,1)),(B22-INDEX(_xlpm.h,ROWS(_xlpm.h)-20,_xlpm.c))*100)</f>
      </c>
      <c r="G22" s="44" cm="1">
        <f t="array" aca="1" ref="G22" ca="1">_xlfn.LET(_xlpm.h,FWM_HC,_xlpm.c,_xlfn.XMATCH($A22,_xlfn.TAKE(_xlpm.h,1)),(B22-_xlfn.XLOOKUP(FWM_Cmp,_xlfn.DROP(INDEX(_xlpm.h,,1),1),_xlfn.DROP(INDEX(_xlpm.h,,_xlpm.c),1),"",-1))*100)</f>
      </c>
      <c r="H22" s="11" cm="1">
        <f t="array" ref="H22">_xlfn.LET(_xlpm.h,FWM_HC,FWM_Sigma(_xlfn.DROP(INDEX(_xlpm.h,,_xlfn.XMATCH($A22&amp;" dF",_xlfn.TAKE(_xlpm.h,1))),1)))</f>
      </c>
      <c r="I22" s="45">
        <f t="shared" ca="1" si="1"/>
      </c>
      <c r="J22" s="45">
        <f t="shared" ca="1" si="2"/>
      </c>
      <c r="K22" s="44">
        <f ca="1">IF(ISNUMBER(B21),(B22-B21)*100,"")</f>
      </c>
      <c r="AA22">
        <f ca="1"/>
      </c>
      <c r="AB22">
        <f ca="1"/>
      </c>
      <c r="AC22">
        <f ca="1"/>
      </c>
      <c r="AD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L22" t="s">
        <v>17</v>
      </c>
      <c r="AM22">
        <v>1</v>
      </c>
      <c r="GM22" s="7"/>
      <c r="GN22">
        <f ca="1"/>
      </c>
      <c r="GO22">
        <f ca="1"/>
      </c>
      <c r="GP22">
        <f ca="1"/>
      </c>
      <c r="GQ22">
        <f ca="1"/>
      </c>
      <c r="GT22">
        <f ca="1"/>
      </c>
    </row>
    <row r="23" spans="1:202" x14ac:dyDescent="0.55000000000000004">
      <c r="A23" t="s">
        <v>293</v>
      </c>
      <c r="B23" s="13" cm="1">
        <f t="array" aca="1" ref="B23" ca="1">_xlfn.XLOOKUP($A23,_xlfn.ANCHORARRAY($GS$4),_xlfn.ANCHORARRAY($GT$4),"")</f>
      </c>
      <c r="C23" s="13" cm="1">
        <f t="array" ref="C23">_xlfn.LET(_xlpm.h,FWM_HC,_xlpm.c,_xlfn.XMATCH($A23,_xlfn.TAKE(_xlpm.h,1)),INDEX(_xlpm.h,ROWS(_xlpm.h),_xlpm.c))</f>
      </c>
      <c r="D23" s="44">
        <f t="shared" ca="1" si="0"/>
      </c>
      <c r="E23" s="44" cm="1">
        <f t="array" aca="1" ref="E23" ca="1">_xlfn.LET(_xlpm.h,FWM_HC,_xlpm.c,_xlfn.XMATCH($A23,_xlfn.TAKE(_xlpm.h,1)),(B23-INDEX(_xlpm.h,ROWS(_xlpm.h)-4,_xlpm.c))*100)</f>
      </c>
      <c r="F23" s="44" cm="1">
        <f t="array" aca="1" ref="F23" ca="1">_xlfn.LET(_xlpm.h,FWM_HC,_xlpm.c,_xlfn.XMATCH($A23,_xlfn.TAKE(_xlpm.h,1)),(B23-INDEX(_xlpm.h,ROWS(_xlpm.h)-20,_xlpm.c))*100)</f>
      </c>
      <c r="G23" s="44" cm="1">
        <f t="array" aca="1" ref="G23" ca="1">_xlfn.LET(_xlpm.h,FWM_HC,_xlpm.c,_xlfn.XMATCH($A23,_xlfn.TAKE(_xlpm.h,1)),(B23-_xlfn.XLOOKUP(FWM_Cmp,_xlfn.DROP(INDEX(_xlpm.h,,1),1),_xlfn.DROP(INDEX(_xlpm.h,,_xlpm.c),1),"",-1))*100)</f>
      </c>
      <c r="H23" s="11" cm="1">
        <f t="array" ref="H23">_xlfn.LET(_xlpm.h,FWM_HC,FWM_Sigma(_xlfn.DROP(INDEX(_xlpm.h,,_xlfn.XMATCH($A23&amp;" dF",_xlfn.TAKE(_xlpm.h,1))),1)))</f>
      </c>
      <c r="I23" s="45">
        <f t="shared" ca="1" si="1"/>
      </c>
      <c r="J23" s="45">
        <f t="shared" ca="1" si="2"/>
      </c>
      <c r="K23" s="44">
        <f ca="1">IF(ISNUMBER(B22),(B23-B22)*100,"")</f>
      </c>
      <c r="AA23">
        <f ca="1"/>
      </c>
      <c r="AB23">
        <f ca="1"/>
      </c>
      <c r="AC23">
        <f ca="1"/>
      </c>
      <c r="AD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L23" t="s">
        <v>18</v>
      </c>
      <c r="AM23">
        <v>1</v>
      </c>
      <c r="GM23" s="7"/>
      <c r="GN23">
        <f ca="1"/>
      </c>
      <c r="GO23">
        <f ca="1"/>
      </c>
      <c r="GP23">
        <f ca="1"/>
      </c>
      <c r="GQ23">
        <f ca="1"/>
      </c>
      <c r="GT23">
        <f ca="1"/>
      </c>
    </row>
    <row r="24" spans="1:202" x14ac:dyDescent="0.55000000000000004">
      <c r="A24" t="s">
        <v>294</v>
      </c>
      <c r="B24" s="13" cm="1">
        <f t="array" aca="1" ref="B24" ca="1">_xlfn.XLOOKUP($A24,_xlfn.ANCHORARRAY($GS$4),_xlfn.ANCHORARRAY($GT$4),"")</f>
      </c>
      <c r="C24" s="13" cm="1">
        <f t="array" ref="C24">_xlfn.LET(_xlpm.h,FWM_HC,_xlpm.c,_xlfn.XMATCH($A24,_xlfn.TAKE(_xlpm.h,1)),INDEX(_xlpm.h,ROWS(_xlpm.h),_xlpm.c))</f>
      </c>
      <c r="D24" s="44">
        <f t="shared" ca="1" si="0"/>
      </c>
      <c r="E24" s="44" cm="1">
        <f t="array" aca="1" ref="E24" ca="1">_xlfn.LET(_xlpm.h,FWM_HC,_xlpm.c,_xlfn.XMATCH($A24,_xlfn.TAKE(_xlpm.h,1)),(B24-INDEX(_xlpm.h,ROWS(_xlpm.h)-4,_xlpm.c))*100)</f>
      </c>
      <c r="F24" s="44" cm="1">
        <f t="array" aca="1" ref="F24" ca="1">_xlfn.LET(_xlpm.h,FWM_HC,_xlpm.c,_xlfn.XMATCH($A24,_xlfn.TAKE(_xlpm.h,1)),(B24-INDEX(_xlpm.h,ROWS(_xlpm.h)-20,_xlpm.c))*100)</f>
      </c>
      <c r="G24" s="44" cm="1">
        <f t="array" aca="1" ref="G24" ca="1">_xlfn.LET(_xlpm.h,FWM_HC,_xlpm.c,_xlfn.XMATCH($A24,_xlfn.TAKE(_xlpm.h,1)),(B24-_xlfn.XLOOKUP(FWM_Cmp,_xlfn.DROP(INDEX(_xlpm.h,,1),1),_xlfn.DROP(INDEX(_xlpm.h,,_xlpm.c),1),"",-1))*100)</f>
      </c>
      <c r="H24" s="11" cm="1">
        <f t="array" ref="H24">_xlfn.LET(_xlpm.h,FWM_HC,FWM_Sigma(_xlfn.DROP(INDEX(_xlpm.h,,_xlfn.XMATCH($A24&amp;" dF",_xlfn.TAKE(_xlpm.h,1))),1)))</f>
      </c>
      <c r="I24" s="45">
        <f t="shared" ca="1" si="1"/>
      </c>
      <c r="J24" s="45">
        <f t="shared" ca="1" si="2"/>
      </c>
      <c r="K24" s="44">
        <f ca="1">IF(ISNUMBER(B23),(B24-B23)*100,"")</f>
      </c>
      <c r="AA24">
        <f ca="1"/>
      </c>
      <c r="AB24">
        <f ca="1"/>
      </c>
      <c r="AC24">
        <f ca="1"/>
      </c>
      <c r="AD24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L24" t="s">
        <v>19</v>
      </c>
      <c r="AM24">
        <v>1</v>
      </c>
      <c r="GM24" s="7"/>
      <c r="GN24">
        <f ca="1"/>
      </c>
      <c r="GO24">
        <f ca="1"/>
      </c>
      <c r="GP24">
        <f ca="1"/>
      </c>
      <c r="GQ24">
        <f ca="1"/>
      </c>
      <c r="GT24">
        <f ca="1"/>
      </c>
    </row>
    <row r="25" spans="1:202" x14ac:dyDescent="0.55000000000000004">
      <c r="A25" t="s">
        <v>295</v>
      </c>
      <c r="B25" s="13" cm="1">
        <f t="array" aca="1" ref="B25" ca="1">_xlfn.XLOOKUP($A25,_xlfn.ANCHORARRAY($GS$4),_xlfn.ANCHORARRAY($GT$4),"")</f>
      </c>
      <c r="C25" s="13" cm="1">
        <f t="array" ref="C25">_xlfn.LET(_xlpm.h,FWM_HC,_xlpm.c,_xlfn.XMATCH($A25,_xlfn.TAKE(_xlpm.h,1)),INDEX(_xlpm.h,ROWS(_xlpm.h),_xlpm.c))</f>
      </c>
      <c r="D25" s="44">
        <f t="shared" ca="1" si="0"/>
      </c>
      <c r="E25" s="44" cm="1">
        <f t="array" aca="1" ref="E25" ca="1">_xlfn.LET(_xlpm.h,FWM_HC,_xlpm.c,_xlfn.XMATCH($A25,_xlfn.TAKE(_xlpm.h,1)),(B25-INDEX(_xlpm.h,ROWS(_xlpm.h)-4,_xlpm.c))*100)</f>
      </c>
      <c r="F25" s="44" cm="1">
        <f t="array" aca="1" ref="F25" ca="1">_xlfn.LET(_xlpm.h,FWM_HC,_xlpm.c,_xlfn.XMATCH($A25,_xlfn.TAKE(_xlpm.h,1)),(B25-INDEX(_xlpm.h,ROWS(_xlpm.h)-20,_xlpm.c))*100)</f>
      </c>
      <c r="G25" s="44" cm="1">
        <f t="array" aca="1" ref="G25" ca="1">_xlfn.LET(_xlpm.h,FWM_HC,_xlpm.c,_xlfn.XMATCH($A25,_xlfn.TAKE(_xlpm.h,1)),(B25-_xlfn.XLOOKUP(FWM_Cmp,_xlfn.DROP(INDEX(_xlpm.h,,1),1),_xlfn.DROP(INDEX(_xlpm.h,,_xlpm.c),1),"",-1))*100)</f>
      </c>
      <c r="H25" s="11" cm="1">
        <f t="array" ref="H25">_xlfn.LET(_xlpm.h,FWM_HC,FWM_Sigma(_xlfn.DROP(INDEX(_xlpm.h,,_xlfn.XMATCH($A25&amp;" dF",_xlfn.TAKE(_xlpm.h,1))),1)))</f>
      </c>
      <c r="I25" s="45">
        <f t="shared" ca="1" si="1"/>
      </c>
      <c r="J25" s="45">
        <f t="shared" ca="1" si="2"/>
      </c>
      <c r="K25" s="44">
        <f ca="1">IF(ISNUMBER(B24),(B25-B24)*100,"")</f>
      </c>
      <c r="AA25">
        <f ca="1"/>
      </c>
      <c r="AB25">
        <f ca="1"/>
      </c>
      <c r="AC25">
        <f ca="1"/>
      </c>
      <c r="AD25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L25" t="s">
        <v>20</v>
      </c>
      <c r="AM25">
        <v>1</v>
      </c>
      <c r="GM25" s="7"/>
      <c r="GN25">
        <f ca="1"/>
      </c>
      <c r="GO25">
        <f ca="1"/>
      </c>
      <c r="GP25">
        <f ca="1"/>
      </c>
      <c r="GQ25">
        <f ca="1"/>
      </c>
      <c r="GT25">
        <f ca="1"/>
      </c>
    </row>
    <row r="26" spans="1:202" x14ac:dyDescent="0.55000000000000004">
      <c r="A26" t="s">
        <v>296</v>
      </c>
      <c r="B26" s="13" cm="1">
        <f t="array" aca="1" ref="B26" ca="1">_xlfn.XLOOKUP($A26,_xlfn.ANCHORARRAY($GS$4),_xlfn.ANCHORARRAY($GT$4),"")</f>
      </c>
      <c r="C26" s="13" cm="1">
        <f t="array" ref="C26">_xlfn.LET(_xlpm.h,FWM_HC,_xlpm.c,_xlfn.XMATCH($A26,_xlfn.TAKE(_xlpm.h,1)),INDEX(_xlpm.h,ROWS(_xlpm.h),_xlpm.c))</f>
      </c>
      <c r="D26" s="44">
        <f t="shared" ca="1" si="0"/>
      </c>
      <c r="E26" s="44" cm="1">
        <f t="array" aca="1" ref="E26" ca="1">_xlfn.LET(_xlpm.h,FWM_HC,_xlpm.c,_xlfn.XMATCH($A26,_xlfn.TAKE(_xlpm.h,1)),(B26-INDEX(_xlpm.h,ROWS(_xlpm.h)-4,_xlpm.c))*100)</f>
      </c>
      <c r="F26" s="44" cm="1">
        <f t="array" aca="1" ref="F26" ca="1">_xlfn.LET(_xlpm.h,FWM_HC,_xlpm.c,_xlfn.XMATCH($A26,_xlfn.TAKE(_xlpm.h,1)),(B26-INDEX(_xlpm.h,ROWS(_xlpm.h)-20,_xlpm.c))*100)</f>
      </c>
      <c r="G26" s="44" cm="1">
        <f t="array" aca="1" ref="G26" ca="1">_xlfn.LET(_xlpm.h,FWM_HC,_xlpm.c,_xlfn.XMATCH($A26,_xlfn.TAKE(_xlpm.h,1)),(B26-_xlfn.XLOOKUP(FWM_Cmp,_xlfn.DROP(INDEX(_xlpm.h,,1),1),_xlfn.DROP(INDEX(_xlpm.h,,_xlpm.c),1),"",-1))*100)</f>
      </c>
      <c r="H26" s="11" cm="1">
        <f t="array" ref="H26">_xlfn.LET(_xlpm.h,FWM_HC,FWM_Sigma(_xlfn.DROP(INDEX(_xlpm.h,,_xlfn.XMATCH($A26&amp;" dF",_xlfn.TAKE(_xlpm.h,1))),1)))</f>
      </c>
      <c r="I26" s="45">
        <f t="shared" ca="1" si="1"/>
      </c>
      <c r="J26" s="45">
        <f t="shared" ca="1" si="2"/>
      </c>
      <c r="K26" s="44">
        <f ca="1">IF(ISNUMBER(B25),(B26-B25)*100,"")</f>
      </c>
      <c r="AA26">
        <f ca="1"/>
      </c>
      <c r="AB26">
        <f ca="1"/>
      </c>
      <c r="AC26">
        <f ca="1"/>
      </c>
      <c r="AD26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L26" t="s">
        <v>21</v>
      </c>
      <c r="AM26">
        <v>1</v>
      </c>
      <c r="GM26" s="7"/>
      <c r="GN26">
        <f ca="1"/>
      </c>
      <c r="GO26">
        <f ca="1"/>
      </c>
      <c r="GP26">
        <f ca="1"/>
      </c>
      <c r="GQ26">
        <f ca="1"/>
      </c>
      <c r="GT26">
        <f ca="1"/>
      </c>
    </row>
    <row r="27" spans="1:202" x14ac:dyDescent="0.55000000000000004">
      <c r="A27" t="s">
        <v>297</v>
      </c>
      <c r="B27" s="13" cm="1">
        <f t="array" aca="1" ref="B27" ca="1">_xlfn.XLOOKUP($A27,_xlfn.ANCHORARRAY($GS$4),_xlfn.ANCHORARRAY($GT$4),"")</f>
      </c>
      <c r="C27" s="13" cm="1">
        <f t="array" ref="C27">_xlfn.LET(_xlpm.h,FWM_HC,_xlpm.c,_xlfn.XMATCH($A27,_xlfn.TAKE(_xlpm.h,1)),INDEX(_xlpm.h,ROWS(_xlpm.h),_xlpm.c))</f>
      </c>
      <c r="D27" s="44">
        <f t="shared" ca="1" si="0"/>
      </c>
      <c r="E27" s="44" cm="1">
        <f t="array" aca="1" ref="E27" ca="1">_xlfn.LET(_xlpm.h,FWM_HC,_xlpm.c,_xlfn.XMATCH($A27,_xlfn.TAKE(_xlpm.h,1)),(B27-INDEX(_xlpm.h,ROWS(_xlpm.h)-4,_xlpm.c))*100)</f>
      </c>
      <c r="F27" s="44" cm="1">
        <f t="array" aca="1" ref="F27" ca="1">_xlfn.LET(_xlpm.h,FWM_HC,_xlpm.c,_xlfn.XMATCH($A27,_xlfn.TAKE(_xlpm.h,1)),(B27-INDEX(_xlpm.h,ROWS(_xlpm.h)-20,_xlpm.c))*100)</f>
      </c>
      <c r="G27" s="44" cm="1">
        <f t="array" aca="1" ref="G27" ca="1">_xlfn.LET(_xlpm.h,FWM_HC,_xlpm.c,_xlfn.XMATCH($A27,_xlfn.TAKE(_xlpm.h,1)),(B27-_xlfn.XLOOKUP(FWM_Cmp,_xlfn.DROP(INDEX(_xlpm.h,,1),1),_xlfn.DROP(INDEX(_xlpm.h,,_xlpm.c),1),"",-1))*100)</f>
      </c>
      <c r="H27" s="11" cm="1">
        <f t="array" ref="H27">_xlfn.LET(_xlpm.h,FWM_HC,FWM_Sigma(_xlfn.DROP(INDEX(_xlpm.h,,_xlfn.XMATCH($A27&amp;" dF",_xlfn.TAKE(_xlpm.h,1))),1)))</f>
      </c>
      <c r="I27" s="45">
        <f t="shared" ca="1" si="1"/>
      </c>
      <c r="J27" s="45">
        <f t="shared" ca="1" si="2"/>
      </c>
      <c r="K27" s="44">
        <f ca="1">IF(ISNUMBER(B26),(B27-B26)*100,"")</f>
      </c>
      <c r="AA27">
        <f ca="1"/>
      </c>
      <c r="AB27">
        <f ca="1"/>
      </c>
      <c r="AC27">
        <f ca="1"/>
      </c>
      <c r="AD2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L27" t="s">
        <v>22</v>
      </c>
      <c r="AM27">
        <v>1</v>
      </c>
      <c r="GM27" s="7"/>
      <c r="GN27">
        <f ca="1"/>
      </c>
      <c r="GO27">
        <f ca="1"/>
      </c>
      <c r="GP27">
        <f ca="1"/>
      </c>
      <c r="GQ27">
        <f ca="1"/>
      </c>
    </row>
    <row r="28" spans="1:202" x14ac:dyDescent="0.55000000000000004">
      <c r="B28" s="13"/>
      <c r="C28" s="13"/>
      <c r="D28" s="44"/>
      <c r="E28" s="44"/>
      <c r="F28" s="44"/>
      <c r="G28" s="44"/>
      <c r="H28" s="11"/>
      <c r="I28" s="45"/>
      <c r="J28" s="45"/>
      <c r="K28" s="44"/>
      <c r="AA28">
        <f ca="1"/>
      </c>
      <c r="AB28">
        <f ca="1"/>
      </c>
      <c r="AC28">
        <f ca="1"/>
      </c>
      <c r="AD28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L28" t="s">
        <v>23</v>
      </c>
      <c r="AM28">
        <v>1</v>
      </c>
      <c r="GM28" s="7"/>
      <c r="GN28">
        <f ca="1"/>
      </c>
      <c r="GO28">
        <f ca="1"/>
      </c>
      <c r="GP28">
        <f ca="1"/>
      </c>
      <c r="GQ28">
        <f ca="1"/>
      </c>
    </row>
    <row r="29" spans="1:202" x14ac:dyDescent="0.55000000000000004">
      <c r="A29" t="s">
        <v>298</v>
      </c>
      <c r="B29" s="13" cm="1">
        <f t="array" aca="1" ref="B29" ca="1">_xlfn.XLOOKUP($A29,_xlfn.ANCHORARRAY($GS$4),_xlfn.ANCHORARRAY($GT$4),"")</f>
      </c>
      <c r="C29" s="13" cm="1">
        <f t="array" ref="C29">_xlfn.LET(_xlpm.h,FWM_HC,_xlpm.c,_xlfn.XMATCH($A29,_xlfn.TAKE(_xlpm.h,1)),INDEX(_xlpm.h,ROWS(_xlpm.h),_xlpm.c))</f>
      </c>
      <c r="D29" s="44">
        <f t="shared" ca="1" si="0"/>
      </c>
      <c r="E29" s="44" cm="1">
        <f t="array" aca="1" ref="E29" ca="1">_xlfn.LET(_xlpm.h,FWM_HC,_xlpm.c,_xlfn.XMATCH($A29,_xlfn.TAKE(_xlpm.h,1)),(B29-INDEX(_xlpm.h,ROWS(_xlpm.h)-4,_xlpm.c))*100)</f>
      </c>
      <c r="F29" s="44" cm="1">
        <f t="array" aca="1" ref="F29" ca="1">_xlfn.LET(_xlpm.h,FWM_HC,_xlpm.c,_xlfn.XMATCH($A29,_xlfn.TAKE(_xlpm.h,1)),(B29-INDEX(_xlpm.h,ROWS(_xlpm.h)-20,_xlpm.c))*100)</f>
      </c>
      <c r="G29" s="44" cm="1">
        <f t="array" aca="1" ref="G29" ca="1">_xlfn.LET(_xlpm.h,FWM_HC,_xlpm.c,_xlfn.XMATCH($A29,_xlfn.TAKE(_xlpm.h,1)),(B29-_xlfn.XLOOKUP(FWM_Cmp,_xlfn.DROP(INDEX(_xlpm.h,,1),1),_xlfn.DROP(INDEX(_xlpm.h,,_xlpm.c),1),"",-1))*100)</f>
      </c>
      <c r="H29" s="11" cm="1">
        <f t="array" ref="H29">_xlfn.LET(_xlpm.h,FWM_HC,FWM_Sigma(_xlfn.DROP(INDEX(_xlpm.h,,_xlfn.XMATCH($A29&amp;" dF",_xlfn.TAKE(_xlpm.h,1))),1)))</f>
      </c>
      <c r="I29" s="45">
        <f t="shared" ca="1" si="1"/>
      </c>
      <c r="J29" s="45">
        <f t="shared" ca="1" si="2"/>
      </c>
      <c r="K29" s="44">
        <f>IF(ISNUMBER(B28),(B29-B28)*100,"")</f>
      </c>
      <c r="AA29">
        <f ca="1"/>
      </c>
      <c r="AB29">
        <f ca="1"/>
      </c>
      <c r="AC29">
        <f ca="1"/>
      </c>
      <c r="AD29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L29" t="s">
        <v>24</v>
      </c>
      <c r="AM29">
        <v>1</v>
      </c>
      <c r="GM29" s="7"/>
      <c r="GN29">
        <f ca="1"/>
      </c>
      <c r="GO29">
        <f ca="1"/>
      </c>
      <c r="GP29">
        <f ca="1"/>
      </c>
      <c r="GQ29">
        <f ca="1"/>
      </c>
    </row>
    <row r="30" spans="1:202" x14ac:dyDescent="0.55000000000000004">
      <c r="A30" t="s">
        <v>299</v>
      </c>
      <c r="B30" s="13" cm="1">
        <f t="array" aca="1" ref="B30" ca="1">_xlfn.XLOOKUP($A30,_xlfn.ANCHORARRAY($GS$4),_xlfn.ANCHORARRAY($GT$4),"")</f>
      </c>
      <c r="C30" s="13" cm="1">
        <f t="array" ref="C30">_xlfn.LET(_xlpm.h,FWM_HC,_xlpm.c,_xlfn.XMATCH($A30,_xlfn.TAKE(_xlpm.h,1)),INDEX(_xlpm.h,ROWS(_xlpm.h),_xlpm.c))</f>
      </c>
      <c r="D30" s="44">
        <f t="shared" ca="1" si="0"/>
      </c>
      <c r="E30" s="44" cm="1">
        <f t="array" aca="1" ref="E30" ca="1">_xlfn.LET(_xlpm.h,FWM_HC,_xlpm.c,_xlfn.XMATCH($A30,_xlfn.TAKE(_xlpm.h,1)),(B30-INDEX(_xlpm.h,ROWS(_xlpm.h)-4,_xlpm.c))*100)</f>
      </c>
      <c r="F30" s="44" cm="1">
        <f t="array" aca="1" ref="F30" ca="1">_xlfn.LET(_xlpm.h,FWM_HC,_xlpm.c,_xlfn.XMATCH($A30,_xlfn.TAKE(_xlpm.h,1)),(B30-INDEX(_xlpm.h,ROWS(_xlpm.h)-20,_xlpm.c))*100)</f>
      </c>
      <c r="G30" s="44" cm="1">
        <f t="array" aca="1" ref="G30" ca="1">_xlfn.LET(_xlpm.h,FWM_HC,_xlpm.c,_xlfn.XMATCH($A30,_xlfn.TAKE(_xlpm.h,1)),(B30-_xlfn.XLOOKUP(FWM_Cmp,_xlfn.DROP(INDEX(_xlpm.h,,1),1),_xlfn.DROP(INDEX(_xlpm.h,,_xlpm.c),1),"",-1))*100)</f>
      </c>
      <c r="H30" s="11" cm="1">
        <f t="array" ref="H30">_xlfn.LET(_xlpm.h,FWM_HC,FWM_Sigma(_xlfn.DROP(INDEX(_xlpm.h,,_xlfn.XMATCH($A30&amp;" dF",_xlfn.TAKE(_xlpm.h,1))),1)))</f>
      </c>
      <c r="I30" s="45">
        <f t="shared" ca="1" si="1"/>
      </c>
      <c r="J30" s="45">
        <f t="shared" ca="1" si="2"/>
      </c>
      <c r="K30" s="44">
        <f ca="1">IF(ISNUMBER(B29),(B30-B29)*100,"")</f>
      </c>
      <c r="AA30">
        <f ca="1"/>
      </c>
      <c r="AB30">
        <f ca="1"/>
      </c>
      <c r="AC30">
        <f ca="1"/>
      </c>
      <c r="AD30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L30" t="s">
        <v>25</v>
      </c>
      <c r="AM30">
        <v>1</v>
      </c>
      <c r="GM30" s="7"/>
      <c r="GN30">
        <f ca="1"/>
      </c>
      <c r="GO30">
        <f ca="1"/>
      </c>
      <c r="GP30">
        <f ca="1"/>
      </c>
      <c r="GQ30">
        <f ca="1"/>
      </c>
    </row>
    <row r="31" spans="1:202" x14ac:dyDescent="0.55000000000000004">
      <c r="A31" t="s">
        <v>300</v>
      </c>
      <c r="B31" s="13" cm="1">
        <f t="array" aca="1" ref="B31" ca="1">_xlfn.XLOOKUP($A31,_xlfn.ANCHORARRAY($GS$4),_xlfn.ANCHORARRAY($GT$4),"")</f>
      </c>
      <c r="C31" s="13" cm="1">
        <f t="array" ref="C31">_xlfn.LET(_xlpm.h,FWM_HC,_xlpm.c,_xlfn.XMATCH($A31,_xlfn.TAKE(_xlpm.h,1)),INDEX(_xlpm.h,ROWS(_xlpm.h),_xlpm.c))</f>
      </c>
      <c r="D31" s="44">
        <f t="shared" ca="1" si="0"/>
      </c>
      <c r="E31" s="44" cm="1">
        <f t="array" aca="1" ref="E31" ca="1">_xlfn.LET(_xlpm.h,FWM_HC,_xlpm.c,_xlfn.XMATCH($A31,_xlfn.TAKE(_xlpm.h,1)),(B31-INDEX(_xlpm.h,ROWS(_xlpm.h)-4,_xlpm.c))*100)</f>
      </c>
      <c r="F31" s="44" cm="1">
        <f t="array" aca="1" ref="F31" ca="1">_xlfn.LET(_xlpm.h,FWM_HC,_xlpm.c,_xlfn.XMATCH($A31,_xlfn.TAKE(_xlpm.h,1)),(B31-INDEX(_xlpm.h,ROWS(_xlpm.h)-20,_xlpm.c))*100)</f>
      </c>
      <c r="G31" s="44" cm="1">
        <f t="array" aca="1" ref="G31" ca="1">_xlfn.LET(_xlpm.h,FWM_HC,_xlpm.c,_xlfn.XMATCH($A31,_xlfn.TAKE(_xlpm.h,1)),(B31-_xlfn.XLOOKUP(FWM_Cmp,_xlfn.DROP(INDEX(_xlpm.h,,1),1),_xlfn.DROP(INDEX(_xlpm.h,,_xlpm.c),1),"",-1))*100)</f>
      </c>
      <c r="H31" s="11" cm="1">
        <f t="array" ref="H31">_xlfn.LET(_xlpm.h,FWM_HC,FWM_Sigma(_xlfn.DROP(INDEX(_xlpm.h,,_xlfn.XMATCH($A31&amp;" dF",_xlfn.TAKE(_xlpm.h,1))),1)))</f>
      </c>
      <c r="I31" s="45">
        <f t="shared" ca="1" si="1"/>
      </c>
      <c r="J31" s="45">
        <f t="shared" ca="1" si="2"/>
      </c>
      <c r="K31" s="44">
        <f ca="1">IF(ISNUMBER(B30),(B31-B30)*100,"")</f>
      </c>
      <c r="AA31">
        <f ca="1"/>
      </c>
      <c r="AB31">
        <f ca="1"/>
      </c>
      <c r="AC31">
        <f ca="1"/>
      </c>
      <c r="AD31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L31" t="s">
        <v>26</v>
      </c>
      <c r="AM31">
        <v>1</v>
      </c>
      <c r="GM31" s="7"/>
      <c r="GN31">
        <f ca="1"/>
      </c>
      <c r="GO31">
        <f ca="1"/>
      </c>
      <c r="GP31">
        <f ca="1"/>
      </c>
      <c r="GQ31">
        <f ca="1"/>
      </c>
    </row>
    <row r="32" spans="1:202" x14ac:dyDescent="0.55000000000000004">
      <c r="A32" t="s">
        <v>301</v>
      </c>
      <c r="B32" s="13" cm="1">
        <f t="array" aca="1" ref="B32" ca="1">_xlfn.XLOOKUP($A32,_xlfn.ANCHORARRAY($GS$4),_xlfn.ANCHORARRAY($GT$4),"")</f>
      </c>
      <c r="C32" s="13" cm="1">
        <f t="array" ref="C32">_xlfn.LET(_xlpm.h,FWM_HC,_xlpm.c,_xlfn.XMATCH($A32,_xlfn.TAKE(_xlpm.h,1)),INDEX(_xlpm.h,ROWS(_xlpm.h),_xlpm.c))</f>
      </c>
      <c r="D32" s="44">
        <f t="shared" ca="1" si="0"/>
      </c>
      <c r="E32" s="44" cm="1">
        <f t="array" aca="1" ref="E32" ca="1">_xlfn.LET(_xlpm.h,FWM_HC,_xlpm.c,_xlfn.XMATCH($A32,_xlfn.TAKE(_xlpm.h,1)),(B32-INDEX(_xlpm.h,ROWS(_xlpm.h)-4,_xlpm.c))*100)</f>
      </c>
      <c r="F32" s="44" cm="1">
        <f t="array" aca="1" ref="F32" ca="1">_xlfn.LET(_xlpm.h,FWM_HC,_xlpm.c,_xlfn.XMATCH($A32,_xlfn.TAKE(_xlpm.h,1)),(B32-INDEX(_xlpm.h,ROWS(_xlpm.h)-20,_xlpm.c))*100)</f>
      </c>
      <c r="G32" s="44" cm="1">
        <f t="array" aca="1" ref="G32" ca="1">_xlfn.LET(_xlpm.h,FWM_HC,_xlpm.c,_xlfn.XMATCH($A32,_xlfn.TAKE(_xlpm.h,1)),(B32-_xlfn.XLOOKUP(FWM_Cmp,_xlfn.DROP(INDEX(_xlpm.h,,1),1),_xlfn.DROP(INDEX(_xlpm.h,,_xlpm.c),1),"",-1))*100)</f>
      </c>
      <c r="H32" s="11" cm="1">
        <f t="array" ref="H32">_xlfn.LET(_xlpm.h,FWM_HC,FWM_Sigma(_xlfn.DROP(INDEX(_xlpm.h,,_xlfn.XMATCH($A32&amp;" dF",_xlfn.TAKE(_xlpm.h,1))),1)))</f>
      </c>
      <c r="I32" s="45">
        <f t="shared" ca="1" si="1"/>
      </c>
      <c r="J32" s="45">
        <f t="shared" ca="1" si="2"/>
      </c>
      <c r="K32" s="44">
        <f ca="1">IF(ISNUMBER(B31),(B32-B31)*100,"")</f>
      </c>
      <c r="AA32">
        <f ca="1"/>
      </c>
      <c r="AB32">
        <f ca="1"/>
      </c>
      <c r="AC32">
        <f ca="1"/>
      </c>
      <c r="AD32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L32" t="s">
        <v>27</v>
      </c>
      <c r="AM32">
        <v>1</v>
      </c>
      <c r="GM32" s="7"/>
      <c r="GN32">
        <f ca="1"/>
      </c>
      <c r="GO32">
        <f ca="1"/>
      </c>
      <c r="GP32">
        <f ca="1"/>
      </c>
      <c r="GQ32">
        <f ca="1"/>
      </c>
    </row>
    <row r="33" spans="1:199" x14ac:dyDescent="0.55000000000000004">
      <c r="A33" t="s">
        <v>302</v>
      </c>
      <c r="B33" s="13" cm="1">
        <f t="array" aca="1" ref="B33" ca="1">_xlfn.XLOOKUP($A33,_xlfn.ANCHORARRAY($GS$4),_xlfn.ANCHORARRAY($GT$4),"")</f>
      </c>
      <c r="C33" s="13" cm="1">
        <f t="array" ref="C33">_xlfn.LET(_xlpm.h,FWM_HC,_xlpm.c,_xlfn.XMATCH($A33,_xlfn.TAKE(_xlpm.h,1)),INDEX(_xlpm.h,ROWS(_xlpm.h),_xlpm.c))</f>
      </c>
      <c r="D33" s="44">
        <f t="shared" ca="1" si="0"/>
      </c>
      <c r="E33" s="44" cm="1">
        <f t="array" aca="1" ref="E33" ca="1">_xlfn.LET(_xlpm.h,FWM_HC,_xlpm.c,_xlfn.XMATCH($A33,_xlfn.TAKE(_xlpm.h,1)),(B33-INDEX(_xlpm.h,ROWS(_xlpm.h)-4,_xlpm.c))*100)</f>
      </c>
      <c r="F33" s="44" cm="1">
        <f t="array" aca="1" ref="F33" ca="1">_xlfn.LET(_xlpm.h,FWM_HC,_xlpm.c,_xlfn.XMATCH($A33,_xlfn.TAKE(_xlpm.h,1)),(B33-INDEX(_xlpm.h,ROWS(_xlpm.h)-20,_xlpm.c))*100)</f>
      </c>
      <c r="G33" s="44" cm="1">
        <f t="array" aca="1" ref="G33" ca="1">_xlfn.LET(_xlpm.h,FWM_HC,_xlpm.c,_xlfn.XMATCH($A33,_xlfn.TAKE(_xlpm.h,1)),(B33-_xlfn.XLOOKUP(FWM_Cmp,_xlfn.DROP(INDEX(_xlpm.h,,1),1),_xlfn.DROP(INDEX(_xlpm.h,,_xlpm.c),1),"",-1))*100)</f>
      </c>
      <c r="H33" s="11" cm="1">
        <f t="array" ref="H33">_xlfn.LET(_xlpm.h,FWM_HC,FWM_Sigma(_xlfn.DROP(INDEX(_xlpm.h,,_xlfn.XMATCH($A33&amp;" dF",_xlfn.TAKE(_xlpm.h,1))),1)))</f>
      </c>
      <c r="I33" s="45">
        <f t="shared" ca="1" si="1"/>
      </c>
      <c r="J33" s="45">
        <f t="shared" ca="1" si="2"/>
      </c>
      <c r="K33" s="44">
        <f ca="1">IF(ISNUMBER(B32),(B33-B32)*100,"")</f>
      </c>
      <c r="AA33">
        <f ca="1"/>
      </c>
      <c r="AB33">
        <f ca="1"/>
      </c>
      <c r="AC33">
        <f ca="1"/>
      </c>
      <c r="AD33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L33" t="s">
        <v>28</v>
      </c>
      <c r="AM33">
        <v>1</v>
      </c>
      <c r="GM33" s="7"/>
      <c r="GN33">
        <f ca="1"/>
      </c>
      <c r="GO33">
        <f ca="1"/>
      </c>
      <c r="GP33">
        <f ca="1"/>
      </c>
      <c r="GQ33">
        <f ca="1"/>
      </c>
    </row>
    <row r="34" spans="1:199" x14ac:dyDescent="0.55000000000000004">
      <c r="A34" t="s">
        <v>303</v>
      </c>
      <c r="B34" s="13" cm="1">
        <f t="array" aca="1" ref="B34" ca="1">_xlfn.XLOOKUP($A34,_xlfn.ANCHORARRAY($GS$4),_xlfn.ANCHORARRAY($GT$4),"")</f>
      </c>
      <c r="C34" s="13" cm="1">
        <f t="array" ref="C34">_xlfn.LET(_xlpm.h,FWM_HC,_xlpm.c,_xlfn.XMATCH($A34,_xlfn.TAKE(_xlpm.h,1)),INDEX(_xlpm.h,ROWS(_xlpm.h),_xlpm.c))</f>
      </c>
      <c r="D34" s="44">
        <f t="shared" ca="1" si="0"/>
      </c>
      <c r="E34" s="44" cm="1">
        <f t="array" aca="1" ref="E34" ca="1">_xlfn.LET(_xlpm.h,FWM_HC,_xlpm.c,_xlfn.XMATCH($A34,_xlfn.TAKE(_xlpm.h,1)),(B34-INDEX(_xlpm.h,ROWS(_xlpm.h)-4,_xlpm.c))*100)</f>
      </c>
      <c r="F34" s="44" cm="1">
        <f t="array" aca="1" ref="F34" ca="1">_xlfn.LET(_xlpm.h,FWM_HC,_xlpm.c,_xlfn.XMATCH($A34,_xlfn.TAKE(_xlpm.h,1)),(B34-INDEX(_xlpm.h,ROWS(_xlpm.h)-20,_xlpm.c))*100)</f>
      </c>
      <c r="G34" s="44" cm="1">
        <f t="array" aca="1" ref="G34" ca="1">_xlfn.LET(_xlpm.h,FWM_HC,_xlpm.c,_xlfn.XMATCH($A34,_xlfn.TAKE(_xlpm.h,1)),(B34-_xlfn.XLOOKUP(FWM_Cmp,_xlfn.DROP(INDEX(_xlpm.h,,1),1),_xlfn.DROP(INDEX(_xlpm.h,,_xlpm.c),1),"",-1))*100)</f>
      </c>
      <c r="H34" s="11" cm="1">
        <f t="array" ref="H34">_xlfn.LET(_xlpm.h,FWM_HC,FWM_Sigma(_xlfn.DROP(INDEX(_xlpm.h,,_xlfn.XMATCH($A34&amp;" dF",_xlfn.TAKE(_xlpm.h,1))),1)))</f>
      </c>
      <c r="I34" s="45">
        <f t="shared" ca="1" si="1"/>
      </c>
      <c r="J34" s="45">
        <f t="shared" ca="1" si="2"/>
      </c>
      <c r="K34" s="44">
        <f ca="1">IF(ISNUMBER(B33),(B34-B33)*100,"")</f>
      </c>
      <c r="AA34">
        <f ca="1"/>
      </c>
      <c r="AB34">
        <f ca="1"/>
      </c>
      <c r="AC34">
        <f ca="1"/>
      </c>
      <c r="AD34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L34" t="s">
        <v>29</v>
      </c>
      <c r="AM34">
        <v>1</v>
      </c>
      <c r="GM34" s="7"/>
      <c r="GN34">
        <f ca="1"/>
      </c>
      <c r="GO34">
        <f ca="1"/>
      </c>
      <c r="GP34">
        <f ca="1"/>
      </c>
      <c r="GQ34">
        <f ca="1"/>
      </c>
    </row>
    <row r="35" spans="1:199" x14ac:dyDescent="0.55000000000000004">
      <c r="A35" t="s">
        <v>304</v>
      </c>
      <c r="B35" s="13" cm="1">
        <f t="array" aca="1" ref="B35" ca="1">_xlfn.XLOOKUP($A35,_xlfn.ANCHORARRAY($GS$4),_xlfn.ANCHORARRAY($GT$4),"")</f>
      </c>
      <c r="C35" s="13" cm="1">
        <f t="array" ref="C35">_xlfn.LET(_xlpm.h,FWM_HC,_xlpm.c,_xlfn.XMATCH($A35,_xlfn.TAKE(_xlpm.h,1)),INDEX(_xlpm.h,ROWS(_xlpm.h),_xlpm.c))</f>
      </c>
      <c r="D35" s="44">
        <f t="shared" ca="1" si="0"/>
      </c>
      <c r="E35" s="44" cm="1">
        <f t="array" aca="1" ref="E35" ca="1">_xlfn.LET(_xlpm.h,FWM_HC,_xlpm.c,_xlfn.XMATCH($A35,_xlfn.TAKE(_xlpm.h,1)),(B35-INDEX(_xlpm.h,ROWS(_xlpm.h)-4,_xlpm.c))*100)</f>
      </c>
      <c r="F35" s="44" cm="1">
        <f t="array" aca="1" ref="F35" ca="1">_xlfn.LET(_xlpm.h,FWM_HC,_xlpm.c,_xlfn.XMATCH($A35,_xlfn.TAKE(_xlpm.h,1)),(B35-INDEX(_xlpm.h,ROWS(_xlpm.h)-20,_xlpm.c))*100)</f>
      </c>
      <c r="G35" s="44" cm="1">
        <f t="array" aca="1" ref="G35" ca="1">_xlfn.LET(_xlpm.h,FWM_HC,_xlpm.c,_xlfn.XMATCH($A35,_xlfn.TAKE(_xlpm.h,1)),(B35-_xlfn.XLOOKUP(FWM_Cmp,_xlfn.DROP(INDEX(_xlpm.h,,1),1),_xlfn.DROP(INDEX(_xlpm.h,,_xlpm.c),1),"",-1))*100)</f>
      </c>
      <c r="H35" s="11" cm="1">
        <f t="array" ref="H35">_xlfn.LET(_xlpm.h,FWM_HC,FWM_Sigma(_xlfn.DROP(INDEX(_xlpm.h,,_xlfn.XMATCH($A35&amp;" dF",_xlfn.TAKE(_xlpm.h,1))),1)))</f>
      </c>
      <c r="I35" s="45">
        <f t="shared" ca="1" si="1"/>
      </c>
      <c r="J35" s="45">
        <f t="shared" ca="1" si="2"/>
      </c>
      <c r="K35" s="44">
        <f ca="1">IF(ISNUMBER(B34),(B35-B34)*100,"")</f>
      </c>
      <c r="AA35">
        <f ca="1"/>
      </c>
      <c r="AB35">
        <f ca="1"/>
      </c>
      <c r="AC35">
        <f ca="1"/>
      </c>
      <c r="AD35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L35" t="s">
        <v>30</v>
      </c>
      <c r="AM35">
        <v>1</v>
      </c>
      <c r="GM35" s="7"/>
      <c r="GN35">
        <f ca="1"/>
      </c>
      <c r="GO35">
        <f ca="1"/>
      </c>
      <c r="GP35">
        <f ca="1"/>
      </c>
      <c r="GQ35">
        <f ca="1"/>
      </c>
    </row>
    <row r="36" spans="1:199" x14ac:dyDescent="0.55000000000000004">
      <c r="A36" t="s">
        <v>305</v>
      </c>
      <c r="AA36">
        <f ca="1"/>
      </c>
      <c r="AB36">
        <f ca="1"/>
      </c>
      <c r="AC36">
        <f ca="1"/>
      </c>
      <c r="AD36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L36" t="s">
        <v>31</v>
      </c>
      <c r="AM36">
        <v>1</v>
      </c>
      <c r="GM36" s="7"/>
      <c r="GN36">
        <f ca="1"/>
      </c>
      <c r="GO36">
        <f ca="1"/>
      </c>
      <c r="GP36">
        <f ca="1"/>
      </c>
      <c r="GQ36">
        <f ca="1"/>
      </c>
    </row>
    <row r="37" spans="1:199" x14ac:dyDescent="0.55000000000000004">
      <c r="A37" s="4" t="s">
        <v>306</v>
      </c>
      <c r="AA37">
        <f ca="1"/>
      </c>
      <c r="AB37">
        <f ca="1"/>
      </c>
      <c r="AC37">
        <f ca="1"/>
      </c>
      <c r="AD3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L37" t="s">
        <v>32</v>
      </c>
      <c r="AM37">
        <v>1</v>
      </c>
      <c r="GM37" s="7"/>
      <c r="GN37">
        <f ca="1"/>
      </c>
      <c r="GO37">
        <f ca="1"/>
      </c>
      <c r="GP37">
        <f ca="1"/>
      </c>
      <c r="GQ37">
        <f ca="1"/>
      </c>
    </row>
    <row r="38" spans="1:199" x14ac:dyDescent="0.55000000000000004">
      <c r="A38" s="4" t="s">
        <v>307</v>
      </c>
      <c r="B38" s="4" t="s">
        <v>308</v>
      </c>
      <c r="C38" s="4" t="s">
        <v>146</v>
      </c>
      <c r="D38" s="4" t="s">
        <v>309</v>
      </c>
      <c r="E38" s="4" t="s">
        <v>310</v>
      </c>
      <c r="F38" s="4" t="s">
        <v>311</v>
      </c>
      <c r="G38" s="4" t="s">
        <v>312</v>
      </c>
      <c r="H38" s="4" t="s">
        <v>313</v>
      </c>
      <c r="I38" s="4" t="s">
        <v>314</v>
      </c>
      <c r="J38" s="4" t="s">
        <v>315</v>
      </c>
      <c r="K38" s="4" t="s">
        <v>275</v>
      </c>
      <c r="L38" s="4" t="s">
        <v>277</v>
      </c>
      <c r="M38" s="4" t="s">
        <v>279</v>
      </c>
      <c r="N38" s="4" t="s">
        <v>280</v>
      </c>
      <c r="O38" s="4" t="s">
        <v>281</v>
      </c>
      <c r="AA38">
        <f ca="1"/>
      </c>
      <c r="AB38">
        <f ca="1"/>
      </c>
      <c r="AC38">
        <f ca="1"/>
      </c>
      <c r="AD38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L38" t="s">
        <v>109</v>
      </c>
      <c r="AM38">
        <v>0</v>
      </c>
      <c r="GM38" s="7"/>
      <c r="GN38">
        <f ca="1"/>
      </c>
      <c r="GO38">
        <f ca="1"/>
      </c>
      <c r="GP38">
        <f ca="1"/>
      </c>
      <c r="GQ38">
        <f ca="1"/>
      </c>
    </row>
    <row r="39" spans="1:199" x14ac:dyDescent="0.55000000000000004">
      <c r="A39" s="2" t="s">
        <v>143</v>
      </c>
      <c r="B39">
        <f t="shared" ref="B39:B48" si="3">IF(D39="","",D39&amp;IF(F39="","","/"&amp;F39)&amp;IF(H39="","","/"&amp;H39))</f>
      </c>
      <c r="C39" s="2" t="s">
        <v>316</v>
      </c>
      <c r="D39" s="2" t="s">
        <v>298</v>
      </c>
      <c r="E39" s="2">
        <v>1</v>
      </c>
      <c r="F39" s="2"/>
      <c r="G39" s="2"/>
      <c r="H39" s="2"/>
      <c r="I39" s="2"/>
      <c r="J39" s="14" cm="1">
        <f t="array" aca="1" ref="J39" ca="1">IF(D39="","",100*(N(E39)*FWM_LiveOf(D39)+N(G39)*FWM_LiveOf(F39)+N(I39)*FWM_LiveOf(H39)))</f>
      </c>
      <c r="K39" s="44" cm="1">
        <f t="array" aca="1" ref="K39" ca="1">IF(D39="","",_xlfn.LET(_xlpm.x,FWM_Row(1,""),J39-INDEX(_xlpm.x,ROWS(_xlpm.x))))</f>
      </c>
      <c r="L39" s="44" cm="1">
        <f t="array" aca="1" ref="L39" ca="1">IF(D39="","",_xlfn.LET(_xlpm.x,FWM_Row(1,""),J39-INDEX(_xlpm.x,ROWS(_xlpm.x)-20)))</f>
      </c>
      <c r="M39" s="11" cm="1">
        <f t="array" ref="M39">IF(D39="","",FWM_Sigma(FWM_Row(1," dF")))</f>
      </c>
      <c r="N39" s="45">
        <f t="shared" ref="N39:N48" ca="1" si="4">IF(D39="","",K39/M39)</f>
      </c>
      <c r="O39" s="45" cm="1">
        <f t="array" aca="1" ref="O39" ca="1">IF(D39="","",_xlfn.LET(_xlpm.x,FWM_Row(1,""),(J39-INDEX(_xlpm.x,ROWS(_xlpm.x)-4))/(M39*SQRT(5))))</f>
      </c>
      <c r="AA39">
        <f ca="1"/>
      </c>
      <c r="AB39">
        <f ca="1"/>
      </c>
      <c r="AC39">
        <f ca="1"/>
      </c>
      <c r="AD39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L39" t="s">
        <v>33</v>
      </c>
      <c r="AM39">
        <v>0</v>
      </c>
      <c r="GM39" s="7"/>
      <c r="GN39">
        <f ca="1"/>
      </c>
      <c r="GO39">
        <f ca="1"/>
      </c>
      <c r="GP39">
        <f ca="1"/>
      </c>
      <c r="GQ39">
        <f ca="1"/>
      </c>
    </row>
    <row r="40" spans="1:199" x14ac:dyDescent="0.55000000000000004">
      <c r="A40" s="2" t="s">
        <v>143</v>
      </c>
      <c r="B40">
        <f t="shared" si="3"/>
      </c>
      <c r="C40" s="2" t="s">
        <v>317</v>
      </c>
      <c r="D40" s="2" t="s">
        <v>298</v>
      </c>
      <c r="E40" s="2">
        <v>1</v>
      </c>
      <c r="F40" s="2"/>
      <c r="G40" s="2"/>
      <c r="H40" s="2"/>
      <c r="I40" s="2"/>
      <c r="J40" s="14" cm="1">
        <f t="array" aca="1" ref="J40" ca="1">IF(D40="","",100*(N(E40)*FWM_LiveOf(D40)+N(G40)*FWM_LiveOf(F40)+N(I40)*FWM_LiveOf(H40)))</f>
      </c>
      <c r="K40" s="44" cm="1">
        <f t="array" aca="1" ref="K40" ca="1">IF(D40="","",_xlfn.LET(_xlpm.x,FWM_Row(2,""),J40-INDEX(_xlpm.x,ROWS(_xlpm.x))))</f>
      </c>
      <c r="L40" s="44" cm="1">
        <f t="array" aca="1" ref="L40" ca="1">IF(D40="","",_xlfn.LET(_xlpm.x,FWM_Row(2,""),J40-INDEX(_xlpm.x,ROWS(_xlpm.x)-20)))</f>
      </c>
      <c r="M40" s="11" cm="1">
        <f t="array" ref="M40">IF(D40="","",FWM_Sigma(FWM_Row(2," dF")))</f>
      </c>
      <c r="N40" s="45">
        <f t="shared" ca="1" si="4"/>
      </c>
      <c r="O40" s="45" cm="1">
        <f t="array" aca="1" ref="O40" ca="1">IF(D40="","",_xlfn.LET(_xlpm.x,FWM_Row(2,""),(J40-INDEX(_xlpm.x,ROWS(_xlpm.x)-4))/(M40*SQRT(5))))</f>
      </c>
      <c r="AA40">
        <f ca="1"/>
      </c>
      <c r="AB40">
        <f ca="1"/>
      </c>
      <c r="AC40">
        <f ca="1"/>
      </c>
      <c r="AD40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L40" t="s">
        <v>34</v>
      </c>
      <c r="AM40">
        <v>0</v>
      </c>
      <c r="GM40" s="7"/>
      <c r="GN40">
        <f ca="1"/>
      </c>
      <c r="GO40">
        <f ca="1"/>
      </c>
      <c r="GP40">
        <f ca="1"/>
      </c>
      <c r="GQ40">
        <f ca="1"/>
      </c>
    </row>
    <row r="41" spans="1:199" x14ac:dyDescent="0.55000000000000004">
      <c r="A41" s="2" t="s">
        <v>143</v>
      </c>
      <c r="B41">
        <f t="shared" si="3"/>
      </c>
      <c r="C41" s="2" t="s">
        <v>316</v>
      </c>
      <c r="D41" s="2" t="s">
        <v>298</v>
      </c>
      <c r="E41" s="2">
        <v>-1</v>
      </c>
      <c r="F41" s="2" t="s">
        <v>299</v>
      </c>
      <c r="G41" s="2">
        <v>1</v>
      </c>
      <c r="H41" s="2"/>
      <c r="I41" s="2"/>
      <c r="J41" s="14" cm="1">
        <f t="array" aca="1" ref="J41" ca="1">IF(D41="","",100*(N(E41)*FWM_LiveOf(D41)+N(G41)*FWM_LiveOf(F41)+N(I41)*FWM_LiveOf(H41)))</f>
      </c>
      <c r="K41" s="44" cm="1">
        <f t="array" aca="1" ref="K41" ca="1">IF(D41="","",_xlfn.LET(_xlpm.x,FWM_Row(3,""),J41-INDEX(_xlpm.x,ROWS(_xlpm.x))))</f>
      </c>
      <c r="L41" s="44" cm="1">
        <f t="array" aca="1" ref="L41" ca="1">IF(D41="","",_xlfn.LET(_xlpm.x,FWM_Row(3,""),J41-INDEX(_xlpm.x,ROWS(_xlpm.x)-20)))</f>
      </c>
      <c r="M41" s="11" cm="1">
        <f t="array" ref="M41">IF(D41="","",FWM_Sigma(FWM_Row(3," dF")))</f>
      </c>
      <c r="N41" s="45">
        <f t="shared" ca="1" si="4"/>
      </c>
      <c r="O41" s="45" cm="1">
        <f t="array" aca="1" ref="O41" ca="1">IF(D41="","",_xlfn.LET(_xlpm.x,FWM_Row(3,""),(J41-INDEX(_xlpm.x,ROWS(_xlpm.x)-4))/(M41*SQRT(5))))</f>
      </c>
      <c r="AA41">
        <f ca="1"/>
      </c>
      <c r="AB41">
        <f ca="1"/>
      </c>
      <c r="AC41">
        <f ca="1"/>
      </c>
      <c r="AD41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L41" t="s">
        <v>35</v>
      </c>
      <c r="AM41">
        <v>0</v>
      </c>
      <c r="GM41" s="7"/>
      <c r="GN41">
        <f ca="1"/>
      </c>
      <c r="GO41">
        <f ca="1"/>
      </c>
      <c r="GP41">
        <f ca="1"/>
      </c>
      <c r="GQ41">
        <f ca="1"/>
      </c>
    </row>
    <row r="42" spans="1:199" x14ac:dyDescent="0.55000000000000004">
      <c r="A42" s="2"/>
      <c r="B42">
        <f t="shared" si="3"/>
      </c>
      <c r="C42" s="2" t="s">
        <v>316</v>
      </c>
      <c r="D42" s="2" t="s">
        <v>286</v>
      </c>
      <c r="E42" s="2">
        <v>-1</v>
      </c>
      <c r="F42" s="2" t="s">
        <v>291</v>
      </c>
      <c r="G42" s="2">
        <v>2</v>
      </c>
      <c r="H42" s="2" t="s">
        <v>294</v>
      </c>
      <c r="I42" s="2">
        <v>-1</v>
      </c>
      <c r="J42" s="14" cm="1">
        <f t="array" aca="1" ref="J42" ca="1">IF(D42="","",100*(N(E42)*FWM_LiveOf(D42)+N(G42)*FWM_LiveOf(F42)+N(I42)*FWM_LiveOf(H42)))</f>
      </c>
      <c r="K42" s="44" cm="1">
        <f t="array" aca="1" ref="K42" ca="1">IF(D42="","",_xlfn.LET(_xlpm.x,FWM_Row(4,""),J42-INDEX(_xlpm.x,ROWS(_xlpm.x))))</f>
      </c>
      <c r="L42" s="44" cm="1">
        <f t="array" aca="1" ref="L42" ca="1">IF(D42="","",_xlfn.LET(_xlpm.x,FWM_Row(4,""),J42-INDEX(_xlpm.x,ROWS(_xlpm.x)-20)))</f>
      </c>
      <c r="M42" s="11" cm="1">
        <f t="array" ref="M42">IF(D42="","",FWM_Sigma(FWM_Row(4," dF")))</f>
      </c>
      <c r="N42" s="45">
        <f t="shared" ca="1" si="4"/>
      </c>
      <c r="O42" s="45" cm="1">
        <f t="array" aca="1" ref="O42" ca="1">IF(D42="","",_xlfn.LET(_xlpm.x,FWM_Row(4,""),(J42-INDEX(_xlpm.x,ROWS(_xlpm.x)-4))/(M42*SQRT(5))))</f>
      </c>
      <c r="AA42">
        <f ca="1"/>
      </c>
      <c r="AB42">
        <f ca="1"/>
      </c>
      <c r="AC42">
        <f ca="1"/>
      </c>
      <c r="AD42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L42" t="s">
        <v>36</v>
      </c>
      <c r="AM42">
        <v>0</v>
      </c>
      <c r="GM42" s="7"/>
      <c r="GN42">
        <f ca="1"/>
      </c>
      <c r="GO42">
        <f ca="1"/>
      </c>
      <c r="GP42">
        <f ca="1"/>
      </c>
      <c r="GQ42">
        <f ca="1"/>
      </c>
    </row>
    <row r="43" spans="1:199" x14ac:dyDescent="0.55000000000000004">
      <c r="A43" s="2"/>
      <c r="B43">
        <f t="shared" si="3"/>
      </c>
      <c r="C43" s="2" t="s">
        <v>316</v>
      </c>
      <c r="D43" s="2" t="s">
        <v>282</v>
      </c>
      <c r="E43" s="2">
        <v>-1</v>
      </c>
      <c r="F43" s="2" t="s">
        <v>283</v>
      </c>
      <c r="G43" s="2">
        <v>1</v>
      </c>
      <c r="H43" s="2"/>
      <c r="I43" s="2"/>
      <c r="J43" s="14" cm="1">
        <f t="array" aca="1" ref="J43" ca="1">IF(D43="","",100*(N(E43)*FWM_LiveOf(D43)+N(G43)*FWM_LiveOf(F43)+N(I43)*FWM_LiveOf(H43)))</f>
      </c>
      <c r="K43" s="44" cm="1">
        <f t="array" aca="1" ref="K43" ca="1">IF(D43="","",_xlfn.LET(_xlpm.x,FWM_Row(5,""),J43-INDEX(_xlpm.x,ROWS(_xlpm.x))))</f>
      </c>
      <c r="L43" s="44" cm="1">
        <f t="array" aca="1" ref="L43" ca="1">IF(D43="","",_xlfn.LET(_xlpm.x,FWM_Row(5,""),J43-INDEX(_xlpm.x,ROWS(_xlpm.x)-20)))</f>
      </c>
      <c r="M43" s="11" cm="1">
        <f t="array" ref="M43">IF(D43="","",FWM_Sigma(FWM_Row(5," dF")))</f>
      </c>
      <c r="N43" s="45">
        <f t="shared" ca="1" si="4"/>
      </c>
      <c r="O43" s="45" cm="1">
        <f t="array" aca="1" ref="O43" ca="1">IF(D43="","",_xlfn.LET(_xlpm.x,FWM_Row(5,""),(J43-INDEX(_xlpm.x,ROWS(_xlpm.x)-4))/(M43*SQRT(5))))</f>
      </c>
      <c r="AA43">
        <f ca="1"/>
      </c>
      <c r="AB43">
        <f ca="1"/>
      </c>
      <c r="AC43">
        <f ca="1"/>
      </c>
      <c r="AD43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L43" t="s">
        <v>37</v>
      </c>
      <c r="AM43">
        <v>0</v>
      </c>
      <c r="GM43" s="7"/>
      <c r="GN43">
        <f ca="1"/>
      </c>
      <c r="GO43">
        <f ca="1"/>
      </c>
      <c r="GP43">
        <f ca="1"/>
      </c>
      <c r="GQ43">
        <f ca="1"/>
      </c>
    </row>
    <row r="44" spans="1:199" x14ac:dyDescent="0.55000000000000004">
      <c r="A44" s="2"/>
      <c r="B44">
        <f t="shared" si="3"/>
      </c>
      <c r="C44" s="2" t="s">
        <v>316</v>
      </c>
      <c r="D44" s="2" t="s">
        <v>291</v>
      </c>
      <c r="E44" s="2">
        <v>-1</v>
      </c>
      <c r="F44" s="2" t="s">
        <v>296</v>
      </c>
      <c r="G44" s="2">
        <v>1</v>
      </c>
      <c r="H44" s="2"/>
      <c r="I44" s="2"/>
      <c r="J44" s="14" cm="1">
        <f t="array" aca="1" ref="J44" ca="1">IF(D44="","",100*(N(E44)*FWM_LiveOf(D44)+N(G44)*FWM_LiveOf(F44)+N(I44)*FWM_LiveOf(H44)))</f>
      </c>
      <c r="K44" s="44" cm="1">
        <f t="array" aca="1" ref="K44" ca="1">IF(D44="","",_xlfn.LET(_xlpm.x,FWM_Row(6,""),J44-INDEX(_xlpm.x,ROWS(_xlpm.x))))</f>
      </c>
      <c r="L44" s="44" cm="1">
        <f t="array" aca="1" ref="L44" ca="1">IF(D44="","",_xlfn.LET(_xlpm.x,FWM_Row(6,""),J44-INDEX(_xlpm.x,ROWS(_xlpm.x)-20)))</f>
      </c>
      <c r="M44" s="11" cm="1">
        <f t="array" ref="M44">IF(D44="","",FWM_Sigma(FWM_Row(6," dF")))</f>
      </c>
      <c r="N44" s="45">
        <f t="shared" ca="1" si="4"/>
      </c>
      <c r="O44" s="45" cm="1">
        <f t="array" aca="1" ref="O44" ca="1">IF(D44="","",_xlfn.LET(_xlpm.x,FWM_Row(6,""),(J44-INDEX(_xlpm.x,ROWS(_xlpm.x)-4))/(M44*SQRT(5))))</f>
      </c>
      <c r="AA44">
        <f ca="1"/>
      </c>
      <c r="AB44">
        <f ca="1"/>
      </c>
      <c r="AC44">
        <f ca="1"/>
      </c>
      <c r="AD44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L44" t="s">
        <v>38</v>
      </c>
      <c r="AM44">
        <v>0</v>
      </c>
      <c r="GM44" s="7"/>
      <c r="GN44">
        <f ca="1"/>
      </c>
      <c r="GO44">
        <f ca="1"/>
      </c>
      <c r="GP44">
        <f ca="1"/>
      </c>
      <c r="GQ44">
        <f ca="1"/>
      </c>
    </row>
    <row r="45" spans="1:199" x14ac:dyDescent="0.55000000000000004">
      <c r="A45" s="2"/>
      <c r="B45">
        <f t="shared" si="3"/>
      </c>
      <c r="C45" s="2" t="s">
        <v>316</v>
      </c>
      <c r="D45" s="2"/>
      <c r="E45" s="2"/>
      <c r="F45" s="2"/>
      <c r="G45" s="2"/>
      <c r="H45" s="2"/>
      <c r="I45" s="2"/>
      <c r="J45" s="14" cm="1">
        <f t="array" ref="J45">IF(D45="","",100*(N(E45)*FWM_LiveOf(D45)+N(G45)*FWM_LiveOf(F45)+N(I45)*FWM_LiveOf(H45)))</f>
      </c>
      <c r="K45" s="44" cm="1">
        <f t="array" ref="K45">IF(D45="","",_xlfn.LET(_xlpm.x,FWM_Row(7,""),J45-INDEX(_xlpm.x,ROWS(_xlpm.x))))</f>
      </c>
      <c r="L45" s="44" cm="1">
        <f t="array" ref="L45">IF(D45="","",_xlfn.LET(_xlpm.x,FWM_Row(7,""),J45-INDEX(_xlpm.x,ROWS(_xlpm.x)-20)))</f>
      </c>
      <c r="M45" s="11" cm="1">
        <f t="array" ref="M45">IF(D45="","",FWM_Sigma(FWM_Row(7," dF")))</f>
      </c>
      <c r="N45" s="45">
        <f t="shared" si="4"/>
      </c>
      <c r="O45" s="45" cm="1">
        <f t="array" ref="O45">IF(D45="","",_xlfn.LET(_xlpm.x,FWM_Row(7,""),(J45-INDEX(_xlpm.x,ROWS(_xlpm.x)-4))/(M45*SQRT(5))))</f>
      </c>
      <c r="AA45">
        <f ca="1"/>
      </c>
      <c r="AB45">
        <f ca="1"/>
      </c>
      <c r="AC45">
        <f ca="1"/>
      </c>
      <c r="AD45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L45" t="s">
        <v>39</v>
      </c>
      <c r="AM45">
        <v>0</v>
      </c>
      <c r="GM45" s="7"/>
      <c r="GN45">
        <f ca="1"/>
      </c>
      <c r="GO45">
        <f ca="1"/>
      </c>
      <c r="GP45">
        <f ca="1"/>
      </c>
      <c r="GQ45">
        <f ca="1"/>
      </c>
    </row>
    <row r="46" spans="1:199" x14ac:dyDescent="0.55000000000000004">
      <c r="A46" s="2"/>
      <c r="B46">
        <f t="shared" si="3"/>
      </c>
      <c r="C46" s="2" t="s">
        <v>316</v>
      </c>
      <c r="D46" s="2"/>
      <c r="E46" s="2"/>
      <c r="F46" s="2"/>
      <c r="G46" s="2"/>
      <c r="H46" s="2"/>
      <c r="I46" s="2"/>
      <c r="J46" s="14" cm="1">
        <f t="array" ref="J46">IF(D46="","",100*(N(E46)*FWM_LiveOf(D46)+N(G46)*FWM_LiveOf(F46)+N(I46)*FWM_LiveOf(H46)))</f>
      </c>
      <c r="K46" s="44" cm="1">
        <f t="array" ref="K46">IF(D46="","",_xlfn.LET(_xlpm.x,FWM_Row(8,""),J46-INDEX(_xlpm.x,ROWS(_xlpm.x))))</f>
      </c>
      <c r="L46" s="44" cm="1">
        <f t="array" ref="L46">IF(D46="","",_xlfn.LET(_xlpm.x,FWM_Row(8,""),J46-INDEX(_xlpm.x,ROWS(_xlpm.x)-20)))</f>
      </c>
      <c r="M46" s="11" cm="1">
        <f t="array" ref="M46">IF(D46="","",FWM_Sigma(FWM_Row(8," dF")))</f>
      </c>
      <c r="N46" s="45">
        <f t="shared" si="4"/>
      </c>
      <c r="O46" s="45" cm="1">
        <f t="array" ref="O46">IF(D46="","",_xlfn.LET(_xlpm.x,FWM_Row(8,""),(J46-INDEX(_xlpm.x,ROWS(_xlpm.x)-4))/(M46*SQRT(5))))</f>
      </c>
      <c r="AA46">
        <f ca="1"/>
      </c>
      <c r="AB46">
        <f ca="1"/>
      </c>
      <c r="AC46">
        <f ca="1"/>
      </c>
      <c r="AD46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L46" t="s">
        <v>40</v>
      </c>
      <c r="AM46">
        <v>0</v>
      </c>
      <c r="GM46" s="7"/>
      <c r="GN46">
        <f ca="1"/>
      </c>
      <c r="GO46">
        <f ca="1"/>
      </c>
      <c r="GP46">
        <f ca="1"/>
      </c>
      <c r="GQ46">
        <f ca="1"/>
      </c>
    </row>
    <row r="47" spans="1:199" x14ac:dyDescent="0.55000000000000004">
      <c r="A47" s="2"/>
      <c r="B47">
        <f t="shared" si="3"/>
      </c>
      <c r="C47" s="2" t="s">
        <v>316</v>
      </c>
      <c r="D47" s="2"/>
      <c r="E47" s="2"/>
      <c r="F47" s="2"/>
      <c r="G47" s="2"/>
      <c r="H47" s="2"/>
      <c r="I47" s="2"/>
      <c r="J47" s="14" cm="1">
        <f t="array" ref="J47">IF(D47="","",100*(N(E47)*FWM_LiveOf(D47)+N(G47)*FWM_LiveOf(F47)+N(I47)*FWM_LiveOf(H47)))</f>
      </c>
      <c r="K47" s="44" cm="1">
        <f t="array" ref="K47">IF(D47="","",_xlfn.LET(_xlpm.x,FWM_Row(9,""),J47-INDEX(_xlpm.x,ROWS(_xlpm.x))))</f>
      </c>
      <c r="L47" s="44" cm="1">
        <f t="array" ref="L47">IF(D47="","",_xlfn.LET(_xlpm.x,FWM_Row(9,""),J47-INDEX(_xlpm.x,ROWS(_xlpm.x)-20)))</f>
      </c>
      <c r="M47" s="11" cm="1">
        <f t="array" ref="M47">IF(D47="","",FWM_Sigma(FWM_Row(9," dF")))</f>
      </c>
      <c r="N47" s="45">
        <f t="shared" si="4"/>
      </c>
      <c r="O47" s="45" cm="1">
        <f t="array" ref="O47">IF(D47="","",_xlfn.LET(_xlpm.x,FWM_Row(9,""),(J47-INDEX(_xlpm.x,ROWS(_xlpm.x)-4))/(M47*SQRT(5))))</f>
      </c>
      <c r="AL47" t="s">
        <v>110</v>
      </c>
      <c r="AM47">
        <v>0</v>
      </c>
      <c r="GM47" s="7"/>
      <c r="GN47">
        <f ca="1"/>
      </c>
      <c r="GO47">
        <f ca="1"/>
      </c>
      <c r="GP47">
        <f ca="1"/>
      </c>
      <c r="GQ47">
        <f ca="1"/>
      </c>
    </row>
    <row r="48" spans="1:199" x14ac:dyDescent="0.55000000000000004">
      <c r="A48" s="2"/>
      <c r="B48">
        <f t="shared" si="3"/>
      </c>
      <c r="C48" s="2" t="s">
        <v>316</v>
      </c>
      <c r="D48" s="2"/>
      <c r="E48" s="2"/>
      <c r="F48" s="2"/>
      <c r="G48" s="2"/>
      <c r="H48" s="2"/>
      <c r="I48" s="2"/>
      <c r="J48" s="14" cm="1">
        <f t="array" ref="J48">IF(D48="","",100*(N(E48)*FWM_LiveOf(D48)+N(G48)*FWM_LiveOf(F48)+N(I48)*FWM_LiveOf(H48)))</f>
      </c>
      <c r="K48" s="44" cm="1">
        <f t="array" ref="K48">IF(D48="","",_xlfn.LET(_xlpm.x,FWM_Row(10,""),J48-INDEX(_xlpm.x,ROWS(_xlpm.x))))</f>
      </c>
      <c r="L48" s="44" cm="1">
        <f t="array" ref="L48">IF(D48="","",_xlfn.LET(_xlpm.x,FWM_Row(10,""),J48-INDEX(_xlpm.x,ROWS(_xlpm.x)-20)))</f>
      </c>
      <c r="M48" s="11" cm="1">
        <f t="array" ref="M48">IF(D48="","",FWM_Sigma(FWM_Row(10," dF")))</f>
      </c>
      <c r="N48" s="45">
        <f t="shared" si="4"/>
      </c>
      <c r="O48" s="45" cm="1">
        <f t="array" ref="O48">IF(D48="","",_xlfn.LET(_xlpm.x,FWM_Row(10,""),(J48-INDEX(_xlpm.x,ROWS(_xlpm.x)-4))/(M48*SQRT(5))))</f>
      </c>
      <c r="GM48" s="7"/>
      <c r="GN48">
        <f ca="1"/>
      </c>
      <c r="GO48">
        <f ca="1"/>
      </c>
      <c r="GP48">
        <f ca="1"/>
      </c>
      <c r="GQ48">
        <f ca="1"/>
      </c>
    </row>
    <row r="49" spans="1:199" x14ac:dyDescent="0.55000000000000004">
      <c r="A49" t="s">
        <v>318</v>
      </c>
      <c r="GM49" s="7"/>
      <c r="GN49">
        <f ca="1"/>
      </c>
      <c r="GO49">
        <f ca="1"/>
      </c>
      <c r="GP49">
        <f ca="1"/>
      </c>
      <c r="GQ49">
        <f ca="1"/>
      </c>
    </row>
    <row r="50" spans="1:199" x14ac:dyDescent="0.55000000000000004">
      <c r="GM50" s="7"/>
      <c r="GN50">
        <f ca="1"/>
      </c>
      <c r="GO50">
        <f ca="1"/>
      </c>
      <c r="GP50">
        <f ca="1"/>
      </c>
      <c r="GQ50">
        <f ca="1"/>
      </c>
    </row>
    <row r="51" spans="1:199" x14ac:dyDescent="0.55000000000000004">
      <c r="GM51" s="7"/>
      <c r="GN51">
        <f ca="1"/>
      </c>
      <c r="GO51">
        <f ca="1"/>
      </c>
      <c r="GP51">
        <f ca="1"/>
      </c>
      <c r="GQ51">
        <f ca="1"/>
      </c>
    </row>
    <row r="52" spans="1:199" x14ac:dyDescent="0.55000000000000004">
      <c r="GM52" s="7"/>
      <c r="GN52">
        <f ca="1"/>
      </c>
      <c r="GO52">
        <f ca="1"/>
      </c>
      <c r="GP52">
        <f ca="1"/>
      </c>
      <c r="GQ52">
        <f ca="1"/>
      </c>
    </row>
    <row r="53" spans="1:199" x14ac:dyDescent="0.55000000000000004">
      <c r="GM53" s="7"/>
      <c r="GN53">
        <f ca="1"/>
      </c>
      <c r="GO53">
        <f ca="1"/>
      </c>
      <c r="GP53">
        <f ca="1"/>
      </c>
      <c r="GQ53">
        <f ca="1"/>
      </c>
    </row>
    <row r="54" spans="1:199" x14ac:dyDescent="0.55000000000000004">
      <c r="GM54" s="7"/>
      <c r="GN54">
        <f ca="1"/>
      </c>
      <c r="GO54">
        <f ca="1"/>
      </c>
      <c r="GP54">
        <f ca="1"/>
      </c>
      <c r="GQ54">
        <f ca="1"/>
      </c>
    </row>
    <row r="55" spans="1:199" x14ac:dyDescent="0.55000000000000004">
      <c r="GM55" s="7"/>
      <c r="GN55">
        <f ca="1"/>
      </c>
      <c r="GO55">
        <f ca="1"/>
      </c>
      <c r="GP55">
        <f ca="1"/>
      </c>
      <c r="GQ55">
        <f ca="1"/>
      </c>
    </row>
    <row r="56" spans="1:199" x14ac:dyDescent="0.55000000000000004">
      <c r="GM56" s="7"/>
      <c r="GN56">
        <f ca="1"/>
      </c>
      <c r="GO56">
        <f ca="1"/>
      </c>
      <c r="GP56">
        <f ca="1"/>
      </c>
      <c r="GQ56">
        <f ca="1"/>
      </c>
    </row>
    <row r="57" spans="1:199" x14ac:dyDescent="0.55000000000000004">
      <c r="GM57" s="7"/>
      <c r="GN57">
        <f ca="1"/>
      </c>
      <c r="GO57">
        <f ca="1"/>
      </c>
      <c r="GP57">
        <f ca="1"/>
      </c>
      <c r="GQ57">
        <f ca="1"/>
      </c>
    </row>
    <row r="58" spans="1:199" x14ac:dyDescent="0.55000000000000004">
      <c r="GM58" s="7"/>
      <c r="GN58">
        <f ca="1"/>
      </c>
      <c r="GO58">
        <f ca="1"/>
      </c>
      <c r="GP58">
        <f ca="1"/>
      </c>
      <c r="GQ58">
        <f ca="1"/>
      </c>
    </row>
    <row r="59" spans="1:199" x14ac:dyDescent="0.55000000000000004">
      <c r="GM59" s="7"/>
      <c r="GN59">
        <f ca="1"/>
      </c>
      <c r="GO59">
        <f ca="1"/>
      </c>
      <c r="GP59">
        <f ca="1"/>
      </c>
      <c r="GQ59">
        <f ca="1"/>
      </c>
    </row>
    <row r="60" spans="1:199" x14ac:dyDescent="0.55000000000000004">
      <c r="GM60" s="7"/>
      <c r="GN60">
        <f ca="1"/>
      </c>
      <c r="GO60">
        <f ca="1"/>
      </c>
      <c r="GP60">
        <f ca="1"/>
      </c>
      <c r="GQ60">
        <f ca="1"/>
      </c>
    </row>
    <row r="61" spans="1:199" x14ac:dyDescent="0.55000000000000004">
      <c r="GM61" s="7"/>
      <c r="GN61">
        <f ca="1"/>
      </c>
      <c r="GO61">
        <f ca="1"/>
      </c>
      <c r="GP61">
        <f ca="1"/>
      </c>
      <c r="GQ61">
        <f ca="1"/>
      </c>
    </row>
    <row r="62" spans="1:199" x14ac:dyDescent="0.55000000000000004">
      <c r="GM62" s="7"/>
      <c r="GN62">
        <f ca="1"/>
      </c>
      <c r="GO62">
        <f ca="1"/>
      </c>
      <c r="GP62">
        <f ca="1"/>
      </c>
      <c r="GQ62">
        <f ca="1"/>
      </c>
    </row>
    <row r="63" spans="1:199" x14ac:dyDescent="0.55000000000000004">
      <c r="GM63" s="7"/>
      <c r="GN63">
        <f ca="1"/>
      </c>
      <c r="GO63">
        <f ca="1"/>
      </c>
      <c r="GP63">
        <f ca="1"/>
      </c>
      <c r="GQ63">
        <f ca="1"/>
      </c>
    </row>
    <row r="64" spans="1:199" x14ac:dyDescent="0.55000000000000004">
      <c r="GM64" s="7"/>
      <c r="GN64">
        <f ca="1"/>
      </c>
      <c r="GO64">
        <f ca="1"/>
      </c>
      <c r="GP64">
        <f ca="1"/>
      </c>
      <c r="GQ64">
        <f ca="1"/>
      </c>
    </row>
    <row r="65" spans="41:199" x14ac:dyDescent="0.55000000000000004">
      <c r="GM65" s="7"/>
      <c r="GN65">
        <f ca="1"/>
      </c>
      <c r="GO65">
        <f ca="1"/>
      </c>
      <c r="GP65">
        <f ca="1"/>
      </c>
      <c r="GQ65">
        <f ca="1"/>
      </c>
    </row>
    <row r="66" spans="41:199" x14ac:dyDescent="0.55000000000000004">
      <c r="GM66" s="7"/>
      <c r="GN66">
        <f ca="1"/>
      </c>
      <c r="GO66">
        <f ca="1"/>
      </c>
      <c r="GP66">
        <f ca="1"/>
      </c>
      <c r="GQ66">
        <f ca="1"/>
      </c>
    </row>
    <row r="67" spans="41:199" x14ac:dyDescent="0.55000000000000004">
      <c r="GM67" s="7"/>
      <c r="GN67">
        <f ca="1"/>
      </c>
      <c r="GO67">
        <f ca="1"/>
      </c>
      <c r="GP67">
        <f ca="1"/>
      </c>
      <c r="GQ67">
        <f ca="1"/>
      </c>
    </row>
    <row r="68" spans="41:199" x14ac:dyDescent="0.55000000000000004">
      <c r="GM68" s="7"/>
      <c r="GN68">
        <f ca="1"/>
      </c>
      <c r="GO68">
        <f ca="1"/>
      </c>
      <c r="GP68">
        <f ca="1"/>
      </c>
      <c r="GQ68">
        <f ca="1"/>
      </c>
    </row>
    <row r="69" spans="41:199" x14ac:dyDescent="0.55000000000000004">
      <c r="GM69" s="7"/>
      <c r="GN69">
        <f ca="1"/>
      </c>
      <c r="GO69">
        <f ca="1"/>
      </c>
      <c r="GP69">
        <f ca="1"/>
      </c>
      <c r="GQ69">
        <f ca="1"/>
      </c>
    </row>
    <row r="70" spans="41:199" x14ac:dyDescent="0.55000000000000004">
      <c r="GM70" s="7"/>
      <c r="GN70">
        <f ca="1"/>
      </c>
      <c r="GO70">
        <f ca="1"/>
      </c>
      <c r="GP70">
        <f ca="1"/>
      </c>
      <c r="GQ70">
        <f ca="1"/>
      </c>
    </row>
    <row r="71" spans="41:199" x14ac:dyDescent="0.55000000000000004">
      <c r="GM71" s="7"/>
      <c r="GN71">
        <f ca="1"/>
      </c>
      <c r="GO71">
        <f ca="1"/>
      </c>
      <c r="GP71">
        <f ca="1"/>
      </c>
      <c r="GQ71">
        <f ca="1"/>
      </c>
    </row>
    <row r="72" spans="41:199" x14ac:dyDescent="0.55000000000000004">
      <c r="GM72" s="7"/>
      <c r="GN72">
        <f ca="1"/>
      </c>
      <c r="GO72">
        <f ca="1"/>
      </c>
      <c r="GP72">
        <f ca="1"/>
      </c>
      <c r="GQ72">
        <f ca="1"/>
      </c>
    </row>
    <row r="73" spans="41:199" x14ac:dyDescent="0.55000000000000004">
      <c r="GM73" s="7"/>
      <c r="GN73">
        <f ca="1"/>
      </c>
      <c r="GO73">
        <f ca="1"/>
      </c>
      <c r="GP73">
        <f ca="1"/>
      </c>
      <c r="GQ73">
        <f ca="1"/>
      </c>
    </row>
    <row r="74" spans="41:199" x14ac:dyDescent="0.55000000000000004">
      <c r="GM74" s="7"/>
      <c r="GN74">
        <f ca="1"/>
      </c>
      <c r="GO74">
        <f ca="1"/>
      </c>
      <c r="GP74">
        <f ca="1"/>
      </c>
      <c r="GQ74">
        <f ca="1"/>
      </c>
    </row>
    <row r="75" spans="41:199" x14ac:dyDescent="0.55000000000000004">
      <c r="GM75" s="7"/>
      <c r="GN75">
        <f ca="1"/>
      </c>
      <c r="GO75">
        <f ca="1"/>
      </c>
      <c r="GP75">
        <f ca="1"/>
      </c>
      <c r="GQ75">
        <f ca="1"/>
      </c>
    </row>
    <row r="76" spans="41:199" x14ac:dyDescent="0.55000000000000004">
      <c r="GM76" s="7"/>
      <c r="GN76">
        <f ca="1"/>
      </c>
      <c r="GO76">
        <f ca="1"/>
      </c>
      <c r="GP76">
        <f ca="1"/>
      </c>
      <c r="GQ76">
        <f ca="1"/>
      </c>
    </row>
    <row r="77" spans="41:199" x14ac:dyDescent="0.55000000000000004">
      <c r="GM77" s="7"/>
      <c r="GN77">
        <f ca="1"/>
      </c>
      <c r="GO77">
        <f ca="1"/>
      </c>
      <c r="GP77">
        <f ca="1"/>
      </c>
      <c r="GQ77">
        <f ca="1"/>
      </c>
    </row>
    <row r="78" spans="41:199" x14ac:dyDescent="0.55000000000000004">
      <c r="GM78" s="7"/>
      <c r="GN78">
        <f ca="1"/>
      </c>
      <c r="GO78">
        <f ca="1"/>
      </c>
      <c r="GP78">
        <f ca="1"/>
      </c>
      <c r="GQ78">
        <f ca="1"/>
      </c>
    </row>
    <row r="79" spans="41:199" x14ac:dyDescent="0.55000000000000004">
      <c r="GM79" s="7"/>
      <c r="GN79">
        <f ca="1"/>
      </c>
      <c r="GO79">
        <f ca="1"/>
      </c>
      <c r="GP79">
        <f ca="1"/>
      </c>
      <c r="GQ79">
        <f ca="1"/>
      </c>
    </row>
    <row r="80" spans="41:199" x14ac:dyDescent="0.55000000000000004">
      <c r="GM80" s="7"/>
      <c r="GN80">
        <f ca="1"/>
      </c>
      <c r="GO80">
        <f ca="1"/>
      </c>
      <c r="GP80">
        <f ca="1"/>
      </c>
      <c r="GQ80">
        <f ca="1"/>
      </c>
    </row>
    <row r="81" spans="41:199" x14ac:dyDescent="0.55000000000000004">
      <c r="GM81" s="7"/>
      <c r="GN81">
        <f ca="1"/>
      </c>
      <c r="GO81">
        <f ca="1"/>
      </c>
      <c r="GP81">
        <f ca="1"/>
      </c>
      <c r="GQ81">
        <f ca="1"/>
      </c>
    </row>
    <row r="82" spans="41:199" x14ac:dyDescent="0.55000000000000004">
      <c r="GM82" s="7"/>
      <c r="GN82">
        <f ca="1"/>
      </c>
      <c r="GO82">
        <f ca="1"/>
      </c>
      <c r="GP82">
        <f ca="1"/>
      </c>
      <c r="GQ82">
        <f ca="1"/>
      </c>
    </row>
    <row r="83" spans="41:199" x14ac:dyDescent="0.55000000000000004">
      <c r="GM83" s="7"/>
      <c r="GN83">
        <f ca="1"/>
      </c>
      <c r="GO83">
        <f ca="1"/>
      </c>
      <c r="GP83">
        <f ca="1"/>
      </c>
      <c r="GQ83">
        <f ca="1"/>
      </c>
    </row>
    <row r="84" spans="41:199" x14ac:dyDescent="0.55000000000000004">
      <c r="GM84" s="7"/>
      <c r="GN84">
        <f ca="1"/>
      </c>
      <c r="GO84">
        <f ca="1"/>
      </c>
      <c r="GP84">
        <f ca="1"/>
      </c>
      <c r="GQ84">
        <f ca="1"/>
      </c>
    </row>
    <row r="85" spans="41:199" x14ac:dyDescent="0.55000000000000004">
      <c r="GM85" s="7"/>
      <c r="GN85">
        <f ca="1"/>
      </c>
      <c r="GO85">
        <f ca="1"/>
      </c>
      <c r="GP85">
        <f ca="1"/>
      </c>
      <c r="GQ85">
        <f ca="1"/>
      </c>
    </row>
    <row r="86" spans="41:199" x14ac:dyDescent="0.55000000000000004">
      <c r="GM86" s="7"/>
      <c r="GN86">
        <f ca="1"/>
      </c>
      <c r="GO86">
        <f ca="1"/>
      </c>
      <c r="GP86">
        <f ca="1"/>
      </c>
      <c r="GQ86">
        <f ca="1"/>
      </c>
    </row>
    <row r="87" spans="41:199" x14ac:dyDescent="0.55000000000000004">
      <c r="GM87" s="7"/>
      <c r="GN87">
        <f ca="1"/>
      </c>
      <c r="GO87">
        <f ca="1"/>
      </c>
      <c r="GP87">
        <f ca="1"/>
      </c>
      <c r="GQ87">
        <f ca="1"/>
      </c>
    </row>
    <row r="88" spans="41:199" x14ac:dyDescent="0.55000000000000004">
      <c r="GM88" s="7"/>
      <c r="GN88">
        <f ca="1"/>
      </c>
      <c r="GO88">
        <f ca="1"/>
      </c>
      <c r="GP88">
        <f ca="1"/>
      </c>
      <c r="GQ88">
        <f ca="1"/>
      </c>
    </row>
    <row r="89" spans="41:199" x14ac:dyDescent="0.55000000000000004">
      <c r="GM89" s="7"/>
      <c r="GN89">
        <f ca="1"/>
      </c>
      <c r="GO89">
        <f ca="1"/>
      </c>
      <c r="GP89">
        <f ca="1"/>
      </c>
      <c r="GQ89">
        <f ca="1"/>
      </c>
    </row>
    <row r="90" spans="41:199" x14ac:dyDescent="0.55000000000000004">
      <c r="GM90" s="7"/>
      <c r="GN90">
        <f ca="1"/>
      </c>
      <c r="GO90">
        <f ca="1"/>
      </c>
      <c r="GP90">
        <f ca="1"/>
      </c>
      <c r="GQ90">
        <f ca="1"/>
      </c>
    </row>
    <row r="91" spans="41:199" x14ac:dyDescent="0.55000000000000004">
      <c r="GM91" s="7"/>
      <c r="GN91">
        <f ca="1"/>
      </c>
      <c r="GO91">
        <f ca="1"/>
      </c>
      <c r="GP91">
        <f ca="1"/>
      </c>
      <c r="GQ91">
        <f ca="1"/>
      </c>
    </row>
    <row r="92" spans="41:199" x14ac:dyDescent="0.55000000000000004">
      <c r="GM92" s="7"/>
      <c r="GN92">
        <f ca="1"/>
      </c>
      <c r="GO92">
        <f ca="1"/>
      </c>
      <c r="GP92">
        <f ca="1"/>
      </c>
      <c r="GQ92">
        <f ca="1"/>
      </c>
    </row>
    <row r="93" spans="41:199" x14ac:dyDescent="0.55000000000000004">
      <c r="GM93" s="7"/>
      <c r="GN93">
        <f ca="1"/>
      </c>
      <c r="GO93">
        <f ca="1"/>
      </c>
      <c r="GP93">
        <f ca="1"/>
      </c>
      <c r="GQ93">
        <f ca="1"/>
      </c>
    </row>
    <row r="94" spans="41:199" x14ac:dyDescent="0.55000000000000004">
      <c r="GM94" s="7"/>
      <c r="GN94">
        <f ca="1"/>
      </c>
      <c r="GO94">
        <f ca="1"/>
      </c>
      <c r="GP94">
        <f ca="1"/>
      </c>
      <c r="GQ94">
        <f ca="1"/>
      </c>
    </row>
    <row r="95" spans="41:199" x14ac:dyDescent="0.55000000000000004">
      <c r="GM95" s="7"/>
      <c r="GN95">
        <f ca="1"/>
      </c>
      <c r="GO95">
        <f ca="1"/>
      </c>
      <c r="GP95">
        <f ca="1"/>
      </c>
      <c r="GQ95">
        <f ca="1"/>
      </c>
    </row>
    <row r="96" spans="41:199" x14ac:dyDescent="0.55000000000000004">
      <c r="GM96" s="7"/>
      <c r="GN96">
        <f ca="1"/>
      </c>
      <c r="GO96">
        <f ca="1"/>
      </c>
      <c r="GP96">
        <f ca="1"/>
      </c>
      <c r="GQ96">
        <f ca="1"/>
      </c>
    </row>
    <row r="97" spans="41:199" x14ac:dyDescent="0.55000000000000004">
      <c r="GM97" s="7"/>
      <c r="GN97">
        <f ca="1"/>
      </c>
      <c r="GO97">
        <f ca="1"/>
      </c>
      <c r="GP97">
        <f ca="1"/>
      </c>
      <c r="GQ97">
        <f ca="1"/>
      </c>
    </row>
    <row r="98" spans="41:199" x14ac:dyDescent="0.55000000000000004">
      <c r="GM98" s="7"/>
      <c r="GN98">
        <f ca="1"/>
      </c>
      <c r="GO98">
        <f ca="1"/>
      </c>
      <c r="GP98">
        <f ca="1"/>
      </c>
      <c r="GQ98">
        <f ca="1"/>
      </c>
    </row>
    <row r="99" spans="41:199" x14ac:dyDescent="0.55000000000000004">
      <c r="GM99" s="7"/>
      <c r="GN99">
        <f ca="1"/>
      </c>
      <c r="GO99">
        <f ca="1"/>
      </c>
      <c r="GP99">
        <f ca="1"/>
      </c>
      <c r="GQ99">
        <f ca="1"/>
      </c>
    </row>
    <row r="100" spans="41:199" x14ac:dyDescent="0.55000000000000004">
      <c r="GM100" s="7"/>
      <c r="GN100">
        <f ca="1"/>
      </c>
      <c r="GO100">
        <f ca="1"/>
      </c>
      <c r="GP100">
        <f ca="1"/>
      </c>
      <c r="GQ100">
        <f ca="1"/>
      </c>
    </row>
    <row r="101" spans="41:199" x14ac:dyDescent="0.55000000000000004">
      <c r="GM101" s="7"/>
      <c r="GN101">
        <f ca="1"/>
      </c>
      <c r="GO101">
        <f ca="1"/>
      </c>
      <c r="GP101">
        <f ca="1"/>
      </c>
      <c r="GQ101">
        <f ca="1"/>
      </c>
    </row>
    <row r="102" spans="41:199" x14ac:dyDescent="0.55000000000000004">
      <c r="GM102" s="7"/>
      <c r="GN102">
        <f ca="1"/>
      </c>
      <c r="GO102">
        <f ca="1"/>
      </c>
      <c r="GP102">
        <f ca="1"/>
      </c>
      <c r="GQ102">
        <f ca="1"/>
      </c>
    </row>
    <row r="103" spans="41:199" x14ac:dyDescent="0.55000000000000004">
      <c r="GM103" s="7"/>
      <c r="GN103">
        <f ca="1"/>
      </c>
      <c r="GO103">
        <f ca="1"/>
      </c>
      <c r="GP103">
        <f ca="1"/>
      </c>
      <c r="GQ103">
        <f ca="1"/>
      </c>
    </row>
    <row r="104" spans="41:199" x14ac:dyDescent="0.55000000000000004">
      <c r="GM104" s="7"/>
      <c r="GN104">
        <f ca="1"/>
      </c>
      <c r="GO104">
        <f ca="1"/>
      </c>
      <c r="GP104">
        <f ca="1"/>
      </c>
      <c r="GQ104">
        <f ca="1"/>
      </c>
    </row>
    <row r="105" spans="41:199" x14ac:dyDescent="0.55000000000000004">
      <c r="GM105" s="7"/>
      <c r="GN105">
        <f ca="1"/>
      </c>
      <c r="GO105">
        <f ca="1"/>
      </c>
      <c r="GP105">
        <f ca="1"/>
      </c>
      <c r="GQ105">
        <f ca="1"/>
      </c>
    </row>
    <row r="106" spans="41:199" x14ac:dyDescent="0.55000000000000004">
      <c r="GM106" s="7"/>
      <c r="GN106">
        <f ca="1"/>
      </c>
      <c r="GO106">
        <f ca="1"/>
      </c>
      <c r="GP106">
        <f ca="1"/>
      </c>
      <c r="GQ106">
        <f ca="1"/>
      </c>
    </row>
    <row r="107" spans="41:199" x14ac:dyDescent="0.55000000000000004">
      <c r="GM107" s="7"/>
      <c r="GN107">
        <f ca="1"/>
      </c>
      <c r="GO107">
        <f ca="1"/>
      </c>
      <c r="GP107">
        <f ca="1"/>
      </c>
      <c r="GQ107">
        <f ca="1"/>
      </c>
    </row>
    <row r="108" spans="41:199" x14ac:dyDescent="0.55000000000000004">
      <c r="GM108" s="7"/>
      <c r="GN108">
        <f ca="1"/>
      </c>
      <c r="GO108">
        <f ca="1"/>
      </c>
      <c r="GP108">
        <f ca="1"/>
      </c>
      <c r="GQ108">
        <f ca="1"/>
      </c>
    </row>
    <row r="109" spans="41:199" x14ac:dyDescent="0.55000000000000004">
      <c r="GM109" s="7"/>
      <c r="GN109">
        <f ca="1"/>
      </c>
      <c r="GO109">
        <f ca="1"/>
      </c>
      <c r="GP109">
        <f ca="1"/>
      </c>
      <c r="GQ109">
        <f ca="1"/>
      </c>
    </row>
    <row r="110" spans="41:199" x14ac:dyDescent="0.55000000000000004">
      <c r="GM110" s="7"/>
      <c r="GN110">
        <f ca="1"/>
      </c>
      <c r="GO110">
        <f ca="1"/>
      </c>
      <c r="GP110">
        <f ca="1"/>
      </c>
      <c r="GQ110">
        <f ca="1"/>
      </c>
    </row>
    <row r="111" spans="41:199" x14ac:dyDescent="0.55000000000000004">
      <c r="GM111" s="7"/>
      <c r="GN111">
        <f ca="1"/>
      </c>
      <c r="GO111">
        <f ca="1"/>
      </c>
      <c r="GP111">
        <f ca="1"/>
      </c>
      <c r="GQ111">
        <f ca="1"/>
      </c>
    </row>
    <row r="112" spans="41:199" x14ac:dyDescent="0.55000000000000004">
      <c r="GM112" s="7"/>
      <c r="GN112">
        <f ca="1"/>
      </c>
      <c r="GO112">
        <f ca="1"/>
      </c>
      <c r="GP112">
        <f ca="1"/>
      </c>
      <c r="GQ112">
        <f ca="1"/>
      </c>
    </row>
    <row r="113" spans="41:199" x14ac:dyDescent="0.55000000000000004">
      <c r="GM113" s="7"/>
      <c r="GN113">
        <f ca="1"/>
      </c>
      <c r="GO113">
        <f ca="1"/>
      </c>
      <c r="GP113">
        <f ca="1"/>
      </c>
      <c r="GQ113">
        <f ca="1"/>
      </c>
    </row>
    <row r="114" spans="41:199" x14ac:dyDescent="0.55000000000000004">
      <c r="GM114" s="7"/>
      <c r="GN114">
        <f ca="1"/>
      </c>
      <c r="GO114">
        <f ca="1"/>
      </c>
      <c r="GP114">
        <f ca="1"/>
      </c>
      <c r="GQ114">
        <f ca="1"/>
      </c>
    </row>
    <row r="115" spans="41:199" x14ac:dyDescent="0.55000000000000004">
      <c r="GM115" s="7"/>
      <c r="GN115">
        <f ca="1"/>
      </c>
      <c r="GO115">
        <f ca="1"/>
      </c>
      <c r="GP115">
        <f ca="1"/>
      </c>
      <c r="GQ115">
        <f ca="1"/>
      </c>
    </row>
    <row r="116" spans="41:199" x14ac:dyDescent="0.55000000000000004">
      <c r="GM116" s="7"/>
      <c r="GN116">
        <f ca="1"/>
      </c>
      <c r="GO116">
        <f ca="1"/>
      </c>
      <c r="GP116">
        <f ca="1"/>
      </c>
      <c r="GQ116">
        <f ca="1"/>
      </c>
    </row>
    <row r="117" spans="41:199" x14ac:dyDescent="0.55000000000000004">
      <c r="GM117" s="7"/>
      <c r="GN117">
        <f ca="1"/>
      </c>
      <c r="GO117">
        <f ca="1"/>
      </c>
      <c r="GP117">
        <f ca="1"/>
      </c>
      <c r="GQ117">
        <f ca="1"/>
      </c>
    </row>
    <row r="118" spans="41:199" x14ac:dyDescent="0.55000000000000004">
      <c r="GM118" s="7"/>
      <c r="GN118">
        <f ca="1"/>
      </c>
      <c r="GO118">
        <f ca="1"/>
      </c>
      <c r="GP118">
        <f ca="1"/>
      </c>
      <c r="GQ118">
        <f ca="1"/>
      </c>
    </row>
    <row r="119" spans="41:199" x14ac:dyDescent="0.55000000000000004">
      <c r="GM119" s="7"/>
      <c r="GN119">
        <f ca="1"/>
      </c>
      <c r="GO119">
        <f ca="1"/>
      </c>
      <c r="GP119">
        <f ca="1"/>
      </c>
      <c r="GQ119">
        <f ca="1"/>
      </c>
    </row>
    <row r="120" spans="41:199" x14ac:dyDescent="0.55000000000000004">
      <c r="GM120" s="7"/>
      <c r="GN120">
        <f ca="1"/>
      </c>
      <c r="GO120">
        <f ca="1"/>
      </c>
      <c r="GP120">
        <f ca="1"/>
      </c>
      <c r="GQ120">
        <f ca="1"/>
      </c>
    </row>
    <row r="121" spans="41:199" x14ac:dyDescent="0.55000000000000004">
      <c r="GM121" s="7"/>
      <c r="GN121">
        <f ca="1"/>
      </c>
      <c r="GO121">
        <f ca="1"/>
      </c>
      <c r="GP121">
        <f ca="1"/>
      </c>
      <c r="GQ121">
        <f ca="1"/>
      </c>
    </row>
    <row r="122" spans="41:199" x14ac:dyDescent="0.55000000000000004">
      <c r="GM122" s="7"/>
      <c r="GN122">
        <f ca="1"/>
      </c>
      <c r="GO122">
        <f ca="1"/>
      </c>
      <c r="GP122">
        <f ca="1"/>
      </c>
      <c r="GQ122">
        <f ca="1"/>
      </c>
    </row>
    <row r="123" spans="41:199" x14ac:dyDescent="0.55000000000000004">
      <c r="GM123" s="7"/>
      <c r="GN123">
        <f ca="1"/>
      </c>
      <c r="GO123">
        <f ca="1"/>
      </c>
      <c r="GP123">
        <f ca="1"/>
      </c>
      <c r="GQ123">
        <f ca="1"/>
      </c>
    </row>
    <row r="124" spans="41:199" x14ac:dyDescent="0.55000000000000004">
      <c r="GM124" s="7"/>
      <c r="GN124">
        <f ca="1"/>
      </c>
      <c r="GO124">
        <f ca="1"/>
      </c>
      <c r="GP124">
        <f ca="1"/>
      </c>
      <c r="GQ124">
        <f ca="1"/>
      </c>
    </row>
    <row r="125" spans="41:199" x14ac:dyDescent="0.55000000000000004">
      <c r="GM125" s="7"/>
      <c r="GN125">
        <f ca="1"/>
      </c>
      <c r="GO125">
        <f ca="1"/>
      </c>
      <c r="GP125">
        <f ca="1"/>
      </c>
      <c r="GQ125">
        <f ca="1"/>
      </c>
    </row>
    <row r="126" spans="41:199" x14ac:dyDescent="0.55000000000000004">
      <c r="GM126" s="7"/>
      <c r="GN126">
        <f ca="1"/>
      </c>
      <c r="GO126">
        <f ca="1"/>
      </c>
      <c r="GP126">
        <f ca="1"/>
      </c>
      <c r="GQ126">
        <f ca="1"/>
      </c>
    </row>
    <row r="127" spans="41:199" x14ac:dyDescent="0.55000000000000004">
      <c r="GM127" s="7"/>
      <c r="GN127">
        <f ca="1"/>
      </c>
      <c r="GO127">
        <f ca="1"/>
      </c>
      <c r="GP127">
        <f ca="1"/>
      </c>
      <c r="GQ127">
        <f ca="1"/>
      </c>
    </row>
    <row r="128" spans="41:199" x14ac:dyDescent="0.55000000000000004">
      <c r="GM128" s="7"/>
      <c r="GN128">
        <f ca="1"/>
      </c>
      <c r="GO128">
        <f ca="1"/>
      </c>
      <c r="GP128">
        <f ca="1"/>
      </c>
      <c r="GQ128">
        <f ca="1"/>
      </c>
    </row>
    <row r="129" spans="41:199" x14ac:dyDescent="0.55000000000000004">
      <c r="GM129" s="7"/>
      <c r="GN129">
        <f ca="1"/>
      </c>
      <c r="GO129">
        <f ca="1"/>
      </c>
      <c r="GP129">
        <f ca="1"/>
      </c>
      <c r="GQ129">
        <f ca="1"/>
      </c>
    </row>
    <row r="130" spans="41:199" x14ac:dyDescent="0.55000000000000004">
      <c r="GM130" s="7"/>
      <c r="GN130">
        <f ca="1"/>
      </c>
      <c r="GO130">
        <f ca="1"/>
      </c>
      <c r="GP130">
        <f ca="1"/>
      </c>
      <c r="GQ130">
        <f ca="1"/>
      </c>
    </row>
    <row r="131" spans="41:199" x14ac:dyDescent="0.55000000000000004">
      <c r="GM131" s="7"/>
      <c r="GN131">
        <f ca="1"/>
      </c>
      <c r="GO131">
        <f ca="1"/>
      </c>
      <c r="GP131">
        <f ca="1"/>
      </c>
      <c r="GQ131">
        <f ca="1"/>
      </c>
    </row>
    <row r="132" spans="41:199" x14ac:dyDescent="0.55000000000000004">
      <c r="GM132" s="7"/>
      <c r="GN132">
        <f ca="1"/>
      </c>
      <c r="GO132">
        <f ca="1"/>
      </c>
      <c r="GP132">
        <f ca="1"/>
      </c>
      <c r="GQ132">
        <f ca="1"/>
      </c>
    </row>
    <row r="133" spans="41:199" x14ac:dyDescent="0.55000000000000004">
      <c r="GM133" s="7"/>
      <c r="GN133">
        <f ca="1"/>
      </c>
      <c r="GO133">
        <f ca="1"/>
      </c>
      <c r="GP133">
        <f ca="1"/>
      </c>
      <c r="GQ133">
        <f ca="1"/>
      </c>
    </row>
    <row r="134" spans="41:199" x14ac:dyDescent="0.55000000000000004">
      <c r="GM134" s="7"/>
      <c r="GN134">
        <f ca="1"/>
      </c>
      <c r="GO134">
        <f ca="1"/>
      </c>
      <c r="GP134">
        <f ca="1"/>
      </c>
      <c r="GQ134">
        <f ca="1"/>
      </c>
    </row>
    <row r="135" spans="41:199" x14ac:dyDescent="0.55000000000000004">
      <c r="GM135" s="7"/>
      <c r="GN135">
        <f ca="1"/>
      </c>
      <c r="GO135">
        <f ca="1"/>
      </c>
      <c r="GP135">
        <f ca="1"/>
      </c>
      <c r="GQ135">
        <f ca="1"/>
      </c>
    </row>
    <row r="136" spans="41:199" x14ac:dyDescent="0.55000000000000004">
      <c r="GM136" s="7"/>
      <c r="GN136">
        <f ca="1"/>
      </c>
      <c r="GO136">
        <f ca="1"/>
      </c>
      <c r="GP136">
        <f ca="1"/>
      </c>
      <c r="GQ136">
        <f ca="1"/>
      </c>
    </row>
    <row r="137" spans="41:199" x14ac:dyDescent="0.55000000000000004">
      <c r="GM137" s="7"/>
      <c r="GN137">
        <f ca="1"/>
      </c>
      <c r="GO137">
        <f ca="1"/>
      </c>
      <c r="GP137">
        <f ca="1"/>
      </c>
      <c r="GQ137">
        <f ca="1"/>
      </c>
    </row>
    <row r="138" spans="41:199" x14ac:dyDescent="0.55000000000000004">
      <c r="GM138" s="7"/>
      <c r="GN138">
        <f ca="1"/>
      </c>
      <c r="GO138">
        <f ca="1"/>
      </c>
      <c r="GP138">
        <f ca="1"/>
      </c>
      <c r="GQ138">
        <f ca="1"/>
      </c>
    </row>
    <row r="139" spans="41:199" x14ac:dyDescent="0.55000000000000004">
      <c r="GM139" s="7"/>
      <c r="GN139">
        <f ca="1"/>
      </c>
      <c r="GO139">
        <f ca="1"/>
      </c>
      <c r="GP139">
        <f ca="1"/>
      </c>
      <c r="GQ139">
        <f ca="1"/>
      </c>
    </row>
    <row r="140" spans="41:199" x14ac:dyDescent="0.55000000000000004">
      <c r="GM140" s="7"/>
      <c r="GN140">
        <f ca="1"/>
      </c>
      <c r="GO140">
        <f ca="1"/>
      </c>
      <c r="GP140">
        <f ca="1"/>
      </c>
      <c r="GQ140">
        <f ca="1"/>
      </c>
    </row>
    <row r="141" spans="41:199" x14ac:dyDescent="0.55000000000000004">
      <c r="GM141" s="7"/>
      <c r="GN141">
        <f ca="1"/>
      </c>
      <c r="GO141">
        <f ca="1"/>
      </c>
      <c r="GP141">
        <f ca="1"/>
      </c>
      <c r="GQ141">
        <f ca="1"/>
      </c>
    </row>
    <row r="142" spans="41:199" x14ac:dyDescent="0.55000000000000004">
      <c r="GM142" s="7"/>
      <c r="GN142">
        <f ca="1"/>
      </c>
      <c r="GO142">
        <f ca="1"/>
      </c>
      <c r="GP142">
        <f ca="1"/>
      </c>
      <c r="GQ142">
        <f ca="1"/>
      </c>
    </row>
    <row r="143" spans="41:199" x14ac:dyDescent="0.55000000000000004">
      <c r="GM143" s="7"/>
      <c r="GN143">
        <f ca="1"/>
      </c>
      <c r="GO143">
        <f ca="1"/>
      </c>
      <c r="GP143">
        <f ca="1"/>
      </c>
      <c r="GQ143">
        <f ca="1"/>
      </c>
    </row>
    <row r="144" spans="41:199" x14ac:dyDescent="0.55000000000000004">
      <c r="GM144" s="7"/>
      <c r="GN144">
        <f ca="1"/>
      </c>
      <c r="GO144">
        <f ca="1"/>
      </c>
      <c r="GP144">
        <f ca="1"/>
      </c>
      <c r="GQ144">
        <f ca="1"/>
      </c>
    </row>
    <row r="145" spans="41:199" x14ac:dyDescent="0.55000000000000004">
      <c r="GM145" s="7"/>
      <c r="GN145">
        <f ca="1"/>
      </c>
      <c r="GO145">
        <f ca="1"/>
      </c>
      <c r="GP145">
        <f ca="1"/>
      </c>
      <c r="GQ145">
        <f ca="1"/>
      </c>
    </row>
    <row r="146" spans="41:199" x14ac:dyDescent="0.55000000000000004">
      <c r="GM146" s="7"/>
      <c r="GN146">
        <f ca="1"/>
      </c>
      <c r="GO146">
        <f ca="1"/>
      </c>
      <c r="GP146">
        <f ca="1"/>
      </c>
      <c r="GQ146">
        <f ca="1"/>
      </c>
    </row>
    <row r="147" spans="41:199" x14ac:dyDescent="0.55000000000000004">
      <c r="GM147" s="7"/>
      <c r="GN147">
        <f ca="1"/>
      </c>
      <c r="GO147">
        <f ca="1"/>
      </c>
      <c r="GP147">
        <f ca="1"/>
      </c>
      <c r="GQ147">
        <f ca="1"/>
      </c>
    </row>
    <row r="148" spans="41:199" x14ac:dyDescent="0.55000000000000004">
      <c r="GM148" s="7"/>
      <c r="GN148">
        <f ca="1"/>
      </c>
      <c r="GO148">
        <f ca="1"/>
      </c>
      <c r="GP148">
        <f ca="1"/>
      </c>
      <c r="GQ148">
        <f ca="1"/>
      </c>
    </row>
    <row r="149" spans="41:199" x14ac:dyDescent="0.55000000000000004">
      <c r="GM149" s="7"/>
      <c r="GN149">
        <f ca="1"/>
      </c>
      <c r="GO149">
        <f ca="1"/>
      </c>
      <c r="GP149">
        <f ca="1"/>
      </c>
      <c r="GQ149">
        <f ca="1"/>
      </c>
    </row>
    <row r="150" spans="41:199" x14ac:dyDescent="0.55000000000000004">
      <c r="GM150" s="7"/>
      <c r="GN150">
        <f ca="1"/>
      </c>
      <c r="GO150">
        <f ca="1"/>
      </c>
      <c r="GP150">
        <f ca="1"/>
      </c>
      <c r="GQ150">
        <f ca="1"/>
      </c>
    </row>
    <row r="151" spans="41:199" x14ac:dyDescent="0.55000000000000004">
      <c r="GM151" s="7"/>
      <c r="GN151">
        <f ca="1"/>
      </c>
      <c r="GO151">
        <f ca="1"/>
      </c>
      <c r="GP151">
        <f ca="1"/>
      </c>
      <c r="GQ151">
        <f ca="1"/>
      </c>
    </row>
    <row r="152" spans="41:199" x14ac:dyDescent="0.55000000000000004">
      <c r="GM152" s="7"/>
      <c r="GN152">
        <f ca="1"/>
      </c>
      <c r="GO152">
        <f ca="1"/>
      </c>
      <c r="GP152">
        <f ca="1"/>
      </c>
      <c r="GQ152">
        <f ca="1"/>
      </c>
    </row>
    <row r="153" spans="41:199" x14ac:dyDescent="0.55000000000000004">
      <c r="GM153" s="7"/>
      <c r="GN153">
        <f ca="1"/>
      </c>
      <c r="GO153">
        <f ca="1"/>
      </c>
      <c r="GP153">
        <f ca="1"/>
      </c>
      <c r="GQ153">
        <f ca="1"/>
      </c>
    </row>
    <row r="154" spans="41:199" x14ac:dyDescent="0.55000000000000004">
      <c r="GM154" s="7"/>
      <c r="GN154">
        <f ca="1"/>
      </c>
      <c r="GO154">
        <f ca="1"/>
      </c>
      <c r="GP154">
        <f ca="1"/>
      </c>
      <c r="GQ154">
        <f ca="1"/>
      </c>
    </row>
    <row r="155" spans="41:199" x14ac:dyDescent="0.55000000000000004">
      <c r="GM155" s="7"/>
      <c r="GN155">
        <f ca="1"/>
      </c>
      <c r="GO155">
        <f ca="1"/>
      </c>
      <c r="GP155">
        <f ca="1"/>
      </c>
      <c r="GQ155">
        <f ca="1"/>
      </c>
    </row>
    <row r="156" spans="41:199" x14ac:dyDescent="0.55000000000000004">
      <c r="GM156" s="7"/>
      <c r="GN156">
        <f ca="1"/>
      </c>
      <c r="GO156">
        <f ca="1"/>
      </c>
      <c r="GP156">
        <f ca="1"/>
      </c>
      <c r="GQ156">
        <f ca="1"/>
      </c>
    </row>
    <row r="157" spans="41:199" x14ac:dyDescent="0.55000000000000004">
      <c r="GM157" s="7"/>
      <c r="GN157">
        <f ca="1"/>
      </c>
      <c r="GO157">
        <f ca="1"/>
      </c>
      <c r="GP157">
        <f ca="1"/>
      </c>
      <c r="GQ157">
        <f ca="1"/>
      </c>
    </row>
    <row r="158" spans="41:199" x14ac:dyDescent="0.55000000000000004">
      <c r="GM158" s="7"/>
      <c r="GN158">
        <f ca="1"/>
      </c>
      <c r="GO158">
        <f ca="1"/>
      </c>
      <c r="GP158">
        <f ca="1"/>
      </c>
      <c r="GQ158">
        <f ca="1"/>
      </c>
    </row>
    <row r="159" spans="41:199" x14ac:dyDescent="0.55000000000000004">
      <c r="GM159" s="7"/>
      <c r="GN159">
        <f ca="1"/>
      </c>
      <c r="GO159">
        <f ca="1"/>
      </c>
      <c r="GP159">
        <f ca="1"/>
      </c>
      <c r="GQ159">
        <f ca="1"/>
      </c>
    </row>
    <row r="160" spans="41:199" x14ac:dyDescent="0.55000000000000004">
      <c r="GM160" s="7"/>
      <c r="GN160">
        <f ca="1"/>
      </c>
      <c r="GO160">
        <f ca="1"/>
      </c>
      <c r="GP160">
        <f ca="1"/>
      </c>
      <c r="GQ160">
        <f ca="1"/>
      </c>
    </row>
    <row r="161" spans="41:199" x14ac:dyDescent="0.55000000000000004">
      <c r="GM161" s="7"/>
      <c r="GN161">
        <f ca="1"/>
      </c>
      <c r="GO161">
        <f ca="1"/>
      </c>
      <c r="GP161">
        <f ca="1"/>
      </c>
      <c r="GQ161">
        <f ca="1"/>
      </c>
    </row>
    <row r="162" spans="41:199" x14ac:dyDescent="0.55000000000000004">
      <c r="GM162" s="7"/>
      <c r="GN162">
        <f ca="1"/>
      </c>
      <c r="GO162">
        <f ca="1"/>
      </c>
      <c r="GP162">
        <f ca="1"/>
      </c>
      <c r="GQ162">
        <f ca="1"/>
      </c>
    </row>
    <row r="163" spans="41:199" x14ac:dyDescent="0.55000000000000004">
      <c r="GM163" s="7"/>
      <c r="GN163">
        <f ca="1"/>
      </c>
      <c r="GO163">
        <f ca="1"/>
      </c>
      <c r="GP163">
        <f ca="1"/>
      </c>
      <c r="GQ163">
        <f ca="1"/>
      </c>
    </row>
    <row r="164" spans="41:199" x14ac:dyDescent="0.55000000000000004">
      <c r="GM164" s="7"/>
      <c r="GN164">
        <f ca="1"/>
      </c>
      <c r="GO164">
        <f ca="1"/>
      </c>
      <c r="GP164">
        <f ca="1"/>
      </c>
      <c r="GQ164">
        <f ca="1"/>
      </c>
    </row>
    <row r="165" spans="41:199" x14ac:dyDescent="0.55000000000000004">
      <c r="GM165" s="7"/>
      <c r="GN165">
        <f ca="1"/>
      </c>
      <c r="GO165">
        <f ca="1"/>
      </c>
      <c r="GP165">
        <f ca="1"/>
      </c>
      <c r="GQ165">
        <f ca="1"/>
      </c>
    </row>
    <row r="166" spans="41:199" x14ac:dyDescent="0.55000000000000004">
      <c r="GM166" s="7"/>
      <c r="GN166">
        <f ca="1"/>
      </c>
      <c r="GO166">
        <f ca="1"/>
      </c>
      <c r="GP166">
        <f ca="1"/>
      </c>
      <c r="GQ166">
        <f ca="1"/>
      </c>
    </row>
    <row r="167" spans="41:199" x14ac:dyDescent="0.55000000000000004">
      <c r="GM167" s="7"/>
      <c r="GN167">
        <f ca="1"/>
      </c>
      <c r="GO167">
        <f ca="1"/>
      </c>
      <c r="GP167">
        <f ca="1"/>
      </c>
      <c r="GQ167">
        <f ca="1"/>
      </c>
    </row>
    <row r="168" spans="41:199" x14ac:dyDescent="0.55000000000000004">
      <c r="GM168" s="7"/>
      <c r="GN168">
        <f ca="1"/>
      </c>
      <c r="GO168">
        <f ca="1"/>
      </c>
      <c r="GP168">
        <f ca="1"/>
      </c>
      <c r="GQ168">
        <f ca="1"/>
      </c>
    </row>
    <row r="169" spans="41:199" x14ac:dyDescent="0.55000000000000004">
      <c r="GM169" s="7"/>
      <c r="GN169">
        <f ca="1"/>
      </c>
      <c r="GO169">
        <f ca="1"/>
      </c>
      <c r="GP169">
        <f ca="1"/>
      </c>
      <c r="GQ169">
        <f ca="1"/>
      </c>
    </row>
    <row r="170" spans="41:199" x14ac:dyDescent="0.55000000000000004">
      <c r="GM170" s="7"/>
      <c r="GN170">
        <f ca="1"/>
      </c>
      <c r="GO170">
        <f ca="1"/>
      </c>
      <c r="GP170">
        <f ca="1"/>
      </c>
      <c r="GQ170">
        <f ca="1"/>
      </c>
    </row>
    <row r="171" spans="41:199" x14ac:dyDescent="0.55000000000000004">
      <c r="GM171" s="7"/>
      <c r="GN171">
        <f ca="1"/>
      </c>
      <c r="GO171">
        <f ca="1"/>
      </c>
      <c r="GP171">
        <f ca="1"/>
      </c>
      <c r="GQ171">
        <f ca="1"/>
      </c>
    </row>
    <row r="172" spans="41:199" x14ac:dyDescent="0.55000000000000004">
      <c r="GM172" s="7"/>
      <c r="GN172">
        <f ca="1"/>
      </c>
      <c r="GO172">
        <f ca="1"/>
      </c>
      <c r="GP172">
        <f ca="1"/>
      </c>
      <c r="GQ172">
        <f ca="1"/>
      </c>
    </row>
    <row r="173" spans="41:199" x14ac:dyDescent="0.55000000000000004">
      <c r="GM173" s="7"/>
      <c r="GN173">
        <f ca="1"/>
      </c>
      <c r="GO173">
        <f ca="1"/>
      </c>
      <c r="GP173">
        <f ca="1"/>
      </c>
      <c r="GQ173">
        <f ca="1"/>
      </c>
    </row>
    <row r="174" spans="41:199" x14ac:dyDescent="0.55000000000000004">
      <c r="GM174" s="7"/>
      <c r="GN174">
        <f ca="1"/>
      </c>
      <c r="GO174">
        <f ca="1"/>
      </c>
      <c r="GP174">
        <f ca="1"/>
      </c>
      <c r="GQ174">
        <f ca="1"/>
      </c>
    </row>
    <row r="175" spans="41:199" x14ac:dyDescent="0.55000000000000004">
      <c r="GM175" s="7"/>
      <c r="GN175">
        <f ca="1"/>
      </c>
      <c r="GO175">
        <f ca="1"/>
      </c>
      <c r="GP175">
        <f ca="1"/>
      </c>
      <c r="GQ175">
        <f ca="1"/>
      </c>
    </row>
    <row r="176" spans="41:199" x14ac:dyDescent="0.55000000000000004">
      <c r="GM176" s="7"/>
      <c r="GN176">
        <f ca="1"/>
      </c>
      <c r="GO176">
        <f ca="1"/>
      </c>
      <c r="GP176">
        <f ca="1"/>
      </c>
      <c r="GQ176">
        <f ca="1"/>
      </c>
    </row>
    <row r="177" spans="41:199" x14ac:dyDescent="0.55000000000000004">
      <c r="GM177" s="7"/>
      <c r="GN177">
        <f ca="1"/>
      </c>
      <c r="GO177">
        <f ca="1"/>
      </c>
      <c r="GP177">
        <f ca="1"/>
      </c>
      <c r="GQ177">
        <f ca="1"/>
      </c>
    </row>
    <row r="178" spans="41:199" x14ac:dyDescent="0.55000000000000004">
      <c r="GM178" s="7"/>
      <c r="GN178">
        <f ca="1"/>
      </c>
      <c r="GO178">
        <f ca="1"/>
      </c>
      <c r="GP178">
        <f ca="1"/>
      </c>
      <c r="GQ178">
        <f ca="1"/>
      </c>
    </row>
    <row r="179" spans="41:199" x14ac:dyDescent="0.55000000000000004">
      <c r="GM179" s="7"/>
      <c r="GN179">
        <f ca="1"/>
      </c>
      <c r="GO179">
        <f ca="1"/>
      </c>
      <c r="GP179">
        <f ca="1"/>
      </c>
      <c r="GQ179">
        <f ca="1"/>
      </c>
    </row>
    <row r="180" spans="41:199" x14ac:dyDescent="0.55000000000000004">
      <c r="GM180" s="7"/>
      <c r="GN180">
        <f ca="1"/>
      </c>
      <c r="GO180">
        <f ca="1"/>
      </c>
      <c r="GP180">
        <f ca="1"/>
      </c>
      <c r="GQ180">
        <f ca="1"/>
      </c>
    </row>
    <row r="181" spans="41:199" x14ac:dyDescent="0.55000000000000004">
      <c r="GM181" s="7"/>
      <c r="GN181">
        <f ca="1"/>
      </c>
      <c r="GO181">
        <f ca="1"/>
      </c>
      <c r="GP181">
        <f ca="1"/>
      </c>
      <c r="GQ181">
        <f ca="1"/>
      </c>
    </row>
    <row r="182" spans="41:199" x14ac:dyDescent="0.55000000000000004">
      <c r="GM182" s="7"/>
      <c r="GN182">
        <f ca="1"/>
      </c>
      <c r="GO182">
        <f ca="1"/>
      </c>
      <c r="GP182">
        <f ca="1"/>
      </c>
      <c r="GQ182">
        <f ca="1"/>
      </c>
    </row>
    <row r="183" spans="41:199" x14ac:dyDescent="0.55000000000000004">
      <c r="GM183" s="7"/>
      <c r="GN183">
        <f ca="1"/>
      </c>
      <c r="GO183">
        <f ca="1"/>
      </c>
      <c r="GP183">
        <f ca="1"/>
      </c>
      <c r="GQ183">
        <f ca="1"/>
      </c>
    </row>
    <row r="184" spans="41:199" x14ac:dyDescent="0.55000000000000004">
      <c r="GM184" s="7"/>
      <c r="GN184">
        <f ca="1"/>
      </c>
      <c r="GO184">
        <f ca="1"/>
      </c>
      <c r="GP184">
        <f ca="1"/>
      </c>
      <c r="GQ184">
        <f ca="1"/>
      </c>
    </row>
    <row r="185" spans="41:199" x14ac:dyDescent="0.55000000000000004">
      <c r="GM185" s="7"/>
      <c r="GN185">
        <f ca="1"/>
      </c>
      <c r="GO185">
        <f ca="1"/>
      </c>
      <c r="GP185">
        <f ca="1"/>
      </c>
      <c r="GQ185">
        <f ca="1"/>
      </c>
    </row>
    <row r="186" spans="41:199" x14ac:dyDescent="0.55000000000000004">
      <c r="GM186" s="7"/>
      <c r="GN186">
        <f ca="1"/>
      </c>
      <c r="GO186">
        <f ca="1"/>
      </c>
      <c r="GP186">
        <f ca="1"/>
      </c>
      <c r="GQ186">
        <f ca="1"/>
      </c>
    </row>
    <row r="187" spans="41:199" x14ac:dyDescent="0.55000000000000004">
      <c r="GM187" s="7"/>
      <c r="GN187">
        <f ca="1"/>
      </c>
      <c r="GO187">
        <f ca="1"/>
      </c>
      <c r="GP187">
        <f ca="1"/>
      </c>
      <c r="GQ187">
        <f ca="1"/>
      </c>
    </row>
    <row r="188" spans="41:199" x14ac:dyDescent="0.55000000000000004">
      <c r="GM188" s="7"/>
      <c r="GN188">
        <f ca="1"/>
      </c>
      <c r="GO188">
        <f ca="1"/>
      </c>
      <c r="GP188">
        <f ca="1"/>
      </c>
      <c r="GQ188">
        <f ca="1"/>
      </c>
    </row>
    <row r="189" spans="41:199" x14ac:dyDescent="0.55000000000000004">
      <c r="GM189" s="7"/>
      <c r="GN189">
        <f ca="1"/>
      </c>
      <c r="GO189">
        <f ca="1"/>
      </c>
      <c r="GP189">
        <f ca="1"/>
      </c>
      <c r="GQ189">
        <f ca="1"/>
      </c>
    </row>
    <row r="190" spans="41:199" x14ac:dyDescent="0.55000000000000004">
      <c r="GM190" s="7"/>
      <c r="GN190">
        <f ca="1"/>
      </c>
      <c r="GO190">
        <f ca="1"/>
      </c>
      <c r="GP190">
        <f ca="1"/>
      </c>
      <c r="GQ190">
        <f ca="1"/>
      </c>
    </row>
    <row r="191" spans="41:199" x14ac:dyDescent="0.55000000000000004">
      <c r="GM191" s="7"/>
      <c r="GN191">
        <f ca="1"/>
      </c>
      <c r="GO191">
        <f ca="1"/>
      </c>
      <c r="GP191">
        <f ca="1"/>
      </c>
      <c r="GQ191">
        <f ca="1"/>
      </c>
    </row>
    <row r="192" spans="41:199" x14ac:dyDescent="0.55000000000000004">
      <c r="GM192" s="7"/>
      <c r="GN192">
        <f ca="1"/>
      </c>
      <c r="GO192">
        <f ca="1"/>
      </c>
      <c r="GP192">
        <f ca="1"/>
      </c>
      <c r="GQ192">
        <f ca="1"/>
      </c>
    </row>
    <row r="193" spans="41:199" x14ac:dyDescent="0.55000000000000004">
      <c r="GM193" s="7"/>
      <c r="GN193">
        <f ca="1"/>
      </c>
      <c r="GO193">
        <f ca="1"/>
      </c>
      <c r="GP193">
        <f ca="1"/>
      </c>
      <c r="GQ193">
        <f ca="1"/>
      </c>
    </row>
    <row r="194" spans="41:199" x14ac:dyDescent="0.55000000000000004">
      <c r="GM194" s="7"/>
      <c r="GN194">
        <f ca="1"/>
      </c>
      <c r="GO194">
        <f ca="1"/>
      </c>
      <c r="GP194">
        <f ca="1"/>
      </c>
      <c r="GQ194">
        <f ca="1"/>
      </c>
    </row>
    <row r="195" spans="41:199" x14ac:dyDescent="0.55000000000000004">
      <c r="GM195" s="7"/>
      <c r="GN195">
        <f ca="1"/>
      </c>
      <c r="GO195">
        <f ca="1"/>
      </c>
      <c r="GP195">
        <f ca="1"/>
      </c>
      <c r="GQ195">
        <f ca="1"/>
      </c>
    </row>
    <row r="196" spans="41:199" x14ac:dyDescent="0.55000000000000004">
      <c r="GM196" s="7"/>
      <c r="GN196">
        <f ca="1"/>
      </c>
      <c r="GO196">
        <f ca="1"/>
      </c>
      <c r="GP196">
        <f ca="1"/>
      </c>
      <c r="GQ196">
        <f ca="1"/>
      </c>
    </row>
    <row r="197" spans="41:199" x14ac:dyDescent="0.55000000000000004">
      <c r="GM197" s="7"/>
      <c r="GN197">
        <f ca="1"/>
      </c>
      <c r="GO197">
        <f ca="1"/>
      </c>
      <c r="GP197">
        <f ca="1"/>
      </c>
      <c r="GQ197">
        <f ca="1"/>
      </c>
    </row>
    <row r="198" spans="41:199" x14ac:dyDescent="0.55000000000000004">
      <c r="GM198" s="7"/>
      <c r="GN198">
        <f ca="1"/>
      </c>
      <c r="GO198">
        <f ca="1"/>
      </c>
      <c r="GP198">
        <f ca="1"/>
      </c>
      <c r="GQ198">
        <f ca="1"/>
      </c>
    </row>
    <row r="199" spans="41:199" x14ac:dyDescent="0.55000000000000004">
      <c r="GM199" s="7"/>
      <c r="GN199">
        <f ca="1"/>
      </c>
      <c r="GO199">
        <f ca="1"/>
      </c>
      <c r="GP199">
        <f ca="1"/>
      </c>
      <c r="GQ199">
        <f ca="1"/>
      </c>
    </row>
    <row r="200" spans="41:199" x14ac:dyDescent="0.55000000000000004">
      <c r="GM200" s="7"/>
      <c r="GN200">
        <f ca="1"/>
      </c>
      <c r="GO200">
        <f ca="1"/>
      </c>
      <c r="GP200">
        <f ca="1"/>
      </c>
      <c r="GQ200">
        <f ca="1"/>
      </c>
    </row>
    <row r="201" spans="41:199" x14ac:dyDescent="0.55000000000000004">
      <c r="GM201" s="7"/>
      <c r="GN201">
        <f ca="1"/>
      </c>
      <c r="GO201">
        <f ca="1"/>
      </c>
      <c r="GP201">
        <f ca="1"/>
      </c>
      <c r="GQ201">
        <f ca="1"/>
      </c>
    </row>
    <row r="202" spans="41:199" x14ac:dyDescent="0.55000000000000004">
      <c r="GM202" s="7"/>
      <c r="GN202">
        <f ca="1"/>
      </c>
      <c r="GO202">
        <f ca="1"/>
      </c>
      <c r="GP202">
        <f ca="1"/>
      </c>
      <c r="GQ202">
        <f ca="1"/>
      </c>
    </row>
    <row r="203" spans="41:199" x14ac:dyDescent="0.55000000000000004">
      <c r="GM203" s="7"/>
      <c r="GN203">
        <f ca="1"/>
      </c>
      <c r="GO203">
        <f ca="1"/>
      </c>
      <c r="GP203">
        <f ca="1"/>
      </c>
      <c r="GQ203">
        <f ca="1"/>
      </c>
    </row>
    <row r="204" spans="41:199" x14ac:dyDescent="0.55000000000000004">
      <c r="GM204" s="7"/>
      <c r="GN204">
        <f ca="1"/>
      </c>
      <c r="GO204">
        <f ca="1"/>
      </c>
      <c r="GP204">
        <f ca="1"/>
      </c>
      <c r="GQ204">
        <f ca="1"/>
      </c>
    </row>
    <row r="205" spans="41:199" x14ac:dyDescent="0.55000000000000004">
      <c r="GM205" s="7"/>
      <c r="GN205">
        <f ca="1"/>
      </c>
      <c r="GO205">
        <f ca="1"/>
      </c>
      <c r="GP205">
        <f ca="1"/>
      </c>
      <c r="GQ205">
        <f ca="1"/>
      </c>
    </row>
    <row r="206" spans="41:199" x14ac:dyDescent="0.55000000000000004">
      <c r="GM206" s="7"/>
      <c r="GN206">
        <f ca="1"/>
      </c>
      <c r="GO206">
        <f ca="1"/>
      </c>
      <c r="GP206">
        <f ca="1"/>
      </c>
      <c r="GQ206">
        <f ca="1"/>
      </c>
    </row>
    <row r="207" spans="41:199" x14ac:dyDescent="0.55000000000000004">
      <c r="GM207" s="7"/>
      <c r="GN207">
        <f ca="1"/>
      </c>
      <c r="GO207">
        <f ca="1"/>
      </c>
      <c r="GP207">
        <f ca="1"/>
      </c>
      <c r="GQ207">
        <f ca="1"/>
      </c>
    </row>
    <row r="208" spans="41:199" x14ac:dyDescent="0.55000000000000004">
      <c r="GM208" s="7"/>
      <c r="GN208">
        <f ca="1"/>
      </c>
      <c r="GO208">
        <f ca="1"/>
      </c>
      <c r="GP208">
        <f ca="1"/>
      </c>
      <c r="GQ208">
        <f ca="1"/>
      </c>
    </row>
    <row r="209" spans="41:199" x14ac:dyDescent="0.55000000000000004">
      <c r="GM209" s="7"/>
      <c r="GN209">
        <f ca="1"/>
      </c>
      <c r="GO209">
        <f ca="1"/>
      </c>
      <c r="GP209">
        <f ca="1"/>
      </c>
      <c r="GQ209">
        <f ca="1"/>
      </c>
    </row>
    <row r="210" spans="41:199" x14ac:dyDescent="0.55000000000000004">
      <c r="GM210" s="7"/>
      <c r="GN210">
        <f ca="1"/>
      </c>
      <c r="GO210">
        <f ca="1"/>
      </c>
      <c r="GP210">
        <f ca="1"/>
      </c>
      <c r="GQ210">
        <f ca="1"/>
      </c>
    </row>
    <row r="211" spans="41:199" x14ac:dyDescent="0.55000000000000004">
      <c r="GM211" s="7"/>
      <c r="GN211">
        <f ca="1"/>
      </c>
      <c r="GO211">
        <f ca="1"/>
      </c>
      <c r="GP211">
        <f ca="1"/>
      </c>
      <c r="GQ211">
        <f ca="1"/>
      </c>
    </row>
    <row r="212" spans="41:199" x14ac:dyDescent="0.55000000000000004">
      <c r="GM212" s="7"/>
      <c r="GN212">
        <f ca="1"/>
      </c>
      <c r="GO212">
        <f ca="1"/>
      </c>
      <c r="GP212">
        <f ca="1"/>
      </c>
      <c r="GQ212">
        <f ca="1"/>
      </c>
    </row>
    <row r="213" spans="41:199" x14ac:dyDescent="0.55000000000000004">
      <c r="GM213" s="7"/>
      <c r="GN213">
        <f ca="1"/>
      </c>
      <c r="GO213">
        <f ca="1"/>
      </c>
      <c r="GP213">
        <f ca="1"/>
      </c>
      <c r="GQ213">
        <f ca="1"/>
      </c>
    </row>
    <row r="214" spans="41:199" x14ac:dyDescent="0.55000000000000004">
      <c r="GM214" s="7"/>
      <c r="GN214">
        <f ca="1"/>
      </c>
      <c r="GO214">
        <f ca="1"/>
      </c>
      <c r="GP214">
        <f ca="1"/>
      </c>
      <c r="GQ214">
        <f ca="1"/>
      </c>
    </row>
    <row r="215" spans="41:199" x14ac:dyDescent="0.55000000000000004">
      <c r="GM215" s="7"/>
      <c r="GN215">
        <f ca="1"/>
      </c>
      <c r="GO215">
        <f ca="1"/>
      </c>
      <c r="GP215">
        <f ca="1"/>
      </c>
      <c r="GQ215">
        <f ca="1"/>
      </c>
    </row>
    <row r="216" spans="41:199" x14ac:dyDescent="0.55000000000000004">
      <c r="GM216" s="7"/>
      <c r="GN216">
        <f ca="1"/>
      </c>
      <c r="GO216">
        <f ca="1"/>
      </c>
      <c r="GP216">
        <f ca="1"/>
      </c>
      <c r="GQ216">
        <f ca="1"/>
      </c>
    </row>
    <row r="217" spans="41:199" x14ac:dyDescent="0.55000000000000004">
      <c r="GM217" s="7"/>
      <c r="GN217">
        <f ca="1"/>
      </c>
      <c r="GO217">
        <f ca="1"/>
      </c>
      <c r="GP217">
        <f ca="1"/>
      </c>
      <c r="GQ217">
        <f ca="1"/>
      </c>
    </row>
    <row r="218" spans="41:199" x14ac:dyDescent="0.55000000000000004">
      <c r="GM218" s="7"/>
      <c r="GN218">
        <f ca="1"/>
      </c>
      <c r="GO218">
        <f ca="1"/>
      </c>
      <c r="GP218">
        <f ca="1"/>
      </c>
      <c r="GQ218">
        <f ca="1"/>
      </c>
    </row>
    <row r="219" spans="41:199" x14ac:dyDescent="0.55000000000000004">
      <c r="GM219" s="7"/>
      <c r="GN219">
        <f ca="1"/>
      </c>
      <c r="GO219">
        <f ca="1"/>
      </c>
      <c r="GP219">
        <f ca="1"/>
      </c>
      <c r="GQ219">
        <f ca="1"/>
      </c>
    </row>
    <row r="220" spans="41:199" x14ac:dyDescent="0.55000000000000004">
      <c r="GM220" s="7"/>
      <c r="GN220">
        <f ca="1"/>
      </c>
      <c r="GO220">
        <f ca="1"/>
      </c>
      <c r="GP220">
        <f ca="1"/>
      </c>
      <c r="GQ220">
        <f ca="1"/>
      </c>
    </row>
    <row r="221" spans="41:199" x14ac:dyDescent="0.55000000000000004">
      <c r="GM221" s="7"/>
      <c r="GN221">
        <f ca="1"/>
      </c>
      <c r="GO221">
        <f ca="1"/>
      </c>
      <c r="GP221">
        <f ca="1"/>
      </c>
      <c r="GQ221">
        <f ca="1"/>
      </c>
    </row>
    <row r="222" spans="41:199" x14ac:dyDescent="0.55000000000000004">
      <c r="GM222" s="7"/>
      <c r="GN222">
        <f ca="1"/>
      </c>
      <c r="GO222">
        <f ca="1"/>
      </c>
      <c r="GP222">
        <f ca="1"/>
      </c>
      <c r="GQ222">
        <f ca="1"/>
      </c>
    </row>
    <row r="223" spans="41:199" x14ac:dyDescent="0.55000000000000004">
      <c r="GM223" s="7"/>
      <c r="GN223">
        <f ca="1"/>
      </c>
      <c r="GO223">
        <f ca="1"/>
      </c>
      <c r="GP223">
        <f ca="1"/>
      </c>
      <c r="GQ223">
        <f ca="1"/>
      </c>
    </row>
    <row r="224" spans="41:199" x14ac:dyDescent="0.55000000000000004">
      <c r="GM224" s="7"/>
      <c r="GN224">
        <f ca="1"/>
      </c>
      <c r="GO224">
        <f ca="1"/>
      </c>
      <c r="GP224">
        <f ca="1"/>
      </c>
      <c r="GQ224">
        <f ca="1"/>
      </c>
    </row>
    <row r="225" spans="41:199" x14ac:dyDescent="0.55000000000000004">
      <c r="GM225" s="7"/>
      <c r="GN225">
        <f ca="1"/>
      </c>
      <c r="GO225">
        <f ca="1"/>
      </c>
      <c r="GP225">
        <f ca="1"/>
      </c>
      <c r="GQ225">
        <f ca="1"/>
      </c>
    </row>
    <row r="226" spans="41:199" x14ac:dyDescent="0.55000000000000004">
      <c r="GM226" s="7"/>
      <c r="GN226">
        <f ca="1"/>
      </c>
      <c r="GO226">
        <f ca="1"/>
      </c>
      <c r="GP226">
        <f ca="1"/>
      </c>
      <c r="GQ226">
        <f ca="1"/>
      </c>
    </row>
    <row r="227" spans="41:199" x14ac:dyDescent="0.55000000000000004">
      <c r="GM227" s="7"/>
      <c r="GN227">
        <f ca="1"/>
      </c>
      <c r="GO227">
        <f ca="1"/>
      </c>
      <c r="GP227">
        <f ca="1"/>
      </c>
      <c r="GQ227">
        <f ca="1"/>
      </c>
    </row>
    <row r="228" spans="41:199" x14ac:dyDescent="0.55000000000000004">
      <c r="GM228" s="7"/>
      <c r="GN228">
        <f ca="1"/>
      </c>
      <c r="GO228">
        <f ca="1"/>
      </c>
      <c r="GP228">
        <f ca="1"/>
      </c>
      <c r="GQ228">
        <f ca="1"/>
      </c>
    </row>
    <row r="229" spans="41:199" x14ac:dyDescent="0.55000000000000004">
      <c r="GM229" s="7"/>
      <c r="GN229">
        <f ca="1"/>
      </c>
      <c r="GO229">
        <f ca="1"/>
      </c>
      <c r="GP229">
        <f ca="1"/>
      </c>
      <c r="GQ229">
        <f ca="1"/>
      </c>
    </row>
    <row r="230" spans="41:199" x14ac:dyDescent="0.55000000000000004">
      <c r="GM230" s="7"/>
      <c r="GN230">
        <f ca="1"/>
      </c>
      <c r="GO230">
        <f ca="1"/>
      </c>
      <c r="GP230">
        <f ca="1"/>
      </c>
      <c r="GQ230">
        <f ca="1"/>
      </c>
    </row>
    <row r="231" spans="41:199" x14ac:dyDescent="0.55000000000000004">
      <c r="GM231" s="7"/>
      <c r="GN231">
        <f ca="1"/>
      </c>
      <c r="GO231">
        <f ca="1"/>
      </c>
      <c r="GP231">
        <f ca="1"/>
      </c>
      <c r="GQ231">
        <f ca="1"/>
      </c>
    </row>
    <row r="232" spans="41:199" x14ac:dyDescent="0.55000000000000004">
      <c r="GM232" s="7"/>
      <c r="GN232">
        <f ca="1"/>
      </c>
      <c r="GO232">
        <f ca="1"/>
      </c>
      <c r="GP232">
        <f ca="1"/>
      </c>
      <c r="GQ232">
        <f ca="1"/>
      </c>
    </row>
    <row r="233" spans="41:199" x14ac:dyDescent="0.55000000000000004">
      <c r="GM233" s="7"/>
      <c r="GN233">
        <f ca="1"/>
      </c>
      <c r="GO233">
        <f ca="1"/>
      </c>
      <c r="GP233">
        <f ca="1"/>
      </c>
      <c r="GQ233">
        <f ca="1"/>
      </c>
    </row>
    <row r="234" spans="41:199" x14ac:dyDescent="0.55000000000000004">
      <c r="GM234" s="7"/>
      <c r="GN234">
        <f ca="1"/>
      </c>
      <c r="GO234">
        <f ca="1"/>
      </c>
      <c r="GP234">
        <f ca="1"/>
      </c>
      <c r="GQ234">
        <f ca="1"/>
      </c>
    </row>
    <row r="235" spans="41:199" x14ac:dyDescent="0.55000000000000004">
      <c r="GM235" s="7"/>
      <c r="GN235">
        <f ca="1"/>
      </c>
      <c r="GO235">
        <f ca="1"/>
      </c>
      <c r="GP235">
        <f ca="1"/>
      </c>
      <c r="GQ235">
        <f ca="1"/>
      </c>
    </row>
    <row r="236" spans="41:199" x14ac:dyDescent="0.55000000000000004">
      <c r="GM236" s="7"/>
      <c r="GN236">
        <f ca="1"/>
      </c>
      <c r="GO236">
        <f ca="1"/>
      </c>
      <c r="GP236">
        <f ca="1"/>
      </c>
      <c r="GQ236">
        <f ca="1"/>
      </c>
    </row>
    <row r="237" spans="41:199" x14ac:dyDescent="0.55000000000000004">
      <c r="GM237" s="7"/>
      <c r="GN237">
        <f ca="1"/>
      </c>
      <c r="GO237">
        <f ca="1"/>
      </c>
      <c r="GP237">
        <f ca="1"/>
      </c>
      <c r="GQ237">
        <f ca="1"/>
      </c>
    </row>
    <row r="238" spans="41:199" x14ac:dyDescent="0.55000000000000004">
      <c r="GM238" s="7"/>
      <c r="GN238">
        <f ca="1"/>
      </c>
      <c r="GO238">
        <f ca="1"/>
      </c>
      <c r="GP238">
        <f ca="1"/>
      </c>
      <c r="GQ238">
        <f ca="1"/>
      </c>
    </row>
    <row r="239" spans="41:199" x14ac:dyDescent="0.55000000000000004">
      <c r="GM239" s="7"/>
      <c r="GN239">
        <f ca="1"/>
      </c>
      <c r="GO239">
        <f ca="1"/>
      </c>
      <c r="GP239">
        <f ca="1"/>
      </c>
      <c r="GQ239">
        <f ca="1"/>
      </c>
    </row>
    <row r="240" spans="41:199" x14ac:dyDescent="0.55000000000000004">
      <c r="GM240" s="7"/>
      <c r="GN240">
        <f ca="1"/>
      </c>
      <c r="GO240">
        <f ca="1"/>
      </c>
      <c r="GP240">
        <f ca="1"/>
      </c>
      <c r="GQ240">
        <f ca="1"/>
      </c>
    </row>
    <row r="241" spans="41:199" x14ac:dyDescent="0.55000000000000004">
      <c r="GM241" s="7"/>
      <c r="GN241">
        <f ca="1"/>
      </c>
      <c r="GO241">
        <f ca="1"/>
      </c>
      <c r="GP241">
        <f ca="1"/>
      </c>
      <c r="GQ241">
        <f ca="1"/>
      </c>
    </row>
    <row r="242" spans="41:199" x14ac:dyDescent="0.55000000000000004">
      <c r="GM242" s="7"/>
      <c r="GN242">
        <f ca="1"/>
      </c>
      <c r="GO242">
        <f ca="1"/>
      </c>
      <c r="GP242">
        <f ca="1"/>
      </c>
      <c r="GQ242">
        <f ca="1"/>
      </c>
    </row>
    <row r="243" spans="41:199" x14ac:dyDescent="0.55000000000000004">
      <c r="GM243" s="7"/>
      <c r="GN243">
        <f ca="1"/>
      </c>
      <c r="GO243">
        <f ca="1"/>
      </c>
      <c r="GP243">
        <f ca="1"/>
      </c>
      <c r="GQ243">
        <f ca="1"/>
      </c>
    </row>
    <row r="244" spans="41:199" x14ac:dyDescent="0.55000000000000004">
      <c r="GM244" s="7"/>
      <c r="GN244">
        <f ca="1"/>
      </c>
      <c r="GO244">
        <f ca="1"/>
      </c>
      <c r="GP244">
        <f ca="1"/>
      </c>
      <c r="GQ244">
        <f ca="1"/>
      </c>
    </row>
    <row r="245" spans="41:199" x14ac:dyDescent="0.55000000000000004">
      <c r="GM245" s="7"/>
    </row>
    <row r="246" spans="41:199" x14ac:dyDescent="0.55000000000000004">
      <c r="GM246" s="7"/>
    </row>
    <row r="247" spans="41:199" x14ac:dyDescent="0.55000000000000004">
      <c r="GM247" s="7"/>
    </row>
    <row r="248" spans="41:199" x14ac:dyDescent="0.55000000000000004">
      <c r="GM248" s="7"/>
    </row>
    <row r="249" spans="41:199" x14ac:dyDescent="0.55000000000000004">
      <c r="GM249" s="7"/>
    </row>
    <row r="250" spans="41:199" x14ac:dyDescent="0.55000000000000004">
      <c r="GM250" s="7"/>
    </row>
    <row r="251" spans="41:199" x14ac:dyDescent="0.55000000000000004">
      <c r="GM251" s="7"/>
    </row>
    <row r="252" spans="41:199" x14ac:dyDescent="0.55000000000000004">
      <c r="GM252" s="7"/>
    </row>
    <row r="253" spans="41:199" x14ac:dyDescent="0.55000000000000004">
      <c r="GM253" s="7"/>
    </row>
    <row r="254" spans="41:199" x14ac:dyDescent="0.55000000000000004">
      <c r="GM254" s="7"/>
    </row>
    <row r="255" spans="41:199" x14ac:dyDescent="0.55000000000000004">
      <c r="GM255" s="7"/>
    </row>
    <row r="256" spans="41:199" x14ac:dyDescent="0.55000000000000004">
      <c r="GM256" s="7"/>
    </row>
    <row r="257" spans="41:195" x14ac:dyDescent="0.55000000000000004">
      <c r="GM257" s="7"/>
    </row>
    <row r="258" spans="41:195" x14ac:dyDescent="0.55000000000000004">
      <c r="GM258" s="7"/>
    </row>
    <row r="259" spans="41:195" x14ac:dyDescent="0.55000000000000004">
      <c r="GM259" s="7"/>
    </row>
    <row r="260" spans="41:195" x14ac:dyDescent="0.55000000000000004">
      <c r="GM260" s="7"/>
    </row>
    <row r="261" spans="41:195" x14ac:dyDescent="0.55000000000000004">
      <c r="GM261" s="7"/>
    </row>
    <row r="262" spans="41:195" x14ac:dyDescent="0.55000000000000004">
      <c r="GM262" s="7"/>
    </row>
    <row r="263" spans="41:195" x14ac:dyDescent="0.55000000000000004">
      <c r="GM263" s="7"/>
    </row>
    <row r="264" spans="41:195" x14ac:dyDescent="0.55000000000000004">
      <c r="GM264" s="7"/>
    </row>
    <row r="265" spans="41:195" x14ac:dyDescent="0.55000000000000004">
      <c r="GM265" s="7"/>
    </row>
    <row r="266" spans="41:195" x14ac:dyDescent="0.55000000000000004">
      <c r="GM266" s="7"/>
    </row>
    <row r="267" spans="41:195" x14ac:dyDescent="0.55000000000000004">
      <c r="GM267" s="7"/>
    </row>
    <row r="268" spans="41:195" x14ac:dyDescent="0.55000000000000004">
      <c r="GM268" s="7"/>
    </row>
    <row r="269" spans="41:195" x14ac:dyDescent="0.55000000000000004">
      <c r="GM269" s="7"/>
    </row>
    <row r="270" spans="41:195" x14ac:dyDescent="0.55000000000000004">
      <c r="GM270" s="7"/>
    </row>
    <row r="271" spans="41:195" x14ac:dyDescent="0.55000000000000004">
      <c r="GM271" s="7"/>
    </row>
    <row r="272" spans="41:195" x14ac:dyDescent="0.55000000000000004">
      <c r="GM272" s="7"/>
    </row>
    <row r="273" spans="41:195" x14ac:dyDescent="0.55000000000000004">
      <c r="GM273" s="7"/>
    </row>
    <row r="274" spans="41:195" x14ac:dyDescent="0.55000000000000004">
      <c r="GM274" s="7"/>
    </row>
    <row r="275" spans="41:195" x14ac:dyDescent="0.55000000000000004">
      <c r="GM275" s="7"/>
    </row>
    <row r="276" spans="41:195" x14ac:dyDescent="0.55000000000000004">
      <c r="GM276" s="7"/>
    </row>
    <row r="277" spans="41:195" x14ac:dyDescent="0.55000000000000004">
      <c r="GM277" s="7"/>
    </row>
    <row r="278" spans="41:195" x14ac:dyDescent="0.55000000000000004">
      <c r="GM278" s="7"/>
    </row>
    <row r="279" spans="41:195" x14ac:dyDescent="0.55000000000000004">
      <c r="GM279" s="7"/>
    </row>
    <row r="280" spans="41:195" x14ac:dyDescent="0.55000000000000004">
      <c r="GM280" s="7"/>
    </row>
    <row r="281" spans="41:195" x14ac:dyDescent="0.55000000000000004">
      <c r="GM281" s="7"/>
    </row>
    <row r="282" spans="41:195" x14ac:dyDescent="0.55000000000000004">
      <c r="GM282" s="7"/>
    </row>
    <row r="283" spans="41:195" x14ac:dyDescent="0.55000000000000004">
      <c r="GM283" s="7"/>
    </row>
    <row r="284" spans="41:195" x14ac:dyDescent="0.55000000000000004">
      <c r="GM284" s="7"/>
    </row>
    <row r="285" spans="41:195" x14ac:dyDescent="0.55000000000000004">
      <c r="GM285" s="7"/>
    </row>
    <row r="286" spans="41:195" x14ac:dyDescent="0.55000000000000004">
      <c r="GM286" s="7"/>
    </row>
    <row r="287" spans="41:195" x14ac:dyDescent="0.55000000000000004">
      <c r="GM287" s="7"/>
    </row>
    <row r="288" spans="41:195" x14ac:dyDescent="0.55000000000000004">
      <c r="GM288" s="7"/>
    </row>
    <row r="289" spans="41:195" x14ac:dyDescent="0.55000000000000004">
      <c r="GM289" s="7"/>
    </row>
    <row r="290" spans="41:195" x14ac:dyDescent="0.55000000000000004">
      <c r="GM290" s="7"/>
    </row>
    <row r="291" spans="41:195" x14ac:dyDescent="0.55000000000000004">
      <c r="GM291" s="7"/>
    </row>
    <row r="292" spans="41:195" x14ac:dyDescent="0.55000000000000004">
      <c r="GM292" s="7"/>
    </row>
    <row r="293" spans="41:195" x14ac:dyDescent="0.55000000000000004">
      <c r="GM293" s="7"/>
    </row>
    <row r="294" spans="41:195" x14ac:dyDescent="0.55000000000000004">
      <c r="GM294" s="7"/>
    </row>
    <row r="295" spans="41:195" x14ac:dyDescent="0.55000000000000004">
      <c r="GM295" s="7"/>
    </row>
    <row r="296" spans="41:195" x14ac:dyDescent="0.55000000000000004">
      <c r="GM296" s="7"/>
    </row>
    <row r="297" spans="41:195" x14ac:dyDescent="0.55000000000000004">
      <c r="GM297" s="7"/>
    </row>
    <row r="298" spans="41:195" x14ac:dyDescent="0.55000000000000004">
      <c r="GM298" s="7"/>
    </row>
    <row r="299" spans="41:195" x14ac:dyDescent="0.55000000000000004">
      <c r="GM299" s="7"/>
    </row>
    <row r="300" spans="41:195" x14ac:dyDescent="0.55000000000000004">
      <c r="GM300" s="7"/>
    </row>
    <row r="301" spans="41:195" x14ac:dyDescent="0.55000000000000004">
      <c r="GM301" s="7"/>
    </row>
    <row r="302" spans="41:195" x14ac:dyDescent="0.55000000000000004">
      <c r="GM302" s="7"/>
    </row>
    <row r="303" spans="41:195" x14ac:dyDescent="0.55000000000000004">
      <c r="GM303" s="7"/>
    </row>
    <row r="304" spans="41:195" x14ac:dyDescent="0.55000000000000004">
      <c r="GM304" s="7"/>
    </row>
    <row r="305" spans="41:195" x14ac:dyDescent="0.55000000000000004">
      <c r="GM305" s="7"/>
    </row>
    <row r="306" spans="41:195" x14ac:dyDescent="0.55000000000000004">
      <c r="GM306" s="7"/>
    </row>
    <row r="307" spans="41:195" x14ac:dyDescent="0.55000000000000004">
      <c r="GM307" s="7"/>
    </row>
    <row r="308" spans="41:195" x14ac:dyDescent="0.55000000000000004">
      <c r="GM308" s="7"/>
    </row>
    <row r="309" spans="41:195" x14ac:dyDescent="0.55000000000000004">
      <c r="GM309" s="7"/>
    </row>
    <row r="310" spans="41:195" x14ac:dyDescent="0.55000000000000004">
      <c r="GM310" s="7"/>
    </row>
    <row r="311" spans="41:195" x14ac:dyDescent="0.55000000000000004">
      <c r="GM311" s="7"/>
    </row>
    <row r="312" spans="41:195" x14ac:dyDescent="0.55000000000000004">
      <c r="GM312" s="7"/>
    </row>
    <row r="313" spans="41:195" x14ac:dyDescent="0.55000000000000004">
      <c r="GM313" s="7"/>
    </row>
    <row r="314" spans="41:195" x14ac:dyDescent="0.55000000000000004">
      <c r="GM314" s="7"/>
    </row>
    <row r="315" spans="41:195" x14ac:dyDescent="0.55000000000000004">
      <c r="GM315" s="7"/>
    </row>
    <row r="316" spans="41:195" x14ac:dyDescent="0.55000000000000004">
      <c r="GM316" s="7"/>
    </row>
    <row r="317" spans="41:195" x14ac:dyDescent="0.55000000000000004">
      <c r="GM317" s="7"/>
    </row>
    <row r="318" spans="41:195" x14ac:dyDescent="0.55000000000000004">
      <c r="GM318" s="7"/>
    </row>
    <row r="319" spans="41:195" x14ac:dyDescent="0.55000000000000004">
      <c r="GM319" s="7"/>
    </row>
    <row r="320" spans="41:195" x14ac:dyDescent="0.55000000000000004">
      <c r="GM320" s="7"/>
    </row>
    <row r="321" spans="41:195" x14ac:dyDescent="0.55000000000000004">
      <c r="GM321" s="7"/>
    </row>
    <row r="322" spans="41:195" x14ac:dyDescent="0.55000000000000004">
      <c r="GM322" s="7"/>
    </row>
    <row r="323" spans="41:195" x14ac:dyDescent="0.55000000000000004">
      <c r="GM323" s="7"/>
    </row>
    <row r="324" spans="41:195" x14ac:dyDescent="0.55000000000000004">
      <c r="GM324" s="7"/>
    </row>
    <row r="325" spans="41:195" x14ac:dyDescent="0.55000000000000004">
      <c r="GM325" s="7"/>
    </row>
    <row r="326" spans="41:195" x14ac:dyDescent="0.55000000000000004">
      <c r="GM326" s="7"/>
    </row>
    <row r="327" spans="41:195" x14ac:dyDescent="0.55000000000000004">
      <c r="GM327" s="7"/>
    </row>
    <row r="328" spans="41:195" x14ac:dyDescent="0.55000000000000004">
      <c r="GM328" s="7"/>
    </row>
    <row r="329" spans="41:195" x14ac:dyDescent="0.55000000000000004">
      <c r="GM329" s="7"/>
    </row>
    <row r="330" spans="41:195" x14ac:dyDescent="0.55000000000000004">
      <c r="GM330" s="7"/>
    </row>
    <row r="331" spans="41:195" x14ac:dyDescent="0.55000000000000004">
      <c r="GM331" s="7"/>
    </row>
    <row r="332" spans="41:195" x14ac:dyDescent="0.55000000000000004">
      <c r="GM332" s="7"/>
    </row>
    <row r="333" spans="41:195" x14ac:dyDescent="0.55000000000000004">
      <c r="GM333" s="7"/>
    </row>
    <row r="334" spans="41:195" x14ac:dyDescent="0.55000000000000004">
      <c r="GM334" s="7"/>
    </row>
    <row r="335" spans="41:195" x14ac:dyDescent="0.55000000000000004">
      <c r="GM335" s="7"/>
    </row>
    <row r="336" spans="41:195" x14ac:dyDescent="0.55000000000000004">
      <c r="GM336" s="7"/>
    </row>
    <row r="337" spans="41:195" x14ac:dyDescent="0.55000000000000004">
      <c r="GM337" s="7"/>
    </row>
    <row r="338" spans="41:195" x14ac:dyDescent="0.55000000000000004">
      <c r="GM338" s="7"/>
    </row>
    <row r="339" spans="41:195" x14ac:dyDescent="0.55000000000000004">
      <c r="GM339" s="7"/>
    </row>
    <row r="340" spans="41:195" x14ac:dyDescent="0.55000000000000004">
      <c r="GM340" s="7"/>
    </row>
    <row r="341" spans="41:195" x14ac:dyDescent="0.55000000000000004">
      <c r="GM341" s="7"/>
    </row>
    <row r="342" spans="41:195" x14ac:dyDescent="0.55000000000000004">
      <c r="GM342" s="7"/>
    </row>
    <row r="343" spans="41:195" x14ac:dyDescent="0.55000000000000004">
      <c r="GM343" s="7"/>
    </row>
    <row r="344" spans="41:195" x14ac:dyDescent="0.55000000000000004">
      <c r="GM344" s="7"/>
    </row>
    <row r="345" spans="41:195" x14ac:dyDescent="0.55000000000000004">
      <c r="GM345" s="7"/>
    </row>
    <row r="346" spans="41:195" x14ac:dyDescent="0.55000000000000004">
      <c r="GM346" s="7"/>
    </row>
    <row r="347" spans="41:195" x14ac:dyDescent="0.55000000000000004">
      <c r="GM347" s="7"/>
    </row>
    <row r="348" spans="41:195" x14ac:dyDescent="0.55000000000000004">
      <c r="GM348" s="7"/>
    </row>
    <row r="349" spans="41:195" x14ac:dyDescent="0.55000000000000004">
      <c r="GM349" s="7"/>
    </row>
    <row r="350" spans="41:195" x14ac:dyDescent="0.55000000000000004">
      <c r="GM350" s="7"/>
    </row>
    <row r="351" spans="41:195" x14ac:dyDescent="0.55000000000000004">
      <c r="GM351" s="7"/>
    </row>
    <row r="352" spans="41:195" x14ac:dyDescent="0.55000000000000004">
      <c r="GM352" s="7"/>
    </row>
    <row r="353" spans="41:195" x14ac:dyDescent="0.55000000000000004">
      <c r="GM353" s="7"/>
    </row>
    <row r="354" spans="41:195" x14ac:dyDescent="0.55000000000000004">
      <c r="GM354" s="7"/>
    </row>
    <row r="355" spans="41:195" x14ac:dyDescent="0.55000000000000004">
      <c r="GM355" s="7"/>
    </row>
    <row r="356" spans="41:195" x14ac:dyDescent="0.55000000000000004">
      <c r="GM356" s="7"/>
    </row>
    <row r="357" spans="41:195" x14ac:dyDescent="0.55000000000000004">
      <c r="GM357" s="7"/>
    </row>
    <row r="358" spans="41:195" x14ac:dyDescent="0.55000000000000004">
      <c r="GM358" s="7"/>
    </row>
    <row r="359" spans="41:195" x14ac:dyDescent="0.55000000000000004">
      <c r="GM359" s="7"/>
    </row>
    <row r="360" spans="41:195" x14ac:dyDescent="0.55000000000000004">
      <c r="GM360" s="7"/>
    </row>
    <row r="361" spans="41:195" x14ac:dyDescent="0.55000000000000004">
      <c r="GM361" s="7"/>
    </row>
    <row r="362" spans="41:195" x14ac:dyDescent="0.55000000000000004">
      <c r="GM362" s="7"/>
    </row>
    <row r="363" spans="41:195" x14ac:dyDescent="0.55000000000000004">
      <c r="GM363" s="7"/>
    </row>
    <row r="364" spans="41:195" x14ac:dyDescent="0.55000000000000004">
      <c r="GM364" s="7"/>
    </row>
    <row r="365" spans="41:195" x14ac:dyDescent="0.55000000000000004">
      <c r="GM365" s="7"/>
    </row>
    <row r="366" spans="41:195" x14ac:dyDescent="0.55000000000000004">
      <c r="GM366" s="7"/>
    </row>
    <row r="367" spans="41:195" x14ac:dyDescent="0.55000000000000004">
      <c r="GM367" s="7"/>
    </row>
    <row r="368" spans="41:195" x14ac:dyDescent="0.55000000000000004">
      <c r="GM368" s="7"/>
    </row>
    <row r="369" spans="41:195" x14ac:dyDescent="0.55000000000000004">
      <c r="GM369" s="7"/>
    </row>
    <row r="370" spans="41:195" x14ac:dyDescent="0.55000000000000004">
      <c r="GM370" s="7"/>
    </row>
    <row r="371" spans="41:195" x14ac:dyDescent="0.55000000000000004">
      <c r="GM371" s="7"/>
    </row>
    <row r="372" spans="41:195" x14ac:dyDescent="0.55000000000000004">
      <c r="GM372" s="7"/>
    </row>
    <row r="373" spans="41:195" x14ac:dyDescent="0.55000000000000004">
      <c r="GM373" s="7"/>
    </row>
    <row r="374" spans="41:195" x14ac:dyDescent="0.55000000000000004">
      <c r="GM374" s="7"/>
    </row>
    <row r="375" spans="41:195" x14ac:dyDescent="0.55000000000000004">
      <c r="GM375" s="7"/>
    </row>
    <row r="376" spans="41:195" x14ac:dyDescent="0.55000000000000004">
      <c r="GM376" s="7"/>
    </row>
    <row r="377" spans="41:195" x14ac:dyDescent="0.55000000000000004">
      <c r="GM377" s="7"/>
    </row>
    <row r="378" spans="41:195" x14ac:dyDescent="0.55000000000000004">
      <c r="GM378" s="7"/>
    </row>
    <row r="379" spans="41:195" x14ac:dyDescent="0.55000000000000004">
      <c r="GM379" s="7"/>
    </row>
    <row r="380" spans="41:195" x14ac:dyDescent="0.55000000000000004">
      <c r="GM380" s="7"/>
    </row>
    <row r="381" spans="41:195" x14ac:dyDescent="0.55000000000000004">
      <c r="GM381" s="7"/>
    </row>
    <row r="382" spans="41:195" x14ac:dyDescent="0.55000000000000004">
      <c r="GM382" s="7"/>
    </row>
    <row r="383" spans="41:195" x14ac:dyDescent="0.55000000000000004">
      <c r="GM383" s="7"/>
    </row>
    <row r="384" spans="41:195" x14ac:dyDescent="0.55000000000000004">
      <c r="GM384" s="7"/>
    </row>
    <row r="385" spans="41:195" x14ac:dyDescent="0.55000000000000004">
      <c r="GM385" s="7"/>
    </row>
    <row r="386" spans="41:195" x14ac:dyDescent="0.55000000000000004">
      <c r="GM386" s="7"/>
    </row>
    <row r="387" spans="41:195" x14ac:dyDescent="0.55000000000000004">
      <c r="GM387" s="7"/>
    </row>
    <row r="388" spans="41:195" x14ac:dyDescent="0.55000000000000004">
      <c r="GM388" s="7"/>
    </row>
    <row r="389" spans="41:195" x14ac:dyDescent="0.55000000000000004">
      <c r="GM389" s="7"/>
    </row>
    <row r="390" spans="41:195" x14ac:dyDescent="0.55000000000000004">
      <c r="GM390" s="7"/>
    </row>
    <row r="391" spans="41:195" x14ac:dyDescent="0.55000000000000004">
      <c r="GM391" s="7"/>
    </row>
    <row r="392" spans="41:195" x14ac:dyDescent="0.55000000000000004">
      <c r="GM392" s="7"/>
    </row>
    <row r="393" spans="41:195" x14ac:dyDescent="0.55000000000000004">
      <c r="GM393" s="7"/>
    </row>
    <row r="394" spans="41:195" x14ac:dyDescent="0.55000000000000004">
      <c r="GM394" s="7"/>
    </row>
    <row r="395" spans="41:195" x14ac:dyDescent="0.55000000000000004">
      <c r="GM395" s="7"/>
    </row>
    <row r="396" spans="41:195" x14ac:dyDescent="0.55000000000000004">
      <c r="GM396" s="7"/>
    </row>
    <row r="397" spans="41:195" x14ac:dyDescent="0.55000000000000004">
      <c r="GM397" s="7"/>
    </row>
    <row r="398" spans="41:195" x14ac:dyDescent="0.55000000000000004">
      <c r="GM398" s="7"/>
    </row>
    <row r="399" spans="41:195" x14ac:dyDescent="0.55000000000000004">
      <c r="GM399" s="7"/>
    </row>
    <row r="400" spans="41:195" x14ac:dyDescent="0.55000000000000004">
      <c r="GM400" s="7"/>
    </row>
    <row r="401" spans="41:195" x14ac:dyDescent="0.55000000000000004">
      <c r="GM401" s="7"/>
    </row>
    <row r="402" spans="41:195" x14ac:dyDescent="0.55000000000000004">
      <c r="GM402" s="7"/>
    </row>
    <row r="403" spans="41:195" x14ac:dyDescent="0.55000000000000004">
      <c r="GM403" s="7"/>
    </row>
    <row r="404" spans="41:195" x14ac:dyDescent="0.55000000000000004">
      <c r="GM404" s="7"/>
    </row>
    <row r="405" spans="41:195" x14ac:dyDescent="0.55000000000000004">
      <c r="GM405" s="7"/>
    </row>
    <row r="406" spans="41:195" x14ac:dyDescent="0.55000000000000004">
      <c r="GM406" s="7"/>
    </row>
    <row r="407" spans="41:195" x14ac:dyDescent="0.55000000000000004">
      <c r="GM407" s="7"/>
    </row>
    <row r="408" spans="41:195" x14ac:dyDescent="0.55000000000000004">
      <c r="GM408" s="7"/>
    </row>
    <row r="409" spans="41:195" x14ac:dyDescent="0.55000000000000004">
      <c r="GM409" s="7"/>
    </row>
    <row r="410" spans="41:195" x14ac:dyDescent="0.55000000000000004">
      <c r="GM410" s="7"/>
    </row>
    <row r="411" spans="41:195" x14ac:dyDescent="0.55000000000000004">
      <c r="GM411" s="7"/>
    </row>
    <row r="412" spans="41:195" x14ac:dyDescent="0.55000000000000004">
      <c r="GM412" s="7"/>
    </row>
    <row r="413" spans="41:195" x14ac:dyDescent="0.55000000000000004">
      <c r="GM413" s="7"/>
    </row>
    <row r="414" spans="41:195" x14ac:dyDescent="0.55000000000000004">
      <c r="GM414" s="7"/>
    </row>
    <row r="415" spans="41:195" x14ac:dyDescent="0.55000000000000004">
      <c r="GM415" s="7"/>
    </row>
    <row r="416" spans="41:195" x14ac:dyDescent="0.55000000000000004">
      <c r="GM416" s="7"/>
    </row>
    <row r="417" spans="41:195" x14ac:dyDescent="0.55000000000000004">
      <c r="GM417" s="7"/>
    </row>
    <row r="418" spans="41:195" x14ac:dyDescent="0.55000000000000004">
      <c r="GM418" s="7"/>
    </row>
    <row r="419" spans="41:195" x14ac:dyDescent="0.55000000000000004">
      <c r="GM419" s="7"/>
    </row>
    <row r="420" spans="41:195" x14ac:dyDescent="0.55000000000000004">
      <c r="GM420" s="7"/>
    </row>
    <row r="421" spans="41:195" x14ac:dyDescent="0.55000000000000004">
      <c r="GM421" s="7"/>
    </row>
    <row r="422" spans="41:195" x14ac:dyDescent="0.55000000000000004">
      <c r="GM422" s="7"/>
    </row>
    <row r="423" spans="41:195" x14ac:dyDescent="0.55000000000000004">
      <c r="GM423" s="7"/>
    </row>
    <row r="424" spans="41:195" x14ac:dyDescent="0.55000000000000004">
      <c r="GM424" s="7"/>
    </row>
    <row r="425" spans="41:195" x14ac:dyDescent="0.55000000000000004">
      <c r="GM425" s="7"/>
    </row>
    <row r="426" spans="41:195" x14ac:dyDescent="0.55000000000000004">
      <c r="GM426" s="7"/>
    </row>
    <row r="427" spans="41:195" x14ac:dyDescent="0.55000000000000004">
      <c r="GM427" s="7"/>
    </row>
    <row r="428" spans="41:195" x14ac:dyDescent="0.55000000000000004">
      <c r="GM428" s="7"/>
    </row>
    <row r="429" spans="41:195" x14ac:dyDescent="0.55000000000000004">
      <c r="GM429" s="7"/>
    </row>
    <row r="430" spans="41:195" x14ac:dyDescent="0.55000000000000004">
      <c r="GM430" s="7"/>
    </row>
    <row r="431" spans="41:195" x14ac:dyDescent="0.55000000000000004">
      <c r="GM431" s="7"/>
    </row>
    <row r="432" spans="41:195" x14ac:dyDescent="0.55000000000000004">
      <c r="GM432" s="7"/>
    </row>
    <row r="433" spans="41:195" x14ac:dyDescent="0.55000000000000004">
      <c r="GM433" s="7"/>
    </row>
    <row r="434" spans="41:195" x14ac:dyDescent="0.55000000000000004">
      <c r="GM434" s="7"/>
    </row>
    <row r="435" spans="41:195" x14ac:dyDescent="0.55000000000000004">
      <c r="GM435" s="7"/>
    </row>
    <row r="436" spans="41:195" x14ac:dyDescent="0.55000000000000004">
      <c r="GM436" s="7"/>
    </row>
    <row r="437" spans="41:195" x14ac:dyDescent="0.55000000000000004">
      <c r="GM437" s="7"/>
    </row>
    <row r="438" spans="41:195" x14ac:dyDescent="0.55000000000000004">
      <c r="GM438" s="7"/>
    </row>
    <row r="439" spans="41:195" x14ac:dyDescent="0.55000000000000004">
      <c r="GM439" s="7"/>
    </row>
    <row r="440" spans="41:195" x14ac:dyDescent="0.55000000000000004">
      <c r="GM440" s="7"/>
    </row>
    <row r="441" spans="41:195" x14ac:dyDescent="0.55000000000000004">
      <c r="GM441" s="7"/>
    </row>
    <row r="442" spans="41:195" x14ac:dyDescent="0.55000000000000004">
      <c r="GM442" s="7"/>
    </row>
    <row r="443" spans="41:195" x14ac:dyDescent="0.55000000000000004">
      <c r="GM443" s="7"/>
    </row>
    <row r="444" spans="41:195" x14ac:dyDescent="0.55000000000000004">
      <c r="GM444" s="7"/>
    </row>
    <row r="445" spans="41:195" x14ac:dyDescent="0.55000000000000004">
      <c r="GM445" s="7"/>
    </row>
    <row r="446" spans="41:195" x14ac:dyDescent="0.55000000000000004">
      <c r="GM446" s="7"/>
    </row>
    <row r="447" spans="41:195" x14ac:dyDescent="0.55000000000000004">
      <c r="GM447" s="7"/>
    </row>
    <row r="448" spans="41:195" x14ac:dyDescent="0.55000000000000004">
      <c r="GM448" s="7"/>
    </row>
    <row r="449" spans="41:195" x14ac:dyDescent="0.55000000000000004">
      <c r="GM449" s="7"/>
    </row>
    <row r="450" spans="41:195" x14ac:dyDescent="0.55000000000000004">
      <c r="GM450" s="7"/>
    </row>
    <row r="451" spans="41:195" x14ac:dyDescent="0.55000000000000004">
      <c r="GM451" s="7"/>
    </row>
    <row r="452" spans="41:195" x14ac:dyDescent="0.55000000000000004">
      <c r="GM452" s="7"/>
    </row>
    <row r="453" spans="41:195" x14ac:dyDescent="0.55000000000000004">
      <c r="GM453" s="7"/>
    </row>
    <row r="454" spans="41:195" x14ac:dyDescent="0.55000000000000004">
      <c r="GM454" s="7"/>
    </row>
    <row r="455" spans="41:195" x14ac:dyDescent="0.55000000000000004">
      <c r="GM455" s="7"/>
    </row>
    <row r="456" spans="41:195" x14ac:dyDescent="0.55000000000000004">
      <c r="GM456" s="7"/>
    </row>
    <row r="457" spans="41:195" x14ac:dyDescent="0.55000000000000004">
      <c r="GM457" s="7"/>
    </row>
    <row r="458" spans="41:195" x14ac:dyDescent="0.55000000000000004">
      <c r="GM458" s="7"/>
    </row>
    <row r="459" spans="41:195" x14ac:dyDescent="0.55000000000000004">
      <c r="GM459" s="7"/>
    </row>
    <row r="460" spans="41:195" x14ac:dyDescent="0.55000000000000004">
      <c r="GM460" s="7"/>
    </row>
    <row r="461" spans="41:195" x14ac:dyDescent="0.55000000000000004">
      <c r="GM461" s="7"/>
    </row>
    <row r="462" spans="41:195" x14ac:dyDescent="0.55000000000000004">
      <c r="GM462" s="7"/>
    </row>
    <row r="463" spans="41:195" x14ac:dyDescent="0.55000000000000004">
      <c r="GM463" s="7"/>
    </row>
    <row r="464" spans="41:195" x14ac:dyDescent="0.55000000000000004">
      <c r="GM464" s="7"/>
    </row>
    <row r="465" spans="41:195" x14ac:dyDescent="0.55000000000000004">
      <c r="GM465" s="7"/>
    </row>
    <row r="466" spans="41:195" x14ac:dyDescent="0.55000000000000004">
      <c r="GM466" s="7"/>
    </row>
    <row r="467" spans="41:195" x14ac:dyDescent="0.55000000000000004">
      <c r="GM467" s="7"/>
    </row>
    <row r="468" spans="41:195" x14ac:dyDescent="0.55000000000000004">
      <c r="GM468" s="7"/>
    </row>
    <row r="469" spans="41:195" x14ac:dyDescent="0.55000000000000004">
      <c r="GM469" s="7"/>
    </row>
    <row r="470" spans="41:195" x14ac:dyDescent="0.55000000000000004">
      <c r="GM470" s="7"/>
    </row>
    <row r="471" spans="41:195" x14ac:dyDescent="0.55000000000000004">
      <c r="GM471" s="7"/>
    </row>
    <row r="472" spans="41:195" x14ac:dyDescent="0.55000000000000004">
      <c r="GM472" s="7"/>
    </row>
    <row r="473" spans="41:195" x14ac:dyDescent="0.55000000000000004">
      <c r="GM473" s="7"/>
    </row>
    <row r="474" spans="41:195" x14ac:dyDescent="0.55000000000000004">
      <c r="GM474" s="7"/>
    </row>
    <row r="475" spans="41:195" x14ac:dyDescent="0.55000000000000004">
      <c r="GM475" s="7"/>
    </row>
    <row r="476" spans="41:195" x14ac:dyDescent="0.55000000000000004">
      <c r="GM476" s="7"/>
    </row>
    <row r="477" spans="41:195" x14ac:dyDescent="0.55000000000000004">
      <c r="GM477" s="7"/>
    </row>
    <row r="478" spans="41:195" x14ac:dyDescent="0.55000000000000004">
      <c r="GM478" s="7"/>
    </row>
    <row r="479" spans="41:195" x14ac:dyDescent="0.55000000000000004">
      <c r="GM479" s="7"/>
    </row>
    <row r="480" spans="41:195" x14ac:dyDescent="0.55000000000000004">
      <c r="GM480" s="7"/>
    </row>
    <row r="481" spans="41:195" x14ac:dyDescent="0.55000000000000004">
      <c r="GM481" s="7"/>
    </row>
    <row r="482" spans="41:195" x14ac:dyDescent="0.55000000000000004">
      <c r="GM482" s="7"/>
    </row>
    <row r="483" spans="41:195" x14ac:dyDescent="0.55000000000000004">
      <c r="GM483" s="7"/>
    </row>
    <row r="484" spans="41:195" x14ac:dyDescent="0.55000000000000004">
      <c r="GM484" s="7"/>
    </row>
    <row r="485" spans="41:195" x14ac:dyDescent="0.55000000000000004">
      <c r="GM485" s="7"/>
    </row>
    <row r="486" spans="41:195" x14ac:dyDescent="0.55000000000000004">
      <c r="GM486" s="7"/>
    </row>
    <row r="487" spans="41:195" x14ac:dyDescent="0.55000000000000004">
      <c r="GM487" s="7"/>
    </row>
    <row r="488" spans="41:195" x14ac:dyDescent="0.55000000000000004">
      <c r="GM488" s="7"/>
    </row>
    <row r="489" spans="41:195" x14ac:dyDescent="0.55000000000000004">
      <c r="GM489" s="7"/>
    </row>
    <row r="490" spans="41:195" x14ac:dyDescent="0.55000000000000004">
      <c r="GM490" s="7"/>
    </row>
    <row r="491" spans="41:195" x14ac:dyDescent="0.55000000000000004">
      <c r="GM491" s="7"/>
    </row>
    <row r="492" spans="41:195" x14ac:dyDescent="0.55000000000000004">
      <c r="GM492" s="7"/>
    </row>
    <row r="493" spans="41:195" x14ac:dyDescent="0.55000000000000004">
      <c r="GM493" s="7"/>
    </row>
    <row r="494" spans="41:195" x14ac:dyDescent="0.55000000000000004">
      <c r="GM494" s="7"/>
    </row>
    <row r="495" spans="41:195" x14ac:dyDescent="0.55000000000000004">
      <c r="GM495" s="7"/>
    </row>
    <row r="496" spans="41:195" x14ac:dyDescent="0.55000000000000004">
      <c r="GM496" s="7"/>
    </row>
    <row r="497" spans="195:195" x14ac:dyDescent="0.55000000000000004">
      <c r="GM497" s="7"/>
    </row>
    <row r="498" spans="195:195" x14ac:dyDescent="0.55000000000000004">
      <c r="GM498" s="7"/>
    </row>
    <row r="499" spans="195:195" x14ac:dyDescent="0.55000000000000004">
      <c r="GM499" s="7"/>
    </row>
    <row r="500" spans="195:195" x14ac:dyDescent="0.55000000000000004">
      <c r="GM500" s="7"/>
    </row>
    <row r="501" spans="195:195" x14ac:dyDescent="0.55000000000000004">
      <c r="GM501" s="7"/>
    </row>
    <row r="502" spans="195:195" x14ac:dyDescent="0.55000000000000004">
      <c r="GM502" s="7"/>
    </row>
    <row r="503" spans="195:195" x14ac:dyDescent="0.55000000000000004">
      <c r="GM503" s="7"/>
    </row>
    <row r="504" spans="195:195" x14ac:dyDescent="0.55000000000000004">
      <c r="GM504" s="7"/>
    </row>
    <row r="505" spans="195:195" x14ac:dyDescent="0.55000000000000004">
      <c r="GM505" s="7"/>
    </row>
    <row r="506" spans="195:195" x14ac:dyDescent="0.55000000000000004">
      <c r="GM506" s="7"/>
    </row>
    <row r="507" spans="195:195" x14ac:dyDescent="0.55000000000000004">
      <c r="GM507" s="7"/>
    </row>
    <row r="508" spans="195:195" x14ac:dyDescent="0.55000000000000004">
      <c r="GM508" s="7"/>
    </row>
    <row r="509" spans="195:195" x14ac:dyDescent="0.55000000000000004">
      <c r="GM509" s="7"/>
    </row>
    <row r="510" spans="195:195" x14ac:dyDescent="0.55000000000000004">
      <c r="GM510" s="7"/>
    </row>
    <row r="511" spans="195:195" x14ac:dyDescent="0.55000000000000004">
      <c r="GM511" s="7"/>
    </row>
    <row r="512" spans="195:195" x14ac:dyDescent="0.55000000000000004">
      <c r="GM512" s="7"/>
    </row>
    <row r="513" spans="195:195" x14ac:dyDescent="0.55000000000000004">
      <c r="GM513" s="7"/>
    </row>
    <row r="514" spans="195:195" x14ac:dyDescent="0.55000000000000004">
      <c r="GM514" s="7"/>
    </row>
    <row r="515" spans="195:195" x14ac:dyDescent="0.55000000000000004">
      <c r="GM515" s="7"/>
    </row>
    <row r="516" spans="195:195" x14ac:dyDescent="0.55000000000000004">
      <c r="GM516" s="7"/>
    </row>
    <row r="517" spans="195:195" x14ac:dyDescent="0.55000000000000004">
      <c r="GM517" s="7"/>
    </row>
    <row r="518" spans="195:195" x14ac:dyDescent="0.55000000000000004">
      <c r="GM518" s="7"/>
    </row>
    <row r="519" spans="195:195" x14ac:dyDescent="0.55000000000000004">
      <c r="GM519" s="7"/>
    </row>
    <row r="520" spans="195:195" x14ac:dyDescent="0.55000000000000004">
      <c r="GM520" s="7"/>
    </row>
    <row r="521" spans="195:195" x14ac:dyDescent="0.55000000000000004">
      <c r="GM521" s="7"/>
    </row>
    <row r="522" spans="195:195" x14ac:dyDescent="0.55000000000000004">
      <c r="GM522" s="7"/>
    </row>
    <row r="523" spans="195:195" x14ac:dyDescent="0.55000000000000004">
      <c r="GM523" s="7"/>
    </row>
    <row r="524" spans="195:195" x14ac:dyDescent="0.55000000000000004">
      <c r="GM524" s="7"/>
    </row>
    <row r="525" spans="195:195" x14ac:dyDescent="0.55000000000000004">
      <c r="GM525" s="7"/>
    </row>
    <row r="526" spans="195:195" x14ac:dyDescent="0.55000000000000004">
      <c r="GM526" s="7"/>
    </row>
    <row r="527" spans="195:195" x14ac:dyDescent="0.55000000000000004">
      <c r="GM527" s="7"/>
    </row>
    <row r="528" spans="195:195" x14ac:dyDescent="0.55000000000000004">
      <c r="GM528" s="7"/>
    </row>
    <row r="529" spans="195:195" x14ac:dyDescent="0.55000000000000004">
      <c r="GM529" s="7"/>
    </row>
    <row r="530" spans="195:195" x14ac:dyDescent="0.55000000000000004">
      <c r="GM530" s="7"/>
    </row>
    <row r="531" spans="195:195" x14ac:dyDescent="0.55000000000000004">
      <c r="GM531" s="7"/>
    </row>
    <row r="532" spans="195:195" x14ac:dyDescent="0.55000000000000004">
      <c r="GM532" s="7"/>
    </row>
    <row r="533" spans="195:195" x14ac:dyDescent="0.55000000000000004">
      <c r="GM533" s="7"/>
    </row>
    <row r="534" spans="195:195" x14ac:dyDescent="0.55000000000000004">
      <c r="GM534" s="7"/>
    </row>
    <row r="535" spans="195:195" x14ac:dyDescent="0.55000000000000004">
      <c r="GM535" s="7"/>
    </row>
    <row r="536" spans="195:195" x14ac:dyDescent="0.55000000000000004">
      <c r="GM536" s="7"/>
    </row>
    <row r="537" spans="195:195" x14ac:dyDescent="0.55000000000000004">
      <c r="GM537" s="7"/>
    </row>
    <row r="538" spans="195:195" x14ac:dyDescent="0.55000000000000004">
      <c r="GM538" s="7"/>
    </row>
    <row r="539" spans="195:195" x14ac:dyDescent="0.55000000000000004">
      <c r="GM539" s="7"/>
    </row>
    <row r="540" spans="195:195" x14ac:dyDescent="0.55000000000000004">
      <c r="GM540" s="7"/>
    </row>
    <row r="541" spans="195:195" x14ac:dyDescent="0.55000000000000004">
      <c r="GM541" s="7"/>
    </row>
    <row r="542" spans="195:195" x14ac:dyDescent="0.55000000000000004">
      <c r="GM542" s="7"/>
    </row>
    <row r="543" spans="195:195" x14ac:dyDescent="0.55000000000000004">
      <c r="GM543" s="7"/>
    </row>
    <row r="544" spans="195:195" x14ac:dyDescent="0.55000000000000004">
      <c r="GM544" s="7"/>
    </row>
    <row r="545" spans="195:195" x14ac:dyDescent="0.55000000000000004">
      <c r="GM545" s="7"/>
    </row>
    <row r="546" spans="195:195" x14ac:dyDescent="0.55000000000000004">
      <c r="GM546" s="7"/>
    </row>
    <row r="547" spans="195:195" x14ac:dyDescent="0.55000000000000004">
      <c r="GM547" s="7"/>
    </row>
    <row r="548" spans="195:195" x14ac:dyDescent="0.55000000000000004">
      <c r="GM548" s="7"/>
    </row>
    <row r="549" spans="195:195" x14ac:dyDescent="0.55000000000000004">
      <c r="GM549" s="7"/>
    </row>
    <row r="550" spans="195:195" x14ac:dyDescent="0.55000000000000004">
      <c r="GM550" s="7"/>
    </row>
    <row r="551" spans="195:195" x14ac:dyDescent="0.55000000000000004">
      <c r="GM551" s="7"/>
    </row>
    <row r="552" spans="195:195" x14ac:dyDescent="0.55000000000000004">
      <c r="GM552" s="7"/>
    </row>
    <row r="553" spans="195:195" x14ac:dyDescent="0.55000000000000004">
      <c r="GM553" s="7"/>
    </row>
    <row r="554" spans="195:195" x14ac:dyDescent="0.55000000000000004">
      <c r="GM554" s="7"/>
    </row>
    <row r="555" spans="195:195" x14ac:dyDescent="0.55000000000000004">
      <c r="GM555" s="7"/>
    </row>
    <row r="556" spans="195:195" x14ac:dyDescent="0.55000000000000004">
      <c r="GM556" s="7"/>
    </row>
    <row r="557" spans="195:195" x14ac:dyDescent="0.55000000000000004">
      <c r="GM557" s="7"/>
    </row>
    <row r="558" spans="195:195" x14ac:dyDescent="0.55000000000000004">
      <c r="GM558" s="7"/>
    </row>
    <row r="559" spans="195:195" x14ac:dyDescent="0.55000000000000004">
      <c r="GM559" s="7"/>
    </row>
    <row r="560" spans="195:195" x14ac:dyDescent="0.55000000000000004">
      <c r="GM560" s="7"/>
    </row>
    <row r="561" spans="195:195" x14ac:dyDescent="0.55000000000000004">
      <c r="GM561" s="7"/>
    </row>
    <row r="562" spans="195:195" x14ac:dyDescent="0.55000000000000004">
      <c r="GM562" s="7"/>
    </row>
    <row r="563" spans="195:195" x14ac:dyDescent="0.55000000000000004">
      <c r="GM563" s="7"/>
    </row>
    <row r="564" spans="195:195" x14ac:dyDescent="0.55000000000000004">
      <c r="GM564" s="7"/>
    </row>
    <row r="565" spans="195:195" x14ac:dyDescent="0.55000000000000004">
      <c r="GM565" s="7"/>
    </row>
    <row r="566" spans="195:195" x14ac:dyDescent="0.55000000000000004">
      <c r="GM566" s="7"/>
    </row>
    <row r="567" spans="195:195" x14ac:dyDescent="0.55000000000000004">
      <c r="GM567" s="7"/>
    </row>
    <row r="568" spans="195:195" x14ac:dyDescent="0.55000000000000004">
      <c r="GM568" s="7"/>
    </row>
    <row r="569" spans="195:195" x14ac:dyDescent="0.55000000000000004">
      <c r="GM569" s="7"/>
    </row>
    <row r="570" spans="195:195" x14ac:dyDescent="0.55000000000000004">
      <c r="GM570" s="7"/>
    </row>
    <row r="571" spans="195:195" x14ac:dyDescent="0.55000000000000004">
      <c r="GM571" s="7"/>
    </row>
    <row r="572" spans="195:195" x14ac:dyDescent="0.55000000000000004">
      <c r="GM572" s="7"/>
    </row>
    <row r="573" spans="195:195" x14ac:dyDescent="0.55000000000000004">
      <c r="GM573" s="7"/>
    </row>
    <row r="574" spans="195:195" x14ac:dyDescent="0.55000000000000004">
      <c r="GM574" s="7"/>
    </row>
    <row r="575" spans="195:195" x14ac:dyDescent="0.55000000000000004">
      <c r="GM575" s="7"/>
    </row>
    <row r="576" spans="195:195" x14ac:dyDescent="0.55000000000000004">
      <c r="GM576" s="7"/>
    </row>
    <row r="577" spans="195:195" x14ac:dyDescent="0.55000000000000004">
      <c r="GM577" s="7"/>
    </row>
    <row r="578" spans="195:195" x14ac:dyDescent="0.55000000000000004">
      <c r="GM578" s="7"/>
    </row>
    <row r="579" spans="195:195" x14ac:dyDescent="0.55000000000000004">
      <c r="GM579" s="7"/>
    </row>
    <row r="580" spans="195:195" x14ac:dyDescent="0.55000000000000004">
      <c r="GM580" s="7"/>
    </row>
    <row r="581" spans="195:195" x14ac:dyDescent="0.55000000000000004">
      <c r="GM581" s="7"/>
    </row>
    <row r="582" spans="195:195" x14ac:dyDescent="0.55000000000000004">
      <c r="GM582" s="7"/>
    </row>
    <row r="583" spans="195:195" x14ac:dyDescent="0.55000000000000004">
      <c r="GM583" s="7"/>
    </row>
    <row r="584" spans="195:195" x14ac:dyDescent="0.55000000000000004">
      <c r="GM584" s="7"/>
    </row>
    <row r="585" spans="195:195" x14ac:dyDescent="0.55000000000000004">
      <c r="GM585" s="7"/>
    </row>
    <row r="586" spans="195:195" x14ac:dyDescent="0.55000000000000004">
      <c r="GM586" s="7"/>
    </row>
    <row r="587" spans="195:195" x14ac:dyDescent="0.55000000000000004">
      <c r="GM587" s="7"/>
    </row>
    <row r="588" spans="195:195" x14ac:dyDescent="0.55000000000000004">
      <c r="GM588" s="7"/>
    </row>
    <row r="589" spans="195:195" x14ac:dyDescent="0.55000000000000004">
      <c r="GM589" s="7"/>
    </row>
    <row r="590" spans="195:195" x14ac:dyDescent="0.55000000000000004">
      <c r="GM590" s="7"/>
    </row>
    <row r="591" spans="195:195" x14ac:dyDescent="0.55000000000000004">
      <c r="GM591" s="7"/>
    </row>
    <row r="592" spans="195:195" x14ac:dyDescent="0.55000000000000004">
      <c r="GM592" s="7"/>
    </row>
    <row r="593" spans="195:195" x14ac:dyDescent="0.55000000000000004">
      <c r="GM593" s="7"/>
    </row>
    <row r="594" spans="195:195" x14ac:dyDescent="0.55000000000000004">
      <c r="GM594" s="7"/>
    </row>
    <row r="595" spans="195:195" x14ac:dyDescent="0.55000000000000004">
      <c r="GM595" s="7"/>
    </row>
    <row r="596" spans="195:195" x14ac:dyDescent="0.55000000000000004">
      <c r="GM596" s="7"/>
    </row>
    <row r="597" spans="195:195" x14ac:dyDescent="0.55000000000000004">
      <c r="GM597" s="7"/>
    </row>
    <row r="598" spans="195:195" x14ac:dyDescent="0.55000000000000004">
      <c r="GM598" s="7"/>
    </row>
    <row r="599" spans="195:195" x14ac:dyDescent="0.55000000000000004">
      <c r="GM599" s="7"/>
    </row>
    <row r="600" spans="195:195" x14ac:dyDescent="0.55000000000000004">
      <c r="GM600" s="7"/>
    </row>
    <row r="601" spans="195:195" x14ac:dyDescent="0.55000000000000004">
      <c r="GM601" s="7"/>
    </row>
    <row r="602" spans="195:195" x14ac:dyDescent="0.55000000000000004">
      <c r="GM602" s="7"/>
    </row>
    <row r="603" spans="195:195" x14ac:dyDescent="0.55000000000000004">
      <c r="GM603" s="7"/>
    </row>
    <row r="604" spans="195:195" x14ac:dyDescent="0.55000000000000004">
      <c r="GM604" s="7"/>
    </row>
    <row r="605" spans="195:195" x14ac:dyDescent="0.55000000000000004">
      <c r="GM605" s="7"/>
    </row>
    <row r="606" spans="195:195" x14ac:dyDescent="0.55000000000000004">
      <c r="GM606" s="7"/>
    </row>
    <row r="607" spans="195:195" x14ac:dyDescent="0.55000000000000004">
      <c r="GM607" s="7"/>
    </row>
    <row r="608" spans="195:195" x14ac:dyDescent="0.55000000000000004">
      <c r="GM608" s="7"/>
    </row>
    <row r="609" spans="195:195" x14ac:dyDescent="0.55000000000000004">
      <c r="GM609" s="7"/>
    </row>
    <row r="610" spans="195:195" x14ac:dyDescent="0.55000000000000004">
      <c r="GM610" s="7"/>
    </row>
    <row r="611" spans="195:195" x14ac:dyDescent="0.55000000000000004">
      <c r="GM611" s="7"/>
    </row>
    <row r="612" spans="195:195" x14ac:dyDescent="0.55000000000000004">
      <c r="GM612" s="7"/>
    </row>
    <row r="613" spans="195:195" x14ac:dyDescent="0.55000000000000004">
      <c r="GM613" s="7"/>
    </row>
    <row r="614" spans="195:195" x14ac:dyDescent="0.55000000000000004">
      <c r="GM614" s="7"/>
    </row>
    <row r="615" spans="195:195" x14ac:dyDescent="0.55000000000000004">
      <c r="GM615" s="7"/>
    </row>
    <row r="616" spans="195:195" x14ac:dyDescent="0.55000000000000004">
      <c r="GM616" s="7"/>
    </row>
    <row r="617" spans="195:195" x14ac:dyDescent="0.55000000000000004">
      <c r="GM617" s="7"/>
    </row>
    <row r="618" spans="195:195" x14ac:dyDescent="0.55000000000000004">
      <c r="GM618" s="7"/>
    </row>
    <row r="619" spans="195:195" x14ac:dyDescent="0.55000000000000004">
      <c r="GM619" s="7"/>
    </row>
    <row r="620" spans="195:195" x14ac:dyDescent="0.55000000000000004">
      <c r="GM620" s="7"/>
    </row>
    <row r="621" spans="195:195" x14ac:dyDescent="0.55000000000000004">
      <c r="GM621" s="7"/>
    </row>
    <row r="622" spans="195:195" x14ac:dyDescent="0.55000000000000004">
      <c r="GM622" s="7"/>
    </row>
    <row r="623" spans="195:195" x14ac:dyDescent="0.55000000000000004">
      <c r="GM623" s="7"/>
    </row>
    <row r="624" spans="195:195" x14ac:dyDescent="0.55000000000000004">
      <c r="GM624" s="7"/>
    </row>
    <row r="625" spans="195:195" x14ac:dyDescent="0.55000000000000004">
      <c r="GM625" s="7"/>
    </row>
    <row r="626" spans="195:195" x14ac:dyDescent="0.55000000000000004">
      <c r="GM626" s="7"/>
    </row>
    <row r="627" spans="195:195" x14ac:dyDescent="0.55000000000000004">
      <c r="GM627" s="7"/>
    </row>
    <row r="628" spans="195:195" x14ac:dyDescent="0.55000000000000004">
      <c r="GM628" s="7"/>
    </row>
    <row r="629" spans="195:195" x14ac:dyDescent="0.55000000000000004">
      <c r="GM629" s="7"/>
    </row>
    <row r="630" spans="195:195" x14ac:dyDescent="0.55000000000000004">
      <c r="GM630" s="7"/>
    </row>
    <row r="631" spans="195:195" x14ac:dyDescent="0.55000000000000004">
      <c r="GM631" s="7"/>
    </row>
    <row r="632" spans="195:195" x14ac:dyDescent="0.55000000000000004">
      <c r="GM632" s="7"/>
    </row>
    <row r="633" spans="195:195" x14ac:dyDescent="0.55000000000000004">
      <c r="GM633" s="7"/>
    </row>
    <row r="634" spans="195:195" x14ac:dyDescent="0.55000000000000004">
      <c r="GM634" s="7"/>
    </row>
    <row r="635" spans="195:195" x14ac:dyDescent="0.55000000000000004">
      <c r="GM635" s="7"/>
    </row>
    <row r="636" spans="195:195" x14ac:dyDescent="0.55000000000000004">
      <c r="GM636" s="7"/>
    </row>
    <row r="637" spans="195:195" x14ac:dyDescent="0.55000000000000004">
      <c r="GM637" s="7"/>
    </row>
    <row r="638" spans="195:195" x14ac:dyDescent="0.55000000000000004">
      <c r="GM638" s="7"/>
    </row>
    <row r="639" spans="195:195" x14ac:dyDescent="0.55000000000000004">
      <c r="GM639" s="7"/>
    </row>
    <row r="640" spans="195:195" x14ac:dyDescent="0.55000000000000004">
      <c r="GM640" s="7"/>
    </row>
    <row r="641" spans="195:195" x14ac:dyDescent="0.55000000000000004">
      <c r="GM641" s="7"/>
    </row>
    <row r="642" spans="195:195" x14ac:dyDescent="0.55000000000000004">
      <c r="GM642" s="7"/>
    </row>
    <row r="643" spans="195:195" x14ac:dyDescent="0.55000000000000004">
      <c r="GM643" s="7"/>
    </row>
    <row r="644" spans="195:195" x14ac:dyDescent="0.55000000000000004">
      <c r="GM644" s="7"/>
    </row>
    <row r="645" spans="195:195" x14ac:dyDescent="0.55000000000000004">
      <c r="GM645" s="7"/>
    </row>
    <row r="646" spans="195:195" x14ac:dyDescent="0.55000000000000004">
      <c r="GM646" s="7"/>
    </row>
    <row r="647" spans="195:195" x14ac:dyDescent="0.55000000000000004">
      <c r="GM647" s="7"/>
    </row>
    <row r="648" spans="195:195" x14ac:dyDescent="0.55000000000000004">
      <c r="GM648" s="7"/>
    </row>
    <row r="649" spans="195:195" x14ac:dyDescent="0.55000000000000004">
      <c r="GM649" s="7"/>
    </row>
    <row r="650" spans="195:195" x14ac:dyDescent="0.55000000000000004">
      <c r="GM650" s="7"/>
    </row>
    <row r="651" spans="195:195" x14ac:dyDescent="0.55000000000000004">
      <c r="GM651" s="7"/>
    </row>
    <row r="652" spans="195:195" x14ac:dyDescent="0.55000000000000004">
      <c r="GM652" s="7"/>
    </row>
    <row r="653" spans="195:195" x14ac:dyDescent="0.55000000000000004">
      <c r="GM653" s="7"/>
    </row>
    <row r="654" spans="195:195" x14ac:dyDescent="0.55000000000000004">
      <c r="GM654" s="7"/>
    </row>
    <row r="655" spans="195:195" x14ac:dyDescent="0.55000000000000004">
      <c r="GM655" s="7"/>
    </row>
    <row r="656" spans="195:195" x14ac:dyDescent="0.55000000000000004">
      <c r="GM656" s="7"/>
    </row>
    <row r="657" spans="195:195" x14ac:dyDescent="0.55000000000000004">
      <c r="GM657" s="7"/>
    </row>
    <row r="658" spans="195:195" x14ac:dyDescent="0.55000000000000004">
      <c r="GM658" s="7"/>
    </row>
    <row r="659" spans="195:195" x14ac:dyDescent="0.55000000000000004">
      <c r="GM659" s="7"/>
    </row>
    <row r="660" spans="195:195" x14ac:dyDescent="0.55000000000000004">
      <c r="GM660" s="7"/>
    </row>
    <row r="661" spans="195:195" x14ac:dyDescent="0.55000000000000004">
      <c r="GM661" s="7"/>
    </row>
    <row r="662" spans="195:195" x14ac:dyDescent="0.55000000000000004">
      <c r="GM662" s="7"/>
    </row>
    <row r="663" spans="195:195" x14ac:dyDescent="0.55000000000000004">
      <c r="GM663" s="7"/>
    </row>
    <row r="664" spans="195:195" x14ac:dyDescent="0.55000000000000004">
      <c r="GM664" s="7"/>
    </row>
    <row r="665" spans="195:195" x14ac:dyDescent="0.55000000000000004">
      <c r="GM665" s="7"/>
    </row>
    <row r="666" spans="195:195" x14ac:dyDescent="0.55000000000000004">
      <c r="GM666" s="7"/>
    </row>
    <row r="667" spans="195:195" x14ac:dyDescent="0.55000000000000004">
      <c r="GM667" s="7"/>
    </row>
    <row r="668" spans="195:195" x14ac:dyDescent="0.55000000000000004">
      <c r="GM668" s="7"/>
    </row>
    <row r="669" spans="195:195" x14ac:dyDescent="0.55000000000000004">
      <c r="GM669" s="7"/>
    </row>
    <row r="670" spans="195:195" x14ac:dyDescent="0.55000000000000004">
      <c r="GM670" s="7"/>
    </row>
    <row r="671" spans="195:195" x14ac:dyDescent="0.55000000000000004">
      <c r="GM671" s="7"/>
    </row>
    <row r="672" spans="195:195" x14ac:dyDescent="0.55000000000000004">
      <c r="GM672" s="7"/>
    </row>
    <row r="673" spans="195:195" x14ac:dyDescent="0.55000000000000004">
      <c r="GM673" s="7"/>
    </row>
    <row r="674" spans="195:195" x14ac:dyDescent="0.55000000000000004">
      <c r="GM674" s="7"/>
    </row>
    <row r="675" spans="195:195" x14ac:dyDescent="0.55000000000000004">
      <c r="GM675" s="7"/>
    </row>
    <row r="676" spans="195:195" x14ac:dyDescent="0.55000000000000004">
      <c r="GM676" s="7"/>
    </row>
    <row r="677" spans="195:195" x14ac:dyDescent="0.55000000000000004">
      <c r="GM677" s="7"/>
    </row>
    <row r="678" spans="195:195" x14ac:dyDescent="0.55000000000000004">
      <c r="GM678" s="7"/>
    </row>
    <row r="679" spans="195:195" x14ac:dyDescent="0.55000000000000004">
      <c r="GM679" s="7"/>
    </row>
    <row r="680" spans="195:195" x14ac:dyDescent="0.55000000000000004">
      <c r="GM680" s="7"/>
    </row>
    <row r="681" spans="195:195" x14ac:dyDescent="0.55000000000000004">
      <c r="GM681" s="7"/>
    </row>
    <row r="682" spans="195:195" x14ac:dyDescent="0.55000000000000004">
      <c r="GM682" s="7"/>
    </row>
    <row r="683" spans="195:195" x14ac:dyDescent="0.55000000000000004">
      <c r="GM683" s="7"/>
    </row>
    <row r="684" spans="195:195" x14ac:dyDescent="0.55000000000000004">
      <c r="GM684" s="7"/>
    </row>
    <row r="685" spans="195:195" x14ac:dyDescent="0.55000000000000004">
      <c r="GM685" s="7"/>
    </row>
    <row r="686" spans="195:195" x14ac:dyDescent="0.55000000000000004">
      <c r="GM686" s="7"/>
    </row>
    <row r="687" spans="195:195" x14ac:dyDescent="0.55000000000000004">
      <c r="GM687" s="7"/>
    </row>
    <row r="688" spans="195:195" x14ac:dyDescent="0.55000000000000004">
      <c r="GM688" s="7"/>
    </row>
    <row r="689" spans="195:195" x14ac:dyDescent="0.55000000000000004">
      <c r="GM689" s="7"/>
    </row>
    <row r="690" spans="195:195" x14ac:dyDescent="0.55000000000000004">
      <c r="GM690" s="7"/>
    </row>
    <row r="691" spans="195:195" x14ac:dyDescent="0.55000000000000004">
      <c r="GM691" s="7"/>
    </row>
    <row r="692" spans="195:195" x14ac:dyDescent="0.55000000000000004">
      <c r="GM692" s="7"/>
    </row>
    <row r="693" spans="195:195" x14ac:dyDescent="0.55000000000000004">
      <c r="GM693" s="7"/>
    </row>
    <row r="694" spans="195:195" x14ac:dyDescent="0.55000000000000004">
      <c r="GM694" s="7"/>
    </row>
    <row r="695" spans="195:195" x14ac:dyDescent="0.55000000000000004">
      <c r="GM695" s="7"/>
    </row>
    <row r="696" spans="195:195" x14ac:dyDescent="0.55000000000000004">
      <c r="GM696" s="7"/>
    </row>
    <row r="697" spans="195:195" x14ac:dyDescent="0.55000000000000004">
      <c r="GM697" s="7"/>
    </row>
    <row r="698" spans="195:195" x14ac:dyDescent="0.55000000000000004">
      <c r="GM698" s="7"/>
    </row>
    <row r="699" spans="195:195" x14ac:dyDescent="0.55000000000000004">
      <c r="GM699" s="7"/>
    </row>
    <row r="700" spans="195:195" x14ac:dyDescent="0.55000000000000004">
      <c r="GM700" s="7"/>
    </row>
    <row r="701" spans="195:195" x14ac:dyDescent="0.55000000000000004">
      <c r="GM701" s="7"/>
    </row>
    <row r="702" spans="195:195" x14ac:dyDescent="0.55000000000000004">
      <c r="GM702" s="7"/>
    </row>
    <row r="703" spans="195:195" x14ac:dyDescent="0.55000000000000004">
      <c r="GM703" s="7"/>
    </row>
    <row r="704" spans="195:195" x14ac:dyDescent="0.55000000000000004">
      <c r="GM704" s="7"/>
    </row>
    <row r="705" spans="195:195" x14ac:dyDescent="0.55000000000000004">
      <c r="GM705" s="7"/>
    </row>
    <row r="706" spans="195:195" x14ac:dyDescent="0.55000000000000004">
      <c r="GM706" s="7"/>
    </row>
    <row r="707" spans="195:195" x14ac:dyDescent="0.55000000000000004">
      <c r="GM707" s="7"/>
    </row>
    <row r="708" spans="195:195" x14ac:dyDescent="0.55000000000000004">
      <c r="GM708" s="7"/>
    </row>
    <row r="709" spans="195:195" x14ac:dyDescent="0.55000000000000004">
      <c r="GM709" s="7"/>
    </row>
    <row r="710" spans="195:195" x14ac:dyDescent="0.55000000000000004">
      <c r="GM710" s="7"/>
    </row>
    <row r="711" spans="195:195" x14ac:dyDescent="0.55000000000000004">
      <c r="GM711" s="7"/>
    </row>
    <row r="712" spans="195:195" x14ac:dyDescent="0.55000000000000004">
      <c r="GM712" s="7"/>
    </row>
    <row r="713" spans="195:195" x14ac:dyDescent="0.55000000000000004">
      <c r="GM713" s="7"/>
    </row>
    <row r="714" spans="195:195" x14ac:dyDescent="0.55000000000000004">
      <c r="GM714" s="7"/>
    </row>
    <row r="715" spans="195:195" x14ac:dyDescent="0.55000000000000004">
      <c r="GM715" s="7"/>
    </row>
    <row r="716" spans="195:195" x14ac:dyDescent="0.55000000000000004">
      <c r="GM716" s="7"/>
    </row>
    <row r="717" spans="195:195" x14ac:dyDescent="0.55000000000000004">
      <c r="GM717" s="7"/>
    </row>
    <row r="718" spans="195:195" x14ac:dyDescent="0.55000000000000004">
      <c r="GM718" s="7"/>
    </row>
    <row r="719" spans="195:195" x14ac:dyDescent="0.55000000000000004">
      <c r="GM719" s="7"/>
    </row>
    <row r="720" spans="195:195" x14ac:dyDescent="0.55000000000000004">
      <c r="GM720" s="7"/>
    </row>
    <row r="721" spans="195:195" x14ac:dyDescent="0.55000000000000004">
      <c r="GM721" s="7"/>
    </row>
    <row r="722" spans="195:195" x14ac:dyDescent="0.55000000000000004">
      <c r="GM722" s="7"/>
    </row>
    <row r="723" spans="195:195" x14ac:dyDescent="0.55000000000000004">
      <c r="GM723" s="7"/>
    </row>
    <row r="724" spans="195:195" x14ac:dyDescent="0.55000000000000004">
      <c r="GM724" s="7"/>
    </row>
    <row r="725" spans="195:195" x14ac:dyDescent="0.55000000000000004">
      <c r="GM725" s="7"/>
    </row>
    <row r="726" spans="195:195" x14ac:dyDescent="0.55000000000000004">
      <c r="GM726" s="7"/>
    </row>
    <row r="727" spans="195:195" x14ac:dyDescent="0.55000000000000004">
      <c r="GM727" s="7"/>
    </row>
    <row r="728" spans="195:195" x14ac:dyDescent="0.55000000000000004">
      <c r="GM728" s="7"/>
    </row>
    <row r="729" spans="195:195" x14ac:dyDescent="0.55000000000000004">
      <c r="GM729" s="7"/>
    </row>
    <row r="730" spans="195:195" x14ac:dyDescent="0.55000000000000004">
      <c r="GM730" s="7"/>
    </row>
    <row r="731" spans="195:195" x14ac:dyDescent="0.55000000000000004">
      <c r="GM731" s="7"/>
    </row>
    <row r="732" spans="195:195" x14ac:dyDescent="0.55000000000000004">
      <c r="GM732" s="7"/>
    </row>
    <row r="733" spans="195:195" x14ac:dyDescent="0.55000000000000004">
      <c r="GM733" s="7"/>
    </row>
    <row r="734" spans="195:195" x14ac:dyDescent="0.55000000000000004">
      <c r="GM734" s="7"/>
    </row>
    <row r="735" spans="195:195" x14ac:dyDescent="0.55000000000000004">
      <c r="GM735" s="7"/>
    </row>
    <row r="736" spans="195:195" x14ac:dyDescent="0.55000000000000004">
      <c r="GM736" s="7"/>
    </row>
    <row r="737" spans="195:195" x14ac:dyDescent="0.55000000000000004">
      <c r="GM737" s="7"/>
    </row>
    <row r="738" spans="195:195" x14ac:dyDescent="0.55000000000000004">
      <c r="GM738" s="7"/>
    </row>
    <row r="739" spans="195:195" x14ac:dyDescent="0.55000000000000004">
      <c r="GM739" s="7"/>
    </row>
    <row r="740" spans="195:195" x14ac:dyDescent="0.55000000000000004">
      <c r="GM740" s="7"/>
    </row>
    <row r="741" spans="195:195" x14ac:dyDescent="0.55000000000000004">
      <c r="GM741" s="7"/>
    </row>
    <row r="742" spans="195:195" x14ac:dyDescent="0.55000000000000004">
      <c r="GM742" s="7"/>
    </row>
    <row r="743" spans="195:195" x14ac:dyDescent="0.55000000000000004">
      <c r="GM743" s="7"/>
    </row>
    <row r="744" spans="195:195" x14ac:dyDescent="0.55000000000000004">
      <c r="GM744" s="7"/>
    </row>
    <row r="745" spans="195:195" x14ac:dyDescent="0.55000000000000004">
      <c r="GM745" s="7"/>
    </row>
    <row r="746" spans="195:195" x14ac:dyDescent="0.55000000000000004">
      <c r="GM746" s="7"/>
    </row>
    <row r="747" spans="195:195" x14ac:dyDescent="0.55000000000000004">
      <c r="GM747" s="7"/>
    </row>
    <row r="748" spans="195:195" x14ac:dyDescent="0.55000000000000004">
      <c r="GM748" s="7"/>
    </row>
    <row r="749" spans="195:195" x14ac:dyDescent="0.55000000000000004">
      <c r="GM749" s="7"/>
    </row>
    <row r="750" spans="195:195" x14ac:dyDescent="0.55000000000000004">
      <c r="GM750" s="7"/>
    </row>
    <row r="751" spans="195:195" x14ac:dyDescent="0.55000000000000004">
      <c r="GM751" s="7"/>
    </row>
    <row r="752" spans="195:195" x14ac:dyDescent="0.55000000000000004">
      <c r="GM752" s="7"/>
    </row>
    <row r="753" spans="195:195" x14ac:dyDescent="0.55000000000000004">
      <c r="GM753" s="7"/>
    </row>
    <row r="754" spans="195:195" x14ac:dyDescent="0.55000000000000004">
      <c r="GM754" s="7"/>
    </row>
    <row r="755" spans="195:195" x14ac:dyDescent="0.55000000000000004">
      <c r="GM755" s="7"/>
    </row>
    <row r="756" spans="195:195" x14ac:dyDescent="0.55000000000000004">
      <c r="GM756" s="7"/>
    </row>
    <row r="757" spans="195:195" x14ac:dyDescent="0.55000000000000004">
      <c r="GM757" s="7"/>
    </row>
    <row r="758" spans="195:195" x14ac:dyDescent="0.55000000000000004">
      <c r="GM758" s="7"/>
    </row>
    <row r="759" spans="195:195" x14ac:dyDescent="0.55000000000000004">
      <c r="GM759" s="7"/>
    </row>
    <row r="760" spans="195:195" x14ac:dyDescent="0.55000000000000004">
      <c r="GM760" s="7"/>
    </row>
    <row r="761" spans="195:195" x14ac:dyDescent="0.55000000000000004">
      <c r="GM761" s="7"/>
    </row>
    <row r="762" spans="195:195" x14ac:dyDescent="0.55000000000000004">
      <c r="GM762" s="7"/>
    </row>
    <row r="763" spans="195:195" x14ac:dyDescent="0.55000000000000004">
      <c r="GM763" s="7"/>
    </row>
    <row r="764" spans="195:195" x14ac:dyDescent="0.55000000000000004">
      <c r="GM764" s="7"/>
    </row>
    <row r="765" spans="195:195" x14ac:dyDescent="0.55000000000000004">
      <c r="GM765" s="7"/>
    </row>
    <row r="766" spans="195:195" x14ac:dyDescent="0.55000000000000004">
      <c r="GM766" s="7"/>
    </row>
    <row r="767" spans="195:195" x14ac:dyDescent="0.55000000000000004">
      <c r="GM767" s="7"/>
    </row>
    <row r="768" spans="195:195" x14ac:dyDescent="0.55000000000000004">
      <c r="GM768" s="7"/>
    </row>
    <row r="769" spans="195:195" x14ac:dyDescent="0.55000000000000004">
      <c r="GM769" s="7"/>
    </row>
    <row r="770" spans="195:195" x14ac:dyDescent="0.55000000000000004">
      <c r="GM770" s="7"/>
    </row>
    <row r="771" spans="195:195" x14ac:dyDescent="0.55000000000000004">
      <c r="GM771" s="7"/>
    </row>
    <row r="772" spans="195:195" x14ac:dyDescent="0.55000000000000004">
      <c r="GM772" s="7"/>
    </row>
    <row r="773" spans="195:195" x14ac:dyDescent="0.55000000000000004">
      <c r="GM773" s="7"/>
    </row>
    <row r="774" spans="195:195" x14ac:dyDescent="0.55000000000000004">
      <c r="GM774" s="7"/>
    </row>
    <row r="775" spans="195:195" x14ac:dyDescent="0.55000000000000004">
      <c r="GM775" s="7"/>
    </row>
    <row r="776" spans="195:195" x14ac:dyDescent="0.55000000000000004">
      <c r="GM776" s="7"/>
    </row>
    <row r="777" spans="195:195" x14ac:dyDescent="0.55000000000000004">
      <c r="GM777" s="7"/>
    </row>
    <row r="778" spans="195:195" x14ac:dyDescent="0.55000000000000004">
      <c r="GM778" s="7"/>
    </row>
    <row r="779" spans="195:195" x14ac:dyDescent="0.55000000000000004">
      <c r="GM779" s="7"/>
    </row>
    <row r="780" spans="195:195" x14ac:dyDescent="0.55000000000000004">
      <c r="GM780" s="7"/>
    </row>
    <row r="781" spans="195:195" x14ac:dyDescent="0.55000000000000004">
      <c r="GM781" s="7"/>
    </row>
    <row r="782" spans="195:195" x14ac:dyDescent="0.55000000000000004">
      <c r="GM782" s="7"/>
    </row>
    <row r="783" spans="195:195" x14ac:dyDescent="0.55000000000000004">
      <c r="GM783" s="7"/>
    </row>
    <row r="784" spans="195:195" x14ac:dyDescent="0.55000000000000004">
      <c r="GM784" s="7"/>
    </row>
    <row r="785" spans="195:195" x14ac:dyDescent="0.55000000000000004">
      <c r="GM785" s="7"/>
    </row>
    <row r="786" spans="195:195" x14ac:dyDescent="0.55000000000000004">
      <c r="GM786" s="7"/>
    </row>
    <row r="787" spans="195:195" x14ac:dyDescent="0.55000000000000004">
      <c r="GM787" s="7"/>
    </row>
    <row r="788" spans="195:195" x14ac:dyDescent="0.55000000000000004">
      <c r="GM788" s="7"/>
    </row>
    <row r="789" spans="195:195" x14ac:dyDescent="0.55000000000000004">
      <c r="GM789" s="7"/>
    </row>
    <row r="790" spans="195:195" x14ac:dyDescent="0.55000000000000004">
      <c r="GM790" s="7"/>
    </row>
    <row r="791" spans="195:195" x14ac:dyDescent="0.55000000000000004">
      <c r="GM791" s="7"/>
    </row>
    <row r="792" spans="195:195" x14ac:dyDescent="0.55000000000000004">
      <c r="GM792" s="7"/>
    </row>
    <row r="793" spans="195:195" x14ac:dyDescent="0.55000000000000004">
      <c r="GM793" s="7"/>
    </row>
    <row r="794" spans="195:195" x14ac:dyDescent="0.55000000000000004">
      <c r="GM794" s="7"/>
    </row>
    <row r="795" spans="195:195" x14ac:dyDescent="0.55000000000000004">
      <c r="GM795" s="7"/>
    </row>
    <row r="796" spans="195:195" x14ac:dyDescent="0.55000000000000004">
      <c r="GM796" s="7"/>
    </row>
    <row r="797" spans="195:195" x14ac:dyDescent="0.55000000000000004">
      <c r="GM797" s="7"/>
    </row>
    <row r="798" spans="195:195" x14ac:dyDescent="0.55000000000000004">
      <c r="GM798" s="7"/>
    </row>
    <row r="799" spans="195:195" x14ac:dyDescent="0.55000000000000004">
      <c r="GM799" s="7"/>
    </row>
    <row r="800" spans="195:195" x14ac:dyDescent="0.55000000000000004">
      <c r="GM800" s="7"/>
    </row>
  </sheetData>
  <phoneticPr fontId="12"/>
  <conditionalFormatting sqref="I12:J35">
    <cfRule type="colorScale" priority="1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N39:O48">
    <cfRule type="colorScale" priority="2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K39:K48">
    <cfRule type="colorScale" priority="7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L39:L48">
    <cfRule type="colorScale" priority="8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12:D35">
    <cfRule type="colorScale" priority="11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12:E35">
    <cfRule type="colorScale" priority="13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12:F35">
    <cfRule type="colorScale" priority="15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G12:G35">
    <cfRule type="colorScale" priority="17">
      <colorScale>
        <cfvo type="min"/>
        <cfvo type="num" val="0"/>
        <cfvo type="max"/>
        <color rgb="FF2A78D6"/>
        <color rgb="FFFFFFFF"/>
        <color rgb="FFE34948"/>
      </colorScale>
    </cfRule>
  </conditionalFormatting>
  <dataValidations count="5">
    <dataValidation type="list" allowBlank="1" showInputMessage="1" showErrorMessage="1" sqref="B1" xr:uid="{72C4BD43-CD80-42C3-839B-44EE8100ED82}">
      <formula1>"Live,Fixed"</formula1>
    </dataValidation>
    <dataValidation type="list" allowBlank="1" showInputMessage="1" showErrorMessage="1" sqref="B8" xr:uid="{530460CB-1A51-4D7B-BAC7-0892FDF5EC3C}">
      <formula1>"Level,Change"</formula1>
    </dataValidation>
    <dataValidation type="list" allowBlank="1" showInputMessage="1" showErrorMessage="1" sqref="A39:A48" xr:uid="{1D932CE5-1B6C-4F28-AB0D-CA3B101366B3}">
      <formula1>"Yes,No"</formula1>
    </dataValidation>
    <dataValidation type="list" allowBlank="1" showInputMessage="1" showErrorMessage="1" sqref="C39:C48" xr:uid="{C72E0E20-FB10-4F7A-87D4-C7FB758FE28A}">
      <formula1>"CMT,FIXED,ROLLING"</formula1>
    </dataValidation>
    <dataValidation type="list" allowBlank="1" showInputMessage="1" showErrorMessage="1" sqref="D39:D48 H39:H48 F39:F48" xr:uid="{86477BC3-B109-4372-AADD-3780F7070C93}">
      <formula1>$A$12:$A$35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33</vt:i4>
      </vt:variant>
    </vt:vector>
  </HeadingPairs>
  <TitlesOfParts>
    <vt:vector size="39" baseType="lpstr">
      <vt:lpstr>PCA</vt:lpstr>
      <vt:lpstr>PCAGrid</vt:lpstr>
      <vt:lpstr>VolPCA</vt:lpstr>
      <vt:lpstr>VolHV</vt:lpstr>
      <vt:lpstr>BOJ</vt:lpstr>
      <vt:lpstr>FwdMonitor</vt:lpstr>
      <vt:lpstr>FWM_Base</vt:lpstr>
      <vt:lpstr>FWM_Cmp</vt:lpstr>
      <vt:lpstr>FWM_From</vt:lpstr>
      <vt:lpstr>FWM_Labels</vt:lpstr>
      <vt:lpstr>FWM_Live</vt:lpstr>
      <vt:lpstr>FWM_TL1</vt:lpstr>
      <vt:lpstr>FWM_TL2</vt:lpstr>
      <vt:lpstr>FWM_TL3</vt:lpstr>
      <vt:lpstr>FWM_TMode</vt:lpstr>
      <vt:lpstr>FWM_TName</vt:lpstr>
      <vt:lpstr>FWM_TShow</vt:lpstr>
      <vt:lpstr>FWM_TW1</vt:lpstr>
      <vt:lpstr>FWM_TW2</vt:lpstr>
      <vt:lpstr>FWM_TW3</vt:lpstr>
      <vt:lpstr>FWM_View</vt:lpstr>
      <vt:lpstr>FWM_Win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PCG_ReconDate</vt:lpstr>
      <vt:lpstr>PCG_SigmaDays</vt:lpstr>
      <vt:lpstr>VHV_Days</vt:lpstr>
      <vt:lpstr>VHV_From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2026-10-25T12:31:54Z</dcterms:modified>
</cp:coreProperties>
</file>