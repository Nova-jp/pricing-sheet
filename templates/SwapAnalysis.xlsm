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13_ncr:1_{FB2C9B60-A910-4F0B-B7A2-F9D76F165431}" xr6:coauthVersionLast="47" xr6:coauthVersionMax="47" xr10:uidLastSave="{00000000-0000-0000-0000-000000000000}"/>
  <bookViews>
    <workbookView xWindow="-110" yWindow="-110" windowWidth="19420" windowHeight="11500" xr2:uid="{F109E07F-C2B9-41F3-853A-1EF4B605D85F}"/>
  </bookViews>
  <sheets>
    <sheet name="PCA" sheetId="6" r:id="rId1"/>
    <sheet name="VolPCA" sheetId="9" r:id="rId2"/>
    <sheet name="RealTime" sheetId="2" r:id="rId3"/>
    <sheet name="RealTimeVol" sheetId="11" r:id="rId4"/>
  </sheets>
  <functionGroups builtInGroupCount="19">
    <functionGroup name="Workspace"/>
  </functionGroup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isImm" hidden="1" xlm="1">#NAME?</definedName>
    <definedName name="_xlpm.longS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shortS" hidden="1" xlm="1">#NAME?</definedName>
    <definedName name="_xlpm.t" hidden="1" xlm="1">#NAME?</definedName>
    <definedName name="_xlpm.v" hidden="1" xlm="1">#NAME?</definedName>
    <definedName name="_xlpm.x" hidden="1" xlm="1">#NAME?</definedName>
    <definedName name="PCA_Actual">_xlfn.ANCHORARRAY(PCA!$F$33)</definedName>
    <definedName name="PCA_k">PCA!$B$10</definedName>
    <definedName name="PCA_L1">_xlfn.ANCHORARRAY(PCA!$T$33)</definedName>
    <definedName name="PCA_L2">_xlfn.ANCHORARRAY(PCA!$U$33)</definedName>
    <definedName name="PCA_L3">_xlfn.ANCHORARRAY(PCA!$V$33)</definedName>
    <definedName name="PCA_L4">_xlfn.ANCHORARRAY(PCA!$W$33)</definedName>
    <definedName name="PCA_L5">_xlfn.ANCHORARRAY(PCA!$X$33)</definedName>
    <definedName name="PCA_Mean">_xlfn.ANCHORARRAY(PCA!$G$33)</definedName>
    <definedName name="PCA_Recon">_xlfn.ANCHORARRAY(PCA!$H$33)</definedName>
    <definedName name="PCA_Resid">_xlfn.ANCHORARRAY(PCA!$I$33)</definedName>
    <definedName name="PCA_Tenor">_xlfn.ANCHORARRAY(PCA!$E$33)</definedName>
    <definedName name="PCA_window">PCA!$B$4</definedName>
    <definedName name="PCA_テナー">_xlfn.ANCHORARRAY(PCA!$AB$3)</definedName>
    <definedName name="PCA_モード">PCA!$B$5</definedName>
    <definedName name="PCA_推定基準日">PCA!$B$3</definedName>
    <definedName name="PCA_比較日">PCA!$B$9</definedName>
    <definedName name="PCA_標準化">PCA!$B$6</definedName>
    <definedName name="VOL_k">VolPCA!$B$10</definedName>
    <definedName name="VOL_window">VolPCA!$B$4</definedName>
    <definedName name="VOL_モード">VolPCA!$B$5</definedName>
    <definedName name="VOL_原資産">_xlfn.ANCHORARRAY(VolPCA!$JE$3)</definedName>
    <definedName name="VOL_推定基準日">VolPCA!$B$3</definedName>
    <definedName name="VOL_比較日">VolPCA!$B$9</definedName>
    <definedName name="VOL_標準化">VolPCA!$B$6</definedName>
    <definedName name="VOL_満期">_xlfn.ANCHORARRAY(VolPCA!$JD$3)</definedName>
    <definedName name="VOL_銘柄">_xlfn.ANCHORARRAY(VolPCA!$JG$3)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Mode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Window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2" l="1" a="1"/>
  <c r="C36" i="2"/>
  <c r="C37" i="2" a="1"/>
  <c r="C37" i="2"/>
  <c r="C38" i="2" a="1"/>
  <c r="C38" i="2"/>
  <c r="C39" i="2" a="1"/>
  <c r="C39" i="2"/>
  <c r="C40" i="2" a="1"/>
  <c r="C40" i="2"/>
  <c r="C41" i="2" a="1"/>
  <c r="C41" i="2"/>
  <c r="C42" i="2" a="1"/>
  <c r="C42" i="2"/>
  <c r="C43" i="2" a="1"/>
  <c r="C43" i="2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C2" i="2"/>
  <c r="C3" i="2" a="1"/>
  <c r="C3" i="2"/>
  <c r="C4" i="2" a="1"/>
  <c r="C4" i="2"/>
  <c r="C5" i="2" a="1"/>
  <c r="C5" i="2"/>
  <c r="C6" i="2" a="1"/>
  <c r="C6" i="2"/>
  <c r="C7" i="2" a="1"/>
  <c r="C7" i="2"/>
  <c r="C8" i="2" a="1"/>
  <c r="C8" i="2"/>
  <c r="C9" i="2" a="1"/>
  <c r="C9" i="2"/>
  <c r="C10" i="2" a="1"/>
  <c r="C10" i="2"/>
  <c r="C11" i="2" a="1"/>
  <c r="C11" i="2"/>
  <c r="C12" i="2" a="1"/>
  <c r="C12" i="2"/>
  <c r="C13" i="2" a="1"/>
  <c r="C13" i="2"/>
  <c r="C14" i="2" a="1"/>
  <c r="C14" i="2"/>
  <c r="C15" i="2" a="1"/>
  <c r="C15" i="2"/>
  <c r="C16" i="2" a="1"/>
  <c r="C16" i="2"/>
  <c r="C17" i="2" a="1"/>
  <c r="C17" i="2"/>
  <c r="C18" i="2" a="1"/>
  <c r="C18" i="2"/>
  <c r="C19" i="2" a="1"/>
  <c r="C19" i="2"/>
  <c r="C20" i="2" a="1"/>
  <c r="C20" i="2"/>
  <c r="C21" i="2" a="1"/>
  <c r="C21" i="2"/>
  <c r="C22" i="2" a="1"/>
  <c r="C22" i="2"/>
  <c r="C23" i="2" a="1"/>
  <c r="C23" i="2"/>
  <c r="C24" i="2" a="1"/>
  <c r="C24" i="2"/>
  <c r="C25" i="2" a="1"/>
  <c r="C25" i="2"/>
  <c r="C26" i="2" a="1"/>
  <c r="C26" i="2"/>
  <c r="C27" i="2" a="1"/>
  <c r="C27" i="2"/>
  <c r="C28" i="2" a="1"/>
  <c r="C28" i="2"/>
  <c r="C29" i="2" a="1"/>
  <c r="C29" i="2"/>
  <c r="C30" i="2" a="1"/>
  <c r="C30" i="2"/>
  <c r="C31" i="2" a="1"/>
  <c r="C31" i="2"/>
  <c r="C32" i="2" a="1"/>
  <c r="C32" i="2"/>
  <c r="C33" i="2" a="1"/>
  <c r="C33" i="2"/>
  <c r="C34" i="2" a="1"/>
  <c r="C34" i="2"/>
  <c r="C35" i="2" a="1"/>
  <c r="C35" i="2"/>
  <c r="JE3" i="9" a="1"/>
  <c r="JE3" i="9" s="1"/>
  <c r="JD3" i="9" a="1"/>
  <c r="JD3" i="9" s="1"/>
  <c r="AB3" i="6" a="1"/>
  <c r="D2" i="11" a="1"/>
  <c r="D2" i="11"/>
  <c r="C2" i="11" a="1"/>
  <c r="C2" i="11" s="1"/>
  <c r="AB3" i="6" l="1"/>
  <c r="JG3" i="9" a="1"/>
  <c r="V34" i="9" a="1"/>
  <c r="V34" i="9" s="1"/>
  <c r="G34" i="9" a="1"/>
  <c r="G34" i="9" s="1"/>
  <c r="AC3" i="6" a="1"/>
  <c r="E3" i="6" a="1"/>
  <c r="Z16" i="6" a="1"/>
  <c r="H3" i="6" a="1"/>
  <c r="H3" i="6" l="1"/>
  <c r="M33" i="6" a="1"/>
  <c r="M33" i="6" s="1"/>
  <c r="L33" i="6" a="1"/>
  <c r="L33" i="6" s="1"/>
  <c r="Z16" i="6"/>
  <c r="E3" i="6"/>
  <c r="AC3" i="6"/>
  <c r="V33" i="6" a="1"/>
  <c r="V33" i="6" s="1"/>
  <c r="W33" i="6" a="1"/>
  <c r="W33" i="6" s="1"/>
  <c r="E33" i="6" a="1"/>
  <c r="E33" i="6" s="1"/>
  <c r="U33" i="6" a="1"/>
  <c r="U33" i="6" s="1"/>
  <c r="X33" i="6" a="1"/>
  <c r="X33" i="6" s="1"/>
  <c r="T33" i="6" a="1"/>
  <c r="T33" i="6" s="1"/>
  <c r="G33" i="6" a="1"/>
  <c r="JG3" i="9"/>
  <c r="AJ59" i="9" a="1"/>
  <c r="F35" i="9" a="1"/>
  <c r="U59" i="9" a="1"/>
  <c r="U11" i="9" a="1"/>
  <c r="U35" i="9" a="1"/>
  <c r="AK58" i="9" a="1"/>
  <c r="AK58" i="9" s="1"/>
  <c r="F59" i="9" a="1"/>
  <c r="N33" i="6" a="1"/>
  <c r="F11" i="9" a="1"/>
  <c r="V58" i="9" a="1"/>
  <c r="V58" i="9" s="1"/>
  <c r="G58" i="9" a="1"/>
  <c r="G58" i="9" s="1"/>
  <c r="G10" i="9" a="1"/>
  <c r="G10" i="9" s="1"/>
  <c r="V10" i="9" a="1"/>
  <c r="V10" i="9" s="1"/>
  <c r="F33" i="6" a="1"/>
  <c r="BF16" i="9" a="1"/>
  <c r="BP3" i="9" a="1"/>
  <c r="I3" i="9" a="1"/>
  <c r="F3" i="9" a="1"/>
  <c r="BJ4" i="9" a="1"/>
  <c r="P33" i="6" l="1" a="1"/>
  <c r="P33" i="6" s="1"/>
  <c r="G33" i="6"/>
  <c r="H33" i="6" a="1"/>
  <c r="H33" i="6" s="1"/>
  <c r="Q33" i="6" a="1"/>
  <c r="Q33" i="6" s="1"/>
  <c r="S33" i="6" a="1"/>
  <c r="S33" i="6" s="1"/>
  <c r="BJ4" i="9"/>
  <c r="F3" i="9"/>
  <c r="I3" i="9"/>
  <c r="BL4" i="9" a="1"/>
  <c r="BL4" i="9" s="1"/>
  <c r="BP3" i="9"/>
  <c r="BK4" i="9" a="1"/>
  <c r="BI4" i="9" a="1"/>
  <c r="BI4" i="9" s="1"/>
  <c r="BF16" i="9"/>
  <c r="AJ11" i="9" a="1"/>
  <c r="AJ11" i="9" s="1"/>
  <c r="AK11" i="9" a="1"/>
  <c r="F33" i="6"/>
  <c r="J33" i="6" s="1" a="1"/>
  <c r="J33" i="6" s="1"/>
  <c r="N33" i="6"/>
  <c r="O33" i="6" s="1" a="1"/>
  <c r="O33" i="6" s="1"/>
  <c r="F11" i="9"/>
  <c r="U59" i="9"/>
  <c r="F35" i="9"/>
  <c r="AJ59" i="9"/>
  <c r="U35" i="9"/>
  <c r="U11" i="9"/>
  <c r="F59" i="9"/>
  <c r="G59" i="9" l="1" a="1"/>
  <c r="G59" i="9" s="1"/>
  <c r="V59" i="9" a="1"/>
  <c r="V59" i="9" s="1"/>
  <c r="AK59" i="9" a="1"/>
  <c r="AK59" i="9" s="1"/>
  <c r="V11" i="9" a="1"/>
  <c r="V11" i="9" s="1"/>
  <c r="AK11" i="9"/>
  <c r="AL11" i="9" s="1" a="1"/>
  <c r="AL11" i="9" s="1"/>
  <c r="BK4" i="9"/>
  <c r="BM4" i="9" a="1"/>
  <c r="I33" i="6" a="1"/>
  <c r="I33" i="6" s="1"/>
  <c r="BM4" i="9" l="1"/>
  <c r="BN4" i="9" a="1"/>
  <c r="AN11" i="9" a="1"/>
  <c r="AN11" i="9" s="1"/>
  <c r="V35" i="9" a="1"/>
  <c r="V35" i="9" s="1"/>
  <c r="G35" i="9" a="1"/>
  <c r="G35" i="9" s="1"/>
  <c r="AO11" i="9" a="1"/>
  <c r="AO11" i="9" s="1"/>
  <c r="BN4" i="9" l="1"/>
  <c r="G11" i="9" a="1"/>
  <c r="G11" i="9" s="1"/>
  <c r="AM11" i="9" a="1"/>
  <c r="AM11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<sst xmlns="http://schemas.openxmlformats.org/spreadsheetml/2006/main" count="675" uniqueCount="122">
  <si>
    <t>Ticker</t>
  </si>
  <si>
    <t>Value</t>
  </si>
  <si>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</si>
  <si>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</si>
  <si>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</si>
  <si>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</si>
  <si>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</si>
  <si>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</si>
  <si>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</si>
  <si>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</si>
  <si>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</si>
  <si>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</si>
  <si>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</si>
  <si>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</si>
  <si>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</si>
  <si>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  <phoneticPr fontId="3"/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</si>
  <si>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</si>
  <si>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</si>
  <si>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</si>
  <si>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</si>
  <si>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</si>
  <si>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</si>
  <si>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</si>
  <si>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</si>
  <si>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</si>
  <si>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</si>
  <si>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</si>
  <si>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</si>
  <si>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</si>
  <si>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</si>
  <si>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</si>
  <si>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</si>
  <si>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</si>
  <si>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</si>
  <si>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</si>
  <si>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</si>
  <si>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</si>
  <si>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</si>
  <si>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</si>
  <si>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</si>
  <si>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</si>
  <si>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</si>
  <si>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</si>
  <si>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</si>
  <si>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BOJ会合#</t>
  </si>
  <si>
    <t>LSEGのライブのミッド(PricingSheetのRealTimeと同じRIC)。Ticker表記はDB(Midシート)と同じ</t>
  </si>
  <si>
    <t>比較日</t>
  </si>
  <si>
    <t>モード</t>
  </si>
  <si>
    <t>レベル</t>
  </si>
  <si>
    <t>window(営業日)</t>
  </si>
  <si>
    <t>主成分数 k</t>
  </si>
  <si>
    <t>テナー(○=PCAに使う。並び順が結果の行順)</t>
  </si>
  <si>
    <t>テナー</t>
  </si>
  <si>
    <t>使用</t>
  </si>
  <si>
    <t>選択テナー</t>
  </si>
  <si>
    <t>12M</t>
  </si>
  <si>
    <t>○</t>
  </si>
  <si>
    <t>×</t>
  </si>
  <si>
    <t>実績</t>
  </si>
  <si>
    <t>実績(%)</t>
  </si>
  <si>
    <t>復元(%)</t>
  </si>
  <si>
    <t>差分(bp)</t>
  </si>
  <si>
    <t>主成分</t>
  </si>
  <si>
    <t>寄与率</t>
  </si>
  <si>
    <t>累積寄与率</t>
  </si>
  <si>
    <t>復元に使用</t>
  </si>
  <si>
    <t>PC1</t>
  </si>
  <si>
    <t>PC2</t>
  </si>
  <si>
    <t>PC3</t>
  </si>
  <si>
    <t>PC4</t>
  </si>
  <si>
    <t>PC5</t>
  </si>
  <si>
    <t>テナー別の復元</t>
  </si>
  <si>
    <t>主成分ベクトル(PC1〜PC5)</t>
  </si>
  <si>
    <t>O/N: Tradition JP1DONI=TRDTのBID/ASKミッド(=TONA。PricingSheetと同じ)</t>
    <phoneticPr fontId="2"/>
  </si>
  <si>
    <t>満期</t>
  </si>
  <si>
    <t>原資産</t>
  </si>
  <si>
    <t>銘柄</t>
  </si>
  <si>
    <t>RIC</t>
  </si>
  <si>
    <t>1Y</t>
  </si>
  <si>
    <t>2Y</t>
  </si>
  <si>
    <t>3Y</t>
  </si>
  <si>
    <t>LSEG計算のJPY TONAスワップションATMノーマルvol(bp/年)。フィールドMID_IV_NOR(CF_LAST等はログノーマルなので使わない)</t>
  </si>
  <si>
    <t>満期・原資産の軸を変えるときはA・B列を編集(VolPCA設定の軸と同じ表記)</t>
  </si>
  <si>
    <t>主成分ベクトルの推定</t>
  </si>
  <si>
    <t>推定基準日</t>
  </si>
  <si>
    <t>標準化</t>
  </si>
  <si>
    <t>なし</t>
  </si>
  <si>
    <t>比較</t>
  </si>
  <si>
    <t>銘柄 = 選んだ満期 × 選んだ原資産の格子の全点(並び順が結果の行・列の順)</t>
  </si>
  <si>
    <t>選択満期</t>
  </si>
  <si>
    <t>選択原資産</t>
  </si>
  <si>
    <t>推定window</t>
  </si>
  <si>
    <t>比較日の実績</t>
  </si>
  <si>
    <t>固有値(標準化なし=bp²、あり=単位なし)</t>
  </si>
  <si>
    <t>平均(%)・スケール(標準化ありはσ、なしは1)・主成分ベクトル</t>
  </si>
  <si>
    <t>z = (実績 − 平均) / スケール、得点 = V_kᵀz、復元 = 平均 + スケール·V_k·得点、差分 = 実績 − 復元</t>
  </si>
  <si>
    <t>日次変化モードの実績・平均・復元は前営業日からの変化(%)。スコアは標準化なしならbp、ありなら単位なし</t>
  </si>
  <si>
    <t>平均(%)</t>
  </si>
  <si>
    <t>平均からの乖離(bp)</t>
  </si>
  <si>
    <t>固有値</t>
  </si>
  <si>
    <t>スコア</t>
  </si>
  <si>
    <t>平均(bp)・スケール・主成分ベクトル</t>
  </si>
  <si>
    <t>銘柄ごと(bp)</t>
  </si>
  <si>
    <t>平均</t>
  </si>
  <si>
    <t>スケール</t>
  </si>
  <si>
    <t>復元</t>
  </si>
  <si>
    <t>差分</t>
  </si>
  <si>
    <t>z = (実績 − 平均) / スケール、得点 = V_kᵀz、復元 = 平均 + スケール·V_k·得点、差分 = 実績 − 復元(bp)</t>
  </si>
  <si>
    <t>日次変化モードの実績・復元は前営業日からの変化(bp)</t>
  </si>
  <si>
    <t>差分 実績−復元(bp)</t>
  </si>
  <si>
    <t>満期\原資産</t>
  </si>
  <si>
    <t>実績(bp)</t>
  </si>
  <si>
    <t>復元(bp)</t>
  </si>
  <si>
    <t>平均(bp)</t>
  </si>
  <si>
    <t>主成分ベクトル PC1</t>
  </si>
  <si>
    <t>主成分ベクトル PC2</t>
  </si>
  <si>
    <t>主成分ベクトル PC3</t>
  </si>
  <si>
    <t>主成分(上位10本)</t>
  </si>
  <si>
    <t>計算領域(UDFの出力。直接編集しない)</t>
  </si>
  <si>
    <t>PCA(スワップ)</t>
  </si>
  <si>
    <t>計算領域(UDFの出力と銘柄ごとの計算。直接編集しない)</t>
  </si>
  <si>
    <t>VolPCA(スワップションATMノーマルvol、bp)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</si>
</sst>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0.0000"/>
    <numFmt numFmtId="178" formatCode="0.0%"/>
    <numFmt numFmtId="179" formatCode="0.000"/>
    <numFmt numFmtId="180" formatCode="0.0"/>
  </numFmts>
  <fonts count="8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C0000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18">
    <xf numFmtId="0" fontId="0" fillId="0" borderId="0" xfId="0">
      <alignment vertical="center"/>
    </xf>
    <xf numFmtId="0" fontId="1" fillId="0" borderId="0" xfId="1"/>
    <xf numFmtId="0" fontId="4" fillId="2" borderId="0" xfId="1" applyFont="1" applyFill="1"/>
    <xf numFmtId="0" fontId="5" fillId="0" borderId="0" xfId="0" applyFo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6" fillId="0" borderId="0" xfId="0" applyFont="1">
      <alignment vertical="center"/>
    </xf>
    <xf numFmtId="0" fontId="6" fillId="2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7" fillId="0" borderId="0" xfId="0" applyFont="1">
      <alignment vertical="center"/>
    </xf>
    <xf numFmtId="0" fontId="6" fillId="2" borderId="0" xfId="0" applyFont="1" applyFill="1" applyAlignment="1">
      <alignment vertical="center" wrapText="1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2" fontId="1" fillId="0" borderId="0" xfId="1" applyNumberFormat="1"/>
    <xf numFmtId="180" fontId="0" fillId="0" borderId="0" xfId="0" applyNumberFormat="1">
      <alignment vertical="center"/>
    </xf>
  </cellXfs>
  <cellStyles count="2">
    <cellStyle name="標準" xfId="0" builtinId="0"/>
    <cellStyle name="標準 2" xfId="1" xr:uid="{5EE0B673-BC4E-4A3E-BA55-CCC089A2E0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実績・平均・復元</a:t>
            </a:r>
            <a:r>
              <a:rPr lang="en-US" altLang="ja-JP"/>
              <a:t>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実績</c:v>
          </c:tx>
          <c:cat>
            <c:strRef>
              <c:f>[0]!PCA_Tenor</c:f>
            </c:strRef>
          </c:cat>
          <c:val>
            <c:numRef>
              <c:f>[0]!PCA_Actual</c:f>
            </c:numRef>
          </c:val>
          <c:smooth val="0"/>
          <c:extLst>
            <c:ext xmlns:c16="http://schemas.microsoft.com/office/drawing/2014/chart" uri="{C3380CC4-5D6E-409C-BE32-E72D297353CC}">
              <c16:uniqueId val="{00000001-A12C-418A-9DF5-91D8735B8E4F}"/>
            </c:ext>
          </c:extLst>
        </c:ser>
        <c:ser>
          <c:idx val="1"/>
          <c:order val="1"/>
          <c:tx>
            <c:v>平均</c:v>
          </c:tx>
          <c:cat>
            <c:strRef>
              <c:f>[0]!PCA_Tenor</c:f>
            </c:strRef>
          </c:cat>
          <c:val>
            <c:numRef>
              <c:f>[0]!PCA_Mean</c:f>
            </c:numRef>
          </c:val>
          <c:smooth val="0"/>
          <c:extLst>
            <c:ext xmlns:c16="http://schemas.microsoft.com/office/drawing/2014/chart" uri="{C3380CC4-5D6E-409C-BE32-E72D297353CC}">
              <c16:uniqueId val="{00000002-A12C-418A-9DF5-91D8735B8E4F}"/>
            </c:ext>
          </c:extLst>
        </c:ser>
        <c:ser>
          <c:idx val="2"/>
          <c:order val="2"/>
          <c:tx>
            <c:v>復元(k本)</c:v>
          </c:tx>
          <c:cat>
            <c:strRef>
              <c:f>[0]!PCA_Tenor</c:f>
            </c:strRef>
          </c:cat>
          <c:val>
            <c:numRef>
              <c:f>[0]!PCA_Recon</c:f>
            </c:numRef>
          </c:val>
          <c:smooth val="0"/>
          <c:extLst>
            <c:ext xmlns:c16="http://schemas.microsoft.com/office/drawing/2014/chart" uri="{C3380CC4-5D6E-409C-BE32-E72D297353CC}">
              <c16:uniqueId val="{00000003-A12C-418A-9DF5-91D8735B8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53695"/>
        <c:axId val="1186047935"/>
      </c:lineChart>
      <c:catAx>
        <c:axId val="118605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47935"/>
        <c:crosses val="autoZero"/>
        <c:auto val="1"/>
        <c:lblAlgn val="ctr"/>
        <c:lblOffset val="100"/>
        <c:noMultiLvlLbl val="0"/>
      </c:catAx>
      <c:valAx>
        <c:axId val="1186047935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860536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差分 実績−復元</a:t>
            </a:r>
            <a:r>
              <a:rPr lang="en-US" altLang="ja-JP"/>
              <a:t>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差分</c:v>
          </c:tx>
          <c:invertIfNegative val="0"/>
          <c:cat>
            <c:strRef>
              <c:f>[0]!PCA_Tenor</c:f>
            </c:strRef>
          </c:cat>
          <c:val>
            <c:numRef>
              <c:f>[0]!PCA_Resid</c:f>
            </c:numRef>
          </c:val>
          <c:extLst>
            <c:ext xmlns:c16="http://schemas.microsoft.com/office/drawing/2014/chart" uri="{C3380CC4-5D6E-409C-BE32-E72D297353CC}">
              <c16:uniqueId val="{00000001-BACB-43C0-876B-94B3AD86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6061375"/>
        <c:axId val="1186051295"/>
      </c:barChart>
      <c:catAx>
        <c:axId val="118606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51295"/>
        <c:crosses val="autoZero"/>
        <c:auto val="1"/>
        <c:lblAlgn val="ctr"/>
        <c:lblOffset val="100"/>
        <c:noMultiLvlLbl val="0"/>
      </c:catAx>
      <c:valAx>
        <c:axId val="1186051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606137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主成分ベクトル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cat>
            <c:strRef>
              <c:f>[0]!PCA_Tenor</c:f>
            </c:strRef>
          </c:cat>
          <c:val>
            <c:numRef>
              <c:f>[0]!PCA_L1</c:f>
            </c:numRef>
          </c:val>
          <c:smooth val="0"/>
          <c:extLst>
            <c:ext xmlns:c16="http://schemas.microsoft.com/office/drawing/2014/chart" uri="{C3380CC4-5D6E-409C-BE32-E72D297353CC}">
              <c16:uniqueId val="{00000001-CBD7-4991-8FF7-F64E7D0C2586}"/>
            </c:ext>
          </c:extLst>
        </c:ser>
        <c:ser>
          <c:idx val="1"/>
          <c:order val="1"/>
          <c:tx>
            <c:v>PC2</c:v>
          </c:tx>
          <c:cat>
            <c:strRef>
              <c:f>[0]!PCA_Tenor</c:f>
            </c:strRef>
          </c:cat>
          <c:val>
            <c:numRef>
              <c:f>[0]!PCA_L2</c:f>
            </c:numRef>
          </c:val>
          <c:smooth val="0"/>
          <c:extLst>
            <c:ext xmlns:c16="http://schemas.microsoft.com/office/drawing/2014/chart" uri="{C3380CC4-5D6E-409C-BE32-E72D297353CC}">
              <c16:uniqueId val="{00000002-CBD7-4991-8FF7-F64E7D0C2586}"/>
            </c:ext>
          </c:extLst>
        </c:ser>
        <c:ser>
          <c:idx val="2"/>
          <c:order val="2"/>
          <c:tx>
            <c:v>PC3</c:v>
          </c:tx>
          <c:cat>
            <c:strRef>
              <c:f>[0]!PCA_Tenor</c:f>
            </c:strRef>
          </c:cat>
          <c:val>
            <c:numRef>
              <c:f>[0]!PCA_L3</c:f>
            </c:numRef>
          </c:val>
          <c:smooth val="0"/>
          <c:extLst>
            <c:ext xmlns:c16="http://schemas.microsoft.com/office/drawing/2014/chart" uri="{C3380CC4-5D6E-409C-BE32-E72D297353CC}">
              <c16:uniqueId val="{00000003-CBD7-4991-8FF7-F64E7D0C2586}"/>
            </c:ext>
          </c:extLst>
        </c:ser>
        <c:ser>
          <c:idx val="3"/>
          <c:order val="3"/>
          <c:tx>
            <c:v>PC4</c:v>
          </c:tx>
          <c:cat>
            <c:strRef>
              <c:f>[0]!PCA_Tenor</c:f>
            </c:strRef>
          </c:cat>
          <c:val>
            <c:numRef>
              <c:f>[0]!PCA_L4</c:f>
            </c:numRef>
          </c:val>
          <c:smooth val="0"/>
          <c:extLst>
            <c:ext xmlns:c16="http://schemas.microsoft.com/office/drawing/2014/chart" uri="{C3380CC4-5D6E-409C-BE32-E72D297353CC}">
              <c16:uniqueId val="{00000004-CBD7-4991-8FF7-F64E7D0C2586}"/>
            </c:ext>
          </c:extLst>
        </c:ser>
        <c:ser>
          <c:idx val="4"/>
          <c:order val="4"/>
          <c:tx>
            <c:v>PC5</c:v>
          </c:tx>
          <c:cat>
            <c:strRef>
              <c:f>[0]!PCA_Tenor</c:f>
            </c:strRef>
          </c:cat>
          <c:val>
            <c:numRef>
              <c:f>[0]!PCA_L5</c:f>
            </c:numRef>
          </c:val>
          <c:smooth val="0"/>
          <c:extLst>
            <c:ext xmlns:c16="http://schemas.microsoft.com/office/drawing/2014/chart" uri="{C3380CC4-5D6E-409C-BE32-E72D297353CC}">
              <c16:uniqueId val="{00000005-CBD7-4991-8FF7-F64E7D0C2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48895"/>
        <c:axId val="1186056575"/>
      </c:lineChart>
      <c:catAx>
        <c:axId val="118604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56575"/>
        <c:crosses val="autoZero"/>
        <c:auto val="1"/>
        <c:lblAlgn val="ctr"/>
        <c:lblOffset val="100"/>
        <c:noMultiLvlLbl val="0"/>
      </c:catAx>
      <c:valAx>
        <c:axId val="1186056575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860488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9</xdr:row>
      <xdr:rowOff>0</xdr:rowOff>
    </xdr:from>
    <xdr:to>
      <xdr:col>10</xdr:col>
      <xdr:colOff>533400</xdr:colOff>
      <xdr:row>25</xdr:row>
      <xdr:rowOff>152400</xdr:rowOff>
    </xdr:to>
    <xdr:graphicFrame macro="">
      <xdr:nvGraphicFramePr>
        <xdr:cNvPr id="2" name="PCA_Chart_A">
          <a:extLst>
            <a:ext uri="{FF2B5EF4-FFF2-40B4-BE49-F238E27FC236}">
              <a16:creationId xmlns:a16="http://schemas.microsoft.com/office/drawing/2014/main" id="{D185B7AA-D536-84D7-29C0-A6C1ACE33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9</xdr:row>
      <xdr:rowOff>0</xdr:rowOff>
    </xdr:from>
    <xdr:to>
      <xdr:col>17</xdr:col>
      <xdr:colOff>533400</xdr:colOff>
      <xdr:row>25</xdr:row>
      <xdr:rowOff>152400</xdr:rowOff>
    </xdr:to>
    <xdr:graphicFrame macro="">
      <xdr:nvGraphicFramePr>
        <xdr:cNvPr id="3" name="PCA_Chart_H">
          <a:extLst>
            <a:ext uri="{FF2B5EF4-FFF2-40B4-BE49-F238E27FC236}">
              <a16:creationId xmlns:a16="http://schemas.microsoft.com/office/drawing/2014/main" id="{34BCB746-8AFE-AC20-F55E-79A77BDEC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9</xdr:row>
      <xdr:rowOff>0</xdr:rowOff>
    </xdr:from>
    <xdr:to>
      <xdr:col>26</xdr:col>
      <xdr:colOff>558800</xdr:colOff>
      <xdr:row>25</xdr:row>
      <xdr:rowOff>152400</xdr:rowOff>
    </xdr:to>
    <xdr:graphicFrame macro="">
      <xdr:nvGraphicFramePr>
        <xdr:cNvPr id="4" name="PCA_Chart_O">
          <a:extLst>
            <a:ext uri="{FF2B5EF4-FFF2-40B4-BE49-F238E27FC236}">
              <a16:creationId xmlns:a16="http://schemas.microsoft.com/office/drawing/2014/main" id="{92A28841-6BE6-3089-6E48-3FAD836EF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0C9B4-E94E-4252-9288-88A234F9E7F1}">
  <sheetPr codeName="Sheet3"/>
  <dimension ref="A1:CG93"/>
  <sheetViews>
    <sheetView tabSelected="1" topLeftCell="D11" workbookViewId="0"/>
  </sheetViews>
  <sheetFormatPr defaultRowHeight="18" outlineLevelCol="1" x14ac:dyDescent="0.55000000000000004"/>
  <cols>
    <col min="1" max="1" width="17.1640625" customWidth="1"/>
    <col min="2" max="2" width="12.1640625" customWidth="1"/>
    <col min="3" max="4" width="2.58203125" customWidth="1"/>
    <col min="5" max="5" width="16.58203125" customWidth="1"/>
    <col min="6" max="6" width="12.58203125" customWidth="1"/>
    <col min="8" max="8" width="12.58203125" customWidth="1"/>
    <col min="9" max="9" width="10.9140625" bestFit="1" customWidth="1"/>
    <col min="26" max="84" width="0" hidden="1" customWidth="1" outlineLevel="1"/>
    <col min="85" max="85" width="8.6640625" collapsed="1"/>
  </cols>
  <sheetData>
    <row r="1" spans="1:44" ht="22.5" x14ac:dyDescent="0.55000000000000004">
      <c r="A1" t="s">
        <v>119</v>
      </c>
      <c r="E1" s="3"/>
      <c r="Z1" s="3" t="s">
        <v>118</v>
      </c>
    </row>
    <row r="2" spans="1:44" x14ac:dyDescent="0.55000000000000004">
      <c r="A2" s="6" t="s">
        <v>83</v>
      </c>
      <c r="E2" t="s">
        <v>91</v>
      </c>
      <c r="H2" t="s">
        <v>92</v>
      </c>
      <c r="AB2" t="s">
        <v>54</v>
      </c>
      <c r="AC2" t="s">
        <v>94</v>
      </c>
    </row>
    <row r="3" spans="1:44" x14ac:dyDescent="0.55000000000000004">
      <c r="A3" t="s">
        <v>84</v>
      </c>
      <c r="B3" s="5"/>
      <c r="E3" cm="1">
        <f t="array" ref="E3:F7">PcaWindow(PCA_テナー,PCA_モード,PCA_標準化,PCA_window,PCA_推定基準日,PCA_比較日)</f>
      </c>
      <c r="F3" s="9"/>
      <c r="H3" cm="1">
        <f t="array" aca="1" ref="H3:I6" ca="1">PcaActualInfo(PCA_テナー,PCA_モード,PCA_比較日,RealTime!$B$2:$C$43)</f>
      </c>
      <c r="I3" s="9">
        <f ca="1"/>
      </c>
      <c r="O3" t="s">
        <v>95</v>
      </c>
      <c r="AA3" s="9"/>
      <c r="AB3" cm="1">
        <f t="array" ref="AB3:AB15">_xlfn._xlws.FILTER($A$14:$A$55,$B$14:$B$55="○")</f>
      </c>
      <c r="AC3" cm="1">
        <f t="array" ref="AC3:AR16">PcaModel(PCA_テナー,PCA_モード,PCA_標準化,PCA_window,PCA_推定基準日,PCA_比較日)</f>
      </c>
    </row>
    <row r="4" spans="1:44" x14ac:dyDescent="0.55000000000000004">
      <c r="A4" t="s">
        <v>49</v>
      </c>
      <c r="B4" s="4">
        <v>250</v>
      </c>
      <c r="F4" s="9"/>
      <c r="H4">
        <f ca="1"/>
      </c>
      <c r="I4">
        <f ca="1"/>
      </c>
      <c r="O4" t="s">
        <v>96</v>
      </c>
      <c r="AA4" s="9"/>
    </row>
    <row r="5" spans="1:44" x14ac:dyDescent="0.55000000000000004">
      <c r="A5" t="s">
        <v>47</v>
      </c>
      <c r="B5" s="4" t="s">
        <v>48</v>
      </c>
      <c r="H5">
        <f ca="1"/>
      </c>
      <c r="I5" s="9">
        <f ca="1"/>
      </c>
    </row>
    <row r="6" spans="1:44" x14ac:dyDescent="0.55000000000000004">
      <c r="A6" t="s">
        <v>85</v>
      </c>
      <c r="B6" s="4" t="s">
        <v>86</v>
      </c>
      <c r="H6">
        <f ca="1"/>
      </c>
      <c r="I6" s="10">
        <f ca="1"/>
      </c>
    </row>
    <row r="7" spans="1:44" x14ac:dyDescent="0.55000000000000004">
      <c r="F7" s="10"/>
    </row>
    <row r="8" spans="1:44" x14ac:dyDescent="0.55000000000000004">
      <c r="A8" s="6" t="s">
        <v>87</v>
      </c>
    </row>
    <row r="9" spans="1:44" x14ac:dyDescent="0.55000000000000004">
      <c r="A9" t="s">
        <v>46</v>
      </c>
      <c r="B9" s="5"/>
    </row>
    <row r="10" spans="1:44" x14ac:dyDescent="0.55000000000000004">
      <c r="A10" t="s">
        <v>50</v>
      </c>
      <c r="B10" s="4">
        <v>3</v>
      </c>
      <c r="AA10" s="9"/>
    </row>
    <row r="11" spans="1:44" x14ac:dyDescent="0.55000000000000004"/>
    <row r="12" spans="1:44" x14ac:dyDescent="0.55000000000000004">
      <c r="A12" t="s">
        <v>51</v>
      </c>
      <c r="AA12" s="9"/>
    </row>
    <row r="13" spans="1:44" x14ac:dyDescent="0.55000000000000004">
      <c r="A13" s="7" t="s">
        <v>52</v>
      </c>
      <c r="B13" s="7" t="s">
        <v>53</v>
      </c>
    </row>
    <row r="14" spans="1:44" x14ac:dyDescent="0.55000000000000004">
      <c r="A14" t="s">
        <v>2</v>
      </c>
      <c r="B14" s="8" t="s">
        <v>57</v>
      </c>
    </row>
    <row r="15" spans="1:44" x14ac:dyDescent="0.55000000000000004">
      <c r="A15" t="s">
        <v>3</v>
      </c>
      <c r="B15" s="8" t="s">
        <v>57</v>
      </c>
      <c r="Z15" t="s">
        <v>93</v>
      </c>
    </row>
    <row r="16" spans="1:44" x14ac:dyDescent="0.55000000000000004">
      <c r="A16" t="s">
        <v>4</v>
      </c>
      <c r="B16" s="8" t="s">
        <v>57</v>
      </c>
      <c r="Z16" cm="1">
        <f t="array" ref="Z16:AA29">PcaEigen(PCA_テナー,PCA_モード,PCA_標準化,PCA_window,PCA_推定基準日,PCA_比較日)</f>
      </c>
    </row>
    <row r="17" spans="1:27" x14ac:dyDescent="0.55000000000000004">
      <c r="A17" t="s">
        <v>5</v>
      </c>
      <c r="B17" s="8" t="s">
        <v>57</v>
      </c>
    </row>
    <row r="18" spans="1:27" x14ac:dyDescent="0.55000000000000004">
      <c r="A18" t="s">
        <v>6</v>
      </c>
      <c r="B18" s="8" t="s">
        <v>57</v>
      </c>
    </row>
    <row r="19" spans="1:27" x14ac:dyDescent="0.55000000000000004">
      <c r="A19" t="s">
        <v>7</v>
      </c>
      <c r="B19" s="8" t="s">
        <v>57</v>
      </c>
    </row>
    <row r="20" spans="1:27" x14ac:dyDescent="0.55000000000000004">
      <c r="A20" t="s">
        <v>8</v>
      </c>
      <c r="B20" s="8" t="s">
        <v>57</v>
      </c>
    </row>
    <row r="21" spans="1:27" x14ac:dyDescent="0.55000000000000004">
      <c r="A21" t="s">
        <v>9</v>
      </c>
      <c r="B21" s="8" t="s">
        <v>57</v>
      </c>
    </row>
    <row r="22" spans="1:27" x14ac:dyDescent="0.55000000000000004">
      <c r="A22" t="s">
        <v>10</v>
      </c>
      <c r="B22" s="8" t="s">
        <v>57</v>
      </c>
    </row>
    <row r="23" spans="1:27" x14ac:dyDescent="0.55000000000000004">
      <c r="A23" t="s">
        <v>11</v>
      </c>
      <c r="B23" s="8" t="s">
        <v>57</v>
      </c>
    </row>
    <row r="24" spans="1:27" x14ac:dyDescent="0.55000000000000004">
      <c r="A24" t="s">
        <v>12</v>
      </c>
      <c r="B24" s="8" t="s">
        <v>57</v>
      </c>
    </row>
    <row r="25" spans="1:27" x14ac:dyDescent="0.55000000000000004">
      <c r="A25" t="s">
        <v>13</v>
      </c>
      <c r="B25" s="8" t="s">
        <v>57</v>
      </c>
    </row>
    <row r="26" spans="1:27" x14ac:dyDescent="0.55000000000000004">
      <c r="A26" t="s">
        <v>14</v>
      </c>
      <c r="B26" s="8" t="s">
        <v>57</v>
      </c>
    </row>
    <row r="27" spans="1:27" x14ac:dyDescent="0.55000000000000004">
      <c r="A27" t="s">
        <v>55</v>
      </c>
      <c r="B27" s="8" t="s">
        <v>56</v>
      </c>
    </row>
    <row r="28" spans="1:27" x14ac:dyDescent="0.55000000000000004">
      <c r="A28" t="s">
        <v>16</v>
      </c>
      <c r="B28" s="8" t="s">
        <v>57</v>
      </c>
    </row>
    <row r="29" spans="1:27" x14ac:dyDescent="0.55000000000000004">
      <c r="A29" t="s">
        <v>17</v>
      </c>
      <c r="B29" s="8" t="s">
        <v>57</v>
      </c>
    </row>
    <row r="30" spans="1:27" x14ac:dyDescent="0.55000000000000004">
      <c r="A30" t="s">
        <v>18</v>
      </c>
      <c r="B30" s="8" t="s">
        <v>57</v>
      </c>
    </row>
    <row r="31" spans="1:27" x14ac:dyDescent="0.55000000000000004">
      <c r="A31" t="s">
        <v>19</v>
      </c>
      <c r="B31" s="8" t="s">
        <v>56</v>
      </c>
      <c r="E31" s="6" t="s">
        <v>71</v>
      </c>
      <c r="L31" s="6" t="s">
        <v>62</v>
      </c>
      <c r="S31" s="6" t="s">
        <v>72</v>
      </c>
    </row>
    <row r="32" spans="1:27" ht="54" x14ac:dyDescent="0.55000000000000004">
      <c r="A32" t="s">
        <v>20</v>
      </c>
      <c r="B32" s="8" t="s">
        <v>56</v>
      </c>
      <c r="E32" s="11" t="s">
        <v>52</v>
      </c>
      <c r="F32" s="11" t="s">
        <v>59</v>
      </c>
      <c r="G32" s="11" t="s">
        <v>97</v>
      </c>
      <c r="H32" s="11" t="s">
        <v>60</v>
      </c>
      <c r="I32" s="11" t="s">
        <v>61</v>
      </c>
      <c r="J32" s="11" t="s">
        <v>98</v>
      </c>
      <c r="L32" s="11" t="s">
        <v>62</v>
      </c>
      <c r="M32" s="11" t="s">
        <v>99</v>
      </c>
      <c r="N32" s="11" t="s">
        <v>63</v>
      </c>
      <c r="O32" s="11" t="s">
        <v>64</v>
      </c>
      <c r="P32" s="11" t="s">
        <v>100</v>
      </c>
      <c r="Q32" s="11" t="s">
        <v>65</v>
      </c>
      <c r="S32" s="11" t="s">
        <v>52</v>
      </c>
      <c r="T32" s="11" t="s">
        <v>66</v>
      </c>
      <c r="U32" s="11" t="s">
        <v>67</v>
      </c>
      <c r="V32" s="11" t="s">
        <v>68</v>
      </c>
      <c r="W32" s="11" t="s">
        <v>69</v>
      </c>
      <c r="X32" s="11" t="s">
        <v>70</v>
      </c>
    </row>
    <row r="33" spans="1:24" x14ac:dyDescent="0.55000000000000004">
      <c r="A33" t="s">
        <v>21</v>
      </c>
      <c r="B33" s="8" t="s">
        <v>56</v>
      </c>
      <c r="E33" cm="1">
        <f t="array" ref="E33:E45">_xlfn.DROP(_xlfn.TAKE(_xlfn.ANCHORARRAY($AC$3),,1),1)</f>
      </c>
      <c r="F33" s="12" cm="1">
        <f t="array" aca="1" ref="F33:F45" ca="1">PcaActual(PCA_テナー,PCA_モード,PCA_比較日,RealTime!$B$2:$C$43)</f>
      </c>
      <c r="G33" s="12" cm="1">
        <f t="array" ref="G33:G45">_xlfn.DROP(_xlfn.CHOOSECOLS(_xlfn.ANCHORARRAY($AC$3),2),1)</f>
      </c>
      <c r="H33" s="12" cm="1">
        <f t="array" aca="1" ref="H33:H45" ca="1">_xlfn.LET(_xlpm.m,_xlfn.ANCHORARRAY(G33),_xlpm.s,_xlfn.DROP(_xlfn.CHOOSECOLS(_xlfn.ANCHORARRAY($AC$3),3),1),_xlpm.x,_xlfn.ANCHORARRAY(F33),_xlpm.V,_xlfn.TAKE(_xlfn.DROP(_xlfn.ANCHORARRAY($AC$3),1,3),,PCA_k),_xlpm.m+_xlpm.s*MMULT(_xlpm.V,MMULT(TRANSPOSE(_xlpm.V),(_xlpm.x-_xlpm.m)/_xlpm.s)))</f>
      </c>
      <c r="I33" s="13" cm="1">
        <f t="array" aca="1" ref="I33:I45" ca="1">(_xlfn.ANCHORARRAY(F33)-_xlfn.ANCHORARRAY(H33))*100</f>
      </c>
      <c r="J33" s="13" cm="1">
        <f t="array" aca="1" ref="J33:J45" ca="1">(_xlfn.ANCHORARRAY(F33)-_xlfn.ANCHORARRAY(G33))*100</f>
      </c>
      <c r="L33" cm="1">
        <f t="array" ref="L33:L45">_xlfn.DROP(_xlfn.TAKE(_xlfn.ANCHORARRAY($Z$16),,1),1)</f>
      </c>
      <c r="M33" s="13" cm="1">
        <f t="array" ref="M33:M45">_xlfn.DROP(_xlfn.CHOOSECOLS(_xlfn.ANCHORARRAY($Z$16),2),1)</f>
      </c>
      <c r="N33" s="14" cm="1">
        <f t="array" ref="N33:N45">_xlfn.ANCHORARRAY(M33)/SUM(_xlfn.ANCHORARRAY(M33))</f>
      </c>
      <c r="O33" s="14" cm="1">
        <f t="array" ref="O33:O45">_xlfn.SCAN(0,_xlfn.ANCHORARRAY(N33),_xlfn.LAMBDA(_xlpm.a,_xlpm.b,_xlpm.a+_xlpm.b))</f>
      </c>
      <c r="P33" s="13" cm="1">
        <f t="array" aca="1" ref="P33:P45" ca="1">MMULT(TRANSPOSE(_xlfn.DROP(_xlfn.ANCHORARRAY($AC$3),1,3)),(_xlfn.ANCHORARRAY(F33)-_xlfn.ANCHORARRAY(G33))/_xlfn.DROP(_xlfn.CHOOSECOLS(_xlfn.ANCHORARRAY($AC$3),3),1))*IF(PCA_標準化="あり",1,100)</f>
      </c>
      <c r="Q33" cm="1">
        <f t="array" ref="Q33:Q45">IF(_xlfn.SEQUENCE(ROWS(_xlfn.ANCHORARRAY(L33)))&lt;=PCA_k,"○","")</f>
      </c>
      <c r="S33" cm="1">
        <f t="array" ref="S33:S45">_xlfn.ANCHORARRAY(E33)</f>
      </c>
      <c r="T33" s="15" cm="1">
        <f t="array" ref="T33:T45">_xlfn.LET(_xlpm.V,_xlfn.DROP(_xlfn.ANCHORARRAY($AC$3),1,3),IF(1&lt;=COLUMNS(_xlpm.V),_xlfn.CHOOSECOLS(_xlpm.V,MIN(1,COLUMNS(_xlpm.V))),IF(_xlfn.SEQUENCE(ROWS(_xlpm.V)),NA())))</f>
      </c>
      <c r="U33" s="15" cm="1">
        <f t="array" ref="U33:U45">_xlfn.LET(_xlpm.V,_xlfn.DROP(_xlfn.ANCHORARRAY($AC$3),1,3),IF(2&lt;=COLUMNS(_xlpm.V),_xlfn.CHOOSECOLS(_xlpm.V,MIN(2,COLUMNS(_xlpm.V))),IF(_xlfn.SEQUENCE(ROWS(_xlpm.V)),NA())))</f>
      </c>
      <c r="V33" s="15" cm="1">
        <f t="array" ref="V33:V45">_xlfn.LET(_xlpm.V,_xlfn.DROP(_xlfn.ANCHORARRAY($AC$3),1,3),IF(3&lt;=COLUMNS(_xlpm.V),_xlfn.CHOOSECOLS(_xlpm.V,MIN(3,COLUMNS(_xlpm.V))),IF(_xlfn.SEQUENCE(ROWS(_xlpm.V)),NA())))</f>
      </c>
      <c r="W33" s="15" cm="1">
        <f t="array" ref="W33:W45">_xlfn.LET(_xlpm.V,_xlfn.DROP(_xlfn.ANCHORARRAY($AC$3),1,3),IF(4&lt;=COLUMNS(_xlpm.V),_xlfn.CHOOSECOLS(_xlpm.V,MIN(4,COLUMNS(_xlpm.V))),IF(_xlfn.SEQUENCE(ROWS(_xlpm.V)),NA())))</f>
      </c>
      <c r="X33" s="15" cm="1">
        <f t="array" ref="X33:X45">_xlfn.LET(_xlpm.V,_xlfn.DROP(_xlfn.ANCHORARRAY($AC$3),1,3),IF(5&lt;=COLUMNS(_xlpm.V),_xlfn.CHOOSECOLS(_xlpm.V,MIN(5,COLUMNS(_xlpm.V))),IF(_xlfn.SEQUENCE(ROWS(_xlpm.V)),NA())))</f>
      </c>
    </row>
    <row r="34" spans="1:24" x14ac:dyDescent="0.55000000000000004">
      <c r="A34" t="s">
        <v>22</v>
      </c>
      <c r="B34" s="8" t="s">
        <v>56</v>
      </c>
      <c r="F34" s="12">
        <f ca="1"/>
      </c>
      <c r="G34" s="12"/>
      <c r="H34" s="12">
        <f ca="1"/>
      </c>
      <c r="I34" s="13">
        <f ca="1"/>
      </c>
      <c r="J34" s="13">
        <f ca="1"/>
      </c>
      <c r="M34" s="13"/>
      <c r="N34" s="14"/>
      <c r="O34" s="14"/>
      <c r="P34" s="13">
        <f ca="1"/>
      </c>
      <c r="T34" s="15"/>
      <c r="U34" s="15"/>
      <c r="V34" s="15"/>
      <c r="W34" s="15"/>
      <c r="X34" s="15"/>
    </row>
    <row r="35" spans="1:24" x14ac:dyDescent="0.55000000000000004">
      <c r="A35" t="s">
        <v>23</v>
      </c>
      <c r="B35" s="8" t="s">
        <v>57</v>
      </c>
      <c r="F35" s="12">
        <f ca="1"/>
      </c>
      <c r="G35" s="12"/>
      <c r="H35" s="12">
        <f ca="1"/>
      </c>
      <c r="I35" s="13">
        <f ca="1"/>
      </c>
      <c r="J35" s="13">
        <f ca="1"/>
      </c>
      <c r="M35" s="13"/>
      <c r="N35" s="14"/>
      <c r="O35" s="14"/>
      <c r="P35" s="13">
        <f ca="1"/>
      </c>
      <c r="T35" s="15"/>
      <c r="U35" s="15"/>
      <c r="V35" s="15"/>
      <c r="W35" s="15"/>
      <c r="X35" s="15"/>
    </row>
    <row r="36" spans="1:24" x14ac:dyDescent="0.55000000000000004">
      <c r="A36" t="s">
        <v>24</v>
      </c>
      <c r="B36" s="8" t="s">
        <v>56</v>
      </c>
      <c r="F36" s="12">
        <f ca="1"/>
      </c>
      <c r="G36" s="12"/>
      <c r="H36" s="12">
        <f ca="1"/>
      </c>
      <c r="I36" s="13">
        <f ca="1"/>
      </c>
      <c r="J36" s="13">
        <f ca="1"/>
      </c>
      <c r="M36" s="13"/>
      <c r="N36" s="14"/>
      <c r="O36" s="14"/>
      <c r="P36" s="13">
        <f ca="1"/>
      </c>
      <c r="T36" s="15"/>
      <c r="U36" s="15"/>
      <c r="V36" s="15"/>
      <c r="W36" s="15"/>
      <c r="X36" s="15"/>
    </row>
    <row r="37" spans="1:24" x14ac:dyDescent="0.55000000000000004">
      <c r="A37" t="s">
        <v>25</v>
      </c>
      <c r="B37" s="8" t="s">
        <v>57</v>
      </c>
      <c r="F37" s="12">
        <f ca="1"/>
      </c>
      <c r="G37" s="12"/>
      <c r="H37" s="12">
        <f ca="1"/>
      </c>
      <c r="I37" s="13">
        <f ca="1"/>
      </c>
      <c r="J37" s="13">
        <f ca="1"/>
      </c>
      <c r="M37" s="13"/>
      <c r="N37" s="14"/>
      <c r="O37" s="14"/>
      <c r="P37" s="13">
        <f ca="1"/>
      </c>
      <c r="T37" s="15"/>
      <c r="U37" s="15"/>
      <c r="V37" s="15"/>
      <c r="W37" s="15"/>
      <c r="X37" s="15"/>
    </row>
    <row r="38" spans="1:24" x14ac:dyDescent="0.55000000000000004">
      <c r="A38" t="s">
        <v>26</v>
      </c>
      <c r="B38" s="8" t="s">
        <v>57</v>
      </c>
      <c r="F38" s="12">
        <f ca="1"/>
      </c>
      <c r="G38" s="12"/>
      <c r="H38" s="12">
        <f ca="1"/>
      </c>
      <c r="I38" s="13">
        <f ca="1"/>
      </c>
      <c r="J38" s="13">
        <f ca="1"/>
      </c>
      <c r="M38" s="13"/>
      <c r="N38" s="14"/>
      <c r="O38" s="14"/>
      <c r="P38" s="13">
        <f ca="1"/>
      </c>
      <c r="T38" s="15"/>
      <c r="U38" s="15"/>
      <c r="V38" s="15"/>
      <c r="W38" s="15"/>
      <c r="X38" s="15"/>
    </row>
    <row r="39" spans="1:24" x14ac:dyDescent="0.55000000000000004">
      <c r="A39" t="s">
        <v>27</v>
      </c>
      <c r="B39" s="8" t="s">
        <v>56</v>
      </c>
      <c r="F39" s="12">
        <f ca="1"/>
      </c>
      <c r="G39" s="12"/>
      <c r="H39" s="12">
        <f ca="1"/>
      </c>
      <c r="I39" s="13">
        <f ca="1"/>
      </c>
      <c r="J39" s="13">
        <f ca="1"/>
      </c>
      <c r="M39" s="13"/>
      <c r="N39" s="14"/>
      <c r="O39" s="14"/>
      <c r="P39" s="13">
        <f ca="1"/>
      </c>
      <c r="T39" s="15"/>
      <c r="U39" s="15"/>
      <c r="V39" s="15"/>
      <c r="W39" s="15"/>
      <c r="X39" s="15"/>
    </row>
    <row r="40" spans="1:24" x14ac:dyDescent="0.55000000000000004">
      <c r="A40" t="s">
        <v>28</v>
      </c>
      <c r="B40" s="8" t="s">
        <v>57</v>
      </c>
      <c r="F40" s="12">
        <f ca="1"/>
      </c>
      <c r="G40" s="12"/>
      <c r="H40" s="12">
        <f ca="1"/>
      </c>
      <c r="I40" s="13">
        <f ca="1"/>
      </c>
      <c r="J40" s="13">
        <f ca="1"/>
      </c>
      <c r="M40" s="13"/>
      <c r="N40" s="14"/>
      <c r="O40" s="14"/>
      <c r="P40" s="13">
        <f ca="1"/>
      </c>
      <c r="T40" s="15"/>
      <c r="U40" s="15"/>
      <c r="V40" s="15"/>
      <c r="W40" s="15"/>
      <c r="X40" s="15"/>
    </row>
    <row r="41" spans="1:24" x14ac:dyDescent="0.55000000000000004">
      <c r="A41" t="s">
        <v>29</v>
      </c>
      <c r="B41" s="8" t="s">
        <v>56</v>
      </c>
      <c r="F41" s="12">
        <f ca="1"/>
      </c>
      <c r="G41" s="12"/>
      <c r="H41" s="12">
        <f ca="1"/>
      </c>
      <c r="I41" s="13">
        <f ca="1"/>
      </c>
      <c r="J41" s="13">
        <f ca="1"/>
      </c>
      <c r="M41" s="13"/>
      <c r="N41" s="14"/>
      <c r="O41" s="14"/>
      <c r="P41" s="13">
        <f ca="1"/>
      </c>
      <c r="T41" s="15"/>
      <c r="U41" s="15"/>
      <c r="V41" s="15"/>
      <c r="W41" s="15"/>
      <c r="X41" s="15"/>
    </row>
    <row r="42" spans="1:24" x14ac:dyDescent="0.55000000000000004">
      <c r="A42" t="s">
        <v>30</v>
      </c>
      <c r="B42" s="8" t="s">
        <v>56</v>
      </c>
      <c r="F42" s="12">
        <f ca="1"/>
      </c>
      <c r="G42" s="12"/>
      <c r="H42" s="12">
        <f ca="1"/>
      </c>
      <c r="I42" s="13">
        <f ca="1"/>
      </c>
      <c r="J42" s="13">
        <f ca="1"/>
      </c>
      <c r="M42" s="13"/>
      <c r="N42" s="14"/>
      <c r="O42" s="14"/>
      <c r="P42" s="13">
        <f ca="1"/>
      </c>
      <c r="T42" s="15"/>
      <c r="U42" s="15"/>
      <c r="V42" s="15"/>
      <c r="W42" s="15"/>
      <c r="X42" s="15"/>
    </row>
    <row r="43" spans="1:24" x14ac:dyDescent="0.55000000000000004">
      <c r="A43" t="s">
        <v>31</v>
      </c>
      <c r="B43" s="8" t="s">
        <v>56</v>
      </c>
      <c r="F43" s="12">
        <f ca="1"/>
      </c>
      <c r="G43" s="12"/>
      <c r="H43" s="12">
        <f ca="1"/>
      </c>
      <c r="I43" s="13">
        <f ca="1"/>
      </c>
      <c r="J43" s="13">
        <f ca="1"/>
      </c>
      <c r="M43" s="13"/>
      <c r="N43" s="14"/>
      <c r="O43" s="14"/>
      <c r="P43" s="13">
        <f ca="1"/>
      </c>
      <c r="T43" s="15"/>
      <c r="U43" s="15"/>
      <c r="V43" s="15"/>
      <c r="W43" s="15"/>
      <c r="X43" s="15"/>
    </row>
    <row r="44" spans="1:24" x14ac:dyDescent="0.55000000000000004">
      <c r="A44" t="s">
        <v>32</v>
      </c>
      <c r="B44" s="8" t="s">
        <v>56</v>
      </c>
      <c r="F44" s="12">
        <f ca="1"/>
      </c>
      <c r="G44" s="12"/>
      <c r="H44" s="12">
        <f ca="1"/>
      </c>
      <c r="I44" s="13">
        <f ca="1"/>
      </c>
      <c r="J44" s="13">
        <f ca="1"/>
      </c>
      <c r="M44" s="13"/>
      <c r="N44" s="14"/>
      <c r="O44" s="14"/>
      <c r="P44" s="13">
        <f ca="1"/>
      </c>
      <c r="T44" s="15"/>
      <c r="U44" s="15"/>
      <c r="V44" s="15"/>
      <c r="W44" s="15"/>
      <c r="X44" s="15"/>
    </row>
    <row r="45" spans="1:24" x14ac:dyDescent="0.55000000000000004">
      <c r="A45" t="s">
        <v>33</v>
      </c>
      <c r="B45" s="8" t="s">
        <v>56</v>
      </c>
      <c r="F45" s="12">
        <f ca="1"/>
      </c>
      <c r="G45" s="12"/>
      <c r="H45" s="12">
        <f ca="1"/>
      </c>
      <c r="I45" s="13">
        <f ca="1"/>
      </c>
      <c r="J45" s="13">
        <f ca="1"/>
      </c>
      <c r="M45" s="13"/>
      <c r="N45" s="14"/>
      <c r="O45" s="14"/>
      <c r="P45" s="13">
        <f ca="1"/>
      </c>
      <c r="T45" s="15"/>
      <c r="U45" s="15"/>
      <c r="V45" s="15"/>
      <c r="W45" s="15"/>
      <c r="X45" s="15"/>
    </row>
    <row r="46" spans="1:24" x14ac:dyDescent="0.55000000000000004">
      <c r="A46" t="s">
        <v>34</v>
      </c>
      <c r="B46" s="8" t="s">
        <v>57</v>
      </c>
      <c r="F46" s="12"/>
      <c r="G46" s="12"/>
      <c r="H46" s="12"/>
      <c r="I46" s="13"/>
      <c r="J46" s="13"/>
      <c r="M46" s="13"/>
      <c r="N46" s="14"/>
      <c r="O46" s="14"/>
      <c r="P46" s="13"/>
      <c r="T46" s="15"/>
      <c r="U46" s="15"/>
      <c r="V46" s="15"/>
      <c r="W46" s="15"/>
      <c r="X46" s="15"/>
    </row>
    <row r="47" spans="1:24" x14ac:dyDescent="0.55000000000000004">
      <c r="A47" t="s">
        <v>35</v>
      </c>
      <c r="B47" s="8" t="s">
        <v>56</v>
      </c>
      <c r="F47" s="12"/>
      <c r="G47" s="12"/>
      <c r="H47" s="12"/>
      <c r="I47" s="13"/>
      <c r="J47" s="13"/>
      <c r="M47" s="13"/>
      <c r="N47" s="14"/>
      <c r="O47" s="14"/>
      <c r="P47" s="13"/>
      <c r="T47" s="15"/>
      <c r="U47" s="15"/>
      <c r="V47" s="15"/>
      <c r="W47" s="15"/>
      <c r="X47" s="15"/>
    </row>
    <row r="48" spans="1:24" x14ac:dyDescent="0.55000000000000004">
      <c r="A48" t="s">
        <v>36</v>
      </c>
      <c r="B48" s="8" t="s">
        <v>57</v>
      </c>
      <c r="F48" s="12"/>
      <c r="G48" s="12"/>
      <c r="H48" s="12"/>
      <c r="I48" s="13"/>
      <c r="J48" s="13"/>
      <c r="M48" s="13"/>
      <c r="N48" s="14"/>
      <c r="O48" s="14"/>
      <c r="P48" s="13"/>
      <c r="T48" s="15"/>
      <c r="U48" s="15"/>
      <c r="V48" s="15"/>
      <c r="W48" s="15"/>
      <c r="X48" s="15"/>
    </row>
    <row r="49" spans="1:24" x14ac:dyDescent="0.55000000000000004">
      <c r="A49" t="s">
        <v>37</v>
      </c>
      <c r="B49" s="8" t="s">
        <v>57</v>
      </c>
      <c r="F49" s="12"/>
      <c r="G49" s="12"/>
      <c r="H49" s="12"/>
      <c r="I49" s="13"/>
      <c r="J49" s="13"/>
      <c r="M49" s="13"/>
      <c r="N49" s="14"/>
      <c r="O49" s="14"/>
      <c r="P49" s="13"/>
      <c r="T49" s="15"/>
      <c r="U49" s="15"/>
      <c r="V49" s="15"/>
      <c r="W49" s="15"/>
      <c r="X49" s="15"/>
    </row>
    <row r="50" spans="1:24" x14ac:dyDescent="0.55000000000000004">
      <c r="A50" t="s">
        <v>38</v>
      </c>
      <c r="B50" s="8" t="s">
        <v>57</v>
      </c>
      <c r="F50" s="12"/>
      <c r="G50" s="12"/>
      <c r="H50" s="12"/>
      <c r="I50" s="13"/>
      <c r="J50" s="13"/>
      <c r="M50" s="13"/>
      <c r="N50" s="14"/>
      <c r="O50" s="14"/>
      <c r="P50" s="13"/>
      <c r="T50" s="15"/>
      <c r="U50" s="15"/>
      <c r="V50" s="15"/>
      <c r="W50" s="15"/>
      <c r="X50" s="15"/>
    </row>
    <row r="51" spans="1:24" x14ac:dyDescent="0.55000000000000004">
      <c r="A51" t="s">
        <v>39</v>
      </c>
      <c r="B51" s="8" t="s">
        <v>57</v>
      </c>
      <c r="F51" s="12"/>
      <c r="G51" s="12"/>
      <c r="H51" s="12"/>
      <c r="I51" s="13"/>
      <c r="J51" s="13"/>
      <c r="M51" s="13"/>
      <c r="N51" s="14"/>
      <c r="O51" s="14"/>
      <c r="P51" s="13"/>
      <c r="T51" s="15"/>
      <c r="U51" s="15"/>
      <c r="V51" s="15"/>
      <c r="W51" s="15"/>
      <c r="X51" s="15"/>
    </row>
    <row r="52" spans="1:24" x14ac:dyDescent="0.55000000000000004">
      <c r="A52" t="s">
        <v>40</v>
      </c>
      <c r="B52" s="8" t="s">
        <v>57</v>
      </c>
      <c r="F52" s="12"/>
      <c r="G52" s="12"/>
      <c r="H52" s="12"/>
      <c r="I52" s="13"/>
      <c r="J52" s="13"/>
      <c r="M52" s="13"/>
      <c r="N52" s="14"/>
      <c r="O52" s="14"/>
      <c r="P52" s="13"/>
      <c r="T52" s="15"/>
      <c r="U52" s="15"/>
      <c r="V52" s="15"/>
      <c r="W52" s="15"/>
      <c r="X52" s="15"/>
    </row>
    <row r="53" spans="1:24" x14ac:dyDescent="0.55000000000000004">
      <c r="A53" t="s">
        <v>41</v>
      </c>
      <c r="B53" s="8" t="s">
        <v>57</v>
      </c>
      <c r="F53" s="12"/>
      <c r="G53" s="12"/>
      <c r="H53" s="12"/>
      <c r="I53" s="13"/>
      <c r="J53" s="13"/>
      <c r="M53" s="13"/>
      <c r="N53" s="14"/>
      <c r="O53" s="14"/>
      <c r="P53" s="13"/>
      <c r="T53" s="15"/>
      <c r="U53" s="15"/>
      <c r="V53" s="15"/>
      <c r="W53" s="15"/>
      <c r="X53" s="15"/>
    </row>
    <row r="54" spans="1:24" x14ac:dyDescent="0.55000000000000004">
      <c r="A54" t="s">
        <v>42</v>
      </c>
      <c r="B54" s="8" t="s">
        <v>57</v>
      </c>
      <c r="F54" s="12"/>
      <c r="G54" s="12"/>
      <c r="H54" s="12"/>
      <c r="I54" s="13"/>
      <c r="J54" s="13"/>
      <c r="M54" s="13"/>
      <c r="N54" s="14"/>
      <c r="O54" s="14"/>
      <c r="P54" s="13"/>
      <c r="T54" s="15"/>
      <c r="U54" s="15"/>
      <c r="V54" s="15"/>
      <c r="W54" s="15"/>
      <c r="X54" s="15"/>
    </row>
    <row r="55" spans="1:24" x14ac:dyDescent="0.55000000000000004">
      <c r="A55" t="s">
        <v>43</v>
      </c>
      <c r="B55" s="8" t="s">
        <v>57</v>
      </c>
      <c r="F55" s="12"/>
      <c r="G55" s="12"/>
      <c r="H55" s="12"/>
      <c r="I55" s="13"/>
      <c r="J55" s="13"/>
      <c r="M55" s="13"/>
      <c r="N55" s="14"/>
      <c r="O55" s="14"/>
      <c r="P55" s="13"/>
      <c r="T55" s="15"/>
      <c r="U55" s="15"/>
      <c r="V55" s="15"/>
      <c r="W55" s="15"/>
      <c r="X55" s="15"/>
    </row>
    <row r="56" spans="1:24" x14ac:dyDescent="0.55000000000000004">
      <c r="F56" s="12"/>
      <c r="G56" s="12"/>
      <c r="H56" s="12"/>
      <c r="I56" s="13"/>
      <c r="J56" s="13"/>
      <c r="M56" s="13"/>
      <c r="N56" s="14"/>
      <c r="O56" s="14"/>
      <c r="P56" s="13"/>
      <c r="T56" s="15"/>
      <c r="U56" s="15"/>
      <c r="V56" s="15"/>
      <c r="W56" s="15"/>
      <c r="X56" s="15"/>
    </row>
    <row r="57" spans="1:24" x14ac:dyDescent="0.55000000000000004">
      <c r="F57" s="12"/>
      <c r="G57" s="12"/>
      <c r="H57" s="12"/>
      <c r="I57" s="13"/>
      <c r="J57" s="13"/>
      <c r="M57" s="13"/>
      <c r="N57" s="14"/>
      <c r="O57" s="14"/>
      <c r="P57" s="13"/>
      <c r="T57" s="15"/>
      <c r="U57" s="15"/>
      <c r="V57" s="15"/>
      <c r="W57" s="15"/>
      <c r="X57" s="15"/>
    </row>
    <row r="58" spans="1:24" x14ac:dyDescent="0.55000000000000004">
      <c r="F58" s="12"/>
      <c r="G58" s="12"/>
      <c r="H58" s="12"/>
      <c r="I58" s="13"/>
      <c r="J58" s="13"/>
      <c r="M58" s="13"/>
      <c r="N58" s="14"/>
      <c r="O58" s="14"/>
      <c r="P58" s="13"/>
      <c r="T58" s="15"/>
      <c r="U58" s="15"/>
      <c r="V58" s="15"/>
      <c r="W58" s="15"/>
      <c r="X58" s="15"/>
    </row>
    <row r="59" spans="1:24" x14ac:dyDescent="0.55000000000000004">
      <c r="F59" s="12"/>
      <c r="G59" s="12"/>
      <c r="H59" s="12"/>
      <c r="I59" s="13"/>
      <c r="J59" s="13"/>
      <c r="M59" s="13"/>
      <c r="N59" s="14"/>
      <c r="O59" s="14"/>
      <c r="P59" s="13"/>
      <c r="T59" s="15"/>
      <c r="U59" s="15"/>
      <c r="V59" s="15"/>
      <c r="W59" s="15"/>
      <c r="X59" s="15"/>
    </row>
    <row r="60" spans="1:24" x14ac:dyDescent="0.55000000000000004">
      <c r="F60" s="12"/>
      <c r="G60" s="12"/>
      <c r="H60" s="12"/>
      <c r="I60" s="13"/>
      <c r="J60" s="13"/>
      <c r="M60" s="13"/>
      <c r="N60" s="14"/>
      <c r="O60" s="14"/>
      <c r="P60" s="13"/>
      <c r="T60" s="15"/>
      <c r="U60" s="15"/>
      <c r="V60" s="15"/>
      <c r="W60" s="15"/>
      <c r="X60" s="15"/>
    </row>
    <row r="61" spans="1:24" x14ac:dyDescent="0.55000000000000004">
      <c r="F61" s="12"/>
      <c r="G61" s="12"/>
      <c r="H61" s="12"/>
      <c r="I61" s="13"/>
      <c r="J61" s="13"/>
      <c r="M61" s="13"/>
      <c r="N61" s="14"/>
      <c r="O61" s="14"/>
      <c r="P61" s="13"/>
      <c r="T61" s="15"/>
      <c r="U61" s="15"/>
      <c r="V61" s="15"/>
      <c r="W61" s="15"/>
      <c r="X61" s="15"/>
    </row>
    <row r="62" spans="1:24" x14ac:dyDescent="0.55000000000000004">
      <c r="F62" s="12"/>
      <c r="G62" s="12"/>
      <c r="H62" s="12"/>
      <c r="I62" s="13"/>
      <c r="J62" s="13"/>
      <c r="M62" s="13"/>
      <c r="N62" s="14"/>
      <c r="O62" s="14"/>
      <c r="P62" s="13"/>
      <c r="T62" s="15"/>
      <c r="U62" s="15"/>
      <c r="V62" s="15"/>
      <c r="W62" s="15"/>
      <c r="X62" s="15"/>
    </row>
    <row r="63" spans="1:24" x14ac:dyDescent="0.55000000000000004">
      <c r="F63" s="12"/>
      <c r="G63" s="12"/>
      <c r="H63" s="12"/>
      <c r="I63" s="13"/>
      <c r="J63" s="13"/>
      <c r="M63" s="13"/>
      <c r="N63" s="14"/>
      <c r="O63" s="14"/>
      <c r="P63" s="13"/>
      <c r="T63" s="15"/>
      <c r="U63" s="15"/>
      <c r="V63" s="15"/>
      <c r="W63" s="15"/>
      <c r="X63" s="15"/>
    </row>
    <row r="64" spans="1:24" x14ac:dyDescent="0.55000000000000004">
      <c r="F64" s="12"/>
      <c r="G64" s="12"/>
      <c r="H64" s="12"/>
      <c r="I64" s="13"/>
      <c r="J64" s="13"/>
      <c r="M64" s="13"/>
      <c r="N64" s="14"/>
      <c r="O64" s="14"/>
      <c r="P64" s="13"/>
      <c r="T64" s="15"/>
      <c r="U64" s="15"/>
      <c r="V64" s="15"/>
      <c r="W64" s="15"/>
      <c r="X64" s="15"/>
    </row>
    <row r="65" spans="6:24" x14ac:dyDescent="0.55000000000000004">
      <c r="F65" s="12"/>
      <c r="G65" s="12"/>
      <c r="H65" s="12"/>
      <c r="I65" s="13"/>
      <c r="J65" s="13"/>
      <c r="M65" s="13"/>
      <c r="N65" s="14"/>
      <c r="O65" s="14"/>
      <c r="P65" s="13"/>
      <c r="T65" s="15"/>
      <c r="U65" s="15"/>
      <c r="V65" s="15"/>
      <c r="W65" s="15"/>
      <c r="X65" s="15"/>
    </row>
    <row r="66" spans="6:24" x14ac:dyDescent="0.55000000000000004">
      <c r="F66" s="12"/>
      <c r="G66" s="12"/>
      <c r="H66" s="12"/>
      <c r="I66" s="13"/>
      <c r="J66" s="13"/>
      <c r="M66" s="13"/>
      <c r="N66" s="14"/>
      <c r="O66" s="14"/>
      <c r="P66" s="13"/>
      <c r="T66" s="15"/>
      <c r="U66" s="15"/>
      <c r="V66" s="15"/>
      <c r="W66" s="15"/>
      <c r="X66" s="15"/>
    </row>
    <row r="67" spans="6:24" x14ac:dyDescent="0.55000000000000004">
      <c r="F67" s="12"/>
      <c r="G67" s="12"/>
      <c r="H67" s="12"/>
      <c r="I67" s="13"/>
      <c r="J67" s="13"/>
      <c r="M67" s="13"/>
      <c r="N67" s="14"/>
      <c r="O67" s="14"/>
      <c r="P67" s="13"/>
      <c r="T67" s="15"/>
      <c r="U67" s="15"/>
      <c r="V67" s="15"/>
      <c r="W67" s="15"/>
      <c r="X67" s="15"/>
    </row>
    <row r="68" spans="6:24" x14ac:dyDescent="0.55000000000000004">
      <c r="F68" s="12"/>
      <c r="G68" s="12"/>
      <c r="H68" s="12"/>
      <c r="I68" s="13"/>
      <c r="J68" s="13"/>
      <c r="M68" s="13"/>
      <c r="N68" s="14"/>
      <c r="O68" s="14"/>
      <c r="P68" s="13"/>
      <c r="T68" s="15"/>
      <c r="U68" s="15"/>
      <c r="V68" s="15"/>
      <c r="W68" s="15"/>
      <c r="X68" s="15"/>
    </row>
    <row r="69" spans="6:24" x14ac:dyDescent="0.55000000000000004">
      <c r="F69" s="12"/>
      <c r="G69" s="12"/>
      <c r="H69" s="12"/>
      <c r="I69" s="13"/>
      <c r="J69" s="13"/>
      <c r="M69" s="13"/>
      <c r="N69" s="14"/>
      <c r="O69" s="14"/>
      <c r="P69" s="13"/>
      <c r="T69" s="15"/>
      <c r="U69" s="15"/>
      <c r="V69" s="15"/>
      <c r="W69" s="15"/>
      <c r="X69" s="15"/>
    </row>
    <row r="70" spans="6:24" x14ac:dyDescent="0.55000000000000004">
      <c r="F70" s="12"/>
      <c r="G70" s="12"/>
      <c r="H70" s="12"/>
      <c r="I70" s="13"/>
      <c r="J70" s="13"/>
      <c r="M70" s="13"/>
      <c r="N70" s="14"/>
      <c r="O70" s="14"/>
      <c r="P70" s="13"/>
      <c r="T70" s="15"/>
      <c r="U70" s="15"/>
      <c r="V70" s="15"/>
      <c r="W70" s="15"/>
      <c r="X70" s="15"/>
    </row>
    <row r="71" spans="6:24" x14ac:dyDescent="0.55000000000000004">
      <c r="F71" s="12"/>
      <c r="G71" s="12"/>
      <c r="H71" s="12"/>
      <c r="I71" s="13"/>
      <c r="J71" s="13"/>
      <c r="M71" s="13"/>
      <c r="N71" s="14"/>
      <c r="O71" s="14"/>
      <c r="P71" s="13"/>
      <c r="T71" s="15"/>
      <c r="U71" s="15"/>
      <c r="V71" s="15"/>
      <c r="W71" s="15"/>
      <c r="X71" s="15"/>
    </row>
    <row r="72" spans="6:24" x14ac:dyDescent="0.55000000000000004">
      <c r="F72" s="12"/>
      <c r="G72" s="12"/>
      <c r="H72" s="12"/>
      <c r="I72" s="13"/>
      <c r="J72" s="13"/>
      <c r="M72" s="13"/>
      <c r="N72" s="14"/>
      <c r="O72" s="14"/>
      <c r="P72" s="13"/>
      <c r="T72" s="15"/>
      <c r="U72" s="15"/>
      <c r="V72" s="15"/>
      <c r="W72" s="15"/>
      <c r="X72" s="15"/>
    </row>
    <row r="73" spans="6:24" x14ac:dyDescent="0.55000000000000004">
      <c r="F73" s="12"/>
      <c r="G73" s="12"/>
      <c r="H73" s="12"/>
      <c r="I73" s="13"/>
      <c r="J73" s="13"/>
      <c r="M73" s="13"/>
      <c r="N73" s="14"/>
      <c r="O73" s="14"/>
      <c r="P73" s="13"/>
      <c r="T73" s="15"/>
      <c r="U73" s="15"/>
      <c r="V73" s="15"/>
      <c r="W73" s="15"/>
      <c r="X73" s="15"/>
    </row>
    <row r="74" spans="6:24" x14ac:dyDescent="0.55000000000000004">
      <c r="F74" s="12"/>
      <c r="G74" s="12"/>
      <c r="H74" s="12"/>
      <c r="I74" s="13"/>
      <c r="J74" s="13"/>
      <c r="M74" s="13"/>
      <c r="N74" s="14"/>
      <c r="O74" s="14"/>
      <c r="P74" s="13"/>
      <c r="T74" s="15"/>
      <c r="U74" s="15"/>
      <c r="V74" s="15"/>
      <c r="W74" s="15"/>
      <c r="X74" s="15"/>
    </row>
    <row r="75" spans="6:24" x14ac:dyDescent="0.55000000000000004">
      <c r="F75" s="12"/>
      <c r="G75" s="12"/>
      <c r="H75" s="12"/>
      <c r="I75" s="13"/>
      <c r="J75" s="13"/>
      <c r="M75" s="13"/>
      <c r="N75" s="14"/>
      <c r="O75" s="14"/>
      <c r="P75" s="13"/>
      <c r="T75" s="15"/>
      <c r="U75" s="15"/>
      <c r="V75" s="15"/>
      <c r="W75" s="15"/>
      <c r="X75" s="15"/>
    </row>
    <row r="76" spans="6:24" x14ac:dyDescent="0.55000000000000004">
      <c r="F76" s="12"/>
      <c r="G76" s="12"/>
      <c r="H76" s="12"/>
      <c r="I76" s="13"/>
      <c r="J76" s="13"/>
      <c r="M76" s="13"/>
      <c r="N76" s="14"/>
      <c r="O76" s="14"/>
      <c r="P76" s="13"/>
      <c r="T76" s="15"/>
      <c r="U76" s="15"/>
      <c r="V76" s="15"/>
      <c r="W76" s="15"/>
      <c r="X76" s="15"/>
    </row>
    <row r="77" spans="6:24" x14ac:dyDescent="0.55000000000000004">
      <c r="F77" s="12"/>
      <c r="G77" s="12"/>
      <c r="H77" s="12"/>
      <c r="I77" s="13"/>
      <c r="J77" s="13"/>
      <c r="M77" s="13"/>
      <c r="N77" s="14"/>
      <c r="O77" s="14"/>
      <c r="P77" s="13"/>
      <c r="T77" s="15"/>
      <c r="U77" s="15"/>
      <c r="V77" s="15"/>
      <c r="W77" s="15"/>
      <c r="X77" s="15"/>
    </row>
    <row r="78" spans="6:24" x14ac:dyDescent="0.55000000000000004">
      <c r="F78" s="12"/>
      <c r="G78" s="12"/>
      <c r="H78" s="12"/>
      <c r="I78" s="13"/>
      <c r="J78" s="13"/>
      <c r="M78" s="13"/>
      <c r="N78" s="14"/>
      <c r="O78" s="14"/>
      <c r="P78" s="13"/>
      <c r="T78" s="15"/>
      <c r="U78" s="15"/>
      <c r="V78" s="15"/>
      <c r="W78" s="15"/>
      <c r="X78" s="15"/>
    </row>
    <row r="79" spans="6:24" x14ac:dyDescent="0.55000000000000004">
      <c r="F79" s="12"/>
      <c r="G79" s="12"/>
      <c r="H79" s="12"/>
      <c r="I79" s="13"/>
      <c r="J79" s="13"/>
      <c r="M79" s="13"/>
      <c r="N79" s="14"/>
      <c r="O79" s="14"/>
      <c r="P79" s="13"/>
      <c r="T79" s="15"/>
      <c r="U79" s="15"/>
      <c r="V79" s="15"/>
      <c r="W79" s="15"/>
      <c r="X79" s="15"/>
    </row>
    <row r="80" spans="6:24" x14ac:dyDescent="0.55000000000000004">
      <c r="F80" s="12"/>
      <c r="G80" s="12"/>
      <c r="H80" s="12"/>
      <c r="I80" s="13"/>
      <c r="J80" s="13"/>
      <c r="M80" s="13"/>
      <c r="N80" s="14"/>
      <c r="O80" s="14"/>
      <c r="P80" s="13"/>
      <c r="T80" s="15"/>
      <c r="U80" s="15"/>
      <c r="V80" s="15"/>
      <c r="W80" s="15"/>
      <c r="X80" s="15"/>
    </row>
    <row r="81" spans="6:24" x14ac:dyDescent="0.55000000000000004">
      <c r="F81" s="12"/>
      <c r="G81" s="12"/>
      <c r="H81" s="12"/>
      <c r="I81" s="13"/>
      <c r="J81" s="13"/>
      <c r="M81" s="13"/>
      <c r="N81" s="14"/>
      <c r="O81" s="14"/>
      <c r="P81" s="13"/>
      <c r="T81" s="15"/>
      <c r="U81" s="15"/>
      <c r="V81" s="15"/>
      <c r="W81" s="15"/>
      <c r="X81" s="15"/>
    </row>
    <row r="82" spans="6:24" x14ac:dyDescent="0.55000000000000004">
      <c r="F82" s="12"/>
      <c r="G82" s="12"/>
      <c r="H82" s="12"/>
      <c r="I82" s="13"/>
      <c r="J82" s="13"/>
      <c r="M82" s="13"/>
      <c r="N82" s="14"/>
      <c r="O82" s="14"/>
      <c r="P82" s="13"/>
      <c r="T82" s="15"/>
      <c r="U82" s="15"/>
      <c r="V82" s="15"/>
      <c r="W82" s="15"/>
      <c r="X82" s="15"/>
    </row>
    <row r="83" spans="6:24" x14ac:dyDescent="0.55000000000000004">
      <c r="F83" s="12"/>
      <c r="G83" s="12"/>
      <c r="H83" s="12"/>
      <c r="I83" s="13"/>
      <c r="J83" s="13"/>
      <c r="M83" s="13"/>
      <c r="N83" s="14"/>
      <c r="O83" s="14"/>
      <c r="P83" s="13"/>
      <c r="T83" s="15"/>
      <c r="U83" s="15"/>
      <c r="V83" s="15"/>
      <c r="W83" s="15"/>
      <c r="X83" s="15"/>
    </row>
    <row r="84" spans="6:24" x14ac:dyDescent="0.55000000000000004">
      <c r="F84" s="12"/>
      <c r="G84" s="12"/>
      <c r="H84" s="12"/>
      <c r="I84" s="13"/>
      <c r="J84" s="13"/>
      <c r="M84" s="13"/>
      <c r="N84" s="14"/>
      <c r="O84" s="14"/>
      <c r="P84" s="13"/>
      <c r="T84" s="15"/>
      <c r="U84" s="15"/>
      <c r="V84" s="15"/>
      <c r="W84" s="15"/>
      <c r="X84" s="15"/>
    </row>
    <row r="85" spans="6:24" x14ac:dyDescent="0.55000000000000004">
      <c r="F85" s="12"/>
      <c r="G85" s="12"/>
      <c r="H85" s="12"/>
      <c r="I85" s="13"/>
      <c r="J85" s="13"/>
      <c r="M85" s="13"/>
      <c r="N85" s="14"/>
      <c r="O85" s="14"/>
      <c r="P85" s="13"/>
      <c r="T85" s="15"/>
      <c r="U85" s="15"/>
      <c r="V85" s="15"/>
      <c r="W85" s="15"/>
      <c r="X85" s="15"/>
    </row>
    <row r="86" spans="6:24" x14ac:dyDescent="0.55000000000000004">
      <c r="F86" s="12"/>
      <c r="G86" s="12"/>
      <c r="H86" s="12"/>
      <c r="I86" s="13"/>
      <c r="J86" s="13"/>
      <c r="M86" s="13"/>
      <c r="N86" s="14"/>
      <c r="O86" s="14"/>
      <c r="P86" s="13"/>
      <c r="T86" s="15"/>
      <c r="U86" s="15"/>
      <c r="V86" s="15"/>
      <c r="W86" s="15"/>
      <c r="X86" s="15"/>
    </row>
    <row r="87" spans="6:24" x14ac:dyDescent="0.55000000000000004">
      <c r="F87" s="12"/>
      <c r="G87" s="12"/>
      <c r="H87" s="12"/>
      <c r="I87" s="13"/>
      <c r="J87" s="13"/>
      <c r="M87" s="13"/>
      <c r="N87" s="14"/>
      <c r="O87" s="14"/>
      <c r="P87" s="13"/>
      <c r="T87" s="15"/>
      <c r="U87" s="15"/>
      <c r="V87" s="15"/>
      <c r="W87" s="15"/>
      <c r="X87" s="15"/>
    </row>
    <row r="88" spans="6:24" x14ac:dyDescent="0.55000000000000004">
      <c r="F88" s="12"/>
      <c r="G88" s="12"/>
      <c r="H88" s="12"/>
      <c r="I88" s="13"/>
      <c r="J88" s="13"/>
      <c r="M88" s="13"/>
      <c r="N88" s="14"/>
      <c r="O88" s="14"/>
      <c r="P88" s="13"/>
      <c r="T88" s="15"/>
      <c r="U88" s="15"/>
      <c r="V88" s="15"/>
      <c r="W88" s="15"/>
      <c r="X88" s="15"/>
    </row>
    <row r="89" spans="6:24" x14ac:dyDescent="0.55000000000000004">
      <c r="F89" s="12"/>
      <c r="G89" s="12"/>
      <c r="H89" s="12"/>
      <c r="I89" s="13"/>
      <c r="J89" s="13"/>
      <c r="M89" s="13"/>
      <c r="N89" s="14"/>
      <c r="O89" s="14"/>
      <c r="P89" s="13"/>
      <c r="T89" s="15"/>
      <c r="U89" s="15"/>
      <c r="V89" s="15"/>
      <c r="W89" s="15"/>
      <c r="X89" s="15"/>
    </row>
    <row r="90" spans="6:24" x14ac:dyDescent="0.55000000000000004">
      <c r="F90" s="12"/>
      <c r="G90" s="12"/>
      <c r="H90" s="12"/>
      <c r="I90" s="13"/>
      <c r="J90" s="13"/>
      <c r="M90" s="13"/>
      <c r="N90" s="14"/>
      <c r="O90" s="14"/>
      <c r="P90" s="13"/>
      <c r="T90" s="15"/>
      <c r="U90" s="15"/>
      <c r="V90" s="15"/>
      <c r="W90" s="15"/>
      <c r="X90" s="15"/>
    </row>
    <row r="91" spans="6:24" x14ac:dyDescent="0.55000000000000004">
      <c r="F91" s="12"/>
      <c r="G91" s="12"/>
      <c r="H91" s="12"/>
      <c r="I91" s="13"/>
      <c r="J91" s="13"/>
      <c r="M91" s="13"/>
      <c r="N91" s="14"/>
      <c r="O91" s="14"/>
      <c r="P91" s="13"/>
      <c r="T91" s="15"/>
      <c r="U91" s="15"/>
      <c r="V91" s="15"/>
      <c r="W91" s="15"/>
      <c r="X91" s="15"/>
    </row>
    <row r="92" spans="6:24" x14ac:dyDescent="0.55000000000000004">
      <c r="F92" s="12"/>
      <c r="G92" s="12"/>
      <c r="H92" s="12"/>
      <c r="I92" s="13"/>
      <c r="J92" s="13"/>
      <c r="M92" s="13"/>
      <c r="N92" s="14"/>
      <c r="O92" s="14"/>
      <c r="P92" s="13"/>
      <c r="T92" s="15"/>
      <c r="U92" s="15"/>
      <c r="V92" s="15"/>
      <c r="W92" s="15"/>
      <c r="X92" s="15"/>
    </row>
    <row r="93" spans="6:24" x14ac:dyDescent="0.55000000000000004">
      <c r="F93" s="12"/>
      <c r="G93" s="12"/>
      <c r="H93" s="12"/>
      <c r="I93" s="13"/>
      <c r="J93" s="13"/>
      <c r="M93" s="13"/>
      <c r="N93" s="14"/>
      <c r="O93" s="14"/>
      <c r="P93" s="13"/>
      <c r="T93" s="15"/>
      <c r="U93" s="15"/>
      <c r="V93" s="15"/>
      <c r="W93" s="15"/>
      <c r="X93" s="15"/>
    </row>
  </sheetData>
  <phoneticPr fontId="2"/>
  <dataValidations count="7">
    <dataValidation type="whole" allowBlank="1" showInputMessage="1" showErrorMessage="1" prompt="復元に使う主成分の本数" sqref="B10" xr:uid="{3B0A9929-F77B-4789-86DE-D49A9891EE22}">
      <formula1>1</formula1>
      <formula2>50</formula2>
    </dataValidation>
    <dataValidation type="list" allowBlank="1" showInputMessage="1" showErrorMessage="1" prompt="なし=分散共分散(bp)のPCA / あり=z-score(相関行列)のPCA" sqref="B6" xr:uid="{7ED64B26-97CF-402C-B083-0FFB42FD6806}">
      <formula1>"あり,なし"</formula1>
    </dataValidation>
    <dataValidation type="list" allowBlank="1" showInputMessage="1" showErrorMessage="1" prompt="レベル=水準のPCA / 日次変化=前営業日からの変化のPCA" sqref="B5" xr:uid="{3E3DC664-42D4-4B04-8857-77743F4A2966}">
      <formula1>"レベル,日次変化"</formula1>
    </dataValidation>
    <dataValidation type="list" allowBlank="1" showInputMessage="1" showErrorMessage="1" sqref="B14:B55" xr:uid="{1DF7B3CE-05F5-439E-B5EE-13A30F7F2DB4}">
      <formula1>"○,×"</formula1>
    </dataValidation>
    <dataValidation allowBlank="1" showInputMessage="1" showErrorMessage="1" prompt="windowの最終日。空欄=比較日より前の直近(当日は推定に使わない)" sqref="B3" xr:uid="{48A2AC22-91FF-400A-B977-72235A26AE3C}"/>
    <dataValidation allowBlank="1" showInputMessage="1" showErrorMessage="1" prompt="サンプル数。選択銘柄が1本でも欠けた日は除外し、さらに過去へさかのぼる" sqref="B4" xr:uid="{20CA5F3B-68B8-44B5-8794-DB5B0CB34044}"/>
    <dataValidation allowBlank="1" showInputMessage="1" showErrorMessage="1" prompt="空欄=今日(RealTimeのライブの値)。日付=DBのその日の引け値。推定基準日と独立に選べる" sqref="B9" xr:uid="{D0F498E5-B8A8-4FF6-AA47-621238B7DB52}"/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8242C-3467-4C0D-92AA-6BB525ADCCF6}">
  <sheetPr codeName="Sheet6"/>
  <dimension ref="A1:JI400"/>
  <sheetViews>
    <sheetView topLeftCell="D1" workbookViewId="0">
      <selection activeCell="BF1" sqref="BF1:JB410"/>
    </sheetView>
  </sheetViews>
  <sheetFormatPr defaultRowHeight="18" outlineLevelCol="1" x14ac:dyDescent="0.55000000000000004"/>
  <cols>
    <col min="1" max="1" width="17.1640625" customWidth="1"/>
    <col min="2" max="2" width="6.58203125" customWidth="1"/>
    <col min="3" max="3" width="8.58203125" customWidth="1"/>
    <col min="4" max="4" width="6.58203125" customWidth="1"/>
    <col min="5" max="5" width="2.58203125" customWidth="1"/>
    <col min="6" max="6" width="12.58203125" customWidth="1"/>
    <col min="7" max="7" width="10.9140625" bestFit="1" customWidth="1"/>
    <col min="10" max="10" width="10.9140625" bestFit="1" customWidth="1"/>
    <col min="21" max="21" width="12.58203125" customWidth="1"/>
    <col min="58" max="268" width="0" hidden="1" customWidth="1" outlineLevel="1"/>
    <col min="269" max="269" width="8.6640625" collapsed="1"/>
  </cols>
  <sheetData>
    <row r="1" spans="1:267" ht="22.5" x14ac:dyDescent="0.55000000000000004">
      <c r="A1" t="s">
        <v>121</v>
      </c>
      <c r="F1" s="3"/>
      <c r="BF1" s="3" t="s">
        <v>120</v>
      </c>
    </row>
    <row r="2" spans="1:267" x14ac:dyDescent="0.55000000000000004">
      <c r="A2" s="6" t="s">
        <v>83</v>
      </c>
      <c r="F2" t="s">
        <v>91</v>
      </c>
      <c r="I2" t="s">
        <v>92</v>
      </c>
      <c r="BI2" t="s">
        <v>102</v>
      </c>
      <c r="BP2" t="s">
        <v>101</v>
      </c>
      <c r="JD2" t="s">
        <v>89</v>
      </c>
      <c r="JE2" t="s">
        <v>90</v>
      </c>
      <c r="JG2" t="s">
        <v>76</v>
      </c>
    </row>
    <row r="3" spans="1:267" x14ac:dyDescent="0.55000000000000004">
      <c r="A3" t="s">
        <v>84</v>
      </c>
      <c r="B3" s="5"/>
      <c r="F3" cm="1">
        <f t="array" ref="F3:G7">PcaWindow(VOL_銘柄,VOL_モード,VOL_標準化,VOL_window,VOL_推定基準日,VOL_比較日,"vol")</f>
      </c>
      <c r="G3" s="9"/>
      <c r="I3" cm="1">
        <f t="array" ref="I3:J6">PcaActualInfo(VOL_銘柄,VOL_モード,VOL_比較日,RealTimeVol!$C$2:$E$401,"vol")</f>
      </c>
      <c r="J3" s="9"/>
      <c r="P3" t="s">
        <v>107</v>
      </c>
      <c r="BG3" s="9"/>
      <c r="BI3" s="7" t="s">
        <v>76</v>
      </c>
      <c r="BJ3" s="7" t="s">
        <v>58</v>
      </c>
      <c r="BK3" s="7" t="s">
        <v>103</v>
      </c>
      <c r="BL3" s="7" t="s">
        <v>104</v>
      </c>
      <c r="BM3" s="7" t="s">
        <v>105</v>
      </c>
      <c r="BN3" s="7" t="s">
        <v>106</v>
      </c>
      <c r="BP3" cm="1">
        <f t="array" ref="BP3:JB195">PcaModel(VOL_銘柄,VOL_モード,VOL_標準化,VOL_window,VOL_推定基準日,VOL_比較日,"vol")</f>
      </c>
      <c r="JD3" cm="1">
        <f t="array" ref="JD3:JD18">_xlfn._xlws.FILTER($A$14:$A$29,$B$14:$B$29="○")</f>
      </c>
      <c r="JE3" cm="1">
        <f t="array" ref="JE3:JE14">_xlfn._xlws.FILTER($C$14:$C$25,$D$14:$D$25="○")</f>
      </c>
      <c r="JG3" cm="1">
        <f t="array" ref="JG3:JG194">_xlfn.TOCOL(_xlfn.ANCHORARRAY(JD3)&amp;"x"&amp;TRANSPOSE(_xlfn.ANCHORARRAY(JE3)))</f>
      </c>
    </row>
    <row r="4" spans="1:267" x14ac:dyDescent="0.55000000000000004">
      <c r="A4" t="s">
        <v>49</v>
      </c>
      <c r="B4" s="4">
        <v>250</v>
      </c>
      <c r="G4" s="9"/>
      <c r="P4" t="s">
        <v>108</v>
      </c>
      <c r="BG4" s="9"/>
      <c r="BI4" cm="1">
        <f t="array" ref="BI4:BI195">_xlfn.DROP(_xlfn.TAKE(_xlfn.ANCHORARRAY($BP$3),,1),1)</f>
      </c>
      <c r="BJ4" s="13" cm="1">
        <f t="array" ref="BJ4:BJ195">PcaActual(VOL_銘柄,VOL_モード,VOL_比較日,RealTimeVol!$C$2:$E$401,"vol")</f>
      </c>
      <c r="BK4" s="13" cm="1">
        <f t="array" ref="BK4:BK195">_xlfn.DROP(_xlfn.CHOOSECOLS(_xlfn.ANCHORARRAY($BP$3),2),1)</f>
      </c>
      <c r="BL4" s="13" cm="1">
        <f t="array" ref="BL4:BL195">_xlfn.DROP(_xlfn.CHOOSECOLS(_xlfn.ANCHORARRAY($BP$3),3),1)</f>
      </c>
      <c r="BM4" s="13" cm="1">
        <f t="array" ref="BM4:BM195">_xlfn.LET(_xlpm.m,_xlfn.ANCHORARRAY(BK4),_xlpm.s,_xlfn.ANCHORARRAY(BL4),_xlpm.x,_xlfn.ANCHORARRAY(BJ4),_xlpm.V,_xlfn.TAKE(_xlfn.DROP(_xlfn.ANCHORARRAY($BP$3),1,3),,VOL_k),_xlpm.m+_xlpm.s*MMULT(_xlpm.V,MMULT(TRANSPOSE(_xlpm.V),(_xlpm.x-_xlpm.m)/_xlpm.s)))</f>
      </c>
      <c r="BN4" s="13" cm="1">
        <f t="array" ref="BN4:BN195">_xlfn.ANCHORARRAY(BJ4)-_xlfn.ANCHORARRAY(BM4)</f>
      </c>
    </row>
    <row r="5" spans="1:267" x14ac:dyDescent="0.55000000000000004">
      <c r="A5" t="s">
        <v>47</v>
      </c>
      <c r="B5" s="4" t="s">
        <v>48</v>
      </c>
      <c r="J5" s="9"/>
      <c r="BJ5" s="13"/>
      <c r="BK5" s="13"/>
      <c r="BL5" s="13"/>
      <c r="BM5" s="13"/>
      <c r="BN5" s="13"/>
    </row>
    <row r="6" spans="1:267" x14ac:dyDescent="0.55000000000000004">
      <c r="A6" t="s">
        <v>85</v>
      </c>
      <c r="B6" s="4" t="s">
        <v>86</v>
      </c>
      <c r="J6" s="10"/>
      <c r="BJ6" s="13"/>
      <c r="BK6" s="13"/>
      <c r="BL6" s="13"/>
      <c r="BM6" s="13"/>
      <c r="BN6" s="13"/>
    </row>
    <row r="7" spans="1:267" x14ac:dyDescent="0.55000000000000004">
      <c r="G7" s="10"/>
      <c r="BJ7" s="13"/>
      <c r="BK7" s="13"/>
      <c r="BL7" s="13"/>
      <c r="BM7" s="13"/>
      <c r="BN7" s="13"/>
    </row>
    <row r="8" spans="1:267" x14ac:dyDescent="0.55000000000000004">
      <c r="A8" s="6" t="s">
        <v>87</v>
      </c>
      <c r="BJ8" s="13"/>
      <c r="BK8" s="13"/>
      <c r="BL8" s="13"/>
      <c r="BM8" s="13"/>
      <c r="BN8" s="13"/>
    </row>
    <row r="9" spans="1:267" x14ac:dyDescent="0.55000000000000004">
      <c r="A9" t="s">
        <v>46</v>
      </c>
      <c r="B9" s="5"/>
      <c r="F9" s="6" t="s">
        <v>109</v>
      </c>
      <c r="U9" s="6" t="s">
        <v>111</v>
      </c>
      <c r="AJ9" s="6" t="s">
        <v>117</v>
      </c>
      <c r="BJ9" s="13"/>
      <c r="BK9" s="13"/>
      <c r="BL9" s="13"/>
      <c r="BM9" s="13"/>
      <c r="BN9" s="13"/>
    </row>
    <row r="10" spans="1:267" x14ac:dyDescent="0.55000000000000004">
      <c r="A10" t="s">
        <v>50</v>
      </c>
      <c r="B10" s="4">
        <v>3</v>
      </c>
      <c r="F10" s="7" t="s">
        <v>110</v>
      </c>
      <c r="G10" cm="1">
        <f t="array" ref="G10:R10">TRANSPOSE(VOL_原資産)</f>
      </c>
      <c r="U10" s="7" t="s">
        <v>110</v>
      </c>
      <c r="V10" cm="1">
        <f t="array" ref="V10:AG10">TRANSPOSE(VOL_原資産)</f>
      </c>
      <c r="AJ10" s="7" t="s">
        <v>62</v>
      </c>
      <c r="AK10" s="7" t="s">
        <v>99</v>
      </c>
      <c r="AL10" s="7" t="s">
        <v>63</v>
      </c>
      <c r="AM10" s="7" t="s">
        <v>64</v>
      </c>
      <c r="AN10" s="7" t="s">
        <v>100</v>
      </c>
      <c r="AO10" s="7" t="s">
        <v>65</v>
      </c>
      <c r="BG10" s="9"/>
      <c r="BJ10" s="13"/>
      <c r="BK10" s="13"/>
      <c r="BL10" s="13"/>
      <c r="BM10" s="13"/>
      <c r="BN10" s="13"/>
    </row>
    <row r="11" spans="1:267" x14ac:dyDescent="0.55000000000000004">
      <c r="F11" cm="1">
        <f t="array" ref="F11:F26">VOL_満期</f>
      </c>
      <c r="G11" s="13" cm="1">
        <f t="array" ref="G11:R26">_xlfn.XLOOKUP(_xlfn.ANCHORARRAY(F11)&amp;"x"&amp;_xlfn.ANCHORARRAY(G10),_xlfn.ANCHORARRAY($BI$4),_xlfn.ANCHORARRAY($BN$4))</f>
      </c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 cm="1">
        <f t="array" ref="U11:U26">VOL_満期</f>
      </c>
      <c r="V11" s="17" cm="1">
        <f t="array" ref="V11:AG26">_xlfn.XLOOKUP(_xlfn.ANCHORARRAY(U11)&amp;"x"&amp;_xlfn.ANCHORARRAY(V10),_xlfn.ANCHORARRAY($BI$4),_xlfn.ANCHORARRAY($BJ$4))</f>
      </c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 cm="1">
        <f t="array" ref="AJ11:AJ20">_xlfn.TAKE(_xlfn.DROP(_xlfn.TAKE(_xlfn.ANCHORARRAY($BF$16),,1),1),10)</f>
      </c>
      <c r="AK11" s="13" cm="1">
        <f t="array" ref="AK11:AK20">_xlfn.TAKE(_xlfn.DROP(_xlfn.CHOOSECOLS(_xlfn.ANCHORARRAY($BF$16),2),1),10)</f>
      </c>
      <c r="AL11" s="14" cm="1">
        <f t="array" ref="AL11:AL20">_xlfn.ANCHORARRAY(AK11)/SUM(_xlfn.DROP(_xlfn.CHOOSECOLS(_xlfn.ANCHORARRAY($BF$16),2),1))</f>
      </c>
      <c r="AM11" s="14" cm="1">
        <f t="array" ref="AM11:AM20">_xlfn.SCAN(0,_xlfn.ANCHORARRAY(AL11),_xlfn.LAMBDA(_xlpm.a,_xlpm.b,_xlpm.a+_xlpm.b))</f>
      </c>
      <c r="AN11" s="13" cm="1">
        <f t="array" ref="AN11:AN20">_xlfn.TAKE(MMULT(TRANSPOSE(_xlfn.DROP(_xlfn.ANCHORARRAY($BP$3),1,3)),(_xlfn.ANCHORARRAY($BJ$4)-_xlfn.ANCHORARRAY($BK$4))/_xlfn.ANCHORARRAY($BL$4)),10)</f>
      </c>
      <c r="AO11" s="17" cm="1">
        <f t="array" ref="AO11:AO20">IF(_xlfn.SEQUENCE(ROWS(_xlfn.ANCHORARRAY(AJ11)))&lt;=VOL_k,"○","")</f>
      </c>
      <c r="BJ11" s="13"/>
      <c r="BK11" s="13"/>
      <c r="BL11" s="13"/>
      <c r="BM11" s="13"/>
      <c r="BN11" s="13"/>
    </row>
    <row r="12" spans="1:267" x14ac:dyDescent="0.55000000000000004">
      <c r="A12" t="s">
        <v>88</v>
      </c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3"/>
      <c r="AL12" s="14"/>
      <c r="AM12" s="14"/>
      <c r="AN12" s="13"/>
      <c r="AO12" s="17"/>
      <c r="BG12" s="9"/>
      <c r="BJ12" s="13"/>
      <c r="BK12" s="13"/>
      <c r="BL12" s="13"/>
      <c r="BM12" s="13"/>
      <c r="BN12" s="13"/>
    </row>
    <row r="13" spans="1:267" x14ac:dyDescent="0.55000000000000004">
      <c r="A13" s="7" t="s">
        <v>74</v>
      </c>
      <c r="B13" s="7" t="s">
        <v>53</v>
      </c>
      <c r="C13" s="7" t="s">
        <v>75</v>
      </c>
      <c r="D13" s="7" t="s">
        <v>53</v>
      </c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3"/>
      <c r="AL13" s="14"/>
      <c r="AM13" s="14"/>
      <c r="AN13" s="13"/>
      <c r="AO13" s="17"/>
      <c r="BJ13" s="13"/>
      <c r="BK13" s="13"/>
      <c r="BL13" s="13"/>
      <c r="BM13" s="13"/>
      <c r="BN13" s="13"/>
    </row>
    <row r="14" spans="1:267" x14ac:dyDescent="0.55000000000000004">
      <c r="A14" t="s">
        <v>4</v>
      </c>
      <c r="B14" s="8" t="s">
        <v>56</v>
      </c>
      <c r="C14" t="s">
        <v>78</v>
      </c>
      <c r="D14" s="8" t="s">
        <v>56</v>
      </c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3"/>
      <c r="AL14" s="14"/>
      <c r="AM14" s="14"/>
      <c r="AN14" s="13"/>
      <c r="AO14" s="17"/>
      <c r="BJ14" s="13"/>
      <c r="BK14" s="13"/>
      <c r="BL14" s="13"/>
      <c r="BM14" s="13"/>
      <c r="BN14" s="13"/>
    </row>
    <row r="15" spans="1:267" x14ac:dyDescent="0.55000000000000004">
      <c r="A15" t="s">
        <v>5</v>
      </c>
      <c r="B15" s="8" t="s">
        <v>56</v>
      </c>
      <c r="C15" t="s">
        <v>79</v>
      </c>
      <c r="D15" s="8" t="s">
        <v>56</v>
      </c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3"/>
      <c r="AL15" s="14"/>
      <c r="AM15" s="14"/>
      <c r="AN15" s="13"/>
      <c r="AO15" s="17"/>
      <c r="BF15" t="s">
        <v>93</v>
      </c>
      <c r="BJ15" s="13"/>
      <c r="BK15" s="13"/>
      <c r="BL15" s="13"/>
      <c r="BM15" s="13"/>
      <c r="BN15" s="13"/>
    </row>
    <row r="16" spans="1:267" x14ac:dyDescent="0.55000000000000004">
      <c r="A16" t="s">
        <v>6</v>
      </c>
      <c r="B16" s="8" t="s">
        <v>56</v>
      </c>
      <c r="C16" t="s">
        <v>80</v>
      </c>
      <c r="D16" s="8" t="s">
        <v>56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3"/>
      <c r="AL16" s="14"/>
      <c r="AM16" s="14"/>
      <c r="AN16" s="13"/>
      <c r="AO16" s="17"/>
      <c r="BF16" cm="1">
        <f t="array" ref="BF16:BG208">PcaEigen(VOL_銘柄,VOL_モード,VOL_標準化,VOL_window,VOL_推定基準日,VOL_比較日,"vol")</f>
      </c>
      <c r="BJ16" s="13"/>
      <c r="BK16" s="13"/>
      <c r="BL16" s="13"/>
      <c r="BM16" s="13"/>
      <c r="BN16" s="13"/>
    </row>
    <row r="17" spans="1:267" x14ac:dyDescent="0.55000000000000004">
      <c r="A17" t="s">
        <v>9</v>
      </c>
      <c r="B17" s="8" t="s">
        <v>56</v>
      </c>
      <c r="C17" t="s">
        <v>21</v>
      </c>
      <c r="D17" s="8" t="s">
        <v>56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3"/>
      <c r="AL17" s="14"/>
      <c r="AM17" s="14"/>
      <c r="AN17" s="13"/>
      <c r="AO17" s="17"/>
      <c r="BJ17" s="13"/>
      <c r="BK17" s="13"/>
      <c r="BL17" s="13"/>
      <c r="BM17" s="13"/>
      <c r="BN17" s="13"/>
    </row>
    <row r="18" spans="1:267" x14ac:dyDescent="0.55000000000000004">
      <c r="A18" t="s">
        <v>12</v>
      </c>
      <c r="B18" s="8" t="s">
        <v>56</v>
      </c>
      <c r="C18" t="s">
        <v>22</v>
      </c>
      <c r="D18" s="8" t="s">
        <v>56</v>
      </c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3"/>
      <c r="AL18" s="14"/>
      <c r="AM18" s="14"/>
      <c r="AN18" s="13"/>
      <c r="AO18" s="17"/>
      <c r="BJ18" s="13"/>
      <c r="BK18" s="13"/>
      <c r="BL18" s="13"/>
      <c r="BM18" s="13"/>
      <c r="BN18" s="13"/>
    </row>
    <row r="19" spans="1:267" x14ac:dyDescent="0.55000000000000004">
      <c r="A19" t="s">
        <v>78</v>
      </c>
      <c r="B19" s="8" t="s">
        <v>56</v>
      </c>
      <c r="C19" t="s">
        <v>23</v>
      </c>
      <c r="D19" s="8" t="s">
        <v>56</v>
      </c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3"/>
      <c r="AL19" s="14"/>
      <c r="AM19" s="14"/>
      <c r="AN19" s="13"/>
      <c r="AO19" s="17"/>
      <c r="BJ19" s="13"/>
      <c r="BK19" s="13"/>
      <c r="BL19" s="13"/>
      <c r="BM19" s="13"/>
      <c r="BN19" s="13"/>
    </row>
    <row r="20" spans="1:267" x14ac:dyDescent="0.55000000000000004">
      <c r="A20" t="s">
        <v>79</v>
      </c>
      <c r="B20" s="8" t="s">
        <v>56</v>
      </c>
      <c r="C20" t="s">
        <v>24</v>
      </c>
      <c r="D20" s="8" t="s">
        <v>56</v>
      </c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3"/>
      <c r="AL20" s="14"/>
      <c r="AM20" s="14"/>
      <c r="AN20" s="13"/>
      <c r="AO20" s="17"/>
      <c r="BJ20" s="13"/>
      <c r="BK20" s="13"/>
      <c r="BL20" s="13"/>
      <c r="BM20" s="13"/>
      <c r="BN20" s="13"/>
    </row>
    <row r="21" spans="1:267" x14ac:dyDescent="0.55000000000000004">
      <c r="A21" t="s">
        <v>80</v>
      </c>
      <c r="B21" s="8" t="s">
        <v>56</v>
      </c>
      <c r="C21" t="s">
        <v>25</v>
      </c>
      <c r="D21" s="8" t="s">
        <v>56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BJ21" s="13"/>
      <c r="BK21" s="13"/>
      <c r="BL21" s="13"/>
      <c r="BM21" s="13"/>
      <c r="BN21" s="13"/>
    </row>
    <row r="22" spans="1:267" x14ac:dyDescent="0.55000000000000004">
      <c r="A22" t="s">
        <v>21</v>
      </c>
      <c r="B22" s="8" t="s">
        <v>56</v>
      </c>
      <c r="C22" t="s">
        <v>26</v>
      </c>
      <c r="D22" s="8" t="s">
        <v>56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BJ22" s="13"/>
      <c r="BK22" s="13"/>
      <c r="BL22" s="13"/>
      <c r="BM22" s="13"/>
      <c r="BN22" s="13"/>
    </row>
    <row r="23" spans="1:267" x14ac:dyDescent="0.55000000000000004">
      <c r="A23" t="s">
        <v>22</v>
      </c>
      <c r="B23" s="8" t="s">
        <v>56</v>
      </c>
      <c r="C23" t="s">
        <v>27</v>
      </c>
      <c r="D23" s="8" t="s">
        <v>56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BJ23" s="13"/>
      <c r="BK23" s="13"/>
      <c r="BL23" s="13"/>
      <c r="BM23" s="13"/>
      <c r="BN23" s="13"/>
    </row>
    <row r="24" spans="1:267" x14ac:dyDescent="0.55000000000000004">
      <c r="A24" t="s">
        <v>23</v>
      </c>
      <c r="B24" s="8" t="s">
        <v>56</v>
      </c>
      <c r="C24" t="s">
        <v>30</v>
      </c>
      <c r="D24" s="8" t="s">
        <v>56</v>
      </c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BJ24" s="13"/>
      <c r="BK24" s="13"/>
      <c r="BL24" s="13"/>
      <c r="BM24" s="13"/>
      <c r="BN24" s="13"/>
    </row>
    <row r="25" spans="1:267" x14ac:dyDescent="0.55000000000000004">
      <c r="A25" t="s">
        <v>24</v>
      </c>
      <c r="B25" s="8" t="s">
        <v>56</v>
      </c>
      <c r="C25" t="s">
        <v>31</v>
      </c>
      <c r="D25" s="8" t="s">
        <v>56</v>
      </c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BJ25" s="13"/>
      <c r="BK25" s="13"/>
      <c r="BL25" s="13"/>
      <c r="BM25" s="13"/>
      <c r="BN25" s="13"/>
    </row>
    <row r="26" spans="1:267" x14ac:dyDescent="0.55000000000000004">
      <c r="A26" t="s">
        <v>26</v>
      </c>
      <c r="B26" s="8" t="s">
        <v>56</v>
      </c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BJ26" s="13"/>
      <c r="BK26" s="13"/>
      <c r="BL26" s="13"/>
      <c r="BM26" s="13"/>
      <c r="BN26" s="13"/>
    </row>
    <row r="27" spans="1:267" x14ac:dyDescent="0.55000000000000004">
      <c r="A27" t="s">
        <v>27</v>
      </c>
      <c r="B27" s="8" t="s">
        <v>56</v>
      </c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BJ27" s="13"/>
      <c r="BK27" s="13"/>
      <c r="BL27" s="13"/>
      <c r="BM27" s="13"/>
      <c r="BN27" s="13"/>
    </row>
    <row r="28" spans="1:267" x14ac:dyDescent="0.55000000000000004">
      <c r="A28" t="s">
        <v>30</v>
      </c>
      <c r="B28" s="8" t="s">
        <v>56</v>
      </c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BJ28" s="13"/>
      <c r="BK28" s="13"/>
      <c r="BL28" s="13"/>
      <c r="BM28" s="13"/>
      <c r="BN28" s="13"/>
    </row>
    <row r="29" spans="1:267" x14ac:dyDescent="0.55000000000000004">
      <c r="A29" t="s">
        <v>31</v>
      </c>
      <c r="B29" s="8" t="s">
        <v>56</v>
      </c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BJ29" s="13"/>
      <c r="BK29" s="13"/>
      <c r="BL29" s="13"/>
      <c r="BM29" s="13"/>
      <c r="BN29" s="13"/>
    </row>
    <row r="30" spans="1:267" x14ac:dyDescent="0.55000000000000004"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BJ30" s="13"/>
      <c r="BK30" s="13"/>
      <c r="BL30" s="13"/>
      <c r="BM30" s="13"/>
      <c r="BN30" s="13"/>
    </row>
    <row r="31" spans="1:267" x14ac:dyDescent="0.55000000000000004">
      <c r="BJ31" s="13"/>
      <c r="BK31" s="13"/>
      <c r="BL31" s="13"/>
      <c r="BM31" s="13"/>
      <c r="BN31" s="13"/>
    </row>
    <row r="32" spans="1:267" x14ac:dyDescent="0.55000000000000004">
      <c r="BJ32" s="13"/>
      <c r="BK32" s="13"/>
      <c r="BL32" s="13"/>
      <c r="BM32" s="13"/>
      <c r="BN32" s="13"/>
    </row>
    <row r="33" spans="6:267" x14ac:dyDescent="0.55000000000000004">
      <c r="F33" s="6" t="s">
        <v>112</v>
      </c>
      <c r="U33" s="6" t="s">
        <v>113</v>
      </c>
      <c r="BJ33" s="13"/>
      <c r="BK33" s="13"/>
      <c r="BL33" s="13"/>
      <c r="BM33" s="13"/>
      <c r="BN33" s="13"/>
    </row>
    <row r="34" spans="6:267" x14ac:dyDescent="0.55000000000000004">
      <c r="F34" s="7" t="s">
        <v>110</v>
      </c>
      <c r="G34" cm="1">
        <f t="array" ref="G34:R34">TRANSPOSE(VOL_原資産)</f>
      </c>
      <c r="U34" s="7" t="s">
        <v>110</v>
      </c>
      <c r="V34" cm="1">
        <f t="array" ref="V34:AG34">TRANSPOSE(VOL_原資産)</f>
      </c>
      <c r="BJ34" s="13"/>
      <c r="BK34" s="13"/>
      <c r="BL34" s="13"/>
      <c r="BM34" s="13"/>
      <c r="BN34" s="13"/>
    </row>
    <row r="35" spans="6:267" x14ac:dyDescent="0.55000000000000004">
      <c r="F35" cm="1">
        <f t="array" ref="F35:F50">VOL_満期</f>
      </c>
      <c r="G35" s="17" cm="1">
        <f t="array" ref="G35:R50">_xlfn.XLOOKUP(_xlfn.ANCHORARRAY(F35)&amp;"x"&amp;_xlfn.ANCHORARRAY(G34),_xlfn.ANCHORARRAY($BI$4),_xlfn.ANCHORARRAY($BM$4))</f>
      </c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 cm="1">
        <f t="array" ref="U35:U50">VOL_満期</f>
      </c>
      <c r="V35" s="17" cm="1">
        <f t="array" ref="V35:AG50">_xlfn.XLOOKUP(_xlfn.ANCHORARRAY(U35)&amp;"x"&amp;_xlfn.ANCHORARRAY(V34),_xlfn.ANCHORARRAY($BI$4),_xlfn.ANCHORARRAY($BK$4))</f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BJ35" s="13"/>
      <c r="BK35" s="13"/>
      <c r="BL35" s="13"/>
      <c r="BM35" s="13"/>
      <c r="BN35" s="13"/>
    </row>
    <row r="36" spans="6:267" x14ac:dyDescent="0.55000000000000004"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BJ36" s="13"/>
      <c r="BK36" s="13"/>
      <c r="BL36" s="13"/>
      <c r="BM36" s="13"/>
      <c r="BN36" s="13"/>
    </row>
    <row r="37" spans="6:267" x14ac:dyDescent="0.55000000000000004"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BJ37" s="13"/>
      <c r="BK37" s="13"/>
      <c r="BL37" s="13"/>
      <c r="BM37" s="13"/>
      <c r="BN37" s="13"/>
    </row>
    <row r="38" spans="6:267" x14ac:dyDescent="0.55000000000000004"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BJ38" s="13"/>
      <c r="BK38" s="13"/>
      <c r="BL38" s="13"/>
      <c r="BM38" s="13"/>
      <c r="BN38" s="13"/>
    </row>
    <row r="39" spans="6:267" x14ac:dyDescent="0.55000000000000004"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BJ39" s="13"/>
      <c r="BK39" s="13"/>
      <c r="BL39" s="13"/>
      <c r="BM39" s="13"/>
      <c r="BN39" s="13"/>
    </row>
    <row r="40" spans="6:267" x14ac:dyDescent="0.55000000000000004"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BJ40" s="13"/>
      <c r="BK40" s="13"/>
      <c r="BL40" s="13"/>
      <c r="BM40" s="13"/>
      <c r="BN40" s="13"/>
    </row>
    <row r="41" spans="6:267" x14ac:dyDescent="0.55000000000000004"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BJ41" s="13"/>
      <c r="BK41" s="13"/>
      <c r="BL41" s="13"/>
      <c r="BM41" s="13"/>
      <c r="BN41" s="13"/>
    </row>
    <row r="42" spans="6:267" x14ac:dyDescent="0.55000000000000004"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BJ42" s="13"/>
      <c r="BK42" s="13"/>
      <c r="BL42" s="13"/>
      <c r="BM42" s="13"/>
      <c r="BN42" s="13"/>
    </row>
    <row r="43" spans="6:267" x14ac:dyDescent="0.55000000000000004"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BJ43" s="13"/>
      <c r="BK43" s="13"/>
      <c r="BL43" s="13"/>
      <c r="BM43" s="13"/>
      <c r="BN43" s="13"/>
    </row>
    <row r="44" spans="6:267" x14ac:dyDescent="0.55000000000000004"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BJ44" s="13"/>
      <c r="BK44" s="13"/>
      <c r="BL44" s="13"/>
      <c r="BM44" s="13"/>
      <c r="BN44" s="13"/>
    </row>
    <row r="45" spans="6:267" x14ac:dyDescent="0.55000000000000004"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BJ45" s="13"/>
      <c r="BK45" s="13"/>
      <c r="BL45" s="13"/>
      <c r="BM45" s="13"/>
      <c r="BN45" s="13"/>
    </row>
    <row r="46" spans="6:267" x14ac:dyDescent="0.55000000000000004"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BJ46" s="13"/>
      <c r="BK46" s="13"/>
      <c r="BL46" s="13"/>
      <c r="BM46" s="13"/>
      <c r="BN46" s="13"/>
    </row>
    <row r="47" spans="6:267" x14ac:dyDescent="0.55000000000000004"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BJ47" s="13"/>
      <c r="BK47" s="13"/>
      <c r="BL47" s="13"/>
      <c r="BM47" s="13"/>
      <c r="BN47" s="13"/>
    </row>
    <row r="48" spans="6:267" x14ac:dyDescent="0.55000000000000004"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BJ48" s="13"/>
      <c r="BK48" s="13"/>
      <c r="BL48" s="13"/>
      <c r="BM48" s="13"/>
      <c r="BN48" s="13"/>
    </row>
    <row r="49" spans="6:267" x14ac:dyDescent="0.55000000000000004"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BJ49" s="13"/>
      <c r="BK49" s="13"/>
      <c r="BL49" s="13"/>
      <c r="BM49" s="13"/>
      <c r="BN49" s="13"/>
    </row>
    <row r="50" spans="6:267" x14ac:dyDescent="0.55000000000000004"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BJ50" s="13"/>
      <c r="BK50" s="13"/>
      <c r="BL50" s="13"/>
      <c r="BM50" s="13"/>
      <c r="BN50" s="13"/>
    </row>
    <row r="51" spans="6:267" x14ac:dyDescent="0.55000000000000004"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BJ51" s="13"/>
      <c r="BK51" s="13"/>
      <c r="BL51" s="13"/>
      <c r="BM51" s="13"/>
      <c r="BN51" s="13"/>
    </row>
    <row r="52" spans="6:267" x14ac:dyDescent="0.55000000000000004"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BJ52" s="13"/>
      <c r="BK52" s="13"/>
      <c r="BL52" s="13"/>
      <c r="BM52" s="13"/>
      <c r="BN52" s="13"/>
    </row>
    <row r="53" spans="6:267" x14ac:dyDescent="0.55000000000000004"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BJ53" s="13"/>
      <c r="BK53" s="13"/>
      <c r="BL53" s="13"/>
      <c r="BM53" s="13"/>
      <c r="BN53" s="13"/>
    </row>
    <row r="54" spans="6:267" x14ac:dyDescent="0.55000000000000004"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BJ54" s="13"/>
      <c r="BK54" s="13"/>
      <c r="BL54" s="13"/>
      <c r="BM54" s="13"/>
      <c r="BN54" s="13"/>
    </row>
    <row r="55" spans="6:267" x14ac:dyDescent="0.55000000000000004">
      <c r="BJ55" s="13"/>
      <c r="BK55" s="13"/>
      <c r="BL55" s="13"/>
      <c r="BM55" s="13"/>
      <c r="BN55" s="13"/>
    </row>
    <row r="56" spans="6:267" x14ac:dyDescent="0.55000000000000004">
      <c r="BJ56" s="13"/>
      <c r="BK56" s="13"/>
      <c r="BL56" s="13"/>
      <c r="BM56" s="13"/>
      <c r="BN56" s="13"/>
    </row>
    <row r="57" spans="6:267" x14ac:dyDescent="0.55000000000000004">
      <c r="F57" s="6" t="s">
        <v>114</v>
      </c>
      <c r="U57" s="6" t="s">
        <v>115</v>
      </c>
      <c r="AJ57" s="6" t="s">
        <v>116</v>
      </c>
      <c r="BJ57" s="13"/>
      <c r="BK57" s="13"/>
      <c r="BL57" s="13"/>
      <c r="BM57" s="13"/>
      <c r="BN57" s="13"/>
    </row>
    <row r="58" spans="6:267" x14ac:dyDescent="0.55000000000000004">
      <c r="F58" s="7" t="s">
        <v>110</v>
      </c>
      <c r="G58" cm="1">
        <f t="array" ref="G58:R58">TRANSPOSE(VOL_原資産)</f>
      </c>
      <c r="U58" s="7" t="s">
        <v>110</v>
      </c>
      <c r="V58" cm="1">
        <f t="array" ref="V58:AG58">TRANSPOSE(VOL_原資産)</f>
      </c>
      <c r="AJ58" s="7" t="s">
        <v>110</v>
      </c>
      <c r="AK58" cm="1">
        <f t="array" ref="AK58:AV58">TRANSPOSE(VOL_原資産)</f>
      </c>
      <c r="BJ58" s="13"/>
      <c r="BK58" s="13"/>
      <c r="BL58" s="13"/>
      <c r="BM58" s="13"/>
      <c r="BN58" s="13"/>
    </row>
    <row r="59" spans="6:267" x14ac:dyDescent="0.55000000000000004">
      <c r="F59" cm="1">
        <f t="array" ref="F59:F74">VOL_満期</f>
      </c>
      <c r="G59" s="15" cm="1">
        <f t="array" ref="G59:R74">_xlfn.XLOOKUP(_xlfn.ANCHORARRAY(F59)&amp;"x"&amp;_xlfn.ANCHORARRAY(G58),_xlfn.ANCHORARRAY($BI$4),_xlfn.LET(_xlpm.V,_xlfn.DROP(_xlfn.ANCHORARRAY($BP$3),1,3),IF(1&lt;=COLUMNS(_xlpm.V),_xlfn.CHOOSECOLS(_xlpm.V,MIN(1,COLUMNS(_xlpm.V))),IF(_xlfn.SEQUENCE(ROWS(_xlpm.V)),NA()))))</f>
      </c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 cm="1">
        <f t="array" ref="U59:U74">VOL_満期</f>
      </c>
      <c r="V59" s="15" cm="1">
        <f t="array" ref="V59:AG74">_xlfn.XLOOKUP(_xlfn.ANCHORARRAY(U59)&amp;"x"&amp;_xlfn.ANCHORARRAY(V58),_xlfn.ANCHORARRAY($BI$4),_xlfn.LET(_xlpm.V,_xlfn.DROP(_xlfn.ANCHORARRAY($BP$3),1,3),IF(2&lt;=COLUMNS(_xlpm.V),_xlfn.CHOOSECOLS(_xlpm.V,MIN(2,COLUMNS(_xlpm.V))),IF(_xlfn.SEQUENCE(ROWS(_xlpm.V)),NA()))))</f>
      </c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 cm="1">
        <f t="array" ref="AJ59:AJ74">VOL_満期</f>
      </c>
      <c r="AK59" s="15" cm="1">
        <f t="array" ref="AK59:AV74">_xlfn.XLOOKUP(_xlfn.ANCHORARRAY(AJ59)&amp;"x"&amp;_xlfn.ANCHORARRAY(AK58),_xlfn.ANCHORARRAY($BI$4),_xlfn.LET(_xlpm.V,_xlfn.DROP(_xlfn.ANCHORARRAY($BP$3),1,3),IF(3&lt;=COLUMNS(_xlpm.V),_xlfn.CHOOSECOLS(_xlpm.V,MIN(3,COLUMNS(_xlpm.V))),IF(_xlfn.SEQUENCE(ROWS(_xlpm.V)),NA()))))</f>
      </c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J59" s="13"/>
      <c r="BK59" s="13"/>
      <c r="BL59" s="13"/>
      <c r="BM59" s="13"/>
      <c r="BN59" s="13"/>
    </row>
    <row r="60" spans="6:267" x14ac:dyDescent="0.55000000000000004"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J60" s="13"/>
      <c r="BK60" s="13"/>
      <c r="BL60" s="13"/>
      <c r="BM60" s="13"/>
      <c r="BN60" s="13"/>
    </row>
    <row r="61" spans="6:267" x14ac:dyDescent="0.55000000000000004"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J61" s="13"/>
      <c r="BK61" s="13"/>
      <c r="BL61" s="13"/>
      <c r="BM61" s="13"/>
      <c r="BN61" s="13"/>
    </row>
    <row r="62" spans="6:267" x14ac:dyDescent="0.55000000000000004"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J62" s="13"/>
      <c r="BK62" s="13"/>
      <c r="BL62" s="13"/>
      <c r="BM62" s="13"/>
      <c r="BN62" s="13"/>
    </row>
    <row r="63" spans="6:267" x14ac:dyDescent="0.55000000000000004"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J63" s="13"/>
      <c r="BK63" s="13"/>
      <c r="BL63" s="13"/>
      <c r="BM63" s="13"/>
      <c r="BN63" s="13"/>
    </row>
    <row r="64" spans="6:267" x14ac:dyDescent="0.55000000000000004"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J64" s="13"/>
      <c r="BK64" s="13"/>
      <c r="BL64" s="13"/>
      <c r="BM64" s="13"/>
      <c r="BN64" s="13"/>
    </row>
    <row r="65" spans="6:267" x14ac:dyDescent="0.55000000000000004"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J65" s="13"/>
      <c r="BK65" s="13"/>
      <c r="BL65" s="13"/>
      <c r="BM65" s="13"/>
      <c r="BN65" s="13"/>
    </row>
    <row r="66" spans="6:267" x14ac:dyDescent="0.55000000000000004"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J66" s="13"/>
      <c r="BK66" s="13"/>
      <c r="BL66" s="13"/>
      <c r="BM66" s="13"/>
      <c r="BN66" s="13"/>
    </row>
    <row r="67" spans="6:267" x14ac:dyDescent="0.55000000000000004"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J67" s="13"/>
      <c r="BK67" s="13"/>
      <c r="BL67" s="13"/>
      <c r="BM67" s="13"/>
      <c r="BN67" s="13"/>
    </row>
    <row r="68" spans="6:267" x14ac:dyDescent="0.55000000000000004"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J68" s="13"/>
      <c r="BK68" s="13"/>
      <c r="BL68" s="13"/>
      <c r="BM68" s="13"/>
      <c r="BN68" s="13"/>
    </row>
    <row r="69" spans="6:267" x14ac:dyDescent="0.55000000000000004"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J69" s="13"/>
      <c r="BK69" s="13"/>
      <c r="BL69" s="13"/>
      <c r="BM69" s="13"/>
      <c r="BN69" s="13"/>
    </row>
    <row r="70" spans="6:267" x14ac:dyDescent="0.55000000000000004"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J70" s="13"/>
      <c r="BK70" s="13"/>
      <c r="BL70" s="13"/>
      <c r="BM70" s="13"/>
      <c r="BN70" s="13"/>
    </row>
    <row r="71" spans="6:267" x14ac:dyDescent="0.55000000000000004"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J71" s="13"/>
      <c r="BK71" s="13"/>
      <c r="BL71" s="13"/>
      <c r="BM71" s="13"/>
      <c r="BN71" s="13"/>
    </row>
    <row r="72" spans="6:267" x14ac:dyDescent="0.55000000000000004"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J72" s="13"/>
      <c r="BK72" s="13"/>
      <c r="BL72" s="13"/>
      <c r="BM72" s="13"/>
      <c r="BN72" s="13"/>
    </row>
    <row r="73" spans="6:267" x14ac:dyDescent="0.55000000000000004"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J73" s="13"/>
      <c r="BK73" s="13"/>
      <c r="BL73" s="13"/>
      <c r="BM73" s="13"/>
      <c r="BN73" s="13"/>
    </row>
    <row r="74" spans="6:267" x14ac:dyDescent="0.55000000000000004"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J74" s="13"/>
      <c r="BK74" s="13"/>
      <c r="BL74" s="13"/>
      <c r="BM74" s="13"/>
      <c r="BN74" s="13"/>
    </row>
    <row r="75" spans="6:267" x14ac:dyDescent="0.55000000000000004"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J75" s="13"/>
      <c r="BK75" s="13"/>
      <c r="BL75" s="13"/>
      <c r="BM75" s="13"/>
      <c r="BN75" s="13"/>
    </row>
    <row r="76" spans="6:267" x14ac:dyDescent="0.55000000000000004"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J76" s="13"/>
      <c r="BK76" s="13"/>
      <c r="BL76" s="13"/>
      <c r="BM76" s="13"/>
      <c r="BN76" s="13"/>
    </row>
    <row r="77" spans="6:267" x14ac:dyDescent="0.55000000000000004"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J77" s="13"/>
      <c r="BK77" s="13"/>
      <c r="BL77" s="13"/>
      <c r="BM77" s="13"/>
      <c r="BN77" s="13"/>
    </row>
    <row r="78" spans="6:267" x14ac:dyDescent="0.55000000000000004"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J78" s="13"/>
      <c r="BK78" s="13"/>
      <c r="BL78" s="13"/>
      <c r="BM78" s="13"/>
      <c r="BN78" s="13"/>
    </row>
    <row r="79" spans="6:267" x14ac:dyDescent="0.55000000000000004">
      <c r="BJ79" s="13"/>
      <c r="BK79" s="13"/>
      <c r="BL79" s="13"/>
      <c r="BM79" s="13"/>
      <c r="BN79" s="13"/>
    </row>
    <row r="80" spans="6:267" x14ac:dyDescent="0.55000000000000004">
      <c r="BJ80" s="13"/>
      <c r="BK80" s="13"/>
      <c r="BL80" s="13"/>
      <c r="BM80" s="13"/>
      <c r="BN80" s="13"/>
    </row>
    <row r="81" spans="58:267" x14ac:dyDescent="0.55000000000000004">
      <c r="BJ81" s="13"/>
      <c r="BK81" s="13"/>
      <c r="BL81" s="13"/>
      <c r="BM81" s="13"/>
      <c r="BN81" s="13"/>
    </row>
    <row r="82" spans="58:267" x14ac:dyDescent="0.55000000000000004">
      <c r="BJ82" s="13"/>
      <c r="BK82" s="13"/>
      <c r="BL82" s="13"/>
      <c r="BM82" s="13"/>
      <c r="BN82" s="13"/>
    </row>
    <row r="83" spans="58:267" x14ac:dyDescent="0.55000000000000004">
      <c r="BJ83" s="13"/>
      <c r="BK83" s="13"/>
      <c r="BL83" s="13"/>
      <c r="BM83" s="13"/>
      <c r="BN83" s="13"/>
    </row>
    <row r="84" spans="58:267" x14ac:dyDescent="0.55000000000000004">
      <c r="BJ84" s="13"/>
      <c r="BK84" s="13"/>
      <c r="BL84" s="13"/>
      <c r="BM84" s="13"/>
      <c r="BN84" s="13"/>
    </row>
    <row r="85" spans="58:267" x14ac:dyDescent="0.55000000000000004">
      <c r="BJ85" s="13"/>
      <c r="BK85" s="13"/>
      <c r="BL85" s="13"/>
      <c r="BM85" s="13"/>
      <c r="BN85" s="13"/>
    </row>
    <row r="86" spans="58:267" x14ac:dyDescent="0.55000000000000004">
      <c r="BJ86" s="13"/>
      <c r="BK86" s="13"/>
      <c r="BL86" s="13"/>
      <c r="BM86" s="13"/>
      <c r="BN86" s="13"/>
    </row>
    <row r="87" spans="58:267" x14ac:dyDescent="0.55000000000000004">
      <c r="BJ87" s="13"/>
      <c r="BK87" s="13"/>
      <c r="BL87" s="13"/>
      <c r="BM87" s="13"/>
      <c r="BN87" s="13"/>
    </row>
    <row r="88" spans="58:267" x14ac:dyDescent="0.55000000000000004">
      <c r="BJ88" s="13"/>
      <c r="BK88" s="13"/>
      <c r="BL88" s="13"/>
      <c r="BM88" s="13"/>
      <c r="BN88" s="13"/>
    </row>
    <row r="89" spans="58:267" x14ac:dyDescent="0.55000000000000004">
      <c r="BJ89" s="13"/>
      <c r="BK89" s="13"/>
      <c r="BL89" s="13"/>
      <c r="BM89" s="13"/>
      <c r="BN89" s="13"/>
    </row>
    <row r="90" spans="58:267" x14ac:dyDescent="0.55000000000000004">
      <c r="BJ90" s="13"/>
      <c r="BK90" s="13"/>
      <c r="BL90" s="13"/>
      <c r="BM90" s="13"/>
      <c r="BN90" s="13"/>
    </row>
    <row r="91" spans="58:267" x14ac:dyDescent="0.55000000000000004">
      <c r="BJ91" s="13"/>
      <c r="BK91" s="13"/>
      <c r="BL91" s="13"/>
      <c r="BM91" s="13"/>
      <c r="BN91" s="13"/>
    </row>
    <row r="92" spans="58:267" x14ac:dyDescent="0.55000000000000004">
      <c r="BJ92" s="13"/>
      <c r="BK92" s="13"/>
      <c r="BL92" s="13"/>
      <c r="BM92" s="13"/>
      <c r="BN92" s="13"/>
    </row>
    <row r="93" spans="58:267" x14ac:dyDescent="0.55000000000000004">
      <c r="BJ93" s="13"/>
      <c r="BK93" s="13"/>
      <c r="BL93" s="13"/>
      <c r="BM93" s="13"/>
      <c r="BN93" s="13"/>
    </row>
    <row r="94" spans="58:267" x14ac:dyDescent="0.55000000000000004">
      <c r="BJ94" s="13"/>
      <c r="BK94" s="13"/>
      <c r="BL94" s="13"/>
      <c r="BM94" s="13"/>
      <c r="BN94" s="13"/>
    </row>
    <row r="95" spans="58:267" x14ac:dyDescent="0.55000000000000004">
      <c r="BJ95" s="13"/>
      <c r="BK95" s="13"/>
      <c r="BL95" s="13"/>
      <c r="BM95" s="13"/>
      <c r="BN95" s="13"/>
    </row>
    <row r="96" spans="58:267" x14ac:dyDescent="0.55000000000000004">
      <c r="BJ96" s="13"/>
      <c r="BK96" s="13"/>
      <c r="BL96" s="13"/>
      <c r="BM96" s="13"/>
      <c r="BN96" s="13"/>
    </row>
    <row r="97" spans="58:267" x14ac:dyDescent="0.55000000000000004">
      <c r="BJ97" s="13"/>
      <c r="BK97" s="13"/>
      <c r="BL97" s="13"/>
      <c r="BM97" s="13"/>
      <c r="BN97" s="13"/>
    </row>
    <row r="98" spans="58:267" x14ac:dyDescent="0.55000000000000004">
      <c r="BJ98" s="13"/>
      <c r="BK98" s="13"/>
      <c r="BL98" s="13"/>
      <c r="BM98" s="13"/>
      <c r="BN98" s="13"/>
    </row>
    <row r="99" spans="58:267" x14ac:dyDescent="0.55000000000000004">
      <c r="BJ99" s="13"/>
      <c r="BK99" s="13"/>
      <c r="BL99" s="13"/>
      <c r="BM99" s="13"/>
      <c r="BN99" s="13"/>
    </row>
    <row r="100" spans="58:267" x14ac:dyDescent="0.55000000000000004">
      <c r="BJ100" s="13"/>
      <c r="BK100" s="13"/>
      <c r="BL100" s="13"/>
      <c r="BM100" s="13"/>
      <c r="BN100" s="13"/>
    </row>
    <row r="101" spans="58:267" x14ac:dyDescent="0.55000000000000004">
      <c r="BJ101" s="13"/>
      <c r="BK101" s="13"/>
      <c r="BL101" s="13"/>
      <c r="BM101" s="13"/>
      <c r="BN101" s="13"/>
    </row>
    <row r="102" spans="58:267" x14ac:dyDescent="0.55000000000000004">
      <c r="BJ102" s="13"/>
      <c r="BK102" s="13"/>
      <c r="BL102" s="13"/>
      <c r="BM102" s="13"/>
      <c r="BN102" s="13"/>
    </row>
    <row r="103" spans="58:267" x14ac:dyDescent="0.55000000000000004">
      <c r="BJ103" s="13"/>
      <c r="BK103" s="13"/>
      <c r="BL103" s="13"/>
      <c r="BM103" s="13"/>
      <c r="BN103" s="13"/>
    </row>
    <row r="104" spans="58:267" x14ac:dyDescent="0.55000000000000004">
      <c r="BJ104" s="13"/>
      <c r="BK104" s="13"/>
      <c r="BL104" s="13"/>
      <c r="BM104" s="13"/>
      <c r="BN104" s="13"/>
    </row>
    <row r="105" spans="58:267" x14ac:dyDescent="0.55000000000000004">
      <c r="BJ105" s="13"/>
      <c r="BK105" s="13"/>
      <c r="BL105" s="13"/>
      <c r="BM105" s="13"/>
      <c r="BN105" s="13"/>
    </row>
    <row r="106" spans="58:267" x14ac:dyDescent="0.55000000000000004">
      <c r="BJ106" s="13"/>
      <c r="BK106" s="13"/>
      <c r="BL106" s="13"/>
      <c r="BM106" s="13"/>
      <c r="BN106" s="13"/>
    </row>
    <row r="107" spans="58:267" x14ac:dyDescent="0.55000000000000004">
      <c r="BJ107" s="13"/>
      <c r="BK107" s="13"/>
      <c r="BL107" s="13"/>
      <c r="BM107" s="13"/>
      <c r="BN107" s="13"/>
    </row>
    <row r="108" spans="58:267" x14ac:dyDescent="0.55000000000000004">
      <c r="BJ108" s="13"/>
      <c r="BK108" s="13"/>
      <c r="BL108" s="13"/>
      <c r="BM108" s="13"/>
      <c r="BN108" s="13"/>
    </row>
    <row r="109" spans="58:267" x14ac:dyDescent="0.55000000000000004">
      <c r="BJ109" s="13"/>
      <c r="BK109" s="13"/>
      <c r="BL109" s="13"/>
      <c r="BM109" s="13"/>
      <c r="BN109" s="13"/>
    </row>
    <row r="110" spans="58:267" x14ac:dyDescent="0.55000000000000004">
      <c r="BJ110" s="13"/>
      <c r="BK110" s="13"/>
      <c r="BL110" s="13"/>
      <c r="BM110" s="13"/>
      <c r="BN110" s="13"/>
    </row>
    <row r="111" spans="58:267" x14ac:dyDescent="0.55000000000000004">
      <c r="BJ111" s="13"/>
      <c r="BK111" s="13"/>
      <c r="BL111" s="13"/>
      <c r="BM111" s="13"/>
      <c r="BN111" s="13"/>
    </row>
    <row r="112" spans="58:267" x14ac:dyDescent="0.55000000000000004">
      <c r="BJ112" s="13"/>
      <c r="BK112" s="13"/>
      <c r="BL112" s="13"/>
      <c r="BM112" s="13"/>
      <c r="BN112" s="13"/>
    </row>
    <row r="113" spans="58:267" x14ac:dyDescent="0.55000000000000004">
      <c r="BJ113" s="13"/>
      <c r="BK113" s="13"/>
      <c r="BL113" s="13"/>
      <c r="BM113" s="13"/>
      <c r="BN113" s="13"/>
    </row>
    <row r="114" spans="58:267" x14ac:dyDescent="0.55000000000000004">
      <c r="BJ114" s="13"/>
      <c r="BK114" s="13"/>
      <c r="BL114" s="13"/>
      <c r="BM114" s="13"/>
      <c r="BN114" s="13"/>
    </row>
    <row r="115" spans="58:267" x14ac:dyDescent="0.55000000000000004">
      <c r="BJ115" s="13"/>
      <c r="BK115" s="13"/>
      <c r="BL115" s="13"/>
      <c r="BM115" s="13"/>
      <c r="BN115" s="13"/>
    </row>
    <row r="116" spans="58:267" x14ac:dyDescent="0.55000000000000004">
      <c r="BJ116" s="13"/>
      <c r="BK116" s="13"/>
      <c r="BL116" s="13"/>
      <c r="BM116" s="13"/>
      <c r="BN116" s="13"/>
    </row>
    <row r="117" spans="58:267" x14ac:dyDescent="0.55000000000000004">
      <c r="BJ117" s="13"/>
      <c r="BK117" s="13"/>
      <c r="BL117" s="13"/>
      <c r="BM117" s="13"/>
      <c r="BN117" s="13"/>
    </row>
    <row r="118" spans="58:267" x14ac:dyDescent="0.55000000000000004">
      <c r="BJ118" s="13"/>
      <c r="BK118" s="13"/>
      <c r="BL118" s="13"/>
      <c r="BM118" s="13"/>
      <c r="BN118" s="13"/>
    </row>
    <row r="119" spans="58:267" x14ac:dyDescent="0.55000000000000004">
      <c r="BJ119" s="13"/>
      <c r="BK119" s="13"/>
      <c r="BL119" s="13"/>
      <c r="BM119" s="13"/>
      <c r="BN119" s="13"/>
    </row>
    <row r="120" spans="58:267" x14ac:dyDescent="0.55000000000000004">
      <c r="BJ120" s="13"/>
      <c r="BK120" s="13"/>
      <c r="BL120" s="13"/>
      <c r="BM120" s="13"/>
      <c r="BN120" s="13"/>
    </row>
    <row r="121" spans="58:267" x14ac:dyDescent="0.55000000000000004">
      <c r="BJ121" s="13"/>
      <c r="BK121" s="13"/>
      <c r="BL121" s="13"/>
      <c r="BM121" s="13"/>
      <c r="BN121" s="13"/>
    </row>
    <row r="122" spans="58:267" x14ac:dyDescent="0.55000000000000004">
      <c r="BJ122" s="13"/>
      <c r="BK122" s="13"/>
      <c r="BL122" s="13"/>
      <c r="BM122" s="13"/>
      <c r="BN122" s="13"/>
    </row>
    <row r="123" spans="58:267" x14ac:dyDescent="0.55000000000000004">
      <c r="BJ123" s="13"/>
      <c r="BK123" s="13"/>
      <c r="BL123" s="13"/>
      <c r="BM123" s="13"/>
      <c r="BN123" s="13"/>
    </row>
    <row r="124" spans="58:267" x14ac:dyDescent="0.55000000000000004">
      <c r="BJ124" s="13"/>
      <c r="BK124" s="13"/>
      <c r="BL124" s="13"/>
      <c r="BM124" s="13"/>
      <c r="BN124" s="13"/>
    </row>
    <row r="125" spans="58:267" x14ac:dyDescent="0.55000000000000004">
      <c r="BJ125" s="13"/>
      <c r="BK125" s="13"/>
      <c r="BL125" s="13"/>
      <c r="BM125" s="13"/>
      <c r="BN125" s="13"/>
    </row>
    <row r="126" spans="58:267" x14ac:dyDescent="0.55000000000000004">
      <c r="BJ126" s="13"/>
      <c r="BK126" s="13"/>
      <c r="BL126" s="13"/>
      <c r="BM126" s="13"/>
      <c r="BN126" s="13"/>
    </row>
    <row r="127" spans="58:267" x14ac:dyDescent="0.55000000000000004">
      <c r="BJ127" s="13"/>
      <c r="BK127" s="13"/>
      <c r="BL127" s="13"/>
      <c r="BM127" s="13"/>
      <c r="BN127" s="13"/>
    </row>
    <row r="128" spans="58:267" x14ac:dyDescent="0.55000000000000004">
      <c r="BJ128" s="13"/>
      <c r="BK128" s="13"/>
      <c r="BL128" s="13"/>
      <c r="BM128" s="13"/>
      <c r="BN128" s="13"/>
    </row>
    <row r="129" spans="58:267" x14ac:dyDescent="0.55000000000000004">
      <c r="BJ129" s="13"/>
      <c r="BK129" s="13"/>
      <c r="BL129" s="13"/>
      <c r="BM129" s="13"/>
      <c r="BN129" s="13"/>
    </row>
    <row r="130" spans="58:267" x14ac:dyDescent="0.55000000000000004">
      <c r="BJ130" s="13"/>
      <c r="BK130" s="13"/>
      <c r="BL130" s="13"/>
      <c r="BM130" s="13"/>
      <c r="BN130" s="13"/>
    </row>
    <row r="131" spans="58:267" x14ac:dyDescent="0.55000000000000004">
      <c r="BJ131" s="13"/>
      <c r="BK131" s="13"/>
      <c r="BL131" s="13"/>
      <c r="BM131" s="13"/>
      <c r="BN131" s="13"/>
    </row>
    <row r="132" spans="58:267" x14ac:dyDescent="0.55000000000000004">
      <c r="BJ132" s="13"/>
      <c r="BK132" s="13"/>
      <c r="BL132" s="13"/>
      <c r="BM132" s="13"/>
      <c r="BN132" s="13"/>
    </row>
    <row r="133" spans="58:267" x14ac:dyDescent="0.55000000000000004">
      <c r="BJ133" s="13"/>
      <c r="BK133" s="13"/>
      <c r="BL133" s="13"/>
      <c r="BM133" s="13"/>
      <c r="BN133" s="13"/>
    </row>
    <row r="134" spans="58:267" x14ac:dyDescent="0.55000000000000004">
      <c r="BJ134" s="13"/>
      <c r="BK134" s="13"/>
      <c r="BL134" s="13"/>
      <c r="BM134" s="13"/>
      <c r="BN134" s="13"/>
    </row>
    <row r="135" spans="58:267" x14ac:dyDescent="0.55000000000000004">
      <c r="BJ135" s="13"/>
      <c r="BK135" s="13"/>
      <c r="BL135" s="13"/>
      <c r="BM135" s="13"/>
      <c r="BN135" s="13"/>
    </row>
    <row r="136" spans="58:267" x14ac:dyDescent="0.55000000000000004">
      <c r="BJ136" s="13"/>
      <c r="BK136" s="13"/>
      <c r="BL136" s="13"/>
      <c r="BM136" s="13"/>
      <c r="BN136" s="13"/>
    </row>
    <row r="137" spans="58:267" x14ac:dyDescent="0.55000000000000004">
      <c r="BJ137" s="13"/>
      <c r="BK137" s="13"/>
      <c r="BL137" s="13"/>
      <c r="BM137" s="13"/>
      <c r="BN137" s="13"/>
    </row>
    <row r="138" spans="58:267" x14ac:dyDescent="0.55000000000000004">
      <c r="BJ138" s="13"/>
      <c r="BK138" s="13"/>
      <c r="BL138" s="13"/>
      <c r="BM138" s="13"/>
      <c r="BN138" s="13"/>
    </row>
    <row r="139" spans="58:267" x14ac:dyDescent="0.55000000000000004">
      <c r="BJ139" s="13"/>
      <c r="BK139" s="13"/>
      <c r="BL139" s="13"/>
      <c r="BM139" s="13"/>
      <c r="BN139" s="13"/>
    </row>
    <row r="140" spans="58:267" x14ac:dyDescent="0.55000000000000004">
      <c r="BJ140" s="13"/>
      <c r="BK140" s="13"/>
      <c r="BL140" s="13"/>
      <c r="BM140" s="13"/>
      <c r="BN140" s="13"/>
    </row>
    <row r="141" spans="58:267" x14ac:dyDescent="0.55000000000000004">
      <c r="BJ141" s="13"/>
      <c r="BK141" s="13"/>
      <c r="BL141" s="13"/>
      <c r="BM141" s="13"/>
      <c r="BN141" s="13"/>
    </row>
    <row r="142" spans="58:267" x14ac:dyDescent="0.55000000000000004">
      <c r="BJ142" s="13"/>
      <c r="BK142" s="13"/>
      <c r="BL142" s="13"/>
      <c r="BM142" s="13"/>
      <c r="BN142" s="13"/>
    </row>
    <row r="143" spans="58:267" x14ac:dyDescent="0.55000000000000004">
      <c r="BJ143" s="13"/>
      <c r="BK143" s="13"/>
      <c r="BL143" s="13"/>
      <c r="BM143" s="13"/>
      <c r="BN143" s="13"/>
    </row>
    <row r="144" spans="58:267" x14ac:dyDescent="0.55000000000000004">
      <c r="BJ144" s="13"/>
      <c r="BK144" s="13"/>
      <c r="BL144" s="13"/>
      <c r="BM144" s="13"/>
      <c r="BN144" s="13"/>
    </row>
    <row r="145" spans="58:267" x14ac:dyDescent="0.55000000000000004">
      <c r="BJ145" s="13"/>
      <c r="BK145" s="13"/>
      <c r="BL145" s="13"/>
      <c r="BM145" s="13"/>
      <c r="BN145" s="13"/>
    </row>
    <row r="146" spans="58:267" x14ac:dyDescent="0.55000000000000004">
      <c r="BJ146" s="13"/>
      <c r="BK146" s="13"/>
      <c r="BL146" s="13"/>
      <c r="BM146" s="13"/>
      <c r="BN146" s="13"/>
    </row>
    <row r="147" spans="58:267" x14ac:dyDescent="0.55000000000000004">
      <c r="BJ147" s="13"/>
      <c r="BK147" s="13"/>
      <c r="BL147" s="13"/>
      <c r="BM147" s="13"/>
      <c r="BN147" s="13"/>
    </row>
    <row r="148" spans="58:267" x14ac:dyDescent="0.55000000000000004">
      <c r="BJ148" s="13"/>
      <c r="BK148" s="13"/>
      <c r="BL148" s="13"/>
      <c r="BM148" s="13"/>
      <c r="BN148" s="13"/>
    </row>
    <row r="149" spans="58:267" x14ac:dyDescent="0.55000000000000004">
      <c r="BJ149" s="13"/>
      <c r="BK149" s="13"/>
      <c r="BL149" s="13"/>
      <c r="BM149" s="13"/>
      <c r="BN149" s="13"/>
    </row>
    <row r="150" spans="58:267" x14ac:dyDescent="0.55000000000000004">
      <c r="BJ150" s="13"/>
      <c r="BK150" s="13"/>
      <c r="BL150" s="13"/>
      <c r="BM150" s="13"/>
      <c r="BN150" s="13"/>
    </row>
    <row r="151" spans="58:267" x14ac:dyDescent="0.55000000000000004">
      <c r="BJ151" s="13"/>
      <c r="BK151" s="13"/>
      <c r="BL151" s="13"/>
      <c r="BM151" s="13"/>
      <c r="BN151" s="13"/>
    </row>
    <row r="152" spans="58:267" x14ac:dyDescent="0.55000000000000004">
      <c r="BJ152" s="13"/>
      <c r="BK152" s="13"/>
      <c r="BL152" s="13"/>
      <c r="BM152" s="13"/>
      <c r="BN152" s="13"/>
    </row>
    <row r="153" spans="58:267" x14ac:dyDescent="0.55000000000000004">
      <c r="BJ153" s="13"/>
      <c r="BK153" s="13"/>
      <c r="BL153" s="13"/>
      <c r="BM153" s="13"/>
      <c r="BN153" s="13"/>
    </row>
    <row r="154" spans="58:267" x14ac:dyDescent="0.55000000000000004">
      <c r="BJ154" s="13"/>
      <c r="BK154" s="13"/>
      <c r="BL154" s="13"/>
      <c r="BM154" s="13"/>
      <c r="BN154" s="13"/>
    </row>
    <row r="155" spans="58:267" x14ac:dyDescent="0.55000000000000004">
      <c r="BJ155" s="13"/>
      <c r="BK155" s="13"/>
      <c r="BL155" s="13"/>
      <c r="BM155" s="13"/>
      <c r="BN155" s="13"/>
    </row>
    <row r="156" spans="58:267" x14ac:dyDescent="0.55000000000000004">
      <c r="BJ156" s="13"/>
      <c r="BK156" s="13"/>
      <c r="BL156" s="13"/>
      <c r="BM156" s="13"/>
      <c r="BN156" s="13"/>
    </row>
    <row r="157" spans="58:267" x14ac:dyDescent="0.55000000000000004">
      <c r="BJ157" s="13"/>
      <c r="BK157" s="13"/>
      <c r="BL157" s="13"/>
      <c r="BM157" s="13"/>
      <c r="BN157" s="13"/>
    </row>
    <row r="158" spans="58:267" x14ac:dyDescent="0.55000000000000004">
      <c r="BJ158" s="13"/>
      <c r="BK158" s="13"/>
      <c r="BL158" s="13"/>
      <c r="BM158" s="13"/>
      <c r="BN158" s="13"/>
    </row>
    <row r="159" spans="58:267" x14ac:dyDescent="0.55000000000000004">
      <c r="BJ159" s="13"/>
      <c r="BK159" s="13"/>
      <c r="BL159" s="13"/>
      <c r="BM159" s="13"/>
      <c r="BN159" s="13"/>
    </row>
    <row r="160" spans="58:267" x14ac:dyDescent="0.55000000000000004">
      <c r="BJ160" s="13"/>
      <c r="BK160" s="13"/>
      <c r="BL160" s="13"/>
      <c r="BM160" s="13"/>
      <c r="BN160" s="13"/>
    </row>
    <row r="161" spans="58:267" x14ac:dyDescent="0.55000000000000004">
      <c r="BJ161" s="13"/>
      <c r="BK161" s="13"/>
      <c r="BL161" s="13"/>
      <c r="BM161" s="13"/>
      <c r="BN161" s="13"/>
    </row>
    <row r="162" spans="58:267" x14ac:dyDescent="0.55000000000000004">
      <c r="BJ162" s="13"/>
      <c r="BK162" s="13"/>
      <c r="BL162" s="13"/>
      <c r="BM162" s="13"/>
      <c r="BN162" s="13"/>
    </row>
    <row r="163" spans="58:267" x14ac:dyDescent="0.55000000000000004">
      <c r="BJ163" s="13"/>
      <c r="BK163" s="13"/>
      <c r="BL163" s="13"/>
      <c r="BM163" s="13"/>
      <c r="BN163" s="13"/>
    </row>
    <row r="164" spans="58:267" x14ac:dyDescent="0.55000000000000004">
      <c r="BJ164" s="13"/>
      <c r="BK164" s="13"/>
      <c r="BL164" s="13"/>
      <c r="BM164" s="13"/>
      <c r="BN164" s="13"/>
    </row>
    <row r="165" spans="58:267" x14ac:dyDescent="0.55000000000000004">
      <c r="BJ165" s="13"/>
      <c r="BK165" s="13"/>
      <c r="BL165" s="13"/>
      <c r="BM165" s="13"/>
      <c r="BN165" s="13"/>
    </row>
    <row r="166" spans="58:267" x14ac:dyDescent="0.55000000000000004">
      <c r="BJ166" s="13"/>
      <c r="BK166" s="13"/>
      <c r="BL166" s="13"/>
      <c r="BM166" s="13"/>
      <c r="BN166" s="13"/>
    </row>
    <row r="167" spans="58:267" x14ac:dyDescent="0.55000000000000004">
      <c r="BJ167" s="13"/>
      <c r="BK167" s="13"/>
      <c r="BL167" s="13"/>
      <c r="BM167" s="13"/>
      <c r="BN167" s="13"/>
    </row>
    <row r="168" spans="58:267" x14ac:dyDescent="0.55000000000000004">
      <c r="BJ168" s="13"/>
      <c r="BK168" s="13"/>
      <c r="BL168" s="13"/>
      <c r="BM168" s="13"/>
      <c r="BN168" s="13"/>
    </row>
    <row r="169" spans="58:267" x14ac:dyDescent="0.55000000000000004">
      <c r="BJ169" s="13"/>
      <c r="BK169" s="13"/>
      <c r="BL169" s="13"/>
      <c r="BM169" s="13"/>
      <c r="BN169" s="13"/>
    </row>
    <row r="170" spans="58:267" x14ac:dyDescent="0.55000000000000004">
      <c r="BJ170" s="13"/>
      <c r="BK170" s="13"/>
      <c r="BL170" s="13"/>
      <c r="BM170" s="13"/>
      <c r="BN170" s="13"/>
    </row>
    <row r="171" spans="58:267" x14ac:dyDescent="0.55000000000000004">
      <c r="BJ171" s="13"/>
      <c r="BK171" s="13"/>
      <c r="BL171" s="13"/>
      <c r="BM171" s="13"/>
      <c r="BN171" s="13"/>
    </row>
    <row r="172" spans="58:267" x14ac:dyDescent="0.55000000000000004">
      <c r="BJ172" s="13"/>
      <c r="BK172" s="13"/>
      <c r="BL172" s="13"/>
      <c r="BM172" s="13"/>
      <c r="BN172" s="13"/>
    </row>
    <row r="173" spans="58:267" x14ac:dyDescent="0.55000000000000004">
      <c r="BJ173" s="13"/>
      <c r="BK173" s="13"/>
      <c r="BL173" s="13"/>
      <c r="BM173" s="13"/>
      <c r="BN173" s="13"/>
    </row>
    <row r="174" spans="58:267" x14ac:dyDescent="0.55000000000000004">
      <c r="BJ174" s="13"/>
      <c r="BK174" s="13"/>
      <c r="BL174" s="13"/>
      <c r="BM174" s="13"/>
      <c r="BN174" s="13"/>
    </row>
    <row r="175" spans="58:267" x14ac:dyDescent="0.55000000000000004">
      <c r="BJ175" s="13"/>
      <c r="BK175" s="13"/>
      <c r="BL175" s="13"/>
      <c r="BM175" s="13"/>
      <c r="BN175" s="13"/>
    </row>
    <row r="176" spans="58:267" x14ac:dyDescent="0.55000000000000004">
      <c r="BJ176" s="13"/>
      <c r="BK176" s="13"/>
      <c r="BL176" s="13"/>
      <c r="BM176" s="13"/>
      <c r="BN176" s="13"/>
    </row>
    <row r="177" spans="58:267" x14ac:dyDescent="0.55000000000000004">
      <c r="BJ177" s="13"/>
      <c r="BK177" s="13"/>
      <c r="BL177" s="13"/>
      <c r="BM177" s="13"/>
      <c r="BN177" s="13"/>
    </row>
    <row r="178" spans="58:267" x14ac:dyDescent="0.55000000000000004">
      <c r="BJ178" s="13"/>
      <c r="BK178" s="13"/>
      <c r="BL178" s="13"/>
      <c r="BM178" s="13"/>
      <c r="BN178" s="13"/>
    </row>
    <row r="179" spans="58:267" x14ac:dyDescent="0.55000000000000004">
      <c r="BJ179" s="13"/>
      <c r="BK179" s="13"/>
      <c r="BL179" s="13"/>
      <c r="BM179" s="13"/>
      <c r="BN179" s="13"/>
    </row>
    <row r="180" spans="58:267" x14ac:dyDescent="0.55000000000000004">
      <c r="BJ180" s="13"/>
      <c r="BK180" s="13"/>
      <c r="BL180" s="13"/>
      <c r="BM180" s="13"/>
      <c r="BN180" s="13"/>
    </row>
    <row r="181" spans="58:267" x14ac:dyDescent="0.55000000000000004">
      <c r="BJ181" s="13"/>
      <c r="BK181" s="13"/>
      <c r="BL181" s="13"/>
      <c r="BM181" s="13"/>
      <c r="BN181" s="13"/>
    </row>
    <row r="182" spans="58:267" x14ac:dyDescent="0.55000000000000004">
      <c r="BJ182" s="13"/>
      <c r="BK182" s="13"/>
      <c r="BL182" s="13"/>
      <c r="BM182" s="13"/>
      <c r="BN182" s="13"/>
    </row>
    <row r="183" spans="58:267" x14ac:dyDescent="0.55000000000000004">
      <c r="BJ183" s="13"/>
      <c r="BK183" s="13"/>
      <c r="BL183" s="13"/>
      <c r="BM183" s="13"/>
      <c r="BN183" s="13"/>
    </row>
    <row r="184" spans="58:267" x14ac:dyDescent="0.55000000000000004">
      <c r="BJ184" s="13"/>
      <c r="BK184" s="13"/>
      <c r="BL184" s="13"/>
      <c r="BM184" s="13"/>
      <c r="BN184" s="13"/>
    </row>
    <row r="185" spans="58:267" x14ac:dyDescent="0.55000000000000004">
      <c r="BJ185" s="13"/>
      <c r="BK185" s="13"/>
      <c r="BL185" s="13"/>
      <c r="BM185" s="13"/>
      <c r="BN185" s="13"/>
    </row>
    <row r="186" spans="58:267" x14ac:dyDescent="0.55000000000000004">
      <c r="BJ186" s="13"/>
      <c r="BK186" s="13"/>
      <c r="BL186" s="13"/>
      <c r="BM186" s="13"/>
      <c r="BN186" s="13"/>
    </row>
    <row r="187" spans="58:267" x14ac:dyDescent="0.55000000000000004">
      <c r="BJ187" s="13"/>
      <c r="BK187" s="13"/>
      <c r="BL187" s="13"/>
      <c r="BM187" s="13"/>
      <c r="BN187" s="13"/>
    </row>
    <row r="188" spans="58:267" x14ac:dyDescent="0.55000000000000004">
      <c r="BJ188" s="13"/>
      <c r="BK188" s="13"/>
      <c r="BL188" s="13"/>
      <c r="BM188" s="13"/>
      <c r="BN188" s="13"/>
    </row>
    <row r="189" spans="58:267" x14ac:dyDescent="0.55000000000000004">
      <c r="BJ189" s="13"/>
      <c r="BK189" s="13"/>
      <c r="BL189" s="13"/>
      <c r="BM189" s="13"/>
      <c r="BN189" s="13"/>
    </row>
    <row r="190" spans="58:267" x14ac:dyDescent="0.55000000000000004">
      <c r="BJ190" s="13"/>
      <c r="BK190" s="13"/>
      <c r="BL190" s="13"/>
      <c r="BM190" s="13"/>
      <c r="BN190" s="13"/>
    </row>
    <row r="191" spans="58:267" x14ac:dyDescent="0.55000000000000004">
      <c r="BJ191" s="13"/>
      <c r="BK191" s="13"/>
      <c r="BL191" s="13"/>
      <c r="BM191" s="13"/>
      <c r="BN191" s="13"/>
    </row>
    <row r="192" spans="58:267" x14ac:dyDescent="0.55000000000000004">
      <c r="BJ192" s="13"/>
      <c r="BK192" s="13"/>
      <c r="BL192" s="13"/>
      <c r="BM192" s="13"/>
      <c r="BN192" s="13"/>
    </row>
    <row r="193" spans="58:267" x14ac:dyDescent="0.55000000000000004">
      <c r="BJ193" s="13"/>
      <c r="BK193" s="13"/>
      <c r="BL193" s="13"/>
      <c r="BM193" s="13"/>
      <c r="BN193" s="13"/>
    </row>
    <row r="194" spans="58:267" x14ac:dyDescent="0.55000000000000004">
      <c r="BJ194" s="13"/>
      <c r="BK194" s="13"/>
      <c r="BL194" s="13"/>
      <c r="BM194" s="13"/>
      <c r="BN194" s="13"/>
    </row>
    <row r="195" spans="58:267" x14ac:dyDescent="0.55000000000000004">
      <c r="BJ195" s="13"/>
      <c r="BK195" s="13"/>
      <c r="BL195" s="13"/>
      <c r="BM195" s="13"/>
      <c r="BN195" s="13"/>
    </row>
    <row r="196" spans="58:267" x14ac:dyDescent="0.55000000000000004">
      <c r="BJ196" s="13"/>
      <c r="BK196" s="13"/>
      <c r="BL196" s="13"/>
      <c r="BM196" s="13"/>
      <c r="BN196" s="13"/>
    </row>
    <row r="197" spans="58:267" x14ac:dyDescent="0.55000000000000004">
      <c r="BJ197" s="13"/>
      <c r="BK197" s="13"/>
      <c r="BL197" s="13"/>
      <c r="BM197" s="13"/>
      <c r="BN197" s="13"/>
    </row>
    <row r="198" spans="58:267" x14ac:dyDescent="0.55000000000000004">
      <c r="BJ198" s="13"/>
      <c r="BK198" s="13"/>
      <c r="BL198" s="13"/>
      <c r="BM198" s="13"/>
      <c r="BN198" s="13"/>
    </row>
    <row r="199" spans="58:267" x14ac:dyDescent="0.55000000000000004">
      <c r="BJ199" s="13"/>
      <c r="BK199" s="13"/>
      <c r="BL199" s="13"/>
      <c r="BM199" s="13"/>
      <c r="BN199" s="13"/>
    </row>
    <row r="200" spans="58:267" x14ac:dyDescent="0.55000000000000004">
      <c r="BJ200" s="13"/>
      <c r="BK200" s="13"/>
      <c r="BL200" s="13"/>
      <c r="BM200" s="13"/>
      <c r="BN200" s="13"/>
    </row>
    <row r="201" spans="58:267" x14ac:dyDescent="0.55000000000000004">
      <c r="BJ201" s="13"/>
      <c r="BK201" s="13"/>
      <c r="BL201" s="13"/>
      <c r="BM201" s="13"/>
      <c r="BN201" s="13"/>
    </row>
    <row r="202" spans="58:267" x14ac:dyDescent="0.55000000000000004">
      <c r="BJ202" s="13"/>
      <c r="BK202" s="13"/>
      <c r="BL202" s="13"/>
      <c r="BM202" s="13"/>
      <c r="BN202" s="13"/>
    </row>
    <row r="203" spans="58:267" x14ac:dyDescent="0.55000000000000004">
      <c r="BJ203" s="13"/>
      <c r="BK203" s="13"/>
      <c r="BL203" s="13"/>
      <c r="BM203" s="13"/>
      <c r="BN203" s="13"/>
    </row>
    <row r="204" spans="58:267" x14ac:dyDescent="0.55000000000000004">
      <c r="BJ204" s="13"/>
      <c r="BK204" s="13"/>
      <c r="BL204" s="13"/>
      <c r="BM204" s="13"/>
      <c r="BN204" s="13"/>
    </row>
    <row r="205" spans="58:267" x14ac:dyDescent="0.55000000000000004">
      <c r="BJ205" s="13"/>
      <c r="BK205" s="13"/>
      <c r="BL205" s="13"/>
      <c r="BM205" s="13"/>
      <c r="BN205" s="13"/>
    </row>
    <row r="206" spans="58:267" x14ac:dyDescent="0.55000000000000004">
      <c r="BJ206" s="13"/>
      <c r="BK206" s="13"/>
      <c r="BL206" s="13"/>
      <c r="BM206" s="13"/>
      <c r="BN206" s="13"/>
    </row>
    <row r="207" spans="58:267" x14ac:dyDescent="0.55000000000000004">
      <c r="BJ207" s="13"/>
      <c r="BK207" s="13"/>
      <c r="BL207" s="13"/>
      <c r="BM207" s="13"/>
      <c r="BN207" s="13"/>
    </row>
    <row r="208" spans="58:267" x14ac:dyDescent="0.55000000000000004">
      <c r="BJ208" s="13"/>
      <c r="BK208" s="13"/>
      <c r="BL208" s="13"/>
      <c r="BM208" s="13"/>
      <c r="BN208" s="13"/>
    </row>
    <row r="209" spans="62:66" x14ac:dyDescent="0.55000000000000004">
      <c r="BJ209" s="13"/>
      <c r="BK209" s="13"/>
      <c r="BL209" s="13"/>
      <c r="BM209" s="13"/>
      <c r="BN209" s="13"/>
    </row>
    <row r="210" spans="62:66" x14ac:dyDescent="0.55000000000000004">
      <c r="BJ210" s="13"/>
      <c r="BK210" s="13"/>
      <c r="BL210" s="13"/>
      <c r="BM210" s="13"/>
      <c r="BN210" s="13"/>
    </row>
    <row r="211" spans="62:66" x14ac:dyDescent="0.55000000000000004">
      <c r="BJ211" s="13"/>
      <c r="BK211" s="13"/>
      <c r="BL211" s="13"/>
      <c r="BM211" s="13"/>
      <c r="BN211" s="13"/>
    </row>
    <row r="212" spans="62:66" x14ac:dyDescent="0.55000000000000004">
      <c r="BJ212" s="13"/>
      <c r="BK212" s="13"/>
      <c r="BL212" s="13"/>
      <c r="BM212" s="13"/>
      <c r="BN212" s="13"/>
    </row>
    <row r="213" spans="62:66" x14ac:dyDescent="0.55000000000000004">
      <c r="BJ213" s="13"/>
      <c r="BK213" s="13"/>
      <c r="BL213" s="13"/>
      <c r="BM213" s="13"/>
      <c r="BN213" s="13"/>
    </row>
    <row r="214" spans="62:66" x14ac:dyDescent="0.55000000000000004">
      <c r="BJ214" s="13"/>
      <c r="BK214" s="13"/>
      <c r="BL214" s="13"/>
      <c r="BM214" s="13"/>
      <c r="BN214" s="13"/>
    </row>
    <row r="215" spans="62:66" x14ac:dyDescent="0.55000000000000004">
      <c r="BJ215" s="13"/>
      <c r="BK215" s="13"/>
      <c r="BL215" s="13"/>
      <c r="BM215" s="13"/>
      <c r="BN215" s="13"/>
    </row>
    <row r="216" spans="62:66" x14ac:dyDescent="0.55000000000000004">
      <c r="BJ216" s="13"/>
      <c r="BK216" s="13"/>
      <c r="BL216" s="13"/>
      <c r="BM216" s="13"/>
      <c r="BN216" s="13"/>
    </row>
    <row r="217" spans="62:66" x14ac:dyDescent="0.55000000000000004">
      <c r="BJ217" s="13"/>
      <c r="BK217" s="13"/>
      <c r="BL217" s="13"/>
      <c r="BM217" s="13"/>
      <c r="BN217" s="13"/>
    </row>
    <row r="218" spans="62:66" x14ac:dyDescent="0.55000000000000004">
      <c r="BJ218" s="13"/>
      <c r="BK218" s="13"/>
      <c r="BL218" s="13"/>
      <c r="BM218" s="13"/>
      <c r="BN218" s="13"/>
    </row>
    <row r="219" spans="62:66" x14ac:dyDescent="0.55000000000000004">
      <c r="BJ219" s="13"/>
      <c r="BK219" s="13"/>
      <c r="BL219" s="13"/>
      <c r="BM219" s="13"/>
      <c r="BN219" s="13"/>
    </row>
    <row r="220" spans="62:66" x14ac:dyDescent="0.55000000000000004">
      <c r="BJ220" s="13"/>
      <c r="BK220" s="13"/>
      <c r="BL220" s="13"/>
      <c r="BM220" s="13"/>
      <c r="BN220" s="13"/>
    </row>
    <row r="221" spans="62:66" x14ac:dyDescent="0.55000000000000004">
      <c r="BJ221" s="13"/>
      <c r="BK221" s="13"/>
      <c r="BL221" s="13"/>
      <c r="BM221" s="13"/>
      <c r="BN221" s="13"/>
    </row>
    <row r="222" spans="62:66" x14ac:dyDescent="0.55000000000000004">
      <c r="BJ222" s="13"/>
      <c r="BK222" s="13"/>
      <c r="BL222" s="13"/>
      <c r="BM222" s="13"/>
      <c r="BN222" s="13"/>
    </row>
    <row r="223" spans="62:66" x14ac:dyDescent="0.55000000000000004">
      <c r="BJ223" s="13"/>
      <c r="BK223" s="13"/>
      <c r="BL223" s="13"/>
      <c r="BM223" s="13"/>
      <c r="BN223" s="13"/>
    </row>
    <row r="224" spans="62:66" x14ac:dyDescent="0.55000000000000004">
      <c r="BJ224" s="13"/>
      <c r="BK224" s="13"/>
      <c r="BL224" s="13"/>
      <c r="BM224" s="13"/>
      <c r="BN224" s="13"/>
    </row>
    <row r="225" spans="62:66" x14ac:dyDescent="0.55000000000000004">
      <c r="BJ225" s="13"/>
      <c r="BK225" s="13"/>
      <c r="BL225" s="13"/>
      <c r="BM225" s="13"/>
      <c r="BN225" s="13"/>
    </row>
    <row r="226" spans="62:66" x14ac:dyDescent="0.55000000000000004">
      <c r="BJ226" s="13"/>
      <c r="BK226" s="13"/>
      <c r="BL226" s="13"/>
      <c r="BM226" s="13"/>
      <c r="BN226" s="13"/>
    </row>
    <row r="227" spans="62:66" x14ac:dyDescent="0.55000000000000004">
      <c r="BJ227" s="13"/>
      <c r="BK227" s="13"/>
      <c r="BL227" s="13"/>
      <c r="BM227" s="13"/>
      <c r="BN227" s="13"/>
    </row>
    <row r="228" spans="62:66" x14ac:dyDescent="0.55000000000000004">
      <c r="BJ228" s="13"/>
      <c r="BK228" s="13"/>
      <c r="BL228" s="13"/>
      <c r="BM228" s="13"/>
      <c r="BN228" s="13"/>
    </row>
    <row r="229" spans="62:66" x14ac:dyDescent="0.55000000000000004">
      <c r="BJ229" s="13"/>
      <c r="BK229" s="13"/>
      <c r="BL229" s="13"/>
      <c r="BM229" s="13"/>
      <c r="BN229" s="13"/>
    </row>
    <row r="230" spans="62:66" x14ac:dyDescent="0.55000000000000004">
      <c r="BJ230" s="13"/>
      <c r="BK230" s="13"/>
      <c r="BL230" s="13"/>
      <c r="BM230" s="13"/>
      <c r="BN230" s="13"/>
    </row>
    <row r="231" spans="62:66" x14ac:dyDescent="0.55000000000000004">
      <c r="BJ231" s="13"/>
      <c r="BK231" s="13"/>
      <c r="BL231" s="13"/>
      <c r="BM231" s="13"/>
      <c r="BN231" s="13"/>
    </row>
    <row r="232" spans="62:66" x14ac:dyDescent="0.55000000000000004">
      <c r="BJ232" s="13"/>
      <c r="BK232" s="13"/>
      <c r="BL232" s="13"/>
      <c r="BM232" s="13"/>
      <c r="BN232" s="13"/>
    </row>
    <row r="233" spans="62:66" x14ac:dyDescent="0.55000000000000004">
      <c r="BJ233" s="13"/>
      <c r="BK233" s="13"/>
      <c r="BL233" s="13"/>
      <c r="BM233" s="13"/>
      <c r="BN233" s="13"/>
    </row>
    <row r="234" spans="62:66" x14ac:dyDescent="0.55000000000000004">
      <c r="BJ234" s="13"/>
      <c r="BK234" s="13"/>
      <c r="BL234" s="13"/>
      <c r="BM234" s="13"/>
      <c r="BN234" s="13"/>
    </row>
    <row r="235" spans="62:66" x14ac:dyDescent="0.55000000000000004">
      <c r="BJ235" s="13"/>
      <c r="BK235" s="13"/>
      <c r="BL235" s="13"/>
      <c r="BM235" s="13"/>
      <c r="BN235" s="13"/>
    </row>
    <row r="236" spans="62:66" x14ac:dyDescent="0.55000000000000004">
      <c r="BJ236" s="13"/>
      <c r="BK236" s="13"/>
      <c r="BL236" s="13"/>
      <c r="BM236" s="13"/>
      <c r="BN236" s="13"/>
    </row>
    <row r="237" spans="62:66" x14ac:dyDescent="0.55000000000000004">
      <c r="BJ237" s="13"/>
      <c r="BK237" s="13"/>
      <c r="BL237" s="13"/>
      <c r="BM237" s="13"/>
      <c r="BN237" s="13"/>
    </row>
    <row r="238" spans="62:66" x14ac:dyDescent="0.55000000000000004">
      <c r="BJ238" s="13"/>
      <c r="BK238" s="13"/>
      <c r="BL238" s="13"/>
      <c r="BM238" s="13"/>
      <c r="BN238" s="13"/>
    </row>
    <row r="239" spans="62:66" x14ac:dyDescent="0.55000000000000004">
      <c r="BJ239" s="13"/>
      <c r="BK239" s="13"/>
      <c r="BL239" s="13"/>
      <c r="BM239" s="13"/>
      <c r="BN239" s="13"/>
    </row>
    <row r="240" spans="62:66" x14ac:dyDescent="0.55000000000000004">
      <c r="BJ240" s="13"/>
      <c r="BK240" s="13"/>
      <c r="BL240" s="13"/>
      <c r="BM240" s="13"/>
      <c r="BN240" s="13"/>
    </row>
    <row r="241" spans="62:66" x14ac:dyDescent="0.55000000000000004">
      <c r="BJ241" s="13"/>
      <c r="BK241" s="13"/>
      <c r="BL241" s="13"/>
      <c r="BM241" s="13"/>
      <c r="BN241" s="13"/>
    </row>
    <row r="242" spans="62:66" x14ac:dyDescent="0.55000000000000004">
      <c r="BJ242" s="13"/>
      <c r="BK242" s="13"/>
      <c r="BL242" s="13"/>
      <c r="BM242" s="13"/>
      <c r="BN242" s="13"/>
    </row>
    <row r="243" spans="62:66" x14ac:dyDescent="0.55000000000000004">
      <c r="BJ243" s="13"/>
      <c r="BK243" s="13"/>
      <c r="BL243" s="13"/>
      <c r="BM243" s="13"/>
      <c r="BN243" s="13"/>
    </row>
    <row r="244" spans="62:66" x14ac:dyDescent="0.55000000000000004">
      <c r="BJ244" s="13"/>
      <c r="BK244" s="13"/>
      <c r="BL244" s="13"/>
      <c r="BM244" s="13"/>
      <c r="BN244" s="13"/>
    </row>
    <row r="245" spans="62:66" x14ac:dyDescent="0.55000000000000004">
      <c r="BJ245" s="13"/>
      <c r="BK245" s="13"/>
      <c r="BL245" s="13"/>
      <c r="BM245" s="13"/>
      <c r="BN245" s="13"/>
    </row>
    <row r="246" spans="62:66" x14ac:dyDescent="0.55000000000000004">
      <c r="BJ246" s="13"/>
      <c r="BK246" s="13"/>
      <c r="BL246" s="13"/>
      <c r="BM246" s="13"/>
      <c r="BN246" s="13"/>
    </row>
    <row r="247" spans="62:66" x14ac:dyDescent="0.55000000000000004">
      <c r="BJ247" s="13"/>
      <c r="BK247" s="13"/>
      <c r="BL247" s="13"/>
      <c r="BM247" s="13"/>
      <c r="BN247" s="13"/>
    </row>
    <row r="248" spans="62:66" x14ac:dyDescent="0.55000000000000004">
      <c r="BJ248" s="13"/>
      <c r="BK248" s="13"/>
      <c r="BL248" s="13"/>
      <c r="BM248" s="13"/>
      <c r="BN248" s="13"/>
    </row>
    <row r="249" spans="62:66" x14ac:dyDescent="0.55000000000000004">
      <c r="BJ249" s="13"/>
      <c r="BK249" s="13"/>
      <c r="BL249" s="13"/>
      <c r="BM249" s="13"/>
      <c r="BN249" s="13"/>
    </row>
    <row r="250" spans="62:66" x14ac:dyDescent="0.55000000000000004">
      <c r="BJ250" s="13"/>
      <c r="BK250" s="13"/>
      <c r="BL250" s="13"/>
      <c r="BM250" s="13"/>
      <c r="BN250" s="13"/>
    </row>
    <row r="251" spans="62:66" x14ac:dyDescent="0.55000000000000004">
      <c r="BJ251" s="13"/>
      <c r="BK251" s="13"/>
      <c r="BL251" s="13"/>
      <c r="BM251" s="13"/>
      <c r="BN251" s="13"/>
    </row>
    <row r="252" spans="62:66" x14ac:dyDescent="0.55000000000000004">
      <c r="BJ252" s="13"/>
      <c r="BK252" s="13"/>
      <c r="BL252" s="13"/>
      <c r="BM252" s="13"/>
      <c r="BN252" s="13"/>
    </row>
    <row r="253" spans="62:66" x14ac:dyDescent="0.55000000000000004">
      <c r="BJ253" s="13"/>
      <c r="BK253" s="13"/>
      <c r="BL253" s="13"/>
      <c r="BM253" s="13"/>
      <c r="BN253" s="13"/>
    </row>
    <row r="254" spans="62:66" x14ac:dyDescent="0.55000000000000004">
      <c r="BJ254" s="13"/>
      <c r="BK254" s="13"/>
      <c r="BL254" s="13"/>
      <c r="BM254" s="13"/>
      <c r="BN254" s="13"/>
    </row>
    <row r="255" spans="62:66" x14ac:dyDescent="0.55000000000000004">
      <c r="BJ255" s="13"/>
      <c r="BK255" s="13"/>
      <c r="BL255" s="13"/>
      <c r="BM255" s="13"/>
      <c r="BN255" s="13"/>
    </row>
    <row r="256" spans="62:66" x14ac:dyDescent="0.55000000000000004">
      <c r="BJ256" s="13"/>
      <c r="BK256" s="13"/>
      <c r="BL256" s="13"/>
      <c r="BM256" s="13"/>
      <c r="BN256" s="13"/>
    </row>
    <row r="257" spans="62:66" x14ac:dyDescent="0.55000000000000004">
      <c r="BJ257" s="13"/>
      <c r="BK257" s="13"/>
      <c r="BL257" s="13"/>
      <c r="BM257" s="13"/>
      <c r="BN257" s="13"/>
    </row>
    <row r="258" spans="62:66" x14ac:dyDescent="0.55000000000000004">
      <c r="BJ258" s="13"/>
      <c r="BK258" s="13"/>
      <c r="BL258" s="13"/>
      <c r="BM258" s="13"/>
      <c r="BN258" s="13"/>
    </row>
    <row r="259" spans="62:66" x14ac:dyDescent="0.55000000000000004">
      <c r="BJ259" s="13"/>
      <c r="BK259" s="13"/>
      <c r="BL259" s="13"/>
      <c r="BM259" s="13"/>
      <c r="BN259" s="13"/>
    </row>
    <row r="260" spans="62:66" x14ac:dyDescent="0.55000000000000004">
      <c r="BJ260" s="13"/>
      <c r="BK260" s="13"/>
      <c r="BL260" s="13"/>
      <c r="BM260" s="13"/>
      <c r="BN260" s="13"/>
    </row>
    <row r="261" spans="62:66" x14ac:dyDescent="0.55000000000000004">
      <c r="BJ261" s="13"/>
      <c r="BK261" s="13"/>
      <c r="BL261" s="13"/>
      <c r="BM261" s="13"/>
      <c r="BN261" s="13"/>
    </row>
    <row r="262" spans="62:66" x14ac:dyDescent="0.55000000000000004">
      <c r="BJ262" s="13"/>
      <c r="BK262" s="13"/>
      <c r="BL262" s="13"/>
      <c r="BM262" s="13"/>
      <c r="BN262" s="13"/>
    </row>
    <row r="263" spans="62:66" x14ac:dyDescent="0.55000000000000004">
      <c r="BJ263" s="13"/>
      <c r="BK263" s="13"/>
      <c r="BL263" s="13"/>
      <c r="BM263" s="13"/>
      <c r="BN263" s="13"/>
    </row>
    <row r="264" spans="62:66" x14ac:dyDescent="0.55000000000000004">
      <c r="BJ264" s="13"/>
      <c r="BK264" s="13"/>
      <c r="BL264" s="13"/>
      <c r="BM264" s="13"/>
      <c r="BN264" s="13"/>
    </row>
    <row r="265" spans="62:66" x14ac:dyDescent="0.55000000000000004">
      <c r="BJ265" s="13"/>
      <c r="BK265" s="13"/>
      <c r="BL265" s="13"/>
      <c r="BM265" s="13"/>
      <c r="BN265" s="13"/>
    </row>
    <row r="266" spans="62:66" x14ac:dyDescent="0.55000000000000004">
      <c r="BJ266" s="13"/>
      <c r="BK266" s="13"/>
      <c r="BL266" s="13"/>
      <c r="BM266" s="13"/>
      <c r="BN266" s="13"/>
    </row>
    <row r="267" spans="62:66" x14ac:dyDescent="0.55000000000000004">
      <c r="BJ267" s="13"/>
      <c r="BK267" s="13"/>
      <c r="BL267" s="13"/>
      <c r="BM267" s="13"/>
      <c r="BN267" s="13"/>
    </row>
    <row r="268" spans="62:66" x14ac:dyDescent="0.55000000000000004">
      <c r="BJ268" s="13"/>
      <c r="BK268" s="13"/>
      <c r="BL268" s="13"/>
      <c r="BM268" s="13"/>
      <c r="BN268" s="13"/>
    </row>
    <row r="269" spans="62:66" x14ac:dyDescent="0.55000000000000004">
      <c r="BJ269" s="13"/>
      <c r="BK269" s="13"/>
      <c r="BL269" s="13"/>
      <c r="BM269" s="13"/>
      <c r="BN269" s="13"/>
    </row>
    <row r="270" spans="62:66" x14ac:dyDescent="0.55000000000000004">
      <c r="BJ270" s="13"/>
      <c r="BK270" s="13"/>
      <c r="BL270" s="13"/>
      <c r="BM270" s="13"/>
      <c r="BN270" s="13"/>
    </row>
    <row r="271" spans="62:66" x14ac:dyDescent="0.55000000000000004">
      <c r="BJ271" s="13"/>
      <c r="BK271" s="13"/>
      <c r="BL271" s="13"/>
      <c r="BM271" s="13"/>
      <c r="BN271" s="13"/>
    </row>
    <row r="272" spans="62:66" x14ac:dyDescent="0.55000000000000004">
      <c r="BJ272" s="13"/>
      <c r="BK272" s="13"/>
      <c r="BL272" s="13"/>
      <c r="BM272" s="13"/>
      <c r="BN272" s="13"/>
    </row>
    <row r="273" spans="62:66" x14ac:dyDescent="0.55000000000000004">
      <c r="BJ273" s="13"/>
      <c r="BK273" s="13"/>
      <c r="BL273" s="13"/>
      <c r="BM273" s="13"/>
      <c r="BN273" s="13"/>
    </row>
    <row r="274" spans="62:66" x14ac:dyDescent="0.55000000000000004">
      <c r="BJ274" s="13"/>
      <c r="BK274" s="13"/>
      <c r="BL274" s="13"/>
      <c r="BM274" s="13"/>
      <c r="BN274" s="13"/>
    </row>
    <row r="275" spans="62:66" x14ac:dyDescent="0.55000000000000004">
      <c r="BJ275" s="13"/>
      <c r="BK275" s="13"/>
      <c r="BL275" s="13"/>
      <c r="BM275" s="13"/>
      <c r="BN275" s="13"/>
    </row>
    <row r="276" spans="62:66" x14ac:dyDescent="0.55000000000000004">
      <c r="BJ276" s="13"/>
      <c r="BK276" s="13"/>
      <c r="BL276" s="13"/>
      <c r="BM276" s="13"/>
      <c r="BN276" s="13"/>
    </row>
    <row r="277" spans="62:66" x14ac:dyDescent="0.55000000000000004">
      <c r="BJ277" s="13"/>
      <c r="BK277" s="13"/>
      <c r="BL277" s="13"/>
      <c r="BM277" s="13"/>
      <c r="BN277" s="13"/>
    </row>
    <row r="278" spans="62:66" x14ac:dyDescent="0.55000000000000004">
      <c r="BJ278" s="13"/>
      <c r="BK278" s="13"/>
      <c r="BL278" s="13"/>
      <c r="BM278" s="13"/>
      <c r="BN278" s="13"/>
    </row>
    <row r="279" spans="62:66" x14ac:dyDescent="0.55000000000000004">
      <c r="BJ279" s="13"/>
      <c r="BK279" s="13"/>
      <c r="BL279" s="13"/>
      <c r="BM279" s="13"/>
      <c r="BN279" s="13"/>
    </row>
    <row r="280" spans="62:66" x14ac:dyDescent="0.55000000000000004">
      <c r="BJ280" s="13"/>
      <c r="BK280" s="13"/>
      <c r="BL280" s="13"/>
      <c r="BM280" s="13"/>
      <c r="BN280" s="13"/>
    </row>
    <row r="281" spans="62:66" x14ac:dyDescent="0.55000000000000004">
      <c r="BJ281" s="13"/>
      <c r="BK281" s="13"/>
      <c r="BL281" s="13"/>
      <c r="BM281" s="13"/>
      <c r="BN281" s="13"/>
    </row>
    <row r="282" spans="62:66" x14ac:dyDescent="0.55000000000000004">
      <c r="BJ282" s="13"/>
      <c r="BK282" s="13"/>
      <c r="BL282" s="13"/>
      <c r="BM282" s="13"/>
      <c r="BN282" s="13"/>
    </row>
    <row r="283" spans="62:66" x14ac:dyDescent="0.55000000000000004">
      <c r="BJ283" s="13"/>
      <c r="BK283" s="13"/>
      <c r="BL283" s="13"/>
      <c r="BM283" s="13"/>
      <c r="BN283" s="13"/>
    </row>
    <row r="284" spans="62:66" x14ac:dyDescent="0.55000000000000004">
      <c r="BJ284" s="13"/>
      <c r="BK284" s="13"/>
      <c r="BL284" s="13"/>
      <c r="BM284" s="13"/>
      <c r="BN284" s="13"/>
    </row>
    <row r="285" spans="62:66" x14ac:dyDescent="0.55000000000000004">
      <c r="BJ285" s="13"/>
      <c r="BK285" s="13"/>
      <c r="BL285" s="13"/>
      <c r="BM285" s="13"/>
      <c r="BN285" s="13"/>
    </row>
    <row r="286" spans="62:66" x14ac:dyDescent="0.55000000000000004">
      <c r="BJ286" s="13"/>
      <c r="BK286" s="13"/>
      <c r="BL286" s="13"/>
      <c r="BM286" s="13"/>
      <c r="BN286" s="13"/>
    </row>
    <row r="287" spans="62:66" x14ac:dyDescent="0.55000000000000004">
      <c r="BJ287" s="13"/>
      <c r="BK287" s="13"/>
      <c r="BL287" s="13"/>
      <c r="BM287" s="13"/>
      <c r="BN287" s="13"/>
    </row>
    <row r="288" spans="62:66" x14ac:dyDescent="0.55000000000000004">
      <c r="BJ288" s="13"/>
      <c r="BK288" s="13"/>
      <c r="BL288" s="13"/>
      <c r="BM288" s="13"/>
      <c r="BN288" s="13"/>
    </row>
    <row r="289" spans="62:66" x14ac:dyDescent="0.55000000000000004">
      <c r="BJ289" s="13"/>
      <c r="BK289" s="13"/>
      <c r="BL289" s="13"/>
      <c r="BM289" s="13"/>
      <c r="BN289" s="13"/>
    </row>
    <row r="290" spans="62:66" x14ac:dyDescent="0.55000000000000004">
      <c r="BJ290" s="13"/>
      <c r="BK290" s="13"/>
      <c r="BL290" s="13"/>
      <c r="BM290" s="13"/>
      <c r="BN290" s="13"/>
    </row>
    <row r="291" spans="62:66" x14ac:dyDescent="0.55000000000000004">
      <c r="BJ291" s="13"/>
      <c r="BK291" s="13"/>
      <c r="BL291" s="13"/>
      <c r="BM291" s="13"/>
      <c r="BN291" s="13"/>
    </row>
    <row r="292" spans="62:66" x14ac:dyDescent="0.55000000000000004">
      <c r="BJ292" s="13"/>
      <c r="BK292" s="13"/>
      <c r="BL292" s="13"/>
      <c r="BM292" s="13"/>
      <c r="BN292" s="13"/>
    </row>
    <row r="293" spans="62:66" x14ac:dyDescent="0.55000000000000004">
      <c r="BJ293" s="13"/>
      <c r="BK293" s="13"/>
      <c r="BL293" s="13"/>
      <c r="BM293" s="13"/>
      <c r="BN293" s="13"/>
    </row>
    <row r="294" spans="62:66" x14ac:dyDescent="0.55000000000000004">
      <c r="BJ294" s="13"/>
      <c r="BK294" s="13"/>
      <c r="BL294" s="13"/>
      <c r="BM294" s="13"/>
      <c r="BN294" s="13"/>
    </row>
    <row r="295" spans="62:66" x14ac:dyDescent="0.55000000000000004">
      <c r="BJ295" s="13"/>
      <c r="BK295" s="13"/>
      <c r="BL295" s="13"/>
      <c r="BM295" s="13"/>
      <c r="BN295" s="13"/>
    </row>
    <row r="296" spans="62:66" x14ac:dyDescent="0.55000000000000004">
      <c r="BJ296" s="13"/>
      <c r="BK296" s="13"/>
      <c r="BL296" s="13"/>
      <c r="BM296" s="13"/>
      <c r="BN296" s="13"/>
    </row>
    <row r="297" spans="62:66" x14ac:dyDescent="0.55000000000000004">
      <c r="BJ297" s="13"/>
      <c r="BK297" s="13"/>
      <c r="BL297" s="13"/>
      <c r="BM297" s="13"/>
      <c r="BN297" s="13"/>
    </row>
    <row r="298" spans="62:66" x14ac:dyDescent="0.55000000000000004">
      <c r="BJ298" s="13"/>
      <c r="BK298" s="13"/>
      <c r="BL298" s="13"/>
      <c r="BM298" s="13"/>
      <c r="BN298" s="13"/>
    </row>
    <row r="299" spans="62:66" x14ac:dyDescent="0.55000000000000004">
      <c r="BJ299" s="13"/>
      <c r="BK299" s="13"/>
      <c r="BL299" s="13"/>
      <c r="BM299" s="13"/>
      <c r="BN299" s="13"/>
    </row>
    <row r="300" spans="62:66" x14ac:dyDescent="0.55000000000000004">
      <c r="BJ300" s="13"/>
      <c r="BK300" s="13"/>
      <c r="BL300" s="13"/>
      <c r="BM300" s="13"/>
      <c r="BN300" s="13"/>
    </row>
    <row r="301" spans="62:66" x14ac:dyDescent="0.55000000000000004">
      <c r="BJ301" s="13"/>
      <c r="BK301" s="13"/>
      <c r="BL301" s="13"/>
      <c r="BM301" s="13"/>
      <c r="BN301" s="13"/>
    </row>
    <row r="302" spans="62:66" x14ac:dyDescent="0.55000000000000004">
      <c r="BJ302" s="13"/>
      <c r="BK302" s="13"/>
      <c r="BL302" s="13"/>
      <c r="BM302" s="13"/>
      <c r="BN302" s="13"/>
    </row>
    <row r="303" spans="62:66" x14ac:dyDescent="0.55000000000000004">
      <c r="BJ303" s="13"/>
      <c r="BK303" s="13"/>
      <c r="BL303" s="13"/>
      <c r="BM303" s="13"/>
      <c r="BN303" s="13"/>
    </row>
    <row r="304" spans="62:66" x14ac:dyDescent="0.55000000000000004">
      <c r="BJ304" s="13"/>
      <c r="BK304" s="13"/>
      <c r="BL304" s="13"/>
      <c r="BM304" s="13"/>
      <c r="BN304" s="13"/>
    </row>
    <row r="305" spans="62:66" x14ac:dyDescent="0.55000000000000004">
      <c r="BJ305" s="13"/>
      <c r="BK305" s="13"/>
      <c r="BL305" s="13"/>
      <c r="BM305" s="13"/>
      <c r="BN305" s="13"/>
    </row>
    <row r="306" spans="62:66" x14ac:dyDescent="0.55000000000000004">
      <c r="BJ306" s="13"/>
      <c r="BK306" s="13"/>
      <c r="BL306" s="13"/>
      <c r="BM306" s="13"/>
      <c r="BN306" s="13"/>
    </row>
    <row r="307" spans="62:66" x14ac:dyDescent="0.55000000000000004">
      <c r="BJ307" s="13"/>
      <c r="BK307" s="13"/>
      <c r="BL307" s="13"/>
      <c r="BM307" s="13"/>
      <c r="BN307" s="13"/>
    </row>
    <row r="308" spans="62:66" x14ac:dyDescent="0.55000000000000004">
      <c r="BJ308" s="13"/>
      <c r="BK308" s="13"/>
      <c r="BL308" s="13"/>
      <c r="BM308" s="13"/>
      <c r="BN308" s="13"/>
    </row>
    <row r="309" spans="62:66" x14ac:dyDescent="0.55000000000000004">
      <c r="BJ309" s="13"/>
      <c r="BK309" s="13"/>
      <c r="BL309" s="13"/>
      <c r="BM309" s="13"/>
      <c r="BN309" s="13"/>
    </row>
    <row r="310" spans="62:66" x14ac:dyDescent="0.55000000000000004">
      <c r="BJ310" s="13"/>
      <c r="BK310" s="13"/>
      <c r="BL310" s="13"/>
      <c r="BM310" s="13"/>
      <c r="BN310" s="13"/>
    </row>
    <row r="311" spans="62:66" x14ac:dyDescent="0.55000000000000004">
      <c r="BJ311" s="13"/>
      <c r="BK311" s="13"/>
      <c r="BL311" s="13"/>
      <c r="BM311" s="13"/>
      <c r="BN311" s="13"/>
    </row>
    <row r="312" spans="62:66" x14ac:dyDescent="0.55000000000000004">
      <c r="BJ312" s="13"/>
      <c r="BK312" s="13"/>
      <c r="BL312" s="13"/>
      <c r="BM312" s="13"/>
      <c r="BN312" s="13"/>
    </row>
    <row r="313" spans="62:66" x14ac:dyDescent="0.55000000000000004">
      <c r="BJ313" s="13"/>
      <c r="BK313" s="13"/>
      <c r="BL313" s="13"/>
      <c r="BM313" s="13"/>
      <c r="BN313" s="13"/>
    </row>
    <row r="314" spans="62:66" x14ac:dyDescent="0.55000000000000004">
      <c r="BJ314" s="13"/>
      <c r="BK314" s="13"/>
      <c r="BL314" s="13"/>
      <c r="BM314" s="13"/>
      <c r="BN314" s="13"/>
    </row>
    <row r="315" spans="62:66" x14ac:dyDescent="0.55000000000000004">
      <c r="BJ315" s="13"/>
      <c r="BK315" s="13"/>
      <c r="BL315" s="13"/>
      <c r="BM315" s="13"/>
      <c r="BN315" s="13"/>
    </row>
    <row r="316" spans="62:66" x14ac:dyDescent="0.55000000000000004">
      <c r="BJ316" s="13"/>
      <c r="BK316" s="13"/>
      <c r="BL316" s="13"/>
      <c r="BM316" s="13"/>
      <c r="BN316" s="13"/>
    </row>
    <row r="317" spans="62:66" x14ac:dyDescent="0.55000000000000004">
      <c r="BJ317" s="13"/>
      <c r="BK317" s="13"/>
      <c r="BL317" s="13"/>
      <c r="BM317" s="13"/>
      <c r="BN317" s="13"/>
    </row>
    <row r="318" spans="62:66" x14ac:dyDescent="0.55000000000000004">
      <c r="BJ318" s="13"/>
      <c r="BK318" s="13"/>
      <c r="BL318" s="13"/>
      <c r="BM318" s="13"/>
      <c r="BN318" s="13"/>
    </row>
    <row r="319" spans="62:66" x14ac:dyDescent="0.55000000000000004">
      <c r="BJ319" s="13"/>
      <c r="BK319" s="13"/>
      <c r="BL319" s="13"/>
      <c r="BM319" s="13"/>
      <c r="BN319" s="13"/>
    </row>
    <row r="320" spans="62:66" x14ac:dyDescent="0.55000000000000004">
      <c r="BJ320" s="13"/>
      <c r="BK320" s="13"/>
      <c r="BL320" s="13"/>
      <c r="BM320" s="13"/>
      <c r="BN320" s="13"/>
    </row>
    <row r="321" spans="62:66" x14ac:dyDescent="0.55000000000000004">
      <c r="BJ321" s="13"/>
      <c r="BK321" s="13"/>
      <c r="BL321" s="13"/>
      <c r="BM321" s="13"/>
      <c r="BN321" s="13"/>
    </row>
    <row r="322" spans="62:66" x14ac:dyDescent="0.55000000000000004">
      <c r="BJ322" s="13"/>
      <c r="BK322" s="13"/>
      <c r="BL322" s="13"/>
      <c r="BM322" s="13"/>
      <c r="BN322" s="13"/>
    </row>
    <row r="323" spans="62:66" x14ac:dyDescent="0.55000000000000004">
      <c r="BJ323" s="13"/>
      <c r="BK323" s="13"/>
      <c r="BL323" s="13"/>
      <c r="BM323" s="13"/>
      <c r="BN323" s="13"/>
    </row>
    <row r="324" spans="62:66" x14ac:dyDescent="0.55000000000000004">
      <c r="BJ324" s="13"/>
      <c r="BK324" s="13"/>
      <c r="BL324" s="13"/>
      <c r="BM324" s="13"/>
      <c r="BN324" s="13"/>
    </row>
    <row r="325" spans="62:66" x14ac:dyDescent="0.55000000000000004">
      <c r="BJ325" s="13"/>
      <c r="BK325" s="13"/>
      <c r="BL325" s="13"/>
      <c r="BM325" s="13"/>
      <c r="BN325" s="13"/>
    </row>
    <row r="326" spans="62:66" x14ac:dyDescent="0.55000000000000004">
      <c r="BJ326" s="13"/>
      <c r="BK326" s="13"/>
      <c r="BL326" s="13"/>
      <c r="BM326" s="13"/>
      <c r="BN326" s="13"/>
    </row>
    <row r="327" spans="62:66" x14ac:dyDescent="0.55000000000000004">
      <c r="BJ327" s="13"/>
      <c r="BK327" s="13"/>
      <c r="BL327" s="13"/>
      <c r="BM327" s="13"/>
      <c r="BN327" s="13"/>
    </row>
    <row r="328" spans="62:66" x14ac:dyDescent="0.55000000000000004">
      <c r="BJ328" s="13"/>
      <c r="BK328" s="13"/>
      <c r="BL328" s="13"/>
      <c r="BM328" s="13"/>
      <c r="BN328" s="13"/>
    </row>
    <row r="329" spans="62:66" x14ac:dyDescent="0.55000000000000004">
      <c r="BJ329" s="13"/>
      <c r="BK329" s="13"/>
      <c r="BL329" s="13"/>
      <c r="BM329" s="13"/>
      <c r="BN329" s="13"/>
    </row>
    <row r="330" spans="62:66" x14ac:dyDescent="0.55000000000000004">
      <c r="BJ330" s="13"/>
      <c r="BK330" s="13"/>
      <c r="BL330" s="13"/>
      <c r="BM330" s="13"/>
      <c r="BN330" s="13"/>
    </row>
    <row r="331" spans="62:66" x14ac:dyDescent="0.55000000000000004">
      <c r="BJ331" s="13"/>
      <c r="BK331" s="13"/>
      <c r="BL331" s="13"/>
      <c r="BM331" s="13"/>
      <c r="BN331" s="13"/>
    </row>
    <row r="332" spans="62:66" x14ac:dyDescent="0.55000000000000004">
      <c r="BJ332" s="13"/>
      <c r="BK332" s="13"/>
      <c r="BL332" s="13"/>
      <c r="BM332" s="13"/>
      <c r="BN332" s="13"/>
    </row>
    <row r="333" spans="62:66" x14ac:dyDescent="0.55000000000000004">
      <c r="BJ333" s="13"/>
      <c r="BK333" s="13"/>
      <c r="BL333" s="13"/>
      <c r="BM333" s="13"/>
      <c r="BN333" s="13"/>
    </row>
    <row r="334" spans="62:66" x14ac:dyDescent="0.55000000000000004">
      <c r="BJ334" s="13"/>
      <c r="BK334" s="13"/>
      <c r="BL334" s="13"/>
      <c r="BM334" s="13"/>
      <c r="BN334" s="13"/>
    </row>
    <row r="335" spans="62:66" x14ac:dyDescent="0.55000000000000004">
      <c r="BJ335" s="13"/>
      <c r="BK335" s="13"/>
      <c r="BL335" s="13"/>
      <c r="BM335" s="13"/>
      <c r="BN335" s="13"/>
    </row>
    <row r="336" spans="62:66" x14ac:dyDescent="0.55000000000000004">
      <c r="BJ336" s="13"/>
      <c r="BK336" s="13"/>
      <c r="BL336" s="13"/>
      <c r="BM336" s="13"/>
      <c r="BN336" s="13"/>
    </row>
    <row r="337" spans="62:66" x14ac:dyDescent="0.55000000000000004">
      <c r="BJ337" s="13"/>
      <c r="BK337" s="13"/>
      <c r="BL337" s="13"/>
      <c r="BM337" s="13"/>
      <c r="BN337" s="13"/>
    </row>
    <row r="338" spans="62:66" x14ac:dyDescent="0.55000000000000004">
      <c r="BJ338" s="13"/>
      <c r="BK338" s="13"/>
      <c r="BL338" s="13"/>
      <c r="BM338" s="13"/>
      <c r="BN338" s="13"/>
    </row>
    <row r="339" spans="62:66" x14ac:dyDescent="0.55000000000000004">
      <c r="BJ339" s="13"/>
      <c r="BK339" s="13"/>
      <c r="BL339" s="13"/>
      <c r="BM339" s="13"/>
      <c r="BN339" s="13"/>
    </row>
    <row r="340" spans="62:66" x14ac:dyDescent="0.55000000000000004">
      <c r="BJ340" s="13"/>
      <c r="BK340" s="13"/>
      <c r="BL340" s="13"/>
      <c r="BM340" s="13"/>
      <c r="BN340" s="13"/>
    </row>
    <row r="341" spans="62:66" x14ac:dyDescent="0.55000000000000004">
      <c r="BJ341" s="13"/>
      <c r="BK341" s="13"/>
      <c r="BL341" s="13"/>
      <c r="BM341" s="13"/>
      <c r="BN341" s="13"/>
    </row>
    <row r="342" spans="62:66" x14ac:dyDescent="0.55000000000000004">
      <c r="BJ342" s="13"/>
      <c r="BK342" s="13"/>
      <c r="BL342" s="13"/>
      <c r="BM342" s="13"/>
      <c r="BN342" s="13"/>
    </row>
    <row r="343" spans="62:66" x14ac:dyDescent="0.55000000000000004">
      <c r="BJ343" s="13"/>
      <c r="BK343" s="13"/>
      <c r="BL343" s="13"/>
      <c r="BM343" s="13"/>
      <c r="BN343" s="13"/>
    </row>
    <row r="344" spans="62:66" x14ac:dyDescent="0.55000000000000004">
      <c r="BJ344" s="13"/>
      <c r="BK344" s="13"/>
      <c r="BL344" s="13"/>
      <c r="BM344" s="13"/>
      <c r="BN344" s="13"/>
    </row>
    <row r="345" spans="62:66" x14ac:dyDescent="0.55000000000000004">
      <c r="BJ345" s="13"/>
      <c r="BK345" s="13"/>
      <c r="BL345" s="13"/>
      <c r="BM345" s="13"/>
      <c r="BN345" s="13"/>
    </row>
    <row r="346" spans="62:66" x14ac:dyDescent="0.55000000000000004">
      <c r="BJ346" s="13"/>
      <c r="BK346" s="13"/>
      <c r="BL346" s="13"/>
      <c r="BM346" s="13"/>
      <c r="BN346" s="13"/>
    </row>
    <row r="347" spans="62:66" x14ac:dyDescent="0.55000000000000004">
      <c r="BJ347" s="13"/>
      <c r="BK347" s="13"/>
      <c r="BL347" s="13"/>
      <c r="BM347" s="13"/>
      <c r="BN347" s="13"/>
    </row>
    <row r="348" spans="62:66" x14ac:dyDescent="0.55000000000000004">
      <c r="BJ348" s="13"/>
      <c r="BK348" s="13"/>
      <c r="BL348" s="13"/>
      <c r="BM348" s="13"/>
      <c r="BN348" s="13"/>
    </row>
    <row r="349" spans="62:66" x14ac:dyDescent="0.55000000000000004">
      <c r="BJ349" s="13"/>
      <c r="BK349" s="13"/>
      <c r="BL349" s="13"/>
      <c r="BM349" s="13"/>
      <c r="BN349" s="13"/>
    </row>
    <row r="350" spans="62:66" x14ac:dyDescent="0.55000000000000004">
      <c r="BJ350" s="13"/>
      <c r="BK350" s="13"/>
      <c r="BL350" s="13"/>
      <c r="BM350" s="13"/>
      <c r="BN350" s="13"/>
    </row>
    <row r="351" spans="62:66" x14ac:dyDescent="0.55000000000000004">
      <c r="BJ351" s="13"/>
      <c r="BK351" s="13"/>
      <c r="BL351" s="13"/>
      <c r="BM351" s="13"/>
      <c r="BN351" s="13"/>
    </row>
    <row r="352" spans="62:66" x14ac:dyDescent="0.55000000000000004">
      <c r="BJ352" s="13"/>
      <c r="BK352" s="13"/>
      <c r="BL352" s="13"/>
      <c r="BM352" s="13"/>
      <c r="BN352" s="13"/>
    </row>
    <row r="353" spans="62:66" x14ac:dyDescent="0.55000000000000004">
      <c r="BJ353" s="13"/>
      <c r="BK353" s="13"/>
      <c r="BL353" s="13"/>
      <c r="BM353" s="13"/>
      <c r="BN353" s="13"/>
    </row>
    <row r="354" spans="62:66" x14ac:dyDescent="0.55000000000000004">
      <c r="BJ354" s="13"/>
      <c r="BK354" s="13"/>
      <c r="BL354" s="13"/>
      <c r="BM354" s="13"/>
      <c r="BN354" s="13"/>
    </row>
    <row r="355" spans="62:66" x14ac:dyDescent="0.55000000000000004">
      <c r="BJ355" s="13"/>
      <c r="BK355" s="13"/>
      <c r="BL355" s="13"/>
      <c r="BM355" s="13"/>
      <c r="BN355" s="13"/>
    </row>
    <row r="356" spans="62:66" x14ac:dyDescent="0.55000000000000004">
      <c r="BJ356" s="13"/>
      <c r="BK356" s="13"/>
      <c r="BL356" s="13"/>
      <c r="BM356" s="13"/>
      <c r="BN356" s="13"/>
    </row>
    <row r="357" spans="62:66" x14ac:dyDescent="0.55000000000000004">
      <c r="BJ357" s="13"/>
      <c r="BK357" s="13"/>
      <c r="BL357" s="13"/>
      <c r="BM357" s="13"/>
      <c r="BN357" s="13"/>
    </row>
    <row r="358" spans="62:66" x14ac:dyDescent="0.55000000000000004">
      <c r="BJ358" s="13"/>
      <c r="BK358" s="13"/>
      <c r="BL358" s="13"/>
      <c r="BM358" s="13"/>
      <c r="BN358" s="13"/>
    </row>
    <row r="359" spans="62:66" x14ac:dyDescent="0.55000000000000004">
      <c r="BJ359" s="13"/>
      <c r="BK359" s="13"/>
      <c r="BL359" s="13"/>
      <c r="BM359" s="13"/>
      <c r="BN359" s="13"/>
    </row>
    <row r="360" spans="62:66" x14ac:dyDescent="0.55000000000000004">
      <c r="BJ360" s="13"/>
      <c r="BK360" s="13"/>
      <c r="BL360" s="13"/>
      <c r="BM360" s="13"/>
      <c r="BN360" s="13"/>
    </row>
    <row r="361" spans="62:66" x14ac:dyDescent="0.55000000000000004">
      <c r="BJ361" s="13"/>
      <c r="BK361" s="13"/>
      <c r="BL361" s="13"/>
      <c r="BM361" s="13"/>
      <c r="BN361" s="13"/>
    </row>
    <row r="362" spans="62:66" x14ac:dyDescent="0.55000000000000004">
      <c r="BJ362" s="13"/>
      <c r="BK362" s="13"/>
      <c r="BL362" s="13"/>
      <c r="BM362" s="13"/>
      <c r="BN362" s="13"/>
    </row>
    <row r="363" spans="62:66" x14ac:dyDescent="0.55000000000000004">
      <c r="BJ363" s="13"/>
      <c r="BK363" s="13"/>
      <c r="BL363" s="13"/>
      <c r="BM363" s="13"/>
      <c r="BN363" s="13"/>
    </row>
    <row r="364" spans="62:66" x14ac:dyDescent="0.55000000000000004">
      <c r="BJ364" s="13"/>
      <c r="BK364" s="13"/>
      <c r="BL364" s="13"/>
      <c r="BM364" s="13"/>
      <c r="BN364" s="13"/>
    </row>
    <row r="365" spans="62:66" x14ac:dyDescent="0.55000000000000004">
      <c r="BJ365" s="13"/>
      <c r="BK365" s="13"/>
      <c r="BL365" s="13"/>
      <c r="BM365" s="13"/>
      <c r="BN365" s="13"/>
    </row>
    <row r="366" spans="62:66" x14ac:dyDescent="0.55000000000000004">
      <c r="BJ366" s="13"/>
      <c r="BK366" s="13"/>
      <c r="BL366" s="13"/>
      <c r="BM366" s="13"/>
      <c r="BN366" s="13"/>
    </row>
    <row r="367" spans="62:66" x14ac:dyDescent="0.55000000000000004">
      <c r="BJ367" s="13"/>
      <c r="BK367" s="13"/>
      <c r="BL367" s="13"/>
      <c r="BM367" s="13"/>
      <c r="BN367" s="13"/>
    </row>
    <row r="368" spans="62:66" x14ac:dyDescent="0.55000000000000004">
      <c r="BJ368" s="13"/>
      <c r="BK368" s="13"/>
      <c r="BL368" s="13"/>
      <c r="BM368" s="13"/>
      <c r="BN368" s="13"/>
    </row>
    <row r="369" spans="62:66" x14ac:dyDescent="0.55000000000000004">
      <c r="BJ369" s="13"/>
      <c r="BK369" s="13"/>
      <c r="BL369" s="13"/>
      <c r="BM369" s="13"/>
      <c r="BN369" s="13"/>
    </row>
    <row r="370" spans="62:66" x14ac:dyDescent="0.55000000000000004">
      <c r="BJ370" s="13"/>
      <c r="BK370" s="13"/>
      <c r="BL370" s="13"/>
      <c r="BM370" s="13"/>
      <c r="BN370" s="13"/>
    </row>
    <row r="371" spans="62:66" x14ac:dyDescent="0.55000000000000004">
      <c r="BJ371" s="13"/>
      <c r="BK371" s="13"/>
      <c r="BL371" s="13"/>
      <c r="BM371" s="13"/>
      <c r="BN371" s="13"/>
    </row>
    <row r="372" spans="62:66" x14ac:dyDescent="0.55000000000000004">
      <c r="BJ372" s="13"/>
      <c r="BK372" s="13"/>
      <c r="BL372" s="13"/>
      <c r="BM372" s="13"/>
      <c r="BN372" s="13"/>
    </row>
    <row r="373" spans="62:66" x14ac:dyDescent="0.55000000000000004">
      <c r="BJ373" s="13"/>
      <c r="BK373" s="13"/>
      <c r="BL373" s="13"/>
      <c r="BM373" s="13"/>
      <c r="BN373" s="13"/>
    </row>
    <row r="374" spans="62:66" x14ac:dyDescent="0.55000000000000004">
      <c r="BJ374" s="13"/>
      <c r="BK374" s="13"/>
      <c r="BL374" s="13"/>
      <c r="BM374" s="13"/>
      <c r="BN374" s="13"/>
    </row>
    <row r="375" spans="62:66" x14ac:dyDescent="0.55000000000000004">
      <c r="BJ375" s="13"/>
      <c r="BK375" s="13"/>
      <c r="BL375" s="13"/>
      <c r="BM375" s="13"/>
      <c r="BN375" s="13"/>
    </row>
    <row r="376" spans="62:66" x14ac:dyDescent="0.55000000000000004">
      <c r="BJ376" s="13"/>
      <c r="BK376" s="13"/>
      <c r="BL376" s="13"/>
      <c r="BM376" s="13"/>
      <c r="BN376" s="13"/>
    </row>
    <row r="377" spans="62:66" x14ac:dyDescent="0.55000000000000004">
      <c r="BJ377" s="13"/>
      <c r="BK377" s="13"/>
      <c r="BL377" s="13"/>
      <c r="BM377" s="13"/>
      <c r="BN377" s="13"/>
    </row>
    <row r="378" spans="62:66" x14ac:dyDescent="0.55000000000000004">
      <c r="BJ378" s="13"/>
      <c r="BK378" s="13"/>
      <c r="BL378" s="13"/>
      <c r="BM378" s="13"/>
      <c r="BN378" s="13"/>
    </row>
    <row r="379" spans="62:66" x14ac:dyDescent="0.55000000000000004">
      <c r="BJ379" s="13"/>
      <c r="BK379" s="13"/>
      <c r="BL379" s="13"/>
      <c r="BM379" s="13"/>
      <c r="BN379" s="13"/>
    </row>
    <row r="380" spans="62:66" x14ac:dyDescent="0.55000000000000004">
      <c r="BJ380" s="13"/>
      <c r="BK380" s="13"/>
      <c r="BL380" s="13"/>
      <c r="BM380" s="13"/>
      <c r="BN380" s="13"/>
    </row>
    <row r="381" spans="62:66" x14ac:dyDescent="0.55000000000000004">
      <c r="BJ381" s="13"/>
      <c r="BK381" s="13"/>
      <c r="BL381" s="13"/>
      <c r="BM381" s="13"/>
      <c r="BN381" s="13"/>
    </row>
    <row r="382" spans="62:66" x14ac:dyDescent="0.55000000000000004">
      <c r="BJ382" s="13"/>
      <c r="BK382" s="13"/>
      <c r="BL382" s="13"/>
      <c r="BM382" s="13"/>
      <c r="BN382" s="13"/>
    </row>
    <row r="383" spans="62:66" x14ac:dyDescent="0.55000000000000004">
      <c r="BJ383" s="13"/>
      <c r="BK383" s="13"/>
      <c r="BL383" s="13"/>
      <c r="BM383" s="13"/>
      <c r="BN383" s="13"/>
    </row>
    <row r="384" spans="62:66" x14ac:dyDescent="0.55000000000000004">
      <c r="BJ384" s="13"/>
      <c r="BK384" s="13"/>
      <c r="BL384" s="13"/>
      <c r="BM384" s="13"/>
      <c r="BN384" s="13"/>
    </row>
    <row r="385" spans="62:66" x14ac:dyDescent="0.55000000000000004">
      <c r="BJ385" s="13"/>
      <c r="BK385" s="13"/>
      <c r="BL385" s="13"/>
      <c r="BM385" s="13"/>
      <c r="BN385" s="13"/>
    </row>
    <row r="386" spans="62:66" x14ac:dyDescent="0.55000000000000004">
      <c r="BJ386" s="13"/>
      <c r="BK386" s="13"/>
      <c r="BL386" s="13"/>
      <c r="BM386" s="13"/>
      <c r="BN386" s="13"/>
    </row>
    <row r="387" spans="62:66" x14ac:dyDescent="0.55000000000000004">
      <c r="BJ387" s="13"/>
      <c r="BK387" s="13"/>
      <c r="BL387" s="13"/>
      <c r="BM387" s="13"/>
      <c r="BN387" s="13"/>
    </row>
    <row r="388" spans="62:66" x14ac:dyDescent="0.55000000000000004">
      <c r="BJ388" s="13"/>
      <c r="BK388" s="13"/>
      <c r="BL388" s="13"/>
      <c r="BM388" s="13"/>
      <c r="BN388" s="13"/>
    </row>
    <row r="389" spans="62:66" x14ac:dyDescent="0.55000000000000004">
      <c r="BJ389" s="13"/>
      <c r="BK389" s="13"/>
      <c r="BL389" s="13"/>
      <c r="BM389" s="13"/>
      <c r="BN389" s="13"/>
    </row>
    <row r="390" spans="62:66" x14ac:dyDescent="0.55000000000000004">
      <c r="BJ390" s="13"/>
      <c r="BK390" s="13"/>
      <c r="BL390" s="13"/>
      <c r="BM390" s="13"/>
      <c r="BN390" s="13"/>
    </row>
    <row r="391" spans="62:66" x14ac:dyDescent="0.55000000000000004">
      <c r="BJ391" s="13"/>
      <c r="BK391" s="13"/>
      <c r="BL391" s="13"/>
      <c r="BM391" s="13"/>
      <c r="BN391" s="13"/>
    </row>
    <row r="392" spans="62:66" x14ac:dyDescent="0.55000000000000004">
      <c r="BJ392" s="13"/>
      <c r="BK392" s="13"/>
      <c r="BL392" s="13"/>
      <c r="BM392" s="13"/>
      <c r="BN392" s="13"/>
    </row>
    <row r="393" spans="62:66" x14ac:dyDescent="0.55000000000000004">
      <c r="BJ393" s="13"/>
      <c r="BK393" s="13"/>
      <c r="BL393" s="13"/>
      <c r="BM393" s="13"/>
      <c r="BN393" s="13"/>
    </row>
    <row r="394" spans="62:66" x14ac:dyDescent="0.55000000000000004">
      <c r="BJ394" s="13"/>
      <c r="BK394" s="13"/>
      <c r="BL394" s="13"/>
      <c r="BM394" s="13"/>
      <c r="BN394" s="13"/>
    </row>
    <row r="395" spans="62:66" x14ac:dyDescent="0.55000000000000004">
      <c r="BJ395" s="13"/>
      <c r="BK395" s="13"/>
      <c r="BL395" s="13"/>
      <c r="BM395" s="13"/>
      <c r="BN395" s="13"/>
    </row>
    <row r="396" spans="62:66" x14ac:dyDescent="0.55000000000000004">
      <c r="BJ396" s="13"/>
      <c r="BK396" s="13"/>
      <c r="BL396" s="13"/>
      <c r="BM396" s="13"/>
      <c r="BN396" s="13"/>
    </row>
    <row r="397" spans="62:66" x14ac:dyDescent="0.55000000000000004">
      <c r="BJ397" s="13"/>
      <c r="BK397" s="13"/>
      <c r="BL397" s="13"/>
      <c r="BM397" s="13"/>
      <c r="BN397" s="13"/>
    </row>
    <row r="398" spans="62:66" x14ac:dyDescent="0.55000000000000004">
      <c r="BJ398" s="13"/>
      <c r="BK398" s="13"/>
      <c r="BL398" s="13"/>
      <c r="BM398" s="13"/>
      <c r="BN398" s="13"/>
    </row>
    <row r="399" spans="62:66" x14ac:dyDescent="0.55000000000000004">
      <c r="BJ399" s="13"/>
      <c r="BK399" s="13"/>
      <c r="BL399" s="13"/>
      <c r="BM399" s="13"/>
      <c r="BN399" s="13"/>
    </row>
    <row r="400" spans="62:66" x14ac:dyDescent="0.55000000000000004">
      <c r="BJ400" s="13"/>
      <c r="BK400" s="13"/>
      <c r="BL400" s="13"/>
      <c r="BM400" s="13"/>
      <c r="BN400" s="13"/>
    </row>
  </sheetData>
  <phoneticPr fontId="2"/>
  <conditionalFormatting sqref="G11:Z30">
    <cfRule type="colorScale" priority="1">
      <colorScale>
        <cfvo type="min"/>
        <cfvo type="num" val="0"/>
        <cfvo type="max"/>
        <color rgb="FF5A8AC4"/>
        <color rgb="FFFFFFFF"/>
        <color rgb="FFF8696B"/>
      </colorScale>
    </cfRule>
  </conditionalFormatting>
  <conditionalFormatting sqref="G59:Z78">
    <cfRule type="colorScale" priority="2">
      <colorScale>
        <cfvo type="min"/>
        <cfvo type="num" val="0"/>
        <cfvo type="max"/>
        <color rgb="FF5A8AC4"/>
        <color rgb="FFFFFFFF"/>
        <color rgb="FFF8696B"/>
      </colorScale>
    </cfRule>
  </conditionalFormatting>
  <conditionalFormatting sqref="V59:AO78">
    <cfRule type="colorScale" priority="3">
      <colorScale>
        <cfvo type="min"/>
        <cfvo type="num" val="0"/>
        <cfvo type="max"/>
        <color rgb="FF5A8AC4"/>
        <color rgb="FFFFFFFF"/>
        <color rgb="FFF8696B"/>
      </colorScale>
    </cfRule>
  </conditionalFormatting>
  <conditionalFormatting sqref="AK59:BD78">
    <cfRule type="colorScale" priority="4">
      <colorScale>
        <cfvo type="min"/>
        <cfvo type="num" val="0"/>
        <cfvo type="max"/>
        <color rgb="FF5A8AC4"/>
        <color rgb="FFFFFFFF"/>
        <color rgb="FFF8696B"/>
      </colorScale>
    </cfRule>
  </conditionalFormatting>
  <dataValidations count="7">
    <dataValidation type="whole" allowBlank="1" showInputMessage="1" showErrorMessage="1" prompt="復元に使う主成分の本数" sqref="B10" xr:uid="{2A1C2779-5E5E-4100-8228-DC5BAB6F0EC3}">
      <formula1>1</formula1>
      <formula2>50</formula2>
    </dataValidation>
    <dataValidation type="list" allowBlank="1" showInputMessage="1" showErrorMessage="1" prompt="なし=分散共分散(bp)のPCA / あり=z-score(相関行列)のPCA" sqref="B6" xr:uid="{C11F1F3B-7BFF-41EA-B0CF-D344E3570384}">
      <formula1>"あり,なし"</formula1>
    </dataValidation>
    <dataValidation type="list" allowBlank="1" showInputMessage="1" showErrorMessage="1" prompt="レベル=水準のPCA / 日次変化=前営業日からの変化のPCA" sqref="B5" xr:uid="{B9D60DA8-60B7-4CE1-AFE0-A74D35E6CB11}">
      <formula1>"レベル,日次変化"</formula1>
    </dataValidation>
    <dataValidation type="list" allowBlank="1" showInputMessage="1" showErrorMessage="1" sqref="B14:B29 D14:D25" xr:uid="{805B1E78-A7C6-468C-B156-598800734A53}">
      <formula1>"○,×"</formula1>
    </dataValidation>
    <dataValidation allowBlank="1" showInputMessage="1" showErrorMessage="1" prompt="windowの最終日。空欄=比較日より前の直近(当日は推定に使わない)" sqref="B3" xr:uid="{B2EB3CCC-E169-4510-AC05-0BC173E104C0}"/>
    <dataValidation allowBlank="1" showInputMessage="1" showErrorMessage="1" prompt="サンプル数。選択銘柄が1本でも欠けた日は除外し、さらに過去へさかのぼる" sqref="B4" xr:uid="{EC40024D-C645-4557-8797-77A79149E40E}"/>
    <dataValidation allowBlank="1" showInputMessage="1" showErrorMessage="1" prompt="空欄=今日(RealTimeのライブの値)。日付=DBのその日の引け値。推定基準日と独立に選べる" sqref="B9" xr:uid="{646C0420-BC5D-4CD5-BBAB-FBA5BD18158B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06F5C-21A7-4955-8232-1DB4D05ECF6F}">
  <sheetPr codeName="Sheet1"/>
  <dimension ref="A1:E43"/>
  <sheetViews>
    <sheetView workbookViewId="0">
      <selection activeCell="F16" sqref="F16"/>
    </sheetView>
  </sheetViews>
  <sheetFormatPr defaultRowHeight="20" x14ac:dyDescent="0.6"/>
  <cols>
    <col min="1" max="16384" width="8.6640625" style="1"/>
  </cols>
  <sheetData>
    <row r="1" spans="1:5" x14ac:dyDescent="0.6">
      <c r="A1" s="2" t="s">
        <v>44</v>
      </c>
      <c r="B1" s="2" t="s">
        <v>0</v>
      </c>
      <c r="C1" s="2" t="s">
        <v>1</v>
      </c>
      <c r="E1" s="1" t="s">
        <v>45</v>
      </c>
    </row>
    <row r="2" spans="1:5" x14ac:dyDescent="0.6">
      <c r="B2" s="1" t="s">
        <v>2</v>
      </c>
      <c r="C2" s="1">
        <f ca="1">(_xll.RtGet("IDN","JP1DONI=TRDT","BID")+_xll.RtGet("IDN","JP1DONI=TRDT","ASK"))/2</f>
      </c>
      <c r="E2" s="1" t="s">
        <v>73</v>
      </c>
    </row>
    <row r="3" spans="1:5" x14ac:dyDescent="0.6">
      <c r="B3" s="1" t="s">
        <v>3</v>
      </c>
      <c r="C3" s="1" cm="1">
        <f t="array" aca="1" ref="C3" ca="1">(_xll.RtGet("IDN","JP"&amp;B3&amp;"ONI=TRDT","BID")+_xll.RtGet("IDN","JP"&amp;B3&amp;"ONI=TRDT","ASK"))/2</f>
      </c>
    </row>
    <row r="4" spans="1:5" x14ac:dyDescent="0.6">
      <c r="B4" s="1" t="s">
        <v>4</v>
      </c>
      <c r="C4" s="1" cm="1">
        <f t="array" aca="1" ref="C4" ca="1">(_xll.RtGet("IDN","JP"&amp;B4&amp;"ONI=TRDT","BID")+_xll.RtGet("IDN","JP"&amp;B4&amp;"ONI=TRDT","ASK"))/2</f>
      </c>
    </row>
    <row r="5" spans="1:5" x14ac:dyDescent="0.6">
      <c r="B5" s="1" t="s">
        <v>5</v>
      </c>
      <c r="C5" s="1" cm="1">
        <f t="array" aca="1" ref="C5" ca="1">(_xll.RtGet("IDN","JP"&amp;B5&amp;"ONI=TRDT","BID")+_xll.RtGet("IDN","JP"&amp;B5&amp;"ONI=TRDT","ASK"))/2</f>
      </c>
    </row>
    <row r="6" spans="1:5" x14ac:dyDescent="0.6">
      <c r="B6" s="1" t="s">
        <v>6</v>
      </c>
      <c r="C6" s="1" cm="1">
        <f t="array" aca="1" ref="C6" ca="1">(_xll.RtGet("IDN","JP"&amp;B6&amp;"ONI=TRDT","BID")+_xll.RtGet("IDN","JP"&amp;B6&amp;"ONI=TRDT","ASK"))/2</f>
      </c>
    </row>
    <row r="7" spans="1:5" x14ac:dyDescent="0.6">
      <c r="B7" s="1" t="s">
        <v>7</v>
      </c>
      <c r="C7" s="1" cm="1">
        <f t="array" aca="1" ref="C7" ca="1">(_xll.RtGet("IDN","JP"&amp;B7&amp;"ONI=TRDT","BID")+_xll.RtGet("IDN","JP"&amp;B7&amp;"ONI=TRDT","ASK"))/2</f>
      </c>
    </row>
    <row r="8" spans="1:5" x14ac:dyDescent="0.6">
      <c r="B8" s="1" t="s">
        <v>8</v>
      </c>
      <c r="C8" s="1" cm="1">
        <f t="array" aca="1" ref="C8" ca="1">(_xll.RtGet("IDN","JP"&amp;B8&amp;"ONI=TRDT","BID")+_xll.RtGet("IDN","JP"&amp;B8&amp;"ONI=TRDT","ASK"))/2</f>
      </c>
    </row>
    <row r="9" spans="1:5" x14ac:dyDescent="0.6">
      <c r="B9" s="1" t="s">
        <v>9</v>
      </c>
      <c r="C9" s="1" cm="1">
        <f t="array" aca="1" ref="C9" ca="1">(_xll.RtGet("IDN","JP"&amp;B9&amp;"ONI=TRDT","BID")+_xll.RtGet("IDN","JP"&amp;B9&amp;"ONI=TRDT","ASK"))/2</f>
      </c>
    </row>
    <row r="10" spans="1:5" x14ac:dyDescent="0.6">
      <c r="B10" s="1" t="s">
        <v>10</v>
      </c>
      <c r="C10" s="1" cm="1">
        <f t="array" aca="1" ref="C10" ca="1">(_xll.RtGet("IDN","JP"&amp;B10&amp;"ONI=TRDT","BID")+_xll.RtGet("IDN","JP"&amp;B10&amp;"ONI=TRDT","ASK"))/2</f>
      </c>
    </row>
    <row r="11" spans="1:5" x14ac:dyDescent="0.6">
      <c r="B11" s="1" t="s">
        <v>11</v>
      </c>
      <c r="C11" s="1" cm="1">
        <f t="array" aca="1" ref="C11" ca="1">(_xll.RtGet("IDN","JP"&amp;B11&amp;"ONI=TRDT","BID")+_xll.RtGet("IDN","JP"&amp;B11&amp;"ONI=TRDT","ASK"))/2</f>
      </c>
    </row>
    <row r="12" spans="1:5" x14ac:dyDescent="0.6">
      <c r="B12" s="1" t="s">
        <v>12</v>
      </c>
      <c r="C12" s="1" cm="1">
        <f t="array" aca="1" ref="C12" ca="1">(_xll.RtGet("IDN","JP"&amp;B12&amp;"ONI=TRDT","BID")+_xll.RtGet("IDN","JP"&amp;B12&amp;"ONI=TRDT","ASK"))/2</f>
      </c>
    </row>
    <row r="13" spans="1:5" x14ac:dyDescent="0.6">
      <c r="B13" s="1" t="s">
        <v>13</v>
      </c>
      <c r="C13" s="1" cm="1">
        <f t="array" aca="1" ref="C13" ca="1">(_xll.RtGet("IDN","JP"&amp;B13&amp;"ONI=TRDT","BID")+_xll.RtGet("IDN","JP"&amp;B13&amp;"ONI=TRDT","ASK"))/2</f>
      </c>
    </row>
    <row r="14" spans="1:5" x14ac:dyDescent="0.6">
      <c r="B14" s="1" t="s">
        <v>14</v>
      </c>
      <c r="C14" s="1" cm="1">
        <f t="array" aca="1" ref="C14" ca="1">(_xll.RtGet("IDN","JP"&amp;B14&amp;"ONI=TRDT","BID")+_xll.RtGet("IDN","JP"&amp;B14&amp;"ONI=TRDT","ASK"))/2</f>
      </c>
    </row>
    <row r="15" spans="1:5" x14ac:dyDescent="0.6">
      <c r="B15" s="1" t="s">
        <v>15</v>
      </c>
      <c r="C15" s="1" cm="1">
        <f t="array" aca="1" ref="C15" ca="1">(_xll.RtGet("IDN","JP"&amp;B15&amp;"ONI=TRDT","BID")+_xll.RtGet("IDN","JP"&amp;B15&amp;"ONI=TRDT","ASK"))/2</f>
      </c>
    </row>
    <row r="16" spans="1:5" x14ac:dyDescent="0.6">
      <c r="B16" s="1" t="s">
        <v>16</v>
      </c>
      <c r="C16" s="1" cm="1">
        <f t="array" aca="1" ref="C16" ca="1">(_xll.RtGet("IDN","JP"&amp;B16&amp;"ONI=TRDT","BID")+_xll.RtGet("IDN","JP"&amp;B16&amp;"ONI=TRDT","ASK"))/2</f>
      </c>
    </row>
    <row r="17" spans="2:3" x14ac:dyDescent="0.6">
      <c r="B17" s="1" t="s">
        <v>17</v>
      </c>
      <c r="C17" s="1" cm="1">
        <f t="array" aca="1" ref="C17" ca="1">(_xll.RtGet("IDN","JP"&amp;B17&amp;"ONI=TRDT","BID")+_xll.RtGet("IDN","JP"&amp;B17&amp;"ONI=TRDT","ASK"))/2</f>
      </c>
    </row>
    <row r="18" spans="2:3" x14ac:dyDescent="0.6">
      <c r="B18" s="1" t="s">
        <v>18</v>
      </c>
      <c r="C18" s="1" cm="1">
        <f t="array" aca="1" ref="C18" ca="1">(_xll.RtGet("IDN","JP"&amp;B18&amp;"ONI=TRDT","BID")+_xll.RtGet("IDN","JP"&amp;B18&amp;"ONI=TRDT","ASK"))/2</f>
      </c>
    </row>
    <row r="19" spans="2:3" x14ac:dyDescent="0.6">
      <c r="B19" s="1" t="s">
        <v>19</v>
      </c>
      <c r="C19" s="1" cm="1">
        <f t="array" aca="1" ref="C19" ca="1">(_xll.RtGet("IDN","JP"&amp;B19&amp;"ONI=TRDT","BID")+_xll.RtGet("IDN","JP"&amp;B19&amp;"ONI=TRDT","ASK"))/2</f>
      </c>
    </row>
    <row r="20" spans="2:3" x14ac:dyDescent="0.6">
      <c r="B20" s="1" t="s">
        <v>20</v>
      </c>
      <c r="C20" s="1" cm="1">
        <f t="array" aca="1" ref="C20" ca="1">(_xll.RtGet("IDN","JP"&amp;B20&amp;"ONI=TRDT","BID")+_xll.RtGet("IDN","JP"&amp;B20&amp;"ONI=TRDT","ASK"))/2</f>
      </c>
    </row>
    <row r="21" spans="2:3" x14ac:dyDescent="0.6">
      <c r="B21" s="1" t="s">
        <v>21</v>
      </c>
      <c r="C21" s="1" cm="1">
        <f t="array" aca="1" ref="C21" ca="1">(_xll.RtGet("IDN","JP"&amp;B21&amp;"ONI=TRDT","BID")+_xll.RtGet("IDN","JP"&amp;B21&amp;"ONI=TRDT","ASK"))/2</f>
      </c>
    </row>
    <row r="22" spans="2:3" x14ac:dyDescent="0.6">
      <c r="B22" s="1" t="s">
        <v>22</v>
      </c>
      <c r="C22" s="1" cm="1">
        <f t="array" aca="1" ref="C22" ca="1">(_xll.RtGet("IDN","JP"&amp;B22&amp;"ONI=TRDT","BID")+_xll.RtGet("IDN","JP"&amp;B22&amp;"ONI=TRDT","ASK"))/2</f>
      </c>
    </row>
    <row r="23" spans="2:3" x14ac:dyDescent="0.6">
      <c r="B23" s="1" t="s">
        <v>23</v>
      </c>
      <c r="C23" s="1" cm="1">
        <f t="array" aca="1" ref="C23" ca="1">(_xll.RtGet("IDN","JP"&amp;B23&amp;"ONI=TRDT","BID")+_xll.RtGet("IDN","JP"&amp;B23&amp;"ONI=TRDT","ASK"))/2</f>
      </c>
    </row>
    <row r="24" spans="2:3" x14ac:dyDescent="0.6">
      <c r="B24" s="1" t="s">
        <v>24</v>
      </c>
      <c r="C24" s="1" cm="1">
        <f t="array" aca="1" ref="C24" ca="1">(_xll.RtGet("IDN","JP"&amp;B24&amp;"ONI=TRDT","BID")+_xll.RtGet("IDN","JP"&amp;B24&amp;"ONI=TRDT","ASK"))/2</f>
      </c>
    </row>
    <row r="25" spans="2:3" x14ac:dyDescent="0.6">
      <c r="B25" s="1" t="s">
        <v>25</v>
      </c>
      <c r="C25" s="1" cm="1">
        <f t="array" aca="1" ref="C25" ca="1">(_xll.RtGet("IDN","JP"&amp;B25&amp;"ONI=TRDT","BID")+_xll.RtGet("IDN","JP"&amp;B25&amp;"ONI=TRDT","ASK"))/2</f>
      </c>
    </row>
    <row r="26" spans="2:3" x14ac:dyDescent="0.6">
      <c r="B26" s="1" t="s">
        <v>26</v>
      </c>
      <c r="C26" s="1" cm="1">
        <f t="array" aca="1" ref="C26" ca="1">(_xll.RtGet("IDN","JP"&amp;B26&amp;"ONI=TRDT","BID")+_xll.RtGet("IDN","JP"&amp;B26&amp;"ONI=TRDT","ASK"))/2</f>
      </c>
    </row>
    <row r="27" spans="2:3" x14ac:dyDescent="0.6">
      <c r="B27" s="1" t="s">
        <v>27</v>
      </c>
      <c r="C27" s="1" cm="1">
        <f t="array" aca="1" ref="C27" ca="1">(_xll.RtGet("IDN","JP"&amp;B27&amp;"ONI=TRDT","BID")+_xll.RtGet("IDN","JP"&amp;B27&amp;"ONI=TRDT","ASK"))/2</f>
      </c>
    </row>
    <row r="28" spans="2:3" x14ac:dyDescent="0.6">
      <c r="B28" s="1" t="s">
        <v>28</v>
      </c>
      <c r="C28" s="1" cm="1">
        <f t="array" aca="1" ref="C28" ca="1">(_xll.RtGet("IDN","JP"&amp;B28&amp;"ONI=TRDT","BID")+_xll.RtGet("IDN","JP"&amp;B28&amp;"ONI=TRDT","ASK"))/2</f>
      </c>
    </row>
    <row r="29" spans="2:3" x14ac:dyDescent="0.6">
      <c r="B29" s="1" t="s">
        <v>29</v>
      </c>
      <c r="C29" s="1" cm="1">
        <f t="array" aca="1" ref="C29" ca="1">(_xll.RtGet("IDN","JP"&amp;B29&amp;"ONI=TRDT","BID")+_xll.RtGet("IDN","JP"&amp;B29&amp;"ONI=TRDT","ASK"))/2</f>
      </c>
    </row>
    <row r="30" spans="2:3" x14ac:dyDescent="0.6">
      <c r="B30" s="1" t="s">
        <v>30</v>
      </c>
      <c r="C30" s="1" cm="1">
        <f t="array" aca="1" ref="C30" ca="1">(_xll.RtGet("IDN","JP"&amp;B30&amp;"ONI=TRDT","BID")+_xll.RtGet("IDN","JP"&amp;B30&amp;"ONI=TRDT","ASK"))/2</f>
      </c>
    </row>
    <row r="31" spans="2:3" x14ac:dyDescent="0.6">
      <c r="B31" s="1" t="s">
        <v>31</v>
      </c>
      <c r="C31" s="1" cm="1">
        <f t="array" aca="1" ref="C31" ca="1">(_xll.RtGet("IDN","JP"&amp;B31&amp;"ONI=TRDT","BID")+_xll.RtGet("IDN","JP"&amp;B31&amp;"ONI=TRDT","ASK"))/2</f>
      </c>
    </row>
    <row r="32" spans="2:3" x14ac:dyDescent="0.6">
      <c r="B32" s="1" t="s">
        <v>32</v>
      </c>
      <c r="C32" s="1" cm="1">
        <f t="array" aca="1" ref="C32" ca="1">(_xll.RtGet("IDN","JP"&amp;B32&amp;"ONI=TRDT","BID")+_xll.RtGet("IDN","JP"&amp;B32&amp;"ONI=TRDT","ASK"))/2</f>
      </c>
    </row>
    <row r="33" spans="1:3" x14ac:dyDescent="0.6">
      <c r="B33" s="1" t="s">
        <v>33</v>
      </c>
      <c r="C33" s="1" cm="1">
        <f t="array" aca="1" ref="C33" ca="1">(_xll.RtGet("IDN","JP"&amp;B33&amp;"ONI=TRDT","BID")+_xll.RtGet("IDN","JP"&amp;B33&amp;"ONI=TRDT","ASK"))/2</f>
      </c>
    </row>
    <row r="34" spans="1:3" x14ac:dyDescent="0.6">
      <c r="B34" s="1" t="s">
        <v>34</v>
      </c>
      <c r="C34" s="1" cm="1">
        <f t="array" aca="1" ref="C34" ca="1">(_xll.RtGet("IDN","JP"&amp;B34&amp;"ONI=TRDT","BID")+_xll.RtGet("IDN","JP"&amp;B34&amp;"ONI=TRDT","ASK"))/2</f>
      </c>
    </row>
    <row r="35" spans="1:3" x14ac:dyDescent="0.6">
      <c r="B35" s="1" t="s">
        <v>35</v>
      </c>
      <c r="C35" s="1" cm="1">
        <f t="array" aca="1" ref="C35" ca="1">(_xll.RtGet("IDN","JP"&amp;B35&amp;"ONI=TRDT","BID")+_xll.RtGet("IDN","JP"&amp;B35&amp;"ONI=TRDT","ASK"))/2</f>
      </c>
    </row>
    <row r="36" spans="1:3" x14ac:dyDescent="0.6">
      <c r="A36" s="1">
        <v>1</v>
      </c>
      <c r="B36" s="1" t="s">
        <v>36</v>
      </c>
      <c r="C36" s="1" cm="1">
        <f t="array" aca="1" ref="C36" ca="1">(_xll.TR("JPBOJ"&amp;A36&amp;"ONI=TRDT","BID")+_xll.TR("JPBOJ"&amp;A36&amp;"ONI=TRDT","ASK"))/2</f>
      </c>
    </row>
    <row r="37" spans="1:3" x14ac:dyDescent="0.6">
      <c r="A37" s="1">
        <v>2</v>
      </c>
      <c r="B37" s="1" t="s">
        <v>37</v>
      </c>
      <c r="C37" s="1" cm="1">
        <f t="array" aca="1" ref="C37" ca="1">(_xll.TR("JPBOJ"&amp;A37&amp;"ONI=TRDT","BID")+_xll.TR("JPBOJ"&amp;A37&amp;"ONI=TRDT","ASK"))/2</f>
      </c>
    </row>
    <row r="38" spans="1:3" x14ac:dyDescent="0.6">
      <c r="A38" s="1">
        <v>3</v>
      </c>
      <c r="B38" s="1" t="s">
        <v>38</v>
      </c>
      <c r="C38" s="1" cm="1">
        <f t="array" aca="1" ref="C38" ca="1">(_xll.TR("JPBOJ"&amp;A38&amp;"ONI=TRDT","BID")+_xll.TR("JPBOJ"&amp;A38&amp;"ONI=TRDT","ASK"))/2</f>
      </c>
    </row>
    <row r="39" spans="1:3" x14ac:dyDescent="0.6">
      <c r="A39" s="1">
        <v>4</v>
      </c>
      <c r="B39" s="1" t="s">
        <v>39</v>
      </c>
      <c r="C39" s="1" cm="1">
        <f t="array" aca="1" ref="C39" ca="1">(_xll.TR("JPBOJ"&amp;A39&amp;"ONI=TRDT","BID")+_xll.TR("JPBOJ"&amp;A39&amp;"ONI=TRDT","ASK"))/2</f>
      </c>
    </row>
    <row r="40" spans="1:3" x14ac:dyDescent="0.6">
      <c r="A40" s="1">
        <v>5</v>
      </c>
      <c r="B40" s="1" t="s">
        <v>40</v>
      </c>
      <c r="C40" s="1" cm="1">
        <f t="array" aca="1" ref="C40" ca="1">(_xll.TR("JPBOJ"&amp;A40&amp;"ONI=TRDT","BID")+_xll.TR("JPBOJ"&amp;A40&amp;"ONI=TRDT","ASK"))/2</f>
      </c>
    </row>
    <row r="41" spans="1:3" x14ac:dyDescent="0.6">
      <c r="A41" s="1">
        <v>6</v>
      </c>
      <c r="B41" s="1" t="s">
        <v>41</v>
      </c>
      <c r="C41" s="1" cm="1">
        <f t="array" aca="1" ref="C41" ca="1">(_xll.TR("JPBOJ"&amp;A41&amp;"ONI=TRDT","BID")+_xll.TR("JPBOJ"&amp;A41&amp;"ONI=TRDT","ASK"))/2</f>
      </c>
    </row>
    <row r="42" spans="1:3" x14ac:dyDescent="0.6">
      <c r="A42" s="1">
        <v>7</v>
      </c>
      <c r="B42" s="1" t="s">
        <v>42</v>
      </c>
      <c r="C42" s="1" cm="1">
        <f t="array" aca="1" ref="C42" ca="1">(_xll.TR("JPBOJ"&amp;A42&amp;"ONI=TRDT","BID")+_xll.TR("JPBOJ"&amp;A42&amp;"ONI=TRDT","ASK"))/2</f>
      </c>
    </row>
    <row r="43" spans="1:3" x14ac:dyDescent="0.6">
      <c r="A43" s="1">
        <v>8</v>
      </c>
      <c r="B43" s="1" t="s">
        <v>43</v>
      </c>
      <c r="C43" s="1" cm="1">
        <f t="array" aca="1" ref="C43" ca="1">(_xll.TR("JPBOJ"&amp;A43&amp;"ONI=TRDT","BID")+_xll.TR("JPBOJ"&amp;A43&amp;"ONI=TRDT","ASK"))/2</f>
      </c>
    </row>
  </sheetData>
  <phoneticPr fontId="2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A20F3-9E4F-4C32-AC24-CD1F7422ADC3}">
  <sheetPr codeName="Sheet8"/>
  <dimension ref="A1:G400"/>
  <sheetViews>
    <sheetView workbookViewId="0"/>
  </sheetViews>
  <sheetFormatPr defaultRowHeight="18" x14ac:dyDescent="0.55000000000000004"/>
  <sheetData>
    <row r="1" spans="1:7" x14ac:dyDescent="0.55000000000000004">
      <c r="A1" s="7" t="s">
        <v>74</v>
      </c>
      <c r="B1" s="7" t="s">
        <v>75</v>
      </c>
      <c r="C1" s="7" t="s">
        <v>76</v>
      </c>
      <c r="D1" s="7" t="s">
        <v>77</v>
      </c>
      <c r="E1" s="7" t="s">
        <v>1</v>
      </c>
      <c r="G1" t="s">
        <v>81</v>
      </c>
    </row>
    <row r="2" spans="1:7" ht="20" x14ac:dyDescent="0.6">
      <c r="A2" t="s">
        <v>4</v>
      </c>
      <c r="B2" t="s">
        <v>78</v>
      </c>
      <c r="C2" cm="1">
        <f t="array" ref="C2:C193">A2:A193&amp;"x"&amp;B2:B193</f>
      </c>
      <c r="D2" cm="1">
        <f t="array" ref="D2:D193">"JPYTO"&amp;A2:A193&amp;"X"&amp;B2:B193&amp;"ATM=R"</f>
      </c>
      <c r="E2" s="16">
        <f>_xll.RtGet("IDN",D2,"MID_IV_NOR")</f>
      </c>
      <c r="G2" t="s">
        <v>82</v>
      </c>
    </row>
    <row r="3" spans="1:7" ht="20" x14ac:dyDescent="0.6">
      <c r="A3" t="s">
        <v>4</v>
      </c>
      <c r="B3" t="s">
        <v>79</v>
      </c>
      <c r="E3" s="16">
        <f>_xll.RtGet("IDN",D3,"MID_IV_NOR")</f>
      </c>
    </row>
    <row r="4" spans="1:7" ht="20" x14ac:dyDescent="0.6">
      <c r="A4" t="s">
        <v>4</v>
      </c>
      <c r="B4" t="s">
        <v>80</v>
      </c>
      <c r="E4" s="16">
        <f>_xll.RtGet("IDN",D4,"MID_IV_NOR")</f>
      </c>
    </row>
    <row r="5" spans="1:7" ht="20" x14ac:dyDescent="0.6">
      <c r="A5" t="s">
        <v>4</v>
      </c>
      <c r="B5" t="s">
        <v>21</v>
      </c>
      <c r="E5" s="16">
        <f>_xll.RtGet("IDN",D5,"MID_IV_NOR")</f>
      </c>
    </row>
    <row r="6" spans="1:7" ht="20" x14ac:dyDescent="0.6">
      <c r="A6" t="s">
        <v>4</v>
      </c>
      <c r="B6" t="s">
        <v>22</v>
      </c>
      <c r="E6" s="16">
        <f>_xll.RtGet("IDN",D6,"MID_IV_NOR")</f>
      </c>
    </row>
    <row r="7" spans="1:7" ht="20" x14ac:dyDescent="0.6">
      <c r="A7" t="s">
        <v>4</v>
      </c>
      <c r="B7" t="s">
        <v>23</v>
      </c>
      <c r="E7" s="16">
        <f>_xll.RtGet("IDN",D7,"MID_IV_NOR")</f>
      </c>
    </row>
    <row r="8" spans="1:7" ht="20" x14ac:dyDescent="0.6">
      <c r="A8" t="s">
        <v>4</v>
      </c>
      <c r="B8" t="s">
        <v>24</v>
      </c>
      <c r="E8" s="16">
        <f>_xll.RtGet("IDN",D8,"MID_IV_NOR")</f>
      </c>
    </row>
    <row r="9" spans="1:7" ht="20" x14ac:dyDescent="0.6">
      <c r="A9" t="s">
        <v>4</v>
      </c>
      <c r="B9" t="s">
        <v>25</v>
      </c>
      <c r="E9" s="16">
        <f>_xll.RtGet("IDN",D9,"MID_IV_NOR")</f>
      </c>
    </row>
    <row r="10" spans="1:7" ht="20" x14ac:dyDescent="0.6">
      <c r="A10" t="s">
        <v>4</v>
      </c>
      <c r="B10" t="s">
        <v>26</v>
      </c>
      <c r="E10" s="16">
        <f>_xll.RtGet("IDN",D10,"MID_IV_NOR")</f>
      </c>
    </row>
    <row r="11" spans="1:7" ht="20" x14ac:dyDescent="0.6">
      <c r="A11" t="s">
        <v>4</v>
      </c>
      <c r="B11" t="s">
        <v>27</v>
      </c>
      <c r="E11" s="16">
        <f>_xll.RtGet("IDN",D11,"MID_IV_NOR")</f>
      </c>
    </row>
    <row r="12" spans="1:7" ht="20" x14ac:dyDescent="0.6">
      <c r="A12" t="s">
        <v>4</v>
      </c>
      <c r="B12" t="s">
        <v>30</v>
      </c>
      <c r="E12" s="16">
        <f>_xll.RtGet("IDN",D12,"MID_IV_NOR")</f>
      </c>
    </row>
    <row r="13" spans="1:7" ht="20" x14ac:dyDescent="0.6">
      <c r="A13" t="s">
        <v>4</v>
      </c>
      <c r="B13" t="s">
        <v>31</v>
      </c>
      <c r="E13" s="16">
        <f>_xll.RtGet("IDN",D13,"MID_IV_NOR")</f>
      </c>
    </row>
    <row r="14" spans="1:7" ht="20" x14ac:dyDescent="0.6">
      <c r="A14" t="s">
        <v>5</v>
      </c>
      <c r="B14" t="s">
        <v>78</v>
      </c>
      <c r="E14" s="16">
        <f>_xll.RtGet("IDN",D14,"MID_IV_NOR")</f>
      </c>
    </row>
    <row r="15" spans="1:7" ht="20" x14ac:dyDescent="0.6">
      <c r="A15" t="s">
        <v>5</v>
      </c>
      <c r="B15" t="s">
        <v>79</v>
      </c>
      <c r="E15" s="16">
        <f>_xll.RtGet("IDN",D15,"MID_IV_NOR")</f>
      </c>
    </row>
    <row r="16" spans="1:7" ht="20" x14ac:dyDescent="0.6">
      <c r="A16" t="s">
        <v>5</v>
      </c>
      <c r="B16" t="s">
        <v>80</v>
      </c>
      <c r="E16" s="16">
        <f>_xll.RtGet("IDN",D16,"MID_IV_NOR")</f>
      </c>
    </row>
    <row r="17" spans="1:5" ht="20" x14ac:dyDescent="0.6">
      <c r="A17" t="s">
        <v>5</v>
      </c>
      <c r="B17" t="s">
        <v>21</v>
      </c>
      <c r="E17" s="16">
        <f>_xll.RtGet("IDN",D17,"MID_IV_NOR")</f>
      </c>
    </row>
    <row r="18" spans="1:5" ht="20" x14ac:dyDescent="0.6">
      <c r="A18" t="s">
        <v>5</v>
      </c>
      <c r="B18" t="s">
        <v>22</v>
      </c>
      <c r="E18" s="16">
        <f>_xll.RtGet("IDN",D18,"MID_IV_NOR")</f>
      </c>
    </row>
    <row r="19" spans="1:5" ht="20" x14ac:dyDescent="0.6">
      <c r="A19" t="s">
        <v>5</v>
      </c>
      <c r="B19" t="s">
        <v>23</v>
      </c>
      <c r="E19" s="16">
        <f>_xll.RtGet("IDN",D19,"MID_IV_NOR")</f>
      </c>
    </row>
    <row r="20" spans="1:5" ht="20" x14ac:dyDescent="0.6">
      <c r="A20" t="s">
        <v>5</v>
      </c>
      <c r="B20" t="s">
        <v>24</v>
      </c>
      <c r="E20" s="16">
        <f>_xll.RtGet("IDN",D20,"MID_IV_NOR")</f>
      </c>
    </row>
    <row r="21" spans="1:5" ht="20" x14ac:dyDescent="0.6">
      <c r="A21" t="s">
        <v>5</v>
      </c>
      <c r="B21" t="s">
        <v>25</v>
      </c>
      <c r="E21" s="16">
        <f>_xll.RtGet("IDN",D21,"MID_IV_NOR")</f>
      </c>
    </row>
    <row r="22" spans="1:5" ht="20" x14ac:dyDescent="0.6">
      <c r="A22" t="s">
        <v>5</v>
      </c>
      <c r="B22" t="s">
        <v>26</v>
      </c>
      <c r="E22" s="16">
        <f>_xll.RtGet("IDN",D22,"MID_IV_NOR")</f>
      </c>
    </row>
    <row r="23" spans="1:5" ht="20" x14ac:dyDescent="0.6">
      <c r="A23" t="s">
        <v>5</v>
      </c>
      <c r="B23" t="s">
        <v>27</v>
      </c>
      <c r="E23" s="16">
        <f>_xll.RtGet("IDN",D23,"MID_IV_NOR")</f>
      </c>
    </row>
    <row r="24" spans="1:5" ht="20" x14ac:dyDescent="0.6">
      <c r="A24" t="s">
        <v>5</v>
      </c>
      <c r="B24" t="s">
        <v>30</v>
      </c>
      <c r="E24" s="16">
        <f>_xll.RtGet("IDN",D24,"MID_IV_NOR")</f>
      </c>
    </row>
    <row r="25" spans="1:5" ht="20" x14ac:dyDescent="0.6">
      <c r="A25" t="s">
        <v>5</v>
      </c>
      <c r="B25" t="s">
        <v>31</v>
      </c>
      <c r="E25" s="16">
        <f>_xll.RtGet("IDN",D25,"MID_IV_NOR")</f>
      </c>
    </row>
    <row r="26" spans="1:5" ht="20" x14ac:dyDescent="0.6">
      <c r="A26" t="s">
        <v>6</v>
      </c>
      <c r="B26" t="s">
        <v>78</v>
      </c>
      <c r="E26" s="16">
        <f>_xll.RtGet("IDN",D26,"MID_IV_NOR")</f>
      </c>
    </row>
    <row r="27" spans="1:5" ht="20" x14ac:dyDescent="0.6">
      <c r="A27" t="s">
        <v>6</v>
      </c>
      <c r="B27" t="s">
        <v>79</v>
      </c>
      <c r="E27" s="16">
        <f>_xll.RtGet("IDN",D27,"MID_IV_NOR")</f>
      </c>
    </row>
    <row r="28" spans="1:5" ht="20" x14ac:dyDescent="0.6">
      <c r="A28" t="s">
        <v>6</v>
      </c>
      <c r="B28" t="s">
        <v>80</v>
      </c>
      <c r="E28" s="16">
        <f>_xll.RtGet("IDN",D28,"MID_IV_NOR")</f>
      </c>
    </row>
    <row r="29" spans="1:5" ht="20" x14ac:dyDescent="0.6">
      <c r="A29" t="s">
        <v>6</v>
      </c>
      <c r="B29" t="s">
        <v>21</v>
      </c>
      <c r="E29" s="16">
        <f>_xll.RtGet("IDN",D29,"MID_IV_NOR")</f>
      </c>
    </row>
    <row r="30" spans="1:5" ht="20" x14ac:dyDescent="0.6">
      <c r="A30" t="s">
        <v>6</v>
      </c>
      <c r="B30" t="s">
        <v>22</v>
      </c>
      <c r="E30" s="16">
        <f>_xll.RtGet("IDN",D30,"MID_IV_NOR")</f>
      </c>
    </row>
    <row r="31" spans="1:5" ht="20" x14ac:dyDescent="0.6">
      <c r="A31" t="s">
        <v>6</v>
      </c>
      <c r="B31" t="s">
        <v>23</v>
      </c>
      <c r="E31" s="16">
        <f>_xll.RtGet("IDN",D31,"MID_IV_NOR")</f>
      </c>
    </row>
    <row r="32" spans="1:5" ht="20" x14ac:dyDescent="0.6">
      <c r="A32" t="s">
        <v>6</v>
      </c>
      <c r="B32" t="s">
        <v>24</v>
      </c>
      <c r="E32" s="16">
        <f>_xll.RtGet("IDN",D32,"MID_IV_NOR")</f>
      </c>
    </row>
    <row r="33" spans="1:5" ht="20" x14ac:dyDescent="0.6">
      <c r="A33" t="s">
        <v>6</v>
      </c>
      <c r="B33" t="s">
        <v>25</v>
      </c>
      <c r="E33" s="16">
        <f>_xll.RtGet("IDN",D33,"MID_IV_NOR")</f>
      </c>
    </row>
    <row r="34" spans="1:5" ht="20" x14ac:dyDescent="0.6">
      <c r="A34" t="s">
        <v>6</v>
      </c>
      <c r="B34" t="s">
        <v>26</v>
      </c>
      <c r="E34" s="16">
        <f>_xll.RtGet("IDN",D34,"MID_IV_NOR")</f>
      </c>
    </row>
    <row r="35" spans="1:5" ht="20" x14ac:dyDescent="0.6">
      <c r="A35" t="s">
        <v>6</v>
      </c>
      <c r="B35" t="s">
        <v>27</v>
      </c>
      <c r="E35" s="16">
        <f>_xll.RtGet("IDN",D35,"MID_IV_NOR")</f>
      </c>
    </row>
    <row r="36" spans="1:5" ht="20" x14ac:dyDescent="0.6">
      <c r="A36" t="s">
        <v>6</v>
      </c>
      <c r="B36" t="s">
        <v>30</v>
      </c>
      <c r="E36" s="16">
        <f>_xll.RtGet("IDN",D36,"MID_IV_NOR")</f>
      </c>
    </row>
    <row r="37" spans="1:5" ht="20" x14ac:dyDescent="0.6">
      <c r="A37" t="s">
        <v>6</v>
      </c>
      <c r="B37" t="s">
        <v>31</v>
      </c>
      <c r="E37" s="16">
        <f>_xll.RtGet("IDN",D37,"MID_IV_NOR")</f>
      </c>
    </row>
    <row r="38" spans="1:5" ht="20" x14ac:dyDescent="0.6">
      <c r="A38" t="s">
        <v>9</v>
      </c>
      <c r="B38" t="s">
        <v>78</v>
      </c>
      <c r="E38" s="16">
        <f>_xll.RtGet("IDN",D38,"MID_IV_NOR")</f>
      </c>
    </row>
    <row r="39" spans="1:5" ht="20" x14ac:dyDescent="0.6">
      <c r="A39" t="s">
        <v>9</v>
      </c>
      <c r="B39" t="s">
        <v>79</v>
      </c>
      <c r="E39" s="16">
        <f>_xll.RtGet("IDN",D39,"MID_IV_NOR")</f>
      </c>
    </row>
    <row r="40" spans="1:5" ht="20" x14ac:dyDescent="0.6">
      <c r="A40" t="s">
        <v>9</v>
      </c>
      <c r="B40" t="s">
        <v>80</v>
      </c>
      <c r="E40" s="16">
        <f>_xll.RtGet("IDN",D40,"MID_IV_NOR")</f>
      </c>
    </row>
    <row r="41" spans="1:5" ht="20" x14ac:dyDescent="0.6">
      <c r="A41" t="s">
        <v>9</v>
      </c>
      <c r="B41" t="s">
        <v>21</v>
      </c>
      <c r="E41" s="16">
        <f>_xll.RtGet("IDN",D41,"MID_IV_NOR")</f>
      </c>
    </row>
    <row r="42" spans="1:5" ht="20" x14ac:dyDescent="0.6">
      <c r="A42" t="s">
        <v>9</v>
      </c>
      <c r="B42" t="s">
        <v>22</v>
      </c>
      <c r="E42" s="16">
        <f>_xll.RtGet("IDN",D42,"MID_IV_NOR")</f>
      </c>
    </row>
    <row r="43" spans="1:5" ht="20" x14ac:dyDescent="0.6">
      <c r="A43" t="s">
        <v>9</v>
      </c>
      <c r="B43" t="s">
        <v>23</v>
      </c>
      <c r="E43" s="16">
        <f>_xll.RtGet("IDN",D43,"MID_IV_NOR")</f>
      </c>
    </row>
    <row r="44" spans="1:5" ht="20" x14ac:dyDescent="0.6">
      <c r="A44" t="s">
        <v>9</v>
      </c>
      <c r="B44" t="s">
        <v>24</v>
      </c>
      <c r="E44" s="16">
        <f>_xll.RtGet("IDN",D44,"MID_IV_NOR")</f>
      </c>
    </row>
    <row r="45" spans="1:5" ht="20" x14ac:dyDescent="0.6">
      <c r="A45" t="s">
        <v>9</v>
      </c>
      <c r="B45" t="s">
        <v>25</v>
      </c>
      <c r="E45" s="16">
        <f>_xll.RtGet("IDN",D45,"MID_IV_NOR")</f>
      </c>
    </row>
    <row r="46" spans="1:5" ht="20" x14ac:dyDescent="0.6">
      <c r="A46" t="s">
        <v>9</v>
      </c>
      <c r="B46" t="s">
        <v>26</v>
      </c>
      <c r="E46" s="16">
        <f>_xll.RtGet("IDN",D46,"MID_IV_NOR")</f>
      </c>
    </row>
    <row r="47" spans="1:5" ht="20" x14ac:dyDescent="0.6">
      <c r="A47" t="s">
        <v>9</v>
      </c>
      <c r="B47" t="s">
        <v>27</v>
      </c>
      <c r="E47" s="16">
        <f>_xll.RtGet("IDN",D47,"MID_IV_NOR")</f>
      </c>
    </row>
    <row r="48" spans="1:5" ht="20" x14ac:dyDescent="0.6">
      <c r="A48" t="s">
        <v>9</v>
      </c>
      <c r="B48" t="s">
        <v>30</v>
      </c>
      <c r="E48" s="16">
        <f>_xll.RtGet("IDN",D48,"MID_IV_NOR")</f>
      </c>
    </row>
    <row r="49" spans="1:5" ht="20" x14ac:dyDescent="0.6">
      <c r="A49" t="s">
        <v>9</v>
      </c>
      <c r="B49" t="s">
        <v>31</v>
      </c>
      <c r="E49" s="16">
        <f>_xll.RtGet("IDN",D49,"MID_IV_NOR")</f>
      </c>
    </row>
    <row r="50" spans="1:5" ht="20" x14ac:dyDescent="0.6">
      <c r="A50" t="s">
        <v>12</v>
      </c>
      <c r="B50" t="s">
        <v>78</v>
      </c>
      <c r="E50" s="16">
        <f>_xll.RtGet("IDN",D50,"MID_IV_NOR")</f>
      </c>
    </row>
    <row r="51" spans="1:5" ht="20" x14ac:dyDescent="0.6">
      <c r="A51" t="s">
        <v>12</v>
      </c>
      <c r="B51" t="s">
        <v>79</v>
      </c>
      <c r="E51" s="16">
        <f>_xll.RtGet("IDN",D51,"MID_IV_NOR")</f>
      </c>
    </row>
    <row r="52" spans="1:5" ht="20" x14ac:dyDescent="0.6">
      <c r="A52" t="s">
        <v>12</v>
      </c>
      <c r="B52" t="s">
        <v>80</v>
      </c>
      <c r="E52" s="16">
        <f>_xll.RtGet("IDN",D52,"MID_IV_NOR")</f>
      </c>
    </row>
    <row r="53" spans="1:5" ht="20" x14ac:dyDescent="0.6">
      <c r="A53" t="s">
        <v>12</v>
      </c>
      <c r="B53" t="s">
        <v>21</v>
      </c>
      <c r="E53" s="16">
        <f>_xll.RtGet("IDN",D53,"MID_IV_NOR")</f>
      </c>
    </row>
    <row r="54" spans="1:5" ht="20" x14ac:dyDescent="0.6">
      <c r="A54" t="s">
        <v>12</v>
      </c>
      <c r="B54" t="s">
        <v>22</v>
      </c>
      <c r="E54" s="16">
        <f>_xll.RtGet("IDN",D54,"MID_IV_NOR")</f>
      </c>
    </row>
    <row r="55" spans="1:5" ht="20" x14ac:dyDescent="0.6">
      <c r="A55" t="s">
        <v>12</v>
      </c>
      <c r="B55" t="s">
        <v>23</v>
      </c>
      <c r="E55" s="16">
        <f>_xll.RtGet("IDN",D55,"MID_IV_NOR")</f>
      </c>
    </row>
    <row r="56" spans="1:5" ht="20" x14ac:dyDescent="0.6">
      <c r="A56" t="s">
        <v>12</v>
      </c>
      <c r="B56" t="s">
        <v>24</v>
      </c>
      <c r="E56" s="16">
        <f>_xll.RtGet("IDN",D56,"MID_IV_NOR")</f>
      </c>
    </row>
    <row r="57" spans="1:5" ht="20" x14ac:dyDescent="0.6">
      <c r="A57" t="s">
        <v>12</v>
      </c>
      <c r="B57" t="s">
        <v>25</v>
      </c>
      <c r="E57" s="16">
        <f>_xll.RtGet("IDN",D57,"MID_IV_NOR")</f>
      </c>
    </row>
    <row r="58" spans="1:5" ht="20" x14ac:dyDescent="0.6">
      <c r="A58" t="s">
        <v>12</v>
      </c>
      <c r="B58" t="s">
        <v>26</v>
      </c>
      <c r="E58" s="16">
        <f>_xll.RtGet("IDN",D58,"MID_IV_NOR")</f>
      </c>
    </row>
    <row r="59" spans="1:5" ht="20" x14ac:dyDescent="0.6">
      <c r="A59" t="s">
        <v>12</v>
      </c>
      <c r="B59" t="s">
        <v>27</v>
      </c>
      <c r="E59" s="16">
        <f>_xll.RtGet("IDN",D59,"MID_IV_NOR")</f>
      </c>
    </row>
    <row r="60" spans="1:5" ht="20" x14ac:dyDescent="0.6">
      <c r="A60" t="s">
        <v>12</v>
      </c>
      <c r="B60" t="s">
        <v>30</v>
      </c>
      <c r="E60" s="16">
        <f>_xll.RtGet("IDN",D60,"MID_IV_NOR")</f>
      </c>
    </row>
    <row r="61" spans="1:5" ht="20" x14ac:dyDescent="0.6">
      <c r="A61" t="s">
        <v>12</v>
      </c>
      <c r="B61" t="s">
        <v>31</v>
      </c>
      <c r="E61" s="16">
        <f>_xll.RtGet("IDN",D61,"MID_IV_NOR")</f>
      </c>
    </row>
    <row r="62" spans="1:5" ht="20" x14ac:dyDescent="0.6">
      <c r="A62" t="s">
        <v>78</v>
      </c>
      <c r="B62" t="s">
        <v>78</v>
      </c>
      <c r="E62" s="16">
        <f>_xll.RtGet("IDN",D62,"MID_IV_NOR")</f>
      </c>
    </row>
    <row r="63" spans="1:5" ht="20" x14ac:dyDescent="0.6">
      <c r="A63" t="s">
        <v>78</v>
      </c>
      <c r="B63" t="s">
        <v>79</v>
      </c>
      <c r="E63" s="16">
        <f>_xll.RtGet("IDN",D63,"MID_IV_NOR")</f>
      </c>
    </row>
    <row r="64" spans="1:5" ht="20" x14ac:dyDescent="0.6">
      <c r="A64" t="s">
        <v>78</v>
      </c>
      <c r="B64" t="s">
        <v>80</v>
      </c>
      <c r="E64" s="16">
        <f>_xll.RtGet("IDN",D64,"MID_IV_NOR")</f>
      </c>
    </row>
    <row r="65" spans="1:5" ht="20" x14ac:dyDescent="0.6">
      <c r="A65" t="s">
        <v>78</v>
      </c>
      <c r="B65" t="s">
        <v>21</v>
      </c>
      <c r="E65" s="16">
        <f>_xll.RtGet("IDN",D65,"MID_IV_NOR")</f>
      </c>
    </row>
    <row r="66" spans="1:5" ht="20" x14ac:dyDescent="0.6">
      <c r="A66" t="s">
        <v>78</v>
      </c>
      <c r="B66" t="s">
        <v>22</v>
      </c>
      <c r="E66" s="16">
        <f>_xll.RtGet("IDN",D66,"MID_IV_NOR")</f>
      </c>
    </row>
    <row r="67" spans="1:5" ht="20" x14ac:dyDescent="0.6">
      <c r="A67" t="s">
        <v>78</v>
      </c>
      <c r="B67" t="s">
        <v>23</v>
      </c>
      <c r="E67" s="16">
        <f>_xll.RtGet("IDN",D67,"MID_IV_NOR")</f>
      </c>
    </row>
    <row r="68" spans="1:5" ht="20" x14ac:dyDescent="0.6">
      <c r="A68" t="s">
        <v>78</v>
      </c>
      <c r="B68" t="s">
        <v>24</v>
      </c>
      <c r="E68" s="16">
        <f>_xll.RtGet("IDN",D68,"MID_IV_NOR")</f>
      </c>
    </row>
    <row r="69" spans="1:5" ht="20" x14ac:dyDescent="0.6">
      <c r="A69" t="s">
        <v>78</v>
      </c>
      <c r="B69" t="s">
        <v>25</v>
      </c>
      <c r="E69" s="16">
        <f>_xll.RtGet("IDN",D69,"MID_IV_NOR")</f>
      </c>
    </row>
    <row r="70" spans="1:5" ht="20" x14ac:dyDescent="0.6">
      <c r="A70" t="s">
        <v>78</v>
      </c>
      <c r="B70" t="s">
        <v>26</v>
      </c>
      <c r="E70" s="16">
        <f>_xll.RtGet("IDN",D70,"MID_IV_NOR")</f>
      </c>
    </row>
    <row r="71" spans="1:5" ht="20" x14ac:dyDescent="0.6">
      <c r="A71" t="s">
        <v>78</v>
      </c>
      <c r="B71" t="s">
        <v>27</v>
      </c>
      <c r="E71" s="16">
        <f>_xll.RtGet("IDN",D71,"MID_IV_NOR")</f>
      </c>
    </row>
    <row r="72" spans="1:5" ht="20" x14ac:dyDescent="0.6">
      <c r="A72" t="s">
        <v>78</v>
      </c>
      <c r="B72" t="s">
        <v>30</v>
      </c>
      <c r="E72" s="16">
        <f>_xll.RtGet("IDN",D72,"MID_IV_NOR")</f>
      </c>
    </row>
    <row r="73" spans="1:5" ht="20" x14ac:dyDescent="0.6">
      <c r="A73" t="s">
        <v>78</v>
      </c>
      <c r="B73" t="s">
        <v>31</v>
      </c>
      <c r="E73" s="16">
        <f>_xll.RtGet("IDN",D73,"MID_IV_NOR")</f>
      </c>
    </row>
    <row r="74" spans="1:5" ht="20" x14ac:dyDescent="0.6">
      <c r="A74" t="s">
        <v>79</v>
      </c>
      <c r="B74" t="s">
        <v>78</v>
      </c>
      <c r="E74" s="16">
        <f>_xll.RtGet("IDN",D74,"MID_IV_NOR")</f>
      </c>
    </row>
    <row r="75" spans="1:5" ht="20" x14ac:dyDescent="0.6">
      <c r="A75" t="s">
        <v>79</v>
      </c>
      <c r="B75" t="s">
        <v>79</v>
      </c>
      <c r="E75" s="16">
        <f>_xll.RtGet("IDN",D75,"MID_IV_NOR")</f>
      </c>
    </row>
    <row r="76" spans="1:5" ht="20" x14ac:dyDescent="0.6">
      <c r="A76" t="s">
        <v>79</v>
      </c>
      <c r="B76" t="s">
        <v>80</v>
      </c>
      <c r="E76" s="16">
        <f>_xll.RtGet("IDN",D76,"MID_IV_NOR")</f>
      </c>
    </row>
    <row r="77" spans="1:5" ht="20" x14ac:dyDescent="0.6">
      <c r="A77" t="s">
        <v>79</v>
      </c>
      <c r="B77" t="s">
        <v>21</v>
      </c>
      <c r="E77" s="16">
        <f>_xll.RtGet("IDN",D77,"MID_IV_NOR")</f>
      </c>
    </row>
    <row r="78" spans="1:5" ht="20" x14ac:dyDescent="0.6">
      <c r="A78" t="s">
        <v>79</v>
      </c>
      <c r="B78" t="s">
        <v>22</v>
      </c>
      <c r="E78" s="16">
        <f>_xll.RtGet("IDN",D78,"MID_IV_NOR")</f>
      </c>
    </row>
    <row r="79" spans="1:5" ht="20" x14ac:dyDescent="0.6">
      <c r="A79" t="s">
        <v>79</v>
      </c>
      <c r="B79" t="s">
        <v>23</v>
      </c>
      <c r="E79" s="16">
        <f>_xll.RtGet("IDN",D79,"MID_IV_NOR")</f>
      </c>
    </row>
    <row r="80" spans="1:5" ht="20" x14ac:dyDescent="0.6">
      <c r="A80" t="s">
        <v>79</v>
      </c>
      <c r="B80" t="s">
        <v>24</v>
      </c>
      <c r="E80" s="16">
        <f>_xll.RtGet("IDN",D80,"MID_IV_NOR")</f>
      </c>
    </row>
    <row r="81" spans="1:5" ht="20" x14ac:dyDescent="0.6">
      <c r="A81" t="s">
        <v>79</v>
      </c>
      <c r="B81" t="s">
        <v>25</v>
      </c>
      <c r="E81" s="16">
        <f>_xll.RtGet("IDN",D81,"MID_IV_NOR")</f>
      </c>
    </row>
    <row r="82" spans="1:5" ht="20" x14ac:dyDescent="0.6">
      <c r="A82" t="s">
        <v>79</v>
      </c>
      <c r="B82" t="s">
        <v>26</v>
      </c>
      <c r="E82" s="16">
        <f>_xll.RtGet("IDN",D82,"MID_IV_NOR")</f>
      </c>
    </row>
    <row r="83" spans="1:5" ht="20" x14ac:dyDescent="0.6">
      <c r="A83" t="s">
        <v>79</v>
      </c>
      <c r="B83" t="s">
        <v>27</v>
      </c>
      <c r="E83" s="16">
        <f>_xll.RtGet("IDN",D83,"MID_IV_NOR")</f>
      </c>
    </row>
    <row r="84" spans="1:5" ht="20" x14ac:dyDescent="0.6">
      <c r="A84" t="s">
        <v>79</v>
      </c>
      <c r="B84" t="s">
        <v>30</v>
      </c>
      <c r="E84" s="16">
        <f>_xll.RtGet("IDN",D84,"MID_IV_NOR")</f>
      </c>
    </row>
    <row r="85" spans="1:5" ht="20" x14ac:dyDescent="0.6">
      <c r="A85" t="s">
        <v>79</v>
      </c>
      <c r="B85" t="s">
        <v>31</v>
      </c>
      <c r="E85" s="16">
        <f>_xll.RtGet("IDN",D85,"MID_IV_NOR")</f>
      </c>
    </row>
    <row r="86" spans="1:5" ht="20" x14ac:dyDescent="0.6">
      <c r="A86" t="s">
        <v>80</v>
      </c>
      <c r="B86" t="s">
        <v>78</v>
      </c>
      <c r="E86" s="16">
        <f>_xll.RtGet("IDN",D86,"MID_IV_NOR")</f>
      </c>
    </row>
    <row r="87" spans="1:5" ht="20" x14ac:dyDescent="0.6">
      <c r="A87" t="s">
        <v>80</v>
      </c>
      <c r="B87" t="s">
        <v>79</v>
      </c>
      <c r="E87" s="16">
        <f>_xll.RtGet("IDN",D87,"MID_IV_NOR")</f>
      </c>
    </row>
    <row r="88" spans="1:5" ht="20" x14ac:dyDescent="0.6">
      <c r="A88" t="s">
        <v>80</v>
      </c>
      <c r="B88" t="s">
        <v>80</v>
      </c>
      <c r="E88" s="16">
        <f>_xll.RtGet("IDN",D88,"MID_IV_NOR")</f>
      </c>
    </row>
    <row r="89" spans="1:5" ht="20" x14ac:dyDescent="0.6">
      <c r="A89" t="s">
        <v>80</v>
      </c>
      <c r="B89" t="s">
        <v>21</v>
      </c>
      <c r="E89" s="16">
        <f>_xll.RtGet("IDN",D89,"MID_IV_NOR")</f>
      </c>
    </row>
    <row r="90" spans="1:5" ht="20" x14ac:dyDescent="0.6">
      <c r="A90" t="s">
        <v>80</v>
      </c>
      <c r="B90" t="s">
        <v>22</v>
      </c>
      <c r="E90" s="16">
        <f>_xll.RtGet("IDN",D90,"MID_IV_NOR")</f>
      </c>
    </row>
    <row r="91" spans="1:5" ht="20" x14ac:dyDescent="0.6">
      <c r="A91" t="s">
        <v>80</v>
      </c>
      <c r="B91" t="s">
        <v>23</v>
      </c>
      <c r="E91" s="16">
        <f>_xll.RtGet("IDN",D91,"MID_IV_NOR")</f>
      </c>
    </row>
    <row r="92" spans="1:5" ht="20" x14ac:dyDescent="0.6">
      <c r="A92" t="s">
        <v>80</v>
      </c>
      <c r="B92" t="s">
        <v>24</v>
      </c>
      <c r="E92" s="16">
        <f>_xll.RtGet("IDN",D92,"MID_IV_NOR")</f>
      </c>
    </row>
    <row r="93" spans="1:5" ht="20" x14ac:dyDescent="0.6">
      <c r="A93" t="s">
        <v>80</v>
      </c>
      <c r="B93" t="s">
        <v>25</v>
      </c>
      <c r="E93" s="16">
        <f>_xll.RtGet("IDN",D93,"MID_IV_NOR")</f>
      </c>
    </row>
    <row r="94" spans="1:5" ht="20" x14ac:dyDescent="0.6">
      <c r="A94" t="s">
        <v>80</v>
      </c>
      <c r="B94" t="s">
        <v>26</v>
      </c>
      <c r="E94" s="16">
        <f>_xll.RtGet("IDN",D94,"MID_IV_NOR")</f>
      </c>
    </row>
    <row r="95" spans="1:5" ht="20" x14ac:dyDescent="0.6">
      <c r="A95" t="s">
        <v>80</v>
      </c>
      <c r="B95" t="s">
        <v>27</v>
      </c>
      <c r="E95" s="16">
        <f>_xll.RtGet("IDN",D95,"MID_IV_NOR")</f>
      </c>
    </row>
    <row r="96" spans="1:5" ht="20" x14ac:dyDescent="0.6">
      <c r="A96" t="s">
        <v>80</v>
      </c>
      <c r="B96" t="s">
        <v>30</v>
      </c>
      <c r="E96" s="16">
        <f>_xll.RtGet("IDN",D96,"MID_IV_NOR")</f>
      </c>
    </row>
    <row r="97" spans="1:5" ht="20" x14ac:dyDescent="0.6">
      <c r="A97" t="s">
        <v>80</v>
      </c>
      <c r="B97" t="s">
        <v>31</v>
      </c>
      <c r="E97" s="16">
        <f>_xll.RtGet("IDN",D97,"MID_IV_NOR")</f>
      </c>
    </row>
    <row r="98" spans="1:5" ht="20" x14ac:dyDescent="0.6">
      <c r="A98" t="s">
        <v>21</v>
      </c>
      <c r="B98" t="s">
        <v>78</v>
      </c>
      <c r="E98" s="16">
        <f>_xll.RtGet("IDN",D98,"MID_IV_NOR")</f>
      </c>
    </row>
    <row r="99" spans="1:5" ht="20" x14ac:dyDescent="0.6">
      <c r="A99" t="s">
        <v>21</v>
      </c>
      <c r="B99" t="s">
        <v>79</v>
      </c>
      <c r="E99" s="16">
        <f>_xll.RtGet("IDN",D99,"MID_IV_NOR")</f>
      </c>
    </row>
    <row r="100" spans="1:5" ht="20" x14ac:dyDescent="0.6">
      <c r="A100" t="s">
        <v>21</v>
      </c>
      <c r="B100" t="s">
        <v>80</v>
      </c>
      <c r="E100" s="16">
        <f>_xll.RtGet("IDN",D100,"MID_IV_NOR")</f>
      </c>
    </row>
    <row r="101" spans="1:5" ht="20" x14ac:dyDescent="0.6">
      <c r="A101" t="s">
        <v>21</v>
      </c>
      <c r="B101" t="s">
        <v>21</v>
      </c>
      <c r="E101" s="16">
        <f>_xll.RtGet("IDN",D101,"MID_IV_NOR")</f>
      </c>
    </row>
    <row r="102" spans="1:5" ht="20" x14ac:dyDescent="0.6">
      <c r="A102" t="s">
        <v>21</v>
      </c>
      <c r="B102" t="s">
        <v>22</v>
      </c>
      <c r="E102" s="16">
        <f>_xll.RtGet("IDN",D102,"MID_IV_NOR")</f>
      </c>
    </row>
    <row r="103" spans="1:5" ht="20" x14ac:dyDescent="0.6">
      <c r="A103" t="s">
        <v>21</v>
      </c>
      <c r="B103" t="s">
        <v>23</v>
      </c>
      <c r="E103" s="16">
        <f>_xll.RtGet("IDN",D103,"MID_IV_NOR")</f>
      </c>
    </row>
    <row r="104" spans="1:5" ht="20" x14ac:dyDescent="0.6">
      <c r="A104" t="s">
        <v>21</v>
      </c>
      <c r="B104" t="s">
        <v>24</v>
      </c>
      <c r="E104" s="16">
        <f>_xll.RtGet("IDN",D104,"MID_IV_NOR")</f>
      </c>
    </row>
    <row r="105" spans="1:5" ht="20" x14ac:dyDescent="0.6">
      <c r="A105" t="s">
        <v>21</v>
      </c>
      <c r="B105" t="s">
        <v>25</v>
      </c>
      <c r="E105" s="16">
        <f>_xll.RtGet("IDN",D105,"MID_IV_NOR")</f>
      </c>
    </row>
    <row r="106" spans="1:5" ht="20" x14ac:dyDescent="0.6">
      <c r="A106" t="s">
        <v>21</v>
      </c>
      <c r="B106" t="s">
        <v>26</v>
      </c>
      <c r="E106" s="16">
        <f>_xll.RtGet("IDN",D106,"MID_IV_NOR")</f>
      </c>
    </row>
    <row r="107" spans="1:5" ht="20" x14ac:dyDescent="0.6">
      <c r="A107" t="s">
        <v>21</v>
      </c>
      <c r="B107" t="s">
        <v>27</v>
      </c>
      <c r="E107" s="16">
        <f>_xll.RtGet("IDN",D107,"MID_IV_NOR")</f>
      </c>
    </row>
    <row r="108" spans="1:5" ht="20" x14ac:dyDescent="0.6">
      <c r="A108" t="s">
        <v>21</v>
      </c>
      <c r="B108" t="s">
        <v>30</v>
      </c>
      <c r="E108" s="16">
        <f>_xll.RtGet("IDN",D108,"MID_IV_NOR")</f>
      </c>
    </row>
    <row r="109" spans="1:5" ht="20" x14ac:dyDescent="0.6">
      <c r="A109" t="s">
        <v>21</v>
      </c>
      <c r="B109" t="s">
        <v>31</v>
      </c>
      <c r="E109" s="16">
        <f>_xll.RtGet("IDN",D109,"MID_IV_NOR")</f>
      </c>
    </row>
    <row r="110" spans="1:5" ht="20" x14ac:dyDescent="0.6">
      <c r="A110" t="s">
        <v>22</v>
      </c>
      <c r="B110" t="s">
        <v>78</v>
      </c>
      <c r="E110" s="16">
        <f>_xll.RtGet("IDN",D110,"MID_IV_NOR")</f>
      </c>
    </row>
    <row r="111" spans="1:5" ht="20" x14ac:dyDescent="0.6">
      <c r="A111" t="s">
        <v>22</v>
      </c>
      <c r="B111" t="s">
        <v>79</v>
      </c>
      <c r="E111" s="16">
        <f>_xll.RtGet("IDN",D111,"MID_IV_NOR")</f>
      </c>
    </row>
    <row r="112" spans="1:5" ht="20" x14ac:dyDescent="0.6">
      <c r="A112" t="s">
        <v>22</v>
      </c>
      <c r="B112" t="s">
        <v>80</v>
      </c>
      <c r="E112" s="16">
        <f>_xll.RtGet("IDN",D112,"MID_IV_NOR")</f>
      </c>
    </row>
    <row r="113" spans="1:5" ht="20" x14ac:dyDescent="0.6">
      <c r="A113" t="s">
        <v>22</v>
      </c>
      <c r="B113" t="s">
        <v>21</v>
      </c>
      <c r="E113" s="16">
        <f>_xll.RtGet("IDN",D113,"MID_IV_NOR")</f>
      </c>
    </row>
    <row r="114" spans="1:5" ht="20" x14ac:dyDescent="0.6">
      <c r="A114" t="s">
        <v>22</v>
      </c>
      <c r="B114" t="s">
        <v>22</v>
      </c>
      <c r="E114" s="16">
        <f>_xll.RtGet("IDN",D114,"MID_IV_NOR")</f>
      </c>
    </row>
    <row r="115" spans="1:5" ht="20" x14ac:dyDescent="0.6">
      <c r="A115" t="s">
        <v>22</v>
      </c>
      <c r="B115" t="s">
        <v>23</v>
      </c>
      <c r="E115" s="16">
        <f>_xll.RtGet("IDN",D115,"MID_IV_NOR")</f>
      </c>
    </row>
    <row r="116" spans="1:5" ht="20" x14ac:dyDescent="0.6">
      <c r="A116" t="s">
        <v>22</v>
      </c>
      <c r="B116" t="s">
        <v>24</v>
      </c>
      <c r="E116" s="16">
        <f>_xll.RtGet("IDN",D116,"MID_IV_NOR")</f>
      </c>
    </row>
    <row r="117" spans="1:5" ht="20" x14ac:dyDescent="0.6">
      <c r="A117" t="s">
        <v>22</v>
      </c>
      <c r="B117" t="s">
        <v>25</v>
      </c>
      <c r="E117" s="16">
        <f>_xll.RtGet("IDN",D117,"MID_IV_NOR")</f>
      </c>
    </row>
    <row r="118" spans="1:5" ht="20" x14ac:dyDescent="0.6">
      <c r="A118" t="s">
        <v>22</v>
      </c>
      <c r="B118" t="s">
        <v>26</v>
      </c>
      <c r="E118" s="16">
        <f>_xll.RtGet("IDN",D118,"MID_IV_NOR")</f>
      </c>
    </row>
    <row r="119" spans="1:5" ht="20" x14ac:dyDescent="0.6">
      <c r="A119" t="s">
        <v>22</v>
      </c>
      <c r="B119" t="s">
        <v>27</v>
      </c>
      <c r="E119" s="16">
        <f>_xll.RtGet("IDN",D119,"MID_IV_NOR")</f>
      </c>
    </row>
    <row r="120" spans="1:5" ht="20" x14ac:dyDescent="0.6">
      <c r="A120" t="s">
        <v>22</v>
      </c>
      <c r="B120" t="s">
        <v>30</v>
      </c>
      <c r="E120" s="16">
        <f>_xll.RtGet("IDN",D120,"MID_IV_NOR")</f>
      </c>
    </row>
    <row r="121" spans="1:5" ht="20" x14ac:dyDescent="0.6">
      <c r="A121" t="s">
        <v>22</v>
      </c>
      <c r="B121" t="s">
        <v>31</v>
      </c>
      <c r="E121" s="16">
        <f>_xll.RtGet("IDN",D121,"MID_IV_NOR")</f>
      </c>
    </row>
    <row r="122" spans="1:5" ht="20" x14ac:dyDescent="0.6">
      <c r="A122" t="s">
        <v>23</v>
      </c>
      <c r="B122" t="s">
        <v>78</v>
      </c>
      <c r="E122" s="16">
        <f>_xll.RtGet("IDN",D122,"MID_IV_NOR")</f>
      </c>
    </row>
    <row r="123" spans="1:5" ht="20" x14ac:dyDescent="0.6">
      <c r="A123" t="s">
        <v>23</v>
      </c>
      <c r="B123" t="s">
        <v>79</v>
      </c>
      <c r="E123" s="16">
        <f>_xll.RtGet("IDN",D123,"MID_IV_NOR")</f>
      </c>
    </row>
    <row r="124" spans="1:5" ht="20" x14ac:dyDescent="0.6">
      <c r="A124" t="s">
        <v>23</v>
      </c>
      <c r="B124" t="s">
        <v>80</v>
      </c>
      <c r="E124" s="16">
        <f>_xll.RtGet("IDN",D124,"MID_IV_NOR")</f>
      </c>
    </row>
    <row r="125" spans="1:5" ht="20" x14ac:dyDescent="0.6">
      <c r="A125" t="s">
        <v>23</v>
      </c>
      <c r="B125" t="s">
        <v>21</v>
      </c>
      <c r="E125" s="16">
        <f>_xll.RtGet("IDN",D125,"MID_IV_NOR")</f>
      </c>
    </row>
    <row r="126" spans="1:5" ht="20" x14ac:dyDescent="0.6">
      <c r="A126" t="s">
        <v>23</v>
      </c>
      <c r="B126" t="s">
        <v>22</v>
      </c>
      <c r="E126" s="16">
        <f>_xll.RtGet("IDN",D126,"MID_IV_NOR")</f>
      </c>
    </row>
    <row r="127" spans="1:5" ht="20" x14ac:dyDescent="0.6">
      <c r="A127" t="s">
        <v>23</v>
      </c>
      <c r="B127" t="s">
        <v>23</v>
      </c>
      <c r="E127" s="16">
        <f>_xll.RtGet("IDN",D127,"MID_IV_NOR")</f>
      </c>
    </row>
    <row r="128" spans="1:5" ht="20" x14ac:dyDescent="0.6">
      <c r="A128" t="s">
        <v>23</v>
      </c>
      <c r="B128" t="s">
        <v>24</v>
      </c>
      <c r="E128" s="16">
        <f>_xll.RtGet("IDN",D128,"MID_IV_NOR")</f>
      </c>
    </row>
    <row r="129" spans="1:5" ht="20" x14ac:dyDescent="0.6">
      <c r="A129" t="s">
        <v>23</v>
      </c>
      <c r="B129" t="s">
        <v>25</v>
      </c>
      <c r="E129" s="16">
        <f>_xll.RtGet("IDN",D129,"MID_IV_NOR")</f>
      </c>
    </row>
    <row r="130" spans="1:5" ht="20" x14ac:dyDescent="0.6">
      <c r="A130" t="s">
        <v>23</v>
      </c>
      <c r="B130" t="s">
        <v>26</v>
      </c>
      <c r="E130" s="16">
        <f>_xll.RtGet("IDN",D130,"MID_IV_NOR")</f>
      </c>
    </row>
    <row r="131" spans="1:5" ht="20" x14ac:dyDescent="0.6">
      <c r="A131" t="s">
        <v>23</v>
      </c>
      <c r="B131" t="s">
        <v>27</v>
      </c>
      <c r="E131" s="16">
        <f>_xll.RtGet("IDN",D131,"MID_IV_NOR")</f>
      </c>
    </row>
    <row r="132" spans="1:5" ht="20" x14ac:dyDescent="0.6">
      <c r="A132" t="s">
        <v>23</v>
      </c>
      <c r="B132" t="s">
        <v>30</v>
      </c>
      <c r="E132" s="16">
        <f>_xll.RtGet("IDN",D132,"MID_IV_NOR")</f>
      </c>
    </row>
    <row r="133" spans="1:5" ht="20" x14ac:dyDescent="0.6">
      <c r="A133" t="s">
        <v>23</v>
      </c>
      <c r="B133" t="s">
        <v>31</v>
      </c>
      <c r="E133" s="16">
        <f>_xll.RtGet("IDN",D133,"MID_IV_NOR")</f>
      </c>
    </row>
    <row r="134" spans="1:5" ht="20" x14ac:dyDescent="0.6">
      <c r="A134" t="s">
        <v>24</v>
      </c>
      <c r="B134" t="s">
        <v>78</v>
      </c>
      <c r="E134" s="16">
        <f>_xll.RtGet("IDN",D134,"MID_IV_NOR")</f>
      </c>
    </row>
    <row r="135" spans="1:5" ht="20" x14ac:dyDescent="0.6">
      <c r="A135" t="s">
        <v>24</v>
      </c>
      <c r="B135" t="s">
        <v>79</v>
      </c>
      <c r="E135" s="16">
        <f>_xll.RtGet("IDN",D135,"MID_IV_NOR")</f>
      </c>
    </row>
    <row r="136" spans="1:5" ht="20" x14ac:dyDescent="0.6">
      <c r="A136" t="s">
        <v>24</v>
      </c>
      <c r="B136" t="s">
        <v>80</v>
      </c>
      <c r="E136" s="16">
        <f>_xll.RtGet("IDN",D136,"MID_IV_NOR")</f>
      </c>
    </row>
    <row r="137" spans="1:5" ht="20" x14ac:dyDescent="0.6">
      <c r="A137" t="s">
        <v>24</v>
      </c>
      <c r="B137" t="s">
        <v>21</v>
      </c>
      <c r="E137" s="16">
        <f>_xll.RtGet("IDN",D137,"MID_IV_NOR")</f>
      </c>
    </row>
    <row r="138" spans="1:5" ht="20" x14ac:dyDescent="0.6">
      <c r="A138" t="s">
        <v>24</v>
      </c>
      <c r="B138" t="s">
        <v>22</v>
      </c>
      <c r="E138" s="16">
        <f>_xll.RtGet("IDN",D138,"MID_IV_NOR")</f>
      </c>
    </row>
    <row r="139" spans="1:5" ht="20" x14ac:dyDescent="0.6">
      <c r="A139" t="s">
        <v>24</v>
      </c>
      <c r="B139" t="s">
        <v>23</v>
      </c>
      <c r="E139" s="16">
        <f>_xll.RtGet("IDN",D139,"MID_IV_NOR")</f>
      </c>
    </row>
    <row r="140" spans="1:5" ht="20" x14ac:dyDescent="0.6">
      <c r="A140" t="s">
        <v>24</v>
      </c>
      <c r="B140" t="s">
        <v>24</v>
      </c>
      <c r="E140" s="16">
        <f>_xll.RtGet("IDN",D140,"MID_IV_NOR")</f>
      </c>
    </row>
    <row r="141" spans="1:5" ht="20" x14ac:dyDescent="0.6">
      <c r="A141" t="s">
        <v>24</v>
      </c>
      <c r="B141" t="s">
        <v>25</v>
      </c>
      <c r="E141" s="16">
        <f>_xll.RtGet("IDN",D141,"MID_IV_NOR")</f>
      </c>
    </row>
    <row r="142" spans="1:5" ht="20" x14ac:dyDescent="0.6">
      <c r="A142" t="s">
        <v>24</v>
      </c>
      <c r="B142" t="s">
        <v>26</v>
      </c>
      <c r="E142" s="16">
        <f>_xll.RtGet("IDN",D142,"MID_IV_NOR")</f>
      </c>
    </row>
    <row r="143" spans="1:5" ht="20" x14ac:dyDescent="0.6">
      <c r="A143" t="s">
        <v>24</v>
      </c>
      <c r="B143" t="s">
        <v>27</v>
      </c>
      <c r="E143" s="16">
        <f>_xll.RtGet("IDN",D143,"MID_IV_NOR")</f>
      </c>
    </row>
    <row r="144" spans="1:5" ht="20" x14ac:dyDescent="0.6">
      <c r="A144" t="s">
        <v>24</v>
      </c>
      <c r="B144" t="s">
        <v>30</v>
      </c>
      <c r="E144" s="16">
        <f>_xll.RtGet("IDN",D144,"MID_IV_NOR")</f>
      </c>
    </row>
    <row r="145" spans="1:5" ht="20" x14ac:dyDescent="0.6">
      <c r="A145" t="s">
        <v>24</v>
      </c>
      <c r="B145" t="s">
        <v>31</v>
      </c>
      <c r="E145" s="16">
        <f>_xll.RtGet("IDN",D145,"MID_IV_NOR")</f>
      </c>
    </row>
    <row r="146" spans="1:5" ht="20" x14ac:dyDescent="0.6">
      <c r="A146" t="s">
        <v>26</v>
      </c>
      <c r="B146" t="s">
        <v>78</v>
      </c>
      <c r="E146" s="16">
        <f>_xll.RtGet("IDN",D146,"MID_IV_NOR")</f>
      </c>
    </row>
    <row r="147" spans="1:5" ht="20" x14ac:dyDescent="0.6">
      <c r="A147" t="s">
        <v>26</v>
      </c>
      <c r="B147" t="s">
        <v>79</v>
      </c>
      <c r="E147" s="16">
        <f>_xll.RtGet("IDN",D147,"MID_IV_NOR")</f>
      </c>
    </row>
    <row r="148" spans="1:5" ht="20" x14ac:dyDescent="0.6">
      <c r="A148" t="s">
        <v>26</v>
      </c>
      <c r="B148" t="s">
        <v>80</v>
      </c>
      <c r="E148" s="16">
        <f>_xll.RtGet("IDN",D148,"MID_IV_NOR")</f>
      </c>
    </row>
    <row r="149" spans="1:5" ht="20" x14ac:dyDescent="0.6">
      <c r="A149" t="s">
        <v>26</v>
      </c>
      <c r="B149" t="s">
        <v>21</v>
      </c>
      <c r="E149" s="16">
        <f>_xll.RtGet("IDN",D149,"MID_IV_NOR")</f>
      </c>
    </row>
    <row r="150" spans="1:5" ht="20" x14ac:dyDescent="0.6">
      <c r="A150" t="s">
        <v>26</v>
      </c>
      <c r="B150" t="s">
        <v>22</v>
      </c>
      <c r="E150" s="16">
        <f>_xll.RtGet("IDN",D150,"MID_IV_NOR")</f>
      </c>
    </row>
    <row r="151" spans="1:5" ht="20" x14ac:dyDescent="0.6">
      <c r="A151" t="s">
        <v>26</v>
      </c>
      <c r="B151" t="s">
        <v>23</v>
      </c>
      <c r="E151" s="16">
        <f>_xll.RtGet("IDN",D151,"MID_IV_NOR")</f>
      </c>
    </row>
    <row r="152" spans="1:5" ht="20" x14ac:dyDescent="0.6">
      <c r="A152" t="s">
        <v>26</v>
      </c>
      <c r="B152" t="s">
        <v>24</v>
      </c>
      <c r="E152" s="16">
        <f>_xll.RtGet("IDN",D152,"MID_IV_NOR")</f>
      </c>
    </row>
    <row r="153" spans="1:5" ht="20" x14ac:dyDescent="0.6">
      <c r="A153" t="s">
        <v>26</v>
      </c>
      <c r="B153" t="s">
        <v>25</v>
      </c>
      <c r="E153" s="16">
        <f>_xll.RtGet("IDN",D153,"MID_IV_NOR")</f>
      </c>
    </row>
    <row r="154" spans="1:5" ht="20" x14ac:dyDescent="0.6">
      <c r="A154" t="s">
        <v>26</v>
      </c>
      <c r="B154" t="s">
        <v>26</v>
      </c>
      <c r="E154" s="16">
        <f>_xll.RtGet("IDN",D154,"MID_IV_NOR")</f>
      </c>
    </row>
    <row r="155" spans="1:5" ht="20" x14ac:dyDescent="0.6">
      <c r="A155" t="s">
        <v>26</v>
      </c>
      <c r="B155" t="s">
        <v>27</v>
      </c>
      <c r="E155" s="16">
        <f>_xll.RtGet("IDN",D155,"MID_IV_NOR")</f>
      </c>
    </row>
    <row r="156" spans="1:5" ht="20" x14ac:dyDescent="0.6">
      <c r="A156" t="s">
        <v>26</v>
      </c>
      <c r="B156" t="s">
        <v>30</v>
      </c>
      <c r="E156" s="16">
        <f>_xll.RtGet("IDN",D156,"MID_IV_NOR")</f>
      </c>
    </row>
    <row r="157" spans="1:5" ht="20" x14ac:dyDescent="0.6">
      <c r="A157" t="s">
        <v>26</v>
      </c>
      <c r="B157" t="s">
        <v>31</v>
      </c>
      <c r="E157" s="16">
        <f>_xll.RtGet("IDN",D157,"MID_IV_NOR")</f>
      </c>
    </row>
    <row r="158" spans="1:5" ht="20" x14ac:dyDescent="0.6">
      <c r="A158" t="s">
        <v>27</v>
      </c>
      <c r="B158" t="s">
        <v>78</v>
      </c>
      <c r="E158" s="16">
        <f>_xll.RtGet("IDN",D158,"MID_IV_NOR")</f>
      </c>
    </row>
    <row r="159" spans="1:5" ht="20" x14ac:dyDescent="0.6">
      <c r="A159" t="s">
        <v>27</v>
      </c>
      <c r="B159" t="s">
        <v>79</v>
      </c>
      <c r="E159" s="16">
        <f>_xll.RtGet("IDN",D159,"MID_IV_NOR")</f>
      </c>
    </row>
    <row r="160" spans="1:5" ht="20" x14ac:dyDescent="0.6">
      <c r="A160" t="s">
        <v>27</v>
      </c>
      <c r="B160" t="s">
        <v>80</v>
      </c>
      <c r="E160" s="16">
        <f>_xll.RtGet("IDN",D160,"MID_IV_NOR")</f>
      </c>
    </row>
    <row r="161" spans="1:5" ht="20" x14ac:dyDescent="0.6">
      <c r="A161" t="s">
        <v>27</v>
      </c>
      <c r="B161" t="s">
        <v>21</v>
      </c>
      <c r="E161" s="16">
        <f>_xll.RtGet("IDN",D161,"MID_IV_NOR")</f>
      </c>
    </row>
    <row r="162" spans="1:5" ht="20" x14ac:dyDescent="0.6">
      <c r="A162" t="s">
        <v>27</v>
      </c>
      <c r="B162" t="s">
        <v>22</v>
      </c>
      <c r="E162" s="16">
        <f>_xll.RtGet("IDN",D162,"MID_IV_NOR")</f>
      </c>
    </row>
    <row r="163" spans="1:5" ht="20" x14ac:dyDescent="0.6">
      <c r="A163" t="s">
        <v>27</v>
      </c>
      <c r="B163" t="s">
        <v>23</v>
      </c>
      <c r="E163" s="16">
        <f>_xll.RtGet("IDN",D163,"MID_IV_NOR")</f>
      </c>
    </row>
    <row r="164" spans="1:5" ht="20" x14ac:dyDescent="0.6">
      <c r="A164" t="s">
        <v>27</v>
      </c>
      <c r="B164" t="s">
        <v>24</v>
      </c>
      <c r="E164" s="16">
        <f>_xll.RtGet("IDN",D164,"MID_IV_NOR")</f>
      </c>
    </row>
    <row r="165" spans="1:5" ht="20" x14ac:dyDescent="0.6">
      <c r="A165" t="s">
        <v>27</v>
      </c>
      <c r="B165" t="s">
        <v>25</v>
      </c>
      <c r="E165" s="16">
        <f>_xll.RtGet("IDN",D165,"MID_IV_NOR")</f>
      </c>
    </row>
    <row r="166" spans="1:5" ht="20" x14ac:dyDescent="0.6">
      <c r="A166" t="s">
        <v>27</v>
      </c>
      <c r="B166" t="s">
        <v>26</v>
      </c>
      <c r="E166" s="16">
        <f>_xll.RtGet("IDN",D166,"MID_IV_NOR")</f>
      </c>
    </row>
    <row r="167" spans="1:5" ht="20" x14ac:dyDescent="0.6">
      <c r="A167" t="s">
        <v>27</v>
      </c>
      <c r="B167" t="s">
        <v>27</v>
      </c>
      <c r="E167" s="16">
        <f>_xll.RtGet("IDN",D167,"MID_IV_NOR")</f>
      </c>
    </row>
    <row r="168" spans="1:5" ht="20" x14ac:dyDescent="0.6">
      <c r="A168" t="s">
        <v>27</v>
      </c>
      <c r="B168" t="s">
        <v>30</v>
      </c>
      <c r="E168" s="16">
        <f>_xll.RtGet("IDN",D168,"MID_IV_NOR")</f>
      </c>
    </row>
    <row r="169" spans="1:5" ht="20" x14ac:dyDescent="0.6">
      <c r="A169" t="s">
        <v>27</v>
      </c>
      <c r="B169" t="s">
        <v>31</v>
      </c>
      <c r="E169" s="16">
        <f>_xll.RtGet("IDN",D169,"MID_IV_NOR")</f>
      </c>
    </row>
    <row r="170" spans="1:5" ht="20" x14ac:dyDescent="0.6">
      <c r="A170" t="s">
        <v>30</v>
      </c>
      <c r="B170" t="s">
        <v>78</v>
      </c>
      <c r="E170" s="16">
        <f>_xll.RtGet("IDN",D170,"MID_IV_NOR")</f>
      </c>
    </row>
    <row r="171" spans="1:5" ht="20" x14ac:dyDescent="0.6">
      <c r="A171" t="s">
        <v>30</v>
      </c>
      <c r="B171" t="s">
        <v>79</v>
      </c>
      <c r="E171" s="16">
        <f>_xll.RtGet("IDN",D171,"MID_IV_NOR")</f>
      </c>
    </row>
    <row r="172" spans="1:5" ht="20" x14ac:dyDescent="0.6">
      <c r="A172" t="s">
        <v>30</v>
      </c>
      <c r="B172" t="s">
        <v>80</v>
      </c>
      <c r="E172" s="16">
        <f>_xll.RtGet("IDN",D172,"MID_IV_NOR")</f>
      </c>
    </row>
    <row r="173" spans="1:5" ht="20" x14ac:dyDescent="0.6">
      <c r="A173" t="s">
        <v>30</v>
      </c>
      <c r="B173" t="s">
        <v>21</v>
      </c>
      <c r="E173" s="16">
        <f>_xll.RtGet("IDN",D173,"MID_IV_NOR")</f>
      </c>
    </row>
    <row r="174" spans="1:5" ht="20" x14ac:dyDescent="0.6">
      <c r="A174" t="s">
        <v>30</v>
      </c>
      <c r="B174" t="s">
        <v>22</v>
      </c>
      <c r="E174" s="16">
        <f>_xll.RtGet("IDN",D174,"MID_IV_NOR")</f>
      </c>
    </row>
    <row r="175" spans="1:5" ht="20" x14ac:dyDescent="0.6">
      <c r="A175" t="s">
        <v>30</v>
      </c>
      <c r="B175" t="s">
        <v>23</v>
      </c>
      <c r="E175" s="16">
        <f>_xll.RtGet("IDN",D175,"MID_IV_NOR")</f>
      </c>
    </row>
    <row r="176" spans="1:5" ht="20" x14ac:dyDescent="0.6">
      <c r="A176" t="s">
        <v>30</v>
      </c>
      <c r="B176" t="s">
        <v>24</v>
      </c>
      <c r="E176" s="16">
        <f>_xll.RtGet("IDN",D176,"MID_IV_NOR")</f>
      </c>
    </row>
    <row r="177" spans="1:5" ht="20" x14ac:dyDescent="0.6">
      <c r="A177" t="s">
        <v>30</v>
      </c>
      <c r="B177" t="s">
        <v>25</v>
      </c>
      <c r="E177" s="16">
        <f>_xll.RtGet("IDN",D177,"MID_IV_NOR")</f>
      </c>
    </row>
    <row r="178" spans="1:5" ht="20" x14ac:dyDescent="0.6">
      <c r="A178" t="s">
        <v>30</v>
      </c>
      <c r="B178" t="s">
        <v>26</v>
      </c>
      <c r="E178" s="16">
        <f>_xll.RtGet("IDN",D178,"MID_IV_NOR")</f>
      </c>
    </row>
    <row r="179" spans="1:5" ht="20" x14ac:dyDescent="0.6">
      <c r="A179" t="s">
        <v>30</v>
      </c>
      <c r="B179" t="s">
        <v>27</v>
      </c>
      <c r="E179" s="16">
        <f>_xll.RtGet("IDN",D179,"MID_IV_NOR")</f>
      </c>
    </row>
    <row r="180" spans="1:5" ht="20" x14ac:dyDescent="0.6">
      <c r="A180" t="s">
        <v>30</v>
      </c>
      <c r="B180" t="s">
        <v>30</v>
      </c>
      <c r="E180" s="16">
        <f>_xll.RtGet("IDN",D180,"MID_IV_NOR")</f>
      </c>
    </row>
    <row r="181" spans="1:5" ht="20" x14ac:dyDescent="0.6">
      <c r="A181" t="s">
        <v>30</v>
      </c>
      <c r="B181" t="s">
        <v>31</v>
      </c>
      <c r="E181" s="16">
        <f>_xll.RtGet("IDN",D181,"MID_IV_NOR")</f>
      </c>
    </row>
    <row r="182" spans="1:5" ht="20" x14ac:dyDescent="0.6">
      <c r="A182" t="s">
        <v>31</v>
      </c>
      <c r="B182" t="s">
        <v>78</v>
      </c>
      <c r="E182" s="16">
        <f>_xll.RtGet("IDN",D182,"MID_IV_NOR")</f>
      </c>
    </row>
    <row r="183" spans="1:5" ht="20" x14ac:dyDescent="0.6">
      <c r="A183" t="s">
        <v>31</v>
      </c>
      <c r="B183" t="s">
        <v>79</v>
      </c>
      <c r="E183" s="16">
        <f>_xll.RtGet("IDN",D183,"MID_IV_NOR")</f>
      </c>
    </row>
    <row r="184" spans="1:5" ht="20" x14ac:dyDescent="0.6">
      <c r="A184" t="s">
        <v>31</v>
      </c>
      <c r="B184" t="s">
        <v>80</v>
      </c>
      <c r="E184" s="16">
        <f>_xll.RtGet("IDN",D184,"MID_IV_NOR")</f>
      </c>
    </row>
    <row r="185" spans="1:5" ht="20" x14ac:dyDescent="0.6">
      <c r="A185" t="s">
        <v>31</v>
      </c>
      <c r="B185" t="s">
        <v>21</v>
      </c>
      <c r="E185" s="16">
        <f>_xll.RtGet("IDN",D185,"MID_IV_NOR")</f>
      </c>
    </row>
    <row r="186" spans="1:5" ht="20" x14ac:dyDescent="0.6">
      <c r="A186" t="s">
        <v>31</v>
      </c>
      <c r="B186" t="s">
        <v>22</v>
      </c>
      <c r="E186" s="16">
        <f>_xll.RtGet("IDN",D186,"MID_IV_NOR")</f>
      </c>
    </row>
    <row r="187" spans="1:5" ht="20" x14ac:dyDescent="0.6">
      <c r="A187" t="s">
        <v>31</v>
      </c>
      <c r="B187" t="s">
        <v>23</v>
      </c>
      <c r="E187" s="16">
        <f>_xll.RtGet("IDN",D187,"MID_IV_NOR")</f>
      </c>
    </row>
    <row r="188" spans="1:5" ht="20" x14ac:dyDescent="0.6">
      <c r="A188" t="s">
        <v>31</v>
      </c>
      <c r="B188" t="s">
        <v>24</v>
      </c>
      <c r="E188" s="16">
        <f>_xll.RtGet("IDN",D188,"MID_IV_NOR")</f>
      </c>
    </row>
    <row r="189" spans="1:5" ht="20" x14ac:dyDescent="0.6">
      <c r="A189" t="s">
        <v>31</v>
      </c>
      <c r="B189" t="s">
        <v>25</v>
      </c>
      <c r="E189" s="16">
        <f>_xll.RtGet("IDN",D189,"MID_IV_NOR")</f>
      </c>
    </row>
    <row r="190" spans="1:5" ht="20" x14ac:dyDescent="0.6">
      <c r="A190" t="s">
        <v>31</v>
      </c>
      <c r="B190" t="s">
        <v>26</v>
      </c>
      <c r="E190" s="16">
        <f>_xll.RtGet("IDN",D190,"MID_IV_NOR")</f>
      </c>
    </row>
    <row r="191" spans="1:5" ht="20" x14ac:dyDescent="0.6">
      <c r="A191" t="s">
        <v>31</v>
      </c>
      <c r="B191" t="s">
        <v>27</v>
      </c>
      <c r="E191" s="16">
        <f>_xll.RtGet("IDN",D191,"MID_IV_NOR")</f>
      </c>
    </row>
    <row r="192" spans="1:5" ht="20" x14ac:dyDescent="0.6">
      <c r="A192" t="s">
        <v>31</v>
      </c>
      <c r="B192" t="s">
        <v>30</v>
      </c>
      <c r="E192" s="16">
        <f>_xll.RtGet("IDN",D192,"MID_IV_NOR")</f>
      </c>
    </row>
    <row r="193" spans="1:5" ht="20" x14ac:dyDescent="0.6">
      <c r="A193" t="s">
        <v>31</v>
      </c>
      <c r="B193" t="s">
        <v>31</v>
      </c>
      <c r="E193" s="16">
        <f>_xll.RtGet("IDN",D193,"MID_IV_NOR")</f>
      </c>
    </row>
    <row r="194" spans="1:5" x14ac:dyDescent="0.55000000000000004">
      <c r="E194" s="13"/>
    </row>
    <row r="195" spans="1:5" x14ac:dyDescent="0.55000000000000004">
      <c r="E195" s="13"/>
    </row>
    <row r="196" spans="1:5" x14ac:dyDescent="0.55000000000000004">
      <c r="E196" s="13"/>
    </row>
    <row r="197" spans="1:5" x14ac:dyDescent="0.55000000000000004">
      <c r="E197" s="13"/>
    </row>
    <row r="198" spans="1:5" x14ac:dyDescent="0.55000000000000004">
      <c r="E198" s="13"/>
    </row>
    <row r="199" spans="1:5" x14ac:dyDescent="0.55000000000000004">
      <c r="E199" s="13"/>
    </row>
    <row r="200" spans="1:5" x14ac:dyDescent="0.55000000000000004">
      <c r="E200" s="13"/>
    </row>
    <row r="201" spans="1:5" x14ac:dyDescent="0.55000000000000004">
      <c r="E201" s="13"/>
    </row>
    <row r="202" spans="1:5" x14ac:dyDescent="0.55000000000000004">
      <c r="E202" s="13"/>
    </row>
    <row r="203" spans="1:5" x14ac:dyDescent="0.55000000000000004">
      <c r="E203" s="13"/>
    </row>
    <row r="204" spans="1:5" x14ac:dyDescent="0.55000000000000004">
      <c r="E204" s="13"/>
    </row>
    <row r="205" spans="1:5" x14ac:dyDescent="0.55000000000000004">
      <c r="E205" s="13"/>
    </row>
    <row r="206" spans="1:5" x14ac:dyDescent="0.55000000000000004">
      <c r="E206" s="13"/>
    </row>
    <row r="207" spans="1:5" x14ac:dyDescent="0.55000000000000004">
      <c r="E207" s="13"/>
    </row>
    <row r="208" spans="1:5" x14ac:dyDescent="0.55000000000000004">
      <c r="E208" s="13"/>
    </row>
    <row r="209" spans="5:5" x14ac:dyDescent="0.55000000000000004">
      <c r="E209" s="13"/>
    </row>
    <row r="210" spans="5:5" x14ac:dyDescent="0.55000000000000004">
      <c r="E210" s="13"/>
    </row>
    <row r="211" spans="5:5" x14ac:dyDescent="0.55000000000000004">
      <c r="E211" s="13"/>
    </row>
    <row r="212" spans="5:5" x14ac:dyDescent="0.55000000000000004">
      <c r="E212" s="13"/>
    </row>
    <row r="213" spans="5:5" x14ac:dyDescent="0.55000000000000004">
      <c r="E213" s="13"/>
    </row>
    <row r="214" spans="5:5" x14ac:dyDescent="0.55000000000000004">
      <c r="E214" s="13"/>
    </row>
    <row r="215" spans="5:5" x14ac:dyDescent="0.55000000000000004">
      <c r="E215" s="13"/>
    </row>
    <row r="216" spans="5:5" x14ac:dyDescent="0.55000000000000004">
      <c r="E216" s="13"/>
    </row>
    <row r="217" spans="5:5" x14ac:dyDescent="0.55000000000000004">
      <c r="E217" s="13"/>
    </row>
    <row r="218" spans="5:5" x14ac:dyDescent="0.55000000000000004">
      <c r="E218" s="13"/>
    </row>
    <row r="219" spans="5:5" x14ac:dyDescent="0.55000000000000004">
      <c r="E219" s="13"/>
    </row>
    <row r="220" spans="5:5" x14ac:dyDescent="0.55000000000000004">
      <c r="E220" s="13"/>
    </row>
    <row r="221" spans="5:5" x14ac:dyDescent="0.55000000000000004">
      <c r="E221" s="13"/>
    </row>
    <row r="222" spans="5:5" x14ac:dyDescent="0.55000000000000004">
      <c r="E222" s="13"/>
    </row>
    <row r="223" spans="5:5" x14ac:dyDescent="0.55000000000000004">
      <c r="E223" s="13"/>
    </row>
    <row r="224" spans="5:5" x14ac:dyDescent="0.55000000000000004">
      <c r="E224" s="13"/>
    </row>
    <row r="225" spans="5:5" x14ac:dyDescent="0.55000000000000004">
      <c r="E225" s="13"/>
    </row>
    <row r="226" spans="5:5" x14ac:dyDescent="0.55000000000000004">
      <c r="E226" s="13"/>
    </row>
    <row r="227" spans="5:5" x14ac:dyDescent="0.55000000000000004">
      <c r="E227" s="13"/>
    </row>
    <row r="228" spans="5:5" x14ac:dyDescent="0.55000000000000004">
      <c r="E228" s="13"/>
    </row>
    <row r="229" spans="5:5" x14ac:dyDescent="0.55000000000000004">
      <c r="E229" s="13"/>
    </row>
    <row r="230" spans="5:5" x14ac:dyDescent="0.55000000000000004">
      <c r="E230" s="13"/>
    </row>
    <row r="231" spans="5:5" x14ac:dyDescent="0.55000000000000004">
      <c r="E231" s="13"/>
    </row>
    <row r="232" spans="5:5" x14ac:dyDescent="0.55000000000000004">
      <c r="E232" s="13"/>
    </row>
    <row r="233" spans="5:5" x14ac:dyDescent="0.55000000000000004">
      <c r="E233" s="13"/>
    </row>
    <row r="234" spans="5:5" x14ac:dyDescent="0.55000000000000004">
      <c r="E234" s="13"/>
    </row>
    <row r="235" spans="5:5" x14ac:dyDescent="0.55000000000000004">
      <c r="E235" s="13"/>
    </row>
    <row r="236" spans="5:5" x14ac:dyDescent="0.55000000000000004">
      <c r="E236" s="13"/>
    </row>
    <row r="237" spans="5:5" x14ac:dyDescent="0.55000000000000004">
      <c r="E237" s="13"/>
    </row>
    <row r="238" spans="5:5" x14ac:dyDescent="0.55000000000000004">
      <c r="E238" s="13"/>
    </row>
    <row r="239" spans="5:5" x14ac:dyDescent="0.55000000000000004">
      <c r="E239" s="13"/>
    </row>
    <row r="240" spans="5:5" x14ac:dyDescent="0.55000000000000004">
      <c r="E240" s="13"/>
    </row>
    <row r="241" spans="5:5" x14ac:dyDescent="0.55000000000000004">
      <c r="E241" s="13"/>
    </row>
    <row r="242" spans="5:5" x14ac:dyDescent="0.55000000000000004">
      <c r="E242" s="13"/>
    </row>
    <row r="243" spans="5:5" x14ac:dyDescent="0.55000000000000004">
      <c r="E243" s="13"/>
    </row>
    <row r="244" spans="5:5" x14ac:dyDescent="0.55000000000000004">
      <c r="E244" s="13"/>
    </row>
    <row r="245" spans="5:5" x14ac:dyDescent="0.55000000000000004">
      <c r="E245" s="13"/>
    </row>
    <row r="246" spans="5:5" x14ac:dyDescent="0.55000000000000004">
      <c r="E246" s="13"/>
    </row>
    <row r="247" spans="5:5" x14ac:dyDescent="0.55000000000000004">
      <c r="E247" s="13"/>
    </row>
    <row r="248" spans="5:5" x14ac:dyDescent="0.55000000000000004">
      <c r="E248" s="13"/>
    </row>
    <row r="249" spans="5:5" x14ac:dyDescent="0.55000000000000004">
      <c r="E249" s="13"/>
    </row>
    <row r="250" spans="5:5" x14ac:dyDescent="0.55000000000000004">
      <c r="E250" s="13"/>
    </row>
    <row r="251" spans="5:5" x14ac:dyDescent="0.55000000000000004">
      <c r="E251" s="13"/>
    </row>
    <row r="252" spans="5:5" x14ac:dyDescent="0.55000000000000004">
      <c r="E252" s="13"/>
    </row>
    <row r="253" spans="5:5" x14ac:dyDescent="0.55000000000000004">
      <c r="E253" s="13"/>
    </row>
    <row r="254" spans="5:5" x14ac:dyDescent="0.55000000000000004">
      <c r="E254" s="13"/>
    </row>
    <row r="255" spans="5:5" x14ac:dyDescent="0.55000000000000004">
      <c r="E255" s="13"/>
    </row>
    <row r="256" spans="5:5" x14ac:dyDescent="0.55000000000000004">
      <c r="E256" s="13"/>
    </row>
    <row r="257" spans="5:5" x14ac:dyDescent="0.55000000000000004">
      <c r="E257" s="13"/>
    </row>
    <row r="258" spans="5:5" x14ac:dyDescent="0.55000000000000004">
      <c r="E258" s="13"/>
    </row>
    <row r="259" spans="5:5" x14ac:dyDescent="0.55000000000000004">
      <c r="E259" s="13"/>
    </row>
    <row r="260" spans="5:5" x14ac:dyDescent="0.55000000000000004">
      <c r="E260" s="13"/>
    </row>
    <row r="261" spans="5:5" x14ac:dyDescent="0.55000000000000004">
      <c r="E261" s="13"/>
    </row>
    <row r="262" spans="5:5" x14ac:dyDescent="0.55000000000000004">
      <c r="E262" s="13"/>
    </row>
    <row r="263" spans="5:5" x14ac:dyDescent="0.55000000000000004">
      <c r="E263" s="13"/>
    </row>
    <row r="264" spans="5:5" x14ac:dyDescent="0.55000000000000004">
      <c r="E264" s="13"/>
    </row>
    <row r="265" spans="5:5" x14ac:dyDescent="0.55000000000000004">
      <c r="E265" s="13"/>
    </row>
    <row r="266" spans="5:5" x14ac:dyDescent="0.55000000000000004">
      <c r="E266" s="13"/>
    </row>
    <row r="267" spans="5:5" x14ac:dyDescent="0.55000000000000004">
      <c r="E267" s="13"/>
    </row>
    <row r="268" spans="5:5" x14ac:dyDescent="0.55000000000000004">
      <c r="E268" s="13"/>
    </row>
    <row r="269" spans="5:5" x14ac:dyDescent="0.55000000000000004">
      <c r="E269" s="13"/>
    </row>
    <row r="270" spans="5:5" x14ac:dyDescent="0.55000000000000004">
      <c r="E270" s="13"/>
    </row>
    <row r="271" spans="5:5" x14ac:dyDescent="0.55000000000000004">
      <c r="E271" s="13"/>
    </row>
    <row r="272" spans="5:5" x14ac:dyDescent="0.55000000000000004">
      <c r="E272" s="13"/>
    </row>
    <row r="273" spans="5:5" x14ac:dyDescent="0.55000000000000004">
      <c r="E273" s="13"/>
    </row>
    <row r="274" spans="5:5" x14ac:dyDescent="0.55000000000000004">
      <c r="E274" s="13"/>
    </row>
    <row r="275" spans="5:5" x14ac:dyDescent="0.55000000000000004">
      <c r="E275" s="13"/>
    </row>
    <row r="276" spans="5:5" x14ac:dyDescent="0.55000000000000004">
      <c r="E276" s="13"/>
    </row>
    <row r="277" spans="5:5" x14ac:dyDescent="0.55000000000000004">
      <c r="E277" s="13"/>
    </row>
    <row r="278" spans="5:5" x14ac:dyDescent="0.55000000000000004">
      <c r="E278" s="13"/>
    </row>
    <row r="279" spans="5:5" x14ac:dyDescent="0.55000000000000004">
      <c r="E279" s="13"/>
    </row>
    <row r="280" spans="5:5" x14ac:dyDescent="0.55000000000000004">
      <c r="E280" s="13"/>
    </row>
    <row r="281" spans="5:5" x14ac:dyDescent="0.55000000000000004">
      <c r="E281" s="13"/>
    </row>
    <row r="282" spans="5:5" x14ac:dyDescent="0.55000000000000004">
      <c r="E282" s="13"/>
    </row>
    <row r="283" spans="5:5" x14ac:dyDescent="0.55000000000000004">
      <c r="E283" s="13"/>
    </row>
    <row r="284" spans="5:5" x14ac:dyDescent="0.55000000000000004">
      <c r="E284" s="13"/>
    </row>
    <row r="285" spans="5:5" x14ac:dyDescent="0.55000000000000004">
      <c r="E285" s="13"/>
    </row>
    <row r="286" spans="5:5" x14ac:dyDescent="0.55000000000000004">
      <c r="E286" s="13"/>
    </row>
    <row r="287" spans="5:5" x14ac:dyDescent="0.55000000000000004">
      <c r="E287" s="13"/>
    </row>
    <row r="288" spans="5:5" x14ac:dyDescent="0.55000000000000004">
      <c r="E288" s="13"/>
    </row>
    <row r="289" spans="5:5" x14ac:dyDescent="0.55000000000000004">
      <c r="E289" s="13"/>
    </row>
    <row r="290" spans="5:5" x14ac:dyDescent="0.55000000000000004">
      <c r="E290" s="13"/>
    </row>
    <row r="291" spans="5:5" x14ac:dyDescent="0.55000000000000004">
      <c r="E291" s="13"/>
    </row>
    <row r="292" spans="5:5" x14ac:dyDescent="0.55000000000000004">
      <c r="E292" s="13"/>
    </row>
    <row r="293" spans="5:5" x14ac:dyDescent="0.55000000000000004">
      <c r="E293" s="13"/>
    </row>
    <row r="294" spans="5:5" x14ac:dyDescent="0.55000000000000004">
      <c r="E294" s="13"/>
    </row>
    <row r="295" spans="5:5" x14ac:dyDescent="0.55000000000000004">
      <c r="E295" s="13"/>
    </row>
    <row r="296" spans="5:5" x14ac:dyDescent="0.55000000000000004">
      <c r="E296" s="13"/>
    </row>
    <row r="297" spans="5:5" x14ac:dyDescent="0.55000000000000004">
      <c r="E297" s="13"/>
    </row>
    <row r="298" spans="5:5" x14ac:dyDescent="0.55000000000000004">
      <c r="E298" s="13"/>
    </row>
    <row r="299" spans="5:5" x14ac:dyDescent="0.55000000000000004">
      <c r="E299" s="13"/>
    </row>
    <row r="300" spans="5:5" x14ac:dyDescent="0.55000000000000004">
      <c r="E300" s="13"/>
    </row>
    <row r="301" spans="5:5" x14ac:dyDescent="0.55000000000000004">
      <c r="E301" s="13"/>
    </row>
    <row r="302" spans="5:5" x14ac:dyDescent="0.55000000000000004">
      <c r="E302" s="13"/>
    </row>
    <row r="303" spans="5:5" x14ac:dyDescent="0.55000000000000004">
      <c r="E303" s="13"/>
    </row>
    <row r="304" spans="5:5" x14ac:dyDescent="0.55000000000000004">
      <c r="E304" s="13"/>
    </row>
    <row r="305" spans="5:5" x14ac:dyDescent="0.55000000000000004">
      <c r="E305" s="13"/>
    </row>
    <row r="306" spans="5:5" x14ac:dyDescent="0.55000000000000004">
      <c r="E306" s="13"/>
    </row>
    <row r="307" spans="5:5" x14ac:dyDescent="0.55000000000000004">
      <c r="E307" s="13"/>
    </row>
    <row r="308" spans="5:5" x14ac:dyDescent="0.55000000000000004">
      <c r="E308" s="13"/>
    </row>
    <row r="309" spans="5:5" x14ac:dyDescent="0.55000000000000004">
      <c r="E309" s="13"/>
    </row>
    <row r="310" spans="5:5" x14ac:dyDescent="0.55000000000000004">
      <c r="E310" s="13"/>
    </row>
    <row r="311" spans="5:5" x14ac:dyDescent="0.55000000000000004">
      <c r="E311" s="13"/>
    </row>
    <row r="312" spans="5:5" x14ac:dyDescent="0.55000000000000004">
      <c r="E312" s="13"/>
    </row>
    <row r="313" spans="5:5" x14ac:dyDescent="0.55000000000000004">
      <c r="E313" s="13"/>
    </row>
    <row r="314" spans="5:5" x14ac:dyDescent="0.55000000000000004">
      <c r="E314" s="13"/>
    </row>
    <row r="315" spans="5:5" x14ac:dyDescent="0.55000000000000004">
      <c r="E315" s="13"/>
    </row>
    <row r="316" spans="5:5" x14ac:dyDescent="0.55000000000000004">
      <c r="E316" s="13"/>
    </row>
    <row r="317" spans="5:5" x14ac:dyDescent="0.55000000000000004">
      <c r="E317" s="13"/>
    </row>
    <row r="318" spans="5:5" x14ac:dyDescent="0.55000000000000004">
      <c r="E318" s="13"/>
    </row>
    <row r="319" spans="5:5" x14ac:dyDescent="0.55000000000000004">
      <c r="E319" s="13"/>
    </row>
    <row r="320" spans="5:5" x14ac:dyDescent="0.55000000000000004">
      <c r="E320" s="13"/>
    </row>
    <row r="321" spans="5:5" x14ac:dyDescent="0.55000000000000004">
      <c r="E321" s="13"/>
    </row>
    <row r="322" spans="5:5" x14ac:dyDescent="0.55000000000000004">
      <c r="E322" s="13"/>
    </row>
    <row r="323" spans="5:5" x14ac:dyDescent="0.55000000000000004">
      <c r="E323" s="13"/>
    </row>
    <row r="324" spans="5:5" x14ac:dyDescent="0.55000000000000004">
      <c r="E324" s="13"/>
    </row>
    <row r="325" spans="5:5" x14ac:dyDescent="0.55000000000000004">
      <c r="E325" s="13"/>
    </row>
    <row r="326" spans="5:5" x14ac:dyDescent="0.55000000000000004">
      <c r="E326" s="13"/>
    </row>
    <row r="327" spans="5:5" x14ac:dyDescent="0.55000000000000004">
      <c r="E327" s="13"/>
    </row>
    <row r="328" spans="5:5" x14ac:dyDescent="0.55000000000000004">
      <c r="E328" s="13"/>
    </row>
    <row r="329" spans="5:5" x14ac:dyDescent="0.55000000000000004">
      <c r="E329" s="13"/>
    </row>
    <row r="330" spans="5:5" x14ac:dyDescent="0.55000000000000004">
      <c r="E330" s="13"/>
    </row>
    <row r="331" spans="5:5" x14ac:dyDescent="0.55000000000000004">
      <c r="E331" s="13"/>
    </row>
    <row r="332" spans="5:5" x14ac:dyDescent="0.55000000000000004">
      <c r="E332" s="13"/>
    </row>
    <row r="333" spans="5:5" x14ac:dyDescent="0.55000000000000004">
      <c r="E333" s="13"/>
    </row>
    <row r="334" spans="5:5" x14ac:dyDescent="0.55000000000000004">
      <c r="E334" s="13"/>
    </row>
    <row r="335" spans="5:5" x14ac:dyDescent="0.55000000000000004">
      <c r="E335" s="13"/>
    </row>
    <row r="336" spans="5:5" x14ac:dyDescent="0.55000000000000004">
      <c r="E336" s="13"/>
    </row>
    <row r="337" spans="5:5" x14ac:dyDescent="0.55000000000000004">
      <c r="E337" s="13"/>
    </row>
    <row r="338" spans="5:5" x14ac:dyDescent="0.55000000000000004">
      <c r="E338" s="13"/>
    </row>
    <row r="339" spans="5:5" x14ac:dyDescent="0.55000000000000004">
      <c r="E339" s="13"/>
    </row>
    <row r="340" spans="5:5" x14ac:dyDescent="0.55000000000000004">
      <c r="E340" s="13"/>
    </row>
    <row r="341" spans="5:5" x14ac:dyDescent="0.55000000000000004">
      <c r="E341" s="13"/>
    </row>
    <row r="342" spans="5:5" x14ac:dyDescent="0.55000000000000004">
      <c r="E342" s="13"/>
    </row>
    <row r="343" spans="5:5" x14ac:dyDescent="0.55000000000000004">
      <c r="E343" s="13"/>
    </row>
    <row r="344" spans="5:5" x14ac:dyDescent="0.55000000000000004">
      <c r="E344" s="13"/>
    </row>
    <row r="345" spans="5:5" x14ac:dyDescent="0.55000000000000004">
      <c r="E345" s="13"/>
    </row>
    <row r="346" spans="5:5" x14ac:dyDescent="0.55000000000000004">
      <c r="E346" s="13"/>
    </row>
    <row r="347" spans="5:5" x14ac:dyDescent="0.55000000000000004">
      <c r="E347" s="13"/>
    </row>
    <row r="348" spans="5:5" x14ac:dyDescent="0.55000000000000004">
      <c r="E348" s="13"/>
    </row>
    <row r="349" spans="5:5" x14ac:dyDescent="0.55000000000000004">
      <c r="E349" s="13"/>
    </row>
    <row r="350" spans="5:5" x14ac:dyDescent="0.55000000000000004">
      <c r="E350" s="13"/>
    </row>
    <row r="351" spans="5:5" x14ac:dyDescent="0.55000000000000004">
      <c r="E351" s="13"/>
    </row>
    <row r="352" spans="5:5" x14ac:dyDescent="0.55000000000000004">
      <c r="E352" s="13"/>
    </row>
    <row r="353" spans="5:5" x14ac:dyDescent="0.55000000000000004">
      <c r="E353" s="13"/>
    </row>
    <row r="354" spans="5:5" x14ac:dyDescent="0.55000000000000004">
      <c r="E354" s="13"/>
    </row>
    <row r="355" spans="5:5" x14ac:dyDescent="0.55000000000000004">
      <c r="E355" s="13"/>
    </row>
    <row r="356" spans="5:5" x14ac:dyDescent="0.55000000000000004">
      <c r="E356" s="13"/>
    </row>
    <row r="357" spans="5:5" x14ac:dyDescent="0.55000000000000004">
      <c r="E357" s="13"/>
    </row>
    <row r="358" spans="5:5" x14ac:dyDescent="0.55000000000000004">
      <c r="E358" s="13"/>
    </row>
    <row r="359" spans="5:5" x14ac:dyDescent="0.55000000000000004">
      <c r="E359" s="13"/>
    </row>
    <row r="360" spans="5:5" x14ac:dyDescent="0.55000000000000004">
      <c r="E360" s="13"/>
    </row>
    <row r="361" spans="5:5" x14ac:dyDescent="0.55000000000000004">
      <c r="E361" s="13"/>
    </row>
    <row r="362" spans="5:5" x14ac:dyDescent="0.55000000000000004">
      <c r="E362" s="13"/>
    </row>
    <row r="363" spans="5:5" x14ac:dyDescent="0.55000000000000004">
      <c r="E363" s="13"/>
    </row>
    <row r="364" spans="5:5" x14ac:dyDescent="0.55000000000000004">
      <c r="E364" s="13"/>
    </row>
    <row r="365" spans="5:5" x14ac:dyDescent="0.55000000000000004">
      <c r="E365" s="13"/>
    </row>
    <row r="366" spans="5:5" x14ac:dyDescent="0.55000000000000004">
      <c r="E366" s="13"/>
    </row>
    <row r="367" spans="5:5" x14ac:dyDescent="0.55000000000000004">
      <c r="E367" s="13"/>
    </row>
    <row r="368" spans="5:5" x14ac:dyDescent="0.55000000000000004">
      <c r="E368" s="13"/>
    </row>
    <row r="369" spans="5:5" x14ac:dyDescent="0.55000000000000004">
      <c r="E369" s="13"/>
    </row>
    <row r="370" spans="5:5" x14ac:dyDescent="0.55000000000000004">
      <c r="E370" s="13"/>
    </row>
    <row r="371" spans="5:5" x14ac:dyDescent="0.55000000000000004">
      <c r="E371" s="13"/>
    </row>
    <row r="372" spans="5:5" x14ac:dyDescent="0.55000000000000004">
      <c r="E372" s="13"/>
    </row>
    <row r="373" spans="5:5" x14ac:dyDescent="0.55000000000000004">
      <c r="E373" s="13"/>
    </row>
    <row r="374" spans="5:5" x14ac:dyDescent="0.55000000000000004">
      <c r="E374" s="13"/>
    </row>
    <row r="375" spans="5:5" x14ac:dyDescent="0.55000000000000004">
      <c r="E375" s="13"/>
    </row>
    <row r="376" spans="5:5" x14ac:dyDescent="0.55000000000000004">
      <c r="E376" s="13"/>
    </row>
    <row r="377" spans="5:5" x14ac:dyDescent="0.55000000000000004">
      <c r="E377" s="13"/>
    </row>
    <row r="378" spans="5:5" x14ac:dyDescent="0.55000000000000004">
      <c r="E378" s="13"/>
    </row>
    <row r="379" spans="5:5" x14ac:dyDescent="0.55000000000000004">
      <c r="E379" s="13"/>
    </row>
    <row r="380" spans="5:5" x14ac:dyDescent="0.55000000000000004">
      <c r="E380" s="13"/>
    </row>
    <row r="381" spans="5:5" x14ac:dyDescent="0.55000000000000004">
      <c r="E381" s="13"/>
    </row>
    <row r="382" spans="5:5" x14ac:dyDescent="0.55000000000000004">
      <c r="E382" s="13"/>
    </row>
    <row r="383" spans="5:5" x14ac:dyDescent="0.55000000000000004">
      <c r="E383" s="13"/>
    </row>
    <row r="384" spans="5:5" x14ac:dyDescent="0.55000000000000004">
      <c r="E384" s="13"/>
    </row>
    <row r="385" spans="5:5" x14ac:dyDescent="0.55000000000000004">
      <c r="E385" s="13"/>
    </row>
    <row r="386" spans="5:5" x14ac:dyDescent="0.55000000000000004">
      <c r="E386" s="13"/>
    </row>
    <row r="387" spans="5:5" x14ac:dyDescent="0.55000000000000004">
      <c r="E387" s="13"/>
    </row>
    <row r="388" spans="5:5" x14ac:dyDescent="0.55000000000000004">
      <c r="E388" s="13"/>
    </row>
    <row r="389" spans="5:5" x14ac:dyDescent="0.55000000000000004">
      <c r="E389" s="13"/>
    </row>
    <row r="390" spans="5:5" x14ac:dyDescent="0.55000000000000004">
      <c r="E390" s="13"/>
    </row>
    <row r="391" spans="5:5" x14ac:dyDescent="0.55000000000000004">
      <c r="E391" s="13"/>
    </row>
    <row r="392" spans="5:5" x14ac:dyDescent="0.55000000000000004">
      <c r="E392" s="13"/>
    </row>
    <row r="393" spans="5:5" x14ac:dyDescent="0.55000000000000004">
      <c r="E393" s="13"/>
    </row>
    <row r="394" spans="5:5" x14ac:dyDescent="0.55000000000000004">
      <c r="E394" s="13"/>
    </row>
    <row r="395" spans="5:5" x14ac:dyDescent="0.55000000000000004">
      <c r="E395" s="13"/>
    </row>
    <row r="396" spans="5:5" x14ac:dyDescent="0.55000000000000004">
      <c r="E396" s="13"/>
    </row>
    <row r="397" spans="5:5" x14ac:dyDescent="0.55000000000000004">
      <c r="E397" s="13"/>
    </row>
    <row r="398" spans="5:5" x14ac:dyDescent="0.55000000000000004">
      <c r="E398" s="13"/>
    </row>
    <row r="399" spans="5:5" x14ac:dyDescent="0.55000000000000004">
      <c r="E399" s="13"/>
    </row>
    <row r="400" spans="5:5" x14ac:dyDescent="0.55000000000000004">
      <c r="E400" s="13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12</vt:i4>
      </vt:variant>
    </vt:vector>
  </HeadingPairs>
  <TitlesOfParts>
    <vt:vector size="16" baseType="lpstr">
      <vt:lpstr>PCA</vt:lpstr>
      <vt:lpstr>VolPCA</vt:lpstr>
      <vt:lpstr>RealTime</vt:lpstr>
      <vt:lpstr>RealTimeVol</vt:lpstr>
      <vt:lpstr>PCA_k</vt:lpstr>
      <vt:lpstr>PCA_window</vt:lpstr>
      <vt:lpstr>PCA_モード</vt:lpstr>
      <vt:lpstr>PCA_推定基準日</vt:lpstr>
      <vt:lpstr>PCA_比較日</vt:lpstr>
      <vt:lpstr>PCA_標準化</vt:lpstr>
      <vt:lpstr>VOL_k</vt:lpstr>
      <vt:lpstr>VOL_window</vt:lpstr>
      <vt:lpstr>VOL_モード</vt:lpstr>
      <vt:lpstr>VOL_推定基準日</vt:lpstr>
      <vt:lpstr>VOL_比較日</vt:lpstr>
      <vt:lpstr>VOL_標準化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2026-10-12T14:27:59Z</dcterms:modified>
</cp:coreProperties>
</file>