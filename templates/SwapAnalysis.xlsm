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EEE832E6-1DBC-484C-AF3A-18D5EB23AE94}" xr6:coauthVersionLast="47" xr6:coauthVersionMax="47" xr10:uidLastSave="{00000000-0000-0000-0000-000000000000}"/>
  <bookViews>
    <workbookView xWindow="-110" yWindow="-110" windowWidth="19420" windowHeight="11500" xr2:uid="{F109E07F-C2B9-41F3-853A-1EF4B605D85F}"/>
  </bookViews>
  <sheets>
    <sheet name="PCA" sheetId="6" r:id="rId1"/>
    <sheet name="VolPCA" sheetId="9" r:id="rId2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Recon">_xlfn.ANCHORARRAY(PCA!$H$34)</definedName>
    <definedName name="PCA_Resid">_xlfn.ANCHORARRAY(PCA!$I$34)</definedName>
    <definedName name="PCA_Tenor">_xlfn.ANCHORARRAY(PCA!$E$34)</definedName>
    <definedName name="PCA_window">PCA!$B$5</definedName>
    <definedName name="PCA_テナー">_xlfn.ANCHORARRAY(PCA!$AB$4)</definedName>
    <definedName name="PCA_モード">PCA!$B$6</definedName>
    <definedName name="PCA_推定基準日">PCA!$B$4</definedName>
    <definedName name="PCA_比較日">PCA!$B$10</definedName>
    <definedName name="PCA_標準化">PCA!$B$7</definedName>
    <definedName name="VOL_k">VolPCA!$B$11</definedName>
    <definedName name="VOL_window">VolPCA!$B$5</definedName>
    <definedName name="VOL_モード">VolPCA!$B$6</definedName>
    <definedName name="VOL_原資産">_xlfn.ANCHORARRAY(VolPCA!$JE$4)</definedName>
    <definedName name="VOL_推定基準日">VolPCA!$B$4</definedName>
    <definedName name="VOL_比較日">VolPCA!$B$10</definedName>
    <definedName name="VOL_標準化">VolPCA!$B$7</definedName>
    <definedName name="VOL_満期">_xlfn.ANCHORARRAY(VolPCA!$JD$4)</definedName>
    <definedName name="VOL_銘柄">_xlfn.ANCHORARRAY(VolPCA!$JG$4)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A3" i="9" l="1" a="1"/>
  <c r="LA3" i="9"/>
  <c r="D1" i="9" a="1"/>
  <c r="D1" i="9"/>
  <c r="CA4" i="6" a="1"/>
  <c r="CA4" i="6"/>
  <c r="D1" i="6" a="1"/>
  <c r="D1" i="6"/>
  <c r="BJ5" i="9" a="1"/>
  <c r="BJ5" i="9"/>
  <c r="I4" i="9" a="1"/>
  <c r="I4" i="9"/>
  <c r="F34" i="6" a="1"/>
  <c r="F34" i="6"/>
  <c r="H4" i="6" a="1"/>
  <c r="H4" i="6"/>
  <c r="JE4" i="9" a="1"/>
  <c r="JE4" i="9" s="1"/>
  <c r="JD4" i="9" a="1"/>
  <c r="JD4" i="9" s="1"/>
  <c r="AB4" i="6" a="1"/>
  <c r="AB4" i="6" l="1"/>
  <c r="JG4" i="9" a="1"/>
  <c r="V35" i="9" a="1"/>
  <c r="V35" i="9" s="1"/>
  <c r="G35" i="9" a="1"/>
  <c r="G35" i="9" s="1"/>
  <c r="AC4" i="6" a="1"/>
  <c r="E4" i="6" a="1"/>
  <c r="Z17" i="6" a="1"/>
  <c r="M34" i="6" l="1" a="1"/>
  <c r="M34" i="6" s="1"/>
  <c r="L34" i="6" a="1"/>
  <c r="L34" i="6" s="1"/>
  <c r="Z17" i="6"/>
  <c r="E4" i="6"/>
  <c r="AC4" i="6"/>
  <c r="V34" i="6" a="1"/>
  <c r="V34" i="6" s="1"/>
  <c r="W34" i="6" a="1"/>
  <c r="W34" i="6" s="1"/>
  <c r="E34" i="6" a="1"/>
  <c r="E34" i="6" s="1"/>
  <c r="U34" i="6" a="1"/>
  <c r="U34" i="6" s="1"/>
  <c r="X34" i="6" a="1"/>
  <c r="X34" i="6" s="1"/>
  <c r="T34" i="6" a="1"/>
  <c r="T34" i="6" s="1"/>
  <c r="G34" i="6" a="1"/>
  <c r="JG4" i="9"/>
  <c r="AJ60" i="9" a="1"/>
  <c r="F36" i="9" a="1"/>
  <c r="U60" i="9" a="1"/>
  <c r="U12" i="9" a="1"/>
  <c r="U36" i="9" a="1"/>
  <c r="AK59" i="9" a="1"/>
  <c r="AK59" i="9" s="1"/>
  <c r="F60" i="9" a="1"/>
  <c r="N34" i="6" a="1"/>
  <c r="F12" i="9" a="1"/>
  <c r="V59" i="9" a="1"/>
  <c r="V59" i="9" s="1"/>
  <c r="G59" i="9" a="1"/>
  <c r="G59" i="9" s="1"/>
  <c r="G11" i="9" a="1"/>
  <c r="G11" i="9" s="1"/>
  <c r="V11" i="9" a="1"/>
  <c r="V11" i="9" s="1"/>
  <c r="BF17" i="9" a="1"/>
  <c r="BP4" i="9" a="1"/>
  <c r="F4" i="9" a="1"/>
  <c r="P34" i="6" l="1" a="1"/>
  <c r="P34" i="6" s="1"/>
  <c r="G34" i="6"/>
  <c r="H34" i="6" a="1"/>
  <c r="H34" i="6" s="1"/>
  <c r="Q34" i="6" a="1"/>
  <c r="Q34" i="6" s="1"/>
  <c r="S34" i="6" a="1"/>
  <c r="S34" i="6" s="1"/>
  <c r="F4" i="9"/>
  <c r="BL5" i="9" a="1"/>
  <c r="BL5" i="9" s="1"/>
  <c r="BP4" i="9"/>
  <c r="BK5" i="9" a="1"/>
  <c r="BI5" i="9" a="1"/>
  <c r="BI5" i="9" s="1"/>
  <c r="BF17" i="9"/>
  <c r="AJ12" i="9" a="1"/>
  <c r="AJ12" i="9" s="1"/>
  <c r="AK12" i="9" a="1"/>
  <c r="J34" i="6" a="1"/>
  <c r="J34" i="6" s="1"/>
  <c r="N34" i="6"/>
  <c r="O34" i="6" s="1" a="1"/>
  <c r="O34" i="6" s="1"/>
  <c r="F12" i="9"/>
  <c r="U60" i="9"/>
  <c r="F36" i="9"/>
  <c r="AJ60" i="9"/>
  <c r="U36" i="9"/>
  <c r="U12" i="9"/>
  <c r="F60" i="9"/>
  <c r="G60" i="9" l="1" a="1"/>
  <c r="G60" i="9" s="1"/>
  <c r="V60" i="9" a="1"/>
  <c r="V60" i="9" s="1"/>
  <c r="AK60" i="9" a="1"/>
  <c r="AK60" i="9" s="1"/>
  <c r="V12" i="9" a="1"/>
  <c r="V12" i="9" s="1"/>
  <c r="AK12" i="9"/>
  <c r="AL12" i="9" s="1" a="1"/>
  <c r="AL12" i="9" s="1"/>
  <c r="BK5" i="9"/>
  <c r="BM5" i="9" a="1"/>
  <c r="I34" i="6" a="1"/>
  <c r="I34" i="6" s="1"/>
  <c r="BM5" i="9" l="1"/>
  <c r="BN5" i="9" a="1"/>
  <c r="AN12" i="9" a="1"/>
  <c r="AN12" i="9" s="1"/>
  <c r="V36" i="9" a="1"/>
  <c r="V36" i="9" s="1"/>
  <c r="G36" i="9" a="1"/>
  <c r="G36" i="9" s="1"/>
  <c r="AO12" i="9" a="1"/>
  <c r="AO12" i="9" s="1"/>
  <c r="BN5" i="9" l="1"/>
  <c r="G12" i="9" a="1"/>
  <c r="G12" i="9" s="1"/>
  <c r="AM12" i="9" a="1"/>
  <c r="AM12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<sst xmlns="http://schemas.openxmlformats.org/spreadsheetml/2006/main" count="247" uniqueCount="119">
  <si>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</si>
  <si>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</si>
  <si>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</si>
  <si>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</si>
  <si>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</si>
  <si>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</si>
  <si>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</si>
  <si>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</si>
  <si>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</si>
  <si>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</si>
  <si>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</si>
  <si>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</si>
  <si>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</si>
  <si>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</si>
  <si>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</si>
  <si>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</si>
  <si>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</si>
  <si>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</si>
  <si>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</si>
  <si>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</si>
  <si>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</si>
  <si>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</si>
  <si>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</si>
  <si>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</si>
  <si>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</si>
  <si>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</si>
  <si>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</si>
  <si>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</si>
  <si>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</si>
  <si>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</si>
  <si>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</si>
  <si>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</si>
  <si>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</si>
  <si>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</si>
  <si>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</si>
  <si>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</si>
  <si>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</si>
  <si>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</si>
  <si>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</si>
  <si>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</si>
  <si>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</si>
  <si>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比較日</t>
  </si>
  <si>
    <t>モード</t>
  </si>
  <si>
    <t>レベル</t>
  </si>
  <si>
    <t>window(営業日)</t>
  </si>
  <si>
    <t>主成分数 k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</si>
  <si>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</si>
  <si>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</si>
  <si>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</si>
  <si>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</si>
  <si>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</si>
  <si>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</si>
  <si>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</si>
  <si>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</si>
  <si>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</si>
  <si>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</si>
  <si>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</si>
  <si>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</si>
  <si>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</si>
  <si>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</si>
  <si>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</si>
  <si>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</si>
  <si>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</si>
  <si>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</si>
  <si>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</si>
  <si>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</si>
  <si>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</si>
  <si>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</si>
  <si>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満期</t>
  </si>
  <si>
    <t>原資産</t>
  </si>
  <si>
    <t>銘柄</t>
  </si>
  <si>
    <t>1Y</t>
  </si>
  <si>
    <t>2Y</t>
  </si>
  <si>
    <t>3Y</t>
  </si>
  <si>
    <t>主成分ベクトルの推定</t>
  </si>
  <si>
    <t>推定基準日</t>
  </si>
  <si>
    <t>標準化</t>
  </si>
  <si>
    <t>なし</t>
  </si>
  <si>
    <t>比較</t>
  </si>
  <si>
    <t>銘柄 = 選んだ満期 × 選んだ原資産の格子の全点(並び順が結果の行・列の順)</t>
  </si>
  <si>
    <t>選択満期</t>
  </si>
  <si>
    <t>選択原資産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</si>
  <si>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</si>
  <si>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</si>
  <si>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</si>
  <si>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</si>
  <si>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</si>
  <si>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</si>
  <si>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</si>
  <si>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</si>
  <si>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</si>
  <si>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</si>
  <si>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</si>
  <si>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</si>
  <si>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</si>
  <si>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</si>
  <si>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</si>
  <si>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</si>
  <si>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</si>
  <si>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</si>
  <si>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</si>
  <si>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</si>
  <si>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</si>
  <si>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</si>
  <si>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</si>
  <si>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</si>
  <si>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</si>
  <si>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</si>
  <si>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</si>
  <si>
    <t>計算領域(UDFの出力。直接編集しない)</t>
  </si>
  <si>
    <t>PCA(スワップ)</t>
  </si>
  <si>
    <t>計算領域(UDFの出力と銘柄ごとの計算。直接編集しない)</t>
  </si>
  <si>
    <t>VolPCA(スワップションATMノーマルvol、bp)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</si>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</sst>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0.0000"/>
    <numFmt numFmtId="178" formatCode="0.0%"/>
    <numFmt numFmtId="179" formatCode="0.000"/>
    <numFmt numFmtId="180" formatCode="0.0"/>
    <numFmt numFmtId="182" formatCode="m/d\ hh:mm:ss"/>
  </numFmts>
  <fonts count="7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C00000"/>
      <name val="游ゴシック"/>
      <family val="2"/>
      <charset val="128"/>
      <scheme val="minor"/>
    </font>
    <font>
      <sz val="11"/>
      <color rgb="FF595959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2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NumberFormat="1" applyFill="1" applyBorder="1" applyAlignment="1">
      <alignment horizontal="center"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abSelected="1" topLeftCell="D11" workbookViewId="0"/>
  </sheetViews>
  <sheetFormatPr defaultRowHeight="18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79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LiveInfo("swap",_xlfn.ANCHORARRAY($CA$4))</f>
      </c>
      <c r="E1" s="17" t="s">
        <v>116</v>
      </c>
    </row>
    <row r="2" spans="1:79" ht="22.5" x14ac:dyDescent="0.55000000000000004">
      <c r="A2" t="s">
        <v>110</v>
      </c>
      <c r="E2" s="1"/>
      <c r="Z2" s="1" t="s">
        <v>109</v>
      </c>
      <c r="CA2" t="s">
        <v>117</v>
      </c>
    </row>
    <row r="3" spans="1:79" x14ac:dyDescent="0.55000000000000004">
      <c r="A3" s="4" t="s">
        <v>74</v>
      </c>
      <c r="E3" t="s">
        <v>82</v>
      </c>
      <c r="H3" t="s">
        <v>83</v>
      </c>
      <c r="AB3" t="s">
        <v>49</v>
      </c>
      <c r="AC3" t="s">
        <v>85</v>
      </c>
    </row>
    <row r="4" spans="1:79" x14ac:dyDescent="0.55000000000000004">
      <c r="A4" t="s">
        <v>75</v>
      </c>
      <c r="B4" s="3"/>
      <c r="E4" cm="1">
        <f t="array" aca="1" ref="E4:F8" ca="1">PcaWindow(PCA_テナー,PCA_モード,PCA_標準化,PCA_window,PCA_推定基準日,PCA_比較日)</f>
      </c>
      <c r="F4" s="7">
        <f ca="1"/>
      </c>
      <c r="H4" cm="1">
        <f t="array" aca="1" ref="H4:I7" ca="1">PcaActualInfo(PCA_テナー,PCA_モード,PCA_比較日,_xlfn.CHOOSECOLS(_xlfn.ANCHORARRAY($CA$4),1,2))</f>
      </c>
      <c r="I4" s="7">
        <f ca="1"/>
      </c>
      <c r="O4" t="s">
        <v>86</v>
      </c>
      <c r="AA4" s="7"/>
      <c r="AB4" cm="1">
        <f t="array" ref="AB4:AB16">_xlfn._xlws.FILTER($A$15:$A$56,$B$15:$B$56="○")</f>
      </c>
      <c r="AC4" cm="1">
        <f t="array" aca="1" ref="AC4:AR17" ca="1">PcaModel(PCA_テナー,PCA_モード,PCA_標準化,PCA_window,PCA_推定基準日,PCA_比較日)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CA4" cm="1">
        <f t="array" aca="1" ref="CA4" ca="1">IF($B$1="Fixed",LiveSnapshot("swap"),LiveQuotes("swap"))</f>
      </c>
    </row>
    <row r="5" spans="1:79" x14ac:dyDescent="0.55000000000000004">
      <c r="A5" t="s">
        <v>44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87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</row>
    <row r="6" spans="1:79" x14ac:dyDescent="0.55000000000000004">
      <c r="A6" t="s">
        <v>42</v>
      </c>
      <c r="B6" s="2" t="s">
        <v>43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</row>
    <row r="7" spans="1:79" x14ac:dyDescent="0.55000000000000004">
      <c r="A7" t="s">
        <v>76</v>
      </c>
      <c r="B7" s="2" t="s">
        <v>77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</row>
    <row r="8" spans="1:79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</row>
    <row r="9" spans="1:79" x14ac:dyDescent="0.55000000000000004">
      <c r="A9" s="4" t="s">
        <v>78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</row>
    <row r="10" spans="1:79" x14ac:dyDescent="0.55000000000000004">
      <c r="A10" t="s">
        <v>41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</row>
    <row r="11" spans="1:79" x14ac:dyDescent="0.55000000000000004">
      <c r="A11" t="s">
        <v>45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</row>
    <row r="12" spans="1:79" x14ac:dyDescent="0.55000000000000004"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</row>
    <row r="13" spans="1:79" x14ac:dyDescent="0.55000000000000004">
      <c r="A13" t="s">
        <v>46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</row>
    <row r="14" spans="1:79" x14ac:dyDescent="0.55000000000000004">
      <c r="A14" s="5" t="s">
        <v>47</v>
      </c>
      <c r="B14" s="5" t="s">
        <v>48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</row>
    <row r="15" spans="1:79" x14ac:dyDescent="0.55000000000000004">
      <c r="A15" t="s">
        <v>0</v>
      </c>
      <c r="B15" s="6" t="s">
        <v>52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</row>
    <row r="16" spans="1:79" x14ac:dyDescent="0.55000000000000004">
      <c r="A16" t="s">
        <v>1</v>
      </c>
      <c r="B16" s="6" t="s">
        <v>52</v>
      </c>
      <c r="Z16" t="s">
        <v>84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</row>
    <row r="17" spans="1:44" x14ac:dyDescent="0.55000000000000004">
      <c r="A17" t="s">
        <v>2</v>
      </c>
      <c r="B17" s="6" t="s">
        <v>52</v>
      </c>
      <c r="Z17" cm="1">
        <f t="array" aca="1" ref="Z17:AA30" ca="1">PcaEigen(PCA_テナー,PCA_モード,PCA_標準化,PCA_window,PCA_推定基準日,PCA_比較日)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</row>
    <row r="18" spans="1:44" x14ac:dyDescent="0.55000000000000004">
      <c r="A18" t="s">
        <v>3</v>
      </c>
      <c r="B18" s="6" t="s">
        <v>52</v>
      </c>
      <c r="Z18">
        <f ca="1"/>
      </c>
      <c r="AA18">
        <f ca="1"/>
      </c>
    </row>
    <row r="19" spans="1:44" x14ac:dyDescent="0.55000000000000004">
      <c r="A19" t="s">
        <v>4</v>
      </c>
      <c r="B19" s="6" t="s">
        <v>52</v>
      </c>
      <c r="Z19">
        <f ca="1"/>
      </c>
      <c r="AA19">
        <f ca="1"/>
      </c>
    </row>
    <row r="20" spans="1:44" x14ac:dyDescent="0.55000000000000004">
      <c r="A20" t="s">
        <v>5</v>
      </c>
      <c r="B20" s="6" t="s">
        <v>52</v>
      </c>
      <c r="Z20">
        <f ca="1"/>
      </c>
      <c r="AA20">
        <f ca="1"/>
      </c>
    </row>
    <row r="21" spans="1:44" x14ac:dyDescent="0.55000000000000004">
      <c r="A21" t="s">
        <v>6</v>
      </c>
      <c r="B21" s="6" t="s">
        <v>52</v>
      </c>
      <c r="Z21">
        <f ca="1"/>
      </c>
      <c r="AA21">
        <f ca="1"/>
      </c>
    </row>
    <row r="22" spans="1:44" x14ac:dyDescent="0.55000000000000004">
      <c r="A22" t="s">
        <v>7</v>
      </c>
      <c r="B22" s="6" t="s">
        <v>52</v>
      </c>
      <c r="Z22">
        <f ca="1"/>
      </c>
      <c r="AA22">
        <f ca="1"/>
      </c>
    </row>
    <row r="23" spans="1:44" x14ac:dyDescent="0.55000000000000004">
      <c r="A23" t="s">
        <v>8</v>
      </c>
      <c r="B23" s="6" t="s">
        <v>52</v>
      </c>
      <c r="Z23">
        <f ca="1"/>
      </c>
      <c r="AA23">
        <f ca="1"/>
      </c>
    </row>
    <row r="24" spans="1:44" x14ac:dyDescent="0.55000000000000004">
      <c r="A24" t="s">
        <v>9</v>
      </c>
      <c r="B24" s="6" t="s">
        <v>52</v>
      </c>
      <c r="Z24">
        <f ca="1"/>
      </c>
      <c r="AA24">
        <f ca="1"/>
      </c>
    </row>
    <row r="25" spans="1:44" x14ac:dyDescent="0.55000000000000004">
      <c r="A25" t="s">
        <v>10</v>
      </c>
      <c r="B25" s="6" t="s">
        <v>52</v>
      </c>
      <c r="Z25">
        <f ca="1"/>
      </c>
      <c r="AA25">
        <f ca="1"/>
      </c>
    </row>
    <row r="26" spans="1:44" x14ac:dyDescent="0.55000000000000004">
      <c r="A26" t="s">
        <v>11</v>
      </c>
      <c r="B26" s="6" t="s">
        <v>52</v>
      </c>
      <c r="Z26">
        <f ca="1"/>
      </c>
      <c r="AA26">
        <f ca="1"/>
      </c>
    </row>
    <row r="27" spans="1:44" x14ac:dyDescent="0.55000000000000004">
      <c r="A27" t="s">
        <v>12</v>
      </c>
      <c r="B27" s="6" t="s">
        <v>52</v>
      </c>
      <c r="Z27">
        <f ca="1"/>
      </c>
      <c r="AA27">
        <f ca="1"/>
      </c>
    </row>
    <row r="28" spans="1:44" x14ac:dyDescent="0.55000000000000004">
      <c r="A28" t="s">
        <v>50</v>
      </c>
      <c r="B28" s="6" t="s">
        <v>51</v>
      </c>
      <c r="Z28">
        <f ca="1"/>
      </c>
      <c r="AA28">
        <f ca="1"/>
      </c>
    </row>
    <row r="29" spans="1:44" x14ac:dyDescent="0.55000000000000004">
      <c r="A29" t="s">
        <v>13</v>
      </c>
      <c r="B29" s="6" t="s">
        <v>52</v>
      </c>
      <c r="Z29">
        <f ca="1"/>
      </c>
      <c r="AA29">
        <f ca="1"/>
      </c>
    </row>
    <row r="30" spans="1:44" x14ac:dyDescent="0.55000000000000004">
      <c r="A30" t="s">
        <v>14</v>
      </c>
      <c r="B30" s="6" t="s">
        <v>52</v>
      </c>
      <c r="Z30">
        <f ca="1"/>
      </c>
      <c r="AA30">
        <f ca="1"/>
      </c>
    </row>
    <row r="31" spans="1:44" x14ac:dyDescent="0.55000000000000004">
      <c r="A31" t="s">
        <v>15</v>
      </c>
      <c r="B31" s="6" t="s">
        <v>52</v>
      </c>
    </row>
    <row r="32" spans="1:44" x14ac:dyDescent="0.55000000000000004">
      <c r="A32" t="s">
        <v>16</v>
      </c>
      <c r="B32" s="6" t="s">
        <v>51</v>
      </c>
      <c r="E32" s="4" t="s">
        <v>66</v>
      </c>
      <c r="L32" s="4" t="s">
        <v>57</v>
      </c>
      <c r="S32" s="4" t="s">
        <v>67</v>
      </c>
    </row>
    <row r="33" spans="1:24" ht="54" x14ac:dyDescent="0.55000000000000004">
      <c r="A33" t="s">
        <v>17</v>
      </c>
      <c r="B33" s="6" t="s">
        <v>51</v>
      </c>
      <c r="E33" s="9" t="s">
        <v>47</v>
      </c>
      <c r="F33" s="9" t="s">
        <v>54</v>
      </c>
      <c r="G33" s="9" t="s">
        <v>88</v>
      </c>
      <c r="H33" s="9" t="s">
        <v>55</v>
      </c>
      <c r="I33" s="9" t="s">
        <v>56</v>
      </c>
      <c r="J33" s="9" t="s">
        <v>89</v>
      </c>
      <c r="L33" s="9" t="s">
        <v>57</v>
      </c>
      <c r="M33" s="9" t="s">
        <v>90</v>
      </c>
      <c r="N33" s="9" t="s">
        <v>58</v>
      </c>
      <c r="O33" s="9" t="s">
        <v>59</v>
      </c>
      <c r="P33" s="9" t="s">
        <v>91</v>
      </c>
      <c r="Q33" s="9" t="s">
        <v>60</v>
      </c>
      <c r="S33" s="9" t="s">
        <v>47</v>
      </c>
      <c r="T33" s="9" t="s">
        <v>61</v>
      </c>
      <c r="U33" s="9" t="s">
        <v>62</v>
      </c>
      <c r="V33" s="9" t="s">
        <v>63</v>
      </c>
      <c r="W33" s="9" t="s">
        <v>64</v>
      </c>
      <c r="X33" s="9" t="s">
        <v>65</v>
      </c>
    </row>
    <row r="34" spans="1:24" x14ac:dyDescent="0.55000000000000004">
      <c r="A34" t="s">
        <v>18</v>
      </c>
      <c r="B34" s="6" t="s">
        <v>51</v>
      </c>
      <c r="E34" cm="1">
        <f t="array" aca="1" ref="E34:E46" ca="1">_xlfn.DROP(_xlfn.TAKE(_xlfn.ANCHORARRAY($AC$4),,1),1)</f>
      </c>
      <c r="F34" s="10" cm="1">
        <f t="array" aca="1" ref="F34:F46" ca="1">PcaActual(PCA_テナー,PCA_モード,PCA_比較日,_xlfn.CHOOSECOLS(_xlfn.ANCHORARRAY($CA$4),1,2))</f>
      </c>
      <c r="G34" s="10" cm="1">
        <f t="array" aca="1" ref="G34:G46" ca="1">_xlfn.DROP(_xlfn.CHOOSECOLS(_xlfn.ANCHORARRAY($AC$4),2),1)</f>
      </c>
      <c r="H34" s="10" cm="1">
        <f t="array" aca="1" ref="H34:H46" ca="1">_xlfn.LET(_xlpm.m,_xlfn.ANCHORARRAY(G34),_xlpm.s,_xlfn.DROP(_xlfn.CHOOSECOLS(_xlfn.ANCHORARRAY($AC$4),3),1),_xlpm.x,_xlfn.ANCHORARRAY(F34),_xlpm.V,_xlfn.TAKE(_xlfn.DROP(_xlfn.ANCHORARRAY($AC$4),1,3),,PCA_k),_xlpm.m+_xlpm.s*MMULT(_xlpm.V,MMULT(TRANSPOSE(_xlpm.V),(_xlpm.x-_xlpm.m)/_xlpm.s)))</f>
      </c>
      <c r="I34" s="11" cm="1">
        <f t="array" aca="1" ref="I34:I46" ca="1">(_xlfn.ANCHORARRAY(F34)-_xlfn.ANCHORARRAY(H34))*100</f>
      </c>
      <c r="J34" s="11" cm="1">
        <f t="array" aca="1" ref="J34:J46" ca="1">(_xlfn.ANCHORARRAY(F34)-_xlfn.ANCHORARRAY(G34))*100</f>
      </c>
      <c r="L34" cm="1">
        <f t="array" aca="1" ref="L34:L46" ca="1">_xlfn.DROP(_xlfn.TAKE(_xlfn.ANCHORARRAY($Z$17),,1),1)</f>
      </c>
      <c r="M34" s="11" cm="1">
        <f t="array" aca="1" ref="M34:M46" ca="1">_xlfn.DROP(_xlfn.CHOOSECOLS(_xlfn.ANCHORARRAY($Z$17),2),1)</f>
      </c>
      <c r="N34" s="12" cm="1">
        <f t="array" aca="1" ref="N34:N46" ca="1">_xlfn.ANCHORARRAY(M34)/SUM(_xlfn.ANCHORARRAY(M34))</f>
      </c>
      <c r="O34" s="12" cm="1">
        <f t="array" aca="1" ref="O34:O46" ca="1">_xlfn.SCAN(0,_xlfn.ANCHORARRAY(N34),_xlfn.LAMBDA(_xlpm.a,_xlpm.b,_xlpm.a+_xlpm.b))</f>
      </c>
      <c r="P34" s="11" cm="1">
        <f t="array" aca="1" ref="P34:P46" ca="1">MMULT(TRANSPOSE(_xlfn.DROP(_xlfn.ANCHORARRAY($AC$4),1,3)),(_xlfn.ANCHORARRAY(F34)-_xlfn.ANCHORARRAY(G34))/_xlfn.DROP(_xlfn.CHOOSECOLS(_xlfn.ANCHORARRAY($AC$4),3),1))*IF(PCA_標準化="あり",1,100)</f>
      </c>
      <c r="Q34" cm="1">
        <f t="array" aca="1" ref="Q34:Q46" ca="1">IF(_xlfn.SEQUENCE(ROWS(_xlfn.ANCHORARRAY(L34)))&lt;=PCA_k,"○","")</f>
      </c>
      <c r="S34" cm="1">
        <f t="array" aca="1" ref="S34:S46" ca="1">_xlfn.ANCHORARRAY(E34)</f>
      </c>
      <c r="T34" s="13" cm="1">
        <f t="array" aca="1" ref="T34:T46" ca="1">_xlfn.LET(_xlpm.V,_xlfn.DROP(_xlfn.ANCHORARRAY($AC$4),1,3),IF(1&lt;=COLUMNS(_xlpm.V),_xlfn.CHOOSECOLS(_xlpm.V,MIN(1,COLUMNS(_xlpm.V))),IF(_xlfn.SEQUENCE(ROWS(_xlpm.V)),NA())))</f>
      </c>
      <c r="U34" s="13" cm="1">
        <f t="array" aca="1" ref="U34:U46" ca="1">_xlfn.LET(_xlpm.V,_xlfn.DROP(_xlfn.ANCHORARRAY($AC$4),1,3),IF(2&lt;=COLUMNS(_xlpm.V),_xlfn.CHOOSECOLS(_xlpm.V,MIN(2,COLUMNS(_xlpm.V))),IF(_xlfn.SEQUENCE(ROWS(_xlpm.V)),NA())))</f>
      </c>
      <c r="V34" s="13" cm="1">
        <f t="array" aca="1" ref="V34:V46" ca="1">_xlfn.LET(_xlpm.V,_xlfn.DROP(_xlfn.ANCHORARRAY($AC$4),1,3),IF(3&lt;=COLUMNS(_xlpm.V),_xlfn.CHOOSECOLS(_xlpm.V,MIN(3,COLUMNS(_xlpm.V))),IF(_xlfn.SEQUENCE(ROWS(_xlpm.V)),NA())))</f>
      </c>
      <c r="W34" s="13" cm="1">
        <f t="array" aca="1" ref="W34:W46" ca="1">_xlfn.LET(_xlpm.V,_xlfn.DROP(_xlfn.ANCHORARRAY($AC$4),1,3),IF(4&lt;=COLUMNS(_xlpm.V),_xlfn.CHOOSECOLS(_xlpm.V,MIN(4,COLUMNS(_xlpm.V))),IF(_xlfn.SEQUENCE(ROWS(_xlpm.V)),NA())))</f>
      </c>
      <c r="X34" s="13" cm="1">
        <f t="array" aca="1" ref="X34:X46" ca="1">_xlfn.LET(_xlpm.V,_xlfn.DROP(_xlfn.ANCHORARRAY($AC$4),1,3),IF(5&lt;=COLUMNS(_xlpm.V),_xlfn.CHOOSECOLS(_xlpm.V,MIN(5,COLUMNS(_xlpm.V))),IF(_xlfn.SEQUENCE(ROWS(_xlpm.V)),NA())))</f>
      </c>
    </row>
    <row r="35" spans="1:24" x14ac:dyDescent="0.55000000000000004">
      <c r="A35" t="s">
        <v>19</v>
      </c>
      <c r="B35" s="6" t="s">
        <v>51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</row>
    <row r="36" spans="1:24" x14ac:dyDescent="0.55000000000000004">
      <c r="A36" t="s">
        <v>20</v>
      </c>
      <c r="B36" s="6" t="s">
        <v>52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</row>
    <row r="37" spans="1:24" x14ac:dyDescent="0.55000000000000004">
      <c r="A37" t="s">
        <v>21</v>
      </c>
      <c r="B37" s="6" t="s">
        <v>51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</row>
    <row r="38" spans="1:24" x14ac:dyDescent="0.55000000000000004">
      <c r="A38" t="s">
        <v>22</v>
      </c>
      <c r="B38" s="6" t="s">
        <v>52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</row>
    <row r="39" spans="1:24" x14ac:dyDescent="0.55000000000000004">
      <c r="A39" t="s">
        <v>23</v>
      </c>
      <c r="B39" s="6" t="s">
        <v>52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</row>
    <row r="40" spans="1:24" x14ac:dyDescent="0.55000000000000004">
      <c r="A40" t="s">
        <v>24</v>
      </c>
      <c r="B40" s="6" t="s">
        <v>51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</row>
    <row r="41" spans="1:24" x14ac:dyDescent="0.55000000000000004">
      <c r="A41" t="s">
        <v>25</v>
      </c>
      <c r="B41" s="6" t="s">
        <v>52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</row>
    <row r="42" spans="1:24" x14ac:dyDescent="0.55000000000000004">
      <c r="A42" t="s">
        <v>26</v>
      </c>
      <c r="B42" s="6" t="s">
        <v>51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</row>
    <row r="43" spans="1:24" x14ac:dyDescent="0.55000000000000004">
      <c r="A43" t="s">
        <v>27</v>
      </c>
      <c r="B43" s="6" t="s">
        <v>51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</row>
    <row r="44" spans="1:24" x14ac:dyDescent="0.55000000000000004">
      <c r="A44" t="s">
        <v>28</v>
      </c>
      <c r="B44" s="6" t="s">
        <v>51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</row>
    <row r="45" spans="1:24" x14ac:dyDescent="0.55000000000000004">
      <c r="A45" t="s">
        <v>29</v>
      </c>
      <c r="B45" s="6" t="s">
        <v>51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</row>
    <row r="46" spans="1:24" x14ac:dyDescent="0.55000000000000004">
      <c r="A46" t="s">
        <v>30</v>
      </c>
      <c r="B46" s="6" t="s">
        <v>51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</row>
    <row r="47" spans="1:24" x14ac:dyDescent="0.55000000000000004">
      <c r="A47" t="s">
        <v>31</v>
      </c>
      <c r="B47" s="6" t="s">
        <v>52</v>
      </c>
      <c r="F47" s="10"/>
      <c r="G47" s="10"/>
      <c r="H47" s="10"/>
      <c r="I47" s="11"/>
      <c r="J47" s="11"/>
      <c r="M47" s="11"/>
      <c r="N47" s="12"/>
      <c r="O47" s="12"/>
      <c r="P47" s="11"/>
      <c r="T47" s="13"/>
      <c r="U47" s="13"/>
      <c r="V47" s="13"/>
      <c r="W47" s="13"/>
      <c r="X47" s="13"/>
    </row>
    <row r="48" spans="1:24" x14ac:dyDescent="0.55000000000000004">
      <c r="A48" t="s">
        <v>32</v>
      </c>
      <c r="B48" s="6" t="s">
        <v>51</v>
      </c>
      <c r="F48" s="10"/>
      <c r="G48" s="10"/>
      <c r="H48" s="10"/>
      <c r="I48" s="11"/>
      <c r="J48" s="11"/>
      <c r="M48" s="11"/>
      <c r="N48" s="12"/>
      <c r="O48" s="12"/>
      <c r="P48" s="11"/>
      <c r="T48" s="13"/>
      <c r="U48" s="13"/>
      <c r="V48" s="13"/>
      <c r="W48" s="13"/>
      <c r="X48" s="13"/>
    </row>
    <row r="49" spans="1:24" x14ac:dyDescent="0.55000000000000004">
      <c r="A49" t="s">
        <v>33</v>
      </c>
      <c r="B49" s="6" t="s">
        <v>52</v>
      </c>
      <c r="F49" s="10"/>
      <c r="G49" s="10"/>
      <c r="H49" s="10"/>
      <c r="I49" s="11"/>
      <c r="J49" s="11"/>
      <c r="M49" s="11"/>
      <c r="N49" s="12"/>
      <c r="O49" s="12"/>
      <c r="P49" s="11"/>
      <c r="T49" s="13"/>
      <c r="U49" s="13"/>
      <c r="V49" s="13"/>
      <c r="W49" s="13"/>
      <c r="X49" s="13"/>
    </row>
    <row r="50" spans="1:24" x14ac:dyDescent="0.55000000000000004">
      <c r="A50" t="s">
        <v>34</v>
      </c>
      <c r="B50" s="6" t="s">
        <v>52</v>
      </c>
      <c r="F50" s="10"/>
      <c r="G50" s="10"/>
      <c r="H50" s="10"/>
      <c r="I50" s="11"/>
      <c r="J50" s="11"/>
      <c r="M50" s="11"/>
      <c r="N50" s="12"/>
      <c r="O50" s="12"/>
      <c r="P50" s="11"/>
      <c r="T50" s="13"/>
      <c r="U50" s="13"/>
      <c r="V50" s="13"/>
      <c r="W50" s="13"/>
      <c r="X50" s="13"/>
    </row>
    <row r="51" spans="1:24" x14ac:dyDescent="0.55000000000000004">
      <c r="A51" t="s">
        <v>35</v>
      </c>
      <c r="B51" s="6" t="s">
        <v>52</v>
      </c>
      <c r="F51" s="10"/>
      <c r="G51" s="10"/>
      <c r="H51" s="10"/>
      <c r="I51" s="11"/>
      <c r="J51" s="11"/>
      <c r="M51" s="11"/>
      <c r="N51" s="12"/>
      <c r="O51" s="12"/>
      <c r="P51" s="11"/>
      <c r="T51" s="13"/>
      <c r="U51" s="13"/>
      <c r="V51" s="13"/>
      <c r="W51" s="13"/>
      <c r="X51" s="13"/>
    </row>
    <row r="52" spans="1:24" x14ac:dyDescent="0.55000000000000004">
      <c r="A52" t="s">
        <v>36</v>
      </c>
      <c r="B52" s="6" t="s">
        <v>52</v>
      </c>
      <c r="F52" s="10"/>
      <c r="G52" s="10"/>
      <c r="H52" s="10"/>
      <c r="I52" s="11"/>
      <c r="J52" s="11"/>
      <c r="M52" s="11"/>
      <c r="N52" s="12"/>
      <c r="O52" s="12"/>
      <c r="P52" s="11"/>
      <c r="T52" s="13"/>
      <c r="U52" s="13"/>
      <c r="V52" s="13"/>
      <c r="W52" s="13"/>
      <c r="X52" s="13"/>
    </row>
    <row r="53" spans="1:24" x14ac:dyDescent="0.55000000000000004">
      <c r="A53" t="s">
        <v>37</v>
      </c>
      <c r="B53" s="6" t="s">
        <v>52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52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52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52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8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prompt="なし=分散共分散(bp)のPCA / あり=z-score(相関行列)のPCA" sqref="B7" xr:uid="{7ED64B26-97CF-402C-B083-0FFB42FD6806}">
      <formula1>"あり,なし"</formula1>
    </dataValidation>
    <dataValidation type="list" allowBlank="1" showInputMessage="1" showErrorMessage="1" prompt="レベル=水準のPCA / 日次変化=前営業日からの変化のPCA" sqref="B6" xr:uid="{3E3DC664-42D4-4B04-8857-77743F4A2966}">
      <formula1>"レベル,日次変化"</formula1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空欄=今日(RealTimeのライブの値)。日付=DBのその日の引け値。推定基準日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D1" workbookViewId="0">
      <selection activeCell="BF1" sqref="BF1:JB410"/>
    </sheetView>
  </sheetViews>
  <sheetFormatPr defaultRowHeight="18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3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LiveInfo("vol",_xlfn.ANCHORARRAY($LA$3))</f>
      </c>
      <c r="E1" s="17" t="s">
        <v>116</v>
      </c>
    </row>
    <row r="2" spans="1:313" ht="22.5" x14ac:dyDescent="0.55000000000000004">
      <c r="A2" t="s">
        <v>112</v>
      </c>
      <c r="F2" s="1"/>
      <c r="BF2" s="1" t="s">
        <v>111</v>
      </c>
      <c r="LA2" t="s">
        <v>118</v>
      </c>
    </row>
    <row r="3" spans="1:313" x14ac:dyDescent="0.55000000000000004">
      <c r="A3" s="4" t="s">
        <v>74</v>
      </c>
      <c r="F3" t="s">
        <v>82</v>
      </c>
      <c r="I3" t="s">
        <v>83</v>
      </c>
      <c r="BI3" t="s">
        <v>93</v>
      </c>
      <c r="BP3" t="s">
        <v>92</v>
      </c>
      <c r="JD3" t="s">
        <v>80</v>
      </c>
      <c r="JE3" t="s">
        <v>81</v>
      </c>
      <c r="JG3" t="s">
        <v>70</v>
      </c>
      <c r="LA3" cm="1">
        <f t="array" aca="1" ref="LA3" ca="1">IF($B$1="Fixed",LiveSnapshot("vol"),LiveQuotes("vol"))</f>
      </c>
    </row>
    <row r="4" spans="1:313" x14ac:dyDescent="0.55000000000000004">
      <c r="A4" t="s">
        <v>75</v>
      </c>
      <c r="B4" s="3"/>
      <c r="F4" cm="1">
        <f t="array" aca="1" ref="F4:G8" ca="1">PcaWindow(VOL_銘柄,VOL_モード,VOL_標準化,VOL_window,VOL_推定基準日,VOL_比較日,"vol")</f>
      </c>
      <c r="G4" s="7">
        <f ca="1"/>
      </c>
      <c r="I4" cm="1">
        <f t="array" aca="1" ref="I4:J7" ca="1">PcaActualInfo(VOL_銘柄,VOL_モード,VOL_比較日,_xlfn.ANCHORARRAY($LA$3),"vol")</f>
      </c>
      <c r="J4" s="7">
        <f ca="1"/>
      </c>
      <c r="P4" t="s">
        <v>98</v>
      </c>
      <c r="BG4" s="7"/>
      <c r="BI4" s="5" t="s">
        <v>70</v>
      </c>
      <c r="BJ4" s="5" t="s">
        <v>53</v>
      </c>
      <c r="BK4" s="5" t="s">
        <v>94</v>
      </c>
      <c r="BL4" s="5" t="s">
        <v>95</v>
      </c>
      <c r="BM4" s="5" t="s">
        <v>96</v>
      </c>
      <c r="BN4" s="5" t="s">
        <v>97</v>
      </c>
      <c r="BP4" cm="1">
        <f t="array" aca="1" ref="BP4:JB196" ca="1">PcaModel(VOL_銘柄,VOL_モード,VOL_標準化,VOL_window,VOL_推定基準日,VOL_比較日,"vol")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  <c r="HZ4">
        <f ca="1"/>
      </c>
      <c r="IA4">
        <f ca="1"/>
      </c>
      <c r="IB4">
        <f ca="1"/>
      </c>
      <c r="IC4">
        <f ca="1"/>
      </c>
      <c r="ID4">
        <f ca="1"/>
      </c>
      <c r="IE4">
        <f ca="1"/>
      </c>
      <c r="IF4">
        <f ca="1"/>
      </c>
      <c r="IG4">
        <f ca="1"/>
      </c>
      <c r="IH4">
        <f ca="1"/>
      </c>
      <c r="II4">
        <f ca="1"/>
      </c>
      <c r="IJ4">
        <f ca="1"/>
      </c>
      <c r="IK4">
        <f ca="1"/>
      </c>
      <c r="IL4">
        <f ca="1"/>
      </c>
      <c r="IM4">
        <f ca="1"/>
      </c>
      <c r="IN4">
        <f ca="1"/>
      </c>
      <c r="IO4">
        <f ca="1"/>
      </c>
      <c r="IP4">
        <f ca="1"/>
      </c>
      <c r="IQ4">
        <f ca="1"/>
      </c>
      <c r="IR4">
        <f ca="1"/>
      </c>
      <c r="IS4">
        <f ca="1"/>
      </c>
      <c r="IT4">
        <f ca="1"/>
      </c>
      <c r="IU4">
        <f ca="1"/>
      </c>
      <c r="IV4">
        <f ca="1"/>
      </c>
      <c r="IW4">
        <f ca="1"/>
      </c>
      <c r="IX4">
        <f ca="1"/>
      </c>
      <c r="IY4">
        <f ca="1"/>
      </c>
      <c r="IZ4">
        <f ca="1"/>
      </c>
      <c r="JA4">
        <f ca="1"/>
      </c>
      <c r="JB4">
        <f ca="1"/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</row>
    <row r="5" spans="1:313" x14ac:dyDescent="0.55000000000000004">
      <c r="A5" t="s">
        <v>44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99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PcaActual(VOL_銘柄,VOL_モード,VOL_比較日,_xlfn.ANCHORARRAY($LA$3),"vol")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_xlfn.LET(_xlpm.m,_xlfn.ANCHORARRAY(BK5),_xlpm.s,_xlfn.ANCHORARRAY(BL5),_xlpm.x,_xlfn.ANCHORARRAY(BJ5),_xlpm.V,_xlfn.TAKE(_xlfn.DROP(_xlfn.ANCHORARRAY($BP$4),1,3),,VOL_k),_xlpm.m+_xlpm.s*MMULT(_xlpm.V,MMULT(TRANSPOSE(_xlpm.V),(_xlpm.x-_xlpm.m)/_xlpm.s)))</f>
      </c>
      <c r="BN5" s="11" cm="1">
        <f t="array" aca="1" ref="BN5:BN196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  <c r="HZ5">
        <f ca="1"/>
      </c>
      <c r="IA5">
        <f ca="1"/>
      </c>
      <c r="IB5">
        <f ca="1"/>
      </c>
      <c r="IC5">
        <f ca="1"/>
      </c>
      <c r="ID5">
        <f ca="1"/>
      </c>
      <c r="IE5">
        <f ca="1"/>
      </c>
      <c r="IF5">
        <f ca="1"/>
      </c>
      <c r="IG5">
        <f ca="1"/>
      </c>
      <c r="IH5">
        <f ca="1"/>
      </c>
      <c r="II5">
        <f ca="1"/>
      </c>
      <c r="IJ5">
        <f ca="1"/>
      </c>
      <c r="IK5">
        <f ca="1"/>
      </c>
      <c r="IL5">
        <f ca="1"/>
      </c>
      <c r="IM5">
        <f ca="1"/>
      </c>
      <c r="IN5">
        <f ca="1"/>
      </c>
      <c r="IO5">
        <f ca="1"/>
      </c>
      <c r="IP5">
        <f ca="1"/>
      </c>
      <c r="IQ5">
        <f ca="1"/>
      </c>
      <c r="IR5">
        <f ca="1"/>
      </c>
      <c r="IS5">
        <f ca="1"/>
      </c>
      <c r="IT5">
        <f ca="1"/>
      </c>
      <c r="IU5">
        <f ca="1"/>
      </c>
      <c r="IV5">
        <f ca="1"/>
      </c>
      <c r="IW5">
        <f ca="1"/>
      </c>
      <c r="IX5">
        <f ca="1"/>
      </c>
      <c r="IY5">
        <f ca="1"/>
      </c>
      <c r="IZ5">
        <f ca="1"/>
      </c>
      <c r="JA5">
        <f ca="1"/>
      </c>
      <c r="JB5">
        <f ca="1"/>
      </c>
    </row>
    <row r="6" spans="1:313" x14ac:dyDescent="0.55000000000000004">
      <c r="A6" t="s">
        <v>42</v>
      </c>
      <c r="B6" s="2" t="s">
        <v>43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  <c r="HZ6">
        <f ca="1"/>
      </c>
      <c r="IA6">
        <f ca="1"/>
      </c>
      <c r="IB6">
        <f ca="1"/>
      </c>
      <c r="IC6">
        <f ca="1"/>
      </c>
      <c r="ID6">
        <f ca="1"/>
      </c>
      <c r="IE6">
        <f ca="1"/>
      </c>
      <c r="IF6">
        <f ca="1"/>
      </c>
      <c r="IG6">
        <f ca="1"/>
      </c>
      <c r="IH6">
        <f ca="1"/>
      </c>
      <c r="II6">
        <f ca="1"/>
      </c>
      <c r="IJ6">
        <f ca="1"/>
      </c>
      <c r="IK6">
        <f ca="1"/>
      </c>
      <c r="IL6">
        <f ca="1"/>
      </c>
      <c r="IM6">
        <f ca="1"/>
      </c>
      <c r="IN6">
        <f ca="1"/>
      </c>
      <c r="IO6">
        <f ca="1"/>
      </c>
      <c r="IP6">
        <f ca="1"/>
      </c>
      <c r="IQ6">
        <f ca="1"/>
      </c>
      <c r="IR6">
        <f ca="1"/>
      </c>
      <c r="IS6">
        <f ca="1"/>
      </c>
      <c r="IT6">
        <f ca="1"/>
      </c>
      <c r="IU6">
        <f ca="1"/>
      </c>
      <c r="IV6">
        <f ca="1"/>
      </c>
      <c r="IW6">
        <f ca="1"/>
      </c>
      <c r="IX6">
        <f ca="1"/>
      </c>
      <c r="IY6">
        <f ca="1"/>
      </c>
      <c r="IZ6">
        <f ca="1"/>
      </c>
      <c r="JA6">
        <f ca="1"/>
      </c>
      <c r="JB6">
        <f ca="1"/>
      </c>
    </row>
    <row r="7" spans="1:313" x14ac:dyDescent="0.55000000000000004">
      <c r="A7" t="s">
        <v>76</v>
      </c>
      <c r="B7" s="2" t="s">
        <v>77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  <c r="HZ7">
        <f ca="1"/>
      </c>
      <c r="IA7">
        <f ca="1"/>
      </c>
      <c r="IB7">
        <f ca="1"/>
      </c>
      <c r="IC7">
        <f ca="1"/>
      </c>
      <c r="ID7">
        <f ca="1"/>
      </c>
      <c r="IE7">
        <f ca="1"/>
      </c>
      <c r="IF7">
        <f ca="1"/>
      </c>
      <c r="IG7">
        <f ca="1"/>
      </c>
      <c r="IH7">
        <f ca="1"/>
      </c>
      <c r="II7">
        <f ca="1"/>
      </c>
      <c r="IJ7">
        <f ca="1"/>
      </c>
      <c r="IK7">
        <f ca="1"/>
      </c>
      <c r="IL7">
        <f ca="1"/>
      </c>
      <c r="IM7">
        <f ca="1"/>
      </c>
      <c r="IN7">
        <f ca="1"/>
      </c>
      <c r="IO7">
        <f ca="1"/>
      </c>
      <c r="IP7">
        <f ca="1"/>
      </c>
      <c r="IQ7">
        <f ca="1"/>
      </c>
      <c r="IR7">
        <f ca="1"/>
      </c>
      <c r="IS7">
        <f ca="1"/>
      </c>
      <c r="IT7">
        <f ca="1"/>
      </c>
      <c r="IU7">
        <f ca="1"/>
      </c>
      <c r="IV7">
        <f ca="1"/>
      </c>
      <c r="IW7">
        <f ca="1"/>
      </c>
      <c r="IX7">
        <f ca="1"/>
      </c>
      <c r="IY7">
        <f ca="1"/>
      </c>
      <c r="IZ7">
        <f ca="1"/>
      </c>
      <c r="JA7">
        <f ca="1"/>
      </c>
      <c r="JB7">
        <f ca="1"/>
      </c>
    </row>
    <row r="8" spans="1:313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  <c r="HZ8">
        <f ca="1"/>
      </c>
      <c r="IA8">
        <f ca="1"/>
      </c>
      <c r="IB8">
        <f ca="1"/>
      </c>
      <c r="IC8">
        <f ca="1"/>
      </c>
      <c r="ID8">
        <f ca="1"/>
      </c>
      <c r="IE8">
        <f ca="1"/>
      </c>
      <c r="IF8">
        <f ca="1"/>
      </c>
      <c r="IG8">
        <f ca="1"/>
      </c>
      <c r="IH8">
        <f ca="1"/>
      </c>
      <c r="II8">
        <f ca="1"/>
      </c>
      <c r="IJ8">
        <f ca="1"/>
      </c>
      <c r="IK8">
        <f ca="1"/>
      </c>
      <c r="IL8">
        <f ca="1"/>
      </c>
      <c r="IM8">
        <f ca="1"/>
      </c>
      <c r="IN8">
        <f ca="1"/>
      </c>
      <c r="IO8">
        <f ca="1"/>
      </c>
      <c r="IP8">
        <f ca="1"/>
      </c>
      <c r="IQ8">
        <f ca="1"/>
      </c>
      <c r="IR8">
        <f ca="1"/>
      </c>
      <c r="IS8">
        <f ca="1"/>
      </c>
      <c r="IT8">
        <f ca="1"/>
      </c>
      <c r="IU8">
        <f ca="1"/>
      </c>
      <c r="IV8">
        <f ca="1"/>
      </c>
      <c r="IW8">
        <f ca="1"/>
      </c>
      <c r="IX8">
        <f ca="1"/>
      </c>
      <c r="IY8">
        <f ca="1"/>
      </c>
      <c r="IZ8">
        <f ca="1"/>
      </c>
      <c r="JA8">
        <f ca="1"/>
      </c>
      <c r="JB8">
        <f ca="1"/>
      </c>
    </row>
    <row r="9" spans="1:313" x14ac:dyDescent="0.55000000000000004">
      <c r="A9" s="4" t="s">
        <v>78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  <c r="HZ9">
        <f ca="1"/>
      </c>
      <c r="IA9">
        <f ca="1"/>
      </c>
      <c r="IB9">
        <f ca="1"/>
      </c>
      <c r="IC9">
        <f ca="1"/>
      </c>
      <c r="ID9">
        <f ca="1"/>
      </c>
      <c r="IE9">
        <f ca="1"/>
      </c>
      <c r="IF9">
        <f ca="1"/>
      </c>
      <c r="IG9">
        <f ca="1"/>
      </c>
      <c r="IH9">
        <f ca="1"/>
      </c>
      <c r="II9">
        <f ca="1"/>
      </c>
      <c r="IJ9">
        <f ca="1"/>
      </c>
      <c r="IK9">
        <f ca="1"/>
      </c>
      <c r="IL9">
        <f ca="1"/>
      </c>
      <c r="IM9">
        <f ca="1"/>
      </c>
      <c r="IN9">
        <f ca="1"/>
      </c>
      <c r="IO9">
        <f ca="1"/>
      </c>
      <c r="IP9">
        <f ca="1"/>
      </c>
      <c r="IQ9">
        <f ca="1"/>
      </c>
      <c r="IR9">
        <f ca="1"/>
      </c>
      <c r="IS9">
        <f ca="1"/>
      </c>
      <c r="IT9">
        <f ca="1"/>
      </c>
      <c r="IU9">
        <f ca="1"/>
      </c>
      <c r="IV9">
        <f ca="1"/>
      </c>
      <c r="IW9">
        <f ca="1"/>
      </c>
      <c r="IX9">
        <f ca="1"/>
      </c>
      <c r="IY9">
        <f ca="1"/>
      </c>
      <c r="IZ9">
        <f ca="1"/>
      </c>
      <c r="JA9">
        <f ca="1"/>
      </c>
      <c r="JB9">
        <f ca="1"/>
      </c>
    </row>
    <row r="10" spans="1:313" x14ac:dyDescent="0.55000000000000004">
      <c r="A10" t="s">
        <v>41</v>
      </c>
      <c r="B10" s="3"/>
      <c r="F10" s="4" t="s">
        <v>100</v>
      </c>
      <c r="U10" s="4" t="s">
        <v>102</v>
      </c>
      <c r="AJ10" s="4" t="s">
        <v>108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  <c r="HZ10">
        <f ca="1"/>
      </c>
      <c r="IA10">
        <f ca="1"/>
      </c>
      <c r="IB10">
        <f ca="1"/>
      </c>
      <c r="IC10">
        <f ca="1"/>
      </c>
      <c r="ID10">
        <f ca="1"/>
      </c>
      <c r="IE10">
        <f ca="1"/>
      </c>
      <c r="IF10">
        <f ca="1"/>
      </c>
      <c r="IG10">
        <f ca="1"/>
      </c>
      <c r="IH10">
        <f ca="1"/>
      </c>
      <c r="II10">
        <f ca="1"/>
      </c>
      <c r="IJ10">
        <f ca="1"/>
      </c>
      <c r="IK10">
        <f ca="1"/>
      </c>
      <c r="IL10">
        <f ca="1"/>
      </c>
      <c r="IM10">
        <f ca="1"/>
      </c>
      <c r="IN10">
        <f ca="1"/>
      </c>
      <c r="IO10">
        <f ca="1"/>
      </c>
      <c r="IP10">
        <f ca="1"/>
      </c>
      <c r="IQ10">
        <f ca="1"/>
      </c>
      <c r="IR10">
        <f ca="1"/>
      </c>
      <c r="IS10">
        <f ca="1"/>
      </c>
      <c r="IT10">
        <f ca="1"/>
      </c>
      <c r="IU10">
        <f ca="1"/>
      </c>
      <c r="IV10">
        <f ca="1"/>
      </c>
      <c r="IW10">
        <f ca="1"/>
      </c>
      <c r="IX10">
        <f ca="1"/>
      </c>
      <c r="IY10">
        <f ca="1"/>
      </c>
      <c r="IZ10">
        <f ca="1"/>
      </c>
      <c r="JA10">
        <f ca="1"/>
      </c>
      <c r="JB10">
        <f ca="1"/>
      </c>
    </row>
    <row r="11" spans="1:313" x14ac:dyDescent="0.55000000000000004">
      <c r="A11" t="s">
        <v>45</v>
      </c>
      <c r="B11" s="2">
        <v>3</v>
      </c>
      <c r="F11" s="5" t="s">
        <v>101</v>
      </c>
      <c r="G11" cm="1">
        <f t="array" aca="1" ref="G11:R11" ca="1">TRANSPOSE(VOL_原資産)</f>
      </c>
      <c r="H11">
        <f ca="1"/>
      </c>
      <c r="I11">
        <f ca="1"/>
      </c>
      <c r="J11">
        <f ca="1"/>
      </c>
      <c r="K11">
        <f ca="1"/>
      </c>
      <c r="L11">
        <f ca="1"/>
      </c>
      <c r="M11">
        <f ca="1"/>
      </c>
      <c r="N11">
        <f ca="1"/>
      </c>
      <c r="O11">
        <f ca="1"/>
      </c>
      <c r="P11">
        <f ca="1"/>
      </c>
      <c r="Q11">
        <f ca="1"/>
      </c>
      <c r="R11">
        <f ca="1"/>
      </c>
      <c r="U11" s="5" t="s">
        <v>101</v>
      </c>
      <c r="V11" cm="1">
        <f t="array" aca="1" ref="V11:AG11" ca="1">TRANSPOSE(VOL_原資産)</f>
      </c>
      <c r="W11">
        <f ca="1"/>
      </c>
      <c r="X11">
        <f ca="1"/>
      </c>
      <c r="Y11">
        <f ca="1"/>
      </c>
      <c r="Z11">
        <f ca="1"/>
      </c>
      <c r="AA11">
        <f ca="1"/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J11" s="5" t="s">
        <v>57</v>
      </c>
      <c r="AK11" s="5" t="s">
        <v>90</v>
      </c>
      <c r="AL11" s="5" t="s">
        <v>58</v>
      </c>
      <c r="AM11" s="5" t="s">
        <v>59</v>
      </c>
      <c r="AN11" s="5" t="s">
        <v>91</v>
      </c>
      <c r="AO11" s="5" t="s">
        <v>60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  <c r="HZ11">
        <f ca="1"/>
      </c>
      <c r="IA11">
        <f ca="1"/>
      </c>
      <c r="IB11">
        <f ca="1"/>
      </c>
      <c r="IC11">
        <f ca="1"/>
      </c>
      <c r="ID11">
        <f ca="1"/>
      </c>
      <c r="IE11">
        <f ca="1"/>
      </c>
      <c r="IF11">
        <f ca="1"/>
      </c>
      <c r="IG11">
        <f ca="1"/>
      </c>
      <c r="IH11">
        <f ca="1"/>
      </c>
      <c r="II11">
        <f ca="1"/>
      </c>
      <c r="IJ11">
        <f ca="1"/>
      </c>
      <c r="IK11">
        <f ca="1"/>
      </c>
      <c r="IL11">
        <f ca="1"/>
      </c>
      <c r="IM11">
        <f ca="1"/>
      </c>
      <c r="IN11">
        <f ca="1"/>
      </c>
      <c r="IO11">
        <f ca="1"/>
      </c>
      <c r="IP11">
        <f ca="1"/>
      </c>
      <c r="IQ11">
        <f ca="1"/>
      </c>
      <c r="IR11">
        <f ca="1"/>
      </c>
      <c r="IS11">
        <f ca="1"/>
      </c>
      <c r="IT11">
        <f ca="1"/>
      </c>
      <c r="IU11">
        <f ca="1"/>
      </c>
      <c r="IV11">
        <f ca="1"/>
      </c>
      <c r="IW11">
        <f ca="1"/>
      </c>
      <c r="IX11">
        <f ca="1"/>
      </c>
      <c r="IY11">
        <f ca="1"/>
      </c>
      <c r="IZ11">
        <f ca="1"/>
      </c>
      <c r="JA11">
        <f ca="1"/>
      </c>
      <c r="JB11">
        <f ca="1"/>
      </c>
    </row>
    <row r="12" spans="1:313" x14ac:dyDescent="0.55000000000000004">
      <c r="F12" cm="1">
        <f t="array" aca="1" ref="F12:F27" ca="1">VOL_満期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aca="1" ref="U12:U27" ca="1">VOL_満期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_xlfn.TAKE(MMULT(TRANSPOSE(_xlfn.DROP(_xlfn.ANCHORARRAY($BP$4),1,3)),(_xlfn.ANCHORARRAY($BJ$5)-_xlfn.ANCHORARRAY($BK$5))/_xlfn.ANCHORARRAY($BL$5)),10)</f>
      </c>
      <c r="AO12" s="14" cm="1">
        <f t="array" aca="1" ref="AO12:AO21" ca="1">IF(_xlfn.SEQUENCE(ROWS(_xlfn.ANCHORARRAY(AJ12)))&lt;=VOL_k,"○","")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  <c r="HZ12">
        <f ca="1"/>
      </c>
      <c r="IA12">
        <f ca="1"/>
      </c>
      <c r="IB12">
        <f ca="1"/>
      </c>
      <c r="IC12">
        <f ca="1"/>
      </c>
      <c r="ID12">
        <f ca="1"/>
      </c>
      <c r="IE12">
        <f ca="1"/>
      </c>
      <c r="IF12">
        <f ca="1"/>
      </c>
      <c r="IG12">
        <f ca="1"/>
      </c>
      <c r="IH12">
        <f ca="1"/>
      </c>
      <c r="II12">
        <f ca="1"/>
      </c>
      <c r="IJ12">
        <f ca="1"/>
      </c>
      <c r="IK12">
        <f ca="1"/>
      </c>
      <c r="IL12">
        <f ca="1"/>
      </c>
      <c r="IM12">
        <f ca="1"/>
      </c>
      <c r="IN12">
        <f ca="1"/>
      </c>
      <c r="IO12">
        <f ca="1"/>
      </c>
      <c r="IP12">
        <f ca="1"/>
      </c>
      <c r="IQ12">
        <f ca="1"/>
      </c>
      <c r="IR12">
        <f ca="1"/>
      </c>
      <c r="IS12">
        <f ca="1"/>
      </c>
      <c r="IT12">
        <f ca="1"/>
      </c>
      <c r="IU12">
        <f ca="1"/>
      </c>
      <c r="IV12">
        <f ca="1"/>
      </c>
      <c r="IW12">
        <f ca="1"/>
      </c>
      <c r="IX12">
        <f ca="1"/>
      </c>
      <c r="IY12">
        <f ca="1"/>
      </c>
      <c r="IZ12">
        <f ca="1"/>
      </c>
      <c r="JA12">
        <f ca="1"/>
      </c>
      <c r="JB12">
        <f ca="1"/>
      </c>
    </row>
    <row r="13" spans="1:313" x14ac:dyDescent="0.55000000000000004">
      <c r="A13" t="s">
        <v>79</v>
      </c>
      <c r="F13">
        <f ca="1"/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>
        <f ca="1"/>
      </c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  <c r="HZ13">
        <f ca="1"/>
      </c>
      <c r="IA13">
        <f ca="1"/>
      </c>
      <c r="IB13">
        <f ca="1"/>
      </c>
      <c r="IC13">
        <f ca="1"/>
      </c>
      <c r="ID13">
        <f ca="1"/>
      </c>
      <c r="IE13">
        <f ca="1"/>
      </c>
      <c r="IF13">
        <f ca="1"/>
      </c>
      <c r="IG13">
        <f ca="1"/>
      </c>
      <c r="IH13">
        <f ca="1"/>
      </c>
      <c r="II13">
        <f ca="1"/>
      </c>
      <c r="IJ13">
        <f ca="1"/>
      </c>
      <c r="IK13">
        <f ca="1"/>
      </c>
      <c r="IL13">
        <f ca="1"/>
      </c>
      <c r="IM13">
        <f ca="1"/>
      </c>
      <c r="IN13">
        <f ca="1"/>
      </c>
      <c r="IO13">
        <f ca="1"/>
      </c>
      <c r="IP13">
        <f ca="1"/>
      </c>
      <c r="IQ13">
        <f ca="1"/>
      </c>
      <c r="IR13">
        <f ca="1"/>
      </c>
      <c r="IS13">
        <f ca="1"/>
      </c>
      <c r="IT13">
        <f ca="1"/>
      </c>
      <c r="IU13">
        <f ca="1"/>
      </c>
      <c r="IV13">
        <f ca="1"/>
      </c>
      <c r="IW13">
        <f ca="1"/>
      </c>
      <c r="IX13">
        <f ca="1"/>
      </c>
      <c r="IY13">
        <f ca="1"/>
      </c>
      <c r="IZ13">
        <f ca="1"/>
      </c>
      <c r="JA13">
        <f ca="1"/>
      </c>
      <c r="JB13">
        <f ca="1"/>
      </c>
    </row>
    <row r="14" spans="1:313" x14ac:dyDescent="0.55000000000000004">
      <c r="A14" s="5" t="s">
        <v>68</v>
      </c>
      <c r="B14" s="5" t="s">
        <v>48</v>
      </c>
      <c r="C14" s="5" t="s">
        <v>69</v>
      </c>
      <c r="D14" s="5" t="s">
        <v>48</v>
      </c>
      <c r="F14">
        <f ca="1"/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>
        <f ca="1"/>
      </c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  <c r="HZ14">
        <f ca="1"/>
      </c>
      <c r="IA14">
        <f ca="1"/>
      </c>
      <c r="IB14">
        <f ca="1"/>
      </c>
      <c r="IC14">
        <f ca="1"/>
      </c>
      <c r="ID14">
        <f ca="1"/>
      </c>
      <c r="IE14">
        <f ca="1"/>
      </c>
      <c r="IF14">
        <f ca="1"/>
      </c>
      <c r="IG14">
        <f ca="1"/>
      </c>
      <c r="IH14">
        <f ca="1"/>
      </c>
      <c r="II14">
        <f ca="1"/>
      </c>
      <c r="IJ14">
        <f ca="1"/>
      </c>
      <c r="IK14">
        <f ca="1"/>
      </c>
      <c r="IL14">
        <f ca="1"/>
      </c>
      <c r="IM14">
        <f ca="1"/>
      </c>
      <c r="IN14">
        <f ca="1"/>
      </c>
      <c r="IO14">
        <f ca="1"/>
      </c>
      <c r="IP14">
        <f ca="1"/>
      </c>
      <c r="IQ14">
        <f ca="1"/>
      </c>
      <c r="IR14">
        <f ca="1"/>
      </c>
      <c r="IS14">
        <f ca="1"/>
      </c>
      <c r="IT14">
        <f ca="1"/>
      </c>
      <c r="IU14">
        <f ca="1"/>
      </c>
      <c r="IV14">
        <f ca="1"/>
      </c>
      <c r="IW14">
        <f ca="1"/>
      </c>
      <c r="IX14">
        <f ca="1"/>
      </c>
      <c r="IY14">
        <f ca="1"/>
      </c>
      <c r="IZ14">
        <f ca="1"/>
      </c>
      <c r="JA14">
        <f ca="1"/>
      </c>
      <c r="JB14">
        <f ca="1"/>
      </c>
    </row>
    <row r="15" spans="1:313" x14ac:dyDescent="0.55000000000000004">
      <c r="A15" t="s">
        <v>2</v>
      </c>
      <c r="B15" s="6" t="s">
        <v>51</v>
      </c>
      <c r="C15" t="s">
        <v>71</v>
      </c>
      <c r="D15" s="6" t="s">
        <v>51</v>
      </c>
      <c r="F15">
        <f ca="1"/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>
        <f ca="1"/>
      </c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  <c r="HZ15">
        <f ca="1"/>
      </c>
      <c r="IA15">
        <f ca="1"/>
      </c>
      <c r="IB15">
        <f ca="1"/>
      </c>
      <c r="IC15">
        <f ca="1"/>
      </c>
      <c r="ID15">
        <f ca="1"/>
      </c>
      <c r="IE15">
        <f ca="1"/>
      </c>
      <c r="IF15">
        <f ca="1"/>
      </c>
      <c r="IG15">
        <f ca="1"/>
      </c>
      <c r="IH15">
        <f ca="1"/>
      </c>
      <c r="II15">
        <f ca="1"/>
      </c>
      <c r="IJ15">
        <f ca="1"/>
      </c>
      <c r="IK15">
        <f ca="1"/>
      </c>
      <c r="IL15">
        <f ca="1"/>
      </c>
      <c r="IM15">
        <f ca="1"/>
      </c>
      <c r="IN15">
        <f ca="1"/>
      </c>
      <c r="IO15">
        <f ca="1"/>
      </c>
      <c r="IP15">
        <f ca="1"/>
      </c>
      <c r="IQ15">
        <f ca="1"/>
      </c>
      <c r="IR15">
        <f ca="1"/>
      </c>
      <c r="IS15">
        <f ca="1"/>
      </c>
      <c r="IT15">
        <f ca="1"/>
      </c>
      <c r="IU15">
        <f ca="1"/>
      </c>
      <c r="IV15">
        <f ca="1"/>
      </c>
      <c r="IW15">
        <f ca="1"/>
      </c>
      <c r="IX15">
        <f ca="1"/>
      </c>
      <c r="IY15">
        <f ca="1"/>
      </c>
      <c r="IZ15">
        <f ca="1"/>
      </c>
      <c r="JA15">
        <f ca="1"/>
      </c>
      <c r="JB15">
        <f ca="1"/>
      </c>
    </row>
    <row r="16" spans="1:313" x14ac:dyDescent="0.55000000000000004">
      <c r="A16" t="s">
        <v>3</v>
      </c>
      <c r="B16" s="6" t="s">
        <v>51</v>
      </c>
      <c r="C16" t="s">
        <v>72</v>
      </c>
      <c r="D16" s="6" t="s">
        <v>51</v>
      </c>
      <c r="F16">
        <f ca="1"/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>
        <f ca="1"/>
      </c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84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  <c r="HZ16">
        <f ca="1"/>
      </c>
      <c r="IA16">
        <f ca="1"/>
      </c>
      <c r="IB16">
        <f ca="1"/>
      </c>
      <c r="IC16">
        <f ca="1"/>
      </c>
      <c r="ID16">
        <f ca="1"/>
      </c>
      <c r="IE16">
        <f ca="1"/>
      </c>
      <c r="IF16">
        <f ca="1"/>
      </c>
      <c r="IG16">
        <f ca="1"/>
      </c>
      <c r="IH16">
        <f ca="1"/>
      </c>
      <c r="II16">
        <f ca="1"/>
      </c>
      <c r="IJ16">
        <f ca="1"/>
      </c>
      <c r="IK16">
        <f ca="1"/>
      </c>
      <c r="IL16">
        <f ca="1"/>
      </c>
      <c r="IM16">
        <f ca="1"/>
      </c>
      <c r="IN16">
        <f ca="1"/>
      </c>
      <c r="IO16">
        <f ca="1"/>
      </c>
      <c r="IP16">
        <f ca="1"/>
      </c>
      <c r="IQ16">
        <f ca="1"/>
      </c>
      <c r="IR16">
        <f ca="1"/>
      </c>
      <c r="IS16">
        <f ca="1"/>
      </c>
      <c r="IT16">
        <f ca="1"/>
      </c>
      <c r="IU16">
        <f ca="1"/>
      </c>
      <c r="IV16">
        <f ca="1"/>
      </c>
      <c r="IW16">
        <f ca="1"/>
      </c>
      <c r="IX16">
        <f ca="1"/>
      </c>
      <c r="IY16">
        <f ca="1"/>
      </c>
      <c r="IZ16">
        <f ca="1"/>
      </c>
      <c r="JA16">
        <f ca="1"/>
      </c>
      <c r="JB16">
        <f ca="1"/>
      </c>
    </row>
    <row r="17" spans="1:267" x14ac:dyDescent="0.55000000000000004">
      <c r="A17" t="s">
        <v>4</v>
      </c>
      <c r="B17" s="6" t="s">
        <v>51</v>
      </c>
      <c r="C17" t="s">
        <v>73</v>
      </c>
      <c r="D17" s="6" t="s">
        <v>51</v>
      </c>
      <c r="F17">
        <f ca="1"/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>
        <f ca="1"/>
      </c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209" ca="1">PcaEigen(VOL_銘柄,VOL_モード,VOL_標準化,VOL_window,VOL_推定基準日,VOL_比較日,"vol")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  <c r="HZ17">
        <f ca="1"/>
      </c>
      <c r="IA17">
        <f ca="1"/>
      </c>
      <c r="IB17">
        <f ca="1"/>
      </c>
      <c r="IC17">
        <f ca="1"/>
      </c>
      <c r="ID17">
        <f ca="1"/>
      </c>
      <c r="IE17">
        <f ca="1"/>
      </c>
      <c r="IF17">
        <f ca="1"/>
      </c>
      <c r="IG17">
        <f ca="1"/>
      </c>
      <c r="IH17">
        <f ca="1"/>
      </c>
      <c r="II17">
        <f ca="1"/>
      </c>
      <c r="IJ17">
        <f ca="1"/>
      </c>
      <c r="IK17">
        <f ca="1"/>
      </c>
      <c r="IL17">
        <f ca="1"/>
      </c>
      <c r="IM17">
        <f ca="1"/>
      </c>
      <c r="IN17">
        <f ca="1"/>
      </c>
      <c r="IO17">
        <f ca="1"/>
      </c>
      <c r="IP17">
        <f ca="1"/>
      </c>
      <c r="IQ17">
        <f ca="1"/>
      </c>
      <c r="IR17">
        <f ca="1"/>
      </c>
      <c r="IS17">
        <f ca="1"/>
      </c>
      <c r="IT17">
        <f ca="1"/>
      </c>
      <c r="IU17">
        <f ca="1"/>
      </c>
      <c r="IV17">
        <f ca="1"/>
      </c>
      <c r="IW17">
        <f ca="1"/>
      </c>
      <c r="IX17">
        <f ca="1"/>
      </c>
      <c r="IY17">
        <f ca="1"/>
      </c>
      <c r="IZ17">
        <f ca="1"/>
      </c>
      <c r="JA17">
        <f ca="1"/>
      </c>
      <c r="JB17">
        <f ca="1"/>
      </c>
    </row>
    <row r="18" spans="1:267" x14ac:dyDescent="0.55000000000000004">
      <c r="A18" t="s">
        <v>7</v>
      </c>
      <c r="B18" s="6" t="s">
        <v>51</v>
      </c>
      <c r="C18" t="s">
        <v>18</v>
      </c>
      <c r="D18" s="6" t="s">
        <v>51</v>
      </c>
      <c r="F18">
        <f ca="1"/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>
        <f ca="1"/>
      </c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  <c r="HZ18">
        <f ca="1"/>
      </c>
      <c r="IA18">
        <f ca="1"/>
      </c>
      <c r="IB18">
        <f ca="1"/>
      </c>
      <c r="IC18">
        <f ca="1"/>
      </c>
      <c r="ID18">
        <f ca="1"/>
      </c>
      <c r="IE18">
        <f ca="1"/>
      </c>
      <c r="IF18">
        <f ca="1"/>
      </c>
      <c r="IG18">
        <f ca="1"/>
      </c>
      <c r="IH18">
        <f ca="1"/>
      </c>
      <c r="II18">
        <f ca="1"/>
      </c>
      <c r="IJ18">
        <f ca="1"/>
      </c>
      <c r="IK18">
        <f ca="1"/>
      </c>
      <c r="IL18">
        <f ca="1"/>
      </c>
      <c r="IM18">
        <f ca="1"/>
      </c>
      <c r="IN18">
        <f ca="1"/>
      </c>
      <c r="IO18">
        <f ca="1"/>
      </c>
      <c r="IP18">
        <f ca="1"/>
      </c>
      <c r="IQ18">
        <f ca="1"/>
      </c>
      <c r="IR18">
        <f ca="1"/>
      </c>
      <c r="IS18">
        <f ca="1"/>
      </c>
      <c r="IT18">
        <f ca="1"/>
      </c>
      <c r="IU18">
        <f ca="1"/>
      </c>
      <c r="IV18">
        <f ca="1"/>
      </c>
      <c r="IW18">
        <f ca="1"/>
      </c>
      <c r="IX18">
        <f ca="1"/>
      </c>
      <c r="IY18">
        <f ca="1"/>
      </c>
      <c r="IZ18">
        <f ca="1"/>
      </c>
      <c r="JA18">
        <f ca="1"/>
      </c>
      <c r="JB18">
        <f ca="1"/>
      </c>
    </row>
    <row r="19" spans="1:267" x14ac:dyDescent="0.55000000000000004">
      <c r="A19" t="s">
        <v>10</v>
      </c>
      <c r="B19" s="6" t="s">
        <v>51</v>
      </c>
      <c r="C19" t="s">
        <v>19</v>
      </c>
      <c r="D19" s="6" t="s">
        <v>51</v>
      </c>
      <c r="F19">
        <f ca="1"/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>
        <f ca="1"/>
      </c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  <c r="HZ19">
        <f ca="1"/>
      </c>
      <c r="IA19">
        <f ca="1"/>
      </c>
      <c r="IB19">
        <f ca="1"/>
      </c>
      <c r="IC19">
        <f ca="1"/>
      </c>
      <c r="ID19">
        <f ca="1"/>
      </c>
      <c r="IE19">
        <f ca="1"/>
      </c>
      <c r="IF19">
        <f ca="1"/>
      </c>
      <c r="IG19">
        <f ca="1"/>
      </c>
      <c r="IH19">
        <f ca="1"/>
      </c>
      <c r="II19">
        <f ca="1"/>
      </c>
      <c r="IJ19">
        <f ca="1"/>
      </c>
      <c r="IK19">
        <f ca="1"/>
      </c>
      <c r="IL19">
        <f ca="1"/>
      </c>
      <c r="IM19">
        <f ca="1"/>
      </c>
      <c r="IN19">
        <f ca="1"/>
      </c>
      <c r="IO19">
        <f ca="1"/>
      </c>
      <c r="IP19">
        <f ca="1"/>
      </c>
      <c r="IQ19">
        <f ca="1"/>
      </c>
      <c r="IR19">
        <f ca="1"/>
      </c>
      <c r="IS19">
        <f ca="1"/>
      </c>
      <c r="IT19">
        <f ca="1"/>
      </c>
      <c r="IU19">
        <f ca="1"/>
      </c>
      <c r="IV19">
        <f ca="1"/>
      </c>
      <c r="IW19">
        <f ca="1"/>
      </c>
      <c r="IX19">
        <f ca="1"/>
      </c>
      <c r="IY19">
        <f ca="1"/>
      </c>
      <c r="IZ19">
        <f ca="1"/>
      </c>
      <c r="JA19">
        <f ca="1"/>
      </c>
      <c r="JB19">
        <f ca="1"/>
      </c>
    </row>
    <row r="20" spans="1:267" x14ac:dyDescent="0.55000000000000004">
      <c r="A20" t="s">
        <v>71</v>
      </c>
      <c r="B20" s="6" t="s">
        <v>51</v>
      </c>
      <c r="C20" t="s">
        <v>20</v>
      </c>
      <c r="D20" s="6" t="s">
        <v>51</v>
      </c>
      <c r="F20">
        <f ca="1"/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>
        <f ca="1"/>
      </c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  <c r="HZ20">
        <f ca="1"/>
      </c>
      <c r="IA20">
        <f ca="1"/>
      </c>
      <c r="IB20">
        <f ca="1"/>
      </c>
      <c r="IC20">
        <f ca="1"/>
      </c>
      <c r="ID20">
        <f ca="1"/>
      </c>
      <c r="IE20">
        <f ca="1"/>
      </c>
      <c r="IF20">
        <f ca="1"/>
      </c>
      <c r="IG20">
        <f ca="1"/>
      </c>
      <c r="IH20">
        <f ca="1"/>
      </c>
      <c r="II20">
        <f ca="1"/>
      </c>
      <c r="IJ20">
        <f ca="1"/>
      </c>
      <c r="IK20">
        <f ca="1"/>
      </c>
      <c r="IL20">
        <f ca="1"/>
      </c>
      <c r="IM20">
        <f ca="1"/>
      </c>
      <c r="IN20">
        <f ca="1"/>
      </c>
      <c r="IO20">
        <f ca="1"/>
      </c>
      <c r="IP20">
        <f ca="1"/>
      </c>
      <c r="IQ20">
        <f ca="1"/>
      </c>
      <c r="IR20">
        <f ca="1"/>
      </c>
      <c r="IS20">
        <f ca="1"/>
      </c>
      <c r="IT20">
        <f ca="1"/>
      </c>
      <c r="IU20">
        <f ca="1"/>
      </c>
      <c r="IV20">
        <f ca="1"/>
      </c>
      <c r="IW20">
        <f ca="1"/>
      </c>
      <c r="IX20">
        <f ca="1"/>
      </c>
      <c r="IY20">
        <f ca="1"/>
      </c>
      <c r="IZ20">
        <f ca="1"/>
      </c>
      <c r="JA20">
        <f ca="1"/>
      </c>
      <c r="JB20">
        <f ca="1"/>
      </c>
    </row>
    <row r="21" spans="1:267" x14ac:dyDescent="0.55000000000000004">
      <c r="A21" t="s">
        <v>72</v>
      </c>
      <c r="B21" s="6" t="s">
        <v>51</v>
      </c>
      <c r="C21" t="s">
        <v>21</v>
      </c>
      <c r="D21" s="6" t="s">
        <v>51</v>
      </c>
      <c r="F21">
        <f ca="1"/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>
        <f ca="1"/>
      </c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  <c r="HZ21">
        <f ca="1"/>
      </c>
      <c r="IA21">
        <f ca="1"/>
      </c>
      <c r="IB21">
        <f ca="1"/>
      </c>
      <c r="IC21">
        <f ca="1"/>
      </c>
      <c r="ID21">
        <f ca="1"/>
      </c>
      <c r="IE21">
        <f ca="1"/>
      </c>
      <c r="IF21">
        <f ca="1"/>
      </c>
      <c r="IG21">
        <f ca="1"/>
      </c>
      <c r="IH21">
        <f ca="1"/>
      </c>
      <c r="II21">
        <f ca="1"/>
      </c>
      <c r="IJ21">
        <f ca="1"/>
      </c>
      <c r="IK21">
        <f ca="1"/>
      </c>
      <c r="IL21">
        <f ca="1"/>
      </c>
      <c r="IM21">
        <f ca="1"/>
      </c>
      <c r="IN21">
        <f ca="1"/>
      </c>
      <c r="IO21">
        <f ca="1"/>
      </c>
      <c r="IP21">
        <f ca="1"/>
      </c>
      <c r="IQ21">
        <f ca="1"/>
      </c>
      <c r="IR21">
        <f ca="1"/>
      </c>
      <c r="IS21">
        <f ca="1"/>
      </c>
      <c r="IT21">
        <f ca="1"/>
      </c>
      <c r="IU21">
        <f ca="1"/>
      </c>
      <c r="IV21">
        <f ca="1"/>
      </c>
      <c r="IW21">
        <f ca="1"/>
      </c>
      <c r="IX21">
        <f ca="1"/>
      </c>
      <c r="IY21">
        <f ca="1"/>
      </c>
      <c r="IZ21">
        <f ca="1"/>
      </c>
      <c r="JA21">
        <f ca="1"/>
      </c>
      <c r="JB21">
        <f ca="1"/>
      </c>
    </row>
    <row r="22" spans="1:267" x14ac:dyDescent="0.55000000000000004">
      <c r="A22" t="s">
        <v>73</v>
      </c>
      <c r="B22" s="6" t="s">
        <v>51</v>
      </c>
      <c r="C22" t="s">
        <v>22</v>
      </c>
      <c r="D22" s="6" t="s">
        <v>51</v>
      </c>
      <c r="F22">
        <f ca="1"/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>
        <f ca="1"/>
      </c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  <c r="HZ22">
        <f ca="1"/>
      </c>
      <c r="IA22">
        <f ca="1"/>
      </c>
      <c r="IB22">
        <f ca="1"/>
      </c>
      <c r="IC22">
        <f ca="1"/>
      </c>
      <c r="ID22">
        <f ca="1"/>
      </c>
      <c r="IE22">
        <f ca="1"/>
      </c>
      <c r="IF22">
        <f ca="1"/>
      </c>
      <c r="IG22">
        <f ca="1"/>
      </c>
      <c r="IH22">
        <f ca="1"/>
      </c>
      <c r="II22">
        <f ca="1"/>
      </c>
      <c r="IJ22">
        <f ca="1"/>
      </c>
      <c r="IK22">
        <f ca="1"/>
      </c>
      <c r="IL22">
        <f ca="1"/>
      </c>
      <c r="IM22">
        <f ca="1"/>
      </c>
      <c r="IN22">
        <f ca="1"/>
      </c>
      <c r="IO22">
        <f ca="1"/>
      </c>
      <c r="IP22">
        <f ca="1"/>
      </c>
      <c r="IQ22">
        <f ca="1"/>
      </c>
      <c r="IR22">
        <f ca="1"/>
      </c>
      <c r="IS22">
        <f ca="1"/>
      </c>
      <c r="IT22">
        <f ca="1"/>
      </c>
      <c r="IU22">
        <f ca="1"/>
      </c>
      <c r="IV22">
        <f ca="1"/>
      </c>
      <c r="IW22">
        <f ca="1"/>
      </c>
      <c r="IX22">
        <f ca="1"/>
      </c>
      <c r="IY22">
        <f ca="1"/>
      </c>
      <c r="IZ22">
        <f ca="1"/>
      </c>
      <c r="JA22">
        <f ca="1"/>
      </c>
      <c r="JB22">
        <f ca="1"/>
      </c>
    </row>
    <row r="23" spans="1:267" x14ac:dyDescent="0.55000000000000004">
      <c r="A23" t="s">
        <v>18</v>
      </c>
      <c r="B23" s="6" t="s">
        <v>51</v>
      </c>
      <c r="C23" t="s">
        <v>23</v>
      </c>
      <c r="D23" s="6" t="s">
        <v>51</v>
      </c>
      <c r="F23">
        <f ca="1"/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>
        <f ca="1"/>
      </c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  <c r="HZ23">
        <f ca="1"/>
      </c>
      <c r="IA23">
        <f ca="1"/>
      </c>
      <c r="IB23">
        <f ca="1"/>
      </c>
      <c r="IC23">
        <f ca="1"/>
      </c>
      <c r="ID23">
        <f ca="1"/>
      </c>
      <c r="IE23">
        <f ca="1"/>
      </c>
      <c r="IF23">
        <f ca="1"/>
      </c>
      <c r="IG23">
        <f ca="1"/>
      </c>
      <c r="IH23">
        <f ca="1"/>
      </c>
      <c r="II23">
        <f ca="1"/>
      </c>
      <c r="IJ23">
        <f ca="1"/>
      </c>
      <c r="IK23">
        <f ca="1"/>
      </c>
      <c r="IL23">
        <f ca="1"/>
      </c>
      <c r="IM23">
        <f ca="1"/>
      </c>
      <c r="IN23">
        <f ca="1"/>
      </c>
      <c r="IO23">
        <f ca="1"/>
      </c>
      <c r="IP23">
        <f ca="1"/>
      </c>
      <c r="IQ23">
        <f ca="1"/>
      </c>
      <c r="IR23">
        <f ca="1"/>
      </c>
      <c r="IS23">
        <f ca="1"/>
      </c>
      <c r="IT23">
        <f ca="1"/>
      </c>
      <c r="IU23">
        <f ca="1"/>
      </c>
      <c r="IV23">
        <f ca="1"/>
      </c>
      <c r="IW23">
        <f ca="1"/>
      </c>
      <c r="IX23">
        <f ca="1"/>
      </c>
      <c r="IY23">
        <f ca="1"/>
      </c>
      <c r="IZ23">
        <f ca="1"/>
      </c>
      <c r="JA23">
        <f ca="1"/>
      </c>
      <c r="JB23">
        <f ca="1"/>
      </c>
    </row>
    <row r="24" spans="1:267" x14ac:dyDescent="0.55000000000000004">
      <c r="A24" t="s">
        <v>19</v>
      </c>
      <c r="B24" s="6" t="s">
        <v>51</v>
      </c>
      <c r="C24" t="s">
        <v>24</v>
      </c>
      <c r="D24" s="6" t="s">
        <v>51</v>
      </c>
      <c r="F24">
        <f ca="1"/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>
        <f ca="1"/>
      </c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  <c r="HZ24">
        <f ca="1"/>
      </c>
      <c r="IA24">
        <f ca="1"/>
      </c>
      <c r="IB24">
        <f ca="1"/>
      </c>
      <c r="IC24">
        <f ca="1"/>
      </c>
      <c r="ID24">
        <f ca="1"/>
      </c>
      <c r="IE24">
        <f ca="1"/>
      </c>
      <c r="IF24">
        <f ca="1"/>
      </c>
      <c r="IG24">
        <f ca="1"/>
      </c>
      <c r="IH24">
        <f ca="1"/>
      </c>
      <c r="II24">
        <f ca="1"/>
      </c>
      <c r="IJ24">
        <f ca="1"/>
      </c>
      <c r="IK24">
        <f ca="1"/>
      </c>
      <c r="IL24">
        <f ca="1"/>
      </c>
      <c r="IM24">
        <f ca="1"/>
      </c>
      <c r="IN24">
        <f ca="1"/>
      </c>
      <c r="IO24">
        <f ca="1"/>
      </c>
      <c r="IP24">
        <f ca="1"/>
      </c>
      <c r="IQ24">
        <f ca="1"/>
      </c>
      <c r="IR24">
        <f ca="1"/>
      </c>
      <c r="IS24">
        <f ca="1"/>
      </c>
      <c r="IT24">
        <f ca="1"/>
      </c>
      <c r="IU24">
        <f ca="1"/>
      </c>
      <c r="IV24">
        <f ca="1"/>
      </c>
      <c r="IW24">
        <f ca="1"/>
      </c>
      <c r="IX24">
        <f ca="1"/>
      </c>
      <c r="IY24">
        <f ca="1"/>
      </c>
      <c r="IZ24">
        <f ca="1"/>
      </c>
      <c r="JA24">
        <f ca="1"/>
      </c>
      <c r="JB24">
        <f ca="1"/>
      </c>
    </row>
    <row r="25" spans="1:267" x14ac:dyDescent="0.55000000000000004">
      <c r="A25" t="s">
        <v>20</v>
      </c>
      <c r="B25" s="6" t="s">
        <v>51</v>
      </c>
      <c r="C25" t="s">
        <v>27</v>
      </c>
      <c r="D25" s="6" t="s">
        <v>51</v>
      </c>
      <c r="F25">
        <f ca="1"/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>
        <f ca="1"/>
      </c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  <c r="HZ25">
        <f ca="1"/>
      </c>
      <c r="IA25">
        <f ca="1"/>
      </c>
      <c r="IB25">
        <f ca="1"/>
      </c>
      <c r="IC25">
        <f ca="1"/>
      </c>
      <c r="ID25">
        <f ca="1"/>
      </c>
      <c r="IE25">
        <f ca="1"/>
      </c>
      <c r="IF25">
        <f ca="1"/>
      </c>
      <c r="IG25">
        <f ca="1"/>
      </c>
      <c r="IH25">
        <f ca="1"/>
      </c>
      <c r="II25">
        <f ca="1"/>
      </c>
      <c r="IJ25">
        <f ca="1"/>
      </c>
      <c r="IK25">
        <f ca="1"/>
      </c>
      <c r="IL25">
        <f ca="1"/>
      </c>
      <c r="IM25">
        <f ca="1"/>
      </c>
      <c r="IN25">
        <f ca="1"/>
      </c>
      <c r="IO25">
        <f ca="1"/>
      </c>
      <c r="IP25">
        <f ca="1"/>
      </c>
      <c r="IQ25">
        <f ca="1"/>
      </c>
      <c r="IR25">
        <f ca="1"/>
      </c>
      <c r="IS25">
        <f ca="1"/>
      </c>
      <c r="IT25">
        <f ca="1"/>
      </c>
      <c r="IU25">
        <f ca="1"/>
      </c>
      <c r="IV25">
        <f ca="1"/>
      </c>
      <c r="IW25">
        <f ca="1"/>
      </c>
      <c r="IX25">
        <f ca="1"/>
      </c>
      <c r="IY25">
        <f ca="1"/>
      </c>
      <c r="IZ25">
        <f ca="1"/>
      </c>
      <c r="JA25">
        <f ca="1"/>
      </c>
      <c r="JB25">
        <f ca="1"/>
      </c>
    </row>
    <row r="26" spans="1:267" x14ac:dyDescent="0.55000000000000004">
      <c r="A26" t="s">
        <v>21</v>
      </c>
      <c r="B26" s="6" t="s">
        <v>51</v>
      </c>
      <c r="C26" t="s">
        <v>28</v>
      </c>
      <c r="D26" s="6" t="s">
        <v>51</v>
      </c>
      <c r="F26">
        <f ca="1"/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>
        <f ca="1"/>
      </c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  <c r="HZ26">
        <f ca="1"/>
      </c>
      <c r="IA26">
        <f ca="1"/>
      </c>
      <c r="IB26">
        <f ca="1"/>
      </c>
      <c r="IC26">
        <f ca="1"/>
      </c>
      <c r="ID26">
        <f ca="1"/>
      </c>
      <c r="IE26">
        <f ca="1"/>
      </c>
      <c r="IF26">
        <f ca="1"/>
      </c>
      <c r="IG26">
        <f ca="1"/>
      </c>
      <c r="IH26">
        <f ca="1"/>
      </c>
      <c r="II26">
        <f ca="1"/>
      </c>
      <c r="IJ26">
        <f ca="1"/>
      </c>
      <c r="IK26">
        <f ca="1"/>
      </c>
      <c r="IL26">
        <f ca="1"/>
      </c>
      <c r="IM26">
        <f ca="1"/>
      </c>
      <c r="IN26">
        <f ca="1"/>
      </c>
      <c r="IO26">
        <f ca="1"/>
      </c>
      <c r="IP26">
        <f ca="1"/>
      </c>
      <c r="IQ26">
        <f ca="1"/>
      </c>
      <c r="IR26">
        <f ca="1"/>
      </c>
      <c r="IS26">
        <f ca="1"/>
      </c>
      <c r="IT26">
        <f ca="1"/>
      </c>
      <c r="IU26">
        <f ca="1"/>
      </c>
      <c r="IV26">
        <f ca="1"/>
      </c>
      <c r="IW26">
        <f ca="1"/>
      </c>
      <c r="IX26">
        <f ca="1"/>
      </c>
      <c r="IY26">
        <f ca="1"/>
      </c>
      <c r="IZ26">
        <f ca="1"/>
      </c>
      <c r="JA26">
        <f ca="1"/>
      </c>
      <c r="JB26">
        <f ca="1"/>
      </c>
    </row>
    <row r="27" spans="1:267" x14ac:dyDescent="0.55000000000000004">
      <c r="A27" t="s">
        <v>23</v>
      </c>
      <c r="B27" s="6" t="s">
        <v>51</v>
      </c>
      <c r="F27">
        <f ca="1"/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>
        <f ca="1"/>
      </c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  <c r="HZ27">
        <f ca="1"/>
      </c>
      <c r="IA27">
        <f ca="1"/>
      </c>
      <c r="IB27">
        <f ca="1"/>
      </c>
      <c r="IC27">
        <f ca="1"/>
      </c>
      <c r="ID27">
        <f ca="1"/>
      </c>
      <c r="IE27">
        <f ca="1"/>
      </c>
      <c r="IF27">
        <f ca="1"/>
      </c>
      <c r="IG27">
        <f ca="1"/>
      </c>
      <c r="IH27">
        <f ca="1"/>
      </c>
      <c r="II27">
        <f ca="1"/>
      </c>
      <c r="IJ27">
        <f ca="1"/>
      </c>
      <c r="IK27">
        <f ca="1"/>
      </c>
      <c r="IL27">
        <f ca="1"/>
      </c>
      <c r="IM27">
        <f ca="1"/>
      </c>
      <c r="IN27">
        <f ca="1"/>
      </c>
      <c r="IO27">
        <f ca="1"/>
      </c>
      <c r="IP27">
        <f ca="1"/>
      </c>
      <c r="IQ27">
        <f ca="1"/>
      </c>
      <c r="IR27">
        <f ca="1"/>
      </c>
      <c r="IS27">
        <f ca="1"/>
      </c>
      <c r="IT27">
        <f ca="1"/>
      </c>
      <c r="IU27">
        <f ca="1"/>
      </c>
      <c r="IV27">
        <f ca="1"/>
      </c>
      <c r="IW27">
        <f ca="1"/>
      </c>
      <c r="IX27">
        <f ca="1"/>
      </c>
      <c r="IY27">
        <f ca="1"/>
      </c>
      <c r="IZ27">
        <f ca="1"/>
      </c>
      <c r="JA27">
        <f ca="1"/>
      </c>
      <c r="JB27">
        <f ca="1"/>
      </c>
    </row>
    <row r="28" spans="1:267" x14ac:dyDescent="0.55000000000000004">
      <c r="A28" t="s">
        <v>24</v>
      </c>
      <c r="B28" s="6" t="s">
        <v>51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  <c r="HZ28">
        <f ca="1"/>
      </c>
      <c r="IA28">
        <f ca="1"/>
      </c>
      <c r="IB28">
        <f ca="1"/>
      </c>
      <c r="IC28">
        <f ca="1"/>
      </c>
      <c r="ID28">
        <f ca="1"/>
      </c>
      <c r="IE28">
        <f ca="1"/>
      </c>
      <c r="IF28">
        <f ca="1"/>
      </c>
      <c r="IG28">
        <f ca="1"/>
      </c>
      <c r="IH28">
        <f ca="1"/>
      </c>
      <c r="II28">
        <f ca="1"/>
      </c>
      <c r="IJ28">
        <f ca="1"/>
      </c>
      <c r="IK28">
        <f ca="1"/>
      </c>
      <c r="IL28">
        <f ca="1"/>
      </c>
      <c r="IM28">
        <f ca="1"/>
      </c>
      <c r="IN28">
        <f ca="1"/>
      </c>
      <c r="IO28">
        <f ca="1"/>
      </c>
      <c r="IP28">
        <f ca="1"/>
      </c>
      <c r="IQ28">
        <f ca="1"/>
      </c>
      <c r="IR28">
        <f ca="1"/>
      </c>
      <c r="IS28">
        <f ca="1"/>
      </c>
      <c r="IT28">
        <f ca="1"/>
      </c>
      <c r="IU28">
        <f ca="1"/>
      </c>
      <c r="IV28">
        <f ca="1"/>
      </c>
      <c r="IW28">
        <f ca="1"/>
      </c>
      <c r="IX28">
        <f ca="1"/>
      </c>
      <c r="IY28">
        <f ca="1"/>
      </c>
      <c r="IZ28">
        <f ca="1"/>
      </c>
      <c r="JA28">
        <f ca="1"/>
      </c>
      <c r="JB28">
        <f ca="1"/>
      </c>
    </row>
    <row r="29" spans="1:267" x14ac:dyDescent="0.55000000000000004">
      <c r="A29" t="s">
        <v>27</v>
      </c>
      <c r="B29" s="6" t="s">
        <v>51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  <c r="HZ29">
        <f ca="1"/>
      </c>
      <c r="IA29">
        <f ca="1"/>
      </c>
      <c r="IB29">
        <f ca="1"/>
      </c>
      <c r="IC29">
        <f ca="1"/>
      </c>
      <c r="ID29">
        <f ca="1"/>
      </c>
      <c r="IE29">
        <f ca="1"/>
      </c>
      <c r="IF29">
        <f ca="1"/>
      </c>
      <c r="IG29">
        <f ca="1"/>
      </c>
      <c r="IH29">
        <f ca="1"/>
      </c>
      <c r="II29">
        <f ca="1"/>
      </c>
      <c r="IJ29">
        <f ca="1"/>
      </c>
      <c r="IK29">
        <f ca="1"/>
      </c>
      <c r="IL29">
        <f ca="1"/>
      </c>
      <c r="IM29">
        <f ca="1"/>
      </c>
      <c r="IN29">
        <f ca="1"/>
      </c>
      <c r="IO29">
        <f ca="1"/>
      </c>
      <c r="IP29">
        <f ca="1"/>
      </c>
      <c r="IQ29">
        <f ca="1"/>
      </c>
      <c r="IR29">
        <f ca="1"/>
      </c>
      <c r="IS29">
        <f ca="1"/>
      </c>
      <c r="IT29">
        <f ca="1"/>
      </c>
      <c r="IU29">
        <f ca="1"/>
      </c>
      <c r="IV29">
        <f ca="1"/>
      </c>
      <c r="IW29">
        <f ca="1"/>
      </c>
      <c r="IX29">
        <f ca="1"/>
      </c>
      <c r="IY29">
        <f ca="1"/>
      </c>
      <c r="IZ29">
        <f ca="1"/>
      </c>
      <c r="JA29">
        <f ca="1"/>
      </c>
      <c r="JB29">
        <f ca="1"/>
      </c>
    </row>
    <row r="30" spans="1:267" x14ac:dyDescent="0.55000000000000004">
      <c r="A30" t="s">
        <v>28</v>
      </c>
      <c r="B30" s="6" t="s">
        <v>51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  <c r="HZ30">
        <f ca="1"/>
      </c>
      <c r="IA30">
        <f ca="1"/>
      </c>
      <c r="IB30">
        <f ca="1"/>
      </c>
      <c r="IC30">
        <f ca="1"/>
      </c>
      <c r="ID30">
        <f ca="1"/>
      </c>
      <c r="IE30">
        <f ca="1"/>
      </c>
      <c r="IF30">
        <f ca="1"/>
      </c>
      <c r="IG30">
        <f ca="1"/>
      </c>
      <c r="IH30">
        <f ca="1"/>
      </c>
      <c r="II30">
        <f ca="1"/>
      </c>
      <c r="IJ30">
        <f ca="1"/>
      </c>
      <c r="IK30">
        <f ca="1"/>
      </c>
      <c r="IL30">
        <f ca="1"/>
      </c>
      <c r="IM30">
        <f ca="1"/>
      </c>
      <c r="IN30">
        <f ca="1"/>
      </c>
      <c r="IO30">
        <f ca="1"/>
      </c>
      <c r="IP30">
        <f ca="1"/>
      </c>
      <c r="IQ30">
        <f ca="1"/>
      </c>
      <c r="IR30">
        <f ca="1"/>
      </c>
      <c r="IS30">
        <f ca="1"/>
      </c>
      <c r="IT30">
        <f ca="1"/>
      </c>
      <c r="IU30">
        <f ca="1"/>
      </c>
      <c r="IV30">
        <f ca="1"/>
      </c>
      <c r="IW30">
        <f ca="1"/>
      </c>
      <c r="IX30">
        <f ca="1"/>
      </c>
      <c r="IY30">
        <f ca="1"/>
      </c>
      <c r="IZ30">
        <f ca="1"/>
      </c>
      <c r="JA30">
        <f ca="1"/>
      </c>
      <c r="JB30">
        <f ca="1"/>
      </c>
    </row>
    <row r="31" spans="1:267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  <c r="HZ31">
        <f ca="1"/>
      </c>
      <c r="IA31">
        <f ca="1"/>
      </c>
      <c r="IB31">
        <f ca="1"/>
      </c>
      <c r="IC31">
        <f ca="1"/>
      </c>
      <c r="ID31">
        <f ca="1"/>
      </c>
      <c r="IE31">
        <f ca="1"/>
      </c>
      <c r="IF31">
        <f ca="1"/>
      </c>
      <c r="IG31">
        <f ca="1"/>
      </c>
      <c r="IH31">
        <f ca="1"/>
      </c>
      <c r="II31">
        <f ca="1"/>
      </c>
      <c r="IJ31">
        <f ca="1"/>
      </c>
      <c r="IK31">
        <f ca="1"/>
      </c>
      <c r="IL31">
        <f ca="1"/>
      </c>
      <c r="IM31">
        <f ca="1"/>
      </c>
      <c r="IN31">
        <f ca="1"/>
      </c>
      <c r="IO31">
        <f ca="1"/>
      </c>
      <c r="IP31">
        <f ca="1"/>
      </c>
      <c r="IQ31">
        <f ca="1"/>
      </c>
      <c r="IR31">
        <f ca="1"/>
      </c>
      <c r="IS31">
        <f ca="1"/>
      </c>
      <c r="IT31">
        <f ca="1"/>
      </c>
      <c r="IU31">
        <f ca="1"/>
      </c>
      <c r="IV31">
        <f ca="1"/>
      </c>
      <c r="IW31">
        <f ca="1"/>
      </c>
      <c r="IX31">
        <f ca="1"/>
      </c>
      <c r="IY31">
        <f ca="1"/>
      </c>
      <c r="IZ31">
        <f ca="1"/>
      </c>
      <c r="JA31">
        <f ca="1"/>
      </c>
      <c r="JB31">
        <f ca="1"/>
      </c>
    </row>
    <row r="32" spans="1:267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  <c r="HZ32">
        <f ca="1"/>
      </c>
      <c r="IA32">
        <f ca="1"/>
      </c>
      <c r="IB32">
        <f ca="1"/>
      </c>
      <c r="IC32">
        <f ca="1"/>
      </c>
      <c r="ID32">
        <f ca="1"/>
      </c>
      <c r="IE32">
        <f ca="1"/>
      </c>
      <c r="IF32">
        <f ca="1"/>
      </c>
      <c r="IG32">
        <f ca="1"/>
      </c>
      <c r="IH32">
        <f ca="1"/>
      </c>
      <c r="II32">
        <f ca="1"/>
      </c>
      <c r="IJ32">
        <f ca="1"/>
      </c>
      <c r="IK32">
        <f ca="1"/>
      </c>
      <c r="IL32">
        <f ca="1"/>
      </c>
      <c r="IM32">
        <f ca="1"/>
      </c>
      <c r="IN32">
        <f ca="1"/>
      </c>
      <c r="IO32">
        <f ca="1"/>
      </c>
      <c r="IP32">
        <f ca="1"/>
      </c>
      <c r="IQ32">
        <f ca="1"/>
      </c>
      <c r="IR32">
        <f ca="1"/>
      </c>
      <c r="IS32">
        <f ca="1"/>
      </c>
      <c r="IT32">
        <f ca="1"/>
      </c>
      <c r="IU32">
        <f ca="1"/>
      </c>
      <c r="IV32">
        <f ca="1"/>
      </c>
      <c r="IW32">
        <f ca="1"/>
      </c>
      <c r="IX32">
        <f ca="1"/>
      </c>
      <c r="IY32">
        <f ca="1"/>
      </c>
      <c r="IZ32">
        <f ca="1"/>
      </c>
      <c r="JA32">
        <f ca="1"/>
      </c>
      <c r="JB32">
        <f ca="1"/>
      </c>
    </row>
    <row r="33" spans="6:267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  <c r="HZ33">
        <f ca="1"/>
      </c>
      <c r="IA33">
        <f ca="1"/>
      </c>
      <c r="IB33">
        <f ca="1"/>
      </c>
      <c r="IC33">
        <f ca="1"/>
      </c>
      <c r="ID33">
        <f ca="1"/>
      </c>
      <c r="IE33">
        <f ca="1"/>
      </c>
      <c r="IF33">
        <f ca="1"/>
      </c>
      <c r="IG33">
        <f ca="1"/>
      </c>
      <c r="IH33">
        <f ca="1"/>
      </c>
      <c r="II33">
        <f ca="1"/>
      </c>
      <c r="IJ33">
        <f ca="1"/>
      </c>
      <c r="IK33">
        <f ca="1"/>
      </c>
      <c r="IL33">
        <f ca="1"/>
      </c>
      <c r="IM33">
        <f ca="1"/>
      </c>
      <c r="IN33">
        <f ca="1"/>
      </c>
      <c r="IO33">
        <f ca="1"/>
      </c>
      <c r="IP33">
        <f ca="1"/>
      </c>
      <c r="IQ33">
        <f ca="1"/>
      </c>
      <c r="IR33">
        <f ca="1"/>
      </c>
      <c r="IS33">
        <f ca="1"/>
      </c>
      <c r="IT33">
        <f ca="1"/>
      </c>
      <c r="IU33">
        <f ca="1"/>
      </c>
      <c r="IV33">
        <f ca="1"/>
      </c>
      <c r="IW33">
        <f ca="1"/>
      </c>
      <c r="IX33">
        <f ca="1"/>
      </c>
      <c r="IY33">
        <f ca="1"/>
      </c>
      <c r="IZ33">
        <f ca="1"/>
      </c>
      <c r="JA33">
        <f ca="1"/>
      </c>
      <c r="JB33">
        <f ca="1"/>
      </c>
    </row>
    <row r="34" spans="6:267" x14ac:dyDescent="0.55000000000000004">
      <c r="F34" s="4" t="s">
        <v>103</v>
      </c>
      <c r="U34" s="4" t="s">
        <v>104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  <c r="HZ34">
        <f ca="1"/>
      </c>
      <c r="IA34">
        <f ca="1"/>
      </c>
      <c r="IB34">
        <f ca="1"/>
      </c>
      <c r="IC34">
        <f ca="1"/>
      </c>
      <c r="ID34">
        <f ca="1"/>
      </c>
      <c r="IE34">
        <f ca="1"/>
      </c>
      <c r="IF34">
        <f ca="1"/>
      </c>
      <c r="IG34">
        <f ca="1"/>
      </c>
      <c r="IH34">
        <f ca="1"/>
      </c>
      <c r="II34">
        <f ca="1"/>
      </c>
      <c r="IJ34">
        <f ca="1"/>
      </c>
      <c r="IK34">
        <f ca="1"/>
      </c>
      <c r="IL34">
        <f ca="1"/>
      </c>
      <c r="IM34">
        <f ca="1"/>
      </c>
      <c r="IN34">
        <f ca="1"/>
      </c>
      <c r="IO34">
        <f ca="1"/>
      </c>
      <c r="IP34">
        <f ca="1"/>
      </c>
      <c r="IQ34">
        <f ca="1"/>
      </c>
      <c r="IR34">
        <f ca="1"/>
      </c>
      <c r="IS34">
        <f ca="1"/>
      </c>
      <c r="IT34">
        <f ca="1"/>
      </c>
      <c r="IU34">
        <f ca="1"/>
      </c>
      <c r="IV34">
        <f ca="1"/>
      </c>
      <c r="IW34">
        <f ca="1"/>
      </c>
      <c r="IX34">
        <f ca="1"/>
      </c>
      <c r="IY34">
        <f ca="1"/>
      </c>
      <c r="IZ34">
        <f ca="1"/>
      </c>
      <c r="JA34">
        <f ca="1"/>
      </c>
      <c r="JB34">
        <f ca="1"/>
      </c>
    </row>
    <row r="35" spans="6:267" x14ac:dyDescent="0.55000000000000004">
      <c r="F35" s="5" t="s">
        <v>101</v>
      </c>
      <c r="G35" cm="1">
        <f t="array" aca="1" ref="G35:R35" ca="1">TRANSPOSE(VOL_原資産)</f>
      </c>
      <c r="H35">
        <f ca="1"/>
      </c>
      <c r="I35">
        <f ca="1"/>
      </c>
      <c r="J35">
        <f ca="1"/>
      </c>
      <c r="K35">
        <f ca="1"/>
      </c>
      <c r="L35">
        <f ca="1"/>
      </c>
      <c r="M35">
        <f ca="1"/>
      </c>
      <c r="N35">
        <f ca="1"/>
      </c>
      <c r="O35">
        <f ca="1"/>
      </c>
      <c r="P35">
        <f ca="1"/>
      </c>
      <c r="Q35">
        <f ca="1"/>
      </c>
      <c r="R35">
        <f ca="1"/>
      </c>
      <c r="U35" s="5" t="s">
        <v>101</v>
      </c>
      <c r="V35" cm="1">
        <f t="array" aca="1" ref="V35:AG35" ca="1">TRANSPOSE(VOL_原資産)</f>
      </c>
      <c r="W35">
        <f ca="1"/>
      </c>
      <c r="X35">
        <f ca="1"/>
      </c>
      <c r="Y35">
        <f ca="1"/>
      </c>
      <c r="Z35">
        <f ca="1"/>
      </c>
      <c r="AA35">
        <f ca="1"/>
      </c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  <c r="HZ35">
        <f ca="1"/>
      </c>
      <c r="IA35">
        <f ca="1"/>
      </c>
      <c r="IB35">
        <f ca="1"/>
      </c>
      <c r="IC35">
        <f ca="1"/>
      </c>
      <c r="ID35">
        <f ca="1"/>
      </c>
      <c r="IE35">
        <f ca="1"/>
      </c>
      <c r="IF35">
        <f ca="1"/>
      </c>
      <c r="IG35">
        <f ca="1"/>
      </c>
      <c r="IH35">
        <f ca="1"/>
      </c>
      <c r="II35">
        <f ca="1"/>
      </c>
      <c r="IJ35">
        <f ca="1"/>
      </c>
      <c r="IK35">
        <f ca="1"/>
      </c>
      <c r="IL35">
        <f ca="1"/>
      </c>
      <c r="IM35">
        <f ca="1"/>
      </c>
      <c r="IN35">
        <f ca="1"/>
      </c>
      <c r="IO35">
        <f ca="1"/>
      </c>
      <c r="IP35">
        <f ca="1"/>
      </c>
      <c r="IQ35">
        <f ca="1"/>
      </c>
      <c r="IR35">
        <f ca="1"/>
      </c>
      <c r="IS35">
        <f ca="1"/>
      </c>
      <c r="IT35">
        <f ca="1"/>
      </c>
      <c r="IU35">
        <f ca="1"/>
      </c>
      <c r="IV35">
        <f ca="1"/>
      </c>
      <c r="IW35">
        <f ca="1"/>
      </c>
      <c r="IX35">
        <f ca="1"/>
      </c>
      <c r="IY35">
        <f ca="1"/>
      </c>
      <c r="IZ35">
        <f ca="1"/>
      </c>
      <c r="JA35">
        <f ca="1"/>
      </c>
      <c r="JB35">
        <f ca="1"/>
      </c>
    </row>
    <row r="36" spans="6:267" x14ac:dyDescent="0.55000000000000004">
      <c r="F36" cm="1">
        <f t="array" aca="1" ref="F36:F51" ca="1">VOL_満期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aca="1" ref="U36:U51" ca="1">VOL_満期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  <c r="HZ36">
        <f ca="1"/>
      </c>
      <c r="IA36">
        <f ca="1"/>
      </c>
      <c r="IB36">
        <f ca="1"/>
      </c>
      <c r="IC36">
        <f ca="1"/>
      </c>
      <c r="ID36">
        <f ca="1"/>
      </c>
      <c r="IE36">
        <f ca="1"/>
      </c>
      <c r="IF36">
        <f ca="1"/>
      </c>
      <c r="IG36">
        <f ca="1"/>
      </c>
      <c r="IH36">
        <f ca="1"/>
      </c>
      <c r="II36">
        <f ca="1"/>
      </c>
      <c r="IJ36">
        <f ca="1"/>
      </c>
      <c r="IK36">
        <f ca="1"/>
      </c>
      <c r="IL36">
        <f ca="1"/>
      </c>
      <c r="IM36">
        <f ca="1"/>
      </c>
      <c r="IN36">
        <f ca="1"/>
      </c>
      <c r="IO36">
        <f ca="1"/>
      </c>
      <c r="IP36">
        <f ca="1"/>
      </c>
      <c r="IQ36">
        <f ca="1"/>
      </c>
      <c r="IR36">
        <f ca="1"/>
      </c>
      <c r="IS36">
        <f ca="1"/>
      </c>
      <c r="IT36">
        <f ca="1"/>
      </c>
      <c r="IU36">
        <f ca="1"/>
      </c>
      <c r="IV36">
        <f ca="1"/>
      </c>
      <c r="IW36">
        <f ca="1"/>
      </c>
      <c r="IX36">
        <f ca="1"/>
      </c>
      <c r="IY36">
        <f ca="1"/>
      </c>
      <c r="IZ36">
        <f ca="1"/>
      </c>
      <c r="JA36">
        <f ca="1"/>
      </c>
      <c r="JB36">
        <f ca="1"/>
      </c>
    </row>
    <row r="37" spans="6:267" x14ac:dyDescent="0.55000000000000004">
      <c r="F37">
        <f ca="1"/>
      </c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>
        <f ca="1"/>
      </c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  <c r="HZ37">
        <f ca="1"/>
      </c>
      <c r="IA37">
        <f ca="1"/>
      </c>
      <c r="IB37">
        <f ca="1"/>
      </c>
      <c r="IC37">
        <f ca="1"/>
      </c>
      <c r="ID37">
        <f ca="1"/>
      </c>
      <c r="IE37">
        <f ca="1"/>
      </c>
      <c r="IF37">
        <f ca="1"/>
      </c>
      <c r="IG37">
        <f ca="1"/>
      </c>
      <c r="IH37">
        <f ca="1"/>
      </c>
      <c r="II37">
        <f ca="1"/>
      </c>
      <c r="IJ37">
        <f ca="1"/>
      </c>
      <c r="IK37">
        <f ca="1"/>
      </c>
      <c r="IL37">
        <f ca="1"/>
      </c>
      <c r="IM37">
        <f ca="1"/>
      </c>
      <c r="IN37">
        <f ca="1"/>
      </c>
      <c r="IO37">
        <f ca="1"/>
      </c>
      <c r="IP37">
        <f ca="1"/>
      </c>
      <c r="IQ37">
        <f ca="1"/>
      </c>
      <c r="IR37">
        <f ca="1"/>
      </c>
      <c r="IS37">
        <f ca="1"/>
      </c>
      <c r="IT37">
        <f ca="1"/>
      </c>
      <c r="IU37">
        <f ca="1"/>
      </c>
      <c r="IV37">
        <f ca="1"/>
      </c>
      <c r="IW37">
        <f ca="1"/>
      </c>
      <c r="IX37">
        <f ca="1"/>
      </c>
      <c r="IY37">
        <f ca="1"/>
      </c>
      <c r="IZ37">
        <f ca="1"/>
      </c>
      <c r="JA37">
        <f ca="1"/>
      </c>
      <c r="JB37">
        <f ca="1"/>
      </c>
    </row>
    <row r="38" spans="6:267" x14ac:dyDescent="0.55000000000000004">
      <c r="F38">
        <f ca="1"/>
      </c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>
        <f ca="1"/>
      </c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  <c r="HZ38">
        <f ca="1"/>
      </c>
      <c r="IA38">
        <f ca="1"/>
      </c>
      <c r="IB38">
        <f ca="1"/>
      </c>
      <c r="IC38">
        <f ca="1"/>
      </c>
      <c r="ID38">
        <f ca="1"/>
      </c>
      <c r="IE38">
        <f ca="1"/>
      </c>
      <c r="IF38">
        <f ca="1"/>
      </c>
      <c r="IG38">
        <f ca="1"/>
      </c>
      <c r="IH38">
        <f ca="1"/>
      </c>
      <c r="II38">
        <f ca="1"/>
      </c>
      <c r="IJ38">
        <f ca="1"/>
      </c>
      <c r="IK38">
        <f ca="1"/>
      </c>
      <c r="IL38">
        <f ca="1"/>
      </c>
      <c r="IM38">
        <f ca="1"/>
      </c>
      <c r="IN38">
        <f ca="1"/>
      </c>
      <c r="IO38">
        <f ca="1"/>
      </c>
      <c r="IP38">
        <f ca="1"/>
      </c>
      <c r="IQ38">
        <f ca="1"/>
      </c>
      <c r="IR38">
        <f ca="1"/>
      </c>
      <c r="IS38">
        <f ca="1"/>
      </c>
      <c r="IT38">
        <f ca="1"/>
      </c>
      <c r="IU38">
        <f ca="1"/>
      </c>
      <c r="IV38">
        <f ca="1"/>
      </c>
      <c r="IW38">
        <f ca="1"/>
      </c>
      <c r="IX38">
        <f ca="1"/>
      </c>
      <c r="IY38">
        <f ca="1"/>
      </c>
      <c r="IZ38">
        <f ca="1"/>
      </c>
      <c r="JA38">
        <f ca="1"/>
      </c>
      <c r="JB38">
        <f ca="1"/>
      </c>
    </row>
    <row r="39" spans="6:267" x14ac:dyDescent="0.55000000000000004">
      <c r="F39">
        <f ca="1"/>
      </c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>
        <f ca="1"/>
      </c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  <c r="HZ39">
        <f ca="1"/>
      </c>
      <c r="IA39">
        <f ca="1"/>
      </c>
      <c r="IB39">
        <f ca="1"/>
      </c>
      <c r="IC39">
        <f ca="1"/>
      </c>
      <c r="ID39">
        <f ca="1"/>
      </c>
      <c r="IE39">
        <f ca="1"/>
      </c>
      <c r="IF39">
        <f ca="1"/>
      </c>
      <c r="IG39">
        <f ca="1"/>
      </c>
      <c r="IH39">
        <f ca="1"/>
      </c>
      <c r="II39">
        <f ca="1"/>
      </c>
      <c r="IJ39">
        <f ca="1"/>
      </c>
      <c r="IK39">
        <f ca="1"/>
      </c>
      <c r="IL39">
        <f ca="1"/>
      </c>
      <c r="IM39">
        <f ca="1"/>
      </c>
      <c r="IN39">
        <f ca="1"/>
      </c>
      <c r="IO39">
        <f ca="1"/>
      </c>
      <c r="IP39">
        <f ca="1"/>
      </c>
      <c r="IQ39">
        <f ca="1"/>
      </c>
      <c r="IR39">
        <f ca="1"/>
      </c>
      <c r="IS39">
        <f ca="1"/>
      </c>
      <c r="IT39">
        <f ca="1"/>
      </c>
      <c r="IU39">
        <f ca="1"/>
      </c>
      <c r="IV39">
        <f ca="1"/>
      </c>
      <c r="IW39">
        <f ca="1"/>
      </c>
      <c r="IX39">
        <f ca="1"/>
      </c>
      <c r="IY39">
        <f ca="1"/>
      </c>
      <c r="IZ39">
        <f ca="1"/>
      </c>
      <c r="JA39">
        <f ca="1"/>
      </c>
      <c r="JB39">
        <f ca="1"/>
      </c>
    </row>
    <row r="40" spans="6:267" x14ac:dyDescent="0.55000000000000004">
      <c r="F40">
        <f ca="1"/>
      </c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>
        <f ca="1"/>
      </c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  <c r="HZ40">
        <f ca="1"/>
      </c>
      <c r="IA40">
        <f ca="1"/>
      </c>
      <c r="IB40">
        <f ca="1"/>
      </c>
      <c r="IC40">
        <f ca="1"/>
      </c>
      <c r="ID40">
        <f ca="1"/>
      </c>
      <c r="IE40">
        <f ca="1"/>
      </c>
      <c r="IF40">
        <f ca="1"/>
      </c>
      <c r="IG40">
        <f ca="1"/>
      </c>
      <c r="IH40">
        <f ca="1"/>
      </c>
      <c r="II40">
        <f ca="1"/>
      </c>
      <c r="IJ40">
        <f ca="1"/>
      </c>
      <c r="IK40">
        <f ca="1"/>
      </c>
      <c r="IL40">
        <f ca="1"/>
      </c>
      <c r="IM40">
        <f ca="1"/>
      </c>
      <c r="IN40">
        <f ca="1"/>
      </c>
      <c r="IO40">
        <f ca="1"/>
      </c>
      <c r="IP40">
        <f ca="1"/>
      </c>
      <c r="IQ40">
        <f ca="1"/>
      </c>
      <c r="IR40">
        <f ca="1"/>
      </c>
      <c r="IS40">
        <f ca="1"/>
      </c>
      <c r="IT40">
        <f ca="1"/>
      </c>
      <c r="IU40">
        <f ca="1"/>
      </c>
      <c r="IV40">
        <f ca="1"/>
      </c>
      <c r="IW40">
        <f ca="1"/>
      </c>
      <c r="IX40">
        <f ca="1"/>
      </c>
      <c r="IY40">
        <f ca="1"/>
      </c>
      <c r="IZ40">
        <f ca="1"/>
      </c>
      <c r="JA40">
        <f ca="1"/>
      </c>
      <c r="JB40">
        <f ca="1"/>
      </c>
    </row>
    <row r="41" spans="6:267" x14ac:dyDescent="0.55000000000000004">
      <c r="F41">
        <f ca="1"/>
      </c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>
        <f ca="1"/>
      </c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  <c r="HZ41">
        <f ca="1"/>
      </c>
      <c r="IA41">
        <f ca="1"/>
      </c>
      <c r="IB41">
        <f ca="1"/>
      </c>
      <c r="IC41">
        <f ca="1"/>
      </c>
      <c r="ID41">
        <f ca="1"/>
      </c>
      <c r="IE41">
        <f ca="1"/>
      </c>
      <c r="IF41">
        <f ca="1"/>
      </c>
      <c r="IG41">
        <f ca="1"/>
      </c>
      <c r="IH41">
        <f ca="1"/>
      </c>
      <c r="II41">
        <f ca="1"/>
      </c>
      <c r="IJ41">
        <f ca="1"/>
      </c>
      <c r="IK41">
        <f ca="1"/>
      </c>
      <c r="IL41">
        <f ca="1"/>
      </c>
      <c r="IM41">
        <f ca="1"/>
      </c>
      <c r="IN41">
        <f ca="1"/>
      </c>
      <c r="IO41">
        <f ca="1"/>
      </c>
      <c r="IP41">
        <f ca="1"/>
      </c>
      <c r="IQ41">
        <f ca="1"/>
      </c>
      <c r="IR41">
        <f ca="1"/>
      </c>
      <c r="IS41">
        <f ca="1"/>
      </c>
      <c r="IT41">
        <f ca="1"/>
      </c>
      <c r="IU41">
        <f ca="1"/>
      </c>
      <c r="IV41">
        <f ca="1"/>
      </c>
      <c r="IW41">
        <f ca="1"/>
      </c>
      <c r="IX41">
        <f ca="1"/>
      </c>
      <c r="IY41">
        <f ca="1"/>
      </c>
      <c r="IZ41">
        <f ca="1"/>
      </c>
      <c r="JA41">
        <f ca="1"/>
      </c>
      <c r="JB41">
        <f ca="1"/>
      </c>
    </row>
    <row r="42" spans="6:267" x14ac:dyDescent="0.55000000000000004">
      <c r="F42">
        <f ca="1"/>
      </c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>
        <f ca="1"/>
      </c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  <c r="HZ42">
        <f ca="1"/>
      </c>
      <c r="IA42">
        <f ca="1"/>
      </c>
      <c r="IB42">
        <f ca="1"/>
      </c>
      <c r="IC42">
        <f ca="1"/>
      </c>
      <c r="ID42">
        <f ca="1"/>
      </c>
      <c r="IE42">
        <f ca="1"/>
      </c>
      <c r="IF42">
        <f ca="1"/>
      </c>
      <c r="IG42">
        <f ca="1"/>
      </c>
      <c r="IH42">
        <f ca="1"/>
      </c>
      <c r="II42">
        <f ca="1"/>
      </c>
      <c r="IJ42">
        <f ca="1"/>
      </c>
      <c r="IK42">
        <f ca="1"/>
      </c>
      <c r="IL42">
        <f ca="1"/>
      </c>
      <c r="IM42">
        <f ca="1"/>
      </c>
      <c r="IN42">
        <f ca="1"/>
      </c>
      <c r="IO42">
        <f ca="1"/>
      </c>
      <c r="IP42">
        <f ca="1"/>
      </c>
      <c r="IQ42">
        <f ca="1"/>
      </c>
      <c r="IR42">
        <f ca="1"/>
      </c>
      <c r="IS42">
        <f ca="1"/>
      </c>
      <c r="IT42">
        <f ca="1"/>
      </c>
      <c r="IU42">
        <f ca="1"/>
      </c>
      <c r="IV42">
        <f ca="1"/>
      </c>
      <c r="IW42">
        <f ca="1"/>
      </c>
      <c r="IX42">
        <f ca="1"/>
      </c>
      <c r="IY42">
        <f ca="1"/>
      </c>
      <c r="IZ42">
        <f ca="1"/>
      </c>
      <c r="JA42">
        <f ca="1"/>
      </c>
      <c r="JB42">
        <f ca="1"/>
      </c>
    </row>
    <row r="43" spans="6:267" x14ac:dyDescent="0.55000000000000004">
      <c r="F43">
        <f ca="1"/>
      </c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>
        <f ca="1"/>
      </c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  <c r="HZ43">
        <f ca="1"/>
      </c>
      <c r="IA43">
        <f ca="1"/>
      </c>
      <c r="IB43">
        <f ca="1"/>
      </c>
      <c r="IC43">
        <f ca="1"/>
      </c>
      <c r="ID43">
        <f ca="1"/>
      </c>
      <c r="IE43">
        <f ca="1"/>
      </c>
      <c r="IF43">
        <f ca="1"/>
      </c>
      <c r="IG43">
        <f ca="1"/>
      </c>
      <c r="IH43">
        <f ca="1"/>
      </c>
      <c r="II43">
        <f ca="1"/>
      </c>
      <c r="IJ43">
        <f ca="1"/>
      </c>
      <c r="IK43">
        <f ca="1"/>
      </c>
      <c r="IL43">
        <f ca="1"/>
      </c>
      <c r="IM43">
        <f ca="1"/>
      </c>
      <c r="IN43">
        <f ca="1"/>
      </c>
      <c r="IO43">
        <f ca="1"/>
      </c>
      <c r="IP43">
        <f ca="1"/>
      </c>
      <c r="IQ43">
        <f ca="1"/>
      </c>
      <c r="IR43">
        <f ca="1"/>
      </c>
      <c r="IS43">
        <f ca="1"/>
      </c>
      <c r="IT43">
        <f ca="1"/>
      </c>
      <c r="IU43">
        <f ca="1"/>
      </c>
      <c r="IV43">
        <f ca="1"/>
      </c>
      <c r="IW43">
        <f ca="1"/>
      </c>
      <c r="IX43">
        <f ca="1"/>
      </c>
      <c r="IY43">
        <f ca="1"/>
      </c>
      <c r="IZ43">
        <f ca="1"/>
      </c>
      <c r="JA43">
        <f ca="1"/>
      </c>
      <c r="JB43">
        <f ca="1"/>
      </c>
    </row>
    <row r="44" spans="6:267" x14ac:dyDescent="0.55000000000000004">
      <c r="F44">
        <f ca="1"/>
      </c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>
        <f ca="1"/>
      </c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  <c r="HZ44">
        <f ca="1"/>
      </c>
      <c r="IA44">
        <f ca="1"/>
      </c>
      <c r="IB44">
        <f ca="1"/>
      </c>
      <c r="IC44">
        <f ca="1"/>
      </c>
      <c r="ID44">
        <f ca="1"/>
      </c>
      <c r="IE44">
        <f ca="1"/>
      </c>
      <c r="IF44">
        <f ca="1"/>
      </c>
      <c r="IG44">
        <f ca="1"/>
      </c>
      <c r="IH44">
        <f ca="1"/>
      </c>
      <c r="II44">
        <f ca="1"/>
      </c>
      <c r="IJ44">
        <f ca="1"/>
      </c>
      <c r="IK44">
        <f ca="1"/>
      </c>
      <c r="IL44">
        <f ca="1"/>
      </c>
      <c r="IM44">
        <f ca="1"/>
      </c>
      <c r="IN44">
        <f ca="1"/>
      </c>
      <c r="IO44">
        <f ca="1"/>
      </c>
      <c r="IP44">
        <f ca="1"/>
      </c>
      <c r="IQ44">
        <f ca="1"/>
      </c>
      <c r="IR44">
        <f ca="1"/>
      </c>
      <c r="IS44">
        <f ca="1"/>
      </c>
      <c r="IT44">
        <f ca="1"/>
      </c>
      <c r="IU44">
        <f ca="1"/>
      </c>
      <c r="IV44">
        <f ca="1"/>
      </c>
      <c r="IW44">
        <f ca="1"/>
      </c>
      <c r="IX44">
        <f ca="1"/>
      </c>
      <c r="IY44">
        <f ca="1"/>
      </c>
      <c r="IZ44">
        <f ca="1"/>
      </c>
      <c r="JA44">
        <f ca="1"/>
      </c>
      <c r="JB44">
        <f ca="1"/>
      </c>
    </row>
    <row r="45" spans="6:267" x14ac:dyDescent="0.55000000000000004">
      <c r="F45">
        <f ca="1"/>
      </c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>
        <f ca="1"/>
      </c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  <c r="HZ45">
        <f ca="1"/>
      </c>
      <c r="IA45">
        <f ca="1"/>
      </c>
      <c r="IB45">
        <f ca="1"/>
      </c>
      <c r="IC45">
        <f ca="1"/>
      </c>
      <c r="ID45">
        <f ca="1"/>
      </c>
      <c r="IE45">
        <f ca="1"/>
      </c>
      <c r="IF45">
        <f ca="1"/>
      </c>
      <c r="IG45">
        <f ca="1"/>
      </c>
      <c r="IH45">
        <f ca="1"/>
      </c>
      <c r="II45">
        <f ca="1"/>
      </c>
      <c r="IJ45">
        <f ca="1"/>
      </c>
      <c r="IK45">
        <f ca="1"/>
      </c>
      <c r="IL45">
        <f ca="1"/>
      </c>
      <c r="IM45">
        <f ca="1"/>
      </c>
      <c r="IN45">
        <f ca="1"/>
      </c>
      <c r="IO45">
        <f ca="1"/>
      </c>
      <c r="IP45">
        <f ca="1"/>
      </c>
      <c r="IQ45">
        <f ca="1"/>
      </c>
      <c r="IR45">
        <f ca="1"/>
      </c>
      <c r="IS45">
        <f ca="1"/>
      </c>
      <c r="IT45">
        <f ca="1"/>
      </c>
      <c r="IU45">
        <f ca="1"/>
      </c>
      <c r="IV45">
        <f ca="1"/>
      </c>
      <c r="IW45">
        <f ca="1"/>
      </c>
      <c r="IX45">
        <f ca="1"/>
      </c>
      <c r="IY45">
        <f ca="1"/>
      </c>
      <c r="IZ45">
        <f ca="1"/>
      </c>
      <c r="JA45">
        <f ca="1"/>
      </c>
      <c r="JB45">
        <f ca="1"/>
      </c>
    </row>
    <row r="46" spans="6:267" x14ac:dyDescent="0.55000000000000004">
      <c r="F46">
        <f ca="1"/>
      </c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>
        <f ca="1"/>
      </c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  <c r="HZ46">
        <f ca="1"/>
      </c>
      <c r="IA46">
        <f ca="1"/>
      </c>
      <c r="IB46">
        <f ca="1"/>
      </c>
      <c r="IC46">
        <f ca="1"/>
      </c>
      <c r="ID46">
        <f ca="1"/>
      </c>
      <c r="IE46">
        <f ca="1"/>
      </c>
      <c r="IF46">
        <f ca="1"/>
      </c>
      <c r="IG46">
        <f ca="1"/>
      </c>
      <c r="IH46">
        <f ca="1"/>
      </c>
      <c r="II46">
        <f ca="1"/>
      </c>
      <c r="IJ46">
        <f ca="1"/>
      </c>
      <c r="IK46">
        <f ca="1"/>
      </c>
      <c r="IL46">
        <f ca="1"/>
      </c>
      <c r="IM46">
        <f ca="1"/>
      </c>
      <c r="IN46">
        <f ca="1"/>
      </c>
      <c r="IO46">
        <f ca="1"/>
      </c>
      <c r="IP46">
        <f ca="1"/>
      </c>
      <c r="IQ46">
        <f ca="1"/>
      </c>
      <c r="IR46">
        <f ca="1"/>
      </c>
      <c r="IS46">
        <f ca="1"/>
      </c>
      <c r="IT46">
        <f ca="1"/>
      </c>
      <c r="IU46">
        <f ca="1"/>
      </c>
      <c r="IV46">
        <f ca="1"/>
      </c>
      <c r="IW46">
        <f ca="1"/>
      </c>
      <c r="IX46">
        <f ca="1"/>
      </c>
      <c r="IY46">
        <f ca="1"/>
      </c>
      <c r="IZ46">
        <f ca="1"/>
      </c>
      <c r="JA46">
        <f ca="1"/>
      </c>
      <c r="JB46">
        <f ca="1"/>
      </c>
    </row>
    <row r="47" spans="6:267" x14ac:dyDescent="0.55000000000000004">
      <c r="F47">
        <f ca="1"/>
      </c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>
        <f ca="1"/>
      </c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  <c r="HZ47">
        <f ca="1"/>
      </c>
      <c r="IA47">
        <f ca="1"/>
      </c>
      <c r="IB47">
        <f ca="1"/>
      </c>
      <c r="IC47">
        <f ca="1"/>
      </c>
      <c r="ID47">
        <f ca="1"/>
      </c>
      <c r="IE47">
        <f ca="1"/>
      </c>
      <c r="IF47">
        <f ca="1"/>
      </c>
      <c r="IG47">
        <f ca="1"/>
      </c>
      <c r="IH47">
        <f ca="1"/>
      </c>
      <c r="II47">
        <f ca="1"/>
      </c>
      <c r="IJ47">
        <f ca="1"/>
      </c>
      <c r="IK47">
        <f ca="1"/>
      </c>
      <c r="IL47">
        <f ca="1"/>
      </c>
      <c r="IM47">
        <f ca="1"/>
      </c>
      <c r="IN47">
        <f ca="1"/>
      </c>
      <c r="IO47">
        <f ca="1"/>
      </c>
      <c r="IP47">
        <f ca="1"/>
      </c>
      <c r="IQ47">
        <f ca="1"/>
      </c>
      <c r="IR47">
        <f ca="1"/>
      </c>
      <c r="IS47">
        <f ca="1"/>
      </c>
      <c r="IT47">
        <f ca="1"/>
      </c>
      <c r="IU47">
        <f ca="1"/>
      </c>
      <c r="IV47">
        <f ca="1"/>
      </c>
      <c r="IW47">
        <f ca="1"/>
      </c>
      <c r="IX47">
        <f ca="1"/>
      </c>
      <c r="IY47">
        <f ca="1"/>
      </c>
      <c r="IZ47">
        <f ca="1"/>
      </c>
      <c r="JA47">
        <f ca="1"/>
      </c>
      <c r="JB47">
        <f ca="1"/>
      </c>
    </row>
    <row r="48" spans="6:267" x14ac:dyDescent="0.55000000000000004">
      <c r="F48">
        <f ca="1"/>
      </c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>
        <f ca="1"/>
      </c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  <c r="HZ48">
        <f ca="1"/>
      </c>
      <c r="IA48">
        <f ca="1"/>
      </c>
      <c r="IB48">
        <f ca="1"/>
      </c>
      <c r="IC48">
        <f ca="1"/>
      </c>
      <c r="ID48">
        <f ca="1"/>
      </c>
      <c r="IE48">
        <f ca="1"/>
      </c>
      <c r="IF48">
        <f ca="1"/>
      </c>
      <c r="IG48">
        <f ca="1"/>
      </c>
      <c r="IH48">
        <f ca="1"/>
      </c>
      <c r="II48">
        <f ca="1"/>
      </c>
      <c r="IJ48">
        <f ca="1"/>
      </c>
      <c r="IK48">
        <f ca="1"/>
      </c>
      <c r="IL48">
        <f ca="1"/>
      </c>
      <c r="IM48">
        <f ca="1"/>
      </c>
      <c r="IN48">
        <f ca="1"/>
      </c>
      <c r="IO48">
        <f ca="1"/>
      </c>
      <c r="IP48">
        <f ca="1"/>
      </c>
      <c r="IQ48">
        <f ca="1"/>
      </c>
      <c r="IR48">
        <f ca="1"/>
      </c>
      <c r="IS48">
        <f ca="1"/>
      </c>
      <c r="IT48">
        <f ca="1"/>
      </c>
      <c r="IU48">
        <f ca="1"/>
      </c>
      <c r="IV48">
        <f ca="1"/>
      </c>
      <c r="IW48">
        <f ca="1"/>
      </c>
      <c r="IX48">
        <f ca="1"/>
      </c>
      <c r="IY48">
        <f ca="1"/>
      </c>
      <c r="IZ48">
        <f ca="1"/>
      </c>
      <c r="JA48">
        <f ca="1"/>
      </c>
      <c r="JB48">
        <f ca="1"/>
      </c>
    </row>
    <row r="49" spans="6:267" x14ac:dyDescent="0.55000000000000004">
      <c r="F49">
        <f ca="1"/>
      </c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>
        <f ca="1"/>
      </c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  <c r="HZ49">
        <f ca="1"/>
      </c>
      <c r="IA49">
        <f ca="1"/>
      </c>
      <c r="IB49">
        <f ca="1"/>
      </c>
      <c r="IC49">
        <f ca="1"/>
      </c>
      <c r="ID49">
        <f ca="1"/>
      </c>
      <c r="IE49">
        <f ca="1"/>
      </c>
      <c r="IF49">
        <f ca="1"/>
      </c>
      <c r="IG49">
        <f ca="1"/>
      </c>
      <c r="IH49">
        <f ca="1"/>
      </c>
      <c r="II49">
        <f ca="1"/>
      </c>
      <c r="IJ49">
        <f ca="1"/>
      </c>
      <c r="IK49">
        <f ca="1"/>
      </c>
      <c r="IL49">
        <f ca="1"/>
      </c>
      <c r="IM49">
        <f ca="1"/>
      </c>
      <c r="IN49">
        <f ca="1"/>
      </c>
      <c r="IO49">
        <f ca="1"/>
      </c>
      <c r="IP49">
        <f ca="1"/>
      </c>
      <c r="IQ49">
        <f ca="1"/>
      </c>
      <c r="IR49">
        <f ca="1"/>
      </c>
      <c r="IS49">
        <f ca="1"/>
      </c>
      <c r="IT49">
        <f ca="1"/>
      </c>
      <c r="IU49">
        <f ca="1"/>
      </c>
      <c r="IV49">
        <f ca="1"/>
      </c>
      <c r="IW49">
        <f ca="1"/>
      </c>
      <c r="IX49">
        <f ca="1"/>
      </c>
      <c r="IY49">
        <f ca="1"/>
      </c>
      <c r="IZ49">
        <f ca="1"/>
      </c>
      <c r="JA49">
        <f ca="1"/>
      </c>
      <c r="JB49">
        <f ca="1"/>
      </c>
    </row>
    <row r="50" spans="6:267" x14ac:dyDescent="0.55000000000000004">
      <c r="F50">
        <f ca="1"/>
      </c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>
        <f ca="1"/>
      </c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  <c r="HZ50">
        <f ca="1"/>
      </c>
      <c r="IA50">
        <f ca="1"/>
      </c>
      <c r="IB50">
        <f ca="1"/>
      </c>
      <c r="IC50">
        <f ca="1"/>
      </c>
      <c r="ID50">
        <f ca="1"/>
      </c>
      <c r="IE50">
        <f ca="1"/>
      </c>
      <c r="IF50">
        <f ca="1"/>
      </c>
      <c r="IG50">
        <f ca="1"/>
      </c>
      <c r="IH50">
        <f ca="1"/>
      </c>
      <c r="II50">
        <f ca="1"/>
      </c>
      <c r="IJ50">
        <f ca="1"/>
      </c>
      <c r="IK50">
        <f ca="1"/>
      </c>
      <c r="IL50">
        <f ca="1"/>
      </c>
      <c r="IM50">
        <f ca="1"/>
      </c>
      <c r="IN50">
        <f ca="1"/>
      </c>
      <c r="IO50">
        <f ca="1"/>
      </c>
      <c r="IP50">
        <f ca="1"/>
      </c>
      <c r="IQ50">
        <f ca="1"/>
      </c>
      <c r="IR50">
        <f ca="1"/>
      </c>
      <c r="IS50">
        <f ca="1"/>
      </c>
      <c r="IT50">
        <f ca="1"/>
      </c>
      <c r="IU50">
        <f ca="1"/>
      </c>
      <c r="IV50">
        <f ca="1"/>
      </c>
      <c r="IW50">
        <f ca="1"/>
      </c>
      <c r="IX50">
        <f ca="1"/>
      </c>
      <c r="IY50">
        <f ca="1"/>
      </c>
      <c r="IZ50">
        <f ca="1"/>
      </c>
      <c r="JA50">
        <f ca="1"/>
      </c>
      <c r="JB50">
        <f ca="1"/>
      </c>
    </row>
    <row r="51" spans="6:267" x14ac:dyDescent="0.55000000000000004">
      <c r="F51">
        <f ca="1"/>
      </c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>
        <f ca="1"/>
      </c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  <c r="HZ51">
        <f ca="1"/>
      </c>
      <c r="IA51">
        <f ca="1"/>
      </c>
      <c r="IB51">
        <f ca="1"/>
      </c>
      <c r="IC51">
        <f ca="1"/>
      </c>
      <c r="ID51">
        <f ca="1"/>
      </c>
      <c r="IE51">
        <f ca="1"/>
      </c>
      <c r="IF51">
        <f ca="1"/>
      </c>
      <c r="IG51">
        <f ca="1"/>
      </c>
      <c r="IH51">
        <f ca="1"/>
      </c>
      <c r="II51">
        <f ca="1"/>
      </c>
      <c r="IJ51">
        <f ca="1"/>
      </c>
      <c r="IK51">
        <f ca="1"/>
      </c>
      <c r="IL51">
        <f ca="1"/>
      </c>
      <c r="IM51">
        <f ca="1"/>
      </c>
      <c r="IN51">
        <f ca="1"/>
      </c>
      <c r="IO51">
        <f ca="1"/>
      </c>
      <c r="IP51">
        <f ca="1"/>
      </c>
      <c r="IQ51">
        <f ca="1"/>
      </c>
      <c r="IR51">
        <f ca="1"/>
      </c>
      <c r="IS51">
        <f ca="1"/>
      </c>
      <c r="IT51">
        <f ca="1"/>
      </c>
      <c r="IU51">
        <f ca="1"/>
      </c>
      <c r="IV51">
        <f ca="1"/>
      </c>
      <c r="IW51">
        <f ca="1"/>
      </c>
      <c r="IX51">
        <f ca="1"/>
      </c>
      <c r="IY51">
        <f ca="1"/>
      </c>
      <c r="IZ51">
        <f ca="1"/>
      </c>
      <c r="JA51">
        <f ca="1"/>
      </c>
      <c r="JB51">
        <f ca="1"/>
      </c>
    </row>
    <row r="52" spans="6:267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  <c r="HZ52">
        <f ca="1"/>
      </c>
      <c r="IA52">
        <f ca="1"/>
      </c>
      <c r="IB52">
        <f ca="1"/>
      </c>
      <c r="IC52">
        <f ca="1"/>
      </c>
      <c r="ID52">
        <f ca="1"/>
      </c>
      <c r="IE52">
        <f ca="1"/>
      </c>
      <c r="IF52">
        <f ca="1"/>
      </c>
      <c r="IG52">
        <f ca="1"/>
      </c>
      <c r="IH52">
        <f ca="1"/>
      </c>
      <c r="II52">
        <f ca="1"/>
      </c>
      <c r="IJ52">
        <f ca="1"/>
      </c>
      <c r="IK52">
        <f ca="1"/>
      </c>
      <c r="IL52">
        <f ca="1"/>
      </c>
      <c r="IM52">
        <f ca="1"/>
      </c>
      <c r="IN52">
        <f ca="1"/>
      </c>
      <c r="IO52">
        <f ca="1"/>
      </c>
      <c r="IP52">
        <f ca="1"/>
      </c>
      <c r="IQ52">
        <f ca="1"/>
      </c>
      <c r="IR52">
        <f ca="1"/>
      </c>
      <c r="IS52">
        <f ca="1"/>
      </c>
      <c r="IT52">
        <f ca="1"/>
      </c>
      <c r="IU52">
        <f ca="1"/>
      </c>
      <c r="IV52">
        <f ca="1"/>
      </c>
      <c r="IW52">
        <f ca="1"/>
      </c>
      <c r="IX52">
        <f ca="1"/>
      </c>
      <c r="IY52">
        <f ca="1"/>
      </c>
      <c r="IZ52">
        <f ca="1"/>
      </c>
      <c r="JA52">
        <f ca="1"/>
      </c>
      <c r="JB52">
        <f ca="1"/>
      </c>
    </row>
    <row r="53" spans="6:267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  <c r="HZ53">
        <f ca="1"/>
      </c>
      <c r="IA53">
        <f ca="1"/>
      </c>
      <c r="IB53">
        <f ca="1"/>
      </c>
      <c r="IC53">
        <f ca="1"/>
      </c>
      <c r="ID53">
        <f ca="1"/>
      </c>
      <c r="IE53">
        <f ca="1"/>
      </c>
      <c r="IF53">
        <f ca="1"/>
      </c>
      <c r="IG53">
        <f ca="1"/>
      </c>
      <c r="IH53">
        <f ca="1"/>
      </c>
      <c r="II53">
        <f ca="1"/>
      </c>
      <c r="IJ53">
        <f ca="1"/>
      </c>
      <c r="IK53">
        <f ca="1"/>
      </c>
      <c r="IL53">
        <f ca="1"/>
      </c>
      <c r="IM53">
        <f ca="1"/>
      </c>
      <c r="IN53">
        <f ca="1"/>
      </c>
      <c r="IO53">
        <f ca="1"/>
      </c>
      <c r="IP53">
        <f ca="1"/>
      </c>
      <c r="IQ53">
        <f ca="1"/>
      </c>
      <c r="IR53">
        <f ca="1"/>
      </c>
      <c r="IS53">
        <f ca="1"/>
      </c>
      <c r="IT53">
        <f ca="1"/>
      </c>
      <c r="IU53">
        <f ca="1"/>
      </c>
      <c r="IV53">
        <f ca="1"/>
      </c>
      <c r="IW53">
        <f ca="1"/>
      </c>
      <c r="IX53">
        <f ca="1"/>
      </c>
      <c r="IY53">
        <f ca="1"/>
      </c>
      <c r="IZ53">
        <f ca="1"/>
      </c>
      <c r="JA53">
        <f ca="1"/>
      </c>
      <c r="JB53">
        <f ca="1"/>
      </c>
    </row>
    <row r="54" spans="6:267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  <c r="HZ54">
        <f ca="1"/>
      </c>
      <c r="IA54">
        <f ca="1"/>
      </c>
      <c r="IB54">
        <f ca="1"/>
      </c>
      <c r="IC54">
        <f ca="1"/>
      </c>
      <c r="ID54">
        <f ca="1"/>
      </c>
      <c r="IE54">
        <f ca="1"/>
      </c>
      <c r="IF54">
        <f ca="1"/>
      </c>
      <c r="IG54">
        <f ca="1"/>
      </c>
      <c r="IH54">
        <f ca="1"/>
      </c>
      <c r="II54">
        <f ca="1"/>
      </c>
      <c r="IJ54">
        <f ca="1"/>
      </c>
      <c r="IK54">
        <f ca="1"/>
      </c>
      <c r="IL54">
        <f ca="1"/>
      </c>
      <c r="IM54">
        <f ca="1"/>
      </c>
      <c r="IN54">
        <f ca="1"/>
      </c>
      <c r="IO54">
        <f ca="1"/>
      </c>
      <c r="IP54">
        <f ca="1"/>
      </c>
      <c r="IQ54">
        <f ca="1"/>
      </c>
      <c r="IR54">
        <f ca="1"/>
      </c>
      <c r="IS54">
        <f ca="1"/>
      </c>
      <c r="IT54">
        <f ca="1"/>
      </c>
      <c r="IU54">
        <f ca="1"/>
      </c>
      <c r="IV54">
        <f ca="1"/>
      </c>
      <c r="IW54">
        <f ca="1"/>
      </c>
      <c r="IX54">
        <f ca="1"/>
      </c>
      <c r="IY54">
        <f ca="1"/>
      </c>
      <c r="IZ54">
        <f ca="1"/>
      </c>
      <c r="JA54">
        <f ca="1"/>
      </c>
      <c r="JB54">
        <f ca="1"/>
      </c>
    </row>
    <row r="55" spans="6:267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  <c r="HZ55">
        <f ca="1"/>
      </c>
      <c r="IA55">
        <f ca="1"/>
      </c>
      <c r="IB55">
        <f ca="1"/>
      </c>
      <c r="IC55">
        <f ca="1"/>
      </c>
      <c r="ID55">
        <f ca="1"/>
      </c>
      <c r="IE55">
        <f ca="1"/>
      </c>
      <c r="IF55">
        <f ca="1"/>
      </c>
      <c r="IG55">
        <f ca="1"/>
      </c>
      <c r="IH55">
        <f ca="1"/>
      </c>
      <c r="II55">
        <f ca="1"/>
      </c>
      <c r="IJ55">
        <f ca="1"/>
      </c>
      <c r="IK55">
        <f ca="1"/>
      </c>
      <c r="IL55">
        <f ca="1"/>
      </c>
      <c r="IM55">
        <f ca="1"/>
      </c>
      <c r="IN55">
        <f ca="1"/>
      </c>
      <c r="IO55">
        <f ca="1"/>
      </c>
      <c r="IP55">
        <f ca="1"/>
      </c>
      <c r="IQ55">
        <f ca="1"/>
      </c>
      <c r="IR55">
        <f ca="1"/>
      </c>
      <c r="IS55">
        <f ca="1"/>
      </c>
      <c r="IT55">
        <f ca="1"/>
      </c>
      <c r="IU55">
        <f ca="1"/>
      </c>
      <c r="IV55">
        <f ca="1"/>
      </c>
      <c r="IW55">
        <f ca="1"/>
      </c>
      <c r="IX55">
        <f ca="1"/>
      </c>
      <c r="IY55">
        <f ca="1"/>
      </c>
      <c r="IZ55">
        <f ca="1"/>
      </c>
      <c r="JA55">
        <f ca="1"/>
      </c>
      <c r="JB55">
        <f ca="1"/>
      </c>
    </row>
    <row r="56" spans="6:267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  <c r="HZ56">
        <f ca="1"/>
      </c>
      <c r="IA56">
        <f ca="1"/>
      </c>
      <c r="IB56">
        <f ca="1"/>
      </c>
      <c r="IC56">
        <f ca="1"/>
      </c>
      <c r="ID56">
        <f ca="1"/>
      </c>
      <c r="IE56">
        <f ca="1"/>
      </c>
      <c r="IF56">
        <f ca="1"/>
      </c>
      <c r="IG56">
        <f ca="1"/>
      </c>
      <c r="IH56">
        <f ca="1"/>
      </c>
      <c r="II56">
        <f ca="1"/>
      </c>
      <c r="IJ56">
        <f ca="1"/>
      </c>
      <c r="IK56">
        <f ca="1"/>
      </c>
      <c r="IL56">
        <f ca="1"/>
      </c>
      <c r="IM56">
        <f ca="1"/>
      </c>
      <c r="IN56">
        <f ca="1"/>
      </c>
      <c r="IO56">
        <f ca="1"/>
      </c>
      <c r="IP56">
        <f ca="1"/>
      </c>
      <c r="IQ56">
        <f ca="1"/>
      </c>
      <c r="IR56">
        <f ca="1"/>
      </c>
      <c r="IS56">
        <f ca="1"/>
      </c>
      <c r="IT56">
        <f ca="1"/>
      </c>
      <c r="IU56">
        <f ca="1"/>
      </c>
      <c r="IV56">
        <f ca="1"/>
      </c>
      <c r="IW56">
        <f ca="1"/>
      </c>
      <c r="IX56">
        <f ca="1"/>
      </c>
      <c r="IY56">
        <f ca="1"/>
      </c>
      <c r="IZ56">
        <f ca="1"/>
      </c>
      <c r="JA56">
        <f ca="1"/>
      </c>
      <c r="JB56">
        <f ca="1"/>
      </c>
    </row>
    <row r="57" spans="6:267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  <c r="HZ57">
        <f ca="1"/>
      </c>
      <c r="IA57">
        <f ca="1"/>
      </c>
      <c r="IB57">
        <f ca="1"/>
      </c>
      <c r="IC57">
        <f ca="1"/>
      </c>
      <c r="ID57">
        <f ca="1"/>
      </c>
      <c r="IE57">
        <f ca="1"/>
      </c>
      <c r="IF57">
        <f ca="1"/>
      </c>
      <c r="IG57">
        <f ca="1"/>
      </c>
      <c r="IH57">
        <f ca="1"/>
      </c>
      <c r="II57">
        <f ca="1"/>
      </c>
      <c r="IJ57">
        <f ca="1"/>
      </c>
      <c r="IK57">
        <f ca="1"/>
      </c>
      <c r="IL57">
        <f ca="1"/>
      </c>
      <c r="IM57">
        <f ca="1"/>
      </c>
      <c r="IN57">
        <f ca="1"/>
      </c>
      <c r="IO57">
        <f ca="1"/>
      </c>
      <c r="IP57">
        <f ca="1"/>
      </c>
      <c r="IQ57">
        <f ca="1"/>
      </c>
      <c r="IR57">
        <f ca="1"/>
      </c>
      <c r="IS57">
        <f ca="1"/>
      </c>
      <c r="IT57">
        <f ca="1"/>
      </c>
      <c r="IU57">
        <f ca="1"/>
      </c>
      <c r="IV57">
        <f ca="1"/>
      </c>
      <c r="IW57">
        <f ca="1"/>
      </c>
      <c r="IX57">
        <f ca="1"/>
      </c>
      <c r="IY57">
        <f ca="1"/>
      </c>
      <c r="IZ57">
        <f ca="1"/>
      </c>
      <c r="JA57">
        <f ca="1"/>
      </c>
      <c r="JB57">
        <f ca="1"/>
      </c>
    </row>
    <row r="58" spans="6:267" x14ac:dyDescent="0.55000000000000004">
      <c r="F58" s="4" t="s">
        <v>105</v>
      </c>
      <c r="U58" s="4" t="s">
        <v>106</v>
      </c>
      <c r="AJ58" s="4" t="s">
        <v>107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  <c r="HZ58">
        <f ca="1"/>
      </c>
      <c r="IA58">
        <f ca="1"/>
      </c>
      <c r="IB58">
        <f ca="1"/>
      </c>
      <c r="IC58">
        <f ca="1"/>
      </c>
      <c r="ID58">
        <f ca="1"/>
      </c>
      <c r="IE58">
        <f ca="1"/>
      </c>
      <c r="IF58">
        <f ca="1"/>
      </c>
      <c r="IG58">
        <f ca="1"/>
      </c>
      <c r="IH58">
        <f ca="1"/>
      </c>
      <c r="II58">
        <f ca="1"/>
      </c>
      <c r="IJ58">
        <f ca="1"/>
      </c>
      <c r="IK58">
        <f ca="1"/>
      </c>
      <c r="IL58">
        <f ca="1"/>
      </c>
      <c r="IM58">
        <f ca="1"/>
      </c>
      <c r="IN58">
        <f ca="1"/>
      </c>
      <c r="IO58">
        <f ca="1"/>
      </c>
      <c r="IP58">
        <f ca="1"/>
      </c>
      <c r="IQ58">
        <f ca="1"/>
      </c>
      <c r="IR58">
        <f ca="1"/>
      </c>
      <c r="IS58">
        <f ca="1"/>
      </c>
      <c r="IT58">
        <f ca="1"/>
      </c>
      <c r="IU58">
        <f ca="1"/>
      </c>
      <c r="IV58">
        <f ca="1"/>
      </c>
      <c r="IW58">
        <f ca="1"/>
      </c>
      <c r="IX58">
        <f ca="1"/>
      </c>
      <c r="IY58">
        <f ca="1"/>
      </c>
      <c r="IZ58">
        <f ca="1"/>
      </c>
      <c r="JA58">
        <f ca="1"/>
      </c>
      <c r="JB58">
        <f ca="1"/>
      </c>
    </row>
    <row r="59" spans="6:267" x14ac:dyDescent="0.55000000000000004">
      <c r="F59" s="5" t="s">
        <v>101</v>
      </c>
      <c r="G59" cm="1">
        <f t="array" aca="1" ref="G59:R59" ca="1">TRANSPOSE(VOL_原資産)</f>
      </c>
      <c r="H59">
        <f ca="1"/>
      </c>
      <c r="I59">
        <f ca="1"/>
      </c>
      <c r="J59">
        <f ca="1"/>
      </c>
      <c r="K59">
        <f ca="1"/>
      </c>
      <c r="L59">
        <f ca="1"/>
      </c>
      <c r="M59">
        <f ca="1"/>
      </c>
      <c r="N59">
        <f ca="1"/>
      </c>
      <c r="O59">
        <f ca="1"/>
      </c>
      <c r="P59">
        <f ca="1"/>
      </c>
      <c r="Q59">
        <f ca="1"/>
      </c>
      <c r="R59">
        <f ca="1"/>
      </c>
      <c r="U59" s="5" t="s">
        <v>101</v>
      </c>
      <c r="V59" cm="1">
        <f t="array" aca="1" ref="V59:AG59" ca="1">TRANSPOSE(VOL_原資産)</f>
      </c>
      <c r="W59">
        <f ca="1"/>
      </c>
      <c r="X59">
        <f ca="1"/>
      </c>
      <c r="Y59">
        <f ca="1"/>
      </c>
      <c r="Z59">
        <f ca="1"/>
      </c>
      <c r="AA59">
        <f ca="1"/>
      </c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J59" s="5" t="s">
        <v>101</v>
      </c>
      <c r="AK59" cm="1">
        <f t="array" aca="1" ref="AK59:AV59" ca="1">TRANSPOSE(VOL_原資産)</f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S59">
        <f ca="1"/>
      </c>
      <c r="AT59">
        <f ca="1"/>
      </c>
      <c r="AU59">
        <f ca="1"/>
      </c>
      <c r="AV59">
        <f ca="1"/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  <c r="HZ59">
        <f ca="1"/>
      </c>
      <c r="IA59">
        <f ca="1"/>
      </c>
      <c r="IB59">
        <f ca="1"/>
      </c>
      <c r="IC59">
        <f ca="1"/>
      </c>
      <c r="ID59">
        <f ca="1"/>
      </c>
      <c r="IE59">
        <f ca="1"/>
      </c>
      <c r="IF59">
        <f ca="1"/>
      </c>
      <c r="IG59">
        <f ca="1"/>
      </c>
      <c r="IH59">
        <f ca="1"/>
      </c>
      <c r="II59">
        <f ca="1"/>
      </c>
      <c r="IJ59">
        <f ca="1"/>
      </c>
      <c r="IK59">
        <f ca="1"/>
      </c>
      <c r="IL59">
        <f ca="1"/>
      </c>
      <c r="IM59">
        <f ca="1"/>
      </c>
      <c r="IN59">
        <f ca="1"/>
      </c>
      <c r="IO59">
        <f ca="1"/>
      </c>
      <c r="IP59">
        <f ca="1"/>
      </c>
      <c r="IQ59">
        <f ca="1"/>
      </c>
      <c r="IR59">
        <f ca="1"/>
      </c>
      <c r="IS59">
        <f ca="1"/>
      </c>
      <c r="IT59">
        <f ca="1"/>
      </c>
      <c r="IU59">
        <f ca="1"/>
      </c>
      <c r="IV59">
        <f ca="1"/>
      </c>
      <c r="IW59">
        <f ca="1"/>
      </c>
      <c r="IX59">
        <f ca="1"/>
      </c>
      <c r="IY59">
        <f ca="1"/>
      </c>
      <c r="IZ59">
        <f ca="1"/>
      </c>
      <c r="JA59">
        <f ca="1"/>
      </c>
      <c r="JB59">
        <f ca="1"/>
      </c>
    </row>
    <row r="60" spans="6:267" x14ac:dyDescent="0.55000000000000004">
      <c r="F60" cm="1">
        <f t="array" aca="1" ref="F60:F75" ca="1">VOL_満期</f>
      </c>
      <c r="G60" s="13" cm="1">
        <f t="array" aca="1" ref="G60:R75" ca="1">_xlfn.XLOOKUP(_xlfn.ANCHORARRAY(F60)&amp;"x"&amp;_xlfn.ANCHORARRAY(G59),_xlfn.ANCHORARRAY($BI$5),_xlfn.LET(_xlpm.V,_xlfn.DROP(_xlfn.ANCHORARRAY($BP$4),1,3),IF(1&lt;=COLUMNS(_xlpm.V),_xlfn.CHOOSECOLS(_xlpm.V,MIN(1,COLUMNS(_xlpm.V))),IF(_xlfn.SEQUENCE(ROWS(_xlpm.V)),NA()))))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aca="1" ref="U60:U75" ca="1">VOL_満期</f>
      </c>
      <c r="V60" s="13" cm="1">
        <f t="array" aca="1" ref="V60:AG75" ca="1">_xlfn.XLOOKUP(_xlfn.ANCHORARRAY(U60)&amp;"x"&amp;_xlfn.ANCHORARRAY(V59),_xlfn.ANCHORARRAY($BI$5),_xlfn.LET(_xlpm.V,_xlfn.DROP(_xlfn.ANCHORARRAY($BP$4),1,3),IF(2&lt;=COLUMNS(_xlpm.V),_xlfn.CHOOSECOLS(_xlpm.V,MIN(2,COLUMNS(_xlpm.V))),IF(_xlfn.SEQUENCE(ROWS(_xlpm.V)),NA()))))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aca="1" ref="AJ60:AJ75" ca="1">VOL_満期</f>
      </c>
      <c r="AK60" s="13" cm="1">
        <f t="array" aca="1" ref="AK60:AV75" ca="1">_xlfn.XLOOKUP(_xlfn.ANCHORARRAY(AJ60)&amp;"x"&amp;_xlfn.ANCHORARRAY(AK59),_xlfn.ANCHORARRAY($BI$5),_xlfn.LET(_xlpm.V,_xlfn.DROP(_xlfn.ANCHORARRAY($BP$4),1,3),IF(3&lt;=COLUMNS(_xlpm.V),_xlfn.CHOOSECOLS(_xlpm.V,MIN(3,COLUMNS(_xlpm.V))),IF(_xlfn.SEQUENCE(ROWS(_xlpm.V)),NA()))))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  <c r="HZ60">
        <f ca="1"/>
      </c>
      <c r="IA60">
        <f ca="1"/>
      </c>
      <c r="IB60">
        <f ca="1"/>
      </c>
      <c r="IC60">
        <f ca="1"/>
      </c>
      <c r="ID60">
        <f ca="1"/>
      </c>
      <c r="IE60">
        <f ca="1"/>
      </c>
      <c r="IF60">
        <f ca="1"/>
      </c>
      <c r="IG60">
        <f ca="1"/>
      </c>
      <c r="IH60">
        <f ca="1"/>
      </c>
      <c r="II60">
        <f ca="1"/>
      </c>
      <c r="IJ60">
        <f ca="1"/>
      </c>
      <c r="IK60">
        <f ca="1"/>
      </c>
      <c r="IL60">
        <f ca="1"/>
      </c>
      <c r="IM60">
        <f ca="1"/>
      </c>
      <c r="IN60">
        <f ca="1"/>
      </c>
      <c r="IO60">
        <f ca="1"/>
      </c>
      <c r="IP60">
        <f ca="1"/>
      </c>
      <c r="IQ60">
        <f ca="1"/>
      </c>
      <c r="IR60">
        <f ca="1"/>
      </c>
      <c r="IS60">
        <f ca="1"/>
      </c>
      <c r="IT60">
        <f ca="1"/>
      </c>
      <c r="IU60">
        <f ca="1"/>
      </c>
      <c r="IV60">
        <f ca="1"/>
      </c>
      <c r="IW60">
        <f ca="1"/>
      </c>
      <c r="IX60">
        <f ca="1"/>
      </c>
      <c r="IY60">
        <f ca="1"/>
      </c>
      <c r="IZ60">
        <f ca="1"/>
      </c>
      <c r="JA60">
        <f ca="1"/>
      </c>
      <c r="JB60">
        <f ca="1"/>
      </c>
    </row>
    <row r="61" spans="6:267" x14ac:dyDescent="0.55000000000000004">
      <c r="F61">
        <f ca="1"/>
      </c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>
        <f ca="1"/>
      </c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>
        <f ca="1"/>
      </c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  <c r="HZ61">
        <f ca="1"/>
      </c>
      <c r="IA61">
        <f ca="1"/>
      </c>
      <c r="IB61">
        <f ca="1"/>
      </c>
      <c r="IC61">
        <f ca="1"/>
      </c>
      <c r="ID61">
        <f ca="1"/>
      </c>
      <c r="IE61">
        <f ca="1"/>
      </c>
      <c r="IF61">
        <f ca="1"/>
      </c>
      <c r="IG61">
        <f ca="1"/>
      </c>
      <c r="IH61">
        <f ca="1"/>
      </c>
      <c r="II61">
        <f ca="1"/>
      </c>
      <c r="IJ61">
        <f ca="1"/>
      </c>
      <c r="IK61">
        <f ca="1"/>
      </c>
      <c r="IL61">
        <f ca="1"/>
      </c>
      <c r="IM61">
        <f ca="1"/>
      </c>
      <c r="IN61">
        <f ca="1"/>
      </c>
      <c r="IO61">
        <f ca="1"/>
      </c>
      <c r="IP61">
        <f ca="1"/>
      </c>
      <c r="IQ61">
        <f ca="1"/>
      </c>
      <c r="IR61">
        <f ca="1"/>
      </c>
      <c r="IS61">
        <f ca="1"/>
      </c>
      <c r="IT61">
        <f ca="1"/>
      </c>
      <c r="IU61">
        <f ca="1"/>
      </c>
      <c r="IV61">
        <f ca="1"/>
      </c>
      <c r="IW61">
        <f ca="1"/>
      </c>
      <c r="IX61">
        <f ca="1"/>
      </c>
      <c r="IY61">
        <f ca="1"/>
      </c>
      <c r="IZ61">
        <f ca="1"/>
      </c>
      <c r="JA61">
        <f ca="1"/>
      </c>
      <c r="JB61">
        <f ca="1"/>
      </c>
    </row>
    <row r="62" spans="6:267" x14ac:dyDescent="0.55000000000000004">
      <c r="F62">
        <f ca="1"/>
      </c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>
        <f ca="1"/>
      </c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>
        <f ca="1"/>
      </c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  <c r="HZ62">
        <f ca="1"/>
      </c>
      <c r="IA62">
        <f ca="1"/>
      </c>
      <c r="IB62">
        <f ca="1"/>
      </c>
      <c r="IC62">
        <f ca="1"/>
      </c>
      <c r="ID62">
        <f ca="1"/>
      </c>
      <c r="IE62">
        <f ca="1"/>
      </c>
      <c r="IF62">
        <f ca="1"/>
      </c>
      <c r="IG62">
        <f ca="1"/>
      </c>
      <c r="IH62">
        <f ca="1"/>
      </c>
      <c r="II62">
        <f ca="1"/>
      </c>
      <c r="IJ62">
        <f ca="1"/>
      </c>
      <c r="IK62">
        <f ca="1"/>
      </c>
      <c r="IL62">
        <f ca="1"/>
      </c>
      <c r="IM62">
        <f ca="1"/>
      </c>
      <c r="IN62">
        <f ca="1"/>
      </c>
      <c r="IO62">
        <f ca="1"/>
      </c>
      <c r="IP62">
        <f ca="1"/>
      </c>
      <c r="IQ62">
        <f ca="1"/>
      </c>
      <c r="IR62">
        <f ca="1"/>
      </c>
      <c r="IS62">
        <f ca="1"/>
      </c>
      <c r="IT62">
        <f ca="1"/>
      </c>
      <c r="IU62">
        <f ca="1"/>
      </c>
      <c r="IV62">
        <f ca="1"/>
      </c>
      <c r="IW62">
        <f ca="1"/>
      </c>
      <c r="IX62">
        <f ca="1"/>
      </c>
      <c r="IY62">
        <f ca="1"/>
      </c>
      <c r="IZ62">
        <f ca="1"/>
      </c>
      <c r="JA62">
        <f ca="1"/>
      </c>
      <c r="JB62">
        <f ca="1"/>
      </c>
    </row>
    <row r="63" spans="6:267" x14ac:dyDescent="0.55000000000000004">
      <c r="F63">
        <f ca="1"/>
      </c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>
        <f ca="1"/>
      </c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>
        <f ca="1"/>
      </c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  <c r="HZ63">
        <f ca="1"/>
      </c>
      <c r="IA63">
        <f ca="1"/>
      </c>
      <c r="IB63">
        <f ca="1"/>
      </c>
      <c r="IC63">
        <f ca="1"/>
      </c>
      <c r="ID63">
        <f ca="1"/>
      </c>
      <c r="IE63">
        <f ca="1"/>
      </c>
      <c r="IF63">
        <f ca="1"/>
      </c>
      <c r="IG63">
        <f ca="1"/>
      </c>
      <c r="IH63">
        <f ca="1"/>
      </c>
      <c r="II63">
        <f ca="1"/>
      </c>
      <c r="IJ63">
        <f ca="1"/>
      </c>
      <c r="IK63">
        <f ca="1"/>
      </c>
      <c r="IL63">
        <f ca="1"/>
      </c>
      <c r="IM63">
        <f ca="1"/>
      </c>
      <c r="IN63">
        <f ca="1"/>
      </c>
      <c r="IO63">
        <f ca="1"/>
      </c>
      <c r="IP63">
        <f ca="1"/>
      </c>
      <c r="IQ63">
        <f ca="1"/>
      </c>
      <c r="IR63">
        <f ca="1"/>
      </c>
      <c r="IS63">
        <f ca="1"/>
      </c>
      <c r="IT63">
        <f ca="1"/>
      </c>
      <c r="IU63">
        <f ca="1"/>
      </c>
      <c r="IV63">
        <f ca="1"/>
      </c>
      <c r="IW63">
        <f ca="1"/>
      </c>
      <c r="IX63">
        <f ca="1"/>
      </c>
      <c r="IY63">
        <f ca="1"/>
      </c>
      <c r="IZ63">
        <f ca="1"/>
      </c>
      <c r="JA63">
        <f ca="1"/>
      </c>
      <c r="JB63">
        <f ca="1"/>
      </c>
    </row>
    <row r="64" spans="6:267" x14ac:dyDescent="0.55000000000000004">
      <c r="F64">
        <f ca="1"/>
      </c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>
        <f ca="1"/>
      </c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>
        <f ca="1"/>
      </c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  <c r="HZ64">
        <f ca="1"/>
      </c>
      <c r="IA64">
        <f ca="1"/>
      </c>
      <c r="IB64">
        <f ca="1"/>
      </c>
      <c r="IC64">
        <f ca="1"/>
      </c>
      <c r="ID64">
        <f ca="1"/>
      </c>
      <c r="IE64">
        <f ca="1"/>
      </c>
      <c r="IF64">
        <f ca="1"/>
      </c>
      <c r="IG64">
        <f ca="1"/>
      </c>
      <c r="IH64">
        <f ca="1"/>
      </c>
      <c r="II64">
        <f ca="1"/>
      </c>
      <c r="IJ64">
        <f ca="1"/>
      </c>
      <c r="IK64">
        <f ca="1"/>
      </c>
      <c r="IL64">
        <f ca="1"/>
      </c>
      <c r="IM64">
        <f ca="1"/>
      </c>
      <c r="IN64">
        <f ca="1"/>
      </c>
      <c r="IO64">
        <f ca="1"/>
      </c>
      <c r="IP64">
        <f ca="1"/>
      </c>
      <c r="IQ64">
        <f ca="1"/>
      </c>
      <c r="IR64">
        <f ca="1"/>
      </c>
      <c r="IS64">
        <f ca="1"/>
      </c>
      <c r="IT64">
        <f ca="1"/>
      </c>
      <c r="IU64">
        <f ca="1"/>
      </c>
      <c r="IV64">
        <f ca="1"/>
      </c>
      <c r="IW64">
        <f ca="1"/>
      </c>
      <c r="IX64">
        <f ca="1"/>
      </c>
      <c r="IY64">
        <f ca="1"/>
      </c>
      <c r="IZ64">
        <f ca="1"/>
      </c>
      <c r="JA64">
        <f ca="1"/>
      </c>
      <c r="JB64">
        <f ca="1"/>
      </c>
    </row>
    <row r="65" spans="6:267" x14ac:dyDescent="0.55000000000000004">
      <c r="F65">
        <f ca="1"/>
      </c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>
        <f ca="1"/>
      </c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>
        <f ca="1"/>
      </c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  <c r="HZ65">
        <f ca="1"/>
      </c>
      <c r="IA65">
        <f ca="1"/>
      </c>
      <c r="IB65">
        <f ca="1"/>
      </c>
      <c r="IC65">
        <f ca="1"/>
      </c>
      <c r="ID65">
        <f ca="1"/>
      </c>
      <c r="IE65">
        <f ca="1"/>
      </c>
      <c r="IF65">
        <f ca="1"/>
      </c>
      <c r="IG65">
        <f ca="1"/>
      </c>
      <c r="IH65">
        <f ca="1"/>
      </c>
      <c r="II65">
        <f ca="1"/>
      </c>
      <c r="IJ65">
        <f ca="1"/>
      </c>
      <c r="IK65">
        <f ca="1"/>
      </c>
      <c r="IL65">
        <f ca="1"/>
      </c>
      <c r="IM65">
        <f ca="1"/>
      </c>
      <c r="IN65">
        <f ca="1"/>
      </c>
      <c r="IO65">
        <f ca="1"/>
      </c>
      <c r="IP65">
        <f ca="1"/>
      </c>
      <c r="IQ65">
        <f ca="1"/>
      </c>
      <c r="IR65">
        <f ca="1"/>
      </c>
      <c r="IS65">
        <f ca="1"/>
      </c>
      <c r="IT65">
        <f ca="1"/>
      </c>
      <c r="IU65">
        <f ca="1"/>
      </c>
      <c r="IV65">
        <f ca="1"/>
      </c>
      <c r="IW65">
        <f ca="1"/>
      </c>
      <c r="IX65">
        <f ca="1"/>
      </c>
      <c r="IY65">
        <f ca="1"/>
      </c>
      <c r="IZ65">
        <f ca="1"/>
      </c>
      <c r="JA65">
        <f ca="1"/>
      </c>
      <c r="JB65">
        <f ca="1"/>
      </c>
    </row>
    <row r="66" spans="6:267" x14ac:dyDescent="0.55000000000000004">
      <c r="F66">
        <f ca="1"/>
      </c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>
        <f ca="1"/>
      </c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>
        <f ca="1"/>
      </c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  <c r="HZ66">
        <f ca="1"/>
      </c>
      <c r="IA66">
        <f ca="1"/>
      </c>
      <c r="IB66">
        <f ca="1"/>
      </c>
      <c r="IC66">
        <f ca="1"/>
      </c>
      <c r="ID66">
        <f ca="1"/>
      </c>
      <c r="IE66">
        <f ca="1"/>
      </c>
      <c r="IF66">
        <f ca="1"/>
      </c>
      <c r="IG66">
        <f ca="1"/>
      </c>
      <c r="IH66">
        <f ca="1"/>
      </c>
      <c r="II66">
        <f ca="1"/>
      </c>
      <c r="IJ66">
        <f ca="1"/>
      </c>
      <c r="IK66">
        <f ca="1"/>
      </c>
      <c r="IL66">
        <f ca="1"/>
      </c>
      <c r="IM66">
        <f ca="1"/>
      </c>
      <c r="IN66">
        <f ca="1"/>
      </c>
      <c r="IO66">
        <f ca="1"/>
      </c>
      <c r="IP66">
        <f ca="1"/>
      </c>
      <c r="IQ66">
        <f ca="1"/>
      </c>
      <c r="IR66">
        <f ca="1"/>
      </c>
      <c r="IS66">
        <f ca="1"/>
      </c>
      <c r="IT66">
        <f ca="1"/>
      </c>
      <c r="IU66">
        <f ca="1"/>
      </c>
      <c r="IV66">
        <f ca="1"/>
      </c>
      <c r="IW66">
        <f ca="1"/>
      </c>
      <c r="IX66">
        <f ca="1"/>
      </c>
      <c r="IY66">
        <f ca="1"/>
      </c>
      <c r="IZ66">
        <f ca="1"/>
      </c>
      <c r="JA66">
        <f ca="1"/>
      </c>
      <c r="JB66">
        <f ca="1"/>
      </c>
    </row>
    <row r="67" spans="6:267" x14ac:dyDescent="0.55000000000000004">
      <c r="F67">
        <f ca="1"/>
      </c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>
        <f ca="1"/>
      </c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>
        <f ca="1"/>
      </c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  <c r="HZ67">
        <f ca="1"/>
      </c>
      <c r="IA67">
        <f ca="1"/>
      </c>
      <c r="IB67">
        <f ca="1"/>
      </c>
      <c r="IC67">
        <f ca="1"/>
      </c>
      <c r="ID67">
        <f ca="1"/>
      </c>
      <c r="IE67">
        <f ca="1"/>
      </c>
      <c r="IF67">
        <f ca="1"/>
      </c>
      <c r="IG67">
        <f ca="1"/>
      </c>
      <c r="IH67">
        <f ca="1"/>
      </c>
      <c r="II67">
        <f ca="1"/>
      </c>
      <c r="IJ67">
        <f ca="1"/>
      </c>
      <c r="IK67">
        <f ca="1"/>
      </c>
      <c r="IL67">
        <f ca="1"/>
      </c>
      <c r="IM67">
        <f ca="1"/>
      </c>
      <c r="IN67">
        <f ca="1"/>
      </c>
      <c r="IO67">
        <f ca="1"/>
      </c>
      <c r="IP67">
        <f ca="1"/>
      </c>
      <c r="IQ67">
        <f ca="1"/>
      </c>
      <c r="IR67">
        <f ca="1"/>
      </c>
      <c r="IS67">
        <f ca="1"/>
      </c>
      <c r="IT67">
        <f ca="1"/>
      </c>
      <c r="IU67">
        <f ca="1"/>
      </c>
      <c r="IV67">
        <f ca="1"/>
      </c>
      <c r="IW67">
        <f ca="1"/>
      </c>
      <c r="IX67">
        <f ca="1"/>
      </c>
      <c r="IY67">
        <f ca="1"/>
      </c>
      <c r="IZ67">
        <f ca="1"/>
      </c>
      <c r="JA67">
        <f ca="1"/>
      </c>
      <c r="JB67">
        <f ca="1"/>
      </c>
    </row>
    <row r="68" spans="6:267" x14ac:dyDescent="0.55000000000000004">
      <c r="F68">
        <f ca="1"/>
      </c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>
        <f ca="1"/>
      </c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>
        <f ca="1"/>
      </c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  <c r="HZ68">
        <f ca="1"/>
      </c>
      <c r="IA68">
        <f ca="1"/>
      </c>
      <c r="IB68">
        <f ca="1"/>
      </c>
      <c r="IC68">
        <f ca="1"/>
      </c>
      <c r="ID68">
        <f ca="1"/>
      </c>
      <c r="IE68">
        <f ca="1"/>
      </c>
      <c r="IF68">
        <f ca="1"/>
      </c>
      <c r="IG68">
        <f ca="1"/>
      </c>
      <c r="IH68">
        <f ca="1"/>
      </c>
      <c r="II68">
        <f ca="1"/>
      </c>
      <c r="IJ68">
        <f ca="1"/>
      </c>
      <c r="IK68">
        <f ca="1"/>
      </c>
      <c r="IL68">
        <f ca="1"/>
      </c>
      <c r="IM68">
        <f ca="1"/>
      </c>
      <c r="IN68">
        <f ca="1"/>
      </c>
      <c r="IO68">
        <f ca="1"/>
      </c>
      <c r="IP68">
        <f ca="1"/>
      </c>
      <c r="IQ68">
        <f ca="1"/>
      </c>
      <c r="IR68">
        <f ca="1"/>
      </c>
      <c r="IS68">
        <f ca="1"/>
      </c>
      <c r="IT68">
        <f ca="1"/>
      </c>
      <c r="IU68">
        <f ca="1"/>
      </c>
      <c r="IV68">
        <f ca="1"/>
      </c>
      <c r="IW68">
        <f ca="1"/>
      </c>
      <c r="IX68">
        <f ca="1"/>
      </c>
      <c r="IY68">
        <f ca="1"/>
      </c>
      <c r="IZ68">
        <f ca="1"/>
      </c>
      <c r="JA68">
        <f ca="1"/>
      </c>
      <c r="JB68">
        <f ca="1"/>
      </c>
    </row>
    <row r="69" spans="6:267" x14ac:dyDescent="0.55000000000000004">
      <c r="F69">
        <f ca="1"/>
      </c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>
        <f ca="1"/>
      </c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>
        <f ca="1"/>
      </c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  <c r="HZ69">
        <f ca="1"/>
      </c>
      <c r="IA69">
        <f ca="1"/>
      </c>
      <c r="IB69">
        <f ca="1"/>
      </c>
      <c r="IC69">
        <f ca="1"/>
      </c>
      <c r="ID69">
        <f ca="1"/>
      </c>
      <c r="IE69">
        <f ca="1"/>
      </c>
      <c r="IF69">
        <f ca="1"/>
      </c>
      <c r="IG69">
        <f ca="1"/>
      </c>
      <c r="IH69">
        <f ca="1"/>
      </c>
      <c r="II69">
        <f ca="1"/>
      </c>
      <c r="IJ69">
        <f ca="1"/>
      </c>
      <c r="IK69">
        <f ca="1"/>
      </c>
      <c r="IL69">
        <f ca="1"/>
      </c>
      <c r="IM69">
        <f ca="1"/>
      </c>
      <c r="IN69">
        <f ca="1"/>
      </c>
      <c r="IO69">
        <f ca="1"/>
      </c>
      <c r="IP69">
        <f ca="1"/>
      </c>
      <c r="IQ69">
        <f ca="1"/>
      </c>
      <c r="IR69">
        <f ca="1"/>
      </c>
      <c r="IS69">
        <f ca="1"/>
      </c>
      <c r="IT69">
        <f ca="1"/>
      </c>
      <c r="IU69">
        <f ca="1"/>
      </c>
      <c r="IV69">
        <f ca="1"/>
      </c>
      <c r="IW69">
        <f ca="1"/>
      </c>
      <c r="IX69">
        <f ca="1"/>
      </c>
      <c r="IY69">
        <f ca="1"/>
      </c>
      <c r="IZ69">
        <f ca="1"/>
      </c>
      <c r="JA69">
        <f ca="1"/>
      </c>
      <c r="JB69">
        <f ca="1"/>
      </c>
    </row>
    <row r="70" spans="6:267" x14ac:dyDescent="0.55000000000000004">
      <c r="F70">
        <f ca="1"/>
      </c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>
        <f ca="1"/>
      </c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>
        <f ca="1"/>
      </c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  <c r="HZ70">
        <f ca="1"/>
      </c>
      <c r="IA70">
        <f ca="1"/>
      </c>
      <c r="IB70">
        <f ca="1"/>
      </c>
      <c r="IC70">
        <f ca="1"/>
      </c>
      <c r="ID70">
        <f ca="1"/>
      </c>
      <c r="IE70">
        <f ca="1"/>
      </c>
      <c r="IF70">
        <f ca="1"/>
      </c>
      <c r="IG70">
        <f ca="1"/>
      </c>
      <c r="IH70">
        <f ca="1"/>
      </c>
      <c r="II70">
        <f ca="1"/>
      </c>
      <c r="IJ70">
        <f ca="1"/>
      </c>
      <c r="IK70">
        <f ca="1"/>
      </c>
      <c r="IL70">
        <f ca="1"/>
      </c>
      <c r="IM70">
        <f ca="1"/>
      </c>
      <c r="IN70">
        <f ca="1"/>
      </c>
      <c r="IO70">
        <f ca="1"/>
      </c>
      <c r="IP70">
        <f ca="1"/>
      </c>
      <c r="IQ70">
        <f ca="1"/>
      </c>
      <c r="IR70">
        <f ca="1"/>
      </c>
      <c r="IS70">
        <f ca="1"/>
      </c>
      <c r="IT70">
        <f ca="1"/>
      </c>
      <c r="IU70">
        <f ca="1"/>
      </c>
      <c r="IV70">
        <f ca="1"/>
      </c>
      <c r="IW70">
        <f ca="1"/>
      </c>
      <c r="IX70">
        <f ca="1"/>
      </c>
      <c r="IY70">
        <f ca="1"/>
      </c>
      <c r="IZ70">
        <f ca="1"/>
      </c>
      <c r="JA70">
        <f ca="1"/>
      </c>
      <c r="JB70">
        <f ca="1"/>
      </c>
    </row>
    <row r="71" spans="6:267" x14ac:dyDescent="0.55000000000000004">
      <c r="F71">
        <f ca="1"/>
      </c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>
        <f ca="1"/>
      </c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>
        <f ca="1"/>
      </c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  <c r="HZ71">
        <f ca="1"/>
      </c>
      <c r="IA71">
        <f ca="1"/>
      </c>
      <c r="IB71">
        <f ca="1"/>
      </c>
      <c r="IC71">
        <f ca="1"/>
      </c>
      <c r="ID71">
        <f ca="1"/>
      </c>
      <c r="IE71">
        <f ca="1"/>
      </c>
      <c r="IF71">
        <f ca="1"/>
      </c>
      <c r="IG71">
        <f ca="1"/>
      </c>
      <c r="IH71">
        <f ca="1"/>
      </c>
      <c r="II71">
        <f ca="1"/>
      </c>
      <c r="IJ71">
        <f ca="1"/>
      </c>
      <c r="IK71">
        <f ca="1"/>
      </c>
      <c r="IL71">
        <f ca="1"/>
      </c>
      <c r="IM71">
        <f ca="1"/>
      </c>
      <c r="IN71">
        <f ca="1"/>
      </c>
      <c r="IO71">
        <f ca="1"/>
      </c>
      <c r="IP71">
        <f ca="1"/>
      </c>
      <c r="IQ71">
        <f ca="1"/>
      </c>
      <c r="IR71">
        <f ca="1"/>
      </c>
      <c r="IS71">
        <f ca="1"/>
      </c>
      <c r="IT71">
        <f ca="1"/>
      </c>
      <c r="IU71">
        <f ca="1"/>
      </c>
      <c r="IV71">
        <f ca="1"/>
      </c>
      <c r="IW71">
        <f ca="1"/>
      </c>
      <c r="IX71">
        <f ca="1"/>
      </c>
      <c r="IY71">
        <f ca="1"/>
      </c>
      <c r="IZ71">
        <f ca="1"/>
      </c>
      <c r="JA71">
        <f ca="1"/>
      </c>
      <c r="JB71">
        <f ca="1"/>
      </c>
    </row>
    <row r="72" spans="6:267" x14ac:dyDescent="0.55000000000000004">
      <c r="F72">
        <f ca="1"/>
      </c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>
        <f ca="1"/>
      </c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>
        <f ca="1"/>
      </c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  <c r="HZ72">
        <f ca="1"/>
      </c>
      <c r="IA72">
        <f ca="1"/>
      </c>
      <c r="IB72">
        <f ca="1"/>
      </c>
      <c r="IC72">
        <f ca="1"/>
      </c>
      <c r="ID72">
        <f ca="1"/>
      </c>
      <c r="IE72">
        <f ca="1"/>
      </c>
      <c r="IF72">
        <f ca="1"/>
      </c>
      <c r="IG72">
        <f ca="1"/>
      </c>
      <c r="IH72">
        <f ca="1"/>
      </c>
      <c r="II72">
        <f ca="1"/>
      </c>
      <c r="IJ72">
        <f ca="1"/>
      </c>
      <c r="IK72">
        <f ca="1"/>
      </c>
      <c r="IL72">
        <f ca="1"/>
      </c>
      <c r="IM72">
        <f ca="1"/>
      </c>
      <c r="IN72">
        <f ca="1"/>
      </c>
      <c r="IO72">
        <f ca="1"/>
      </c>
      <c r="IP72">
        <f ca="1"/>
      </c>
      <c r="IQ72">
        <f ca="1"/>
      </c>
      <c r="IR72">
        <f ca="1"/>
      </c>
      <c r="IS72">
        <f ca="1"/>
      </c>
      <c r="IT72">
        <f ca="1"/>
      </c>
      <c r="IU72">
        <f ca="1"/>
      </c>
      <c r="IV72">
        <f ca="1"/>
      </c>
      <c r="IW72">
        <f ca="1"/>
      </c>
      <c r="IX72">
        <f ca="1"/>
      </c>
      <c r="IY72">
        <f ca="1"/>
      </c>
      <c r="IZ72">
        <f ca="1"/>
      </c>
      <c r="JA72">
        <f ca="1"/>
      </c>
      <c r="JB72">
        <f ca="1"/>
      </c>
    </row>
    <row r="73" spans="6:267" x14ac:dyDescent="0.55000000000000004">
      <c r="F73">
        <f ca="1"/>
      </c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>
        <f ca="1"/>
      </c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>
        <f ca="1"/>
      </c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  <c r="HZ73">
        <f ca="1"/>
      </c>
      <c r="IA73">
        <f ca="1"/>
      </c>
      <c r="IB73">
        <f ca="1"/>
      </c>
      <c r="IC73">
        <f ca="1"/>
      </c>
      <c r="ID73">
        <f ca="1"/>
      </c>
      <c r="IE73">
        <f ca="1"/>
      </c>
      <c r="IF73">
        <f ca="1"/>
      </c>
      <c r="IG73">
        <f ca="1"/>
      </c>
      <c r="IH73">
        <f ca="1"/>
      </c>
      <c r="II73">
        <f ca="1"/>
      </c>
      <c r="IJ73">
        <f ca="1"/>
      </c>
      <c r="IK73">
        <f ca="1"/>
      </c>
      <c r="IL73">
        <f ca="1"/>
      </c>
      <c r="IM73">
        <f ca="1"/>
      </c>
      <c r="IN73">
        <f ca="1"/>
      </c>
      <c r="IO73">
        <f ca="1"/>
      </c>
      <c r="IP73">
        <f ca="1"/>
      </c>
      <c r="IQ73">
        <f ca="1"/>
      </c>
      <c r="IR73">
        <f ca="1"/>
      </c>
      <c r="IS73">
        <f ca="1"/>
      </c>
      <c r="IT73">
        <f ca="1"/>
      </c>
      <c r="IU73">
        <f ca="1"/>
      </c>
      <c r="IV73">
        <f ca="1"/>
      </c>
      <c r="IW73">
        <f ca="1"/>
      </c>
      <c r="IX73">
        <f ca="1"/>
      </c>
      <c r="IY73">
        <f ca="1"/>
      </c>
      <c r="IZ73">
        <f ca="1"/>
      </c>
      <c r="JA73">
        <f ca="1"/>
      </c>
      <c r="JB73">
        <f ca="1"/>
      </c>
    </row>
    <row r="74" spans="6:267" x14ac:dyDescent="0.55000000000000004">
      <c r="F74">
        <f ca="1"/>
      </c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>
        <f ca="1"/>
      </c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>
        <f ca="1"/>
      </c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  <c r="HZ74">
        <f ca="1"/>
      </c>
      <c r="IA74">
        <f ca="1"/>
      </c>
      <c r="IB74">
        <f ca="1"/>
      </c>
      <c r="IC74">
        <f ca="1"/>
      </c>
      <c r="ID74">
        <f ca="1"/>
      </c>
      <c r="IE74">
        <f ca="1"/>
      </c>
      <c r="IF74">
        <f ca="1"/>
      </c>
      <c r="IG74">
        <f ca="1"/>
      </c>
      <c r="IH74">
        <f ca="1"/>
      </c>
      <c r="II74">
        <f ca="1"/>
      </c>
      <c r="IJ74">
        <f ca="1"/>
      </c>
      <c r="IK74">
        <f ca="1"/>
      </c>
      <c r="IL74">
        <f ca="1"/>
      </c>
      <c r="IM74">
        <f ca="1"/>
      </c>
      <c r="IN74">
        <f ca="1"/>
      </c>
      <c r="IO74">
        <f ca="1"/>
      </c>
      <c r="IP74">
        <f ca="1"/>
      </c>
      <c r="IQ74">
        <f ca="1"/>
      </c>
      <c r="IR74">
        <f ca="1"/>
      </c>
      <c r="IS74">
        <f ca="1"/>
      </c>
      <c r="IT74">
        <f ca="1"/>
      </c>
      <c r="IU74">
        <f ca="1"/>
      </c>
      <c r="IV74">
        <f ca="1"/>
      </c>
      <c r="IW74">
        <f ca="1"/>
      </c>
      <c r="IX74">
        <f ca="1"/>
      </c>
      <c r="IY74">
        <f ca="1"/>
      </c>
      <c r="IZ74">
        <f ca="1"/>
      </c>
      <c r="JA74">
        <f ca="1"/>
      </c>
      <c r="JB74">
        <f ca="1"/>
      </c>
    </row>
    <row r="75" spans="6:267" x14ac:dyDescent="0.55000000000000004">
      <c r="F75">
        <f ca="1"/>
      </c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>
        <f ca="1"/>
      </c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>
        <f ca="1"/>
      </c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  <c r="HZ75">
        <f ca="1"/>
      </c>
      <c r="IA75">
        <f ca="1"/>
      </c>
      <c r="IB75">
        <f ca="1"/>
      </c>
      <c r="IC75">
        <f ca="1"/>
      </c>
      <c r="ID75">
        <f ca="1"/>
      </c>
      <c r="IE75">
        <f ca="1"/>
      </c>
      <c r="IF75">
        <f ca="1"/>
      </c>
      <c r="IG75">
        <f ca="1"/>
      </c>
      <c r="IH75">
        <f ca="1"/>
      </c>
      <c r="II75">
        <f ca="1"/>
      </c>
      <c r="IJ75">
        <f ca="1"/>
      </c>
      <c r="IK75">
        <f ca="1"/>
      </c>
      <c r="IL75">
        <f ca="1"/>
      </c>
      <c r="IM75">
        <f ca="1"/>
      </c>
      <c r="IN75">
        <f ca="1"/>
      </c>
      <c r="IO75">
        <f ca="1"/>
      </c>
      <c r="IP75">
        <f ca="1"/>
      </c>
      <c r="IQ75">
        <f ca="1"/>
      </c>
      <c r="IR75">
        <f ca="1"/>
      </c>
      <c r="IS75">
        <f ca="1"/>
      </c>
      <c r="IT75">
        <f ca="1"/>
      </c>
      <c r="IU75">
        <f ca="1"/>
      </c>
      <c r="IV75">
        <f ca="1"/>
      </c>
      <c r="IW75">
        <f ca="1"/>
      </c>
      <c r="IX75">
        <f ca="1"/>
      </c>
      <c r="IY75">
        <f ca="1"/>
      </c>
      <c r="IZ75">
        <f ca="1"/>
      </c>
      <c r="JA75">
        <f ca="1"/>
      </c>
      <c r="JB75">
        <f ca="1"/>
      </c>
    </row>
    <row r="76" spans="6:267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  <c r="HZ76">
        <f ca="1"/>
      </c>
      <c r="IA76">
        <f ca="1"/>
      </c>
      <c r="IB76">
        <f ca="1"/>
      </c>
      <c r="IC76">
        <f ca="1"/>
      </c>
      <c r="ID76">
        <f ca="1"/>
      </c>
      <c r="IE76">
        <f ca="1"/>
      </c>
      <c r="IF76">
        <f ca="1"/>
      </c>
      <c r="IG76">
        <f ca="1"/>
      </c>
      <c r="IH76">
        <f ca="1"/>
      </c>
      <c r="II76">
        <f ca="1"/>
      </c>
      <c r="IJ76">
        <f ca="1"/>
      </c>
      <c r="IK76">
        <f ca="1"/>
      </c>
      <c r="IL76">
        <f ca="1"/>
      </c>
      <c r="IM76">
        <f ca="1"/>
      </c>
      <c r="IN76">
        <f ca="1"/>
      </c>
      <c r="IO76">
        <f ca="1"/>
      </c>
      <c r="IP76">
        <f ca="1"/>
      </c>
      <c r="IQ76">
        <f ca="1"/>
      </c>
      <c r="IR76">
        <f ca="1"/>
      </c>
      <c r="IS76">
        <f ca="1"/>
      </c>
      <c r="IT76">
        <f ca="1"/>
      </c>
      <c r="IU76">
        <f ca="1"/>
      </c>
      <c r="IV76">
        <f ca="1"/>
      </c>
      <c r="IW76">
        <f ca="1"/>
      </c>
      <c r="IX76">
        <f ca="1"/>
      </c>
      <c r="IY76">
        <f ca="1"/>
      </c>
      <c r="IZ76">
        <f ca="1"/>
      </c>
      <c r="JA76">
        <f ca="1"/>
      </c>
      <c r="JB76">
        <f ca="1"/>
      </c>
    </row>
    <row r="77" spans="6:267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  <c r="HZ77">
        <f ca="1"/>
      </c>
      <c r="IA77">
        <f ca="1"/>
      </c>
      <c r="IB77">
        <f ca="1"/>
      </c>
      <c r="IC77">
        <f ca="1"/>
      </c>
      <c r="ID77">
        <f ca="1"/>
      </c>
      <c r="IE77">
        <f ca="1"/>
      </c>
      <c r="IF77">
        <f ca="1"/>
      </c>
      <c r="IG77">
        <f ca="1"/>
      </c>
      <c r="IH77">
        <f ca="1"/>
      </c>
      <c r="II77">
        <f ca="1"/>
      </c>
      <c r="IJ77">
        <f ca="1"/>
      </c>
      <c r="IK77">
        <f ca="1"/>
      </c>
      <c r="IL77">
        <f ca="1"/>
      </c>
      <c r="IM77">
        <f ca="1"/>
      </c>
      <c r="IN77">
        <f ca="1"/>
      </c>
      <c r="IO77">
        <f ca="1"/>
      </c>
      <c r="IP77">
        <f ca="1"/>
      </c>
      <c r="IQ77">
        <f ca="1"/>
      </c>
      <c r="IR77">
        <f ca="1"/>
      </c>
      <c r="IS77">
        <f ca="1"/>
      </c>
      <c r="IT77">
        <f ca="1"/>
      </c>
      <c r="IU77">
        <f ca="1"/>
      </c>
      <c r="IV77">
        <f ca="1"/>
      </c>
      <c r="IW77">
        <f ca="1"/>
      </c>
      <c r="IX77">
        <f ca="1"/>
      </c>
      <c r="IY77">
        <f ca="1"/>
      </c>
      <c r="IZ77">
        <f ca="1"/>
      </c>
      <c r="JA77">
        <f ca="1"/>
      </c>
      <c r="JB77">
        <f ca="1"/>
      </c>
    </row>
    <row r="78" spans="6:267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  <c r="HZ78">
        <f ca="1"/>
      </c>
      <c r="IA78">
        <f ca="1"/>
      </c>
      <c r="IB78">
        <f ca="1"/>
      </c>
      <c r="IC78">
        <f ca="1"/>
      </c>
      <c r="ID78">
        <f ca="1"/>
      </c>
      <c r="IE78">
        <f ca="1"/>
      </c>
      <c r="IF78">
        <f ca="1"/>
      </c>
      <c r="IG78">
        <f ca="1"/>
      </c>
      <c r="IH78">
        <f ca="1"/>
      </c>
      <c r="II78">
        <f ca="1"/>
      </c>
      <c r="IJ78">
        <f ca="1"/>
      </c>
      <c r="IK78">
        <f ca="1"/>
      </c>
      <c r="IL78">
        <f ca="1"/>
      </c>
      <c r="IM78">
        <f ca="1"/>
      </c>
      <c r="IN78">
        <f ca="1"/>
      </c>
      <c r="IO78">
        <f ca="1"/>
      </c>
      <c r="IP78">
        <f ca="1"/>
      </c>
      <c r="IQ78">
        <f ca="1"/>
      </c>
      <c r="IR78">
        <f ca="1"/>
      </c>
      <c r="IS78">
        <f ca="1"/>
      </c>
      <c r="IT78">
        <f ca="1"/>
      </c>
      <c r="IU78">
        <f ca="1"/>
      </c>
      <c r="IV78">
        <f ca="1"/>
      </c>
      <c r="IW78">
        <f ca="1"/>
      </c>
      <c r="IX78">
        <f ca="1"/>
      </c>
      <c r="IY78">
        <f ca="1"/>
      </c>
      <c r="IZ78">
        <f ca="1"/>
      </c>
      <c r="JA78">
        <f ca="1"/>
      </c>
      <c r="JB78">
        <f ca="1"/>
      </c>
    </row>
    <row r="79" spans="6:267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  <c r="HZ79">
        <f ca="1"/>
      </c>
      <c r="IA79">
        <f ca="1"/>
      </c>
      <c r="IB79">
        <f ca="1"/>
      </c>
      <c r="IC79">
        <f ca="1"/>
      </c>
      <c r="ID79">
        <f ca="1"/>
      </c>
      <c r="IE79">
        <f ca="1"/>
      </c>
      <c r="IF79">
        <f ca="1"/>
      </c>
      <c r="IG79">
        <f ca="1"/>
      </c>
      <c r="IH79">
        <f ca="1"/>
      </c>
      <c r="II79">
        <f ca="1"/>
      </c>
      <c r="IJ79">
        <f ca="1"/>
      </c>
      <c r="IK79">
        <f ca="1"/>
      </c>
      <c r="IL79">
        <f ca="1"/>
      </c>
      <c r="IM79">
        <f ca="1"/>
      </c>
      <c r="IN79">
        <f ca="1"/>
      </c>
      <c r="IO79">
        <f ca="1"/>
      </c>
      <c r="IP79">
        <f ca="1"/>
      </c>
      <c r="IQ79">
        <f ca="1"/>
      </c>
      <c r="IR79">
        <f ca="1"/>
      </c>
      <c r="IS79">
        <f ca="1"/>
      </c>
      <c r="IT79">
        <f ca="1"/>
      </c>
      <c r="IU79">
        <f ca="1"/>
      </c>
      <c r="IV79">
        <f ca="1"/>
      </c>
      <c r="IW79">
        <f ca="1"/>
      </c>
      <c r="IX79">
        <f ca="1"/>
      </c>
      <c r="IY79">
        <f ca="1"/>
      </c>
      <c r="IZ79">
        <f ca="1"/>
      </c>
      <c r="JA79">
        <f ca="1"/>
      </c>
      <c r="JB79">
        <f ca="1"/>
      </c>
    </row>
    <row r="80" spans="6:267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  <c r="HZ80">
        <f ca="1"/>
      </c>
      <c r="IA80">
        <f ca="1"/>
      </c>
      <c r="IB80">
        <f ca="1"/>
      </c>
      <c r="IC80">
        <f ca="1"/>
      </c>
      <c r="ID80">
        <f ca="1"/>
      </c>
      <c r="IE80">
        <f ca="1"/>
      </c>
      <c r="IF80">
        <f ca="1"/>
      </c>
      <c r="IG80">
        <f ca="1"/>
      </c>
      <c r="IH80">
        <f ca="1"/>
      </c>
      <c r="II80">
        <f ca="1"/>
      </c>
      <c r="IJ80">
        <f ca="1"/>
      </c>
      <c r="IK80">
        <f ca="1"/>
      </c>
      <c r="IL80">
        <f ca="1"/>
      </c>
      <c r="IM80">
        <f ca="1"/>
      </c>
      <c r="IN80">
        <f ca="1"/>
      </c>
      <c r="IO80">
        <f ca="1"/>
      </c>
      <c r="IP80">
        <f ca="1"/>
      </c>
      <c r="IQ80">
        <f ca="1"/>
      </c>
      <c r="IR80">
        <f ca="1"/>
      </c>
      <c r="IS80">
        <f ca="1"/>
      </c>
      <c r="IT80">
        <f ca="1"/>
      </c>
      <c r="IU80">
        <f ca="1"/>
      </c>
      <c r="IV80">
        <f ca="1"/>
      </c>
      <c r="IW80">
        <f ca="1"/>
      </c>
      <c r="IX80">
        <f ca="1"/>
      </c>
      <c r="IY80">
        <f ca="1"/>
      </c>
      <c r="IZ80">
        <f ca="1"/>
      </c>
      <c r="JA80">
        <f ca="1"/>
      </c>
      <c r="JB80">
        <f ca="1"/>
      </c>
    </row>
    <row r="81" spans="58:267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  <c r="HZ81">
        <f ca="1"/>
      </c>
      <c r="IA81">
        <f ca="1"/>
      </c>
      <c r="IB81">
        <f ca="1"/>
      </c>
      <c r="IC81">
        <f ca="1"/>
      </c>
      <c r="ID81">
        <f ca="1"/>
      </c>
      <c r="IE81">
        <f ca="1"/>
      </c>
      <c r="IF81">
        <f ca="1"/>
      </c>
      <c r="IG81">
        <f ca="1"/>
      </c>
      <c r="IH81">
        <f ca="1"/>
      </c>
      <c r="II81">
        <f ca="1"/>
      </c>
      <c r="IJ81">
        <f ca="1"/>
      </c>
      <c r="IK81">
        <f ca="1"/>
      </c>
      <c r="IL81">
        <f ca="1"/>
      </c>
      <c r="IM81">
        <f ca="1"/>
      </c>
      <c r="IN81">
        <f ca="1"/>
      </c>
      <c r="IO81">
        <f ca="1"/>
      </c>
      <c r="IP81">
        <f ca="1"/>
      </c>
      <c r="IQ81">
        <f ca="1"/>
      </c>
      <c r="IR81">
        <f ca="1"/>
      </c>
      <c r="IS81">
        <f ca="1"/>
      </c>
      <c r="IT81">
        <f ca="1"/>
      </c>
      <c r="IU81">
        <f ca="1"/>
      </c>
      <c r="IV81">
        <f ca="1"/>
      </c>
      <c r="IW81">
        <f ca="1"/>
      </c>
      <c r="IX81">
        <f ca="1"/>
      </c>
      <c r="IY81">
        <f ca="1"/>
      </c>
      <c r="IZ81">
        <f ca="1"/>
      </c>
      <c r="JA81">
        <f ca="1"/>
      </c>
      <c r="JB81">
        <f ca="1"/>
      </c>
    </row>
    <row r="82" spans="58:267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  <c r="HZ82">
        <f ca="1"/>
      </c>
      <c r="IA82">
        <f ca="1"/>
      </c>
      <c r="IB82">
        <f ca="1"/>
      </c>
      <c r="IC82">
        <f ca="1"/>
      </c>
      <c r="ID82">
        <f ca="1"/>
      </c>
      <c r="IE82">
        <f ca="1"/>
      </c>
      <c r="IF82">
        <f ca="1"/>
      </c>
      <c r="IG82">
        <f ca="1"/>
      </c>
      <c r="IH82">
        <f ca="1"/>
      </c>
      <c r="II82">
        <f ca="1"/>
      </c>
      <c r="IJ82">
        <f ca="1"/>
      </c>
      <c r="IK82">
        <f ca="1"/>
      </c>
      <c r="IL82">
        <f ca="1"/>
      </c>
      <c r="IM82">
        <f ca="1"/>
      </c>
      <c r="IN82">
        <f ca="1"/>
      </c>
      <c r="IO82">
        <f ca="1"/>
      </c>
      <c r="IP82">
        <f ca="1"/>
      </c>
      <c r="IQ82">
        <f ca="1"/>
      </c>
      <c r="IR82">
        <f ca="1"/>
      </c>
      <c r="IS82">
        <f ca="1"/>
      </c>
      <c r="IT82">
        <f ca="1"/>
      </c>
      <c r="IU82">
        <f ca="1"/>
      </c>
      <c r="IV82">
        <f ca="1"/>
      </c>
      <c r="IW82">
        <f ca="1"/>
      </c>
      <c r="IX82">
        <f ca="1"/>
      </c>
      <c r="IY82">
        <f ca="1"/>
      </c>
      <c r="IZ82">
        <f ca="1"/>
      </c>
      <c r="JA82">
        <f ca="1"/>
      </c>
      <c r="JB82">
        <f ca="1"/>
      </c>
    </row>
    <row r="83" spans="58:267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  <c r="HZ83">
        <f ca="1"/>
      </c>
      <c r="IA83">
        <f ca="1"/>
      </c>
      <c r="IB83">
        <f ca="1"/>
      </c>
      <c r="IC83">
        <f ca="1"/>
      </c>
      <c r="ID83">
        <f ca="1"/>
      </c>
      <c r="IE83">
        <f ca="1"/>
      </c>
      <c r="IF83">
        <f ca="1"/>
      </c>
      <c r="IG83">
        <f ca="1"/>
      </c>
      <c r="IH83">
        <f ca="1"/>
      </c>
      <c r="II83">
        <f ca="1"/>
      </c>
      <c r="IJ83">
        <f ca="1"/>
      </c>
      <c r="IK83">
        <f ca="1"/>
      </c>
      <c r="IL83">
        <f ca="1"/>
      </c>
      <c r="IM83">
        <f ca="1"/>
      </c>
      <c r="IN83">
        <f ca="1"/>
      </c>
      <c r="IO83">
        <f ca="1"/>
      </c>
      <c r="IP83">
        <f ca="1"/>
      </c>
      <c r="IQ83">
        <f ca="1"/>
      </c>
      <c r="IR83">
        <f ca="1"/>
      </c>
      <c r="IS83">
        <f ca="1"/>
      </c>
      <c r="IT83">
        <f ca="1"/>
      </c>
      <c r="IU83">
        <f ca="1"/>
      </c>
      <c r="IV83">
        <f ca="1"/>
      </c>
      <c r="IW83">
        <f ca="1"/>
      </c>
      <c r="IX83">
        <f ca="1"/>
      </c>
      <c r="IY83">
        <f ca="1"/>
      </c>
      <c r="IZ83">
        <f ca="1"/>
      </c>
      <c r="JA83">
        <f ca="1"/>
      </c>
      <c r="JB83">
        <f ca="1"/>
      </c>
    </row>
    <row r="84" spans="58:267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  <c r="HZ84">
        <f ca="1"/>
      </c>
      <c r="IA84">
        <f ca="1"/>
      </c>
      <c r="IB84">
        <f ca="1"/>
      </c>
      <c r="IC84">
        <f ca="1"/>
      </c>
      <c r="ID84">
        <f ca="1"/>
      </c>
      <c r="IE84">
        <f ca="1"/>
      </c>
      <c r="IF84">
        <f ca="1"/>
      </c>
      <c r="IG84">
        <f ca="1"/>
      </c>
      <c r="IH84">
        <f ca="1"/>
      </c>
      <c r="II84">
        <f ca="1"/>
      </c>
      <c r="IJ84">
        <f ca="1"/>
      </c>
      <c r="IK84">
        <f ca="1"/>
      </c>
      <c r="IL84">
        <f ca="1"/>
      </c>
      <c r="IM84">
        <f ca="1"/>
      </c>
      <c r="IN84">
        <f ca="1"/>
      </c>
      <c r="IO84">
        <f ca="1"/>
      </c>
      <c r="IP84">
        <f ca="1"/>
      </c>
      <c r="IQ84">
        <f ca="1"/>
      </c>
      <c r="IR84">
        <f ca="1"/>
      </c>
      <c r="IS84">
        <f ca="1"/>
      </c>
      <c r="IT84">
        <f ca="1"/>
      </c>
      <c r="IU84">
        <f ca="1"/>
      </c>
      <c r="IV84">
        <f ca="1"/>
      </c>
      <c r="IW84">
        <f ca="1"/>
      </c>
      <c r="IX84">
        <f ca="1"/>
      </c>
      <c r="IY84">
        <f ca="1"/>
      </c>
      <c r="IZ84">
        <f ca="1"/>
      </c>
      <c r="JA84">
        <f ca="1"/>
      </c>
      <c r="JB84">
        <f ca="1"/>
      </c>
    </row>
    <row r="85" spans="58:267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  <c r="HZ85">
        <f ca="1"/>
      </c>
      <c r="IA85">
        <f ca="1"/>
      </c>
      <c r="IB85">
        <f ca="1"/>
      </c>
      <c r="IC85">
        <f ca="1"/>
      </c>
      <c r="ID85">
        <f ca="1"/>
      </c>
      <c r="IE85">
        <f ca="1"/>
      </c>
      <c r="IF85">
        <f ca="1"/>
      </c>
      <c r="IG85">
        <f ca="1"/>
      </c>
      <c r="IH85">
        <f ca="1"/>
      </c>
      <c r="II85">
        <f ca="1"/>
      </c>
      <c r="IJ85">
        <f ca="1"/>
      </c>
      <c r="IK85">
        <f ca="1"/>
      </c>
      <c r="IL85">
        <f ca="1"/>
      </c>
      <c r="IM85">
        <f ca="1"/>
      </c>
      <c r="IN85">
        <f ca="1"/>
      </c>
      <c r="IO85">
        <f ca="1"/>
      </c>
      <c r="IP85">
        <f ca="1"/>
      </c>
      <c r="IQ85">
        <f ca="1"/>
      </c>
      <c r="IR85">
        <f ca="1"/>
      </c>
      <c r="IS85">
        <f ca="1"/>
      </c>
      <c r="IT85">
        <f ca="1"/>
      </c>
      <c r="IU85">
        <f ca="1"/>
      </c>
      <c r="IV85">
        <f ca="1"/>
      </c>
      <c r="IW85">
        <f ca="1"/>
      </c>
      <c r="IX85">
        <f ca="1"/>
      </c>
      <c r="IY85">
        <f ca="1"/>
      </c>
      <c r="IZ85">
        <f ca="1"/>
      </c>
      <c r="JA85">
        <f ca="1"/>
      </c>
      <c r="JB85">
        <f ca="1"/>
      </c>
    </row>
    <row r="86" spans="58:267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  <c r="HZ86">
        <f ca="1"/>
      </c>
      <c r="IA86">
        <f ca="1"/>
      </c>
      <c r="IB86">
        <f ca="1"/>
      </c>
      <c r="IC86">
        <f ca="1"/>
      </c>
      <c r="ID86">
        <f ca="1"/>
      </c>
      <c r="IE86">
        <f ca="1"/>
      </c>
      <c r="IF86">
        <f ca="1"/>
      </c>
      <c r="IG86">
        <f ca="1"/>
      </c>
      <c r="IH86">
        <f ca="1"/>
      </c>
      <c r="II86">
        <f ca="1"/>
      </c>
      <c r="IJ86">
        <f ca="1"/>
      </c>
      <c r="IK86">
        <f ca="1"/>
      </c>
      <c r="IL86">
        <f ca="1"/>
      </c>
      <c r="IM86">
        <f ca="1"/>
      </c>
      <c r="IN86">
        <f ca="1"/>
      </c>
      <c r="IO86">
        <f ca="1"/>
      </c>
      <c r="IP86">
        <f ca="1"/>
      </c>
      <c r="IQ86">
        <f ca="1"/>
      </c>
      <c r="IR86">
        <f ca="1"/>
      </c>
      <c r="IS86">
        <f ca="1"/>
      </c>
      <c r="IT86">
        <f ca="1"/>
      </c>
      <c r="IU86">
        <f ca="1"/>
      </c>
      <c r="IV86">
        <f ca="1"/>
      </c>
      <c r="IW86">
        <f ca="1"/>
      </c>
      <c r="IX86">
        <f ca="1"/>
      </c>
      <c r="IY86">
        <f ca="1"/>
      </c>
      <c r="IZ86">
        <f ca="1"/>
      </c>
      <c r="JA86">
        <f ca="1"/>
      </c>
      <c r="JB86">
        <f ca="1"/>
      </c>
    </row>
    <row r="87" spans="58:267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  <c r="HZ87">
        <f ca="1"/>
      </c>
      <c r="IA87">
        <f ca="1"/>
      </c>
      <c r="IB87">
        <f ca="1"/>
      </c>
      <c r="IC87">
        <f ca="1"/>
      </c>
      <c r="ID87">
        <f ca="1"/>
      </c>
      <c r="IE87">
        <f ca="1"/>
      </c>
      <c r="IF87">
        <f ca="1"/>
      </c>
      <c r="IG87">
        <f ca="1"/>
      </c>
      <c r="IH87">
        <f ca="1"/>
      </c>
      <c r="II87">
        <f ca="1"/>
      </c>
      <c r="IJ87">
        <f ca="1"/>
      </c>
      <c r="IK87">
        <f ca="1"/>
      </c>
      <c r="IL87">
        <f ca="1"/>
      </c>
      <c r="IM87">
        <f ca="1"/>
      </c>
      <c r="IN87">
        <f ca="1"/>
      </c>
      <c r="IO87">
        <f ca="1"/>
      </c>
      <c r="IP87">
        <f ca="1"/>
      </c>
      <c r="IQ87">
        <f ca="1"/>
      </c>
      <c r="IR87">
        <f ca="1"/>
      </c>
      <c r="IS87">
        <f ca="1"/>
      </c>
      <c r="IT87">
        <f ca="1"/>
      </c>
      <c r="IU87">
        <f ca="1"/>
      </c>
      <c r="IV87">
        <f ca="1"/>
      </c>
      <c r="IW87">
        <f ca="1"/>
      </c>
      <c r="IX87">
        <f ca="1"/>
      </c>
      <c r="IY87">
        <f ca="1"/>
      </c>
      <c r="IZ87">
        <f ca="1"/>
      </c>
      <c r="JA87">
        <f ca="1"/>
      </c>
      <c r="JB87">
        <f ca="1"/>
      </c>
    </row>
    <row r="88" spans="58:267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  <c r="HZ88">
        <f ca="1"/>
      </c>
      <c r="IA88">
        <f ca="1"/>
      </c>
      <c r="IB88">
        <f ca="1"/>
      </c>
      <c r="IC88">
        <f ca="1"/>
      </c>
      <c r="ID88">
        <f ca="1"/>
      </c>
      <c r="IE88">
        <f ca="1"/>
      </c>
      <c r="IF88">
        <f ca="1"/>
      </c>
      <c r="IG88">
        <f ca="1"/>
      </c>
      <c r="IH88">
        <f ca="1"/>
      </c>
      <c r="II88">
        <f ca="1"/>
      </c>
      <c r="IJ88">
        <f ca="1"/>
      </c>
      <c r="IK88">
        <f ca="1"/>
      </c>
      <c r="IL88">
        <f ca="1"/>
      </c>
      <c r="IM88">
        <f ca="1"/>
      </c>
      <c r="IN88">
        <f ca="1"/>
      </c>
      <c r="IO88">
        <f ca="1"/>
      </c>
      <c r="IP88">
        <f ca="1"/>
      </c>
      <c r="IQ88">
        <f ca="1"/>
      </c>
      <c r="IR88">
        <f ca="1"/>
      </c>
      <c r="IS88">
        <f ca="1"/>
      </c>
      <c r="IT88">
        <f ca="1"/>
      </c>
      <c r="IU88">
        <f ca="1"/>
      </c>
      <c r="IV88">
        <f ca="1"/>
      </c>
      <c r="IW88">
        <f ca="1"/>
      </c>
      <c r="IX88">
        <f ca="1"/>
      </c>
      <c r="IY88">
        <f ca="1"/>
      </c>
      <c r="IZ88">
        <f ca="1"/>
      </c>
      <c r="JA88">
        <f ca="1"/>
      </c>
      <c r="JB88">
        <f ca="1"/>
      </c>
    </row>
    <row r="89" spans="58:267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  <c r="HZ89">
        <f ca="1"/>
      </c>
      <c r="IA89">
        <f ca="1"/>
      </c>
      <c r="IB89">
        <f ca="1"/>
      </c>
      <c r="IC89">
        <f ca="1"/>
      </c>
      <c r="ID89">
        <f ca="1"/>
      </c>
      <c r="IE89">
        <f ca="1"/>
      </c>
      <c r="IF89">
        <f ca="1"/>
      </c>
      <c r="IG89">
        <f ca="1"/>
      </c>
      <c r="IH89">
        <f ca="1"/>
      </c>
      <c r="II89">
        <f ca="1"/>
      </c>
      <c r="IJ89">
        <f ca="1"/>
      </c>
      <c r="IK89">
        <f ca="1"/>
      </c>
      <c r="IL89">
        <f ca="1"/>
      </c>
      <c r="IM89">
        <f ca="1"/>
      </c>
      <c r="IN89">
        <f ca="1"/>
      </c>
      <c r="IO89">
        <f ca="1"/>
      </c>
      <c r="IP89">
        <f ca="1"/>
      </c>
      <c r="IQ89">
        <f ca="1"/>
      </c>
      <c r="IR89">
        <f ca="1"/>
      </c>
      <c r="IS89">
        <f ca="1"/>
      </c>
      <c r="IT89">
        <f ca="1"/>
      </c>
      <c r="IU89">
        <f ca="1"/>
      </c>
      <c r="IV89">
        <f ca="1"/>
      </c>
      <c r="IW89">
        <f ca="1"/>
      </c>
      <c r="IX89">
        <f ca="1"/>
      </c>
      <c r="IY89">
        <f ca="1"/>
      </c>
      <c r="IZ89">
        <f ca="1"/>
      </c>
      <c r="JA89">
        <f ca="1"/>
      </c>
      <c r="JB89">
        <f ca="1"/>
      </c>
    </row>
    <row r="90" spans="58:267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  <c r="HZ90">
        <f ca="1"/>
      </c>
      <c r="IA90">
        <f ca="1"/>
      </c>
      <c r="IB90">
        <f ca="1"/>
      </c>
      <c r="IC90">
        <f ca="1"/>
      </c>
      <c r="ID90">
        <f ca="1"/>
      </c>
      <c r="IE90">
        <f ca="1"/>
      </c>
      <c r="IF90">
        <f ca="1"/>
      </c>
      <c r="IG90">
        <f ca="1"/>
      </c>
      <c r="IH90">
        <f ca="1"/>
      </c>
      <c r="II90">
        <f ca="1"/>
      </c>
      <c r="IJ90">
        <f ca="1"/>
      </c>
      <c r="IK90">
        <f ca="1"/>
      </c>
      <c r="IL90">
        <f ca="1"/>
      </c>
      <c r="IM90">
        <f ca="1"/>
      </c>
      <c r="IN90">
        <f ca="1"/>
      </c>
      <c r="IO90">
        <f ca="1"/>
      </c>
      <c r="IP90">
        <f ca="1"/>
      </c>
      <c r="IQ90">
        <f ca="1"/>
      </c>
      <c r="IR90">
        <f ca="1"/>
      </c>
      <c r="IS90">
        <f ca="1"/>
      </c>
      <c r="IT90">
        <f ca="1"/>
      </c>
      <c r="IU90">
        <f ca="1"/>
      </c>
      <c r="IV90">
        <f ca="1"/>
      </c>
      <c r="IW90">
        <f ca="1"/>
      </c>
      <c r="IX90">
        <f ca="1"/>
      </c>
      <c r="IY90">
        <f ca="1"/>
      </c>
      <c r="IZ90">
        <f ca="1"/>
      </c>
      <c r="JA90">
        <f ca="1"/>
      </c>
      <c r="JB90">
        <f ca="1"/>
      </c>
    </row>
    <row r="91" spans="58:267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  <c r="HZ91">
        <f ca="1"/>
      </c>
      <c r="IA91">
        <f ca="1"/>
      </c>
      <c r="IB91">
        <f ca="1"/>
      </c>
      <c r="IC91">
        <f ca="1"/>
      </c>
      <c r="ID91">
        <f ca="1"/>
      </c>
      <c r="IE91">
        <f ca="1"/>
      </c>
      <c r="IF91">
        <f ca="1"/>
      </c>
      <c r="IG91">
        <f ca="1"/>
      </c>
      <c r="IH91">
        <f ca="1"/>
      </c>
      <c r="II91">
        <f ca="1"/>
      </c>
      <c r="IJ91">
        <f ca="1"/>
      </c>
      <c r="IK91">
        <f ca="1"/>
      </c>
      <c r="IL91">
        <f ca="1"/>
      </c>
      <c r="IM91">
        <f ca="1"/>
      </c>
      <c r="IN91">
        <f ca="1"/>
      </c>
      <c r="IO91">
        <f ca="1"/>
      </c>
      <c r="IP91">
        <f ca="1"/>
      </c>
      <c r="IQ91">
        <f ca="1"/>
      </c>
      <c r="IR91">
        <f ca="1"/>
      </c>
      <c r="IS91">
        <f ca="1"/>
      </c>
      <c r="IT91">
        <f ca="1"/>
      </c>
      <c r="IU91">
        <f ca="1"/>
      </c>
      <c r="IV91">
        <f ca="1"/>
      </c>
      <c r="IW91">
        <f ca="1"/>
      </c>
      <c r="IX91">
        <f ca="1"/>
      </c>
      <c r="IY91">
        <f ca="1"/>
      </c>
      <c r="IZ91">
        <f ca="1"/>
      </c>
      <c r="JA91">
        <f ca="1"/>
      </c>
      <c r="JB91">
        <f ca="1"/>
      </c>
    </row>
    <row r="92" spans="58:267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  <c r="HZ92">
        <f ca="1"/>
      </c>
      <c r="IA92">
        <f ca="1"/>
      </c>
      <c r="IB92">
        <f ca="1"/>
      </c>
      <c r="IC92">
        <f ca="1"/>
      </c>
      <c r="ID92">
        <f ca="1"/>
      </c>
      <c r="IE92">
        <f ca="1"/>
      </c>
      <c r="IF92">
        <f ca="1"/>
      </c>
      <c r="IG92">
        <f ca="1"/>
      </c>
      <c r="IH92">
        <f ca="1"/>
      </c>
      <c r="II92">
        <f ca="1"/>
      </c>
      <c r="IJ92">
        <f ca="1"/>
      </c>
      <c r="IK92">
        <f ca="1"/>
      </c>
      <c r="IL92">
        <f ca="1"/>
      </c>
      <c r="IM92">
        <f ca="1"/>
      </c>
      <c r="IN92">
        <f ca="1"/>
      </c>
      <c r="IO92">
        <f ca="1"/>
      </c>
      <c r="IP92">
        <f ca="1"/>
      </c>
      <c r="IQ92">
        <f ca="1"/>
      </c>
      <c r="IR92">
        <f ca="1"/>
      </c>
      <c r="IS92">
        <f ca="1"/>
      </c>
      <c r="IT92">
        <f ca="1"/>
      </c>
      <c r="IU92">
        <f ca="1"/>
      </c>
      <c r="IV92">
        <f ca="1"/>
      </c>
      <c r="IW92">
        <f ca="1"/>
      </c>
      <c r="IX92">
        <f ca="1"/>
      </c>
      <c r="IY92">
        <f ca="1"/>
      </c>
      <c r="IZ92">
        <f ca="1"/>
      </c>
      <c r="JA92">
        <f ca="1"/>
      </c>
      <c r="JB92">
        <f ca="1"/>
      </c>
    </row>
    <row r="93" spans="58:267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  <c r="HZ93">
        <f ca="1"/>
      </c>
      <c r="IA93">
        <f ca="1"/>
      </c>
      <c r="IB93">
        <f ca="1"/>
      </c>
      <c r="IC93">
        <f ca="1"/>
      </c>
      <c r="ID93">
        <f ca="1"/>
      </c>
      <c r="IE93">
        <f ca="1"/>
      </c>
      <c r="IF93">
        <f ca="1"/>
      </c>
      <c r="IG93">
        <f ca="1"/>
      </c>
      <c r="IH93">
        <f ca="1"/>
      </c>
      <c r="II93">
        <f ca="1"/>
      </c>
      <c r="IJ93">
        <f ca="1"/>
      </c>
      <c r="IK93">
        <f ca="1"/>
      </c>
      <c r="IL93">
        <f ca="1"/>
      </c>
      <c r="IM93">
        <f ca="1"/>
      </c>
      <c r="IN93">
        <f ca="1"/>
      </c>
      <c r="IO93">
        <f ca="1"/>
      </c>
      <c r="IP93">
        <f ca="1"/>
      </c>
      <c r="IQ93">
        <f ca="1"/>
      </c>
      <c r="IR93">
        <f ca="1"/>
      </c>
      <c r="IS93">
        <f ca="1"/>
      </c>
      <c r="IT93">
        <f ca="1"/>
      </c>
      <c r="IU93">
        <f ca="1"/>
      </c>
      <c r="IV93">
        <f ca="1"/>
      </c>
      <c r="IW93">
        <f ca="1"/>
      </c>
      <c r="IX93">
        <f ca="1"/>
      </c>
      <c r="IY93">
        <f ca="1"/>
      </c>
      <c r="IZ93">
        <f ca="1"/>
      </c>
      <c r="JA93">
        <f ca="1"/>
      </c>
      <c r="JB93">
        <f ca="1"/>
      </c>
    </row>
    <row r="94" spans="58:267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  <c r="HZ94">
        <f ca="1"/>
      </c>
      <c r="IA94">
        <f ca="1"/>
      </c>
      <c r="IB94">
        <f ca="1"/>
      </c>
      <c r="IC94">
        <f ca="1"/>
      </c>
      <c r="ID94">
        <f ca="1"/>
      </c>
      <c r="IE94">
        <f ca="1"/>
      </c>
      <c r="IF94">
        <f ca="1"/>
      </c>
      <c r="IG94">
        <f ca="1"/>
      </c>
      <c r="IH94">
        <f ca="1"/>
      </c>
      <c r="II94">
        <f ca="1"/>
      </c>
      <c r="IJ94">
        <f ca="1"/>
      </c>
      <c r="IK94">
        <f ca="1"/>
      </c>
      <c r="IL94">
        <f ca="1"/>
      </c>
      <c r="IM94">
        <f ca="1"/>
      </c>
      <c r="IN94">
        <f ca="1"/>
      </c>
      <c r="IO94">
        <f ca="1"/>
      </c>
      <c r="IP94">
        <f ca="1"/>
      </c>
      <c r="IQ94">
        <f ca="1"/>
      </c>
      <c r="IR94">
        <f ca="1"/>
      </c>
      <c r="IS94">
        <f ca="1"/>
      </c>
      <c r="IT94">
        <f ca="1"/>
      </c>
      <c r="IU94">
        <f ca="1"/>
      </c>
      <c r="IV94">
        <f ca="1"/>
      </c>
      <c r="IW94">
        <f ca="1"/>
      </c>
      <c r="IX94">
        <f ca="1"/>
      </c>
      <c r="IY94">
        <f ca="1"/>
      </c>
      <c r="IZ94">
        <f ca="1"/>
      </c>
      <c r="JA94">
        <f ca="1"/>
      </c>
      <c r="JB94">
        <f ca="1"/>
      </c>
    </row>
    <row r="95" spans="58:267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  <c r="HZ95">
        <f ca="1"/>
      </c>
      <c r="IA95">
        <f ca="1"/>
      </c>
      <c r="IB95">
        <f ca="1"/>
      </c>
      <c r="IC95">
        <f ca="1"/>
      </c>
      <c r="ID95">
        <f ca="1"/>
      </c>
      <c r="IE95">
        <f ca="1"/>
      </c>
      <c r="IF95">
        <f ca="1"/>
      </c>
      <c r="IG95">
        <f ca="1"/>
      </c>
      <c r="IH95">
        <f ca="1"/>
      </c>
      <c r="II95">
        <f ca="1"/>
      </c>
      <c r="IJ95">
        <f ca="1"/>
      </c>
      <c r="IK95">
        <f ca="1"/>
      </c>
      <c r="IL95">
        <f ca="1"/>
      </c>
      <c r="IM95">
        <f ca="1"/>
      </c>
      <c r="IN95">
        <f ca="1"/>
      </c>
      <c r="IO95">
        <f ca="1"/>
      </c>
      <c r="IP95">
        <f ca="1"/>
      </c>
      <c r="IQ95">
        <f ca="1"/>
      </c>
      <c r="IR95">
        <f ca="1"/>
      </c>
      <c r="IS95">
        <f ca="1"/>
      </c>
      <c r="IT95">
        <f ca="1"/>
      </c>
      <c r="IU95">
        <f ca="1"/>
      </c>
      <c r="IV95">
        <f ca="1"/>
      </c>
      <c r="IW95">
        <f ca="1"/>
      </c>
      <c r="IX95">
        <f ca="1"/>
      </c>
      <c r="IY95">
        <f ca="1"/>
      </c>
      <c r="IZ95">
        <f ca="1"/>
      </c>
      <c r="JA95">
        <f ca="1"/>
      </c>
      <c r="JB95">
        <f ca="1"/>
      </c>
    </row>
    <row r="96" spans="58:267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  <c r="HZ96">
        <f ca="1"/>
      </c>
      <c r="IA96">
        <f ca="1"/>
      </c>
      <c r="IB96">
        <f ca="1"/>
      </c>
      <c r="IC96">
        <f ca="1"/>
      </c>
      <c r="ID96">
        <f ca="1"/>
      </c>
      <c r="IE96">
        <f ca="1"/>
      </c>
      <c r="IF96">
        <f ca="1"/>
      </c>
      <c r="IG96">
        <f ca="1"/>
      </c>
      <c r="IH96">
        <f ca="1"/>
      </c>
      <c r="II96">
        <f ca="1"/>
      </c>
      <c r="IJ96">
        <f ca="1"/>
      </c>
      <c r="IK96">
        <f ca="1"/>
      </c>
      <c r="IL96">
        <f ca="1"/>
      </c>
      <c r="IM96">
        <f ca="1"/>
      </c>
      <c r="IN96">
        <f ca="1"/>
      </c>
      <c r="IO96">
        <f ca="1"/>
      </c>
      <c r="IP96">
        <f ca="1"/>
      </c>
      <c r="IQ96">
        <f ca="1"/>
      </c>
      <c r="IR96">
        <f ca="1"/>
      </c>
      <c r="IS96">
        <f ca="1"/>
      </c>
      <c r="IT96">
        <f ca="1"/>
      </c>
      <c r="IU96">
        <f ca="1"/>
      </c>
      <c r="IV96">
        <f ca="1"/>
      </c>
      <c r="IW96">
        <f ca="1"/>
      </c>
      <c r="IX96">
        <f ca="1"/>
      </c>
      <c r="IY96">
        <f ca="1"/>
      </c>
      <c r="IZ96">
        <f ca="1"/>
      </c>
      <c r="JA96">
        <f ca="1"/>
      </c>
      <c r="JB96">
        <f ca="1"/>
      </c>
    </row>
    <row r="97" spans="58:267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  <c r="HZ97">
        <f ca="1"/>
      </c>
      <c r="IA97">
        <f ca="1"/>
      </c>
      <c r="IB97">
        <f ca="1"/>
      </c>
      <c r="IC97">
        <f ca="1"/>
      </c>
      <c r="ID97">
        <f ca="1"/>
      </c>
      <c r="IE97">
        <f ca="1"/>
      </c>
      <c r="IF97">
        <f ca="1"/>
      </c>
      <c r="IG97">
        <f ca="1"/>
      </c>
      <c r="IH97">
        <f ca="1"/>
      </c>
      <c r="II97">
        <f ca="1"/>
      </c>
      <c r="IJ97">
        <f ca="1"/>
      </c>
      <c r="IK97">
        <f ca="1"/>
      </c>
      <c r="IL97">
        <f ca="1"/>
      </c>
      <c r="IM97">
        <f ca="1"/>
      </c>
      <c r="IN97">
        <f ca="1"/>
      </c>
      <c r="IO97">
        <f ca="1"/>
      </c>
      <c r="IP97">
        <f ca="1"/>
      </c>
      <c r="IQ97">
        <f ca="1"/>
      </c>
      <c r="IR97">
        <f ca="1"/>
      </c>
      <c r="IS97">
        <f ca="1"/>
      </c>
      <c r="IT97">
        <f ca="1"/>
      </c>
      <c r="IU97">
        <f ca="1"/>
      </c>
      <c r="IV97">
        <f ca="1"/>
      </c>
      <c r="IW97">
        <f ca="1"/>
      </c>
      <c r="IX97">
        <f ca="1"/>
      </c>
      <c r="IY97">
        <f ca="1"/>
      </c>
      <c r="IZ97">
        <f ca="1"/>
      </c>
      <c r="JA97">
        <f ca="1"/>
      </c>
      <c r="JB97">
        <f ca="1"/>
      </c>
    </row>
    <row r="98" spans="58:267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  <c r="HZ98">
        <f ca="1"/>
      </c>
      <c r="IA98">
        <f ca="1"/>
      </c>
      <c r="IB98">
        <f ca="1"/>
      </c>
      <c r="IC98">
        <f ca="1"/>
      </c>
      <c r="ID98">
        <f ca="1"/>
      </c>
      <c r="IE98">
        <f ca="1"/>
      </c>
      <c r="IF98">
        <f ca="1"/>
      </c>
      <c r="IG98">
        <f ca="1"/>
      </c>
      <c r="IH98">
        <f ca="1"/>
      </c>
      <c r="II98">
        <f ca="1"/>
      </c>
      <c r="IJ98">
        <f ca="1"/>
      </c>
      <c r="IK98">
        <f ca="1"/>
      </c>
      <c r="IL98">
        <f ca="1"/>
      </c>
      <c r="IM98">
        <f ca="1"/>
      </c>
      <c r="IN98">
        <f ca="1"/>
      </c>
      <c r="IO98">
        <f ca="1"/>
      </c>
      <c r="IP98">
        <f ca="1"/>
      </c>
      <c r="IQ98">
        <f ca="1"/>
      </c>
      <c r="IR98">
        <f ca="1"/>
      </c>
      <c r="IS98">
        <f ca="1"/>
      </c>
      <c r="IT98">
        <f ca="1"/>
      </c>
      <c r="IU98">
        <f ca="1"/>
      </c>
      <c r="IV98">
        <f ca="1"/>
      </c>
      <c r="IW98">
        <f ca="1"/>
      </c>
      <c r="IX98">
        <f ca="1"/>
      </c>
      <c r="IY98">
        <f ca="1"/>
      </c>
      <c r="IZ98">
        <f ca="1"/>
      </c>
      <c r="JA98">
        <f ca="1"/>
      </c>
      <c r="JB98">
        <f ca="1"/>
      </c>
    </row>
    <row r="99" spans="58:267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  <c r="HZ99">
        <f ca="1"/>
      </c>
      <c r="IA99">
        <f ca="1"/>
      </c>
      <c r="IB99">
        <f ca="1"/>
      </c>
      <c r="IC99">
        <f ca="1"/>
      </c>
      <c r="ID99">
        <f ca="1"/>
      </c>
      <c r="IE99">
        <f ca="1"/>
      </c>
      <c r="IF99">
        <f ca="1"/>
      </c>
      <c r="IG99">
        <f ca="1"/>
      </c>
      <c r="IH99">
        <f ca="1"/>
      </c>
      <c r="II99">
        <f ca="1"/>
      </c>
      <c r="IJ99">
        <f ca="1"/>
      </c>
      <c r="IK99">
        <f ca="1"/>
      </c>
      <c r="IL99">
        <f ca="1"/>
      </c>
      <c r="IM99">
        <f ca="1"/>
      </c>
      <c r="IN99">
        <f ca="1"/>
      </c>
      <c r="IO99">
        <f ca="1"/>
      </c>
      <c r="IP99">
        <f ca="1"/>
      </c>
      <c r="IQ99">
        <f ca="1"/>
      </c>
      <c r="IR99">
        <f ca="1"/>
      </c>
      <c r="IS99">
        <f ca="1"/>
      </c>
      <c r="IT99">
        <f ca="1"/>
      </c>
      <c r="IU99">
        <f ca="1"/>
      </c>
      <c r="IV99">
        <f ca="1"/>
      </c>
      <c r="IW99">
        <f ca="1"/>
      </c>
      <c r="IX99">
        <f ca="1"/>
      </c>
      <c r="IY99">
        <f ca="1"/>
      </c>
      <c r="IZ99">
        <f ca="1"/>
      </c>
      <c r="JA99">
        <f ca="1"/>
      </c>
      <c r="JB99">
        <f ca="1"/>
      </c>
    </row>
    <row r="100" spans="58:267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  <c r="HZ100">
        <f ca="1"/>
      </c>
      <c r="IA100">
        <f ca="1"/>
      </c>
      <c r="IB100">
        <f ca="1"/>
      </c>
      <c r="IC100">
        <f ca="1"/>
      </c>
      <c r="ID100">
        <f ca="1"/>
      </c>
      <c r="IE100">
        <f ca="1"/>
      </c>
      <c r="IF100">
        <f ca="1"/>
      </c>
      <c r="IG100">
        <f ca="1"/>
      </c>
      <c r="IH100">
        <f ca="1"/>
      </c>
      <c r="II100">
        <f ca="1"/>
      </c>
      <c r="IJ100">
        <f ca="1"/>
      </c>
      <c r="IK100">
        <f ca="1"/>
      </c>
      <c r="IL100">
        <f ca="1"/>
      </c>
      <c r="IM100">
        <f ca="1"/>
      </c>
      <c r="IN100">
        <f ca="1"/>
      </c>
      <c r="IO100">
        <f ca="1"/>
      </c>
      <c r="IP100">
        <f ca="1"/>
      </c>
      <c r="IQ100">
        <f ca="1"/>
      </c>
      <c r="IR100">
        <f ca="1"/>
      </c>
      <c r="IS100">
        <f ca="1"/>
      </c>
      <c r="IT100">
        <f ca="1"/>
      </c>
      <c r="IU100">
        <f ca="1"/>
      </c>
      <c r="IV100">
        <f ca="1"/>
      </c>
      <c r="IW100">
        <f ca="1"/>
      </c>
      <c r="IX100">
        <f ca="1"/>
      </c>
      <c r="IY100">
        <f ca="1"/>
      </c>
      <c r="IZ100">
        <f ca="1"/>
      </c>
      <c r="JA100">
        <f ca="1"/>
      </c>
      <c r="JB100">
        <f ca="1"/>
      </c>
    </row>
    <row r="101" spans="58:267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  <c r="HZ101">
        <f ca="1"/>
      </c>
      <c r="IA101">
        <f ca="1"/>
      </c>
      <c r="IB101">
        <f ca="1"/>
      </c>
      <c r="IC101">
        <f ca="1"/>
      </c>
      <c r="ID101">
        <f ca="1"/>
      </c>
      <c r="IE101">
        <f ca="1"/>
      </c>
      <c r="IF101">
        <f ca="1"/>
      </c>
      <c r="IG101">
        <f ca="1"/>
      </c>
      <c r="IH101">
        <f ca="1"/>
      </c>
      <c r="II101">
        <f ca="1"/>
      </c>
      <c r="IJ101">
        <f ca="1"/>
      </c>
      <c r="IK101">
        <f ca="1"/>
      </c>
      <c r="IL101">
        <f ca="1"/>
      </c>
      <c r="IM101">
        <f ca="1"/>
      </c>
      <c r="IN101">
        <f ca="1"/>
      </c>
      <c r="IO101">
        <f ca="1"/>
      </c>
      <c r="IP101">
        <f ca="1"/>
      </c>
      <c r="IQ101">
        <f ca="1"/>
      </c>
      <c r="IR101">
        <f ca="1"/>
      </c>
      <c r="IS101">
        <f ca="1"/>
      </c>
      <c r="IT101">
        <f ca="1"/>
      </c>
      <c r="IU101">
        <f ca="1"/>
      </c>
      <c r="IV101">
        <f ca="1"/>
      </c>
      <c r="IW101">
        <f ca="1"/>
      </c>
      <c r="IX101">
        <f ca="1"/>
      </c>
      <c r="IY101">
        <f ca="1"/>
      </c>
      <c r="IZ101">
        <f ca="1"/>
      </c>
      <c r="JA101">
        <f ca="1"/>
      </c>
      <c r="JB101">
        <f ca="1"/>
      </c>
    </row>
    <row r="102" spans="58:267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  <c r="HZ102">
        <f ca="1"/>
      </c>
      <c r="IA102">
        <f ca="1"/>
      </c>
      <c r="IB102">
        <f ca="1"/>
      </c>
      <c r="IC102">
        <f ca="1"/>
      </c>
      <c r="ID102">
        <f ca="1"/>
      </c>
      <c r="IE102">
        <f ca="1"/>
      </c>
      <c r="IF102">
        <f ca="1"/>
      </c>
      <c r="IG102">
        <f ca="1"/>
      </c>
      <c r="IH102">
        <f ca="1"/>
      </c>
      <c r="II102">
        <f ca="1"/>
      </c>
      <c r="IJ102">
        <f ca="1"/>
      </c>
      <c r="IK102">
        <f ca="1"/>
      </c>
      <c r="IL102">
        <f ca="1"/>
      </c>
      <c r="IM102">
        <f ca="1"/>
      </c>
      <c r="IN102">
        <f ca="1"/>
      </c>
      <c r="IO102">
        <f ca="1"/>
      </c>
      <c r="IP102">
        <f ca="1"/>
      </c>
      <c r="IQ102">
        <f ca="1"/>
      </c>
      <c r="IR102">
        <f ca="1"/>
      </c>
      <c r="IS102">
        <f ca="1"/>
      </c>
      <c r="IT102">
        <f ca="1"/>
      </c>
      <c r="IU102">
        <f ca="1"/>
      </c>
      <c r="IV102">
        <f ca="1"/>
      </c>
      <c r="IW102">
        <f ca="1"/>
      </c>
      <c r="IX102">
        <f ca="1"/>
      </c>
      <c r="IY102">
        <f ca="1"/>
      </c>
      <c r="IZ102">
        <f ca="1"/>
      </c>
      <c r="JA102">
        <f ca="1"/>
      </c>
      <c r="JB102">
        <f ca="1"/>
      </c>
    </row>
    <row r="103" spans="58:267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  <c r="HZ103">
        <f ca="1"/>
      </c>
      <c r="IA103">
        <f ca="1"/>
      </c>
      <c r="IB103">
        <f ca="1"/>
      </c>
      <c r="IC103">
        <f ca="1"/>
      </c>
      <c r="ID103">
        <f ca="1"/>
      </c>
      <c r="IE103">
        <f ca="1"/>
      </c>
      <c r="IF103">
        <f ca="1"/>
      </c>
      <c r="IG103">
        <f ca="1"/>
      </c>
      <c r="IH103">
        <f ca="1"/>
      </c>
      <c r="II103">
        <f ca="1"/>
      </c>
      <c r="IJ103">
        <f ca="1"/>
      </c>
      <c r="IK103">
        <f ca="1"/>
      </c>
      <c r="IL103">
        <f ca="1"/>
      </c>
      <c r="IM103">
        <f ca="1"/>
      </c>
      <c r="IN103">
        <f ca="1"/>
      </c>
      <c r="IO103">
        <f ca="1"/>
      </c>
      <c r="IP103">
        <f ca="1"/>
      </c>
      <c r="IQ103">
        <f ca="1"/>
      </c>
      <c r="IR103">
        <f ca="1"/>
      </c>
      <c r="IS103">
        <f ca="1"/>
      </c>
      <c r="IT103">
        <f ca="1"/>
      </c>
      <c r="IU103">
        <f ca="1"/>
      </c>
      <c r="IV103">
        <f ca="1"/>
      </c>
      <c r="IW103">
        <f ca="1"/>
      </c>
      <c r="IX103">
        <f ca="1"/>
      </c>
      <c r="IY103">
        <f ca="1"/>
      </c>
      <c r="IZ103">
        <f ca="1"/>
      </c>
      <c r="JA103">
        <f ca="1"/>
      </c>
      <c r="JB103">
        <f ca="1"/>
      </c>
    </row>
    <row r="104" spans="58:267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  <c r="HZ104">
        <f ca="1"/>
      </c>
      <c r="IA104">
        <f ca="1"/>
      </c>
      <c r="IB104">
        <f ca="1"/>
      </c>
      <c r="IC104">
        <f ca="1"/>
      </c>
      <c r="ID104">
        <f ca="1"/>
      </c>
      <c r="IE104">
        <f ca="1"/>
      </c>
      <c r="IF104">
        <f ca="1"/>
      </c>
      <c r="IG104">
        <f ca="1"/>
      </c>
      <c r="IH104">
        <f ca="1"/>
      </c>
      <c r="II104">
        <f ca="1"/>
      </c>
      <c r="IJ104">
        <f ca="1"/>
      </c>
      <c r="IK104">
        <f ca="1"/>
      </c>
      <c r="IL104">
        <f ca="1"/>
      </c>
      <c r="IM104">
        <f ca="1"/>
      </c>
      <c r="IN104">
        <f ca="1"/>
      </c>
      <c r="IO104">
        <f ca="1"/>
      </c>
      <c r="IP104">
        <f ca="1"/>
      </c>
      <c r="IQ104">
        <f ca="1"/>
      </c>
      <c r="IR104">
        <f ca="1"/>
      </c>
      <c r="IS104">
        <f ca="1"/>
      </c>
      <c r="IT104">
        <f ca="1"/>
      </c>
      <c r="IU104">
        <f ca="1"/>
      </c>
      <c r="IV104">
        <f ca="1"/>
      </c>
      <c r="IW104">
        <f ca="1"/>
      </c>
      <c r="IX104">
        <f ca="1"/>
      </c>
      <c r="IY104">
        <f ca="1"/>
      </c>
      <c r="IZ104">
        <f ca="1"/>
      </c>
      <c r="JA104">
        <f ca="1"/>
      </c>
      <c r="JB104">
        <f ca="1"/>
      </c>
    </row>
    <row r="105" spans="58:267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  <c r="HZ105">
        <f ca="1"/>
      </c>
      <c r="IA105">
        <f ca="1"/>
      </c>
      <c r="IB105">
        <f ca="1"/>
      </c>
      <c r="IC105">
        <f ca="1"/>
      </c>
      <c r="ID105">
        <f ca="1"/>
      </c>
      <c r="IE105">
        <f ca="1"/>
      </c>
      <c r="IF105">
        <f ca="1"/>
      </c>
      <c r="IG105">
        <f ca="1"/>
      </c>
      <c r="IH105">
        <f ca="1"/>
      </c>
      <c r="II105">
        <f ca="1"/>
      </c>
      <c r="IJ105">
        <f ca="1"/>
      </c>
      <c r="IK105">
        <f ca="1"/>
      </c>
      <c r="IL105">
        <f ca="1"/>
      </c>
      <c r="IM105">
        <f ca="1"/>
      </c>
      <c r="IN105">
        <f ca="1"/>
      </c>
      <c r="IO105">
        <f ca="1"/>
      </c>
      <c r="IP105">
        <f ca="1"/>
      </c>
      <c r="IQ105">
        <f ca="1"/>
      </c>
      <c r="IR105">
        <f ca="1"/>
      </c>
      <c r="IS105">
        <f ca="1"/>
      </c>
      <c r="IT105">
        <f ca="1"/>
      </c>
      <c r="IU105">
        <f ca="1"/>
      </c>
      <c r="IV105">
        <f ca="1"/>
      </c>
      <c r="IW105">
        <f ca="1"/>
      </c>
      <c r="IX105">
        <f ca="1"/>
      </c>
      <c r="IY105">
        <f ca="1"/>
      </c>
      <c r="IZ105">
        <f ca="1"/>
      </c>
      <c r="JA105">
        <f ca="1"/>
      </c>
      <c r="JB105">
        <f ca="1"/>
      </c>
    </row>
    <row r="106" spans="58:267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  <c r="HZ106">
        <f ca="1"/>
      </c>
      <c r="IA106">
        <f ca="1"/>
      </c>
      <c r="IB106">
        <f ca="1"/>
      </c>
      <c r="IC106">
        <f ca="1"/>
      </c>
      <c r="ID106">
        <f ca="1"/>
      </c>
      <c r="IE106">
        <f ca="1"/>
      </c>
      <c r="IF106">
        <f ca="1"/>
      </c>
      <c r="IG106">
        <f ca="1"/>
      </c>
      <c r="IH106">
        <f ca="1"/>
      </c>
      <c r="II106">
        <f ca="1"/>
      </c>
      <c r="IJ106">
        <f ca="1"/>
      </c>
      <c r="IK106">
        <f ca="1"/>
      </c>
      <c r="IL106">
        <f ca="1"/>
      </c>
      <c r="IM106">
        <f ca="1"/>
      </c>
      <c r="IN106">
        <f ca="1"/>
      </c>
      <c r="IO106">
        <f ca="1"/>
      </c>
      <c r="IP106">
        <f ca="1"/>
      </c>
      <c r="IQ106">
        <f ca="1"/>
      </c>
      <c r="IR106">
        <f ca="1"/>
      </c>
      <c r="IS106">
        <f ca="1"/>
      </c>
      <c r="IT106">
        <f ca="1"/>
      </c>
      <c r="IU106">
        <f ca="1"/>
      </c>
      <c r="IV106">
        <f ca="1"/>
      </c>
      <c r="IW106">
        <f ca="1"/>
      </c>
      <c r="IX106">
        <f ca="1"/>
      </c>
      <c r="IY106">
        <f ca="1"/>
      </c>
      <c r="IZ106">
        <f ca="1"/>
      </c>
      <c r="JA106">
        <f ca="1"/>
      </c>
      <c r="JB106">
        <f ca="1"/>
      </c>
    </row>
    <row r="107" spans="58:267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  <c r="HZ107">
        <f ca="1"/>
      </c>
      <c r="IA107">
        <f ca="1"/>
      </c>
      <c r="IB107">
        <f ca="1"/>
      </c>
      <c r="IC107">
        <f ca="1"/>
      </c>
      <c r="ID107">
        <f ca="1"/>
      </c>
      <c r="IE107">
        <f ca="1"/>
      </c>
      <c r="IF107">
        <f ca="1"/>
      </c>
      <c r="IG107">
        <f ca="1"/>
      </c>
      <c r="IH107">
        <f ca="1"/>
      </c>
      <c r="II107">
        <f ca="1"/>
      </c>
      <c r="IJ107">
        <f ca="1"/>
      </c>
      <c r="IK107">
        <f ca="1"/>
      </c>
      <c r="IL107">
        <f ca="1"/>
      </c>
      <c r="IM107">
        <f ca="1"/>
      </c>
      <c r="IN107">
        <f ca="1"/>
      </c>
      <c r="IO107">
        <f ca="1"/>
      </c>
      <c r="IP107">
        <f ca="1"/>
      </c>
      <c r="IQ107">
        <f ca="1"/>
      </c>
      <c r="IR107">
        <f ca="1"/>
      </c>
      <c r="IS107">
        <f ca="1"/>
      </c>
      <c r="IT107">
        <f ca="1"/>
      </c>
      <c r="IU107">
        <f ca="1"/>
      </c>
      <c r="IV107">
        <f ca="1"/>
      </c>
      <c r="IW107">
        <f ca="1"/>
      </c>
      <c r="IX107">
        <f ca="1"/>
      </c>
      <c r="IY107">
        <f ca="1"/>
      </c>
      <c r="IZ107">
        <f ca="1"/>
      </c>
      <c r="JA107">
        <f ca="1"/>
      </c>
      <c r="JB107">
        <f ca="1"/>
      </c>
    </row>
    <row r="108" spans="58:267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  <c r="HZ108">
        <f ca="1"/>
      </c>
      <c r="IA108">
        <f ca="1"/>
      </c>
      <c r="IB108">
        <f ca="1"/>
      </c>
      <c r="IC108">
        <f ca="1"/>
      </c>
      <c r="ID108">
        <f ca="1"/>
      </c>
      <c r="IE108">
        <f ca="1"/>
      </c>
      <c r="IF108">
        <f ca="1"/>
      </c>
      <c r="IG108">
        <f ca="1"/>
      </c>
      <c r="IH108">
        <f ca="1"/>
      </c>
      <c r="II108">
        <f ca="1"/>
      </c>
      <c r="IJ108">
        <f ca="1"/>
      </c>
      <c r="IK108">
        <f ca="1"/>
      </c>
      <c r="IL108">
        <f ca="1"/>
      </c>
      <c r="IM108">
        <f ca="1"/>
      </c>
      <c r="IN108">
        <f ca="1"/>
      </c>
      <c r="IO108">
        <f ca="1"/>
      </c>
      <c r="IP108">
        <f ca="1"/>
      </c>
      <c r="IQ108">
        <f ca="1"/>
      </c>
      <c r="IR108">
        <f ca="1"/>
      </c>
      <c r="IS108">
        <f ca="1"/>
      </c>
      <c r="IT108">
        <f ca="1"/>
      </c>
      <c r="IU108">
        <f ca="1"/>
      </c>
      <c r="IV108">
        <f ca="1"/>
      </c>
      <c r="IW108">
        <f ca="1"/>
      </c>
      <c r="IX108">
        <f ca="1"/>
      </c>
      <c r="IY108">
        <f ca="1"/>
      </c>
      <c r="IZ108">
        <f ca="1"/>
      </c>
      <c r="JA108">
        <f ca="1"/>
      </c>
      <c r="JB108">
        <f ca="1"/>
      </c>
    </row>
    <row r="109" spans="58:267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  <c r="HZ109">
        <f ca="1"/>
      </c>
      <c r="IA109">
        <f ca="1"/>
      </c>
      <c r="IB109">
        <f ca="1"/>
      </c>
      <c r="IC109">
        <f ca="1"/>
      </c>
      <c r="ID109">
        <f ca="1"/>
      </c>
      <c r="IE109">
        <f ca="1"/>
      </c>
      <c r="IF109">
        <f ca="1"/>
      </c>
      <c r="IG109">
        <f ca="1"/>
      </c>
      <c r="IH109">
        <f ca="1"/>
      </c>
      <c r="II109">
        <f ca="1"/>
      </c>
      <c r="IJ109">
        <f ca="1"/>
      </c>
      <c r="IK109">
        <f ca="1"/>
      </c>
      <c r="IL109">
        <f ca="1"/>
      </c>
      <c r="IM109">
        <f ca="1"/>
      </c>
      <c r="IN109">
        <f ca="1"/>
      </c>
      <c r="IO109">
        <f ca="1"/>
      </c>
      <c r="IP109">
        <f ca="1"/>
      </c>
      <c r="IQ109">
        <f ca="1"/>
      </c>
      <c r="IR109">
        <f ca="1"/>
      </c>
      <c r="IS109">
        <f ca="1"/>
      </c>
      <c r="IT109">
        <f ca="1"/>
      </c>
      <c r="IU109">
        <f ca="1"/>
      </c>
      <c r="IV109">
        <f ca="1"/>
      </c>
      <c r="IW109">
        <f ca="1"/>
      </c>
      <c r="IX109">
        <f ca="1"/>
      </c>
      <c r="IY109">
        <f ca="1"/>
      </c>
      <c r="IZ109">
        <f ca="1"/>
      </c>
      <c r="JA109">
        <f ca="1"/>
      </c>
      <c r="JB109">
        <f ca="1"/>
      </c>
    </row>
    <row r="110" spans="58:267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  <c r="HZ110">
        <f ca="1"/>
      </c>
      <c r="IA110">
        <f ca="1"/>
      </c>
      <c r="IB110">
        <f ca="1"/>
      </c>
      <c r="IC110">
        <f ca="1"/>
      </c>
      <c r="ID110">
        <f ca="1"/>
      </c>
      <c r="IE110">
        <f ca="1"/>
      </c>
      <c r="IF110">
        <f ca="1"/>
      </c>
      <c r="IG110">
        <f ca="1"/>
      </c>
      <c r="IH110">
        <f ca="1"/>
      </c>
      <c r="II110">
        <f ca="1"/>
      </c>
      <c r="IJ110">
        <f ca="1"/>
      </c>
      <c r="IK110">
        <f ca="1"/>
      </c>
      <c r="IL110">
        <f ca="1"/>
      </c>
      <c r="IM110">
        <f ca="1"/>
      </c>
      <c r="IN110">
        <f ca="1"/>
      </c>
      <c r="IO110">
        <f ca="1"/>
      </c>
      <c r="IP110">
        <f ca="1"/>
      </c>
      <c r="IQ110">
        <f ca="1"/>
      </c>
      <c r="IR110">
        <f ca="1"/>
      </c>
      <c r="IS110">
        <f ca="1"/>
      </c>
      <c r="IT110">
        <f ca="1"/>
      </c>
      <c r="IU110">
        <f ca="1"/>
      </c>
      <c r="IV110">
        <f ca="1"/>
      </c>
      <c r="IW110">
        <f ca="1"/>
      </c>
      <c r="IX110">
        <f ca="1"/>
      </c>
      <c r="IY110">
        <f ca="1"/>
      </c>
      <c r="IZ110">
        <f ca="1"/>
      </c>
      <c r="JA110">
        <f ca="1"/>
      </c>
      <c r="JB110">
        <f ca="1"/>
      </c>
    </row>
    <row r="111" spans="58:267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  <c r="HZ111">
        <f ca="1"/>
      </c>
      <c r="IA111">
        <f ca="1"/>
      </c>
      <c r="IB111">
        <f ca="1"/>
      </c>
      <c r="IC111">
        <f ca="1"/>
      </c>
      <c r="ID111">
        <f ca="1"/>
      </c>
      <c r="IE111">
        <f ca="1"/>
      </c>
      <c r="IF111">
        <f ca="1"/>
      </c>
      <c r="IG111">
        <f ca="1"/>
      </c>
      <c r="IH111">
        <f ca="1"/>
      </c>
      <c r="II111">
        <f ca="1"/>
      </c>
      <c r="IJ111">
        <f ca="1"/>
      </c>
      <c r="IK111">
        <f ca="1"/>
      </c>
      <c r="IL111">
        <f ca="1"/>
      </c>
      <c r="IM111">
        <f ca="1"/>
      </c>
      <c r="IN111">
        <f ca="1"/>
      </c>
      <c r="IO111">
        <f ca="1"/>
      </c>
      <c r="IP111">
        <f ca="1"/>
      </c>
      <c r="IQ111">
        <f ca="1"/>
      </c>
      <c r="IR111">
        <f ca="1"/>
      </c>
      <c r="IS111">
        <f ca="1"/>
      </c>
      <c r="IT111">
        <f ca="1"/>
      </c>
      <c r="IU111">
        <f ca="1"/>
      </c>
      <c r="IV111">
        <f ca="1"/>
      </c>
      <c r="IW111">
        <f ca="1"/>
      </c>
      <c r="IX111">
        <f ca="1"/>
      </c>
      <c r="IY111">
        <f ca="1"/>
      </c>
      <c r="IZ111">
        <f ca="1"/>
      </c>
      <c r="JA111">
        <f ca="1"/>
      </c>
      <c r="JB111">
        <f ca="1"/>
      </c>
    </row>
    <row r="112" spans="58:267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  <c r="HZ112">
        <f ca="1"/>
      </c>
      <c r="IA112">
        <f ca="1"/>
      </c>
      <c r="IB112">
        <f ca="1"/>
      </c>
      <c r="IC112">
        <f ca="1"/>
      </c>
      <c r="ID112">
        <f ca="1"/>
      </c>
      <c r="IE112">
        <f ca="1"/>
      </c>
      <c r="IF112">
        <f ca="1"/>
      </c>
      <c r="IG112">
        <f ca="1"/>
      </c>
      <c r="IH112">
        <f ca="1"/>
      </c>
      <c r="II112">
        <f ca="1"/>
      </c>
      <c r="IJ112">
        <f ca="1"/>
      </c>
      <c r="IK112">
        <f ca="1"/>
      </c>
      <c r="IL112">
        <f ca="1"/>
      </c>
      <c r="IM112">
        <f ca="1"/>
      </c>
      <c r="IN112">
        <f ca="1"/>
      </c>
      <c r="IO112">
        <f ca="1"/>
      </c>
      <c r="IP112">
        <f ca="1"/>
      </c>
      <c r="IQ112">
        <f ca="1"/>
      </c>
      <c r="IR112">
        <f ca="1"/>
      </c>
      <c r="IS112">
        <f ca="1"/>
      </c>
      <c r="IT112">
        <f ca="1"/>
      </c>
      <c r="IU112">
        <f ca="1"/>
      </c>
      <c r="IV112">
        <f ca="1"/>
      </c>
      <c r="IW112">
        <f ca="1"/>
      </c>
      <c r="IX112">
        <f ca="1"/>
      </c>
      <c r="IY112">
        <f ca="1"/>
      </c>
      <c r="IZ112">
        <f ca="1"/>
      </c>
      <c r="JA112">
        <f ca="1"/>
      </c>
      <c r="JB112">
        <f ca="1"/>
      </c>
    </row>
    <row r="113" spans="58:267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  <c r="HZ113">
        <f ca="1"/>
      </c>
      <c r="IA113">
        <f ca="1"/>
      </c>
      <c r="IB113">
        <f ca="1"/>
      </c>
      <c r="IC113">
        <f ca="1"/>
      </c>
      <c r="ID113">
        <f ca="1"/>
      </c>
      <c r="IE113">
        <f ca="1"/>
      </c>
      <c r="IF113">
        <f ca="1"/>
      </c>
      <c r="IG113">
        <f ca="1"/>
      </c>
      <c r="IH113">
        <f ca="1"/>
      </c>
      <c r="II113">
        <f ca="1"/>
      </c>
      <c r="IJ113">
        <f ca="1"/>
      </c>
      <c r="IK113">
        <f ca="1"/>
      </c>
      <c r="IL113">
        <f ca="1"/>
      </c>
      <c r="IM113">
        <f ca="1"/>
      </c>
      <c r="IN113">
        <f ca="1"/>
      </c>
      <c r="IO113">
        <f ca="1"/>
      </c>
      <c r="IP113">
        <f ca="1"/>
      </c>
      <c r="IQ113">
        <f ca="1"/>
      </c>
      <c r="IR113">
        <f ca="1"/>
      </c>
      <c r="IS113">
        <f ca="1"/>
      </c>
      <c r="IT113">
        <f ca="1"/>
      </c>
      <c r="IU113">
        <f ca="1"/>
      </c>
      <c r="IV113">
        <f ca="1"/>
      </c>
      <c r="IW113">
        <f ca="1"/>
      </c>
      <c r="IX113">
        <f ca="1"/>
      </c>
      <c r="IY113">
        <f ca="1"/>
      </c>
      <c r="IZ113">
        <f ca="1"/>
      </c>
      <c r="JA113">
        <f ca="1"/>
      </c>
      <c r="JB113">
        <f ca="1"/>
      </c>
    </row>
    <row r="114" spans="58:267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  <c r="HZ114">
        <f ca="1"/>
      </c>
      <c r="IA114">
        <f ca="1"/>
      </c>
      <c r="IB114">
        <f ca="1"/>
      </c>
      <c r="IC114">
        <f ca="1"/>
      </c>
      <c r="ID114">
        <f ca="1"/>
      </c>
      <c r="IE114">
        <f ca="1"/>
      </c>
      <c r="IF114">
        <f ca="1"/>
      </c>
      <c r="IG114">
        <f ca="1"/>
      </c>
      <c r="IH114">
        <f ca="1"/>
      </c>
      <c r="II114">
        <f ca="1"/>
      </c>
      <c r="IJ114">
        <f ca="1"/>
      </c>
      <c r="IK114">
        <f ca="1"/>
      </c>
      <c r="IL114">
        <f ca="1"/>
      </c>
      <c r="IM114">
        <f ca="1"/>
      </c>
      <c r="IN114">
        <f ca="1"/>
      </c>
      <c r="IO114">
        <f ca="1"/>
      </c>
      <c r="IP114">
        <f ca="1"/>
      </c>
      <c r="IQ114">
        <f ca="1"/>
      </c>
      <c r="IR114">
        <f ca="1"/>
      </c>
      <c r="IS114">
        <f ca="1"/>
      </c>
      <c r="IT114">
        <f ca="1"/>
      </c>
      <c r="IU114">
        <f ca="1"/>
      </c>
      <c r="IV114">
        <f ca="1"/>
      </c>
      <c r="IW114">
        <f ca="1"/>
      </c>
      <c r="IX114">
        <f ca="1"/>
      </c>
      <c r="IY114">
        <f ca="1"/>
      </c>
      <c r="IZ114">
        <f ca="1"/>
      </c>
      <c r="JA114">
        <f ca="1"/>
      </c>
      <c r="JB114">
        <f ca="1"/>
      </c>
    </row>
    <row r="115" spans="58:267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  <c r="HZ115">
        <f ca="1"/>
      </c>
      <c r="IA115">
        <f ca="1"/>
      </c>
      <c r="IB115">
        <f ca="1"/>
      </c>
      <c r="IC115">
        <f ca="1"/>
      </c>
      <c r="ID115">
        <f ca="1"/>
      </c>
      <c r="IE115">
        <f ca="1"/>
      </c>
      <c r="IF115">
        <f ca="1"/>
      </c>
      <c r="IG115">
        <f ca="1"/>
      </c>
      <c r="IH115">
        <f ca="1"/>
      </c>
      <c r="II115">
        <f ca="1"/>
      </c>
      <c r="IJ115">
        <f ca="1"/>
      </c>
      <c r="IK115">
        <f ca="1"/>
      </c>
      <c r="IL115">
        <f ca="1"/>
      </c>
      <c r="IM115">
        <f ca="1"/>
      </c>
      <c r="IN115">
        <f ca="1"/>
      </c>
      <c r="IO115">
        <f ca="1"/>
      </c>
      <c r="IP115">
        <f ca="1"/>
      </c>
      <c r="IQ115">
        <f ca="1"/>
      </c>
      <c r="IR115">
        <f ca="1"/>
      </c>
      <c r="IS115">
        <f ca="1"/>
      </c>
      <c r="IT115">
        <f ca="1"/>
      </c>
      <c r="IU115">
        <f ca="1"/>
      </c>
      <c r="IV115">
        <f ca="1"/>
      </c>
      <c r="IW115">
        <f ca="1"/>
      </c>
      <c r="IX115">
        <f ca="1"/>
      </c>
      <c r="IY115">
        <f ca="1"/>
      </c>
      <c r="IZ115">
        <f ca="1"/>
      </c>
      <c r="JA115">
        <f ca="1"/>
      </c>
      <c r="JB115">
        <f ca="1"/>
      </c>
    </row>
    <row r="116" spans="58:267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  <c r="HZ116">
        <f ca="1"/>
      </c>
      <c r="IA116">
        <f ca="1"/>
      </c>
      <c r="IB116">
        <f ca="1"/>
      </c>
      <c r="IC116">
        <f ca="1"/>
      </c>
      <c r="ID116">
        <f ca="1"/>
      </c>
      <c r="IE116">
        <f ca="1"/>
      </c>
      <c r="IF116">
        <f ca="1"/>
      </c>
      <c r="IG116">
        <f ca="1"/>
      </c>
      <c r="IH116">
        <f ca="1"/>
      </c>
      <c r="II116">
        <f ca="1"/>
      </c>
      <c r="IJ116">
        <f ca="1"/>
      </c>
      <c r="IK116">
        <f ca="1"/>
      </c>
      <c r="IL116">
        <f ca="1"/>
      </c>
      <c r="IM116">
        <f ca="1"/>
      </c>
      <c r="IN116">
        <f ca="1"/>
      </c>
      <c r="IO116">
        <f ca="1"/>
      </c>
      <c r="IP116">
        <f ca="1"/>
      </c>
      <c r="IQ116">
        <f ca="1"/>
      </c>
      <c r="IR116">
        <f ca="1"/>
      </c>
      <c r="IS116">
        <f ca="1"/>
      </c>
      <c r="IT116">
        <f ca="1"/>
      </c>
      <c r="IU116">
        <f ca="1"/>
      </c>
      <c r="IV116">
        <f ca="1"/>
      </c>
      <c r="IW116">
        <f ca="1"/>
      </c>
      <c r="IX116">
        <f ca="1"/>
      </c>
      <c r="IY116">
        <f ca="1"/>
      </c>
      <c r="IZ116">
        <f ca="1"/>
      </c>
      <c r="JA116">
        <f ca="1"/>
      </c>
      <c r="JB116">
        <f ca="1"/>
      </c>
    </row>
    <row r="117" spans="58:267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  <c r="HZ117">
        <f ca="1"/>
      </c>
      <c r="IA117">
        <f ca="1"/>
      </c>
      <c r="IB117">
        <f ca="1"/>
      </c>
      <c r="IC117">
        <f ca="1"/>
      </c>
      <c r="ID117">
        <f ca="1"/>
      </c>
      <c r="IE117">
        <f ca="1"/>
      </c>
      <c r="IF117">
        <f ca="1"/>
      </c>
      <c r="IG117">
        <f ca="1"/>
      </c>
      <c r="IH117">
        <f ca="1"/>
      </c>
      <c r="II117">
        <f ca="1"/>
      </c>
      <c r="IJ117">
        <f ca="1"/>
      </c>
      <c r="IK117">
        <f ca="1"/>
      </c>
      <c r="IL117">
        <f ca="1"/>
      </c>
      <c r="IM117">
        <f ca="1"/>
      </c>
      <c r="IN117">
        <f ca="1"/>
      </c>
      <c r="IO117">
        <f ca="1"/>
      </c>
      <c r="IP117">
        <f ca="1"/>
      </c>
      <c r="IQ117">
        <f ca="1"/>
      </c>
      <c r="IR117">
        <f ca="1"/>
      </c>
      <c r="IS117">
        <f ca="1"/>
      </c>
      <c r="IT117">
        <f ca="1"/>
      </c>
      <c r="IU117">
        <f ca="1"/>
      </c>
      <c r="IV117">
        <f ca="1"/>
      </c>
      <c r="IW117">
        <f ca="1"/>
      </c>
      <c r="IX117">
        <f ca="1"/>
      </c>
      <c r="IY117">
        <f ca="1"/>
      </c>
      <c r="IZ117">
        <f ca="1"/>
      </c>
      <c r="JA117">
        <f ca="1"/>
      </c>
      <c r="JB117">
        <f ca="1"/>
      </c>
    </row>
    <row r="118" spans="58:267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  <c r="HZ118">
        <f ca="1"/>
      </c>
      <c r="IA118">
        <f ca="1"/>
      </c>
      <c r="IB118">
        <f ca="1"/>
      </c>
      <c r="IC118">
        <f ca="1"/>
      </c>
      <c r="ID118">
        <f ca="1"/>
      </c>
      <c r="IE118">
        <f ca="1"/>
      </c>
      <c r="IF118">
        <f ca="1"/>
      </c>
      <c r="IG118">
        <f ca="1"/>
      </c>
      <c r="IH118">
        <f ca="1"/>
      </c>
      <c r="II118">
        <f ca="1"/>
      </c>
      <c r="IJ118">
        <f ca="1"/>
      </c>
      <c r="IK118">
        <f ca="1"/>
      </c>
      <c r="IL118">
        <f ca="1"/>
      </c>
      <c r="IM118">
        <f ca="1"/>
      </c>
      <c r="IN118">
        <f ca="1"/>
      </c>
      <c r="IO118">
        <f ca="1"/>
      </c>
      <c r="IP118">
        <f ca="1"/>
      </c>
      <c r="IQ118">
        <f ca="1"/>
      </c>
      <c r="IR118">
        <f ca="1"/>
      </c>
      <c r="IS118">
        <f ca="1"/>
      </c>
      <c r="IT118">
        <f ca="1"/>
      </c>
      <c r="IU118">
        <f ca="1"/>
      </c>
      <c r="IV118">
        <f ca="1"/>
      </c>
      <c r="IW118">
        <f ca="1"/>
      </c>
      <c r="IX118">
        <f ca="1"/>
      </c>
      <c r="IY118">
        <f ca="1"/>
      </c>
      <c r="IZ118">
        <f ca="1"/>
      </c>
      <c r="JA118">
        <f ca="1"/>
      </c>
      <c r="JB118">
        <f ca="1"/>
      </c>
    </row>
    <row r="119" spans="58:267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  <c r="HZ119">
        <f ca="1"/>
      </c>
      <c r="IA119">
        <f ca="1"/>
      </c>
      <c r="IB119">
        <f ca="1"/>
      </c>
      <c r="IC119">
        <f ca="1"/>
      </c>
      <c r="ID119">
        <f ca="1"/>
      </c>
      <c r="IE119">
        <f ca="1"/>
      </c>
      <c r="IF119">
        <f ca="1"/>
      </c>
      <c r="IG119">
        <f ca="1"/>
      </c>
      <c r="IH119">
        <f ca="1"/>
      </c>
      <c r="II119">
        <f ca="1"/>
      </c>
      <c r="IJ119">
        <f ca="1"/>
      </c>
      <c r="IK119">
        <f ca="1"/>
      </c>
      <c r="IL119">
        <f ca="1"/>
      </c>
      <c r="IM119">
        <f ca="1"/>
      </c>
      <c r="IN119">
        <f ca="1"/>
      </c>
      <c r="IO119">
        <f ca="1"/>
      </c>
      <c r="IP119">
        <f ca="1"/>
      </c>
      <c r="IQ119">
        <f ca="1"/>
      </c>
      <c r="IR119">
        <f ca="1"/>
      </c>
      <c r="IS119">
        <f ca="1"/>
      </c>
      <c r="IT119">
        <f ca="1"/>
      </c>
      <c r="IU119">
        <f ca="1"/>
      </c>
      <c r="IV119">
        <f ca="1"/>
      </c>
      <c r="IW119">
        <f ca="1"/>
      </c>
      <c r="IX119">
        <f ca="1"/>
      </c>
      <c r="IY119">
        <f ca="1"/>
      </c>
      <c r="IZ119">
        <f ca="1"/>
      </c>
      <c r="JA119">
        <f ca="1"/>
      </c>
      <c r="JB119">
        <f ca="1"/>
      </c>
    </row>
    <row r="120" spans="58:267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  <c r="HZ120">
        <f ca="1"/>
      </c>
      <c r="IA120">
        <f ca="1"/>
      </c>
      <c r="IB120">
        <f ca="1"/>
      </c>
      <c r="IC120">
        <f ca="1"/>
      </c>
      <c r="ID120">
        <f ca="1"/>
      </c>
      <c r="IE120">
        <f ca="1"/>
      </c>
      <c r="IF120">
        <f ca="1"/>
      </c>
      <c r="IG120">
        <f ca="1"/>
      </c>
      <c r="IH120">
        <f ca="1"/>
      </c>
      <c r="II120">
        <f ca="1"/>
      </c>
      <c r="IJ120">
        <f ca="1"/>
      </c>
      <c r="IK120">
        <f ca="1"/>
      </c>
      <c r="IL120">
        <f ca="1"/>
      </c>
      <c r="IM120">
        <f ca="1"/>
      </c>
      <c r="IN120">
        <f ca="1"/>
      </c>
      <c r="IO120">
        <f ca="1"/>
      </c>
      <c r="IP120">
        <f ca="1"/>
      </c>
      <c r="IQ120">
        <f ca="1"/>
      </c>
      <c r="IR120">
        <f ca="1"/>
      </c>
      <c r="IS120">
        <f ca="1"/>
      </c>
      <c r="IT120">
        <f ca="1"/>
      </c>
      <c r="IU120">
        <f ca="1"/>
      </c>
      <c r="IV120">
        <f ca="1"/>
      </c>
      <c r="IW120">
        <f ca="1"/>
      </c>
      <c r="IX120">
        <f ca="1"/>
      </c>
      <c r="IY120">
        <f ca="1"/>
      </c>
      <c r="IZ120">
        <f ca="1"/>
      </c>
      <c r="JA120">
        <f ca="1"/>
      </c>
      <c r="JB120">
        <f ca="1"/>
      </c>
    </row>
    <row r="121" spans="58:267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  <c r="HZ121">
        <f ca="1"/>
      </c>
      <c r="IA121">
        <f ca="1"/>
      </c>
      <c r="IB121">
        <f ca="1"/>
      </c>
      <c r="IC121">
        <f ca="1"/>
      </c>
      <c r="ID121">
        <f ca="1"/>
      </c>
      <c r="IE121">
        <f ca="1"/>
      </c>
      <c r="IF121">
        <f ca="1"/>
      </c>
      <c r="IG121">
        <f ca="1"/>
      </c>
      <c r="IH121">
        <f ca="1"/>
      </c>
      <c r="II121">
        <f ca="1"/>
      </c>
      <c r="IJ121">
        <f ca="1"/>
      </c>
      <c r="IK121">
        <f ca="1"/>
      </c>
      <c r="IL121">
        <f ca="1"/>
      </c>
      <c r="IM121">
        <f ca="1"/>
      </c>
      <c r="IN121">
        <f ca="1"/>
      </c>
      <c r="IO121">
        <f ca="1"/>
      </c>
      <c r="IP121">
        <f ca="1"/>
      </c>
      <c r="IQ121">
        <f ca="1"/>
      </c>
      <c r="IR121">
        <f ca="1"/>
      </c>
      <c r="IS121">
        <f ca="1"/>
      </c>
      <c r="IT121">
        <f ca="1"/>
      </c>
      <c r="IU121">
        <f ca="1"/>
      </c>
      <c r="IV121">
        <f ca="1"/>
      </c>
      <c r="IW121">
        <f ca="1"/>
      </c>
      <c r="IX121">
        <f ca="1"/>
      </c>
      <c r="IY121">
        <f ca="1"/>
      </c>
      <c r="IZ121">
        <f ca="1"/>
      </c>
      <c r="JA121">
        <f ca="1"/>
      </c>
      <c r="JB121">
        <f ca="1"/>
      </c>
    </row>
    <row r="122" spans="58:267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  <c r="HZ122">
        <f ca="1"/>
      </c>
      <c r="IA122">
        <f ca="1"/>
      </c>
      <c r="IB122">
        <f ca="1"/>
      </c>
      <c r="IC122">
        <f ca="1"/>
      </c>
      <c r="ID122">
        <f ca="1"/>
      </c>
      <c r="IE122">
        <f ca="1"/>
      </c>
      <c r="IF122">
        <f ca="1"/>
      </c>
      <c r="IG122">
        <f ca="1"/>
      </c>
      <c r="IH122">
        <f ca="1"/>
      </c>
      <c r="II122">
        <f ca="1"/>
      </c>
      <c r="IJ122">
        <f ca="1"/>
      </c>
      <c r="IK122">
        <f ca="1"/>
      </c>
      <c r="IL122">
        <f ca="1"/>
      </c>
      <c r="IM122">
        <f ca="1"/>
      </c>
      <c r="IN122">
        <f ca="1"/>
      </c>
      <c r="IO122">
        <f ca="1"/>
      </c>
      <c r="IP122">
        <f ca="1"/>
      </c>
      <c r="IQ122">
        <f ca="1"/>
      </c>
      <c r="IR122">
        <f ca="1"/>
      </c>
      <c r="IS122">
        <f ca="1"/>
      </c>
      <c r="IT122">
        <f ca="1"/>
      </c>
      <c r="IU122">
        <f ca="1"/>
      </c>
      <c r="IV122">
        <f ca="1"/>
      </c>
      <c r="IW122">
        <f ca="1"/>
      </c>
      <c r="IX122">
        <f ca="1"/>
      </c>
      <c r="IY122">
        <f ca="1"/>
      </c>
      <c r="IZ122">
        <f ca="1"/>
      </c>
      <c r="JA122">
        <f ca="1"/>
      </c>
      <c r="JB122">
        <f ca="1"/>
      </c>
    </row>
    <row r="123" spans="58:267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  <c r="HZ123">
        <f ca="1"/>
      </c>
      <c r="IA123">
        <f ca="1"/>
      </c>
      <c r="IB123">
        <f ca="1"/>
      </c>
      <c r="IC123">
        <f ca="1"/>
      </c>
      <c r="ID123">
        <f ca="1"/>
      </c>
      <c r="IE123">
        <f ca="1"/>
      </c>
      <c r="IF123">
        <f ca="1"/>
      </c>
      <c r="IG123">
        <f ca="1"/>
      </c>
      <c r="IH123">
        <f ca="1"/>
      </c>
      <c r="II123">
        <f ca="1"/>
      </c>
      <c r="IJ123">
        <f ca="1"/>
      </c>
      <c r="IK123">
        <f ca="1"/>
      </c>
      <c r="IL123">
        <f ca="1"/>
      </c>
      <c r="IM123">
        <f ca="1"/>
      </c>
      <c r="IN123">
        <f ca="1"/>
      </c>
      <c r="IO123">
        <f ca="1"/>
      </c>
      <c r="IP123">
        <f ca="1"/>
      </c>
      <c r="IQ123">
        <f ca="1"/>
      </c>
      <c r="IR123">
        <f ca="1"/>
      </c>
      <c r="IS123">
        <f ca="1"/>
      </c>
      <c r="IT123">
        <f ca="1"/>
      </c>
      <c r="IU123">
        <f ca="1"/>
      </c>
      <c r="IV123">
        <f ca="1"/>
      </c>
      <c r="IW123">
        <f ca="1"/>
      </c>
      <c r="IX123">
        <f ca="1"/>
      </c>
      <c r="IY123">
        <f ca="1"/>
      </c>
      <c r="IZ123">
        <f ca="1"/>
      </c>
      <c r="JA123">
        <f ca="1"/>
      </c>
      <c r="JB123">
        <f ca="1"/>
      </c>
    </row>
    <row r="124" spans="58:267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  <c r="HZ124">
        <f ca="1"/>
      </c>
      <c r="IA124">
        <f ca="1"/>
      </c>
      <c r="IB124">
        <f ca="1"/>
      </c>
      <c r="IC124">
        <f ca="1"/>
      </c>
      <c r="ID124">
        <f ca="1"/>
      </c>
      <c r="IE124">
        <f ca="1"/>
      </c>
      <c r="IF124">
        <f ca="1"/>
      </c>
      <c r="IG124">
        <f ca="1"/>
      </c>
      <c r="IH124">
        <f ca="1"/>
      </c>
      <c r="II124">
        <f ca="1"/>
      </c>
      <c r="IJ124">
        <f ca="1"/>
      </c>
      <c r="IK124">
        <f ca="1"/>
      </c>
      <c r="IL124">
        <f ca="1"/>
      </c>
      <c r="IM124">
        <f ca="1"/>
      </c>
      <c r="IN124">
        <f ca="1"/>
      </c>
      <c r="IO124">
        <f ca="1"/>
      </c>
      <c r="IP124">
        <f ca="1"/>
      </c>
      <c r="IQ124">
        <f ca="1"/>
      </c>
      <c r="IR124">
        <f ca="1"/>
      </c>
      <c r="IS124">
        <f ca="1"/>
      </c>
      <c r="IT124">
        <f ca="1"/>
      </c>
      <c r="IU124">
        <f ca="1"/>
      </c>
      <c r="IV124">
        <f ca="1"/>
      </c>
      <c r="IW124">
        <f ca="1"/>
      </c>
      <c r="IX124">
        <f ca="1"/>
      </c>
      <c r="IY124">
        <f ca="1"/>
      </c>
      <c r="IZ124">
        <f ca="1"/>
      </c>
      <c r="JA124">
        <f ca="1"/>
      </c>
      <c r="JB124">
        <f ca="1"/>
      </c>
    </row>
    <row r="125" spans="58:267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  <c r="HZ125">
        <f ca="1"/>
      </c>
      <c r="IA125">
        <f ca="1"/>
      </c>
      <c r="IB125">
        <f ca="1"/>
      </c>
      <c r="IC125">
        <f ca="1"/>
      </c>
      <c r="ID125">
        <f ca="1"/>
      </c>
      <c r="IE125">
        <f ca="1"/>
      </c>
      <c r="IF125">
        <f ca="1"/>
      </c>
      <c r="IG125">
        <f ca="1"/>
      </c>
      <c r="IH125">
        <f ca="1"/>
      </c>
      <c r="II125">
        <f ca="1"/>
      </c>
      <c r="IJ125">
        <f ca="1"/>
      </c>
      <c r="IK125">
        <f ca="1"/>
      </c>
      <c r="IL125">
        <f ca="1"/>
      </c>
      <c r="IM125">
        <f ca="1"/>
      </c>
      <c r="IN125">
        <f ca="1"/>
      </c>
      <c r="IO125">
        <f ca="1"/>
      </c>
      <c r="IP125">
        <f ca="1"/>
      </c>
      <c r="IQ125">
        <f ca="1"/>
      </c>
      <c r="IR125">
        <f ca="1"/>
      </c>
      <c r="IS125">
        <f ca="1"/>
      </c>
      <c r="IT125">
        <f ca="1"/>
      </c>
      <c r="IU125">
        <f ca="1"/>
      </c>
      <c r="IV125">
        <f ca="1"/>
      </c>
      <c r="IW125">
        <f ca="1"/>
      </c>
      <c r="IX125">
        <f ca="1"/>
      </c>
      <c r="IY125">
        <f ca="1"/>
      </c>
      <c r="IZ125">
        <f ca="1"/>
      </c>
      <c r="JA125">
        <f ca="1"/>
      </c>
      <c r="JB125">
        <f ca="1"/>
      </c>
    </row>
    <row r="126" spans="58:267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  <c r="HZ126">
        <f ca="1"/>
      </c>
      <c r="IA126">
        <f ca="1"/>
      </c>
      <c r="IB126">
        <f ca="1"/>
      </c>
      <c r="IC126">
        <f ca="1"/>
      </c>
      <c r="ID126">
        <f ca="1"/>
      </c>
      <c r="IE126">
        <f ca="1"/>
      </c>
      <c r="IF126">
        <f ca="1"/>
      </c>
      <c r="IG126">
        <f ca="1"/>
      </c>
      <c r="IH126">
        <f ca="1"/>
      </c>
      <c r="II126">
        <f ca="1"/>
      </c>
      <c r="IJ126">
        <f ca="1"/>
      </c>
      <c r="IK126">
        <f ca="1"/>
      </c>
      <c r="IL126">
        <f ca="1"/>
      </c>
      <c r="IM126">
        <f ca="1"/>
      </c>
      <c r="IN126">
        <f ca="1"/>
      </c>
      <c r="IO126">
        <f ca="1"/>
      </c>
      <c r="IP126">
        <f ca="1"/>
      </c>
      <c r="IQ126">
        <f ca="1"/>
      </c>
      <c r="IR126">
        <f ca="1"/>
      </c>
      <c r="IS126">
        <f ca="1"/>
      </c>
      <c r="IT126">
        <f ca="1"/>
      </c>
      <c r="IU126">
        <f ca="1"/>
      </c>
      <c r="IV126">
        <f ca="1"/>
      </c>
      <c r="IW126">
        <f ca="1"/>
      </c>
      <c r="IX126">
        <f ca="1"/>
      </c>
      <c r="IY126">
        <f ca="1"/>
      </c>
      <c r="IZ126">
        <f ca="1"/>
      </c>
      <c r="JA126">
        <f ca="1"/>
      </c>
      <c r="JB126">
        <f ca="1"/>
      </c>
    </row>
    <row r="127" spans="58:267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  <c r="HZ127">
        <f ca="1"/>
      </c>
      <c r="IA127">
        <f ca="1"/>
      </c>
      <c r="IB127">
        <f ca="1"/>
      </c>
      <c r="IC127">
        <f ca="1"/>
      </c>
      <c r="ID127">
        <f ca="1"/>
      </c>
      <c r="IE127">
        <f ca="1"/>
      </c>
      <c r="IF127">
        <f ca="1"/>
      </c>
      <c r="IG127">
        <f ca="1"/>
      </c>
      <c r="IH127">
        <f ca="1"/>
      </c>
      <c r="II127">
        <f ca="1"/>
      </c>
      <c r="IJ127">
        <f ca="1"/>
      </c>
      <c r="IK127">
        <f ca="1"/>
      </c>
      <c r="IL127">
        <f ca="1"/>
      </c>
      <c r="IM127">
        <f ca="1"/>
      </c>
      <c r="IN127">
        <f ca="1"/>
      </c>
      <c r="IO127">
        <f ca="1"/>
      </c>
      <c r="IP127">
        <f ca="1"/>
      </c>
      <c r="IQ127">
        <f ca="1"/>
      </c>
      <c r="IR127">
        <f ca="1"/>
      </c>
      <c r="IS127">
        <f ca="1"/>
      </c>
      <c r="IT127">
        <f ca="1"/>
      </c>
      <c r="IU127">
        <f ca="1"/>
      </c>
      <c r="IV127">
        <f ca="1"/>
      </c>
      <c r="IW127">
        <f ca="1"/>
      </c>
      <c r="IX127">
        <f ca="1"/>
      </c>
      <c r="IY127">
        <f ca="1"/>
      </c>
      <c r="IZ127">
        <f ca="1"/>
      </c>
      <c r="JA127">
        <f ca="1"/>
      </c>
      <c r="JB127">
        <f ca="1"/>
      </c>
    </row>
    <row r="128" spans="58:267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  <c r="HZ128">
        <f ca="1"/>
      </c>
      <c r="IA128">
        <f ca="1"/>
      </c>
      <c r="IB128">
        <f ca="1"/>
      </c>
      <c r="IC128">
        <f ca="1"/>
      </c>
      <c r="ID128">
        <f ca="1"/>
      </c>
      <c r="IE128">
        <f ca="1"/>
      </c>
      <c r="IF128">
        <f ca="1"/>
      </c>
      <c r="IG128">
        <f ca="1"/>
      </c>
      <c r="IH128">
        <f ca="1"/>
      </c>
      <c r="II128">
        <f ca="1"/>
      </c>
      <c r="IJ128">
        <f ca="1"/>
      </c>
      <c r="IK128">
        <f ca="1"/>
      </c>
      <c r="IL128">
        <f ca="1"/>
      </c>
      <c r="IM128">
        <f ca="1"/>
      </c>
      <c r="IN128">
        <f ca="1"/>
      </c>
      <c r="IO128">
        <f ca="1"/>
      </c>
      <c r="IP128">
        <f ca="1"/>
      </c>
      <c r="IQ128">
        <f ca="1"/>
      </c>
      <c r="IR128">
        <f ca="1"/>
      </c>
      <c r="IS128">
        <f ca="1"/>
      </c>
      <c r="IT128">
        <f ca="1"/>
      </c>
      <c r="IU128">
        <f ca="1"/>
      </c>
      <c r="IV128">
        <f ca="1"/>
      </c>
      <c r="IW128">
        <f ca="1"/>
      </c>
      <c r="IX128">
        <f ca="1"/>
      </c>
      <c r="IY128">
        <f ca="1"/>
      </c>
      <c r="IZ128">
        <f ca="1"/>
      </c>
      <c r="JA128">
        <f ca="1"/>
      </c>
      <c r="JB128">
        <f ca="1"/>
      </c>
    </row>
    <row r="129" spans="58:267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  <c r="HZ129">
        <f ca="1"/>
      </c>
      <c r="IA129">
        <f ca="1"/>
      </c>
      <c r="IB129">
        <f ca="1"/>
      </c>
      <c r="IC129">
        <f ca="1"/>
      </c>
      <c r="ID129">
        <f ca="1"/>
      </c>
      <c r="IE129">
        <f ca="1"/>
      </c>
      <c r="IF129">
        <f ca="1"/>
      </c>
      <c r="IG129">
        <f ca="1"/>
      </c>
      <c r="IH129">
        <f ca="1"/>
      </c>
      <c r="II129">
        <f ca="1"/>
      </c>
      <c r="IJ129">
        <f ca="1"/>
      </c>
      <c r="IK129">
        <f ca="1"/>
      </c>
      <c r="IL129">
        <f ca="1"/>
      </c>
      <c r="IM129">
        <f ca="1"/>
      </c>
      <c r="IN129">
        <f ca="1"/>
      </c>
      <c r="IO129">
        <f ca="1"/>
      </c>
      <c r="IP129">
        <f ca="1"/>
      </c>
      <c r="IQ129">
        <f ca="1"/>
      </c>
      <c r="IR129">
        <f ca="1"/>
      </c>
      <c r="IS129">
        <f ca="1"/>
      </c>
      <c r="IT129">
        <f ca="1"/>
      </c>
      <c r="IU129">
        <f ca="1"/>
      </c>
      <c r="IV129">
        <f ca="1"/>
      </c>
      <c r="IW129">
        <f ca="1"/>
      </c>
      <c r="IX129">
        <f ca="1"/>
      </c>
      <c r="IY129">
        <f ca="1"/>
      </c>
      <c r="IZ129">
        <f ca="1"/>
      </c>
      <c r="JA129">
        <f ca="1"/>
      </c>
      <c r="JB129">
        <f ca="1"/>
      </c>
    </row>
    <row r="130" spans="58:267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  <c r="HZ130">
        <f ca="1"/>
      </c>
      <c r="IA130">
        <f ca="1"/>
      </c>
      <c r="IB130">
        <f ca="1"/>
      </c>
      <c r="IC130">
        <f ca="1"/>
      </c>
      <c r="ID130">
        <f ca="1"/>
      </c>
      <c r="IE130">
        <f ca="1"/>
      </c>
      <c r="IF130">
        <f ca="1"/>
      </c>
      <c r="IG130">
        <f ca="1"/>
      </c>
      <c r="IH130">
        <f ca="1"/>
      </c>
      <c r="II130">
        <f ca="1"/>
      </c>
      <c r="IJ130">
        <f ca="1"/>
      </c>
      <c r="IK130">
        <f ca="1"/>
      </c>
      <c r="IL130">
        <f ca="1"/>
      </c>
      <c r="IM130">
        <f ca="1"/>
      </c>
      <c r="IN130">
        <f ca="1"/>
      </c>
      <c r="IO130">
        <f ca="1"/>
      </c>
      <c r="IP130">
        <f ca="1"/>
      </c>
      <c r="IQ130">
        <f ca="1"/>
      </c>
      <c r="IR130">
        <f ca="1"/>
      </c>
      <c r="IS130">
        <f ca="1"/>
      </c>
      <c r="IT130">
        <f ca="1"/>
      </c>
      <c r="IU130">
        <f ca="1"/>
      </c>
      <c r="IV130">
        <f ca="1"/>
      </c>
      <c r="IW130">
        <f ca="1"/>
      </c>
      <c r="IX130">
        <f ca="1"/>
      </c>
      <c r="IY130">
        <f ca="1"/>
      </c>
      <c r="IZ130">
        <f ca="1"/>
      </c>
      <c r="JA130">
        <f ca="1"/>
      </c>
      <c r="JB130">
        <f ca="1"/>
      </c>
    </row>
    <row r="131" spans="58:267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  <c r="HZ131">
        <f ca="1"/>
      </c>
      <c r="IA131">
        <f ca="1"/>
      </c>
      <c r="IB131">
        <f ca="1"/>
      </c>
      <c r="IC131">
        <f ca="1"/>
      </c>
      <c r="ID131">
        <f ca="1"/>
      </c>
      <c r="IE131">
        <f ca="1"/>
      </c>
      <c r="IF131">
        <f ca="1"/>
      </c>
      <c r="IG131">
        <f ca="1"/>
      </c>
      <c r="IH131">
        <f ca="1"/>
      </c>
      <c r="II131">
        <f ca="1"/>
      </c>
      <c r="IJ131">
        <f ca="1"/>
      </c>
      <c r="IK131">
        <f ca="1"/>
      </c>
      <c r="IL131">
        <f ca="1"/>
      </c>
      <c r="IM131">
        <f ca="1"/>
      </c>
      <c r="IN131">
        <f ca="1"/>
      </c>
      <c r="IO131">
        <f ca="1"/>
      </c>
      <c r="IP131">
        <f ca="1"/>
      </c>
      <c r="IQ131">
        <f ca="1"/>
      </c>
      <c r="IR131">
        <f ca="1"/>
      </c>
      <c r="IS131">
        <f ca="1"/>
      </c>
      <c r="IT131">
        <f ca="1"/>
      </c>
      <c r="IU131">
        <f ca="1"/>
      </c>
      <c r="IV131">
        <f ca="1"/>
      </c>
      <c r="IW131">
        <f ca="1"/>
      </c>
      <c r="IX131">
        <f ca="1"/>
      </c>
      <c r="IY131">
        <f ca="1"/>
      </c>
      <c r="IZ131">
        <f ca="1"/>
      </c>
      <c r="JA131">
        <f ca="1"/>
      </c>
      <c r="JB131">
        <f ca="1"/>
      </c>
    </row>
    <row r="132" spans="58:267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  <c r="HZ132">
        <f ca="1"/>
      </c>
      <c r="IA132">
        <f ca="1"/>
      </c>
      <c r="IB132">
        <f ca="1"/>
      </c>
      <c r="IC132">
        <f ca="1"/>
      </c>
      <c r="ID132">
        <f ca="1"/>
      </c>
      <c r="IE132">
        <f ca="1"/>
      </c>
      <c r="IF132">
        <f ca="1"/>
      </c>
      <c r="IG132">
        <f ca="1"/>
      </c>
      <c r="IH132">
        <f ca="1"/>
      </c>
      <c r="II132">
        <f ca="1"/>
      </c>
      <c r="IJ132">
        <f ca="1"/>
      </c>
      <c r="IK132">
        <f ca="1"/>
      </c>
      <c r="IL132">
        <f ca="1"/>
      </c>
      <c r="IM132">
        <f ca="1"/>
      </c>
      <c r="IN132">
        <f ca="1"/>
      </c>
      <c r="IO132">
        <f ca="1"/>
      </c>
      <c r="IP132">
        <f ca="1"/>
      </c>
      <c r="IQ132">
        <f ca="1"/>
      </c>
      <c r="IR132">
        <f ca="1"/>
      </c>
      <c r="IS132">
        <f ca="1"/>
      </c>
      <c r="IT132">
        <f ca="1"/>
      </c>
      <c r="IU132">
        <f ca="1"/>
      </c>
      <c r="IV132">
        <f ca="1"/>
      </c>
      <c r="IW132">
        <f ca="1"/>
      </c>
      <c r="IX132">
        <f ca="1"/>
      </c>
      <c r="IY132">
        <f ca="1"/>
      </c>
      <c r="IZ132">
        <f ca="1"/>
      </c>
      <c r="JA132">
        <f ca="1"/>
      </c>
      <c r="JB132">
        <f ca="1"/>
      </c>
    </row>
    <row r="133" spans="58:267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  <c r="HZ133">
        <f ca="1"/>
      </c>
      <c r="IA133">
        <f ca="1"/>
      </c>
      <c r="IB133">
        <f ca="1"/>
      </c>
      <c r="IC133">
        <f ca="1"/>
      </c>
      <c r="ID133">
        <f ca="1"/>
      </c>
      <c r="IE133">
        <f ca="1"/>
      </c>
      <c r="IF133">
        <f ca="1"/>
      </c>
      <c r="IG133">
        <f ca="1"/>
      </c>
      <c r="IH133">
        <f ca="1"/>
      </c>
      <c r="II133">
        <f ca="1"/>
      </c>
      <c r="IJ133">
        <f ca="1"/>
      </c>
      <c r="IK133">
        <f ca="1"/>
      </c>
      <c r="IL133">
        <f ca="1"/>
      </c>
      <c r="IM133">
        <f ca="1"/>
      </c>
      <c r="IN133">
        <f ca="1"/>
      </c>
      <c r="IO133">
        <f ca="1"/>
      </c>
      <c r="IP133">
        <f ca="1"/>
      </c>
      <c r="IQ133">
        <f ca="1"/>
      </c>
      <c r="IR133">
        <f ca="1"/>
      </c>
      <c r="IS133">
        <f ca="1"/>
      </c>
      <c r="IT133">
        <f ca="1"/>
      </c>
      <c r="IU133">
        <f ca="1"/>
      </c>
      <c r="IV133">
        <f ca="1"/>
      </c>
      <c r="IW133">
        <f ca="1"/>
      </c>
      <c r="IX133">
        <f ca="1"/>
      </c>
      <c r="IY133">
        <f ca="1"/>
      </c>
      <c r="IZ133">
        <f ca="1"/>
      </c>
      <c r="JA133">
        <f ca="1"/>
      </c>
      <c r="JB133">
        <f ca="1"/>
      </c>
    </row>
    <row r="134" spans="58:267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  <c r="HZ134">
        <f ca="1"/>
      </c>
      <c r="IA134">
        <f ca="1"/>
      </c>
      <c r="IB134">
        <f ca="1"/>
      </c>
      <c r="IC134">
        <f ca="1"/>
      </c>
      <c r="ID134">
        <f ca="1"/>
      </c>
      <c r="IE134">
        <f ca="1"/>
      </c>
      <c r="IF134">
        <f ca="1"/>
      </c>
      <c r="IG134">
        <f ca="1"/>
      </c>
      <c r="IH134">
        <f ca="1"/>
      </c>
      <c r="II134">
        <f ca="1"/>
      </c>
      <c r="IJ134">
        <f ca="1"/>
      </c>
      <c r="IK134">
        <f ca="1"/>
      </c>
      <c r="IL134">
        <f ca="1"/>
      </c>
      <c r="IM134">
        <f ca="1"/>
      </c>
      <c r="IN134">
        <f ca="1"/>
      </c>
      <c r="IO134">
        <f ca="1"/>
      </c>
      <c r="IP134">
        <f ca="1"/>
      </c>
      <c r="IQ134">
        <f ca="1"/>
      </c>
      <c r="IR134">
        <f ca="1"/>
      </c>
      <c r="IS134">
        <f ca="1"/>
      </c>
      <c r="IT134">
        <f ca="1"/>
      </c>
      <c r="IU134">
        <f ca="1"/>
      </c>
      <c r="IV134">
        <f ca="1"/>
      </c>
      <c r="IW134">
        <f ca="1"/>
      </c>
      <c r="IX134">
        <f ca="1"/>
      </c>
      <c r="IY134">
        <f ca="1"/>
      </c>
      <c r="IZ134">
        <f ca="1"/>
      </c>
      <c r="JA134">
        <f ca="1"/>
      </c>
      <c r="JB134">
        <f ca="1"/>
      </c>
    </row>
    <row r="135" spans="58:267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  <c r="HZ135">
        <f ca="1"/>
      </c>
      <c r="IA135">
        <f ca="1"/>
      </c>
      <c r="IB135">
        <f ca="1"/>
      </c>
      <c r="IC135">
        <f ca="1"/>
      </c>
      <c r="ID135">
        <f ca="1"/>
      </c>
      <c r="IE135">
        <f ca="1"/>
      </c>
      <c r="IF135">
        <f ca="1"/>
      </c>
      <c r="IG135">
        <f ca="1"/>
      </c>
      <c r="IH135">
        <f ca="1"/>
      </c>
      <c r="II135">
        <f ca="1"/>
      </c>
      <c r="IJ135">
        <f ca="1"/>
      </c>
      <c r="IK135">
        <f ca="1"/>
      </c>
      <c r="IL135">
        <f ca="1"/>
      </c>
      <c r="IM135">
        <f ca="1"/>
      </c>
      <c r="IN135">
        <f ca="1"/>
      </c>
      <c r="IO135">
        <f ca="1"/>
      </c>
      <c r="IP135">
        <f ca="1"/>
      </c>
      <c r="IQ135">
        <f ca="1"/>
      </c>
      <c r="IR135">
        <f ca="1"/>
      </c>
      <c r="IS135">
        <f ca="1"/>
      </c>
      <c r="IT135">
        <f ca="1"/>
      </c>
      <c r="IU135">
        <f ca="1"/>
      </c>
      <c r="IV135">
        <f ca="1"/>
      </c>
      <c r="IW135">
        <f ca="1"/>
      </c>
      <c r="IX135">
        <f ca="1"/>
      </c>
      <c r="IY135">
        <f ca="1"/>
      </c>
      <c r="IZ135">
        <f ca="1"/>
      </c>
      <c r="JA135">
        <f ca="1"/>
      </c>
      <c r="JB135">
        <f ca="1"/>
      </c>
    </row>
    <row r="136" spans="58:267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  <c r="HZ136">
        <f ca="1"/>
      </c>
      <c r="IA136">
        <f ca="1"/>
      </c>
      <c r="IB136">
        <f ca="1"/>
      </c>
      <c r="IC136">
        <f ca="1"/>
      </c>
      <c r="ID136">
        <f ca="1"/>
      </c>
      <c r="IE136">
        <f ca="1"/>
      </c>
      <c r="IF136">
        <f ca="1"/>
      </c>
      <c r="IG136">
        <f ca="1"/>
      </c>
      <c r="IH136">
        <f ca="1"/>
      </c>
      <c r="II136">
        <f ca="1"/>
      </c>
      <c r="IJ136">
        <f ca="1"/>
      </c>
      <c r="IK136">
        <f ca="1"/>
      </c>
      <c r="IL136">
        <f ca="1"/>
      </c>
      <c r="IM136">
        <f ca="1"/>
      </c>
      <c r="IN136">
        <f ca="1"/>
      </c>
      <c r="IO136">
        <f ca="1"/>
      </c>
      <c r="IP136">
        <f ca="1"/>
      </c>
      <c r="IQ136">
        <f ca="1"/>
      </c>
      <c r="IR136">
        <f ca="1"/>
      </c>
      <c r="IS136">
        <f ca="1"/>
      </c>
      <c r="IT136">
        <f ca="1"/>
      </c>
      <c r="IU136">
        <f ca="1"/>
      </c>
      <c r="IV136">
        <f ca="1"/>
      </c>
      <c r="IW136">
        <f ca="1"/>
      </c>
      <c r="IX136">
        <f ca="1"/>
      </c>
      <c r="IY136">
        <f ca="1"/>
      </c>
      <c r="IZ136">
        <f ca="1"/>
      </c>
      <c r="JA136">
        <f ca="1"/>
      </c>
      <c r="JB136">
        <f ca="1"/>
      </c>
    </row>
    <row r="137" spans="58:267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  <c r="HZ137">
        <f ca="1"/>
      </c>
      <c r="IA137">
        <f ca="1"/>
      </c>
      <c r="IB137">
        <f ca="1"/>
      </c>
      <c r="IC137">
        <f ca="1"/>
      </c>
      <c r="ID137">
        <f ca="1"/>
      </c>
      <c r="IE137">
        <f ca="1"/>
      </c>
      <c r="IF137">
        <f ca="1"/>
      </c>
      <c r="IG137">
        <f ca="1"/>
      </c>
      <c r="IH137">
        <f ca="1"/>
      </c>
      <c r="II137">
        <f ca="1"/>
      </c>
      <c r="IJ137">
        <f ca="1"/>
      </c>
      <c r="IK137">
        <f ca="1"/>
      </c>
      <c r="IL137">
        <f ca="1"/>
      </c>
      <c r="IM137">
        <f ca="1"/>
      </c>
      <c r="IN137">
        <f ca="1"/>
      </c>
      <c r="IO137">
        <f ca="1"/>
      </c>
      <c r="IP137">
        <f ca="1"/>
      </c>
      <c r="IQ137">
        <f ca="1"/>
      </c>
      <c r="IR137">
        <f ca="1"/>
      </c>
      <c r="IS137">
        <f ca="1"/>
      </c>
      <c r="IT137">
        <f ca="1"/>
      </c>
      <c r="IU137">
        <f ca="1"/>
      </c>
      <c r="IV137">
        <f ca="1"/>
      </c>
      <c r="IW137">
        <f ca="1"/>
      </c>
      <c r="IX137">
        <f ca="1"/>
      </c>
      <c r="IY137">
        <f ca="1"/>
      </c>
      <c r="IZ137">
        <f ca="1"/>
      </c>
      <c r="JA137">
        <f ca="1"/>
      </c>
      <c r="JB137">
        <f ca="1"/>
      </c>
    </row>
    <row r="138" spans="58:267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  <c r="HZ138">
        <f ca="1"/>
      </c>
      <c r="IA138">
        <f ca="1"/>
      </c>
      <c r="IB138">
        <f ca="1"/>
      </c>
      <c r="IC138">
        <f ca="1"/>
      </c>
      <c r="ID138">
        <f ca="1"/>
      </c>
      <c r="IE138">
        <f ca="1"/>
      </c>
      <c r="IF138">
        <f ca="1"/>
      </c>
      <c r="IG138">
        <f ca="1"/>
      </c>
      <c r="IH138">
        <f ca="1"/>
      </c>
      <c r="II138">
        <f ca="1"/>
      </c>
      <c r="IJ138">
        <f ca="1"/>
      </c>
      <c r="IK138">
        <f ca="1"/>
      </c>
      <c r="IL138">
        <f ca="1"/>
      </c>
      <c r="IM138">
        <f ca="1"/>
      </c>
      <c r="IN138">
        <f ca="1"/>
      </c>
      <c r="IO138">
        <f ca="1"/>
      </c>
      <c r="IP138">
        <f ca="1"/>
      </c>
      <c r="IQ138">
        <f ca="1"/>
      </c>
      <c r="IR138">
        <f ca="1"/>
      </c>
      <c r="IS138">
        <f ca="1"/>
      </c>
      <c r="IT138">
        <f ca="1"/>
      </c>
      <c r="IU138">
        <f ca="1"/>
      </c>
      <c r="IV138">
        <f ca="1"/>
      </c>
      <c r="IW138">
        <f ca="1"/>
      </c>
      <c r="IX138">
        <f ca="1"/>
      </c>
      <c r="IY138">
        <f ca="1"/>
      </c>
      <c r="IZ138">
        <f ca="1"/>
      </c>
      <c r="JA138">
        <f ca="1"/>
      </c>
      <c r="JB138">
        <f ca="1"/>
      </c>
    </row>
    <row r="139" spans="58:267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  <c r="HZ139">
        <f ca="1"/>
      </c>
      <c r="IA139">
        <f ca="1"/>
      </c>
      <c r="IB139">
        <f ca="1"/>
      </c>
      <c r="IC139">
        <f ca="1"/>
      </c>
      <c r="ID139">
        <f ca="1"/>
      </c>
      <c r="IE139">
        <f ca="1"/>
      </c>
      <c r="IF139">
        <f ca="1"/>
      </c>
      <c r="IG139">
        <f ca="1"/>
      </c>
      <c r="IH139">
        <f ca="1"/>
      </c>
      <c r="II139">
        <f ca="1"/>
      </c>
      <c r="IJ139">
        <f ca="1"/>
      </c>
      <c r="IK139">
        <f ca="1"/>
      </c>
      <c r="IL139">
        <f ca="1"/>
      </c>
      <c r="IM139">
        <f ca="1"/>
      </c>
      <c r="IN139">
        <f ca="1"/>
      </c>
      <c r="IO139">
        <f ca="1"/>
      </c>
      <c r="IP139">
        <f ca="1"/>
      </c>
      <c r="IQ139">
        <f ca="1"/>
      </c>
      <c r="IR139">
        <f ca="1"/>
      </c>
      <c r="IS139">
        <f ca="1"/>
      </c>
      <c r="IT139">
        <f ca="1"/>
      </c>
      <c r="IU139">
        <f ca="1"/>
      </c>
      <c r="IV139">
        <f ca="1"/>
      </c>
      <c r="IW139">
        <f ca="1"/>
      </c>
      <c r="IX139">
        <f ca="1"/>
      </c>
      <c r="IY139">
        <f ca="1"/>
      </c>
      <c r="IZ139">
        <f ca="1"/>
      </c>
      <c r="JA139">
        <f ca="1"/>
      </c>
      <c r="JB139">
        <f ca="1"/>
      </c>
    </row>
    <row r="140" spans="58:267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  <c r="HZ140">
        <f ca="1"/>
      </c>
      <c r="IA140">
        <f ca="1"/>
      </c>
      <c r="IB140">
        <f ca="1"/>
      </c>
      <c r="IC140">
        <f ca="1"/>
      </c>
      <c r="ID140">
        <f ca="1"/>
      </c>
      <c r="IE140">
        <f ca="1"/>
      </c>
      <c r="IF140">
        <f ca="1"/>
      </c>
      <c r="IG140">
        <f ca="1"/>
      </c>
      <c r="IH140">
        <f ca="1"/>
      </c>
      <c r="II140">
        <f ca="1"/>
      </c>
      <c r="IJ140">
        <f ca="1"/>
      </c>
      <c r="IK140">
        <f ca="1"/>
      </c>
      <c r="IL140">
        <f ca="1"/>
      </c>
      <c r="IM140">
        <f ca="1"/>
      </c>
      <c r="IN140">
        <f ca="1"/>
      </c>
      <c r="IO140">
        <f ca="1"/>
      </c>
      <c r="IP140">
        <f ca="1"/>
      </c>
      <c r="IQ140">
        <f ca="1"/>
      </c>
      <c r="IR140">
        <f ca="1"/>
      </c>
      <c r="IS140">
        <f ca="1"/>
      </c>
      <c r="IT140">
        <f ca="1"/>
      </c>
      <c r="IU140">
        <f ca="1"/>
      </c>
      <c r="IV140">
        <f ca="1"/>
      </c>
      <c r="IW140">
        <f ca="1"/>
      </c>
      <c r="IX140">
        <f ca="1"/>
      </c>
      <c r="IY140">
        <f ca="1"/>
      </c>
      <c r="IZ140">
        <f ca="1"/>
      </c>
      <c r="JA140">
        <f ca="1"/>
      </c>
      <c r="JB140">
        <f ca="1"/>
      </c>
    </row>
    <row r="141" spans="58:267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  <c r="HZ141">
        <f ca="1"/>
      </c>
      <c r="IA141">
        <f ca="1"/>
      </c>
      <c r="IB141">
        <f ca="1"/>
      </c>
      <c r="IC141">
        <f ca="1"/>
      </c>
      <c r="ID141">
        <f ca="1"/>
      </c>
      <c r="IE141">
        <f ca="1"/>
      </c>
      <c r="IF141">
        <f ca="1"/>
      </c>
      <c r="IG141">
        <f ca="1"/>
      </c>
      <c r="IH141">
        <f ca="1"/>
      </c>
      <c r="II141">
        <f ca="1"/>
      </c>
      <c r="IJ141">
        <f ca="1"/>
      </c>
      <c r="IK141">
        <f ca="1"/>
      </c>
      <c r="IL141">
        <f ca="1"/>
      </c>
      <c r="IM141">
        <f ca="1"/>
      </c>
      <c r="IN141">
        <f ca="1"/>
      </c>
      <c r="IO141">
        <f ca="1"/>
      </c>
      <c r="IP141">
        <f ca="1"/>
      </c>
      <c r="IQ141">
        <f ca="1"/>
      </c>
      <c r="IR141">
        <f ca="1"/>
      </c>
      <c r="IS141">
        <f ca="1"/>
      </c>
      <c r="IT141">
        <f ca="1"/>
      </c>
      <c r="IU141">
        <f ca="1"/>
      </c>
      <c r="IV141">
        <f ca="1"/>
      </c>
      <c r="IW141">
        <f ca="1"/>
      </c>
      <c r="IX141">
        <f ca="1"/>
      </c>
      <c r="IY141">
        <f ca="1"/>
      </c>
      <c r="IZ141">
        <f ca="1"/>
      </c>
      <c r="JA141">
        <f ca="1"/>
      </c>
      <c r="JB141">
        <f ca="1"/>
      </c>
    </row>
    <row r="142" spans="58:267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  <c r="HZ142">
        <f ca="1"/>
      </c>
      <c r="IA142">
        <f ca="1"/>
      </c>
      <c r="IB142">
        <f ca="1"/>
      </c>
      <c r="IC142">
        <f ca="1"/>
      </c>
      <c r="ID142">
        <f ca="1"/>
      </c>
      <c r="IE142">
        <f ca="1"/>
      </c>
      <c r="IF142">
        <f ca="1"/>
      </c>
      <c r="IG142">
        <f ca="1"/>
      </c>
      <c r="IH142">
        <f ca="1"/>
      </c>
      <c r="II142">
        <f ca="1"/>
      </c>
      <c r="IJ142">
        <f ca="1"/>
      </c>
      <c r="IK142">
        <f ca="1"/>
      </c>
      <c r="IL142">
        <f ca="1"/>
      </c>
      <c r="IM142">
        <f ca="1"/>
      </c>
      <c r="IN142">
        <f ca="1"/>
      </c>
      <c r="IO142">
        <f ca="1"/>
      </c>
      <c r="IP142">
        <f ca="1"/>
      </c>
      <c r="IQ142">
        <f ca="1"/>
      </c>
      <c r="IR142">
        <f ca="1"/>
      </c>
      <c r="IS142">
        <f ca="1"/>
      </c>
      <c r="IT142">
        <f ca="1"/>
      </c>
      <c r="IU142">
        <f ca="1"/>
      </c>
      <c r="IV142">
        <f ca="1"/>
      </c>
      <c r="IW142">
        <f ca="1"/>
      </c>
      <c r="IX142">
        <f ca="1"/>
      </c>
      <c r="IY142">
        <f ca="1"/>
      </c>
      <c r="IZ142">
        <f ca="1"/>
      </c>
      <c r="JA142">
        <f ca="1"/>
      </c>
      <c r="JB142">
        <f ca="1"/>
      </c>
    </row>
    <row r="143" spans="58:267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  <c r="HZ143">
        <f ca="1"/>
      </c>
      <c r="IA143">
        <f ca="1"/>
      </c>
      <c r="IB143">
        <f ca="1"/>
      </c>
      <c r="IC143">
        <f ca="1"/>
      </c>
      <c r="ID143">
        <f ca="1"/>
      </c>
      <c r="IE143">
        <f ca="1"/>
      </c>
      <c r="IF143">
        <f ca="1"/>
      </c>
      <c r="IG143">
        <f ca="1"/>
      </c>
      <c r="IH143">
        <f ca="1"/>
      </c>
      <c r="II143">
        <f ca="1"/>
      </c>
      <c r="IJ143">
        <f ca="1"/>
      </c>
      <c r="IK143">
        <f ca="1"/>
      </c>
      <c r="IL143">
        <f ca="1"/>
      </c>
      <c r="IM143">
        <f ca="1"/>
      </c>
      <c r="IN143">
        <f ca="1"/>
      </c>
      <c r="IO143">
        <f ca="1"/>
      </c>
      <c r="IP143">
        <f ca="1"/>
      </c>
      <c r="IQ143">
        <f ca="1"/>
      </c>
      <c r="IR143">
        <f ca="1"/>
      </c>
      <c r="IS143">
        <f ca="1"/>
      </c>
      <c r="IT143">
        <f ca="1"/>
      </c>
      <c r="IU143">
        <f ca="1"/>
      </c>
      <c r="IV143">
        <f ca="1"/>
      </c>
      <c r="IW143">
        <f ca="1"/>
      </c>
      <c r="IX143">
        <f ca="1"/>
      </c>
      <c r="IY143">
        <f ca="1"/>
      </c>
      <c r="IZ143">
        <f ca="1"/>
      </c>
      <c r="JA143">
        <f ca="1"/>
      </c>
      <c r="JB143">
        <f ca="1"/>
      </c>
    </row>
    <row r="144" spans="58:267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  <c r="HZ144">
        <f ca="1"/>
      </c>
      <c r="IA144">
        <f ca="1"/>
      </c>
      <c r="IB144">
        <f ca="1"/>
      </c>
      <c r="IC144">
        <f ca="1"/>
      </c>
      <c r="ID144">
        <f ca="1"/>
      </c>
      <c r="IE144">
        <f ca="1"/>
      </c>
      <c r="IF144">
        <f ca="1"/>
      </c>
      <c r="IG144">
        <f ca="1"/>
      </c>
      <c r="IH144">
        <f ca="1"/>
      </c>
      <c r="II144">
        <f ca="1"/>
      </c>
      <c r="IJ144">
        <f ca="1"/>
      </c>
      <c r="IK144">
        <f ca="1"/>
      </c>
      <c r="IL144">
        <f ca="1"/>
      </c>
      <c r="IM144">
        <f ca="1"/>
      </c>
      <c r="IN144">
        <f ca="1"/>
      </c>
      <c r="IO144">
        <f ca="1"/>
      </c>
      <c r="IP144">
        <f ca="1"/>
      </c>
      <c r="IQ144">
        <f ca="1"/>
      </c>
      <c r="IR144">
        <f ca="1"/>
      </c>
      <c r="IS144">
        <f ca="1"/>
      </c>
      <c r="IT144">
        <f ca="1"/>
      </c>
      <c r="IU144">
        <f ca="1"/>
      </c>
      <c r="IV144">
        <f ca="1"/>
      </c>
      <c r="IW144">
        <f ca="1"/>
      </c>
      <c r="IX144">
        <f ca="1"/>
      </c>
      <c r="IY144">
        <f ca="1"/>
      </c>
      <c r="IZ144">
        <f ca="1"/>
      </c>
      <c r="JA144">
        <f ca="1"/>
      </c>
      <c r="JB144">
        <f ca="1"/>
      </c>
    </row>
    <row r="145" spans="58:267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  <c r="HZ145">
        <f ca="1"/>
      </c>
      <c r="IA145">
        <f ca="1"/>
      </c>
      <c r="IB145">
        <f ca="1"/>
      </c>
      <c r="IC145">
        <f ca="1"/>
      </c>
      <c r="ID145">
        <f ca="1"/>
      </c>
      <c r="IE145">
        <f ca="1"/>
      </c>
      <c r="IF145">
        <f ca="1"/>
      </c>
      <c r="IG145">
        <f ca="1"/>
      </c>
      <c r="IH145">
        <f ca="1"/>
      </c>
      <c r="II145">
        <f ca="1"/>
      </c>
      <c r="IJ145">
        <f ca="1"/>
      </c>
      <c r="IK145">
        <f ca="1"/>
      </c>
      <c r="IL145">
        <f ca="1"/>
      </c>
      <c r="IM145">
        <f ca="1"/>
      </c>
      <c r="IN145">
        <f ca="1"/>
      </c>
      <c r="IO145">
        <f ca="1"/>
      </c>
      <c r="IP145">
        <f ca="1"/>
      </c>
      <c r="IQ145">
        <f ca="1"/>
      </c>
      <c r="IR145">
        <f ca="1"/>
      </c>
      <c r="IS145">
        <f ca="1"/>
      </c>
      <c r="IT145">
        <f ca="1"/>
      </c>
      <c r="IU145">
        <f ca="1"/>
      </c>
      <c r="IV145">
        <f ca="1"/>
      </c>
      <c r="IW145">
        <f ca="1"/>
      </c>
      <c r="IX145">
        <f ca="1"/>
      </c>
      <c r="IY145">
        <f ca="1"/>
      </c>
      <c r="IZ145">
        <f ca="1"/>
      </c>
      <c r="JA145">
        <f ca="1"/>
      </c>
      <c r="JB145">
        <f ca="1"/>
      </c>
    </row>
    <row r="146" spans="58:267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  <c r="HZ146">
        <f ca="1"/>
      </c>
      <c r="IA146">
        <f ca="1"/>
      </c>
      <c r="IB146">
        <f ca="1"/>
      </c>
      <c r="IC146">
        <f ca="1"/>
      </c>
      <c r="ID146">
        <f ca="1"/>
      </c>
      <c r="IE146">
        <f ca="1"/>
      </c>
      <c r="IF146">
        <f ca="1"/>
      </c>
      <c r="IG146">
        <f ca="1"/>
      </c>
      <c r="IH146">
        <f ca="1"/>
      </c>
      <c r="II146">
        <f ca="1"/>
      </c>
      <c r="IJ146">
        <f ca="1"/>
      </c>
      <c r="IK146">
        <f ca="1"/>
      </c>
      <c r="IL146">
        <f ca="1"/>
      </c>
      <c r="IM146">
        <f ca="1"/>
      </c>
      <c r="IN146">
        <f ca="1"/>
      </c>
      <c r="IO146">
        <f ca="1"/>
      </c>
      <c r="IP146">
        <f ca="1"/>
      </c>
      <c r="IQ146">
        <f ca="1"/>
      </c>
      <c r="IR146">
        <f ca="1"/>
      </c>
      <c r="IS146">
        <f ca="1"/>
      </c>
      <c r="IT146">
        <f ca="1"/>
      </c>
      <c r="IU146">
        <f ca="1"/>
      </c>
      <c r="IV146">
        <f ca="1"/>
      </c>
      <c r="IW146">
        <f ca="1"/>
      </c>
      <c r="IX146">
        <f ca="1"/>
      </c>
      <c r="IY146">
        <f ca="1"/>
      </c>
      <c r="IZ146">
        <f ca="1"/>
      </c>
      <c r="JA146">
        <f ca="1"/>
      </c>
      <c r="JB146">
        <f ca="1"/>
      </c>
    </row>
    <row r="147" spans="58:267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  <c r="HZ147">
        <f ca="1"/>
      </c>
      <c r="IA147">
        <f ca="1"/>
      </c>
      <c r="IB147">
        <f ca="1"/>
      </c>
      <c r="IC147">
        <f ca="1"/>
      </c>
      <c r="ID147">
        <f ca="1"/>
      </c>
      <c r="IE147">
        <f ca="1"/>
      </c>
      <c r="IF147">
        <f ca="1"/>
      </c>
      <c r="IG147">
        <f ca="1"/>
      </c>
      <c r="IH147">
        <f ca="1"/>
      </c>
      <c r="II147">
        <f ca="1"/>
      </c>
      <c r="IJ147">
        <f ca="1"/>
      </c>
      <c r="IK147">
        <f ca="1"/>
      </c>
      <c r="IL147">
        <f ca="1"/>
      </c>
      <c r="IM147">
        <f ca="1"/>
      </c>
      <c r="IN147">
        <f ca="1"/>
      </c>
      <c r="IO147">
        <f ca="1"/>
      </c>
      <c r="IP147">
        <f ca="1"/>
      </c>
      <c r="IQ147">
        <f ca="1"/>
      </c>
      <c r="IR147">
        <f ca="1"/>
      </c>
      <c r="IS147">
        <f ca="1"/>
      </c>
      <c r="IT147">
        <f ca="1"/>
      </c>
      <c r="IU147">
        <f ca="1"/>
      </c>
      <c r="IV147">
        <f ca="1"/>
      </c>
      <c r="IW147">
        <f ca="1"/>
      </c>
      <c r="IX147">
        <f ca="1"/>
      </c>
      <c r="IY147">
        <f ca="1"/>
      </c>
      <c r="IZ147">
        <f ca="1"/>
      </c>
      <c r="JA147">
        <f ca="1"/>
      </c>
      <c r="JB147">
        <f ca="1"/>
      </c>
    </row>
    <row r="148" spans="58:267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  <c r="HZ148">
        <f ca="1"/>
      </c>
      <c r="IA148">
        <f ca="1"/>
      </c>
      <c r="IB148">
        <f ca="1"/>
      </c>
      <c r="IC148">
        <f ca="1"/>
      </c>
      <c r="ID148">
        <f ca="1"/>
      </c>
      <c r="IE148">
        <f ca="1"/>
      </c>
      <c r="IF148">
        <f ca="1"/>
      </c>
      <c r="IG148">
        <f ca="1"/>
      </c>
      <c r="IH148">
        <f ca="1"/>
      </c>
      <c r="II148">
        <f ca="1"/>
      </c>
      <c r="IJ148">
        <f ca="1"/>
      </c>
      <c r="IK148">
        <f ca="1"/>
      </c>
      <c r="IL148">
        <f ca="1"/>
      </c>
      <c r="IM148">
        <f ca="1"/>
      </c>
      <c r="IN148">
        <f ca="1"/>
      </c>
      <c r="IO148">
        <f ca="1"/>
      </c>
      <c r="IP148">
        <f ca="1"/>
      </c>
      <c r="IQ148">
        <f ca="1"/>
      </c>
      <c r="IR148">
        <f ca="1"/>
      </c>
      <c r="IS148">
        <f ca="1"/>
      </c>
      <c r="IT148">
        <f ca="1"/>
      </c>
      <c r="IU148">
        <f ca="1"/>
      </c>
      <c r="IV148">
        <f ca="1"/>
      </c>
      <c r="IW148">
        <f ca="1"/>
      </c>
      <c r="IX148">
        <f ca="1"/>
      </c>
      <c r="IY148">
        <f ca="1"/>
      </c>
      <c r="IZ148">
        <f ca="1"/>
      </c>
      <c r="JA148">
        <f ca="1"/>
      </c>
      <c r="JB148">
        <f ca="1"/>
      </c>
    </row>
    <row r="149" spans="58:267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  <c r="HZ149">
        <f ca="1"/>
      </c>
      <c r="IA149">
        <f ca="1"/>
      </c>
      <c r="IB149">
        <f ca="1"/>
      </c>
      <c r="IC149">
        <f ca="1"/>
      </c>
      <c r="ID149">
        <f ca="1"/>
      </c>
      <c r="IE149">
        <f ca="1"/>
      </c>
      <c r="IF149">
        <f ca="1"/>
      </c>
      <c r="IG149">
        <f ca="1"/>
      </c>
      <c r="IH149">
        <f ca="1"/>
      </c>
      <c r="II149">
        <f ca="1"/>
      </c>
      <c r="IJ149">
        <f ca="1"/>
      </c>
      <c r="IK149">
        <f ca="1"/>
      </c>
      <c r="IL149">
        <f ca="1"/>
      </c>
      <c r="IM149">
        <f ca="1"/>
      </c>
      <c r="IN149">
        <f ca="1"/>
      </c>
      <c r="IO149">
        <f ca="1"/>
      </c>
      <c r="IP149">
        <f ca="1"/>
      </c>
      <c r="IQ149">
        <f ca="1"/>
      </c>
      <c r="IR149">
        <f ca="1"/>
      </c>
      <c r="IS149">
        <f ca="1"/>
      </c>
      <c r="IT149">
        <f ca="1"/>
      </c>
      <c r="IU149">
        <f ca="1"/>
      </c>
      <c r="IV149">
        <f ca="1"/>
      </c>
      <c r="IW149">
        <f ca="1"/>
      </c>
      <c r="IX149">
        <f ca="1"/>
      </c>
      <c r="IY149">
        <f ca="1"/>
      </c>
      <c r="IZ149">
        <f ca="1"/>
      </c>
      <c r="JA149">
        <f ca="1"/>
      </c>
      <c r="JB149">
        <f ca="1"/>
      </c>
    </row>
    <row r="150" spans="58:267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  <c r="HZ150">
        <f ca="1"/>
      </c>
      <c r="IA150">
        <f ca="1"/>
      </c>
      <c r="IB150">
        <f ca="1"/>
      </c>
      <c r="IC150">
        <f ca="1"/>
      </c>
      <c r="ID150">
        <f ca="1"/>
      </c>
      <c r="IE150">
        <f ca="1"/>
      </c>
      <c r="IF150">
        <f ca="1"/>
      </c>
      <c r="IG150">
        <f ca="1"/>
      </c>
      <c r="IH150">
        <f ca="1"/>
      </c>
      <c r="II150">
        <f ca="1"/>
      </c>
      <c r="IJ150">
        <f ca="1"/>
      </c>
      <c r="IK150">
        <f ca="1"/>
      </c>
      <c r="IL150">
        <f ca="1"/>
      </c>
      <c r="IM150">
        <f ca="1"/>
      </c>
      <c r="IN150">
        <f ca="1"/>
      </c>
      <c r="IO150">
        <f ca="1"/>
      </c>
      <c r="IP150">
        <f ca="1"/>
      </c>
      <c r="IQ150">
        <f ca="1"/>
      </c>
      <c r="IR150">
        <f ca="1"/>
      </c>
      <c r="IS150">
        <f ca="1"/>
      </c>
      <c r="IT150">
        <f ca="1"/>
      </c>
      <c r="IU150">
        <f ca="1"/>
      </c>
      <c r="IV150">
        <f ca="1"/>
      </c>
      <c r="IW150">
        <f ca="1"/>
      </c>
      <c r="IX150">
        <f ca="1"/>
      </c>
      <c r="IY150">
        <f ca="1"/>
      </c>
      <c r="IZ150">
        <f ca="1"/>
      </c>
      <c r="JA150">
        <f ca="1"/>
      </c>
      <c r="JB150">
        <f ca="1"/>
      </c>
    </row>
    <row r="151" spans="58:267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  <c r="HZ151">
        <f ca="1"/>
      </c>
      <c r="IA151">
        <f ca="1"/>
      </c>
      <c r="IB151">
        <f ca="1"/>
      </c>
      <c r="IC151">
        <f ca="1"/>
      </c>
      <c r="ID151">
        <f ca="1"/>
      </c>
      <c r="IE151">
        <f ca="1"/>
      </c>
      <c r="IF151">
        <f ca="1"/>
      </c>
      <c r="IG151">
        <f ca="1"/>
      </c>
      <c r="IH151">
        <f ca="1"/>
      </c>
      <c r="II151">
        <f ca="1"/>
      </c>
      <c r="IJ151">
        <f ca="1"/>
      </c>
      <c r="IK151">
        <f ca="1"/>
      </c>
      <c r="IL151">
        <f ca="1"/>
      </c>
      <c r="IM151">
        <f ca="1"/>
      </c>
      <c r="IN151">
        <f ca="1"/>
      </c>
      <c r="IO151">
        <f ca="1"/>
      </c>
      <c r="IP151">
        <f ca="1"/>
      </c>
      <c r="IQ151">
        <f ca="1"/>
      </c>
      <c r="IR151">
        <f ca="1"/>
      </c>
      <c r="IS151">
        <f ca="1"/>
      </c>
      <c r="IT151">
        <f ca="1"/>
      </c>
      <c r="IU151">
        <f ca="1"/>
      </c>
      <c r="IV151">
        <f ca="1"/>
      </c>
      <c r="IW151">
        <f ca="1"/>
      </c>
      <c r="IX151">
        <f ca="1"/>
      </c>
      <c r="IY151">
        <f ca="1"/>
      </c>
      <c r="IZ151">
        <f ca="1"/>
      </c>
      <c r="JA151">
        <f ca="1"/>
      </c>
      <c r="JB151">
        <f ca="1"/>
      </c>
    </row>
    <row r="152" spans="58:267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  <c r="HZ152">
        <f ca="1"/>
      </c>
      <c r="IA152">
        <f ca="1"/>
      </c>
      <c r="IB152">
        <f ca="1"/>
      </c>
      <c r="IC152">
        <f ca="1"/>
      </c>
      <c r="ID152">
        <f ca="1"/>
      </c>
      <c r="IE152">
        <f ca="1"/>
      </c>
      <c r="IF152">
        <f ca="1"/>
      </c>
      <c r="IG152">
        <f ca="1"/>
      </c>
      <c r="IH152">
        <f ca="1"/>
      </c>
      <c r="II152">
        <f ca="1"/>
      </c>
      <c r="IJ152">
        <f ca="1"/>
      </c>
      <c r="IK152">
        <f ca="1"/>
      </c>
      <c r="IL152">
        <f ca="1"/>
      </c>
      <c r="IM152">
        <f ca="1"/>
      </c>
      <c r="IN152">
        <f ca="1"/>
      </c>
      <c r="IO152">
        <f ca="1"/>
      </c>
      <c r="IP152">
        <f ca="1"/>
      </c>
      <c r="IQ152">
        <f ca="1"/>
      </c>
      <c r="IR152">
        <f ca="1"/>
      </c>
      <c r="IS152">
        <f ca="1"/>
      </c>
      <c r="IT152">
        <f ca="1"/>
      </c>
      <c r="IU152">
        <f ca="1"/>
      </c>
      <c r="IV152">
        <f ca="1"/>
      </c>
      <c r="IW152">
        <f ca="1"/>
      </c>
      <c r="IX152">
        <f ca="1"/>
      </c>
      <c r="IY152">
        <f ca="1"/>
      </c>
      <c r="IZ152">
        <f ca="1"/>
      </c>
      <c r="JA152">
        <f ca="1"/>
      </c>
      <c r="JB152">
        <f ca="1"/>
      </c>
    </row>
    <row r="153" spans="58:267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  <c r="HZ153">
        <f ca="1"/>
      </c>
      <c r="IA153">
        <f ca="1"/>
      </c>
      <c r="IB153">
        <f ca="1"/>
      </c>
      <c r="IC153">
        <f ca="1"/>
      </c>
      <c r="ID153">
        <f ca="1"/>
      </c>
      <c r="IE153">
        <f ca="1"/>
      </c>
      <c r="IF153">
        <f ca="1"/>
      </c>
      <c r="IG153">
        <f ca="1"/>
      </c>
      <c r="IH153">
        <f ca="1"/>
      </c>
      <c r="II153">
        <f ca="1"/>
      </c>
      <c r="IJ153">
        <f ca="1"/>
      </c>
      <c r="IK153">
        <f ca="1"/>
      </c>
      <c r="IL153">
        <f ca="1"/>
      </c>
      <c r="IM153">
        <f ca="1"/>
      </c>
      <c r="IN153">
        <f ca="1"/>
      </c>
      <c r="IO153">
        <f ca="1"/>
      </c>
      <c r="IP153">
        <f ca="1"/>
      </c>
      <c r="IQ153">
        <f ca="1"/>
      </c>
      <c r="IR153">
        <f ca="1"/>
      </c>
      <c r="IS153">
        <f ca="1"/>
      </c>
      <c r="IT153">
        <f ca="1"/>
      </c>
      <c r="IU153">
        <f ca="1"/>
      </c>
      <c r="IV153">
        <f ca="1"/>
      </c>
      <c r="IW153">
        <f ca="1"/>
      </c>
      <c r="IX153">
        <f ca="1"/>
      </c>
      <c r="IY153">
        <f ca="1"/>
      </c>
      <c r="IZ153">
        <f ca="1"/>
      </c>
      <c r="JA153">
        <f ca="1"/>
      </c>
      <c r="JB153">
        <f ca="1"/>
      </c>
    </row>
    <row r="154" spans="58:267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  <c r="HZ154">
        <f ca="1"/>
      </c>
      <c r="IA154">
        <f ca="1"/>
      </c>
      <c r="IB154">
        <f ca="1"/>
      </c>
      <c r="IC154">
        <f ca="1"/>
      </c>
      <c r="ID154">
        <f ca="1"/>
      </c>
      <c r="IE154">
        <f ca="1"/>
      </c>
      <c r="IF154">
        <f ca="1"/>
      </c>
      <c r="IG154">
        <f ca="1"/>
      </c>
      <c r="IH154">
        <f ca="1"/>
      </c>
      <c r="II154">
        <f ca="1"/>
      </c>
      <c r="IJ154">
        <f ca="1"/>
      </c>
      <c r="IK154">
        <f ca="1"/>
      </c>
      <c r="IL154">
        <f ca="1"/>
      </c>
      <c r="IM154">
        <f ca="1"/>
      </c>
      <c r="IN154">
        <f ca="1"/>
      </c>
      <c r="IO154">
        <f ca="1"/>
      </c>
      <c r="IP154">
        <f ca="1"/>
      </c>
      <c r="IQ154">
        <f ca="1"/>
      </c>
      <c r="IR154">
        <f ca="1"/>
      </c>
      <c r="IS154">
        <f ca="1"/>
      </c>
      <c r="IT154">
        <f ca="1"/>
      </c>
      <c r="IU154">
        <f ca="1"/>
      </c>
      <c r="IV154">
        <f ca="1"/>
      </c>
      <c r="IW154">
        <f ca="1"/>
      </c>
      <c r="IX154">
        <f ca="1"/>
      </c>
      <c r="IY154">
        <f ca="1"/>
      </c>
      <c r="IZ154">
        <f ca="1"/>
      </c>
      <c r="JA154">
        <f ca="1"/>
      </c>
      <c r="JB154">
        <f ca="1"/>
      </c>
    </row>
    <row r="155" spans="58:267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  <c r="HZ155">
        <f ca="1"/>
      </c>
      <c r="IA155">
        <f ca="1"/>
      </c>
      <c r="IB155">
        <f ca="1"/>
      </c>
      <c r="IC155">
        <f ca="1"/>
      </c>
      <c r="ID155">
        <f ca="1"/>
      </c>
      <c r="IE155">
        <f ca="1"/>
      </c>
      <c r="IF155">
        <f ca="1"/>
      </c>
      <c r="IG155">
        <f ca="1"/>
      </c>
      <c r="IH155">
        <f ca="1"/>
      </c>
      <c r="II155">
        <f ca="1"/>
      </c>
      <c r="IJ155">
        <f ca="1"/>
      </c>
      <c r="IK155">
        <f ca="1"/>
      </c>
      <c r="IL155">
        <f ca="1"/>
      </c>
      <c r="IM155">
        <f ca="1"/>
      </c>
      <c r="IN155">
        <f ca="1"/>
      </c>
      <c r="IO155">
        <f ca="1"/>
      </c>
      <c r="IP155">
        <f ca="1"/>
      </c>
      <c r="IQ155">
        <f ca="1"/>
      </c>
      <c r="IR155">
        <f ca="1"/>
      </c>
      <c r="IS155">
        <f ca="1"/>
      </c>
      <c r="IT155">
        <f ca="1"/>
      </c>
      <c r="IU155">
        <f ca="1"/>
      </c>
      <c r="IV155">
        <f ca="1"/>
      </c>
      <c r="IW155">
        <f ca="1"/>
      </c>
      <c r="IX155">
        <f ca="1"/>
      </c>
      <c r="IY155">
        <f ca="1"/>
      </c>
      <c r="IZ155">
        <f ca="1"/>
      </c>
      <c r="JA155">
        <f ca="1"/>
      </c>
      <c r="JB155">
        <f ca="1"/>
      </c>
    </row>
    <row r="156" spans="58:267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  <c r="HZ156">
        <f ca="1"/>
      </c>
      <c r="IA156">
        <f ca="1"/>
      </c>
      <c r="IB156">
        <f ca="1"/>
      </c>
      <c r="IC156">
        <f ca="1"/>
      </c>
      <c r="ID156">
        <f ca="1"/>
      </c>
      <c r="IE156">
        <f ca="1"/>
      </c>
      <c r="IF156">
        <f ca="1"/>
      </c>
      <c r="IG156">
        <f ca="1"/>
      </c>
      <c r="IH156">
        <f ca="1"/>
      </c>
      <c r="II156">
        <f ca="1"/>
      </c>
      <c r="IJ156">
        <f ca="1"/>
      </c>
      <c r="IK156">
        <f ca="1"/>
      </c>
      <c r="IL156">
        <f ca="1"/>
      </c>
      <c r="IM156">
        <f ca="1"/>
      </c>
      <c r="IN156">
        <f ca="1"/>
      </c>
      <c r="IO156">
        <f ca="1"/>
      </c>
      <c r="IP156">
        <f ca="1"/>
      </c>
      <c r="IQ156">
        <f ca="1"/>
      </c>
      <c r="IR156">
        <f ca="1"/>
      </c>
      <c r="IS156">
        <f ca="1"/>
      </c>
      <c r="IT156">
        <f ca="1"/>
      </c>
      <c r="IU156">
        <f ca="1"/>
      </c>
      <c r="IV156">
        <f ca="1"/>
      </c>
      <c r="IW156">
        <f ca="1"/>
      </c>
      <c r="IX156">
        <f ca="1"/>
      </c>
      <c r="IY156">
        <f ca="1"/>
      </c>
      <c r="IZ156">
        <f ca="1"/>
      </c>
      <c r="JA156">
        <f ca="1"/>
      </c>
      <c r="JB156">
        <f ca="1"/>
      </c>
    </row>
    <row r="157" spans="58:267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  <c r="HZ157">
        <f ca="1"/>
      </c>
      <c r="IA157">
        <f ca="1"/>
      </c>
      <c r="IB157">
        <f ca="1"/>
      </c>
      <c r="IC157">
        <f ca="1"/>
      </c>
      <c r="ID157">
        <f ca="1"/>
      </c>
      <c r="IE157">
        <f ca="1"/>
      </c>
      <c r="IF157">
        <f ca="1"/>
      </c>
      <c r="IG157">
        <f ca="1"/>
      </c>
      <c r="IH157">
        <f ca="1"/>
      </c>
      <c r="II157">
        <f ca="1"/>
      </c>
      <c r="IJ157">
        <f ca="1"/>
      </c>
      <c r="IK157">
        <f ca="1"/>
      </c>
      <c r="IL157">
        <f ca="1"/>
      </c>
      <c r="IM157">
        <f ca="1"/>
      </c>
      <c r="IN157">
        <f ca="1"/>
      </c>
      <c r="IO157">
        <f ca="1"/>
      </c>
      <c r="IP157">
        <f ca="1"/>
      </c>
      <c r="IQ157">
        <f ca="1"/>
      </c>
      <c r="IR157">
        <f ca="1"/>
      </c>
      <c r="IS157">
        <f ca="1"/>
      </c>
      <c r="IT157">
        <f ca="1"/>
      </c>
      <c r="IU157">
        <f ca="1"/>
      </c>
      <c r="IV157">
        <f ca="1"/>
      </c>
      <c r="IW157">
        <f ca="1"/>
      </c>
      <c r="IX157">
        <f ca="1"/>
      </c>
      <c r="IY157">
        <f ca="1"/>
      </c>
      <c r="IZ157">
        <f ca="1"/>
      </c>
      <c r="JA157">
        <f ca="1"/>
      </c>
      <c r="JB157">
        <f ca="1"/>
      </c>
    </row>
    <row r="158" spans="58:267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  <c r="HZ158">
        <f ca="1"/>
      </c>
      <c r="IA158">
        <f ca="1"/>
      </c>
      <c r="IB158">
        <f ca="1"/>
      </c>
      <c r="IC158">
        <f ca="1"/>
      </c>
      <c r="ID158">
        <f ca="1"/>
      </c>
      <c r="IE158">
        <f ca="1"/>
      </c>
      <c r="IF158">
        <f ca="1"/>
      </c>
      <c r="IG158">
        <f ca="1"/>
      </c>
      <c r="IH158">
        <f ca="1"/>
      </c>
      <c r="II158">
        <f ca="1"/>
      </c>
      <c r="IJ158">
        <f ca="1"/>
      </c>
      <c r="IK158">
        <f ca="1"/>
      </c>
      <c r="IL158">
        <f ca="1"/>
      </c>
      <c r="IM158">
        <f ca="1"/>
      </c>
      <c r="IN158">
        <f ca="1"/>
      </c>
      <c r="IO158">
        <f ca="1"/>
      </c>
      <c r="IP158">
        <f ca="1"/>
      </c>
      <c r="IQ158">
        <f ca="1"/>
      </c>
      <c r="IR158">
        <f ca="1"/>
      </c>
      <c r="IS158">
        <f ca="1"/>
      </c>
      <c r="IT158">
        <f ca="1"/>
      </c>
      <c r="IU158">
        <f ca="1"/>
      </c>
      <c r="IV158">
        <f ca="1"/>
      </c>
      <c r="IW158">
        <f ca="1"/>
      </c>
      <c r="IX158">
        <f ca="1"/>
      </c>
      <c r="IY158">
        <f ca="1"/>
      </c>
      <c r="IZ158">
        <f ca="1"/>
      </c>
      <c r="JA158">
        <f ca="1"/>
      </c>
      <c r="JB158">
        <f ca="1"/>
      </c>
    </row>
    <row r="159" spans="58:267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  <c r="HZ159">
        <f ca="1"/>
      </c>
      <c r="IA159">
        <f ca="1"/>
      </c>
      <c r="IB159">
        <f ca="1"/>
      </c>
      <c r="IC159">
        <f ca="1"/>
      </c>
      <c r="ID159">
        <f ca="1"/>
      </c>
      <c r="IE159">
        <f ca="1"/>
      </c>
      <c r="IF159">
        <f ca="1"/>
      </c>
      <c r="IG159">
        <f ca="1"/>
      </c>
      <c r="IH159">
        <f ca="1"/>
      </c>
      <c r="II159">
        <f ca="1"/>
      </c>
      <c r="IJ159">
        <f ca="1"/>
      </c>
      <c r="IK159">
        <f ca="1"/>
      </c>
      <c r="IL159">
        <f ca="1"/>
      </c>
      <c r="IM159">
        <f ca="1"/>
      </c>
      <c r="IN159">
        <f ca="1"/>
      </c>
      <c r="IO159">
        <f ca="1"/>
      </c>
      <c r="IP159">
        <f ca="1"/>
      </c>
      <c r="IQ159">
        <f ca="1"/>
      </c>
      <c r="IR159">
        <f ca="1"/>
      </c>
      <c r="IS159">
        <f ca="1"/>
      </c>
      <c r="IT159">
        <f ca="1"/>
      </c>
      <c r="IU159">
        <f ca="1"/>
      </c>
      <c r="IV159">
        <f ca="1"/>
      </c>
      <c r="IW159">
        <f ca="1"/>
      </c>
      <c r="IX159">
        <f ca="1"/>
      </c>
      <c r="IY159">
        <f ca="1"/>
      </c>
      <c r="IZ159">
        <f ca="1"/>
      </c>
      <c r="JA159">
        <f ca="1"/>
      </c>
      <c r="JB159">
        <f ca="1"/>
      </c>
    </row>
    <row r="160" spans="58:267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  <c r="HZ160">
        <f ca="1"/>
      </c>
      <c r="IA160">
        <f ca="1"/>
      </c>
      <c r="IB160">
        <f ca="1"/>
      </c>
      <c r="IC160">
        <f ca="1"/>
      </c>
      <c r="ID160">
        <f ca="1"/>
      </c>
      <c r="IE160">
        <f ca="1"/>
      </c>
      <c r="IF160">
        <f ca="1"/>
      </c>
      <c r="IG160">
        <f ca="1"/>
      </c>
      <c r="IH160">
        <f ca="1"/>
      </c>
      <c r="II160">
        <f ca="1"/>
      </c>
      <c r="IJ160">
        <f ca="1"/>
      </c>
      <c r="IK160">
        <f ca="1"/>
      </c>
      <c r="IL160">
        <f ca="1"/>
      </c>
      <c r="IM160">
        <f ca="1"/>
      </c>
      <c r="IN160">
        <f ca="1"/>
      </c>
      <c r="IO160">
        <f ca="1"/>
      </c>
      <c r="IP160">
        <f ca="1"/>
      </c>
      <c r="IQ160">
        <f ca="1"/>
      </c>
      <c r="IR160">
        <f ca="1"/>
      </c>
      <c r="IS160">
        <f ca="1"/>
      </c>
      <c r="IT160">
        <f ca="1"/>
      </c>
      <c r="IU160">
        <f ca="1"/>
      </c>
      <c r="IV160">
        <f ca="1"/>
      </c>
      <c r="IW160">
        <f ca="1"/>
      </c>
      <c r="IX160">
        <f ca="1"/>
      </c>
      <c r="IY160">
        <f ca="1"/>
      </c>
      <c r="IZ160">
        <f ca="1"/>
      </c>
      <c r="JA160">
        <f ca="1"/>
      </c>
      <c r="JB160">
        <f ca="1"/>
      </c>
    </row>
    <row r="161" spans="58:267" x14ac:dyDescent="0.55000000000000004">
      <c r="BF161">
        <f ca="1"/>
      </c>
      <c r="BG161">
        <f ca="1"/>
      </c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C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R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  <c r="HZ161">
        <f ca="1"/>
      </c>
      <c r="IA161">
        <f ca="1"/>
      </c>
      <c r="IB161">
        <f ca="1"/>
      </c>
      <c r="IC161">
        <f ca="1"/>
      </c>
      <c r="ID161">
        <f ca="1"/>
      </c>
      <c r="IE161">
        <f ca="1"/>
      </c>
      <c r="IF161">
        <f ca="1"/>
      </c>
      <c r="IG161">
        <f ca="1"/>
      </c>
      <c r="IH161">
        <f ca="1"/>
      </c>
      <c r="II161">
        <f ca="1"/>
      </c>
      <c r="IJ161">
        <f ca="1"/>
      </c>
      <c r="IK161">
        <f ca="1"/>
      </c>
      <c r="IL161">
        <f ca="1"/>
      </c>
      <c r="IM161">
        <f ca="1"/>
      </c>
      <c r="IN161">
        <f ca="1"/>
      </c>
      <c r="IO161">
        <f ca="1"/>
      </c>
      <c r="IP161">
        <f ca="1"/>
      </c>
      <c r="IQ161">
        <f ca="1"/>
      </c>
      <c r="IR161">
        <f ca="1"/>
      </c>
      <c r="IS161">
        <f ca="1"/>
      </c>
      <c r="IT161">
        <f ca="1"/>
      </c>
      <c r="IU161">
        <f ca="1"/>
      </c>
      <c r="IV161">
        <f ca="1"/>
      </c>
      <c r="IW161">
        <f ca="1"/>
      </c>
      <c r="IX161">
        <f ca="1"/>
      </c>
      <c r="IY161">
        <f ca="1"/>
      </c>
      <c r="IZ161">
        <f ca="1"/>
      </c>
      <c r="JA161">
        <f ca="1"/>
      </c>
      <c r="JB161">
        <f ca="1"/>
      </c>
    </row>
    <row r="162" spans="58:267" x14ac:dyDescent="0.55000000000000004">
      <c r="BF162">
        <f ca="1"/>
      </c>
      <c r="BG162">
        <f ca="1"/>
      </c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C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R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  <c r="HZ162">
        <f ca="1"/>
      </c>
      <c r="IA162">
        <f ca="1"/>
      </c>
      <c r="IB162">
        <f ca="1"/>
      </c>
      <c r="IC162">
        <f ca="1"/>
      </c>
      <c r="ID162">
        <f ca="1"/>
      </c>
      <c r="IE162">
        <f ca="1"/>
      </c>
      <c r="IF162">
        <f ca="1"/>
      </c>
      <c r="IG162">
        <f ca="1"/>
      </c>
      <c r="IH162">
        <f ca="1"/>
      </c>
      <c r="II162">
        <f ca="1"/>
      </c>
      <c r="IJ162">
        <f ca="1"/>
      </c>
      <c r="IK162">
        <f ca="1"/>
      </c>
      <c r="IL162">
        <f ca="1"/>
      </c>
      <c r="IM162">
        <f ca="1"/>
      </c>
      <c r="IN162">
        <f ca="1"/>
      </c>
      <c r="IO162">
        <f ca="1"/>
      </c>
      <c r="IP162">
        <f ca="1"/>
      </c>
      <c r="IQ162">
        <f ca="1"/>
      </c>
      <c r="IR162">
        <f ca="1"/>
      </c>
      <c r="IS162">
        <f ca="1"/>
      </c>
      <c r="IT162">
        <f ca="1"/>
      </c>
      <c r="IU162">
        <f ca="1"/>
      </c>
      <c r="IV162">
        <f ca="1"/>
      </c>
      <c r="IW162">
        <f ca="1"/>
      </c>
      <c r="IX162">
        <f ca="1"/>
      </c>
      <c r="IY162">
        <f ca="1"/>
      </c>
      <c r="IZ162">
        <f ca="1"/>
      </c>
      <c r="JA162">
        <f ca="1"/>
      </c>
      <c r="JB162">
        <f ca="1"/>
      </c>
    </row>
    <row r="163" spans="58:267" x14ac:dyDescent="0.55000000000000004">
      <c r="BF163">
        <f ca="1"/>
      </c>
      <c r="BG163">
        <f ca="1"/>
      </c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C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R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  <c r="HZ163">
        <f ca="1"/>
      </c>
      <c r="IA163">
        <f ca="1"/>
      </c>
      <c r="IB163">
        <f ca="1"/>
      </c>
      <c r="IC163">
        <f ca="1"/>
      </c>
      <c r="ID163">
        <f ca="1"/>
      </c>
      <c r="IE163">
        <f ca="1"/>
      </c>
      <c r="IF163">
        <f ca="1"/>
      </c>
      <c r="IG163">
        <f ca="1"/>
      </c>
      <c r="IH163">
        <f ca="1"/>
      </c>
      <c r="II163">
        <f ca="1"/>
      </c>
      <c r="IJ163">
        <f ca="1"/>
      </c>
      <c r="IK163">
        <f ca="1"/>
      </c>
      <c r="IL163">
        <f ca="1"/>
      </c>
      <c r="IM163">
        <f ca="1"/>
      </c>
      <c r="IN163">
        <f ca="1"/>
      </c>
      <c r="IO163">
        <f ca="1"/>
      </c>
      <c r="IP163">
        <f ca="1"/>
      </c>
      <c r="IQ163">
        <f ca="1"/>
      </c>
      <c r="IR163">
        <f ca="1"/>
      </c>
      <c r="IS163">
        <f ca="1"/>
      </c>
      <c r="IT163">
        <f ca="1"/>
      </c>
      <c r="IU163">
        <f ca="1"/>
      </c>
      <c r="IV163">
        <f ca="1"/>
      </c>
      <c r="IW163">
        <f ca="1"/>
      </c>
      <c r="IX163">
        <f ca="1"/>
      </c>
      <c r="IY163">
        <f ca="1"/>
      </c>
      <c r="IZ163">
        <f ca="1"/>
      </c>
      <c r="JA163">
        <f ca="1"/>
      </c>
      <c r="JB163">
        <f ca="1"/>
      </c>
    </row>
    <row r="164" spans="58:267" x14ac:dyDescent="0.55000000000000004">
      <c r="BF164">
        <f ca="1"/>
      </c>
      <c r="BG164">
        <f ca="1"/>
      </c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C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R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  <c r="HZ164">
        <f ca="1"/>
      </c>
      <c r="IA164">
        <f ca="1"/>
      </c>
      <c r="IB164">
        <f ca="1"/>
      </c>
      <c r="IC164">
        <f ca="1"/>
      </c>
      <c r="ID164">
        <f ca="1"/>
      </c>
      <c r="IE164">
        <f ca="1"/>
      </c>
      <c r="IF164">
        <f ca="1"/>
      </c>
      <c r="IG164">
        <f ca="1"/>
      </c>
      <c r="IH164">
        <f ca="1"/>
      </c>
      <c r="II164">
        <f ca="1"/>
      </c>
      <c r="IJ164">
        <f ca="1"/>
      </c>
      <c r="IK164">
        <f ca="1"/>
      </c>
      <c r="IL164">
        <f ca="1"/>
      </c>
      <c r="IM164">
        <f ca="1"/>
      </c>
      <c r="IN164">
        <f ca="1"/>
      </c>
      <c r="IO164">
        <f ca="1"/>
      </c>
      <c r="IP164">
        <f ca="1"/>
      </c>
      <c r="IQ164">
        <f ca="1"/>
      </c>
      <c r="IR164">
        <f ca="1"/>
      </c>
      <c r="IS164">
        <f ca="1"/>
      </c>
      <c r="IT164">
        <f ca="1"/>
      </c>
      <c r="IU164">
        <f ca="1"/>
      </c>
      <c r="IV164">
        <f ca="1"/>
      </c>
      <c r="IW164">
        <f ca="1"/>
      </c>
      <c r="IX164">
        <f ca="1"/>
      </c>
      <c r="IY164">
        <f ca="1"/>
      </c>
      <c r="IZ164">
        <f ca="1"/>
      </c>
      <c r="JA164">
        <f ca="1"/>
      </c>
      <c r="JB164">
        <f ca="1"/>
      </c>
    </row>
    <row r="165" spans="58:267" x14ac:dyDescent="0.55000000000000004">
      <c r="BF165">
        <f ca="1"/>
      </c>
      <c r="BG165">
        <f ca="1"/>
      </c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C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R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  <c r="HZ165">
        <f ca="1"/>
      </c>
      <c r="IA165">
        <f ca="1"/>
      </c>
      <c r="IB165">
        <f ca="1"/>
      </c>
      <c r="IC165">
        <f ca="1"/>
      </c>
      <c r="ID165">
        <f ca="1"/>
      </c>
      <c r="IE165">
        <f ca="1"/>
      </c>
      <c r="IF165">
        <f ca="1"/>
      </c>
      <c r="IG165">
        <f ca="1"/>
      </c>
      <c r="IH165">
        <f ca="1"/>
      </c>
      <c r="II165">
        <f ca="1"/>
      </c>
      <c r="IJ165">
        <f ca="1"/>
      </c>
      <c r="IK165">
        <f ca="1"/>
      </c>
      <c r="IL165">
        <f ca="1"/>
      </c>
      <c r="IM165">
        <f ca="1"/>
      </c>
      <c r="IN165">
        <f ca="1"/>
      </c>
      <c r="IO165">
        <f ca="1"/>
      </c>
      <c r="IP165">
        <f ca="1"/>
      </c>
      <c r="IQ165">
        <f ca="1"/>
      </c>
      <c r="IR165">
        <f ca="1"/>
      </c>
      <c r="IS165">
        <f ca="1"/>
      </c>
      <c r="IT165">
        <f ca="1"/>
      </c>
      <c r="IU165">
        <f ca="1"/>
      </c>
      <c r="IV165">
        <f ca="1"/>
      </c>
      <c r="IW165">
        <f ca="1"/>
      </c>
      <c r="IX165">
        <f ca="1"/>
      </c>
      <c r="IY165">
        <f ca="1"/>
      </c>
      <c r="IZ165">
        <f ca="1"/>
      </c>
      <c r="JA165">
        <f ca="1"/>
      </c>
      <c r="JB165">
        <f ca="1"/>
      </c>
    </row>
    <row r="166" spans="58:267" x14ac:dyDescent="0.55000000000000004">
      <c r="BF166">
        <f ca="1"/>
      </c>
      <c r="BG166">
        <f ca="1"/>
      </c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C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R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  <c r="HZ166">
        <f ca="1"/>
      </c>
      <c r="IA166">
        <f ca="1"/>
      </c>
      <c r="IB166">
        <f ca="1"/>
      </c>
      <c r="IC166">
        <f ca="1"/>
      </c>
      <c r="ID166">
        <f ca="1"/>
      </c>
      <c r="IE166">
        <f ca="1"/>
      </c>
      <c r="IF166">
        <f ca="1"/>
      </c>
      <c r="IG166">
        <f ca="1"/>
      </c>
      <c r="IH166">
        <f ca="1"/>
      </c>
      <c r="II166">
        <f ca="1"/>
      </c>
      <c r="IJ166">
        <f ca="1"/>
      </c>
      <c r="IK166">
        <f ca="1"/>
      </c>
      <c r="IL166">
        <f ca="1"/>
      </c>
      <c r="IM166">
        <f ca="1"/>
      </c>
      <c r="IN166">
        <f ca="1"/>
      </c>
      <c r="IO166">
        <f ca="1"/>
      </c>
      <c r="IP166">
        <f ca="1"/>
      </c>
      <c r="IQ166">
        <f ca="1"/>
      </c>
      <c r="IR166">
        <f ca="1"/>
      </c>
      <c r="IS166">
        <f ca="1"/>
      </c>
      <c r="IT166">
        <f ca="1"/>
      </c>
      <c r="IU166">
        <f ca="1"/>
      </c>
      <c r="IV166">
        <f ca="1"/>
      </c>
      <c r="IW166">
        <f ca="1"/>
      </c>
      <c r="IX166">
        <f ca="1"/>
      </c>
      <c r="IY166">
        <f ca="1"/>
      </c>
      <c r="IZ166">
        <f ca="1"/>
      </c>
      <c r="JA166">
        <f ca="1"/>
      </c>
      <c r="JB166">
        <f ca="1"/>
      </c>
    </row>
    <row r="167" spans="58:267" x14ac:dyDescent="0.55000000000000004">
      <c r="BF167">
        <f ca="1"/>
      </c>
      <c r="BG167">
        <f ca="1"/>
      </c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C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R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  <c r="HZ167">
        <f ca="1"/>
      </c>
      <c r="IA167">
        <f ca="1"/>
      </c>
      <c r="IB167">
        <f ca="1"/>
      </c>
      <c r="IC167">
        <f ca="1"/>
      </c>
      <c r="ID167">
        <f ca="1"/>
      </c>
      <c r="IE167">
        <f ca="1"/>
      </c>
      <c r="IF167">
        <f ca="1"/>
      </c>
      <c r="IG167">
        <f ca="1"/>
      </c>
      <c r="IH167">
        <f ca="1"/>
      </c>
      <c r="II167">
        <f ca="1"/>
      </c>
      <c r="IJ167">
        <f ca="1"/>
      </c>
      <c r="IK167">
        <f ca="1"/>
      </c>
      <c r="IL167">
        <f ca="1"/>
      </c>
      <c r="IM167">
        <f ca="1"/>
      </c>
      <c r="IN167">
        <f ca="1"/>
      </c>
      <c r="IO167">
        <f ca="1"/>
      </c>
      <c r="IP167">
        <f ca="1"/>
      </c>
      <c r="IQ167">
        <f ca="1"/>
      </c>
      <c r="IR167">
        <f ca="1"/>
      </c>
      <c r="IS167">
        <f ca="1"/>
      </c>
      <c r="IT167">
        <f ca="1"/>
      </c>
      <c r="IU167">
        <f ca="1"/>
      </c>
      <c r="IV167">
        <f ca="1"/>
      </c>
      <c r="IW167">
        <f ca="1"/>
      </c>
      <c r="IX167">
        <f ca="1"/>
      </c>
      <c r="IY167">
        <f ca="1"/>
      </c>
      <c r="IZ167">
        <f ca="1"/>
      </c>
      <c r="JA167">
        <f ca="1"/>
      </c>
      <c r="JB167">
        <f ca="1"/>
      </c>
    </row>
    <row r="168" spans="58:267" x14ac:dyDescent="0.55000000000000004">
      <c r="BF168">
        <f ca="1"/>
      </c>
      <c r="BG168">
        <f ca="1"/>
      </c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C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R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  <c r="HZ168">
        <f ca="1"/>
      </c>
      <c r="IA168">
        <f ca="1"/>
      </c>
      <c r="IB168">
        <f ca="1"/>
      </c>
      <c r="IC168">
        <f ca="1"/>
      </c>
      <c r="ID168">
        <f ca="1"/>
      </c>
      <c r="IE168">
        <f ca="1"/>
      </c>
      <c r="IF168">
        <f ca="1"/>
      </c>
      <c r="IG168">
        <f ca="1"/>
      </c>
      <c r="IH168">
        <f ca="1"/>
      </c>
      <c r="II168">
        <f ca="1"/>
      </c>
      <c r="IJ168">
        <f ca="1"/>
      </c>
      <c r="IK168">
        <f ca="1"/>
      </c>
      <c r="IL168">
        <f ca="1"/>
      </c>
      <c r="IM168">
        <f ca="1"/>
      </c>
      <c r="IN168">
        <f ca="1"/>
      </c>
      <c r="IO168">
        <f ca="1"/>
      </c>
      <c r="IP168">
        <f ca="1"/>
      </c>
      <c r="IQ168">
        <f ca="1"/>
      </c>
      <c r="IR168">
        <f ca="1"/>
      </c>
      <c r="IS168">
        <f ca="1"/>
      </c>
      <c r="IT168">
        <f ca="1"/>
      </c>
      <c r="IU168">
        <f ca="1"/>
      </c>
      <c r="IV168">
        <f ca="1"/>
      </c>
      <c r="IW168">
        <f ca="1"/>
      </c>
      <c r="IX168">
        <f ca="1"/>
      </c>
      <c r="IY168">
        <f ca="1"/>
      </c>
      <c r="IZ168">
        <f ca="1"/>
      </c>
      <c r="JA168">
        <f ca="1"/>
      </c>
      <c r="JB168">
        <f ca="1"/>
      </c>
    </row>
    <row r="169" spans="58:267" x14ac:dyDescent="0.55000000000000004">
      <c r="BF169">
        <f ca="1"/>
      </c>
      <c r="BG169">
        <f ca="1"/>
      </c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C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R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  <c r="HZ169">
        <f ca="1"/>
      </c>
      <c r="IA169">
        <f ca="1"/>
      </c>
      <c r="IB169">
        <f ca="1"/>
      </c>
      <c r="IC169">
        <f ca="1"/>
      </c>
      <c r="ID169">
        <f ca="1"/>
      </c>
      <c r="IE169">
        <f ca="1"/>
      </c>
      <c r="IF169">
        <f ca="1"/>
      </c>
      <c r="IG169">
        <f ca="1"/>
      </c>
      <c r="IH169">
        <f ca="1"/>
      </c>
      <c r="II169">
        <f ca="1"/>
      </c>
      <c r="IJ169">
        <f ca="1"/>
      </c>
      <c r="IK169">
        <f ca="1"/>
      </c>
      <c r="IL169">
        <f ca="1"/>
      </c>
      <c r="IM169">
        <f ca="1"/>
      </c>
      <c r="IN169">
        <f ca="1"/>
      </c>
      <c r="IO169">
        <f ca="1"/>
      </c>
      <c r="IP169">
        <f ca="1"/>
      </c>
      <c r="IQ169">
        <f ca="1"/>
      </c>
      <c r="IR169">
        <f ca="1"/>
      </c>
      <c r="IS169">
        <f ca="1"/>
      </c>
      <c r="IT169">
        <f ca="1"/>
      </c>
      <c r="IU169">
        <f ca="1"/>
      </c>
      <c r="IV169">
        <f ca="1"/>
      </c>
      <c r="IW169">
        <f ca="1"/>
      </c>
      <c r="IX169">
        <f ca="1"/>
      </c>
      <c r="IY169">
        <f ca="1"/>
      </c>
      <c r="IZ169">
        <f ca="1"/>
      </c>
      <c r="JA169">
        <f ca="1"/>
      </c>
      <c r="JB169">
        <f ca="1"/>
      </c>
    </row>
    <row r="170" spans="58:267" x14ac:dyDescent="0.55000000000000004">
      <c r="BF170">
        <f ca="1"/>
      </c>
      <c r="BG170">
        <f ca="1"/>
      </c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C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R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  <c r="HZ170">
        <f ca="1"/>
      </c>
      <c r="IA170">
        <f ca="1"/>
      </c>
      <c r="IB170">
        <f ca="1"/>
      </c>
      <c r="IC170">
        <f ca="1"/>
      </c>
      <c r="ID170">
        <f ca="1"/>
      </c>
      <c r="IE170">
        <f ca="1"/>
      </c>
      <c r="IF170">
        <f ca="1"/>
      </c>
      <c r="IG170">
        <f ca="1"/>
      </c>
      <c r="IH170">
        <f ca="1"/>
      </c>
      <c r="II170">
        <f ca="1"/>
      </c>
      <c r="IJ170">
        <f ca="1"/>
      </c>
      <c r="IK170">
        <f ca="1"/>
      </c>
      <c r="IL170">
        <f ca="1"/>
      </c>
      <c r="IM170">
        <f ca="1"/>
      </c>
      <c r="IN170">
        <f ca="1"/>
      </c>
      <c r="IO170">
        <f ca="1"/>
      </c>
      <c r="IP170">
        <f ca="1"/>
      </c>
      <c r="IQ170">
        <f ca="1"/>
      </c>
      <c r="IR170">
        <f ca="1"/>
      </c>
      <c r="IS170">
        <f ca="1"/>
      </c>
      <c r="IT170">
        <f ca="1"/>
      </c>
      <c r="IU170">
        <f ca="1"/>
      </c>
      <c r="IV170">
        <f ca="1"/>
      </c>
      <c r="IW170">
        <f ca="1"/>
      </c>
      <c r="IX170">
        <f ca="1"/>
      </c>
      <c r="IY170">
        <f ca="1"/>
      </c>
      <c r="IZ170">
        <f ca="1"/>
      </c>
      <c r="JA170">
        <f ca="1"/>
      </c>
      <c r="JB170">
        <f ca="1"/>
      </c>
    </row>
    <row r="171" spans="58:267" x14ac:dyDescent="0.55000000000000004">
      <c r="BF171">
        <f ca="1"/>
      </c>
      <c r="BG171">
        <f ca="1"/>
      </c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C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R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  <c r="HZ171">
        <f ca="1"/>
      </c>
      <c r="IA171">
        <f ca="1"/>
      </c>
      <c r="IB171">
        <f ca="1"/>
      </c>
      <c r="IC171">
        <f ca="1"/>
      </c>
      <c r="ID171">
        <f ca="1"/>
      </c>
      <c r="IE171">
        <f ca="1"/>
      </c>
      <c r="IF171">
        <f ca="1"/>
      </c>
      <c r="IG171">
        <f ca="1"/>
      </c>
      <c r="IH171">
        <f ca="1"/>
      </c>
      <c r="II171">
        <f ca="1"/>
      </c>
      <c r="IJ171">
        <f ca="1"/>
      </c>
      <c r="IK171">
        <f ca="1"/>
      </c>
      <c r="IL171">
        <f ca="1"/>
      </c>
      <c r="IM171">
        <f ca="1"/>
      </c>
      <c r="IN171">
        <f ca="1"/>
      </c>
      <c r="IO171">
        <f ca="1"/>
      </c>
      <c r="IP171">
        <f ca="1"/>
      </c>
      <c r="IQ171">
        <f ca="1"/>
      </c>
      <c r="IR171">
        <f ca="1"/>
      </c>
      <c r="IS171">
        <f ca="1"/>
      </c>
      <c r="IT171">
        <f ca="1"/>
      </c>
      <c r="IU171">
        <f ca="1"/>
      </c>
      <c r="IV171">
        <f ca="1"/>
      </c>
      <c r="IW171">
        <f ca="1"/>
      </c>
      <c r="IX171">
        <f ca="1"/>
      </c>
      <c r="IY171">
        <f ca="1"/>
      </c>
      <c r="IZ171">
        <f ca="1"/>
      </c>
      <c r="JA171">
        <f ca="1"/>
      </c>
      <c r="JB171">
        <f ca="1"/>
      </c>
    </row>
    <row r="172" spans="58:267" x14ac:dyDescent="0.55000000000000004">
      <c r="BF172">
        <f ca="1"/>
      </c>
      <c r="BG172">
        <f ca="1"/>
      </c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C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R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  <c r="HZ172">
        <f ca="1"/>
      </c>
      <c r="IA172">
        <f ca="1"/>
      </c>
      <c r="IB172">
        <f ca="1"/>
      </c>
      <c r="IC172">
        <f ca="1"/>
      </c>
      <c r="ID172">
        <f ca="1"/>
      </c>
      <c r="IE172">
        <f ca="1"/>
      </c>
      <c r="IF172">
        <f ca="1"/>
      </c>
      <c r="IG172">
        <f ca="1"/>
      </c>
      <c r="IH172">
        <f ca="1"/>
      </c>
      <c r="II172">
        <f ca="1"/>
      </c>
      <c r="IJ172">
        <f ca="1"/>
      </c>
      <c r="IK172">
        <f ca="1"/>
      </c>
      <c r="IL172">
        <f ca="1"/>
      </c>
      <c r="IM172">
        <f ca="1"/>
      </c>
      <c r="IN172">
        <f ca="1"/>
      </c>
      <c r="IO172">
        <f ca="1"/>
      </c>
      <c r="IP172">
        <f ca="1"/>
      </c>
      <c r="IQ172">
        <f ca="1"/>
      </c>
      <c r="IR172">
        <f ca="1"/>
      </c>
      <c r="IS172">
        <f ca="1"/>
      </c>
      <c r="IT172">
        <f ca="1"/>
      </c>
      <c r="IU172">
        <f ca="1"/>
      </c>
      <c r="IV172">
        <f ca="1"/>
      </c>
      <c r="IW172">
        <f ca="1"/>
      </c>
      <c r="IX172">
        <f ca="1"/>
      </c>
      <c r="IY172">
        <f ca="1"/>
      </c>
      <c r="IZ172">
        <f ca="1"/>
      </c>
      <c r="JA172">
        <f ca="1"/>
      </c>
      <c r="JB172">
        <f ca="1"/>
      </c>
    </row>
    <row r="173" spans="58:267" x14ac:dyDescent="0.55000000000000004">
      <c r="BF173">
        <f ca="1"/>
      </c>
      <c r="BG173">
        <f ca="1"/>
      </c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GX173">
        <f ca="1"/>
      </c>
      <c r="GY173">
        <f ca="1"/>
      </c>
      <c r="GZ173">
        <f ca="1"/>
      </c>
      <c r="HA173">
        <f ca="1"/>
      </c>
      <c r="HB173">
        <f ca="1"/>
      </c>
      <c r="HC173">
        <f ca="1"/>
      </c>
      <c r="HD173">
        <f ca="1"/>
      </c>
      <c r="HE173">
        <f ca="1"/>
      </c>
      <c r="HF173">
        <f ca="1"/>
      </c>
      <c r="HG173">
        <f ca="1"/>
      </c>
      <c r="HH173">
        <f ca="1"/>
      </c>
      <c r="HI173">
        <f ca="1"/>
      </c>
      <c r="HJ173">
        <f ca="1"/>
      </c>
      <c r="HK173">
        <f ca="1"/>
      </c>
      <c r="HL173">
        <f ca="1"/>
      </c>
      <c r="HM173">
        <f ca="1"/>
      </c>
      <c r="HN173">
        <f ca="1"/>
      </c>
      <c r="HO173">
        <f ca="1"/>
      </c>
      <c r="HP173">
        <f ca="1"/>
      </c>
      <c r="HQ173">
        <f ca="1"/>
      </c>
      <c r="HR173">
        <f ca="1"/>
      </c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  <c r="HZ173">
        <f ca="1"/>
      </c>
      <c r="IA173">
        <f ca="1"/>
      </c>
      <c r="IB173">
        <f ca="1"/>
      </c>
      <c r="IC173">
        <f ca="1"/>
      </c>
      <c r="ID173">
        <f ca="1"/>
      </c>
      <c r="IE173">
        <f ca="1"/>
      </c>
      <c r="IF173">
        <f ca="1"/>
      </c>
      <c r="IG173">
        <f ca="1"/>
      </c>
      <c r="IH173">
        <f ca="1"/>
      </c>
      <c r="II173">
        <f ca="1"/>
      </c>
      <c r="IJ173">
        <f ca="1"/>
      </c>
      <c r="IK173">
        <f ca="1"/>
      </c>
      <c r="IL173">
        <f ca="1"/>
      </c>
      <c r="IM173">
        <f ca="1"/>
      </c>
      <c r="IN173">
        <f ca="1"/>
      </c>
      <c r="IO173">
        <f ca="1"/>
      </c>
      <c r="IP173">
        <f ca="1"/>
      </c>
      <c r="IQ173">
        <f ca="1"/>
      </c>
      <c r="IR173">
        <f ca="1"/>
      </c>
      <c r="IS173">
        <f ca="1"/>
      </c>
      <c r="IT173">
        <f ca="1"/>
      </c>
      <c r="IU173">
        <f ca="1"/>
      </c>
      <c r="IV173">
        <f ca="1"/>
      </c>
      <c r="IW173">
        <f ca="1"/>
      </c>
      <c r="IX173">
        <f ca="1"/>
      </c>
      <c r="IY173">
        <f ca="1"/>
      </c>
      <c r="IZ173">
        <f ca="1"/>
      </c>
      <c r="JA173">
        <f ca="1"/>
      </c>
      <c r="JB173">
        <f ca="1"/>
      </c>
    </row>
    <row r="174" spans="58:267" x14ac:dyDescent="0.55000000000000004">
      <c r="BF174">
        <f ca="1"/>
      </c>
      <c r="BG174">
        <f ca="1"/>
      </c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GX174">
        <f ca="1"/>
      </c>
      <c r="GY174">
        <f ca="1"/>
      </c>
      <c r="GZ174">
        <f ca="1"/>
      </c>
      <c r="HA174">
        <f ca="1"/>
      </c>
      <c r="HB174">
        <f ca="1"/>
      </c>
      <c r="HC174">
        <f ca="1"/>
      </c>
      <c r="HD174">
        <f ca="1"/>
      </c>
      <c r="HE174">
        <f ca="1"/>
      </c>
      <c r="HF174">
        <f ca="1"/>
      </c>
      <c r="HG174">
        <f ca="1"/>
      </c>
      <c r="HH174">
        <f ca="1"/>
      </c>
      <c r="HI174">
        <f ca="1"/>
      </c>
      <c r="HJ174">
        <f ca="1"/>
      </c>
      <c r="HK174">
        <f ca="1"/>
      </c>
      <c r="HL174">
        <f ca="1"/>
      </c>
      <c r="HM174">
        <f ca="1"/>
      </c>
      <c r="HN174">
        <f ca="1"/>
      </c>
      <c r="HO174">
        <f ca="1"/>
      </c>
      <c r="HP174">
        <f ca="1"/>
      </c>
      <c r="HQ174">
        <f ca="1"/>
      </c>
      <c r="HR174">
        <f ca="1"/>
      </c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  <c r="HZ174">
        <f ca="1"/>
      </c>
      <c r="IA174">
        <f ca="1"/>
      </c>
      <c r="IB174">
        <f ca="1"/>
      </c>
      <c r="IC174">
        <f ca="1"/>
      </c>
      <c r="ID174">
        <f ca="1"/>
      </c>
      <c r="IE174">
        <f ca="1"/>
      </c>
      <c r="IF174">
        <f ca="1"/>
      </c>
      <c r="IG174">
        <f ca="1"/>
      </c>
      <c r="IH174">
        <f ca="1"/>
      </c>
      <c r="II174">
        <f ca="1"/>
      </c>
      <c r="IJ174">
        <f ca="1"/>
      </c>
      <c r="IK174">
        <f ca="1"/>
      </c>
      <c r="IL174">
        <f ca="1"/>
      </c>
      <c r="IM174">
        <f ca="1"/>
      </c>
      <c r="IN174">
        <f ca="1"/>
      </c>
      <c r="IO174">
        <f ca="1"/>
      </c>
      <c r="IP174">
        <f ca="1"/>
      </c>
      <c r="IQ174">
        <f ca="1"/>
      </c>
      <c r="IR174">
        <f ca="1"/>
      </c>
      <c r="IS174">
        <f ca="1"/>
      </c>
      <c r="IT174">
        <f ca="1"/>
      </c>
      <c r="IU174">
        <f ca="1"/>
      </c>
      <c r="IV174">
        <f ca="1"/>
      </c>
      <c r="IW174">
        <f ca="1"/>
      </c>
      <c r="IX174">
        <f ca="1"/>
      </c>
      <c r="IY174">
        <f ca="1"/>
      </c>
      <c r="IZ174">
        <f ca="1"/>
      </c>
      <c r="JA174">
        <f ca="1"/>
      </c>
      <c r="JB174">
        <f ca="1"/>
      </c>
    </row>
    <row r="175" spans="58:267" x14ac:dyDescent="0.55000000000000004">
      <c r="BF175">
        <f ca="1"/>
      </c>
      <c r="BG175">
        <f ca="1"/>
      </c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GX175">
        <f ca="1"/>
      </c>
      <c r="GY175">
        <f ca="1"/>
      </c>
      <c r="GZ175">
        <f ca="1"/>
      </c>
      <c r="HA175">
        <f ca="1"/>
      </c>
      <c r="HB175">
        <f ca="1"/>
      </c>
      <c r="HC175">
        <f ca="1"/>
      </c>
      <c r="HD175">
        <f ca="1"/>
      </c>
      <c r="HE175">
        <f ca="1"/>
      </c>
      <c r="HF175">
        <f ca="1"/>
      </c>
      <c r="HG175">
        <f ca="1"/>
      </c>
      <c r="HH175">
        <f ca="1"/>
      </c>
      <c r="HI175">
        <f ca="1"/>
      </c>
      <c r="HJ175">
        <f ca="1"/>
      </c>
      <c r="HK175">
        <f ca="1"/>
      </c>
      <c r="HL175">
        <f ca="1"/>
      </c>
      <c r="HM175">
        <f ca="1"/>
      </c>
      <c r="HN175">
        <f ca="1"/>
      </c>
      <c r="HO175">
        <f ca="1"/>
      </c>
      <c r="HP175">
        <f ca="1"/>
      </c>
      <c r="HQ175">
        <f ca="1"/>
      </c>
      <c r="HR175">
        <f ca="1"/>
      </c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  <c r="HZ175">
        <f ca="1"/>
      </c>
      <c r="IA175">
        <f ca="1"/>
      </c>
      <c r="IB175">
        <f ca="1"/>
      </c>
      <c r="IC175">
        <f ca="1"/>
      </c>
      <c r="ID175">
        <f ca="1"/>
      </c>
      <c r="IE175">
        <f ca="1"/>
      </c>
      <c r="IF175">
        <f ca="1"/>
      </c>
      <c r="IG175">
        <f ca="1"/>
      </c>
      <c r="IH175">
        <f ca="1"/>
      </c>
      <c r="II175">
        <f ca="1"/>
      </c>
      <c r="IJ175">
        <f ca="1"/>
      </c>
      <c r="IK175">
        <f ca="1"/>
      </c>
      <c r="IL175">
        <f ca="1"/>
      </c>
      <c r="IM175">
        <f ca="1"/>
      </c>
      <c r="IN175">
        <f ca="1"/>
      </c>
      <c r="IO175">
        <f ca="1"/>
      </c>
      <c r="IP175">
        <f ca="1"/>
      </c>
      <c r="IQ175">
        <f ca="1"/>
      </c>
      <c r="IR175">
        <f ca="1"/>
      </c>
      <c r="IS175">
        <f ca="1"/>
      </c>
      <c r="IT175">
        <f ca="1"/>
      </c>
      <c r="IU175">
        <f ca="1"/>
      </c>
      <c r="IV175">
        <f ca="1"/>
      </c>
      <c r="IW175">
        <f ca="1"/>
      </c>
      <c r="IX175">
        <f ca="1"/>
      </c>
      <c r="IY175">
        <f ca="1"/>
      </c>
      <c r="IZ175">
        <f ca="1"/>
      </c>
      <c r="JA175">
        <f ca="1"/>
      </c>
      <c r="JB175">
        <f ca="1"/>
      </c>
    </row>
    <row r="176" spans="58:267" x14ac:dyDescent="0.55000000000000004">
      <c r="BF176">
        <f ca="1"/>
      </c>
      <c r="BG176">
        <f ca="1"/>
      </c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GX176">
        <f ca="1"/>
      </c>
      <c r="GY176">
        <f ca="1"/>
      </c>
      <c r="GZ176">
        <f ca="1"/>
      </c>
      <c r="HA176">
        <f ca="1"/>
      </c>
      <c r="HB176">
        <f ca="1"/>
      </c>
      <c r="HC176">
        <f ca="1"/>
      </c>
      <c r="HD176">
        <f ca="1"/>
      </c>
      <c r="HE176">
        <f ca="1"/>
      </c>
      <c r="HF176">
        <f ca="1"/>
      </c>
      <c r="HG176">
        <f ca="1"/>
      </c>
      <c r="HH176">
        <f ca="1"/>
      </c>
      <c r="HI176">
        <f ca="1"/>
      </c>
      <c r="HJ176">
        <f ca="1"/>
      </c>
      <c r="HK176">
        <f ca="1"/>
      </c>
      <c r="HL176">
        <f ca="1"/>
      </c>
      <c r="HM176">
        <f ca="1"/>
      </c>
      <c r="HN176">
        <f ca="1"/>
      </c>
      <c r="HO176">
        <f ca="1"/>
      </c>
      <c r="HP176">
        <f ca="1"/>
      </c>
      <c r="HQ176">
        <f ca="1"/>
      </c>
      <c r="HR176">
        <f ca="1"/>
      </c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  <c r="HZ176">
        <f ca="1"/>
      </c>
      <c r="IA176">
        <f ca="1"/>
      </c>
      <c r="IB176">
        <f ca="1"/>
      </c>
      <c r="IC176">
        <f ca="1"/>
      </c>
      <c r="ID176">
        <f ca="1"/>
      </c>
      <c r="IE176">
        <f ca="1"/>
      </c>
      <c r="IF176">
        <f ca="1"/>
      </c>
      <c r="IG176">
        <f ca="1"/>
      </c>
      <c r="IH176">
        <f ca="1"/>
      </c>
      <c r="II176">
        <f ca="1"/>
      </c>
      <c r="IJ176">
        <f ca="1"/>
      </c>
      <c r="IK176">
        <f ca="1"/>
      </c>
      <c r="IL176">
        <f ca="1"/>
      </c>
      <c r="IM176">
        <f ca="1"/>
      </c>
      <c r="IN176">
        <f ca="1"/>
      </c>
      <c r="IO176">
        <f ca="1"/>
      </c>
      <c r="IP176">
        <f ca="1"/>
      </c>
      <c r="IQ176">
        <f ca="1"/>
      </c>
      <c r="IR176">
        <f ca="1"/>
      </c>
      <c r="IS176">
        <f ca="1"/>
      </c>
      <c r="IT176">
        <f ca="1"/>
      </c>
      <c r="IU176">
        <f ca="1"/>
      </c>
      <c r="IV176">
        <f ca="1"/>
      </c>
      <c r="IW176">
        <f ca="1"/>
      </c>
      <c r="IX176">
        <f ca="1"/>
      </c>
      <c r="IY176">
        <f ca="1"/>
      </c>
      <c r="IZ176">
        <f ca="1"/>
      </c>
      <c r="JA176">
        <f ca="1"/>
      </c>
      <c r="JB176">
        <f ca="1"/>
      </c>
    </row>
    <row r="177" spans="58:267" x14ac:dyDescent="0.55000000000000004">
      <c r="BF177">
        <f ca="1"/>
      </c>
      <c r="BG177">
        <f ca="1"/>
      </c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GX177">
        <f ca="1"/>
      </c>
      <c r="GY177">
        <f ca="1"/>
      </c>
      <c r="GZ177">
        <f ca="1"/>
      </c>
      <c r="HA177">
        <f ca="1"/>
      </c>
      <c r="HB177">
        <f ca="1"/>
      </c>
      <c r="HC177">
        <f ca="1"/>
      </c>
      <c r="HD177">
        <f ca="1"/>
      </c>
      <c r="HE177">
        <f ca="1"/>
      </c>
      <c r="HF177">
        <f ca="1"/>
      </c>
      <c r="HG177">
        <f ca="1"/>
      </c>
      <c r="HH177">
        <f ca="1"/>
      </c>
      <c r="HI177">
        <f ca="1"/>
      </c>
      <c r="HJ177">
        <f ca="1"/>
      </c>
      <c r="HK177">
        <f ca="1"/>
      </c>
      <c r="HL177">
        <f ca="1"/>
      </c>
      <c r="HM177">
        <f ca="1"/>
      </c>
      <c r="HN177">
        <f ca="1"/>
      </c>
      <c r="HO177">
        <f ca="1"/>
      </c>
      <c r="HP177">
        <f ca="1"/>
      </c>
      <c r="HQ177">
        <f ca="1"/>
      </c>
      <c r="HR177">
        <f ca="1"/>
      </c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  <c r="HZ177">
        <f ca="1"/>
      </c>
      <c r="IA177">
        <f ca="1"/>
      </c>
      <c r="IB177">
        <f ca="1"/>
      </c>
      <c r="IC177">
        <f ca="1"/>
      </c>
      <c r="ID177">
        <f ca="1"/>
      </c>
      <c r="IE177">
        <f ca="1"/>
      </c>
      <c r="IF177">
        <f ca="1"/>
      </c>
      <c r="IG177">
        <f ca="1"/>
      </c>
      <c r="IH177">
        <f ca="1"/>
      </c>
      <c r="II177">
        <f ca="1"/>
      </c>
      <c r="IJ177">
        <f ca="1"/>
      </c>
      <c r="IK177">
        <f ca="1"/>
      </c>
      <c r="IL177">
        <f ca="1"/>
      </c>
      <c r="IM177">
        <f ca="1"/>
      </c>
      <c r="IN177">
        <f ca="1"/>
      </c>
      <c r="IO177">
        <f ca="1"/>
      </c>
      <c r="IP177">
        <f ca="1"/>
      </c>
      <c r="IQ177">
        <f ca="1"/>
      </c>
      <c r="IR177">
        <f ca="1"/>
      </c>
      <c r="IS177">
        <f ca="1"/>
      </c>
      <c r="IT177">
        <f ca="1"/>
      </c>
      <c r="IU177">
        <f ca="1"/>
      </c>
      <c r="IV177">
        <f ca="1"/>
      </c>
      <c r="IW177">
        <f ca="1"/>
      </c>
      <c r="IX177">
        <f ca="1"/>
      </c>
      <c r="IY177">
        <f ca="1"/>
      </c>
      <c r="IZ177">
        <f ca="1"/>
      </c>
      <c r="JA177">
        <f ca="1"/>
      </c>
      <c r="JB177">
        <f ca="1"/>
      </c>
    </row>
    <row r="178" spans="58:267" x14ac:dyDescent="0.55000000000000004">
      <c r="BF178">
        <f ca="1"/>
      </c>
      <c r="BG178">
        <f ca="1"/>
      </c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GX178">
        <f ca="1"/>
      </c>
      <c r="GY178">
        <f ca="1"/>
      </c>
      <c r="GZ178">
        <f ca="1"/>
      </c>
      <c r="HA178">
        <f ca="1"/>
      </c>
      <c r="HB178">
        <f ca="1"/>
      </c>
      <c r="HC178">
        <f ca="1"/>
      </c>
      <c r="HD178">
        <f ca="1"/>
      </c>
      <c r="HE178">
        <f ca="1"/>
      </c>
      <c r="HF178">
        <f ca="1"/>
      </c>
      <c r="HG178">
        <f ca="1"/>
      </c>
      <c r="HH178">
        <f ca="1"/>
      </c>
      <c r="HI178">
        <f ca="1"/>
      </c>
      <c r="HJ178">
        <f ca="1"/>
      </c>
      <c r="HK178">
        <f ca="1"/>
      </c>
      <c r="HL178">
        <f ca="1"/>
      </c>
      <c r="HM178">
        <f ca="1"/>
      </c>
      <c r="HN178">
        <f ca="1"/>
      </c>
      <c r="HO178">
        <f ca="1"/>
      </c>
      <c r="HP178">
        <f ca="1"/>
      </c>
      <c r="HQ178">
        <f ca="1"/>
      </c>
      <c r="HR178">
        <f ca="1"/>
      </c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  <c r="HZ178">
        <f ca="1"/>
      </c>
      <c r="IA178">
        <f ca="1"/>
      </c>
      <c r="IB178">
        <f ca="1"/>
      </c>
      <c r="IC178">
        <f ca="1"/>
      </c>
      <c r="ID178">
        <f ca="1"/>
      </c>
      <c r="IE178">
        <f ca="1"/>
      </c>
      <c r="IF178">
        <f ca="1"/>
      </c>
      <c r="IG178">
        <f ca="1"/>
      </c>
      <c r="IH178">
        <f ca="1"/>
      </c>
      <c r="II178">
        <f ca="1"/>
      </c>
      <c r="IJ178">
        <f ca="1"/>
      </c>
      <c r="IK178">
        <f ca="1"/>
      </c>
      <c r="IL178">
        <f ca="1"/>
      </c>
      <c r="IM178">
        <f ca="1"/>
      </c>
      <c r="IN178">
        <f ca="1"/>
      </c>
      <c r="IO178">
        <f ca="1"/>
      </c>
      <c r="IP178">
        <f ca="1"/>
      </c>
      <c r="IQ178">
        <f ca="1"/>
      </c>
      <c r="IR178">
        <f ca="1"/>
      </c>
      <c r="IS178">
        <f ca="1"/>
      </c>
      <c r="IT178">
        <f ca="1"/>
      </c>
      <c r="IU178">
        <f ca="1"/>
      </c>
      <c r="IV178">
        <f ca="1"/>
      </c>
      <c r="IW178">
        <f ca="1"/>
      </c>
      <c r="IX178">
        <f ca="1"/>
      </c>
      <c r="IY178">
        <f ca="1"/>
      </c>
      <c r="IZ178">
        <f ca="1"/>
      </c>
      <c r="JA178">
        <f ca="1"/>
      </c>
      <c r="JB178">
        <f ca="1"/>
      </c>
    </row>
    <row r="179" spans="58:267" x14ac:dyDescent="0.55000000000000004">
      <c r="BF179">
        <f ca="1"/>
      </c>
      <c r="BG179">
        <f ca="1"/>
      </c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GX179">
        <f ca="1"/>
      </c>
      <c r="GY179">
        <f ca="1"/>
      </c>
      <c r="GZ179">
        <f ca="1"/>
      </c>
      <c r="HA179">
        <f ca="1"/>
      </c>
      <c r="HB179">
        <f ca="1"/>
      </c>
      <c r="HC179">
        <f ca="1"/>
      </c>
      <c r="HD179">
        <f ca="1"/>
      </c>
      <c r="HE179">
        <f ca="1"/>
      </c>
      <c r="HF179">
        <f ca="1"/>
      </c>
      <c r="HG179">
        <f ca="1"/>
      </c>
      <c r="HH179">
        <f ca="1"/>
      </c>
      <c r="HI179">
        <f ca="1"/>
      </c>
      <c r="HJ179">
        <f ca="1"/>
      </c>
      <c r="HK179">
        <f ca="1"/>
      </c>
      <c r="HL179">
        <f ca="1"/>
      </c>
      <c r="HM179">
        <f ca="1"/>
      </c>
      <c r="HN179">
        <f ca="1"/>
      </c>
      <c r="HO179">
        <f ca="1"/>
      </c>
      <c r="HP179">
        <f ca="1"/>
      </c>
      <c r="HQ179">
        <f ca="1"/>
      </c>
      <c r="HR179">
        <f ca="1"/>
      </c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  <c r="HZ179">
        <f ca="1"/>
      </c>
      <c r="IA179">
        <f ca="1"/>
      </c>
      <c r="IB179">
        <f ca="1"/>
      </c>
      <c r="IC179">
        <f ca="1"/>
      </c>
      <c r="ID179">
        <f ca="1"/>
      </c>
      <c r="IE179">
        <f ca="1"/>
      </c>
      <c r="IF179">
        <f ca="1"/>
      </c>
      <c r="IG179">
        <f ca="1"/>
      </c>
      <c r="IH179">
        <f ca="1"/>
      </c>
      <c r="II179">
        <f ca="1"/>
      </c>
      <c r="IJ179">
        <f ca="1"/>
      </c>
      <c r="IK179">
        <f ca="1"/>
      </c>
      <c r="IL179">
        <f ca="1"/>
      </c>
      <c r="IM179">
        <f ca="1"/>
      </c>
      <c r="IN179">
        <f ca="1"/>
      </c>
      <c r="IO179">
        <f ca="1"/>
      </c>
      <c r="IP179">
        <f ca="1"/>
      </c>
      <c r="IQ179">
        <f ca="1"/>
      </c>
      <c r="IR179">
        <f ca="1"/>
      </c>
      <c r="IS179">
        <f ca="1"/>
      </c>
      <c r="IT179">
        <f ca="1"/>
      </c>
      <c r="IU179">
        <f ca="1"/>
      </c>
      <c r="IV179">
        <f ca="1"/>
      </c>
      <c r="IW179">
        <f ca="1"/>
      </c>
      <c r="IX179">
        <f ca="1"/>
      </c>
      <c r="IY179">
        <f ca="1"/>
      </c>
      <c r="IZ179">
        <f ca="1"/>
      </c>
      <c r="JA179">
        <f ca="1"/>
      </c>
      <c r="JB179">
        <f ca="1"/>
      </c>
    </row>
    <row r="180" spans="58:267" x14ac:dyDescent="0.55000000000000004">
      <c r="BF180">
        <f ca="1"/>
      </c>
      <c r="BG180">
        <f ca="1"/>
      </c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GX180">
        <f ca="1"/>
      </c>
      <c r="GY180">
        <f ca="1"/>
      </c>
      <c r="GZ180">
        <f ca="1"/>
      </c>
      <c r="HA180">
        <f ca="1"/>
      </c>
      <c r="HB180">
        <f ca="1"/>
      </c>
      <c r="HC180">
        <f ca="1"/>
      </c>
      <c r="HD180">
        <f ca="1"/>
      </c>
      <c r="HE180">
        <f ca="1"/>
      </c>
      <c r="HF180">
        <f ca="1"/>
      </c>
      <c r="HG180">
        <f ca="1"/>
      </c>
      <c r="HH180">
        <f ca="1"/>
      </c>
      <c r="HI180">
        <f ca="1"/>
      </c>
      <c r="HJ180">
        <f ca="1"/>
      </c>
      <c r="HK180">
        <f ca="1"/>
      </c>
      <c r="HL180">
        <f ca="1"/>
      </c>
      <c r="HM180">
        <f ca="1"/>
      </c>
      <c r="HN180">
        <f ca="1"/>
      </c>
      <c r="HO180">
        <f ca="1"/>
      </c>
      <c r="HP180">
        <f ca="1"/>
      </c>
      <c r="HQ180">
        <f ca="1"/>
      </c>
      <c r="HR180">
        <f ca="1"/>
      </c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  <c r="HZ180">
        <f ca="1"/>
      </c>
      <c r="IA180">
        <f ca="1"/>
      </c>
      <c r="IB180">
        <f ca="1"/>
      </c>
      <c r="IC180">
        <f ca="1"/>
      </c>
      <c r="ID180">
        <f ca="1"/>
      </c>
      <c r="IE180">
        <f ca="1"/>
      </c>
      <c r="IF180">
        <f ca="1"/>
      </c>
      <c r="IG180">
        <f ca="1"/>
      </c>
      <c r="IH180">
        <f ca="1"/>
      </c>
      <c r="II180">
        <f ca="1"/>
      </c>
      <c r="IJ180">
        <f ca="1"/>
      </c>
      <c r="IK180">
        <f ca="1"/>
      </c>
      <c r="IL180">
        <f ca="1"/>
      </c>
      <c r="IM180">
        <f ca="1"/>
      </c>
      <c r="IN180">
        <f ca="1"/>
      </c>
      <c r="IO180">
        <f ca="1"/>
      </c>
      <c r="IP180">
        <f ca="1"/>
      </c>
      <c r="IQ180">
        <f ca="1"/>
      </c>
      <c r="IR180">
        <f ca="1"/>
      </c>
      <c r="IS180">
        <f ca="1"/>
      </c>
      <c r="IT180">
        <f ca="1"/>
      </c>
      <c r="IU180">
        <f ca="1"/>
      </c>
      <c r="IV180">
        <f ca="1"/>
      </c>
      <c r="IW180">
        <f ca="1"/>
      </c>
      <c r="IX180">
        <f ca="1"/>
      </c>
      <c r="IY180">
        <f ca="1"/>
      </c>
      <c r="IZ180">
        <f ca="1"/>
      </c>
      <c r="JA180">
        <f ca="1"/>
      </c>
      <c r="JB180">
        <f ca="1"/>
      </c>
    </row>
    <row r="181" spans="58:267" x14ac:dyDescent="0.55000000000000004">
      <c r="BF181">
        <f ca="1"/>
      </c>
      <c r="BG181">
        <f ca="1"/>
      </c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GX181">
        <f ca="1"/>
      </c>
      <c r="GY181">
        <f ca="1"/>
      </c>
      <c r="GZ181">
        <f ca="1"/>
      </c>
      <c r="HA181">
        <f ca="1"/>
      </c>
      <c r="HB181">
        <f ca="1"/>
      </c>
      <c r="HC181">
        <f ca="1"/>
      </c>
      <c r="HD181">
        <f ca="1"/>
      </c>
      <c r="HE181">
        <f ca="1"/>
      </c>
      <c r="HF181">
        <f ca="1"/>
      </c>
      <c r="HG181">
        <f ca="1"/>
      </c>
      <c r="HH181">
        <f ca="1"/>
      </c>
      <c r="HI181">
        <f ca="1"/>
      </c>
      <c r="HJ181">
        <f ca="1"/>
      </c>
      <c r="HK181">
        <f ca="1"/>
      </c>
      <c r="HL181">
        <f ca="1"/>
      </c>
      <c r="HM181">
        <f ca="1"/>
      </c>
      <c r="HN181">
        <f ca="1"/>
      </c>
      <c r="HO181">
        <f ca="1"/>
      </c>
      <c r="HP181">
        <f ca="1"/>
      </c>
      <c r="HQ181">
        <f ca="1"/>
      </c>
      <c r="HR181">
        <f ca="1"/>
      </c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  <c r="HZ181">
        <f ca="1"/>
      </c>
      <c r="IA181">
        <f ca="1"/>
      </c>
      <c r="IB181">
        <f ca="1"/>
      </c>
      <c r="IC181">
        <f ca="1"/>
      </c>
      <c r="ID181">
        <f ca="1"/>
      </c>
      <c r="IE181">
        <f ca="1"/>
      </c>
      <c r="IF181">
        <f ca="1"/>
      </c>
      <c r="IG181">
        <f ca="1"/>
      </c>
      <c r="IH181">
        <f ca="1"/>
      </c>
      <c r="II181">
        <f ca="1"/>
      </c>
      <c r="IJ181">
        <f ca="1"/>
      </c>
      <c r="IK181">
        <f ca="1"/>
      </c>
      <c r="IL181">
        <f ca="1"/>
      </c>
      <c r="IM181">
        <f ca="1"/>
      </c>
      <c r="IN181">
        <f ca="1"/>
      </c>
      <c r="IO181">
        <f ca="1"/>
      </c>
      <c r="IP181">
        <f ca="1"/>
      </c>
      <c r="IQ181">
        <f ca="1"/>
      </c>
      <c r="IR181">
        <f ca="1"/>
      </c>
      <c r="IS181">
        <f ca="1"/>
      </c>
      <c r="IT181">
        <f ca="1"/>
      </c>
      <c r="IU181">
        <f ca="1"/>
      </c>
      <c r="IV181">
        <f ca="1"/>
      </c>
      <c r="IW181">
        <f ca="1"/>
      </c>
      <c r="IX181">
        <f ca="1"/>
      </c>
      <c r="IY181">
        <f ca="1"/>
      </c>
      <c r="IZ181">
        <f ca="1"/>
      </c>
      <c r="JA181">
        <f ca="1"/>
      </c>
      <c r="JB181">
        <f ca="1"/>
      </c>
    </row>
    <row r="182" spans="58:267" x14ac:dyDescent="0.55000000000000004">
      <c r="BF182">
        <f ca="1"/>
      </c>
      <c r="BG182">
        <f ca="1"/>
      </c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GX182">
        <f ca="1"/>
      </c>
      <c r="GY182">
        <f ca="1"/>
      </c>
      <c r="GZ182">
        <f ca="1"/>
      </c>
      <c r="HA182">
        <f ca="1"/>
      </c>
      <c r="HB182">
        <f ca="1"/>
      </c>
      <c r="HC182">
        <f ca="1"/>
      </c>
      <c r="HD182">
        <f ca="1"/>
      </c>
      <c r="HE182">
        <f ca="1"/>
      </c>
      <c r="HF182">
        <f ca="1"/>
      </c>
      <c r="HG182">
        <f ca="1"/>
      </c>
      <c r="HH182">
        <f ca="1"/>
      </c>
      <c r="HI182">
        <f ca="1"/>
      </c>
      <c r="HJ182">
        <f ca="1"/>
      </c>
      <c r="HK182">
        <f ca="1"/>
      </c>
      <c r="HL182">
        <f ca="1"/>
      </c>
      <c r="HM182">
        <f ca="1"/>
      </c>
      <c r="HN182">
        <f ca="1"/>
      </c>
      <c r="HO182">
        <f ca="1"/>
      </c>
      <c r="HP182">
        <f ca="1"/>
      </c>
      <c r="HQ182">
        <f ca="1"/>
      </c>
      <c r="HR182">
        <f ca="1"/>
      </c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  <c r="HZ182">
        <f ca="1"/>
      </c>
      <c r="IA182">
        <f ca="1"/>
      </c>
      <c r="IB182">
        <f ca="1"/>
      </c>
      <c r="IC182">
        <f ca="1"/>
      </c>
      <c r="ID182">
        <f ca="1"/>
      </c>
      <c r="IE182">
        <f ca="1"/>
      </c>
      <c r="IF182">
        <f ca="1"/>
      </c>
      <c r="IG182">
        <f ca="1"/>
      </c>
      <c r="IH182">
        <f ca="1"/>
      </c>
      <c r="II182">
        <f ca="1"/>
      </c>
      <c r="IJ182">
        <f ca="1"/>
      </c>
      <c r="IK182">
        <f ca="1"/>
      </c>
      <c r="IL182">
        <f ca="1"/>
      </c>
      <c r="IM182">
        <f ca="1"/>
      </c>
      <c r="IN182">
        <f ca="1"/>
      </c>
      <c r="IO182">
        <f ca="1"/>
      </c>
      <c r="IP182">
        <f ca="1"/>
      </c>
      <c r="IQ182">
        <f ca="1"/>
      </c>
      <c r="IR182">
        <f ca="1"/>
      </c>
      <c r="IS182">
        <f ca="1"/>
      </c>
      <c r="IT182">
        <f ca="1"/>
      </c>
      <c r="IU182">
        <f ca="1"/>
      </c>
      <c r="IV182">
        <f ca="1"/>
      </c>
      <c r="IW182">
        <f ca="1"/>
      </c>
      <c r="IX182">
        <f ca="1"/>
      </c>
      <c r="IY182">
        <f ca="1"/>
      </c>
      <c r="IZ182">
        <f ca="1"/>
      </c>
      <c r="JA182">
        <f ca="1"/>
      </c>
      <c r="JB182">
        <f ca="1"/>
      </c>
    </row>
    <row r="183" spans="58:267" x14ac:dyDescent="0.55000000000000004">
      <c r="BF183">
        <f ca="1"/>
      </c>
      <c r="BG183">
        <f ca="1"/>
      </c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GX183">
        <f ca="1"/>
      </c>
      <c r="GY183">
        <f ca="1"/>
      </c>
      <c r="GZ183">
        <f ca="1"/>
      </c>
      <c r="HA183">
        <f ca="1"/>
      </c>
      <c r="HB183">
        <f ca="1"/>
      </c>
      <c r="HC183">
        <f ca="1"/>
      </c>
      <c r="HD183">
        <f ca="1"/>
      </c>
      <c r="HE183">
        <f ca="1"/>
      </c>
      <c r="HF183">
        <f ca="1"/>
      </c>
      <c r="HG183">
        <f ca="1"/>
      </c>
      <c r="HH183">
        <f ca="1"/>
      </c>
      <c r="HI183">
        <f ca="1"/>
      </c>
      <c r="HJ183">
        <f ca="1"/>
      </c>
      <c r="HK183">
        <f ca="1"/>
      </c>
      <c r="HL183">
        <f ca="1"/>
      </c>
      <c r="HM183">
        <f ca="1"/>
      </c>
      <c r="HN183">
        <f ca="1"/>
      </c>
      <c r="HO183">
        <f ca="1"/>
      </c>
      <c r="HP183">
        <f ca="1"/>
      </c>
      <c r="HQ183">
        <f ca="1"/>
      </c>
      <c r="HR183">
        <f ca="1"/>
      </c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  <c r="HZ183">
        <f ca="1"/>
      </c>
      <c r="IA183">
        <f ca="1"/>
      </c>
      <c r="IB183">
        <f ca="1"/>
      </c>
      <c r="IC183">
        <f ca="1"/>
      </c>
      <c r="ID183">
        <f ca="1"/>
      </c>
      <c r="IE183">
        <f ca="1"/>
      </c>
      <c r="IF183">
        <f ca="1"/>
      </c>
      <c r="IG183">
        <f ca="1"/>
      </c>
      <c r="IH183">
        <f ca="1"/>
      </c>
      <c r="II183">
        <f ca="1"/>
      </c>
      <c r="IJ183">
        <f ca="1"/>
      </c>
      <c r="IK183">
        <f ca="1"/>
      </c>
      <c r="IL183">
        <f ca="1"/>
      </c>
      <c r="IM183">
        <f ca="1"/>
      </c>
      <c r="IN183">
        <f ca="1"/>
      </c>
      <c r="IO183">
        <f ca="1"/>
      </c>
      <c r="IP183">
        <f ca="1"/>
      </c>
      <c r="IQ183">
        <f ca="1"/>
      </c>
      <c r="IR183">
        <f ca="1"/>
      </c>
      <c r="IS183">
        <f ca="1"/>
      </c>
      <c r="IT183">
        <f ca="1"/>
      </c>
      <c r="IU183">
        <f ca="1"/>
      </c>
      <c r="IV183">
        <f ca="1"/>
      </c>
      <c r="IW183">
        <f ca="1"/>
      </c>
      <c r="IX183">
        <f ca="1"/>
      </c>
      <c r="IY183">
        <f ca="1"/>
      </c>
      <c r="IZ183">
        <f ca="1"/>
      </c>
      <c r="JA183">
        <f ca="1"/>
      </c>
      <c r="JB183">
        <f ca="1"/>
      </c>
    </row>
    <row r="184" spans="58:267" x14ac:dyDescent="0.55000000000000004">
      <c r="BF184">
        <f ca="1"/>
      </c>
      <c r="BG184">
        <f ca="1"/>
      </c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GX184">
        <f ca="1"/>
      </c>
      <c r="GY184">
        <f ca="1"/>
      </c>
      <c r="GZ184">
        <f ca="1"/>
      </c>
      <c r="HA184">
        <f ca="1"/>
      </c>
      <c r="HB184">
        <f ca="1"/>
      </c>
      <c r="HC184">
        <f ca="1"/>
      </c>
      <c r="HD184">
        <f ca="1"/>
      </c>
      <c r="HE184">
        <f ca="1"/>
      </c>
      <c r="HF184">
        <f ca="1"/>
      </c>
      <c r="HG184">
        <f ca="1"/>
      </c>
      <c r="HH184">
        <f ca="1"/>
      </c>
      <c r="HI184">
        <f ca="1"/>
      </c>
      <c r="HJ184">
        <f ca="1"/>
      </c>
      <c r="HK184">
        <f ca="1"/>
      </c>
      <c r="HL184">
        <f ca="1"/>
      </c>
      <c r="HM184">
        <f ca="1"/>
      </c>
      <c r="HN184">
        <f ca="1"/>
      </c>
      <c r="HO184">
        <f ca="1"/>
      </c>
      <c r="HP184">
        <f ca="1"/>
      </c>
      <c r="HQ184">
        <f ca="1"/>
      </c>
      <c r="HR184">
        <f ca="1"/>
      </c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  <c r="HZ184">
        <f ca="1"/>
      </c>
      <c r="IA184">
        <f ca="1"/>
      </c>
      <c r="IB184">
        <f ca="1"/>
      </c>
      <c r="IC184">
        <f ca="1"/>
      </c>
      <c r="ID184">
        <f ca="1"/>
      </c>
      <c r="IE184">
        <f ca="1"/>
      </c>
      <c r="IF184">
        <f ca="1"/>
      </c>
      <c r="IG184">
        <f ca="1"/>
      </c>
      <c r="IH184">
        <f ca="1"/>
      </c>
      <c r="II184">
        <f ca="1"/>
      </c>
      <c r="IJ184">
        <f ca="1"/>
      </c>
      <c r="IK184">
        <f ca="1"/>
      </c>
      <c r="IL184">
        <f ca="1"/>
      </c>
      <c r="IM184">
        <f ca="1"/>
      </c>
      <c r="IN184">
        <f ca="1"/>
      </c>
      <c r="IO184">
        <f ca="1"/>
      </c>
      <c r="IP184">
        <f ca="1"/>
      </c>
      <c r="IQ184">
        <f ca="1"/>
      </c>
      <c r="IR184">
        <f ca="1"/>
      </c>
      <c r="IS184">
        <f ca="1"/>
      </c>
      <c r="IT184">
        <f ca="1"/>
      </c>
      <c r="IU184">
        <f ca="1"/>
      </c>
      <c r="IV184">
        <f ca="1"/>
      </c>
      <c r="IW184">
        <f ca="1"/>
      </c>
      <c r="IX184">
        <f ca="1"/>
      </c>
      <c r="IY184">
        <f ca="1"/>
      </c>
      <c r="IZ184">
        <f ca="1"/>
      </c>
      <c r="JA184">
        <f ca="1"/>
      </c>
      <c r="JB184">
        <f ca="1"/>
      </c>
    </row>
    <row r="185" spans="58:267" x14ac:dyDescent="0.55000000000000004">
      <c r="BF185">
        <f ca="1"/>
      </c>
      <c r="BG185">
        <f ca="1"/>
      </c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GX185">
        <f ca="1"/>
      </c>
      <c r="GY185">
        <f ca="1"/>
      </c>
      <c r="GZ185">
        <f ca="1"/>
      </c>
      <c r="HA185">
        <f ca="1"/>
      </c>
      <c r="HB185">
        <f ca="1"/>
      </c>
      <c r="HC185">
        <f ca="1"/>
      </c>
      <c r="HD185">
        <f ca="1"/>
      </c>
      <c r="HE185">
        <f ca="1"/>
      </c>
      <c r="HF185">
        <f ca="1"/>
      </c>
      <c r="HG185">
        <f ca="1"/>
      </c>
      <c r="HH185">
        <f ca="1"/>
      </c>
      <c r="HI185">
        <f ca="1"/>
      </c>
      <c r="HJ185">
        <f ca="1"/>
      </c>
      <c r="HK185">
        <f ca="1"/>
      </c>
      <c r="HL185">
        <f ca="1"/>
      </c>
      <c r="HM185">
        <f ca="1"/>
      </c>
      <c r="HN185">
        <f ca="1"/>
      </c>
      <c r="HO185">
        <f ca="1"/>
      </c>
      <c r="HP185">
        <f ca="1"/>
      </c>
      <c r="HQ185">
        <f ca="1"/>
      </c>
      <c r="HR185">
        <f ca="1"/>
      </c>
      <c r="HS185">
        <f ca="1"/>
      </c>
      <c r="HT185">
        <f ca="1"/>
      </c>
      <c r="HU185">
        <f ca="1"/>
      </c>
      <c r="HV185">
        <f ca="1"/>
      </c>
      <c r="HW185">
        <f ca="1"/>
      </c>
      <c r="HX185">
        <f ca="1"/>
      </c>
      <c r="HY185">
        <f ca="1"/>
      </c>
      <c r="HZ185">
        <f ca="1"/>
      </c>
      <c r="IA185">
        <f ca="1"/>
      </c>
      <c r="IB185">
        <f ca="1"/>
      </c>
      <c r="IC185">
        <f ca="1"/>
      </c>
      <c r="ID185">
        <f ca="1"/>
      </c>
      <c r="IE185">
        <f ca="1"/>
      </c>
      <c r="IF185">
        <f ca="1"/>
      </c>
      <c r="IG185">
        <f ca="1"/>
      </c>
      <c r="IH185">
        <f ca="1"/>
      </c>
      <c r="II185">
        <f ca="1"/>
      </c>
      <c r="IJ185">
        <f ca="1"/>
      </c>
      <c r="IK185">
        <f ca="1"/>
      </c>
      <c r="IL185">
        <f ca="1"/>
      </c>
      <c r="IM185">
        <f ca="1"/>
      </c>
      <c r="IN185">
        <f ca="1"/>
      </c>
      <c r="IO185">
        <f ca="1"/>
      </c>
      <c r="IP185">
        <f ca="1"/>
      </c>
      <c r="IQ185">
        <f ca="1"/>
      </c>
      <c r="IR185">
        <f ca="1"/>
      </c>
      <c r="IS185">
        <f ca="1"/>
      </c>
      <c r="IT185">
        <f ca="1"/>
      </c>
      <c r="IU185">
        <f ca="1"/>
      </c>
      <c r="IV185">
        <f ca="1"/>
      </c>
      <c r="IW185">
        <f ca="1"/>
      </c>
      <c r="IX185">
        <f ca="1"/>
      </c>
      <c r="IY185">
        <f ca="1"/>
      </c>
      <c r="IZ185">
        <f ca="1"/>
      </c>
      <c r="JA185">
        <f ca="1"/>
      </c>
      <c r="JB185">
        <f ca="1"/>
      </c>
    </row>
    <row r="186" spans="58:267" x14ac:dyDescent="0.55000000000000004">
      <c r="BF186">
        <f ca="1"/>
      </c>
      <c r="BG186">
        <f ca="1"/>
      </c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GX186">
        <f ca="1"/>
      </c>
      <c r="GY186">
        <f ca="1"/>
      </c>
      <c r="GZ186">
        <f ca="1"/>
      </c>
      <c r="HA186">
        <f ca="1"/>
      </c>
      <c r="HB186">
        <f ca="1"/>
      </c>
      <c r="HC186">
        <f ca="1"/>
      </c>
      <c r="HD186">
        <f ca="1"/>
      </c>
      <c r="HE186">
        <f ca="1"/>
      </c>
      <c r="HF186">
        <f ca="1"/>
      </c>
      <c r="HG186">
        <f ca="1"/>
      </c>
      <c r="HH186">
        <f ca="1"/>
      </c>
      <c r="HI186">
        <f ca="1"/>
      </c>
      <c r="HJ186">
        <f ca="1"/>
      </c>
      <c r="HK186">
        <f ca="1"/>
      </c>
      <c r="HL186">
        <f ca="1"/>
      </c>
      <c r="HM186">
        <f ca="1"/>
      </c>
      <c r="HN186">
        <f ca="1"/>
      </c>
      <c r="HO186">
        <f ca="1"/>
      </c>
      <c r="HP186">
        <f ca="1"/>
      </c>
      <c r="HQ186">
        <f ca="1"/>
      </c>
      <c r="HR186">
        <f ca="1"/>
      </c>
      <c r="HS186">
        <f ca="1"/>
      </c>
      <c r="HT186">
        <f ca="1"/>
      </c>
      <c r="HU186">
        <f ca="1"/>
      </c>
      <c r="HV186">
        <f ca="1"/>
      </c>
      <c r="HW186">
        <f ca="1"/>
      </c>
      <c r="HX186">
        <f ca="1"/>
      </c>
      <c r="HY186">
        <f ca="1"/>
      </c>
      <c r="HZ186">
        <f ca="1"/>
      </c>
      <c r="IA186">
        <f ca="1"/>
      </c>
      <c r="IB186">
        <f ca="1"/>
      </c>
      <c r="IC186">
        <f ca="1"/>
      </c>
      <c r="ID186">
        <f ca="1"/>
      </c>
      <c r="IE186">
        <f ca="1"/>
      </c>
      <c r="IF186">
        <f ca="1"/>
      </c>
      <c r="IG186">
        <f ca="1"/>
      </c>
      <c r="IH186">
        <f ca="1"/>
      </c>
      <c r="II186">
        <f ca="1"/>
      </c>
      <c r="IJ186">
        <f ca="1"/>
      </c>
      <c r="IK186">
        <f ca="1"/>
      </c>
      <c r="IL186">
        <f ca="1"/>
      </c>
      <c r="IM186">
        <f ca="1"/>
      </c>
      <c r="IN186">
        <f ca="1"/>
      </c>
      <c r="IO186">
        <f ca="1"/>
      </c>
      <c r="IP186">
        <f ca="1"/>
      </c>
      <c r="IQ186">
        <f ca="1"/>
      </c>
      <c r="IR186">
        <f ca="1"/>
      </c>
      <c r="IS186">
        <f ca="1"/>
      </c>
      <c r="IT186">
        <f ca="1"/>
      </c>
      <c r="IU186">
        <f ca="1"/>
      </c>
      <c r="IV186">
        <f ca="1"/>
      </c>
      <c r="IW186">
        <f ca="1"/>
      </c>
      <c r="IX186">
        <f ca="1"/>
      </c>
      <c r="IY186">
        <f ca="1"/>
      </c>
      <c r="IZ186">
        <f ca="1"/>
      </c>
      <c r="JA186">
        <f ca="1"/>
      </c>
      <c r="JB186">
        <f ca="1"/>
      </c>
    </row>
    <row r="187" spans="58:267" x14ac:dyDescent="0.55000000000000004">
      <c r="BF187">
        <f ca="1"/>
      </c>
      <c r="BG187">
        <f ca="1"/>
      </c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GX187">
        <f ca="1"/>
      </c>
      <c r="GY187">
        <f ca="1"/>
      </c>
      <c r="GZ187">
        <f ca="1"/>
      </c>
      <c r="HA187">
        <f ca="1"/>
      </c>
      <c r="HB187">
        <f ca="1"/>
      </c>
      <c r="HC187">
        <f ca="1"/>
      </c>
      <c r="HD187">
        <f ca="1"/>
      </c>
      <c r="HE187">
        <f ca="1"/>
      </c>
      <c r="HF187">
        <f ca="1"/>
      </c>
      <c r="HG187">
        <f ca="1"/>
      </c>
      <c r="HH187">
        <f ca="1"/>
      </c>
      <c r="HI187">
        <f ca="1"/>
      </c>
      <c r="HJ187">
        <f ca="1"/>
      </c>
      <c r="HK187">
        <f ca="1"/>
      </c>
      <c r="HL187">
        <f ca="1"/>
      </c>
      <c r="HM187">
        <f ca="1"/>
      </c>
      <c r="HN187">
        <f ca="1"/>
      </c>
      <c r="HO187">
        <f ca="1"/>
      </c>
      <c r="HP187">
        <f ca="1"/>
      </c>
      <c r="HQ187">
        <f ca="1"/>
      </c>
      <c r="HR187">
        <f ca="1"/>
      </c>
      <c r="HS187">
        <f ca="1"/>
      </c>
      <c r="HT187">
        <f ca="1"/>
      </c>
      <c r="HU187">
        <f ca="1"/>
      </c>
      <c r="HV187">
        <f ca="1"/>
      </c>
      <c r="HW187">
        <f ca="1"/>
      </c>
      <c r="HX187">
        <f ca="1"/>
      </c>
      <c r="HY187">
        <f ca="1"/>
      </c>
      <c r="HZ187">
        <f ca="1"/>
      </c>
      <c r="IA187">
        <f ca="1"/>
      </c>
      <c r="IB187">
        <f ca="1"/>
      </c>
      <c r="IC187">
        <f ca="1"/>
      </c>
      <c r="ID187">
        <f ca="1"/>
      </c>
      <c r="IE187">
        <f ca="1"/>
      </c>
      <c r="IF187">
        <f ca="1"/>
      </c>
      <c r="IG187">
        <f ca="1"/>
      </c>
      <c r="IH187">
        <f ca="1"/>
      </c>
      <c r="II187">
        <f ca="1"/>
      </c>
      <c r="IJ187">
        <f ca="1"/>
      </c>
      <c r="IK187">
        <f ca="1"/>
      </c>
      <c r="IL187">
        <f ca="1"/>
      </c>
      <c r="IM187">
        <f ca="1"/>
      </c>
      <c r="IN187">
        <f ca="1"/>
      </c>
      <c r="IO187">
        <f ca="1"/>
      </c>
      <c r="IP187">
        <f ca="1"/>
      </c>
      <c r="IQ187">
        <f ca="1"/>
      </c>
      <c r="IR187">
        <f ca="1"/>
      </c>
      <c r="IS187">
        <f ca="1"/>
      </c>
      <c r="IT187">
        <f ca="1"/>
      </c>
      <c r="IU187">
        <f ca="1"/>
      </c>
      <c r="IV187">
        <f ca="1"/>
      </c>
      <c r="IW187">
        <f ca="1"/>
      </c>
      <c r="IX187">
        <f ca="1"/>
      </c>
      <c r="IY187">
        <f ca="1"/>
      </c>
      <c r="IZ187">
        <f ca="1"/>
      </c>
      <c r="JA187">
        <f ca="1"/>
      </c>
      <c r="JB187">
        <f ca="1"/>
      </c>
    </row>
    <row r="188" spans="58:267" x14ac:dyDescent="0.55000000000000004">
      <c r="BF188">
        <f ca="1"/>
      </c>
      <c r="BG188">
        <f ca="1"/>
      </c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GX188">
        <f ca="1"/>
      </c>
      <c r="GY188">
        <f ca="1"/>
      </c>
      <c r="GZ188">
        <f ca="1"/>
      </c>
      <c r="HA188">
        <f ca="1"/>
      </c>
      <c r="HB188">
        <f ca="1"/>
      </c>
      <c r="HC188">
        <f ca="1"/>
      </c>
      <c r="HD188">
        <f ca="1"/>
      </c>
      <c r="HE188">
        <f ca="1"/>
      </c>
      <c r="HF188">
        <f ca="1"/>
      </c>
      <c r="HG188">
        <f ca="1"/>
      </c>
      <c r="HH188">
        <f ca="1"/>
      </c>
      <c r="HI188">
        <f ca="1"/>
      </c>
      <c r="HJ188">
        <f ca="1"/>
      </c>
      <c r="HK188">
        <f ca="1"/>
      </c>
      <c r="HL188">
        <f ca="1"/>
      </c>
      <c r="HM188">
        <f ca="1"/>
      </c>
      <c r="HN188">
        <f ca="1"/>
      </c>
      <c r="HO188">
        <f ca="1"/>
      </c>
      <c r="HP188">
        <f ca="1"/>
      </c>
      <c r="HQ188">
        <f ca="1"/>
      </c>
      <c r="HR188">
        <f ca="1"/>
      </c>
      <c r="HS188">
        <f ca="1"/>
      </c>
      <c r="HT188">
        <f ca="1"/>
      </c>
      <c r="HU188">
        <f ca="1"/>
      </c>
      <c r="HV188">
        <f ca="1"/>
      </c>
      <c r="HW188">
        <f ca="1"/>
      </c>
      <c r="HX188">
        <f ca="1"/>
      </c>
      <c r="HY188">
        <f ca="1"/>
      </c>
      <c r="HZ188">
        <f ca="1"/>
      </c>
      <c r="IA188">
        <f ca="1"/>
      </c>
      <c r="IB188">
        <f ca="1"/>
      </c>
      <c r="IC188">
        <f ca="1"/>
      </c>
      <c r="ID188">
        <f ca="1"/>
      </c>
      <c r="IE188">
        <f ca="1"/>
      </c>
      <c r="IF188">
        <f ca="1"/>
      </c>
      <c r="IG188">
        <f ca="1"/>
      </c>
      <c r="IH188">
        <f ca="1"/>
      </c>
      <c r="II188">
        <f ca="1"/>
      </c>
      <c r="IJ188">
        <f ca="1"/>
      </c>
      <c r="IK188">
        <f ca="1"/>
      </c>
      <c r="IL188">
        <f ca="1"/>
      </c>
      <c r="IM188">
        <f ca="1"/>
      </c>
      <c r="IN188">
        <f ca="1"/>
      </c>
      <c r="IO188">
        <f ca="1"/>
      </c>
      <c r="IP188">
        <f ca="1"/>
      </c>
      <c r="IQ188">
        <f ca="1"/>
      </c>
      <c r="IR188">
        <f ca="1"/>
      </c>
      <c r="IS188">
        <f ca="1"/>
      </c>
      <c r="IT188">
        <f ca="1"/>
      </c>
      <c r="IU188">
        <f ca="1"/>
      </c>
      <c r="IV188">
        <f ca="1"/>
      </c>
      <c r="IW188">
        <f ca="1"/>
      </c>
      <c r="IX188">
        <f ca="1"/>
      </c>
      <c r="IY188">
        <f ca="1"/>
      </c>
      <c r="IZ188">
        <f ca="1"/>
      </c>
      <c r="JA188">
        <f ca="1"/>
      </c>
      <c r="JB188">
        <f ca="1"/>
      </c>
    </row>
    <row r="189" spans="58:267" x14ac:dyDescent="0.55000000000000004">
      <c r="BF189">
        <f ca="1"/>
      </c>
      <c r="BG189">
        <f ca="1"/>
      </c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GX189">
        <f ca="1"/>
      </c>
      <c r="GY189">
        <f ca="1"/>
      </c>
      <c r="GZ189">
        <f ca="1"/>
      </c>
      <c r="HA189">
        <f ca="1"/>
      </c>
      <c r="HB189">
        <f ca="1"/>
      </c>
      <c r="HC189">
        <f ca="1"/>
      </c>
      <c r="HD189">
        <f ca="1"/>
      </c>
      <c r="HE189">
        <f ca="1"/>
      </c>
      <c r="HF189">
        <f ca="1"/>
      </c>
      <c r="HG189">
        <f ca="1"/>
      </c>
      <c r="HH189">
        <f ca="1"/>
      </c>
      <c r="HI189">
        <f ca="1"/>
      </c>
      <c r="HJ189">
        <f ca="1"/>
      </c>
      <c r="HK189">
        <f ca="1"/>
      </c>
      <c r="HL189">
        <f ca="1"/>
      </c>
      <c r="HM189">
        <f ca="1"/>
      </c>
      <c r="HN189">
        <f ca="1"/>
      </c>
      <c r="HO189">
        <f ca="1"/>
      </c>
      <c r="HP189">
        <f ca="1"/>
      </c>
      <c r="HQ189">
        <f ca="1"/>
      </c>
      <c r="HR189">
        <f ca="1"/>
      </c>
      <c r="HS189">
        <f ca="1"/>
      </c>
      <c r="HT189">
        <f ca="1"/>
      </c>
      <c r="HU189">
        <f ca="1"/>
      </c>
      <c r="HV189">
        <f ca="1"/>
      </c>
      <c r="HW189">
        <f ca="1"/>
      </c>
      <c r="HX189">
        <f ca="1"/>
      </c>
      <c r="HY189">
        <f ca="1"/>
      </c>
      <c r="HZ189">
        <f ca="1"/>
      </c>
      <c r="IA189">
        <f ca="1"/>
      </c>
      <c r="IB189">
        <f ca="1"/>
      </c>
      <c r="IC189">
        <f ca="1"/>
      </c>
      <c r="ID189">
        <f ca="1"/>
      </c>
      <c r="IE189">
        <f ca="1"/>
      </c>
      <c r="IF189">
        <f ca="1"/>
      </c>
      <c r="IG189">
        <f ca="1"/>
      </c>
      <c r="IH189">
        <f ca="1"/>
      </c>
      <c r="II189">
        <f ca="1"/>
      </c>
      <c r="IJ189">
        <f ca="1"/>
      </c>
      <c r="IK189">
        <f ca="1"/>
      </c>
      <c r="IL189">
        <f ca="1"/>
      </c>
      <c r="IM189">
        <f ca="1"/>
      </c>
      <c r="IN189">
        <f ca="1"/>
      </c>
      <c r="IO189">
        <f ca="1"/>
      </c>
      <c r="IP189">
        <f ca="1"/>
      </c>
      <c r="IQ189">
        <f ca="1"/>
      </c>
      <c r="IR189">
        <f ca="1"/>
      </c>
      <c r="IS189">
        <f ca="1"/>
      </c>
      <c r="IT189">
        <f ca="1"/>
      </c>
      <c r="IU189">
        <f ca="1"/>
      </c>
      <c r="IV189">
        <f ca="1"/>
      </c>
      <c r="IW189">
        <f ca="1"/>
      </c>
      <c r="IX189">
        <f ca="1"/>
      </c>
      <c r="IY189">
        <f ca="1"/>
      </c>
      <c r="IZ189">
        <f ca="1"/>
      </c>
      <c r="JA189">
        <f ca="1"/>
      </c>
      <c r="JB189">
        <f ca="1"/>
      </c>
    </row>
    <row r="190" spans="58:267" x14ac:dyDescent="0.55000000000000004">
      <c r="BF190">
        <f ca="1"/>
      </c>
      <c r="BG190">
        <f ca="1"/>
      </c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GX190">
        <f ca="1"/>
      </c>
      <c r="GY190">
        <f ca="1"/>
      </c>
      <c r="GZ190">
        <f ca="1"/>
      </c>
      <c r="HA190">
        <f ca="1"/>
      </c>
      <c r="HB190">
        <f ca="1"/>
      </c>
      <c r="HC190">
        <f ca="1"/>
      </c>
      <c r="HD190">
        <f ca="1"/>
      </c>
      <c r="HE190">
        <f ca="1"/>
      </c>
      <c r="HF190">
        <f ca="1"/>
      </c>
      <c r="HG190">
        <f ca="1"/>
      </c>
      <c r="HH190">
        <f ca="1"/>
      </c>
      <c r="HI190">
        <f ca="1"/>
      </c>
      <c r="HJ190">
        <f ca="1"/>
      </c>
      <c r="HK190">
        <f ca="1"/>
      </c>
      <c r="HL190">
        <f ca="1"/>
      </c>
      <c r="HM190">
        <f ca="1"/>
      </c>
      <c r="HN190">
        <f ca="1"/>
      </c>
      <c r="HO190">
        <f ca="1"/>
      </c>
      <c r="HP190">
        <f ca="1"/>
      </c>
      <c r="HQ190">
        <f ca="1"/>
      </c>
      <c r="HR190">
        <f ca="1"/>
      </c>
      <c r="HS190">
        <f ca="1"/>
      </c>
      <c r="HT190">
        <f ca="1"/>
      </c>
      <c r="HU190">
        <f ca="1"/>
      </c>
      <c r="HV190">
        <f ca="1"/>
      </c>
      <c r="HW190">
        <f ca="1"/>
      </c>
      <c r="HX190">
        <f ca="1"/>
      </c>
      <c r="HY190">
        <f ca="1"/>
      </c>
      <c r="HZ190">
        <f ca="1"/>
      </c>
      <c r="IA190">
        <f ca="1"/>
      </c>
      <c r="IB190">
        <f ca="1"/>
      </c>
      <c r="IC190">
        <f ca="1"/>
      </c>
      <c r="ID190">
        <f ca="1"/>
      </c>
      <c r="IE190">
        <f ca="1"/>
      </c>
      <c r="IF190">
        <f ca="1"/>
      </c>
      <c r="IG190">
        <f ca="1"/>
      </c>
      <c r="IH190">
        <f ca="1"/>
      </c>
      <c r="II190">
        <f ca="1"/>
      </c>
      <c r="IJ190">
        <f ca="1"/>
      </c>
      <c r="IK190">
        <f ca="1"/>
      </c>
      <c r="IL190">
        <f ca="1"/>
      </c>
      <c r="IM190">
        <f ca="1"/>
      </c>
      <c r="IN190">
        <f ca="1"/>
      </c>
      <c r="IO190">
        <f ca="1"/>
      </c>
      <c r="IP190">
        <f ca="1"/>
      </c>
      <c r="IQ190">
        <f ca="1"/>
      </c>
      <c r="IR190">
        <f ca="1"/>
      </c>
      <c r="IS190">
        <f ca="1"/>
      </c>
      <c r="IT190">
        <f ca="1"/>
      </c>
      <c r="IU190">
        <f ca="1"/>
      </c>
      <c r="IV190">
        <f ca="1"/>
      </c>
      <c r="IW190">
        <f ca="1"/>
      </c>
      <c r="IX190">
        <f ca="1"/>
      </c>
      <c r="IY190">
        <f ca="1"/>
      </c>
      <c r="IZ190">
        <f ca="1"/>
      </c>
      <c r="JA190">
        <f ca="1"/>
      </c>
      <c r="JB190">
        <f ca="1"/>
      </c>
    </row>
    <row r="191" spans="58:267" x14ac:dyDescent="0.55000000000000004">
      <c r="BF191">
        <f ca="1"/>
      </c>
      <c r="BG191">
        <f ca="1"/>
      </c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GX191">
        <f ca="1"/>
      </c>
      <c r="GY191">
        <f ca="1"/>
      </c>
      <c r="GZ191">
        <f ca="1"/>
      </c>
      <c r="HA191">
        <f ca="1"/>
      </c>
      <c r="HB191">
        <f ca="1"/>
      </c>
      <c r="HC191">
        <f ca="1"/>
      </c>
      <c r="HD191">
        <f ca="1"/>
      </c>
      <c r="HE191">
        <f ca="1"/>
      </c>
      <c r="HF191">
        <f ca="1"/>
      </c>
      <c r="HG191">
        <f ca="1"/>
      </c>
      <c r="HH191">
        <f ca="1"/>
      </c>
      <c r="HI191">
        <f ca="1"/>
      </c>
      <c r="HJ191">
        <f ca="1"/>
      </c>
      <c r="HK191">
        <f ca="1"/>
      </c>
      <c r="HL191">
        <f ca="1"/>
      </c>
      <c r="HM191">
        <f ca="1"/>
      </c>
      <c r="HN191">
        <f ca="1"/>
      </c>
      <c r="HO191">
        <f ca="1"/>
      </c>
      <c r="HP191">
        <f ca="1"/>
      </c>
      <c r="HQ191">
        <f ca="1"/>
      </c>
      <c r="HR191">
        <f ca="1"/>
      </c>
      <c r="HS191">
        <f ca="1"/>
      </c>
      <c r="HT191">
        <f ca="1"/>
      </c>
      <c r="HU191">
        <f ca="1"/>
      </c>
      <c r="HV191">
        <f ca="1"/>
      </c>
      <c r="HW191">
        <f ca="1"/>
      </c>
      <c r="HX191">
        <f ca="1"/>
      </c>
      <c r="HY191">
        <f ca="1"/>
      </c>
      <c r="HZ191">
        <f ca="1"/>
      </c>
      <c r="IA191">
        <f ca="1"/>
      </c>
      <c r="IB191">
        <f ca="1"/>
      </c>
      <c r="IC191">
        <f ca="1"/>
      </c>
      <c r="ID191">
        <f ca="1"/>
      </c>
      <c r="IE191">
        <f ca="1"/>
      </c>
      <c r="IF191">
        <f ca="1"/>
      </c>
      <c r="IG191">
        <f ca="1"/>
      </c>
      <c r="IH191">
        <f ca="1"/>
      </c>
      <c r="II191">
        <f ca="1"/>
      </c>
      <c r="IJ191">
        <f ca="1"/>
      </c>
      <c r="IK191">
        <f ca="1"/>
      </c>
      <c r="IL191">
        <f ca="1"/>
      </c>
      <c r="IM191">
        <f ca="1"/>
      </c>
      <c r="IN191">
        <f ca="1"/>
      </c>
      <c r="IO191">
        <f ca="1"/>
      </c>
      <c r="IP191">
        <f ca="1"/>
      </c>
      <c r="IQ191">
        <f ca="1"/>
      </c>
      <c r="IR191">
        <f ca="1"/>
      </c>
      <c r="IS191">
        <f ca="1"/>
      </c>
      <c r="IT191">
        <f ca="1"/>
      </c>
      <c r="IU191">
        <f ca="1"/>
      </c>
      <c r="IV191">
        <f ca="1"/>
      </c>
      <c r="IW191">
        <f ca="1"/>
      </c>
      <c r="IX191">
        <f ca="1"/>
      </c>
      <c r="IY191">
        <f ca="1"/>
      </c>
      <c r="IZ191">
        <f ca="1"/>
      </c>
      <c r="JA191">
        <f ca="1"/>
      </c>
      <c r="JB191">
        <f ca="1"/>
      </c>
    </row>
    <row r="192" spans="58:267" x14ac:dyDescent="0.55000000000000004">
      <c r="BF192">
        <f ca="1"/>
      </c>
      <c r="BG192">
        <f ca="1"/>
      </c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GX192">
        <f ca="1"/>
      </c>
      <c r="GY192">
        <f ca="1"/>
      </c>
      <c r="GZ192">
        <f ca="1"/>
      </c>
      <c r="HA192">
        <f ca="1"/>
      </c>
      <c r="HB192">
        <f ca="1"/>
      </c>
      <c r="HC192">
        <f ca="1"/>
      </c>
      <c r="HD192">
        <f ca="1"/>
      </c>
      <c r="HE192">
        <f ca="1"/>
      </c>
      <c r="HF192">
        <f ca="1"/>
      </c>
      <c r="HG192">
        <f ca="1"/>
      </c>
      <c r="HH192">
        <f ca="1"/>
      </c>
      <c r="HI192">
        <f ca="1"/>
      </c>
      <c r="HJ192">
        <f ca="1"/>
      </c>
      <c r="HK192">
        <f ca="1"/>
      </c>
      <c r="HL192">
        <f ca="1"/>
      </c>
      <c r="HM192">
        <f ca="1"/>
      </c>
      <c r="HN192">
        <f ca="1"/>
      </c>
      <c r="HO192">
        <f ca="1"/>
      </c>
      <c r="HP192">
        <f ca="1"/>
      </c>
      <c r="HQ192">
        <f ca="1"/>
      </c>
      <c r="HR192">
        <f ca="1"/>
      </c>
      <c r="HS192">
        <f ca="1"/>
      </c>
      <c r="HT192">
        <f ca="1"/>
      </c>
      <c r="HU192">
        <f ca="1"/>
      </c>
      <c r="HV192">
        <f ca="1"/>
      </c>
      <c r="HW192">
        <f ca="1"/>
      </c>
      <c r="HX192">
        <f ca="1"/>
      </c>
      <c r="HY192">
        <f ca="1"/>
      </c>
      <c r="HZ192">
        <f ca="1"/>
      </c>
      <c r="IA192">
        <f ca="1"/>
      </c>
      <c r="IB192">
        <f ca="1"/>
      </c>
      <c r="IC192">
        <f ca="1"/>
      </c>
      <c r="ID192">
        <f ca="1"/>
      </c>
      <c r="IE192">
        <f ca="1"/>
      </c>
      <c r="IF192">
        <f ca="1"/>
      </c>
      <c r="IG192">
        <f ca="1"/>
      </c>
      <c r="IH192">
        <f ca="1"/>
      </c>
      <c r="II192">
        <f ca="1"/>
      </c>
      <c r="IJ192">
        <f ca="1"/>
      </c>
      <c r="IK192">
        <f ca="1"/>
      </c>
      <c r="IL192">
        <f ca="1"/>
      </c>
      <c r="IM192">
        <f ca="1"/>
      </c>
      <c r="IN192">
        <f ca="1"/>
      </c>
      <c r="IO192">
        <f ca="1"/>
      </c>
      <c r="IP192">
        <f ca="1"/>
      </c>
      <c r="IQ192">
        <f ca="1"/>
      </c>
      <c r="IR192">
        <f ca="1"/>
      </c>
      <c r="IS192">
        <f ca="1"/>
      </c>
      <c r="IT192">
        <f ca="1"/>
      </c>
      <c r="IU192">
        <f ca="1"/>
      </c>
      <c r="IV192">
        <f ca="1"/>
      </c>
      <c r="IW192">
        <f ca="1"/>
      </c>
      <c r="IX192">
        <f ca="1"/>
      </c>
      <c r="IY192">
        <f ca="1"/>
      </c>
      <c r="IZ192">
        <f ca="1"/>
      </c>
      <c r="JA192">
        <f ca="1"/>
      </c>
      <c r="JB192">
        <f ca="1"/>
      </c>
    </row>
    <row r="193" spans="58:267" x14ac:dyDescent="0.55000000000000004">
      <c r="BF193">
        <f ca="1"/>
      </c>
      <c r="BG193">
        <f ca="1"/>
      </c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GX193">
        <f ca="1"/>
      </c>
      <c r="GY193">
        <f ca="1"/>
      </c>
      <c r="GZ193">
        <f ca="1"/>
      </c>
      <c r="HA193">
        <f ca="1"/>
      </c>
      <c r="HB193">
        <f ca="1"/>
      </c>
      <c r="HC193">
        <f ca="1"/>
      </c>
      <c r="HD193">
        <f ca="1"/>
      </c>
      <c r="HE193">
        <f ca="1"/>
      </c>
      <c r="HF193">
        <f ca="1"/>
      </c>
      <c r="HG193">
        <f ca="1"/>
      </c>
      <c r="HH193">
        <f ca="1"/>
      </c>
      <c r="HI193">
        <f ca="1"/>
      </c>
      <c r="HJ193">
        <f ca="1"/>
      </c>
      <c r="HK193">
        <f ca="1"/>
      </c>
      <c r="HL193">
        <f ca="1"/>
      </c>
      <c r="HM193">
        <f ca="1"/>
      </c>
      <c r="HN193">
        <f ca="1"/>
      </c>
      <c r="HO193">
        <f ca="1"/>
      </c>
      <c r="HP193">
        <f ca="1"/>
      </c>
      <c r="HQ193">
        <f ca="1"/>
      </c>
      <c r="HR193">
        <f ca="1"/>
      </c>
      <c r="HS193">
        <f ca="1"/>
      </c>
      <c r="HT193">
        <f ca="1"/>
      </c>
      <c r="HU193">
        <f ca="1"/>
      </c>
      <c r="HV193">
        <f ca="1"/>
      </c>
      <c r="HW193">
        <f ca="1"/>
      </c>
      <c r="HX193">
        <f ca="1"/>
      </c>
      <c r="HY193">
        <f ca="1"/>
      </c>
      <c r="HZ193">
        <f ca="1"/>
      </c>
      <c r="IA193">
        <f ca="1"/>
      </c>
      <c r="IB193">
        <f ca="1"/>
      </c>
      <c r="IC193">
        <f ca="1"/>
      </c>
      <c r="ID193">
        <f ca="1"/>
      </c>
      <c r="IE193">
        <f ca="1"/>
      </c>
      <c r="IF193">
        <f ca="1"/>
      </c>
      <c r="IG193">
        <f ca="1"/>
      </c>
      <c r="IH193">
        <f ca="1"/>
      </c>
      <c r="II193">
        <f ca="1"/>
      </c>
      <c r="IJ193">
        <f ca="1"/>
      </c>
      <c r="IK193">
        <f ca="1"/>
      </c>
      <c r="IL193">
        <f ca="1"/>
      </c>
      <c r="IM193">
        <f ca="1"/>
      </c>
      <c r="IN193">
        <f ca="1"/>
      </c>
      <c r="IO193">
        <f ca="1"/>
      </c>
      <c r="IP193">
        <f ca="1"/>
      </c>
      <c r="IQ193">
        <f ca="1"/>
      </c>
      <c r="IR193">
        <f ca="1"/>
      </c>
      <c r="IS193">
        <f ca="1"/>
      </c>
      <c r="IT193">
        <f ca="1"/>
      </c>
      <c r="IU193">
        <f ca="1"/>
      </c>
      <c r="IV193">
        <f ca="1"/>
      </c>
      <c r="IW193">
        <f ca="1"/>
      </c>
      <c r="IX193">
        <f ca="1"/>
      </c>
      <c r="IY193">
        <f ca="1"/>
      </c>
      <c r="IZ193">
        <f ca="1"/>
      </c>
      <c r="JA193">
        <f ca="1"/>
      </c>
      <c r="JB193">
        <f ca="1"/>
      </c>
    </row>
    <row r="194" spans="58:267" x14ac:dyDescent="0.55000000000000004">
      <c r="BF194">
        <f ca="1"/>
      </c>
      <c r="BG194">
        <f ca="1"/>
      </c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GX194">
        <f ca="1"/>
      </c>
      <c r="GY194">
        <f ca="1"/>
      </c>
      <c r="GZ194">
        <f ca="1"/>
      </c>
      <c r="HA194">
        <f ca="1"/>
      </c>
      <c r="HB194">
        <f ca="1"/>
      </c>
      <c r="HC194">
        <f ca="1"/>
      </c>
      <c r="HD194">
        <f ca="1"/>
      </c>
      <c r="HE194">
        <f ca="1"/>
      </c>
      <c r="HF194">
        <f ca="1"/>
      </c>
      <c r="HG194">
        <f ca="1"/>
      </c>
      <c r="HH194">
        <f ca="1"/>
      </c>
      <c r="HI194">
        <f ca="1"/>
      </c>
      <c r="HJ194">
        <f ca="1"/>
      </c>
      <c r="HK194">
        <f ca="1"/>
      </c>
      <c r="HL194">
        <f ca="1"/>
      </c>
      <c r="HM194">
        <f ca="1"/>
      </c>
      <c r="HN194">
        <f ca="1"/>
      </c>
      <c r="HO194">
        <f ca="1"/>
      </c>
      <c r="HP194">
        <f ca="1"/>
      </c>
      <c r="HQ194">
        <f ca="1"/>
      </c>
      <c r="HR194">
        <f ca="1"/>
      </c>
      <c r="HS194">
        <f ca="1"/>
      </c>
      <c r="HT194">
        <f ca="1"/>
      </c>
      <c r="HU194">
        <f ca="1"/>
      </c>
      <c r="HV194">
        <f ca="1"/>
      </c>
      <c r="HW194">
        <f ca="1"/>
      </c>
      <c r="HX194">
        <f ca="1"/>
      </c>
      <c r="HY194">
        <f ca="1"/>
      </c>
      <c r="HZ194">
        <f ca="1"/>
      </c>
      <c r="IA194">
        <f ca="1"/>
      </c>
      <c r="IB194">
        <f ca="1"/>
      </c>
      <c r="IC194">
        <f ca="1"/>
      </c>
      <c r="ID194">
        <f ca="1"/>
      </c>
      <c r="IE194">
        <f ca="1"/>
      </c>
      <c r="IF194">
        <f ca="1"/>
      </c>
      <c r="IG194">
        <f ca="1"/>
      </c>
      <c r="IH194">
        <f ca="1"/>
      </c>
      <c r="II194">
        <f ca="1"/>
      </c>
      <c r="IJ194">
        <f ca="1"/>
      </c>
      <c r="IK194">
        <f ca="1"/>
      </c>
      <c r="IL194">
        <f ca="1"/>
      </c>
      <c r="IM194">
        <f ca="1"/>
      </c>
      <c r="IN194">
        <f ca="1"/>
      </c>
      <c r="IO194">
        <f ca="1"/>
      </c>
      <c r="IP194">
        <f ca="1"/>
      </c>
      <c r="IQ194">
        <f ca="1"/>
      </c>
      <c r="IR194">
        <f ca="1"/>
      </c>
      <c r="IS194">
        <f ca="1"/>
      </c>
      <c r="IT194">
        <f ca="1"/>
      </c>
      <c r="IU194">
        <f ca="1"/>
      </c>
      <c r="IV194">
        <f ca="1"/>
      </c>
      <c r="IW194">
        <f ca="1"/>
      </c>
      <c r="IX194">
        <f ca="1"/>
      </c>
      <c r="IY194">
        <f ca="1"/>
      </c>
      <c r="IZ194">
        <f ca="1"/>
      </c>
      <c r="JA194">
        <f ca="1"/>
      </c>
      <c r="JB194">
        <f ca="1"/>
      </c>
    </row>
    <row r="195" spans="58:267" x14ac:dyDescent="0.55000000000000004">
      <c r="BF195">
        <f ca="1"/>
      </c>
      <c r="BG195">
        <f ca="1"/>
      </c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GX195">
        <f ca="1"/>
      </c>
      <c r="GY195">
        <f ca="1"/>
      </c>
      <c r="GZ195">
        <f ca="1"/>
      </c>
      <c r="HA195">
        <f ca="1"/>
      </c>
      <c r="HB195">
        <f ca="1"/>
      </c>
      <c r="HC195">
        <f ca="1"/>
      </c>
      <c r="HD195">
        <f ca="1"/>
      </c>
      <c r="HE195">
        <f ca="1"/>
      </c>
      <c r="HF195">
        <f ca="1"/>
      </c>
      <c r="HG195">
        <f ca="1"/>
      </c>
      <c r="HH195">
        <f ca="1"/>
      </c>
      <c r="HI195">
        <f ca="1"/>
      </c>
      <c r="HJ195">
        <f ca="1"/>
      </c>
      <c r="HK195">
        <f ca="1"/>
      </c>
      <c r="HL195">
        <f ca="1"/>
      </c>
      <c r="HM195">
        <f ca="1"/>
      </c>
      <c r="HN195">
        <f ca="1"/>
      </c>
      <c r="HO195">
        <f ca="1"/>
      </c>
      <c r="HP195">
        <f ca="1"/>
      </c>
      <c r="HQ195">
        <f ca="1"/>
      </c>
      <c r="HR195">
        <f ca="1"/>
      </c>
      <c r="HS195">
        <f ca="1"/>
      </c>
      <c r="HT195">
        <f ca="1"/>
      </c>
      <c r="HU195">
        <f ca="1"/>
      </c>
      <c r="HV195">
        <f ca="1"/>
      </c>
      <c r="HW195">
        <f ca="1"/>
      </c>
      <c r="HX195">
        <f ca="1"/>
      </c>
      <c r="HY195">
        <f ca="1"/>
      </c>
      <c r="HZ195">
        <f ca="1"/>
      </c>
      <c r="IA195">
        <f ca="1"/>
      </c>
      <c r="IB195">
        <f ca="1"/>
      </c>
      <c r="IC195">
        <f ca="1"/>
      </c>
      <c r="ID195">
        <f ca="1"/>
      </c>
      <c r="IE195">
        <f ca="1"/>
      </c>
      <c r="IF195">
        <f ca="1"/>
      </c>
      <c r="IG195">
        <f ca="1"/>
      </c>
      <c r="IH195">
        <f ca="1"/>
      </c>
      <c r="II195">
        <f ca="1"/>
      </c>
      <c r="IJ195">
        <f ca="1"/>
      </c>
      <c r="IK195">
        <f ca="1"/>
      </c>
      <c r="IL195">
        <f ca="1"/>
      </c>
      <c r="IM195">
        <f ca="1"/>
      </c>
      <c r="IN195">
        <f ca="1"/>
      </c>
      <c r="IO195">
        <f ca="1"/>
      </c>
      <c r="IP195">
        <f ca="1"/>
      </c>
      <c r="IQ195">
        <f ca="1"/>
      </c>
      <c r="IR195">
        <f ca="1"/>
      </c>
      <c r="IS195">
        <f ca="1"/>
      </c>
      <c r="IT195">
        <f ca="1"/>
      </c>
      <c r="IU195">
        <f ca="1"/>
      </c>
      <c r="IV195">
        <f ca="1"/>
      </c>
      <c r="IW195">
        <f ca="1"/>
      </c>
      <c r="IX195">
        <f ca="1"/>
      </c>
      <c r="IY195">
        <f ca="1"/>
      </c>
      <c r="IZ195">
        <f ca="1"/>
      </c>
      <c r="JA195">
        <f ca="1"/>
      </c>
      <c r="JB195">
        <f ca="1"/>
      </c>
    </row>
    <row r="196" spans="58:267" x14ac:dyDescent="0.55000000000000004">
      <c r="BF196">
        <f ca="1"/>
      </c>
      <c r="BG196">
        <f ca="1"/>
      </c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GX196">
        <f ca="1"/>
      </c>
      <c r="GY196">
        <f ca="1"/>
      </c>
      <c r="GZ196">
        <f ca="1"/>
      </c>
      <c r="HA196">
        <f ca="1"/>
      </c>
      <c r="HB196">
        <f ca="1"/>
      </c>
      <c r="HC196">
        <f ca="1"/>
      </c>
      <c r="HD196">
        <f ca="1"/>
      </c>
      <c r="HE196">
        <f ca="1"/>
      </c>
      <c r="HF196">
        <f ca="1"/>
      </c>
      <c r="HG196">
        <f ca="1"/>
      </c>
      <c r="HH196">
        <f ca="1"/>
      </c>
      <c r="HI196">
        <f ca="1"/>
      </c>
      <c r="HJ196">
        <f ca="1"/>
      </c>
      <c r="HK196">
        <f ca="1"/>
      </c>
      <c r="HL196">
        <f ca="1"/>
      </c>
      <c r="HM196">
        <f ca="1"/>
      </c>
      <c r="HN196">
        <f ca="1"/>
      </c>
      <c r="HO196">
        <f ca="1"/>
      </c>
      <c r="HP196">
        <f ca="1"/>
      </c>
      <c r="HQ196">
        <f ca="1"/>
      </c>
      <c r="HR196">
        <f ca="1"/>
      </c>
      <c r="HS196">
        <f ca="1"/>
      </c>
      <c r="HT196">
        <f ca="1"/>
      </c>
      <c r="HU196">
        <f ca="1"/>
      </c>
      <c r="HV196">
        <f ca="1"/>
      </c>
      <c r="HW196">
        <f ca="1"/>
      </c>
      <c r="HX196">
        <f ca="1"/>
      </c>
      <c r="HY196">
        <f ca="1"/>
      </c>
      <c r="HZ196">
        <f ca="1"/>
      </c>
      <c r="IA196">
        <f ca="1"/>
      </c>
      <c r="IB196">
        <f ca="1"/>
      </c>
      <c r="IC196">
        <f ca="1"/>
      </c>
      <c r="ID196">
        <f ca="1"/>
      </c>
      <c r="IE196">
        <f ca="1"/>
      </c>
      <c r="IF196">
        <f ca="1"/>
      </c>
      <c r="IG196">
        <f ca="1"/>
      </c>
      <c r="IH196">
        <f ca="1"/>
      </c>
      <c r="II196">
        <f ca="1"/>
      </c>
      <c r="IJ196">
        <f ca="1"/>
      </c>
      <c r="IK196">
        <f ca="1"/>
      </c>
      <c r="IL196">
        <f ca="1"/>
      </c>
      <c r="IM196">
        <f ca="1"/>
      </c>
      <c r="IN196">
        <f ca="1"/>
      </c>
      <c r="IO196">
        <f ca="1"/>
      </c>
      <c r="IP196">
        <f ca="1"/>
      </c>
      <c r="IQ196">
        <f ca="1"/>
      </c>
      <c r="IR196">
        <f ca="1"/>
      </c>
      <c r="IS196">
        <f ca="1"/>
      </c>
      <c r="IT196">
        <f ca="1"/>
      </c>
      <c r="IU196">
        <f ca="1"/>
      </c>
      <c r="IV196">
        <f ca="1"/>
      </c>
      <c r="IW196">
        <f ca="1"/>
      </c>
      <c r="IX196">
        <f ca="1"/>
      </c>
      <c r="IY196">
        <f ca="1"/>
      </c>
      <c r="IZ196">
        <f ca="1"/>
      </c>
      <c r="JA196">
        <f ca="1"/>
      </c>
      <c r="JB196">
        <f ca="1"/>
      </c>
    </row>
    <row r="197" spans="58:267" x14ac:dyDescent="0.55000000000000004">
      <c r="BF197">
        <f ca="1"/>
      </c>
      <c r="BG197">
        <f ca="1"/>
      </c>
      <c r="BJ197" s="11"/>
      <c r="BK197" s="11"/>
      <c r="BL197" s="11"/>
      <c r="BM197" s="11"/>
      <c r="BN197" s="11"/>
    </row>
    <row r="198" spans="58:267" x14ac:dyDescent="0.55000000000000004">
      <c r="BF198">
        <f ca="1"/>
      </c>
      <c r="BG198">
        <f ca="1"/>
      </c>
      <c r="BJ198" s="11"/>
      <c r="BK198" s="11"/>
      <c r="BL198" s="11"/>
      <c r="BM198" s="11"/>
      <c r="BN198" s="11"/>
    </row>
    <row r="199" spans="58:267" x14ac:dyDescent="0.55000000000000004">
      <c r="BF199">
        <f ca="1"/>
      </c>
      <c r="BG199">
        <f ca="1"/>
      </c>
      <c r="BJ199" s="11"/>
      <c r="BK199" s="11"/>
      <c r="BL199" s="11"/>
      <c r="BM199" s="11"/>
      <c r="BN199" s="11"/>
    </row>
    <row r="200" spans="58:267" x14ac:dyDescent="0.55000000000000004">
      <c r="BF200">
        <f ca="1"/>
      </c>
      <c r="BG200">
        <f ca="1"/>
      </c>
      <c r="BJ200" s="11"/>
      <c r="BK200" s="11"/>
      <c r="BL200" s="11"/>
      <c r="BM200" s="11"/>
      <c r="BN200" s="11"/>
    </row>
    <row r="201" spans="58:267" x14ac:dyDescent="0.55000000000000004">
      <c r="BF201">
        <f ca="1"/>
      </c>
      <c r="BG201">
        <f ca="1"/>
      </c>
      <c r="BJ201" s="11"/>
      <c r="BK201" s="11"/>
      <c r="BL201" s="11"/>
      <c r="BM201" s="11"/>
      <c r="BN201" s="11"/>
    </row>
    <row r="202" spans="58:267" x14ac:dyDescent="0.55000000000000004">
      <c r="BF202">
        <f ca="1"/>
      </c>
      <c r="BG202">
        <f ca="1"/>
      </c>
      <c r="BJ202" s="11"/>
      <c r="BK202" s="11"/>
      <c r="BL202" s="11"/>
      <c r="BM202" s="11"/>
      <c r="BN202" s="11"/>
    </row>
    <row r="203" spans="58:267" x14ac:dyDescent="0.55000000000000004">
      <c r="BF203">
        <f ca="1"/>
      </c>
      <c r="BG203">
        <f ca="1"/>
      </c>
      <c r="BJ203" s="11"/>
      <c r="BK203" s="11"/>
      <c r="BL203" s="11"/>
      <c r="BM203" s="11"/>
      <c r="BN203" s="11"/>
    </row>
    <row r="204" spans="58:267" x14ac:dyDescent="0.55000000000000004">
      <c r="BF204">
        <f ca="1"/>
      </c>
      <c r="BG204">
        <f ca="1"/>
      </c>
      <c r="BJ204" s="11"/>
      <c r="BK204" s="11"/>
      <c r="BL204" s="11"/>
      <c r="BM204" s="11"/>
      <c r="BN204" s="11"/>
    </row>
    <row r="205" spans="58:267" x14ac:dyDescent="0.55000000000000004">
      <c r="BF205">
        <f ca="1"/>
      </c>
      <c r="BG205">
        <f ca="1"/>
      </c>
      <c r="BJ205" s="11"/>
      <c r="BK205" s="11"/>
      <c r="BL205" s="11"/>
      <c r="BM205" s="11"/>
      <c r="BN205" s="11"/>
    </row>
    <row r="206" spans="58:267" x14ac:dyDescent="0.55000000000000004">
      <c r="BF206">
        <f ca="1"/>
      </c>
      <c r="BG206">
        <f ca="1"/>
      </c>
      <c r="BJ206" s="11"/>
      <c r="BK206" s="11"/>
      <c r="BL206" s="11"/>
      <c r="BM206" s="11"/>
      <c r="BN206" s="11"/>
    </row>
    <row r="207" spans="58:267" x14ac:dyDescent="0.55000000000000004">
      <c r="BF207">
        <f ca="1"/>
      </c>
      <c r="BG207">
        <f ca="1"/>
      </c>
      <c r="BJ207" s="11"/>
      <c r="BK207" s="11"/>
      <c r="BL207" s="11"/>
      <c r="BM207" s="11"/>
      <c r="BN207" s="11"/>
    </row>
    <row r="208" spans="58:267" x14ac:dyDescent="0.55000000000000004">
      <c r="BF208">
        <f ca="1"/>
      </c>
      <c r="BG208">
        <f ca="1"/>
      </c>
      <c r="BJ208" s="11"/>
      <c r="BK208" s="11"/>
      <c r="BL208" s="11"/>
      <c r="BM208" s="11"/>
      <c r="BN208" s="11"/>
    </row>
    <row r="209" spans="58:66" x14ac:dyDescent="0.55000000000000004">
      <c r="BF209">
        <f ca="1"/>
      </c>
      <c r="BG209">
        <f ca="1"/>
      </c>
      <c r="BJ209" s="11"/>
      <c r="BK209" s="11"/>
      <c r="BL209" s="11"/>
      <c r="BM209" s="11"/>
      <c r="BN209" s="11"/>
    </row>
    <row r="210" spans="58:66" x14ac:dyDescent="0.55000000000000004">
      <c r="BJ210" s="11"/>
      <c r="BK210" s="11"/>
      <c r="BL210" s="11"/>
      <c r="BM210" s="11"/>
      <c r="BN210" s="11"/>
    </row>
    <row r="211" spans="58:66" x14ac:dyDescent="0.55000000000000004">
      <c r="BJ211" s="11"/>
      <c r="BK211" s="11"/>
      <c r="BL211" s="11"/>
      <c r="BM211" s="11"/>
      <c r="BN211" s="11"/>
    </row>
    <row r="212" spans="58:66" x14ac:dyDescent="0.55000000000000004">
      <c r="BJ212" s="11"/>
      <c r="BK212" s="11"/>
      <c r="BL212" s="11"/>
      <c r="BM212" s="11"/>
      <c r="BN212" s="11"/>
    </row>
    <row r="213" spans="58:66" x14ac:dyDescent="0.55000000000000004">
      <c r="BJ213" s="11"/>
      <c r="BK213" s="11"/>
      <c r="BL213" s="11"/>
      <c r="BM213" s="11"/>
      <c r="BN213" s="11"/>
    </row>
    <row r="214" spans="58:66" x14ac:dyDescent="0.55000000000000004">
      <c r="BJ214" s="11"/>
      <c r="BK214" s="11"/>
      <c r="BL214" s="11"/>
      <c r="BM214" s="11"/>
      <c r="BN214" s="11"/>
    </row>
    <row r="215" spans="58:66" x14ac:dyDescent="0.55000000000000004">
      <c r="BJ215" s="11"/>
      <c r="BK215" s="11"/>
      <c r="BL215" s="11"/>
      <c r="BM215" s="11"/>
      <c r="BN215" s="11"/>
    </row>
    <row r="216" spans="58:66" x14ac:dyDescent="0.55000000000000004">
      <c r="BJ216" s="11"/>
      <c r="BK216" s="11"/>
      <c r="BL216" s="11"/>
      <c r="BM216" s="11"/>
      <c r="BN216" s="11"/>
    </row>
    <row r="217" spans="58:66" x14ac:dyDescent="0.55000000000000004">
      <c r="BJ217" s="11"/>
      <c r="BK217" s="11"/>
      <c r="BL217" s="11"/>
      <c r="BM217" s="11"/>
      <c r="BN217" s="11"/>
    </row>
    <row r="218" spans="58:66" x14ac:dyDescent="0.55000000000000004">
      <c r="BJ218" s="11"/>
      <c r="BK218" s="11"/>
      <c r="BL218" s="11"/>
      <c r="BM218" s="11"/>
      <c r="BN218" s="11"/>
    </row>
    <row r="219" spans="58:66" x14ac:dyDescent="0.55000000000000004">
      <c r="BJ219" s="11"/>
      <c r="BK219" s="11"/>
      <c r="BL219" s="11"/>
      <c r="BM219" s="11"/>
      <c r="BN219" s="11"/>
    </row>
    <row r="220" spans="58:66" x14ac:dyDescent="0.55000000000000004">
      <c r="BJ220" s="11"/>
      <c r="BK220" s="11"/>
      <c r="BL220" s="11"/>
      <c r="BM220" s="11"/>
      <c r="BN220" s="11"/>
    </row>
    <row r="221" spans="58:66" x14ac:dyDescent="0.55000000000000004">
      <c r="BJ221" s="11"/>
      <c r="BK221" s="11"/>
      <c r="BL221" s="11"/>
      <c r="BM221" s="11"/>
      <c r="BN221" s="11"/>
    </row>
    <row r="222" spans="58:66" x14ac:dyDescent="0.55000000000000004">
      <c r="BJ222" s="11"/>
      <c r="BK222" s="11"/>
      <c r="BL222" s="11"/>
      <c r="BM222" s="11"/>
      <c r="BN222" s="11"/>
    </row>
    <row r="223" spans="58:66" x14ac:dyDescent="0.55000000000000004">
      <c r="BJ223" s="11"/>
      <c r="BK223" s="11"/>
      <c r="BL223" s="11"/>
      <c r="BM223" s="11"/>
      <c r="BN223" s="11"/>
    </row>
    <row r="224" spans="58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Z31">
    <cfRule type="colorScale" priority="1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G60:Z79">
    <cfRule type="colorScale" priority="2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V60:AO79">
    <cfRule type="colorScale" priority="3">
      <colorScale>
        <cfvo type="min"/>
        <cfvo type="num" val="0"/>
        <cfvo type="max"/>
        <color rgb="FF5A8AC4"/>
        <color rgb="FFFFFFFF"/>
        <color rgb="FFF8696B"/>
      </colorScale>
    </cfRule>
  </conditionalFormatting>
  <conditionalFormatting sqref="AK60:BD79">
    <cfRule type="colorScale" priority="4">
      <colorScale>
        <cfvo type="min"/>
        <cfvo type="num" val="0"/>
        <cfvo type="max"/>
        <color rgb="FF5A8AC4"/>
        <color rgb="FFFFFFFF"/>
        <color rgb="FFF8696B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prompt="なし=分散共分散(bp)のPCA / あり=z-score(相関行列)のPCA" sqref="B7" xr:uid="{C11F1F3B-7BFF-41EA-B0CF-D344E3570384}">
      <formula1>"あり,なし"</formula1>
    </dataValidation>
    <dataValidation type="list" allowBlank="1" showInputMessage="1" showErrorMessage="1" prompt="レベル=水準のPCA / 日次変化=前営業日からの変化のPCA" sqref="B6" xr:uid="{B9D60DA8-60B7-4CE1-AFE0-A74D35E6CB11}">
      <formula1>"レベル,日次変化"</formula1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空欄=今日(RealTimeのライブの値)。日付=DBのその日の引け値。推定基準日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12</vt:i4>
      </vt:variant>
    </vt:vector>
  </HeadingPairs>
  <TitlesOfParts>
    <vt:vector size="14" baseType="lpstr">
      <vt:lpstr>PCA</vt:lpstr>
      <vt:lpstr>VolPCA</vt:lpstr>
      <vt:lpstr>PCA_k</vt:lpstr>
      <vt:lpstr>PCA_window</vt:lpstr>
      <vt:lpstr>PCA_モード</vt:lpstr>
      <vt:lpstr>PCA_推定基準日</vt:lpstr>
      <vt:lpstr>PCA_比較日</vt:lpstr>
      <vt:lpstr>PCA_標準化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2026-10-18T12:06:49Z</dcterms:modified>
</cp:coreProperties>
</file>