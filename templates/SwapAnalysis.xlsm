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B8B0804D-F164-47A5-89B8-3FF37AF9E9FC}" xr6:coauthVersionLast="47" xr6:coauthVersionMax="47" xr10:uidLastSave="{00000000-0000-0000-0000-000000000000}"/>
  <bookViews>
    <workbookView xWindow="-110" yWindow="-110" windowWidth="19420" windowHeight="11500" xr2:uid="{F109E07F-C2B9-41F3-853A-1EF4B605D85F}"/>
  </bookViews>
  <sheets>
    <sheet name="PCA設定" sheetId="5" r:id="rId1"/>
    <sheet name="PCA結果" sheetId="6" r:id="rId2"/>
    <sheet name="PCA計算" sheetId="7" r:id="rId3"/>
    <sheet name="VolPCA設定" sheetId="8" r:id="rId4"/>
    <sheet name="VolPCA結果" sheetId="9" r:id="rId5"/>
    <sheet name="VolPCA計算" sheetId="10" r:id="rId6"/>
    <sheet name="RealTime" sheetId="2" r:id="rId7"/>
    <sheet name="RealTimeVol" sheetId="11" r:id="rId8"/>
  </sheets>
  <functionGroups builtInGroupCount="19">
    <functionGroup name="xlwings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PCA_Actual">_xlfn.ANCHORARRAY(PCA結果!$B$33)</definedName>
    <definedName name="PCA_k">PCA設定!$B$10</definedName>
    <definedName name="PCA_L1">_xlfn.ANCHORARRAY(PCA結果!$P$33)</definedName>
    <definedName name="PCA_L2">_xlfn.ANCHORARRAY(PCA結果!$Q$33)</definedName>
    <definedName name="PCA_L3">_xlfn.ANCHORARRAY(PCA結果!$R$33)</definedName>
    <definedName name="PCA_L4">_xlfn.ANCHORARRAY(PCA結果!$S$33)</definedName>
    <definedName name="PCA_L5">_xlfn.ANCHORARRAY(PCA結果!$T$33)</definedName>
    <definedName name="PCA_Mean">_xlfn.ANCHORARRAY(PCA結果!$C$33)</definedName>
    <definedName name="PCA_Recon">_xlfn.ANCHORARRAY(PCA結果!$D$33)</definedName>
    <definedName name="PCA_Resid">_xlfn.ANCHORARRAY(PCA結果!$E$33)</definedName>
    <definedName name="PCA_Tenor">_xlfn.ANCHORARRAY(PCA結果!$A$33)</definedName>
    <definedName name="PCA_window">PCA設定!$B$4</definedName>
    <definedName name="PCA_テナー">_xlfn.ANCHORARRAY(PCA設定!$D$14)</definedName>
    <definedName name="PCA_モード">PCA設定!$B$5</definedName>
    <definedName name="PCA_推定基準日">PCA設定!$B$3</definedName>
    <definedName name="PCA_比較日">PCA設定!$B$9</definedName>
    <definedName name="PCA_標準化">PCA設定!$B$6</definedName>
    <definedName name="VOL_k">VolPCA設定!$B$10</definedName>
    <definedName name="VOL_window">VolPCA設定!$B$4</definedName>
    <definedName name="VOL_モード">VolPCA設定!$B$5</definedName>
    <definedName name="VOL_原資産">_xlfn.ANCHORARRAY(VolPCA設定!$H$14)</definedName>
    <definedName name="VOL_推定基準日">VolPCA設定!$B$3</definedName>
    <definedName name="VOL_比較日">VolPCA設定!$B$9</definedName>
    <definedName name="VOL_標準化">VolPCA設定!$B$6</definedName>
    <definedName name="VOL_満期">_xlfn.ANCHORARRAY(VolPCA設定!$G$14)</definedName>
    <definedName name="VOL_銘柄">_xlfn.ANCHORARRAY(VolPCA設定!$J$14)</definedName>
  </definedNames>
  <calcPr fullCalcOnLoad="1" calcId="191029" calcMode="manual" calcOnSave="0"/>
  <extLst>
    <ext xmlns:x14="http://schemas.microsoft.com/office/spreadsheetml/2009/9/main" uri="{8193D73E-4604-4355-AFF4-8A2333D13BE4}">
      <x14:definedNames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" l="1"/>
  <c r="I5" i="9"/>
  <c r="I4" i="9"/>
  <c r="I3" i="9"/>
  <c r="I6" i="6"/>
  <c r="I5" i="6"/>
  <c r="I4" i="6"/>
  <c r="I3" i="6"/>
  <c r="H14" i="8" a="1"/>
  <c r="G14" i="8" a="1"/>
  <c r="D14" i="5" a="1"/>
  <c r="D14" i="5"/>
  <c r="D2" i="11" a="1"/>
  <c r="D2" i="11"/>
  <c r="C2" i="11" a="1"/>
  <c r="C2" i="11" s="1"/>
  <c r="E191" i="11"/>
  <c r="E183" i="11"/>
  <c r="E175" i="11"/>
  <c r="E167" i="11"/>
  <c r="E159" i="11"/>
  <c r="E151" i="11"/>
  <c r="E143" i="11"/>
  <c r="E135" i="11"/>
  <c r="E127" i="11"/>
  <c r="E119" i="11"/>
  <c r="E111" i="11"/>
  <c r="E103" i="11"/>
  <c r="E95" i="11"/>
  <c r="E87" i="11"/>
  <c r="E79" i="11"/>
  <c r="E71" i="11"/>
  <c r="E63" i="11"/>
  <c r="E55" i="11"/>
  <c r="E47" i="11"/>
  <c r="E39" i="11"/>
  <c r="E31" i="11"/>
  <c r="E23" i="11"/>
  <c r="E15" i="11"/>
  <c r="E7" i="11"/>
  <c r="E186" i="11"/>
  <c r="E154" i="11"/>
  <c r="E98" i="11"/>
  <c r="E82" i="11"/>
  <c r="E2" i="11"/>
  <c r="D3" i="7" a="1"/>
  <c r="E177" i="11"/>
  <c r="E161" i="11"/>
  <c r="E145" i="11"/>
  <c r="E129" i="11"/>
  <c r="E113" i="11"/>
  <c r="E97" i="11"/>
  <c r="E73" i="11"/>
  <c r="E65" i="11"/>
  <c r="E49" i="11"/>
  <c r="E17" i="11"/>
  <c r="E190" i="11"/>
  <c r="E182" i="11"/>
  <c r="E174" i="11"/>
  <c r="E166" i="11"/>
  <c r="E158" i="11"/>
  <c r="E150" i="11"/>
  <c r="E142" i="11"/>
  <c r="E134" i="11"/>
  <c r="E126" i="11"/>
  <c r="E118" i="11"/>
  <c r="E110" i="11"/>
  <c r="E102" i="11"/>
  <c r="E94" i="11"/>
  <c r="E86" i="11"/>
  <c r="E78" i="11"/>
  <c r="E70" i="11"/>
  <c r="E62" i="11"/>
  <c r="E54" i="11"/>
  <c r="E46" i="11"/>
  <c r="E38" i="11"/>
  <c r="E30" i="11"/>
  <c r="E22" i="11"/>
  <c r="E14" i="11"/>
  <c r="E6" i="11"/>
  <c r="E181" i="11"/>
  <c r="E165" i="11"/>
  <c r="E157" i="11"/>
  <c r="E141" i="11"/>
  <c r="E133" i="11"/>
  <c r="E125" i="11"/>
  <c r="E117" i="11"/>
  <c r="E109" i="11"/>
  <c r="E101" i="11"/>
  <c r="E93" i="11"/>
  <c r="E85" i="11"/>
  <c r="E77" i="11"/>
  <c r="E69" i="11"/>
  <c r="E37" i="11"/>
  <c r="E21" i="11"/>
  <c r="C2" i="2"/>
  <c r="E171" i="11"/>
  <c r="E147" i="11"/>
  <c r="E131" i="11"/>
  <c r="E123" i="11"/>
  <c r="E107" i="11"/>
  <c r="E75" i="11"/>
  <c r="E67" i="11"/>
  <c r="E189" i="11"/>
  <c r="E173" i="11"/>
  <c r="E149" i="11"/>
  <c r="E61" i="11"/>
  <c r="E53" i="11"/>
  <c r="E45" i="11"/>
  <c r="E29" i="11"/>
  <c r="E13" i="11"/>
  <c r="E5" i="11"/>
  <c r="E179" i="11"/>
  <c r="E155" i="11"/>
  <c r="E115" i="11"/>
  <c r="E99" i="11"/>
  <c r="E51" i="11"/>
  <c r="E35" i="11"/>
  <c r="E27" i="11"/>
  <c r="E11" i="11"/>
  <c r="E3" i="11"/>
  <c r="E170" i="11"/>
  <c r="E162" i="11"/>
  <c r="E130" i="11"/>
  <c r="E114" i="11"/>
  <c r="E66" i="11"/>
  <c r="E50" i="11"/>
  <c r="E34" i="11"/>
  <c r="E26" i="11"/>
  <c r="E18" i="11"/>
  <c r="E10" i="11"/>
  <c r="E41" i="11"/>
  <c r="E9" i="11"/>
  <c r="E192" i="11"/>
  <c r="E176" i="11"/>
  <c r="E168" i="11"/>
  <c r="E188" i="11"/>
  <c r="E180" i="11"/>
  <c r="E172" i="11"/>
  <c r="E164" i="11"/>
  <c r="E156" i="11"/>
  <c r="E148" i="11"/>
  <c r="E140" i="11"/>
  <c r="E132" i="11"/>
  <c r="E124" i="11"/>
  <c r="E116" i="11"/>
  <c r="E108" i="11"/>
  <c r="E100" i="11"/>
  <c r="E92" i="11"/>
  <c r="E84" i="11"/>
  <c r="E76" i="11"/>
  <c r="E68" i="11"/>
  <c r="E60" i="11"/>
  <c r="E52" i="11"/>
  <c r="E44" i="11"/>
  <c r="E36" i="11"/>
  <c r="E28" i="11"/>
  <c r="E20" i="11"/>
  <c r="E12" i="11"/>
  <c r="E4" i="11"/>
  <c r="C3" i="2" a="1"/>
  <c r="E187" i="11"/>
  <c r="E163" i="11"/>
  <c r="E139" i="11"/>
  <c r="E91" i="11"/>
  <c r="E83" i="11"/>
  <c r="E59" i="11"/>
  <c r="E43" i="11"/>
  <c r="E19" i="11"/>
  <c r="E178" i="11"/>
  <c r="E146" i="11"/>
  <c r="E138" i="11"/>
  <c r="E122" i="11"/>
  <c r="E106" i="11"/>
  <c r="E90" i="11"/>
  <c r="E74" i="11"/>
  <c r="E58" i="11"/>
  <c r="E42" i="11"/>
  <c r="E193" i="11"/>
  <c r="E185" i="11"/>
  <c r="E169" i="11"/>
  <c r="E153" i="11"/>
  <c r="E137" i="11"/>
  <c r="E121" i="11"/>
  <c r="E105" i="11"/>
  <c r="E89" i="11"/>
  <c r="E81" i="11"/>
  <c r="E57" i="11"/>
  <c r="E33" i="11"/>
  <c r="E25" i="11"/>
  <c r="E184" i="11"/>
  <c r="E128" i="11"/>
  <c r="E64" i="11"/>
  <c r="E32" i="11"/>
  <c r="E88" i="11"/>
  <c r="E144" i="11"/>
  <c r="E80" i="11"/>
  <c r="E136" i="11"/>
  <c r="E120" i="11"/>
  <c r="E56" i="11"/>
  <c r="E112" i="11"/>
  <c r="E48" i="11"/>
  <c r="E104" i="11"/>
  <c r="E40" i="11"/>
  <c r="E8" i="11"/>
  <c r="A16" i="7" a="1"/>
  <c r="E160" i="11"/>
  <c r="E96" i="11"/>
  <c r="E152" i="11"/>
  <c r="E24" i="11"/>
  <c r="E16" i="11"/>
  <c r="E72" i="11"/>
  <c r="H33" i="6" l="1" a="1"/>
  <c r="A16" i="7"/>
  <c r="I33" i="6" a="1"/>
  <c r="Q33" i="6" a="1"/>
  <c r="Q33" i="6" s="1"/>
  <c r="C33" i="6" a="1"/>
  <c r="T33" i="6" a="1"/>
  <c r="T33" i="6" s="1"/>
  <c r="P33" i="6" a="1"/>
  <c r="P33" i="6" s="1"/>
  <c r="R33" i="6" a="1"/>
  <c r="R33" i="6" s="1"/>
  <c r="D3" i="7"/>
  <c r="S33" i="6" a="1"/>
  <c r="S33" i="6" s="1"/>
  <c r="A33" i="6" a="1"/>
  <c r="G14" i="8"/>
  <c r="H14" i="8"/>
  <c r="Q34" i="9" s="1" a="1"/>
  <c r="Q34" i="9" s="1"/>
  <c r="B34" i="9" a="1"/>
  <c r="B34" i="9" s="1"/>
  <c r="C3" i="2"/>
  <c r="C4" i="2" a="1"/>
  <c r="C8" i="2" a="1"/>
  <c r="C12" i="2" a="1"/>
  <c r="C16" i="2" a="1"/>
  <c r="C20" i="2" a="1"/>
  <c r="C24" i="2" a="1"/>
  <c r="C28" i="2" a="1"/>
  <c r="C32" i="2" a="1"/>
  <c r="C36" i="2" a="1"/>
  <c r="C40" i="2" a="1"/>
  <c r="C38" i="2" a="1"/>
  <c r="A3" i="7" a="1"/>
  <c r="C15" i="2" a="1"/>
  <c r="C31" i="2" a="1"/>
  <c r="C5" i="2" a="1"/>
  <c r="C9" i="2" a="1"/>
  <c r="C17" i="2" a="1"/>
  <c r="C25" i="2" a="1"/>
  <c r="C29" i="2" a="1"/>
  <c r="C41" i="2" a="1"/>
  <c r="C6" i="2" a="1"/>
  <c r="C14" i="2" a="1"/>
  <c r="C22" i="2" a="1"/>
  <c r="C30" i="2" a="1"/>
  <c r="C42" i="2" a="1"/>
  <c r="C11" i="2" a="1"/>
  <c r="C23" i="2" a="1"/>
  <c r="C35" i="2" a="1"/>
  <c r="C13" i="2" a="1"/>
  <c r="C21" i="2" a="1"/>
  <c r="C33" i="2" a="1"/>
  <c r="C37" i="2" a="1"/>
  <c r="C10" i="2" a="1"/>
  <c r="C18" i="2" a="1"/>
  <c r="C26" i="2" a="1"/>
  <c r="C34" i="2" a="1"/>
  <c r="C7" i="2" a="1"/>
  <c r="C19" i="2" a="1"/>
  <c r="C27" i="2" a="1"/>
  <c r="C39" i="2" a="1"/>
  <c r="C43" i="2" a="1"/>
  <c r="C43" i="2" l="1"/>
  <c r="C39" i="2"/>
  <c r="C27" i="2"/>
  <c r="C19" i="2"/>
  <c r="C7" i="2"/>
  <c r="C34" i="2"/>
  <c r="C26" i="2"/>
  <c r="C18" i="2"/>
  <c r="C10" i="2"/>
  <c r="C37" i="2"/>
  <c r="C33" i="2"/>
  <c r="C21" i="2"/>
  <c r="C13" i="2"/>
  <c r="C35" i="2"/>
  <c r="C23" i="2"/>
  <c r="C11" i="2"/>
  <c r="C42" i="2"/>
  <c r="C30" i="2"/>
  <c r="C22" i="2"/>
  <c r="C14" i="2"/>
  <c r="C6" i="2"/>
  <c r="C41" i="2"/>
  <c r="C29" i="2"/>
  <c r="C25" i="2"/>
  <c r="C17" i="2"/>
  <c r="C9" i="2"/>
  <c r="C5" i="2"/>
  <c r="C31" i="2"/>
  <c r="C15" i="2"/>
  <c r="A3" i="7"/>
  <c r="A3" i="6" s="1" a="1"/>
  <c r="A3" i="6" s="1"/>
  <c r="C38" i="2"/>
  <c r="C40" i="2"/>
  <c r="C36" i="2"/>
  <c r="C32" i="2"/>
  <c r="C28" i="2"/>
  <c r="C24" i="2"/>
  <c r="C20" i="2"/>
  <c r="C16" i="2"/>
  <c r="C12" i="2"/>
  <c r="C8" i="2"/>
  <c r="C4" i="2"/>
  <c r="AE59" i="9" a="1"/>
  <c r="A35" i="9" a="1"/>
  <c r="J14" i="8" a="1"/>
  <c r="P59" i="9" a="1"/>
  <c r="P11" i="9" a="1"/>
  <c r="P35" i="9" a="1"/>
  <c r="O33" i="6" a="1"/>
  <c r="O33" i="6" s="1"/>
  <c r="A33" i="6"/>
  <c r="AF58" i="9" a="1"/>
  <c r="AF58" i="9" s="1"/>
  <c r="A59" i="9" a="1"/>
  <c r="I33" i="6"/>
  <c r="J33" i="6" s="1" a="1"/>
  <c r="A11" i="9" a="1"/>
  <c r="Q58" i="9" a="1"/>
  <c r="Q58" i="9" s="1"/>
  <c r="B58" i="9" a="1"/>
  <c r="B58" i="9" s="1"/>
  <c r="B10" i="9" a="1"/>
  <c r="B10" i="9" s="1"/>
  <c r="Q10" i="9" a="1"/>
  <c r="Q10" i="9" s="1"/>
  <c r="C33" i="6"/>
  <c r="H33" i="6"/>
  <c r="M33" i="6" a="1"/>
  <c r="M33" i="6" s="1"/>
  <c r="B33" i="6" a="1"/>
  <c r="A10" i="7" a="1"/>
  <c r="A10" i="7" l="1"/>
  <c r="D3" i="6" s="1" a="1"/>
  <c r="D3" i="6" s="1"/>
  <c r="B33" i="6"/>
  <c r="F33" i="6" s="1" a="1"/>
  <c r="F33" i="6" s="1"/>
  <c r="L33" i="6" a="1"/>
  <c r="L33" i="6" s="1"/>
  <c r="D33" i="6" a="1"/>
  <c r="D33" i="6" s="1"/>
  <c r="J33" i="6"/>
  <c r="K33" i="6" s="1" a="1"/>
  <c r="K33" i="6" s="1"/>
  <c r="A11" i="9"/>
  <c r="P59" i="9"/>
  <c r="A35" i="9"/>
  <c r="J14" i="8"/>
  <c r="AE59" i="9"/>
  <c r="P35" i="9"/>
  <c r="P11" i="9"/>
  <c r="A59" i="9"/>
  <c r="A10" i="10" a="1"/>
  <c r="A16" i="10" a="1"/>
  <c r="A3" i="10" a="1"/>
  <c r="K3" i="10" a="1"/>
  <c r="E4" i="10" a="1"/>
  <c r="E4" i="10" l="1"/>
  <c r="D4" i="10" a="1"/>
  <c r="G4" i="10" a="1"/>
  <c r="G4" i="10" s="1"/>
  <c r="K3" i="10"/>
  <c r="F4" i="10" a="1"/>
  <c r="A3" i="10"/>
  <c r="A3" i="9" s="1" a="1"/>
  <c r="A3" i="9" s="1"/>
  <c r="AF11" i="9" a="1"/>
  <c r="A16" i="10"/>
  <c r="AE11" i="9" a="1"/>
  <c r="A10" i="10"/>
  <c r="D3" i="9" s="1" a="1"/>
  <c r="D3" i="9" s="1"/>
  <c r="E33" i="6" a="1"/>
  <c r="E33" i="6" s="1"/>
  <c r="D4" i="10" l="1"/>
  <c r="Q59" i="9" a="1"/>
  <c r="Q59" i="9" s="1"/>
  <c r="Q11" i="9" a="1"/>
  <c r="Q11" i="9" s="1"/>
  <c r="B59" i="9" a="1"/>
  <c r="B59" i="9" s="1"/>
  <c r="AF59" i="9" a="1"/>
  <c r="AF59" i="9" s="1"/>
  <c r="Q35" i="9" a="1"/>
  <c r="Q35" i="9" s="1"/>
  <c r="AF11" i="9"/>
  <c r="AG11" i="9" a="1"/>
  <c r="F4" i="10"/>
  <c r="AI11" i="9" s="1" a="1"/>
  <c r="AI11" i="9" s="1"/>
  <c r="AJ11" i="9" a="1"/>
  <c r="AJ11" i="9" s="1"/>
  <c r="AE11" i="9"/>
  <c r="H4" i="10" l="1" a="1"/>
  <c r="AG11" i="9"/>
  <c r="AH11" i="9" a="1"/>
  <c r="AH11" i="9" s="1"/>
  <c r="H4" i="10" l="1"/>
  <c r="I4" i="10" a="1"/>
  <c r="B35" i="9" a="1"/>
  <c r="B35" i="9" s="1"/>
  <c r="I4" i="10" l="1"/>
  <c r="B11" i="9" a="1"/>
  <c r="B11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<sst xmlns="http://schemas.openxmlformats.org/spreadsheetml/2006/main" count="697" uniqueCount="131">
  <si>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</si>
  <si>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</si>
  <si>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</si>
  <si>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</si>
  <si>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</si>
  <si>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</si>
  <si>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</si>
  <si>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</si>
  <si>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</si>
  <si>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</si>
  <si>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</si>
  <si>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</si>
  <si>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</si>
  <si>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</si>
  <si>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</si>
  <si>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  <phoneticPr fontId="3"/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</si>
  <si>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</si>
  <si>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</si>
  <si>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</si>
  <si>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</si>
  <si>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</si>
  <si>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</si>
  <si>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</si>
  <si>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</si>
  <si>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</si>
  <si>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</si>
  <si>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</si>
  <si>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</si>
  <si>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</si>
  <si>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</si>
  <si>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</si>
  <si>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</si>
  <si>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</si>
  <si>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</si>
  <si>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</si>
  <si>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</si>
  <si>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</si>
  <si>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</si>
  <si>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</si>
  <si>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</si>
  <si>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</si>
  <si>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</si>
  <si>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</si>
  <si>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</si>
  <si>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BOJ会合#</t>
  </si>
  <si>
    <t>LSEGのライブのミッド(PricingSheetのRealTimeと同じRIC)。Ticker表記はDB(Midシート)と同じ</t>
  </si>
  <si>
    <t>比較日</t>
  </si>
  <si>
    <t>モード</t>
  </si>
  <si>
    <t>レベル</t>
  </si>
  <si>
    <t>window(営業日)</t>
  </si>
  <si>
    <t>主成分数 k</t>
  </si>
  <si>
    <t>復元に使う主成分の本数</t>
  </si>
  <si>
    <t>テナー(○=PCAに使う。並び順が結果の行順)</t>
  </si>
  <si>
    <t>テナー</t>
  </si>
  <si>
    <t>使用</t>
  </si>
  <si>
    <t>選択テナー</t>
  </si>
  <si>
    <t>12M</t>
  </si>
  <si>
    <t>○</t>
  </si>
  <si>
    <t>×</t>
  </si>
  <si>
    <t>window</t>
  </si>
  <si>
    <t>実績</t>
  </si>
  <si>
    <t>実績(%)</t>
  </si>
  <si>
    <t>復元(%)</t>
  </si>
  <si>
    <t>差分(bp)</t>
  </si>
  <si>
    <t>主成分</t>
  </si>
  <si>
    <t>寄与率</t>
  </si>
  <si>
    <t>累積寄与率</t>
  </si>
  <si>
    <t>復元に使用</t>
  </si>
  <si>
    <t>PC1</t>
  </si>
  <si>
    <t>PC2</t>
  </si>
  <si>
    <t>PC3</t>
  </si>
  <si>
    <t>PC4</t>
  </si>
  <si>
    <t>PC5</t>
  </si>
  <si>
    <t>テナー別の復元</t>
  </si>
  <si>
    <t>主成分ベクトル(PC1〜PC5)</t>
  </si>
  <si>
    <t>O/N: Tradition JP1DONI=TRDTのBID/ASKミッド(=TONA。PricingSheetと同じ)</t>
    <phoneticPr fontId="2"/>
  </si>
  <si>
    <t>満期</t>
  </si>
  <si>
    <t>原資産</t>
  </si>
  <si>
    <t>銘柄</t>
  </si>
  <si>
    <t>RIC</t>
  </si>
  <si>
    <t>1Y</t>
  </si>
  <si>
    <t>2Y</t>
  </si>
  <si>
    <t>3Y</t>
  </si>
  <si>
    <t>LSEG計算のJPY TONAスワップションATMノーマルvol(bp/年)。フィールドMID_IV_NOR(CF_LAST等はログノーマルなので使わない)</t>
  </si>
  <si>
    <t>満期・原資産の軸を変えるときはA・B列を編集(VolPCA設定の軸と同じ表記)</t>
  </si>
  <si>
    <t>PCA設定(スワップ)</t>
  </si>
  <si>
    <t>主成分ベクトルの推定</t>
  </si>
  <si>
    <t>推定基準日</t>
  </si>
  <si>
    <t>windowの最終日。空欄=比較日より前の直近(当日は推定に使わない)</t>
  </si>
  <si>
    <t>サンプル数。選択銘柄が1本でも欠けた日は除外し、さらに過去へさかのぼる</t>
  </si>
  <si>
    <t>レベル=水準のPCA / 日次変化=前営業日からの変化のPCA</t>
  </si>
  <si>
    <t>標準化</t>
  </si>
  <si>
    <t>なし</t>
  </si>
  <si>
    <t>なし=分散共分散(bp)のPCA / あり=z-score(相関行列)のPCA</t>
  </si>
  <si>
    <t>比較</t>
  </si>
  <si>
    <t>空欄=今日(RealTimeのライブの値)。日付=DBのその日の引け値。推定基準日と独立に選べる</t>
  </si>
  <si>
    <t>VolPCA設定(スワップションATMノーマルvol、bp)</t>
  </si>
  <si>
    <t>銘柄 = 選んだ満期 × 選んだ原資産の格子の全点(並び順が結果の行・列の順)</t>
  </si>
  <si>
    <t>選択満期</t>
  </si>
  <si>
    <t>選択原資産</t>
  </si>
  <si>
    <t>PCA計算(スワップ。UDFの出力。PCA結果シートが参照する。直接編集しない)</t>
  </si>
  <si>
    <t>推定window</t>
  </si>
  <si>
    <t>比較日の実績</t>
  </si>
  <si>
    <t>固有値(標準化なし=bp²、あり=単位なし)</t>
  </si>
  <si>
    <t>平均(%)・スケール(標準化ありはσ、なしは1)・主成分ベクトル</t>
  </si>
  <si>
    <t>PCA 復元誤差(スワップ)</t>
  </si>
  <si>
    <t>z = (実績 − 平均) / スケール、得点 = V_kᵀz、復元 = 平均 + スケール·V_k·得点、差分 = 実績 − 復元</t>
  </si>
  <si>
    <t>日次変化モードの実績・平均・復元は前営業日からの変化(%)。スコアは標準化なしならbp、ありなら単位なし</t>
  </si>
  <si>
    <t>平均(%)</t>
  </si>
  <si>
    <t>平均からの乖離(bp)</t>
  </si>
  <si>
    <t>固有値</t>
  </si>
  <si>
    <t>スコア</t>
  </si>
  <si>
    <t>VolPCA計算(UDFの出力と銘柄ごとの計算。VolPCA結果シートが参照する。直接編集しない)</t>
  </si>
  <si>
    <t>平均(bp)・スケール・主成分ベクトル</t>
  </si>
  <si>
    <t>銘柄ごと(bp)</t>
  </si>
  <si>
    <t>平均</t>
  </si>
  <si>
    <t>スケール</t>
  </si>
  <si>
    <t>復元</t>
  </si>
  <si>
    <t>差分</t>
  </si>
  <si>
    <t>VolPCA 復元誤差(スワップションATMノーマルvol、bp)</t>
  </si>
  <si>
    <t>z = (実績 − 平均) / スケール、得点 = V_kᵀz、復元 = 平均 + スケール·V_k·得点、差分 = 実績 − 復元(bp)</t>
  </si>
  <si>
    <t>日次変化モードの実績・復元は前営業日からの変化(bp)</t>
  </si>
  <si>
    <t>差分 実績−復元(bp)</t>
  </si>
  <si>
    <t>満期\原資産</t>
  </si>
  <si>
    <t>実績(bp)</t>
  </si>
  <si>
    <t>復元(bp)</t>
  </si>
  <si>
    <t>平均(bp)</t>
  </si>
  <si>
    <t>主成分ベクトル PC1</t>
  </si>
  <si>
    <t>主成分ベクトル PC2</t>
  </si>
  <si>
    <t>主成分ベクトル PC3</t>
  </si>
  <si>
    <t>主成分(上位10本)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</si>
</sst>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0.0000"/>
    <numFmt numFmtId="178" formatCode="0.0%"/>
    <numFmt numFmtId="179" formatCode="0.000"/>
    <numFmt numFmtId="183" formatCode="0.0"/>
  </numFmts>
  <fonts count="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C0000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18">
    <xf numFmtId="0" fontId="0" fillId="0" borderId="0" xfId="0">
      <alignment vertical="center"/>
    </xf>
    <xf numFmtId="0" fontId="1" fillId="0" borderId="0" xfId="1"/>
    <xf numFmtId="0" fontId="4" fillId="2" borderId="0" xfId="1" applyFont="1" applyFill="1"/>
    <xf numFmtId="0" fontId="5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6" fillId="0" borderId="0" xfId="0" applyFont="1">
      <alignment vertical="center"/>
    </xf>
    <xf numFmtId="0" fontId="6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6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2" fontId="1" fillId="0" borderId="0" xfId="1" applyNumberFormat="1"/>
    <xf numFmtId="183" fontId="0" fillId="0" borderId="0" xfId="0" applyNumberFormat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実績・平均・復元</a:t>
            </a:r>
            <a:r>
              <a:rPr lang="en-US" altLang="ja-JP"/>
              <a:t>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実績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平均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復元(k本)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差分 実績−復元</a:t>
            </a:r>
            <a:r>
              <a:rPr lang="en-US" altLang="ja-JP"/>
              <a:t>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差分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主成分ベクトル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533400</xdr:colOff>
      <xdr:row>25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</xdr:row>
      <xdr:rowOff>0</xdr:rowOff>
    </xdr:from>
    <xdr:to>
      <xdr:col>13</xdr:col>
      <xdr:colOff>533400</xdr:colOff>
      <xdr:row>25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9</xdr:row>
      <xdr:rowOff>0</xdr:rowOff>
    </xdr:from>
    <xdr:to>
      <xdr:col>22</xdr:col>
      <xdr:colOff>558800</xdr:colOff>
      <xdr:row>25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BF746-CF82-4BF3-BEBE-C2C1CA3070B1}">
  <sheetPr codeName="Sheet2"/>
  <dimension ref="A1:D55"/>
  <sheetViews>
    <sheetView tabSelected="1" workbookViewId="0"/>
  </sheetViews>
  <sheetFormatPr defaultRowHeight="18" x14ac:dyDescent="0.55000000000000004"/>
  <cols>
    <col min="1" max="1" width="16.58203125" customWidth="1"/>
    <col min="2" max="2" width="11.58203125" customWidth="1"/>
  </cols>
  <sheetData>
    <row r="1" spans="1:4" ht="22.5" x14ac:dyDescent="0.55000000000000004">
      <c r="A1" s="3" t="s">
        <v>85</v>
      </c>
    </row>
    <row r="2" spans="1:4" x14ac:dyDescent="0.55000000000000004">
      <c r="A2" s="6" t="s">
        <v>86</v>
      </c>
    </row>
    <row r="3" spans="1:4" x14ac:dyDescent="0.55000000000000004">
      <c r="A3" t="s">
        <v>87</v>
      </c>
      <c r="B3" s="5"/>
      <c r="C3" t="s">
        <v>88</v>
      </c>
    </row>
    <row r="4" spans="1:4" x14ac:dyDescent="0.55000000000000004">
      <c r="A4" t="s">
        <v>49</v>
      </c>
      <c r="B4" s="4">
        <v>250</v>
      </c>
      <c r="C4" t="s">
        <v>89</v>
      </c>
    </row>
    <row r="5" spans="1:4" x14ac:dyDescent="0.55000000000000004">
      <c r="A5" t="s">
        <v>47</v>
      </c>
      <c r="B5" s="4" t="s">
        <v>48</v>
      </c>
      <c r="C5" t="s">
        <v>90</v>
      </c>
    </row>
    <row r="6" spans="1:4" x14ac:dyDescent="0.55000000000000004">
      <c r="A6" t="s">
        <v>91</v>
      </c>
      <c r="B6" s="4" t="s">
        <v>92</v>
      </c>
      <c r="C6" t="s">
        <v>93</v>
      </c>
    </row>
    <row r="8" spans="1:4" x14ac:dyDescent="0.55000000000000004">
      <c r="A8" s="6" t="s">
        <v>94</v>
      </c>
    </row>
    <row r="9" spans="1:4" x14ac:dyDescent="0.55000000000000004">
      <c r="A9" t="s">
        <v>46</v>
      </c>
      <c r="B9" s="5"/>
      <c r="C9" t="s">
        <v>95</v>
      </c>
    </row>
    <row r="10" spans="1:4" x14ac:dyDescent="0.55000000000000004">
      <c r="A10" t="s">
        <v>50</v>
      </c>
      <c r="B10" s="4">
        <v>3</v>
      </c>
      <c r="C10" t="s">
        <v>51</v>
      </c>
    </row>
    <row r="12" spans="1:4" x14ac:dyDescent="0.55000000000000004">
      <c r="A12" t="s">
        <v>52</v>
      </c>
    </row>
    <row r="13" spans="1:4" x14ac:dyDescent="0.55000000000000004">
      <c r="A13" s="7" t="s">
        <v>53</v>
      </c>
      <c r="B13" s="7" t="s">
        <v>54</v>
      </c>
      <c r="D13" s="7" t="s">
        <v>55</v>
      </c>
    </row>
    <row r="14" spans="1:4" x14ac:dyDescent="0.55000000000000004">
      <c r="A14" t="s">
        <v>2</v>
      </c>
      <c r="B14" s="8" t="s">
        <v>58</v>
      </c>
      <c r="D14" cm="1">
        <f t="array" ref="D14:D26">_xlfn._xlws.FILTER($A$14:$A$55,$B$14:$B$55="○")</f>
      </c>
    </row>
    <row r="15" spans="1:4" x14ac:dyDescent="0.55000000000000004">
      <c r="A15" t="s">
        <v>3</v>
      </c>
      <c r="B15" s="8" t="s">
        <v>58</v>
      </c>
    </row>
    <row r="16" spans="1:4" x14ac:dyDescent="0.55000000000000004">
      <c r="A16" t="s">
        <v>4</v>
      </c>
      <c r="B16" s="8" t="s">
        <v>58</v>
      </c>
    </row>
    <row r="17" spans="1:4" x14ac:dyDescent="0.55000000000000004">
      <c r="A17" t="s">
        <v>5</v>
      </c>
      <c r="B17" s="8" t="s">
        <v>58</v>
      </c>
    </row>
    <row r="18" spans="1:4" x14ac:dyDescent="0.55000000000000004">
      <c r="A18" t="s">
        <v>6</v>
      </c>
      <c r="B18" s="8" t="s">
        <v>58</v>
      </c>
    </row>
    <row r="19" spans="1:4" x14ac:dyDescent="0.55000000000000004">
      <c r="A19" t="s">
        <v>7</v>
      </c>
      <c r="B19" s="8" t="s">
        <v>58</v>
      </c>
    </row>
    <row r="20" spans="1:4" x14ac:dyDescent="0.55000000000000004">
      <c r="A20" t="s">
        <v>8</v>
      </c>
      <c r="B20" s="8" t="s">
        <v>58</v>
      </c>
    </row>
    <row r="21" spans="1:4" x14ac:dyDescent="0.55000000000000004">
      <c r="A21" t="s">
        <v>9</v>
      </c>
      <c r="B21" s="8" t="s">
        <v>58</v>
      </c>
    </row>
    <row r="22" spans="1:4" x14ac:dyDescent="0.55000000000000004">
      <c r="A22" t="s">
        <v>10</v>
      </c>
      <c r="B22" s="8" t="s">
        <v>58</v>
      </c>
    </row>
    <row r="23" spans="1:4" x14ac:dyDescent="0.55000000000000004">
      <c r="A23" t="s">
        <v>11</v>
      </c>
      <c r="B23" s="8" t="s">
        <v>58</v>
      </c>
    </row>
    <row r="24" spans="1:4" x14ac:dyDescent="0.55000000000000004">
      <c r="A24" t="s">
        <v>12</v>
      </c>
      <c r="B24" s="8" t="s">
        <v>58</v>
      </c>
    </row>
    <row r="25" spans="1:4" x14ac:dyDescent="0.55000000000000004">
      <c r="A25" t="s">
        <v>13</v>
      </c>
      <c r="B25" s="8" t="s">
        <v>58</v>
      </c>
    </row>
    <row r="26" spans="1:4" x14ac:dyDescent="0.55000000000000004">
      <c r="A26" t="s">
        <v>14</v>
      </c>
      <c r="B26" s="8" t="s">
        <v>58</v>
      </c>
    </row>
    <row r="27" spans="1:4" x14ac:dyDescent="0.55000000000000004">
      <c r="A27" t="s">
        <v>56</v>
      </c>
      <c r="B27" s="8" t="s">
        <v>57</v>
      </c>
    </row>
    <row r="28" spans="1:4" x14ac:dyDescent="0.55000000000000004">
      <c r="A28" t="s">
        <v>16</v>
      </c>
      <c r="B28" s="8" t="s">
        <v>58</v>
      </c>
    </row>
    <row r="29" spans="1:4" x14ac:dyDescent="0.55000000000000004">
      <c r="A29" t="s">
        <v>17</v>
      </c>
      <c r="B29" s="8" t="s">
        <v>58</v>
      </c>
    </row>
    <row r="30" spans="1:4" x14ac:dyDescent="0.55000000000000004">
      <c r="A30" t="s">
        <v>18</v>
      </c>
      <c r="B30" s="8" t="s">
        <v>58</v>
      </c>
    </row>
    <row r="31" spans="1:4" x14ac:dyDescent="0.55000000000000004">
      <c r="A31" t="s">
        <v>19</v>
      </c>
      <c r="B31" s="8" t="s">
        <v>57</v>
      </c>
    </row>
    <row r="32" spans="1:4" x14ac:dyDescent="0.55000000000000004">
      <c r="A32" t="s">
        <v>20</v>
      </c>
      <c r="B32" s="8" t="s">
        <v>57</v>
      </c>
    </row>
    <row r="33" spans="1:2" x14ac:dyDescent="0.55000000000000004">
      <c r="A33" t="s">
        <v>21</v>
      </c>
      <c r="B33" s="8" t="s">
        <v>57</v>
      </c>
    </row>
    <row r="34" spans="1:2" x14ac:dyDescent="0.55000000000000004">
      <c r="A34" t="s">
        <v>22</v>
      </c>
      <c r="B34" s="8" t="s">
        <v>57</v>
      </c>
    </row>
    <row r="35" spans="1:2" x14ac:dyDescent="0.55000000000000004">
      <c r="A35" t="s">
        <v>23</v>
      </c>
      <c r="B35" s="8" t="s">
        <v>58</v>
      </c>
    </row>
    <row r="36" spans="1:2" x14ac:dyDescent="0.55000000000000004">
      <c r="A36" t="s">
        <v>24</v>
      </c>
      <c r="B36" s="8" t="s">
        <v>57</v>
      </c>
    </row>
    <row r="37" spans="1:2" x14ac:dyDescent="0.55000000000000004">
      <c r="A37" t="s">
        <v>25</v>
      </c>
      <c r="B37" s="8" t="s">
        <v>58</v>
      </c>
    </row>
    <row r="38" spans="1:2" x14ac:dyDescent="0.55000000000000004">
      <c r="A38" t="s">
        <v>26</v>
      </c>
      <c r="B38" s="8" t="s">
        <v>58</v>
      </c>
    </row>
    <row r="39" spans="1:2" x14ac:dyDescent="0.55000000000000004">
      <c r="A39" t="s">
        <v>27</v>
      </c>
      <c r="B39" s="8" t="s">
        <v>57</v>
      </c>
    </row>
    <row r="40" spans="1:2" x14ac:dyDescent="0.55000000000000004">
      <c r="A40" t="s">
        <v>28</v>
      </c>
      <c r="B40" s="8" t="s">
        <v>58</v>
      </c>
    </row>
    <row r="41" spans="1:2" x14ac:dyDescent="0.55000000000000004">
      <c r="A41" t="s">
        <v>29</v>
      </c>
      <c r="B41" s="8" t="s">
        <v>57</v>
      </c>
    </row>
    <row r="42" spans="1:2" x14ac:dyDescent="0.55000000000000004">
      <c r="A42" t="s">
        <v>30</v>
      </c>
      <c r="B42" s="8" t="s">
        <v>57</v>
      </c>
    </row>
    <row r="43" spans="1:2" x14ac:dyDescent="0.55000000000000004">
      <c r="A43" t="s">
        <v>31</v>
      </c>
      <c r="B43" s="8" t="s">
        <v>57</v>
      </c>
    </row>
    <row r="44" spans="1:2" x14ac:dyDescent="0.55000000000000004">
      <c r="A44" t="s">
        <v>32</v>
      </c>
      <c r="B44" s="8" t="s">
        <v>57</v>
      </c>
    </row>
    <row r="45" spans="1:2" x14ac:dyDescent="0.55000000000000004">
      <c r="A45" t="s">
        <v>33</v>
      </c>
      <c r="B45" s="8" t="s">
        <v>57</v>
      </c>
    </row>
    <row r="46" spans="1:2" x14ac:dyDescent="0.55000000000000004">
      <c r="A46" t="s">
        <v>34</v>
      </c>
      <c r="B46" s="8" t="s">
        <v>58</v>
      </c>
    </row>
    <row r="47" spans="1:2" x14ac:dyDescent="0.55000000000000004">
      <c r="A47" t="s">
        <v>35</v>
      </c>
      <c r="B47" s="8" t="s">
        <v>57</v>
      </c>
    </row>
    <row r="48" spans="1:2" x14ac:dyDescent="0.55000000000000004">
      <c r="A48" t="s">
        <v>36</v>
      </c>
      <c r="B48" s="8" t="s">
        <v>58</v>
      </c>
    </row>
    <row r="49" spans="1:2" x14ac:dyDescent="0.55000000000000004">
      <c r="A49" t="s">
        <v>37</v>
      </c>
      <c r="B49" s="8" t="s">
        <v>58</v>
      </c>
    </row>
    <row r="50" spans="1:2" x14ac:dyDescent="0.55000000000000004">
      <c r="A50" t="s">
        <v>38</v>
      </c>
      <c r="B50" s="8" t="s">
        <v>58</v>
      </c>
    </row>
    <row r="51" spans="1:2" x14ac:dyDescent="0.55000000000000004">
      <c r="A51" t="s">
        <v>39</v>
      </c>
      <c r="B51" s="8" t="s">
        <v>58</v>
      </c>
    </row>
    <row r="52" spans="1:2" x14ac:dyDescent="0.55000000000000004">
      <c r="A52" t="s">
        <v>40</v>
      </c>
      <c r="B52" s="8" t="s">
        <v>58</v>
      </c>
    </row>
    <row r="53" spans="1:2" x14ac:dyDescent="0.55000000000000004">
      <c r="A53" t="s">
        <v>41</v>
      </c>
      <c r="B53" s="8" t="s">
        <v>58</v>
      </c>
    </row>
    <row r="54" spans="1:2" x14ac:dyDescent="0.55000000000000004">
      <c r="A54" t="s">
        <v>42</v>
      </c>
      <c r="B54" s="8" t="s">
        <v>58</v>
      </c>
    </row>
    <row r="55" spans="1:2" x14ac:dyDescent="0.55000000000000004">
      <c r="A55" t="s">
        <v>43</v>
      </c>
      <c r="B55" s="8" t="s">
        <v>58</v>
      </c>
    </row>
  </sheetData>
  <phoneticPr fontId="2"/>
  <dataValidations count="4">
    <dataValidation type="list" allowBlank="1" showInputMessage="1" showErrorMessage="1" sqref="B5" xr:uid="{EC576F63-B0A8-4F73-9379-7ABD88937DC6}">
      <formula1>"レベル,日次変化"</formula1>
    </dataValidation>
    <dataValidation type="list" allowBlank="1" showInputMessage="1" showErrorMessage="1" sqref="B6" xr:uid="{90C1D07A-E649-47DD-AA83-9579E43DEF60}">
      <formula1>"あり,なし"</formula1>
    </dataValidation>
    <dataValidation type="whole" allowBlank="1" showInputMessage="1" showErrorMessage="1" sqref="B10" xr:uid="{590394F2-D83B-4D83-A2B2-36DD82454B56}">
      <formula1>1</formula1>
      <formula2>50</formula2>
    </dataValidation>
    <dataValidation type="list" allowBlank="1" showInputMessage="1" showErrorMessage="1" sqref="B14:B55" xr:uid="{601AAE0A-3E18-42B9-BEC8-8FEDEB87B053}">
      <formula1>"○,×"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T93"/>
  <sheetViews>
    <sheetView workbookViewId="0"/>
  </sheetViews>
  <sheetFormatPr defaultRowHeight="18" x14ac:dyDescent="0.55000000000000004"/>
  <cols>
    <col min="1" max="1" width="16.58203125" customWidth="1"/>
    <col min="2" max="2" width="12.58203125" customWidth="1"/>
    <col min="4" max="4" width="12.58203125" customWidth="1"/>
    <col min="5" max="5" width="10.9140625" bestFit="1" customWidth="1"/>
  </cols>
  <sheetData>
    <row r="1" spans="1:11" ht="22.5" x14ac:dyDescent="0.55000000000000004">
      <c r="A1" s="3" t="s">
        <v>105</v>
      </c>
    </row>
    <row r="3" spans="1:11" x14ac:dyDescent="0.55000000000000004">
      <c r="A3" cm="1">
        <f t="array" ref="A3:B7">_xlfn.ANCHORARRAY(PCA計算!$A$3)</f>
      </c>
      <c r="B3" s="9"/>
      <c r="D3" cm="1">
        <f t="array" ref="D3">_xlfn.ANCHORARRAY(PCA計算!$A$10)</f>
      </c>
      <c r="E3" s="9"/>
      <c r="H3" t="s">
        <v>47</v>
      </c>
      <c r="I3">
        <f>PCA_モード</f>
      </c>
      <c r="K3" t="s">
        <v>106</v>
      </c>
    </row>
    <row r="4" spans="1:11" x14ac:dyDescent="0.55000000000000004">
      <c r="B4" s="9"/>
      <c r="H4" t="s">
        <v>91</v>
      </c>
      <c r="I4">
        <f>PCA_標準化</f>
      </c>
      <c r="K4" t="s">
        <v>107</v>
      </c>
    </row>
    <row r="5" spans="1:11" x14ac:dyDescent="0.55000000000000004">
      <c r="E5" s="9"/>
      <c r="H5" t="s">
        <v>59</v>
      </c>
      <c r="I5">
        <f>PCA_window</f>
      </c>
    </row>
    <row r="6" spans="1:11" x14ac:dyDescent="0.55000000000000004">
      <c r="E6" s="10"/>
      <c r="H6" t="s">
        <v>50</v>
      </c>
      <c r="I6">
        <f>PCA_k</f>
      </c>
    </row>
    <row r="7" spans="1:11" x14ac:dyDescent="0.55000000000000004">
      <c r="B7" s="10"/>
    </row>
    <row r="31" spans="1:20" x14ac:dyDescent="0.55000000000000004">
      <c r="A31" s="6" t="s">
        <v>73</v>
      </c>
      <c r="H31" s="6" t="s">
        <v>64</v>
      </c>
      <c r="O31" s="6" t="s">
        <v>74</v>
      </c>
    </row>
    <row r="32" spans="1:20" ht="54" x14ac:dyDescent="0.55000000000000004">
      <c r="A32" s="11" t="s">
        <v>53</v>
      </c>
      <c r="B32" s="11" t="s">
        <v>61</v>
      </c>
      <c r="C32" s="11" t="s">
        <v>108</v>
      </c>
      <c r="D32" s="11" t="s">
        <v>62</v>
      </c>
      <c r="E32" s="11" t="s">
        <v>63</v>
      </c>
      <c r="F32" s="11" t="s">
        <v>109</v>
      </c>
      <c r="H32" s="11" t="s">
        <v>64</v>
      </c>
      <c r="I32" s="11" t="s">
        <v>110</v>
      </c>
      <c r="J32" s="11" t="s">
        <v>65</v>
      </c>
      <c r="K32" s="11" t="s">
        <v>66</v>
      </c>
      <c r="L32" s="11" t="s">
        <v>111</v>
      </c>
      <c r="M32" s="11" t="s">
        <v>67</v>
      </c>
      <c r="O32" s="11" t="s">
        <v>53</v>
      </c>
      <c r="P32" s="11" t="s">
        <v>68</v>
      </c>
      <c r="Q32" s="11" t="s">
        <v>69</v>
      </c>
      <c r="R32" s="11" t="s">
        <v>70</v>
      </c>
      <c r="S32" s="11" t="s">
        <v>71</v>
      </c>
      <c r="T32" s="11" t="s">
        <v>72</v>
      </c>
    </row>
    <row r="33" spans="1:20" x14ac:dyDescent="0.55000000000000004">
      <c r="A33" cm="1">
        <f t="array" ref="A33:A45">_xlfn.DROP(_xlfn.TAKE(_xlfn.ANCHORARRAY(PCA計算!$D$3),,1),1)</f>
      </c>
      <c r="B33" s="12" cm="1">
        <f t="array" ref="B33">PcaActual(PCA_テナー,PCA_モード,PCA_比較日,RealTime!$B$2:$C$43)</f>
      </c>
      <c r="C33" s="12" cm="1">
        <f t="array" ref="C33:C45">_xlfn.DROP(_xlfn.CHOOSECOLS(_xlfn.ANCHORARRAY(PCA計算!$D$3),2),1)</f>
      </c>
      <c r="D33" s="12" cm="1">
        <f t="array" ref="D33:D45">_xlfn.LET(_xlpm.m,_xlfn.ANCHORARRAY(C33),_xlpm.s,_xlfn.DROP(_xlfn.CHOOSECOLS(_xlfn.ANCHORARRAY(PCA計算!$D$3),3),1),_xlpm.x,_xlfn.ANCHORARRAY(B33),_xlpm.V,_xlfn.TAKE(_xlfn.DROP(_xlfn.ANCHORARRAY(PCA計算!$D$3),1,3),,PCA_k),_xlpm.m+_xlpm.s*MMULT(_xlpm.V,MMULT(TRANSPOSE(_xlpm.V),(_xlpm.x-_xlpm.m)/_xlpm.s)))</f>
      </c>
      <c r="E33" s="13" cm="1">
        <f t="array" ref="E33:E45">(_xlfn.ANCHORARRAY(B33)-_xlfn.ANCHORARRAY(D33))*100</f>
      </c>
      <c r="F33" s="13" cm="1">
        <f t="array" ref="F33:F45">(_xlfn.ANCHORARRAY(B33)-_xlfn.ANCHORARRAY(C33))*100</f>
      </c>
      <c r="H33" cm="1">
        <f t="array" ref="H33:H45">_xlfn.DROP(_xlfn.TAKE(_xlfn.ANCHORARRAY(PCA計算!$A$16),,1),1)</f>
      </c>
      <c r="I33" s="13" cm="1">
        <f t="array" ref="I33:I45">_xlfn.DROP(_xlfn.CHOOSECOLS(_xlfn.ANCHORARRAY(PCA計算!$A$16),2),1)</f>
      </c>
      <c r="J33" s="14" cm="1">
        <f t="array" ref="J33:J45">_xlfn.ANCHORARRAY(I33)/SUM(_xlfn.ANCHORARRAY(I33))</f>
      </c>
      <c r="K33" s="14" cm="1">
        <f t="array" ref="K33:K45">_xlfn.SCAN(0,_xlfn.ANCHORARRAY(J33),_xlfn.LAMBDA(_xlpm.a,_xlpm.b,_xlpm.a+_xlpm.b))</f>
      </c>
      <c r="L33" s="13" cm="1">
        <f t="array" ref="L33">MMULT(TRANSPOSE(_xlfn.DROP(_xlfn.ANCHORARRAY(PCA計算!$D$3),1,3)),(_xlfn.ANCHORARRAY(B33)-_xlfn.ANCHORARRAY(C33))/_xlfn.DROP(_xlfn.CHOOSECOLS(_xlfn.ANCHORARRAY(PCA計算!$D$3),3),1))*IF(PCA_標準化="あり",1,100)</f>
      </c>
      <c r="M33" cm="1">
        <f t="array" ref="M33:M45">IF(_xlfn.SEQUENCE(ROWS(_xlfn.ANCHORARRAY(H33)))&lt;=PCA_k,"○","")</f>
      </c>
      <c r="O33" cm="1">
        <f t="array" ref="O33:O45">_xlfn.ANCHORARRAY(A33)</f>
      </c>
      <c r="P33" s="15" cm="1">
        <f t="array" ref="P33:P45">_xlfn.LET(_xlpm.V,_xlfn.DROP(_xlfn.ANCHORARRAY(PCA計算!$D$3),1,3),IF(1&lt;=COLUMNS(_xlpm.V),_xlfn.CHOOSECOLS(_xlpm.V,MIN(1,COLUMNS(_xlpm.V))),IF(_xlfn.SEQUENCE(ROWS(_xlpm.V)),NA())))</f>
      </c>
      <c r="Q33" s="15" cm="1">
        <f t="array" ref="Q33:Q45">_xlfn.LET(_xlpm.V,_xlfn.DROP(_xlfn.ANCHORARRAY(PCA計算!$D$3),1,3),IF(2&lt;=COLUMNS(_xlpm.V),_xlfn.CHOOSECOLS(_xlpm.V,MIN(2,COLUMNS(_xlpm.V))),IF(_xlfn.SEQUENCE(ROWS(_xlpm.V)),NA())))</f>
      </c>
      <c r="R33" s="15" cm="1">
        <f t="array" ref="R33:R45">_xlfn.LET(_xlpm.V,_xlfn.DROP(_xlfn.ANCHORARRAY(PCA計算!$D$3),1,3),IF(3&lt;=COLUMNS(_xlpm.V),_xlfn.CHOOSECOLS(_xlpm.V,MIN(3,COLUMNS(_xlpm.V))),IF(_xlfn.SEQUENCE(ROWS(_xlpm.V)),NA())))</f>
      </c>
      <c r="S33" s="15" cm="1">
        <f t="array" ref="S33:S45">_xlfn.LET(_xlpm.V,_xlfn.DROP(_xlfn.ANCHORARRAY(PCA計算!$D$3),1,3),IF(4&lt;=COLUMNS(_xlpm.V),_xlfn.CHOOSECOLS(_xlpm.V,MIN(4,COLUMNS(_xlpm.V))),IF(_xlfn.SEQUENCE(ROWS(_xlpm.V)),NA())))</f>
      </c>
      <c r="T33" s="15" cm="1">
        <f t="array" ref="T33:T45">_xlfn.LET(_xlpm.V,_xlfn.DROP(_xlfn.ANCHORARRAY(PCA計算!$D$3),1,3),IF(5&lt;=COLUMNS(_xlpm.V),_xlfn.CHOOSECOLS(_xlpm.V,MIN(5,COLUMNS(_xlpm.V))),IF(_xlfn.SEQUENCE(ROWS(_xlpm.V)),NA())))</f>
      </c>
    </row>
    <row r="34" spans="1:20" x14ac:dyDescent="0.55000000000000004">
      <c r="B34" s="12"/>
      <c r="C34" s="12"/>
      <c r="D34" s="12"/>
      <c r="E34" s="13"/>
      <c r="F34" s="13"/>
      <c r="I34" s="13"/>
      <c r="J34" s="14"/>
      <c r="K34" s="14"/>
      <c r="L34" s="13"/>
      <c r="P34" s="15"/>
      <c r="Q34" s="15"/>
      <c r="R34" s="15"/>
      <c r="S34" s="15"/>
      <c r="T34" s="15"/>
    </row>
    <row r="35" spans="1:20" x14ac:dyDescent="0.55000000000000004">
      <c r="B35" s="12"/>
      <c r="C35" s="12"/>
      <c r="D35" s="12"/>
      <c r="E35" s="13"/>
      <c r="F35" s="13"/>
      <c r="I35" s="13"/>
      <c r="J35" s="14"/>
      <c r="K35" s="14"/>
      <c r="L35" s="13"/>
      <c r="P35" s="15"/>
      <c r="Q35" s="15"/>
      <c r="R35" s="15"/>
      <c r="S35" s="15"/>
      <c r="T35" s="15"/>
    </row>
    <row r="36" spans="1:20" x14ac:dyDescent="0.55000000000000004">
      <c r="B36" s="12"/>
      <c r="C36" s="12"/>
      <c r="D36" s="12"/>
      <c r="E36" s="13"/>
      <c r="F36" s="13"/>
      <c r="I36" s="13"/>
      <c r="J36" s="14"/>
      <c r="K36" s="14"/>
      <c r="L36" s="13"/>
      <c r="P36" s="15"/>
      <c r="Q36" s="15"/>
      <c r="R36" s="15"/>
      <c r="S36" s="15"/>
      <c r="T36" s="15"/>
    </row>
    <row r="37" spans="1:20" x14ac:dyDescent="0.55000000000000004">
      <c r="B37" s="12"/>
      <c r="C37" s="12"/>
      <c r="D37" s="12"/>
      <c r="E37" s="13"/>
      <c r="F37" s="13"/>
      <c r="I37" s="13"/>
      <c r="J37" s="14"/>
      <c r="K37" s="14"/>
      <c r="L37" s="13"/>
      <c r="P37" s="15"/>
      <c r="Q37" s="15"/>
      <c r="R37" s="15"/>
      <c r="S37" s="15"/>
      <c r="T37" s="15"/>
    </row>
    <row r="38" spans="1:20" x14ac:dyDescent="0.55000000000000004">
      <c r="B38" s="12"/>
      <c r="C38" s="12"/>
      <c r="D38" s="12"/>
      <c r="E38" s="13"/>
      <c r="F38" s="13"/>
      <c r="I38" s="13"/>
      <c r="J38" s="14"/>
      <c r="K38" s="14"/>
      <c r="L38" s="13"/>
      <c r="P38" s="15"/>
      <c r="Q38" s="15"/>
      <c r="R38" s="15"/>
      <c r="S38" s="15"/>
      <c r="T38" s="15"/>
    </row>
    <row r="39" spans="1:20" x14ac:dyDescent="0.55000000000000004">
      <c r="B39" s="12"/>
      <c r="C39" s="12"/>
      <c r="D39" s="12"/>
      <c r="E39" s="13"/>
      <c r="F39" s="13"/>
      <c r="I39" s="13"/>
      <c r="J39" s="14"/>
      <c r="K39" s="14"/>
      <c r="L39" s="13"/>
      <c r="P39" s="15"/>
      <c r="Q39" s="15"/>
      <c r="R39" s="15"/>
      <c r="S39" s="15"/>
      <c r="T39" s="15"/>
    </row>
    <row r="40" spans="1:20" x14ac:dyDescent="0.55000000000000004">
      <c r="B40" s="12"/>
      <c r="C40" s="12"/>
      <c r="D40" s="12"/>
      <c r="E40" s="13"/>
      <c r="F40" s="13"/>
      <c r="I40" s="13"/>
      <c r="J40" s="14"/>
      <c r="K40" s="14"/>
      <c r="L40" s="13"/>
      <c r="P40" s="15"/>
      <c r="Q40" s="15"/>
      <c r="R40" s="15"/>
      <c r="S40" s="15"/>
      <c r="T40" s="15"/>
    </row>
    <row r="41" spans="1:20" x14ac:dyDescent="0.55000000000000004">
      <c r="B41" s="12"/>
      <c r="C41" s="12"/>
      <c r="D41" s="12"/>
      <c r="E41" s="13"/>
      <c r="F41" s="13"/>
      <c r="I41" s="13"/>
      <c r="J41" s="14"/>
      <c r="K41" s="14"/>
      <c r="L41" s="13"/>
      <c r="P41" s="15"/>
      <c r="Q41" s="15"/>
      <c r="R41" s="15"/>
      <c r="S41" s="15"/>
      <c r="T41" s="15"/>
    </row>
    <row r="42" spans="1:20" x14ac:dyDescent="0.55000000000000004">
      <c r="B42" s="12"/>
      <c r="C42" s="12"/>
      <c r="D42" s="12"/>
      <c r="E42" s="13"/>
      <c r="F42" s="13"/>
      <c r="I42" s="13"/>
      <c r="J42" s="14"/>
      <c r="K42" s="14"/>
      <c r="L42" s="13"/>
      <c r="P42" s="15"/>
      <c r="Q42" s="15"/>
      <c r="R42" s="15"/>
      <c r="S42" s="15"/>
      <c r="T42" s="15"/>
    </row>
    <row r="43" spans="1:20" x14ac:dyDescent="0.55000000000000004">
      <c r="B43" s="12"/>
      <c r="C43" s="12"/>
      <c r="D43" s="12"/>
      <c r="E43" s="13"/>
      <c r="F43" s="13"/>
      <c r="I43" s="13"/>
      <c r="J43" s="14"/>
      <c r="K43" s="14"/>
      <c r="L43" s="13"/>
      <c r="P43" s="15"/>
      <c r="Q43" s="15"/>
      <c r="R43" s="15"/>
      <c r="S43" s="15"/>
      <c r="T43" s="15"/>
    </row>
    <row r="44" spans="1:20" x14ac:dyDescent="0.55000000000000004">
      <c r="B44" s="12"/>
      <c r="C44" s="12"/>
      <c r="D44" s="12"/>
      <c r="E44" s="13"/>
      <c r="F44" s="13"/>
      <c r="I44" s="13"/>
      <c r="J44" s="14"/>
      <c r="K44" s="14"/>
      <c r="L44" s="13"/>
      <c r="P44" s="15"/>
      <c r="Q44" s="15"/>
      <c r="R44" s="15"/>
      <c r="S44" s="15"/>
      <c r="T44" s="15"/>
    </row>
    <row r="45" spans="1:20" x14ac:dyDescent="0.55000000000000004">
      <c r="B45" s="12"/>
      <c r="C45" s="12"/>
      <c r="D45" s="12"/>
      <c r="E45" s="13"/>
      <c r="F45" s="13"/>
      <c r="I45" s="13"/>
      <c r="J45" s="14"/>
      <c r="K45" s="14"/>
      <c r="L45" s="13"/>
      <c r="P45" s="15"/>
      <c r="Q45" s="15"/>
      <c r="R45" s="15"/>
      <c r="S45" s="15"/>
      <c r="T45" s="15"/>
    </row>
    <row r="46" spans="1:20" x14ac:dyDescent="0.55000000000000004">
      <c r="B46" s="12"/>
      <c r="C46" s="12"/>
      <c r="D46" s="12"/>
      <c r="E46" s="13"/>
      <c r="F46" s="13"/>
      <c r="I46" s="13"/>
      <c r="J46" s="14"/>
      <c r="K46" s="14"/>
      <c r="L46" s="13"/>
      <c r="P46" s="15"/>
      <c r="Q46" s="15"/>
      <c r="R46" s="15"/>
      <c r="S46" s="15"/>
      <c r="T46" s="15"/>
    </row>
    <row r="47" spans="1:20" x14ac:dyDescent="0.55000000000000004">
      <c r="B47" s="12"/>
      <c r="C47" s="12"/>
      <c r="D47" s="12"/>
      <c r="E47" s="13"/>
      <c r="F47" s="13"/>
      <c r="I47" s="13"/>
      <c r="J47" s="14"/>
      <c r="K47" s="14"/>
      <c r="L47" s="13"/>
      <c r="P47" s="15"/>
      <c r="Q47" s="15"/>
      <c r="R47" s="15"/>
      <c r="S47" s="15"/>
      <c r="T47" s="15"/>
    </row>
    <row r="48" spans="1:20" x14ac:dyDescent="0.55000000000000004">
      <c r="B48" s="12"/>
      <c r="C48" s="12"/>
      <c r="D48" s="12"/>
      <c r="E48" s="13"/>
      <c r="F48" s="13"/>
      <c r="I48" s="13"/>
      <c r="J48" s="14"/>
      <c r="K48" s="14"/>
      <c r="L48" s="13"/>
      <c r="P48" s="15"/>
      <c r="Q48" s="15"/>
      <c r="R48" s="15"/>
      <c r="S48" s="15"/>
      <c r="T48" s="15"/>
    </row>
    <row r="49" spans="2:20" x14ac:dyDescent="0.55000000000000004">
      <c r="B49" s="12"/>
      <c r="C49" s="12"/>
      <c r="D49" s="12"/>
      <c r="E49" s="13"/>
      <c r="F49" s="13"/>
      <c r="I49" s="13"/>
      <c r="J49" s="14"/>
      <c r="K49" s="14"/>
      <c r="L49" s="13"/>
      <c r="P49" s="15"/>
      <c r="Q49" s="15"/>
      <c r="R49" s="15"/>
      <c r="S49" s="15"/>
      <c r="T49" s="15"/>
    </row>
    <row r="50" spans="2:20" x14ac:dyDescent="0.55000000000000004">
      <c r="B50" s="12"/>
      <c r="C50" s="12"/>
      <c r="D50" s="12"/>
      <c r="E50" s="13"/>
      <c r="F50" s="13"/>
      <c r="I50" s="13"/>
      <c r="J50" s="14"/>
      <c r="K50" s="14"/>
      <c r="L50" s="13"/>
      <c r="P50" s="15"/>
      <c r="Q50" s="15"/>
      <c r="R50" s="15"/>
      <c r="S50" s="15"/>
      <c r="T50" s="15"/>
    </row>
    <row r="51" spans="2:20" x14ac:dyDescent="0.55000000000000004">
      <c r="B51" s="12"/>
      <c r="C51" s="12"/>
      <c r="D51" s="12"/>
      <c r="E51" s="13"/>
      <c r="F51" s="13"/>
      <c r="I51" s="13"/>
      <c r="J51" s="14"/>
      <c r="K51" s="14"/>
      <c r="L51" s="13"/>
      <c r="P51" s="15"/>
      <c r="Q51" s="15"/>
      <c r="R51" s="15"/>
      <c r="S51" s="15"/>
      <c r="T51" s="15"/>
    </row>
    <row r="52" spans="2:20" x14ac:dyDescent="0.55000000000000004">
      <c r="B52" s="12"/>
      <c r="C52" s="12"/>
      <c r="D52" s="12"/>
      <c r="E52" s="13"/>
      <c r="F52" s="13"/>
      <c r="I52" s="13"/>
      <c r="J52" s="14"/>
      <c r="K52" s="14"/>
      <c r="L52" s="13"/>
      <c r="P52" s="15"/>
      <c r="Q52" s="15"/>
      <c r="R52" s="15"/>
      <c r="S52" s="15"/>
      <c r="T52" s="15"/>
    </row>
    <row r="53" spans="2:20" x14ac:dyDescent="0.55000000000000004">
      <c r="B53" s="12"/>
      <c r="C53" s="12"/>
      <c r="D53" s="12"/>
      <c r="E53" s="13"/>
      <c r="F53" s="13"/>
      <c r="I53" s="13"/>
      <c r="J53" s="14"/>
      <c r="K53" s="14"/>
      <c r="L53" s="13"/>
      <c r="P53" s="15"/>
      <c r="Q53" s="15"/>
      <c r="R53" s="15"/>
      <c r="S53" s="15"/>
      <c r="T53" s="15"/>
    </row>
    <row r="54" spans="2:20" x14ac:dyDescent="0.55000000000000004">
      <c r="B54" s="12"/>
      <c r="C54" s="12"/>
      <c r="D54" s="12"/>
      <c r="E54" s="13"/>
      <c r="F54" s="13"/>
      <c r="I54" s="13"/>
      <c r="J54" s="14"/>
      <c r="K54" s="14"/>
      <c r="L54" s="13"/>
      <c r="P54" s="15"/>
      <c r="Q54" s="15"/>
      <c r="R54" s="15"/>
      <c r="S54" s="15"/>
      <c r="T54" s="15"/>
    </row>
    <row r="55" spans="2:20" x14ac:dyDescent="0.55000000000000004">
      <c r="B55" s="12"/>
      <c r="C55" s="12"/>
      <c r="D55" s="12"/>
      <c r="E55" s="13"/>
      <c r="F55" s="13"/>
      <c r="I55" s="13"/>
      <c r="J55" s="14"/>
      <c r="K55" s="14"/>
      <c r="L55" s="13"/>
      <c r="P55" s="15"/>
      <c r="Q55" s="15"/>
      <c r="R55" s="15"/>
      <c r="S55" s="15"/>
      <c r="T55" s="15"/>
    </row>
    <row r="56" spans="2:20" x14ac:dyDescent="0.55000000000000004">
      <c r="B56" s="12"/>
      <c r="C56" s="12"/>
      <c r="D56" s="12"/>
      <c r="E56" s="13"/>
      <c r="F56" s="13"/>
      <c r="I56" s="13"/>
      <c r="J56" s="14"/>
      <c r="K56" s="14"/>
      <c r="L56" s="13"/>
      <c r="P56" s="15"/>
      <c r="Q56" s="15"/>
      <c r="R56" s="15"/>
      <c r="S56" s="15"/>
      <c r="T56" s="15"/>
    </row>
    <row r="57" spans="2:20" x14ac:dyDescent="0.55000000000000004">
      <c r="B57" s="12"/>
      <c r="C57" s="12"/>
      <c r="D57" s="12"/>
      <c r="E57" s="13"/>
      <c r="F57" s="13"/>
      <c r="I57" s="13"/>
      <c r="J57" s="14"/>
      <c r="K57" s="14"/>
      <c r="L57" s="13"/>
      <c r="P57" s="15"/>
      <c r="Q57" s="15"/>
      <c r="R57" s="15"/>
      <c r="S57" s="15"/>
      <c r="T57" s="15"/>
    </row>
    <row r="58" spans="2:20" x14ac:dyDescent="0.55000000000000004">
      <c r="B58" s="12"/>
      <c r="C58" s="12"/>
      <c r="D58" s="12"/>
      <c r="E58" s="13"/>
      <c r="F58" s="13"/>
      <c r="I58" s="13"/>
      <c r="J58" s="14"/>
      <c r="K58" s="14"/>
      <c r="L58" s="13"/>
      <c r="P58" s="15"/>
      <c r="Q58" s="15"/>
      <c r="R58" s="15"/>
      <c r="S58" s="15"/>
      <c r="T58" s="15"/>
    </row>
    <row r="59" spans="2:20" x14ac:dyDescent="0.55000000000000004">
      <c r="B59" s="12"/>
      <c r="C59" s="12"/>
      <c r="D59" s="12"/>
      <c r="E59" s="13"/>
      <c r="F59" s="13"/>
      <c r="I59" s="13"/>
      <c r="J59" s="14"/>
      <c r="K59" s="14"/>
      <c r="L59" s="13"/>
      <c r="P59" s="15"/>
      <c r="Q59" s="15"/>
      <c r="R59" s="15"/>
      <c r="S59" s="15"/>
      <c r="T59" s="15"/>
    </row>
    <row r="60" spans="2:20" x14ac:dyDescent="0.55000000000000004">
      <c r="B60" s="12"/>
      <c r="C60" s="12"/>
      <c r="D60" s="12"/>
      <c r="E60" s="13"/>
      <c r="F60" s="13"/>
      <c r="I60" s="13"/>
      <c r="J60" s="14"/>
      <c r="K60" s="14"/>
      <c r="L60" s="13"/>
      <c r="P60" s="15"/>
      <c r="Q60" s="15"/>
      <c r="R60" s="15"/>
      <c r="S60" s="15"/>
      <c r="T60" s="15"/>
    </row>
    <row r="61" spans="2:20" x14ac:dyDescent="0.55000000000000004">
      <c r="B61" s="12"/>
      <c r="C61" s="12"/>
      <c r="D61" s="12"/>
      <c r="E61" s="13"/>
      <c r="F61" s="13"/>
      <c r="I61" s="13"/>
      <c r="J61" s="14"/>
      <c r="K61" s="14"/>
      <c r="L61" s="13"/>
      <c r="P61" s="15"/>
      <c r="Q61" s="15"/>
      <c r="R61" s="15"/>
      <c r="S61" s="15"/>
      <c r="T61" s="15"/>
    </row>
    <row r="62" spans="2:20" x14ac:dyDescent="0.55000000000000004">
      <c r="B62" s="12"/>
      <c r="C62" s="12"/>
      <c r="D62" s="12"/>
      <c r="E62" s="13"/>
      <c r="F62" s="13"/>
      <c r="I62" s="13"/>
      <c r="J62" s="14"/>
      <c r="K62" s="14"/>
      <c r="L62" s="13"/>
      <c r="P62" s="15"/>
      <c r="Q62" s="15"/>
      <c r="R62" s="15"/>
      <c r="S62" s="15"/>
      <c r="T62" s="15"/>
    </row>
    <row r="63" spans="2:20" x14ac:dyDescent="0.55000000000000004">
      <c r="B63" s="12"/>
      <c r="C63" s="12"/>
      <c r="D63" s="12"/>
      <c r="E63" s="13"/>
      <c r="F63" s="13"/>
      <c r="I63" s="13"/>
      <c r="J63" s="14"/>
      <c r="K63" s="14"/>
      <c r="L63" s="13"/>
      <c r="P63" s="15"/>
      <c r="Q63" s="15"/>
      <c r="R63" s="15"/>
      <c r="S63" s="15"/>
      <c r="T63" s="15"/>
    </row>
    <row r="64" spans="2:20" x14ac:dyDescent="0.55000000000000004">
      <c r="B64" s="12"/>
      <c r="C64" s="12"/>
      <c r="D64" s="12"/>
      <c r="E64" s="13"/>
      <c r="F64" s="13"/>
      <c r="I64" s="13"/>
      <c r="J64" s="14"/>
      <c r="K64" s="14"/>
      <c r="L64" s="13"/>
      <c r="P64" s="15"/>
      <c r="Q64" s="15"/>
      <c r="R64" s="15"/>
      <c r="S64" s="15"/>
      <c r="T64" s="15"/>
    </row>
    <row r="65" spans="2:20" x14ac:dyDescent="0.55000000000000004">
      <c r="B65" s="12"/>
      <c r="C65" s="12"/>
      <c r="D65" s="12"/>
      <c r="E65" s="13"/>
      <c r="F65" s="13"/>
      <c r="I65" s="13"/>
      <c r="J65" s="14"/>
      <c r="K65" s="14"/>
      <c r="L65" s="13"/>
      <c r="P65" s="15"/>
      <c r="Q65" s="15"/>
      <c r="R65" s="15"/>
      <c r="S65" s="15"/>
      <c r="T65" s="15"/>
    </row>
    <row r="66" spans="2:20" x14ac:dyDescent="0.55000000000000004">
      <c r="B66" s="12"/>
      <c r="C66" s="12"/>
      <c r="D66" s="12"/>
      <c r="E66" s="13"/>
      <c r="F66" s="13"/>
      <c r="I66" s="13"/>
      <c r="J66" s="14"/>
      <c r="K66" s="14"/>
      <c r="L66" s="13"/>
      <c r="P66" s="15"/>
      <c r="Q66" s="15"/>
      <c r="R66" s="15"/>
      <c r="S66" s="15"/>
      <c r="T66" s="15"/>
    </row>
    <row r="67" spans="2:20" x14ac:dyDescent="0.55000000000000004">
      <c r="B67" s="12"/>
      <c r="C67" s="12"/>
      <c r="D67" s="12"/>
      <c r="E67" s="13"/>
      <c r="F67" s="13"/>
      <c r="I67" s="13"/>
      <c r="J67" s="14"/>
      <c r="K67" s="14"/>
      <c r="L67" s="13"/>
      <c r="P67" s="15"/>
      <c r="Q67" s="15"/>
      <c r="R67" s="15"/>
      <c r="S67" s="15"/>
      <c r="T67" s="15"/>
    </row>
    <row r="68" spans="2:20" x14ac:dyDescent="0.55000000000000004">
      <c r="B68" s="12"/>
      <c r="C68" s="12"/>
      <c r="D68" s="12"/>
      <c r="E68" s="13"/>
      <c r="F68" s="13"/>
      <c r="I68" s="13"/>
      <c r="J68" s="14"/>
      <c r="K68" s="14"/>
      <c r="L68" s="13"/>
      <c r="P68" s="15"/>
      <c r="Q68" s="15"/>
      <c r="R68" s="15"/>
      <c r="S68" s="15"/>
      <c r="T68" s="15"/>
    </row>
    <row r="69" spans="2:20" x14ac:dyDescent="0.55000000000000004">
      <c r="B69" s="12"/>
      <c r="C69" s="12"/>
      <c r="D69" s="12"/>
      <c r="E69" s="13"/>
      <c r="F69" s="13"/>
      <c r="I69" s="13"/>
      <c r="J69" s="14"/>
      <c r="K69" s="14"/>
      <c r="L69" s="13"/>
      <c r="P69" s="15"/>
      <c r="Q69" s="15"/>
      <c r="R69" s="15"/>
      <c r="S69" s="15"/>
      <c r="T69" s="15"/>
    </row>
    <row r="70" spans="2:20" x14ac:dyDescent="0.55000000000000004">
      <c r="B70" s="12"/>
      <c r="C70" s="12"/>
      <c r="D70" s="12"/>
      <c r="E70" s="13"/>
      <c r="F70" s="13"/>
      <c r="I70" s="13"/>
      <c r="J70" s="14"/>
      <c r="K70" s="14"/>
      <c r="L70" s="13"/>
      <c r="P70" s="15"/>
      <c r="Q70" s="15"/>
      <c r="R70" s="15"/>
      <c r="S70" s="15"/>
      <c r="T70" s="15"/>
    </row>
    <row r="71" spans="2:20" x14ac:dyDescent="0.55000000000000004">
      <c r="B71" s="12"/>
      <c r="C71" s="12"/>
      <c r="D71" s="12"/>
      <c r="E71" s="13"/>
      <c r="F71" s="13"/>
      <c r="I71" s="13"/>
      <c r="J71" s="14"/>
      <c r="K71" s="14"/>
      <c r="L71" s="13"/>
      <c r="P71" s="15"/>
      <c r="Q71" s="15"/>
      <c r="R71" s="15"/>
      <c r="S71" s="15"/>
      <c r="T71" s="15"/>
    </row>
    <row r="72" spans="2:20" x14ac:dyDescent="0.55000000000000004">
      <c r="B72" s="12"/>
      <c r="C72" s="12"/>
      <c r="D72" s="12"/>
      <c r="E72" s="13"/>
      <c r="F72" s="13"/>
      <c r="I72" s="13"/>
      <c r="J72" s="14"/>
      <c r="K72" s="14"/>
      <c r="L72" s="13"/>
      <c r="P72" s="15"/>
      <c r="Q72" s="15"/>
      <c r="R72" s="15"/>
      <c r="S72" s="15"/>
      <c r="T72" s="15"/>
    </row>
    <row r="73" spans="2:20" x14ac:dyDescent="0.55000000000000004">
      <c r="B73" s="12"/>
      <c r="C73" s="12"/>
      <c r="D73" s="12"/>
      <c r="E73" s="13"/>
      <c r="F73" s="13"/>
      <c r="I73" s="13"/>
      <c r="J73" s="14"/>
      <c r="K73" s="14"/>
      <c r="L73" s="13"/>
      <c r="P73" s="15"/>
      <c r="Q73" s="15"/>
      <c r="R73" s="15"/>
      <c r="S73" s="15"/>
      <c r="T73" s="15"/>
    </row>
    <row r="74" spans="2:20" x14ac:dyDescent="0.55000000000000004">
      <c r="B74" s="12"/>
      <c r="C74" s="12"/>
      <c r="D74" s="12"/>
      <c r="E74" s="13"/>
      <c r="F74" s="13"/>
      <c r="I74" s="13"/>
      <c r="J74" s="14"/>
      <c r="K74" s="14"/>
      <c r="L74" s="13"/>
      <c r="P74" s="15"/>
      <c r="Q74" s="15"/>
      <c r="R74" s="15"/>
      <c r="S74" s="15"/>
      <c r="T74" s="15"/>
    </row>
    <row r="75" spans="2:20" x14ac:dyDescent="0.55000000000000004">
      <c r="B75" s="12"/>
      <c r="C75" s="12"/>
      <c r="D75" s="12"/>
      <c r="E75" s="13"/>
      <c r="F75" s="13"/>
      <c r="I75" s="13"/>
      <c r="J75" s="14"/>
      <c r="K75" s="14"/>
      <c r="L75" s="13"/>
      <c r="P75" s="15"/>
      <c r="Q75" s="15"/>
      <c r="R75" s="15"/>
      <c r="S75" s="15"/>
      <c r="T75" s="15"/>
    </row>
    <row r="76" spans="2:20" x14ac:dyDescent="0.55000000000000004">
      <c r="B76" s="12"/>
      <c r="C76" s="12"/>
      <c r="D76" s="12"/>
      <c r="E76" s="13"/>
      <c r="F76" s="13"/>
      <c r="I76" s="13"/>
      <c r="J76" s="14"/>
      <c r="K76" s="14"/>
      <c r="L76" s="13"/>
      <c r="P76" s="15"/>
      <c r="Q76" s="15"/>
      <c r="R76" s="15"/>
      <c r="S76" s="15"/>
      <c r="T76" s="15"/>
    </row>
    <row r="77" spans="2:20" x14ac:dyDescent="0.55000000000000004">
      <c r="B77" s="12"/>
      <c r="C77" s="12"/>
      <c r="D77" s="12"/>
      <c r="E77" s="13"/>
      <c r="F77" s="13"/>
      <c r="I77" s="13"/>
      <c r="J77" s="14"/>
      <c r="K77" s="14"/>
      <c r="L77" s="13"/>
      <c r="P77" s="15"/>
      <c r="Q77" s="15"/>
      <c r="R77" s="15"/>
      <c r="S77" s="15"/>
      <c r="T77" s="15"/>
    </row>
    <row r="78" spans="2:20" x14ac:dyDescent="0.55000000000000004">
      <c r="B78" s="12"/>
      <c r="C78" s="12"/>
      <c r="D78" s="12"/>
      <c r="E78" s="13"/>
      <c r="F78" s="13"/>
      <c r="I78" s="13"/>
      <c r="J78" s="14"/>
      <c r="K78" s="14"/>
      <c r="L78" s="13"/>
      <c r="P78" s="15"/>
      <c r="Q78" s="15"/>
      <c r="R78" s="15"/>
      <c r="S78" s="15"/>
      <c r="T78" s="15"/>
    </row>
    <row r="79" spans="2:20" x14ac:dyDescent="0.55000000000000004">
      <c r="B79" s="12"/>
      <c r="C79" s="12"/>
      <c r="D79" s="12"/>
      <c r="E79" s="13"/>
      <c r="F79" s="13"/>
      <c r="I79" s="13"/>
      <c r="J79" s="14"/>
      <c r="K79" s="14"/>
      <c r="L79" s="13"/>
      <c r="P79" s="15"/>
      <c r="Q79" s="15"/>
      <c r="R79" s="15"/>
      <c r="S79" s="15"/>
      <c r="T79" s="15"/>
    </row>
    <row r="80" spans="2:20" x14ac:dyDescent="0.55000000000000004">
      <c r="B80" s="12"/>
      <c r="C80" s="12"/>
      <c r="D80" s="12"/>
      <c r="E80" s="13"/>
      <c r="F80" s="13"/>
      <c r="I80" s="13"/>
      <c r="J80" s="14"/>
      <c r="K80" s="14"/>
      <c r="L80" s="13"/>
      <c r="P80" s="15"/>
      <c r="Q80" s="15"/>
      <c r="R80" s="15"/>
      <c r="S80" s="15"/>
      <c r="T80" s="15"/>
    </row>
    <row r="81" spans="2:20" x14ac:dyDescent="0.55000000000000004">
      <c r="B81" s="12"/>
      <c r="C81" s="12"/>
      <c r="D81" s="12"/>
      <c r="E81" s="13"/>
      <c r="F81" s="13"/>
      <c r="I81" s="13"/>
      <c r="J81" s="14"/>
      <c r="K81" s="14"/>
      <c r="L81" s="13"/>
      <c r="P81" s="15"/>
      <c r="Q81" s="15"/>
      <c r="R81" s="15"/>
      <c r="S81" s="15"/>
      <c r="T81" s="15"/>
    </row>
    <row r="82" spans="2:20" x14ac:dyDescent="0.55000000000000004">
      <c r="B82" s="12"/>
      <c r="C82" s="12"/>
      <c r="D82" s="12"/>
      <c r="E82" s="13"/>
      <c r="F82" s="13"/>
      <c r="I82" s="13"/>
      <c r="J82" s="14"/>
      <c r="K82" s="14"/>
      <c r="L82" s="13"/>
      <c r="P82" s="15"/>
      <c r="Q82" s="15"/>
      <c r="R82" s="15"/>
      <c r="S82" s="15"/>
      <c r="T82" s="15"/>
    </row>
    <row r="83" spans="2:20" x14ac:dyDescent="0.55000000000000004">
      <c r="B83" s="12"/>
      <c r="C83" s="12"/>
      <c r="D83" s="12"/>
      <c r="E83" s="13"/>
      <c r="F83" s="13"/>
      <c r="I83" s="13"/>
      <c r="J83" s="14"/>
      <c r="K83" s="14"/>
      <c r="L83" s="13"/>
      <c r="P83" s="15"/>
      <c r="Q83" s="15"/>
      <c r="R83" s="15"/>
      <c r="S83" s="15"/>
      <c r="T83" s="15"/>
    </row>
    <row r="84" spans="2:20" x14ac:dyDescent="0.55000000000000004">
      <c r="B84" s="12"/>
      <c r="C84" s="12"/>
      <c r="D84" s="12"/>
      <c r="E84" s="13"/>
      <c r="F84" s="13"/>
      <c r="I84" s="13"/>
      <c r="J84" s="14"/>
      <c r="K84" s="14"/>
      <c r="L84" s="13"/>
      <c r="P84" s="15"/>
      <c r="Q84" s="15"/>
      <c r="R84" s="15"/>
      <c r="S84" s="15"/>
      <c r="T84" s="15"/>
    </row>
    <row r="85" spans="2:20" x14ac:dyDescent="0.55000000000000004">
      <c r="B85" s="12"/>
      <c r="C85" s="12"/>
      <c r="D85" s="12"/>
      <c r="E85" s="13"/>
      <c r="F85" s="13"/>
      <c r="I85" s="13"/>
      <c r="J85" s="14"/>
      <c r="K85" s="14"/>
      <c r="L85" s="13"/>
      <c r="P85" s="15"/>
      <c r="Q85" s="15"/>
      <c r="R85" s="15"/>
      <c r="S85" s="15"/>
      <c r="T85" s="15"/>
    </row>
    <row r="86" spans="2:20" x14ac:dyDescent="0.55000000000000004">
      <c r="B86" s="12"/>
      <c r="C86" s="12"/>
      <c r="D86" s="12"/>
      <c r="E86" s="13"/>
      <c r="F86" s="13"/>
      <c r="I86" s="13"/>
      <c r="J86" s="14"/>
      <c r="K86" s="14"/>
      <c r="L86" s="13"/>
      <c r="P86" s="15"/>
      <c r="Q86" s="15"/>
      <c r="R86" s="15"/>
      <c r="S86" s="15"/>
      <c r="T86" s="15"/>
    </row>
    <row r="87" spans="2:20" x14ac:dyDescent="0.55000000000000004">
      <c r="B87" s="12"/>
      <c r="C87" s="12"/>
      <c r="D87" s="12"/>
      <c r="E87" s="13"/>
      <c r="F87" s="13"/>
      <c r="I87" s="13"/>
      <c r="J87" s="14"/>
      <c r="K87" s="14"/>
      <c r="L87" s="13"/>
      <c r="P87" s="15"/>
      <c r="Q87" s="15"/>
      <c r="R87" s="15"/>
      <c r="S87" s="15"/>
      <c r="T87" s="15"/>
    </row>
    <row r="88" spans="2:20" x14ac:dyDescent="0.55000000000000004">
      <c r="B88" s="12"/>
      <c r="C88" s="12"/>
      <c r="D88" s="12"/>
      <c r="E88" s="13"/>
      <c r="F88" s="13"/>
      <c r="I88" s="13"/>
      <c r="J88" s="14"/>
      <c r="K88" s="14"/>
      <c r="L88" s="13"/>
      <c r="P88" s="15"/>
      <c r="Q88" s="15"/>
      <c r="R88" s="15"/>
      <c r="S88" s="15"/>
      <c r="T88" s="15"/>
    </row>
    <row r="89" spans="2:20" x14ac:dyDescent="0.55000000000000004">
      <c r="B89" s="12"/>
      <c r="C89" s="12"/>
      <c r="D89" s="12"/>
      <c r="E89" s="13"/>
      <c r="F89" s="13"/>
      <c r="I89" s="13"/>
      <c r="J89" s="14"/>
      <c r="K89" s="14"/>
      <c r="L89" s="13"/>
      <c r="P89" s="15"/>
      <c r="Q89" s="15"/>
      <c r="R89" s="15"/>
      <c r="S89" s="15"/>
      <c r="T89" s="15"/>
    </row>
    <row r="90" spans="2:20" x14ac:dyDescent="0.55000000000000004">
      <c r="B90" s="12"/>
      <c r="C90" s="12"/>
      <c r="D90" s="12"/>
      <c r="E90" s="13"/>
      <c r="F90" s="13"/>
      <c r="I90" s="13"/>
      <c r="J90" s="14"/>
      <c r="K90" s="14"/>
      <c r="L90" s="13"/>
      <c r="P90" s="15"/>
      <c r="Q90" s="15"/>
      <c r="R90" s="15"/>
      <c r="S90" s="15"/>
      <c r="T90" s="15"/>
    </row>
    <row r="91" spans="2:20" x14ac:dyDescent="0.55000000000000004">
      <c r="B91" s="12"/>
      <c r="C91" s="12"/>
      <c r="D91" s="12"/>
      <c r="E91" s="13"/>
      <c r="F91" s="13"/>
      <c r="I91" s="13"/>
      <c r="J91" s="14"/>
      <c r="K91" s="14"/>
      <c r="L91" s="13"/>
      <c r="P91" s="15"/>
      <c r="Q91" s="15"/>
      <c r="R91" s="15"/>
      <c r="S91" s="15"/>
      <c r="T91" s="15"/>
    </row>
    <row r="92" spans="2:20" x14ac:dyDescent="0.55000000000000004">
      <c r="B92" s="12"/>
      <c r="C92" s="12"/>
      <c r="D92" s="12"/>
      <c r="E92" s="13"/>
      <c r="F92" s="13"/>
      <c r="I92" s="13"/>
      <c r="J92" s="14"/>
      <c r="K92" s="14"/>
      <c r="L92" s="13"/>
      <c r="P92" s="15"/>
      <c r="Q92" s="15"/>
      <c r="R92" s="15"/>
      <c r="S92" s="15"/>
      <c r="T92" s="15"/>
    </row>
    <row r="93" spans="2:20" x14ac:dyDescent="0.55000000000000004">
      <c r="B93" s="12"/>
      <c r="C93" s="12"/>
      <c r="D93" s="12"/>
      <c r="E93" s="13"/>
      <c r="F93" s="13"/>
      <c r="I93" s="13"/>
      <c r="J93" s="14"/>
      <c r="K93" s="14"/>
      <c r="L93" s="13"/>
      <c r="P93" s="15"/>
      <c r="Q93" s="15"/>
      <c r="R93" s="15"/>
      <c r="S93" s="15"/>
      <c r="T93" s="15"/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04105-F35F-427C-972C-D0F8F6049E6B}">
  <sheetPr codeName="Sheet4"/>
  <dimension ref="A1:S29"/>
  <sheetViews>
    <sheetView workbookViewId="0"/>
  </sheetViews>
  <sheetFormatPr defaultRowHeight="18" x14ac:dyDescent="0.55000000000000004"/>
  <cols>
    <col min="1" max="1" width="16.58203125" customWidth="1"/>
    <col min="2" max="2" width="14.58203125" customWidth="1"/>
  </cols>
  <sheetData>
    <row r="1" spans="1:19" ht="22.5" x14ac:dyDescent="0.55000000000000004">
      <c r="A1" s="3" t="s">
        <v>100</v>
      </c>
    </row>
    <row r="2" spans="1:19" x14ac:dyDescent="0.55000000000000004">
      <c r="A2" t="s">
        <v>101</v>
      </c>
      <c r="D2" t="s">
        <v>104</v>
      </c>
    </row>
    <row r="3" spans="1:19" x14ac:dyDescent="0.55000000000000004">
      <c r="A3" cm="1">
        <f t="array" ref="A3:B7">PcaWindow(PCA_テナー,PCA_モード,PCA_標準化,PCA_window,PCA_推定基準日,PCA_比較日)</f>
      </c>
      <c r="B3" s="9"/>
      <c r="D3" cm="1">
        <f t="array" ref="D3:S16">PcaModel(PCA_テナー,PCA_モード,PCA_標準化,PCA_window,PCA_推定基準日,PCA_比較日)</f>
      </c>
    </row>
    <row r="4" spans="1:19" x14ac:dyDescent="0.55000000000000004">
      <c r="B4" s="9"/>
    </row>
    <row r="5" spans="1:19" x14ac:dyDescent="0.55000000000000004"/>
    <row r="6" spans="1:19" x14ac:dyDescent="0.55000000000000004"/>
    <row r="7" spans="1:19" x14ac:dyDescent="0.55000000000000004"/>
    <row r="8" spans="1:19" x14ac:dyDescent="0.55000000000000004"/>
    <row r="9" spans="1:19" x14ac:dyDescent="0.55000000000000004">
      <c r="A9" t="s">
        <v>102</v>
      </c>
    </row>
    <row r="10" spans="1:19" x14ac:dyDescent="0.55000000000000004">
      <c r="A10" cm="1">
        <f t="array" ref="A10">PcaActualInfo(PCA_テナー,PCA_モード,PCA_比較日,RealTime!$B$2:$C$43)</f>
      </c>
      <c r="B10" s="9"/>
    </row>
    <row r="11" spans="1:19" x14ac:dyDescent="0.55000000000000004"/>
    <row r="12" spans="1:19" x14ac:dyDescent="0.55000000000000004">
      <c r="B12" s="9"/>
    </row>
    <row r="13" spans="1:19" x14ac:dyDescent="0.55000000000000004"/>
    <row r="14" spans="1:19" x14ac:dyDescent="0.55000000000000004"/>
    <row r="15" spans="1:19" x14ac:dyDescent="0.55000000000000004">
      <c r="A15" t="s">
        <v>103</v>
      </c>
    </row>
    <row r="16" spans="1:19" x14ac:dyDescent="0.55000000000000004">
      <c r="A16" cm="1">
        <f t="array" ref="A16:B29">PcaEigen(PCA_テナー,PCA_モード,PCA_標準化,PCA_window,PCA_推定基準日,PCA_比較日)</f>
      </c>
    </row>
    <row r="17" spans="1:2" x14ac:dyDescent="0.55000000000000004"/>
    <row r="18" spans="1:2" x14ac:dyDescent="0.55000000000000004"/>
    <row r="19" spans="1:2" x14ac:dyDescent="0.55000000000000004"/>
    <row r="20" spans="1:2" x14ac:dyDescent="0.55000000000000004"/>
    <row r="21" spans="1:2" x14ac:dyDescent="0.55000000000000004"/>
    <row r="22" spans="1:2" x14ac:dyDescent="0.55000000000000004"/>
    <row r="23" spans="1:2" x14ac:dyDescent="0.55000000000000004"/>
    <row r="24" spans="1:2" x14ac:dyDescent="0.55000000000000004"/>
    <row r="25" spans="1:2" x14ac:dyDescent="0.55000000000000004"/>
    <row r="26" spans="1:2" x14ac:dyDescent="0.55000000000000004"/>
    <row r="27" spans="1:2" x14ac:dyDescent="0.55000000000000004"/>
    <row r="28" spans="1:2" x14ac:dyDescent="0.55000000000000004"/>
    <row r="29" spans="1:2" x14ac:dyDescent="0.55000000000000004"/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DE1E1-9E5B-4036-AFA7-15E759FAAF76}">
  <sheetPr codeName="Sheet5"/>
  <dimension ref="A1:J205"/>
  <sheetViews>
    <sheetView workbookViewId="0"/>
  </sheetViews>
  <sheetFormatPr defaultRowHeight="18" x14ac:dyDescent="0.55000000000000004"/>
  <cols>
    <col min="1" max="1" width="16.58203125" customWidth="1"/>
    <col min="2" max="2" width="11.58203125" customWidth="1"/>
    <col min="4" max="5" width="10.58203125" customWidth="1"/>
    <col min="7" max="8" width="10.58203125" customWidth="1"/>
    <col min="10" max="10" width="10.58203125" customWidth="1"/>
  </cols>
  <sheetData>
    <row r="1" spans="1:10" ht="22.5" x14ac:dyDescent="0.55000000000000004">
      <c r="A1" s="3" t="s">
        <v>96</v>
      </c>
    </row>
    <row r="2" spans="1:10" x14ac:dyDescent="0.55000000000000004">
      <c r="A2" s="6" t="s">
        <v>86</v>
      </c>
    </row>
    <row r="3" spans="1:10" x14ac:dyDescent="0.55000000000000004">
      <c r="A3" t="s">
        <v>87</v>
      </c>
      <c r="B3" s="5"/>
      <c r="C3" t="s">
        <v>88</v>
      </c>
    </row>
    <row r="4" spans="1:10" x14ac:dyDescent="0.55000000000000004">
      <c r="A4" t="s">
        <v>49</v>
      </c>
      <c r="B4" s="4">
        <v>250</v>
      </c>
      <c r="C4" t="s">
        <v>89</v>
      </c>
    </row>
    <row r="5" spans="1:10" x14ac:dyDescent="0.55000000000000004">
      <c r="A5" t="s">
        <v>47</v>
      </c>
      <c r="B5" s="4" t="s">
        <v>48</v>
      </c>
      <c r="C5" t="s">
        <v>90</v>
      </c>
    </row>
    <row r="6" spans="1:10" x14ac:dyDescent="0.55000000000000004">
      <c r="A6" t="s">
        <v>91</v>
      </c>
      <c r="B6" s="4" t="s">
        <v>92</v>
      </c>
      <c r="C6" t="s">
        <v>93</v>
      </c>
    </row>
    <row r="8" spans="1:10" x14ac:dyDescent="0.55000000000000004">
      <c r="A8" s="6" t="s">
        <v>94</v>
      </c>
    </row>
    <row r="9" spans="1:10" x14ac:dyDescent="0.55000000000000004">
      <c r="A9" t="s">
        <v>46</v>
      </c>
      <c r="B9" s="5"/>
      <c r="C9" t="s">
        <v>95</v>
      </c>
    </row>
    <row r="10" spans="1:10" x14ac:dyDescent="0.55000000000000004">
      <c r="A10" t="s">
        <v>50</v>
      </c>
      <c r="B10" s="4">
        <v>3</v>
      </c>
      <c r="C10" t="s">
        <v>51</v>
      </c>
    </row>
    <row r="12" spans="1:10" x14ac:dyDescent="0.55000000000000004">
      <c r="A12" t="s">
        <v>97</v>
      </c>
    </row>
    <row r="13" spans="1:10" x14ac:dyDescent="0.55000000000000004">
      <c r="A13" s="7" t="s">
        <v>76</v>
      </c>
      <c r="B13" s="7" t="s">
        <v>54</v>
      </c>
      <c r="D13" s="7" t="s">
        <v>77</v>
      </c>
      <c r="E13" s="7" t="s">
        <v>54</v>
      </c>
      <c r="G13" s="7" t="s">
        <v>98</v>
      </c>
      <c r="H13" s="7" t="s">
        <v>99</v>
      </c>
      <c r="J13" s="7" t="s">
        <v>78</v>
      </c>
    </row>
    <row r="14" spans="1:10" x14ac:dyDescent="0.55000000000000004">
      <c r="A14" t="s">
        <v>4</v>
      </c>
      <c r="B14" s="8" t="s">
        <v>57</v>
      </c>
      <c r="D14" t="s">
        <v>80</v>
      </c>
      <c r="E14" s="8" t="s">
        <v>57</v>
      </c>
      <c r="G14" cm="1">
        <f t="array" ref="G14:G29">_xlfn._xlws.FILTER($A$14:$A$29,$B$14:$B$29="○")</f>
      </c>
      <c r="H14" cm="1">
        <f t="array" ref="H14:H25">_xlfn._xlws.FILTER($D$14:$D$25,$E$14:$E$25="○")</f>
      </c>
      <c r="J14" cm="1">
        <f t="array" ref="J14:J205">_xlfn.TOCOL(_xlfn.ANCHORARRAY(G14)&amp;"x"&amp;TRANSPOSE(_xlfn.ANCHORARRAY(H14)))</f>
      </c>
    </row>
    <row r="15" spans="1:10" x14ac:dyDescent="0.55000000000000004">
      <c r="A15" t="s">
        <v>5</v>
      </c>
      <c r="B15" s="8" t="s">
        <v>57</v>
      </c>
      <c r="D15" t="s">
        <v>81</v>
      </c>
      <c r="E15" s="8" t="s">
        <v>57</v>
      </c>
    </row>
    <row r="16" spans="1:10" x14ac:dyDescent="0.55000000000000004">
      <c r="A16" t="s">
        <v>6</v>
      </c>
      <c r="B16" s="8" t="s">
        <v>57</v>
      </c>
      <c r="D16" t="s">
        <v>82</v>
      </c>
      <c r="E16" s="8" t="s">
        <v>57</v>
      </c>
    </row>
    <row r="17" spans="1:10" x14ac:dyDescent="0.55000000000000004">
      <c r="A17" t="s">
        <v>9</v>
      </c>
      <c r="B17" s="8" t="s">
        <v>57</v>
      </c>
      <c r="D17" t="s">
        <v>21</v>
      </c>
      <c r="E17" s="8" t="s">
        <v>57</v>
      </c>
    </row>
    <row r="18" spans="1:10" x14ac:dyDescent="0.55000000000000004">
      <c r="A18" t="s">
        <v>12</v>
      </c>
      <c r="B18" s="8" t="s">
        <v>57</v>
      </c>
      <c r="D18" t="s">
        <v>22</v>
      </c>
      <c r="E18" s="8" t="s">
        <v>57</v>
      </c>
    </row>
    <row r="19" spans="1:10" x14ac:dyDescent="0.55000000000000004">
      <c r="A19" t="s">
        <v>80</v>
      </c>
      <c r="B19" s="8" t="s">
        <v>57</v>
      </c>
      <c r="D19" t="s">
        <v>23</v>
      </c>
      <c r="E19" s="8" t="s">
        <v>57</v>
      </c>
    </row>
    <row r="20" spans="1:10" x14ac:dyDescent="0.55000000000000004">
      <c r="A20" t="s">
        <v>81</v>
      </c>
      <c r="B20" s="8" t="s">
        <v>57</v>
      </c>
      <c r="D20" t="s">
        <v>24</v>
      </c>
      <c r="E20" s="8" t="s">
        <v>57</v>
      </c>
    </row>
    <row r="21" spans="1:10" x14ac:dyDescent="0.55000000000000004">
      <c r="A21" t="s">
        <v>82</v>
      </c>
      <c r="B21" s="8" t="s">
        <v>57</v>
      </c>
      <c r="D21" t="s">
        <v>25</v>
      </c>
      <c r="E21" s="8" t="s">
        <v>57</v>
      </c>
    </row>
    <row r="22" spans="1:10" x14ac:dyDescent="0.55000000000000004">
      <c r="A22" t="s">
        <v>21</v>
      </c>
      <c r="B22" s="8" t="s">
        <v>57</v>
      </c>
      <c r="D22" t="s">
        <v>26</v>
      </c>
      <c r="E22" s="8" t="s">
        <v>57</v>
      </c>
    </row>
    <row r="23" spans="1:10" x14ac:dyDescent="0.55000000000000004">
      <c r="A23" t="s">
        <v>22</v>
      </c>
      <c r="B23" s="8" t="s">
        <v>57</v>
      </c>
      <c r="D23" t="s">
        <v>27</v>
      </c>
      <c r="E23" s="8" t="s">
        <v>57</v>
      </c>
    </row>
    <row r="24" spans="1:10" x14ac:dyDescent="0.55000000000000004">
      <c r="A24" t="s">
        <v>23</v>
      </c>
      <c r="B24" s="8" t="s">
        <v>57</v>
      </c>
      <c r="D24" t="s">
        <v>30</v>
      </c>
      <c r="E24" s="8" t="s">
        <v>57</v>
      </c>
    </row>
    <row r="25" spans="1:10" x14ac:dyDescent="0.55000000000000004">
      <c r="A25" t="s">
        <v>24</v>
      </c>
      <c r="B25" s="8" t="s">
        <v>57</v>
      </c>
      <c r="D25" t="s">
        <v>31</v>
      </c>
      <c r="E25" s="8" t="s">
        <v>57</v>
      </c>
    </row>
    <row r="26" spans="1:10" x14ac:dyDescent="0.55000000000000004">
      <c r="A26" t="s">
        <v>26</v>
      </c>
      <c r="B26" s="8" t="s">
        <v>57</v>
      </c>
    </row>
    <row r="27" spans="1:10" x14ac:dyDescent="0.55000000000000004">
      <c r="A27" t="s">
        <v>27</v>
      </c>
      <c r="B27" s="8" t="s">
        <v>57</v>
      </c>
    </row>
    <row r="28" spans="1:10" x14ac:dyDescent="0.55000000000000004">
      <c r="A28" t="s">
        <v>30</v>
      </c>
      <c r="B28" s="8" t="s">
        <v>57</v>
      </c>
    </row>
    <row r="29" spans="1:10" x14ac:dyDescent="0.55000000000000004">
      <c r="A29" t="s">
        <v>31</v>
      </c>
      <c r="B29" s="8" t="s">
        <v>57</v>
      </c>
    </row>
    <row r="30" spans="1:10" x14ac:dyDescent="0.55000000000000004"/>
    <row r="31" spans="1:10" x14ac:dyDescent="0.55000000000000004"/>
    <row r="32" spans="1:10" x14ac:dyDescent="0.55000000000000004"/>
    <row r="33" spans="10:10" x14ac:dyDescent="0.55000000000000004"/>
    <row r="34" spans="10:10" x14ac:dyDescent="0.55000000000000004"/>
    <row r="35" spans="10:10" x14ac:dyDescent="0.55000000000000004"/>
    <row r="36" spans="10:10" x14ac:dyDescent="0.55000000000000004"/>
    <row r="37" spans="10:10" x14ac:dyDescent="0.55000000000000004"/>
    <row r="38" spans="10:10" x14ac:dyDescent="0.55000000000000004"/>
    <row r="39" spans="10:10" x14ac:dyDescent="0.55000000000000004"/>
    <row r="40" spans="10:10" x14ac:dyDescent="0.55000000000000004"/>
    <row r="41" spans="10:10" x14ac:dyDescent="0.55000000000000004"/>
    <row r="42" spans="10:10" x14ac:dyDescent="0.55000000000000004"/>
    <row r="43" spans="10:10" x14ac:dyDescent="0.55000000000000004"/>
    <row r="44" spans="10:10" x14ac:dyDescent="0.55000000000000004"/>
    <row r="45" spans="10:10" x14ac:dyDescent="0.55000000000000004"/>
    <row r="46" spans="10:10" x14ac:dyDescent="0.55000000000000004"/>
    <row r="47" spans="10:10" x14ac:dyDescent="0.55000000000000004"/>
    <row r="48" spans="10:10" x14ac:dyDescent="0.55000000000000004"/>
    <row r="49" spans="10:10" x14ac:dyDescent="0.55000000000000004"/>
    <row r="50" spans="10:10" x14ac:dyDescent="0.55000000000000004"/>
    <row r="51" spans="10:10" x14ac:dyDescent="0.55000000000000004"/>
    <row r="52" spans="10:10" x14ac:dyDescent="0.55000000000000004"/>
    <row r="53" spans="10:10" x14ac:dyDescent="0.55000000000000004"/>
    <row r="54" spans="10:10" x14ac:dyDescent="0.55000000000000004"/>
    <row r="55" spans="10:10" x14ac:dyDescent="0.55000000000000004"/>
    <row r="56" spans="10:10" x14ac:dyDescent="0.55000000000000004"/>
    <row r="57" spans="10:10" x14ac:dyDescent="0.55000000000000004"/>
    <row r="58" spans="10:10" x14ac:dyDescent="0.55000000000000004"/>
    <row r="59" spans="10:10" x14ac:dyDescent="0.55000000000000004"/>
    <row r="60" spans="10:10" x14ac:dyDescent="0.55000000000000004"/>
    <row r="61" spans="10:10" x14ac:dyDescent="0.55000000000000004"/>
    <row r="62" spans="10:10" x14ac:dyDescent="0.55000000000000004"/>
    <row r="63" spans="10:10" x14ac:dyDescent="0.55000000000000004"/>
    <row r="64" spans="10:10" x14ac:dyDescent="0.55000000000000004"/>
    <row r="65" spans="10:10" x14ac:dyDescent="0.55000000000000004"/>
    <row r="66" spans="10:10" x14ac:dyDescent="0.55000000000000004"/>
    <row r="67" spans="10:10" x14ac:dyDescent="0.55000000000000004"/>
    <row r="68" spans="10:10" x14ac:dyDescent="0.55000000000000004"/>
    <row r="69" spans="10:10" x14ac:dyDescent="0.55000000000000004"/>
    <row r="70" spans="10:10" x14ac:dyDescent="0.55000000000000004"/>
    <row r="71" spans="10:10" x14ac:dyDescent="0.55000000000000004"/>
    <row r="72" spans="10:10" x14ac:dyDescent="0.55000000000000004"/>
    <row r="73" spans="10:10" x14ac:dyDescent="0.55000000000000004"/>
    <row r="74" spans="10:10" x14ac:dyDescent="0.55000000000000004"/>
    <row r="75" spans="10:10" x14ac:dyDescent="0.55000000000000004"/>
    <row r="76" spans="10:10" x14ac:dyDescent="0.55000000000000004"/>
    <row r="77" spans="10:10" x14ac:dyDescent="0.55000000000000004"/>
    <row r="78" spans="10:10" x14ac:dyDescent="0.55000000000000004"/>
    <row r="79" spans="10:10" x14ac:dyDescent="0.55000000000000004"/>
    <row r="80" spans="10:10" x14ac:dyDescent="0.55000000000000004"/>
    <row r="81" spans="10:10" x14ac:dyDescent="0.55000000000000004"/>
    <row r="82" spans="10:10" x14ac:dyDescent="0.55000000000000004"/>
    <row r="83" spans="10:10" x14ac:dyDescent="0.55000000000000004"/>
    <row r="84" spans="10:10" x14ac:dyDescent="0.55000000000000004"/>
    <row r="85" spans="10:10" x14ac:dyDescent="0.55000000000000004"/>
    <row r="86" spans="10:10" x14ac:dyDescent="0.55000000000000004"/>
    <row r="87" spans="10:10" x14ac:dyDescent="0.55000000000000004"/>
    <row r="88" spans="10:10" x14ac:dyDescent="0.55000000000000004"/>
    <row r="89" spans="10:10" x14ac:dyDescent="0.55000000000000004"/>
    <row r="90" spans="10:10" x14ac:dyDescent="0.55000000000000004"/>
    <row r="91" spans="10:10" x14ac:dyDescent="0.55000000000000004"/>
    <row r="92" spans="10:10" x14ac:dyDescent="0.55000000000000004"/>
    <row r="93" spans="10:10" x14ac:dyDescent="0.55000000000000004"/>
    <row r="94" spans="10:10" x14ac:dyDescent="0.55000000000000004"/>
    <row r="95" spans="10:10" x14ac:dyDescent="0.55000000000000004"/>
    <row r="96" spans="10:10" x14ac:dyDescent="0.55000000000000004"/>
    <row r="97" spans="10:10" x14ac:dyDescent="0.55000000000000004"/>
    <row r="98" spans="10:10" x14ac:dyDescent="0.55000000000000004"/>
    <row r="99" spans="10:10" x14ac:dyDescent="0.55000000000000004"/>
    <row r="100" spans="10:10" x14ac:dyDescent="0.55000000000000004"/>
    <row r="101" spans="10:10" x14ac:dyDescent="0.55000000000000004"/>
    <row r="102" spans="10:10" x14ac:dyDescent="0.55000000000000004"/>
    <row r="103" spans="10:10" x14ac:dyDescent="0.55000000000000004"/>
    <row r="104" spans="10:10" x14ac:dyDescent="0.55000000000000004"/>
    <row r="105" spans="10:10" x14ac:dyDescent="0.55000000000000004"/>
    <row r="106" spans="10:10" x14ac:dyDescent="0.55000000000000004"/>
    <row r="107" spans="10:10" x14ac:dyDescent="0.55000000000000004"/>
    <row r="108" spans="10:10" x14ac:dyDescent="0.55000000000000004"/>
    <row r="109" spans="10:10" x14ac:dyDescent="0.55000000000000004"/>
    <row r="110" spans="10:10" x14ac:dyDescent="0.55000000000000004"/>
    <row r="111" spans="10:10" x14ac:dyDescent="0.55000000000000004"/>
    <row r="112" spans="10:10" x14ac:dyDescent="0.55000000000000004"/>
    <row r="113" spans="10:10" x14ac:dyDescent="0.55000000000000004"/>
    <row r="114" spans="10:10" x14ac:dyDescent="0.55000000000000004"/>
    <row r="115" spans="10:10" x14ac:dyDescent="0.55000000000000004"/>
    <row r="116" spans="10:10" x14ac:dyDescent="0.55000000000000004"/>
    <row r="117" spans="10:10" x14ac:dyDescent="0.55000000000000004"/>
    <row r="118" spans="10:10" x14ac:dyDescent="0.55000000000000004"/>
    <row r="119" spans="10:10" x14ac:dyDescent="0.55000000000000004"/>
    <row r="120" spans="10:10" x14ac:dyDescent="0.55000000000000004"/>
    <row r="121" spans="10:10" x14ac:dyDescent="0.55000000000000004"/>
    <row r="122" spans="10:10" x14ac:dyDescent="0.55000000000000004"/>
    <row r="123" spans="10:10" x14ac:dyDescent="0.55000000000000004"/>
    <row r="124" spans="10:10" x14ac:dyDescent="0.55000000000000004"/>
    <row r="125" spans="10:10" x14ac:dyDescent="0.55000000000000004"/>
    <row r="126" spans="10:10" x14ac:dyDescent="0.55000000000000004"/>
    <row r="127" spans="10:10" x14ac:dyDescent="0.55000000000000004"/>
    <row r="128" spans="10:10" x14ac:dyDescent="0.55000000000000004"/>
    <row r="129" spans="10:10" x14ac:dyDescent="0.55000000000000004"/>
    <row r="130" spans="10:10" x14ac:dyDescent="0.55000000000000004"/>
    <row r="131" spans="10:10" x14ac:dyDescent="0.55000000000000004"/>
    <row r="132" spans="10:10" x14ac:dyDescent="0.55000000000000004"/>
    <row r="133" spans="10:10" x14ac:dyDescent="0.55000000000000004"/>
    <row r="134" spans="10:10" x14ac:dyDescent="0.55000000000000004"/>
    <row r="135" spans="10:10" x14ac:dyDescent="0.55000000000000004"/>
    <row r="136" spans="10:10" x14ac:dyDescent="0.55000000000000004"/>
    <row r="137" spans="10:10" x14ac:dyDescent="0.55000000000000004"/>
    <row r="138" spans="10:10" x14ac:dyDescent="0.55000000000000004"/>
    <row r="139" spans="10:10" x14ac:dyDescent="0.55000000000000004"/>
    <row r="140" spans="10:10" x14ac:dyDescent="0.55000000000000004"/>
    <row r="141" spans="10:10" x14ac:dyDescent="0.55000000000000004"/>
    <row r="142" spans="10:10" x14ac:dyDescent="0.55000000000000004"/>
    <row r="143" spans="10:10" x14ac:dyDescent="0.55000000000000004"/>
    <row r="144" spans="10:10" x14ac:dyDescent="0.55000000000000004"/>
    <row r="145" spans="10:10" x14ac:dyDescent="0.55000000000000004"/>
    <row r="146" spans="10:10" x14ac:dyDescent="0.55000000000000004"/>
    <row r="147" spans="10:10" x14ac:dyDescent="0.55000000000000004"/>
    <row r="148" spans="10:10" x14ac:dyDescent="0.55000000000000004"/>
    <row r="149" spans="10:10" x14ac:dyDescent="0.55000000000000004"/>
    <row r="150" spans="10:10" x14ac:dyDescent="0.55000000000000004"/>
    <row r="151" spans="10:10" x14ac:dyDescent="0.55000000000000004"/>
    <row r="152" spans="10:10" x14ac:dyDescent="0.55000000000000004"/>
    <row r="153" spans="10:10" x14ac:dyDescent="0.55000000000000004"/>
    <row r="154" spans="10:10" x14ac:dyDescent="0.55000000000000004"/>
    <row r="155" spans="10:10" x14ac:dyDescent="0.55000000000000004"/>
    <row r="156" spans="10:10" x14ac:dyDescent="0.55000000000000004"/>
    <row r="157" spans="10:10" x14ac:dyDescent="0.55000000000000004"/>
    <row r="158" spans="10:10" x14ac:dyDescent="0.55000000000000004"/>
    <row r="159" spans="10:10" x14ac:dyDescent="0.55000000000000004"/>
    <row r="160" spans="10:10" x14ac:dyDescent="0.55000000000000004"/>
    <row r="161" spans="10:10" x14ac:dyDescent="0.55000000000000004"/>
    <row r="162" spans="10:10" x14ac:dyDescent="0.55000000000000004"/>
    <row r="163" spans="10:10" x14ac:dyDescent="0.55000000000000004"/>
    <row r="164" spans="10:10" x14ac:dyDescent="0.55000000000000004"/>
    <row r="165" spans="10:10" x14ac:dyDescent="0.55000000000000004"/>
    <row r="166" spans="10:10" x14ac:dyDescent="0.55000000000000004"/>
    <row r="167" spans="10:10" x14ac:dyDescent="0.55000000000000004"/>
    <row r="168" spans="10:10" x14ac:dyDescent="0.55000000000000004"/>
    <row r="169" spans="10:10" x14ac:dyDescent="0.55000000000000004"/>
    <row r="170" spans="10:10" x14ac:dyDescent="0.55000000000000004"/>
    <row r="171" spans="10:10" x14ac:dyDescent="0.55000000000000004"/>
    <row r="172" spans="10:10" x14ac:dyDescent="0.55000000000000004"/>
    <row r="173" spans="10:10" x14ac:dyDescent="0.55000000000000004"/>
    <row r="174" spans="10:10" x14ac:dyDescent="0.55000000000000004"/>
    <row r="175" spans="10:10" x14ac:dyDescent="0.55000000000000004"/>
    <row r="176" spans="10:10" x14ac:dyDescent="0.55000000000000004"/>
    <row r="177" spans="10:10" x14ac:dyDescent="0.55000000000000004"/>
    <row r="178" spans="10:10" x14ac:dyDescent="0.55000000000000004"/>
    <row r="179" spans="10:10" x14ac:dyDescent="0.55000000000000004"/>
    <row r="180" spans="10:10" x14ac:dyDescent="0.55000000000000004"/>
    <row r="181" spans="10:10" x14ac:dyDescent="0.55000000000000004"/>
    <row r="182" spans="10:10" x14ac:dyDescent="0.55000000000000004"/>
    <row r="183" spans="10:10" x14ac:dyDescent="0.55000000000000004"/>
    <row r="184" spans="10:10" x14ac:dyDescent="0.55000000000000004"/>
    <row r="185" spans="10:10" x14ac:dyDescent="0.55000000000000004"/>
    <row r="186" spans="10:10" x14ac:dyDescent="0.55000000000000004"/>
    <row r="187" spans="10:10" x14ac:dyDescent="0.55000000000000004"/>
    <row r="188" spans="10:10" x14ac:dyDescent="0.55000000000000004"/>
    <row r="189" spans="10:10" x14ac:dyDescent="0.55000000000000004"/>
    <row r="190" spans="10:10" x14ac:dyDescent="0.55000000000000004"/>
    <row r="191" spans="10:10" x14ac:dyDescent="0.55000000000000004"/>
    <row r="192" spans="10:10" x14ac:dyDescent="0.55000000000000004"/>
    <row r="193" spans="10:10" x14ac:dyDescent="0.55000000000000004"/>
    <row r="194" spans="10:10" x14ac:dyDescent="0.55000000000000004"/>
    <row r="195" spans="10:10" x14ac:dyDescent="0.55000000000000004"/>
    <row r="196" spans="10:10" x14ac:dyDescent="0.55000000000000004"/>
    <row r="197" spans="10:10" x14ac:dyDescent="0.55000000000000004"/>
    <row r="198" spans="10:10" x14ac:dyDescent="0.55000000000000004"/>
    <row r="199" spans="10:10" x14ac:dyDescent="0.55000000000000004"/>
    <row r="200" spans="10:10" x14ac:dyDescent="0.55000000000000004"/>
    <row r="201" spans="10:10" x14ac:dyDescent="0.55000000000000004"/>
    <row r="202" spans="10:10" x14ac:dyDescent="0.55000000000000004"/>
    <row r="203" spans="10:10" x14ac:dyDescent="0.55000000000000004"/>
    <row r="204" spans="10:10" x14ac:dyDescent="0.55000000000000004"/>
    <row r="205" spans="10:10" x14ac:dyDescent="0.55000000000000004"/>
  </sheetData>
  <phoneticPr fontId="2"/>
  <dataValidations count="4">
    <dataValidation type="list" allowBlank="1" showInputMessage="1" showErrorMessage="1" sqref="B5" xr:uid="{10FAF4D7-0ECB-4761-A9B0-E94E0D06E255}">
      <formula1>"レベル,日次変化"</formula1>
    </dataValidation>
    <dataValidation type="list" allowBlank="1" showInputMessage="1" showErrorMessage="1" sqref="B6" xr:uid="{13A874F6-D785-4D8E-BFF9-48CC4F61EE08}">
      <formula1>"あり,なし"</formula1>
    </dataValidation>
    <dataValidation type="whole" allowBlank="1" showInputMessage="1" showErrorMessage="1" sqref="B10" xr:uid="{B746D192-E7CB-41FC-B7F5-64D3F67423BE}">
      <formula1>1</formula1>
      <formula2>50</formula2>
    </dataValidation>
    <dataValidation type="list" allowBlank="1" showInputMessage="1" showErrorMessage="1" sqref="B14:B29 E14:E25" xr:uid="{57C604B3-BEB1-442A-BD68-973FB98EE17C}">
      <formula1>"○,×"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AY78"/>
  <sheetViews>
    <sheetView workbookViewId="0"/>
  </sheetViews>
  <sheetFormatPr defaultRowHeight="18" x14ac:dyDescent="0.55000000000000004"/>
  <cols>
    <col min="1" max="1" width="12.58203125" customWidth="1"/>
    <col min="2" max="2" width="10.9140625" bestFit="1" customWidth="1"/>
    <col min="5" max="5" width="10.9140625" bestFit="1" customWidth="1"/>
    <col min="16" max="16" width="12.58203125" customWidth="1"/>
  </cols>
  <sheetData>
    <row r="1" spans="1:36" ht="22.5" x14ac:dyDescent="0.55000000000000004">
      <c r="A1" s="3" t="s">
        <v>119</v>
      </c>
    </row>
    <row r="3" spans="1:36" x14ac:dyDescent="0.55000000000000004">
      <c r="A3" cm="1">
        <f t="array" ref="A3:B7">_xlfn.ANCHORARRAY(VolPCA計算!$A$3)</f>
      </c>
      <c r="B3" s="9"/>
      <c r="D3" cm="1">
        <f t="array" ref="D3">_xlfn.ANCHORARRAY(VolPCA計算!$A$10)</f>
      </c>
      <c r="E3" s="9"/>
      <c r="H3" t="s">
        <v>47</v>
      </c>
      <c r="I3">
        <f>VOL_モード</f>
      </c>
      <c r="K3" t="s">
        <v>120</v>
      </c>
    </row>
    <row r="4" spans="1:36" x14ac:dyDescent="0.55000000000000004">
      <c r="B4" s="9"/>
      <c r="H4" t="s">
        <v>91</v>
      </c>
      <c r="I4">
        <f>VOL_標準化</f>
      </c>
      <c r="K4" t="s">
        <v>121</v>
      </c>
    </row>
    <row r="5" spans="1:36" x14ac:dyDescent="0.55000000000000004">
      <c r="E5" s="9"/>
      <c r="H5" t="s">
        <v>59</v>
      </c>
      <c r="I5">
        <f>VOL_window</f>
      </c>
    </row>
    <row r="6" spans="1:36" x14ac:dyDescent="0.55000000000000004">
      <c r="E6" s="10"/>
      <c r="H6" t="s">
        <v>50</v>
      </c>
      <c r="I6">
        <f>VOL_k</f>
      </c>
    </row>
    <row r="7" spans="1:36" x14ac:dyDescent="0.55000000000000004">
      <c r="B7" s="10"/>
    </row>
    <row r="9" spans="1:36" x14ac:dyDescent="0.55000000000000004">
      <c r="A9" s="6" t="s">
        <v>122</v>
      </c>
      <c r="P9" s="6" t="s">
        <v>124</v>
      </c>
      <c r="AE9" s="6" t="s">
        <v>130</v>
      </c>
    </row>
    <row r="10" spans="1:36" x14ac:dyDescent="0.55000000000000004">
      <c r="A10" s="7" t="s">
        <v>123</v>
      </c>
      <c r="B10" cm="1">
        <f t="array" ref="B10:M10">TRANSPOSE(VOL_原資産)</f>
      </c>
      <c r="P10" s="7" t="s">
        <v>123</v>
      </c>
      <c r="Q10" cm="1">
        <f t="array" ref="Q10:AB10">TRANSPOSE(VOL_原資産)</f>
      </c>
      <c r="AE10" s="7" t="s">
        <v>64</v>
      </c>
      <c r="AF10" s="7" t="s">
        <v>110</v>
      </c>
      <c r="AG10" s="7" t="s">
        <v>65</v>
      </c>
      <c r="AH10" s="7" t="s">
        <v>66</v>
      </c>
      <c r="AI10" s="7" t="s">
        <v>111</v>
      </c>
      <c r="AJ10" s="7" t="s">
        <v>67</v>
      </c>
    </row>
    <row r="11" spans="1:36" x14ac:dyDescent="0.55000000000000004">
      <c r="A11" cm="1">
        <f t="array" ref="A11:A26">VOL_満期</f>
      </c>
      <c r="B11" s="13" cm="1">
        <f t="array" ref="B11:M26">_xlfn.XLOOKUP(_xlfn.ANCHORARRAY(A11)&amp;"x"&amp;_xlfn.ANCHORARRAY(B10),_xlfn.ANCHORARRAY(VolPCA計算!$D$4),_xlfn.ANCHORARRAY(VolPCA計算!$I$4))</f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 cm="1">
        <f t="array" ref="P11:P26">VOL_満期</f>
      </c>
      <c r="Q11" s="17" cm="1">
        <f t="array" ref="Q11:AB26">_xlfn.XLOOKUP(_xlfn.ANCHORARRAY(P11)&amp;"x"&amp;_xlfn.ANCHORARRAY(Q10),_xlfn.ANCHORARRAY(VolPCA計算!$D$4),_xlfn.ANCHORARRAY(VolPCA計算!$E$4))</f>
      </c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 cm="1">
        <f t="array" ref="AE11:AE20">_xlfn.TAKE(_xlfn.DROP(_xlfn.TAKE(_xlfn.ANCHORARRAY(VolPCA計算!$A$16),,1),1),10)</f>
      </c>
      <c r="AF11" s="13" cm="1">
        <f t="array" ref="AF11:AF20">_xlfn.TAKE(_xlfn.DROP(_xlfn.CHOOSECOLS(_xlfn.ANCHORARRAY(VolPCA計算!$A$16),2),1),10)</f>
      </c>
      <c r="AG11" s="14" cm="1">
        <f t="array" ref="AG11:AG20">_xlfn.ANCHORARRAY(AF11)/SUM(_xlfn.DROP(_xlfn.CHOOSECOLS(_xlfn.ANCHORARRAY(VolPCA計算!$A$16),2),1))</f>
      </c>
      <c r="AH11" s="14" cm="1">
        <f t="array" ref="AH11:AH20">_xlfn.SCAN(0,_xlfn.ANCHORARRAY(AG11),_xlfn.LAMBDA(_xlpm.a,_xlpm.b,_xlpm.a+_xlpm.b))</f>
      </c>
      <c r="AI11" s="13" cm="1">
        <f t="array" ref="AI11">_xlfn.TAKE(MMULT(TRANSPOSE(_xlfn.DROP(_xlfn.ANCHORARRAY(VolPCA計算!$K$3),1,3)),(_xlfn.ANCHORARRAY(VolPCA計算!$E$4)-_xlfn.ANCHORARRAY(VolPCA計算!$F$4))/_xlfn.ANCHORARRAY(VolPCA計算!$G$4)),10)</f>
      </c>
      <c r="AJ11" s="17" cm="1">
        <f t="array" ref="AJ11:AJ20">IF(_xlfn.SEQUENCE(ROWS(_xlfn.ANCHORARRAY(AE11)))&lt;=VOL_k,"○","")</f>
      </c>
    </row>
    <row r="12" spans="1:36" x14ac:dyDescent="0.55000000000000004"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3"/>
      <c r="AG12" s="14"/>
      <c r="AH12" s="14"/>
      <c r="AI12" s="13"/>
      <c r="AJ12" s="17"/>
    </row>
    <row r="13" spans="1:36" x14ac:dyDescent="0.55000000000000004"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3"/>
      <c r="AG13" s="14"/>
      <c r="AH13" s="14"/>
      <c r="AI13" s="13"/>
      <c r="AJ13" s="17"/>
    </row>
    <row r="14" spans="1:36" x14ac:dyDescent="0.55000000000000004"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3"/>
      <c r="AG14" s="14"/>
      <c r="AH14" s="14"/>
      <c r="AI14" s="13"/>
      <c r="AJ14" s="17"/>
    </row>
    <row r="15" spans="1:36" x14ac:dyDescent="0.55000000000000004"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3"/>
      <c r="AG15" s="14"/>
      <c r="AH15" s="14"/>
      <c r="AI15" s="13"/>
      <c r="AJ15" s="17"/>
    </row>
    <row r="16" spans="1:36" x14ac:dyDescent="0.55000000000000004"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3"/>
      <c r="AG16" s="14"/>
      <c r="AH16" s="14"/>
      <c r="AI16" s="13"/>
      <c r="AJ16" s="17"/>
    </row>
    <row r="17" spans="1:36" x14ac:dyDescent="0.55000000000000004"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3"/>
      <c r="AG17" s="14"/>
      <c r="AH17" s="14"/>
      <c r="AI17" s="13"/>
      <c r="AJ17" s="17"/>
    </row>
    <row r="18" spans="1:36" x14ac:dyDescent="0.55000000000000004"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3"/>
      <c r="AG18" s="14"/>
      <c r="AH18" s="14"/>
      <c r="AI18" s="13"/>
      <c r="AJ18" s="17"/>
    </row>
    <row r="19" spans="1:36" x14ac:dyDescent="0.55000000000000004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3"/>
      <c r="AG19" s="14"/>
      <c r="AH19" s="14"/>
      <c r="AI19" s="13"/>
      <c r="AJ19" s="17"/>
    </row>
    <row r="20" spans="1:36" x14ac:dyDescent="0.55000000000000004"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3"/>
      <c r="AG20" s="14"/>
      <c r="AH20" s="14"/>
      <c r="AI20" s="13"/>
      <c r="AJ20" s="17"/>
    </row>
    <row r="21" spans="1:36" x14ac:dyDescent="0.55000000000000004"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</row>
    <row r="22" spans="1:36" x14ac:dyDescent="0.55000000000000004"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</row>
    <row r="23" spans="1:36" x14ac:dyDescent="0.55000000000000004"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</row>
    <row r="24" spans="1:36" x14ac:dyDescent="0.55000000000000004"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</row>
    <row r="25" spans="1:36" x14ac:dyDescent="0.55000000000000004"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</row>
    <row r="26" spans="1:36" x14ac:dyDescent="0.55000000000000004"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</row>
    <row r="27" spans="1:36" x14ac:dyDescent="0.55000000000000004"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</row>
    <row r="28" spans="1:36" x14ac:dyDescent="0.55000000000000004"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</row>
    <row r="29" spans="1:36" x14ac:dyDescent="0.55000000000000004"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</row>
    <row r="30" spans="1:36" x14ac:dyDescent="0.55000000000000004"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</row>
    <row r="33" spans="1:36" x14ac:dyDescent="0.55000000000000004">
      <c r="A33" s="6" t="s">
        <v>125</v>
      </c>
      <c r="P33" s="6" t="s">
        <v>126</v>
      </c>
    </row>
    <row r="34" spans="1:36" x14ac:dyDescent="0.55000000000000004">
      <c r="A34" s="7" t="s">
        <v>123</v>
      </c>
      <c r="B34" cm="1">
        <f t="array" ref="B34:M34">TRANSPOSE(VOL_原資産)</f>
      </c>
      <c r="P34" s="7" t="s">
        <v>123</v>
      </c>
      <c r="Q34" cm="1">
        <f t="array" ref="Q34:AB34">TRANSPOSE(VOL_原資産)</f>
      </c>
    </row>
    <row r="35" spans="1:36" x14ac:dyDescent="0.55000000000000004">
      <c r="A35" cm="1">
        <f t="array" ref="A35:A50">VOL_満期</f>
      </c>
      <c r="B35" s="17" cm="1">
        <f t="array" ref="B35:M50">_xlfn.XLOOKUP(_xlfn.ANCHORARRAY(A35)&amp;"x"&amp;_xlfn.ANCHORARRAY(B34),_xlfn.ANCHORARRAY(VolPCA計算!$D$4),_xlfn.ANCHORARRAY(VolPCA計算!$H$4))</f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 cm="1">
        <f t="array" ref="P35:P50">VOL_満期</f>
      </c>
      <c r="Q35" s="17" cm="1">
        <f t="array" ref="Q35:AB50">_xlfn.XLOOKUP(_xlfn.ANCHORARRAY(P35)&amp;"x"&amp;_xlfn.ANCHORARRAY(Q34),_xlfn.ANCHORARRAY(VolPCA計算!$D$4),_xlfn.ANCHORARRAY(VolPCA計算!$F$4))</f>
      </c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</row>
    <row r="36" spans="1:36" x14ac:dyDescent="0.55000000000000004"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</row>
    <row r="37" spans="1:36" x14ac:dyDescent="0.55000000000000004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</row>
    <row r="38" spans="1:36" x14ac:dyDescent="0.55000000000000004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</row>
    <row r="39" spans="1:36" x14ac:dyDescent="0.55000000000000004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</row>
    <row r="40" spans="1:36" x14ac:dyDescent="0.55000000000000004"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</row>
    <row r="41" spans="1:36" x14ac:dyDescent="0.55000000000000004"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</row>
    <row r="42" spans="1:36" x14ac:dyDescent="0.55000000000000004"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</row>
    <row r="43" spans="1:36" x14ac:dyDescent="0.55000000000000004"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</row>
    <row r="44" spans="1:36" x14ac:dyDescent="0.55000000000000004"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</row>
    <row r="45" spans="1:36" x14ac:dyDescent="0.55000000000000004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</row>
    <row r="46" spans="1:36" x14ac:dyDescent="0.55000000000000004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</row>
    <row r="47" spans="1:36" x14ac:dyDescent="0.55000000000000004"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</row>
    <row r="48" spans="1:36" x14ac:dyDescent="0.55000000000000004"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</row>
    <row r="49" spans="1:51" x14ac:dyDescent="0.55000000000000004"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</row>
    <row r="50" spans="1:51" x14ac:dyDescent="0.55000000000000004"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</row>
    <row r="51" spans="1:51" x14ac:dyDescent="0.55000000000000004"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</row>
    <row r="52" spans="1:51" x14ac:dyDescent="0.55000000000000004"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</row>
    <row r="53" spans="1:51" x14ac:dyDescent="0.55000000000000004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</row>
    <row r="54" spans="1:51" x14ac:dyDescent="0.55000000000000004"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</row>
    <row r="57" spans="1:51" x14ac:dyDescent="0.55000000000000004">
      <c r="A57" s="6" t="s">
        <v>127</v>
      </c>
      <c r="P57" s="6" t="s">
        <v>128</v>
      </c>
      <c r="AE57" s="6" t="s">
        <v>129</v>
      </c>
    </row>
    <row r="58" spans="1:51" x14ac:dyDescent="0.55000000000000004">
      <c r="A58" s="7" t="s">
        <v>123</v>
      </c>
      <c r="B58" cm="1">
        <f t="array" ref="B58:M58">TRANSPOSE(VOL_原資産)</f>
      </c>
      <c r="P58" s="7" t="s">
        <v>123</v>
      </c>
      <c r="Q58" cm="1">
        <f t="array" ref="Q58:AB58">TRANSPOSE(VOL_原資産)</f>
      </c>
      <c r="AE58" s="7" t="s">
        <v>123</v>
      </c>
      <c r="AF58" cm="1">
        <f t="array" ref="AF58:AQ58">TRANSPOSE(VOL_原資産)</f>
      </c>
    </row>
    <row r="59" spans="1:51" x14ac:dyDescent="0.55000000000000004">
      <c r="A59" cm="1">
        <f t="array" ref="A59:A74">VOL_満期</f>
      </c>
      <c r="B59" s="15" cm="1">
        <f t="array" ref="B59:M74">_xlfn.XLOOKUP(_xlfn.ANCHORARRAY(A59)&amp;"x"&amp;_xlfn.ANCHORARRAY(B58),_xlfn.ANCHORARRAY(VolPCA計算!$D$4),_xlfn.LET(_xlpm.V,_xlfn.DROP(_xlfn.ANCHORARRAY(VolPCA計算!$K$3),1,3),IF(1&lt;=COLUMNS(_xlpm.V),_xlfn.CHOOSECOLS(_xlpm.V,MIN(1,COLUMNS(_xlpm.V))),IF(_xlfn.SEQUENCE(ROWS(_xlpm.V)),NA()))))</f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 cm="1">
        <f t="array" ref="P59:P74">VOL_満期</f>
      </c>
      <c r="Q59" s="15" cm="1">
        <f t="array" ref="Q59:AB74">_xlfn.XLOOKUP(_xlfn.ANCHORARRAY(P59)&amp;"x"&amp;_xlfn.ANCHORARRAY(Q58),_xlfn.ANCHORARRAY(VolPCA計算!$D$4),_xlfn.LET(_xlpm.V,_xlfn.DROP(_xlfn.ANCHORARRAY(VolPCA計算!$K$3),1,3),IF(2&lt;=COLUMNS(_xlpm.V),_xlfn.CHOOSECOLS(_xlpm.V,MIN(2,COLUMNS(_xlpm.V))),IF(_xlfn.SEQUENCE(ROWS(_xlpm.V)),NA()))))</f>
      </c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 cm="1">
        <f t="array" ref="AE59:AE74">VOL_満期</f>
      </c>
      <c r="AF59" s="15" cm="1">
        <f t="array" ref="AF59:AQ74">_xlfn.XLOOKUP(_xlfn.ANCHORARRAY(AE59)&amp;"x"&amp;_xlfn.ANCHORARRAY(AF58),_xlfn.ANCHORARRAY(VolPCA計算!$D$4),_xlfn.LET(_xlpm.V,_xlfn.DROP(_xlfn.ANCHORARRAY(VolPCA計算!$K$3),1,3),IF(3&lt;=COLUMNS(_xlpm.V),_xlfn.CHOOSECOLS(_xlpm.V,MIN(3,COLUMNS(_xlpm.V))),IF(_xlfn.SEQUENCE(ROWS(_xlpm.V)),NA()))))</f>
      </c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</row>
    <row r="60" spans="1:51" x14ac:dyDescent="0.55000000000000004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</row>
    <row r="61" spans="1:51" x14ac:dyDescent="0.55000000000000004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</row>
    <row r="62" spans="1:51" x14ac:dyDescent="0.55000000000000004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</row>
    <row r="63" spans="1:51" x14ac:dyDescent="0.55000000000000004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</row>
    <row r="64" spans="1:51" x14ac:dyDescent="0.55000000000000004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</row>
    <row r="65" spans="1:51" x14ac:dyDescent="0.55000000000000004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</row>
    <row r="66" spans="1:51" x14ac:dyDescent="0.55000000000000004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</row>
    <row r="67" spans="1:51" x14ac:dyDescent="0.55000000000000004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</row>
    <row r="68" spans="1:51" x14ac:dyDescent="0.55000000000000004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</row>
    <row r="69" spans="1:51" x14ac:dyDescent="0.55000000000000004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</row>
    <row r="70" spans="1:51" x14ac:dyDescent="0.55000000000000004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</row>
    <row r="71" spans="1:51" x14ac:dyDescent="0.55000000000000004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</row>
    <row r="72" spans="1:51" x14ac:dyDescent="0.55000000000000004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</row>
    <row r="73" spans="1:51" x14ac:dyDescent="0.55000000000000004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</row>
    <row r="74" spans="1:51" x14ac:dyDescent="0.55000000000000004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</row>
    <row r="75" spans="1:51" x14ac:dyDescent="0.55000000000000004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</row>
    <row r="76" spans="1:51" x14ac:dyDescent="0.55000000000000004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</row>
    <row r="77" spans="1:51" x14ac:dyDescent="0.55000000000000004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</row>
    <row r="78" spans="1:51" x14ac:dyDescent="0.55000000000000004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</row>
  </sheetData>
  <phoneticPr fontId="2"/>
  <conditionalFormatting sqref="B11:U30">
    <cfRule type="colorScale" priority="1">
      <colorScale>
        <cfvo type="min"/>
        <cfvo type="num" val="0"/>
        <cfvo type="max"/>
        <color rgb="FF5A8AC4"/>
        <color rgb="FFFFFFFF"/>
        <color rgb="FFF8696B"/>
      </colorScale>
    </cfRule>
  </conditionalFormatting>
  <conditionalFormatting sqref="B59:U78">
    <cfRule type="colorScale" priority="2">
      <colorScale>
        <cfvo type="min"/>
        <cfvo type="num" val="0"/>
        <cfvo type="max"/>
        <color rgb="FF5A8AC4"/>
        <color rgb="FFFFFFFF"/>
        <color rgb="FFF8696B"/>
      </colorScale>
    </cfRule>
  </conditionalFormatting>
  <conditionalFormatting sqref="Q59:AJ78">
    <cfRule type="colorScale" priority="3">
      <colorScale>
        <cfvo type="min"/>
        <cfvo type="num" val="0"/>
        <cfvo type="max"/>
        <color rgb="FF5A8AC4"/>
        <color rgb="FFFFFFFF"/>
        <color rgb="FFF8696B"/>
      </colorScale>
    </cfRule>
  </conditionalFormatting>
  <conditionalFormatting sqref="AF59:AY78">
    <cfRule type="colorScale" priority="4">
      <colorScale>
        <cfvo type="min"/>
        <cfvo type="num" val="0"/>
        <cfvo type="max"/>
        <color rgb="FF5A8AC4"/>
        <color rgb="FFFFFFFF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4B584-23AF-4E24-80B4-950CF62C3E91}">
  <sheetPr codeName="Sheet7"/>
  <dimension ref="A1:GW400"/>
  <sheetViews>
    <sheetView workbookViewId="0"/>
  </sheetViews>
  <sheetFormatPr defaultRowHeight="18" x14ac:dyDescent="0.55000000000000004"/>
  <cols>
    <col min="1" max="1" width="16.58203125" customWidth="1"/>
    <col min="2" max="2" width="14.58203125" customWidth="1"/>
  </cols>
  <sheetData>
    <row r="1" spans="1:205" ht="22.5" x14ac:dyDescent="0.55000000000000004">
      <c r="A1" s="3" t="s">
        <v>112</v>
      </c>
    </row>
    <row r="2" spans="1:205" x14ac:dyDescent="0.55000000000000004">
      <c r="A2" t="s">
        <v>101</v>
      </c>
      <c r="D2" t="s">
        <v>114</v>
      </c>
      <c r="K2" t="s">
        <v>113</v>
      </c>
    </row>
    <row r="3" spans="1:205" x14ac:dyDescent="0.55000000000000004">
      <c r="A3" cm="1">
        <f t="array" ref="A3:B7">PcaWindow(VOL_銘柄,VOL_モード,VOL_標準化,VOL_window,VOL_推定基準日,VOL_比較日,"vol")</f>
      </c>
      <c r="B3" s="9"/>
      <c r="D3" s="7" t="s">
        <v>78</v>
      </c>
      <c r="E3" s="7" t="s">
        <v>60</v>
      </c>
      <c r="F3" s="7" t="s">
        <v>115</v>
      </c>
      <c r="G3" s="7" t="s">
        <v>116</v>
      </c>
      <c r="H3" s="7" t="s">
        <v>117</v>
      </c>
      <c r="I3" s="7" t="s">
        <v>118</v>
      </c>
      <c r="K3" cm="1">
        <f t="array" ref="K3:GW195">PcaModel(VOL_銘柄,VOL_モード,VOL_標準化,VOL_window,VOL_推定基準日,VOL_比較日,"vol")</f>
      </c>
    </row>
    <row r="4" spans="1:205" x14ac:dyDescent="0.55000000000000004">
      <c r="B4" s="9"/>
      <c r="D4" cm="1">
        <f t="array" ref="D4:D195">_xlfn.DROP(_xlfn.TAKE(_xlfn.ANCHORARRAY(VolPCA計算!$K$3),,1),1)</f>
      </c>
      <c r="E4" s="13" cm="1">
        <f t="array" ref="E4">PcaActual(VOL_銘柄,VOL_モード,VOL_比較日,RealTimeVol!$C$2:$E$401,"vol")</f>
      </c>
      <c r="F4" s="13" cm="1">
        <f t="array" ref="F4:F195">_xlfn.DROP(_xlfn.CHOOSECOLS(_xlfn.ANCHORARRAY(VolPCA計算!$K$3),2),1)</f>
      </c>
      <c r="G4" s="13" cm="1">
        <f t="array" ref="G4:G195">_xlfn.DROP(_xlfn.CHOOSECOLS(_xlfn.ANCHORARRAY(VolPCA計算!$K$3),3),1)</f>
      </c>
      <c r="H4" s="13" cm="1">
        <f t="array" ref="H4:H195">_xlfn.LET(_xlpm.m,_xlfn.ANCHORARRAY(F4),_xlpm.s,_xlfn.ANCHORARRAY(G4),_xlpm.x,_xlfn.ANCHORARRAY(E4),_xlpm.V,_xlfn.TAKE(_xlfn.DROP(_xlfn.ANCHORARRAY(VolPCA計算!$K$3),1,3),,VOL_k),_xlpm.m+_xlpm.s*MMULT(_xlpm.V,MMULT(TRANSPOSE(_xlpm.V),(_xlpm.x-_xlpm.m)/_xlpm.s)))</f>
      </c>
      <c r="I4" s="13" cm="1">
        <f t="array" ref="I4:I195">_xlfn.ANCHORARRAY(E4)-_xlfn.ANCHORARRAY(H4)</f>
      </c>
    </row>
    <row r="5" spans="1:205" x14ac:dyDescent="0.55000000000000004">
      <c r="E5" s="13"/>
      <c r="F5" s="13"/>
      <c r="G5" s="13"/>
      <c r="H5" s="13"/>
      <c r="I5" s="13"/>
    </row>
    <row r="6" spans="1:205" x14ac:dyDescent="0.55000000000000004">
      <c r="E6" s="13"/>
      <c r="F6" s="13"/>
      <c r="G6" s="13"/>
      <c r="H6" s="13"/>
      <c r="I6" s="13"/>
    </row>
    <row r="7" spans="1:205" x14ac:dyDescent="0.55000000000000004">
      <c r="E7" s="13"/>
      <c r="F7" s="13"/>
      <c r="G7" s="13"/>
      <c r="H7" s="13"/>
      <c r="I7" s="13"/>
    </row>
    <row r="8" spans="1:205" x14ac:dyDescent="0.55000000000000004">
      <c r="E8" s="13"/>
      <c r="F8" s="13"/>
      <c r="G8" s="13"/>
      <c r="H8" s="13"/>
      <c r="I8" s="13"/>
    </row>
    <row r="9" spans="1:205" x14ac:dyDescent="0.55000000000000004">
      <c r="A9" t="s">
        <v>102</v>
      </c>
      <c r="E9" s="13"/>
      <c r="F9" s="13"/>
      <c r="G9" s="13"/>
      <c r="H9" s="13"/>
      <c r="I9" s="13"/>
    </row>
    <row r="10" spans="1:205" x14ac:dyDescent="0.55000000000000004">
      <c r="A10" cm="1">
        <f t="array" ref="A10">PcaActualInfo(VOL_銘柄,VOL_モード,VOL_比較日,RealTimeVol!$C$2:$E$401,"vol")</f>
      </c>
      <c r="B10" s="9"/>
      <c r="E10" s="13"/>
      <c r="F10" s="13"/>
      <c r="G10" s="13"/>
      <c r="H10" s="13"/>
      <c r="I10" s="13"/>
    </row>
    <row r="11" spans="1:205" x14ac:dyDescent="0.55000000000000004">
      <c r="E11" s="13"/>
      <c r="F11" s="13"/>
      <c r="G11" s="13"/>
      <c r="H11" s="13"/>
      <c r="I11" s="13"/>
    </row>
    <row r="12" spans="1:205" x14ac:dyDescent="0.55000000000000004">
      <c r="B12" s="9"/>
      <c r="E12" s="13"/>
      <c r="F12" s="13"/>
      <c r="G12" s="13"/>
      <c r="H12" s="13"/>
      <c r="I12" s="13"/>
    </row>
    <row r="13" spans="1:205" x14ac:dyDescent="0.55000000000000004">
      <c r="E13" s="13"/>
      <c r="F13" s="13"/>
      <c r="G13" s="13"/>
      <c r="H13" s="13"/>
      <c r="I13" s="13"/>
    </row>
    <row r="14" spans="1:205" x14ac:dyDescent="0.55000000000000004">
      <c r="E14" s="13"/>
      <c r="F14" s="13"/>
      <c r="G14" s="13"/>
      <c r="H14" s="13"/>
      <c r="I14" s="13"/>
    </row>
    <row r="15" spans="1:205" x14ac:dyDescent="0.55000000000000004">
      <c r="A15" t="s">
        <v>103</v>
      </c>
      <c r="E15" s="13"/>
      <c r="F15" s="13"/>
      <c r="G15" s="13"/>
      <c r="H15" s="13"/>
      <c r="I15" s="13"/>
    </row>
    <row r="16" spans="1:205" x14ac:dyDescent="0.55000000000000004">
      <c r="A16" cm="1">
        <f t="array" ref="A16:B208">PcaEigen(VOL_銘柄,VOL_モード,VOL_標準化,VOL_window,VOL_推定基準日,VOL_比較日,"vol")</f>
      </c>
      <c r="E16" s="13"/>
      <c r="F16" s="13"/>
      <c r="G16" s="13"/>
      <c r="H16" s="13"/>
      <c r="I16" s="13"/>
    </row>
    <row r="17" spans="1:205" x14ac:dyDescent="0.55000000000000004">
      <c r="E17" s="13"/>
      <c r="F17" s="13"/>
      <c r="G17" s="13"/>
      <c r="H17" s="13"/>
      <c r="I17" s="13"/>
    </row>
    <row r="18" spans="1:205" x14ac:dyDescent="0.55000000000000004">
      <c r="E18" s="13"/>
      <c r="F18" s="13"/>
      <c r="G18" s="13"/>
      <c r="H18" s="13"/>
      <c r="I18" s="13"/>
    </row>
    <row r="19" spans="1:205" x14ac:dyDescent="0.55000000000000004">
      <c r="E19" s="13"/>
      <c r="F19" s="13"/>
      <c r="G19" s="13"/>
      <c r="H19" s="13"/>
      <c r="I19" s="13"/>
    </row>
    <row r="20" spans="1:205" x14ac:dyDescent="0.55000000000000004">
      <c r="E20" s="13"/>
      <c r="F20" s="13"/>
      <c r="G20" s="13"/>
      <c r="H20" s="13"/>
      <c r="I20" s="13"/>
    </row>
    <row r="21" spans="1:205" x14ac:dyDescent="0.55000000000000004">
      <c r="E21" s="13"/>
      <c r="F21" s="13"/>
      <c r="G21" s="13"/>
      <c r="H21" s="13"/>
      <c r="I21" s="13"/>
    </row>
    <row r="22" spans="1:205" x14ac:dyDescent="0.55000000000000004">
      <c r="E22" s="13"/>
      <c r="F22" s="13"/>
      <c r="G22" s="13"/>
      <c r="H22" s="13"/>
      <c r="I22" s="13"/>
    </row>
    <row r="23" spans="1:205" x14ac:dyDescent="0.55000000000000004">
      <c r="E23" s="13"/>
      <c r="F23" s="13"/>
      <c r="G23" s="13"/>
      <c r="H23" s="13"/>
      <c r="I23" s="13"/>
    </row>
    <row r="24" spans="1:205" x14ac:dyDescent="0.55000000000000004">
      <c r="E24" s="13"/>
      <c r="F24" s="13"/>
      <c r="G24" s="13"/>
      <c r="H24" s="13"/>
      <c r="I24" s="13"/>
    </row>
    <row r="25" spans="1:205" x14ac:dyDescent="0.55000000000000004">
      <c r="E25" s="13"/>
      <c r="F25" s="13"/>
      <c r="G25" s="13"/>
      <c r="H25" s="13"/>
      <c r="I25" s="13"/>
    </row>
    <row r="26" spans="1:205" x14ac:dyDescent="0.55000000000000004">
      <c r="E26" s="13"/>
      <c r="F26" s="13"/>
      <c r="G26" s="13"/>
      <c r="H26" s="13"/>
      <c r="I26" s="13"/>
    </row>
    <row r="27" spans="1:205" x14ac:dyDescent="0.55000000000000004">
      <c r="E27" s="13"/>
      <c r="F27" s="13"/>
      <c r="G27" s="13"/>
      <c r="H27" s="13"/>
      <c r="I27" s="13"/>
    </row>
    <row r="28" spans="1:205" x14ac:dyDescent="0.55000000000000004">
      <c r="E28" s="13"/>
      <c r="F28" s="13"/>
      <c r="G28" s="13"/>
      <c r="H28" s="13"/>
      <c r="I28" s="13"/>
    </row>
    <row r="29" spans="1:205" x14ac:dyDescent="0.55000000000000004">
      <c r="E29" s="13"/>
      <c r="F29" s="13"/>
      <c r="G29" s="13"/>
      <c r="H29" s="13"/>
      <c r="I29" s="13"/>
    </row>
    <row r="30" spans="1:205" x14ac:dyDescent="0.55000000000000004">
      <c r="E30" s="13"/>
      <c r="F30" s="13"/>
      <c r="G30" s="13"/>
      <c r="H30" s="13"/>
      <c r="I30" s="13"/>
    </row>
    <row r="31" spans="1:205" x14ac:dyDescent="0.55000000000000004">
      <c r="E31" s="13"/>
      <c r="F31" s="13"/>
      <c r="G31" s="13"/>
      <c r="H31" s="13"/>
      <c r="I31" s="13"/>
    </row>
    <row r="32" spans="1:205" x14ac:dyDescent="0.55000000000000004">
      <c r="E32" s="13"/>
      <c r="F32" s="13"/>
      <c r="G32" s="13"/>
      <c r="H32" s="13"/>
      <c r="I32" s="13"/>
    </row>
    <row r="33" spans="1:205" x14ac:dyDescent="0.55000000000000004">
      <c r="E33" s="13"/>
      <c r="F33" s="13"/>
      <c r="G33" s="13"/>
      <c r="H33" s="13"/>
      <c r="I33" s="13"/>
    </row>
    <row r="34" spans="1:205" x14ac:dyDescent="0.55000000000000004">
      <c r="E34" s="13"/>
      <c r="F34" s="13"/>
      <c r="G34" s="13"/>
      <c r="H34" s="13"/>
      <c r="I34" s="13"/>
    </row>
    <row r="35" spans="1:205" x14ac:dyDescent="0.55000000000000004">
      <c r="E35" s="13"/>
      <c r="F35" s="13"/>
      <c r="G35" s="13"/>
      <c r="H35" s="13"/>
      <c r="I35" s="13"/>
    </row>
    <row r="36" spans="1:205" x14ac:dyDescent="0.55000000000000004">
      <c r="E36" s="13"/>
      <c r="F36" s="13"/>
      <c r="G36" s="13"/>
      <c r="H36" s="13"/>
      <c r="I36" s="13"/>
    </row>
    <row r="37" spans="1:205" x14ac:dyDescent="0.55000000000000004">
      <c r="E37" s="13"/>
      <c r="F37" s="13"/>
      <c r="G37" s="13"/>
      <c r="H37" s="13"/>
      <c r="I37" s="13"/>
    </row>
    <row r="38" spans="1:205" x14ac:dyDescent="0.55000000000000004">
      <c r="E38" s="13"/>
      <c r="F38" s="13"/>
      <c r="G38" s="13"/>
      <c r="H38" s="13"/>
      <c r="I38" s="13"/>
    </row>
    <row r="39" spans="1:205" x14ac:dyDescent="0.55000000000000004">
      <c r="E39" s="13"/>
      <c r="F39" s="13"/>
      <c r="G39" s="13"/>
      <c r="H39" s="13"/>
      <c r="I39" s="13"/>
    </row>
    <row r="40" spans="1:205" x14ac:dyDescent="0.55000000000000004">
      <c r="E40" s="13"/>
      <c r="F40" s="13"/>
      <c r="G40" s="13"/>
      <c r="H40" s="13"/>
      <c r="I40" s="13"/>
    </row>
    <row r="41" spans="1:205" x14ac:dyDescent="0.55000000000000004">
      <c r="E41" s="13"/>
      <c r="F41" s="13"/>
      <c r="G41" s="13"/>
      <c r="H41" s="13"/>
      <c r="I41" s="13"/>
    </row>
    <row r="42" spans="1:205" x14ac:dyDescent="0.55000000000000004">
      <c r="E42" s="13"/>
      <c r="F42" s="13"/>
      <c r="G42" s="13"/>
      <c r="H42" s="13"/>
      <c r="I42" s="13"/>
    </row>
    <row r="43" spans="1:205" x14ac:dyDescent="0.55000000000000004">
      <c r="E43" s="13"/>
      <c r="F43" s="13"/>
      <c r="G43" s="13"/>
      <c r="H43" s="13"/>
      <c r="I43" s="13"/>
    </row>
    <row r="44" spans="1:205" x14ac:dyDescent="0.55000000000000004">
      <c r="E44" s="13"/>
      <c r="F44" s="13"/>
      <c r="G44" s="13"/>
      <c r="H44" s="13"/>
      <c r="I44" s="13"/>
    </row>
    <row r="45" spans="1:205" x14ac:dyDescent="0.55000000000000004">
      <c r="E45" s="13"/>
      <c r="F45" s="13"/>
      <c r="G45" s="13"/>
      <c r="H45" s="13"/>
      <c r="I45" s="13"/>
    </row>
    <row r="46" spans="1:205" x14ac:dyDescent="0.55000000000000004">
      <c r="E46" s="13"/>
      <c r="F46" s="13"/>
      <c r="G46" s="13"/>
      <c r="H46" s="13"/>
      <c r="I46" s="13"/>
    </row>
    <row r="47" spans="1:205" x14ac:dyDescent="0.55000000000000004">
      <c r="E47" s="13"/>
      <c r="F47" s="13"/>
      <c r="G47" s="13"/>
      <c r="H47" s="13"/>
      <c r="I47" s="13"/>
    </row>
    <row r="48" spans="1:205" x14ac:dyDescent="0.55000000000000004">
      <c r="E48" s="13"/>
      <c r="F48" s="13"/>
      <c r="G48" s="13"/>
      <c r="H48" s="13"/>
      <c r="I48" s="13"/>
    </row>
    <row r="49" spans="1:205" x14ac:dyDescent="0.55000000000000004">
      <c r="E49" s="13"/>
      <c r="F49" s="13"/>
      <c r="G49" s="13"/>
      <c r="H49" s="13"/>
      <c r="I49" s="13"/>
    </row>
    <row r="50" spans="1:205" x14ac:dyDescent="0.55000000000000004">
      <c r="E50" s="13"/>
      <c r="F50" s="13"/>
      <c r="G50" s="13"/>
      <c r="H50" s="13"/>
      <c r="I50" s="13"/>
    </row>
    <row r="51" spans="1:205" x14ac:dyDescent="0.55000000000000004">
      <c r="E51" s="13"/>
      <c r="F51" s="13"/>
      <c r="G51" s="13"/>
      <c r="H51" s="13"/>
      <c r="I51" s="13"/>
    </row>
    <row r="52" spans="1:205" x14ac:dyDescent="0.55000000000000004">
      <c r="E52" s="13"/>
      <c r="F52" s="13"/>
      <c r="G52" s="13"/>
      <c r="H52" s="13"/>
      <c r="I52" s="13"/>
    </row>
    <row r="53" spans="1:205" x14ac:dyDescent="0.55000000000000004">
      <c r="E53" s="13"/>
      <c r="F53" s="13"/>
      <c r="G53" s="13"/>
      <c r="H53" s="13"/>
      <c r="I53" s="13"/>
    </row>
    <row r="54" spans="1:205" x14ac:dyDescent="0.55000000000000004">
      <c r="E54" s="13"/>
      <c r="F54" s="13"/>
      <c r="G54" s="13"/>
      <c r="H54" s="13"/>
      <c r="I54" s="13"/>
    </row>
    <row r="55" spans="1:205" x14ac:dyDescent="0.55000000000000004">
      <c r="E55" s="13"/>
      <c r="F55" s="13"/>
      <c r="G55" s="13"/>
      <c r="H55" s="13"/>
      <c r="I55" s="13"/>
    </row>
    <row r="56" spans="1:205" x14ac:dyDescent="0.55000000000000004">
      <c r="E56" s="13"/>
      <c r="F56" s="13"/>
      <c r="G56" s="13"/>
      <c r="H56" s="13"/>
      <c r="I56" s="13"/>
    </row>
    <row r="57" spans="1:205" x14ac:dyDescent="0.55000000000000004">
      <c r="E57" s="13"/>
      <c r="F57" s="13"/>
      <c r="G57" s="13"/>
      <c r="H57" s="13"/>
      <c r="I57" s="13"/>
    </row>
    <row r="58" spans="1:205" x14ac:dyDescent="0.55000000000000004">
      <c r="E58" s="13"/>
      <c r="F58" s="13"/>
      <c r="G58" s="13"/>
      <c r="H58" s="13"/>
      <c r="I58" s="13"/>
    </row>
    <row r="59" spans="1:205" x14ac:dyDescent="0.55000000000000004">
      <c r="E59" s="13"/>
      <c r="F59" s="13"/>
      <c r="G59" s="13"/>
      <c r="H59" s="13"/>
      <c r="I59" s="13"/>
    </row>
    <row r="60" spans="1:205" x14ac:dyDescent="0.55000000000000004">
      <c r="E60" s="13"/>
      <c r="F60" s="13"/>
      <c r="G60" s="13"/>
      <c r="H60" s="13"/>
      <c r="I60" s="13"/>
    </row>
    <row r="61" spans="1:205" x14ac:dyDescent="0.55000000000000004">
      <c r="E61" s="13"/>
      <c r="F61" s="13"/>
      <c r="G61" s="13"/>
      <c r="H61" s="13"/>
      <c r="I61" s="13"/>
    </row>
    <row r="62" spans="1:205" x14ac:dyDescent="0.55000000000000004">
      <c r="E62" s="13"/>
      <c r="F62" s="13"/>
      <c r="G62" s="13"/>
      <c r="H62" s="13"/>
      <c r="I62" s="13"/>
    </row>
    <row r="63" spans="1:205" x14ac:dyDescent="0.55000000000000004">
      <c r="E63" s="13"/>
      <c r="F63" s="13"/>
      <c r="G63" s="13"/>
      <c r="H63" s="13"/>
      <c r="I63" s="13"/>
    </row>
    <row r="64" spans="1:205" x14ac:dyDescent="0.55000000000000004">
      <c r="E64" s="13"/>
      <c r="F64" s="13"/>
      <c r="G64" s="13"/>
      <c r="H64" s="13"/>
      <c r="I64" s="13"/>
    </row>
    <row r="65" spans="1:205" x14ac:dyDescent="0.55000000000000004">
      <c r="E65" s="13"/>
      <c r="F65" s="13"/>
      <c r="G65" s="13"/>
      <c r="H65" s="13"/>
      <c r="I65" s="13"/>
    </row>
    <row r="66" spans="1:205" x14ac:dyDescent="0.55000000000000004">
      <c r="E66" s="13"/>
      <c r="F66" s="13"/>
      <c r="G66" s="13"/>
      <c r="H66" s="13"/>
      <c r="I66" s="13"/>
    </row>
    <row r="67" spans="1:205" x14ac:dyDescent="0.55000000000000004">
      <c r="E67" s="13"/>
      <c r="F67" s="13"/>
      <c r="G67" s="13"/>
      <c r="H67" s="13"/>
      <c r="I67" s="13"/>
    </row>
    <row r="68" spans="1:205" x14ac:dyDescent="0.55000000000000004">
      <c r="E68" s="13"/>
      <c r="F68" s="13"/>
      <c r="G68" s="13"/>
      <c r="H68" s="13"/>
      <c r="I68" s="13"/>
    </row>
    <row r="69" spans="1:205" x14ac:dyDescent="0.55000000000000004">
      <c r="E69" s="13"/>
      <c r="F69" s="13"/>
      <c r="G69" s="13"/>
      <c r="H69" s="13"/>
      <c r="I69" s="13"/>
    </row>
    <row r="70" spans="1:205" x14ac:dyDescent="0.55000000000000004">
      <c r="E70" s="13"/>
      <c r="F70" s="13"/>
      <c r="G70" s="13"/>
      <c r="H70" s="13"/>
      <c r="I70" s="13"/>
    </row>
    <row r="71" spans="1:205" x14ac:dyDescent="0.55000000000000004">
      <c r="E71" s="13"/>
      <c r="F71" s="13"/>
      <c r="G71" s="13"/>
      <c r="H71" s="13"/>
      <c r="I71" s="13"/>
    </row>
    <row r="72" spans="1:205" x14ac:dyDescent="0.55000000000000004">
      <c r="E72" s="13"/>
      <c r="F72" s="13"/>
      <c r="G72" s="13"/>
      <c r="H72" s="13"/>
      <c r="I72" s="13"/>
    </row>
    <row r="73" spans="1:205" x14ac:dyDescent="0.55000000000000004">
      <c r="E73" s="13"/>
      <c r="F73" s="13"/>
      <c r="G73" s="13"/>
      <c r="H73" s="13"/>
      <c r="I73" s="13"/>
    </row>
    <row r="74" spans="1:205" x14ac:dyDescent="0.55000000000000004">
      <c r="E74" s="13"/>
      <c r="F74" s="13"/>
      <c r="G74" s="13"/>
      <c r="H74" s="13"/>
      <c r="I74" s="13"/>
    </row>
    <row r="75" spans="1:205" x14ac:dyDescent="0.55000000000000004">
      <c r="E75" s="13"/>
      <c r="F75" s="13"/>
      <c r="G75" s="13"/>
      <c r="H75" s="13"/>
      <c r="I75" s="13"/>
    </row>
    <row r="76" spans="1:205" x14ac:dyDescent="0.55000000000000004">
      <c r="E76" s="13"/>
      <c r="F76" s="13"/>
      <c r="G76" s="13"/>
      <c r="H76" s="13"/>
      <c r="I76" s="13"/>
    </row>
    <row r="77" spans="1:205" x14ac:dyDescent="0.55000000000000004">
      <c r="E77" s="13"/>
      <c r="F77" s="13"/>
      <c r="G77" s="13"/>
      <c r="H77" s="13"/>
      <c r="I77" s="13"/>
    </row>
    <row r="78" spans="1:205" x14ac:dyDescent="0.55000000000000004">
      <c r="E78" s="13"/>
      <c r="F78" s="13"/>
      <c r="G78" s="13"/>
      <c r="H78" s="13"/>
      <c r="I78" s="13"/>
    </row>
    <row r="79" spans="1:205" x14ac:dyDescent="0.55000000000000004">
      <c r="E79" s="13"/>
      <c r="F79" s="13"/>
      <c r="G79" s="13"/>
      <c r="H79" s="13"/>
      <c r="I79" s="13"/>
    </row>
    <row r="80" spans="1:205" x14ac:dyDescent="0.55000000000000004">
      <c r="E80" s="13"/>
      <c r="F80" s="13"/>
      <c r="G80" s="13"/>
      <c r="H80" s="13"/>
      <c r="I80" s="13"/>
    </row>
    <row r="81" spans="1:205" x14ac:dyDescent="0.55000000000000004">
      <c r="E81" s="13"/>
      <c r="F81" s="13"/>
      <c r="G81" s="13"/>
      <c r="H81" s="13"/>
      <c r="I81" s="13"/>
    </row>
    <row r="82" spans="1:205" x14ac:dyDescent="0.55000000000000004">
      <c r="E82" s="13"/>
      <c r="F82" s="13"/>
      <c r="G82" s="13"/>
      <c r="H82" s="13"/>
      <c r="I82" s="13"/>
    </row>
    <row r="83" spans="1:205" x14ac:dyDescent="0.55000000000000004">
      <c r="E83" s="13"/>
      <c r="F83" s="13"/>
      <c r="G83" s="13"/>
      <c r="H83" s="13"/>
      <c r="I83" s="13"/>
    </row>
    <row r="84" spans="1:205" x14ac:dyDescent="0.55000000000000004">
      <c r="E84" s="13"/>
      <c r="F84" s="13"/>
      <c r="G84" s="13"/>
      <c r="H84" s="13"/>
      <c r="I84" s="13"/>
    </row>
    <row r="85" spans="1:205" x14ac:dyDescent="0.55000000000000004">
      <c r="E85" s="13"/>
      <c r="F85" s="13"/>
      <c r="G85" s="13"/>
      <c r="H85" s="13"/>
      <c r="I85" s="13"/>
    </row>
    <row r="86" spans="1:205" x14ac:dyDescent="0.55000000000000004">
      <c r="E86" s="13"/>
      <c r="F86" s="13"/>
      <c r="G86" s="13"/>
      <c r="H86" s="13"/>
      <c r="I86" s="13"/>
    </row>
    <row r="87" spans="1:205" x14ac:dyDescent="0.55000000000000004">
      <c r="E87" s="13"/>
      <c r="F87" s="13"/>
      <c r="G87" s="13"/>
      <c r="H87" s="13"/>
      <c r="I87" s="13"/>
    </row>
    <row r="88" spans="1:205" x14ac:dyDescent="0.55000000000000004">
      <c r="E88" s="13"/>
      <c r="F88" s="13"/>
      <c r="G88" s="13"/>
      <c r="H88" s="13"/>
      <c r="I88" s="13"/>
    </row>
    <row r="89" spans="1:205" x14ac:dyDescent="0.55000000000000004">
      <c r="E89" s="13"/>
      <c r="F89" s="13"/>
      <c r="G89" s="13"/>
      <c r="H89" s="13"/>
      <c r="I89" s="13"/>
    </row>
    <row r="90" spans="1:205" x14ac:dyDescent="0.55000000000000004">
      <c r="E90" s="13"/>
      <c r="F90" s="13"/>
      <c r="G90" s="13"/>
      <c r="H90" s="13"/>
      <c r="I90" s="13"/>
    </row>
    <row r="91" spans="1:205" x14ac:dyDescent="0.55000000000000004">
      <c r="E91" s="13"/>
      <c r="F91" s="13"/>
      <c r="G91" s="13"/>
      <c r="H91" s="13"/>
      <c r="I91" s="13"/>
    </row>
    <row r="92" spans="1:205" x14ac:dyDescent="0.55000000000000004">
      <c r="E92" s="13"/>
      <c r="F92" s="13"/>
      <c r="G92" s="13"/>
      <c r="H92" s="13"/>
      <c r="I92" s="13"/>
    </row>
    <row r="93" spans="1:205" x14ac:dyDescent="0.55000000000000004">
      <c r="E93" s="13"/>
      <c r="F93" s="13"/>
      <c r="G93" s="13"/>
      <c r="H93" s="13"/>
      <c r="I93" s="13"/>
    </row>
    <row r="94" spans="1:205" x14ac:dyDescent="0.55000000000000004">
      <c r="E94" s="13"/>
      <c r="F94" s="13"/>
      <c r="G94" s="13"/>
      <c r="H94" s="13"/>
      <c r="I94" s="13"/>
    </row>
    <row r="95" spans="1:205" x14ac:dyDescent="0.55000000000000004">
      <c r="E95" s="13"/>
      <c r="F95" s="13"/>
      <c r="G95" s="13"/>
      <c r="H95" s="13"/>
      <c r="I95" s="13"/>
    </row>
    <row r="96" spans="1:205" x14ac:dyDescent="0.55000000000000004">
      <c r="E96" s="13"/>
      <c r="F96" s="13"/>
      <c r="G96" s="13"/>
      <c r="H96" s="13"/>
      <c r="I96" s="13"/>
    </row>
    <row r="97" spans="1:205" x14ac:dyDescent="0.55000000000000004">
      <c r="E97" s="13"/>
      <c r="F97" s="13"/>
      <c r="G97" s="13"/>
      <c r="H97" s="13"/>
      <c r="I97" s="13"/>
    </row>
    <row r="98" spans="1:205" x14ac:dyDescent="0.55000000000000004">
      <c r="E98" s="13"/>
      <c r="F98" s="13"/>
      <c r="G98" s="13"/>
      <c r="H98" s="13"/>
      <c r="I98" s="13"/>
    </row>
    <row r="99" spans="1:205" x14ac:dyDescent="0.55000000000000004">
      <c r="E99" s="13"/>
      <c r="F99" s="13"/>
      <c r="G99" s="13"/>
      <c r="H99" s="13"/>
      <c r="I99" s="13"/>
    </row>
    <row r="100" spans="1:205" x14ac:dyDescent="0.55000000000000004">
      <c r="E100" s="13"/>
      <c r="F100" s="13"/>
      <c r="G100" s="13"/>
      <c r="H100" s="13"/>
      <c r="I100" s="13"/>
    </row>
    <row r="101" spans="1:205" x14ac:dyDescent="0.55000000000000004">
      <c r="E101" s="13"/>
      <c r="F101" s="13"/>
      <c r="G101" s="13"/>
      <c r="H101" s="13"/>
      <c r="I101" s="13"/>
    </row>
    <row r="102" spans="1:205" x14ac:dyDescent="0.55000000000000004">
      <c r="E102" s="13"/>
      <c r="F102" s="13"/>
      <c r="G102" s="13"/>
      <c r="H102" s="13"/>
      <c r="I102" s="13"/>
    </row>
    <row r="103" spans="1:205" x14ac:dyDescent="0.55000000000000004">
      <c r="E103" s="13"/>
      <c r="F103" s="13"/>
      <c r="G103" s="13"/>
      <c r="H103" s="13"/>
      <c r="I103" s="13"/>
    </row>
    <row r="104" spans="1:205" x14ac:dyDescent="0.55000000000000004">
      <c r="E104" s="13"/>
      <c r="F104" s="13"/>
      <c r="G104" s="13"/>
      <c r="H104" s="13"/>
      <c r="I104" s="13"/>
    </row>
    <row r="105" spans="1:205" x14ac:dyDescent="0.55000000000000004">
      <c r="E105" s="13"/>
      <c r="F105" s="13"/>
      <c r="G105" s="13"/>
      <c r="H105" s="13"/>
      <c r="I105" s="13"/>
    </row>
    <row r="106" spans="1:205" x14ac:dyDescent="0.55000000000000004">
      <c r="E106" s="13"/>
      <c r="F106" s="13"/>
      <c r="G106" s="13"/>
      <c r="H106" s="13"/>
      <c r="I106" s="13"/>
    </row>
    <row r="107" spans="1:205" x14ac:dyDescent="0.55000000000000004">
      <c r="E107" s="13"/>
      <c r="F107" s="13"/>
      <c r="G107" s="13"/>
      <c r="H107" s="13"/>
      <c r="I107" s="13"/>
    </row>
    <row r="108" spans="1:205" x14ac:dyDescent="0.55000000000000004">
      <c r="E108" s="13"/>
      <c r="F108" s="13"/>
      <c r="G108" s="13"/>
      <c r="H108" s="13"/>
      <c r="I108" s="13"/>
    </row>
    <row r="109" spans="1:205" x14ac:dyDescent="0.55000000000000004">
      <c r="E109" s="13"/>
      <c r="F109" s="13"/>
      <c r="G109" s="13"/>
      <c r="H109" s="13"/>
      <c r="I109" s="13"/>
    </row>
    <row r="110" spans="1:205" x14ac:dyDescent="0.55000000000000004">
      <c r="E110" s="13"/>
      <c r="F110" s="13"/>
      <c r="G110" s="13"/>
      <c r="H110" s="13"/>
      <c r="I110" s="13"/>
    </row>
    <row r="111" spans="1:205" x14ac:dyDescent="0.55000000000000004">
      <c r="E111" s="13"/>
      <c r="F111" s="13"/>
      <c r="G111" s="13"/>
      <c r="H111" s="13"/>
      <c r="I111" s="13"/>
    </row>
    <row r="112" spans="1:205" x14ac:dyDescent="0.55000000000000004">
      <c r="E112" s="13"/>
      <c r="F112" s="13"/>
      <c r="G112" s="13"/>
      <c r="H112" s="13"/>
      <c r="I112" s="13"/>
    </row>
    <row r="113" spans="1:205" x14ac:dyDescent="0.55000000000000004">
      <c r="E113" s="13"/>
      <c r="F113" s="13"/>
      <c r="G113" s="13"/>
      <c r="H113" s="13"/>
      <c r="I113" s="13"/>
    </row>
    <row r="114" spans="1:205" x14ac:dyDescent="0.55000000000000004">
      <c r="E114" s="13"/>
      <c r="F114" s="13"/>
      <c r="G114" s="13"/>
      <c r="H114" s="13"/>
      <c r="I114" s="13"/>
    </row>
    <row r="115" spans="1:205" x14ac:dyDescent="0.55000000000000004">
      <c r="E115" s="13"/>
      <c r="F115" s="13"/>
      <c r="G115" s="13"/>
      <c r="H115" s="13"/>
      <c r="I115" s="13"/>
    </row>
    <row r="116" spans="1:205" x14ac:dyDescent="0.55000000000000004">
      <c r="E116" s="13"/>
      <c r="F116" s="13"/>
      <c r="G116" s="13"/>
      <c r="H116" s="13"/>
      <c r="I116" s="13"/>
    </row>
    <row r="117" spans="1:205" x14ac:dyDescent="0.55000000000000004">
      <c r="E117" s="13"/>
      <c r="F117" s="13"/>
      <c r="G117" s="13"/>
      <c r="H117" s="13"/>
      <c r="I117" s="13"/>
    </row>
    <row r="118" spans="1:205" x14ac:dyDescent="0.55000000000000004">
      <c r="E118" s="13"/>
      <c r="F118" s="13"/>
      <c r="G118" s="13"/>
      <c r="H118" s="13"/>
      <c r="I118" s="13"/>
    </row>
    <row r="119" spans="1:205" x14ac:dyDescent="0.55000000000000004">
      <c r="E119" s="13"/>
      <c r="F119" s="13"/>
      <c r="G119" s="13"/>
      <c r="H119" s="13"/>
      <c r="I119" s="13"/>
    </row>
    <row r="120" spans="1:205" x14ac:dyDescent="0.55000000000000004">
      <c r="E120" s="13"/>
      <c r="F120" s="13"/>
      <c r="G120" s="13"/>
      <c r="H120" s="13"/>
      <c r="I120" s="13"/>
    </row>
    <row r="121" spans="1:205" x14ac:dyDescent="0.55000000000000004">
      <c r="E121" s="13"/>
      <c r="F121" s="13"/>
      <c r="G121" s="13"/>
      <c r="H121" s="13"/>
      <c r="I121" s="13"/>
    </row>
    <row r="122" spans="1:205" x14ac:dyDescent="0.55000000000000004">
      <c r="E122" s="13"/>
      <c r="F122" s="13"/>
      <c r="G122" s="13"/>
      <c r="H122" s="13"/>
      <c r="I122" s="13"/>
    </row>
    <row r="123" spans="1:205" x14ac:dyDescent="0.55000000000000004">
      <c r="E123" s="13"/>
      <c r="F123" s="13"/>
      <c r="G123" s="13"/>
      <c r="H123" s="13"/>
      <c r="I123" s="13"/>
    </row>
    <row r="124" spans="1:205" x14ac:dyDescent="0.55000000000000004">
      <c r="E124" s="13"/>
      <c r="F124" s="13"/>
      <c r="G124" s="13"/>
      <c r="H124" s="13"/>
      <c r="I124" s="13"/>
    </row>
    <row r="125" spans="1:205" x14ac:dyDescent="0.55000000000000004">
      <c r="E125" s="13"/>
      <c r="F125" s="13"/>
      <c r="G125" s="13"/>
      <c r="H125" s="13"/>
      <c r="I125" s="13"/>
    </row>
    <row r="126" spans="1:205" x14ac:dyDescent="0.55000000000000004">
      <c r="E126" s="13"/>
      <c r="F126" s="13"/>
      <c r="G126" s="13"/>
      <c r="H126" s="13"/>
      <c r="I126" s="13"/>
    </row>
    <row r="127" spans="1:205" x14ac:dyDescent="0.55000000000000004">
      <c r="E127" s="13"/>
      <c r="F127" s="13"/>
      <c r="G127" s="13"/>
      <c r="H127" s="13"/>
      <c r="I127" s="13"/>
    </row>
    <row r="128" spans="1:205" x14ac:dyDescent="0.55000000000000004">
      <c r="E128" s="13"/>
      <c r="F128" s="13"/>
      <c r="G128" s="13"/>
      <c r="H128" s="13"/>
      <c r="I128" s="13"/>
    </row>
    <row r="129" spans="1:205" x14ac:dyDescent="0.55000000000000004">
      <c r="E129" s="13"/>
      <c r="F129" s="13"/>
      <c r="G129" s="13"/>
      <c r="H129" s="13"/>
      <c r="I129" s="13"/>
    </row>
    <row r="130" spans="1:205" x14ac:dyDescent="0.55000000000000004">
      <c r="E130" s="13"/>
      <c r="F130" s="13"/>
      <c r="G130" s="13"/>
      <c r="H130" s="13"/>
      <c r="I130" s="13"/>
    </row>
    <row r="131" spans="1:205" x14ac:dyDescent="0.55000000000000004">
      <c r="E131" s="13"/>
      <c r="F131" s="13"/>
      <c r="G131" s="13"/>
      <c r="H131" s="13"/>
      <c r="I131" s="13"/>
    </row>
    <row r="132" spans="1:205" x14ac:dyDescent="0.55000000000000004">
      <c r="E132" s="13"/>
      <c r="F132" s="13"/>
      <c r="G132" s="13"/>
      <c r="H132" s="13"/>
      <c r="I132" s="13"/>
    </row>
    <row r="133" spans="1:205" x14ac:dyDescent="0.55000000000000004">
      <c r="E133" s="13"/>
      <c r="F133" s="13"/>
      <c r="G133" s="13"/>
      <c r="H133" s="13"/>
      <c r="I133" s="13"/>
    </row>
    <row r="134" spans="1:205" x14ac:dyDescent="0.55000000000000004">
      <c r="E134" s="13"/>
      <c r="F134" s="13"/>
      <c r="G134" s="13"/>
      <c r="H134" s="13"/>
      <c r="I134" s="13"/>
    </row>
    <row r="135" spans="1:205" x14ac:dyDescent="0.55000000000000004">
      <c r="E135" s="13"/>
      <c r="F135" s="13"/>
      <c r="G135" s="13"/>
      <c r="H135" s="13"/>
      <c r="I135" s="13"/>
    </row>
    <row r="136" spans="1:205" x14ac:dyDescent="0.55000000000000004">
      <c r="E136" s="13"/>
      <c r="F136" s="13"/>
      <c r="G136" s="13"/>
      <c r="H136" s="13"/>
      <c r="I136" s="13"/>
    </row>
    <row r="137" spans="1:205" x14ac:dyDescent="0.55000000000000004">
      <c r="E137" s="13"/>
      <c r="F137" s="13"/>
      <c r="G137" s="13"/>
      <c r="H137" s="13"/>
      <c r="I137" s="13"/>
    </row>
    <row r="138" spans="1:205" x14ac:dyDescent="0.55000000000000004">
      <c r="E138" s="13"/>
      <c r="F138" s="13"/>
      <c r="G138" s="13"/>
      <c r="H138" s="13"/>
      <c r="I138" s="13"/>
    </row>
    <row r="139" spans="1:205" x14ac:dyDescent="0.55000000000000004">
      <c r="E139" s="13"/>
      <c r="F139" s="13"/>
      <c r="G139" s="13"/>
      <c r="H139" s="13"/>
      <c r="I139" s="13"/>
    </row>
    <row r="140" spans="1:205" x14ac:dyDescent="0.55000000000000004">
      <c r="E140" s="13"/>
      <c r="F140" s="13"/>
      <c r="G140" s="13"/>
      <c r="H140" s="13"/>
      <c r="I140" s="13"/>
    </row>
    <row r="141" spans="1:205" x14ac:dyDescent="0.55000000000000004">
      <c r="E141" s="13"/>
      <c r="F141" s="13"/>
      <c r="G141" s="13"/>
      <c r="H141" s="13"/>
      <c r="I141" s="13"/>
    </row>
    <row r="142" spans="1:205" x14ac:dyDescent="0.55000000000000004">
      <c r="E142" s="13"/>
      <c r="F142" s="13"/>
      <c r="G142" s="13"/>
      <c r="H142" s="13"/>
      <c r="I142" s="13"/>
    </row>
    <row r="143" spans="1:205" x14ac:dyDescent="0.55000000000000004">
      <c r="E143" s="13"/>
      <c r="F143" s="13"/>
      <c r="G143" s="13"/>
      <c r="H143" s="13"/>
      <c r="I143" s="13"/>
    </row>
    <row r="144" spans="1:205" x14ac:dyDescent="0.55000000000000004">
      <c r="E144" s="13"/>
      <c r="F144" s="13"/>
      <c r="G144" s="13"/>
      <c r="H144" s="13"/>
      <c r="I144" s="13"/>
    </row>
    <row r="145" spans="1:205" x14ac:dyDescent="0.55000000000000004">
      <c r="E145" s="13"/>
      <c r="F145" s="13"/>
      <c r="G145" s="13"/>
      <c r="H145" s="13"/>
      <c r="I145" s="13"/>
    </row>
    <row r="146" spans="1:205" x14ac:dyDescent="0.55000000000000004">
      <c r="E146" s="13"/>
      <c r="F146" s="13"/>
      <c r="G146" s="13"/>
      <c r="H146" s="13"/>
      <c r="I146" s="13"/>
    </row>
    <row r="147" spans="1:205" x14ac:dyDescent="0.55000000000000004">
      <c r="E147" s="13"/>
      <c r="F147" s="13"/>
      <c r="G147" s="13"/>
      <c r="H147" s="13"/>
      <c r="I147" s="13"/>
    </row>
    <row r="148" spans="1:205" x14ac:dyDescent="0.55000000000000004">
      <c r="E148" s="13"/>
      <c r="F148" s="13"/>
      <c r="G148" s="13"/>
      <c r="H148" s="13"/>
      <c r="I148" s="13"/>
    </row>
    <row r="149" spans="1:205" x14ac:dyDescent="0.55000000000000004">
      <c r="E149" s="13"/>
      <c r="F149" s="13"/>
      <c r="G149" s="13"/>
      <c r="H149" s="13"/>
      <c r="I149" s="13"/>
    </row>
    <row r="150" spans="1:205" x14ac:dyDescent="0.55000000000000004">
      <c r="E150" s="13"/>
      <c r="F150" s="13"/>
      <c r="G150" s="13"/>
      <c r="H150" s="13"/>
      <c r="I150" s="13"/>
    </row>
    <row r="151" spans="1:205" x14ac:dyDescent="0.55000000000000004">
      <c r="E151" s="13"/>
      <c r="F151" s="13"/>
      <c r="G151" s="13"/>
      <c r="H151" s="13"/>
      <c r="I151" s="13"/>
    </row>
    <row r="152" spans="1:205" x14ac:dyDescent="0.55000000000000004">
      <c r="E152" s="13"/>
      <c r="F152" s="13"/>
      <c r="G152" s="13"/>
      <c r="H152" s="13"/>
      <c r="I152" s="13"/>
    </row>
    <row r="153" spans="1:205" x14ac:dyDescent="0.55000000000000004">
      <c r="E153" s="13"/>
      <c r="F153" s="13"/>
      <c r="G153" s="13"/>
      <c r="H153" s="13"/>
      <c r="I153" s="13"/>
    </row>
    <row r="154" spans="1:205" x14ac:dyDescent="0.55000000000000004">
      <c r="E154" s="13"/>
      <c r="F154" s="13"/>
      <c r="G154" s="13"/>
      <c r="H154" s="13"/>
      <c r="I154" s="13"/>
    </row>
    <row r="155" spans="1:205" x14ac:dyDescent="0.55000000000000004">
      <c r="E155" s="13"/>
      <c r="F155" s="13"/>
      <c r="G155" s="13"/>
      <c r="H155" s="13"/>
      <c r="I155" s="13"/>
    </row>
    <row r="156" spans="1:205" x14ac:dyDescent="0.55000000000000004">
      <c r="E156" s="13"/>
      <c r="F156" s="13"/>
      <c r="G156" s="13"/>
      <c r="H156" s="13"/>
      <c r="I156" s="13"/>
    </row>
    <row r="157" spans="1:205" x14ac:dyDescent="0.55000000000000004">
      <c r="E157" s="13"/>
      <c r="F157" s="13"/>
      <c r="G157" s="13"/>
      <c r="H157" s="13"/>
      <c r="I157" s="13"/>
    </row>
    <row r="158" spans="1:205" x14ac:dyDescent="0.55000000000000004">
      <c r="E158" s="13"/>
      <c r="F158" s="13"/>
      <c r="G158" s="13"/>
      <c r="H158" s="13"/>
      <c r="I158" s="13"/>
    </row>
    <row r="159" spans="1:205" x14ac:dyDescent="0.55000000000000004">
      <c r="E159" s="13"/>
      <c r="F159" s="13"/>
      <c r="G159" s="13"/>
      <c r="H159" s="13"/>
      <c r="I159" s="13"/>
    </row>
    <row r="160" spans="1:205" x14ac:dyDescent="0.55000000000000004">
      <c r="E160" s="13"/>
      <c r="F160" s="13"/>
      <c r="G160" s="13"/>
      <c r="H160" s="13"/>
      <c r="I160" s="13"/>
    </row>
    <row r="161" spans="1:205" x14ac:dyDescent="0.55000000000000004">
      <c r="E161" s="13"/>
      <c r="F161" s="13"/>
      <c r="G161" s="13"/>
      <c r="H161" s="13"/>
      <c r="I161" s="13"/>
    </row>
    <row r="162" spans="1:205" x14ac:dyDescent="0.55000000000000004">
      <c r="E162" s="13"/>
      <c r="F162" s="13"/>
      <c r="G162" s="13"/>
      <c r="H162" s="13"/>
      <c r="I162" s="13"/>
    </row>
    <row r="163" spans="1:205" x14ac:dyDescent="0.55000000000000004">
      <c r="E163" s="13"/>
      <c r="F163" s="13"/>
      <c r="G163" s="13"/>
      <c r="H163" s="13"/>
      <c r="I163" s="13"/>
    </row>
    <row r="164" spans="1:205" x14ac:dyDescent="0.55000000000000004">
      <c r="E164" s="13"/>
      <c r="F164" s="13"/>
      <c r="G164" s="13"/>
      <c r="H164" s="13"/>
      <c r="I164" s="13"/>
    </row>
    <row r="165" spans="1:205" x14ac:dyDescent="0.55000000000000004">
      <c r="E165" s="13"/>
      <c r="F165" s="13"/>
      <c r="G165" s="13"/>
      <c r="H165" s="13"/>
      <c r="I165" s="13"/>
    </row>
    <row r="166" spans="1:205" x14ac:dyDescent="0.55000000000000004">
      <c r="E166" s="13"/>
      <c r="F166" s="13"/>
      <c r="G166" s="13"/>
      <c r="H166" s="13"/>
      <c r="I166" s="13"/>
    </row>
    <row r="167" spans="1:205" x14ac:dyDescent="0.55000000000000004">
      <c r="E167" s="13"/>
      <c r="F167" s="13"/>
      <c r="G167" s="13"/>
      <c r="H167" s="13"/>
      <c r="I167" s="13"/>
    </row>
    <row r="168" spans="1:205" x14ac:dyDescent="0.55000000000000004">
      <c r="E168" s="13"/>
      <c r="F168" s="13"/>
      <c r="G168" s="13"/>
      <c r="H168" s="13"/>
      <c r="I168" s="13"/>
    </row>
    <row r="169" spans="1:205" x14ac:dyDescent="0.55000000000000004">
      <c r="E169" s="13"/>
      <c r="F169" s="13"/>
      <c r="G169" s="13"/>
      <c r="H169" s="13"/>
      <c r="I169" s="13"/>
    </row>
    <row r="170" spans="1:205" x14ac:dyDescent="0.55000000000000004">
      <c r="E170" s="13"/>
      <c r="F170" s="13"/>
      <c r="G170" s="13"/>
      <c r="H170" s="13"/>
      <c r="I170" s="13"/>
    </row>
    <row r="171" spans="1:205" x14ac:dyDescent="0.55000000000000004">
      <c r="E171" s="13"/>
      <c r="F171" s="13"/>
      <c r="G171" s="13"/>
      <c r="H171" s="13"/>
      <c r="I171" s="13"/>
    </row>
    <row r="172" spans="1:205" x14ac:dyDescent="0.55000000000000004">
      <c r="E172" s="13"/>
      <c r="F172" s="13"/>
      <c r="G172" s="13"/>
      <c r="H172" s="13"/>
      <c r="I172" s="13"/>
    </row>
    <row r="173" spans="1:205" x14ac:dyDescent="0.55000000000000004">
      <c r="E173" s="13"/>
      <c r="F173" s="13"/>
      <c r="G173" s="13"/>
      <c r="H173" s="13"/>
      <c r="I173" s="13"/>
    </row>
    <row r="174" spans="1:205" x14ac:dyDescent="0.55000000000000004">
      <c r="E174" s="13"/>
      <c r="F174" s="13"/>
      <c r="G174" s="13"/>
      <c r="H174" s="13"/>
      <c r="I174" s="13"/>
    </row>
    <row r="175" spans="1:205" x14ac:dyDescent="0.55000000000000004">
      <c r="E175" s="13"/>
      <c r="F175" s="13"/>
      <c r="G175" s="13"/>
      <c r="H175" s="13"/>
      <c r="I175" s="13"/>
    </row>
    <row r="176" spans="1:205" x14ac:dyDescent="0.55000000000000004">
      <c r="E176" s="13"/>
      <c r="F176" s="13"/>
      <c r="G176" s="13"/>
      <c r="H176" s="13"/>
      <c r="I176" s="13"/>
    </row>
    <row r="177" spans="1:205" x14ac:dyDescent="0.55000000000000004">
      <c r="E177" s="13"/>
      <c r="F177" s="13"/>
      <c r="G177" s="13"/>
      <c r="H177" s="13"/>
      <c r="I177" s="13"/>
    </row>
    <row r="178" spans="1:205" x14ac:dyDescent="0.55000000000000004">
      <c r="E178" s="13"/>
      <c r="F178" s="13"/>
      <c r="G178" s="13"/>
      <c r="H178" s="13"/>
      <c r="I178" s="13"/>
    </row>
    <row r="179" spans="1:205" x14ac:dyDescent="0.55000000000000004">
      <c r="E179" s="13"/>
      <c r="F179" s="13"/>
      <c r="G179" s="13"/>
      <c r="H179" s="13"/>
      <c r="I179" s="13"/>
    </row>
    <row r="180" spans="1:205" x14ac:dyDescent="0.55000000000000004">
      <c r="E180" s="13"/>
      <c r="F180" s="13"/>
      <c r="G180" s="13"/>
      <c r="H180" s="13"/>
      <c r="I180" s="13"/>
    </row>
    <row r="181" spans="1:205" x14ac:dyDescent="0.55000000000000004">
      <c r="E181" s="13"/>
      <c r="F181" s="13"/>
      <c r="G181" s="13"/>
      <c r="H181" s="13"/>
      <c r="I181" s="13"/>
    </row>
    <row r="182" spans="1:205" x14ac:dyDescent="0.55000000000000004">
      <c r="E182" s="13"/>
      <c r="F182" s="13"/>
      <c r="G182" s="13"/>
      <c r="H182" s="13"/>
      <c r="I182" s="13"/>
    </row>
    <row r="183" spans="1:205" x14ac:dyDescent="0.55000000000000004">
      <c r="E183" s="13"/>
      <c r="F183" s="13"/>
      <c r="G183" s="13"/>
      <c r="H183" s="13"/>
      <c r="I183" s="13"/>
    </row>
    <row r="184" spans="1:205" x14ac:dyDescent="0.55000000000000004">
      <c r="E184" s="13"/>
      <c r="F184" s="13"/>
      <c r="G184" s="13"/>
      <c r="H184" s="13"/>
      <c r="I184" s="13"/>
    </row>
    <row r="185" spans="1:205" x14ac:dyDescent="0.55000000000000004">
      <c r="E185" s="13"/>
      <c r="F185" s="13"/>
      <c r="G185" s="13"/>
      <c r="H185" s="13"/>
      <c r="I185" s="13"/>
    </row>
    <row r="186" spans="1:205" x14ac:dyDescent="0.55000000000000004">
      <c r="E186" s="13"/>
      <c r="F186" s="13"/>
      <c r="G186" s="13"/>
      <c r="H186" s="13"/>
      <c r="I186" s="13"/>
    </row>
    <row r="187" spans="1:205" x14ac:dyDescent="0.55000000000000004">
      <c r="E187" s="13"/>
      <c r="F187" s="13"/>
      <c r="G187" s="13"/>
      <c r="H187" s="13"/>
      <c r="I187" s="13"/>
    </row>
    <row r="188" spans="1:205" x14ac:dyDescent="0.55000000000000004">
      <c r="E188" s="13"/>
      <c r="F188" s="13"/>
      <c r="G188" s="13"/>
      <c r="H188" s="13"/>
      <c r="I188" s="13"/>
    </row>
    <row r="189" spans="1:205" x14ac:dyDescent="0.55000000000000004">
      <c r="E189" s="13"/>
      <c r="F189" s="13"/>
      <c r="G189" s="13"/>
      <c r="H189" s="13"/>
      <c r="I189" s="13"/>
    </row>
    <row r="190" spans="1:205" x14ac:dyDescent="0.55000000000000004">
      <c r="E190" s="13"/>
      <c r="F190" s="13"/>
      <c r="G190" s="13"/>
      <c r="H190" s="13"/>
      <c r="I190" s="13"/>
    </row>
    <row r="191" spans="1:205" x14ac:dyDescent="0.55000000000000004">
      <c r="E191" s="13"/>
      <c r="F191" s="13"/>
      <c r="G191" s="13"/>
      <c r="H191" s="13"/>
      <c r="I191" s="13"/>
    </row>
    <row r="192" spans="1:205" x14ac:dyDescent="0.55000000000000004">
      <c r="E192" s="13"/>
      <c r="F192" s="13"/>
      <c r="G192" s="13"/>
      <c r="H192" s="13"/>
      <c r="I192" s="13"/>
    </row>
    <row r="193" spans="1:205" x14ac:dyDescent="0.55000000000000004">
      <c r="E193" s="13"/>
      <c r="F193" s="13"/>
      <c r="G193" s="13"/>
      <c r="H193" s="13"/>
      <c r="I193" s="13"/>
    </row>
    <row r="194" spans="1:205" x14ac:dyDescent="0.55000000000000004">
      <c r="E194" s="13"/>
      <c r="F194" s="13"/>
      <c r="G194" s="13"/>
      <c r="H194" s="13"/>
      <c r="I194" s="13"/>
    </row>
    <row r="195" spans="1:205" x14ac:dyDescent="0.55000000000000004">
      <c r="E195" s="13"/>
      <c r="F195" s="13"/>
      <c r="G195" s="13"/>
      <c r="H195" s="13"/>
      <c r="I195" s="13"/>
    </row>
    <row r="196" spans="1:205" x14ac:dyDescent="0.55000000000000004">
      <c r="E196" s="13"/>
      <c r="F196" s="13"/>
      <c r="G196" s="13"/>
      <c r="H196" s="13"/>
      <c r="I196" s="13"/>
    </row>
    <row r="197" spans="1:205" x14ac:dyDescent="0.55000000000000004">
      <c r="E197" s="13"/>
      <c r="F197" s="13"/>
      <c r="G197" s="13"/>
      <c r="H197" s="13"/>
      <c r="I197" s="13"/>
    </row>
    <row r="198" spans="1:205" x14ac:dyDescent="0.55000000000000004">
      <c r="E198" s="13"/>
      <c r="F198" s="13"/>
      <c r="G198" s="13"/>
      <c r="H198" s="13"/>
      <c r="I198" s="13"/>
    </row>
    <row r="199" spans="1:205" x14ac:dyDescent="0.55000000000000004">
      <c r="E199" s="13"/>
      <c r="F199" s="13"/>
      <c r="G199" s="13"/>
      <c r="H199" s="13"/>
      <c r="I199" s="13"/>
    </row>
    <row r="200" spans="1:205" x14ac:dyDescent="0.55000000000000004">
      <c r="E200" s="13"/>
      <c r="F200" s="13"/>
      <c r="G200" s="13"/>
      <c r="H200" s="13"/>
      <c r="I200" s="13"/>
    </row>
    <row r="201" spans="1:205" x14ac:dyDescent="0.55000000000000004">
      <c r="E201" s="13"/>
      <c r="F201" s="13"/>
      <c r="G201" s="13"/>
      <c r="H201" s="13"/>
      <c r="I201" s="13"/>
    </row>
    <row r="202" spans="1:205" x14ac:dyDescent="0.55000000000000004">
      <c r="E202" s="13"/>
      <c r="F202" s="13"/>
      <c r="G202" s="13"/>
      <c r="H202" s="13"/>
      <c r="I202" s="13"/>
    </row>
    <row r="203" spans="1:205" x14ac:dyDescent="0.55000000000000004">
      <c r="E203" s="13"/>
      <c r="F203" s="13"/>
      <c r="G203" s="13"/>
      <c r="H203" s="13"/>
      <c r="I203" s="13"/>
    </row>
    <row r="204" spans="1:205" x14ac:dyDescent="0.55000000000000004">
      <c r="E204" s="13"/>
      <c r="F204" s="13"/>
      <c r="G204" s="13"/>
      <c r="H204" s="13"/>
      <c r="I204" s="13"/>
    </row>
    <row r="205" spans="1:205" x14ac:dyDescent="0.55000000000000004">
      <c r="E205" s="13"/>
      <c r="F205" s="13"/>
      <c r="G205" s="13"/>
      <c r="H205" s="13"/>
      <c r="I205" s="13"/>
    </row>
    <row r="206" spans="1:205" x14ac:dyDescent="0.55000000000000004">
      <c r="E206" s="13"/>
      <c r="F206" s="13"/>
      <c r="G206" s="13"/>
      <c r="H206" s="13"/>
      <c r="I206" s="13"/>
    </row>
    <row r="207" spans="1:205" x14ac:dyDescent="0.55000000000000004">
      <c r="E207" s="13"/>
      <c r="F207" s="13"/>
      <c r="G207" s="13"/>
      <c r="H207" s="13"/>
      <c r="I207" s="13"/>
    </row>
    <row r="208" spans="1:205" x14ac:dyDescent="0.55000000000000004">
      <c r="E208" s="13"/>
      <c r="F208" s="13"/>
      <c r="G208" s="13"/>
      <c r="H208" s="13"/>
      <c r="I208" s="13"/>
    </row>
    <row r="209" spans="5:9" x14ac:dyDescent="0.55000000000000004">
      <c r="E209" s="13"/>
      <c r="F209" s="13"/>
      <c r="G209" s="13"/>
      <c r="H209" s="13"/>
      <c r="I209" s="13"/>
    </row>
    <row r="210" spans="5:9" x14ac:dyDescent="0.55000000000000004">
      <c r="E210" s="13"/>
      <c r="F210" s="13"/>
      <c r="G210" s="13"/>
      <c r="H210" s="13"/>
      <c r="I210" s="13"/>
    </row>
    <row r="211" spans="5:9" x14ac:dyDescent="0.55000000000000004">
      <c r="E211" s="13"/>
      <c r="F211" s="13"/>
      <c r="G211" s="13"/>
      <c r="H211" s="13"/>
      <c r="I211" s="13"/>
    </row>
    <row r="212" spans="5:9" x14ac:dyDescent="0.55000000000000004">
      <c r="E212" s="13"/>
      <c r="F212" s="13"/>
      <c r="G212" s="13"/>
      <c r="H212" s="13"/>
      <c r="I212" s="13"/>
    </row>
    <row r="213" spans="5:9" x14ac:dyDescent="0.55000000000000004">
      <c r="E213" s="13"/>
      <c r="F213" s="13"/>
      <c r="G213" s="13"/>
      <c r="H213" s="13"/>
      <c r="I213" s="13"/>
    </row>
    <row r="214" spans="5:9" x14ac:dyDescent="0.55000000000000004">
      <c r="E214" s="13"/>
      <c r="F214" s="13"/>
      <c r="G214" s="13"/>
      <c r="H214" s="13"/>
      <c r="I214" s="13"/>
    </row>
    <row r="215" spans="5:9" x14ac:dyDescent="0.55000000000000004">
      <c r="E215" s="13"/>
      <c r="F215" s="13"/>
      <c r="G215" s="13"/>
      <c r="H215" s="13"/>
      <c r="I215" s="13"/>
    </row>
    <row r="216" spans="5:9" x14ac:dyDescent="0.55000000000000004">
      <c r="E216" s="13"/>
      <c r="F216" s="13"/>
      <c r="G216" s="13"/>
      <c r="H216" s="13"/>
      <c r="I216" s="13"/>
    </row>
    <row r="217" spans="5:9" x14ac:dyDescent="0.55000000000000004">
      <c r="E217" s="13"/>
      <c r="F217" s="13"/>
      <c r="G217" s="13"/>
      <c r="H217" s="13"/>
      <c r="I217" s="13"/>
    </row>
    <row r="218" spans="5:9" x14ac:dyDescent="0.55000000000000004">
      <c r="E218" s="13"/>
      <c r="F218" s="13"/>
      <c r="G218" s="13"/>
      <c r="H218" s="13"/>
      <c r="I218" s="13"/>
    </row>
    <row r="219" spans="5:9" x14ac:dyDescent="0.55000000000000004">
      <c r="E219" s="13"/>
      <c r="F219" s="13"/>
      <c r="G219" s="13"/>
      <c r="H219" s="13"/>
      <c r="I219" s="13"/>
    </row>
    <row r="220" spans="5:9" x14ac:dyDescent="0.55000000000000004">
      <c r="E220" s="13"/>
      <c r="F220" s="13"/>
      <c r="G220" s="13"/>
      <c r="H220" s="13"/>
      <c r="I220" s="13"/>
    </row>
    <row r="221" spans="5:9" x14ac:dyDescent="0.55000000000000004">
      <c r="E221" s="13"/>
      <c r="F221" s="13"/>
      <c r="G221" s="13"/>
      <c r="H221" s="13"/>
      <c r="I221" s="13"/>
    </row>
    <row r="222" spans="5:9" x14ac:dyDescent="0.55000000000000004">
      <c r="E222" s="13"/>
      <c r="F222" s="13"/>
      <c r="G222" s="13"/>
      <c r="H222" s="13"/>
      <c r="I222" s="13"/>
    </row>
    <row r="223" spans="5:9" x14ac:dyDescent="0.55000000000000004">
      <c r="E223" s="13"/>
      <c r="F223" s="13"/>
      <c r="G223" s="13"/>
      <c r="H223" s="13"/>
      <c r="I223" s="13"/>
    </row>
    <row r="224" spans="5:9" x14ac:dyDescent="0.55000000000000004">
      <c r="E224" s="13"/>
      <c r="F224" s="13"/>
      <c r="G224" s="13"/>
      <c r="H224" s="13"/>
      <c r="I224" s="13"/>
    </row>
    <row r="225" spans="5:9" x14ac:dyDescent="0.55000000000000004">
      <c r="E225" s="13"/>
      <c r="F225" s="13"/>
      <c r="G225" s="13"/>
      <c r="H225" s="13"/>
      <c r="I225" s="13"/>
    </row>
    <row r="226" spans="5:9" x14ac:dyDescent="0.55000000000000004">
      <c r="E226" s="13"/>
      <c r="F226" s="13"/>
      <c r="G226" s="13"/>
      <c r="H226" s="13"/>
      <c r="I226" s="13"/>
    </row>
    <row r="227" spans="5:9" x14ac:dyDescent="0.55000000000000004">
      <c r="E227" s="13"/>
      <c r="F227" s="13"/>
      <c r="G227" s="13"/>
      <c r="H227" s="13"/>
      <c r="I227" s="13"/>
    </row>
    <row r="228" spans="5:9" x14ac:dyDescent="0.55000000000000004">
      <c r="E228" s="13"/>
      <c r="F228" s="13"/>
      <c r="G228" s="13"/>
      <c r="H228" s="13"/>
      <c r="I228" s="13"/>
    </row>
    <row r="229" spans="5:9" x14ac:dyDescent="0.55000000000000004">
      <c r="E229" s="13"/>
      <c r="F229" s="13"/>
      <c r="G229" s="13"/>
      <c r="H229" s="13"/>
      <c r="I229" s="13"/>
    </row>
    <row r="230" spans="5:9" x14ac:dyDescent="0.55000000000000004">
      <c r="E230" s="13"/>
      <c r="F230" s="13"/>
      <c r="G230" s="13"/>
      <c r="H230" s="13"/>
      <c r="I230" s="13"/>
    </row>
    <row r="231" spans="5:9" x14ac:dyDescent="0.55000000000000004">
      <c r="E231" s="13"/>
      <c r="F231" s="13"/>
      <c r="G231" s="13"/>
      <c r="H231" s="13"/>
      <c r="I231" s="13"/>
    </row>
    <row r="232" spans="5:9" x14ac:dyDescent="0.55000000000000004">
      <c r="E232" s="13"/>
      <c r="F232" s="13"/>
      <c r="G232" s="13"/>
      <c r="H232" s="13"/>
      <c r="I232" s="13"/>
    </row>
    <row r="233" spans="5:9" x14ac:dyDescent="0.55000000000000004">
      <c r="E233" s="13"/>
      <c r="F233" s="13"/>
      <c r="G233" s="13"/>
      <c r="H233" s="13"/>
      <c r="I233" s="13"/>
    </row>
    <row r="234" spans="5:9" x14ac:dyDescent="0.55000000000000004">
      <c r="E234" s="13"/>
      <c r="F234" s="13"/>
      <c r="G234" s="13"/>
      <c r="H234" s="13"/>
      <c r="I234" s="13"/>
    </row>
    <row r="235" spans="5:9" x14ac:dyDescent="0.55000000000000004">
      <c r="E235" s="13"/>
      <c r="F235" s="13"/>
      <c r="G235" s="13"/>
      <c r="H235" s="13"/>
      <c r="I235" s="13"/>
    </row>
    <row r="236" spans="5:9" x14ac:dyDescent="0.55000000000000004">
      <c r="E236" s="13"/>
      <c r="F236" s="13"/>
      <c r="G236" s="13"/>
      <c r="H236" s="13"/>
      <c r="I236" s="13"/>
    </row>
    <row r="237" spans="5:9" x14ac:dyDescent="0.55000000000000004">
      <c r="E237" s="13"/>
      <c r="F237" s="13"/>
      <c r="G237" s="13"/>
      <c r="H237" s="13"/>
      <c r="I237" s="13"/>
    </row>
    <row r="238" spans="5:9" x14ac:dyDescent="0.55000000000000004">
      <c r="E238" s="13"/>
      <c r="F238" s="13"/>
      <c r="G238" s="13"/>
      <c r="H238" s="13"/>
      <c r="I238" s="13"/>
    </row>
    <row r="239" spans="5:9" x14ac:dyDescent="0.55000000000000004">
      <c r="E239" s="13"/>
      <c r="F239" s="13"/>
      <c r="G239" s="13"/>
      <c r="H239" s="13"/>
      <c r="I239" s="13"/>
    </row>
    <row r="240" spans="5:9" x14ac:dyDescent="0.55000000000000004">
      <c r="E240" s="13"/>
      <c r="F240" s="13"/>
      <c r="G240" s="13"/>
      <c r="H240" s="13"/>
      <c r="I240" s="13"/>
    </row>
    <row r="241" spans="5:9" x14ac:dyDescent="0.55000000000000004">
      <c r="E241" s="13"/>
      <c r="F241" s="13"/>
      <c r="G241" s="13"/>
      <c r="H241" s="13"/>
      <c r="I241" s="13"/>
    </row>
    <row r="242" spans="5:9" x14ac:dyDescent="0.55000000000000004">
      <c r="E242" s="13"/>
      <c r="F242" s="13"/>
      <c r="G242" s="13"/>
      <c r="H242" s="13"/>
      <c r="I242" s="13"/>
    </row>
    <row r="243" spans="5:9" x14ac:dyDescent="0.55000000000000004">
      <c r="E243" s="13"/>
      <c r="F243" s="13"/>
      <c r="G243" s="13"/>
      <c r="H243" s="13"/>
      <c r="I243" s="13"/>
    </row>
    <row r="244" spans="5:9" x14ac:dyDescent="0.55000000000000004">
      <c r="E244" s="13"/>
      <c r="F244" s="13"/>
      <c r="G244" s="13"/>
      <c r="H244" s="13"/>
      <c r="I244" s="13"/>
    </row>
    <row r="245" spans="5:9" x14ac:dyDescent="0.55000000000000004">
      <c r="E245" s="13"/>
      <c r="F245" s="13"/>
      <c r="G245" s="13"/>
      <c r="H245" s="13"/>
      <c r="I245" s="13"/>
    </row>
    <row r="246" spans="5:9" x14ac:dyDescent="0.55000000000000004">
      <c r="E246" s="13"/>
      <c r="F246" s="13"/>
      <c r="G246" s="13"/>
      <c r="H246" s="13"/>
      <c r="I246" s="13"/>
    </row>
    <row r="247" spans="5:9" x14ac:dyDescent="0.55000000000000004">
      <c r="E247" s="13"/>
      <c r="F247" s="13"/>
      <c r="G247" s="13"/>
      <c r="H247" s="13"/>
      <c r="I247" s="13"/>
    </row>
    <row r="248" spans="5:9" x14ac:dyDescent="0.55000000000000004">
      <c r="E248" s="13"/>
      <c r="F248" s="13"/>
      <c r="G248" s="13"/>
      <c r="H248" s="13"/>
      <c r="I248" s="13"/>
    </row>
    <row r="249" spans="5:9" x14ac:dyDescent="0.55000000000000004">
      <c r="E249" s="13"/>
      <c r="F249" s="13"/>
      <c r="G249" s="13"/>
      <c r="H249" s="13"/>
      <c r="I249" s="13"/>
    </row>
    <row r="250" spans="5:9" x14ac:dyDescent="0.55000000000000004">
      <c r="E250" s="13"/>
      <c r="F250" s="13"/>
      <c r="G250" s="13"/>
      <c r="H250" s="13"/>
      <c r="I250" s="13"/>
    </row>
    <row r="251" spans="5:9" x14ac:dyDescent="0.55000000000000004">
      <c r="E251" s="13"/>
      <c r="F251" s="13"/>
      <c r="G251" s="13"/>
      <c r="H251" s="13"/>
      <c r="I251" s="13"/>
    </row>
    <row r="252" spans="5:9" x14ac:dyDescent="0.55000000000000004">
      <c r="E252" s="13"/>
      <c r="F252" s="13"/>
      <c r="G252" s="13"/>
      <c r="H252" s="13"/>
      <c r="I252" s="13"/>
    </row>
    <row r="253" spans="5:9" x14ac:dyDescent="0.55000000000000004">
      <c r="E253" s="13"/>
      <c r="F253" s="13"/>
      <c r="G253" s="13"/>
      <c r="H253" s="13"/>
      <c r="I253" s="13"/>
    </row>
    <row r="254" spans="5:9" x14ac:dyDescent="0.55000000000000004">
      <c r="E254" s="13"/>
      <c r="F254" s="13"/>
      <c r="G254" s="13"/>
      <c r="H254" s="13"/>
      <c r="I254" s="13"/>
    </row>
    <row r="255" spans="5:9" x14ac:dyDescent="0.55000000000000004">
      <c r="E255" s="13"/>
      <c r="F255" s="13"/>
      <c r="G255" s="13"/>
      <c r="H255" s="13"/>
      <c r="I255" s="13"/>
    </row>
    <row r="256" spans="5:9" x14ac:dyDescent="0.55000000000000004">
      <c r="E256" s="13"/>
      <c r="F256" s="13"/>
      <c r="G256" s="13"/>
      <c r="H256" s="13"/>
      <c r="I256" s="13"/>
    </row>
    <row r="257" spans="5:9" x14ac:dyDescent="0.55000000000000004">
      <c r="E257" s="13"/>
      <c r="F257" s="13"/>
      <c r="G257" s="13"/>
      <c r="H257" s="13"/>
      <c r="I257" s="13"/>
    </row>
    <row r="258" spans="5:9" x14ac:dyDescent="0.55000000000000004">
      <c r="E258" s="13"/>
      <c r="F258" s="13"/>
      <c r="G258" s="13"/>
      <c r="H258" s="13"/>
      <c r="I258" s="13"/>
    </row>
    <row r="259" spans="5:9" x14ac:dyDescent="0.55000000000000004">
      <c r="E259" s="13"/>
      <c r="F259" s="13"/>
      <c r="G259" s="13"/>
      <c r="H259" s="13"/>
      <c r="I259" s="13"/>
    </row>
    <row r="260" spans="5:9" x14ac:dyDescent="0.55000000000000004">
      <c r="E260" s="13"/>
      <c r="F260" s="13"/>
      <c r="G260" s="13"/>
      <c r="H260" s="13"/>
      <c r="I260" s="13"/>
    </row>
    <row r="261" spans="5:9" x14ac:dyDescent="0.55000000000000004">
      <c r="E261" s="13"/>
      <c r="F261" s="13"/>
      <c r="G261" s="13"/>
      <c r="H261" s="13"/>
      <c r="I261" s="13"/>
    </row>
    <row r="262" spans="5:9" x14ac:dyDescent="0.55000000000000004">
      <c r="E262" s="13"/>
      <c r="F262" s="13"/>
      <c r="G262" s="13"/>
      <c r="H262" s="13"/>
      <c r="I262" s="13"/>
    </row>
    <row r="263" spans="5:9" x14ac:dyDescent="0.55000000000000004">
      <c r="E263" s="13"/>
      <c r="F263" s="13"/>
      <c r="G263" s="13"/>
      <c r="H263" s="13"/>
      <c r="I263" s="13"/>
    </row>
    <row r="264" spans="5:9" x14ac:dyDescent="0.55000000000000004">
      <c r="E264" s="13"/>
      <c r="F264" s="13"/>
      <c r="G264" s="13"/>
      <c r="H264" s="13"/>
      <c r="I264" s="13"/>
    </row>
    <row r="265" spans="5:9" x14ac:dyDescent="0.55000000000000004">
      <c r="E265" s="13"/>
      <c r="F265" s="13"/>
      <c r="G265" s="13"/>
      <c r="H265" s="13"/>
      <c r="I265" s="13"/>
    </row>
    <row r="266" spans="5:9" x14ac:dyDescent="0.55000000000000004">
      <c r="E266" s="13"/>
      <c r="F266" s="13"/>
      <c r="G266" s="13"/>
      <c r="H266" s="13"/>
      <c r="I266" s="13"/>
    </row>
    <row r="267" spans="5:9" x14ac:dyDescent="0.55000000000000004">
      <c r="E267" s="13"/>
      <c r="F267" s="13"/>
      <c r="G267" s="13"/>
      <c r="H267" s="13"/>
      <c r="I267" s="13"/>
    </row>
    <row r="268" spans="5:9" x14ac:dyDescent="0.55000000000000004">
      <c r="E268" s="13"/>
      <c r="F268" s="13"/>
      <c r="G268" s="13"/>
      <c r="H268" s="13"/>
      <c r="I268" s="13"/>
    </row>
    <row r="269" spans="5:9" x14ac:dyDescent="0.55000000000000004">
      <c r="E269" s="13"/>
      <c r="F269" s="13"/>
      <c r="G269" s="13"/>
      <c r="H269" s="13"/>
      <c r="I269" s="13"/>
    </row>
    <row r="270" spans="5:9" x14ac:dyDescent="0.55000000000000004">
      <c r="E270" s="13"/>
      <c r="F270" s="13"/>
      <c r="G270" s="13"/>
      <c r="H270" s="13"/>
      <c r="I270" s="13"/>
    </row>
    <row r="271" spans="5:9" x14ac:dyDescent="0.55000000000000004">
      <c r="E271" s="13"/>
      <c r="F271" s="13"/>
      <c r="G271" s="13"/>
      <c r="H271" s="13"/>
      <c r="I271" s="13"/>
    </row>
    <row r="272" spans="5:9" x14ac:dyDescent="0.55000000000000004">
      <c r="E272" s="13"/>
      <c r="F272" s="13"/>
      <c r="G272" s="13"/>
      <c r="H272" s="13"/>
      <c r="I272" s="13"/>
    </row>
    <row r="273" spans="5:9" x14ac:dyDescent="0.55000000000000004">
      <c r="E273" s="13"/>
      <c r="F273" s="13"/>
      <c r="G273" s="13"/>
      <c r="H273" s="13"/>
      <c r="I273" s="13"/>
    </row>
    <row r="274" spans="5:9" x14ac:dyDescent="0.55000000000000004">
      <c r="E274" s="13"/>
      <c r="F274" s="13"/>
      <c r="G274" s="13"/>
      <c r="H274" s="13"/>
      <c r="I274" s="13"/>
    </row>
    <row r="275" spans="5:9" x14ac:dyDescent="0.55000000000000004">
      <c r="E275" s="13"/>
      <c r="F275" s="13"/>
      <c r="G275" s="13"/>
      <c r="H275" s="13"/>
      <c r="I275" s="13"/>
    </row>
    <row r="276" spans="5:9" x14ac:dyDescent="0.55000000000000004">
      <c r="E276" s="13"/>
      <c r="F276" s="13"/>
      <c r="G276" s="13"/>
      <c r="H276" s="13"/>
      <c r="I276" s="13"/>
    </row>
    <row r="277" spans="5:9" x14ac:dyDescent="0.55000000000000004">
      <c r="E277" s="13"/>
      <c r="F277" s="13"/>
      <c r="G277" s="13"/>
      <c r="H277" s="13"/>
      <c r="I277" s="13"/>
    </row>
    <row r="278" spans="5:9" x14ac:dyDescent="0.55000000000000004">
      <c r="E278" s="13"/>
      <c r="F278" s="13"/>
      <c r="G278" s="13"/>
      <c r="H278" s="13"/>
      <c r="I278" s="13"/>
    </row>
    <row r="279" spans="5:9" x14ac:dyDescent="0.55000000000000004">
      <c r="E279" s="13"/>
      <c r="F279" s="13"/>
      <c r="G279" s="13"/>
      <c r="H279" s="13"/>
      <c r="I279" s="13"/>
    </row>
    <row r="280" spans="5:9" x14ac:dyDescent="0.55000000000000004">
      <c r="E280" s="13"/>
      <c r="F280" s="13"/>
      <c r="G280" s="13"/>
      <c r="H280" s="13"/>
      <c r="I280" s="13"/>
    </row>
    <row r="281" spans="5:9" x14ac:dyDescent="0.55000000000000004">
      <c r="E281" s="13"/>
      <c r="F281" s="13"/>
      <c r="G281" s="13"/>
      <c r="H281" s="13"/>
      <c r="I281" s="13"/>
    </row>
    <row r="282" spans="5:9" x14ac:dyDescent="0.55000000000000004">
      <c r="E282" s="13"/>
      <c r="F282" s="13"/>
      <c r="G282" s="13"/>
      <c r="H282" s="13"/>
      <c r="I282" s="13"/>
    </row>
    <row r="283" spans="5:9" x14ac:dyDescent="0.55000000000000004">
      <c r="E283" s="13"/>
      <c r="F283" s="13"/>
      <c r="G283" s="13"/>
      <c r="H283" s="13"/>
      <c r="I283" s="13"/>
    </row>
    <row r="284" spans="5:9" x14ac:dyDescent="0.55000000000000004">
      <c r="E284" s="13"/>
      <c r="F284" s="13"/>
      <c r="G284" s="13"/>
      <c r="H284" s="13"/>
      <c r="I284" s="13"/>
    </row>
    <row r="285" spans="5:9" x14ac:dyDescent="0.55000000000000004">
      <c r="E285" s="13"/>
      <c r="F285" s="13"/>
      <c r="G285" s="13"/>
      <c r="H285" s="13"/>
      <c r="I285" s="13"/>
    </row>
    <row r="286" spans="5:9" x14ac:dyDescent="0.55000000000000004">
      <c r="E286" s="13"/>
      <c r="F286" s="13"/>
      <c r="G286" s="13"/>
      <c r="H286" s="13"/>
      <c r="I286" s="13"/>
    </row>
    <row r="287" spans="5:9" x14ac:dyDescent="0.55000000000000004">
      <c r="E287" s="13"/>
      <c r="F287" s="13"/>
      <c r="G287" s="13"/>
      <c r="H287" s="13"/>
      <c r="I287" s="13"/>
    </row>
    <row r="288" spans="5:9" x14ac:dyDescent="0.55000000000000004">
      <c r="E288" s="13"/>
      <c r="F288" s="13"/>
      <c r="G288" s="13"/>
      <c r="H288" s="13"/>
      <c r="I288" s="13"/>
    </row>
    <row r="289" spans="5:9" x14ac:dyDescent="0.55000000000000004">
      <c r="E289" s="13"/>
      <c r="F289" s="13"/>
      <c r="G289" s="13"/>
      <c r="H289" s="13"/>
      <c r="I289" s="13"/>
    </row>
    <row r="290" spans="5:9" x14ac:dyDescent="0.55000000000000004">
      <c r="E290" s="13"/>
      <c r="F290" s="13"/>
      <c r="G290" s="13"/>
      <c r="H290" s="13"/>
      <c r="I290" s="13"/>
    </row>
    <row r="291" spans="5:9" x14ac:dyDescent="0.55000000000000004">
      <c r="E291" s="13"/>
      <c r="F291" s="13"/>
      <c r="G291" s="13"/>
      <c r="H291" s="13"/>
      <c r="I291" s="13"/>
    </row>
    <row r="292" spans="5:9" x14ac:dyDescent="0.55000000000000004">
      <c r="E292" s="13"/>
      <c r="F292" s="13"/>
      <c r="G292" s="13"/>
      <c r="H292" s="13"/>
      <c r="I292" s="13"/>
    </row>
    <row r="293" spans="5:9" x14ac:dyDescent="0.55000000000000004">
      <c r="E293" s="13"/>
      <c r="F293" s="13"/>
      <c r="G293" s="13"/>
      <c r="H293" s="13"/>
      <c r="I293" s="13"/>
    </row>
    <row r="294" spans="5:9" x14ac:dyDescent="0.55000000000000004">
      <c r="E294" s="13"/>
      <c r="F294" s="13"/>
      <c r="G294" s="13"/>
      <c r="H294" s="13"/>
      <c r="I294" s="13"/>
    </row>
    <row r="295" spans="5:9" x14ac:dyDescent="0.55000000000000004">
      <c r="E295" s="13"/>
      <c r="F295" s="13"/>
      <c r="G295" s="13"/>
      <c r="H295" s="13"/>
      <c r="I295" s="13"/>
    </row>
    <row r="296" spans="5:9" x14ac:dyDescent="0.55000000000000004">
      <c r="E296" s="13"/>
      <c r="F296" s="13"/>
      <c r="G296" s="13"/>
      <c r="H296" s="13"/>
      <c r="I296" s="13"/>
    </row>
    <row r="297" spans="5:9" x14ac:dyDescent="0.55000000000000004">
      <c r="E297" s="13"/>
      <c r="F297" s="13"/>
      <c r="G297" s="13"/>
      <c r="H297" s="13"/>
      <c r="I297" s="13"/>
    </row>
    <row r="298" spans="5:9" x14ac:dyDescent="0.55000000000000004">
      <c r="E298" s="13"/>
      <c r="F298" s="13"/>
      <c r="G298" s="13"/>
      <c r="H298" s="13"/>
      <c r="I298" s="13"/>
    </row>
    <row r="299" spans="5:9" x14ac:dyDescent="0.55000000000000004">
      <c r="E299" s="13"/>
      <c r="F299" s="13"/>
      <c r="G299" s="13"/>
      <c r="H299" s="13"/>
      <c r="I299" s="13"/>
    </row>
    <row r="300" spans="5:9" x14ac:dyDescent="0.55000000000000004">
      <c r="E300" s="13"/>
      <c r="F300" s="13"/>
      <c r="G300" s="13"/>
      <c r="H300" s="13"/>
      <c r="I300" s="13"/>
    </row>
    <row r="301" spans="5:9" x14ac:dyDescent="0.55000000000000004">
      <c r="E301" s="13"/>
      <c r="F301" s="13"/>
      <c r="G301" s="13"/>
      <c r="H301" s="13"/>
      <c r="I301" s="13"/>
    </row>
    <row r="302" spans="5:9" x14ac:dyDescent="0.55000000000000004">
      <c r="E302" s="13"/>
      <c r="F302" s="13"/>
      <c r="G302" s="13"/>
      <c r="H302" s="13"/>
      <c r="I302" s="13"/>
    </row>
    <row r="303" spans="5:9" x14ac:dyDescent="0.55000000000000004">
      <c r="E303" s="13"/>
      <c r="F303" s="13"/>
      <c r="G303" s="13"/>
      <c r="H303" s="13"/>
      <c r="I303" s="13"/>
    </row>
    <row r="304" spans="5:9" x14ac:dyDescent="0.55000000000000004">
      <c r="E304" s="13"/>
      <c r="F304" s="13"/>
      <c r="G304" s="13"/>
      <c r="H304" s="13"/>
      <c r="I304" s="13"/>
    </row>
    <row r="305" spans="5:9" x14ac:dyDescent="0.55000000000000004">
      <c r="E305" s="13"/>
      <c r="F305" s="13"/>
      <c r="G305" s="13"/>
      <c r="H305" s="13"/>
      <c r="I305" s="13"/>
    </row>
    <row r="306" spans="5:9" x14ac:dyDescent="0.55000000000000004">
      <c r="E306" s="13"/>
      <c r="F306" s="13"/>
      <c r="G306" s="13"/>
      <c r="H306" s="13"/>
      <c r="I306" s="13"/>
    </row>
    <row r="307" spans="5:9" x14ac:dyDescent="0.55000000000000004">
      <c r="E307" s="13"/>
      <c r="F307" s="13"/>
      <c r="G307" s="13"/>
      <c r="H307" s="13"/>
      <c r="I307" s="13"/>
    </row>
    <row r="308" spans="5:9" x14ac:dyDescent="0.55000000000000004">
      <c r="E308" s="13"/>
      <c r="F308" s="13"/>
      <c r="G308" s="13"/>
      <c r="H308" s="13"/>
      <c r="I308" s="13"/>
    </row>
    <row r="309" spans="5:9" x14ac:dyDescent="0.55000000000000004">
      <c r="E309" s="13"/>
      <c r="F309" s="13"/>
      <c r="G309" s="13"/>
      <c r="H309" s="13"/>
      <c r="I309" s="13"/>
    </row>
    <row r="310" spans="5:9" x14ac:dyDescent="0.55000000000000004">
      <c r="E310" s="13"/>
      <c r="F310" s="13"/>
      <c r="G310" s="13"/>
      <c r="H310" s="13"/>
      <c r="I310" s="13"/>
    </row>
    <row r="311" spans="5:9" x14ac:dyDescent="0.55000000000000004">
      <c r="E311" s="13"/>
      <c r="F311" s="13"/>
      <c r="G311" s="13"/>
      <c r="H311" s="13"/>
      <c r="I311" s="13"/>
    </row>
    <row r="312" spans="5:9" x14ac:dyDescent="0.55000000000000004">
      <c r="E312" s="13"/>
      <c r="F312" s="13"/>
      <c r="G312" s="13"/>
      <c r="H312" s="13"/>
      <c r="I312" s="13"/>
    </row>
    <row r="313" spans="5:9" x14ac:dyDescent="0.55000000000000004">
      <c r="E313" s="13"/>
      <c r="F313" s="13"/>
      <c r="G313" s="13"/>
      <c r="H313" s="13"/>
      <c r="I313" s="13"/>
    </row>
    <row r="314" spans="5:9" x14ac:dyDescent="0.55000000000000004">
      <c r="E314" s="13"/>
      <c r="F314" s="13"/>
      <c r="G314" s="13"/>
      <c r="H314" s="13"/>
      <c r="I314" s="13"/>
    </row>
    <row r="315" spans="5:9" x14ac:dyDescent="0.55000000000000004">
      <c r="E315" s="13"/>
      <c r="F315" s="13"/>
      <c r="G315" s="13"/>
      <c r="H315" s="13"/>
      <c r="I315" s="13"/>
    </row>
    <row r="316" spans="5:9" x14ac:dyDescent="0.55000000000000004">
      <c r="E316" s="13"/>
      <c r="F316" s="13"/>
      <c r="G316" s="13"/>
      <c r="H316" s="13"/>
      <c r="I316" s="13"/>
    </row>
    <row r="317" spans="5:9" x14ac:dyDescent="0.55000000000000004">
      <c r="E317" s="13"/>
      <c r="F317" s="13"/>
      <c r="G317" s="13"/>
      <c r="H317" s="13"/>
      <c r="I317" s="13"/>
    </row>
    <row r="318" spans="5:9" x14ac:dyDescent="0.55000000000000004">
      <c r="E318" s="13"/>
      <c r="F318" s="13"/>
      <c r="G318" s="13"/>
      <c r="H318" s="13"/>
      <c r="I318" s="13"/>
    </row>
    <row r="319" spans="5:9" x14ac:dyDescent="0.55000000000000004">
      <c r="E319" s="13"/>
      <c r="F319" s="13"/>
      <c r="G319" s="13"/>
      <c r="H319" s="13"/>
      <c r="I319" s="13"/>
    </row>
    <row r="320" spans="5:9" x14ac:dyDescent="0.55000000000000004">
      <c r="E320" s="13"/>
      <c r="F320" s="13"/>
      <c r="G320" s="13"/>
      <c r="H320" s="13"/>
      <c r="I320" s="13"/>
    </row>
    <row r="321" spans="5:9" x14ac:dyDescent="0.55000000000000004">
      <c r="E321" s="13"/>
      <c r="F321" s="13"/>
      <c r="G321" s="13"/>
      <c r="H321" s="13"/>
      <c r="I321" s="13"/>
    </row>
    <row r="322" spans="5:9" x14ac:dyDescent="0.55000000000000004">
      <c r="E322" s="13"/>
      <c r="F322" s="13"/>
      <c r="G322" s="13"/>
      <c r="H322" s="13"/>
      <c r="I322" s="13"/>
    </row>
    <row r="323" spans="5:9" x14ac:dyDescent="0.55000000000000004">
      <c r="E323" s="13"/>
      <c r="F323" s="13"/>
      <c r="G323" s="13"/>
      <c r="H323" s="13"/>
      <c r="I323" s="13"/>
    </row>
    <row r="324" spans="5:9" x14ac:dyDescent="0.55000000000000004">
      <c r="E324" s="13"/>
      <c r="F324" s="13"/>
      <c r="G324" s="13"/>
      <c r="H324" s="13"/>
      <c r="I324" s="13"/>
    </row>
    <row r="325" spans="5:9" x14ac:dyDescent="0.55000000000000004">
      <c r="E325" s="13"/>
      <c r="F325" s="13"/>
      <c r="G325" s="13"/>
      <c r="H325" s="13"/>
      <c r="I325" s="13"/>
    </row>
    <row r="326" spans="5:9" x14ac:dyDescent="0.55000000000000004">
      <c r="E326" s="13"/>
      <c r="F326" s="13"/>
      <c r="G326" s="13"/>
      <c r="H326" s="13"/>
      <c r="I326" s="13"/>
    </row>
    <row r="327" spans="5:9" x14ac:dyDescent="0.55000000000000004">
      <c r="E327" s="13"/>
      <c r="F327" s="13"/>
      <c r="G327" s="13"/>
      <c r="H327" s="13"/>
      <c r="I327" s="13"/>
    </row>
    <row r="328" spans="5:9" x14ac:dyDescent="0.55000000000000004">
      <c r="E328" s="13"/>
      <c r="F328" s="13"/>
      <c r="G328" s="13"/>
      <c r="H328" s="13"/>
      <c r="I328" s="13"/>
    </row>
    <row r="329" spans="5:9" x14ac:dyDescent="0.55000000000000004">
      <c r="E329" s="13"/>
      <c r="F329" s="13"/>
      <c r="G329" s="13"/>
      <c r="H329" s="13"/>
      <c r="I329" s="13"/>
    </row>
    <row r="330" spans="5:9" x14ac:dyDescent="0.55000000000000004">
      <c r="E330" s="13"/>
      <c r="F330" s="13"/>
      <c r="G330" s="13"/>
      <c r="H330" s="13"/>
      <c r="I330" s="13"/>
    </row>
    <row r="331" spans="5:9" x14ac:dyDescent="0.55000000000000004">
      <c r="E331" s="13"/>
      <c r="F331" s="13"/>
      <c r="G331" s="13"/>
      <c r="H331" s="13"/>
      <c r="I331" s="13"/>
    </row>
    <row r="332" spans="5:9" x14ac:dyDescent="0.55000000000000004">
      <c r="E332" s="13"/>
      <c r="F332" s="13"/>
      <c r="G332" s="13"/>
      <c r="H332" s="13"/>
      <c r="I332" s="13"/>
    </row>
    <row r="333" spans="5:9" x14ac:dyDescent="0.55000000000000004">
      <c r="E333" s="13"/>
      <c r="F333" s="13"/>
      <c r="G333" s="13"/>
      <c r="H333" s="13"/>
      <c r="I333" s="13"/>
    </row>
    <row r="334" spans="5:9" x14ac:dyDescent="0.55000000000000004">
      <c r="E334" s="13"/>
      <c r="F334" s="13"/>
      <c r="G334" s="13"/>
      <c r="H334" s="13"/>
      <c r="I334" s="13"/>
    </row>
    <row r="335" spans="5:9" x14ac:dyDescent="0.55000000000000004">
      <c r="E335" s="13"/>
      <c r="F335" s="13"/>
      <c r="G335" s="13"/>
      <c r="H335" s="13"/>
      <c r="I335" s="13"/>
    </row>
    <row r="336" spans="5:9" x14ac:dyDescent="0.55000000000000004">
      <c r="E336" s="13"/>
      <c r="F336" s="13"/>
      <c r="G336" s="13"/>
      <c r="H336" s="13"/>
      <c r="I336" s="13"/>
    </row>
    <row r="337" spans="5:9" x14ac:dyDescent="0.55000000000000004">
      <c r="E337" s="13"/>
      <c r="F337" s="13"/>
      <c r="G337" s="13"/>
      <c r="H337" s="13"/>
      <c r="I337" s="13"/>
    </row>
    <row r="338" spans="5:9" x14ac:dyDescent="0.55000000000000004">
      <c r="E338" s="13"/>
      <c r="F338" s="13"/>
      <c r="G338" s="13"/>
      <c r="H338" s="13"/>
      <c r="I338" s="13"/>
    </row>
    <row r="339" spans="5:9" x14ac:dyDescent="0.55000000000000004">
      <c r="E339" s="13"/>
      <c r="F339" s="13"/>
      <c r="G339" s="13"/>
      <c r="H339" s="13"/>
      <c r="I339" s="13"/>
    </row>
    <row r="340" spans="5:9" x14ac:dyDescent="0.55000000000000004">
      <c r="E340" s="13"/>
      <c r="F340" s="13"/>
      <c r="G340" s="13"/>
      <c r="H340" s="13"/>
      <c r="I340" s="13"/>
    </row>
    <row r="341" spans="5:9" x14ac:dyDescent="0.55000000000000004">
      <c r="E341" s="13"/>
      <c r="F341" s="13"/>
      <c r="G341" s="13"/>
      <c r="H341" s="13"/>
      <c r="I341" s="13"/>
    </row>
    <row r="342" spans="5:9" x14ac:dyDescent="0.55000000000000004">
      <c r="E342" s="13"/>
      <c r="F342" s="13"/>
      <c r="G342" s="13"/>
      <c r="H342" s="13"/>
      <c r="I342" s="13"/>
    </row>
    <row r="343" spans="5:9" x14ac:dyDescent="0.55000000000000004">
      <c r="E343" s="13"/>
      <c r="F343" s="13"/>
      <c r="G343" s="13"/>
      <c r="H343" s="13"/>
      <c r="I343" s="13"/>
    </row>
    <row r="344" spans="5:9" x14ac:dyDescent="0.55000000000000004">
      <c r="E344" s="13"/>
      <c r="F344" s="13"/>
      <c r="G344" s="13"/>
      <c r="H344" s="13"/>
      <c r="I344" s="13"/>
    </row>
    <row r="345" spans="5:9" x14ac:dyDescent="0.55000000000000004">
      <c r="E345" s="13"/>
      <c r="F345" s="13"/>
      <c r="G345" s="13"/>
      <c r="H345" s="13"/>
      <c r="I345" s="13"/>
    </row>
    <row r="346" spans="5:9" x14ac:dyDescent="0.55000000000000004">
      <c r="E346" s="13"/>
      <c r="F346" s="13"/>
      <c r="G346" s="13"/>
      <c r="H346" s="13"/>
      <c r="I346" s="13"/>
    </row>
    <row r="347" spans="5:9" x14ac:dyDescent="0.55000000000000004">
      <c r="E347" s="13"/>
      <c r="F347" s="13"/>
      <c r="G347" s="13"/>
      <c r="H347" s="13"/>
      <c r="I347" s="13"/>
    </row>
    <row r="348" spans="5:9" x14ac:dyDescent="0.55000000000000004">
      <c r="E348" s="13"/>
      <c r="F348" s="13"/>
      <c r="G348" s="13"/>
      <c r="H348" s="13"/>
      <c r="I348" s="13"/>
    </row>
    <row r="349" spans="5:9" x14ac:dyDescent="0.55000000000000004">
      <c r="E349" s="13"/>
      <c r="F349" s="13"/>
      <c r="G349" s="13"/>
      <c r="H349" s="13"/>
      <c r="I349" s="13"/>
    </row>
    <row r="350" spans="5:9" x14ac:dyDescent="0.55000000000000004">
      <c r="E350" s="13"/>
      <c r="F350" s="13"/>
      <c r="G350" s="13"/>
      <c r="H350" s="13"/>
      <c r="I350" s="13"/>
    </row>
    <row r="351" spans="5:9" x14ac:dyDescent="0.55000000000000004">
      <c r="E351" s="13"/>
      <c r="F351" s="13"/>
      <c r="G351" s="13"/>
      <c r="H351" s="13"/>
      <c r="I351" s="13"/>
    </row>
    <row r="352" spans="5:9" x14ac:dyDescent="0.55000000000000004">
      <c r="E352" s="13"/>
      <c r="F352" s="13"/>
      <c r="G352" s="13"/>
      <c r="H352" s="13"/>
      <c r="I352" s="13"/>
    </row>
    <row r="353" spans="5:9" x14ac:dyDescent="0.55000000000000004">
      <c r="E353" s="13"/>
      <c r="F353" s="13"/>
      <c r="G353" s="13"/>
      <c r="H353" s="13"/>
      <c r="I353" s="13"/>
    </row>
    <row r="354" spans="5:9" x14ac:dyDescent="0.55000000000000004">
      <c r="E354" s="13"/>
      <c r="F354" s="13"/>
      <c r="G354" s="13"/>
      <c r="H354" s="13"/>
      <c r="I354" s="13"/>
    </row>
    <row r="355" spans="5:9" x14ac:dyDescent="0.55000000000000004">
      <c r="E355" s="13"/>
      <c r="F355" s="13"/>
      <c r="G355" s="13"/>
      <c r="H355" s="13"/>
      <c r="I355" s="13"/>
    </row>
    <row r="356" spans="5:9" x14ac:dyDescent="0.55000000000000004">
      <c r="E356" s="13"/>
      <c r="F356" s="13"/>
      <c r="G356" s="13"/>
      <c r="H356" s="13"/>
      <c r="I356" s="13"/>
    </row>
    <row r="357" spans="5:9" x14ac:dyDescent="0.55000000000000004">
      <c r="E357" s="13"/>
      <c r="F357" s="13"/>
      <c r="G357" s="13"/>
      <c r="H357" s="13"/>
      <c r="I357" s="13"/>
    </row>
    <row r="358" spans="5:9" x14ac:dyDescent="0.55000000000000004">
      <c r="E358" s="13"/>
      <c r="F358" s="13"/>
      <c r="G358" s="13"/>
      <c r="H358" s="13"/>
      <c r="I358" s="13"/>
    </row>
    <row r="359" spans="5:9" x14ac:dyDescent="0.55000000000000004">
      <c r="E359" s="13"/>
      <c r="F359" s="13"/>
      <c r="G359" s="13"/>
      <c r="H359" s="13"/>
      <c r="I359" s="13"/>
    </row>
    <row r="360" spans="5:9" x14ac:dyDescent="0.55000000000000004">
      <c r="E360" s="13"/>
      <c r="F360" s="13"/>
      <c r="G360" s="13"/>
      <c r="H360" s="13"/>
      <c r="I360" s="13"/>
    </row>
    <row r="361" spans="5:9" x14ac:dyDescent="0.55000000000000004">
      <c r="E361" s="13"/>
      <c r="F361" s="13"/>
      <c r="G361" s="13"/>
      <c r="H361" s="13"/>
      <c r="I361" s="13"/>
    </row>
    <row r="362" spans="5:9" x14ac:dyDescent="0.55000000000000004">
      <c r="E362" s="13"/>
      <c r="F362" s="13"/>
      <c r="G362" s="13"/>
      <c r="H362" s="13"/>
      <c r="I362" s="13"/>
    </row>
    <row r="363" spans="5:9" x14ac:dyDescent="0.55000000000000004">
      <c r="E363" s="13"/>
      <c r="F363" s="13"/>
      <c r="G363" s="13"/>
      <c r="H363" s="13"/>
      <c r="I363" s="13"/>
    </row>
    <row r="364" spans="5:9" x14ac:dyDescent="0.55000000000000004">
      <c r="E364" s="13"/>
      <c r="F364" s="13"/>
      <c r="G364" s="13"/>
      <c r="H364" s="13"/>
      <c r="I364" s="13"/>
    </row>
    <row r="365" spans="5:9" x14ac:dyDescent="0.55000000000000004">
      <c r="E365" s="13"/>
      <c r="F365" s="13"/>
      <c r="G365" s="13"/>
      <c r="H365" s="13"/>
      <c r="I365" s="13"/>
    </row>
    <row r="366" spans="5:9" x14ac:dyDescent="0.55000000000000004">
      <c r="E366" s="13"/>
      <c r="F366" s="13"/>
      <c r="G366" s="13"/>
      <c r="H366" s="13"/>
      <c r="I366" s="13"/>
    </row>
    <row r="367" spans="5:9" x14ac:dyDescent="0.55000000000000004">
      <c r="E367" s="13"/>
      <c r="F367" s="13"/>
      <c r="G367" s="13"/>
      <c r="H367" s="13"/>
      <c r="I367" s="13"/>
    </row>
    <row r="368" spans="5:9" x14ac:dyDescent="0.55000000000000004">
      <c r="E368" s="13"/>
      <c r="F368" s="13"/>
      <c r="G368" s="13"/>
      <c r="H368" s="13"/>
      <c r="I368" s="13"/>
    </row>
    <row r="369" spans="5:9" x14ac:dyDescent="0.55000000000000004">
      <c r="E369" s="13"/>
      <c r="F369" s="13"/>
      <c r="G369" s="13"/>
      <c r="H369" s="13"/>
      <c r="I369" s="13"/>
    </row>
    <row r="370" spans="5:9" x14ac:dyDescent="0.55000000000000004">
      <c r="E370" s="13"/>
      <c r="F370" s="13"/>
      <c r="G370" s="13"/>
      <c r="H370" s="13"/>
      <c r="I370" s="13"/>
    </row>
    <row r="371" spans="5:9" x14ac:dyDescent="0.55000000000000004">
      <c r="E371" s="13"/>
      <c r="F371" s="13"/>
      <c r="G371" s="13"/>
      <c r="H371" s="13"/>
      <c r="I371" s="13"/>
    </row>
    <row r="372" spans="5:9" x14ac:dyDescent="0.55000000000000004">
      <c r="E372" s="13"/>
      <c r="F372" s="13"/>
      <c r="G372" s="13"/>
      <c r="H372" s="13"/>
      <c r="I372" s="13"/>
    </row>
    <row r="373" spans="5:9" x14ac:dyDescent="0.55000000000000004">
      <c r="E373" s="13"/>
      <c r="F373" s="13"/>
      <c r="G373" s="13"/>
      <c r="H373" s="13"/>
      <c r="I373" s="13"/>
    </row>
    <row r="374" spans="5:9" x14ac:dyDescent="0.55000000000000004">
      <c r="E374" s="13"/>
      <c r="F374" s="13"/>
      <c r="G374" s="13"/>
      <c r="H374" s="13"/>
      <c r="I374" s="13"/>
    </row>
    <row r="375" spans="5:9" x14ac:dyDescent="0.55000000000000004">
      <c r="E375" s="13"/>
      <c r="F375" s="13"/>
      <c r="G375" s="13"/>
      <c r="H375" s="13"/>
      <c r="I375" s="13"/>
    </row>
    <row r="376" spans="5:9" x14ac:dyDescent="0.55000000000000004">
      <c r="E376" s="13"/>
      <c r="F376" s="13"/>
      <c r="G376" s="13"/>
      <c r="H376" s="13"/>
      <c r="I376" s="13"/>
    </row>
    <row r="377" spans="5:9" x14ac:dyDescent="0.55000000000000004">
      <c r="E377" s="13"/>
      <c r="F377" s="13"/>
      <c r="G377" s="13"/>
      <c r="H377" s="13"/>
      <c r="I377" s="13"/>
    </row>
    <row r="378" spans="5:9" x14ac:dyDescent="0.55000000000000004">
      <c r="E378" s="13"/>
      <c r="F378" s="13"/>
      <c r="G378" s="13"/>
      <c r="H378" s="13"/>
      <c r="I378" s="13"/>
    </row>
    <row r="379" spans="5:9" x14ac:dyDescent="0.55000000000000004">
      <c r="E379" s="13"/>
      <c r="F379" s="13"/>
      <c r="G379" s="13"/>
      <c r="H379" s="13"/>
      <c r="I379" s="13"/>
    </row>
    <row r="380" spans="5:9" x14ac:dyDescent="0.55000000000000004">
      <c r="E380" s="13"/>
      <c r="F380" s="13"/>
      <c r="G380" s="13"/>
      <c r="H380" s="13"/>
      <c r="I380" s="13"/>
    </row>
    <row r="381" spans="5:9" x14ac:dyDescent="0.55000000000000004">
      <c r="E381" s="13"/>
      <c r="F381" s="13"/>
      <c r="G381" s="13"/>
      <c r="H381" s="13"/>
      <c r="I381" s="13"/>
    </row>
    <row r="382" spans="5:9" x14ac:dyDescent="0.55000000000000004">
      <c r="E382" s="13"/>
      <c r="F382" s="13"/>
      <c r="G382" s="13"/>
      <c r="H382" s="13"/>
      <c r="I382" s="13"/>
    </row>
    <row r="383" spans="5:9" x14ac:dyDescent="0.55000000000000004">
      <c r="E383" s="13"/>
      <c r="F383" s="13"/>
      <c r="G383" s="13"/>
      <c r="H383" s="13"/>
      <c r="I383" s="13"/>
    </row>
    <row r="384" spans="5:9" x14ac:dyDescent="0.55000000000000004">
      <c r="E384" s="13"/>
      <c r="F384" s="13"/>
      <c r="G384" s="13"/>
      <c r="H384" s="13"/>
      <c r="I384" s="13"/>
    </row>
    <row r="385" spans="5:9" x14ac:dyDescent="0.55000000000000004">
      <c r="E385" s="13"/>
      <c r="F385" s="13"/>
      <c r="G385" s="13"/>
      <c r="H385" s="13"/>
      <c r="I385" s="13"/>
    </row>
    <row r="386" spans="5:9" x14ac:dyDescent="0.55000000000000004">
      <c r="E386" s="13"/>
      <c r="F386" s="13"/>
      <c r="G386" s="13"/>
      <c r="H386" s="13"/>
      <c r="I386" s="13"/>
    </row>
    <row r="387" spans="5:9" x14ac:dyDescent="0.55000000000000004">
      <c r="E387" s="13"/>
      <c r="F387" s="13"/>
      <c r="G387" s="13"/>
      <c r="H387" s="13"/>
      <c r="I387" s="13"/>
    </row>
    <row r="388" spans="5:9" x14ac:dyDescent="0.55000000000000004">
      <c r="E388" s="13"/>
      <c r="F388" s="13"/>
      <c r="G388" s="13"/>
      <c r="H388" s="13"/>
      <c r="I388" s="13"/>
    </row>
    <row r="389" spans="5:9" x14ac:dyDescent="0.55000000000000004">
      <c r="E389" s="13"/>
      <c r="F389" s="13"/>
      <c r="G389" s="13"/>
      <c r="H389" s="13"/>
      <c r="I389" s="13"/>
    </row>
    <row r="390" spans="5:9" x14ac:dyDescent="0.55000000000000004">
      <c r="E390" s="13"/>
      <c r="F390" s="13"/>
      <c r="G390" s="13"/>
      <c r="H390" s="13"/>
      <c r="I390" s="13"/>
    </row>
    <row r="391" spans="5:9" x14ac:dyDescent="0.55000000000000004">
      <c r="E391" s="13"/>
      <c r="F391" s="13"/>
      <c r="G391" s="13"/>
      <c r="H391" s="13"/>
      <c r="I391" s="13"/>
    </row>
    <row r="392" spans="5:9" x14ac:dyDescent="0.55000000000000004">
      <c r="E392" s="13"/>
      <c r="F392" s="13"/>
      <c r="G392" s="13"/>
      <c r="H392" s="13"/>
      <c r="I392" s="13"/>
    </row>
    <row r="393" spans="5:9" x14ac:dyDescent="0.55000000000000004">
      <c r="E393" s="13"/>
      <c r="F393" s="13"/>
      <c r="G393" s="13"/>
      <c r="H393" s="13"/>
      <c r="I393" s="13"/>
    </row>
    <row r="394" spans="5:9" x14ac:dyDescent="0.55000000000000004">
      <c r="E394" s="13"/>
      <c r="F394" s="13"/>
      <c r="G394" s="13"/>
      <c r="H394" s="13"/>
      <c r="I394" s="13"/>
    </row>
    <row r="395" spans="5:9" x14ac:dyDescent="0.55000000000000004">
      <c r="E395" s="13"/>
      <c r="F395" s="13"/>
      <c r="G395" s="13"/>
      <c r="H395" s="13"/>
      <c r="I395" s="13"/>
    </row>
    <row r="396" spans="5:9" x14ac:dyDescent="0.55000000000000004">
      <c r="E396" s="13"/>
      <c r="F396" s="13"/>
      <c r="G396" s="13"/>
      <c r="H396" s="13"/>
      <c r="I396" s="13"/>
    </row>
    <row r="397" spans="5:9" x14ac:dyDescent="0.55000000000000004">
      <c r="E397" s="13"/>
      <c r="F397" s="13"/>
      <c r="G397" s="13"/>
      <c r="H397" s="13"/>
      <c r="I397" s="13"/>
    </row>
    <row r="398" spans="5:9" x14ac:dyDescent="0.55000000000000004">
      <c r="E398" s="13"/>
      <c r="F398" s="13"/>
      <c r="G398" s="13"/>
      <c r="H398" s="13"/>
      <c r="I398" s="13"/>
    </row>
    <row r="399" spans="5:9" x14ac:dyDescent="0.55000000000000004">
      <c r="E399" s="13"/>
      <c r="F399" s="13"/>
      <c r="G399" s="13"/>
      <c r="H399" s="13"/>
      <c r="I399" s="13"/>
    </row>
    <row r="400" spans="5:9" x14ac:dyDescent="0.55000000000000004">
      <c r="E400" s="13"/>
      <c r="F400" s="13"/>
      <c r="G400" s="13"/>
      <c r="H400" s="13"/>
      <c r="I400" s="13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06F5C-21A7-4955-8232-1DB4D05ECF6F}">
  <sheetPr codeName="Sheet1"/>
  <dimension ref="A1:E43"/>
  <sheetViews>
    <sheetView workbookViewId="0">
      <selection activeCell="F11" sqref="F11"/>
    </sheetView>
  </sheetViews>
  <sheetFormatPr defaultRowHeight="20" x14ac:dyDescent="0.6"/>
  <cols>
    <col min="1" max="16384" width="8.6640625" style="1"/>
  </cols>
  <sheetData>
    <row r="1" spans="1:5" x14ac:dyDescent="0.6">
      <c r="A1" s="2" t="s">
        <v>44</v>
      </c>
      <c r="B1" s="2" t="s">
        <v>0</v>
      </c>
      <c r="C1" s="2" t="s">
        <v>1</v>
      </c>
      <c r="E1" s="1" t="s">
        <v>45</v>
      </c>
    </row>
    <row r="2" spans="1:5" x14ac:dyDescent="0.6">
      <c r="B2" s="1" t="s">
        <v>2</v>
      </c>
      <c r="C2" s="1">
        <f>(_xll.RtGet("IDN","JP1DONI=TRDT","BID")+_xll.RtGet("IDN","JP1DONI=TRDT","ASK"))/2</f>
      </c>
      <c r="E2" s="1" t="s">
        <v>75</v>
      </c>
    </row>
    <row r="3" spans="1:5" x14ac:dyDescent="0.6">
      <c r="B3" s="1" t="s">
        <v>3</v>
      </c>
      <c r="C3" s="1" cm="1">
        <f t="array" ref="C3">(_xll.RtGet("IDN","JP"&amp;B3&amp;"ONI=TRDT","BID")+_xll.RtGet("IDN","JP"&amp;B3&amp;"ONI=TRDT","ASK"))/2</f>
      </c>
    </row>
    <row r="4" spans="1:5" x14ac:dyDescent="0.6">
      <c r="B4" s="1" t="s">
        <v>4</v>
      </c>
      <c r="C4" s="1" cm="1">
        <f t="array" ref="C4">(_xll.RtGet("IDN","JP"&amp;B4&amp;"ONI=TRDT","BID")+_xll.RtGet("IDN","JP"&amp;B4&amp;"ONI=TRDT","ASK"))/2</f>
      </c>
    </row>
    <row r="5" spans="1:5" x14ac:dyDescent="0.6">
      <c r="B5" s="1" t="s">
        <v>5</v>
      </c>
      <c r="C5" s="1" cm="1">
        <f t="array" ref="C5">(_xll.RtGet("IDN","JP"&amp;B5&amp;"ONI=TRDT","BID")+_xll.RtGet("IDN","JP"&amp;B5&amp;"ONI=TRDT","ASK"))/2</f>
      </c>
    </row>
    <row r="6" spans="1:5" x14ac:dyDescent="0.6">
      <c r="B6" s="1" t="s">
        <v>6</v>
      </c>
      <c r="C6" s="1" cm="1">
        <f t="array" ref="C6">(_xll.RtGet("IDN","JP"&amp;B6&amp;"ONI=TRDT","BID")+_xll.RtGet("IDN","JP"&amp;B6&amp;"ONI=TRDT","ASK"))/2</f>
      </c>
    </row>
    <row r="7" spans="1:5" x14ac:dyDescent="0.6">
      <c r="B7" s="1" t="s">
        <v>7</v>
      </c>
      <c r="C7" s="1" cm="1">
        <f t="array" ref="C7">(_xll.RtGet("IDN","JP"&amp;B7&amp;"ONI=TRDT","BID")+_xll.RtGet("IDN","JP"&amp;B7&amp;"ONI=TRDT","ASK"))/2</f>
      </c>
    </row>
    <row r="8" spans="1:5" x14ac:dyDescent="0.6">
      <c r="B8" s="1" t="s">
        <v>8</v>
      </c>
      <c r="C8" s="1" cm="1">
        <f t="array" ref="C8">(_xll.RtGet("IDN","JP"&amp;B8&amp;"ONI=TRDT","BID")+_xll.RtGet("IDN","JP"&amp;B8&amp;"ONI=TRDT","ASK"))/2</f>
      </c>
    </row>
    <row r="9" spans="1:5" x14ac:dyDescent="0.6">
      <c r="B9" s="1" t="s">
        <v>9</v>
      </c>
      <c r="C9" s="1" cm="1">
        <f t="array" ref="C9">(_xll.RtGet("IDN","JP"&amp;B9&amp;"ONI=TRDT","BID")+_xll.RtGet("IDN","JP"&amp;B9&amp;"ONI=TRDT","ASK"))/2</f>
      </c>
    </row>
    <row r="10" spans="1:5" x14ac:dyDescent="0.6">
      <c r="B10" s="1" t="s">
        <v>10</v>
      </c>
      <c r="C10" s="1" cm="1">
        <f t="array" ref="C10">(_xll.RtGet("IDN","JP"&amp;B10&amp;"ONI=TRDT","BID")+_xll.RtGet("IDN","JP"&amp;B10&amp;"ONI=TRDT","ASK"))/2</f>
      </c>
    </row>
    <row r="11" spans="1:5" x14ac:dyDescent="0.6">
      <c r="B11" s="1" t="s">
        <v>11</v>
      </c>
      <c r="C11" s="1" cm="1">
        <f t="array" ref="C11">(_xll.RtGet("IDN","JP"&amp;B11&amp;"ONI=TRDT","BID")+_xll.RtGet("IDN","JP"&amp;B11&amp;"ONI=TRDT","ASK"))/2</f>
      </c>
    </row>
    <row r="12" spans="1:5" x14ac:dyDescent="0.6">
      <c r="B12" s="1" t="s">
        <v>12</v>
      </c>
      <c r="C12" s="1" cm="1">
        <f t="array" ref="C12">(_xll.RtGet("IDN","JP"&amp;B12&amp;"ONI=TRDT","BID")+_xll.RtGet("IDN","JP"&amp;B12&amp;"ONI=TRDT","ASK"))/2</f>
      </c>
    </row>
    <row r="13" spans="1:5" x14ac:dyDescent="0.6">
      <c r="B13" s="1" t="s">
        <v>13</v>
      </c>
      <c r="C13" s="1" cm="1">
        <f t="array" ref="C13">(_xll.RtGet("IDN","JP"&amp;B13&amp;"ONI=TRDT","BID")+_xll.RtGet("IDN","JP"&amp;B13&amp;"ONI=TRDT","ASK"))/2</f>
      </c>
    </row>
    <row r="14" spans="1:5" x14ac:dyDescent="0.6">
      <c r="B14" s="1" t="s">
        <v>14</v>
      </c>
      <c r="C14" s="1" cm="1">
        <f t="array" ref="C14">(_xll.RtGet("IDN","JP"&amp;B14&amp;"ONI=TRDT","BID")+_xll.RtGet("IDN","JP"&amp;B14&amp;"ONI=TRDT","ASK"))/2</f>
      </c>
    </row>
    <row r="15" spans="1:5" x14ac:dyDescent="0.6">
      <c r="B15" s="1" t="s">
        <v>15</v>
      </c>
      <c r="C15" s="1" cm="1">
        <f t="array" ref="C15">(_xll.RtGet("IDN","JP"&amp;B15&amp;"ONI=TRDT","BID")+_xll.RtGet("IDN","JP"&amp;B15&amp;"ONI=TRDT","ASK"))/2</f>
      </c>
    </row>
    <row r="16" spans="1:5" x14ac:dyDescent="0.6">
      <c r="B16" s="1" t="s">
        <v>16</v>
      </c>
      <c r="C16" s="1" cm="1">
        <f t="array" ref="C16">(_xll.RtGet("IDN","JP"&amp;B16&amp;"ONI=TRDT","BID")+_xll.RtGet("IDN","JP"&amp;B16&amp;"ONI=TRDT","ASK"))/2</f>
      </c>
    </row>
    <row r="17" spans="2:3" x14ac:dyDescent="0.6">
      <c r="B17" s="1" t="s">
        <v>17</v>
      </c>
      <c r="C17" s="1" cm="1">
        <f t="array" ref="C17">(_xll.RtGet("IDN","JP"&amp;B17&amp;"ONI=TRDT","BID")+_xll.RtGet("IDN","JP"&amp;B17&amp;"ONI=TRDT","ASK"))/2</f>
      </c>
    </row>
    <row r="18" spans="2:3" x14ac:dyDescent="0.6">
      <c r="B18" s="1" t="s">
        <v>18</v>
      </c>
      <c r="C18" s="1" cm="1">
        <f t="array" ref="C18">(_xll.RtGet("IDN","JP"&amp;B18&amp;"ONI=TRDT","BID")+_xll.RtGet("IDN","JP"&amp;B18&amp;"ONI=TRDT","ASK"))/2</f>
      </c>
    </row>
    <row r="19" spans="2:3" x14ac:dyDescent="0.6">
      <c r="B19" s="1" t="s">
        <v>19</v>
      </c>
      <c r="C19" s="1" cm="1">
        <f t="array" ref="C19">(_xll.RtGet("IDN","JP"&amp;B19&amp;"ONI=TRDT","BID")+_xll.RtGet("IDN","JP"&amp;B19&amp;"ONI=TRDT","ASK"))/2</f>
      </c>
    </row>
    <row r="20" spans="2:3" x14ac:dyDescent="0.6">
      <c r="B20" s="1" t="s">
        <v>20</v>
      </c>
      <c r="C20" s="1" cm="1">
        <f t="array" ref="C20">(_xll.RtGet("IDN","JP"&amp;B20&amp;"ONI=TRDT","BID")+_xll.RtGet("IDN","JP"&amp;B20&amp;"ONI=TRDT","ASK"))/2</f>
      </c>
    </row>
    <row r="21" spans="2:3" x14ac:dyDescent="0.6">
      <c r="B21" s="1" t="s">
        <v>21</v>
      </c>
      <c r="C21" s="1" cm="1">
        <f t="array" ref="C21">(_xll.RtGet("IDN","JP"&amp;B21&amp;"ONI=TRDT","BID")+_xll.RtGet("IDN","JP"&amp;B21&amp;"ONI=TRDT","ASK"))/2</f>
      </c>
    </row>
    <row r="22" spans="2:3" x14ac:dyDescent="0.6">
      <c r="B22" s="1" t="s">
        <v>22</v>
      </c>
      <c r="C22" s="1" cm="1">
        <f t="array" ref="C22">(_xll.RtGet("IDN","JP"&amp;B22&amp;"ONI=TRDT","BID")+_xll.RtGet("IDN","JP"&amp;B22&amp;"ONI=TRDT","ASK"))/2</f>
      </c>
    </row>
    <row r="23" spans="2:3" x14ac:dyDescent="0.6">
      <c r="B23" s="1" t="s">
        <v>23</v>
      </c>
      <c r="C23" s="1" cm="1">
        <f t="array" ref="C23">(_xll.RtGet("IDN","JP"&amp;B23&amp;"ONI=TRDT","BID")+_xll.RtGet("IDN","JP"&amp;B23&amp;"ONI=TRDT","ASK"))/2</f>
      </c>
    </row>
    <row r="24" spans="2:3" x14ac:dyDescent="0.6">
      <c r="B24" s="1" t="s">
        <v>24</v>
      </c>
      <c r="C24" s="1" cm="1">
        <f t="array" ref="C24">(_xll.RtGet("IDN","JP"&amp;B24&amp;"ONI=TRDT","BID")+_xll.RtGet("IDN","JP"&amp;B24&amp;"ONI=TRDT","ASK"))/2</f>
      </c>
    </row>
    <row r="25" spans="2:3" x14ac:dyDescent="0.6">
      <c r="B25" s="1" t="s">
        <v>25</v>
      </c>
      <c r="C25" s="1" cm="1">
        <f t="array" ref="C25">(_xll.RtGet("IDN","JP"&amp;B25&amp;"ONI=TRDT","BID")+_xll.RtGet("IDN","JP"&amp;B25&amp;"ONI=TRDT","ASK"))/2</f>
      </c>
    </row>
    <row r="26" spans="2:3" x14ac:dyDescent="0.6">
      <c r="B26" s="1" t="s">
        <v>26</v>
      </c>
      <c r="C26" s="1" cm="1">
        <f t="array" ref="C26">(_xll.RtGet("IDN","JP"&amp;B26&amp;"ONI=TRDT","BID")+_xll.RtGet("IDN","JP"&amp;B26&amp;"ONI=TRDT","ASK"))/2</f>
      </c>
    </row>
    <row r="27" spans="2:3" x14ac:dyDescent="0.6">
      <c r="B27" s="1" t="s">
        <v>27</v>
      </c>
      <c r="C27" s="1" cm="1">
        <f t="array" ref="C27">(_xll.RtGet("IDN","JP"&amp;B27&amp;"ONI=TRDT","BID")+_xll.RtGet("IDN","JP"&amp;B27&amp;"ONI=TRDT","ASK"))/2</f>
      </c>
    </row>
    <row r="28" spans="2:3" x14ac:dyDescent="0.6">
      <c r="B28" s="1" t="s">
        <v>28</v>
      </c>
      <c r="C28" s="1" cm="1">
        <f t="array" ref="C28">(_xll.RtGet("IDN","JP"&amp;B28&amp;"ONI=TRDT","BID")+_xll.RtGet("IDN","JP"&amp;B28&amp;"ONI=TRDT","ASK"))/2</f>
      </c>
    </row>
    <row r="29" spans="2:3" x14ac:dyDescent="0.6">
      <c r="B29" s="1" t="s">
        <v>29</v>
      </c>
      <c r="C29" s="1" cm="1">
        <f t="array" ref="C29">(_xll.RtGet("IDN","JP"&amp;B29&amp;"ONI=TRDT","BID")+_xll.RtGet("IDN","JP"&amp;B29&amp;"ONI=TRDT","ASK"))/2</f>
      </c>
    </row>
    <row r="30" spans="2:3" x14ac:dyDescent="0.6">
      <c r="B30" s="1" t="s">
        <v>30</v>
      </c>
      <c r="C30" s="1" cm="1">
        <f t="array" ref="C30">(_xll.RtGet("IDN","JP"&amp;B30&amp;"ONI=TRDT","BID")+_xll.RtGet("IDN","JP"&amp;B30&amp;"ONI=TRDT","ASK"))/2</f>
      </c>
    </row>
    <row r="31" spans="2:3" x14ac:dyDescent="0.6">
      <c r="B31" s="1" t="s">
        <v>31</v>
      </c>
      <c r="C31" s="1" cm="1">
        <f t="array" ref="C31">(_xll.RtGet("IDN","JP"&amp;B31&amp;"ONI=TRDT","BID")+_xll.RtGet("IDN","JP"&amp;B31&amp;"ONI=TRDT","ASK"))/2</f>
      </c>
    </row>
    <row r="32" spans="2:3" x14ac:dyDescent="0.6">
      <c r="B32" s="1" t="s">
        <v>32</v>
      </c>
      <c r="C32" s="1" cm="1">
        <f t="array" ref="C32">(_xll.RtGet("IDN","JP"&amp;B32&amp;"ONI=TRDT","BID")+_xll.RtGet("IDN","JP"&amp;B32&amp;"ONI=TRDT","ASK"))/2</f>
      </c>
    </row>
    <row r="33" spans="1:3" x14ac:dyDescent="0.6">
      <c r="B33" s="1" t="s">
        <v>33</v>
      </c>
      <c r="C33" s="1" cm="1">
        <f t="array" ref="C33">(_xll.RtGet("IDN","JP"&amp;B33&amp;"ONI=TRDT","BID")+_xll.RtGet("IDN","JP"&amp;B33&amp;"ONI=TRDT","ASK"))/2</f>
      </c>
    </row>
    <row r="34" spans="1:3" x14ac:dyDescent="0.6">
      <c r="B34" s="1" t="s">
        <v>34</v>
      </c>
      <c r="C34" s="1" cm="1">
        <f t="array" ref="C34">(_xll.RtGet("IDN","JP"&amp;B34&amp;"ONI=TRDT","BID")+_xll.RtGet("IDN","JP"&amp;B34&amp;"ONI=TRDT","ASK"))/2</f>
      </c>
    </row>
    <row r="35" spans="1:3" x14ac:dyDescent="0.6">
      <c r="B35" s="1" t="s">
        <v>35</v>
      </c>
      <c r="C35" s="1" cm="1">
        <f t="array" ref="C35">(_xll.RtGet("IDN","JP"&amp;B35&amp;"ONI=TRDT","BID")+_xll.RtGet("IDN","JP"&amp;B35&amp;"ONI=TRDT","ASK"))/2</f>
      </c>
    </row>
    <row r="36" spans="1:3" x14ac:dyDescent="0.6">
      <c r="A36" s="1">
        <v>1</v>
      </c>
      <c r="B36" s="1" t="s">
        <v>36</v>
      </c>
      <c r="C36" s="1" cm="1">
        <f t="array" ref="C36">(_xll.TR("JPBOJ"&amp;A36&amp;"ONI=TRDT","BID")+_xll.TR("JPBOJ"&amp;A36&amp;"ONI=TRDT","ASK"))/2</f>
      </c>
    </row>
    <row r="37" spans="1:3" x14ac:dyDescent="0.6">
      <c r="A37" s="1">
        <v>2</v>
      </c>
      <c r="B37" s="1" t="s">
        <v>37</v>
      </c>
      <c r="C37" s="1" cm="1">
        <f t="array" ref="C37">(_xll.TR("JPBOJ"&amp;A37&amp;"ONI=TRDT","BID")+_xll.TR("JPBOJ"&amp;A37&amp;"ONI=TRDT","ASK"))/2</f>
      </c>
    </row>
    <row r="38" spans="1:3" x14ac:dyDescent="0.6">
      <c r="A38" s="1">
        <v>3</v>
      </c>
      <c r="B38" s="1" t="s">
        <v>38</v>
      </c>
      <c r="C38" s="1" cm="1">
        <f t="array" ref="C38">(_xll.TR("JPBOJ"&amp;A38&amp;"ONI=TRDT","BID")+_xll.TR("JPBOJ"&amp;A38&amp;"ONI=TRDT","ASK"))/2</f>
      </c>
    </row>
    <row r="39" spans="1:3" x14ac:dyDescent="0.6">
      <c r="A39" s="1">
        <v>4</v>
      </c>
      <c r="B39" s="1" t="s">
        <v>39</v>
      </c>
      <c r="C39" s="1" cm="1">
        <f t="array" ref="C39">(_xll.TR("JPBOJ"&amp;A39&amp;"ONI=TRDT","BID")+_xll.TR("JPBOJ"&amp;A39&amp;"ONI=TRDT","ASK"))/2</f>
      </c>
    </row>
    <row r="40" spans="1:3" x14ac:dyDescent="0.6">
      <c r="A40" s="1">
        <v>5</v>
      </c>
      <c r="B40" s="1" t="s">
        <v>40</v>
      </c>
      <c r="C40" s="1" cm="1">
        <f t="array" ref="C40">(_xll.TR("JPBOJ"&amp;A40&amp;"ONI=TRDT","BID")+_xll.TR("JPBOJ"&amp;A40&amp;"ONI=TRDT","ASK"))/2</f>
      </c>
    </row>
    <row r="41" spans="1:3" x14ac:dyDescent="0.6">
      <c r="A41" s="1">
        <v>6</v>
      </c>
      <c r="B41" s="1" t="s">
        <v>41</v>
      </c>
      <c r="C41" s="1" cm="1">
        <f t="array" ref="C41">(_xll.TR("JPBOJ"&amp;A41&amp;"ONI=TRDT","BID")+_xll.TR("JPBOJ"&amp;A41&amp;"ONI=TRDT","ASK"))/2</f>
      </c>
    </row>
    <row r="42" spans="1:3" x14ac:dyDescent="0.6">
      <c r="A42" s="1">
        <v>7</v>
      </c>
      <c r="B42" s="1" t="s">
        <v>42</v>
      </c>
      <c r="C42" s="1" cm="1">
        <f t="array" ref="C42">(_xll.TR("JPBOJ"&amp;A42&amp;"ONI=TRDT","BID")+_xll.TR("JPBOJ"&amp;A42&amp;"ONI=TRDT","ASK"))/2</f>
      </c>
    </row>
    <row r="43" spans="1:3" x14ac:dyDescent="0.6">
      <c r="A43" s="1">
        <v>8</v>
      </c>
      <c r="B43" s="1" t="s">
        <v>43</v>
      </c>
      <c r="C43" s="1" cm="1">
        <f t="array" ref="C43">(_xll.TR("JPBOJ"&amp;A43&amp;"ONI=TRDT","BID")+_xll.TR("JPBOJ"&amp;A43&amp;"ONI=TRDT","ASK"))/2</f>
      </c>
    </row>
  </sheetData>
  <phoneticPr fontId="2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A20F3-9E4F-4C32-AC24-CD1F7422ADC3}">
  <sheetPr codeName="Sheet8"/>
  <dimension ref="A1:G400"/>
  <sheetViews>
    <sheetView workbookViewId="0"/>
  </sheetViews>
  <sheetFormatPr defaultRowHeight="18" x14ac:dyDescent="0.55000000000000004"/>
  <sheetData>
    <row r="1" spans="1:7" x14ac:dyDescent="0.55000000000000004">
      <c r="A1" s="7" t="s">
        <v>76</v>
      </c>
      <c r="B1" s="7" t="s">
        <v>77</v>
      </c>
      <c r="C1" s="7" t="s">
        <v>78</v>
      </c>
      <c r="D1" s="7" t="s">
        <v>79</v>
      </c>
      <c r="E1" s="7" t="s">
        <v>1</v>
      </c>
      <c r="G1" t="s">
        <v>83</v>
      </c>
    </row>
    <row r="2" spans="1:7" ht="20" x14ac:dyDescent="0.6">
      <c r="A2" t="s">
        <v>4</v>
      </c>
      <c r="B2" t="s">
        <v>80</v>
      </c>
      <c r="C2" cm="1">
        <f t="array" ref="C2:C193">A2:A193&amp;"x"&amp;B2:B193</f>
      </c>
      <c r="D2" cm="1">
        <f t="array" ref="D2:D193">"JPYTO"&amp;A2:A193&amp;"X"&amp;B2:B193&amp;"ATM=R"</f>
      </c>
      <c r="E2" s="16">
        <f>_xll.RtGet("IDN",D2,"MID_IV_NOR")</f>
      </c>
      <c r="G2" t="s">
        <v>84</v>
      </c>
    </row>
    <row r="3" spans="1:7" ht="20" x14ac:dyDescent="0.6">
      <c r="A3" t="s">
        <v>4</v>
      </c>
      <c r="B3" t="s">
        <v>81</v>
      </c>
      <c r="E3" s="16">
        <f>_xll.RtGet("IDN",D3,"MID_IV_NOR")</f>
      </c>
    </row>
    <row r="4" spans="1:7" ht="20" x14ac:dyDescent="0.6">
      <c r="A4" t="s">
        <v>4</v>
      </c>
      <c r="B4" t="s">
        <v>82</v>
      </c>
      <c r="E4" s="16">
        <f>_xll.RtGet("IDN",D4,"MID_IV_NOR")</f>
      </c>
    </row>
    <row r="5" spans="1:7" ht="20" x14ac:dyDescent="0.6">
      <c r="A5" t="s">
        <v>4</v>
      </c>
      <c r="B5" t="s">
        <v>21</v>
      </c>
      <c r="E5" s="16">
        <f>_xll.RtGet("IDN",D5,"MID_IV_NOR")</f>
      </c>
    </row>
    <row r="6" spans="1:7" ht="20" x14ac:dyDescent="0.6">
      <c r="A6" t="s">
        <v>4</v>
      </c>
      <c r="B6" t="s">
        <v>22</v>
      </c>
      <c r="E6" s="16">
        <f>_xll.RtGet("IDN",D6,"MID_IV_NOR")</f>
      </c>
    </row>
    <row r="7" spans="1:7" ht="20" x14ac:dyDescent="0.6">
      <c r="A7" t="s">
        <v>4</v>
      </c>
      <c r="B7" t="s">
        <v>23</v>
      </c>
      <c r="E7" s="16">
        <f>_xll.RtGet("IDN",D7,"MID_IV_NOR")</f>
      </c>
    </row>
    <row r="8" spans="1:7" ht="20" x14ac:dyDescent="0.6">
      <c r="A8" t="s">
        <v>4</v>
      </c>
      <c r="B8" t="s">
        <v>24</v>
      </c>
      <c r="E8" s="16">
        <f>_xll.RtGet("IDN",D8,"MID_IV_NOR")</f>
      </c>
    </row>
    <row r="9" spans="1:7" ht="20" x14ac:dyDescent="0.6">
      <c r="A9" t="s">
        <v>4</v>
      </c>
      <c r="B9" t="s">
        <v>25</v>
      </c>
      <c r="E9" s="16">
        <f>_xll.RtGet("IDN",D9,"MID_IV_NOR")</f>
      </c>
    </row>
    <row r="10" spans="1:7" ht="20" x14ac:dyDescent="0.6">
      <c r="A10" t="s">
        <v>4</v>
      </c>
      <c r="B10" t="s">
        <v>26</v>
      </c>
      <c r="E10" s="16">
        <f>_xll.RtGet("IDN",D10,"MID_IV_NOR")</f>
      </c>
    </row>
    <row r="11" spans="1:7" ht="20" x14ac:dyDescent="0.6">
      <c r="A11" t="s">
        <v>4</v>
      </c>
      <c r="B11" t="s">
        <v>27</v>
      </c>
      <c r="E11" s="16">
        <f>_xll.RtGet("IDN",D11,"MID_IV_NOR")</f>
      </c>
    </row>
    <row r="12" spans="1:7" ht="20" x14ac:dyDescent="0.6">
      <c r="A12" t="s">
        <v>4</v>
      </c>
      <c r="B12" t="s">
        <v>30</v>
      </c>
      <c r="E12" s="16">
        <f>_xll.RtGet("IDN",D12,"MID_IV_NOR")</f>
      </c>
    </row>
    <row r="13" spans="1:7" ht="20" x14ac:dyDescent="0.6">
      <c r="A13" t="s">
        <v>4</v>
      </c>
      <c r="B13" t="s">
        <v>31</v>
      </c>
      <c r="E13" s="16">
        <f>_xll.RtGet("IDN",D13,"MID_IV_NOR")</f>
      </c>
    </row>
    <row r="14" spans="1:7" ht="20" x14ac:dyDescent="0.6">
      <c r="A14" t="s">
        <v>5</v>
      </c>
      <c r="B14" t="s">
        <v>80</v>
      </c>
      <c r="E14" s="16">
        <f>_xll.RtGet("IDN",D14,"MID_IV_NOR")</f>
      </c>
    </row>
    <row r="15" spans="1:7" ht="20" x14ac:dyDescent="0.6">
      <c r="A15" t="s">
        <v>5</v>
      </c>
      <c r="B15" t="s">
        <v>81</v>
      </c>
      <c r="E15" s="16">
        <f>_xll.RtGet("IDN",D15,"MID_IV_NOR")</f>
      </c>
    </row>
    <row r="16" spans="1:7" ht="20" x14ac:dyDescent="0.6">
      <c r="A16" t="s">
        <v>5</v>
      </c>
      <c r="B16" t="s">
        <v>82</v>
      </c>
      <c r="E16" s="16">
        <f>_xll.RtGet("IDN",D16,"MID_IV_NOR")</f>
      </c>
    </row>
    <row r="17" spans="1:5" ht="20" x14ac:dyDescent="0.6">
      <c r="A17" t="s">
        <v>5</v>
      </c>
      <c r="B17" t="s">
        <v>21</v>
      </c>
      <c r="E17" s="16">
        <f>_xll.RtGet("IDN",D17,"MID_IV_NOR")</f>
      </c>
    </row>
    <row r="18" spans="1:5" ht="20" x14ac:dyDescent="0.6">
      <c r="A18" t="s">
        <v>5</v>
      </c>
      <c r="B18" t="s">
        <v>22</v>
      </c>
      <c r="E18" s="16">
        <f>_xll.RtGet("IDN",D18,"MID_IV_NOR")</f>
      </c>
    </row>
    <row r="19" spans="1:5" ht="20" x14ac:dyDescent="0.6">
      <c r="A19" t="s">
        <v>5</v>
      </c>
      <c r="B19" t="s">
        <v>23</v>
      </c>
      <c r="E19" s="16">
        <f>_xll.RtGet("IDN",D19,"MID_IV_NOR")</f>
      </c>
    </row>
    <row r="20" spans="1:5" ht="20" x14ac:dyDescent="0.6">
      <c r="A20" t="s">
        <v>5</v>
      </c>
      <c r="B20" t="s">
        <v>24</v>
      </c>
      <c r="E20" s="16">
        <f>_xll.RtGet("IDN",D20,"MID_IV_NOR")</f>
      </c>
    </row>
    <row r="21" spans="1:5" ht="20" x14ac:dyDescent="0.6">
      <c r="A21" t="s">
        <v>5</v>
      </c>
      <c r="B21" t="s">
        <v>25</v>
      </c>
      <c r="E21" s="16">
        <f>_xll.RtGet("IDN",D21,"MID_IV_NOR")</f>
      </c>
    </row>
    <row r="22" spans="1:5" ht="20" x14ac:dyDescent="0.6">
      <c r="A22" t="s">
        <v>5</v>
      </c>
      <c r="B22" t="s">
        <v>26</v>
      </c>
      <c r="E22" s="16">
        <f>_xll.RtGet("IDN",D22,"MID_IV_NOR")</f>
      </c>
    </row>
    <row r="23" spans="1:5" ht="20" x14ac:dyDescent="0.6">
      <c r="A23" t="s">
        <v>5</v>
      </c>
      <c r="B23" t="s">
        <v>27</v>
      </c>
      <c r="E23" s="16">
        <f>_xll.RtGet("IDN",D23,"MID_IV_NOR")</f>
      </c>
    </row>
    <row r="24" spans="1:5" ht="20" x14ac:dyDescent="0.6">
      <c r="A24" t="s">
        <v>5</v>
      </c>
      <c r="B24" t="s">
        <v>30</v>
      </c>
      <c r="E24" s="16">
        <f>_xll.RtGet("IDN",D24,"MID_IV_NOR")</f>
      </c>
    </row>
    <row r="25" spans="1:5" ht="20" x14ac:dyDescent="0.6">
      <c r="A25" t="s">
        <v>5</v>
      </c>
      <c r="B25" t="s">
        <v>31</v>
      </c>
      <c r="E25" s="16">
        <f>_xll.RtGet("IDN",D25,"MID_IV_NOR")</f>
      </c>
    </row>
    <row r="26" spans="1:5" ht="20" x14ac:dyDescent="0.6">
      <c r="A26" t="s">
        <v>6</v>
      </c>
      <c r="B26" t="s">
        <v>80</v>
      </c>
      <c r="E26" s="16">
        <f>_xll.RtGet("IDN",D26,"MID_IV_NOR")</f>
      </c>
    </row>
    <row r="27" spans="1:5" ht="20" x14ac:dyDescent="0.6">
      <c r="A27" t="s">
        <v>6</v>
      </c>
      <c r="B27" t="s">
        <v>81</v>
      </c>
      <c r="E27" s="16">
        <f>_xll.RtGet("IDN",D27,"MID_IV_NOR")</f>
      </c>
    </row>
    <row r="28" spans="1:5" ht="20" x14ac:dyDescent="0.6">
      <c r="A28" t="s">
        <v>6</v>
      </c>
      <c r="B28" t="s">
        <v>82</v>
      </c>
      <c r="E28" s="16">
        <f>_xll.RtGet("IDN",D28,"MID_IV_NOR")</f>
      </c>
    </row>
    <row r="29" spans="1:5" ht="20" x14ac:dyDescent="0.6">
      <c r="A29" t="s">
        <v>6</v>
      </c>
      <c r="B29" t="s">
        <v>21</v>
      </c>
      <c r="E29" s="16">
        <f>_xll.RtGet("IDN",D29,"MID_IV_NOR")</f>
      </c>
    </row>
    <row r="30" spans="1:5" ht="20" x14ac:dyDescent="0.6">
      <c r="A30" t="s">
        <v>6</v>
      </c>
      <c r="B30" t="s">
        <v>22</v>
      </c>
      <c r="E30" s="16">
        <f>_xll.RtGet("IDN",D30,"MID_IV_NOR")</f>
      </c>
    </row>
    <row r="31" spans="1:5" ht="20" x14ac:dyDescent="0.6">
      <c r="A31" t="s">
        <v>6</v>
      </c>
      <c r="B31" t="s">
        <v>23</v>
      </c>
      <c r="E31" s="16">
        <f>_xll.RtGet("IDN",D31,"MID_IV_NOR")</f>
      </c>
    </row>
    <row r="32" spans="1:5" ht="20" x14ac:dyDescent="0.6">
      <c r="A32" t="s">
        <v>6</v>
      </c>
      <c r="B32" t="s">
        <v>24</v>
      </c>
      <c r="E32" s="16">
        <f>_xll.RtGet("IDN",D32,"MID_IV_NOR")</f>
      </c>
    </row>
    <row r="33" spans="1:5" ht="20" x14ac:dyDescent="0.6">
      <c r="A33" t="s">
        <v>6</v>
      </c>
      <c r="B33" t="s">
        <v>25</v>
      </c>
      <c r="E33" s="16">
        <f>_xll.RtGet("IDN",D33,"MID_IV_NOR")</f>
      </c>
    </row>
    <row r="34" spans="1:5" ht="20" x14ac:dyDescent="0.6">
      <c r="A34" t="s">
        <v>6</v>
      </c>
      <c r="B34" t="s">
        <v>26</v>
      </c>
      <c r="E34" s="16">
        <f>_xll.RtGet("IDN",D34,"MID_IV_NOR")</f>
      </c>
    </row>
    <row r="35" spans="1:5" ht="20" x14ac:dyDescent="0.6">
      <c r="A35" t="s">
        <v>6</v>
      </c>
      <c r="B35" t="s">
        <v>27</v>
      </c>
      <c r="E35" s="16">
        <f>_xll.RtGet("IDN",D35,"MID_IV_NOR")</f>
      </c>
    </row>
    <row r="36" spans="1:5" ht="20" x14ac:dyDescent="0.6">
      <c r="A36" t="s">
        <v>6</v>
      </c>
      <c r="B36" t="s">
        <v>30</v>
      </c>
      <c r="E36" s="16">
        <f>_xll.RtGet("IDN",D36,"MID_IV_NOR")</f>
      </c>
    </row>
    <row r="37" spans="1:5" ht="20" x14ac:dyDescent="0.6">
      <c r="A37" t="s">
        <v>6</v>
      </c>
      <c r="B37" t="s">
        <v>31</v>
      </c>
      <c r="E37" s="16">
        <f>_xll.RtGet("IDN",D37,"MID_IV_NOR")</f>
      </c>
    </row>
    <row r="38" spans="1:5" ht="20" x14ac:dyDescent="0.6">
      <c r="A38" t="s">
        <v>9</v>
      </c>
      <c r="B38" t="s">
        <v>80</v>
      </c>
      <c r="E38" s="16">
        <f>_xll.RtGet("IDN",D38,"MID_IV_NOR")</f>
      </c>
    </row>
    <row r="39" spans="1:5" ht="20" x14ac:dyDescent="0.6">
      <c r="A39" t="s">
        <v>9</v>
      </c>
      <c r="B39" t="s">
        <v>81</v>
      </c>
      <c r="E39" s="16">
        <f>_xll.RtGet("IDN",D39,"MID_IV_NOR")</f>
      </c>
    </row>
    <row r="40" spans="1:5" ht="20" x14ac:dyDescent="0.6">
      <c r="A40" t="s">
        <v>9</v>
      </c>
      <c r="B40" t="s">
        <v>82</v>
      </c>
      <c r="E40" s="16">
        <f>_xll.RtGet("IDN",D40,"MID_IV_NOR")</f>
      </c>
    </row>
    <row r="41" spans="1:5" ht="20" x14ac:dyDescent="0.6">
      <c r="A41" t="s">
        <v>9</v>
      </c>
      <c r="B41" t="s">
        <v>21</v>
      </c>
      <c r="E41" s="16">
        <f>_xll.RtGet("IDN",D41,"MID_IV_NOR")</f>
      </c>
    </row>
    <row r="42" spans="1:5" ht="20" x14ac:dyDescent="0.6">
      <c r="A42" t="s">
        <v>9</v>
      </c>
      <c r="B42" t="s">
        <v>22</v>
      </c>
      <c r="E42" s="16">
        <f>_xll.RtGet("IDN",D42,"MID_IV_NOR")</f>
      </c>
    </row>
    <row r="43" spans="1:5" ht="20" x14ac:dyDescent="0.6">
      <c r="A43" t="s">
        <v>9</v>
      </c>
      <c r="B43" t="s">
        <v>23</v>
      </c>
      <c r="E43" s="16">
        <f>_xll.RtGet("IDN",D43,"MID_IV_NOR")</f>
      </c>
    </row>
    <row r="44" spans="1:5" ht="20" x14ac:dyDescent="0.6">
      <c r="A44" t="s">
        <v>9</v>
      </c>
      <c r="B44" t="s">
        <v>24</v>
      </c>
      <c r="E44" s="16">
        <f>_xll.RtGet("IDN",D44,"MID_IV_NOR")</f>
      </c>
    </row>
    <row r="45" spans="1:5" ht="20" x14ac:dyDescent="0.6">
      <c r="A45" t="s">
        <v>9</v>
      </c>
      <c r="B45" t="s">
        <v>25</v>
      </c>
      <c r="E45" s="16">
        <f>_xll.RtGet("IDN",D45,"MID_IV_NOR")</f>
      </c>
    </row>
    <row r="46" spans="1:5" ht="20" x14ac:dyDescent="0.6">
      <c r="A46" t="s">
        <v>9</v>
      </c>
      <c r="B46" t="s">
        <v>26</v>
      </c>
      <c r="E46" s="16">
        <f>_xll.RtGet("IDN",D46,"MID_IV_NOR")</f>
      </c>
    </row>
    <row r="47" spans="1:5" ht="20" x14ac:dyDescent="0.6">
      <c r="A47" t="s">
        <v>9</v>
      </c>
      <c r="B47" t="s">
        <v>27</v>
      </c>
      <c r="E47" s="16">
        <f>_xll.RtGet("IDN",D47,"MID_IV_NOR")</f>
      </c>
    </row>
    <row r="48" spans="1:5" ht="20" x14ac:dyDescent="0.6">
      <c r="A48" t="s">
        <v>9</v>
      </c>
      <c r="B48" t="s">
        <v>30</v>
      </c>
      <c r="E48" s="16">
        <f>_xll.RtGet("IDN",D48,"MID_IV_NOR")</f>
      </c>
    </row>
    <row r="49" spans="1:5" ht="20" x14ac:dyDescent="0.6">
      <c r="A49" t="s">
        <v>9</v>
      </c>
      <c r="B49" t="s">
        <v>31</v>
      </c>
      <c r="E49" s="16">
        <f>_xll.RtGet("IDN",D49,"MID_IV_NOR")</f>
      </c>
    </row>
    <row r="50" spans="1:5" ht="20" x14ac:dyDescent="0.6">
      <c r="A50" t="s">
        <v>12</v>
      </c>
      <c r="B50" t="s">
        <v>80</v>
      </c>
      <c r="E50" s="16">
        <f>_xll.RtGet("IDN",D50,"MID_IV_NOR")</f>
      </c>
    </row>
    <row r="51" spans="1:5" ht="20" x14ac:dyDescent="0.6">
      <c r="A51" t="s">
        <v>12</v>
      </c>
      <c r="B51" t="s">
        <v>81</v>
      </c>
      <c r="E51" s="16">
        <f>_xll.RtGet("IDN",D51,"MID_IV_NOR")</f>
      </c>
    </row>
    <row r="52" spans="1:5" ht="20" x14ac:dyDescent="0.6">
      <c r="A52" t="s">
        <v>12</v>
      </c>
      <c r="B52" t="s">
        <v>82</v>
      </c>
      <c r="E52" s="16">
        <f>_xll.RtGet("IDN",D52,"MID_IV_NOR")</f>
      </c>
    </row>
    <row r="53" spans="1:5" ht="20" x14ac:dyDescent="0.6">
      <c r="A53" t="s">
        <v>12</v>
      </c>
      <c r="B53" t="s">
        <v>21</v>
      </c>
      <c r="E53" s="16">
        <f>_xll.RtGet("IDN",D53,"MID_IV_NOR")</f>
      </c>
    </row>
    <row r="54" spans="1:5" ht="20" x14ac:dyDescent="0.6">
      <c r="A54" t="s">
        <v>12</v>
      </c>
      <c r="B54" t="s">
        <v>22</v>
      </c>
      <c r="E54" s="16">
        <f>_xll.RtGet("IDN",D54,"MID_IV_NOR")</f>
      </c>
    </row>
    <row r="55" spans="1:5" ht="20" x14ac:dyDescent="0.6">
      <c r="A55" t="s">
        <v>12</v>
      </c>
      <c r="B55" t="s">
        <v>23</v>
      </c>
      <c r="E55" s="16">
        <f>_xll.RtGet("IDN",D55,"MID_IV_NOR")</f>
      </c>
    </row>
    <row r="56" spans="1:5" ht="20" x14ac:dyDescent="0.6">
      <c r="A56" t="s">
        <v>12</v>
      </c>
      <c r="B56" t="s">
        <v>24</v>
      </c>
      <c r="E56" s="16">
        <f>_xll.RtGet("IDN",D56,"MID_IV_NOR")</f>
      </c>
    </row>
    <row r="57" spans="1:5" ht="20" x14ac:dyDescent="0.6">
      <c r="A57" t="s">
        <v>12</v>
      </c>
      <c r="B57" t="s">
        <v>25</v>
      </c>
      <c r="E57" s="16">
        <f>_xll.RtGet("IDN",D57,"MID_IV_NOR")</f>
      </c>
    </row>
    <row r="58" spans="1:5" ht="20" x14ac:dyDescent="0.6">
      <c r="A58" t="s">
        <v>12</v>
      </c>
      <c r="B58" t="s">
        <v>26</v>
      </c>
      <c r="E58" s="16">
        <f>_xll.RtGet("IDN",D58,"MID_IV_NOR")</f>
      </c>
    </row>
    <row r="59" spans="1:5" ht="20" x14ac:dyDescent="0.6">
      <c r="A59" t="s">
        <v>12</v>
      </c>
      <c r="B59" t="s">
        <v>27</v>
      </c>
      <c r="E59" s="16">
        <f>_xll.RtGet("IDN",D59,"MID_IV_NOR")</f>
      </c>
    </row>
    <row r="60" spans="1:5" ht="20" x14ac:dyDescent="0.6">
      <c r="A60" t="s">
        <v>12</v>
      </c>
      <c r="B60" t="s">
        <v>30</v>
      </c>
      <c r="E60" s="16">
        <f>_xll.RtGet("IDN",D60,"MID_IV_NOR")</f>
      </c>
    </row>
    <row r="61" spans="1:5" ht="20" x14ac:dyDescent="0.6">
      <c r="A61" t="s">
        <v>12</v>
      </c>
      <c r="B61" t="s">
        <v>31</v>
      </c>
      <c r="E61" s="16">
        <f>_xll.RtGet("IDN",D61,"MID_IV_NOR")</f>
      </c>
    </row>
    <row r="62" spans="1:5" ht="20" x14ac:dyDescent="0.6">
      <c r="A62" t="s">
        <v>80</v>
      </c>
      <c r="B62" t="s">
        <v>80</v>
      </c>
      <c r="E62" s="16">
        <f>_xll.RtGet("IDN",D62,"MID_IV_NOR")</f>
      </c>
    </row>
    <row r="63" spans="1:5" ht="20" x14ac:dyDescent="0.6">
      <c r="A63" t="s">
        <v>80</v>
      </c>
      <c r="B63" t="s">
        <v>81</v>
      </c>
      <c r="E63" s="16">
        <f>_xll.RtGet("IDN",D63,"MID_IV_NOR")</f>
      </c>
    </row>
    <row r="64" spans="1:5" ht="20" x14ac:dyDescent="0.6">
      <c r="A64" t="s">
        <v>80</v>
      </c>
      <c r="B64" t="s">
        <v>82</v>
      </c>
      <c r="E64" s="16">
        <f>_xll.RtGet("IDN",D64,"MID_IV_NOR")</f>
      </c>
    </row>
    <row r="65" spans="1:5" ht="20" x14ac:dyDescent="0.6">
      <c r="A65" t="s">
        <v>80</v>
      </c>
      <c r="B65" t="s">
        <v>21</v>
      </c>
      <c r="E65" s="16">
        <f>_xll.RtGet("IDN",D65,"MID_IV_NOR")</f>
      </c>
    </row>
    <row r="66" spans="1:5" ht="20" x14ac:dyDescent="0.6">
      <c r="A66" t="s">
        <v>80</v>
      </c>
      <c r="B66" t="s">
        <v>22</v>
      </c>
      <c r="E66" s="16">
        <f>_xll.RtGet("IDN",D66,"MID_IV_NOR")</f>
      </c>
    </row>
    <row r="67" spans="1:5" ht="20" x14ac:dyDescent="0.6">
      <c r="A67" t="s">
        <v>80</v>
      </c>
      <c r="B67" t="s">
        <v>23</v>
      </c>
      <c r="E67" s="16">
        <f>_xll.RtGet("IDN",D67,"MID_IV_NOR")</f>
      </c>
    </row>
    <row r="68" spans="1:5" ht="20" x14ac:dyDescent="0.6">
      <c r="A68" t="s">
        <v>80</v>
      </c>
      <c r="B68" t="s">
        <v>24</v>
      </c>
      <c r="E68" s="16">
        <f>_xll.RtGet("IDN",D68,"MID_IV_NOR")</f>
      </c>
    </row>
    <row r="69" spans="1:5" ht="20" x14ac:dyDescent="0.6">
      <c r="A69" t="s">
        <v>80</v>
      </c>
      <c r="B69" t="s">
        <v>25</v>
      </c>
      <c r="E69" s="16">
        <f>_xll.RtGet("IDN",D69,"MID_IV_NOR")</f>
      </c>
    </row>
    <row r="70" spans="1:5" ht="20" x14ac:dyDescent="0.6">
      <c r="A70" t="s">
        <v>80</v>
      </c>
      <c r="B70" t="s">
        <v>26</v>
      </c>
      <c r="E70" s="16">
        <f>_xll.RtGet("IDN",D70,"MID_IV_NOR")</f>
      </c>
    </row>
    <row r="71" spans="1:5" ht="20" x14ac:dyDescent="0.6">
      <c r="A71" t="s">
        <v>80</v>
      </c>
      <c r="B71" t="s">
        <v>27</v>
      </c>
      <c r="E71" s="16">
        <f>_xll.RtGet("IDN",D71,"MID_IV_NOR")</f>
      </c>
    </row>
    <row r="72" spans="1:5" ht="20" x14ac:dyDescent="0.6">
      <c r="A72" t="s">
        <v>80</v>
      </c>
      <c r="B72" t="s">
        <v>30</v>
      </c>
      <c r="E72" s="16">
        <f>_xll.RtGet("IDN",D72,"MID_IV_NOR")</f>
      </c>
    </row>
    <row r="73" spans="1:5" ht="20" x14ac:dyDescent="0.6">
      <c r="A73" t="s">
        <v>80</v>
      </c>
      <c r="B73" t="s">
        <v>31</v>
      </c>
      <c r="E73" s="16">
        <f>_xll.RtGet("IDN",D73,"MID_IV_NOR")</f>
      </c>
    </row>
    <row r="74" spans="1:5" ht="20" x14ac:dyDescent="0.6">
      <c r="A74" t="s">
        <v>81</v>
      </c>
      <c r="B74" t="s">
        <v>80</v>
      </c>
      <c r="E74" s="16">
        <f>_xll.RtGet("IDN",D74,"MID_IV_NOR")</f>
      </c>
    </row>
    <row r="75" spans="1:5" ht="20" x14ac:dyDescent="0.6">
      <c r="A75" t="s">
        <v>81</v>
      </c>
      <c r="B75" t="s">
        <v>81</v>
      </c>
      <c r="E75" s="16">
        <f>_xll.RtGet("IDN",D75,"MID_IV_NOR")</f>
      </c>
    </row>
    <row r="76" spans="1:5" ht="20" x14ac:dyDescent="0.6">
      <c r="A76" t="s">
        <v>81</v>
      </c>
      <c r="B76" t="s">
        <v>82</v>
      </c>
      <c r="E76" s="16">
        <f>_xll.RtGet("IDN",D76,"MID_IV_NOR")</f>
      </c>
    </row>
    <row r="77" spans="1:5" ht="20" x14ac:dyDescent="0.6">
      <c r="A77" t="s">
        <v>81</v>
      </c>
      <c r="B77" t="s">
        <v>21</v>
      </c>
      <c r="E77" s="16">
        <f>_xll.RtGet("IDN",D77,"MID_IV_NOR")</f>
      </c>
    </row>
    <row r="78" spans="1:5" ht="20" x14ac:dyDescent="0.6">
      <c r="A78" t="s">
        <v>81</v>
      </c>
      <c r="B78" t="s">
        <v>22</v>
      </c>
      <c r="E78" s="16">
        <f>_xll.RtGet("IDN",D78,"MID_IV_NOR")</f>
      </c>
    </row>
    <row r="79" spans="1:5" ht="20" x14ac:dyDescent="0.6">
      <c r="A79" t="s">
        <v>81</v>
      </c>
      <c r="B79" t="s">
        <v>23</v>
      </c>
      <c r="E79" s="16">
        <f>_xll.RtGet("IDN",D79,"MID_IV_NOR")</f>
      </c>
    </row>
    <row r="80" spans="1:5" ht="20" x14ac:dyDescent="0.6">
      <c r="A80" t="s">
        <v>81</v>
      </c>
      <c r="B80" t="s">
        <v>24</v>
      </c>
      <c r="E80" s="16">
        <f>_xll.RtGet("IDN",D80,"MID_IV_NOR")</f>
      </c>
    </row>
    <row r="81" spans="1:5" ht="20" x14ac:dyDescent="0.6">
      <c r="A81" t="s">
        <v>81</v>
      </c>
      <c r="B81" t="s">
        <v>25</v>
      </c>
      <c r="E81" s="16">
        <f>_xll.RtGet("IDN",D81,"MID_IV_NOR")</f>
      </c>
    </row>
    <row r="82" spans="1:5" ht="20" x14ac:dyDescent="0.6">
      <c r="A82" t="s">
        <v>81</v>
      </c>
      <c r="B82" t="s">
        <v>26</v>
      </c>
      <c r="E82" s="16">
        <f>_xll.RtGet("IDN",D82,"MID_IV_NOR")</f>
      </c>
    </row>
    <row r="83" spans="1:5" ht="20" x14ac:dyDescent="0.6">
      <c r="A83" t="s">
        <v>81</v>
      </c>
      <c r="B83" t="s">
        <v>27</v>
      </c>
      <c r="E83" s="16">
        <f>_xll.RtGet("IDN",D83,"MID_IV_NOR")</f>
      </c>
    </row>
    <row r="84" spans="1:5" ht="20" x14ac:dyDescent="0.6">
      <c r="A84" t="s">
        <v>81</v>
      </c>
      <c r="B84" t="s">
        <v>30</v>
      </c>
      <c r="E84" s="16">
        <f>_xll.RtGet("IDN",D84,"MID_IV_NOR")</f>
      </c>
    </row>
    <row r="85" spans="1:5" ht="20" x14ac:dyDescent="0.6">
      <c r="A85" t="s">
        <v>81</v>
      </c>
      <c r="B85" t="s">
        <v>31</v>
      </c>
      <c r="E85" s="16">
        <f>_xll.RtGet("IDN",D85,"MID_IV_NOR")</f>
      </c>
    </row>
    <row r="86" spans="1:5" ht="20" x14ac:dyDescent="0.6">
      <c r="A86" t="s">
        <v>82</v>
      </c>
      <c r="B86" t="s">
        <v>80</v>
      </c>
      <c r="E86" s="16">
        <f>_xll.RtGet("IDN",D86,"MID_IV_NOR")</f>
      </c>
    </row>
    <row r="87" spans="1:5" ht="20" x14ac:dyDescent="0.6">
      <c r="A87" t="s">
        <v>82</v>
      </c>
      <c r="B87" t="s">
        <v>81</v>
      </c>
      <c r="E87" s="16">
        <f>_xll.RtGet("IDN",D87,"MID_IV_NOR")</f>
      </c>
    </row>
    <row r="88" spans="1:5" ht="20" x14ac:dyDescent="0.6">
      <c r="A88" t="s">
        <v>82</v>
      </c>
      <c r="B88" t="s">
        <v>82</v>
      </c>
      <c r="E88" s="16">
        <f>_xll.RtGet("IDN",D88,"MID_IV_NOR")</f>
      </c>
    </row>
    <row r="89" spans="1:5" ht="20" x14ac:dyDescent="0.6">
      <c r="A89" t="s">
        <v>82</v>
      </c>
      <c r="B89" t="s">
        <v>21</v>
      </c>
      <c r="E89" s="16">
        <f>_xll.RtGet("IDN",D89,"MID_IV_NOR")</f>
      </c>
    </row>
    <row r="90" spans="1:5" ht="20" x14ac:dyDescent="0.6">
      <c r="A90" t="s">
        <v>82</v>
      </c>
      <c r="B90" t="s">
        <v>22</v>
      </c>
      <c r="E90" s="16">
        <f>_xll.RtGet("IDN",D90,"MID_IV_NOR")</f>
      </c>
    </row>
    <row r="91" spans="1:5" ht="20" x14ac:dyDescent="0.6">
      <c r="A91" t="s">
        <v>82</v>
      </c>
      <c r="B91" t="s">
        <v>23</v>
      </c>
      <c r="E91" s="16">
        <f>_xll.RtGet("IDN",D91,"MID_IV_NOR")</f>
      </c>
    </row>
    <row r="92" spans="1:5" ht="20" x14ac:dyDescent="0.6">
      <c r="A92" t="s">
        <v>82</v>
      </c>
      <c r="B92" t="s">
        <v>24</v>
      </c>
      <c r="E92" s="16">
        <f>_xll.RtGet("IDN",D92,"MID_IV_NOR")</f>
      </c>
    </row>
    <row r="93" spans="1:5" ht="20" x14ac:dyDescent="0.6">
      <c r="A93" t="s">
        <v>82</v>
      </c>
      <c r="B93" t="s">
        <v>25</v>
      </c>
      <c r="E93" s="16">
        <f>_xll.RtGet("IDN",D93,"MID_IV_NOR")</f>
      </c>
    </row>
    <row r="94" spans="1:5" ht="20" x14ac:dyDescent="0.6">
      <c r="A94" t="s">
        <v>82</v>
      </c>
      <c r="B94" t="s">
        <v>26</v>
      </c>
      <c r="E94" s="16">
        <f>_xll.RtGet("IDN",D94,"MID_IV_NOR")</f>
      </c>
    </row>
    <row r="95" spans="1:5" ht="20" x14ac:dyDescent="0.6">
      <c r="A95" t="s">
        <v>82</v>
      </c>
      <c r="B95" t="s">
        <v>27</v>
      </c>
      <c r="E95" s="16">
        <f>_xll.RtGet("IDN",D95,"MID_IV_NOR")</f>
      </c>
    </row>
    <row r="96" spans="1:5" ht="20" x14ac:dyDescent="0.6">
      <c r="A96" t="s">
        <v>82</v>
      </c>
      <c r="B96" t="s">
        <v>30</v>
      </c>
      <c r="E96" s="16">
        <f>_xll.RtGet("IDN",D96,"MID_IV_NOR")</f>
      </c>
    </row>
    <row r="97" spans="1:5" ht="20" x14ac:dyDescent="0.6">
      <c r="A97" t="s">
        <v>82</v>
      </c>
      <c r="B97" t="s">
        <v>31</v>
      </c>
      <c r="E97" s="16">
        <f>_xll.RtGet("IDN",D97,"MID_IV_NOR")</f>
      </c>
    </row>
    <row r="98" spans="1:5" ht="20" x14ac:dyDescent="0.6">
      <c r="A98" t="s">
        <v>21</v>
      </c>
      <c r="B98" t="s">
        <v>80</v>
      </c>
      <c r="E98" s="16">
        <f>_xll.RtGet("IDN",D98,"MID_IV_NOR")</f>
      </c>
    </row>
    <row r="99" spans="1:5" ht="20" x14ac:dyDescent="0.6">
      <c r="A99" t="s">
        <v>21</v>
      </c>
      <c r="B99" t="s">
        <v>81</v>
      </c>
      <c r="E99" s="16">
        <f>_xll.RtGet("IDN",D99,"MID_IV_NOR")</f>
      </c>
    </row>
    <row r="100" spans="1:5" ht="20" x14ac:dyDescent="0.6">
      <c r="A100" t="s">
        <v>21</v>
      </c>
      <c r="B100" t="s">
        <v>82</v>
      </c>
      <c r="E100" s="16">
        <f>_xll.RtGet("IDN",D100,"MID_IV_NOR")</f>
      </c>
    </row>
    <row r="101" spans="1:5" ht="20" x14ac:dyDescent="0.6">
      <c r="A101" t="s">
        <v>21</v>
      </c>
      <c r="B101" t="s">
        <v>21</v>
      </c>
      <c r="E101" s="16">
        <f>_xll.RtGet("IDN",D101,"MID_IV_NOR")</f>
      </c>
    </row>
    <row r="102" spans="1:5" ht="20" x14ac:dyDescent="0.6">
      <c r="A102" t="s">
        <v>21</v>
      </c>
      <c r="B102" t="s">
        <v>22</v>
      </c>
      <c r="E102" s="16">
        <f>_xll.RtGet("IDN",D102,"MID_IV_NOR")</f>
      </c>
    </row>
    <row r="103" spans="1:5" ht="20" x14ac:dyDescent="0.6">
      <c r="A103" t="s">
        <v>21</v>
      </c>
      <c r="B103" t="s">
        <v>23</v>
      </c>
      <c r="E103" s="16">
        <f>_xll.RtGet("IDN",D103,"MID_IV_NOR")</f>
      </c>
    </row>
    <row r="104" spans="1:5" ht="20" x14ac:dyDescent="0.6">
      <c r="A104" t="s">
        <v>21</v>
      </c>
      <c r="B104" t="s">
        <v>24</v>
      </c>
      <c r="E104" s="16">
        <f>_xll.RtGet("IDN",D104,"MID_IV_NOR")</f>
      </c>
    </row>
    <row r="105" spans="1:5" ht="20" x14ac:dyDescent="0.6">
      <c r="A105" t="s">
        <v>21</v>
      </c>
      <c r="B105" t="s">
        <v>25</v>
      </c>
      <c r="E105" s="16">
        <f>_xll.RtGet("IDN",D105,"MID_IV_NOR")</f>
      </c>
    </row>
    <row r="106" spans="1:5" ht="20" x14ac:dyDescent="0.6">
      <c r="A106" t="s">
        <v>21</v>
      </c>
      <c r="B106" t="s">
        <v>26</v>
      </c>
      <c r="E106" s="16">
        <f>_xll.RtGet("IDN",D106,"MID_IV_NOR")</f>
      </c>
    </row>
    <row r="107" spans="1:5" ht="20" x14ac:dyDescent="0.6">
      <c r="A107" t="s">
        <v>21</v>
      </c>
      <c r="B107" t="s">
        <v>27</v>
      </c>
      <c r="E107" s="16">
        <f>_xll.RtGet("IDN",D107,"MID_IV_NOR")</f>
      </c>
    </row>
    <row r="108" spans="1:5" ht="20" x14ac:dyDescent="0.6">
      <c r="A108" t="s">
        <v>21</v>
      </c>
      <c r="B108" t="s">
        <v>30</v>
      </c>
      <c r="E108" s="16">
        <f>_xll.RtGet("IDN",D108,"MID_IV_NOR")</f>
      </c>
    </row>
    <row r="109" spans="1:5" ht="20" x14ac:dyDescent="0.6">
      <c r="A109" t="s">
        <v>21</v>
      </c>
      <c r="B109" t="s">
        <v>31</v>
      </c>
      <c r="E109" s="16">
        <f>_xll.RtGet("IDN",D109,"MID_IV_NOR")</f>
      </c>
    </row>
    <row r="110" spans="1:5" ht="20" x14ac:dyDescent="0.6">
      <c r="A110" t="s">
        <v>22</v>
      </c>
      <c r="B110" t="s">
        <v>80</v>
      </c>
      <c r="E110" s="16">
        <f>_xll.RtGet("IDN",D110,"MID_IV_NOR")</f>
      </c>
    </row>
    <row r="111" spans="1:5" ht="20" x14ac:dyDescent="0.6">
      <c r="A111" t="s">
        <v>22</v>
      </c>
      <c r="B111" t="s">
        <v>81</v>
      </c>
      <c r="E111" s="16">
        <f>_xll.RtGet("IDN",D111,"MID_IV_NOR")</f>
      </c>
    </row>
    <row r="112" spans="1:5" ht="20" x14ac:dyDescent="0.6">
      <c r="A112" t="s">
        <v>22</v>
      </c>
      <c r="B112" t="s">
        <v>82</v>
      </c>
      <c r="E112" s="16">
        <f>_xll.RtGet("IDN",D112,"MID_IV_NOR")</f>
      </c>
    </row>
    <row r="113" spans="1:5" ht="20" x14ac:dyDescent="0.6">
      <c r="A113" t="s">
        <v>22</v>
      </c>
      <c r="B113" t="s">
        <v>21</v>
      </c>
      <c r="E113" s="16">
        <f>_xll.RtGet("IDN",D113,"MID_IV_NOR")</f>
      </c>
    </row>
    <row r="114" spans="1:5" ht="20" x14ac:dyDescent="0.6">
      <c r="A114" t="s">
        <v>22</v>
      </c>
      <c r="B114" t="s">
        <v>22</v>
      </c>
      <c r="E114" s="16">
        <f>_xll.RtGet("IDN",D114,"MID_IV_NOR")</f>
      </c>
    </row>
    <row r="115" spans="1:5" ht="20" x14ac:dyDescent="0.6">
      <c r="A115" t="s">
        <v>22</v>
      </c>
      <c r="B115" t="s">
        <v>23</v>
      </c>
      <c r="E115" s="16">
        <f>_xll.RtGet("IDN",D115,"MID_IV_NOR")</f>
      </c>
    </row>
    <row r="116" spans="1:5" ht="20" x14ac:dyDescent="0.6">
      <c r="A116" t="s">
        <v>22</v>
      </c>
      <c r="B116" t="s">
        <v>24</v>
      </c>
      <c r="E116" s="16">
        <f>_xll.RtGet("IDN",D116,"MID_IV_NOR")</f>
      </c>
    </row>
    <row r="117" spans="1:5" ht="20" x14ac:dyDescent="0.6">
      <c r="A117" t="s">
        <v>22</v>
      </c>
      <c r="B117" t="s">
        <v>25</v>
      </c>
      <c r="E117" s="16">
        <f>_xll.RtGet("IDN",D117,"MID_IV_NOR")</f>
      </c>
    </row>
    <row r="118" spans="1:5" ht="20" x14ac:dyDescent="0.6">
      <c r="A118" t="s">
        <v>22</v>
      </c>
      <c r="B118" t="s">
        <v>26</v>
      </c>
      <c r="E118" s="16">
        <f>_xll.RtGet("IDN",D118,"MID_IV_NOR")</f>
      </c>
    </row>
    <row r="119" spans="1:5" ht="20" x14ac:dyDescent="0.6">
      <c r="A119" t="s">
        <v>22</v>
      </c>
      <c r="B119" t="s">
        <v>27</v>
      </c>
      <c r="E119" s="16">
        <f>_xll.RtGet("IDN",D119,"MID_IV_NOR")</f>
      </c>
    </row>
    <row r="120" spans="1:5" ht="20" x14ac:dyDescent="0.6">
      <c r="A120" t="s">
        <v>22</v>
      </c>
      <c r="B120" t="s">
        <v>30</v>
      </c>
      <c r="E120" s="16">
        <f>_xll.RtGet("IDN",D120,"MID_IV_NOR")</f>
      </c>
    </row>
    <row r="121" spans="1:5" ht="20" x14ac:dyDescent="0.6">
      <c r="A121" t="s">
        <v>22</v>
      </c>
      <c r="B121" t="s">
        <v>31</v>
      </c>
      <c r="E121" s="16">
        <f>_xll.RtGet("IDN",D121,"MID_IV_NOR")</f>
      </c>
    </row>
    <row r="122" spans="1:5" ht="20" x14ac:dyDescent="0.6">
      <c r="A122" t="s">
        <v>23</v>
      </c>
      <c r="B122" t="s">
        <v>80</v>
      </c>
      <c r="E122" s="16">
        <f>_xll.RtGet("IDN",D122,"MID_IV_NOR")</f>
      </c>
    </row>
    <row r="123" spans="1:5" ht="20" x14ac:dyDescent="0.6">
      <c r="A123" t="s">
        <v>23</v>
      </c>
      <c r="B123" t="s">
        <v>81</v>
      </c>
      <c r="E123" s="16">
        <f>_xll.RtGet("IDN",D123,"MID_IV_NOR")</f>
      </c>
    </row>
    <row r="124" spans="1:5" ht="20" x14ac:dyDescent="0.6">
      <c r="A124" t="s">
        <v>23</v>
      </c>
      <c r="B124" t="s">
        <v>82</v>
      </c>
      <c r="E124" s="16">
        <f>_xll.RtGet("IDN",D124,"MID_IV_NOR")</f>
      </c>
    </row>
    <row r="125" spans="1:5" ht="20" x14ac:dyDescent="0.6">
      <c r="A125" t="s">
        <v>23</v>
      </c>
      <c r="B125" t="s">
        <v>21</v>
      </c>
      <c r="E125" s="16">
        <f>_xll.RtGet("IDN",D125,"MID_IV_NOR")</f>
      </c>
    </row>
    <row r="126" spans="1:5" ht="20" x14ac:dyDescent="0.6">
      <c r="A126" t="s">
        <v>23</v>
      </c>
      <c r="B126" t="s">
        <v>22</v>
      </c>
      <c r="E126" s="16">
        <f>_xll.RtGet("IDN",D126,"MID_IV_NOR")</f>
      </c>
    </row>
    <row r="127" spans="1:5" ht="20" x14ac:dyDescent="0.6">
      <c r="A127" t="s">
        <v>23</v>
      </c>
      <c r="B127" t="s">
        <v>23</v>
      </c>
      <c r="E127" s="16">
        <f>_xll.RtGet("IDN",D127,"MID_IV_NOR")</f>
      </c>
    </row>
    <row r="128" spans="1:5" ht="20" x14ac:dyDescent="0.6">
      <c r="A128" t="s">
        <v>23</v>
      </c>
      <c r="B128" t="s">
        <v>24</v>
      </c>
      <c r="E128" s="16">
        <f>_xll.RtGet("IDN",D128,"MID_IV_NOR")</f>
      </c>
    </row>
    <row r="129" spans="1:5" ht="20" x14ac:dyDescent="0.6">
      <c r="A129" t="s">
        <v>23</v>
      </c>
      <c r="B129" t="s">
        <v>25</v>
      </c>
      <c r="E129" s="16">
        <f>_xll.RtGet("IDN",D129,"MID_IV_NOR")</f>
      </c>
    </row>
    <row r="130" spans="1:5" ht="20" x14ac:dyDescent="0.6">
      <c r="A130" t="s">
        <v>23</v>
      </c>
      <c r="B130" t="s">
        <v>26</v>
      </c>
      <c r="E130" s="16">
        <f>_xll.RtGet("IDN",D130,"MID_IV_NOR")</f>
      </c>
    </row>
    <row r="131" spans="1:5" ht="20" x14ac:dyDescent="0.6">
      <c r="A131" t="s">
        <v>23</v>
      </c>
      <c r="B131" t="s">
        <v>27</v>
      </c>
      <c r="E131" s="16">
        <f>_xll.RtGet("IDN",D131,"MID_IV_NOR")</f>
      </c>
    </row>
    <row r="132" spans="1:5" ht="20" x14ac:dyDescent="0.6">
      <c r="A132" t="s">
        <v>23</v>
      </c>
      <c r="B132" t="s">
        <v>30</v>
      </c>
      <c r="E132" s="16">
        <f>_xll.RtGet("IDN",D132,"MID_IV_NOR")</f>
      </c>
    </row>
    <row r="133" spans="1:5" ht="20" x14ac:dyDescent="0.6">
      <c r="A133" t="s">
        <v>23</v>
      </c>
      <c r="B133" t="s">
        <v>31</v>
      </c>
      <c r="E133" s="16">
        <f>_xll.RtGet("IDN",D133,"MID_IV_NOR")</f>
      </c>
    </row>
    <row r="134" spans="1:5" ht="20" x14ac:dyDescent="0.6">
      <c r="A134" t="s">
        <v>24</v>
      </c>
      <c r="B134" t="s">
        <v>80</v>
      </c>
      <c r="E134" s="16">
        <f>_xll.RtGet("IDN",D134,"MID_IV_NOR")</f>
      </c>
    </row>
    <row r="135" spans="1:5" ht="20" x14ac:dyDescent="0.6">
      <c r="A135" t="s">
        <v>24</v>
      </c>
      <c r="B135" t="s">
        <v>81</v>
      </c>
      <c r="E135" s="16">
        <f>_xll.RtGet("IDN",D135,"MID_IV_NOR")</f>
      </c>
    </row>
    <row r="136" spans="1:5" ht="20" x14ac:dyDescent="0.6">
      <c r="A136" t="s">
        <v>24</v>
      </c>
      <c r="B136" t="s">
        <v>82</v>
      </c>
      <c r="E136" s="16">
        <f>_xll.RtGet("IDN",D136,"MID_IV_NOR")</f>
      </c>
    </row>
    <row r="137" spans="1:5" ht="20" x14ac:dyDescent="0.6">
      <c r="A137" t="s">
        <v>24</v>
      </c>
      <c r="B137" t="s">
        <v>21</v>
      </c>
      <c r="E137" s="16">
        <f>_xll.RtGet("IDN",D137,"MID_IV_NOR")</f>
      </c>
    </row>
    <row r="138" spans="1:5" ht="20" x14ac:dyDescent="0.6">
      <c r="A138" t="s">
        <v>24</v>
      </c>
      <c r="B138" t="s">
        <v>22</v>
      </c>
      <c r="E138" s="16">
        <f>_xll.RtGet("IDN",D138,"MID_IV_NOR")</f>
      </c>
    </row>
    <row r="139" spans="1:5" ht="20" x14ac:dyDescent="0.6">
      <c r="A139" t="s">
        <v>24</v>
      </c>
      <c r="B139" t="s">
        <v>23</v>
      </c>
      <c r="E139" s="16">
        <f>_xll.RtGet("IDN",D139,"MID_IV_NOR")</f>
      </c>
    </row>
    <row r="140" spans="1:5" ht="20" x14ac:dyDescent="0.6">
      <c r="A140" t="s">
        <v>24</v>
      </c>
      <c r="B140" t="s">
        <v>24</v>
      </c>
      <c r="E140" s="16">
        <f>_xll.RtGet("IDN",D140,"MID_IV_NOR")</f>
      </c>
    </row>
    <row r="141" spans="1:5" ht="20" x14ac:dyDescent="0.6">
      <c r="A141" t="s">
        <v>24</v>
      </c>
      <c r="B141" t="s">
        <v>25</v>
      </c>
      <c r="E141" s="16">
        <f>_xll.RtGet("IDN",D141,"MID_IV_NOR")</f>
      </c>
    </row>
    <row r="142" spans="1:5" ht="20" x14ac:dyDescent="0.6">
      <c r="A142" t="s">
        <v>24</v>
      </c>
      <c r="B142" t="s">
        <v>26</v>
      </c>
      <c r="E142" s="16">
        <f>_xll.RtGet("IDN",D142,"MID_IV_NOR")</f>
      </c>
    </row>
    <row r="143" spans="1:5" ht="20" x14ac:dyDescent="0.6">
      <c r="A143" t="s">
        <v>24</v>
      </c>
      <c r="B143" t="s">
        <v>27</v>
      </c>
      <c r="E143" s="16">
        <f>_xll.RtGet("IDN",D143,"MID_IV_NOR")</f>
      </c>
    </row>
    <row r="144" spans="1:5" ht="20" x14ac:dyDescent="0.6">
      <c r="A144" t="s">
        <v>24</v>
      </c>
      <c r="B144" t="s">
        <v>30</v>
      </c>
      <c r="E144" s="16">
        <f>_xll.RtGet("IDN",D144,"MID_IV_NOR")</f>
      </c>
    </row>
    <row r="145" spans="1:5" ht="20" x14ac:dyDescent="0.6">
      <c r="A145" t="s">
        <v>24</v>
      </c>
      <c r="B145" t="s">
        <v>31</v>
      </c>
      <c r="E145" s="16">
        <f>_xll.RtGet("IDN",D145,"MID_IV_NOR")</f>
      </c>
    </row>
    <row r="146" spans="1:5" ht="20" x14ac:dyDescent="0.6">
      <c r="A146" t="s">
        <v>26</v>
      </c>
      <c r="B146" t="s">
        <v>80</v>
      </c>
      <c r="E146" s="16">
        <f>_xll.RtGet("IDN",D146,"MID_IV_NOR")</f>
      </c>
    </row>
    <row r="147" spans="1:5" ht="20" x14ac:dyDescent="0.6">
      <c r="A147" t="s">
        <v>26</v>
      </c>
      <c r="B147" t="s">
        <v>81</v>
      </c>
      <c r="E147" s="16">
        <f>_xll.RtGet("IDN",D147,"MID_IV_NOR")</f>
      </c>
    </row>
    <row r="148" spans="1:5" ht="20" x14ac:dyDescent="0.6">
      <c r="A148" t="s">
        <v>26</v>
      </c>
      <c r="B148" t="s">
        <v>82</v>
      </c>
      <c r="E148" s="16">
        <f>_xll.RtGet("IDN",D148,"MID_IV_NOR")</f>
      </c>
    </row>
    <row r="149" spans="1:5" ht="20" x14ac:dyDescent="0.6">
      <c r="A149" t="s">
        <v>26</v>
      </c>
      <c r="B149" t="s">
        <v>21</v>
      </c>
      <c r="E149" s="16">
        <f>_xll.RtGet("IDN",D149,"MID_IV_NOR")</f>
      </c>
    </row>
    <row r="150" spans="1:5" ht="20" x14ac:dyDescent="0.6">
      <c r="A150" t="s">
        <v>26</v>
      </c>
      <c r="B150" t="s">
        <v>22</v>
      </c>
      <c r="E150" s="16">
        <f>_xll.RtGet("IDN",D150,"MID_IV_NOR")</f>
      </c>
    </row>
    <row r="151" spans="1:5" ht="20" x14ac:dyDescent="0.6">
      <c r="A151" t="s">
        <v>26</v>
      </c>
      <c r="B151" t="s">
        <v>23</v>
      </c>
      <c r="E151" s="16">
        <f>_xll.RtGet("IDN",D151,"MID_IV_NOR")</f>
      </c>
    </row>
    <row r="152" spans="1:5" ht="20" x14ac:dyDescent="0.6">
      <c r="A152" t="s">
        <v>26</v>
      </c>
      <c r="B152" t="s">
        <v>24</v>
      </c>
      <c r="E152" s="16">
        <f>_xll.RtGet("IDN",D152,"MID_IV_NOR")</f>
      </c>
    </row>
    <row r="153" spans="1:5" ht="20" x14ac:dyDescent="0.6">
      <c r="A153" t="s">
        <v>26</v>
      </c>
      <c r="B153" t="s">
        <v>25</v>
      </c>
      <c r="E153" s="16">
        <f>_xll.RtGet("IDN",D153,"MID_IV_NOR")</f>
      </c>
    </row>
    <row r="154" spans="1:5" ht="20" x14ac:dyDescent="0.6">
      <c r="A154" t="s">
        <v>26</v>
      </c>
      <c r="B154" t="s">
        <v>26</v>
      </c>
      <c r="E154" s="16">
        <f>_xll.RtGet("IDN",D154,"MID_IV_NOR")</f>
      </c>
    </row>
    <row r="155" spans="1:5" ht="20" x14ac:dyDescent="0.6">
      <c r="A155" t="s">
        <v>26</v>
      </c>
      <c r="B155" t="s">
        <v>27</v>
      </c>
      <c r="E155" s="16">
        <f>_xll.RtGet("IDN",D155,"MID_IV_NOR")</f>
      </c>
    </row>
    <row r="156" spans="1:5" ht="20" x14ac:dyDescent="0.6">
      <c r="A156" t="s">
        <v>26</v>
      </c>
      <c r="B156" t="s">
        <v>30</v>
      </c>
      <c r="E156" s="16">
        <f>_xll.RtGet("IDN",D156,"MID_IV_NOR")</f>
      </c>
    </row>
    <row r="157" spans="1:5" ht="20" x14ac:dyDescent="0.6">
      <c r="A157" t="s">
        <v>26</v>
      </c>
      <c r="B157" t="s">
        <v>31</v>
      </c>
      <c r="E157" s="16">
        <f>_xll.RtGet("IDN",D157,"MID_IV_NOR")</f>
      </c>
    </row>
    <row r="158" spans="1:5" ht="20" x14ac:dyDescent="0.6">
      <c r="A158" t="s">
        <v>27</v>
      </c>
      <c r="B158" t="s">
        <v>80</v>
      </c>
      <c r="E158" s="16">
        <f>_xll.RtGet("IDN",D158,"MID_IV_NOR")</f>
      </c>
    </row>
    <row r="159" spans="1:5" ht="20" x14ac:dyDescent="0.6">
      <c r="A159" t="s">
        <v>27</v>
      </c>
      <c r="B159" t="s">
        <v>81</v>
      </c>
      <c r="E159" s="16">
        <f>_xll.RtGet("IDN",D159,"MID_IV_NOR")</f>
      </c>
    </row>
    <row r="160" spans="1:5" ht="20" x14ac:dyDescent="0.6">
      <c r="A160" t="s">
        <v>27</v>
      </c>
      <c r="B160" t="s">
        <v>82</v>
      </c>
      <c r="E160" s="16">
        <f>_xll.RtGet("IDN",D160,"MID_IV_NOR")</f>
      </c>
    </row>
    <row r="161" spans="1:5" ht="20" x14ac:dyDescent="0.6">
      <c r="A161" t="s">
        <v>27</v>
      </c>
      <c r="B161" t="s">
        <v>21</v>
      </c>
      <c r="E161" s="16">
        <f>_xll.RtGet("IDN",D161,"MID_IV_NOR")</f>
      </c>
    </row>
    <row r="162" spans="1:5" ht="20" x14ac:dyDescent="0.6">
      <c r="A162" t="s">
        <v>27</v>
      </c>
      <c r="B162" t="s">
        <v>22</v>
      </c>
      <c r="E162" s="16">
        <f>_xll.RtGet("IDN",D162,"MID_IV_NOR")</f>
      </c>
    </row>
    <row r="163" spans="1:5" ht="20" x14ac:dyDescent="0.6">
      <c r="A163" t="s">
        <v>27</v>
      </c>
      <c r="B163" t="s">
        <v>23</v>
      </c>
      <c r="E163" s="16">
        <f>_xll.RtGet("IDN",D163,"MID_IV_NOR")</f>
      </c>
    </row>
    <row r="164" spans="1:5" ht="20" x14ac:dyDescent="0.6">
      <c r="A164" t="s">
        <v>27</v>
      </c>
      <c r="B164" t="s">
        <v>24</v>
      </c>
      <c r="E164" s="16">
        <f>_xll.RtGet("IDN",D164,"MID_IV_NOR")</f>
      </c>
    </row>
    <row r="165" spans="1:5" ht="20" x14ac:dyDescent="0.6">
      <c r="A165" t="s">
        <v>27</v>
      </c>
      <c r="B165" t="s">
        <v>25</v>
      </c>
      <c r="E165" s="16">
        <f>_xll.RtGet("IDN",D165,"MID_IV_NOR")</f>
      </c>
    </row>
    <row r="166" spans="1:5" ht="20" x14ac:dyDescent="0.6">
      <c r="A166" t="s">
        <v>27</v>
      </c>
      <c r="B166" t="s">
        <v>26</v>
      </c>
      <c r="E166" s="16">
        <f>_xll.RtGet("IDN",D166,"MID_IV_NOR")</f>
      </c>
    </row>
    <row r="167" spans="1:5" ht="20" x14ac:dyDescent="0.6">
      <c r="A167" t="s">
        <v>27</v>
      </c>
      <c r="B167" t="s">
        <v>27</v>
      </c>
      <c r="E167" s="16">
        <f>_xll.RtGet("IDN",D167,"MID_IV_NOR")</f>
      </c>
    </row>
    <row r="168" spans="1:5" ht="20" x14ac:dyDescent="0.6">
      <c r="A168" t="s">
        <v>27</v>
      </c>
      <c r="B168" t="s">
        <v>30</v>
      </c>
      <c r="E168" s="16">
        <f>_xll.RtGet("IDN",D168,"MID_IV_NOR")</f>
      </c>
    </row>
    <row r="169" spans="1:5" ht="20" x14ac:dyDescent="0.6">
      <c r="A169" t="s">
        <v>27</v>
      </c>
      <c r="B169" t="s">
        <v>31</v>
      </c>
      <c r="E169" s="16">
        <f>_xll.RtGet("IDN",D169,"MID_IV_NOR")</f>
      </c>
    </row>
    <row r="170" spans="1:5" ht="20" x14ac:dyDescent="0.6">
      <c r="A170" t="s">
        <v>30</v>
      </c>
      <c r="B170" t="s">
        <v>80</v>
      </c>
      <c r="E170" s="16">
        <f>_xll.RtGet("IDN",D170,"MID_IV_NOR")</f>
      </c>
    </row>
    <row r="171" spans="1:5" ht="20" x14ac:dyDescent="0.6">
      <c r="A171" t="s">
        <v>30</v>
      </c>
      <c r="B171" t="s">
        <v>81</v>
      </c>
      <c r="E171" s="16">
        <f>_xll.RtGet("IDN",D171,"MID_IV_NOR")</f>
      </c>
    </row>
    <row r="172" spans="1:5" ht="20" x14ac:dyDescent="0.6">
      <c r="A172" t="s">
        <v>30</v>
      </c>
      <c r="B172" t="s">
        <v>82</v>
      </c>
      <c r="E172" s="16">
        <f>_xll.RtGet("IDN",D172,"MID_IV_NOR")</f>
      </c>
    </row>
    <row r="173" spans="1:5" ht="20" x14ac:dyDescent="0.6">
      <c r="A173" t="s">
        <v>30</v>
      </c>
      <c r="B173" t="s">
        <v>21</v>
      </c>
      <c r="E173" s="16">
        <f>_xll.RtGet("IDN",D173,"MID_IV_NOR")</f>
      </c>
    </row>
    <row r="174" spans="1:5" ht="20" x14ac:dyDescent="0.6">
      <c r="A174" t="s">
        <v>30</v>
      </c>
      <c r="B174" t="s">
        <v>22</v>
      </c>
      <c r="E174" s="16">
        <f>_xll.RtGet("IDN",D174,"MID_IV_NOR")</f>
      </c>
    </row>
    <row r="175" spans="1:5" ht="20" x14ac:dyDescent="0.6">
      <c r="A175" t="s">
        <v>30</v>
      </c>
      <c r="B175" t="s">
        <v>23</v>
      </c>
      <c r="E175" s="16">
        <f>_xll.RtGet("IDN",D175,"MID_IV_NOR")</f>
      </c>
    </row>
    <row r="176" spans="1:5" ht="20" x14ac:dyDescent="0.6">
      <c r="A176" t="s">
        <v>30</v>
      </c>
      <c r="B176" t="s">
        <v>24</v>
      </c>
      <c r="E176" s="16">
        <f>_xll.RtGet("IDN",D176,"MID_IV_NOR")</f>
      </c>
    </row>
    <row r="177" spans="1:5" ht="20" x14ac:dyDescent="0.6">
      <c r="A177" t="s">
        <v>30</v>
      </c>
      <c r="B177" t="s">
        <v>25</v>
      </c>
      <c r="E177" s="16">
        <f>_xll.RtGet("IDN",D177,"MID_IV_NOR")</f>
      </c>
    </row>
    <row r="178" spans="1:5" ht="20" x14ac:dyDescent="0.6">
      <c r="A178" t="s">
        <v>30</v>
      </c>
      <c r="B178" t="s">
        <v>26</v>
      </c>
      <c r="E178" s="16">
        <f>_xll.RtGet("IDN",D178,"MID_IV_NOR")</f>
      </c>
    </row>
    <row r="179" spans="1:5" ht="20" x14ac:dyDescent="0.6">
      <c r="A179" t="s">
        <v>30</v>
      </c>
      <c r="B179" t="s">
        <v>27</v>
      </c>
      <c r="E179" s="16">
        <f>_xll.RtGet("IDN",D179,"MID_IV_NOR")</f>
      </c>
    </row>
    <row r="180" spans="1:5" ht="20" x14ac:dyDescent="0.6">
      <c r="A180" t="s">
        <v>30</v>
      </c>
      <c r="B180" t="s">
        <v>30</v>
      </c>
      <c r="E180" s="16">
        <f>_xll.RtGet("IDN",D180,"MID_IV_NOR")</f>
      </c>
    </row>
    <row r="181" spans="1:5" ht="20" x14ac:dyDescent="0.6">
      <c r="A181" t="s">
        <v>30</v>
      </c>
      <c r="B181" t="s">
        <v>31</v>
      </c>
      <c r="E181" s="16">
        <f>_xll.RtGet("IDN",D181,"MID_IV_NOR")</f>
      </c>
    </row>
    <row r="182" spans="1:5" ht="20" x14ac:dyDescent="0.6">
      <c r="A182" t="s">
        <v>31</v>
      </c>
      <c r="B182" t="s">
        <v>80</v>
      </c>
      <c r="E182" s="16">
        <f>_xll.RtGet("IDN",D182,"MID_IV_NOR")</f>
      </c>
    </row>
    <row r="183" spans="1:5" ht="20" x14ac:dyDescent="0.6">
      <c r="A183" t="s">
        <v>31</v>
      </c>
      <c r="B183" t="s">
        <v>81</v>
      </c>
      <c r="E183" s="16">
        <f>_xll.RtGet("IDN",D183,"MID_IV_NOR")</f>
      </c>
    </row>
    <row r="184" spans="1:5" ht="20" x14ac:dyDescent="0.6">
      <c r="A184" t="s">
        <v>31</v>
      </c>
      <c r="B184" t="s">
        <v>82</v>
      </c>
      <c r="E184" s="16">
        <f>_xll.RtGet("IDN",D184,"MID_IV_NOR")</f>
      </c>
    </row>
    <row r="185" spans="1:5" ht="20" x14ac:dyDescent="0.6">
      <c r="A185" t="s">
        <v>31</v>
      </c>
      <c r="B185" t="s">
        <v>21</v>
      </c>
      <c r="E185" s="16">
        <f>_xll.RtGet("IDN",D185,"MID_IV_NOR")</f>
      </c>
    </row>
    <row r="186" spans="1:5" ht="20" x14ac:dyDescent="0.6">
      <c r="A186" t="s">
        <v>31</v>
      </c>
      <c r="B186" t="s">
        <v>22</v>
      </c>
      <c r="E186" s="16">
        <f>_xll.RtGet("IDN",D186,"MID_IV_NOR")</f>
      </c>
    </row>
    <row r="187" spans="1:5" ht="20" x14ac:dyDescent="0.6">
      <c r="A187" t="s">
        <v>31</v>
      </c>
      <c r="B187" t="s">
        <v>23</v>
      </c>
      <c r="E187" s="16">
        <f>_xll.RtGet("IDN",D187,"MID_IV_NOR")</f>
      </c>
    </row>
    <row r="188" spans="1:5" ht="20" x14ac:dyDescent="0.6">
      <c r="A188" t="s">
        <v>31</v>
      </c>
      <c r="B188" t="s">
        <v>24</v>
      </c>
      <c r="E188" s="16">
        <f>_xll.RtGet("IDN",D188,"MID_IV_NOR")</f>
      </c>
    </row>
    <row r="189" spans="1:5" ht="20" x14ac:dyDescent="0.6">
      <c r="A189" t="s">
        <v>31</v>
      </c>
      <c r="B189" t="s">
        <v>25</v>
      </c>
      <c r="E189" s="16">
        <f>_xll.RtGet("IDN",D189,"MID_IV_NOR")</f>
      </c>
    </row>
    <row r="190" spans="1:5" ht="20" x14ac:dyDescent="0.6">
      <c r="A190" t="s">
        <v>31</v>
      </c>
      <c r="B190" t="s">
        <v>26</v>
      </c>
      <c r="E190" s="16">
        <f>_xll.RtGet("IDN",D190,"MID_IV_NOR")</f>
      </c>
    </row>
    <row r="191" spans="1:5" ht="20" x14ac:dyDescent="0.6">
      <c r="A191" t="s">
        <v>31</v>
      </c>
      <c r="B191" t="s">
        <v>27</v>
      </c>
      <c r="E191" s="16">
        <f>_xll.RtGet("IDN",D191,"MID_IV_NOR")</f>
      </c>
    </row>
    <row r="192" spans="1:5" ht="20" x14ac:dyDescent="0.6">
      <c r="A192" t="s">
        <v>31</v>
      </c>
      <c r="B192" t="s">
        <v>30</v>
      </c>
      <c r="E192" s="16">
        <f>_xll.RtGet("IDN",D192,"MID_IV_NOR")</f>
      </c>
    </row>
    <row r="193" spans="1:5" ht="20" x14ac:dyDescent="0.6">
      <c r="A193" t="s">
        <v>31</v>
      </c>
      <c r="B193" t="s">
        <v>31</v>
      </c>
      <c r="E193" s="16">
        <f>_xll.RtGet("IDN",D193,"MID_IV_NOR")</f>
      </c>
    </row>
    <row r="194" spans="1:5" x14ac:dyDescent="0.55000000000000004">
      <c r="E194" s="13"/>
    </row>
    <row r="195" spans="1:5" x14ac:dyDescent="0.55000000000000004">
      <c r="E195" s="13"/>
    </row>
    <row r="196" spans="1:5" x14ac:dyDescent="0.55000000000000004">
      <c r="E196" s="13"/>
    </row>
    <row r="197" spans="1:5" x14ac:dyDescent="0.55000000000000004">
      <c r="E197" s="13"/>
    </row>
    <row r="198" spans="1:5" x14ac:dyDescent="0.55000000000000004">
      <c r="E198" s="13"/>
    </row>
    <row r="199" spans="1:5" x14ac:dyDescent="0.55000000000000004">
      <c r="E199" s="13"/>
    </row>
    <row r="200" spans="1:5" x14ac:dyDescent="0.55000000000000004">
      <c r="E200" s="13"/>
    </row>
    <row r="201" spans="1:5" x14ac:dyDescent="0.55000000000000004">
      <c r="E201" s="13"/>
    </row>
    <row r="202" spans="1:5" x14ac:dyDescent="0.55000000000000004">
      <c r="E202" s="13"/>
    </row>
    <row r="203" spans="1:5" x14ac:dyDescent="0.55000000000000004">
      <c r="E203" s="13"/>
    </row>
    <row r="204" spans="1:5" x14ac:dyDescent="0.55000000000000004">
      <c r="E204" s="13"/>
    </row>
    <row r="205" spans="1:5" x14ac:dyDescent="0.55000000000000004">
      <c r="E205" s="13"/>
    </row>
    <row r="206" spans="1:5" x14ac:dyDescent="0.55000000000000004">
      <c r="E206" s="13"/>
    </row>
    <row r="207" spans="1:5" x14ac:dyDescent="0.55000000000000004">
      <c r="E207" s="13"/>
    </row>
    <row r="208" spans="1:5" x14ac:dyDescent="0.55000000000000004">
      <c r="E208" s="13"/>
    </row>
    <row r="209" spans="5:5" x14ac:dyDescent="0.55000000000000004">
      <c r="E209" s="13"/>
    </row>
    <row r="210" spans="5:5" x14ac:dyDescent="0.55000000000000004">
      <c r="E210" s="13"/>
    </row>
    <row r="211" spans="5:5" x14ac:dyDescent="0.55000000000000004">
      <c r="E211" s="13"/>
    </row>
    <row r="212" spans="5:5" x14ac:dyDescent="0.55000000000000004">
      <c r="E212" s="13"/>
    </row>
    <row r="213" spans="5:5" x14ac:dyDescent="0.55000000000000004">
      <c r="E213" s="13"/>
    </row>
    <row r="214" spans="5:5" x14ac:dyDescent="0.55000000000000004">
      <c r="E214" s="13"/>
    </row>
    <row r="215" spans="5:5" x14ac:dyDescent="0.55000000000000004">
      <c r="E215" s="13"/>
    </row>
    <row r="216" spans="5:5" x14ac:dyDescent="0.55000000000000004">
      <c r="E216" s="13"/>
    </row>
    <row r="217" spans="5:5" x14ac:dyDescent="0.55000000000000004">
      <c r="E217" s="13"/>
    </row>
    <row r="218" spans="5:5" x14ac:dyDescent="0.55000000000000004">
      <c r="E218" s="13"/>
    </row>
    <row r="219" spans="5:5" x14ac:dyDescent="0.55000000000000004">
      <c r="E219" s="13"/>
    </row>
    <row r="220" spans="5:5" x14ac:dyDescent="0.55000000000000004">
      <c r="E220" s="13"/>
    </row>
    <row r="221" spans="5:5" x14ac:dyDescent="0.55000000000000004">
      <c r="E221" s="13"/>
    </row>
    <row r="222" spans="5:5" x14ac:dyDescent="0.55000000000000004">
      <c r="E222" s="13"/>
    </row>
    <row r="223" spans="5:5" x14ac:dyDescent="0.55000000000000004">
      <c r="E223" s="13"/>
    </row>
    <row r="224" spans="5:5" x14ac:dyDescent="0.55000000000000004">
      <c r="E224" s="13"/>
    </row>
    <row r="225" spans="5:5" x14ac:dyDescent="0.55000000000000004">
      <c r="E225" s="13"/>
    </row>
    <row r="226" spans="5:5" x14ac:dyDescent="0.55000000000000004">
      <c r="E226" s="13"/>
    </row>
    <row r="227" spans="5:5" x14ac:dyDescent="0.55000000000000004">
      <c r="E227" s="13"/>
    </row>
    <row r="228" spans="5:5" x14ac:dyDescent="0.55000000000000004">
      <c r="E228" s="13"/>
    </row>
    <row r="229" spans="5:5" x14ac:dyDescent="0.55000000000000004">
      <c r="E229" s="13"/>
    </row>
    <row r="230" spans="5:5" x14ac:dyDescent="0.55000000000000004">
      <c r="E230" s="13"/>
    </row>
    <row r="231" spans="5:5" x14ac:dyDescent="0.55000000000000004">
      <c r="E231" s="13"/>
    </row>
    <row r="232" spans="5:5" x14ac:dyDescent="0.55000000000000004">
      <c r="E232" s="13"/>
    </row>
    <row r="233" spans="5:5" x14ac:dyDescent="0.55000000000000004">
      <c r="E233" s="13"/>
    </row>
    <row r="234" spans="5:5" x14ac:dyDescent="0.55000000000000004">
      <c r="E234" s="13"/>
    </row>
    <row r="235" spans="5:5" x14ac:dyDescent="0.55000000000000004">
      <c r="E235" s="13"/>
    </row>
    <row r="236" spans="5:5" x14ac:dyDescent="0.55000000000000004">
      <c r="E236" s="13"/>
    </row>
    <row r="237" spans="5:5" x14ac:dyDescent="0.55000000000000004">
      <c r="E237" s="13"/>
    </row>
    <row r="238" spans="5:5" x14ac:dyDescent="0.55000000000000004">
      <c r="E238" s="13"/>
    </row>
    <row r="239" spans="5:5" x14ac:dyDescent="0.55000000000000004">
      <c r="E239" s="13"/>
    </row>
    <row r="240" spans="5:5" x14ac:dyDescent="0.55000000000000004">
      <c r="E240" s="13"/>
    </row>
    <row r="241" spans="5:5" x14ac:dyDescent="0.55000000000000004">
      <c r="E241" s="13"/>
    </row>
    <row r="242" spans="5:5" x14ac:dyDescent="0.55000000000000004">
      <c r="E242" s="13"/>
    </row>
    <row r="243" spans="5:5" x14ac:dyDescent="0.55000000000000004">
      <c r="E243" s="13"/>
    </row>
    <row r="244" spans="5:5" x14ac:dyDescent="0.55000000000000004">
      <c r="E244" s="13"/>
    </row>
    <row r="245" spans="5:5" x14ac:dyDescent="0.55000000000000004">
      <c r="E245" s="13"/>
    </row>
    <row r="246" spans="5:5" x14ac:dyDescent="0.55000000000000004">
      <c r="E246" s="13"/>
    </row>
    <row r="247" spans="5:5" x14ac:dyDescent="0.55000000000000004">
      <c r="E247" s="13"/>
    </row>
    <row r="248" spans="5:5" x14ac:dyDescent="0.55000000000000004">
      <c r="E248" s="13"/>
    </row>
    <row r="249" spans="5:5" x14ac:dyDescent="0.55000000000000004">
      <c r="E249" s="13"/>
    </row>
    <row r="250" spans="5:5" x14ac:dyDescent="0.55000000000000004">
      <c r="E250" s="13"/>
    </row>
    <row r="251" spans="5:5" x14ac:dyDescent="0.55000000000000004">
      <c r="E251" s="13"/>
    </row>
    <row r="252" spans="5:5" x14ac:dyDescent="0.55000000000000004">
      <c r="E252" s="13"/>
    </row>
    <row r="253" spans="5:5" x14ac:dyDescent="0.55000000000000004">
      <c r="E253" s="13"/>
    </row>
    <row r="254" spans="5:5" x14ac:dyDescent="0.55000000000000004">
      <c r="E254" s="13"/>
    </row>
    <row r="255" spans="5:5" x14ac:dyDescent="0.55000000000000004">
      <c r="E255" s="13"/>
    </row>
    <row r="256" spans="5:5" x14ac:dyDescent="0.55000000000000004">
      <c r="E256" s="13"/>
    </row>
    <row r="257" spans="5:5" x14ac:dyDescent="0.55000000000000004">
      <c r="E257" s="13"/>
    </row>
    <row r="258" spans="5:5" x14ac:dyDescent="0.55000000000000004">
      <c r="E258" s="13"/>
    </row>
    <row r="259" spans="5:5" x14ac:dyDescent="0.55000000000000004">
      <c r="E259" s="13"/>
    </row>
    <row r="260" spans="5:5" x14ac:dyDescent="0.55000000000000004">
      <c r="E260" s="13"/>
    </row>
    <row r="261" spans="5:5" x14ac:dyDescent="0.55000000000000004">
      <c r="E261" s="13"/>
    </row>
    <row r="262" spans="5:5" x14ac:dyDescent="0.55000000000000004">
      <c r="E262" s="13"/>
    </row>
    <row r="263" spans="5:5" x14ac:dyDescent="0.55000000000000004">
      <c r="E263" s="13"/>
    </row>
    <row r="264" spans="5:5" x14ac:dyDescent="0.55000000000000004">
      <c r="E264" s="13"/>
    </row>
    <row r="265" spans="5:5" x14ac:dyDescent="0.55000000000000004">
      <c r="E265" s="13"/>
    </row>
    <row r="266" spans="5:5" x14ac:dyDescent="0.55000000000000004">
      <c r="E266" s="13"/>
    </row>
    <row r="267" spans="5:5" x14ac:dyDescent="0.55000000000000004">
      <c r="E267" s="13"/>
    </row>
    <row r="268" spans="5:5" x14ac:dyDescent="0.55000000000000004">
      <c r="E268" s="13"/>
    </row>
    <row r="269" spans="5:5" x14ac:dyDescent="0.55000000000000004">
      <c r="E269" s="13"/>
    </row>
    <row r="270" spans="5:5" x14ac:dyDescent="0.55000000000000004">
      <c r="E270" s="13"/>
    </row>
    <row r="271" spans="5:5" x14ac:dyDescent="0.55000000000000004">
      <c r="E271" s="13"/>
    </row>
    <row r="272" spans="5:5" x14ac:dyDescent="0.55000000000000004">
      <c r="E272" s="13"/>
    </row>
    <row r="273" spans="5:5" x14ac:dyDescent="0.55000000000000004">
      <c r="E273" s="13"/>
    </row>
    <row r="274" spans="5:5" x14ac:dyDescent="0.55000000000000004">
      <c r="E274" s="13"/>
    </row>
    <row r="275" spans="5:5" x14ac:dyDescent="0.55000000000000004">
      <c r="E275" s="13"/>
    </row>
    <row r="276" spans="5:5" x14ac:dyDescent="0.55000000000000004">
      <c r="E276" s="13"/>
    </row>
    <row r="277" spans="5:5" x14ac:dyDescent="0.55000000000000004">
      <c r="E277" s="13"/>
    </row>
    <row r="278" spans="5:5" x14ac:dyDescent="0.55000000000000004">
      <c r="E278" s="13"/>
    </row>
    <row r="279" spans="5:5" x14ac:dyDescent="0.55000000000000004">
      <c r="E279" s="13"/>
    </row>
    <row r="280" spans="5:5" x14ac:dyDescent="0.55000000000000004">
      <c r="E280" s="13"/>
    </row>
    <row r="281" spans="5:5" x14ac:dyDescent="0.55000000000000004">
      <c r="E281" s="13"/>
    </row>
    <row r="282" spans="5:5" x14ac:dyDescent="0.55000000000000004">
      <c r="E282" s="13"/>
    </row>
    <row r="283" spans="5:5" x14ac:dyDescent="0.55000000000000004">
      <c r="E283" s="13"/>
    </row>
    <row r="284" spans="5:5" x14ac:dyDescent="0.55000000000000004">
      <c r="E284" s="13"/>
    </row>
    <row r="285" spans="5:5" x14ac:dyDescent="0.55000000000000004">
      <c r="E285" s="13"/>
    </row>
    <row r="286" spans="5:5" x14ac:dyDescent="0.55000000000000004">
      <c r="E286" s="13"/>
    </row>
    <row r="287" spans="5:5" x14ac:dyDescent="0.55000000000000004">
      <c r="E287" s="13"/>
    </row>
    <row r="288" spans="5:5" x14ac:dyDescent="0.55000000000000004">
      <c r="E288" s="13"/>
    </row>
    <row r="289" spans="5:5" x14ac:dyDescent="0.55000000000000004">
      <c r="E289" s="13"/>
    </row>
    <row r="290" spans="5:5" x14ac:dyDescent="0.55000000000000004">
      <c r="E290" s="13"/>
    </row>
    <row r="291" spans="5:5" x14ac:dyDescent="0.55000000000000004">
      <c r="E291" s="13"/>
    </row>
    <row r="292" spans="5:5" x14ac:dyDescent="0.55000000000000004">
      <c r="E292" s="13"/>
    </row>
    <row r="293" spans="5:5" x14ac:dyDescent="0.55000000000000004">
      <c r="E293" s="13"/>
    </row>
    <row r="294" spans="5:5" x14ac:dyDescent="0.55000000000000004">
      <c r="E294" s="13"/>
    </row>
    <row r="295" spans="5:5" x14ac:dyDescent="0.55000000000000004">
      <c r="E295" s="13"/>
    </row>
    <row r="296" spans="5:5" x14ac:dyDescent="0.55000000000000004">
      <c r="E296" s="13"/>
    </row>
    <row r="297" spans="5:5" x14ac:dyDescent="0.55000000000000004">
      <c r="E297" s="13"/>
    </row>
    <row r="298" spans="5:5" x14ac:dyDescent="0.55000000000000004">
      <c r="E298" s="13"/>
    </row>
    <row r="299" spans="5:5" x14ac:dyDescent="0.55000000000000004">
      <c r="E299" s="13"/>
    </row>
    <row r="300" spans="5:5" x14ac:dyDescent="0.55000000000000004">
      <c r="E300" s="13"/>
    </row>
    <row r="301" spans="5:5" x14ac:dyDescent="0.55000000000000004">
      <c r="E301" s="13"/>
    </row>
    <row r="302" spans="5:5" x14ac:dyDescent="0.55000000000000004">
      <c r="E302" s="13"/>
    </row>
    <row r="303" spans="5:5" x14ac:dyDescent="0.55000000000000004">
      <c r="E303" s="13"/>
    </row>
    <row r="304" spans="5:5" x14ac:dyDescent="0.55000000000000004">
      <c r="E304" s="13"/>
    </row>
    <row r="305" spans="5:5" x14ac:dyDescent="0.55000000000000004">
      <c r="E305" s="13"/>
    </row>
    <row r="306" spans="5:5" x14ac:dyDescent="0.55000000000000004">
      <c r="E306" s="13"/>
    </row>
    <row r="307" spans="5:5" x14ac:dyDescent="0.55000000000000004">
      <c r="E307" s="13"/>
    </row>
    <row r="308" spans="5:5" x14ac:dyDescent="0.55000000000000004">
      <c r="E308" s="13"/>
    </row>
    <row r="309" spans="5:5" x14ac:dyDescent="0.55000000000000004">
      <c r="E309" s="13"/>
    </row>
    <row r="310" spans="5:5" x14ac:dyDescent="0.55000000000000004">
      <c r="E310" s="13"/>
    </row>
    <row r="311" spans="5:5" x14ac:dyDescent="0.55000000000000004">
      <c r="E311" s="13"/>
    </row>
    <row r="312" spans="5:5" x14ac:dyDescent="0.55000000000000004">
      <c r="E312" s="13"/>
    </row>
    <row r="313" spans="5:5" x14ac:dyDescent="0.55000000000000004">
      <c r="E313" s="13"/>
    </row>
    <row r="314" spans="5:5" x14ac:dyDescent="0.55000000000000004">
      <c r="E314" s="13"/>
    </row>
    <row r="315" spans="5:5" x14ac:dyDescent="0.55000000000000004">
      <c r="E315" s="13"/>
    </row>
    <row r="316" spans="5:5" x14ac:dyDescent="0.55000000000000004">
      <c r="E316" s="13"/>
    </row>
    <row r="317" spans="5:5" x14ac:dyDescent="0.55000000000000004">
      <c r="E317" s="13"/>
    </row>
    <row r="318" spans="5:5" x14ac:dyDescent="0.55000000000000004">
      <c r="E318" s="13"/>
    </row>
    <row r="319" spans="5:5" x14ac:dyDescent="0.55000000000000004">
      <c r="E319" s="13"/>
    </row>
    <row r="320" spans="5:5" x14ac:dyDescent="0.55000000000000004">
      <c r="E320" s="13"/>
    </row>
    <row r="321" spans="5:5" x14ac:dyDescent="0.55000000000000004">
      <c r="E321" s="13"/>
    </row>
    <row r="322" spans="5:5" x14ac:dyDescent="0.55000000000000004">
      <c r="E322" s="13"/>
    </row>
    <row r="323" spans="5:5" x14ac:dyDescent="0.55000000000000004">
      <c r="E323" s="13"/>
    </row>
    <row r="324" spans="5:5" x14ac:dyDescent="0.55000000000000004">
      <c r="E324" s="13"/>
    </row>
    <row r="325" spans="5:5" x14ac:dyDescent="0.55000000000000004">
      <c r="E325" s="13"/>
    </row>
    <row r="326" spans="5:5" x14ac:dyDescent="0.55000000000000004">
      <c r="E326" s="13"/>
    </row>
    <row r="327" spans="5:5" x14ac:dyDescent="0.55000000000000004">
      <c r="E327" s="13"/>
    </row>
    <row r="328" spans="5:5" x14ac:dyDescent="0.55000000000000004">
      <c r="E328" s="13"/>
    </row>
    <row r="329" spans="5:5" x14ac:dyDescent="0.55000000000000004">
      <c r="E329" s="13"/>
    </row>
    <row r="330" spans="5:5" x14ac:dyDescent="0.55000000000000004">
      <c r="E330" s="13"/>
    </row>
    <row r="331" spans="5:5" x14ac:dyDescent="0.55000000000000004">
      <c r="E331" s="13"/>
    </row>
    <row r="332" spans="5:5" x14ac:dyDescent="0.55000000000000004">
      <c r="E332" s="13"/>
    </row>
    <row r="333" spans="5:5" x14ac:dyDescent="0.55000000000000004">
      <c r="E333" s="13"/>
    </row>
    <row r="334" spans="5:5" x14ac:dyDescent="0.55000000000000004">
      <c r="E334" s="13"/>
    </row>
    <row r="335" spans="5:5" x14ac:dyDescent="0.55000000000000004">
      <c r="E335" s="13"/>
    </row>
    <row r="336" spans="5:5" x14ac:dyDescent="0.55000000000000004">
      <c r="E336" s="13"/>
    </row>
    <row r="337" spans="5:5" x14ac:dyDescent="0.55000000000000004">
      <c r="E337" s="13"/>
    </row>
    <row r="338" spans="5:5" x14ac:dyDescent="0.55000000000000004">
      <c r="E338" s="13"/>
    </row>
    <row r="339" spans="5:5" x14ac:dyDescent="0.55000000000000004">
      <c r="E339" s="13"/>
    </row>
    <row r="340" spans="5:5" x14ac:dyDescent="0.55000000000000004">
      <c r="E340" s="13"/>
    </row>
    <row r="341" spans="5:5" x14ac:dyDescent="0.55000000000000004">
      <c r="E341" s="13"/>
    </row>
    <row r="342" spans="5:5" x14ac:dyDescent="0.55000000000000004">
      <c r="E342" s="13"/>
    </row>
    <row r="343" spans="5:5" x14ac:dyDescent="0.55000000000000004">
      <c r="E343" s="13"/>
    </row>
    <row r="344" spans="5:5" x14ac:dyDescent="0.55000000000000004">
      <c r="E344" s="13"/>
    </row>
    <row r="345" spans="5:5" x14ac:dyDescent="0.55000000000000004">
      <c r="E345" s="13"/>
    </row>
    <row r="346" spans="5:5" x14ac:dyDescent="0.55000000000000004">
      <c r="E346" s="13"/>
    </row>
    <row r="347" spans="5:5" x14ac:dyDescent="0.55000000000000004">
      <c r="E347" s="13"/>
    </row>
    <row r="348" spans="5:5" x14ac:dyDescent="0.55000000000000004">
      <c r="E348" s="13"/>
    </row>
    <row r="349" spans="5:5" x14ac:dyDescent="0.55000000000000004">
      <c r="E349" s="13"/>
    </row>
    <row r="350" spans="5:5" x14ac:dyDescent="0.55000000000000004">
      <c r="E350" s="13"/>
    </row>
    <row r="351" spans="5:5" x14ac:dyDescent="0.55000000000000004">
      <c r="E351" s="13"/>
    </row>
    <row r="352" spans="5:5" x14ac:dyDescent="0.55000000000000004">
      <c r="E352" s="13"/>
    </row>
    <row r="353" spans="5:5" x14ac:dyDescent="0.55000000000000004">
      <c r="E353" s="13"/>
    </row>
    <row r="354" spans="5:5" x14ac:dyDescent="0.55000000000000004">
      <c r="E354" s="13"/>
    </row>
    <row r="355" spans="5:5" x14ac:dyDescent="0.55000000000000004">
      <c r="E355" s="13"/>
    </row>
    <row r="356" spans="5:5" x14ac:dyDescent="0.55000000000000004">
      <c r="E356" s="13"/>
    </row>
    <row r="357" spans="5:5" x14ac:dyDescent="0.55000000000000004">
      <c r="E357" s="13"/>
    </row>
    <row r="358" spans="5:5" x14ac:dyDescent="0.55000000000000004">
      <c r="E358" s="13"/>
    </row>
    <row r="359" spans="5:5" x14ac:dyDescent="0.55000000000000004">
      <c r="E359" s="13"/>
    </row>
    <row r="360" spans="5:5" x14ac:dyDescent="0.55000000000000004">
      <c r="E360" s="13"/>
    </row>
    <row r="361" spans="5:5" x14ac:dyDescent="0.55000000000000004">
      <c r="E361" s="13"/>
    </row>
    <row r="362" spans="5:5" x14ac:dyDescent="0.55000000000000004">
      <c r="E362" s="13"/>
    </row>
    <row r="363" spans="5:5" x14ac:dyDescent="0.55000000000000004">
      <c r="E363" s="13"/>
    </row>
    <row r="364" spans="5:5" x14ac:dyDescent="0.55000000000000004">
      <c r="E364" s="13"/>
    </row>
    <row r="365" spans="5:5" x14ac:dyDescent="0.55000000000000004">
      <c r="E365" s="13"/>
    </row>
    <row r="366" spans="5:5" x14ac:dyDescent="0.55000000000000004">
      <c r="E366" s="13"/>
    </row>
    <row r="367" spans="5:5" x14ac:dyDescent="0.55000000000000004">
      <c r="E367" s="13"/>
    </row>
    <row r="368" spans="5:5" x14ac:dyDescent="0.55000000000000004">
      <c r="E368" s="13"/>
    </row>
    <row r="369" spans="5:5" x14ac:dyDescent="0.55000000000000004">
      <c r="E369" s="13"/>
    </row>
    <row r="370" spans="5:5" x14ac:dyDescent="0.55000000000000004">
      <c r="E370" s="13"/>
    </row>
    <row r="371" spans="5:5" x14ac:dyDescent="0.55000000000000004">
      <c r="E371" s="13"/>
    </row>
    <row r="372" spans="5:5" x14ac:dyDescent="0.55000000000000004">
      <c r="E372" s="13"/>
    </row>
    <row r="373" spans="5:5" x14ac:dyDescent="0.55000000000000004">
      <c r="E373" s="13"/>
    </row>
    <row r="374" spans="5:5" x14ac:dyDescent="0.55000000000000004">
      <c r="E374" s="13"/>
    </row>
    <row r="375" spans="5:5" x14ac:dyDescent="0.55000000000000004">
      <c r="E375" s="13"/>
    </row>
    <row r="376" spans="5:5" x14ac:dyDescent="0.55000000000000004">
      <c r="E376" s="13"/>
    </row>
    <row r="377" spans="5:5" x14ac:dyDescent="0.55000000000000004">
      <c r="E377" s="13"/>
    </row>
    <row r="378" spans="5:5" x14ac:dyDescent="0.55000000000000004">
      <c r="E378" s="13"/>
    </row>
    <row r="379" spans="5:5" x14ac:dyDescent="0.55000000000000004">
      <c r="E379" s="13"/>
    </row>
    <row r="380" spans="5:5" x14ac:dyDescent="0.55000000000000004">
      <c r="E380" s="13"/>
    </row>
    <row r="381" spans="5:5" x14ac:dyDescent="0.55000000000000004">
      <c r="E381" s="13"/>
    </row>
    <row r="382" spans="5:5" x14ac:dyDescent="0.55000000000000004">
      <c r="E382" s="13"/>
    </row>
    <row r="383" spans="5:5" x14ac:dyDescent="0.55000000000000004">
      <c r="E383" s="13"/>
    </row>
    <row r="384" spans="5:5" x14ac:dyDescent="0.55000000000000004">
      <c r="E384" s="13"/>
    </row>
    <row r="385" spans="5:5" x14ac:dyDescent="0.55000000000000004">
      <c r="E385" s="13"/>
    </row>
    <row r="386" spans="5:5" x14ac:dyDescent="0.55000000000000004">
      <c r="E386" s="13"/>
    </row>
    <row r="387" spans="5:5" x14ac:dyDescent="0.55000000000000004">
      <c r="E387" s="13"/>
    </row>
    <row r="388" spans="5:5" x14ac:dyDescent="0.55000000000000004">
      <c r="E388" s="13"/>
    </row>
    <row r="389" spans="5:5" x14ac:dyDescent="0.55000000000000004">
      <c r="E389" s="13"/>
    </row>
    <row r="390" spans="5:5" x14ac:dyDescent="0.55000000000000004">
      <c r="E390" s="13"/>
    </row>
    <row r="391" spans="5:5" x14ac:dyDescent="0.55000000000000004">
      <c r="E391" s="13"/>
    </row>
    <row r="392" spans="5:5" x14ac:dyDescent="0.55000000000000004">
      <c r="E392" s="13"/>
    </row>
    <row r="393" spans="5:5" x14ac:dyDescent="0.55000000000000004">
      <c r="E393" s="13"/>
    </row>
    <row r="394" spans="5:5" x14ac:dyDescent="0.55000000000000004">
      <c r="E394" s="13"/>
    </row>
    <row r="395" spans="5:5" x14ac:dyDescent="0.55000000000000004">
      <c r="E395" s="13"/>
    </row>
    <row r="396" spans="5:5" x14ac:dyDescent="0.55000000000000004">
      <c r="E396" s="13"/>
    </row>
    <row r="397" spans="5:5" x14ac:dyDescent="0.55000000000000004">
      <c r="E397" s="13"/>
    </row>
    <row r="398" spans="5:5" x14ac:dyDescent="0.55000000000000004">
      <c r="E398" s="13"/>
    </row>
    <row r="399" spans="5:5" x14ac:dyDescent="0.55000000000000004">
      <c r="E399" s="13"/>
    </row>
    <row r="400" spans="5:5" x14ac:dyDescent="0.55000000000000004">
      <c r="E400" s="13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12</vt:i4>
      </vt:variant>
    </vt:vector>
  </HeadingPairs>
  <TitlesOfParts>
    <vt:vector size="20" baseType="lpstr">
      <vt:lpstr>PCA設定</vt:lpstr>
      <vt:lpstr>PCA結果</vt:lpstr>
      <vt:lpstr>PCA計算</vt:lpstr>
      <vt:lpstr>VolPCA設定</vt:lpstr>
      <vt:lpstr>VolPCA結果</vt:lpstr>
      <vt:lpstr>VolPCA計算</vt:lpstr>
      <vt:lpstr>RealTime</vt:lpstr>
      <vt:lpstr>RealTimeVol</vt:lpstr>
      <vt:lpstr>PCA_k</vt:lpstr>
      <vt:lpstr>PCA_window</vt:lpstr>
      <vt:lpstr>PCA_モード</vt:lpstr>
      <vt:lpstr>PCA_推定基準日</vt:lpstr>
      <vt:lpstr>PCA_比較日</vt:lpstr>
      <vt:lpstr>PCA_標準化</vt:lpstr>
      <vt:lpstr>VOL_k</vt:lpstr>
      <vt:lpstr>VOL_window</vt:lpstr>
      <vt:lpstr>VOL_モード</vt:lpstr>
      <vt:lpstr>VOL_推定基準日</vt:lpstr>
      <vt:lpstr>VOL_比較日</vt:lpstr>
      <vt:lpstr>VOL_標準化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2026-10-04T14:11:15Z</dcterms:modified>
</cp:coreProperties>
</file>