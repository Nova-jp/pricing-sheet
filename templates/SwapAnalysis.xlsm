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8CE56FDB-B6B8-45DC-8101-036574D23752}" xr6:coauthVersionLast="47" xr6:coauthVersionMax="47" xr10:uidLastSave="{00000000-0000-0000-0000-000000000000}"/>
  <bookViews>
    <workbookView xWindow="-110" yWindow="-110" windowWidth="19420" windowHeight="11500" activeTab="1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BOJ" sheetId="11" r:id="rId5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sImm" hidden="1" xlm="1">#NAME?</definedName>
    <definedName name="_xlpm.lag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7" i="9" l="1" a="1"/>
  <c r="BP4" i="9" a="1"/>
  <c r="F4" i="9" a="1"/>
  <c r="CE4" i="6" a="1"/>
  <c r="CF4" i="6" s="1" a="1"/>
  <c r="Z17" i="6" a="1"/>
  <c r="AC4" i="6" a="1"/>
  <c r="E4" i="6" a="1"/>
  <c r="AO12" i="9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AK60" i="9" a="1"/>
  <c r="V60" i="9" a="1"/>
  <c r="G60" i="9" a="1"/>
  <c r="AN12" i="9" a="1"/>
  <c r="BM5" i="9" a="1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AB4" i="6" a="1"/>
  <c r="JG4" i="9" a="1"/>
  <c r="V35" i="9" a="1"/>
  <c r="G35" i="9" a="1"/>
  <c r="P3" i="11" l="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B8" i="11" l="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K12" i="9" a="1"/>
  <c r="D14" i="11" l="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GS4" i="14" l="1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<sst xmlns="http://schemas.openxmlformats.org/spreadsheetml/2006/main" count="771" uniqueCount="255">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</sst>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</numFmts>
  <fonts count="12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ref="E4:F8">PcaWindow(PCA_Selected,PCA_Mode,PCA_Standardize,PCA_window,PCA_WindowEnd)</f>
      </c>
      <c r="F4" s="7"/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ref="AC4:AY23">PcaModel(PCA_Selected,PCA_Mode,PCA_Standardize,PCA_window,PCA_WindowEnd)</f>
      </c>
      <c r="BX4" cm="1">
        <f t="array" ref="BX4:BX22">_xlfn.DROP(_xlfn.CHOOSECOLS(_xlfn.ANCHORARRAY($AC$4),2),1)+_xlfn.DROP(_xlfn.CHOOSECOLS(_xlfn.ANCHORARRAY($AC$4),4),1)</f>
      </c>
      <c r="BY4" cm="1">
        <f t="array" ref="BY4:BY22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ref="CE4:CE22">PcaResidStd(PCA_Selected,PCA_Mode,PCA_Standardize,PCA_window,PCA_k,PCA_WindowEnd,PCA_SigmaDays)</f>
      </c>
      <c r="CF4" cm="1">
        <f t="array" ref="CF4:CF22">-_xlfn.ANCHORARRAY($CE$4)</f>
      </c>
    </row>
    <row r="5" spans="1:84" x14ac:dyDescent="0.55000000000000004">
      <c r="A5" t="s">
        <v>191</v>
      </c>
      <c r="B5" s="2">
        <v>250</v>
      </c>
      <c r="F5" s="7"/>
      <c r="H5">
        <f ca="1"/>
      </c>
      <c r="I5">
        <f ca="1"/>
      </c>
      <c r="O5" t="s">
        <v>201</v>
      </c>
      <c r="AA5" s="7"/>
      <c r="CA5">
        <f ca="1"/>
      </c>
      <c r="CB5">
        <f ca="1"/>
      </c>
      <c r="CC5">
        <f ca="1"/>
      </c>
      <c r="CD5">
        <f ca="1"/>
      </c>
    </row>
    <row r="6" spans="1:84" x14ac:dyDescent="0.55000000000000004">
      <c r="A6" t="s">
        <v>192</v>
      </c>
      <c r="B6" s="2" t="s">
        <v>221</v>
      </c>
      <c r="H6">
        <f ca="1"/>
      </c>
      <c r="I6" s="7">
        <f ca="1"/>
      </c>
      <c r="CA6">
        <f ca="1"/>
      </c>
      <c r="CB6">
        <f ca="1"/>
      </c>
      <c r="CC6">
        <f ca="1"/>
      </c>
      <c r="CD6">
        <f ca="1"/>
      </c>
    </row>
    <row r="7" spans="1:84" x14ac:dyDescent="0.55000000000000004">
      <c r="A7" t="s">
        <v>193</v>
      </c>
      <c r="B7" s="2" t="s">
        <v>222</v>
      </c>
      <c r="H7">
        <f ca="1"/>
      </c>
      <c r="I7" s="8">
        <f ca="1"/>
      </c>
      <c r="CA7">
        <f ca="1"/>
      </c>
      <c r="CB7">
        <f ca="1"/>
      </c>
      <c r="CC7">
        <f ca="1"/>
      </c>
      <c r="CD7">
        <f ca="1"/>
      </c>
    </row>
    <row r="8" spans="1:84" x14ac:dyDescent="0.55000000000000004">
      <c r="F8" s="8"/>
      <c r="CA8">
        <f ca="1"/>
      </c>
      <c r="CB8">
        <f ca="1"/>
      </c>
      <c r="CC8">
        <f ca="1"/>
      </c>
      <c r="CD8">
        <f ca="1"/>
      </c>
    </row>
    <row r="9" spans="1:84" x14ac:dyDescent="0.55000000000000004">
      <c r="A9" s="4" t="s">
        <v>249</v>
      </c>
      <c r="CA9">
        <f ca="1"/>
      </c>
      <c r="CB9">
        <f ca="1"/>
      </c>
      <c r="CC9">
        <f ca="1"/>
      </c>
      <c r="CD9">
        <f ca="1"/>
      </c>
    </row>
    <row r="10" spans="1:84" x14ac:dyDescent="0.55000000000000004">
      <c r="A10" t="s">
        <v>250</v>
      </c>
      <c r="B10" s="3"/>
      <c r="CA10">
        <f ca="1"/>
      </c>
      <c r="CB10">
        <f ca="1"/>
      </c>
      <c r="CC10">
        <f ca="1"/>
      </c>
      <c r="CD10">
        <f ca="1"/>
      </c>
    </row>
    <row r="11" spans="1:84" x14ac:dyDescent="0.55000000000000004">
      <c r="A11" t="s">
        <v>194</v>
      </c>
      <c r="B11" s="2">
        <v>3</v>
      </c>
      <c r="AA11" s="7"/>
      <c r="CA11">
        <f ca="1"/>
      </c>
      <c r="CB11">
        <f ca="1"/>
      </c>
      <c r="CC11">
        <f ca="1"/>
      </c>
      <c r="CD11">
        <f ca="1"/>
      </c>
    </row>
    <row r="12" spans="1:84" x14ac:dyDescent="0.55000000000000004">
      <c r="A12" t="s">
        <v>202</v>
      </c>
      <c r="B12" s="2"/>
      <c r="CA12">
        <f ca="1"/>
      </c>
      <c r="CB12">
        <f ca="1"/>
      </c>
      <c r="CC12">
        <f ca="1"/>
      </c>
      <c r="CD12">
        <f ca="1"/>
      </c>
    </row>
    <row r="13" spans="1:84" x14ac:dyDescent="0.55000000000000004">
      <c r="A13" t="s">
        <v>203</v>
      </c>
      <c r="AA13" s="7"/>
      <c r="CA13">
        <f ca="1"/>
      </c>
      <c r="CB13">
        <f ca="1"/>
      </c>
      <c r="CC13">
        <f ca="1"/>
      </c>
      <c r="CD13">
        <f ca="1"/>
      </c>
    </row>
    <row r="14" spans="1:84" x14ac:dyDescent="0.55000000000000004">
      <c r="A14" s="5" t="s">
        <v>204</v>
      </c>
      <c r="B14" s="5" t="s">
        <v>205</v>
      </c>
      <c r="CA14">
        <f ca="1"/>
      </c>
      <c r="CB14">
        <f ca="1"/>
      </c>
      <c r="CC14">
        <f ca="1"/>
      </c>
      <c r="CD14">
        <f ca="1"/>
      </c>
    </row>
    <row r="15" spans="1:84" x14ac:dyDescent="0.55000000000000004">
      <c r="A15" t="s">
        <v>0</v>
      </c>
      <c r="B15" s="6" t="s">
        <v>43</v>
      </c>
      <c r="CA15">
        <f ca="1"/>
      </c>
      <c r="CB15">
        <f ca="1"/>
      </c>
      <c r="CC15">
        <f ca="1"/>
      </c>
      <c r="CD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CA16">
        <f ca="1"/>
      </c>
      <c r="CB16">
        <f ca="1"/>
      </c>
      <c r="CC16">
        <f ca="1"/>
      </c>
      <c r="CD16">
        <f ca="1"/>
      </c>
    </row>
    <row r="17" spans="1:84" x14ac:dyDescent="0.55000000000000004">
      <c r="A17" t="s">
        <v>2</v>
      </c>
      <c r="B17" s="6" t="s">
        <v>43</v>
      </c>
      <c r="Z17" cm="1">
        <f t="array" ref="Z17:AA36">PcaEigen(PCA_Selected,PCA_Mode,PCA_Standardize,PCA_window,PCA_WindowEnd)</f>
      </c>
      <c r="CA17">
        <f ca="1"/>
      </c>
      <c r="CB17">
        <f ca="1"/>
      </c>
      <c r="CC17">
        <f ca="1"/>
      </c>
      <c r="CD17">
        <f ca="1"/>
      </c>
    </row>
    <row r="18" spans="1:84" x14ac:dyDescent="0.55000000000000004">
      <c r="A18" t="s">
        <v>3</v>
      </c>
      <c r="B18" s="6" t="s">
        <v>43</v>
      </c>
      <c r="CA18">
        <f ca="1"/>
      </c>
      <c r="CB18">
        <f ca="1"/>
      </c>
      <c r="CC18">
        <f ca="1"/>
      </c>
      <c r="CD18">
        <f ca="1"/>
      </c>
    </row>
    <row r="19" spans="1:84" x14ac:dyDescent="0.55000000000000004">
      <c r="A19" t="s">
        <v>4</v>
      </c>
      <c r="B19" s="6" t="s">
        <v>43</v>
      </c>
      <c r="CA19">
        <f ca="1"/>
      </c>
      <c r="CB19">
        <f ca="1"/>
      </c>
      <c r="CC19">
        <f ca="1"/>
      </c>
      <c r="CD19">
        <f ca="1"/>
      </c>
    </row>
    <row r="20" spans="1:84" x14ac:dyDescent="0.55000000000000004">
      <c r="A20" t="s">
        <v>5</v>
      </c>
      <c r="B20" s="6" t="s">
        <v>43</v>
      </c>
      <c r="CA20">
        <f ca="1"/>
      </c>
      <c r="CB20">
        <f ca="1"/>
      </c>
      <c r="CC20">
        <f ca="1"/>
      </c>
      <c r="CD20">
        <f ca="1"/>
      </c>
    </row>
    <row r="21" spans="1:84" x14ac:dyDescent="0.55000000000000004">
      <c r="A21" t="s">
        <v>6</v>
      </c>
      <c r="B21" s="6" t="s">
        <v>43</v>
      </c>
      <c r="CA21">
        <f ca="1"/>
      </c>
      <c r="CB21">
        <f ca="1"/>
      </c>
      <c r="CC21">
        <f ca="1"/>
      </c>
      <c r="CD21">
        <f ca="1"/>
      </c>
    </row>
    <row r="22" spans="1:84" x14ac:dyDescent="0.55000000000000004">
      <c r="A22" t="s">
        <v>7</v>
      </c>
      <c r="B22" s="6" t="s">
        <v>42</v>
      </c>
      <c r="CA22">
        <f ca="1"/>
      </c>
      <c r="CB22">
        <f ca="1"/>
      </c>
      <c r="CC22">
        <f ca="1"/>
      </c>
      <c r="CD22">
        <f ca="1"/>
      </c>
    </row>
    <row r="23" spans="1:84" x14ac:dyDescent="0.55000000000000004">
      <c r="A23" t="s">
        <v>8</v>
      </c>
      <c r="B23" s="6" t="s">
        <v>43</v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ref="E34:E52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ref="G34:G52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ref="L34:L52">_xlfn.DROP(_xlfn.TAKE(_xlfn.ANCHORARRAY($Z$17),,1),1)</f>
      </c>
      <c r="M34" s="11" cm="1">
        <f t="array" ref="M34:M52">_xlfn.DROP(_xlfn.CHOOSECOLS(_xlfn.ANCHORARRAY($Z$17),2),1)</f>
      </c>
      <c r="N34" s="12" cm="1">
        <f t="array" ref="N34:N52">_xlfn.ANCHORARRAY(M34)/SUM(_xlfn.ANCHORARRAY(M34))</f>
      </c>
      <c r="O34" s="12" cm="1">
        <f t="array" ref="O34:O52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ref="Q34:Q52">IF(_xlfn.SEQUENCE(ROWS(_xlfn.ANCHORARRAY(L34)))&lt;=PCA_k,"Yes","")</f>
      </c>
      <c r="S34" cm="1">
        <f t="array" ref="S34:S52">_xlfn.ANCHORARRAY(E34)</f>
      </c>
      <c r="T34" s="13" cm="1">
        <f t="array" ref="T34:T52">_xlfn.LET(_xlpm.V,_xlfn.DROP(_xlfn.ANCHORARRAY($AC$4),1,4),IF(1&lt;=COLUMNS(_xlpm.V),_xlfn.CHOOSECOLS(_xlpm.V,MIN(1,COLUMNS(_xlpm.V))),IF(_xlfn.SEQUENCE(ROWS(_xlpm.V)),NA())))</f>
      </c>
      <c r="U34" s="13" cm="1">
        <f t="array" ref="U34:U52">_xlfn.LET(_xlpm.V,_xlfn.DROP(_xlfn.ANCHORARRAY($AC$4),1,4),IF(2&lt;=COLUMNS(_xlpm.V),_xlfn.CHOOSECOLS(_xlpm.V,MIN(2,COLUMNS(_xlpm.V))),IF(_xlfn.SEQUENCE(ROWS(_xlpm.V)),NA())))</f>
      </c>
      <c r="V34" s="13" cm="1">
        <f t="array" ref="V34:V52">_xlfn.LET(_xlpm.V,_xlfn.DROP(_xlfn.ANCHORARRAY($AC$4),1,4),IF(3&lt;=COLUMNS(_xlpm.V),_xlfn.CHOOSECOLS(_xlpm.V,MIN(3,COLUMNS(_xlpm.V))),IF(_xlfn.SEQUENCE(ROWS(_xlpm.V)),NA())))</f>
      </c>
      <c r="W34" s="13" cm="1">
        <f t="array" ref="W34:W52">_xlfn.LET(_xlpm.V,_xlfn.DROP(_xlfn.ANCHORARRAY($AC$4),1,4),IF(4&lt;=COLUMNS(_xlpm.V),_xlfn.CHOOSECOLS(_xlpm.V,MIN(4,COLUMNS(_xlpm.V))),IF(_xlfn.SEQUENCE(ROWS(_xlpm.V)),NA())))</f>
      </c>
      <c r="X34" s="13" cm="1">
        <f t="array" ref="X34:X52">_xlfn.LET(_xlpm.V,_xlfn.DROP(_xlfn.ANCHORARRAY($AC$4),1,4),IF(5&lt;=COLUMNS(_xlpm.V),_xlfn.CHOOSECOLS(_xlpm.V,MIN(5,COLUMNS(_xlpm.V))),IF(_xlfn.SEQUENCE(ROWS(_xlpm.V)),NA())))</f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F35" s="10">
        <f ca="1"/>
      </c>
      <c r="G35" s="10"/>
      <c r="H35" s="10">
        <f ca="1"/>
      </c>
      <c r="I35" s="11">
        <f ca="1"/>
      </c>
      <c r="J35" s="11">
        <f ca="1"/>
      </c>
      <c r="M35" s="11"/>
      <c r="N35" s="12"/>
      <c r="O35" s="12"/>
      <c r="P35" s="11">
        <f ca="1"/>
      </c>
      <c r="T35" s="13"/>
      <c r="U35" s="13"/>
      <c r="V35" s="13"/>
      <c r="W35" s="13"/>
      <c r="X35" s="13"/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F36" s="10">
        <f ca="1"/>
      </c>
      <c r="G36" s="10"/>
      <c r="H36" s="10">
        <f ca="1"/>
      </c>
      <c r="I36" s="11">
        <f ca="1"/>
      </c>
      <c r="J36" s="11">
        <f ca="1"/>
      </c>
      <c r="M36" s="11"/>
      <c r="N36" s="12"/>
      <c r="O36" s="12"/>
      <c r="P36" s="11">
        <f ca="1"/>
      </c>
      <c r="T36" s="13"/>
      <c r="U36" s="13"/>
      <c r="V36" s="13"/>
      <c r="W36" s="13"/>
      <c r="X36" s="13"/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F37" s="10">
        <f ca="1"/>
      </c>
      <c r="G37" s="10"/>
      <c r="H37" s="10">
        <f ca="1"/>
      </c>
      <c r="I37" s="11">
        <f ca="1"/>
      </c>
      <c r="J37" s="11">
        <f ca="1"/>
      </c>
      <c r="M37" s="11"/>
      <c r="N37" s="12"/>
      <c r="O37" s="12"/>
      <c r="P37" s="11">
        <f ca="1"/>
      </c>
      <c r="T37" s="13"/>
      <c r="U37" s="13"/>
      <c r="V37" s="13"/>
      <c r="W37" s="13"/>
      <c r="X37" s="13"/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F38" s="10">
        <f ca="1"/>
      </c>
      <c r="G38" s="10"/>
      <c r="H38" s="10">
        <f ca="1"/>
      </c>
      <c r="I38" s="11">
        <f ca="1"/>
      </c>
      <c r="J38" s="11">
        <f ca="1"/>
      </c>
      <c r="M38" s="11"/>
      <c r="N38" s="12"/>
      <c r="O38" s="12"/>
      <c r="P38" s="11">
        <f ca="1"/>
      </c>
      <c r="T38" s="13"/>
      <c r="U38" s="13"/>
      <c r="V38" s="13"/>
      <c r="W38" s="13"/>
      <c r="X38" s="13"/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F39" s="10">
        <f ca="1"/>
      </c>
      <c r="G39" s="10"/>
      <c r="H39" s="10">
        <f ca="1"/>
      </c>
      <c r="I39" s="11">
        <f ca="1"/>
      </c>
      <c r="J39" s="11">
        <f ca="1"/>
      </c>
      <c r="M39" s="11"/>
      <c r="N39" s="12"/>
      <c r="O39" s="12"/>
      <c r="P39" s="11">
        <f ca="1"/>
      </c>
      <c r="T39" s="13"/>
      <c r="U39" s="13"/>
      <c r="V39" s="13"/>
      <c r="W39" s="13"/>
      <c r="X39" s="13"/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F40" s="10">
        <f ca="1"/>
      </c>
      <c r="G40" s="10"/>
      <c r="H40" s="10">
        <f ca="1"/>
      </c>
      <c r="I40" s="11">
        <f ca="1"/>
      </c>
      <c r="J40" s="11">
        <f ca="1"/>
      </c>
      <c r="M40" s="11"/>
      <c r="N40" s="12"/>
      <c r="O40" s="12"/>
      <c r="P40" s="11">
        <f ca="1"/>
      </c>
      <c r="T40" s="13"/>
      <c r="U40" s="13"/>
      <c r="V40" s="13"/>
      <c r="W40" s="13"/>
      <c r="X40" s="13"/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F41" s="10">
        <f ca="1"/>
      </c>
      <c r="G41" s="10"/>
      <c r="H41" s="10">
        <f ca="1"/>
      </c>
      <c r="I41" s="11">
        <f ca="1"/>
      </c>
      <c r="J41" s="11">
        <f ca="1"/>
      </c>
      <c r="M41" s="11"/>
      <c r="N41" s="12"/>
      <c r="O41" s="12"/>
      <c r="P41" s="11">
        <f ca="1"/>
      </c>
      <c r="T41" s="13"/>
      <c r="U41" s="13"/>
      <c r="V41" s="13"/>
      <c r="W41" s="13"/>
      <c r="X41" s="13"/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F42" s="10">
        <f ca="1"/>
      </c>
      <c r="G42" s="10"/>
      <c r="H42" s="10">
        <f ca="1"/>
      </c>
      <c r="I42" s="11">
        <f ca="1"/>
      </c>
      <c r="J42" s="11">
        <f ca="1"/>
      </c>
      <c r="M42" s="11"/>
      <c r="N42" s="12"/>
      <c r="O42" s="12"/>
      <c r="P42" s="11">
        <f ca="1"/>
      </c>
      <c r="T42" s="13"/>
      <c r="U42" s="13"/>
      <c r="V42" s="13"/>
      <c r="W42" s="13"/>
      <c r="X42" s="13"/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F43" s="10">
        <f ca="1"/>
      </c>
      <c r="G43" s="10"/>
      <c r="H43" s="10">
        <f ca="1"/>
      </c>
      <c r="I43" s="11">
        <f ca="1"/>
      </c>
      <c r="J43" s="11">
        <f ca="1"/>
      </c>
      <c r="M43" s="11"/>
      <c r="N43" s="12"/>
      <c r="O43" s="12"/>
      <c r="P43" s="11">
        <f ca="1"/>
      </c>
      <c r="T43" s="13"/>
      <c r="U43" s="13"/>
      <c r="V43" s="13"/>
      <c r="W43" s="13"/>
      <c r="X43" s="13"/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F44" s="10">
        <f ca="1"/>
      </c>
      <c r="G44" s="10"/>
      <c r="H44" s="10">
        <f ca="1"/>
      </c>
      <c r="I44" s="11">
        <f ca="1"/>
      </c>
      <c r="J44" s="11">
        <f ca="1"/>
      </c>
      <c r="M44" s="11"/>
      <c r="N44" s="12"/>
      <c r="O44" s="12"/>
      <c r="P44" s="11">
        <f ca="1"/>
      </c>
      <c r="T44" s="13"/>
      <c r="U44" s="13"/>
      <c r="V44" s="13"/>
      <c r="W44" s="13"/>
      <c r="X44" s="13"/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F45" s="10">
        <f ca="1"/>
      </c>
      <c r="G45" s="10"/>
      <c r="H45" s="10">
        <f ca="1"/>
      </c>
      <c r="I45" s="11">
        <f ca="1"/>
      </c>
      <c r="J45" s="11">
        <f ca="1"/>
      </c>
      <c r="M45" s="11"/>
      <c r="N45" s="12"/>
      <c r="O45" s="12"/>
      <c r="P45" s="11">
        <f ca="1"/>
      </c>
      <c r="T45" s="13"/>
      <c r="U45" s="13"/>
      <c r="V45" s="13"/>
      <c r="W45" s="13"/>
      <c r="X45" s="13"/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F46" s="10">
        <f ca="1"/>
      </c>
      <c r="G46" s="10"/>
      <c r="H46" s="10">
        <f ca="1"/>
      </c>
      <c r="I46" s="11">
        <f ca="1"/>
      </c>
      <c r="J46" s="11">
        <f ca="1"/>
      </c>
      <c r="M46" s="11"/>
      <c r="N46" s="12"/>
      <c r="O46" s="12"/>
      <c r="P46" s="11">
        <f ca="1"/>
      </c>
      <c r="T46" s="13"/>
      <c r="U46" s="13"/>
      <c r="V46" s="13"/>
      <c r="W46" s="13"/>
      <c r="X46" s="13"/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F47" s="10">
        <f ca="1"/>
      </c>
      <c r="G47" s="10"/>
      <c r="H47" s="10">
        <f ca="1"/>
      </c>
      <c r="I47" s="11">
        <f ca="1"/>
      </c>
      <c r="J47" s="11">
        <f ca="1"/>
      </c>
      <c r="M47" s="11"/>
      <c r="N47" s="12"/>
      <c r="O47" s="12"/>
      <c r="P47" s="11">
        <f ca="1"/>
      </c>
      <c r="T47" s="13"/>
      <c r="U47" s="13"/>
      <c r="V47" s="13"/>
      <c r="W47" s="13"/>
      <c r="X47" s="13"/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F48" s="10">
        <f ca="1"/>
      </c>
      <c r="G48" s="10"/>
      <c r="H48" s="10">
        <f ca="1"/>
      </c>
      <c r="I48" s="11">
        <f ca="1"/>
      </c>
      <c r="J48" s="11">
        <f ca="1"/>
      </c>
      <c r="M48" s="11"/>
      <c r="N48" s="12"/>
      <c r="O48" s="12"/>
      <c r="P48" s="11">
        <f ca="1"/>
      </c>
      <c r="T48" s="13"/>
      <c r="U48" s="13"/>
      <c r="V48" s="13"/>
      <c r="W48" s="13"/>
      <c r="X48" s="13"/>
    </row>
    <row r="49" spans="1:24" x14ac:dyDescent="0.55000000000000004">
      <c r="A49" t="s">
        <v>33</v>
      </c>
      <c r="B49" s="6" t="s">
        <v>43</v>
      </c>
      <c r="F49" s="10">
        <f ca="1"/>
      </c>
      <c r="G49" s="10"/>
      <c r="H49" s="10">
        <f ca="1"/>
      </c>
      <c r="I49" s="11">
        <f ca="1"/>
      </c>
      <c r="J49" s="11">
        <f ca="1"/>
      </c>
      <c r="M49" s="11"/>
      <c r="N49" s="12"/>
      <c r="O49" s="12"/>
      <c r="P49" s="11">
        <f ca="1"/>
      </c>
      <c r="T49" s="13"/>
      <c r="U49" s="13"/>
      <c r="V49" s="13"/>
      <c r="W49" s="13"/>
      <c r="X49" s="13"/>
    </row>
    <row r="50" spans="1:24" x14ac:dyDescent="0.55000000000000004">
      <c r="A50" t="s">
        <v>34</v>
      </c>
      <c r="B50" s="6" t="s">
        <v>43</v>
      </c>
      <c r="F50" s="10">
        <f ca="1"/>
      </c>
      <c r="G50" s="10"/>
      <c r="H50" s="10">
        <f ca="1"/>
      </c>
      <c r="I50" s="11">
        <f ca="1"/>
      </c>
      <c r="J50" s="11">
        <f ca="1"/>
      </c>
      <c r="M50" s="11"/>
      <c r="N50" s="12"/>
      <c r="O50" s="12"/>
      <c r="P50" s="11">
        <f ca="1"/>
      </c>
      <c r="T50" s="13"/>
      <c r="U50" s="13"/>
      <c r="V50" s="13"/>
      <c r="W50" s="13"/>
      <c r="X50" s="13"/>
    </row>
    <row r="51" spans="1:24" x14ac:dyDescent="0.55000000000000004">
      <c r="A51" t="s">
        <v>35</v>
      </c>
      <c r="B51" s="6" t="s">
        <v>43</v>
      </c>
      <c r="F51" s="10">
        <f ca="1"/>
      </c>
      <c r="G51" s="10"/>
      <c r="H51" s="10">
        <f ca="1"/>
      </c>
      <c r="I51" s="11">
        <f ca="1"/>
      </c>
      <c r="J51" s="11">
        <f ca="1"/>
      </c>
      <c r="M51" s="11"/>
      <c r="N51" s="12"/>
      <c r="O51" s="12"/>
      <c r="P51" s="11">
        <f ca="1"/>
      </c>
      <c r="T51" s="13"/>
      <c r="U51" s="13"/>
      <c r="V51" s="13"/>
      <c r="W51" s="13"/>
      <c r="X51" s="13"/>
    </row>
    <row r="52" spans="1:24" x14ac:dyDescent="0.55000000000000004">
      <c r="A52" t="s">
        <v>36</v>
      </c>
      <c r="B52" s="6" t="s">
        <v>43</v>
      </c>
      <c r="F52" s="10">
        <f ca="1"/>
      </c>
      <c r="G52" s="10"/>
      <c r="H52" s="10">
        <f ca="1"/>
      </c>
      <c r="I52" s="11">
        <f ca="1"/>
      </c>
      <c r="J52" s="11">
        <f ca="1"/>
      </c>
      <c r="M52" s="11"/>
      <c r="N52" s="12"/>
      <c r="O52" s="12"/>
      <c r="P52" s="11">
        <f ca="1"/>
      </c>
      <c r="T52" s="13"/>
      <c r="U52" s="13"/>
      <c r="V52" s="13"/>
      <c r="W52" s="13"/>
      <c r="X52" s="13"/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tabSelected="1" zoomScale="44" workbookViewId="0">
      <pane xSplit="4" ySplit="9" topLeftCell="R59" activePane="bottomRight" state="frozenSplit"/>
      <selection pane="topRight" activeCell="E1" sqref="E1"/>
      <selection pane="bottomLeft" activeCell="A10" sqref="A10"/>
      <selection pane="bottomRight" activeCell="X7" sqref="X7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ref="CO4:DP184">PcaGrid(_xlfn.ANCHORARRAY($CB$4),_xlfn.LET(_xlpm.r,$E$4:$BP$7,_xlfn.CHOOSECOLS(IF(_xlpm.r="","",_xlpm.r),_xlfn.SEQUENCE(1,10,1,7))))</f>
      </c>
      <c r="EP4" t="s">
        <v>150</v>
      </c>
      <c r="EQ4" cm="1">
        <f t="array" ref="EQ4:FR21">_xlfn.LET(_xlpm.g,_xlfn.DROP(_xlfn.ANCHORARRAY($CO$4),1),_xlfn._xlws.FILTER(_xlpm.g,_xlfn.TAKE(_xlpm.g,,1)=1))</f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ref="HS4:HY184">PcaGridResidStd(_xlfn.ANCHORARRAY($CB$4),_xlfn.LET(_xlpm.r,$E$4:$BP$7,_xlfn.CHOOSECOLS(IF(_xlpm.r="","",_xlpm.r),_xlfn.SEQUENCE(1,10,1,7))),_xlfn.VSTACK($D$12,$D$28,$D$44,$D$60,$D$76),$B$55)</f>
      </c>
    </row>
    <row r="5" spans="1:233" x14ac:dyDescent="0.55000000000000004">
      <c r="A5" t="s">
        <v>254</v>
      </c>
      <c r="D5" t="s">
        <v>145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ref="GX5:GX22">_xlfn.LET(_xlpm.V,_xlfn.DROP(_xlfn.ANCHORARRAY($EQ$4),,10),IF(1&lt;=COLUMNS(_xlpm.V),_xlfn.CHOOSECOLS(_xlpm.V,1),IF(_xlfn.SEQUENCE(ROWS(_xlpm.V)),NA())))</f>
      </c>
      <c r="GY5" cm="1">
        <f t="array" ref="GY5:GY22">_xlfn.LET(_xlpm.V,_xlfn.DROP(_xlfn.ANCHORARRAY($EQ$4),,10),IF(2&lt;=COLUMNS(_xlpm.V),_xlfn.CHOOSECOLS(_xlpm.V,2),IF(_xlfn.SEQUENCE(ROWS(_xlpm.V)),NA())))</f>
      </c>
      <c r="GZ5" cm="1">
        <f t="array" ref="GZ5:GZ22">_xlfn.LET(_xlpm.V,_xlfn.DROP(_xlfn.ANCHORARRAY($EQ$4),,10),IF(3&lt;=COLUMNS(_xlpm.V),_xlfn.CHOOSECOLS(_xlpm.V,3),IF(_xlfn.SEQUENCE(ROWS(_xlpm.V)),NA())))</f>
      </c>
      <c r="HA5" cm="1">
        <f t="array" ref="HA5:HA22">_xlfn.LET(_xlpm.V,_xlfn.DROP(_xlfn.ANCHORARRAY($EQ$4),,10),IF(4&lt;=COLUMNS(_xlpm.V),_xlfn.CHOOSECOLS(_xlpm.V,4),IF(_xlfn.SEQUENCE(ROWS(_xlpm.V)),NA())))</f>
      </c>
      <c r="HB5" cm="1">
        <f t="array" ref="HB5:HB22">_xlfn.LET(_xlpm.V,_xlfn.DROP(_xlfn.ANCHORARRAY($EQ$4),,10),IF(5&lt;=COLUMNS(_xlpm.V),_xlfn.CHOOSECOLS(_xlpm.V,5),IF(_xlfn.SEQUENCE(ROWS(_xlpm.V)),NA())))</f>
      </c>
      <c r="HD5" cm="1">
        <f t="array" ref="HD5:HD22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ref="HF5:HF22">_xlfn.CHOOSECOLS(_xlfn.ANCHORARRAY($EQ$4),8)+_xlfn.CHOOSECOLS(_xlfn.ANCHORARRAY($EQ$4),10)</f>
      </c>
      <c r="HG5" cm="1">
        <f t="array" ref="HG5:HG22">_xlfn.CHOOSECOLS(_xlfn.ANCHORARRAY($EQ$4),8)-_xlfn.CHOOSECOLS(_xlfn.ANCHORARRAY($EQ$4),10)</f>
      </c>
      <c r="HH5" cm="1">
        <f t="array" ref="HH5:HH22">_xlfn.LET(_xlpm.v,_xlfn.CHOOSECOLS(_xlfn._xlws.FILTER(_xlfn.DROP(_xlfn.ANCHORARRAY($HS$4),1),_xlfn.TAKE(_xlfn.DROP(_xlfn.ANCHORARRAY($HS$4),1),,1)=1),3),IF(_xlpm.v="",NA(),_xlpm.v))</f>
      </c>
      <c r="HI5" cm="1">
        <f t="array" ref="HI5:HI22">-_xlfn.ANCHORARRAY($HH$5)</f>
      </c>
      <c r="HJ5" cm="1">
        <f t="array" ref="HJ5:HJ22">_xlfn.LET(_xlpm.v,_xlfn.CHOOSECOLS(_xlfn._xlws.FILTER(_xlfn.DROP(_xlfn.ANCHORARRAY($HS$4),1),_xlfn.TAKE(_xlfn.DROP(_xlfn.ANCHORARRAY($HS$4),1),,1)=1),4),IF(_xlpm.v="",NA(),_xlpm.v))</f>
      </c>
      <c r="HK5" cm="1">
        <f t="array" ref="HK5:HK22">-_xlfn.ANCHORARRAY($HJ$5)</f>
      </c>
      <c r="HL5" cm="1">
        <f t="array" ref="HL5:HL22">_xlfn.LET(_xlpm.v,_xlfn.CHOOSECOLS(_xlfn._xlws.FILTER(_xlfn.DROP(_xlfn.ANCHORARRAY($HS$4),1),_xlfn.TAKE(_xlfn.DROP(_xlfn.ANCHORARRAY($HS$4),1),,1)=1),5),IF(_xlpm.v="",NA(),_xlpm.v))</f>
      </c>
      <c r="HM5" cm="1">
        <f t="array" ref="HM5:HM22">-_xlfn.ANCHORARRAY($HL$5)</f>
      </c>
      <c r="HN5" cm="1">
        <f t="array" ref="HN5:HN22">_xlfn.LET(_xlpm.v,_xlfn.CHOOSECOLS(_xlfn._xlws.FILTER(_xlfn.DROP(_xlfn.ANCHORARRAY($HS$4),1),_xlfn.TAKE(_xlfn.DROP(_xlfn.ANCHORARRAY($HS$4),1),,1)=1),6),IF(_xlpm.v="",NA(),_xlpm.v))</f>
      </c>
      <c r="HO5" cm="1">
        <f t="array" ref="HO5:HO22">-_xlfn.ANCHORARRAY($HN$5)</f>
      </c>
      <c r="HP5" cm="1">
        <f t="array" ref="HP5:HP22">_xlfn.LET(_xlpm.v,_xlfn.CHOOSECOLS(_xlfn._xlws.FILTER(_xlfn.DROP(_xlfn.ANCHORARRAY($HS$4),1),_xlfn.TAKE(_xlfn.DROP(_xlfn.ANCHORARRAY($HS$4),1),,1)=1),7),IF(_xlpm.v="",NA(),_xlpm.v))</f>
      </c>
      <c r="HQ5" cm="1">
        <f t="array" ref="HQ5:HQ22">-_xlfn.ANCHORARRAY($HP$5)</f>
      </c>
      <c r="HR5" cm="1">
        <f t="array" ref="HR5">IFERROR(INDEX(_xlfn._xlws.FILTER(_xlfn.DROP(_xlfn.ANCHORARRAY($HS$4),1),_xlfn.TAKE(_xlfn.DROP(_xlfn.ANCHORARRAY($HS$4),1),,1)=1),1,2),"")</f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151</v>
      </c>
      <c r="L6" s="2" t="s">
        <v>151</v>
      </c>
      <c r="S6" s="2" t="s">
        <v>154</v>
      </c>
      <c r="Z6" s="2" t="s">
        <v>154</v>
      </c>
      <c r="AG6" s="2" t="s">
        <v>151</v>
      </c>
      <c r="AN6" s="2" t="s">
        <v>151</v>
      </c>
      <c r="AU6" s="2" t="s">
        <v>154</v>
      </c>
      <c r="BB6" s="2" t="s">
        <v>154</v>
      </c>
      <c r="BI6" s="2" t="s">
        <v>151</v>
      </c>
      <c r="BP6" s="2" t="s">
        <v>154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HE6">
        <f ca="1"/>
      </c>
    </row>
    <row r="7" spans="1:233" x14ac:dyDescent="0.55000000000000004">
      <c r="D7" t="s">
        <v>147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HE7">
        <f ca="1"/>
      </c>
    </row>
    <row r="8" spans="1:233" x14ac:dyDescent="0.55000000000000004">
      <c r="D8" t="s">
        <v>148</v>
      </c>
      <c r="E8">
        <f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HE8">
        <f ca="1"/>
      </c>
    </row>
    <row r="9" spans="1:233" x14ac:dyDescent="0.55000000000000004">
      <c r="D9" t="s">
        <v>149</v>
      </c>
      <c r="E9">
        <f>IFERROR(_xlfn.TEXTJOIN(" / ",TRUE,INDEX(_xlfn.ANCHORARRAY($EQ$4),1,6),IF($E$6="Change",INDEX(_xlfn.ANCHORARRAY($CL$4),4,2),""),$HR$5),"")</f>
      </c>
      <c r="L9">
        <f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>IFERROR(_xlfn.TEXTJOIN(" / ",TRUE,INDEX(_xlfn.ANCHORARRAY($EQ$204),1,6),IF($AG$6="Change",INDEX(_xlfn.ANCHORARRAY($CL$4),4,2),""),$HR$205),"")</f>
      </c>
      <c r="AN9">
        <f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HE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HE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HE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HE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HE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HE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HE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HE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HE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HE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HE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HE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HE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HE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GR23" s="11"/>
      <c r="GS23" s="11"/>
      <c r="GT23" s="11"/>
      <c r="GU23" s="11"/>
      <c r="GV23" s="11"/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GR24" s="11"/>
      <c r="GS24" s="11"/>
      <c r="GT24" s="11"/>
      <c r="GU24" s="11"/>
      <c r="GV24" s="11"/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GR25" s="11"/>
      <c r="GS25" s="11"/>
      <c r="GT25" s="11"/>
      <c r="GU25" s="11"/>
      <c r="GV25" s="11"/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GR26" s="11"/>
      <c r="GS26" s="11"/>
      <c r="GT26" s="11"/>
      <c r="GU26" s="11"/>
      <c r="GV26" s="11"/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GR27" s="11"/>
      <c r="GS27" s="11"/>
      <c r="GT27" s="11"/>
      <c r="GU27" s="11"/>
      <c r="GV27" s="11"/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GR28" s="11"/>
      <c r="GS28" s="11"/>
      <c r="GT28" s="11"/>
      <c r="GU28" s="11"/>
      <c r="GV28" s="11"/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GR29" s="11"/>
      <c r="GS29" s="11"/>
      <c r="GT29" s="11"/>
      <c r="GU29" s="11"/>
      <c r="GV29" s="11"/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GR30" s="11"/>
      <c r="GS30" s="11"/>
      <c r="GT30" s="11"/>
      <c r="GU30" s="11"/>
      <c r="GV30" s="11"/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GR31" s="11"/>
      <c r="GS31" s="11"/>
      <c r="GT31" s="11"/>
      <c r="GU31" s="11"/>
      <c r="GV31" s="11"/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GR32" s="11"/>
      <c r="GS32" s="11"/>
      <c r="GT32" s="11"/>
      <c r="GU32" s="11"/>
      <c r="GV32" s="11"/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GR33" s="11"/>
      <c r="GS33" s="11"/>
      <c r="GT33" s="11"/>
      <c r="GU33" s="11"/>
      <c r="GV33" s="11"/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GR34" s="11"/>
      <c r="GS34" s="11"/>
      <c r="GT34" s="11"/>
      <c r="GU34" s="11"/>
      <c r="GV34" s="11"/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GR35" s="11"/>
      <c r="GS35" s="11"/>
      <c r="GT35" s="11"/>
      <c r="GU35" s="11"/>
      <c r="GV35" s="11"/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GR36" s="11"/>
      <c r="GS36" s="11"/>
      <c r="GT36" s="11"/>
      <c r="GU36" s="11"/>
      <c r="GV36" s="11"/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GR37" s="11"/>
      <c r="GS37" s="11"/>
      <c r="GT37" s="11"/>
      <c r="GU37" s="11"/>
      <c r="GV37" s="11"/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GR38" s="11"/>
      <c r="GS38" s="11"/>
      <c r="GT38" s="11"/>
      <c r="GU38" s="11"/>
      <c r="GV38" s="11"/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GR39" s="11"/>
      <c r="GS39" s="11"/>
      <c r="GT39" s="11"/>
      <c r="GU39" s="11"/>
      <c r="GV39" s="11"/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GR40" s="11"/>
      <c r="GS40" s="11"/>
      <c r="GT40" s="11"/>
      <c r="GU40" s="11"/>
      <c r="GV40" s="11"/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GR41" s="11"/>
      <c r="GS41" s="11"/>
      <c r="GT41" s="11"/>
      <c r="GU41" s="11"/>
      <c r="GV41" s="11"/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GR42" s="11"/>
      <c r="GS42" s="11"/>
      <c r="GT42" s="11"/>
      <c r="GU42" s="11"/>
      <c r="GV42" s="11"/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GR43" s="11"/>
      <c r="GS43" s="11"/>
      <c r="GT43" s="11"/>
      <c r="GU43" s="11"/>
      <c r="GV43" s="11"/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GR44" s="11"/>
      <c r="GS44" s="11"/>
      <c r="GT44" s="11"/>
      <c r="GU44" s="11"/>
      <c r="GV44" s="11"/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GR45" s="11"/>
      <c r="GS45" s="11"/>
      <c r="GT45" s="11"/>
      <c r="GU45" s="11"/>
      <c r="GV45" s="11"/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GR46" s="11"/>
      <c r="GS46" s="11"/>
      <c r="GT46" s="11"/>
      <c r="GU46" s="11"/>
      <c r="GV46" s="11"/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</row>
    <row r="48" spans="1:233" x14ac:dyDescent="0.55000000000000004">
      <c r="A48" t="s">
        <v>35</v>
      </c>
      <c r="B48" s="6" t="s">
        <v>43</v>
      </c>
    </row>
    <row r="49" spans="1:233" x14ac:dyDescent="0.55000000000000004">
      <c r="A49" t="s">
        <v>36</v>
      </c>
      <c r="B49" s="6" t="s">
        <v>43</v>
      </c>
    </row>
    <row r="50" spans="1:233" x14ac:dyDescent="0.55000000000000004">
      <c r="A50" t="s">
        <v>37</v>
      </c>
      <c r="B50" s="6" t="s">
        <v>43</v>
      </c>
    </row>
    <row r="51" spans="1:233" x14ac:dyDescent="0.55000000000000004">
      <c r="A51" t="s">
        <v>38</v>
      </c>
      <c r="B51" s="6" t="s">
        <v>43</v>
      </c>
    </row>
    <row r="52" spans="1:233" x14ac:dyDescent="0.55000000000000004">
      <c r="A52" t="s">
        <v>39</v>
      </c>
      <c r="B52" s="6" t="s">
        <v>43</v>
      </c>
    </row>
    <row r="53" spans="1:233" x14ac:dyDescent="0.55000000000000004">
      <c r="A53" t="s">
        <v>40</v>
      </c>
      <c r="B53" s="6" t="s">
        <v>43</v>
      </c>
    </row>
    <row r="54" spans="1:233" x14ac:dyDescent="0.55000000000000004">
      <c r="EP54" t="s">
        <v>152</v>
      </c>
      <c r="EQ54" cm="1">
        <f t="array" ref="EQ54:FR71">_xlfn.LET(_xlpm.g,_xlfn.DROP(_xlfn.ANCHORARRAY($CO$4),1),_xlfn._xlws.FILTER(_xlpm.g,_xlfn.TAKE(_xlpm.g,,1)=2))</f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</row>
    <row r="55" spans="1:233" x14ac:dyDescent="0.55000000000000004">
      <c r="A55" t="s">
        <v>177</v>
      </c>
      <c r="B55" s="3"/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ref="GX55:GX72">_xlfn.LET(_xlpm.V,_xlfn.DROP(_xlfn.ANCHORARRAY($EQ$54),,10),IF(1&lt;=COLUMNS(_xlpm.V),_xlfn.CHOOSECOLS(_xlpm.V,1),IF(_xlfn.SEQUENCE(ROWS(_xlpm.V)),NA())))</f>
      </c>
      <c r="GY55" cm="1">
        <f t="array" ref="GY55:GY72">_xlfn.LET(_xlpm.V,_xlfn.DROP(_xlfn.ANCHORARRAY($EQ$54),,10),IF(2&lt;=COLUMNS(_xlpm.V),_xlfn.CHOOSECOLS(_xlpm.V,2),IF(_xlfn.SEQUENCE(ROWS(_xlpm.V)),NA())))</f>
      </c>
      <c r="GZ55" cm="1">
        <f t="array" ref="GZ55:GZ72">_xlfn.LET(_xlpm.V,_xlfn.DROP(_xlfn.ANCHORARRAY($EQ$54),,10),IF(3&lt;=COLUMNS(_xlpm.V),_xlfn.CHOOSECOLS(_xlpm.V,3),IF(_xlfn.SEQUENCE(ROWS(_xlpm.V)),NA())))</f>
      </c>
      <c r="HA55" cm="1">
        <f t="array" ref="HA55:HA72">_xlfn.LET(_xlpm.V,_xlfn.DROP(_xlfn.ANCHORARRAY($EQ$54),,10),IF(4&lt;=COLUMNS(_xlpm.V),_xlfn.CHOOSECOLS(_xlpm.V,4),IF(_xlfn.SEQUENCE(ROWS(_xlpm.V)),NA())))</f>
      </c>
      <c r="HB55" cm="1">
        <f t="array" ref="HB55:HB72">_xlfn.LET(_xlpm.V,_xlfn.DROP(_xlfn.ANCHORARRAY($EQ$54),,10),IF(5&lt;=COLUMNS(_xlpm.V),_xlfn.CHOOSECOLS(_xlpm.V,5),IF(_xlfn.SEQUENCE(ROWS(_xlpm.V)),NA())))</f>
      </c>
      <c r="HD55" cm="1">
        <f t="array" ref="HD55:HD72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ref="HF55:HF72">_xlfn.CHOOSECOLS(_xlfn.ANCHORARRAY($EQ$54),8)+_xlfn.CHOOSECOLS(_xlfn.ANCHORARRAY($EQ$54),10)</f>
      </c>
      <c r="HG55" cm="1">
        <f t="array" ref="HG55:HG72">_xlfn.CHOOSECOLS(_xlfn.ANCHORARRAY($EQ$54),8)-_xlfn.CHOOSECOLS(_xlfn.ANCHORARRAY($EQ$54),10)</f>
      </c>
      <c r="HH55" cm="1">
        <f t="array" ref="HH55:HH72">_xlfn.LET(_xlpm.v,_xlfn.CHOOSECOLS(_xlfn._xlws.FILTER(_xlfn.DROP(_xlfn.ANCHORARRAY($HS$4),1),_xlfn.TAKE(_xlfn.DROP(_xlfn.ANCHORARRAY($HS$4),1),,1)=2),3),IF(_xlpm.v="",NA(),_xlpm.v))</f>
      </c>
      <c r="HI55" cm="1">
        <f t="array" ref="HI55:HI72">-_xlfn.ANCHORARRAY($HH$55)</f>
      </c>
      <c r="HJ55" cm="1">
        <f t="array" ref="HJ55:HJ72">_xlfn.LET(_xlpm.v,_xlfn.CHOOSECOLS(_xlfn._xlws.FILTER(_xlfn.DROP(_xlfn.ANCHORARRAY($HS$4),1),_xlfn.TAKE(_xlfn.DROP(_xlfn.ANCHORARRAY($HS$4),1),,1)=2),4),IF(_xlpm.v="",NA(),_xlpm.v))</f>
      </c>
      <c r="HK55" cm="1">
        <f t="array" ref="HK55:HK72">-_xlfn.ANCHORARRAY($HJ$55)</f>
      </c>
      <c r="HL55" cm="1">
        <f t="array" ref="HL55:HL72">_xlfn.LET(_xlpm.v,_xlfn.CHOOSECOLS(_xlfn._xlws.FILTER(_xlfn.DROP(_xlfn.ANCHORARRAY($HS$4),1),_xlfn.TAKE(_xlfn.DROP(_xlfn.ANCHORARRAY($HS$4),1),,1)=2),5),IF(_xlpm.v="",NA(),_xlpm.v))</f>
      </c>
      <c r="HM55" cm="1">
        <f t="array" ref="HM55:HM72">-_xlfn.ANCHORARRAY($HL$55)</f>
      </c>
      <c r="HN55" cm="1">
        <f t="array" ref="HN55:HN72">_xlfn.LET(_xlpm.v,_xlfn.CHOOSECOLS(_xlfn._xlws.FILTER(_xlfn.DROP(_xlfn.ANCHORARRAY($HS$4),1),_xlfn.TAKE(_xlfn.DROP(_xlfn.ANCHORARRAY($HS$4),1),,1)=2),6),IF(_xlpm.v="",NA(),_xlpm.v))</f>
      </c>
      <c r="HO55" cm="1">
        <f t="array" ref="HO55:HO72">-_xlfn.ANCHORARRAY($HN$55)</f>
      </c>
      <c r="HP55" cm="1">
        <f t="array" ref="HP55:HP72">_xlfn.LET(_xlpm.v,_xlfn.CHOOSECOLS(_xlfn._xlws.FILTER(_xlfn.DROP(_xlfn.ANCHORARRAY($HS$4),1),_xlfn.TAKE(_xlfn.DROP(_xlfn.ANCHORARRAY($HS$4),1),,1)=2),7),IF(_xlpm.v="",NA(),_xlpm.v))</f>
      </c>
      <c r="HQ55" cm="1">
        <f t="array" ref="HQ55:HQ72">-_xlfn.ANCHORARRAY($HP$55)</f>
      </c>
      <c r="HR55" cm="1">
        <f t="array" ref="HR55">IFERROR(INDEX(_xlfn._xlws.FILTER(_xlfn.DROP(_xlfn.ANCHORARRAY($HS$4),1),_xlfn.TAKE(_xlfn.DROP(_xlfn.ANCHORARRAY($HS$4),1),,1)=2),1,2),"")</f>
      </c>
    </row>
    <row r="56" spans="1:233" x14ac:dyDescent="0.55000000000000004"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HE56">
        <f ca="1"/>
      </c>
    </row>
    <row r="57" spans="1:233" x14ac:dyDescent="0.55000000000000004"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HE57">
        <f ca="1"/>
      </c>
    </row>
    <row r="58" spans="1:233" x14ac:dyDescent="0.55000000000000004"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HE58">
        <f ca="1"/>
      </c>
    </row>
    <row r="59" spans="1:233" x14ac:dyDescent="0.55000000000000004">
      <c r="D59" t="s">
        <v>163</v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HE59">
        <f ca="1"/>
      </c>
    </row>
    <row r="60" spans="1:233" x14ac:dyDescent="0.55000000000000004">
      <c r="D60" s="2">
        <v>4</v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HE60">
        <f ca="1"/>
      </c>
    </row>
    <row r="61" spans="1:233" x14ac:dyDescent="0.55000000000000004"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HE61">
        <f ca="1"/>
      </c>
    </row>
    <row r="62" spans="1:233" x14ac:dyDescent="0.55000000000000004"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HE62">
        <f ca="1"/>
      </c>
    </row>
    <row r="63" spans="1:233" x14ac:dyDescent="0.55000000000000004"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HE63">
        <f ca="1"/>
      </c>
    </row>
    <row r="64" spans="1:233" x14ac:dyDescent="0.55000000000000004"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HE64">
        <f ca="1"/>
      </c>
    </row>
    <row r="65" spans="4:233" x14ac:dyDescent="0.55000000000000004"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HE65">
        <f ca="1"/>
      </c>
    </row>
    <row r="66" spans="4:233" x14ac:dyDescent="0.55000000000000004"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HE66">
        <f ca="1"/>
      </c>
    </row>
    <row r="67" spans="4:233" x14ac:dyDescent="0.55000000000000004"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HE67">
        <f ca="1"/>
      </c>
    </row>
    <row r="68" spans="4:233" x14ac:dyDescent="0.55000000000000004"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HE68">
        <f ca="1"/>
      </c>
    </row>
    <row r="69" spans="4:233" x14ac:dyDescent="0.55000000000000004"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HE69">
        <f ca="1"/>
      </c>
    </row>
    <row r="70" spans="4:233" x14ac:dyDescent="0.55000000000000004"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HE70">
        <f ca="1"/>
      </c>
    </row>
    <row r="71" spans="4:233" x14ac:dyDescent="0.55000000000000004"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HE71">
        <f ca="1"/>
      </c>
    </row>
    <row r="72" spans="4:233" x14ac:dyDescent="0.55000000000000004"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HE72">
        <f ca="1"/>
      </c>
    </row>
    <row r="73" spans="4:233" x14ac:dyDescent="0.55000000000000004">
      <c r="GR73" s="11"/>
      <c r="GS73" s="11"/>
      <c r="GT73" s="11"/>
      <c r="GU73" s="11"/>
      <c r="GV73" s="11"/>
    </row>
    <row r="74" spans="4:233" x14ac:dyDescent="0.55000000000000004">
      <c r="GR74" s="11"/>
      <c r="GS74" s="11"/>
      <c r="GT74" s="11"/>
      <c r="GU74" s="11"/>
      <c r="GV74" s="11"/>
    </row>
    <row r="75" spans="4:233" x14ac:dyDescent="0.55000000000000004">
      <c r="D75" t="s">
        <v>163</v>
      </c>
      <c r="GR75" s="11"/>
      <c r="GS75" s="11"/>
      <c r="GT75" s="11"/>
      <c r="GU75" s="11"/>
      <c r="GV75" s="11"/>
    </row>
    <row r="76" spans="4:233" x14ac:dyDescent="0.55000000000000004">
      <c r="D76" s="2">
        <v>5</v>
      </c>
      <c r="GR76" s="11"/>
      <c r="GS76" s="11"/>
      <c r="GT76" s="11"/>
      <c r="GU76" s="11"/>
      <c r="GV76" s="11"/>
    </row>
    <row r="77" spans="4:233" x14ac:dyDescent="0.55000000000000004">
      <c r="GR77" s="11"/>
      <c r="GS77" s="11"/>
      <c r="GT77" s="11"/>
      <c r="GU77" s="11"/>
      <c r="GV77" s="11"/>
    </row>
    <row r="78" spans="4:233" x14ac:dyDescent="0.55000000000000004">
      <c r="GR78" s="11"/>
      <c r="GS78" s="11"/>
      <c r="GT78" s="11"/>
      <c r="GU78" s="11"/>
      <c r="GV78" s="11"/>
    </row>
    <row r="79" spans="4:233" x14ac:dyDescent="0.55000000000000004">
      <c r="GR79" s="11"/>
      <c r="GS79" s="11"/>
      <c r="GT79" s="11"/>
      <c r="GU79" s="11"/>
      <c r="GV79" s="11"/>
    </row>
    <row r="80" spans="4:233" x14ac:dyDescent="0.55000000000000004">
      <c r="GR80" s="11"/>
      <c r="GS80" s="11"/>
      <c r="GT80" s="11"/>
      <c r="GU80" s="11"/>
      <c r="GV80" s="11"/>
    </row>
    <row r="81" spans="4:233" x14ac:dyDescent="0.55000000000000004">
      <c r="GR81" s="11"/>
      <c r="GS81" s="11"/>
      <c r="GT81" s="11"/>
      <c r="GU81" s="11"/>
      <c r="GV81" s="11"/>
    </row>
    <row r="82" spans="4:233" x14ac:dyDescent="0.55000000000000004">
      <c r="GR82" s="11"/>
      <c r="GS82" s="11"/>
      <c r="GT82" s="11"/>
      <c r="GU82" s="11"/>
      <c r="GV82" s="11"/>
    </row>
    <row r="83" spans="4:233" x14ac:dyDescent="0.55000000000000004">
      <c r="GR83" s="11"/>
      <c r="GS83" s="11"/>
      <c r="GT83" s="11"/>
      <c r="GU83" s="11"/>
      <c r="GV83" s="11"/>
    </row>
    <row r="84" spans="4:233" x14ac:dyDescent="0.55000000000000004">
      <c r="GR84" s="11"/>
      <c r="GS84" s="11"/>
      <c r="GT84" s="11"/>
      <c r="GU84" s="11"/>
      <c r="GV84" s="11"/>
    </row>
    <row r="85" spans="4:233" x14ac:dyDescent="0.55000000000000004">
      <c r="GR85" s="11"/>
      <c r="GS85" s="11"/>
      <c r="GT85" s="11"/>
      <c r="GU85" s="11"/>
      <c r="GV85" s="11"/>
    </row>
    <row r="86" spans="4:233" x14ac:dyDescent="0.55000000000000004">
      <c r="GR86" s="11"/>
      <c r="GS86" s="11"/>
      <c r="GT86" s="11"/>
      <c r="GU86" s="11"/>
      <c r="GV86" s="11"/>
    </row>
    <row r="87" spans="4:233" x14ac:dyDescent="0.55000000000000004">
      <c r="GR87" s="11"/>
      <c r="GS87" s="11"/>
      <c r="GT87" s="11"/>
      <c r="GU87" s="11"/>
      <c r="GV87" s="11"/>
    </row>
    <row r="88" spans="4:233" x14ac:dyDescent="0.55000000000000004">
      <c r="GR88" s="11"/>
      <c r="GS88" s="11"/>
      <c r="GT88" s="11"/>
      <c r="GU88" s="11"/>
      <c r="GV88" s="11"/>
    </row>
    <row r="89" spans="4:233" x14ac:dyDescent="0.55000000000000004">
      <c r="GR89" s="11"/>
      <c r="GS89" s="11"/>
      <c r="GT89" s="11"/>
      <c r="GU89" s="11"/>
      <c r="GV89" s="11"/>
    </row>
    <row r="90" spans="4:233" x14ac:dyDescent="0.55000000000000004">
      <c r="GR90" s="11"/>
      <c r="GS90" s="11"/>
      <c r="GT90" s="11"/>
      <c r="GU90" s="11"/>
      <c r="GV90" s="11"/>
    </row>
    <row r="91" spans="4:233" x14ac:dyDescent="0.55000000000000004">
      <c r="D91" t="s">
        <v>164</v>
      </c>
      <c r="GR91" s="11"/>
      <c r="GS91" s="11"/>
      <c r="GT91" s="11"/>
      <c r="GU91" s="11"/>
      <c r="GV91" s="11"/>
    </row>
    <row r="92" spans="4:233" x14ac:dyDescent="0.55000000000000004">
      <c r="GR92" s="11"/>
      <c r="GS92" s="11"/>
      <c r="GT92" s="11"/>
      <c r="GU92" s="11"/>
      <c r="GV92" s="11"/>
    </row>
    <row r="93" spans="4:233" x14ac:dyDescent="0.55000000000000004">
      <c r="GR93" s="11"/>
      <c r="GS93" s="11"/>
      <c r="GT93" s="11"/>
      <c r="GU93" s="11"/>
      <c r="GV93" s="11"/>
    </row>
    <row r="94" spans="4:233" x14ac:dyDescent="0.55000000000000004">
      <c r="GR94" s="11"/>
      <c r="GS94" s="11"/>
      <c r="GT94" s="11"/>
      <c r="GU94" s="11"/>
      <c r="GV94" s="11"/>
    </row>
    <row r="95" spans="4:233" x14ac:dyDescent="0.55000000000000004">
      <c r="GR95" s="11"/>
      <c r="GS95" s="11"/>
      <c r="GT95" s="11"/>
      <c r="GU95" s="11"/>
      <c r="GV95" s="11"/>
    </row>
    <row r="96" spans="4:233" x14ac:dyDescent="0.55000000000000004">
      <c r="GR96" s="11"/>
      <c r="GS96" s="11"/>
      <c r="GT96" s="11"/>
      <c r="GU96" s="11"/>
      <c r="GV96" s="11"/>
    </row>
    <row r="97" spans="4:233" x14ac:dyDescent="0.55000000000000004"/>
    <row r="98" spans="4:233" x14ac:dyDescent="0.55000000000000004"/>
    <row r="99" spans="4:233" x14ac:dyDescent="0.55000000000000004"/>
    <row r="100" spans="4:233" x14ac:dyDescent="0.55000000000000004"/>
    <row r="101" spans="4:233" x14ac:dyDescent="0.55000000000000004"/>
    <row r="102" spans="4:233" x14ac:dyDescent="0.55000000000000004"/>
    <row r="103" spans="4:233" x14ac:dyDescent="0.55000000000000004"/>
    <row r="104" spans="4:233" x14ac:dyDescent="0.55000000000000004">
      <c r="EP104" t="s">
        <v>153</v>
      </c>
      <c r="EQ104" cm="1">
        <f t="array" ref="EQ104:FR121">_xlfn.LET(_xlpm.g,_xlfn.DROP(_xlfn.ANCHORARRAY($CO$4),1),_xlfn._xlws.FILTER(_xlpm.g,_xlfn.TAKE(_xlpm.g,,1)=3))</f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</row>
    <row r="105" spans="4:233" x14ac:dyDescent="0.55000000000000004"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ref="GX105:GX122">_xlfn.LET(_xlpm.V,_xlfn.DROP(_xlfn.ANCHORARRAY($EQ$104),,10),IF(1&lt;=COLUMNS(_xlpm.V),_xlfn.CHOOSECOLS(_xlpm.V,1),IF(_xlfn.SEQUENCE(ROWS(_xlpm.V)),NA())))</f>
      </c>
      <c r="GY105" cm="1">
        <f t="array" ref="GY105:GY122">_xlfn.LET(_xlpm.V,_xlfn.DROP(_xlfn.ANCHORARRAY($EQ$104),,10),IF(2&lt;=COLUMNS(_xlpm.V),_xlfn.CHOOSECOLS(_xlpm.V,2),IF(_xlfn.SEQUENCE(ROWS(_xlpm.V)),NA())))</f>
      </c>
      <c r="GZ105" cm="1">
        <f t="array" ref="GZ105:GZ122">_xlfn.LET(_xlpm.V,_xlfn.DROP(_xlfn.ANCHORARRAY($EQ$104),,10),IF(3&lt;=COLUMNS(_xlpm.V),_xlfn.CHOOSECOLS(_xlpm.V,3),IF(_xlfn.SEQUENCE(ROWS(_xlpm.V)),NA())))</f>
      </c>
      <c r="HA105" cm="1">
        <f t="array" ref="HA105:HA122">_xlfn.LET(_xlpm.V,_xlfn.DROP(_xlfn.ANCHORARRAY($EQ$104),,10),IF(4&lt;=COLUMNS(_xlpm.V),_xlfn.CHOOSECOLS(_xlpm.V,4),IF(_xlfn.SEQUENCE(ROWS(_xlpm.V)),NA())))</f>
      </c>
      <c r="HB105" cm="1">
        <f t="array" ref="HB105:HB122">_xlfn.LET(_xlpm.V,_xlfn.DROP(_xlfn.ANCHORARRAY($EQ$104),,10),IF(5&lt;=COLUMNS(_xlpm.V),_xlfn.CHOOSECOLS(_xlpm.V,5),IF(_xlfn.SEQUENCE(ROWS(_xlpm.V)),NA())))</f>
      </c>
      <c r="HD105" cm="1">
        <f t="array" ref="HD105:HD122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ref="HF105:HF122">_xlfn.CHOOSECOLS(_xlfn.ANCHORARRAY($EQ$104),8)+_xlfn.CHOOSECOLS(_xlfn.ANCHORARRAY($EQ$104),10)</f>
      </c>
      <c r="HG105" cm="1">
        <f t="array" ref="HG105:HG122">_xlfn.CHOOSECOLS(_xlfn.ANCHORARRAY($EQ$104),8)-_xlfn.CHOOSECOLS(_xlfn.ANCHORARRAY($EQ$104),10)</f>
      </c>
      <c r="HH105" cm="1">
        <f t="array" ref="HH105:HH122">_xlfn.LET(_xlpm.v,_xlfn.CHOOSECOLS(_xlfn._xlws.FILTER(_xlfn.DROP(_xlfn.ANCHORARRAY($HS$4),1),_xlfn.TAKE(_xlfn.DROP(_xlfn.ANCHORARRAY($HS$4),1),,1)=3),3),IF(_xlpm.v="",NA(),_xlpm.v))</f>
      </c>
      <c r="HI105" cm="1">
        <f t="array" ref="HI105:HI122">-_xlfn.ANCHORARRAY($HH$105)</f>
      </c>
      <c r="HJ105" cm="1">
        <f t="array" ref="HJ105:HJ122">_xlfn.LET(_xlpm.v,_xlfn.CHOOSECOLS(_xlfn._xlws.FILTER(_xlfn.DROP(_xlfn.ANCHORARRAY($HS$4),1),_xlfn.TAKE(_xlfn.DROP(_xlfn.ANCHORARRAY($HS$4),1),,1)=3),4),IF(_xlpm.v="",NA(),_xlpm.v))</f>
      </c>
      <c r="HK105" cm="1">
        <f t="array" ref="HK105:HK122">-_xlfn.ANCHORARRAY($HJ$105)</f>
      </c>
      <c r="HL105" cm="1">
        <f t="array" ref="HL105:HL122">_xlfn.LET(_xlpm.v,_xlfn.CHOOSECOLS(_xlfn._xlws.FILTER(_xlfn.DROP(_xlfn.ANCHORARRAY($HS$4),1),_xlfn.TAKE(_xlfn.DROP(_xlfn.ANCHORARRAY($HS$4),1),,1)=3),5),IF(_xlpm.v="",NA(),_xlpm.v))</f>
      </c>
      <c r="HM105" cm="1">
        <f t="array" ref="HM105:HM122">-_xlfn.ANCHORARRAY($HL$105)</f>
      </c>
      <c r="HN105" cm="1">
        <f t="array" ref="HN105:HN122">_xlfn.LET(_xlpm.v,_xlfn.CHOOSECOLS(_xlfn._xlws.FILTER(_xlfn.DROP(_xlfn.ANCHORARRAY($HS$4),1),_xlfn.TAKE(_xlfn.DROP(_xlfn.ANCHORARRAY($HS$4),1),,1)=3),6),IF(_xlpm.v="",NA(),_xlpm.v))</f>
      </c>
      <c r="HO105" cm="1">
        <f t="array" ref="HO105:HO122">-_xlfn.ANCHORARRAY($HN$105)</f>
      </c>
      <c r="HP105" cm="1">
        <f t="array" ref="HP105:HP122">_xlfn.LET(_xlpm.v,_xlfn.CHOOSECOLS(_xlfn._xlws.FILTER(_xlfn.DROP(_xlfn.ANCHORARRAY($HS$4),1),_xlfn.TAKE(_xlfn.DROP(_xlfn.ANCHORARRAY($HS$4),1),,1)=3),7),IF(_xlpm.v="",NA(),_xlpm.v))</f>
      </c>
      <c r="HQ105" cm="1">
        <f t="array" ref="HQ105:HQ122">-_xlfn.ANCHORARRAY($HP$105)</f>
      </c>
      <c r="HR105" cm="1">
        <f t="array" ref="HR105">IFERROR(INDEX(_xlfn._xlws.FILTER(_xlfn.DROP(_xlfn.ANCHORARRAY($HS$4),1),_xlfn.TAKE(_xlfn.DROP(_xlfn.ANCHORARRAY($HS$4),1),,1)=3),1,2),"")</f>
      </c>
    </row>
    <row r="106" spans="4:233" x14ac:dyDescent="0.55000000000000004"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HE106">
        <f ca="1"/>
      </c>
    </row>
    <row r="107" spans="4:233" x14ac:dyDescent="0.55000000000000004">
      <c r="D107" t="s">
        <v>163</v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HE107">
        <f ca="1"/>
      </c>
    </row>
    <row r="108" spans="4:233" x14ac:dyDescent="0.55000000000000004">
      <c r="D108" s="2">
        <v>3</v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HE108">
        <f ca="1"/>
      </c>
    </row>
    <row r="109" spans="4:233" x14ac:dyDescent="0.55000000000000004"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HE109">
        <f ca="1"/>
      </c>
    </row>
    <row r="110" spans="4:233" x14ac:dyDescent="0.55000000000000004"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HE110">
        <f ca="1"/>
      </c>
    </row>
    <row r="111" spans="4:233" x14ac:dyDescent="0.55000000000000004"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HE111">
        <f ca="1"/>
      </c>
    </row>
    <row r="112" spans="4:233" x14ac:dyDescent="0.55000000000000004"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HE112">
        <f ca="1"/>
      </c>
    </row>
    <row r="113" spans="93:233" x14ac:dyDescent="0.55000000000000004"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HE113">
        <f ca="1"/>
      </c>
    </row>
    <row r="114" spans="93:233" x14ac:dyDescent="0.55000000000000004"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HE114">
        <f ca="1"/>
      </c>
    </row>
    <row r="115" spans="93:233" x14ac:dyDescent="0.55000000000000004"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HE115">
        <f ca="1"/>
      </c>
    </row>
    <row r="116" spans="93:233" x14ac:dyDescent="0.55000000000000004"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HE116">
        <f ca="1"/>
      </c>
    </row>
    <row r="117" spans="93:233" x14ac:dyDescent="0.55000000000000004"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HE117">
        <f ca="1"/>
      </c>
    </row>
    <row r="118" spans="93:233" x14ac:dyDescent="0.55000000000000004"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HE118">
        <f ca="1"/>
      </c>
    </row>
    <row r="119" spans="93:233" x14ac:dyDescent="0.55000000000000004"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HE119">
        <f ca="1"/>
      </c>
    </row>
    <row r="120" spans="93:233" x14ac:dyDescent="0.55000000000000004"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HE120">
        <f ca="1"/>
      </c>
    </row>
    <row r="121" spans="93:233" x14ac:dyDescent="0.55000000000000004"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HE121">
        <f ca="1"/>
      </c>
    </row>
    <row r="122" spans="93:233" x14ac:dyDescent="0.55000000000000004"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HE122">
        <f ca="1"/>
      </c>
    </row>
    <row r="123" spans="93:233" x14ac:dyDescent="0.55000000000000004">
      <c r="GR123" s="11"/>
      <c r="GS123" s="11"/>
      <c r="GT123" s="11"/>
      <c r="GU123" s="11"/>
      <c r="GV123" s="11"/>
    </row>
    <row r="124" spans="93:233" x14ac:dyDescent="0.55000000000000004">
      <c r="GR124" s="11"/>
      <c r="GS124" s="11"/>
      <c r="GT124" s="11"/>
      <c r="GU124" s="11"/>
      <c r="GV124" s="11"/>
    </row>
    <row r="125" spans="93:233" x14ac:dyDescent="0.55000000000000004">
      <c r="GR125" s="11"/>
      <c r="GS125" s="11"/>
      <c r="GT125" s="11"/>
      <c r="GU125" s="11"/>
      <c r="GV125" s="11"/>
    </row>
    <row r="126" spans="93:233" x14ac:dyDescent="0.55000000000000004">
      <c r="GR126" s="11"/>
      <c r="GS126" s="11"/>
      <c r="GT126" s="11"/>
      <c r="GU126" s="11"/>
      <c r="GV126" s="11"/>
    </row>
    <row r="127" spans="93:233" x14ac:dyDescent="0.55000000000000004">
      <c r="GR127" s="11"/>
      <c r="GS127" s="11"/>
      <c r="GT127" s="11"/>
      <c r="GU127" s="11"/>
      <c r="GV127" s="11"/>
    </row>
    <row r="128" spans="93:233" x14ac:dyDescent="0.55000000000000004">
      <c r="GR128" s="11"/>
      <c r="GS128" s="11"/>
      <c r="GT128" s="11"/>
      <c r="GU128" s="11"/>
      <c r="GV128" s="11"/>
    </row>
    <row r="129" spans="93:233" x14ac:dyDescent="0.55000000000000004">
      <c r="GR129" s="11"/>
      <c r="GS129" s="11"/>
      <c r="GT129" s="11"/>
      <c r="GU129" s="11"/>
      <c r="GV129" s="11"/>
    </row>
    <row r="130" spans="93:233" x14ac:dyDescent="0.55000000000000004">
      <c r="GR130" s="11"/>
      <c r="GS130" s="11"/>
      <c r="GT130" s="11"/>
      <c r="GU130" s="11"/>
      <c r="GV130" s="11"/>
    </row>
    <row r="131" spans="93:233" x14ac:dyDescent="0.55000000000000004">
      <c r="GR131" s="11"/>
      <c r="GS131" s="11"/>
      <c r="GT131" s="11"/>
      <c r="GU131" s="11"/>
      <c r="GV131" s="11"/>
    </row>
    <row r="132" spans="93:233" x14ac:dyDescent="0.55000000000000004">
      <c r="GR132" s="11"/>
      <c r="GS132" s="11"/>
      <c r="GT132" s="11"/>
      <c r="GU132" s="11"/>
      <c r="GV132" s="11"/>
    </row>
    <row r="133" spans="93:233" x14ac:dyDescent="0.55000000000000004">
      <c r="GR133" s="11"/>
      <c r="GS133" s="11"/>
      <c r="GT133" s="11"/>
      <c r="GU133" s="11"/>
      <c r="GV133" s="11"/>
    </row>
    <row r="134" spans="93:233" x14ac:dyDescent="0.55000000000000004">
      <c r="GR134" s="11"/>
      <c r="GS134" s="11"/>
      <c r="GT134" s="11"/>
      <c r="GU134" s="11"/>
      <c r="GV134" s="11"/>
    </row>
    <row r="135" spans="93:233" x14ac:dyDescent="0.55000000000000004">
      <c r="GR135" s="11"/>
      <c r="GS135" s="11"/>
      <c r="GT135" s="11"/>
      <c r="GU135" s="11"/>
      <c r="GV135" s="11"/>
    </row>
    <row r="136" spans="93:233" x14ac:dyDescent="0.55000000000000004">
      <c r="GR136" s="11"/>
      <c r="GS136" s="11"/>
      <c r="GT136" s="11"/>
      <c r="GU136" s="11"/>
      <c r="GV136" s="11"/>
    </row>
    <row r="137" spans="93:233" x14ac:dyDescent="0.55000000000000004">
      <c r="GR137" s="11"/>
      <c r="GS137" s="11"/>
      <c r="GT137" s="11"/>
      <c r="GU137" s="11"/>
      <c r="GV137" s="11"/>
    </row>
    <row r="138" spans="93:233" x14ac:dyDescent="0.55000000000000004">
      <c r="GR138" s="11"/>
      <c r="GS138" s="11"/>
      <c r="GT138" s="11"/>
      <c r="GU138" s="11"/>
      <c r="GV138" s="11"/>
    </row>
    <row r="139" spans="93:233" x14ac:dyDescent="0.55000000000000004">
      <c r="GR139" s="11"/>
      <c r="GS139" s="11"/>
      <c r="GT139" s="11"/>
      <c r="GU139" s="11"/>
      <c r="GV139" s="11"/>
    </row>
    <row r="140" spans="93:233" x14ac:dyDescent="0.55000000000000004">
      <c r="GR140" s="11"/>
      <c r="GS140" s="11"/>
      <c r="GT140" s="11"/>
      <c r="GU140" s="11"/>
      <c r="GV140" s="11"/>
    </row>
    <row r="141" spans="93:233" x14ac:dyDescent="0.55000000000000004">
      <c r="GR141" s="11"/>
      <c r="GS141" s="11"/>
      <c r="GT141" s="11"/>
      <c r="GU141" s="11"/>
      <c r="GV141" s="11"/>
    </row>
    <row r="142" spans="93:233" x14ac:dyDescent="0.55000000000000004">
      <c r="GR142" s="11"/>
      <c r="GS142" s="11"/>
      <c r="GT142" s="11"/>
      <c r="GU142" s="11"/>
      <c r="GV142" s="11"/>
    </row>
    <row r="143" spans="93:233" x14ac:dyDescent="0.55000000000000004">
      <c r="GR143" s="11"/>
      <c r="GS143" s="11"/>
      <c r="GT143" s="11"/>
      <c r="GU143" s="11"/>
      <c r="GV143" s="11"/>
    </row>
    <row r="144" spans="93:233" x14ac:dyDescent="0.55000000000000004">
      <c r="GR144" s="11"/>
      <c r="GS144" s="11"/>
      <c r="GT144" s="11"/>
      <c r="GU144" s="11"/>
      <c r="GV144" s="11"/>
    </row>
    <row r="145" spans="93:233" x14ac:dyDescent="0.55000000000000004">
      <c r="GR145" s="11"/>
      <c r="GS145" s="11"/>
      <c r="GT145" s="11"/>
      <c r="GU145" s="11"/>
      <c r="GV145" s="11"/>
    </row>
    <row r="146" spans="93:233" x14ac:dyDescent="0.55000000000000004">
      <c r="GR146" s="11"/>
      <c r="GS146" s="11"/>
      <c r="GT146" s="11"/>
      <c r="GU146" s="11"/>
      <c r="GV146" s="11"/>
    </row>
    <row r="147" spans="93:233" x14ac:dyDescent="0.55000000000000004"/>
    <row r="148" spans="93:233" x14ac:dyDescent="0.55000000000000004"/>
    <row r="149" spans="93:233" x14ac:dyDescent="0.55000000000000004"/>
    <row r="150" spans="93:233" x14ac:dyDescent="0.55000000000000004"/>
    <row r="151" spans="93:233" x14ac:dyDescent="0.55000000000000004"/>
    <row r="152" spans="93:233" x14ac:dyDescent="0.55000000000000004"/>
    <row r="153" spans="93:233" x14ac:dyDescent="0.55000000000000004"/>
    <row r="154" spans="93:233" x14ac:dyDescent="0.55000000000000004">
      <c r="EP154" t="s">
        <v>155</v>
      </c>
      <c r="EQ154" cm="1">
        <f t="array" ref="EQ154:FR171">_xlfn.LET(_xlpm.g,_xlfn.DROP(_xlfn.ANCHORARRAY($CO$4),1),_xlfn._xlws.FILTER(_xlpm.g,_xlfn.TAKE(_xlpm.g,,1)=4))</f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</row>
    <row r="155" spans="93:233" x14ac:dyDescent="0.55000000000000004"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ref="GX155:GX172">_xlfn.LET(_xlpm.V,_xlfn.DROP(_xlfn.ANCHORARRAY($EQ$154),,10),IF(1&lt;=COLUMNS(_xlpm.V),_xlfn.CHOOSECOLS(_xlpm.V,1),IF(_xlfn.SEQUENCE(ROWS(_xlpm.V)),NA())))</f>
      </c>
      <c r="GY155" cm="1">
        <f t="array" ref="GY155:GY172">_xlfn.LET(_xlpm.V,_xlfn.DROP(_xlfn.ANCHORARRAY($EQ$154),,10),IF(2&lt;=COLUMNS(_xlpm.V),_xlfn.CHOOSECOLS(_xlpm.V,2),IF(_xlfn.SEQUENCE(ROWS(_xlpm.V)),NA())))</f>
      </c>
      <c r="GZ155" cm="1">
        <f t="array" ref="GZ155:GZ172">_xlfn.LET(_xlpm.V,_xlfn.DROP(_xlfn.ANCHORARRAY($EQ$154),,10),IF(3&lt;=COLUMNS(_xlpm.V),_xlfn.CHOOSECOLS(_xlpm.V,3),IF(_xlfn.SEQUENCE(ROWS(_xlpm.V)),NA())))</f>
      </c>
      <c r="HA155" cm="1">
        <f t="array" ref="HA155:HA172">_xlfn.LET(_xlpm.V,_xlfn.DROP(_xlfn.ANCHORARRAY($EQ$154),,10),IF(4&lt;=COLUMNS(_xlpm.V),_xlfn.CHOOSECOLS(_xlpm.V,4),IF(_xlfn.SEQUENCE(ROWS(_xlpm.V)),NA())))</f>
      </c>
      <c r="HB155" cm="1">
        <f t="array" ref="HB155:HB172">_xlfn.LET(_xlpm.V,_xlfn.DROP(_xlfn.ANCHORARRAY($EQ$154),,10),IF(5&lt;=COLUMNS(_xlpm.V),_xlfn.CHOOSECOLS(_xlpm.V,5),IF(_xlfn.SEQUENCE(ROWS(_xlpm.V)),NA())))</f>
      </c>
      <c r="HD155" cm="1">
        <f t="array" ref="HD155:HD172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ref="HF155:HF172">_xlfn.CHOOSECOLS(_xlfn.ANCHORARRAY($EQ$154),8)+_xlfn.CHOOSECOLS(_xlfn.ANCHORARRAY($EQ$154),10)</f>
      </c>
      <c r="HG155" cm="1">
        <f t="array" ref="HG155:HG172">_xlfn.CHOOSECOLS(_xlfn.ANCHORARRAY($EQ$154),8)-_xlfn.CHOOSECOLS(_xlfn.ANCHORARRAY($EQ$154),10)</f>
      </c>
      <c r="HH155" cm="1">
        <f t="array" ref="HH155:HH172">_xlfn.LET(_xlpm.v,_xlfn.CHOOSECOLS(_xlfn._xlws.FILTER(_xlfn.DROP(_xlfn.ANCHORARRAY($HS$4),1),_xlfn.TAKE(_xlfn.DROP(_xlfn.ANCHORARRAY($HS$4),1),,1)=4),3),IF(_xlpm.v="",NA(),_xlpm.v))</f>
      </c>
      <c r="HI155" cm="1">
        <f t="array" ref="HI155:HI172">-_xlfn.ANCHORARRAY($HH$155)</f>
      </c>
      <c r="HJ155" cm="1">
        <f t="array" ref="HJ155:HJ172">_xlfn.LET(_xlpm.v,_xlfn.CHOOSECOLS(_xlfn._xlws.FILTER(_xlfn.DROP(_xlfn.ANCHORARRAY($HS$4),1),_xlfn.TAKE(_xlfn.DROP(_xlfn.ANCHORARRAY($HS$4),1),,1)=4),4),IF(_xlpm.v="",NA(),_xlpm.v))</f>
      </c>
      <c r="HK155" cm="1">
        <f t="array" ref="HK155:HK172">-_xlfn.ANCHORARRAY($HJ$155)</f>
      </c>
      <c r="HL155" cm="1">
        <f t="array" ref="HL155:HL172">_xlfn.LET(_xlpm.v,_xlfn.CHOOSECOLS(_xlfn._xlws.FILTER(_xlfn.DROP(_xlfn.ANCHORARRAY($HS$4),1),_xlfn.TAKE(_xlfn.DROP(_xlfn.ANCHORARRAY($HS$4),1),,1)=4),5),IF(_xlpm.v="",NA(),_xlpm.v))</f>
      </c>
      <c r="HM155" cm="1">
        <f t="array" ref="HM155:HM172">-_xlfn.ANCHORARRAY($HL$155)</f>
      </c>
      <c r="HN155" cm="1">
        <f t="array" ref="HN155:HN172">_xlfn.LET(_xlpm.v,_xlfn.CHOOSECOLS(_xlfn._xlws.FILTER(_xlfn.DROP(_xlfn.ANCHORARRAY($HS$4),1),_xlfn.TAKE(_xlfn.DROP(_xlfn.ANCHORARRAY($HS$4),1),,1)=4),6),IF(_xlpm.v="",NA(),_xlpm.v))</f>
      </c>
      <c r="HO155" cm="1">
        <f t="array" ref="HO155:HO172">-_xlfn.ANCHORARRAY($HN$155)</f>
      </c>
      <c r="HP155" cm="1">
        <f t="array" ref="HP155:HP172">_xlfn.LET(_xlpm.v,_xlfn.CHOOSECOLS(_xlfn._xlws.FILTER(_xlfn.DROP(_xlfn.ANCHORARRAY($HS$4),1),_xlfn.TAKE(_xlfn.DROP(_xlfn.ANCHORARRAY($HS$4),1),,1)=4),7),IF(_xlpm.v="",NA(),_xlpm.v))</f>
      </c>
      <c r="HQ155" cm="1">
        <f t="array" ref="HQ155:HQ172">-_xlfn.ANCHORARRAY($HP$155)</f>
      </c>
      <c r="HR155" cm="1">
        <f t="array" ref="HR155">IFERROR(INDEX(_xlfn._xlws.FILTER(_xlfn.DROP(_xlfn.ANCHORARRAY($HS$4),1),_xlfn.TAKE(_xlfn.DROP(_xlfn.ANCHORARRAY($HS$4),1),,1)=4),1,2),"")</f>
      </c>
    </row>
    <row r="156" spans="93:233" x14ac:dyDescent="0.55000000000000004"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HE156">
        <f ca="1"/>
      </c>
    </row>
    <row r="157" spans="93:233" x14ac:dyDescent="0.55000000000000004"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HE157">
        <f ca="1"/>
      </c>
    </row>
    <row r="158" spans="93:233" x14ac:dyDescent="0.55000000000000004"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HE158">
        <f ca="1"/>
      </c>
    </row>
    <row r="159" spans="93:233" x14ac:dyDescent="0.55000000000000004"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HE159">
        <f ca="1"/>
      </c>
    </row>
    <row r="160" spans="93:233" x14ac:dyDescent="0.55000000000000004"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HE160">
        <f ca="1"/>
      </c>
    </row>
    <row r="161" spans="93:233" x14ac:dyDescent="0.55000000000000004"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HE161">
        <f ca="1"/>
      </c>
    </row>
    <row r="162" spans="93:233" x14ac:dyDescent="0.55000000000000004"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HE162">
        <f ca="1"/>
      </c>
    </row>
    <row r="163" spans="93:233" x14ac:dyDescent="0.55000000000000004"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HE163">
        <f ca="1"/>
      </c>
    </row>
    <row r="164" spans="93:233" x14ac:dyDescent="0.55000000000000004"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HE164">
        <f ca="1"/>
      </c>
    </row>
    <row r="165" spans="93:233" x14ac:dyDescent="0.55000000000000004"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HE165">
        <f ca="1"/>
      </c>
    </row>
    <row r="166" spans="93:233" x14ac:dyDescent="0.55000000000000004"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HE166">
        <f ca="1"/>
      </c>
    </row>
    <row r="167" spans="93:233" x14ac:dyDescent="0.55000000000000004"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HE167">
        <f ca="1"/>
      </c>
    </row>
    <row r="168" spans="93:233" x14ac:dyDescent="0.55000000000000004"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HE168">
        <f ca="1"/>
      </c>
    </row>
    <row r="169" spans="93:233" x14ac:dyDescent="0.55000000000000004"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HE169">
        <f ca="1"/>
      </c>
    </row>
    <row r="170" spans="93:233" x14ac:dyDescent="0.55000000000000004"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HE170">
        <f ca="1"/>
      </c>
    </row>
    <row r="171" spans="93:233" x14ac:dyDescent="0.55000000000000004"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HE171">
        <f ca="1"/>
      </c>
    </row>
    <row r="172" spans="93:233" x14ac:dyDescent="0.55000000000000004"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HE172">
        <f ca="1"/>
      </c>
    </row>
    <row r="173" spans="93:233" x14ac:dyDescent="0.55000000000000004">
      <c r="GR173" s="11"/>
      <c r="GS173" s="11"/>
      <c r="GT173" s="11"/>
      <c r="GU173" s="11"/>
      <c r="GV173" s="11"/>
    </row>
    <row r="174" spans="93:233" x14ac:dyDescent="0.55000000000000004">
      <c r="GR174" s="11"/>
      <c r="GS174" s="11"/>
      <c r="GT174" s="11"/>
      <c r="GU174" s="11"/>
      <c r="GV174" s="11"/>
    </row>
    <row r="175" spans="93:233" x14ac:dyDescent="0.55000000000000004">
      <c r="GR175" s="11"/>
      <c r="GS175" s="11"/>
      <c r="GT175" s="11"/>
      <c r="GU175" s="11"/>
      <c r="GV175" s="11"/>
    </row>
    <row r="176" spans="93:233" x14ac:dyDescent="0.55000000000000004">
      <c r="GR176" s="11"/>
      <c r="GS176" s="11"/>
      <c r="GT176" s="11"/>
      <c r="GU176" s="11"/>
      <c r="GV176" s="11"/>
    </row>
    <row r="177" spans="93:233" x14ac:dyDescent="0.55000000000000004">
      <c r="GR177" s="11"/>
      <c r="GS177" s="11"/>
      <c r="GT177" s="11"/>
      <c r="GU177" s="11"/>
      <c r="GV177" s="11"/>
    </row>
    <row r="178" spans="93:233" x14ac:dyDescent="0.55000000000000004">
      <c r="GR178" s="11"/>
      <c r="GS178" s="11"/>
      <c r="GT178" s="11"/>
      <c r="GU178" s="11"/>
      <c r="GV178" s="11"/>
    </row>
    <row r="179" spans="93:233" x14ac:dyDescent="0.55000000000000004">
      <c r="GR179" s="11"/>
      <c r="GS179" s="11"/>
      <c r="GT179" s="11"/>
      <c r="GU179" s="11"/>
      <c r="GV179" s="11"/>
    </row>
    <row r="180" spans="93:233" x14ac:dyDescent="0.55000000000000004">
      <c r="GR180" s="11"/>
      <c r="GS180" s="11"/>
      <c r="GT180" s="11"/>
      <c r="GU180" s="11"/>
      <c r="GV180" s="11"/>
    </row>
    <row r="181" spans="93:233" x14ac:dyDescent="0.55000000000000004">
      <c r="GR181" s="11"/>
      <c r="GS181" s="11"/>
      <c r="GT181" s="11"/>
      <c r="GU181" s="11"/>
      <c r="GV181" s="11"/>
    </row>
    <row r="182" spans="93:233" x14ac:dyDescent="0.55000000000000004">
      <c r="GR182" s="11"/>
      <c r="GS182" s="11"/>
      <c r="GT182" s="11"/>
      <c r="GU182" s="11"/>
      <c r="GV182" s="11"/>
    </row>
    <row r="183" spans="93:233" x14ac:dyDescent="0.55000000000000004">
      <c r="GR183" s="11"/>
      <c r="GS183" s="11"/>
      <c r="GT183" s="11"/>
      <c r="GU183" s="11"/>
      <c r="GV183" s="11"/>
    </row>
    <row r="184" spans="93:233" x14ac:dyDescent="0.55000000000000004">
      <c r="GR184" s="11"/>
      <c r="GS184" s="11"/>
      <c r="GT184" s="11"/>
      <c r="GU184" s="11"/>
      <c r="GV184" s="11"/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ref="EQ204:FR221">_xlfn.LET(_xlpm.g,_xlfn.DROP(_xlfn.ANCHORARRAY($CO$4),1),_xlfn._xlws.FILTER(_xlpm.g,_xlfn.TAKE(_xlpm.g,,1)=5))</f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ref="GX205:GX222">_xlfn.LET(_xlpm.V,_xlfn.DROP(_xlfn.ANCHORARRAY($EQ$204),,10),IF(1&lt;=COLUMNS(_xlpm.V),_xlfn.CHOOSECOLS(_xlpm.V,1),IF(_xlfn.SEQUENCE(ROWS(_xlpm.V)),NA())))</f>
      </c>
      <c r="GY205" cm="1">
        <f t="array" ref="GY205:GY222">_xlfn.LET(_xlpm.V,_xlfn.DROP(_xlfn.ANCHORARRAY($EQ$204),,10),IF(2&lt;=COLUMNS(_xlpm.V),_xlfn.CHOOSECOLS(_xlpm.V,2),IF(_xlfn.SEQUENCE(ROWS(_xlpm.V)),NA())))</f>
      </c>
      <c r="GZ205" cm="1">
        <f t="array" ref="GZ205:GZ222">_xlfn.LET(_xlpm.V,_xlfn.DROP(_xlfn.ANCHORARRAY($EQ$204),,10),IF(3&lt;=COLUMNS(_xlpm.V),_xlfn.CHOOSECOLS(_xlpm.V,3),IF(_xlfn.SEQUENCE(ROWS(_xlpm.V)),NA())))</f>
      </c>
      <c r="HA205" cm="1">
        <f t="array" ref="HA205:HA222">_xlfn.LET(_xlpm.V,_xlfn.DROP(_xlfn.ANCHORARRAY($EQ$204),,10),IF(4&lt;=COLUMNS(_xlpm.V),_xlfn.CHOOSECOLS(_xlpm.V,4),IF(_xlfn.SEQUENCE(ROWS(_xlpm.V)),NA())))</f>
      </c>
      <c r="HB205" cm="1">
        <f t="array" ref="HB205:HB222">_xlfn.LET(_xlpm.V,_xlfn.DROP(_xlfn.ANCHORARRAY($EQ$204),,10),IF(5&lt;=COLUMNS(_xlpm.V),_xlfn.CHOOSECOLS(_xlpm.V,5),IF(_xlfn.SEQUENCE(ROWS(_xlpm.V)),NA())))</f>
      </c>
      <c r="HD205" cm="1">
        <f t="array" ref="HD205:HD222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ref="HF205:HF222">_xlfn.CHOOSECOLS(_xlfn.ANCHORARRAY($EQ$204),8)+_xlfn.CHOOSECOLS(_xlfn.ANCHORARRAY($EQ$204),10)</f>
      </c>
      <c r="HG205" cm="1">
        <f t="array" ref="HG205:HG222">_xlfn.CHOOSECOLS(_xlfn.ANCHORARRAY($EQ$204),8)-_xlfn.CHOOSECOLS(_xlfn.ANCHORARRAY($EQ$204),10)</f>
      </c>
      <c r="HH205" cm="1">
        <f t="array" ref="HH205:HH222">_xlfn.LET(_xlpm.v,_xlfn.CHOOSECOLS(_xlfn._xlws.FILTER(_xlfn.DROP(_xlfn.ANCHORARRAY($HS$4),1),_xlfn.TAKE(_xlfn.DROP(_xlfn.ANCHORARRAY($HS$4),1),,1)=5),3),IF(_xlpm.v="",NA(),_xlpm.v))</f>
      </c>
      <c r="HI205" cm="1">
        <f t="array" ref="HI205:HI222">-_xlfn.ANCHORARRAY($HH$205)</f>
      </c>
      <c r="HJ205" cm="1">
        <f t="array" ref="HJ205:HJ222">_xlfn.LET(_xlpm.v,_xlfn.CHOOSECOLS(_xlfn._xlws.FILTER(_xlfn.DROP(_xlfn.ANCHORARRAY($HS$4),1),_xlfn.TAKE(_xlfn.DROP(_xlfn.ANCHORARRAY($HS$4),1),,1)=5),4),IF(_xlpm.v="",NA(),_xlpm.v))</f>
      </c>
      <c r="HK205" cm="1">
        <f t="array" ref="HK205:HK222">-_xlfn.ANCHORARRAY($HJ$205)</f>
      </c>
      <c r="HL205" cm="1">
        <f t="array" ref="HL205:HL222">_xlfn.LET(_xlpm.v,_xlfn.CHOOSECOLS(_xlfn._xlws.FILTER(_xlfn.DROP(_xlfn.ANCHORARRAY($HS$4),1),_xlfn.TAKE(_xlfn.DROP(_xlfn.ANCHORARRAY($HS$4),1),,1)=5),5),IF(_xlpm.v="",NA(),_xlpm.v))</f>
      </c>
      <c r="HM205" cm="1">
        <f t="array" ref="HM205:HM222">-_xlfn.ANCHORARRAY($HL$205)</f>
      </c>
      <c r="HN205" cm="1">
        <f t="array" ref="HN205:HN222">_xlfn.LET(_xlpm.v,_xlfn.CHOOSECOLS(_xlfn._xlws.FILTER(_xlfn.DROP(_xlfn.ANCHORARRAY($HS$4),1),_xlfn.TAKE(_xlfn.DROP(_xlfn.ANCHORARRAY($HS$4),1),,1)=5),6),IF(_xlpm.v="",NA(),_xlpm.v))</f>
      </c>
      <c r="HO205" cm="1">
        <f t="array" ref="HO205:HO222">-_xlfn.ANCHORARRAY($HN$205)</f>
      </c>
      <c r="HP205" cm="1">
        <f t="array" ref="HP205:HP222">_xlfn.LET(_xlpm.v,_xlfn.CHOOSECOLS(_xlfn._xlws.FILTER(_xlfn.DROP(_xlfn.ANCHORARRAY($HS$4),1),_xlfn.TAKE(_xlfn.DROP(_xlfn.ANCHORARRAY($HS$4),1),,1)=5),7),IF(_xlpm.v="",NA(),_xlpm.v))</f>
      </c>
      <c r="HQ205" cm="1">
        <f t="array" ref="HQ205:HQ222">-_xlfn.ANCHORARRAY($HP$205)</f>
      </c>
      <c r="HR205" cm="1">
        <f t="array" ref="HR205">IFERROR(INDEX(_xlfn._xlws.FILTER(_xlfn.DROP(_xlfn.ANCHORARRAY($HS$4),1),_xlfn.TAKE(_xlfn.DROP(_xlfn.ANCHORARRAY($HS$4),1),,1)=5),1,2),"")</f>
      </c>
    </row>
    <row r="206" spans="146:226" x14ac:dyDescent="0.55000000000000004"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HE206">
        <f ca="1"/>
      </c>
    </row>
    <row r="207" spans="146:226" x14ac:dyDescent="0.55000000000000004"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HE207">
        <f ca="1"/>
      </c>
    </row>
    <row r="208" spans="146:226" x14ac:dyDescent="0.55000000000000004"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HE208">
        <f ca="1"/>
      </c>
    </row>
    <row r="209" spans="147:225" x14ac:dyDescent="0.55000000000000004"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HE209">
        <f ca="1"/>
      </c>
    </row>
    <row r="210" spans="147:225" x14ac:dyDescent="0.55000000000000004"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HE210">
        <f ca="1"/>
      </c>
    </row>
    <row r="211" spans="147:225" x14ac:dyDescent="0.55000000000000004"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HE211">
        <f ca="1"/>
      </c>
    </row>
    <row r="212" spans="147:225" x14ac:dyDescent="0.55000000000000004"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HE212">
        <f ca="1"/>
      </c>
    </row>
    <row r="213" spans="147:225" x14ac:dyDescent="0.55000000000000004"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HE213">
        <f ca="1"/>
      </c>
    </row>
    <row r="214" spans="147:225" x14ac:dyDescent="0.55000000000000004"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HE214">
        <f ca="1"/>
      </c>
    </row>
    <row r="215" spans="147:225" x14ac:dyDescent="0.55000000000000004"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HE215">
        <f ca="1"/>
      </c>
    </row>
    <row r="216" spans="147:225" x14ac:dyDescent="0.55000000000000004"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HE216">
        <f ca="1"/>
      </c>
    </row>
    <row r="217" spans="147:225" x14ac:dyDescent="0.55000000000000004"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HE217">
        <f ca="1"/>
      </c>
    </row>
    <row r="218" spans="147:225" x14ac:dyDescent="0.55000000000000004"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HE218">
        <f ca="1"/>
      </c>
    </row>
    <row r="219" spans="147:225" x14ac:dyDescent="0.55000000000000004"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HE219">
        <f ca="1"/>
      </c>
    </row>
    <row r="220" spans="147:225" x14ac:dyDescent="0.55000000000000004"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HE220">
        <f ca="1"/>
      </c>
    </row>
    <row r="221" spans="147:225" x14ac:dyDescent="0.55000000000000004"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HE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HE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ref="EQ254:FR271">_xlfn.LET(_xlpm.g,_xlfn.DROP(_xlfn.ANCHORARRAY($CO$4),1),_xlfn._xlws.FILTER(_xlpm.g,_xlfn.TAKE(_xlpm.g,,1)=6))</f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ref="GX255:GX272">_xlfn.LET(_xlpm.V,_xlfn.DROP(_xlfn.ANCHORARRAY($EQ$254),,10),IF(1&lt;=COLUMNS(_xlpm.V),_xlfn.CHOOSECOLS(_xlpm.V,1),IF(_xlfn.SEQUENCE(ROWS(_xlpm.V)),NA())))</f>
      </c>
      <c r="GY255" cm="1">
        <f t="array" ref="GY255:GY272">_xlfn.LET(_xlpm.V,_xlfn.DROP(_xlfn.ANCHORARRAY($EQ$254),,10),IF(2&lt;=COLUMNS(_xlpm.V),_xlfn.CHOOSECOLS(_xlpm.V,2),IF(_xlfn.SEQUENCE(ROWS(_xlpm.V)),NA())))</f>
      </c>
      <c r="GZ255" cm="1">
        <f t="array" ref="GZ255:GZ272">_xlfn.LET(_xlpm.V,_xlfn.DROP(_xlfn.ANCHORARRAY($EQ$254),,10),IF(3&lt;=COLUMNS(_xlpm.V),_xlfn.CHOOSECOLS(_xlpm.V,3),IF(_xlfn.SEQUENCE(ROWS(_xlpm.V)),NA())))</f>
      </c>
      <c r="HA255" cm="1">
        <f t="array" ref="HA255:HA272">_xlfn.LET(_xlpm.V,_xlfn.DROP(_xlfn.ANCHORARRAY($EQ$254),,10),IF(4&lt;=COLUMNS(_xlpm.V),_xlfn.CHOOSECOLS(_xlpm.V,4),IF(_xlfn.SEQUENCE(ROWS(_xlpm.V)),NA())))</f>
      </c>
      <c r="HB255" cm="1">
        <f t="array" ref="HB255:HB272">_xlfn.LET(_xlpm.V,_xlfn.DROP(_xlfn.ANCHORARRAY($EQ$254),,10),IF(5&lt;=COLUMNS(_xlpm.V),_xlfn.CHOOSECOLS(_xlpm.V,5),IF(_xlfn.SEQUENCE(ROWS(_xlpm.V)),NA())))</f>
      </c>
      <c r="HD255" cm="1">
        <f t="array" ref="HD255:HD272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ref="HF255:HF272">_xlfn.CHOOSECOLS(_xlfn.ANCHORARRAY($EQ$254),8)+_xlfn.CHOOSECOLS(_xlfn.ANCHORARRAY($EQ$254),10)</f>
      </c>
      <c r="HG255" cm="1">
        <f t="array" ref="HG255:HG272">_xlfn.CHOOSECOLS(_xlfn.ANCHORARRAY($EQ$254),8)-_xlfn.CHOOSECOLS(_xlfn.ANCHORARRAY($EQ$254),10)</f>
      </c>
      <c r="HH255" cm="1">
        <f t="array" ref="HH255:HH272">_xlfn.LET(_xlpm.v,_xlfn.CHOOSECOLS(_xlfn._xlws.FILTER(_xlfn.DROP(_xlfn.ANCHORARRAY($HS$4),1),_xlfn.TAKE(_xlfn.DROP(_xlfn.ANCHORARRAY($HS$4),1),,1)=6),3),IF(_xlpm.v="",NA(),_xlpm.v))</f>
      </c>
      <c r="HI255" cm="1">
        <f t="array" ref="HI255:HI272">-_xlfn.ANCHORARRAY($HH$255)</f>
      </c>
      <c r="HJ255" cm="1">
        <f t="array" ref="HJ255:HJ272">_xlfn.LET(_xlpm.v,_xlfn.CHOOSECOLS(_xlfn._xlws.FILTER(_xlfn.DROP(_xlfn.ANCHORARRAY($HS$4),1),_xlfn.TAKE(_xlfn.DROP(_xlfn.ANCHORARRAY($HS$4),1),,1)=6),4),IF(_xlpm.v="",NA(),_xlpm.v))</f>
      </c>
      <c r="HK255" cm="1">
        <f t="array" ref="HK255:HK272">-_xlfn.ANCHORARRAY($HJ$255)</f>
      </c>
      <c r="HL255" cm="1">
        <f t="array" ref="HL255:HL272">_xlfn.LET(_xlpm.v,_xlfn.CHOOSECOLS(_xlfn._xlws.FILTER(_xlfn.DROP(_xlfn.ANCHORARRAY($HS$4),1),_xlfn.TAKE(_xlfn.DROP(_xlfn.ANCHORARRAY($HS$4),1),,1)=6),5),IF(_xlpm.v="",NA(),_xlpm.v))</f>
      </c>
      <c r="HM255" cm="1">
        <f t="array" ref="HM255:HM272">-_xlfn.ANCHORARRAY($HL$255)</f>
      </c>
      <c r="HN255" cm="1">
        <f t="array" ref="HN255:HN272">_xlfn.LET(_xlpm.v,_xlfn.CHOOSECOLS(_xlfn._xlws.FILTER(_xlfn.DROP(_xlfn.ANCHORARRAY($HS$4),1),_xlfn.TAKE(_xlfn.DROP(_xlfn.ANCHORARRAY($HS$4),1),,1)=6),6),IF(_xlpm.v="",NA(),_xlpm.v))</f>
      </c>
      <c r="HO255" cm="1">
        <f t="array" ref="HO255:HO272">-_xlfn.ANCHORARRAY($HN$255)</f>
      </c>
      <c r="HP255" cm="1">
        <f t="array" ref="HP255:HP272">_xlfn.LET(_xlpm.v,_xlfn.CHOOSECOLS(_xlfn._xlws.FILTER(_xlfn.DROP(_xlfn.ANCHORARRAY($HS$4),1),_xlfn.TAKE(_xlfn.DROP(_xlfn.ANCHORARRAY($HS$4),1),,1)=6),7),IF(_xlpm.v="",NA(),_xlpm.v))</f>
      </c>
      <c r="HQ255" cm="1">
        <f t="array" ref="HQ255:HQ272">-_xlfn.ANCHORARRAY($HP$255)</f>
      </c>
      <c r="HR255" cm="1">
        <f t="array" ref="HR255">IFERROR(INDEX(_xlfn._xlws.FILTER(_xlfn.DROP(_xlfn.ANCHORARRAY($HS$4),1),_xlfn.TAKE(_xlfn.DROP(_xlfn.ANCHORARRAY($HS$4),1),,1)=6),1,2),"")</f>
      </c>
    </row>
    <row r="256" spans="146:226" x14ac:dyDescent="0.55000000000000004"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HE256">
        <f ca="1"/>
      </c>
    </row>
    <row r="257" spans="147:225" x14ac:dyDescent="0.55000000000000004"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HE257">
        <f ca="1"/>
      </c>
    </row>
    <row r="258" spans="147:225" x14ac:dyDescent="0.55000000000000004"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HE258">
        <f ca="1"/>
      </c>
    </row>
    <row r="259" spans="147:225" x14ac:dyDescent="0.55000000000000004"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HE259">
        <f ca="1"/>
      </c>
    </row>
    <row r="260" spans="147:225" x14ac:dyDescent="0.55000000000000004"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HE260">
        <f ca="1"/>
      </c>
    </row>
    <row r="261" spans="147:225" x14ac:dyDescent="0.55000000000000004"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HE261">
        <f ca="1"/>
      </c>
    </row>
    <row r="262" spans="147:225" x14ac:dyDescent="0.55000000000000004"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HE262">
        <f ca="1"/>
      </c>
    </row>
    <row r="263" spans="147:225" x14ac:dyDescent="0.55000000000000004"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HE263">
        <f ca="1"/>
      </c>
    </row>
    <row r="264" spans="147:225" x14ac:dyDescent="0.55000000000000004"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HE264">
        <f ca="1"/>
      </c>
    </row>
    <row r="265" spans="147:225" x14ac:dyDescent="0.55000000000000004"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HE265">
        <f ca="1"/>
      </c>
    </row>
    <row r="266" spans="147:225" x14ac:dyDescent="0.55000000000000004"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HE266">
        <f ca="1"/>
      </c>
    </row>
    <row r="267" spans="147:225" x14ac:dyDescent="0.55000000000000004"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HE267">
        <f ca="1"/>
      </c>
    </row>
    <row r="268" spans="147:225" x14ac:dyDescent="0.55000000000000004"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HE268">
        <f ca="1"/>
      </c>
    </row>
    <row r="269" spans="147:225" x14ac:dyDescent="0.55000000000000004"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HE269">
        <f ca="1"/>
      </c>
    </row>
    <row r="270" spans="147:225" x14ac:dyDescent="0.55000000000000004"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HE270">
        <f ca="1"/>
      </c>
    </row>
    <row r="271" spans="147:225" x14ac:dyDescent="0.55000000000000004"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HE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HE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ref="EQ304:FR321">_xlfn.LET(_xlpm.g,_xlfn.DROP(_xlfn.ANCHORARRAY($CO$4),1),_xlfn._xlws.FILTER(_xlpm.g,_xlfn.TAKE(_xlpm.g,,1)=7))</f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ref="GX305:GX322">_xlfn.LET(_xlpm.V,_xlfn.DROP(_xlfn.ANCHORARRAY($EQ$304),,10),IF(1&lt;=COLUMNS(_xlpm.V),_xlfn.CHOOSECOLS(_xlpm.V,1),IF(_xlfn.SEQUENCE(ROWS(_xlpm.V)),NA())))</f>
      </c>
      <c r="GY305" cm="1">
        <f t="array" ref="GY305:GY322">_xlfn.LET(_xlpm.V,_xlfn.DROP(_xlfn.ANCHORARRAY($EQ$304),,10),IF(2&lt;=COLUMNS(_xlpm.V),_xlfn.CHOOSECOLS(_xlpm.V,2),IF(_xlfn.SEQUENCE(ROWS(_xlpm.V)),NA())))</f>
      </c>
      <c r="GZ305" cm="1">
        <f t="array" ref="GZ305:GZ322">_xlfn.LET(_xlpm.V,_xlfn.DROP(_xlfn.ANCHORARRAY($EQ$304),,10),IF(3&lt;=COLUMNS(_xlpm.V),_xlfn.CHOOSECOLS(_xlpm.V,3),IF(_xlfn.SEQUENCE(ROWS(_xlpm.V)),NA())))</f>
      </c>
      <c r="HA305" cm="1">
        <f t="array" ref="HA305:HA322">_xlfn.LET(_xlpm.V,_xlfn.DROP(_xlfn.ANCHORARRAY($EQ$304),,10),IF(4&lt;=COLUMNS(_xlpm.V),_xlfn.CHOOSECOLS(_xlpm.V,4),IF(_xlfn.SEQUENCE(ROWS(_xlpm.V)),NA())))</f>
      </c>
      <c r="HB305" cm="1">
        <f t="array" ref="HB305:HB322">_xlfn.LET(_xlpm.V,_xlfn.DROP(_xlfn.ANCHORARRAY($EQ$304),,10),IF(5&lt;=COLUMNS(_xlpm.V),_xlfn.CHOOSECOLS(_xlpm.V,5),IF(_xlfn.SEQUENCE(ROWS(_xlpm.V)),NA())))</f>
      </c>
      <c r="HD305" cm="1">
        <f t="array" ref="HD305:HD322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ref="HF305:HF322">_xlfn.CHOOSECOLS(_xlfn.ANCHORARRAY($EQ$304),8)+_xlfn.CHOOSECOLS(_xlfn.ANCHORARRAY($EQ$304),10)</f>
      </c>
      <c r="HG305" cm="1">
        <f t="array" ref="HG305:HG322">_xlfn.CHOOSECOLS(_xlfn.ANCHORARRAY($EQ$304),8)-_xlfn.CHOOSECOLS(_xlfn.ANCHORARRAY($EQ$304),10)</f>
      </c>
      <c r="HH305" cm="1">
        <f t="array" ref="HH305:HH322">_xlfn.LET(_xlpm.v,_xlfn.CHOOSECOLS(_xlfn._xlws.FILTER(_xlfn.DROP(_xlfn.ANCHORARRAY($HS$4),1),_xlfn.TAKE(_xlfn.DROP(_xlfn.ANCHORARRAY($HS$4),1),,1)=7),3),IF(_xlpm.v="",NA(),_xlpm.v))</f>
      </c>
      <c r="HI305" cm="1">
        <f t="array" ref="HI305:HI322">-_xlfn.ANCHORARRAY($HH$305)</f>
      </c>
      <c r="HJ305" cm="1">
        <f t="array" ref="HJ305:HJ322">_xlfn.LET(_xlpm.v,_xlfn.CHOOSECOLS(_xlfn._xlws.FILTER(_xlfn.DROP(_xlfn.ANCHORARRAY($HS$4),1),_xlfn.TAKE(_xlfn.DROP(_xlfn.ANCHORARRAY($HS$4),1),,1)=7),4),IF(_xlpm.v="",NA(),_xlpm.v))</f>
      </c>
      <c r="HK305" cm="1">
        <f t="array" ref="HK305:HK322">-_xlfn.ANCHORARRAY($HJ$305)</f>
      </c>
      <c r="HL305" cm="1">
        <f t="array" ref="HL305:HL322">_xlfn.LET(_xlpm.v,_xlfn.CHOOSECOLS(_xlfn._xlws.FILTER(_xlfn.DROP(_xlfn.ANCHORARRAY($HS$4),1),_xlfn.TAKE(_xlfn.DROP(_xlfn.ANCHORARRAY($HS$4),1),,1)=7),5),IF(_xlpm.v="",NA(),_xlpm.v))</f>
      </c>
      <c r="HM305" cm="1">
        <f t="array" ref="HM305:HM322">-_xlfn.ANCHORARRAY($HL$305)</f>
      </c>
      <c r="HN305" cm="1">
        <f t="array" ref="HN305:HN322">_xlfn.LET(_xlpm.v,_xlfn.CHOOSECOLS(_xlfn._xlws.FILTER(_xlfn.DROP(_xlfn.ANCHORARRAY($HS$4),1),_xlfn.TAKE(_xlfn.DROP(_xlfn.ANCHORARRAY($HS$4),1),,1)=7),6),IF(_xlpm.v="",NA(),_xlpm.v))</f>
      </c>
      <c r="HO305" cm="1">
        <f t="array" ref="HO305:HO322">-_xlfn.ANCHORARRAY($HN$305)</f>
      </c>
      <c r="HP305" cm="1">
        <f t="array" ref="HP305:HP322">_xlfn.LET(_xlpm.v,_xlfn.CHOOSECOLS(_xlfn._xlws.FILTER(_xlfn.DROP(_xlfn.ANCHORARRAY($HS$4),1),_xlfn.TAKE(_xlfn.DROP(_xlfn.ANCHORARRAY($HS$4),1),,1)=7),7),IF(_xlpm.v="",NA(),_xlpm.v))</f>
      </c>
      <c r="HQ305" cm="1">
        <f t="array" ref="HQ305:HQ322">-_xlfn.ANCHORARRAY($HP$305)</f>
      </c>
      <c r="HR305" cm="1">
        <f t="array" ref="HR305">IFERROR(INDEX(_xlfn._xlws.FILTER(_xlfn.DROP(_xlfn.ANCHORARRAY($HS$4),1),_xlfn.TAKE(_xlfn.DROP(_xlfn.ANCHORARRAY($HS$4),1),,1)=7),1,2),"")</f>
      </c>
    </row>
    <row r="306" spans="147:226" x14ac:dyDescent="0.55000000000000004"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HE306">
        <f ca="1"/>
      </c>
    </row>
    <row r="307" spans="147:226" x14ac:dyDescent="0.55000000000000004"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HE307">
        <f ca="1"/>
      </c>
    </row>
    <row r="308" spans="147:226" x14ac:dyDescent="0.55000000000000004"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HE308">
        <f ca="1"/>
      </c>
    </row>
    <row r="309" spans="147:226" x14ac:dyDescent="0.55000000000000004"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HE309">
        <f ca="1"/>
      </c>
    </row>
    <row r="310" spans="147:226" x14ac:dyDescent="0.55000000000000004"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HE310">
        <f ca="1"/>
      </c>
    </row>
    <row r="311" spans="147:226" x14ac:dyDescent="0.55000000000000004"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HE311">
        <f ca="1"/>
      </c>
    </row>
    <row r="312" spans="147:226" x14ac:dyDescent="0.55000000000000004"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HE312">
        <f ca="1"/>
      </c>
    </row>
    <row r="313" spans="147:226" x14ac:dyDescent="0.55000000000000004"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HE313">
        <f ca="1"/>
      </c>
    </row>
    <row r="314" spans="147:226" x14ac:dyDescent="0.55000000000000004"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HE314">
        <f ca="1"/>
      </c>
    </row>
    <row r="315" spans="147:226" x14ac:dyDescent="0.55000000000000004"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HE315">
        <f ca="1"/>
      </c>
    </row>
    <row r="316" spans="147:226" x14ac:dyDescent="0.55000000000000004"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HE316">
        <f ca="1"/>
      </c>
    </row>
    <row r="317" spans="147:226" x14ac:dyDescent="0.55000000000000004"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HE317">
        <f ca="1"/>
      </c>
    </row>
    <row r="318" spans="147:226" x14ac:dyDescent="0.55000000000000004"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HE318">
        <f ca="1"/>
      </c>
    </row>
    <row r="319" spans="147:226" x14ac:dyDescent="0.55000000000000004"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HE319">
        <f ca="1"/>
      </c>
    </row>
    <row r="320" spans="147:226" x14ac:dyDescent="0.55000000000000004"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HE320">
        <f ca="1"/>
      </c>
    </row>
    <row r="321" spans="147:225" x14ac:dyDescent="0.55000000000000004"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HE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HE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ref="EQ354:FR371">_xlfn.LET(_xlpm.g,_xlfn.DROP(_xlfn.ANCHORARRAY($CO$4),1),_xlfn._xlws.FILTER(_xlpm.g,_xlfn.TAKE(_xlpm.g,,1)=8))</f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ref="GX355:GX372">_xlfn.LET(_xlpm.V,_xlfn.DROP(_xlfn.ANCHORARRAY($EQ$354),,10),IF(1&lt;=COLUMNS(_xlpm.V),_xlfn.CHOOSECOLS(_xlpm.V,1),IF(_xlfn.SEQUENCE(ROWS(_xlpm.V)),NA())))</f>
      </c>
      <c r="GY355" cm="1">
        <f t="array" ref="GY355:GY372">_xlfn.LET(_xlpm.V,_xlfn.DROP(_xlfn.ANCHORARRAY($EQ$354),,10),IF(2&lt;=COLUMNS(_xlpm.V),_xlfn.CHOOSECOLS(_xlpm.V,2),IF(_xlfn.SEQUENCE(ROWS(_xlpm.V)),NA())))</f>
      </c>
      <c r="GZ355" cm="1">
        <f t="array" ref="GZ355:GZ372">_xlfn.LET(_xlpm.V,_xlfn.DROP(_xlfn.ANCHORARRAY($EQ$354),,10),IF(3&lt;=COLUMNS(_xlpm.V),_xlfn.CHOOSECOLS(_xlpm.V,3),IF(_xlfn.SEQUENCE(ROWS(_xlpm.V)),NA())))</f>
      </c>
      <c r="HA355" cm="1">
        <f t="array" ref="HA355:HA372">_xlfn.LET(_xlpm.V,_xlfn.DROP(_xlfn.ANCHORARRAY($EQ$354),,10),IF(4&lt;=COLUMNS(_xlpm.V),_xlfn.CHOOSECOLS(_xlpm.V,4),IF(_xlfn.SEQUENCE(ROWS(_xlpm.V)),NA())))</f>
      </c>
      <c r="HB355" cm="1">
        <f t="array" ref="HB355:HB372">_xlfn.LET(_xlpm.V,_xlfn.DROP(_xlfn.ANCHORARRAY($EQ$354),,10),IF(5&lt;=COLUMNS(_xlpm.V),_xlfn.CHOOSECOLS(_xlpm.V,5),IF(_xlfn.SEQUENCE(ROWS(_xlpm.V)),NA())))</f>
      </c>
      <c r="HD355" cm="1">
        <f t="array" ref="HD355:HD372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ref="HF355:HF372">_xlfn.CHOOSECOLS(_xlfn.ANCHORARRAY($EQ$354),8)+_xlfn.CHOOSECOLS(_xlfn.ANCHORARRAY($EQ$354),10)</f>
      </c>
      <c r="HG355" cm="1">
        <f t="array" ref="HG355:HG372">_xlfn.CHOOSECOLS(_xlfn.ANCHORARRAY($EQ$354),8)-_xlfn.CHOOSECOLS(_xlfn.ANCHORARRAY($EQ$354),10)</f>
      </c>
      <c r="HH355" cm="1">
        <f t="array" ref="HH355:HH372">_xlfn.LET(_xlpm.v,_xlfn.CHOOSECOLS(_xlfn._xlws.FILTER(_xlfn.DROP(_xlfn.ANCHORARRAY($HS$4),1),_xlfn.TAKE(_xlfn.DROP(_xlfn.ANCHORARRAY($HS$4),1),,1)=8),3),IF(_xlpm.v="",NA(),_xlpm.v))</f>
      </c>
      <c r="HI355" cm="1">
        <f t="array" ref="HI355:HI372">-_xlfn.ANCHORARRAY($HH$355)</f>
      </c>
      <c r="HJ355" cm="1">
        <f t="array" ref="HJ355:HJ372">_xlfn.LET(_xlpm.v,_xlfn.CHOOSECOLS(_xlfn._xlws.FILTER(_xlfn.DROP(_xlfn.ANCHORARRAY($HS$4),1),_xlfn.TAKE(_xlfn.DROP(_xlfn.ANCHORARRAY($HS$4),1),,1)=8),4),IF(_xlpm.v="",NA(),_xlpm.v))</f>
      </c>
      <c r="HK355" cm="1">
        <f t="array" ref="HK355:HK372">-_xlfn.ANCHORARRAY($HJ$355)</f>
      </c>
      <c r="HL355" cm="1">
        <f t="array" ref="HL355:HL372">_xlfn.LET(_xlpm.v,_xlfn.CHOOSECOLS(_xlfn._xlws.FILTER(_xlfn.DROP(_xlfn.ANCHORARRAY($HS$4),1),_xlfn.TAKE(_xlfn.DROP(_xlfn.ANCHORARRAY($HS$4),1),,1)=8),5),IF(_xlpm.v="",NA(),_xlpm.v))</f>
      </c>
      <c r="HM355" cm="1">
        <f t="array" ref="HM355:HM372">-_xlfn.ANCHORARRAY($HL$355)</f>
      </c>
      <c r="HN355" cm="1">
        <f t="array" ref="HN355:HN372">_xlfn.LET(_xlpm.v,_xlfn.CHOOSECOLS(_xlfn._xlws.FILTER(_xlfn.DROP(_xlfn.ANCHORARRAY($HS$4),1),_xlfn.TAKE(_xlfn.DROP(_xlfn.ANCHORARRAY($HS$4),1),,1)=8),6),IF(_xlpm.v="",NA(),_xlpm.v))</f>
      </c>
      <c r="HO355" cm="1">
        <f t="array" ref="HO355:HO372">-_xlfn.ANCHORARRAY($HN$355)</f>
      </c>
      <c r="HP355" cm="1">
        <f t="array" ref="HP355:HP372">_xlfn.LET(_xlpm.v,_xlfn.CHOOSECOLS(_xlfn._xlws.FILTER(_xlfn.DROP(_xlfn.ANCHORARRAY($HS$4),1),_xlfn.TAKE(_xlfn.DROP(_xlfn.ANCHORARRAY($HS$4),1),,1)=8),7),IF(_xlpm.v="",NA(),_xlpm.v))</f>
      </c>
      <c r="HQ355" cm="1">
        <f t="array" ref="HQ355:HQ372">-_xlfn.ANCHORARRAY($HP$355)</f>
      </c>
      <c r="HR355" cm="1">
        <f t="array" ref="HR355">IFERROR(INDEX(_xlfn._xlws.FILTER(_xlfn.DROP(_xlfn.ANCHORARRAY($HS$4),1),_xlfn.TAKE(_xlfn.DROP(_xlfn.ANCHORARRAY($HS$4),1),,1)=8),1,2),"")</f>
      </c>
    </row>
    <row r="356" spans="146:226" x14ac:dyDescent="0.55000000000000004"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HE356">
        <f ca="1"/>
      </c>
    </row>
    <row r="357" spans="146:226" x14ac:dyDescent="0.55000000000000004"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HE357">
        <f ca="1"/>
      </c>
    </row>
    <row r="358" spans="146:226" x14ac:dyDescent="0.55000000000000004"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HE358">
        <f ca="1"/>
      </c>
    </row>
    <row r="359" spans="146:226" x14ac:dyDescent="0.55000000000000004"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HE359">
        <f ca="1"/>
      </c>
    </row>
    <row r="360" spans="146:226" x14ac:dyDescent="0.55000000000000004"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HE360">
        <f ca="1"/>
      </c>
    </row>
    <row r="361" spans="146:226" x14ac:dyDescent="0.55000000000000004"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HE361">
        <f ca="1"/>
      </c>
    </row>
    <row r="362" spans="146:226" x14ac:dyDescent="0.55000000000000004"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HE362">
        <f ca="1"/>
      </c>
    </row>
    <row r="363" spans="146:226" x14ac:dyDescent="0.55000000000000004"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HE363">
        <f ca="1"/>
      </c>
    </row>
    <row r="364" spans="146:226" x14ac:dyDescent="0.55000000000000004"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HE364">
        <f ca="1"/>
      </c>
    </row>
    <row r="365" spans="146:226" x14ac:dyDescent="0.55000000000000004"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HE365">
        <f ca="1"/>
      </c>
    </row>
    <row r="366" spans="146:226" x14ac:dyDescent="0.55000000000000004"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HE366">
        <f ca="1"/>
      </c>
    </row>
    <row r="367" spans="146:226" x14ac:dyDescent="0.55000000000000004"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HE367">
        <f ca="1"/>
      </c>
    </row>
    <row r="368" spans="146:226" x14ac:dyDescent="0.55000000000000004"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HE368">
        <f ca="1"/>
      </c>
    </row>
    <row r="369" spans="147:225" x14ac:dyDescent="0.55000000000000004"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HE369">
        <f ca="1"/>
      </c>
    </row>
    <row r="370" spans="147:225" x14ac:dyDescent="0.55000000000000004"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HE370">
        <f ca="1"/>
      </c>
    </row>
    <row r="371" spans="147:225" x14ac:dyDescent="0.55000000000000004"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HE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HE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ref="EQ404:FR421">_xlfn.LET(_xlpm.g,_xlfn.DROP(_xlfn.ANCHORARRAY($CO$4),1),_xlfn._xlws.FILTER(_xlpm.g,_xlfn.TAKE(_xlpm.g,,1)=9))</f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ref="GX405:GX422">_xlfn.LET(_xlpm.V,_xlfn.DROP(_xlfn.ANCHORARRAY($EQ$404),,10),IF(1&lt;=COLUMNS(_xlpm.V),_xlfn.CHOOSECOLS(_xlpm.V,1),IF(_xlfn.SEQUENCE(ROWS(_xlpm.V)),NA())))</f>
      </c>
      <c r="GY405" cm="1">
        <f t="array" ref="GY405:GY422">_xlfn.LET(_xlpm.V,_xlfn.DROP(_xlfn.ANCHORARRAY($EQ$404),,10),IF(2&lt;=COLUMNS(_xlpm.V),_xlfn.CHOOSECOLS(_xlpm.V,2),IF(_xlfn.SEQUENCE(ROWS(_xlpm.V)),NA())))</f>
      </c>
      <c r="GZ405" cm="1">
        <f t="array" ref="GZ405:GZ422">_xlfn.LET(_xlpm.V,_xlfn.DROP(_xlfn.ANCHORARRAY($EQ$404),,10),IF(3&lt;=COLUMNS(_xlpm.V),_xlfn.CHOOSECOLS(_xlpm.V,3),IF(_xlfn.SEQUENCE(ROWS(_xlpm.V)),NA())))</f>
      </c>
      <c r="HA405" cm="1">
        <f t="array" ref="HA405:HA422">_xlfn.LET(_xlpm.V,_xlfn.DROP(_xlfn.ANCHORARRAY($EQ$404),,10),IF(4&lt;=COLUMNS(_xlpm.V),_xlfn.CHOOSECOLS(_xlpm.V,4),IF(_xlfn.SEQUENCE(ROWS(_xlpm.V)),NA())))</f>
      </c>
      <c r="HB405" cm="1">
        <f t="array" ref="HB405:HB422">_xlfn.LET(_xlpm.V,_xlfn.DROP(_xlfn.ANCHORARRAY($EQ$404),,10),IF(5&lt;=COLUMNS(_xlpm.V),_xlfn.CHOOSECOLS(_xlpm.V,5),IF(_xlfn.SEQUENCE(ROWS(_xlpm.V)),NA())))</f>
      </c>
      <c r="HD405" cm="1">
        <f t="array" ref="HD405:HD422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ref="HF405:HF422">_xlfn.CHOOSECOLS(_xlfn.ANCHORARRAY($EQ$404),8)+_xlfn.CHOOSECOLS(_xlfn.ANCHORARRAY($EQ$404),10)</f>
      </c>
      <c r="HG405" cm="1">
        <f t="array" ref="HG405:HG422">_xlfn.CHOOSECOLS(_xlfn.ANCHORARRAY($EQ$404),8)-_xlfn.CHOOSECOLS(_xlfn.ANCHORARRAY($EQ$404),10)</f>
      </c>
      <c r="HH405" cm="1">
        <f t="array" ref="HH405:HH422">_xlfn.LET(_xlpm.v,_xlfn.CHOOSECOLS(_xlfn._xlws.FILTER(_xlfn.DROP(_xlfn.ANCHORARRAY($HS$4),1),_xlfn.TAKE(_xlfn.DROP(_xlfn.ANCHORARRAY($HS$4),1),,1)=9),3),IF(_xlpm.v="",NA(),_xlpm.v))</f>
      </c>
      <c r="HI405" cm="1">
        <f t="array" ref="HI405:HI422">-_xlfn.ANCHORARRAY($HH$405)</f>
      </c>
      <c r="HJ405" cm="1">
        <f t="array" ref="HJ405:HJ422">_xlfn.LET(_xlpm.v,_xlfn.CHOOSECOLS(_xlfn._xlws.FILTER(_xlfn.DROP(_xlfn.ANCHORARRAY($HS$4),1),_xlfn.TAKE(_xlfn.DROP(_xlfn.ANCHORARRAY($HS$4),1),,1)=9),4),IF(_xlpm.v="",NA(),_xlpm.v))</f>
      </c>
      <c r="HK405" cm="1">
        <f t="array" ref="HK405:HK422">-_xlfn.ANCHORARRAY($HJ$405)</f>
      </c>
      <c r="HL405" cm="1">
        <f t="array" ref="HL405:HL422">_xlfn.LET(_xlpm.v,_xlfn.CHOOSECOLS(_xlfn._xlws.FILTER(_xlfn.DROP(_xlfn.ANCHORARRAY($HS$4),1),_xlfn.TAKE(_xlfn.DROP(_xlfn.ANCHORARRAY($HS$4),1),,1)=9),5),IF(_xlpm.v="",NA(),_xlpm.v))</f>
      </c>
      <c r="HM405" cm="1">
        <f t="array" ref="HM405:HM422">-_xlfn.ANCHORARRAY($HL$405)</f>
      </c>
      <c r="HN405" cm="1">
        <f t="array" ref="HN405:HN422">_xlfn.LET(_xlpm.v,_xlfn.CHOOSECOLS(_xlfn._xlws.FILTER(_xlfn.DROP(_xlfn.ANCHORARRAY($HS$4),1),_xlfn.TAKE(_xlfn.DROP(_xlfn.ANCHORARRAY($HS$4),1),,1)=9),6),IF(_xlpm.v="",NA(),_xlpm.v))</f>
      </c>
      <c r="HO405" cm="1">
        <f t="array" ref="HO405:HO422">-_xlfn.ANCHORARRAY($HN$405)</f>
      </c>
      <c r="HP405" cm="1">
        <f t="array" ref="HP405:HP422">_xlfn.LET(_xlpm.v,_xlfn.CHOOSECOLS(_xlfn._xlws.FILTER(_xlfn.DROP(_xlfn.ANCHORARRAY($HS$4),1),_xlfn.TAKE(_xlfn.DROP(_xlfn.ANCHORARRAY($HS$4),1),,1)=9),7),IF(_xlpm.v="",NA(),_xlpm.v))</f>
      </c>
      <c r="HQ405" cm="1">
        <f t="array" ref="HQ405:HQ422">-_xlfn.ANCHORARRAY($HP$405)</f>
      </c>
      <c r="HR405" cm="1">
        <f t="array" ref="HR405">IFERROR(INDEX(_xlfn._xlws.FILTER(_xlfn.DROP(_xlfn.ANCHORARRAY($HS$4),1),_xlfn.TAKE(_xlfn.DROP(_xlfn.ANCHORARRAY($HS$4),1),,1)=9),1,2),"")</f>
      </c>
    </row>
    <row r="406" spans="146:226" x14ac:dyDescent="0.55000000000000004"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HE406">
        <f ca="1"/>
      </c>
    </row>
    <row r="407" spans="146:226" x14ac:dyDescent="0.55000000000000004"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HE407">
        <f ca="1"/>
      </c>
    </row>
    <row r="408" spans="146:226" x14ac:dyDescent="0.55000000000000004"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HE408">
        <f ca="1"/>
      </c>
    </row>
    <row r="409" spans="146:226" x14ac:dyDescent="0.55000000000000004"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HE409">
        <f ca="1"/>
      </c>
    </row>
    <row r="410" spans="146:226" x14ac:dyDescent="0.55000000000000004"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HE410">
        <f ca="1"/>
      </c>
    </row>
    <row r="411" spans="146:226" x14ac:dyDescent="0.55000000000000004"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HE411">
        <f ca="1"/>
      </c>
    </row>
    <row r="412" spans="146:226" x14ac:dyDescent="0.55000000000000004"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HE412">
        <f ca="1"/>
      </c>
    </row>
    <row r="413" spans="146:226" x14ac:dyDescent="0.55000000000000004"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HE413">
        <f ca="1"/>
      </c>
    </row>
    <row r="414" spans="146:226" x14ac:dyDescent="0.55000000000000004"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HE414">
        <f ca="1"/>
      </c>
    </row>
    <row r="415" spans="146:226" x14ac:dyDescent="0.55000000000000004"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HE415">
        <f ca="1"/>
      </c>
    </row>
    <row r="416" spans="146:226" x14ac:dyDescent="0.55000000000000004"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HE416">
        <f ca="1"/>
      </c>
    </row>
    <row r="417" spans="147:225" x14ac:dyDescent="0.55000000000000004"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HE417">
        <f ca="1"/>
      </c>
    </row>
    <row r="418" spans="147:225" x14ac:dyDescent="0.55000000000000004"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HE418">
        <f ca="1"/>
      </c>
    </row>
    <row r="419" spans="147:225" x14ac:dyDescent="0.55000000000000004"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HE419">
        <f ca="1"/>
      </c>
    </row>
    <row r="420" spans="147:225" x14ac:dyDescent="0.55000000000000004"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HE420">
        <f ca="1"/>
      </c>
    </row>
    <row r="421" spans="147:225" x14ac:dyDescent="0.55000000000000004"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HE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HE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ref="EQ454:FR471">_xlfn.LET(_xlpm.g,_xlfn.DROP(_xlfn.ANCHORARRAY($CO$4),1),_xlfn._xlws.FILTER(_xlpm.g,_xlfn.TAKE(_xlpm.g,,1)=10))</f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ref="GX455:GX472">_xlfn.LET(_xlpm.V,_xlfn.DROP(_xlfn.ANCHORARRAY($EQ$454),,10),IF(1&lt;=COLUMNS(_xlpm.V),_xlfn.CHOOSECOLS(_xlpm.V,1),IF(_xlfn.SEQUENCE(ROWS(_xlpm.V)),NA())))</f>
      </c>
      <c r="GY455" cm="1">
        <f t="array" ref="GY455:GY472">_xlfn.LET(_xlpm.V,_xlfn.DROP(_xlfn.ANCHORARRAY($EQ$454),,10),IF(2&lt;=COLUMNS(_xlpm.V),_xlfn.CHOOSECOLS(_xlpm.V,2),IF(_xlfn.SEQUENCE(ROWS(_xlpm.V)),NA())))</f>
      </c>
      <c r="GZ455" cm="1">
        <f t="array" ref="GZ455:GZ472">_xlfn.LET(_xlpm.V,_xlfn.DROP(_xlfn.ANCHORARRAY($EQ$454),,10),IF(3&lt;=COLUMNS(_xlpm.V),_xlfn.CHOOSECOLS(_xlpm.V,3),IF(_xlfn.SEQUENCE(ROWS(_xlpm.V)),NA())))</f>
      </c>
      <c r="HA455" cm="1">
        <f t="array" ref="HA455:HA472">_xlfn.LET(_xlpm.V,_xlfn.DROP(_xlfn.ANCHORARRAY($EQ$454),,10),IF(4&lt;=COLUMNS(_xlpm.V),_xlfn.CHOOSECOLS(_xlpm.V,4),IF(_xlfn.SEQUENCE(ROWS(_xlpm.V)),NA())))</f>
      </c>
      <c r="HB455" cm="1">
        <f t="array" ref="HB455:HB472">_xlfn.LET(_xlpm.V,_xlfn.DROP(_xlfn.ANCHORARRAY($EQ$454),,10),IF(5&lt;=COLUMNS(_xlpm.V),_xlfn.CHOOSECOLS(_xlpm.V,5),IF(_xlfn.SEQUENCE(ROWS(_xlpm.V)),NA())))</f>
      </c>
      <c r="HD455" cm="1">
        <f t="array" ref="HD455:HD472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ref="HF455:HF472">_xlfn.CHOOSECOLS(_xlfn.ANCHORARRAY($EQ$454),8)+_xlfn.CHOOSECOLS(_xlfn.ANCHORARRAY($EQ$454),10)</f>
      </c>
      <c r="HG455" cm="1">
        <f t="array" ref="HG455:HG472">_xlfn.CHOOSECOLS(_xlfn.ANCHORARRAY($EQ$454),8)-_xlfn.CHOOSECOLS(_xlfn.ANCHORARRAY($EQ$454),10)</f>
      </c>
      <c r="HH455" cm="1">
        <f t="array" ref="HH455:HH472">_xlfn.LET(_xlpm.v,_xlfn.CHOOSECOLS(_xlfn._xlws.FILTER(_xlfn.DROP(_xlfn.ANCHORARRAY($HS$4),1),_xlfn.TAKE(_xlfn.DROP(_xlfn.ANCHORARRAY($HS$4),1),,1)=10),3),IF(_xlpm.v="",NA(),_xlpm.v))</f>
      </c>
      <c r="HI455" cm="1">
        <f t="array" ref="HI455:HI472">-_xlfn.ANCHORARRAY($HH$455)</f>
      </c>
      <c r="HJ455" cm="1">
        <f t="array" ref="HJ455:HJ472">_xlfn.LET(_xlpm.v,_xlfn.CHOOSECOLS(_xlfn._xlws.FILTER(_xlfn.DROP(_xlfn.ANCHORARRAY($HS$4),1),_xlfn.TAKE(_xlfn.DROP(_xlfn.ANCHORARRAY($HS$4),1),,1)=10),4),IF(_xlpm.v="",NA(),_xlpm.v))</f>
      </c>
      <c r="HK455" cm="1">
        <f t="array" ref="HK455:HK472">-_xlfn.ANCHORARRAY($HJ$455)</f>
      </c>
      <c r="HL455" cm="1">
        <f t="array" ref="HL455:HL472">_xlfn.LET(_xlpm.v,_xlfn.CHOOSECOLS(_xlfn._xlws.FILTER(_xlfn.DROP(_xlfn.ANCHORARRAY($HS$4),1),_xlfn.TAKE(_xlfn.DROP(_xlfn.ANCHORARRAY($HS$4),1),,1)=10),5),IF(_xlpm.v="",NA(),_xlpm.v))</f>
      </c>
      <c r="HM455" cm="1">
        <f t="array" ref="HM455:HM472">-_xlfn.ANCHORARRAY($HL$455)</f>
      </c>
      <c r="HN455" cm="1">
        <f t="array" ref="HN455:HN472">_xlfn.LET(_xlpm.v,_xlfn.CHOOSECOLS(_xlfn._xlws.FILTER(_xlfn.DROP(_xlfn.ANCHORARRAY($HS$4),1),_xlfn.TAKE(_xlfn.DROP(_xlfn.ANCHORARRAY($HS$4),1),,1)=10),6),IF(_xlpm.v="",NA(),_xlpm.v))</f>
      </c>
      <c r="HO455" cm="1">
        <f t="array" ref="HO455:HO472">-_xlfn.ANCHORARRAY($HN$455)</f>
      </c>
      <c r="HP455" cm="1">
        <f t="array" ref="HP455:HP472">_xlfn.LET(_xlpm.v,_xlfn.CHOOSECOLS(_xlfn._xlws.FILTER(_xlfn.DROP(_xlfn.ANCHORARRAY($HS$4),1),_xlfn.TAKE(_xlfn.DROP(_xlfn.ANCHORARRAY($HS$4),1),,1)=10),7),IF(_xlpm.v="",NA(),_xlpm.v))</f>
      </c>
      <c r="HQ455" cm="1">
        <f t="array" ref="HQ455:HQ472">-_xlfn.ANCHORARRAY($HP$455)</f>
      </c>
      <c r="HR455" cm="1">
        <f t="array" ref="HR455">IFERROR(INDEX(_xlfn._xlws.FILTER(_xlfn.DROP(_xlfn.ANCHORARRAY($HS$4),1),_xlfn.TAKE(_xlfn.DROP(_xlfn.ANCHORARRAY($HS$4),1),,1)=10),1,2),"")</f>
      </c>
    </row>
    <row r="456" spans="146:226" x14ac:dyDescent="0.55000000000000004"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HE456">
        <f ca="1"/>
      </c>
    </row>
    <row r="457" spans="146:226" x14ac:dyDescent="0.55000000000000004"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HE457">
        <f ca="1"/>
      </c>
    </row>
    <row r="458" spans="146:226" x14ac:dyDescent="0.55000000000000004"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HE458">
        <f ca="1"/>
      </c>
    </row>
    <row r="459" spans="146:226" x14ac:dyDescent="0.55000000000000004"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HE459">
        <f ca="1"/>
      </c>
    </row>
    <row r="460" spans="146:226" x14ac:dyDescent="0.55000000000000004"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HE460">
        <f ca="1"/>
      </c>
    </row>
    <row r="461" spans="146:226" x14ac:dyDescent="0.55000000000000004"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HE461">
        <f ca="1"/>
      </c>
    </row>
    <row r="462" spans="146:226" x14ac:dyDescent="0.55000000000000004"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HE462">
        <f ca="1"/>
      </c>
    </row>
    <row r="463" spans="146:226" x14ac:dyDescent="0.55000000000000004"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HE463">
        <f ca="1"/>
      </c>
    </row>
    <row r="464" spans="146:226" x14ac:dyDescent="0.55000000000000004"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HE464">
        <f ca="1"/>
      </c>
    </row>
    <row r="465" spans="147:225" x14ac:dyDescent="0.55000000000000004"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HE465">
        <f ca="1"/>
      </c>
    </row>
    <row r="466" spans="147:225" x14ac:dyDescent="0.55000000000000004"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HE466">
        <f ca="1"/>
      </c>
    </row>
    <row r="467" spans="147:225" x14ac:dyDescent="0.55000000000000004"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HE467">
        <f ca="1"/>
      </c>
    </row>
    <row r="468" spans="147:225" x14ac:dyDescent="0.55000000000000004"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HE468">
        <f ca="1"/>
      </c>
    </row>
    <row r="469" spans="147:225" x14ac:dyDescent="0.55000000000000004"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HE469">
        <f ca="1"/>
      </c>
    </row>
    <row r="470" spans="147:225" x14ac:dyDescent="0.55000000000000004"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HE470">
        <f ca="1"/>
      </c>
    </row>
    <row r="471" spans="147:225" x14ac:dyDescent="0.55000000000000004"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HE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HE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0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" ca="1">PcaWindow(VOL_Labels,VOL_Mode,VOL_Standardize,VOL_window,VOL_WindowEnd,"vol")</f>
      </c>
      <c r="G4" s="7"/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" ca="1">PcaModel(VOL_Labels,VOL_Mode,VOL_Standardize,VOL_window,VOL_WindowEnd,"vol")</f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G5" s="7"/>
      <c r="I5">
        <f ca="1"/>
      </c>
      <c r="J5">
        <f ca="1"/>
      </c>
      <c r="P5" t="s">
        <v>230</v>
      </c>
      <c r="BG5" s="7"/>
      <c r="BI5" cm="1">
        <f t="array" aca="1" ref="BI5:BI196" ca="1">_xlfn.DROP(_xlfn.TAKE(_xlfn.ANCHORARRAY($BP$4),,1),1)</f>
      </c>
      <c r="BJ5" s="11" cm="1">
        <f t="array" aca="1" ref="BJ5:BJ196" ca="1">PcaActual(VOL_Labels,VOL_Mode,VOL_ReconDate,_xlfn.ANCHORARRAY($LA$3),"vol")</f>
      </c>
      <c r="BK5" s="11" cm="1">
        <f t="array" aca="1" ref="BK5:BK196" ca="1">_xlfn.DROP(_xlfn.CHOOSECOLS(_xlfn.ANCHORARRAY($BP$4),2),1)</f>
      </c>
      <c r="BL5" s="11" cm="1">
        <f t="array" aca="1" ref="BL5:BL196" ca="1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96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VOL_Expiries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VOL_Expiries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42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42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42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" ca="1">PcaEigen(VOL_Labels,VOL_Mode,VOL_Standardize,VOL_window,VOL_WindowEnd,"vol")</f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42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42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49</v>
      </c>
      <c r="B20" s="6" t="s">
        <v>42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50</v>
      </c>
      <c r="B21" s="6" t="s">
        <v>42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51</v>
      </c>
      <c r="B22" s="6" t="s">
        <v>42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42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42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42</v>
      </c>
      <c r="C25" t="s">
        <v>27</v>
      </c>
      <c r="D25" s="6" t="s">
        <v>42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42</v>
      </c>
      <c r="C26" t="s">
        <v>28</v>
      </c>
      <c r="D26" s="6" t="s">
        <v>42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42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42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42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42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VOL_Expiries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VOL_Expiries</f>
      </c>
      <c r="V36" s="14" cm="1">
        <f t="array" aca="1" ref="V36:AG51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>
        <f ca="1"/>
      </c>
      <c r="W49" s="14">
        <f ca="1"/>
      </c>
      <c r="X49" s="14">
        <f ca="1"/>
      </c>
      <c r="Y49" s="14">
        <f ca="1"/>
      </c>
      <c r="Z49" s="14">
        <f ca="1"/>
      </c>
      <c r="AA49" s="14">
        <f ca="1"/>
      </c>
      <c r="AB49" s="14">
        <f ca="1"/>
      </c>
      <c r="AC49" s="14">
        <f ca="1"/>
      </c>
      <c r="AD49" s="14">
        <f ca="1"/>
      </c>
      <c r="AE49" s="14">
        <f ca="1"/>
      </c>
      <c r="AF49" s="14">
        <f ca="1"/>
      </c>
      <c r="AG49" s="14">
        <f ca="1"/>
      </c>
      <c r="AH49" s="14"/>
      <c r="AI49" s="14"/>
      <c r="AJ49" s="14"/>
      <c r="AK49" s="14"/>
      <c r="AL49" s="14"/>
      <c r="AM49" s="14"/>
      <c r="AN49" s="14"/>
      <c r="AO49" s="14"/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>
        <f ca="1"/>
      </c>
      <c r="W50" s="14">
        <f ca="1"/>
      </c>
      <c r="X50" s="14">
        <f ca="1"/>
      </c>
      <c r="Y50" s="14">
        <f ca="1"/>
      </c>
      <c r="Z50" s="14">
        <f ca="1"/>
      </c>
      <c r="AA50" s="14">
        <f ca="1"/>
      </c>
      <c r="AB50" s="14">
        <f ca="1"/>
      </c>
      <c r="AC50" s="14">
        <f ca="1"/>
      </c>
      <c r="AD50" s="14">
        <f ca="1"/>
      </c>
      <c r="AE50" s="14">
        <f ca="1"/>
      </c>
      <c r="AF50" s="14">
        <f ca="1"/>
      </c>
      <c r="AG50" s="14">
        <f ca="1"/>
      </c>
      <c r="AH50" s="14"/>
      <c r="AI50" s="14"/>
      <c r="AJ50" s="14"/>
      <c r="AK50" s="14"/>
      <c r="AL50" s="14"/>
      <c r="AM50" s="14"/>
      <c r="AN50" s="14"/>
      <c r="AO50" s="14"/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>
        <f ca="1"/>
      </c>
      <c r="W51" s="14">
        <f ca="1"/>
      </c>
      <c r="X51" s="14">
        <f ca="1"/>
      </c>
      <c r="Y51" s="14">
        <f ca="1"/>
      </c>
      <c r="Z51" s="14">
        <f ca="1"/>
      </c>
      <c r="AA51" s="14">
        <f ca="1"/>
      </c>
      <c r="AB51" s="14">
        <f ca="1"/>
      </c>
      <c r="AC51" s="14">
        <f ca="1"/>
      </c>
      <c r="AD51" s="14">
        <f ca="1"/>
      </c>
      <c r="AE51" s="14">
        <f ca="1"/>
      </c>
      <c r="AF51" s="14">
        <f ca="1"/>
      </c>
      <c r="AG51" s="14">
        <f ca="1"/>
      </c>
      <c r="AH51" s="14"/>
      <c r="AI51" s="14"/>
      <c r="AJ51" s="14"/>
      <c r="AK51" s="14"/>
      <c r="AL51" s="14"/>
      <c r="AM51" s="14"/>
      <c r="AN51" s="14"/>
      <c r="AO51" s="14"/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VOL_Expiries</f>
      </c>
      <c r="G60" s="13" cm="1">
        <f t="array" aca="1" ref="G60:R75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5">VOL_Expiries</f>
      </c>
      <c r="V60" s="13" cm="1">
        <f t="array" aca="1" ref="V60:AG75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5">VOL_Expiries</f>
      </c>
      <c r="AK60" s="13" cm="1">
        <f t="array" aca="1" ref="AK60:AV75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>
        <f ca="1"/>
      </c>
      <c r="H73" s="13">
        <f ca="1"/>
      </c>
      <c r="I73" s="13">
        <f ca="1"/>
      </c>
      <c r="J73" s="13">
        <f ca="1"/>
      </c>
      <c r="K73" s="13">
        <f ca="1"/>
      </c>
      <c r="L73" s="13">
        <f ca="1"/>
      </c>
      <c r="M73" s="13">
        <f ca="1"/>
      </c>
      <c r="N73" s="13">
        <f ca="1"/>
      </c>
      <c r="O73" s="13">
        <f ca="1"/>
      </c>
      <c r="P73" s="13">
        <f ca="1"/>
      </c>
      <c r="Q73" s="13">
        <f ca="1"/>
      </c>
      <c r="R73" s="13">
        <f ca="1"/>
      </c>
      <c r="S73" s="13"/>
      <c r="T73" s="13"/>
      <c r="U73" s="13"/>
      <c r="V73" s="13">
        <f ca="1"/>
      </c>
      <c r="W73" s="13">
        <f ca="1"/>
      </c>
      <c r="X73" s="13">
        <f ca="1"/>
      </c>
      <c r="Y73" s="13">
        <f ca="1"/>
      </c>
      <c r="Z73" s="13">
        <f ca="1"/>
      </c>
      <c r="AA73" s="13">
        <f ca="1"/>
      </c>
      <c r="AB73" s="13">
        <f ca="1"/>
      </c>
      <c r="AC73" s="13">
        <f ca="1"/>
      </c>
      <c r="AD73" s="13">
        <f ca="1"/>
      </c>
      <c r="AE73" s="13">
        <f ca="1"/>
      </c>
      <c r="AF73" s="13">
        <f ca="1"/>
      </c>
      <c r="AG73" s="13">
        <f ca="1"/>
      </c>
      <c r="AH73" s="13"/>
      <c r="AI73" s="13"/>
      <c r="AJ73" s="13"/>
      <c r="AK73" s="13">
        <f ca="1"/>
      </c>
      <c r="AL73" s="13">
        <f ca="1"/>
      </c>
      <c r="AM73" s="13">
        <f ca="1"/>
      </c>
      <c r="AN73" s="13">
        <f ca="1"/>
      </c>
      <c r="AO73" s="13">
        <f ca="1"/>
      </c>
      <c r="AP73" s="13">
        <f ca="1"/>
      </c>
      <c r="AQ73" s="13">
        <f ca="1"/>
      </c>
      <c r="AR73" s="13">
        <f ca="1"/>
      </c>
      <c r="AS73" s="13">
        <f ca="1"/>
      </c>
      <c r="AT73" s="13">
        <f ca="1"/>
      </c>
      <c r="AU73" s="13">
        <f ca="1"/>
      </c>
      <c r="AV73" s="13">
        <f ca="1"/>
      </c>
      <c r="AW73" s="13"/>
      <c r="AX73" s="13"/>
      <c r="AY73" s="13"/>
      <c r="AZ73" s="13"/>
      <c r="BA73" s="13"/>
      <c r="BB73" s="13"/>
      <c r="BC73" s="13"/>
      <c r="BD73" s="13"/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>
        <f ca="1"/>
      </c>
      <c r="H74" s="13">
        <f ca="1"/>
      </c>
      <c r="I74" s="13">
        <f ca="1"/>
      </c>
      <c r="J74" s="13">
        <f ca="1"/>
      </c>
      <c r="K74" s="13">
        <f ca="1"/>
      </c>
      <c r="L74" s="13">
        <f ca="1"/>
      </c>
      <c r="M74" s="13">
        <f ca="1"/>
      </c>
      <c r="N74" s="13">
        <f ca="1"/>
      </c>
      <c r="O74" s="13">
        <f ca="1"/>
      </c>
      <c r="P74" s="13">
        <f ca="1"/>
      </c>
      <c r="Q74" s="13">
        <f ca="1"/>
      </c>
      <c r="R74" s="13">
        <f ca="1"/>
      </c>
      <c r="S74" s="13"/>
      <c r="T74" s="13"/>
      <c r="U74" s="13"/>
      <c r="V74" s="13">
        <f ca="1"/>
      </c>
      <c r="W74" s="13">
        <f ca="1"/>
      </c>
      <c r="X74" s="13">
        <f ca="1"/>
      </c>
      <c r="Y74" s="13">
        <f ca="1"/>
      </c>
      <c r="Z74" s="13">
        <f ca="1"/>
      </c>
      <c r="AA74" s="13">
        <f ca="1"/>
      </c>
      <c r="AB74" s="13">
        <f ca="1"/>
      </c>
      <c r="AC74" s="13">
        <f ca="1"/>
      </c>
      <c r="AD74" s="13">
        <f ca="1"/>
      </c>
      <c r="AE74" s="13">
        <f ca="1"/>
      </c>
      <c r="AF74" s="13">
        <f ca="1"/>
      </c>
      <c r="AG74" s="13">
        <f ca="1"/>
      </c>
      <c r="AH74" s="13"/>
      <c r="AI74" s="13"/>
      <c r="AJ74" s="13"/>
      <c r="AK74" s="13">
        <f ca="1"/>
      </c>
      <c r="AL74" s="13">
        <f ca="1"/>
      </c>
      <c r="AM74" s="13">
        <f ca="1"/>
      </c>
      <c r="AN74" s="13">
        <f ca="1"/>
      </c>
      <c r="AO74" s="13">
        <f ca="1"/>
      </c>
      <c r="AP74" s="13">
        <f ca="1"/>
      </c>
      <c r="AQ74" s="13">
        <f ca="1"/>
      </c>
      <c r="AR74" s="13">
        <f ca="1"/>
      </c>
      <c r="AS74" s="13">
        <f ca="1"/>
      </c>
      <c r="AT74" s="13">
        <f ca="1"/>
      </c>
      <c r="AU74" s="13">
        <f ca="1"/>
      </c>
      <c r="AV74" s="13">
        <f ca="1"/>
      </c>
      <c r="AW74" s="13"/>
      <c r="AX74" s="13"/>
      <c r="AY74" s="13"/>
      <c r="AZ74" s="13"/>
      <c r="BA74" s="13"/>
      <c r="BB74" s="13"/>
      <c r="BC74" s="13"/>
      <c r="BD74" s="13"/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>
        <f ca="1"/>
      </c>
      <c r="H75" s="13">
        <f ca="1"/>
      </c>
      <c r="I75" s="13">
        <f ca="1"/>
      </c>
      <c r="J75" s="13">
        <f ca="1"/>
      </c>
      <c r="K75" s="13">
        <f ca="1"/>
      </c>
      <c r="L75" s="13">
        <f ca="1"/>
      </c>
      <c r="M75" s="13">
        <f ca="1"/>
      </c>
      <c r="N75" s="13">
        <f ca="1"/>
      </c>
      <c r="O75" s="13">
        <f ca="1"/>
      </c>
      <c r="P75" s="13">
        <f ca="1"/>
      </c>
      <c r="Q75" s="13">
        <f ca="1"/>
      </c>
      <c r="R75" s="13">
        <f ca="1"/>
      </c>
      <c r="S75" s="13"/>
      <c r="T75" s="13"/>
      <c r="U75" s="13"/>
      <c r="V75" s="13">
        <f ca="1"/>
      </c>
      <c r="W75" s="13">
        <f ca="1"/>
      </c>
      <c r="X75" s="13">
        <f ca="1"/>
      </c>
      <c r="Y75" s="13">
        <f ca="1"/>
      </c>
      <c r="Z75" s="13">
        <f ca="1"/>
      </c>
      <c r="AA75" s="13">
        <f ca="1"/>
      </c>
      <c r="AB75" s="13">
        <f ca="1"/>
      </c>
      <c r="AC75" s="13">
        <f ca="1"/>
      </c>
      <c r="AD75" s="13">
        <f ca="1"/>
      </c>
      <c r="AE75" s="13">
        <f ca="1"/>
      </c>
      <c r="AF75" s="13">
        <f ca="1"/>
      </c>
      <c r="AG75" s="13">
        <f ca="1"/>
      </c>
      <c r="AH75" s="13"/>
      <c r="AI75" s="13"/>
      <c r="AJ75" s="13"/>
      <c r="AK75" s="13">
        <f ca="1"/>
      </c>
      <c r="AL75" s="13">
        <f ca="1"/>
      </c>
      <c r="AM75" s="13">
        <f ca="1"/>
      </c>
      <c r="AN75" s="13">
        <f ca="1"/>
      </c>
      <c r="AO75" s="13">
        <f ca="1"/>
      </c>
      <c r="AP75" s="13">
        <f ca="1"/>
      </c>
      <c r="AQ75" s="13">
        <f ca="1"/>
      </c>
      <c r="AR75" s="13">
        <f ca="1"/>
      </c>
      <c r="AS75" s="13">
        <f ca="1"/>
      </c>
      <c r="AT75" s="13">
        <f ca="1"/>
      </c>
      <c r="AU75" s="13">
        <f ca="1"/>
      </c>
      <c r="AV75" s="13">
        <f ca="1"/>
      </c>
      <c r="AW75" s="13"/>
      <c r="AX75" s="13"/>
      <c r="AY75" s="13"/>
      <c r="AZ75" s="13"/>
      <c r="BA75" s="13"/>
      <c r="BB75" s="13"/>
      <c r="BC75" s="13"/>
      <c r="BD75" s="13"/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61:315" x14ac:dyDescent="0.55000000000000004"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61:315" x14ac:dyDescent="0.55000000000000004"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61:315" x14ac:dyDescent="0.55000000000000004"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61:315" x14ac:dyDescent="0.55000000000000004"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61:315" x14ac:dyDescent="0.55000000000000004"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61:315" x14ac:dyDescent="0.55000000000000004"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61:315" x14ac:dyDescent="0.55000000000000004"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61:315" x14ac:dyDescent="0.55000000000000004"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61:315" x14ac:dyDescent="0.55000000000000004"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61:315" x14ac:dyDescent="0.55000000000000004"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61:315" x14ac:dyDescent="0.55000000000000004"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61:315" x14ac:dyDescent="0.55000000000000004"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61:315" x14ac:dyDescent="0.55000000000000004"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61:315" x14ac:dyDescent="0.55000000000000004"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61:315" x14ac:dyDescent="0.55000000000000004"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61:315" x14ac:dyDescent="0.55000000000000004"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61:315" x14ac:dyDescent="0.55000000000000004"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61:315" x14ac:dyDescent="0.55000000000000004"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61:315" x14ac:dyDescent="0.55000000000000004"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61:315" x14ac:dyDescent="0.55000000000000004"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61:315" x14ac:dyDescent="0.55000000000000004"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61:315" x14ac:dyDescent="0.55000000000000004"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61:315" x14ac:dyDescent="0.55000000000000004"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61:315" x14ac:dyDescent="0.55000000000000004"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61:315" x14ac:dyDescent="0.55000000000000004"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61:315" x14ac:dyDescent="0.55000000000000004"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61:315" x14ac:dyDescent="0.55000000000000004"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61:315" x14ac:dyDescent="0.55000000000000004"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61:315" x14ac:dyDescent="0.55000000000000004"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61:315" x14ac:dyDescent="0.55000000000000004"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61:315" x14ac:dyDescent="0.55000000000000004"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61:315" x14ac:dyDescent="0.55000000000000004"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61:315" x14ac:dyDescent="0.55000000000000004"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61:315" x14ac:dyDescent="0.55000000000000004"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61:315" x14ac:dyDescent="0.55000000000000004"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61:315" x14ac:dyDescent="0.55000000000000004"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61:315" x14ac:dyDescent="0.55000000000000004"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61:315" x14ac:dyDescent="0.55000000000000004"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61:315" x14ac:dyDescent="0.55000000000000004"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61:315" x14ac:dyDescent="0.55000000000000004"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61:315" x14ac:dyDescent="0.55000000000000004"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61:315" x14ac:dyDescent="0.55000000000000004"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61:315" x14ac:dyDescent="0.55000000000000004"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61:315" x14ac:dyDescent="0.55000000000000004"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61:315" x14ac:dyDescent="0.55000000000000004"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61:315" x14ac:dyDescent="0.55000000000000004"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61:315" x14ac:dyDescent="0.55000000000000004"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61:315" x14ac:dyDescent="0.55000000000000004"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61:315" x14ac:dyDescent="0.55000000000000004"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61:315" x14ac:dyDescent="0.55000000000000004"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61:315" x14ac:dyDescent="0.55000000000000004"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61:315" x14ac:dyDescent="0.55000000000000004"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61:315" x14ac:dyDescent="0.55000000000000004"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61:315" x14ac:dyDescent="0.55000000000000004"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61:315" x14ac:dyDescent="0.55000000000000004"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61:315" x14ac:dyDescent="0.55000000000000004"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61:315" x14ac:dyDescent="0.55000000000000004"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61:315" x14ac:dyDescent="0.55000000000000004"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61:315" x14ac:dyDescent="0.55000000000000004"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61:315" x14ac:dyDescent="0.55000000000000004"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61:315" x14ac:dyDescent="0.55000000000000004"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61:315" x14ac:dyDescent="0.55000000000000004"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61:315" x14ac:dyDescent="0.55000000000000004"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61:315" x14ac:dyDescent="0.55000000000000004"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61:315" x14ac:dyDescent="0.55000000000000004"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61:315" x14ac:dyDescent="0.55000000000000004"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61:315" x14ac:dyDescent="0.55000000000000004"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61:315" x14ac:dyDescent="0.55000000000000004"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61:315" x14ac:dyDescent="0.55000000000000004"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61:315" x14ac:dyDescent="0.55000000000000004"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61:315" x14ac:dyDescent="0.55000000000000004"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61:315" x14ac:dyDescent="0.55000000000000004"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61:315" x14ac:dyDescent="0.55000000000000004"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61:315" x14ac:dyDescent="0.55000000000000004"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61:315" x14ac:dyDescent="0.55000000000000004"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61:315" x14ac:dyDescent="0.55000000000000004"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61:315" x14ac:dyDescent="0.55000000000000004"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61:315" x14ac:dyDescent="0.55000000000000004"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61:315" x14ac:dyDescent="0.55000000000000004"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61:315" x14ac:dyDescent="0.55000000000000004"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61:315" x14ac:dyDescent="0.55000000000000004">
      <c r="BI161">
        <f ca="1"/>
      </c>
      <c r="BJ161" s="11">
        <f ca="1"/>
      </c>
      <c r="BK161" s="11">
        <f ca="1"/>
      </c>
      <c r="BL161" s="11">
        <f ca="1"/>
      </c>
      <c r="BM161" s="11">
        <f ca="1"/>
      </c>
      <c r="BN161" s="11">
        <f ca="1"/>
      </c>
      <c r="LA161">
        <f ca="1"/>
      </c>
      <c r="LB161">
        <f ca="1"/>
      </c>
      <c r="LC161">
        <f ca="1"/>
      </c>
    </row>
    <row r="162" spans="61:315" x14ac:dyDescent="0.55000000000000004">
      <c r="BI162">
        <f ca="1"/>
      </c>
      <c r="BJ162" s="11">
        <f ca="1"/>
      </c>
      <c r="BK162" s="11">
        <f ca="1"/>
      </c>
      <c r="BL162" s="11">
        <f ca="1"/>
      </c>
      <c r="BM162" s="11">
        <f ca="1"/>
      </c>
      <c r="BN162" s="11">
        <f ca="1"/>
      </c>
      <c r="LA162">
        <f ca="1"/>
      </c>
      <c r="LB162">
        <f ca="1"/>
      </c>
      <c r="LC162">
        <f ca="1"/>
      </c>
    </row>
    <row r="163" spans="61:315" x14ac:dyDescent="0.55000000000000004">
      <c r="BI163">
        <f ca="1"/>
      </c>
      <c r="BJ163" s="11">
        <f ca="1"/>
      </c>
      <c r="BK163" s="11">
        <f ca="1"/>
      </c>
      <c r="BL163" s="11">
        <f ca="1"/>
      </c>
      <c r="BM163" s="11">
        <f ca="1"/>
      </c>
      <c r="BN163" s="11">
        <f ca="1"/>
      </c>
      <c r="LA163">
        <f ca="1"/>
      </c>
      <c r="LB163">
        <f ca="1"/>
      </c>
      <c r="LC163">
        <f ca="1"/>
      </c>
    </row>
    <row r="164" spans="61:315" x14ac:dyDescent="0.55000000000000004">
      <c r="BI164">
        <f ca="1"/>
      </c>
      <c r="BJ164" s="11">
        <f ca="1"/>
      </c>
      <c r="BK164" s="11">
        <f ca="1"/>
      </c>
      <c r="BL164" s="11">
        <f ca="1"/>
      </c>
      <c r="BM164" s="11">
        <f ca="1"/>
      </c>
      <c r="BN164" s="11">
        <f ca="1"/>
      </c>
      <c r="LA164">
        <f ca="1"/>
      </c>
      <c r="LB164">
        <f ca="1"/>
      </c>
      <c r="LC164">
        <f ca="1"/>
      </c>
    </row>
    <row r="165" spans="61:315" x14ac:dyDescent="0.55000000000000004">
      <c r="BI165">
        <f ca="1"/>
      </c>
      <c r="BJ165" s="11">
        <f ca="1"/>
      </c>
      <c r="BK165" s="11">
        <f ca="1"/>
      </c>
      <c r="BL165" s="11">
        <f ca="1"/>
      </c>
      <c r="BM165" s="11">
        <f ca="1"/>
      </c>
      <c r="BN165" s="11">
        <f ca="1"/>
      </c>
      <c r="LA165">
        <f ca="1"/>
      </c>
      <c r="LB165">
        <f ca="1"/>
      </c>
      <c r="LC165">
        <f ca="1"/>
      </c>
    </row>
    <row r="166" spans="61:315" x14ac:dyDescent="0.55000000000000004">
      <c r="BI166">
        <f ca="1"/>
      </c>
      <c r="BJ166" s="11">
        <f ca="1"/>
      </c>
      <c r="BK166" s="11">
        <f ca="1"/>
      </c>
      <c r="BL166" s="11">
        <f ca="1"/>
      </c>
      <c r="BM166" s="11">
        <f ca="1"/>
      </c>
      <c r="BN166" s="11">
        <f ca="1"/>
      </c>
      <c r="LA166">
        <f ca="1"/>
      </c>
      <c r="LB166">
        <f ca="1"/>
      </c>
      <c r="LC166">
        <f ca="1"/>
      </c>
    </row>
    <row r="167" spans="61:315" x14ac:dyDescent="0.55000000000000004">
      <c r="BI167">
        <f ca="1"/>
      </c>
      <c r="BJ167" s="11">
        <f ca="1"/>
      </c>
      <c r="BK167" s="11">
        <f ca="1"/>
      </c>
      <c r="BL167" s="11">
        <f ca="1"/>
      </c>
      <c r="BM167" s="11">
        <f ca="1"/>
      </c>
      <c r="BN167" s="11">
        <f ca="1"/>
      </c>
      <c r="LA167">
        <f ca="1"/>
      </c>
      <c r="LB167">
        <f ca="1"/>
      </c>
      <c r="LC167">
        <f ca="1"/>
      </c>
    </row>
    <row r="168" spans="61:315" x14ac:dyDescent="0.55000000000000004">
      <c r="BI168">
        <f ca="1"/>
      </c>
      <c r="BJ168" s="11">
        <f ca="1"/>
      </c>
      <c r="BK168" s="11">
        <f ca="1"/>
      </c>
      <c r="BL168" s="11">
        <f ca="1"/>
      </c>
      <c r="BM168" s="11">
        <f ca="1"/>
      </c>
      <c r="BN168" s="11">
        <f ca="1"/>
      </c>
      <c r="LA168">
        <f ca="1"/>
      </c>
      <c r="LB168">
        <f ca="1"/>
      </c>
      <c r="LC168">
        <f ca="1"/>
      </c>
    </row>
    <row r="169" spans="61:315" x14ac:dyDescent="0.55000000000000004">
      <c r="BI169">
        <f ca="1"/>
      </c>
      <c r="BJ169" s="11">
        <f ca="1"/>
      </c>
      <c r="BK169" s="11">
        <f ca="1"/>
      </c>
      <c r="BL169" s="11">
        <f ca="1"/>
      </c>
      <c r="BM169" s="11">
        <f ca="1"/>
      </c>
      <c r="BN169" s="11">
        <f ca="1"/>
      </c>
      <c r="LA169">
        <f ca="1"/>
      </c>
      <c r="LB169">
        <f ca="1"/>
      </c>
      <c r="LC169">
        <f ca="1"/>
      </c>
    </row>
    <row r="170" spans="61:315" x14ac:dyDescent="0.55000000000000004">
      <c r="BI170">
        <f ca="1"/>
      </c>
      <c r="BJ170" s="11">
        <f ca="1"/>
      </c>
      <c r="BK170" s="11">
        <f ca="1"/>
      </c>
      <c r="BL170" s="11">
        <f ca="1"/>
      </c>
      <c r="BM170" s="11">
        <f ca="1"/>
      </c>
      <c r="BN170" s="11">
        <f ca="1"/>
      </c>
      <c r="LA170">
        <f ca="1"/>
      </c>
      <c r="LB170">
        <f ca="1"/>
      </c>
      <c r="LC170">
        <f ca="1"/>
      </c>
    </row>
    <row r="171" spans="61:315" x14ac:dyDescent="0.55000000000000004">
      <c r="BI171">
        <f ca="1"/>
      </c>
      <c r="BJ171" s="11">
        <f ca="1"/>
      </c>
      <c r="BK171" s="11">
        <f ca="1"/>
      </c>
      <c r="BL171" s="11">
        <f ca="1"/>
      </c>
      <c r="BM171" s="11">
        <f ca="1"/>
      </c>
      <c r="BN171" s="11">
        <f ca="1"/>
      </c>
      <c r="LA171">
        <f ca="1"/>
      </c>
      <c r="LB171">
        <f ca="1"/>
      </c>
      <c r="LC171">
        <f ca="1"/>
      </c>
    </row>
    <row r="172" spans="61:315" x14ac:dyDescent="0.55000000000000004">
      <c r="BI172">
        <f ca="1"/>
      </c>
      <c r="BJ172" s="11">
        <f ca="1"/>
      </c>
      <c r="BK172" s="11">
        <f ca="1"/>
      </c>
      <c r="BL172" s="11">
        <f ca="1"/>
      </c>
      <c r="BM172" s="11">
        <f ca="1"/>
      </c>
      <c r="BN172" s="11">
        <f ca="1"/>
      </c>
      <c r="LA172">
        <f ca="1"/>
      </c>
      <c r="LB172">
        <f ca="1"/>
      </c>
      <c r="LC172">
        <f ca="1"/>
      </c>
    </row>
    <row r="173" spans="61:315" x14ac:dyDescent="0.55000000000000004">
      <c r="BI173">
        <f ca="1"/>
      </c>
      <c r="BJ173" s="11">
        <f ca="1"/>
      </c>
      <c r="BK173" s="11">
        <f ca="1"/>
      </c>
      <c r="BL173" s="11">
        <f ca="1"/>
      </c>
      <c r="BM173" s="11">
        <f ca="1"/>
      </c>
      <c r="BN173" s="11">
        <f ca="1"/>
      </c>
      <c r="LA173">
        <f ca="1"/>
      </c>
      <c r="LB173">
        <f ca="1"/>
      </c>
      <c r="LC173">
        <f ca="1"/>
      </c>
    </row>
    <row r="174" spans="61:315" x14ac:dyDescent="0.55000000000000004">
      <c r="BI174">
        <f ca="1"/>
      </c>
      <c r="BJ174" s="11">
        <f ca="1"/>
      </c>
      <c r="BK174" s="11">
        <f ca="1"/>
      </c>
      <c r="BL174" s="11">
        <f ca="1"/>
      </c>
      <c r="BM174" s="11">
        <f ca="1"/>
      </c>
      <c r="BN174" s="11">
        <f ca="1"/>
      </c>
      <c r="LA174">
        <f ca="1"/>
      </c>
      <c r="LB174">
        <f ca="1"/>
      </c>
      <c r="LC174">
        <f ca="1"/>
      </c>
    </row>
    <row r="175" spans="61:315" x14ac:dyDescent="0.55000000000000004">
      <c r="BI175">
        <f ca="1"/>
      </c>
      <c r="BJ175" s="11">
        <f ca="1"/>
      </c>
      <c r="BK175" s="11">
        <f ca="1"/>
      </c>
      <c r="BL175" s="11">
        <f ca="1"/>
      </c>
      <c r="BM175" s="11">
        <f ca="1"/>
      </c>
      <c r="BN175" s="11">
        <f ca="1"/>
      </c>
      <c r="LA175">
        <f ca="1"/>
      </c>
      <c r="LB175">
        <f ca="1"/>
      </c>
      <c r="LC175">
        <f ca="1"/>
      </c>
    </row>
    <row r="176" spans="61:315" x14ac:dyDescent="0.55000000000000004">
      <c r="BI176">
        <f ca="1"/>
      </c>
      <c r="BJ176" s="11">
        <f ca="1"/>
      </c>
      <c r="BK176" s="11">
        <f ca="1"/>
      </c>
      <c r="BL176" s="11">
        <f ca="1"/>
      </c>
      <c r="BM176" s="11">
        <f ca="1"/>
      </c>
      <c r="BN176" s="11">
        <f ca="1"/>
      </c>
      <c r="LA176">
        <f ca="1"/>
      </c>
      <c r="LB176">
        <f ca="1"/>
      </c>
      <c r="LC176">
        <f ca="1"/>
      </c>
    </row>
    <row r="177" spans="61:315" x14ac:dyDescent="0.55000000000000004">
      <c r="BI177">
        <f ca="1"/>
      </c>
      <c r="BJ177" s="11">
        <f ca="1"/>
      </c>
      <c r="BK177" s="11">
        <f ca="1"/>
      </c>
      <c r="BL177" s="11">
        <f ca="1"/>
      </c>
      <c r="BM177" s="11">
        <f ca="1"/>
      </c>
      <c r="BN177" s="11">
        <f ca="1"/>
      </c>
      <c r="LA177">
        <f ca="1"/>
      </c>
      <c r="LB177">
        <f ca="1"/>
      </c>
      <c r="LC177">
        <f ca="1"/>
      </c>
    </row>
    <row r="178" spans="61:315" x14ac:dyDescent="0.55000000000000004">
      <c r="BI178">
        <f ca="1"/>
      </c>
      <c r="BJ178" s="11">
        <f ca="1"/>
      </c>
      <c r="BK178" s="11">
        <f ca="1"/>
      </c>
      <c r="BL178" s="11">
        <f ca="1"/>
      </c>
      <c r="BM178" s="11">
        <f ca="1"/>
      </c>
      <c r="BN178" s="11">
        <f ca="1"/>
      </c>
      <c r="LA178">
        <f ca="1"/>
      </c>
      <c r="LB178">
        <f ca="1"/>
      </c>
      <c r="LC178">
        <f ca="1"/>
      </c>
    </row>
    <row r="179" spans="61:315" x14ac:dyDescent="0.55000000000000004">
      <c r="BI179">
        <f ca="1"/>
      </c>
      <c r="BJ179" s="11">
        <f ca="1"/>
      </c>
      <c r="BK179" s="11">
        <f ca="1"/>
      </c>
      <c r="BL179" s="11">
        <f ca="1"/>
      </c>
      <c r="BM179" s="11">
        <f ca="1"/>
      </c>
      <c r="BN179" s="11">
        <f ca="1"/>
      </c>
      <c r="LA179">
        <f ca="1"/>
      </c>
      <c r="LB179">
        <f ca="1"/>
      </c>
      <c r="LC179">
        <f ca="1"/>
      </c>
    </row>
    <row r="180" spans="61:315" x14ac:dyDescent="0.55000000000000004">
      <c r="BI180">
        <f ca="1"/>
      </c>
      <c r="BJ180" s="11">
        <f ca="1"/>
      </c>
      <c r="BK180" s="11">
        <f ca="1"/>
      </c>
      <c r="BL180" s="11">
        <f ca="1"/>
      </c>
      <c r="BM180" s="11">
        <f ca="1"/>
      </c>
      <c r="BN180" s="11">
        <f ca="1"/>
      </c>
      <c r="LA180">
        <f ca="1"/>
      </c>
      <c r="LB180">
        <f ca="1"/>
      </c>
      <c r="LC180">
        <f ca="1"/>
      </c>
    </row>
    <row r="181" spans="61:315" x14ac:dyDescent="0.55000000000000004">
      <c r="BI181">
        <f ca="1"/>
      </c>
      <c r="BJ181" s="11">
        <f ca="1"/>
      </c>
      <c r="BK181" s="11">
        <f ca="1"/>
      </c>
      <c r="BL181" s="11">
        <f ca="1"/>
      </c>
      <c r="BM181" s="11">
        <f ca="1"/>
      </c>
      <c r="BN181" s="11">
        <f ca="1"/>
      </c>
      <c r="LA181">
        <f ca="1"/>
      </c>
      <c r="LB181">
        <f ca="1"/>
      </c>
      <c r="LC181">
        <f ca="1"/>
      </c>
    </row>
    <row r="182" spans="61:315" x14ac:dyDescent="0.55000000000000004">
      <c r="BI182">
        <f ca="1"/>
      </c>
      <c r="BJ182" s="11">
        <f ca="1"/>
      </c>
      <c r="BK182" s="11">
        <f ca="1"/>
      </c>
      <c r="BL182" s="11">
        <f ca="1"/>
      </c>
      <c r="BM182" s="11">
        <f ca="1"/>
      </c>
      <c r="BN182" s="11">
        <f ca="1"/>
      </c>
      <c r="LA182">
        <f ca="1"/>
      </c>
      <c r="LB182">
        <f ca="1"/>
      </c>
      <c r="LC182">
        <f ca="1"/>
      </c>
    </row>
    <row r="183" spans="61:315" x14ac:dyDescent="0.55000000000000004">
      <c r="BI183">
        <f ca="1"/>
      </c>
      <c r="BJ183" s="11">
        <f ca="1"/>
      </c>
      <c r="BK183" s="11">
        <f ca="1"/>
      </c>
      <c r="BL183" s="11">
        <f ca="1"/>
      </c>
      <c r="BM183" s="11">
        <f ca="1"/>
      </c>
      <c r="BN183" s="11">
        <f ca="1"/>
      </c>
      <c r="LA183">
        <f ca="1"/>
      </c>
      <c r="LB183">
        <f ca="1"/>
      </c>
      <c r="LC183">
        <f ca="1"/>
      </c>
    </row>
    <row r="184" spans="61:315" x14ac:dyDescent="0.55000000000000004">
      <c r="BI184">
        <f ca="1"/>
      </c>
      <c r="BJ184" s="11">
        <f ca="1"/>
      </c>
      <c r="BK184" s="11">
        <f ca="1"/>
      </c>
      <c r="BL184" s="11">
        <f ca="1"/>
      </c>
      <c r="BM184" s="11">
        <f ca="1"/>
      </c>
      <c r="BN184" s="11">
        <f ca="1"/>
      </c>
      <c r="LA184">
        <f ca="1"/>
      </c>
      <c r="LB184">
        <f ca="1"/>
      </c>
      <c r="LC184">
        <f ca="1"/>
      </c>
    </row>
    <row r="185" spans="61:315" x14ac:dyDescent="0.55000000000000004">
      <c r="BI185">
        <f ca="1"/>
      </c>
      <c r="BJ185" s="11">
        <f ca="1"/>
      </c>
      <c r="BK185" s="11">
        <f ca="1"/>
      </c>
      <c r="BL185" s="11">
        <f ca="1"/>
      </c>
      <c r="BM185" s="11">
        <f ca="1"/>
      </c>
      <c r="BN185" s="11">
        <f ca="1"/>
      </c>
      <c r="LA185">
        <f ca="1"/>
      </c>
      <c r="LB185">
        <f ca="1"/>
      </c>
      <c r="LC185">
        <f ca="1"/>
      </c>
    </row>
    <row r="186" spans="61:315" x14ac:dyDescent="0.55000000000000004">
      <c r="BI186">
        <f ca="1"/>
      </c>
      <c r="BJ186" s="11">
        <f ca="1"/>
      </c>
      <c r="BK186" s="11">
        <f ca="1"/>
      </c>
      <c r="BL186" s="11">
        <f ca="1"/>
      </c>
      <c r="BM186" s="11">
        <f ca="1"/>
      </c>
      <c r="BN186" s="11">
        <f ca="1"/>
      </c>
      <c r="LA186">
        <f ca="1"/>
      </c>
      <c r="LB186">
        <f ca="1"/>
      </c>
      <c r="LC186">
        <f ca="1"/>
      </c>
    </row>
    <row r="187" spans="61:315" x14ac:dyDescent="0.55000000000000004">
      <c r="BI187">
        <f ca="1"/>
      </c>
      <c r="BJ187" s="11">
        <f ca="1"/>
      </c>
      <c r="BK187" s="11">
        <f ca="1"/>
      </c>
      <c r="BL187" s="11">
        <f ca="1"/>
      </c>
      <c r="BM187" s="11">
        <f ca="1"/>
      </c>
      <c r="BN187" s="11">
        <f ca="1"/>
      </c>
      <c r="LA187">
        <f ca="1"/>
      </c>
      <c r="LB187">
        <f ca="1"/>
      </c>
      <c r="LC187">
        <f ca="1"/>
      </c>
    </row>
    <row r="188" spans="61:315" x14ac:dyDescent="0.55000000000000004">
      <c r="BI188">
        <f ca="1"/>
      </c>
      <c r="BJ188" s="11">
        <f ca="1"/>
      </c>
      <c r="BK188" s="11">
        <f ca="1"/>
      </c>
      <c r="BL188" s="11">
        <f ca="1"/>
      </c>
      <c r="BM188" s="11">
        <f ca="1"/>
      </c>
      <c r="BN188" s="11">
        <f ca="1"/>
      </c>
      <c r="LA188">
        <f ca="1"/>
      </c>
      <c r="LB188">
        <f ca="1"/>
      </c>
      <c r="LC188">
        <f ca="1"/>
      </c>
    </row>
    <row r="189" spans="61:315" x14ac:dyDescent="0.55000000000000004">
      <c r="BI189">
        <f ca="1"/>
      </c>
      <c r="BJ189" s="11">
        <f ca="1"/>
      </c>
      <c r="BK189" s="11">
        <f ca="1"/>
      </c>
      <c r="BL189" s="11">
        <f ca="1"/>
      </c>
      <c r="BM189" s="11">
        <f ca="1"/>
      </c>
      <c r="BN189" s="11">
        <f ca="1"/>
      </c>
      <c r="LA189">
        <f ca="1"/>
      </c>
      <c r="LB189">
        <f ca="1"/>
      </c>
      <c r="LC189">
        <f ca="1"/>
      </c>
    </row>
    <row r="190" spans="61:315" x14ac:dyDescent="0.55000000000000004">
      <c r="BI190">
        <f ca="1"/>
      </c>
      <c r="BJ190" s="11">
        <f ca="1"/>
      </c>
      <c r="BK190" s="11">
        <f ca="1"/>
      </c>
      <c r="BL190" s="11">
        <f ca="1"/>
      </c>
      <c r="BM190" s="11">
        <f ca="1"/>
      </c>
      <c r="BN190" s="11">
        <f ca="1"/>
      </c>
      <c r="LA190">
        <f ca="1"/>
      </c>
      <c r="LB190">
        <f ca="1"/>
      </c>
      <c r="LC190">
        <f ca="1"/>
      </c>
    </row>
    <row r="191" spans="61:315" x14ac:dyDescent="0.55000000000000004">
      <c r="BI191">
        <f ca="1"/>
      </c>
      <c r="BJ191" s="11">
        <f ca="1"/>
      </c>
      <c r="BK191" s="11">
        <f ca="1"/>
      </c>
      <c r="BL191" s="11">
        <f ca="1"/>
      </c>
      <c r="BM191" s="11">
        <f ca="1"/>
      </c>
      <c r="BN191" s="11">
        <f ca="1"/>
      </c>
      <c r="LA191">
        <f ca="1"/>
      </c>
      <c r="LB191">
        <f ca="1"/>
      </c>
      <c r="LC191">
        <f ca="1"/>
      </c>
    </row>
    <row r="192" spans="61:315" x14ac:dyDescent="0.55000000000000004">
      <c r="BI192">
        <f ca="1"/>
      </c>
      <c r="BJ192" s="11">
        <f ca="1"/>
      </c>
      <c r="BK192" s="11">
        <f ca="1"/>
      </c>
      <c r="BL192" s="11">
        <f ca="1"/>
      </c>
      <c r="BM192" s="11">
        <f ca="1"/>
      </c>
      <c r="BN192" s="11">
        <f ca="1"/>
      </c>
      <c r="LA192">
        <f ca="1"/>
      </c>
      <c r="LB192">
        <f ca="1"/>
      </c>
      <c r="LC192">
        <f ca="1"/>
      </c>
    </row>
    <row r="193" spans="61:315" x14ac:dyDescent="0.55000000000000004">
      <c r="BI193">
        <f ca="1"/>
      </c>
      <c r="BJ193" s="11">
        <f ca="1"/>
      </c>
      <c r="BK193" s="11">
        <f ca="1"/>
      </c>
      <c r="BL193" s="11">
        <f ca="1"/>
      </c>
      <c r="BM193" s="11">
        <f ca="1"/>
      </c>
      <c r="BN193" s="11">
        <f ca="1"/>
      </c>
      <c r="LA193">
        <f ca="1"/>
      </c>
      <c r="LB193">
        <f ca="1"/>
      </c>
      <c r="LC193">
        <f ca="1"/>
      </c>
    </row>
    <row r="194" spans="61:315" x14ac:dyDescent="0.55000000000000004">
      <c r="BI194">
        <f ca="1"/>
      </c>
      <c r="BJ194" s="11">
        <f ca="1"/>
      </c>
      <c r="BK194" s="11">
        <f ca="1"/>
      </c>
      <c r="BL194" s="11">
        <f ca="1"/>
      </c>
      <c r="BM194" s="11">
        <f ca="1"/>
      </c>
      <c r="BN194" s="11">
        <f ca="1"/>
      </c>
      <c r="LA194">
        <f ca="1"/>
      </c>
      <c r="LB194">
        <f ca="1"/>
      </c>
      <c r="LC194">
        <f ca="1"/>
      </c>
    </row>
    <row r="195" spans="61:315" x14ac:dyDescent="0.55000000000000004">
      <c r="BI195">
        <f ca="1"/>
      </c>
      <c r="BJ195" s="11">
        <f ca="1"/>
      </c>
      <c r="BK195" s="11">
        <f ca="1"/>
      </c>
      <c r="BL195" s="11">
        <f ca="1"/>
      </c>
      <c r="BM195" s="11">
        <f ca="1"/>
      </c>
      <c r="BN195" s="11">
        <f ca="1"/>
      </c>
    </row>
    <row r="196" spans="61:315" x14ac:dyDescent="0.55000000000000004">
      <c r="BI196">
        <f ca="1"/>
      </c>
      <c r="BJ196" s="11">
        <f ca="1"/>
      </c>
      <c r="BK196" s="11">
        <f ca="1"/>
      </c>
      <c r="BL196" s="11">
        <f ca="1"/>
      </c>
      <c r="BM196" s="11">
        <f ca="1"/>
      </c>
      <c r="BN196" s="11">
        <f ca="1"/>
      </c>
    </row>
    <row r="197" spans="61:315" x14ac:dyDescent="0.55000000000000004">
      <c r="BJ197" s="11"/>
      <c r="BK197" s="11"/>
      <c r="BL197" s="11"/>
      <c r="BM197" s="11"/>
      <c r="BN197" s="11"/>
    </row>
    <row r="198" spans="61:315" x14ac:dyDescent="0.55000000000000004">
      <c r="BJ198" s="11"/>
      <c r="BK198" s="11"/>
      <c r="BL198" s="11"/>
      <c r="BM198" s="11"/>
      <c r="BN198" s="11"/>
    </row>
    <row r="199" spans="61:315" x14ac:dyDescent="0.55000000000000004">
      <c r="BJ199" s="11"/>
      <c r="BK199" s="11"/>
      <c r="BL199" s="11"/>
      <c r="BM199" s="11"/>
      <c r="BN199" s="11"/>
    </row>
    <row r="200" spans="61:315" x14ac:dyDescent="0.55000000000000004">
      <c r="BJ200" s="11"/>
      <c r="BK200" s="11"/>
      <c r="BL200" s="11"/>
      <c r="BM200" s="11"/>
      <c r="BN200" s="11"/>
    </row>
    <row r="201" spans="61:315" x14ac:dyDescent="0.55000000000000004">
      <c r="BJ201" s="11"/>
      <c r="BK201" s="11"/>
      <c r="BL201" s="11"/>
      <c r="BM201" s="11"/>
      <c r="BN201" s="11"/>
    </row>
    <row r="202" spans="61:315" x14ac:dyDescent="0.55000000000000004">
      <c r="BJ202" s="11"/>
      <c r="BK202" s="11"/>
      <c r="BL202" s="11"/>
      <c r="BM202" s="11"/>
      <c r="BN202" s="11"/>
    </row>
    <row r="203" spans="61:315" x14ac:dyDescent="0.55000000000000004">
      <c r="BJ203" s="11"/>
      <c r="BK203" s="11"/>
      <c r="BL203" s="11"/>
      <c r="BM203" s="11"/>
      <c r="BN203" s="11"/>
    </row>
    <row r="204" spans="61:315" x14ac:dyDescent="0.55000000000000004">
      <c r="BJ204" s="11"/>
      <c r="BK204" s="11"/>
      <c r="BL204" s="11"/>
      <c r="BM204" s="11"/>
      <c r="BN204" s="11"/>
    </row>
    <row r="205" spans="61:315" x14ac:dyDescent="0.55000000000000004">
      <c r="BJ205" s="11"/>
      <c r="BK205" s="11"/>
      <c r="BL205" s="11"/>
      <c r="BM205" s="11"/>
      <c r="BN205" s="11"/>
    </row>
    <row r="206" spans="61:315" x14ac:dyDescent="0.55000000000000004">
      <c r="BJ206" s="11"/>
      <c r="BK206" s="11"/>
      <c r="BL206" s="11"/>
      <c r="BM206" s="11"/>
      <c r="BN206" s="11"/>
    </row>
    <row r="207" spans="61:315" x14ac:dyDescent="0.55000000000000004">
      <c r="BJ207" s="11"/>
      <c r="BK207" s="11"/>
      <c r="BL207" s="11"/>
      <c r="BM207" s="11"/>
      <c r="BN207" s="11"/>
    </row>
    <row r="208" spans="61:315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17</vt:i4>
      </vt:variant>
    </vt:vector>
  </HeadingPairs>
  <TitlesOfParts>
    <vt:vector size="22" baseType="lpstr">
      <vt:lpstr>PCA</vt:lpstr>
      <vt:lpstr>PCAGrid</vt:lpstr>
      <vt:lpstr>VolPCA</vt:lpstr>
      <vt:lpstr>VolHV</vt:lpstr>
      <vt:lpstr>BOJ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PCG_ReconDate</vt:lpstr>
      <vt:lpstr>PCG_SigmaDays</vt:lpstr>
      <vt:lpstr>VHV_Days</vt:lpstr>
      <vt:lpstr>VHV_From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2026-10-25T09:54:03Z</dcterms:modified>
</cp:coreProperties>
</file>