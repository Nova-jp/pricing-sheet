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1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3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4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5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6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7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8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9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0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1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2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3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4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5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6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7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0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1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2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3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4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5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6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7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8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9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0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71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2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3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drawings/drawing4.xml" ContentType="application/vnd.openxmlformats-officedocument.drawing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drawings/drawing5.xml" ContentType="application/vnd.openxmlformats-officedocument.drawing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13_ncr:1_{CBCFCF92-62EC-413A-A40E-A208D8D84A66}" xr6:coauthVersionLast="47" xr6:coauthVersionMax="47" xr10:uidLastSave="{00000000-0000-0000-0000-000000000000}"/>
  <bookViews>
    <workbookView xWindow="-110" yWindow="-110" windowWidth="19420" windowHeight="11500" activeTab="6" xr2:uid="{F109E07F-C2B9-41F3-853A-1EF4B605D85F}"/>
  </bookViews>
  <sheets>
    <sheet name="PCA" sheetId="6" r:id="rId1"/>
    <sheet name="PCAGrid" sheetId="14" r:id="rId2"/>
    <sheet name="VolPCA" sheetId="9" r:id="rId3"/>
    <sheet name="VolHV" sheetId="10" r:id="rId4"/>
    <sheet name="BOJ" sheetId="11" r:id="rId5"/>
    <sheet name="FwdMonitor" sheetId="15" r:id="rId6"/>
    <sheet name="FutBasis" sheetId="16" r:id="rId7"/>
  </sheets>
  <functionGroups builtInGroupCount="19">
    <functionGroup name="xlwings"/>
  </functionGroups>
  <definedNames>
    <definedName name="_xlpm.a" hidden="1" xlm="1">#NAME?</definedName>
    <definedName name="_xlpm.acc" hidden="1" xlm="1">#NAME?</definedName>
    <definedName name="_xlpm.auto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e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idx" hidden="1" xlm="1">#NAME?</definedName>
    <definedName name="_xlpm.isImm" hidden="1" xlm="1">#NAME?</definedName>
    <definedName name="_xlpm.keep" hidden="1" xlm="1">#NAME?</definedName>
    <definedName name="_xlpm.lag" hidden="1" xlm="1">#NAME?</definedName>
    <definedName name="_xlpm.last" hidden="1" xlm="1">#NAME?</definedName>
    <definedName name="_xlpm.longS" hidden="1" xlm="1">#NAME?</definedName>
    <definedName name="_xlpm.m" hidden="1" xlm="1">#NAME?</definedName>
    <definedName name="_xlpm.mdl" hidden="1" xlm="1">#NAME?</definedName>
    <definedName name="_xlpm.mu" hidden="1" xlm="1">#NAME?</definedName>
    <definedName name="_xlpm.n" hidden="1" xlm="1">#NAME?</definedName>
    <definedName name="_xlpm.pc" hidden="1" xlm="1">#NAME?</definedName>
    <definedName name="_xlpm.pn" hidden="1" xlm="1">#NAME?</definedName>
    <definedName name="_xlpm.pr" hidden="1" xlm="1">#NAME?</definedName>
    <definedName name="_xlpm.q" hidden="1" xlm="1">#NAME?</definedName>
    <definedName name="_xlpm.r" hidden="1" xlm="1">#NAME?</definedName>
    <definedName name="_xlpm.s" hidden="1" xlm="1">#NAME?</definedName>
    <definedName name="_xlpm.sfx" hidden="1" xlm="1">#NAME?</definedName>
    <definedName name="_xlpm.sg" hidden="1" xlm="1">#NAME?</definedName>
    <definedName name="_xlpm.shortS" hidden="1" xlm="1">#NAME?</definedName>
    <definedName name="_xlpm.sl" hidden="1" xlm="1">#NAME?</definedName>
    <definedName name="_xlpm.t" hidden="1" xlm="1">#NAME?</definedName>
    <definedName name="_xlpm.u" hidden="1" xlm="1">#NAME?</definedName>
    <definedName name="_xlpm.v" hidden="1" xlm="1">#NAME?</definedName>
    <definedName name="_xlpm.x" hidden="1" xlm="1">#NAME?</definedName>
    <definedName name="FUT_AdjDate">FutBasis!$Z$15:$Z$54</definedName>
    <definedName name="FUT_AdjNet">FutBasis!$AB$15:$AB$54</definedName>
    <definedName name="FUT_AdjSettle">FutBasis!$AA$15:$AA$54</definedName>
    <definedName name="FUT_ChDate">_xlfn.ANCHORARRAY(FutBasis!$BA$4)</definedName>
    <definedName name="FUT_ChNet">_xlfn.ANCHORARRAY(FutBasis!$BD$4)</definedName>
    <definedName name="FUT_ChNetAdj">_xlfn.ANCHORARRAY(FutBasis!$BE$4)</definedName>
    <definedName name="FUT_ChSettle">_xlfn.ANCHORARRAY(FutBasis!$BB$4)</definedName>
    <definedName name="FUT_ChSettleAdj">_xlfn.ANCHORARRAY(FutBasis!$BC$4)</definedName>
    <definedName name="FUT_Contract">FutBasis!$B$4</definedName>
    <definedName name="FUT_Date">IF(FUT_DateIn="",MAX(FUT_HD),FUT_DateIn)</definedName>
    <definedName name="FUT_DateIn">FutBasis!$B$5</definedName>
    <definedName name="FUT_Field">FutBasis!$B$9</definedName>
    <definedName name="FUT_From">FutBasis!$B$8</definedName>
    <definedName name="FUT_H">_xlfn.ANCHORARRAY(FutBasis!$AE$3)</definedName>
    <definedName name="FUT_HD">_xlfn.DROP(INDEX(FUT_H,,1),1)</definedName>
    <definedName name="FUT_Ov1">_xlfn.ANCHORARRAY(FutBasis!$BP$4)</definedName>
    <definedName name="FUT_Ov2">_xlfn.ANCHORARRAY(FutBasis!$BQ$4)</definedName>
    <definedName name="FUT_Ov3">_xlfn.ANCHORARRAY(FutBasis!$BR$4)</definedName>
    <definedName name="FUT_Ov4">_xlfn.ANCHORARRAY(FutBasis!$BS$4)</definedName>
    <definedName name="FUT_Ov5">_xlfn.ANCHORARRAY(FutBasis!$BT$4)</definedName>
    <definedName name="FUT_Ov6">_xlfn.ANCHORARRAY(FutBasis!$BU$4)</definedName>
    <definedName name="FUT_OvBD">_xlfn.ANCHORARRAY(FutBasis!$BO$4)</definedName>
    <definedName name="FUT_Overlay">FutBasis!$B$10:$G$10</definedName>
    <definedName name="FUT_Price">FutBasis!$B$6</definedName>
    <definedName name="FUT_Repo">FutBasis!$B$7</definedName>
    <definedName name="FUT_Steps">FutBasis!$T$15:$U$34</definedName>
    <definedName name="FUT_Yields">FutBasis!$W$15:$X$34</definedName>
    <definedName name="FWM_Base">FwdMonitor!$B$4</definedName>
    <definedName name="FWM_Ch1">_xlfn.ANCHORARRAY(FwdMonitor!$GN$4)</definedName>
    <definedName name="FWM_Ch2">_xlfn.ANCHORARRAY(FwdMonitor!$GO$4)</definedName>
    <definedName name="FWM_Ch3">_xlfn.ANCHORARRAY(FwdMonitor!$GP$4)</definedName>
    <definedName name="FWM_Ch4">_xlfn.ANCHORARRAY(FwdMonitor!$GQ$4)</definedName>
    <definedName name="FWM_ChDate">_xlfn.ANCHORARRAY(FwdMonitor!$GM$4)</definedName>
    <definedName name="FWM_Cmp">FwdMonitor!$B$5</definedName>
    <definedName name="FWM_Dates">_xlfn.DROP(INDEX(FWM_HC,,1),1)</definedName>
    <definedName name="FWM_From">FwdMonitor!$B$7</definedName>
    <definedName name="FWM_HC">_xlfn.ANCHORARRAY(FwdMonitor!$AO$3)</definedName>
    <definedName name="FWM_HF">_xlfn.ANCHORARRAY(FwdMonitor!$CK$3)</definedName>
    <definedName name="FWM_HR">_xlfn.ANCHORARRAY(FwdMonitor!$EG$3)</definedName>
    <definedName name="FWM_Labels">FwdMonitor!$A$12:$A$35</definedName>
    <definedName name="FWM_Leg">_xlfn.LAMBDA(_xlpm.m,_xlpm.n,_xlpm.sfx,_xlfn.LET(_xlpm.h,CHOOSE(_xlfn.XMATCH(_xlpm.m,{"CMT","FIXED","ROLLING"}),FWM_HC,FWM_HF,FWM_HR),IF(_xlpm.n="",0,INDEX(_xlfn.DROP(_xlpm.h,1),,_xlfn.XMATCH(_xlpm.n&amp;_xlpm.sfx,_xlfn.TAKE(_xlpm.h,1))))))</definedName>
    <definedName name="FWM_Live">FwdMonitor!$B$12:$B$35</definedName>
    <definedName name="FWM_LiveOf">_xlfn.LAMBDA(_xlpm.n,IF(_xlpm.n="",0,_xlfn.XLOOKUP(_xlpm.n,FWM_Labels,FWM_Live)))</definedName>
    <definedName name="FWM_Row">_xlfn.LAMBDA(_xlpm.r,_xlpm.sfx,_xlfn.LET(_xlpm.m,INDEX(FWM_TMode,_xlpm.r),IF(_xlpm.sfx="",100,1)*(N(INDEX(FWM_TW1,_xlpm.r))*FWM_Leg(_xlpm.m,INDEX(FWM_TL1,_xlpm.r),_xlpm.sfx)+N(INDEX(FWM_TW2,_xlpm.r))*FWM_Leg(_xlpm.m,INDEX(FWM_TL2,_xlpm.r),_xlpm.sfx)+N(INDEX(FWM_TW3,_xlpm.r))*FWM_Leg(_xlpm.m,INDEX(FWM_TL3,_xlpm.r),_xlpm.sfx))))</definedName>
    <definedName name="FWM_Sigma">_xlfn.LAMBDA(_xlpm.x,_xlfn.LET(_xlpm.d,_xlfn.TAKE(_xlpm.x,-FWM_Win),SQRT(SUMSQ(_xlpm.d)/ROWS(_xlpm.d))))</definedName>
    <definedName name="FWM_TL1">FwdMonitor!$D$39:$D$48</definedName>
    <definedName name="FWM_TL2">FwdMonitor!$F$39:$F$48</definedName>
    <definedName name="FWM_TL3">FwdMonitor!$H$39:$H$48</definedName>
    <definedName name="FWM_TMode">FwdMonitor!$C$39:$C$48</definedName>
    <definedName name="FWM_TName">FwdMonitor!$B$39:$B$48</definedName>
    <definedName name="FWM_TShow">FwdMonitor!$A$39:$A$48</definedName>
    <definedName name="FWM_TW1">FwdMonitor!$E$39:$E$48</definedName>
    <definedName name="FWM_TW2">FwdMonitor!$G$39:$G$48</definedName>
    <definedName name="FWM_TW3">FwdMonitor!$I$39:$I$48</definedName>
    <definedName name="FWM_View">FwdMonitor!$B$8</definedName>
    <definedName name="FWM_Win">FwdMonitor!$B$6</definedName>
    <definedName name="PCA_Actual">_xlfn.ANCHORARRAY(PCA!$F$34)</definedName>
    <definedName name="PCA_Dn">_xlfn.ANCHORARRAY(PCA!$BY$4)</definedName>
    <definedName name="PCA_k">PCA!$B$11</definedName>
    <definedName name="PCA_L1">_xlfn.ANCHORARRAY(PCA!$T$34)</definedName>
    <definedName name="PCA_L2">_xlfn.ANCHORARRAY(PCA!$U$34)</definedName>
    <definedName name="PCA_L3">_xlfn.ANCHORARRAY(PCA!$V$34)</definedName>
    <definedName name="PCA_L4">_xlfn.ANCHORARRAY(PCA!$W$34)</definedName>
    <definedName name="PCA_L5">_xlfn.ANCHORARRAY(PCA!$X$34)</definedName>
    <definedName name="PCA_Mean">_xlfn.ANCHORARRAY(PCA!$G$34)</definedName>
    <definedName name="PCA_Mode">PCA!$B$6</definedName>
    <definedName name="PCA_Recon">_xlfn.ANCHORARRAY(PCA!$H$34)</definedName>
    <definedName name="PCA_ReconDate">PCA!$B$10</definedName>
    <definedName name="PCA_Resid">_xlfn.ANCHORARRAY(PCA!$I$34)</definedName>
    <definedName name="PCA_SDn">_xlfn.ANCHORARRAY(PCA!$CF$4)</definedName>
    <definedName name="PCA_Selected">_xlfn.ANCHORARRAY(PCA!$AB$4)</definedName>
    <definedName name="PCA_SigmaDays">PCA!$B$12</definedName>
    <definedName name="PCA_Standardize">PCA!$B$7</definedName>
    <definedName name="PCA_SUp">_xlfn.ANCHORARRAY(PCA!$CE$4)</definedName>
    <definedName name="PCA_Tenor">_xlfn.ANCHORARRAY(PCA!$E$34)</definedName>
    <definedName name="PCA_Up">_xlfn.ANCHORARRAY(PCA!$BX$4)</definedName>
    <definedName name="PCA_window">PCA!$B$5</definedName>
    <definedName name="PCA_WindowEnd">PCA!$B$4</definedName>
    <definedName name="PCG_Act1">_xlfn.ANCHORARRAY(PCAGrid!$GQ$5)</definedName>
    <definedName name="PCG_Act10">_xlfn.ANCHORARRAY(PCAGrid!$GQ$455)</definedName>
    <definedName name="PCG_Act2">_xlfn.ANCHORARRAY(PCAGrid!$GQ$55)</definedName>
    <definedName name="PCG_Act3">_xlfn.ANCHORARRAY(PCAGrid!$GQ$105)</definedName>
    <definedName name="PCG_Act4">_xlfn.ANCHORARRAY(PCAGrid!$GQ$155)</definedName>
    <definedName name="PCG_Act5">_xlfn.ANCHORARRAY(PCAGrid!$GQ$205)</definedName>
    <definedName name="PCG_Act6">_xlfn.ANCHORARRAY(PCAGrid!$GQ$255)</definedName>
    <definedName name="PCG_Act7">_xlfn.ANCHORARRAY(PCAGrid!$GQ$305)</definedName>
    <definedName name="PCG_Act8">_xlfn.ANCHORARRAY(PCAGrid!$GQ$355)</definedName>
    <definedName name="PCG_Act9">_xlfn.ANCHORARRAY(PCAGrid!$GQ$405)</definedName>
    <definedName name="PCG_Dn1">_xlfn.ANCHORARRAY(PCAGrid!$HG$5)</definedName>
    <definedName name="PCG_Dn10">_xlfn.ANCHORARRAY(PCAGrid!$HG$455)</definedName>
    <definedName name="PCG_Dn2">_xlfn.ANCHORARRAY(PCAGrid!$HG$55)</definedName>
    <definedName name="PCG_Dn3">_xlfn.ANCHORARRAY(PCAGrid!$HG$105)</definedName>
    <definedName name="PCG_Dn4">_xlfn.ANCHORARRAY(PCAGrid!$HG$155)</definedName>
    <definedName name="PCG_Dn5">_xlfn.ANCHORARRAY(PCAGrid!$HG$205)</definedName>
    <definedName name="PCG_Dn6">_xlfn.ANCHORARRAY(PCAGrid!$HG$255)</definedName>
    <definedName name="PCG_Dn7">_xlfn.ANCHORARRAY(PCAGrid!$HG$305)</definedName>
    <definedName name="PCG_Dn8">_xlfn.ANCHORARRAY(PCAGrid!$HG$355)</definedName>
    <definedName name="PCG_Dn9">_xlfn.ANCHORARRAY(PCAGrid!$HG$405)</definedName>
    <definedName name="PCG_Mean1">_xlfn.ANCHORARRAY(PCAGrid!$HD$5)</definedName>
    <definedName name="PCG_Mean10">_xlfn.ANCHORARRAY(PCAGrid!$HD$455)</definedName>
    <definedName name="PCG_Mean2">_xlfn.ANCHORARRAY(PCAGrid!$HD$55)</definedName>
    <definedName name="PCG_Mean3">_xlfn.ANCHORARRAY(PCAGrid!$HD$105)</definedName>
    <definedName name="PCG_Mean4">_xlfn.ANCHORARRAY(PCAGrid!$HD$155)</definedName>
    <definedName name="PCG_Mean5">_xlfn.ANCHORARRAY(PCAGrid!$HD$205)</definedName>
    <definedName name="PCG_Mean6">_xlfn.ANCHORARRAY(PCAGrid!$HD$255)</definedName>
    <definedName name="PCG_Mean7">_xlfn.ANCHORARRAY(PCAGrid!$HD$305)</definedName>
    <definedName name="PCG_Mean8">_xlfn.ANCHORARRAY(PCAGrid!$HD$355)</definedName>
    <definedName name="PCG_Mean9">_xlfn.ANCHORARRAY(PCAGrid!$HD$405)</definedName>
    <definedName name="PCG_R1_1">_xlfn.ANCHORARRAY(PCAGrid!$GR$5)</definedName>
    <definedName name="PCG_R1_2">_xlfn.ANCHORARRAY(PCAGrid!$GS$5)</definedName>
    <definedName name="PCG_R1_3">_xlfn.ANCHORARRAY(PCAGrid!$GT$5)</definedName>
    <definedName name="PCG_R1_4">_xlfn.ANCHORARRAY(PCAGrid!$GU$5)</definedName>
    <definedName name="PCG_R1_5">_xlfn.ANCHORARRAY(PCAGrid!$GV$5)</definedName>
    <definedName name="PCG_R10_1">_xlfn.ANCHORARRAY(PCAGrid!$GR$455)</definedName>
    <definedName name="PCG_R10_2">_xlfn.ANCHORARRAY(PCAGrid!$GS$455)</definedName>
    <definedName name="PCG_R10_3">_xlfn.ANCHORARRAY(PCAGrid!$GT$455)</definedName>
    <definedName name="PCG_R10_4">_xlfn.ANCHORARRAY(PCAGrid!$GU$455)</definedName>
    <definedName name="PCG_R10_5">_xlfn.ANCHORARRAY(PCAGrid!$GV$455)</definedName>
    <definedName name="PCG_R2_1">_xlfn.ANCHORARRAY(PCAGrid!$GR$55)</definedName>
    <definedName name="PCG_R2_2">_xlfn.ANCHORARRAY(PCAGrid!$GS$55)</definedName>
    <definedName name="PCG_R2_3">_xlfn.ANCHORARRAY(PCAGrid!$GT$55)</definedName>
    <definedName name="PCG_R2_4">_xlfn.ANCHORARRAY(PCAGrid!$GU$55)</definedName>
    <definedName name="PCG_R2_5">_xlfn.ANCHORARRAY(PCAGrid!$GV$55)</definedName>
    <definedName name="PCG_R3_1">_xlfn.ANCHORARRAY(PCAGrid!$GR$105)</definedName>
    <definedName name="PCG_R3_2">_xlfn.ANCHORARRAY(PCAGrid!$GS$105)</definedName>
    <definedName name="PCG_R3_3">_xlfn.ANCHORARRAY(PCAGrid!$GT$105)</definedName>
    <definedName name="PCG_R3_4">_xlfn.ANCHORARRAY(PCAGrid!$GU$105)</definedName>
    <definedName name="PCG_R3_5">_xlfn.ANCHORARRAY(PCAGrid!$GV$105)</definedName>
    <definedName name="PCG_R4_1">_xlfn.ANCHORARRAY(PCAGrid!$GR$155)</definedName>
    <definedName name="PCG_R4_2">_xlfn.ANCHORARRAY(PCAGrid!$GS$155)</definedName>
    <definedName name="PCG_R4_3">_xlfn.ANCHORARRAY(PCAGrid!$GT$155)</definedName>
    <definedName name="PCG_R4_4">_xlfn.ANCHORARRAY(PCAGrid!$GU$155)</definedName>
    <definedName name="PCG_R4_5">_xlfn.ANCHORARRAY(PCAGrid!$GV$155)</definedName>
    <definedName name="PCG_R5_1">_xlfn.ANCHORARRAY(PCAGrid!$GR$205)</definedName>
    <definedName name="PCG_R5_2">_xlfn.ANCHORARRAY(PCAGrid!$GS$205)</definedName>
    <definedName name="PCG_R5_3">_xlfn.ANCHORARRAY(PCAGrid!$GT$205)</definedName>
    <definedName name="PCG_R5_4">_xlfn.ANCHORARRAY(PCAGrid!$GU$205)</definedName>
    <definedName name="PCG_R5_5">_xlfn.ANCHORARRAY(PCAGrid!$GV$205)</definedName>
    <definedName name="PCG_R6_1">_xlfn.ANCHORARRAY(PCAGrid!$GR$255)</definedName>
    <definedName name="PCG_R6_2">_xlfn.ANCHORARRAY(PCAGrid!$GS$255)</definedName>
    <definedName name="PCG_R6_3">_xlfn.ANCHORARRAY(PCAGrid!$GT$255)</definedName>
    <definedName name="PCG_R6_4">_xlfn.ANCHORARRAY(PCAGrid!$GU$255)</definedName>
    <definedName name="PCG_R6_5">_xlfn.ANCHORARRAY(PCAGrid!$GV$255)</definedName>
    <definedName name="PCG_R7_1">_xlfn.ANCHORARRAY(PCAGrid!$GR$305)</definedName>
    <definedName name="PCG_R7_2">_xlfn.ANCHORARRAY(PCAGrid!$GS$305)</definedName>
    <definedName name="PCG_R7_3">_xlfn.ANCHORARRAY(PCAGrid!$GT$305)</definedName>
    <definedName name="PCG_R7_4">_xlfn.ANCHORARRAY(PCAGrid!$GU$305)</definedName>
    <definedName name="PCG_R7_5">_xlfn.ANCHORARRAY(PCAGrid!$GV$305)</definedName>
    <definedName name="PCG_R8_1">_xlfn.ANCHORARRAY(PCAGrid!$GR$355)</definedName>
    <definedName name="PCG_R8_2">_xlfn.ANCHORARRAY(PCAGrid!$GS$355)</definedName>
    <definedName name="PCG_R8_3">_xlfn.ANCHORARRAY(PCAGrid!$GT$355)</definedName>
    <definedName name="PCG_R8_4">_xlfn.ANCHORARRAY(PCAGrid!$GU$355)</definedName>
    <definedName name="PCG_R8_5">_xlfn.ANCHORARRAY(PCAGrid!$GV$355)</definedName>
    <definedName name="PCG_R9_1">_xlfn.ANCHORARRAY(PCAGrid!$GR$405)</definedName>
    <definedName name="PCG_R9_2">_xlfn.ANCHORARRAY(PCAGrid!$GS$405)</definedName>
    <definedName name="PCG_R9_3">_xlfn.ANCHORARRAY(PCAGrid!$GT$405)</definedName>
    <definedName name="PCG_R9_4">_xlfn.ANCHORARRAY(PCAGrid!$GU$405)</definedName>
    <definedName name="PCG_R9_5">_xlfn.ANCHORARRAY(PCAGrid!$GV$405)</definedName>
    <definedName name="PCG_Rec1">_xlfn.ANCHORARRAY(PCAGrid!$HE$5)</definedName>
    <definedName name="PCG_Rec10">_xlfn.ANCHORARRAY(PCAGrid!$HE$455)</definedName>
    <definedName name="PCG_Rec2">_xlfn.ANCHORARRAY(PCAGrid!$HE$55)</definedName>
    <definedName name="PCG_Rec3">_xlfn.ANCHORARRAY(PCAGrid!$HE$105)</definedName>
    <definedName name="PCG_Rec4">_xlfn.ANCHORARRAY(PCAGrid!$HE$155)</definedName>
    <definedName name="PCG_Rec5">_xlfn.ANCHORARRAY(PCAGrid!$HE$205)</definedName>
    <definedName name="PCG_Rec6">_xlfn.ANCHORARRAY(PCAGrid!$HE$255)</definedName>
    <definedName name="PCG_Rec7">_xlfn.ANCHORARRAY(PCAGrid!$HE$305)</definedName>
    <definedName name="PCG_Rec8">_xlfn.ANCHORARRAY(PCAGrid!$HE$355)</definedName>
    <definedName name="PCG_Rec9">_xlfn.ANCHORARRAY(PCAGrid!$HE$405)</definedName>
    <definedName name="PCG_ReconDate">PCAGrid!$A$4</definedName>
    <definedName name="PCG_SDn1_1">_xlfn.ANCHORARRAY(PCAGrid!$HI$5)</definedName>
    <definedName name="PCG_SDn1_2">_xlfn.ANCHORARRAY(PCAGrid!$HK$5)</definedName>
    <definedName name="PCG_SDn1_3">_xlfn.ANCHORARRAY(PCAGrid!$HM$5)</definedName>
    <definedName name="PCG_SDn1_4">_xlfn.ANCHORARRAY(PCAGrid!$HO$5)</definedName>
    <definedName name="PCG_SDn1_5">_xlfn.ANCHORARRAY(PCAGrid!$HQ$5)</definedName>
    <definedName name="PCG_SDn10_1">_xlfn.ANCHORARRAY(PCAGrid!$HI$455)</definedName>
    <definedName name="PCG_SDn10_2">_xlfn.ANCHORARRAY(PCAGrid!$HK$455)</definedName>
    <definedName name="PCG_SDn10_3">_xlfn.ANCHORARRAY(PCAGrid!$HM$455)</definedName>
    <definedName name="PCG_SDn10_4">_xlfn.ANCHORARRAY(PCAGrid!$HO$455)</definedName>
    <definedName name="PCG_SDn10_5">_xlfn.ANCHORARRAY(PCAGrid!$HQ$455)</definedName>
    <definedName name="PCG_SDn2_1">_xlfn.ANCHORARRAY(PCAGrid!$HI$55)</definedName>
    <definedName name="PCG_SDn2_2">_xlfn.ANCHORARRAY(PCAGrid!$HK$55)</definedName>
    <definedName name="PCG_SDn2_3">_xlfn.ANCHORARRAY(PCAGrid!$HM$55)</definedName>
    <definedName name="PCG_SDn2_4">_xlfn.ANCHORARRAY(PCAGrid!$HO$55)</definedName>
    <definedName name="PCG_SDn2_5">_xlfn.ANCHORARRAY(PCAGrid!$HQ$55)</definedName>
    <definedName name="PCG_SDn3_1">_xlfn.ANCHORARRAY(PCAGrid!$HI$105)</definedName>
    <definedName name="PCG_SDn3_2">_xlfn.ANCHORARRAY(PCAGrid!$HK$105)</definedName>
    <definedName name="PCG_SDn3_3">_xlfn.ANCHORARRAY(PCAGrid!$HM$105)</definedName>
    <definedName name="PCG_SDn3_4">_xlfn.ANCHORARRAY(PCAGrid!$HO$105)</definedName>
    <definedName name="PCG_SDn3_5">_xlfn.ANCHORARRAY(PCAGrid!$HQ$105)</definedName>
    <definedName name="PCG_SDn4_1">_xlfn.ANCHORARRAY(PCAGrid!$HI$155)</definedName>
    <definedName name="PCG_SDn4_2">_xlfn.ANCHORARRAY(PCAGrid!$HK$155)</definedName>
    <definedName name="PCG_SDn4_3">_xlfn.ANCHORARRAY(PCAGrid!$HM$155)</definedName>
    <definedName name="PCG_SDn4_4">_xlfn.ANCHORARRAY(PCAGrid!$HO$155)</definedName>
    <definedName name="PCG_SDn4_5">_xlfn.ANCHORARRAY(PCAGrid!$HQ$155)</definedName>
    <definedName name="PCG_SDn5_1">_xlfn.ANCHORARRAY(PCAGrid!$HI$205)</definedName>
    <definedName name="PCG_SDn5_2">_xlfn.ANCHORARRAY(PCAGrid!$HK$205)</definedName>
    <definedName name="PCG_SDn5_3">_xlfn.ANCHORARRAY(PCAGrid!$HM$205)</definedName>
    <definedName name="PCG_SDn5_4">_xlfn.ANCHORARRAY(PCAGrid!$HO$205)</definedName>
    <definedName name="PCG_SDn5_5">_xlfn.ANCHORARRAY(PCAGrid!$HQ$205)</definedName>
    <definedName name="PCG_SDn6_1">_xlfn.ANCHORARRAY(PCAGrid!$HI$255)</definedName>
    <definedName name="PCG_SDn6_2">_xlfn.ANCHORARRAY(PCAGrid!$HK$255)</definedName>
    <definedName name="PCG_SDn6_3">_xlfn.ANCHORARRAY(PCAGrid!$HM$255)</definedName>
    <definedName name="PCG_SDn6_4">_xlfn.ANCHORARRAY(PCAGrid!$HO$255)</definedName>
    <definedName name="PCG_SDn6_5">_xlfn.ANCHORARRAY(PCAGrid!$HQ$255)</definedName>
    <definedName name="PCG_SDn7_1">_xlfn.ANCHORARRAY(PCAGrid!$HI$305)</definedName>
    <definedName name="PCG_SDn7_2">_xlfn.ANCHORARRAY(PCAGrid!$HK$305)</definedName>
    <definedName name="PCG_SDn7_3">_xlfn.ANCHORARRAY(PCAGrid!$HM$305)</definedName>
    <definedName name="PCG_SDn7_4">_xlfn.ANCHORARRAY(PCAGrid!$HO$305)</definedName>
    <definedName name="PCG_SDn7_5">_xlfn.ANCHORARRAY(PCAGrid!$HQ$305)</definedName>
    <definedName name="PCG_SDn8_1">_xlfn.ANCHORARRAY(PCAGrid!$HI$355)</definedName>
    <definedName name="PCG_SDn8_2">_xlfn.ANCHORARRAY(PCAGrid!$HK$355)</definedName>
    <definedName name="PCG_SDn8_3">_xlfn.ANCHORARRAY(PCAGrid!$HM$355)</definedName>
    <definedName name="PCG_SDn8_4">_xlfn.ANCHORARRAY(PCAGrid!$HO$355)</definedName>
    <definedName name="PCG_SDn8_5">_xlfn.ANCHORARRAY(PCAGrid!$HQ$355)</definedName>
    <definedName name="PCG_SDn9_1">_xlfn.ANCHORARRAY(PCAGrid!$HI$405)</definedName>
    <definedName name="PCG_SDn9_2">_xlfn.ANCHORARRAY(PCAGrid!$HK$405)</definedName>
    <definedName name="PCG_SDn9_3">_xlfn.ANCHORARRAY(PCAGrid!$HM$405)</definedName>
    <definedName name="PCG_SDn9_4">_xlfn.ANCHORARRAY(PCAGrid!$HO$405)</definedName>
    <definedName name="PCG_SDn9_5">_xlfn.ANCHORARRAY(PCAGrid!$HQ$405)</definedName>
    <definedName name="PCG_SigmaDays">PCAGrid!$B$55</definedName>
    <definedName name="PCG_SUp1_1">_xlfn.ANCHORARRAY(PCAGrid!$HH$5)</definedName>
    <definedName name="PCG_SUp1_2">_xlfn.ANCHORARRAY(PCAGrid!$HJ$5)</definedName>
    <definedName name="PCG_SUp1_3">_xlfn.ANCHORARRAY(PCAGrid!$HL$5)</definedName>
    <definedName name="PCG_SUp1_4">_xlfn.ANCHORARRAY(PCAGrid!$HN$5)</definedName>
    <definedName name="PCG_SUp1_5">_xlfn.ANCHORARRAY(PCAGrid!$HP$5)</definedName>
    <definedName name="PCG_SUp10_1">_xlfn.ANCHORARRAY(PCAGrid!$HH$455)</definedName>
    <definedName name="PCG_SUp10_2">_xlfn.ANCHORARRAY(PCAGrid!$HJ$455)</definedName>
    <definedName name="PCG_SUp10_3">_xlfn.ANCHORARRAY(PCAGrid!$HL$455)</definedName>
    <definedName name="PCG_SUp10_4">_xlfn.ANCHORARRAY(PCAGrid!$HN$455)</definedName>
    <definedName name="PCG_SUp10_5">_xlfn.ANCHORARRAY(PCAGrid!$HP$455)</definedName>
    <definedName name="PCG_SUp2_1">_xlfn.ANCHORARRAY(PCAGrid!$HH$55)</definedName>
    <definedName name="PCG_SUp2_2">_xlfn.ANCHORARRAY(PCAGrid!$HJ$55)</definedName>
    <definedName name="PCG_SUp2_3">_xlfn.ANCHORARRAY(PCAGrid!$HL$55)</definedName>
    <definedName name="PCG_SUp2_4">_xlfn.ANCHORARRAY(PCAGrid!$HN$55)</definedName>
    <definedName name="PCG_SUp2_5">_xlfn.ANCHORARRAY(PCAGrid!$HP$55)</definedName>
    <definedName name="PCG_SUp3_1">_xlfn.ANCHORARRAY(PCAGrid!$HH$105)</definedName>
    <definedName name="PCG_SUp3_2">_xlfn.ANCHORARRAY(PCAGrid!$HJ$105)</definedName>
    <definedName name="PCG_SUp3_3">_xlfn.ANCHORARRAY(PCAGrid!$HL$105)</definedName>
    <definedName name="PCG_SUp3_4">_xlfn.ANCHORARRAY(PCAGrid!$HN$105)</definedName>
    <definedName name="PCG_SUp3_5">_xlfn.ANCHORARRAY(PCAGrid!$HP$105)</definedName>
    <definedName name="PCG_SUp4_1">_xlfn.ANCHORARRAY(PCAGrid!$HH$155)</definedName>
    <definedName name="PCG_SUp4_2">_xlfn.ANCHORARRAY(PCAGrid!$HJ$155)</definedName>
    <definedName name="PCG_SUp4_3">_xlfn.ANCHORARRAY(PCAGrid!$HL$155)</definedName>
    <definedName name="PCG_SUp4_4">_xlfn.ANCHORARRAY(PCAGrid!$HN$155)</definedName>
    <definedName name="PCG_SUp4_5">_xlfn.ANCHORARRAY(PCAGrid!$HP$155)</definedName>
    <definedName name="PCG_SUp5_1">_xlfn.ANCHORARRAY(PCAGrid!$HH$205)</definedName>
    <definedName name="PCG_SUp5_2">_xlfn.ANCHORARRAY(PCAGrid!$HJ$205)</definedName>
    <definedName name="PCG_SUp5_3">_xlfn.ANCHORARRAY(PCAGrid!$HL$205)</definedName>
    <definedName name="PCG_SUp5_4">_xlfn.ANCHORARRAY(PCAGrid!$HN$205)</definedName>
    <definedName name="PCG_SUp5_5">_xlfn.ANCHORARRAY(PCAGrid!$HP$205)</definedName>
    <definedName name="PCG_SUp6_1">_xlfn.ANCHORARRAY(PCAGrid!$HH$255)</definedName>
    <definedName name="PCG_SUp6_2">_xlfn.ANCHORARRAY(PCAGrid!$HJ$255)</definedName>
    <definedName name="PCG_SUp6_3">_xlfn.ANCHORARRAY(PCAGrid!$HL$255)</definedName>
    <definedName name="PCG_SUp6_4">_xlfn.ANCHORARRAY(PCAGrid!$HN$255)</definedName>
    <definedName name="PCG_SUp6_5">_xlfn.ANCHORARRAY(PCAGrid!$HP$255)</definedName>
    <definedName name="PCG_SUp7_1">_xlfn.ANCHORARRAY(PCAGrid!$HH$305)</definedName>
    <definedName name="PCG_SUp7_2">_xlfn.ANCHORARRAY(PCAGrid!$HJ$305)</definedName>
    <definedName name="PCG_SUp7_3">_xlfn.ANCHORARRAY(PCAGrid!$HL$305)</definedName>
    <definedName name="PCG_SUp7_4">_xlfn.ANCHORARRAY(PCAGrid!$HN$305)</definedName>
    <definedName name="PCG_SUp7_5">_xlfn.ANCHORARRAY(PCAGrid!$HP$305)</definedName>
    <definedName name="PCG_SUp8_1">_xlfn.ANCHORARRAY(PCAGrid!$HH$355)</definedName>
    <definedName name="PCG_SUp8_2">_xlfn.ANCHORARRAY(PCAGrid!$HJ$355)</definedName>
    <definedName name="PCG_SUp8_3">_xlfn.ANCHORARRAY(PCAGrid!$HL$355)</definedName>
    <definedName name="PCG_SUp8_4">_xlfn.ANCHORARRAY(PCAGrid!$HN$355)</definedName>
    <definedName name="PCG_SUp8_5">_xlfn.ANCHORARRAY(PCAGrid!$HP$355)</definedName>
    <definedName name="PCG_SUp9_1">_xlfn.ANCHORARRAY(PCAGrid!$HH$405)</definedName>
    <definedName name="PCG_SUp9_2">_xlfn.ANCHORARRAY(PCAGrid!$HJ$405)</definedName>
    <definedName name="PCG_SUp9_3">_xlfn.ANCHORARRAY(PCAGrid!$HL$405)</definedName>
    <definedName name="PCG_SUp9_4">_xlfn.ANCHORARRAY(PCAGrid!$HN$405)</definedName>
    <definedName name="PCG_SUp9_5">_xlfn.ANCHORARRAY(PCAGrid!$HP$405)</definedName>
    <definedName name="PCG_Tenor">_xlfn.ANCHORARRAY(PCAGrid!$CB$4)</definedName>
    <definedName name="PCG_Up1">_xlfn.ANCHORARRAY(PCAGrid!$HF$5)</definedName>
    <definedName name="PCG_Up10">_xlfn.ANCHORARRAY(PCAGrid!$HF$455)</definedName>
    <definedName name="PCG_Up2">_xlfn.ANCHORARRAY(PCAGrid!$HF$55)</definedName>
    <definedName name="PCG_Up3">_xlfn.ANCHORARRAY(PCAGrid!$HF$105)</definedName>
    <definedName name="PCG_Up4">_xlfn.ANCHORARRAY(PCAGrid!$HF$155)</definedName>
    <definedName name="PCG_Up5">_xlfn.ANCHORARRAY(PCAGrid!$HF$205)</definedName>
    <definedName name="PCG_Up6">_xlfn.ANCHORARRAY(PCAGrid!$HF$255)</definedName>
    <definedName name="PCG_Up7">_xlfn.ANCHORARRAY(PCAGrid!$HF$305)</definedName>
    <definedName name="PCG_Up8">_xlfn.ANCHORARRAY(PCAGrid!$HF$355)</definedName>
    <definedName name="PCG_Up9">_xlfn.ANCHORARRAY(PCAGrid!$HF$405)</definedName>
    <definedName name="PCG_V1_1">_xlfn.ANCHORARRAY(PCAGrid!$GX$5)</definedName>
    <definedName name="PCG_V1_2">_xlfn.ANCHORARRAY(PCAGrid!$GY$5)</definedName>
    <definedName name="PCG_V1_3">_xlfn.ANCHORARRAY(PCAGrid!$GZ$5)</definedName>
    <definedName name="PCG_V1_4">_xlfn.ANCHORARRAY(PCAGrid!$HA$5)</definedName>
    <definedName name="PCG_V1_5">_xlfn.ANCHORARRAY(PCAGrid!$HB$5)</definedName>
    <definedName name="PCG_V10_1">_xlfn.ANCHORARRAY(PCAGrid!$GX$455)</definedName>
    <definedName name="PCG_V10_2">_xlfn.ANCHORARRAY(PCAGrid!$GY$455)</definedName>
    <definedName name="PCG_V10_3">_xlfn.ANCHORARRAY(PCAGrid!$GZ$455)</definedName>
    <definedName name="PCG_V10_4">_xlfn.ANCHORARRAY(PCAGrid!$HA$455)</definedName>
    <definedName name="PCG_V10_5">_xlfn.ANCHORARRAY(PCAGrid!$HB$455)</definedName>
    <definedName name="PCG_V2_1">_xlfn.ANCHORARRAY(PCAGrid!$GX$55)</definedName>
    <definedName name="PCG_V2_2">_xlfn.ANCHORARRAY(PCAGrid!$GY$55)</definedName>
    <definedName name="PCG_V2_3">_xlfn.ANCHORARRAY(PCAGrid!$GZ$55)</definedName>
    <definedName name="PCG_V2_4">_xlfn.ANCHORARRAY(PCAGrid!$HA$55)</definedName>
    <definedName name="PCG_V2_5">_xlfn.ANCHORARRAY(PCAGrid!$HB$55)</definedName>
    <definedName name="PCG_V3_1">_xlfn.ANCHORARRAY(PCAGrid!$GX$105)</definedName>
    <definedName name="PCG_V3_2">_xlfn.ANCHORARRAY(PCAGrid!$GY$105)</definedName>
    <definedName name="PCG_V3_3">_xlfn.ANCHORARRAY(PCAGrid!$GZ$105)</definedName>
    <definedName name="PCG_V3_4">_xlfn.ANCHORARRAY(PCAGrid!$HA$105)</definedName>
    <definedName name="PCG_V3_5">_xlfn.ANCHORARRAY(PCAGrid!$HB$105)</definedName>
    <definedName name="PCG_V4_1">_xlfn.ANCHORARRAY(PCAGrid!$GX$155)</definedName>
    <definedName name="PCG_V4_2">_xlfn.ANCHORARRAY(PCAGrid!$GY$155)</definedName>
    <definedName name="PCG_V4_3">_xlfn.ANCHORARRAY(PCAGrid!$GZ$155)</definedName>
    <definedName name="PCG_V4_4">_xlfn.ANCHORARRAY(PCAGrid!$HA$155)</definedName>
    <definedName name="PCG_V4_5">_xlfn.ANCHORARRAY(PCAGrid!$HB$155)</definedName>
    <definedName name="PCG_V5_1">_xlfn.ANCHORARRAY(PCAGrid!$GX$205)</definedName>
    <definedName name="PCG_V5_2">_xlfn.ANCHORARRAY(PCAGrid!$GY$205)</definedName>
    <definedName name="PCG_V5_3">_xlfn.ANCHORARRAY(PCAGrid!$GZ$205)</definedName>
    <definedName name="PCG_V5_4">_xlfn.ANCHORARRAY(PCAGrid!$HA$205)</definedName>
    <definedName name="PCG_V5_5">_xlfn.ANCHORARRAY(PCAGrid!$HB$205)</definedName>
    <definedName name="PCG_V6_1">_xlfn.ANCHORARRAY(PCAGrid!$GX$255)</definedName>
    <definedName name="PCG_V6_2">_xlfn.ANCHORARRAY(PCAGrid!$GY$255)</definedName>
    <definedName name="PCG_V6_3">_xlfn.ANCHORARRAY(PCAGrid!$GZ$255)</definedName>
    <definedName name="PCG_V6_4">_xlfn.ANCHORARRAY(PCAGrid!$HA$255)</definedName>
    <definedName name="PCG_V6_5">_xlfn.ANCHORARRAY(PCAGrid!$HB$255)</definedName>
    <definedName name="PCG_V7_1">_xlfn.ANCHORARRAY(PCAGrid!$GX$305)</definedName>
    <definedName name="PCG_V7_2">_xlfn.ANCHORARRAY(PCAGrid!$GY$305)</definedName>
    <definedName name="PCG_V7_3">_xlfn.ANCHORARRAY(PCAGrid!$GZ$305)</definedName>
    <definedName name="PCG_V7_4">_xlfn.ANCHORARRAY(PCAGrid!$HA$305)</definedName>
    <definedName name="PCG_V7_5">_xlfn.ANCHORARRAY(PCAGrid!$HB$305)</definedName>
    <definedName name="PCG_V8_1">_xlfn.ANCHORARRAY(PCAGrid!$GX$355)</definedName>
    <definedName name="PCG_V8_2">_xlfn.ANCHORARRAY(PCAGrid!$GY$355)</definedName>
    <definedName name="PCG_V8_3">_xlfn.ANCHORARRAY(PCAGrid!$GZ$355)</definedName>
    <definedName name="PCG_V8_4">_xlfn.ANCHORARRAY(PCAGrid!$HA$355)</definedName>
    <definedName name="PCG_V8_5">_xlfn.ANCHORARRAY(PCAGrid!$HB$355)</definedName>
    <definedName name="PCG_V9_1">_xlfn.ANCHORARRAY(PCAGrid!$GX$405)</definedName>
    <definedName name="PCG_V9_2">_xlfn.ANCHORARRAY(PCAGrid!$GY$405)</definedName>
    <definedName name="PCG_V9_3">_xlfn.ANCHORARRAY(PCAGrid!$GZ$405)</definedName>
    <definedName name="PCG_V9_4">_xlfn.ANCHORARRAY(PCAGrid!$HA$405)</definedName>
    <definedName name="PCG_V9_5">_xlfn.ANCHORARRAY(PCAGrid!$HB$405)</definedName>
    <definedName name="VHV_ChDate">_xlfn.ANCHORARRAY(VolHV!$BF$4)</definedName>
    <definedName name="VHV_ChGap">_xlfn.ANCHORARRAY(VolHV!$BJ$4)</definedName>
    <definedName name="VHV_ChGapS">_xlfn.ANCHORARRAY(VolHV!$BK$4)</definedName>
    <definedName name="VHV_ChHV">_xlfn.ANCHORARRAY(VolHV!$BH$4)</definedName>
    <definedName name="VHV_ChHVs">_xlfn.ANCHORARRAY(VolHV!$BI$4)</definedName>
    <definedName name="VHV_ChIV">_xlfn.ANCHORARRAY(VolHV!$BG$4)</definedName>
    <definedName name="VHV_Data">_xlfn.ANCHORARRAY(VolHV!$AB$3)</definedName>
    <definedName name="VHV_Date">_xlfn.ANCHORARRAY(VolHV!$AL$4)</definedName>
    <definedName name="VHV_Days">VolHV!$B$12</definedName>
    <definedName name="VHV_From">VolHV!$B$13</definedName>
    <definedName name="VOL_Expiries">_xlfn.ANCHORARRAY(VolPCA!$JD$4)</definedName>
    <definedName name="VOL_k">VolPCA!$B$11</definedName>
    <definedName name="VOL_Labels">_xlfn.ANCHORARRAY(VolPCA!$JG$4)</definedName>
    <definedName name="VOL_Mode">VolPCA!$B$6</definedName>
    <definedName name="VOL_ReconDate">VolPCA!$B$10</definedName>
    <definedName name="VOL_Standardize">VolPCA!$B$7</definedName>
    <definedName name="VOL_Tenors">_xlfn.ANCHORARRAY(VolPCA!$JE$4)</definedName>
    <definedName name="VOL_window">VolPCA!$B$5</definedName>
    <definedName name="VOL_WindowEnd">VolPCA!$B$4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SpotForward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utBasi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FutHistory">
          <x14:argumentDescriptions count="1">
            <x14:argumentDescription index="0">Positional argument 1</x14:argumentDescription>
          </x14:argumentDescriptions>
        </x14:definedName>
        <x14:definedName name="FutOverla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Histor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PcaGridResidStd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Model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ResidStd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PcaWindow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VolHistor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X4" i="16" l="1" a="1"/>
  <c r="Q14" i="16" a="1"/>
  <c r="BG3" i="16" a="1"/>
  <c r="AE3" i="16" a="1"/>
  <c r="GQ4" i="15" a="1"/>
  <c r="GQ3" i="15" a="1"/>
  <c r="GP4" i="15" a="1"/>
  <c r="GP3" i="15" a="1"/>
  <c r="GO4" i="15" a="1"/>
  <c r="GO3" i="15" a="1"/>
  <c r="GN4" i="15" a="1"/>
  <c r="GN3" i="15" a="1"/>
  <c r="GS4" i="15" a="1"/>
  <c r="K29" i="15"/>
  <c r="K12" i="15"/>
  <c r="GE3" i="15"/>
  <c r="GJ3" i="15" s="1"/>
  <c r="GH10" i="15"/>
  <c r="GH9" i="15"/>
  <c r="GH8" i="15"/>
  <c r="GH7" i="15"/>
  <c r="GH6" i="15"/>
  <c r="GH5" i="15"/>
  <c r="GH4" i="15"/>
  <c r="GC19" i="15"/>
  <c r="GC18" i="15"/>
  <c r="GC17" i="15"/>
  <c r="GC16" i="15"/>
  <c r="GC15" i="15"/>
  <c r="GC14" i="15"/>
  <c r="GC13" i="15"/>
  <c r="GC12" i="15"/>
  <c r="GC11" i="15"/>
  <c r="GC10" i="15"/>
  <c r="GC9" i="15"/>
  <c r="GC8" i="15"/>
  <c r="GC7" i="15"/>
  <c r="GC6" i="15"/>
  <c r="GC5" i="15"/>
  <c r="GC4" i="15"/>
  <c r="O48" i="15" a="1"/>
  <c r="N48" i="15"/>
  <c r="M48" i="15" a="1"/>
  <c r="L48" i="15" a="1"/>
  <c r="K48" i="15" a="1"/>
  <c r="J48" i="15" a="1"/>
  <c r="B48" i="15"/>
  <c r="O47" i="15" a="1"/>
  <c r="N47" i="15"/>
  <c r="M47" i="15" a="1"/>
  <c r="L47" i="15" a="1"/>
  <c r="K47" i="15" a="1"/>
  <c r="J47" i="15" a="1"/>
  <c r="B47" i="15"/>
  <c r="O46" i="15" a="1"/>
  <c r="N46" i="15"/>
  <c r="M46" i="15" a="1"/>
  <c r="L46" i="15" a="1"/>
  <c r="K46" i="15" a="1"/>
  <c r="J46" i="15" a="1"/>
  <c r="B46" i="15"/>
  <c r="O45" i="15" a="1"/>
  <c r="N45" i="15"/>
  <c r="M45" i="15" a="1"/>
  <c r="L45" i="15" a="1"/>
  <c r="K45" i="15" a="1"/>
  <c r="J45" i="15" a="1"/>
  <c r="B45" i="15"/>
  <c r="B44" i="15"/>
  <c r="B43" i="15"/>
  <c r="B42" i="15"/>
  <c r="B41" i="15"/>
  <c r="B40" i="15"/>
  <c r="B39" i="15"/>
  <c r="EG3" i="15" a="1"/>
  <c r="CK3" i="15" a="1"/>
  <c r="AO3" i="15" a="1"/>
  <c r="AA3" i="15" a="1"/>
  <c r="BF17" i="9" a="1"/>
  <c r="BP4" i="9" a="1"/>
  <c r="F4" i="9" a="1"/>
  <c r="CE4" i="6" a="1"/>
  <c r="CF4" i="6" s="1" a="1"/>
  <c r="Z17" i="6" a="1"/>
  <c r="AC4" i="6" a="1"/>
  <c r="E4" i="6" a="1"/>
  <c r="AO12" i="9" a="1"/>
  <c r="HS4" i="14" a="1"/>
  <c r="HE454" i="14"/>
  <c r="HE404" i="14"/>
  <c r="HE354" i="14"/>
  <c r="HE304" i="14"/>
  <c r="HE254" i="14"/>
  <c r="HE204" i="14"/>
  <c r="HE154" i="14"/>
  <c r="HE104" i="14"/>
  <c r="HE54" i="14"/>
  <c r="HE4" i="14"/>
  <c r="AK60" i="9" a="1"/>
  <c r="V60" i="9" a="1"/>
  <c r="G60" i="9" a="1"/>
  <c r="AN12" i="9" a="1"/>
  <c r="BM5" i="9" a="1"/>
  <c r="CD4" i="14" a="1"/>
  <c r="CB4" i="14" a="1"/>
  <c r="K3" i="11" a="1"/>
  <c r="I16" i="10"/>
  <c r="I15" i="10" a="1"/>
  <c r="I14" i="10" a="1"/>
  <c r="I13" i="10"/>
  <c r="I12" i="10"/>
  <c r="I11" i="10"/>
  <c r="I10" i="10" a="1"/>
  <c r="I9" i="10" a="1"/>
  <c r="I8" i="10" a="1"/>
  <c r="I7" i="10" a="1"/>
  <c r="I6" i="10"/>
  <c r="I5" i="10"/>
  <c r="H5" i="10"/>
  <c r="G5" i="10"/>
  <c r="BB3" i="10" a="1"/>
  <c r="AU4" i="10" a="1"/>
  <c r="AT4" i="10" a="1"/>
  <c r="AS4" i="10" a="1"/>
  <c r="AB3" i="10" a="1"/>
  <c r="D7" i="10"/>
  <c r="D6" i="10"/>
  <c r="H16" i="10" s="1"/>
  <c r="D5" i="10"/>
  <c r="G16" i="10" s="1"/>
  <c r="LA3" i="9" a="1"/>
  <c r="CA4" i="6" a="1"/>
  <c r="D1" i="6" s="1" a="1"/>
  <c r="JE4" i="9" a="1"/>
  <c r="JD4" i="9" a="1"/>
  <c r="AB4" i="6" a="1"/>
  <c r="JG4" i="9" a="1"/>
  <c r="V35" i="9" a="1"/>
  <c r="G35" i="9" a="1"/>
  <c r="BS4" i="16" l="1" a="1"/>
  <c r="BR4" i="16" a="1"/>
  <c r="BU3" i="16"/>
  <c r="BT4" i="16" a="1"/>
  <c r="BR3" i="16"/>
  <c r="BS3" i="16"/>
  <c r="BP3" i="16"/>
  <c r="BU4" i="16" a="1"/>
  <c r="BQ4" i="16" a="1"/>
  <c r="BO4" i="16" a="1"/>
  <c r="BT3" i="16"/>
  <c r="BQ3" i="16"/>
  <c r="BP4" i="16" a="1"/>
  <c r="AU4" i="16" a="1"/>
  <c r="AV4" i="16" s="1" a="1"/>
  <c r="BB4" i="16" a="1"/>
  <c r="BA4" i="16" a="1"/>
  <c r="AW4" i="16" a="1"/>
  <c r="AT4" i="16" a="1"/>
  <c r="A14" i="16" a="1"/>
  <c r="M15" i="16" s="1" a="1"/>
  <c r="A13" i="16" a="1"/>
  <c r="C5" i="16" a="1"/>
  <c r="M40" i="15" a="1"/>
  <c r="M44" i="15" a="1"/>
  <c r="M42" i="15" a="1"/>
  <c r="C35" i="15" a="1"/>
  <c r="H33" i="15" a="1"/>
  <c r="M43" i="15" a="1"/>
  <c r="M41" i="15" a="1"/>
  <c r="M39" i="15" a="1"/>
  <c r="H35" i="15" a="1"/>
  <c r="H34" i="15" a="1"/>
  <c r="C34" i="15" a="1"/>
  <c r="C33" i="15" a="1"/>
  <c r="H32" i="15" a="1"/>
  <c r="C32" i="15" a="1"/>
  <c r="H31" i="15" a="1"/>
  <c r="C31" i="15" a="1"/>
  <c r="H30" i="15" a="1"/>
  <c r="C30" i="15" a="1"/>
  <c r="H29" i="15" a="1"/>
  <c r="C29" i="15" a="1"/>
  <c r="H27" i="15" a="1"/>
  <c r="C27" i="15" a="1"/>
  <c r="H26" i="15" a="1"/>
  <c r="C26" i="15" a="1"/>
  <c r="H25" i="15" a="1"/>
  <c r="C25" i="15" a="1"/>
  <c r="H24" i="15" a="1"/>
  <c r="C24" i="15" a="1"/>
  <c r="H23" i="15" a="1"/>
  <c r="C23" i="15" a="1"/>
  <c r="H22" i="15" a="1"/>
  <c r="C22" i="15" a="1"/>
  <c r="H21" i="15" a="1"/>
  <c r="C21" i="15" a="1"/>
  <c r="H20" i="15" a="1"/>
  <c r="C20" i="15" a="1"/>
  <c r="H19" i="15" a="1"/>
  <c r="C19" i="15" a="1"/>
  <c r="H18" i="15" a="1"/>
  <c r="C18" i="15" a="1"/>
  <c r="H17" i="15" a="1"/>
  <c r="C17" i="15" a="1"/>
  <c r="C13" i="15" a="1"/>
  <c r="GM4" i="15" a="1"/>
  <c r="H16" i="15" a="1"/>
  <c r="C16" i="15" a="1"/>
  <c r="H15" i="15" a="1"/>
  <c r="C15" i="15" a="1"/>
  <c r="H14" i="15" a="1"/>
  <c r="C14" i="15" a="1"/>
  <c r="H13" i="15" a="1"/>
  <c r="H12" i="15" a="1"/>
  <c r="C12" i="15" a="1"/>
  <c r="AF3" i="15" a="1"/>
  <c r="GT4" i="15" s="1" a="1"/>
  <c r="D1" i="15" a="1"/>
  <c r="P3" i="11" a="1"/>
  <c r="D1" i="11" a="1"/>
  <c r="D1" i="14" a="1"/>
  <c r="CL4" i="14" a="1"/>
  <c r="A6" i="14" s="1"/>
  <c r="CI4" i="14" a="1"/>
  <c r="CJ4" i="14" a="1"/>
  <c r="HR455" i="14" a="1"/>
  <c r="HP455" i="14" a="1"/>
  <c r="HN455" i="14" a="1"/>
  <c r="HL455" i="14" a="1"/>
  <c r="HJ455" i="14" a="1"/>
  <c r="HH455" i="14" a="1"/>
  <c r="HR405" i="14" a="1"/>
  <c r="HP405" i="14" a="1"/>
  <c r="HN405" i="14" a="1"/>
  <c r="HL405" i="14" a="1"/>
  <c r="HJ405" i="14" a="1"/>
  <c r="HH405" i="14" a="1"/>
  <c r="HR355" i="14" a="1"/>
  <c r="HP355" i="14" a="1"/>
  <c r="HN355" i="14" a="1"/>
  <c r="HL355" i="14" a="1"/>
  <c r="HJ355" i="14" a="1"/>
  <c r="HH355" i="14" a="1"/>
  <c r="HR305" i="14" a="1"/>
  <c r="HP305" i="14" a="1"/>
  <c r="HN305" i="14" a="1"/>
  <c r="HL305" i="14" a="1"/>
  <c r="HJ305" i="14" a="1"/>
  <c r="HH305" i="14" a="1"/>
  <c r="HR255" i="14" a="1"/>
  <c r="HL5" i="14" a="1"/>
  <c r="HH5" i="14" a="1"/>
  <c r="HP255" i="14" a="1"/>
  <c r="HN255" i="14" a="1"/>
  <c r="HL255" i="14" a="1"/>
  <c r="HJ255" i="14" a="1"/>
  <c r="HH255" i="14" a="1"/>
  <c r="HR205" i="14" a="1"/>
  <c r="HP205" i="14" a="1"/>
  <c r="HN205" i="14" a="1"/>
  <c r="HL205" i="14" a="1"/>
  <c r="HJ205" i="14" a="1"/>
  <c r="HH205" i="14" a="1"/>
  <c r="HR155" i="14" a="1"/>
  <c r="HP155" i="14" a="1"/>
  <c r="HN155" i="14" a="1"/>
  <c r="HL155" i="14" a="1"/>
  <c r="HJ155" i="14" a="1"/>
  <c r="HH155" i="14" a="1"/>
  <c r="HR105" i="14" a="1"/>
  <c r="HP105" i="14" a="1"/>
  <c r="HN105" i="14" a="1"/>
  <c r="HL105" i="14" a="1"/>
  <c r="HJ105" i="14" a="1"/>
  <c r="HH105" i="14" a="1"/>
  <c r="HR55" i="14" a="1"/>
  <c r="HP55" i="14" a="1"/>
  <c r="HN55" i="14" a="1"/>
  <c r="HL55" i="14" a="1"/>
  <c r="HJ55" i="14" a="1"/>
  <c r="HH55" i="14" a="1"/>
  <c r="HR5" i="14" a="1"/>
  <c r="HP5" i="14" a="1"/>
  <c r="HN5" i="14" a="1"/>
  <c r="HJ5" i="14" a="1"/>
  <c r="CO4" i="14" a="1"/>
  <c r="H4" i="6" a="1"/>
  <c r="F34" i="6" a="1"/>
  <c r="BJ5" i="9" a="1"/>
  <c r="I4" i="9" a="1"/>
  <c r="D1" i="9" a="1"/>
  <c r="G8" i="10" a="1"/>
  <c r="J8" i="10" s="1" a="1"/>
  <c r="D1" i="10" a="1"/>
  <c r="H8" i="10" a="1"/>
  <c r="AN4" i="10" a="1"/>
  <c r="AR4" i="10" a="1"/>
  <c r="AQ4" i="10" a="1"/>
  <c r="AP4" i="10" a="1"/>
  <c r="AO4" i="10" a="1"/>
  <c r="AM4" i="10" a="1"/>
  <c r="AL4" i="10" a="1"/>
  <c r="AJ60" i="9" a="1"/>
  <c r="F36" i="9" a="1"/>
  <c r="U60" i="9" a="1"/>
  <c r="U12" i="9" a="1"/>
  <c r="U36" i="9" a="1"/>
  <c r="AK59" i="9" a="1"/>
  <c r="F60" i="9" a="1"/>
  <c r="F12" i="9" a="1"/>
  <c r="V59" i="9" a="1"/>
  <c r="G59" i="9" a="1"/>
  <c r="G11" i="9" a="1"/>
  <c r="V11" i="9" a="1"/>
  <c r="AY4" i="16" l="1" a="1"/>
  <c r="BD4" i="16" a="1"/>
  <c r="BC4" i="16" a="1"/>
  <c r="B18" i="15" a="1"/>
  <c r="D18" i="15" s="1"/>
  <c r="I18" i="15" s="1"/>
  <c r="B34" i="15" a="1"/>
  <c r="B14" i="15" a="1"/>
  <c r="D14" i="15" s="1"/>
  <c r="I14" i="15" s="1"/>
  <c r="B17" i="15" a="1"/>
  <c r="D17" i="15" s="1"/>
  <c r="I17" i="15" s="1"/>
  <c r="B19" i="15" a="1"/>
  <c r="B21" i="15" a="1"/>
  <c r="D21" i="15" s="1"/>
  <c r="I21" i="15" s="1"/>
  <c r="B22" i="15" a="1"/>
  <c r="D22" i="15" s="1"/>
  <c r="I22" i="15" s="1"/>
  <c r="B23" i="15" a="1"/>
  <c r="D23" i="15" s="1"/>
  <c r="I23" i="15" s="1"/>
  <c r="B24" i="15" a="1"/>
  <c r="D24" i="15" s="1"/>
  <c r="I24" i="15" s="1"/>
  <c r="B25" i="15" a="1"/>
  <c r="B26" i="15" a="1"/>
  <c r="B27" i="15" a="1"/>
  <c r="B29" i="15" a="1"/>
  <c r="B31" i="15" a="1"/>
  <c r="B32" i="15" a="1"/>
  <c r="D32" i="15" s="1"/>
  <c r="I32" i="15" s="1"/>
  <c r="B33" i="15" a="1"/>
  <c r="K34" i="15" s="1"/>
  <c r="B35" i="15" a="1"/>
  <c r="B13" i="15" a="1"/>
  <c r="B12" i="15" a="1"/>
  <c r="B15" i="15" a="1"/>
  <c r="B16" i="15" a="1"/>
  <c r="D16" i="15" s="1"/>
  <c r="I16" i="15" s="1"/>
  <c r="B20" i="15" a="1"/>
  <c r="D20" i="15" s="1"/>
  <c r="I20" i="15" s="1"/>
  <c r="B30" i="15" a="1"/>
  <c r="D34" i="15"/>
  <c r="I34" i="15" s="1"/>
  <c r="D33" i="15"/>
  <c r="I33" i="15" s="1"/>
  <c r="D31" i="15"/>
  <c r="I31" i="15" s="1"/>
  <c r="D29" i="15"/>
  <c r="I29" i="15" s="1"/>
  <c r="D27" i="15"/>
  <c r="I27" i="15" s="1"/>
  <c r="D26" i="15"/>
  <c r="I26" i="15" s="1"/>
  <c r="D25" i="15"/>
  <c r="I25" i="15" s="1"/>
  <c r="E34" i="15" a="1"/>
  <c r="J34" i="15" s="1"/>
  <c r="F33" i="15" a="1"/>
  <c r="F32" i="15" a="1"/>
  <c r="F31" i="15" a="1"/>
  <c r="F35" i="15" a="1"/>
  <c r="E35" i="15" a="1"/>
  <c r="J35" i="15" s="1"/>
  <c r="G34" i="15" a="1"/>
  <c r="G33" i="15" a="1"/>
  <c r="E31" i="15" a="1"/>
  <c r="J31" i="15" s="1"/>
  <c r="G30" i="15" a="1"/>
  <c r="F30" i="15" a="1"/>
  <c r="E30" i="15" a="1"/>
  <c r="J30" i="15" s="1"/>
  <c r="G29" i="15" a="1"/>
  <c r="F29" i="15" a="1"/>
  <c r="E29" i="15" a="1"/>
  <c r="J29" i="15" s="1"/>
  <c r="G27" i="15" a="1"/>
  <c r="F27" i="15" a="1"/>
  <c r="E27" i="15" a="1"/>
  <c r="J27" i="15" s="1"/>
  <c r="G26" i="15" a="1"/>
  <c r="F26" i="15" a="1"/>
  <c r="E26" i="15" a="1"/>
  <c r="J26" i="15" s="1"/>
  <c r="G25" i="15" a="1"/>
  <c r="F25" i="15" a="1"/>
  <c r="E25" i="15" a="1"/>
  <c r="J25" i="15" s="1"/>
  <c r="G24" i="15" a="1"/>
  <c r="F24" i="15" a="1"/>
  <c r="E24" i="15" a="1"/>
  <c r="J24" i="15" s="1"/>
  <c r="G23" i="15" a="1"/>
  <c r="F23" i="15" a="1"/>
  <c r="E23" i="15" a="1"/>
  <c r="J23" i="15" s="1"/>
  <c r="G22" i="15" a="1"/>
  <c r="F22" i="15" a="1"/>
  <c r="E22" i="15" a="1"/>
  <c r="J22" i="15" s="1"/>
  <c r="G21" i="15" a="1"/>
  <c r="F21" i="15" a="1"/>
  <c r="E21" i="15" a="1"/>
  <c r="J21" i="15" s="1"/>
  <c r="G20" i="15" a="1"/>
  <c r="F20" i="15" a="1"/>
  <c r="E20" i="15" a="1"/>
  <c r="J20" i="15" s="1"/>
  <c r="G19" i="15" a="1"/>
  <c r="F19" i="15" a="1"/>
  <c r="E19" i="15" a="1"/>
  <c r="J19" i="15" s="1"/>
  <c r="F17" i="15" a="1"/>
  <c r="E17" i="15" a="1"/>
  <c r="J17" i="15" s="1"/>
  <c r="F16" i="15" a="1"/>
  <c r="E16" i="15" a="1"/>
  <c r="J16" i="15" s="1"/>
  <c r="G14" i="15" a="1"/>
  <c r="F14" i="15" a="1"/>
  <c r="E14" i="15" a="1"/>
  <c r="J14" i="15" s="1"/>
  <c r="E13" i="15" a="1"/>
  <c r="J13" i="15" s="1"/>
  <c r="F34" i="15" a="1"/>
  <c r="E33" i="15" a="1"/>
  <c r="J33" i="15" s="1"/>
  <c r="G32" i="15" a="1"/>
  <c r="E32" i="15" a="1"/>
  <c r="J32" i="15" s="1"/>
  <c r="G31" i="15" a="1"/>
  <c r="GI10" i="15"/>
  <c r="GI9" i="15"/>
  <c r="GI8" i="15"/>
  <c r="GI7" i="15"/>
  <c r="GI6" i="15"/>
  <c r="GI5" i="15"/>
  <c r="GI4" i="15"/>
  <c r="GD19" i="15"/>
  <c r="GD18" i="15"/>
  <c r="GD17" i="15"/>
  <c r="GD16" i="15"/>
  <c r="GD15" i="15"/>
  <c r="GD14" i="15"/>
  <c r="GD13" i="15"/>
  <c r="J41" i="15" a="1"/>
  <c r="J39" i="15" a="1"/>
  <c r="GD9" i="15"/>
  <c r="GD8" i="15"/>
  <c r="GD7" i="15"/>
  <c r="GD6" i="15"/>
  <c r="GD5" i="15"/>
  <c r="J42" i="15" a="1"/>
  <c r="J44" i="15" a="1"/>
  <c r="J40" i="15" a="1"/>
  <c r="J43" i="15" a="1"/>
  <c r="B8" i="11" a="1"/>
  <c r="B10" i="11" a="1"/>
  <c r="B14" i="11" a="1"/>
  <c r="C8" i="11" a="1"/>
  <c r="C9" i="11" a="1"/>
  <c r="C10" i="11" a="1"/>
  <c r="E10" i="11" a="1"/>
  <c r="B11" i="11" a="1"/>
  <c r="C11" i="11" a="1"/>
  <c r="E11" i="11" a="1"/>
  <c r="B12" i="11" a="1"/>
  <c r="C12" i="11" a="1"/>
  <c r="E12" i="11" a="1"/>
  <c r="B13" i="11" a="1"/>
  <c r="C13" i="11" a="1"/>
  <c r="E13" i="11" a="1"/>
  <c r="C14" i="11" a="1"/>
  <c r="E14" i="11" a="1"/>
  <c r="B15" i="11" a="1"/>
  <c r="C15" i="11" a="1"/>
  <c r="E15" i="11" a="1"/>
  <c r="B16" i="11" a="1"/>
  <c r="C16" i="11" a="1"/>
  <c r="E16" i="11" a="1"/>
  <c r="B17" i="11" a="1"/>
  <c r="C17" i="11" a="1"/>
  <c r="B25" i="11" a="1"/>
  <c r="D25" i="11" s="1"/>
  <c r="B27" i="11" a="1"/>
  <c r="D27" i="11" s="1"/>
  <c r="B28" i="11" a="1"/>
  <c r="D28" i="11" s="1"/>
  <c r="B29" i="11" a="1"/>
  <c r="D29" i="11" s="1"/>
  <c r="F8" i="11" a="1"/>
  <c r="E8" i="11" a="1"/>
  <c r="B9" i="11" a="1"/>
  <c r="D9" i="11" s="1"/>
  <c r="E9" i="11" a="1"/>
  <c r="C22" i="11" s="1" a="1"/>
  <c r="D22" i="11" s="1"/>
  <c r="E17" i="11" a="1"/>
  <c r="B22" i="11" a="1"/>
  <c r="B23" i="11" a="1"/>
  <c r="D23" i="11" s="1"/>
  <c r="B24" i="11" a="1"/>
  <c r="D24" i="11" s="1"/>
  <c r="B26" i="11" a="1"/>
  <c r="D26" i="11" s="1"/>
  <c r="B30" i="11" a="1"/>
  <c r="D30" i="11" s="1"/>
  <c r="B31" i="11" a="1"/>
  <c r="D31" i="11" s="1"/>
  <c r="B32" i="11" a="1"/>
  <c r="D32" i="11" s="1"/>
  <c r="B33" i="11" a="1"/>
  <c r="D33" i="11" s="1"/>
  <c r="B34" i="11" a="1"/>
  <c r="D34" i="11" s="1"/>
  <c r="B3" i="11" a="1"/>
  <c r="HK405" i="14" a="1"/>
  <c r="HM155" i="14" a="1"/>
  <c r="HK155" i="14" a="1"/>
  <c r="HI155" i="14" a="1"/>
  <c r="HQ105" i="14" a="1"/>
  <c r="HO105" i="14" a="1"/>
  <c r="HM105" i="14" a="1"/>
  <c r="HK105" i="14" a="1"/>
  <c r="HI105" i="14" a="1"/>
  <c r="HK5" i="14" a="1"/>
  <c r="HO455" i="14" a="1"/>
  <c r="HK455" i="14" a="1"/>
  <c r="HQ405" i="14" a="1"/>
  <c r="HQ355" i="14" a="1"/>
  <c r="HK355" i="14" a="1"/>
  <c r="HQ305" i="14" a="1"/>
  <c r="HK305" i="14" a="1"/>
  <c r="HM5" i="14" a="1"/>
  <c r="HO255" i="14" a="1"/>
  <c r="HI255" i="14" a="1"/>
  <c r="HM205" i="14" a="1"/>
  <c r="HO155" i="14" a="1"/>
  <c r="HQ55" i="14" a="1"/>
  <c r="HO55" i="14" a="1"/>
  <c r="HM55" i="14" a="1"/>
  <c r="HK55" i="14" a="1"/>
  <c r="HI55" i="14" a="1"/>
  <c r="HQ5" i="14" a="1"/>
  <c r="HO5" i="14" a="1"/>
  <c r="HM455" i="14" a="1"/>
  <c r="HM405" i="14" a="1"/>
  <c r="HO355" i="14" a="1"/>
  <c r="HI355" i="14" a="1"/>
  <c r="HM305" i="14" a="1"/>
  <c r="HI5" i="14" a="1"/>
  <c r="HM255" i="14" a="1"/>
  <c r="HO205" i="14" a="1"/>
  <c r="HI205" i="14" a="1"/>
  <c r="HQ455" i="14" a="1"/>
  <c r="HI455" i="14" a="1"/>
  <c r="HO405" i="14" a="1"/>
  <c r="HI405" i="14" a="1"/>
  <c r="HM355" i="14" a="1"/>
  <c r="HO305" i="14" a="1"/>
  <c r="HI305" i="14" a="1"/>
  <c r="HQ255" i="14" a="1"/>
  <c r="HK255" i="14" a="1"/>
  <c r="HQ205" i="14" a="1"/>
  <c r="HK205" i="14" a="1"/>
  <c r="HQ155" i="14" a="1"/>
  <c r="BX4" i="6" a="1"/>
  <c r="V34" i="6" a="1"/>
  <c r="T34" i="6" a="1"/>
  <c r="X34" i="6" a="1"/>
  <c r="W34" i="6" a="1"/>
  <c r="BY4" i="6" a="1"/>
  <c r="U34" i="6" a="1"/>
  <c r="EQ4" i="14" a="1"/>
  <c r="EQ404" i="14" a="1"/>
  <c r="EQ454" i="14" a="1"/>
  <c r="EQ54" i="14" a="1"/>
  <c r="EQ204" i="14" a="1"/>
  <c r="EQ254" i="14" a="1"/>
  <c r="EQ104" i="14" a="1"/>
  <c r="EQ154" i="14" a="1"/>
  <c r="EQ304" i="14" a="1"/>
  <c r="EQ354" i="14" a="1"/>
  <c r="GQ5" i="14" a="1"/>
  <c r="GQ55" i="14" a="1"/>
  <c r="GQ405" i="14" a="1"/>
  <c r="GQ205" i="14" a="1"/>
  <c r="GQ255" i="14" a="1"/>
  <c r="GQ155" i="14" a="1"/>
  <c r="GQ305" i="14" a="1"/>
  <c r="GQ355" i="14" a="1"/>
  <c r="GQ105" i="14" a="1"/>
  <c r="GQ455" i="14" a="1"/>
  <c r="E34" i="6" a="1"/>
  <c r="S34" i="6" s="1" a="1"/>
  <c r="G34" i="6" a="1"/>
  <c r="M34" i="6" a="1"/>
  <c r="L34" i="6" a="1"/>
  <c r="Q34" i="6" s="1" a="1"/>
  <c r="AW4" i="10" a="1"/>
  <c r="G9" i="10" a="1"/>
  <c r="G12" i="10" s="1"/>
  <c r="H7" i="10" a="1"/>
  <c r="H15" i="10" a="1"/>
  <c r="AX4" i="10" a="1"/>
  <c r="G10" i="10" a="1"/>
  <c r="AV4" i="10" a="1"/>
  <c r="G7" i="10" a="1"/>
  <c r="G15" i="10" s="1" a="1"/>
  <c r="BF4" i="10" a="1"/>
  <c r="H6" i="10"/>
  <c r="G6" i="10"/>
  <c r="J6" i="10"/>
  <c r="H9" i="10" a="1"/>
  <c r="H12" i="10" s="1"/>
  <c r="H10" i="10" a="1"/>
  <c r="BL5" i="9" a="1"/>
  <c r="BK5" i="9" a="1"/>
  <c r="BI5" i="9" a="1"/>
  <c r="AJ12" i="9" a="1"/>
  <c r="AK12" i="9" a="1"/>
  <c r="BE4" i="16" l="1" a="1"/>
  <c r="K16" i="15"/>
  <c r="GD11" i="15"/>
  <c r="D19" i="15"/>
  <c r="I19" i="15" s="1"/>
  <c r="G35" i="15" a="1"/>
  <c r="D35" i="15"/>
  <c r="I35" i="15" s="1"/>
  <c r="D13" i="15"/>
  <c r="I13" i="15" s="1"/>
  <c r="G13" i="15" a="1"/>
  <c r="K13" i="15"/>
  <c r="GD4" i="15"/>
  <c r="D12" i="15"/>
  <c r="I12" i="15" s="1"/>
  <c r="G12" i="15" a="1"/>
  <c r="E12" i="15" a="1"/>
  <c r="J12" i="15" s="1"/>
  <c r="F12" i="15" a="1"/>
  <c r="D15" i="15"/>
  <c r="I15" i="15" s="1"/>
  <c r="G15" i="15" a="1"/>
  <c r="F15" i="15" a="1"/>
  <c r="E15" i="15" a="1"/>
  <c r="J15" i="15" s="1"/>
  <c r="K30" i="15"/>
  <c r="K35" i="15"/>
  <c r="K22" i="15"/>
  <c r="K24" i="15"/>
  <c r="K26" i="15"/>
  <c r="K32" i="15"/>
  <c r="K15" i="15"/>
  <c r="K20" i="15"/>
  <c r="K23" i="15"/>
  <c r="K25" i="15"/>
  <c r="K27" i="15"/>
  <c r="K33" i="15"/>
  <c r="K19" i="15"/>
  <c r="G18" i="15" a="1"/>
  <c r="F18" i="15" a="1"/>
  <c r="E18" i="15" a="1"/>
  <c r="J18" i="15" s="1"/>
  <c r="GD10" i="15"/>
  <c r="K18" i="15"/>
  <c r="G17" i="15" a="1"/>
  <c r="K14" i="15"/>
  <c r="F13" i="15" a="1"/>
  <c r="K17" i="15"/>
  <c r="G16" i="15" a="1"/>
  <c r="K21" i="15"/>
  <c r="GD12" i="15"/>
  <c r="K31" i="15"/>
  <c r="D30" i="15"/>
  <c r="I30" i="15" s="1"/>
  <c r="L41" i="15" a="1"/>
  <c r="O41" i="15" a="1"/>
  <c r="K41" i="15" a="1"/>
  <c r="N41" i="15" s="1"/>
  <c r="K39" i="15" a="1"/>
  <c r="N39" i="15" s="1"/>
  <c r="O39" i="15" a="1"/>
  <c r="L39" i="15" a="1"/>
  <c r="L42" i="15" a="1"/>
  <c r="O42" i="15" a="1"/>
  <c r="K42" i="15" a="1"/>
  <c r="N42" i="15" s="1"/>
  <c r="O44" i="15" a="1"/>
  <c r="L44" i="15" a="1"/>
  <c r="K44" i="15" a="1"/>
  <c r="N44" i="15" s="1"/>
  <c r="L40" i="15" a="1"/>
  <c r="K40" i="15" a="1"/>
  <c r="N40" i="15" s="1"/>
  <c r="O40" i="15" a="1"/>
  <c r="GJ9" i="15"/>
  <c r="GK9" i="15"/>
  <c r="GJ8" i="15"/>
  <c r="GK8" i="15"/>
  <c r="GJ5" i="15"/>
  <c r="GK5" i="15"/>
  <c r="GJ4" i="15"/>
  <c r="GK4" i="15"/>
  <c r="GE19" i="15"/>
  <c r="GF19" i="15"/>
  <c r="GF18" i="15"/>
  <c r="GE18" i="15"/>
  <c r="GF17" i="15"/>
  <c r="GE17" i="15"/>
  <c r="GF16" i="15"/>
  <c r="GE16" i="15"/>
  <c r="GE15" i="15"/>
  <c r="GF15" i="15"/>
  <c r="GF14" i="15"/>
  <c r="GE14" i="15"/>
  <c r="GE13" i="15"/>
  <c r="GF13" i="15"/>
  <c r="GE12" i="15"/>
  <c r="GF12" i="15"/>
  <c r="GE11" i="15"/>
  <c r="GF11" i="15"/>
  <c r="GJ10" i="15"/>
  <c r="GK10" i="15"/>
  <c r="GE6" i="15"/>
  <c r="GF6" i="15"/>
  <c r="GK7" i="15"/>
  <c r="GJ7" i="15"/>
  <c r="GJ6" i="15"/>
  <c r="GK6" i="15"/>
  <c r="O43" i="15" a="1"/>
  <c r="K43" i="15" a="1"/>
  <c r="N43" i="15" s="1"/>
  <c r="L43" i="15" a="1"/>
  <c r="GF4" i="15"/>
  <c r="GE4" i="15"/>
  <c r="D14" i="11"/>
  <c r="G10" i="11"/>
  <c r="H10" i="11"/>
  <c r="G11" i="11"/>
  <c r="H11" i="11"/>
  <c r="G12" i="11"/>
  <c r="H12" i="11"/>
  <c r="G13" i="11"/>
  <c r="H13" i="11"/>
  <c r="G14" i="11"/>
  <c r="H14" i="11"/>
  <c r="G15" i="11"/>
  <c r="H15" i="11"/>
  <c r="G16" i="11"/>
  <c r="H16" i="11"/>
  <c r="G8" i="11"/>
  <c r="H8" i="11"/>
  <c r="G9" i="11"/>
  <c r="H9" i="11"/>
  <c r="G17" i="11"/>
  <c r="H17" i="11"/>
  <c r="D8" i="11"/>
  <c r="D12" i="11"/>
  <c r="D15" i="11"/>
  <c r="D16" i="11"/>
  <c r="D10" i="11"/>
  <c r="D11" i="11"/>
  <c r="D13" i="11"/>
  <c r="D17" i="11"/>
  <c r="H34" i="6" a="1"/>
  <c r="I34" i="6" s="1" a="1"/>
  <c r="P34" i="6" a="1"/>
  <c r="HF5" i="14" a="1"/>
  <c r="GZ5" i="14" a="1"/>
  <c r="HB5" i="14" a="1"/>
  <c r="E9" i="14"/>
  <c r="GY5" i="14" a="1"/>
  <c r="HA5" i="14" a="1"/>
  <c r="GU5" i="14" a="1"/>
  <c r="GX5" i="14" a="1"/>
  <c r="GS5" i="14" a="1"/>
  <c r="HD5" i="14" a="1"/>
  <c r="HE5" i="14" a="1"/>
  <c r="HG5" i="14" a="1"/>
  <c r="GR5" i="14" a="1"/>
  <c r="GT5" i="14" a="1"/>
  <c r="GV5" i="14" a="1"/>
  <c r="BI9" i="14"/>
  <c r="HG405" i="14" a="1"/>
  <c r="HF405" i="14" a="1"/>
  <c r="HE405" i="14" a="1"/>
  <c r="HD405" i="14" a="1"/>
  <c r="GS405" i="14" a="1"/>
  <c r="GV405" i="14" a="1"/>
  <c r="GX405" i="14" a="1"/>
  <c r="HB405" i="14" a="1"/>
  <c r="HA405" i="14" a="1"/>
  <c r="GZ405" i="14" a="1"/>
  <c r="GY405" i="14" a="1"/>
  <c r="GU405" i="14" a="1"/>
  <c r="GT405" i="14" a="1"/>
  <c r="GR405" i="14" a="1"/>
  <c r="GR455" i="14" a="1"/>
  <c r="HA455" i="14" a="1"/>
  <c r="GY455" i="14" a="1"/>
  <c r="HG455" i="14" a="1"/>
  <c r="HF455" i="14" a="1"/>
  <c r="HE455" i="14" a="1"/>
  <c r="HD455" i="14" a="1"/>
  <c r="GV455" i="14" a="1"/>
  <c r="GS455" i="14" a="1"/>
  <c r="GU455" i="14" a="1"/>
  <c r="HB455" i="14" a="1"/>
  <c r="GZ455" i="14" a="1"/>
  <c r="BP9" i="14"/>
  <c r="GX455" i="14" a="1"/>
  <c r="GT455" i="14" a="1"/>
  <c r="HA55" i="14" a="1"/>
  <c r="GY55" i="14" a="1"/>
  <c r="GR55" i="14" a="1"/>
  <c r="GU55" i="14" a="1"/>
  <c r="GV55" i="14" a="1"/>
  <c r="L9" i="14"/>
  <c r="HE55" i="14" a="1"/>
  <c r="HB55" i="14" a="1"/>
  <c r="HG55" i="14" a="1"/>
  <c r="HF55" i="14" a="1"/>
  <c r="HD55" i="14" a="1"/>
  <c r="GS55" i="14" a="1"/>
  <c r="GT55" i="14" a="1"/>
  <c r="GX55" i="14" a="1"/>
  <c r="GZ55" i="14" a="1"/>
  <c r="GU205" i="14" a="1"/>
  <c r="GZ205" i="14" a="1"/>
  <c r="HA205" i="14" a="1"/>
  <c r="GX205" i="14" a="1"/>
  <c r="HB205" i="14" a="1"/>
  <c r="GT205" i="14" a="1"/>
  <c r="GY205" i="14" a="1"/>
  <c r="GS205" i="14" a="1"/>
  <c r="GV205" i="14" a="1"/>
  <c r="HG205" i="14" a="1"/>
  <c r="HE205" i="14" a="1"/>
  <c r="HD205" i="14" a="1"/>
  <c r="AG9" i="14"/>
  <c r="HF205" i="14" a="1"/>
  <c r="GR205" i="14" a="1"/>
  <c r="HD255" i="14" a="1"/>
  <c r="GS255" i="14" a="1"/>
  <c r="AN9" i="14"/>
  <c r="GR255" i="14" a="1"/>
  <c r="GV255" i="14" a="1"/>
  <c r="GY255" i="14" a="1"/>
  <c r="GZ255" i="14" a="1"/>
  <c r="GU255" i="14" a="1"/>
  <c r="HA255" i="14" a="1"/>
  <c r="GT255" i="14" a="1"/>
  <c r="HG255" i="14" a="1"/>
  <c r="HF255" i="14" a="1"/>
  <c r="HE255" i="14" a="1"/>
  <c r="HB255" i="14" a="1"/>
  <c r="GX255" i="14" a="1"/>
  <c r="HG105" i="14" a="1"/>
  <c r="GU105" i="14" a="1"/>
  <c r="GT105" i="14" a="1"/>
  <c r="HF105" i="14" a="1"/>
  <c r="HD105" i="14" a="1"/>
  <c r="GS105" i="14" a="1"/>
  <c r="GR105" i="14" a="1"/>
  <c r="HE105" i="14" a="1"/>
  <c r="GY105" i="14" a="1"/>
  <c r="GX105" i="14" a="1"/>
  <c r="HA105" i="14" a="1"/>
  <c r="HB105" i="14" a="1"/>
  <c r="S9" i="14"/>
  <c r="GZ105" i="14" a="1"/>
  <c r="GV105" i="14" a="1"/>
  <c r="GZ155" i="14" a="1"/>
  <c r="GR155" i="14" a="1"/>
  <c r="HA155" i="14" a="1"/>
  <c r="GU155" i="14" a="1"/>
  <c r="HB155" i="14" a="1"/>
  <c r="HG155" i="14" a="1"/>
  <c r="HF155" i="14" a="1"/>
  <c r="HD155" i="14" a="1"/>
  <c r="GV155" i="14" a="1"/>
  <c r="Z9" i="14"/>
  <c r="GY155" i="14" a="1"/>
  <c r="GS155" i="14" a="1"/>
  <c r="GX155" i="14" a="1"/>
  <c r="GT155" i="14" a="1"/>
  <c r="HE155" i="14" a="1"/>
  <c r="GU305" i="14" a="1"/>
  <c r="GZ305" i="14" a="1"/>
  <c r="GY305" i="14" a="1"/>
  <c r="GX305" i="14" a="1"/>
  <c r="GS305" i="14" a="1"/>
  <c r="GR305" i="14" a="1"/>
  <c r="GT305" i="14" a="1"/>
  <c r="HA305" i="14" a="1"/>
  <c r="HG305" i="14" a="1"/>
  <c r="HE305" i="14" a="1"/>
  <c r="GV305" i="14" a="1"/>
  <c r="AU9" i="14"/>
  <c r="HF305" i="14" a="1"/>
  <c r="HD305" i="14" a="1"/>
  <c r="HB305" i="14" a="1"/>
  <c r="HF355" i="14" a="1"/>
  <c r="BB9" i="14"/>
  <c r="GX355" i="14" a="1"/>
  <c r="GR355" i="14" a="1"/>
  <c r="HG355" i="14" a="1"/>
  <c r="GU355" i="14" a="1"/>
  <c r="GZ355" i="14" a="1"/>
  <c r="HB355" i="14" a="1"/>
  <c r="GT355" i="14" a="1"/>
  <c r="GV355" i="14" a="1"/>
  <c r="GY355" i="14" a="1"/>
  <c r="HA355" i="14" a="1"/>
  <c r="HD355" i="14" a="1"/>
  <c r="HE355" i="14" a="1"/>
  <c r="GS355" i="14" a="1"/>
  <c r="E8" i="14"/>
  <c r="BI8" i="14"/>
  <c r="BP8" i="14"/>
  <c r="L8" i="14"/>
  <c r="AG8" i="14"/>
  <c r="AN8" i="14"/>
  <c r="S8" i="14"/>
  <c r="Z8" i="14"/>
  <c r="AU8" i="14"/>
  <c r="BB8" i="14"/>
  <c r="N34" i="6" a="1"/>
  <c r="J34" i="6" a="1"/>
  <c r="BH4" i="10" a="1"/>
  <c r="J9" i="10" a="1"/>
  <c r="J12" i="10" s="1"/>
  <c r="H11" i="10"/>
  <c r="H14" i="10" s="1" a="1"/>
  <c r="H13" i="10"/>
  <c r="J10" i="10" a="1"/>
  <c r="BI4" i="10" a="1"/>
  <c r="AZ4" i="10" a="1"/>
  <c r="AY4" i="10" a="1"/>
  <c r="J7" i="10" a="1"/>
  <c r="BG4" i="10" a="1"/>
  <c r="G11" i="10"/>
  <c r="G14" i="10" s="1" a="1"/>
  <c r="G13" i="10"/>
  <c r="V12" i="9" a="1"/>
  <c r="AL12" i="9" s="1" a="1"/>
  <c r="AM12" i="9" s="1" a="1"/>
  <c r="V36" i="9" a="1"/>
  <c r="GE5" i="15" l="1"/>
  <c r="GF5" i="15"/>
  <c r="GE7" i="15"/>
  <c r="GF7" i="15"/>
  <c r="GF10" i="15"/>
  <c r="GE10" i="15"/>
  <c r="GE9" i="15"/>
  <c r="GF9" i="15"/>
  <c r="GE8" i="15"/>
  <c r="GF8" i="15"/>
  <c r="GS4" i="14" a="1"/>
  <c r="GV4" i="14" a="1"/>
  <c r="GT4" i="14" a="1"/>
  <c r="GR4" i="14" a="1"/>
  <c r="GR404" i="14" a="1"/>
  <c r="GT404" i="14" a="1"/>
  <c r="GR454" i="14" a="1"/>
  <c r="GT454" i="14" a="1"/>
  <c r="GU404" i="14" a="1"/>
  <c r="GU454" i="14" a="1"/>
  <c r="GS204" i="14" a="1"/>
  <c r="GV54" i="14" a="1"/>
  <c r="GR54" i="14" a="1"/>
  <c r="GS54" i="14" a="1"/>
  <c r="GR204" i="14" a="1"/>
  <c r="GT154" i="14" a="1"/>
  <c r="GU204" i="14" a="1"/>
  <c r="GV204" i="14" a="1"/>
  <c r="GR254" i="14" a="1"/>
  <c r="GS254" i="14" a="1"/>
  <c r="GT254" i="14" a="1"/>
  <c r="GU254" i="14" a="1"/>
  <c r="GV254" i="14" a="1"/>
  <c r="GS104" i="14" a="1"/>
  <c r="GT104" i="14" a="1"/>
  <c r="GV104" i="14" a="1"/>
  <c r="GR104" i="14" a="1"/>
  <c r="GR154" i="14" a="1"/>
  <c r="GS154" i="14" a="1"/>
  <c r="GU154" i="14" a="1"/>
  <c r="GV154" i="14" a="1"/>
  <c r="GR304" i="14" a="1"/>
  <c r="GS304" i="14" a="1"/>
  <c r="GT304" i="14" a="1"/>
  <c r="GU304" i="14" a="1"/>
  <c r="GV304" i="14" a="1"/>
  <c r="GR354" i="14" a="1"/>
  <c r="GS354" i="14" a="1"/>
  <c r="GT354" i="14" a="1"/>
  <c r="GU354" i="14" a="1"/>
  <c r="GV354" i="14" a="1"/>
  <c r="GT54" i="14" a="1"/>
  <c r="GT204" i="14" a="1"/>
  <c r="GU4" i="14" a="1"/>
  <c r="GS404" i="14" a="1"/>
  <c r="GV404" i="14" a="1"/>
  <c r="GS454" i="14" a="1"/>
  <c r="GV454" i="14" a="1"/>
  <c r="GU54" i="14" a="1"/>
  <c r="GU104" i="14" a="1"/>
  <c r="O34" i="6" a="1"/>
  <c r="BN5" i="9" a="1"/>
  <c r="G12" i="9" s="1" a="1"/>
  <c r="G36" i="9" a="1"/>
  <c r="J11" i="10"/>
  <c r="J13" i="10"/>
  <c r="BK4" i="10" a="1"/>
  <c r="J15" i="10" a="1"/>
  <c r="BJ4" i="10" a="1"/>
  <c r="J14" i="10" l="1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<sst xmlns="http://schemas.openxmlformats.org/spreadsheetml/2006/main" count="989" uniqueCount="373">
  <si>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</si>
  <si>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</si>
  <si>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</si>
  <si>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</si>
  <si>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</si>
  <si>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</si>
  <si>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</si>
  <si>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</si>
  <si>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</si>
  <si>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</si>
  <si>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</si>
  <si>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</si>
  <si>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</si>
  <si>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</si>
  <si>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</si>
  <si>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</si>
  <si>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</si>
  <si>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</si>
  <si>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</si>
  <si>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</si>
  <si>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</si>
  <si>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</si>
  <si>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</si>
  <si>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</si>
  <si>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</si>
  <si>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</si>
  <si>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</si>
  <si>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</si>
  <si>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</si>
  <si>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</si>
  <si>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</si>
  <si>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</si>
  <si>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</si>
  <si>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</si>
  <si>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</si>
  <si>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</si>
  <si>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</si>
  <si>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</si>
  <si>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</si>
  <si>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</si>
  <si>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</si>
  <si>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12M</t>
  </si>
  <si>
    <t>○</t>
  </si>
  <si>
    <t>×</t>
  </si>
  <si>
    <t>PC1</t>
  </si>
  <si>
    <t>PC2</t>
  </si>
  <si>
    <t>PC3</t>
  </si>
  <si>
    <t>PC4</t>
  </si>
  <si>
    <t>PC5</t>
  </si>
  <si>
    <t>1Y</t>
  </si>
  <si>
    <t>2Y</t>
  </si>
  <si>
    <t>3Y</t>
  </si>
  <si>
    <t>Rates</t>
    <phoneticPr fontId="2"/>
  </si>
  <si>
    <t>Live</t>
  </si>
  <si>
    <t>Updated</t>
    <phoneticPr fontId="2"/>
  </si>
  <si>
    <t>Live: reads the latest rates on every Shift+F9. Fixed: keeps the rates last read on this sheet (e.g. to price new rows on the same rates). Updated = when the rates last changed in LiveFeed.</t>
    <phoneticPr fontId="2"/>
  </si>
  <si>
    <t>Live rates (Ticker / Value / Start / End)</t>
    <phoneticPr fontId="2"/>
  </si>
  <si>
    <t>Live vol (Name / RIC / Value)</t>
    <phoneticPr fontId="2"/>
  </si>
  <si>
    <t>Rates</t>
  </si>
  <si>
    <t>Updated</t>
  </si>
  <si>
    <t>Live: reads the latest vols on every Shift+F9. Fixed: keeps the vols last read on this sheet. Only 'IV (Live)' uses them; history is from the DB (morning batch).</t>
  </si>
  <si>
    <t>VolHV (implied vs historical normal vol, bp/yr)</t>
  </si>
  <si>
    <t>Legs</t>
  </si>
  <si>
    <t>Leg</t>
  </si>
  <si>
    <t>Option</t>
  </si>
  <si>
    <t>Weight</t>
  </si>
  <si>
    <t>Window (bd)</t>
  </si>
  <si>
    <t>Match</t>
  </si>
  <si>
    <t>Max window (bd)</t>
  </si>
  <si>
    <t>Short window (bd)</t>
  </si>
  <si>
    <t>Days per year</t>
  </si>
  <si>
    <t>From</t>
  </si>
  <si>
    <t>HV = vol of daily moves of the same forward swap (start = spot + expiry), zero mean.</t>
  </si>
  <si>
    <t>Combined = weighted sum of the legs (vol spread), e.g. IV(1Yx10Y) - IV(1Yx2Y).</t>
  </si>
  <si>
    <t>VolHistory (Date / IV / Fwd / dF per leg)</t>
  </si>
  <si>
    <t>Date</t>
  </si>
  <si>
    <t>Leg1 IV</t>
  </si>
  <si>
    <t>Leg1 HV</t>
  </si>
  <si>
    <t>Leg1 HV short</t>
  </si>
  <si>
    <t>Leg2 IV</t>
  </si>
  <si>
    <t>Leg2 HV</t>
  </si>
  <si>
    <t>Leg2 HV short</t>
  </si>
  <si>
    <t>Leg3 IV</t>
  </si>
  <si>
    <t>Leg3 HV</t>
  </si>
  <si>
    <t>Leg3 HV short</t>
  </si>
  <si>
    <t>IV</t>
  </si>
  <si>
    <t>HV</t>
  </si>
  <si>
    <t>HV short</t>
  </si>
  <si>
    <t>IV - HV</t>
  </si>
  <si>
    <t>IV - HV short</t>
  </si>
  <si>
    <t>Combined (weighted)</t>
  </si>
  <si>
    <t>Live vol (Name / RIC / Value)</t>
  </si>
  <si>
    <t>Chart data (From onwards)</t>
  </si>
  <si>
    <t>Summary</t>
  </si>
  <si>
    <t>Leg 1</t>
  </si>
  <si>
    <t>Leg 2</t>
  </si>
  <si>
    <t>Leg 3</t>
  </si>
  <si>
    <t>Combined</t>
  </si>
  <si>
    <t>Latest date (DB)</t>
  </si>
  <si>
    <t>IV (DB)</t>
  </si>
  <si>
    <t>IV (Live)</t>
  </si>
  <si>
    <t>HV (window)</t>
  </si>
  <si>
    <t>HV (short)</t>
  </si>
  <si>
    <t>Live IV - HV</t>
  </si>
  <si>
    <t>Pctl of IV - HV</t>
  </si>
  <si>
    <t>Pctl of IV</t>
  </si>
  <si>
    <t>Weighted</t>
  </si>
  <si>
    <t>1mx10y</t>
    <phoneticPr fontId="2"/>
  </si>
  <si>
    <t>1mx5y</t>
    <phoneticPr fontId="2"/>
  </si>
  <si>
    <t>RD</t>
  </si>
  <si>
    <t>M9</t>
  </si>
  <si>
    <t>Live: reads the latest rates on every Shift+F9. Fixed: keeps the rates last read on this sheet (e.g. to price new rows on the same rates). Updated = when the rates last changed in LiveFeed.</t>
  </si>
  <si>
    <t>BOJ meeting swaps vs spot (1Y and under)</t>
  </si>
  <si>
    <t>O/N (%)</t>
  </si>
  <si>
    <t>A. Meeting-period forwards from the spot curve (same curve as pricing)</t>
  </si>
  <si>
    <t>B. Spot from the meeting-swap step curve (O/N + meeting swaps, standard convention, today only)</t>
  </si>
  <si>
    <t>Live rates (Ticker / Value / Start / End)</t>
  </si>
  <si>
    <t>Curve inputs (Flag / Ticker / Value / Start / End)</t>
  </si>
  <si>
    <t>Curve tenors (Flag: 1 or blank = use, 0 = exclude)</t>
  </si>
  <si>
    <t>Ticker</t>
  </si>
  <si>
    <t>Flag</t>
  </si>
  <si>
    <t>Notes</t>
  </si>
  <si>
    <t>- Meeting swaps: Tradition JPBOJ{n}ONI=TRDT. RD = spot date to meeting 1 decision date, M{n} = business day after meeting n to meeting n+1 decision date (dates are LSEG GV1_DATE/GV2_DATE).</t>
  </si>
  <si>
    <t>- A: par rate of each meeting period on the same curve as pricing (spot tenors + O/N), by BojSpotForwards.</t>
  </si>
  <si>
    <t>- B: step curve with a flat forward per meeting period from O/N + RD + M1-M9, and the par rates of 1W-12M on it, by BojImpliedRates.</t>
  </si>
  <si>
    <t xml:space="preserve">  The night from a decision date to the next business day uses the previous (pre-decision) forward. Nothing beyond the last meeting period.</t>
  </si>
  <si>
    <t>- Gap = quote - value from the other curve. Mid vs mid (bid/ask spread not considered).</t>
  </si>
  <si>
    <t>- Curve tenors and flags are in V:W. This sheet does not refer to any other workbook.</t>
  </si>
  <si>
    <t>Start</t>
  </si>
  <si>
    <t>End</t>
  </si>
  <si>
    <t>Days</t>
  </si>
  <si>
    <t>Meeting swap (%)</t>
  </si>
  <si>
    <t>Fwd from spot (%)</t>
  </si>
  <si>
    <t>Gap (bp) meeting - spot</t>
  </si>
  <si>
    <t>Change (bp)</t>
  </si>
  <si>
    <t>Tenor</t>
  </si>
  <si>
    <t>Spot (%)</t>
  </si>
  <si>
    <t>Par from meeting curve (%)</t>
  </si>
  <si>
    <t>Gap (bp) spot - meeting</t>
  </si>
  <si>
    <t>PCA Grid (swap): residual by k x case</t>
  </si>
  <si>
    <t>Tenors</t>
  </si>
  <si>
    <t>Use</t>
  </si>
  <si>
    <t>No</t>
  </si>
  <si>
    <t>Yes</t>
  </si>
  <si>
    <t>Case</t>
  </si>
  <si>
    <t>Window</t>
  </si>
  <si>
    <t>Mode</t>
  </si>
  <si>
    <t>Standardize</t>
  </si>
  <si>
    <t>Est. period</t>
  </si>
  <si>
    <t>Warning</t>
  </si>
  <si>
    <t>Case 1</t>
  </si>
  <si>
    <t>Level</t>
  </si>
  <si>
    <t>Case 2</t>
  </si>
  <si>
    <t>Case 3</t>
  </si>
  <si>
    <t>Change</t>
  </si>
  <si>
    <t>Case 4</t>
  </si>
  <si>
    <t>Case 5</t>
  </si>
  <si>
    <t>Case 6</t>
  </si>
  <si>
    <t>Case 7</t>
  </si>
  <si>
    <t>Case 8</t>
  </si>
  <si>
    <t>Case 9</t>
  </si>
  <si>
    <t>Case 10</t>
  </si>
  <si>
    <t>Calculation area (UDF outputs; do not edit)</t>
  </si>
  <si>
    <t>k</t>
  </si>
  <si>
    <t>Vectors</t>
  </si>
  <si>
    <t>Actual Level</t>
  </si>
  <si>
    <t>Actual Change</t>
  </si>
  <si>
    <t>Actual info (Change)</t>
  </si>
  <si>
    <t>PcaGrid (all cases)</t>
  </si>
  <si>
    <t>Actual</t>
  </si>
  <si>
    <t>Mean+1σ</t>
  </si>
  <si>
    <t>Mean-1σ</t>
  </si>
  <si>
    <t>+1σ (bp)</t>
  </si>
  <si>
    <t>-1σ (bp)</t>
  </si>
  <si>
    <t>Mean</t>
  </si>
  <si>
    <t>+1σ</t>
  </si>
  <si>
    <t>-1σ</t>
  </si>
  <si>
    <t>Resid σ days</t>
  </si>
  <si>
    <t>PcaGridResidStd (all cases, k by band)</t>
  </si>
  <si>
    <t>+1σ (bp) band 1</t>
    <phoneticPr fontId="2"/>
  </si>
  <si>
    <t>-1σ (bp) band 1</t>
    <phoneticPr fontId="2"/>
  </si>
  <si>
    <t>+1σ (bp) band 2</t>
  </si>
  <si>
    <t>-1σ (bp) band 2</t>
  </si>
  <si>
    <t>+1σ (bp) band 3</t>
  </si>
  <si>
    <t>-1σ (bp) band 3</t>
  </si>
  <si>
    <t>+1σ (bp) band 4</t>
  </si>
  <si>
    <t>-1σ (bp) band 4</t>
  </si>
  <si>
    <t>+1σ (bp) band 5</t>
  </si>
  <si>
    <t>-1σ (bp) band 5</t>
  </si>
  <si>
    <t>σ warning</t>
  </si>
  <si>
    <t>Estimation (principal components)</t>
    <phoneticPr fontId="2"/>
  </si>
  <si>
    <t>Window (bdays)</t>
    <phoneticPr fontId="2"/>
  </si>
  <si>
    <t>Mode</t>
    <phoneticPr fontId="2"/>
  </si>
  <si>
    <t>Standardize</t>
    <phoneticPr fontId="2"/>
  </si>
  <si>
    <t>k (components)</t>
    <phoneticPr fontId="2"/>
  </si>
  <si>
    <t>PCA (swap)</t>
    <phoneticPr fontId="2"/>
  </si>
  <si>
    <t>Calculation area (UDF outputs; do not edit)</t>
    <phoneticPr fontId="2"/>
  </si>
  <si>
    <t>Estimation window</t>
    <phoneticPr fontId="2"/>
  </si>
  <si>
    <t>Selected tenors</t>
    <phoneticPr fontId="2"/>
  </si>
  <si>
    <t>Mean (%) / Scale (σ if standardized, else 1) / Std / PC vectors</t>
    <phoneticPr fontId="2"/>
  </si>
  <si>
    <t>z = (actual − mean) / scale, score = V_kᵀz, recon = mean + scale·V_k·score, residual = actual − recon</t>
    <phoneticPr fontId="2"/>
  </si>
  <si>
    <t>In Change mode, actual / mean / recon are changes from the previous business day (%). Scores are in bp without standardization, unitless with it</t>
    <phoneticPr fontId="2"/>
  </si>
  <si>
    <t>Resid σ days</t>
    <phoneticPr fontId="2"/>
  </si>
  <si>
    <t>Tenors (○ = use in PCA; order = row order of the results)</t>
    <phoneticPr fontId="2"/>
  </si>
  <si>
    <t>Tenor</t>
    <phoneticPr fontId="2"/>
  </si>
  <si>
    <t>Use</t>
    <phoneticPr fontId="2"/>
  </si>
  <si>
    <t>Eigenvalues (bp² without standardization, unitless with it)</t>
    <phoneticPr fontId="2"/>
  </si>
  <si>
    <t>Reconstruction by tenor</t>
    <phoneticPr fontId="2"/>
  </si>
  <si>
    <t>Components</t>
    <phoneticPr fontId="2"/>
  </si>
  <si>
    <t>PC vectors (PC1-PC5)</t>
    <phoneticPr fontId="2"/>
  </si>
  <si>
    <t>Actual (%)</t>
    <phoneticPr fontId="2"/>
  </si>
  <si>
    <t>Mean (%)</t>
    <phoneticPr fontId="2"/>
  </si>
  <si>
    <t>Recon (%)</t>
    <phoneticPr fontId="2"/>
  </si>
  <si>
    <t>Residual (bp)</t>
    <phoneticPr fontId="2"/>
  </si>
  <si>
    <t>Deviation from mean (bp)</t>
    <phoneticPr fontId="2"/>
  </si>
  <si>
    <t>PC</t>
    <phoneticPr fontId="2"/>
  </si>
  <si>
    <t>Eigenvalue</t>
    <phoneticPr fontId="2"/>
  </si>
  <si>
    <t>Share</t>
    <phoneticPr fontId="2"/>
  </si>
  <si>
    <t>Cumulative</t>
    <phoneticPr fontId="2"/>
  </si>
  <si>
    <t>Score</t>
    <phoneticPr fontId="2"/>
  </si>
  <si>
    <t>Used in recon</t>
    <phoneticPr fontId="2"/>
  </si>
  <si>
    <t>Level</t>
    <phoneticPr fontId="2"/>
  </si>
  <si>
    <t>No</t>
    <phoneticPr fontId="2"/>
  </si>
  <si>
    <t>VolPCA (swaption ATM normal vol, bp)</t>
    <phoneticPr fontId="2"/>
  </si>
  <si>
    <t>Calculation area (UDF outputs and per-label calculations; do not edit)</t>
    <phoneticPr fontId="2"/>
  </si>
  <si>
    <t>By label (bp)</t>
    <phoneticPr fontId="2"/>
  </si>
  <si>
    <t>Mean (bp) / Scale / Std / PC vectors</t>
    <phoneticPr fontId="2"/>
  </si>
  <si>
    <t>Selected expiries</t>
    <phoneticPr fontId="2"/>
  </si>
  <si>
    <t>Labels</t>
    <phoneticPr fontId="2"/>
  </si>
  <si>
    <t>z = (actual − mean) / scale, score = V_kᵀz, recon = mean + scale·V_k·score, residual = actual − recon (bp)</t>
    <phoneticPr fontId="2"/>
  </si>
  <si>
    <t>In Change mode, actual and recon are changes from the previous business day (bp)</t>
    <phoneticPr fontId="2"/>
  </si>
  <si>
    <t>Label</t>
    <phoneticPr fontId="2"/>
  </si>
  <si>
    <t>Actual</t>
    <phoneticPr fontId="2"/>
  </si>
  <si>
    <t>Mean</t>
    <phoneticPr fontId="2"/>
  </si>
  <si>
    <t>Scale</t>
    <phoneticPr fontId="2"/>
  </si>
  <si>
    <t>Recon</t>
    <phoneticPr fontId="2"/>
  </si>
  <si>
    <t>Residual</t>
    <phoneticPr fontId="2"/>
  </si>
  <si>
    <t>Residual: actual − recon (bp)</t>
    <phoneticPr fontId="2"/>
  </si>
  <si>
    <t>Actual (bp)</t>
    <phoneticPr fontId="2"/>
  </si>
  <si>
    <t>Components (top 10)</t>
    <phoneticPr fontId="2"/>
  </si>
  <si>
    <t>Expiry \ Tenor</t>
    <phoneticPr fontId="2"/>
  </si>
  <si>
    <t>Labels = all points of the selected expiries × selected tenors (order = row/column order of the results)</t>
    <phoneticPr fontId="2"/>
  </si>
  <si>
    <t>Expiry</t>
    <phoneticPr fontId="2"/>
  </si>
  <si>
    <t>Recon (bp)</t>
    <phoneticPr fontId="2"/>
  </si>
  <si>
    <t>Mean (bp)</t>
    <phoneticPr fontId="2"/>
  </si>
  <si>
    <t>PC1 vector</t>
    <phoneticPr fontId="2"/>
  </si>
  <si>
    <t>PC2 vector</t>
    <phoneticPr fontId="2"/>
  </si>
  <si>
    <t>PC3 vector</t>
    <phoneticPr fontId="2"/>
  </si>
  <si>
    <t>Window end</t>
    <phoneticPr fontId="2"/>
  </si>
  <si>
    <t>Reconstruction</t>
    <phoneticPr fontId="2"/>
  </si>
  <si>
    <t>Recon date</t>
    <phoneticPr fontId="2"/>
  </si>
  <si>
    <t>Actual on recon date</t>
    <phoneticPr fontId="2"/>
  </si>
  <si>
    <t>Window end</t>
    <phoneticPr fontId="2"/>
  </si>
  <si>
    <t>Recon date</t>
  </si>
  <si>
    <t>Source</t>
  </si>
  <si>
    <t>Live: reads the latest rates on every Shift+F9. Fixed: keeps the rates last read on this sheet. History is from the DB (morning batch); only 'Live (%)' uses the live curve.</t>
  </si>
  <si>
    <t>FwdMonitor (JPY OIS forwards NyMy: live vs history)</t>
  </si>
  <si>
    <t>Settings</t>
  </si>
  <si>
    <t>Base date</t>
  </si>
  <si>
    <t>FIXED / ROLLING: trades of this date (blank = today)</t>
  </si>
  <si>
    <t>Compare date</t>
  </si>
  <si>
    <t>Strip and 'vs compare' column (nearest DB date on or before)</t>
  </si>
  <si>
    <t>Sigma window (bd)</t>
  </si>
  <si>
    <t>Business days for the daily-change sigma of the Z-scores</t>
  </si>
  <si>
    <t>Chart from</t>
  </si>
  <si>
    <t>Start of the comparison chart (blank = all)</t>
  </si>
  <si>
    <t>Chart view</t>
  </si>
  <si>
    <t>Level / Change (change from the chart start)</t>
  </si>
  <si>
    <t>FwdHistory CMT (%, dF = same-trade daily change in bp)</t>
  </si>
  <si>
    <t>FwdHistory FIXED (%, dF = same-trade daily change in bp)</t>
  </si>
  <si>
    <t>FwdHistory ROLLING (%, dF = same-trade daily change in bp)</t>
  </si>
  <si>
    <t>Monitor (CMT: spot + N years, M years)</t>
  </si>
  <si>
    <t>Series</t>
  </si>
  <si>
    <t>Live (%)</t>
  </si>
  <si>
    <t>Close (%)</t>
  </si>
  <si>
    <t>Chg 1D (bp)</t>
  </si>
  <si>
    <t>Chg 1W (bp)</t>
  </si>
  <si>
    <t>Chg 1M (bp)</t>
  </si>
  <si>
    <t>vs compare (bp)</t>
  </si>
  <si>
    <t>Sigma (bp/day)</t>
  </si>
  <si>
    <t>Z (1D)</t>
  </si>
  <si>
    <t>Z (1W)</t>
  </si>
  <si>
    <t>1y1y</t>
  </si>
  <si>
    <t>2y1y</t>
  </si>
  <si>
    <t>3y1y</t>
  </si>
  <si>
    <t>4y1y</t>
  </si>
  <si>
    <t>5y1y</t>
  </si>
  <si>
    <t>6y1y</t>
  </si>
  <si>
    <t>7y1y</t>
  </si>
  <si>
    <t>8y1y</t>
  </si>
  <si>
    <t>9y1y</t>
  </si>
  <si>
    <t>10y1y</t>
  </si>
  <si>
    <t>11y1y</t>
  </si>
  <si>
    <t>15y1y</t>
  </si>
  <si>
    <t>20y1y</t>
  </si>
  <si>
    <t>25y1y</t>
  </si>
  <si>
    <t>30y1y</t>
  </si>
  <si>
    <t>35y1y</t>
  </si>
  <si>
    <t>5y5y</t>
  </si>
  <si>
    <t>10y5y</t>
  </si>
  <si>
    <t>15y5y</t>
  </si>
  <si>
    <t>20y5y</t>
  </si>
  <si>
    <t>25y5y</t>
  </si>
  <si>
    <t>30y5y</t>
  </si>
  <si>
    <t>35y5y</t>
  </si>
  <si>
    <t>Chg = live - DB close (same tenor definition, includes roll-down). Z = Chg / (sigma x sqrt(days)); sigma = RMS of same-trade daily changes over the window.</t>
  </si>
  <si>
    <t>Comparison (1 leg = forward, 2 legs = curve, 3 legs = fly; weights in bp, e.g. -1/+1, -1/+2/-1)</t>
  </si>
  <si>
    <t>Show</t>
  </si>
  <si>
    <t>Name</t>
  </si>
  <si>
    <t>Leg1</t>
  </si>
  <si>
    <t>w1</t>
  </si>
  <si>
    <t>Leg2</t>
  </si>
  <si>
    <t>w2</t>
  </si>
  <si>
    <t>Leg3</t>
  </si>
  <si>
    <t>w3</t>
  </si>
  <si>
    <t>Live (bp)</t>
  </si>
  <si>
    <t>CMT</t>
  </si>
  <si>
    <t>FIXED</t>
  </si>
  <si>
    <t>Show: the first 4 rows with Show = Yes go to the chart. Mode per row: CMT = spot + N years, FIXED = trade dates of the base date fixed, ROLLING = business-day offsets of the base date kept.</t>
  </si>
  <si>
    <t>Strip Nx1Y</t>
  </si>
  <si>
    <t>N (y)</t>
  </si>
  <si>
    <t>Chg (bp)</t>
  </si>
  <si>
    <t>Strip Nx5Y</t>
  </si>
  <si>
    <t>Comparison chart (first 4 rows with Show = Yes)</t>
  </si>
  <si>
    <t>Curve vs prev (bp)</t>
  </si>
  <si>
    <t>Live (FwdLive on the labels without the blank row)</t>
  </si>
  <si>
    <t>FutBasis (JGB 10y futures: CTD basis, front-month history, contract overlay)</t>
  </si>
  <si>
    <t>History is from the DB (morning batch: futures settles, 10y JGB closes, TONA). Basis in sen per 100 yen face (UDF returns yen; x100 here). CTD = smallest net basis.</t>
  </si>
  <si>
    <t>Contract</t>
  </si>
  <si>
    <t>2026-12</t>
  </si>
  <si>
    <t>Contract for the basis table (e.g. 2026-12 or JGBZ6)</t>
  </si>
  <si>
    <t>Basis table date (blank = last DB date)</t>
  </si>
  <si>
    <t>Futures price</t>
  </si>
  <si>
    <t>Blank = DB settle of that date (live: e.g. =RtGet("IDN","JGBZ6","CF_LAST"))</t>
  </si>
  <si>
    <t>Repo (%)</t>
  </si>
  <si>
    <t>Blank = TONA on or before the date</t>
  </si>
  <si>
    <t>Start of the history charts (blank = all)</t>
  </si>
  <si>
    <t>Overlay field</t>
  </si>
  <si>
    <t>NET</t>
  </si>
  <si>
    <t>NET / GROSS / CARRY (sen) / IRR (%)</t>
  </si>
  <si>
    <t>Overlay contracts</t>
  </si>
  <si>
    <t>2025-09</t>
  </si>
  <si>
    <t>2025-12</t>
  </si>
  <si>
    <t>2026-03</t>
  </si>
  <si>
    <t>2026-06</t>
  </si>
  <si>
    <t>2026-09</t>
  </si>
  <si>
    <t>FutHistory (front month; basis in yen)</t>
  </si>
  <si>
    <t>Derived (sen; dX used = manual adjustment if given, else automatic)</t>
  </si>
  <si>
    <t>dSettle used</t>
  </si>
  <si>
    <t>Settle adj</t>
  </si>
  <si>
    <t>Net (sen)</t>
  </si>
  <si>
    <t>dNet used (sen)</t>
  </si>
  <si>
    <t>Net adj (sen)</t>
  </si>
  <si>
    <t>History charts (from Chart from)</t>
  </si>
  <si>
    <t>Settle</t>
  </si>
  <si>
    <t>FutOverlay (CTD by business days to the last trading day)</t>
  </si>
  <si>
    <t>Overlay chart (sen, IRR in %)</t>
  </si>
  <si>
    <t>BD</t>
  </si>
  <si>
    <t>Basis table (yen; sen columns on the right). CTD row is highlighted.</t>
  </si>
  <si>
    <t>Gross (sen)</t>
  </si>
  <si>
    <t>Carry (sen)</t>
  </si>
  <si>
    <t>Repo steps (auto, from TONA)</t>
  </si>
  <si>
    <t>Repo steps (manual)</t>
  </si>
  <si>
    <t>If any row is filled, only this table is used</t>
  </si>
  <si>
    <t>Rate (%)</t>
  </si>
  <si>
    <t>Yield overrides</t>
  </si>
  <si>
    <t>For the basis table only</t>
  </si>
  <si>
    <t>Code</t>
  </si>
  <si>
    <t>Yield (%)</t>
  </si>
  <si>
    <t>Step adjustments (history)</t>
  </si>
  <si>
    <t>Replaces the automatic daily change on that date</t>
  </si>
  <si>
    <t>dSettle</t>
  </si>
  <si>
    <t>dNet (sen)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</si>
</sst>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yyyy\-mm\-dd"/>
    <numFmt numFmtId="177" formatCode="0.0000"/>
    <numFmt numFmtId="178" formatCode="0.0%"/>
    <numFmt numFmtId="179" formatCode="0.000"/>
    <numFmt numFmtId="180" formatCode="0.0"/>
    <numFmt numFmtId="181" formatCode="m/d\ hh:mm:ss"/>
    <numFmt numFmtId="182" formatCode="yyyy\-mm\-dd\ hh:mm:ss"/>
    <numFmt numFmtId="183" formatCode="yyyy/mm/dd"/>
    <numFmt numFmtId="184" formatCode="\+0.0;\-0.0;0.0"/>
    <numFmt numFmtId="185" formatCode="\+0.00;\-0.00;0.00"/>
    <numFmt numFmtId="186" formatCode="0.000000"/>
  </numFmts>
  <fonts count="13" x14ac:knownFonts="1">
    <font>
      <sz val="11"/>
      <color theme="1"/>
      <name val="Noto Sans JP"/>
      <family val="3"/>
      <charset val="128"/>
    </font>
    <font>
      <sz val="12"/>
      <color theme="1"/>
      <name val="Noto Sans JP"/>
      <family val="3"/>
    </font>
    <font>
      <sz val="6"/>
      <name val="游ゴシック"/>
      <family val="2"/>
      <charset val="128"/>
      <scheme val="minor"/>
    </font>
    <font>
      <b/>
      <sz val="14"/>
      <color theme="1"/>
      <name val="Noto Sans JP"/>
      <family val="3"/>
      <charset val="128"/>
    </font>
    <font>
      <b/>
      <sz val="11"/>
      <color theme="1"/>
      <name val="Noto Sans JP"/>
      <family val="3"/>
      <charset val="128"/>
    </font>
    <font>
      <sz val="11"/>
      <color rgb="FFC00000"/>
      <name val="Noto Sans JP"/>
      <family val="3"/>
      <charset val="128"/>
    </font>
    <font>
      <sz val="11"/>
      <color rgb="FF595959"/>
      <name val="Noto Sans JP"/>
      <family val="3"/>
      <charset val="128"/>
    </font>
    <font>
      <b/>
      <sz val="12"/>
      <color theme="1"/>
      <name val="Noto Sans JP"/>
      <family val="3"/>
      <charset val="128"/>
    </font>
    <font>
      <i/>
      <sz val="11"/>
      <color theme="1"/>
      <name val="Noto Sans JP"/>
      <family val="3"/>
      <charset val="128"/>
    </font>
    <font>
      <sz val="6"/>
      <name val="游ゴシック"/>
      <family val="3"/>
      <charset val="128"/>
      <scheme val="minor"/>
    </font>
    <font>
      <sz val="12"/>
      <color rgb="FF595959"/>
      <name val="Noto Sans JP"/>
      <family val="3"/>
      <charset val="128"/>
    </font>
    <font>
      <b/>
      <sz val="13"/>
      <color theme="1"/>
      <name val="Noto Sans JP"/>
      <family val="3"/>
      <charset val="128"/>
    </font>
    <font>
      <sz val="6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47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0" fontId="4" fillId="2" borderId="0" xfId="0" applyFont="1" applyFill="1" applyAlignment="1">
      <alignment vertical="center" wrapText="1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4" borderId="0" xfId="0" applyFont="1" applyFill="1">
      <alignment vertical="center"/>
    </xf>
    <xf numFmtId="181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5" borderId="1" xfId="0" applyFill="1" applyBorder="1" applyAlignment="1">
      <alignment horizontal="center" vertical="center"/>
    </xf>
    <xf numFmtId="182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176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0" fontId="4" fillId="0" borderId="2" xfId="0" applyFont="1" applyBorder="1">
      <alignment vertical="center"/>
    </xf>
    <xf numFmtId="0" fontId="4" fillId="0" borderId="2" xfId="0" applyFon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176" fontId="0" fillId="0" borderId="2" xfId="0" applyNumberFormat="1" applyBorder="1" applyAlignment="1">
      <alignment horizontal="right" vertical="center"/>
    </xf>
    <xf numFmtId="180" fontId="0" fillId="0" borderId="2" xfId="0" applyNumberFormat="1" applyBorder="1" applyAlignment="1">
      <alignment horizontal="right" vertical="center"/>
    </xf>
    <xf numFmtId="9" fontId="0" fillId="0" borderId="2" xfId="0" applyNumberFormat="1" applyBorder="1" applyAlignment="1">
      <alignment horizontal="right" vertical="center"/>
    </xf>
    <xf numFmtId="1" fontId="0" fillId="0" borderId="2" xfId="0" applyNumberFormat="1" applyBorder="1" applyAlignment="1">
      <alignment horizontal="right" vertical="center"/>
    </xf>
    <xf numFmtId="0" fontId="7" fillId="4" borderId="0" xfId="0" applyFont="1" applyFill="1" applyAlignment="1"/>
    <xf numFmtId="0" fontId="0" fillId="5" borderId="1" xfId="0" applyFill="1" applyBorder="1" applyAlignment="1">
      <alignment horizontal="center"/>
    </xf>
    <xf numFmtId="181" fontId="0" fillId="0" borderId="0" xfId="0" applyNumberFormat="1" applyAlignment="1"/>
    <xf numFmtId="0" fontId="10" fillId="0" borderId="0" xfId="0" applyFont="1" applyAlignment="1"/>
    <xf numFmtId="0" fontId="0" fillId="0" borderId="0" xfId="0" applyAlignment="1"/>
    <xf numFmtId="0" fontId="11" fillId="0" borderId="0" xfId="0" applyFont="1" applyAlignment="1"/>
    <xf numFmtId="183" fontId="0" fillId="0" borderId="0" xfId="0" applyNumberFormat="1" applyAlignment="1"/>
    <xf numFmtId="177" fontId="0" fillId="0" borderId="0" xfId="0" applyNumberFormat="1" applyAlignment="1"/>
    <xf numFmtId="0" fontId="7" fillId="0" borderId="0" xfId="0" applyFont="1" applyAlignment="1"/>
    <xf numFmtId="0" fontId="7" fillId="6" borderId="0" xfId="0" applyFont="1" applyFill="1" applyAlignment="1">
      <alignment wrapText="1"/>
    </xf>
    <xf numFmtId="2" fontId="0" fillId="0" borderId="0" xfId="0" applyNumberFormat="1" applyAlignment="1"/>
    <xf numFmtId="0" fontId="0" fillId="5" borderId="0" xfId="0" applyFill="1">
      <alignment vertical="center"/>
    </xf>
    <xf numFmtId="184" fontId="0" fillId="0" borderId="0" xfId="0" applyNumberFormat="1">
      <alignment vertical="center"/>
    </xf>
    <xf numFmtId="185" fontId="0" fillId="0" borderId="0" xfId="0" applyNumberFormat="1">
      <alignment vertical="center"/>
    </xf>
    <xf numFmtId="186" fontId="0" fillId="0" borderId="0" xfId="0" applyNumberFormat="1">
      <alignment vertical="center"/>
    </xf>
  </cellXfs>
  <cellStyles count="2">
    <cellStyle name="標準" xfId="0" builtinId="0"/>
    <cellStyle name="標準 2" xfId="1" xr:uid="{5EE0B673-BC4E-4A3E-BA55-CCC089A2E0BD}"/>
  </cellStyles>
  <dxfs count="1">
    <dxf>
      <font>
        <b/>
        <i val="0"/>
      </font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Actual / Mean / Recon 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cat>
            <c:strRef>
              <c:f>[0]!PCA_Tenor</c:f>
            </c:strRef>
          </c:cat>
          <c:val>
            <c:numRef>
              <c:f>[0]!PCA_Actual</c:f>
            </c:numRef>
          </c:val>
          <c:smooth val="0"/>
          <c:extLst>
            <c:ext xmlns:c16="http://schemas.microsoft.com/office/drawing/2014/chart" uri="{C3380CC4-5D6E-409C-BE32-E72D297353CC}">
              <c16:uniqueId val="{00000001-A12C-418A-9DF5-91D8735B8E4F}"/>
            </c:ext>
          </c:extLst>
        </c:ser>
        <c:ser>
          <c:idx val="1"/>
          <c:order val="1"/>
          <c:tx>
            <c:v>Mean</c:v>
          </c:tx>
          <c:cat>
            <c:strRef>
              <c:f>[0]!PCA_Tenor</c:f>
            </c:strRef>
          </c:cat>
          <c:val>
            <c:numRef>
              <c:f>[0]!PCA_Mean</c:f>
            </c:numRef>
          </c:val>
          <c:smooth val="0"/>
          <c:extLst>
            <c:ext xmlns:c16="http://schemas.microsoft.com/office/drawing/2014/chart" uri="{C3380CC4-5D6E-409C-BE32-E72D297353CC}">
              <c16:uniqueId val="{00000002-A12C-418A-9DF5-91D8735B8E4F}"/>
            </c:ext>
          </c:extLst>
        </c:ser>
        <c:ser>
          <c:idx val="2"/>
          <c:order val="2"/>
          <c:tx>
            <c:v>Recon (k)</c:v>
          </c:tx>
          <c:cat>
            <c:strRef>
              <c:f>[0]!PCA_Tenor</c:f>
            </c:strRef>
          </c:cat>
          <c:val>
            <c:numRef>
              <c:f>[0]!PCA_Recon</c:f>
            </c:numRef>
          </c:val>
          <c:smooth val="0"/>
          <c:extLst>
            <c:ext xmlns:c16="http://schemas.microsoft.com/office/drawing/2014/chart" uri="{C3380CC4-5D6E-409C-BE32-E72D297353CC}">
              <c16:uniqueId val="{00000003-A12C-418A-9DF5-91D8735B8E4F}"/>
            </c:ext>
          </c:extLst>
        </c:ser>
        <c:ser>
          <c:idx val="3"/>
          <c:order val="3"/>
          <c:tx>
            <c:v>+1σ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[0]!PCA_Up</c:f>
            </c:numRef>
          </c:val>
          <c:smooth val="0"/>
          <c:extLst>
            <c:ext xmlns:c16="http://schemas.microsoft.com/office/drawing/2014/chart" uri="{C3380CC4-5D6E-409C-BE32-E72D297353CC}">
              <c16:uniqueId val="{00000000-C15E-48A0-B9C1-7AD3135CC1F8}"/>
            </c:ext>
          </c:extLst>
        </c:ser>
        <c:ser>
          <c:idx val="4"/>
          <c:order val="4"/>
          <c:tx>
            <c:v>-1σ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[0]!PCA_Dn</c:f>
            </c:numRef>
          </c:val>
          <c:smooth val="0"/>
          <c:extLst>
            <c:ext xmlns:c16="http://schemas.microsoft.com/office/drawing/2014/chart" uri="{C3380CC4-5D6E-409C-BE32-E72D297353CC}">
              <c16:uniqueId val="{00000001-C15E-48A0-B9C1-7AD3135CC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53695"/>
        <c:axId val="1186047935"/>
      </c:lineChart>
      <c:catAx>
        <c:axId val="118605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47935"/>
        <c:crosses val="autoZero"/>
        <c:auto val="1"/>
        <c:lblAlgn val="ctr"/>
        <c:lblOffset val="100"/>
        <c:noMultiLvlLbl val="0"/>
      </c:catAx>
      <c:valAx>
        <c:axId val="1186047935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86053695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Residual: actual − recon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</c:v>
          </c:tx>
          <c:invertIfNegative val="0"/>
          <c:cat>
            <c:strRef>
              <c:f>[0]!PCA_Tenor</c:f>
            </c:strRef>
          </c:cat>
          <c:val>
            <c:numRef>
              <c:f>[0]!PCA_Resid</c:f>
            </c:numRef>
          </c:val>
          <c:extLst>
            <c:ext xmlns:c16="http://schemas.microsoft.com/office/drawing/2014/chart" uri="{C3380CC4-5D6E-409C-BE32-E72D297353CC}">
              <c16:uniqueId val="{00000001-BACB-43C0-876B-94B3AD86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6061375"/>
        <c:axId val="1186051295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[0]!PCA_SUp</c:f>
            </c:numRef>
          </c:val>
          <c:smooth val="0"/>
          <c:extLst>
            <c:ext xmlns:c16="http://schemas.microsoft.com/office/drawing/2014/chart" uri="{C3380CC4-5D6E-409C-BE32-E72D297353CC}">
              <c16:uniqueId val="{00000000-8EA0-49AD-956B-129F5A683422}"/>
            </c:ext>
          </c:extLst>
        </c:ser>
        <c:ser>
          <c:idx val="2"/>
          <c:order val="2"/>
          <c:tx>
            <c:v>-1σ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[0]!PCA_SDn</c:f>
            </c:numRef>
          </c:val>
          <c:smooth val="0"/>
          <c:extLst>
            <c:ext xmlns:c16="http://schemas.microsoft.com/office/drawing/2014/chart" uri="{C3380CC4-5D6E-409C-BE32-E72D297353CC}">
              <c16:uniqueId val="{00000001-8EA0-49AD-956B-129F5A683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61375"/>
        <c:axId val="1186051295"/>
      </c:lineChart>
      <c:catAx>
        <c:axId val="118606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1295"/>
        <c:crosses val="autoZero"/>
        <c:auto val="1"/>
        <c:lblAlgn val="ctr"/>
        <c:lblOffset val="100"/>
        <c:noMultiLvlLbl val="0"/>
      </c:catAx>
      <c:valAx>
        <c:axId val="1186051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6061375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PC vectors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cat>
            <c:strRef>
              <c:f>[0]!PCA_Tenor</c:f>
            </c:strRef>
          </c:cat>
          <c:val>
            <c:numRef>
              <c:f>[0]!PCA_L1</c:f>
            </c:numRef>
          </c:val>
          <c:smooth val="0"/>
          <c:extLst>
            <c:ext xmlns:c16="http://schemas.microsoft.com/office/drawing/2014/chart" uri="{C3380CC4-5D6E-409C-BE32-E72D297353CC}">
              <c16:uniqueId val="{00000001-CBD7-4991-8FF7-F64E7D0C2586}"/>
            </c:ext>
          </c:extLst>
        </c:ser>
        <c:ser>
          <c:idx val="1"/>
          <c:order val="1"/>
          <c:tx>
            <c:v>PC2</c:v>
          </c:tx>
          <c:cat>
            <c:strRef>
              <c:f>[0]!PCA_Tenor</c:f>
            </c:strRef>
          </c:cat>
          <c:val>
            <c:numRef>
              <c:f>[0]!PCA_L2</c:f>
            </c:numRef>
          </c:val>
          <c:smooth val="0"/>
          <c:extLst>
            <c:ext xmlns:c16="http://schemas.microsoft.com/office/drawing/2014/chart" uri="{C3380CC4-5D6E-409C-BE32-E72D297353CC}">
              <c16:uniqueId val="{00000002-CBD7-4991-8FF7-F64E7D0C2586}"/>
            </c:ext>
          </c:extLst>
        </c:ser>
        <c:ser>
          <c:idx val="2"/>
          <c:order val="2"/>
          <c:tx>
            <c:v>PC3</c:v>
          </c:tx>
          <c:cat>
            <c:strRef>
              <c:f>[0]!PCA_Tenor</c:f>
            </c:strRef>
          </c:cat>
          <c:val>
            <c:numRef>
              <c:f>[0]!PCA_L3</c:f>
            </c:numRef>
          </c:val>
          <c:smooth val="0"/>
          <c:extLst>
            <c:ext xmlns:c16="http://schemas.microsoft.com/office/drawing/2014/chart" uri="{C3380CC4-5D6E-409C-BE32-E72D297353CC}">
              <c16:uniqueId val="{00000003-CBD7-4991-8FF7-F64E7D0C2586}"/>
            </c:ext>
          </c:extLst>
        </c:ser>
        <c:ser>
          <c:idx val="3"/>
          <c:order val="3"/>
          <c:tx>
            <c:v>PC4</c:v>
          </c:tx>
          <c:cat>
            <c:strRef>
              <c:f>[0]!PCA_Tenor</c:f>
            </c:strRef>
          </c:cat>
          <c:val>
            <c:numRef>
              <c:f>[0]!PCA_L4</c:f>
            </c:numRef>
          </c:val>
          <c:smooth val="0"/>
          <c:extLst>
            <c:ext xmlns:c16="http://schemas.microsoft.com/office/drawing/2014/chart" uri="{C3380CC4-5D6E-409C-BE32-E72D297353CC}">
              <c16:uniqueId val="{00000004-CBD7-4991-8FF7-F64E7D0C2586}"/>
            </c:ext>
          </c:extLst>
        </c:ser>
        <c:ser>
          <c:idx val="4"/>
          <c:order val="4"/>
          <c:tx>
            <c:v>PC5</c:v>
          </c:tx>
          <c:cat>
            <c:strRef>
              <c:f>[0]!PCA_Tenor</c:f>
            </c:strRef>
          </c:cat>
          <c:val>
            <c:numRef>
              <c:f>[0]!PCA_L5</c:f>
            </c:numRef>
          </c:val>
          <c:smooth val="0"/>
          <c:extLst>
            <c:ext xmlns:c16="http://schemas.microsoft.com/office/drawing/2014/chart" uri="{C3380CC4-5D6E-409C-BE32-E72D297353CC}">
              <c16:uniqueId val="{00000005-CBD7-4991-8FF7-F64E7D0C2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48895"/>
        <c:axId val="1186056575"/>
      </c:lineChart>
      <c:catAx>
        <c:axId val="118604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6575"/>
        <c:crosses val="autoZero"/>
        <c:auto val="1"/>
        <c:lblAlgn val="ctr"/>
        <c:lblOffset val="100"/>
        <c:noMultiLvlLbl val="0"/>
      </c:catAx>
      <c:valAx>
        <c:axId val="1186056575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860488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E0D-4CA1-8BFD-42022E74C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4064"/>
        <c:axId val="789415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[0]!PCG_SUp1_1</c:f>
            </c:numRef>
          </c:val>
          <c:smooth val="0"/>
          <c:extLst>
            <c:ext xmlns:c16="http://schemas.microsoft.com/office/drawing/2014/chart" uri="{C3380CC4-5D6E-409C-BE32-E72D297353CC}">
              <c16:uniqueId val="{00000000-9973-4EEC-AD53-34C1AC89BBB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973-4EEC-AD53-34C1AC89B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4064"/>
        <c:axId val="789415504"/>
      </c:lineChart>
      <c:catAx>
        <c:axId val="7894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5504"/>
        <c:crosses val="autoZero"/>
        <c:auto val="1"/>
        <c:lblAlgn val="ctr"/>
        <c:lblOffset val="100"/>
        <c:noMultiLvlLbl val="0"/>
      </c:catAx>
      <c:valAx>
        <c:axId val="78941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40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C3C-471D-84AD-FF5320CE4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8384"/>
        <c:axId val="789413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[0]!PCG_SUp1_2</c:f>
            </c:numRef>
          </c:val>
          <c:smooth val="0"/>
          <c:extLst>
            <c:ext xmlns:c16="http://schemas.microsoft.com/office/drawing/2014/chart" uri="{C3380CC4-5D6E-409C-BE32-E72D297353CC}">
              <c16:uniqueId val="{00000000-B1AC-4AC8-9D78-643BBF5C199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[0]!PCG_SDn1_2</c:f>
            </c:numRef>
          </c:val>
          <c:smooth val="0"/>
          <c:extLst>
            <c:ext xmlns:c16="http://schemas.microsoft.com/office/drawing/2014/chart" uri="{C3380CC4-5D6E-409C-BE32-E72D297353CC}">
              <c16:uniqueId val="{00000001-B1AC-4AC8-9D78-643BBF5C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8384"/>
        <c:axId val="789413584"/>
      </c:lineChart>
      <c:catAx>
        <c:axId val="78941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3584"/>
        <c:crosses val="autoZero"/>
        <c:auto val="1"/>
        <c:lblAlgn val="ctr"/>
        <c:lblOffset val="100"/>
        <c:noMultiLvlLbl val="0"/>
      </c:catAx>
      <c:valAx>
        <c:axId val="78941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8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32C-44A7-BD06-24AF17E0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2224"/>
        <c:axId val="7894059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[0]!PCG_SUp1_3</c:f>
            </c:numRef>
          </c:val>
          <c:smooth val="0"/>
          <c:extLst>
            <c:ext xmlns:c16="http://schemas.microsoft.com/office/drawing/2014/chart" uri="{C3380CC4-5D6E-409C-BE32-E72D297353CC}">
              <c16:uniqueId val="{00000000-8C52-41D0-890E-2396A4C5DB7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[0]!PCG_SDn1_3</c:f>
            </c:numRef>
          </c:val>
          <c:smooth val="0"/>
          <c:extLst>
            <c:ext xmlns:c16="http://schemas.microsoft.com/office/drawing/2014/chart" uri="{C3380CC4-5D6E-409C-BE32-E72D297353CC}">
              <c16:uniqueId val="{00000001-8C52-41D0-890E-2396A4C5D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2224"/>
        <c:axId val="789405904"/>
      </c:lineChart>
      <c:catAx>
        <c:axId val="78942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904"/>
        <c:crosses val="autoZero"/>
        <c:auto val="1"/>
        <c:lblAlgn val="ctr"/>
        <c:lblOffset val="100"/>
        <c:noMultiLvlLbl val="0"/>
      </c:catAx>
      <c:valAx>
        <c:axId val="7894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2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265-4A93-950C-5E7FF7B56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7344"/>
        <c:axId val="7894107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[0]!PCG_SUp1_4</c:f>
            </c:numRef>
          </c:val>
          <c:smooth val="0"/>
          <c:extLst>
            <c:ext xmlns:c16="http://schemas.microsoft.com/office/drawing/2014/chart" uri="{C3380CC4-5D6E-409C-BE32-E72D297353CC}">
              <c16:uniqueId val="{00000000-46C9-468B-8617-71E9CAE1F75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[0]!PCG_SDn1_4</c:f>
            </c:numRef>
          </c:val>
          <c:smooth val="0"/>
          <c:extLst>
            <c:ext xmlns:c16="http://schemas.microsoft.com/office/drawing/2014/chart" uri="{C3380CC4-5D6E-409C-BE32-E72D297353CC}">
              <c16:uniqueId val="{00000001-46C9-468B-8617-71E9CAE1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7344"/>
        <c:axId val="789410704"/>
      </c:lineChart>
      <c:catAx>
        <c:axId val="78940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0704"/>
        <c:crosses val="autoZero"/>
        <c:auto val="1"/>
        <c:lblAlgn val="ctr"/>
        <c:lblOffset val="100"/>
        <c:noMultiLvlLbl val="0"/>
      </c:catAx>
      <c:valAx>
        <c:axId val="78941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73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71B-4885-8360-0FC9C669E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2144"/>
        <c:axId val="789412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[0]!PCG_SUp1_5</c:f>
            </c:numRef>
          </c:val>
          <c:smooth val="0"/>
          <c:extLst>
            <c:ext xmlns:c16="http://schemas.microsoft.com/office/drawing/2014/chart" uri="{C3380CC4-5D6E-409C-BE32-E72D297353CC}">
              <c16:uniqueId val="{00000000-25FD-467D-992E-7A564CF4E20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[0]!PCG_SDn1_5</c:f>
            </c:numRef>
          </c:val>
          <c:smooth val="0"/>
          <c:extLst>
            <c:ext xmlns:c16="http://schemas.microsoft.com/office/drawing/2014/chart" uri="{C3380CC4-5D6E-409C-BE32-E72D297353CC}">
              <c16:uniqueId val="{00000001-25FD-467D-992E-7A564CF4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2144"/>
        <c:axId val="789412624"/>
      </c:lineChart>
      <c:catAx>
        <c:axId val="78941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624"/>
        <c:crosses val="autoZero"/>
        <c:auto val="1"/>
        <c:lblAlgn val="ctr"/>
        <c:lblOffset val="100"/>
        <c:noMultiLvlLbl val="0"/>
      </c:catAx>
      <c:valAx>
        <c:axId val="78941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89B-42B7-8AF4-430FB93667FF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[0]!PCG_V1_2</c:f>
            </c:numRef>
          </c:val>
          <c:smooth val="0"/>
          <c:extLst>
            <c:ext xmlns:c16="http://schemas.microsoft.com/office/drawing/2014/chart" uri="{C3380CC4-5D6E-409C-BE32-E72D297353CC}">
              <c16:uniqueId val="{00000002-989B-42B7-8AF4-430FB93667FF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[0]!PCG_V1_3</c:f>
            </c:numRef>
          </c:val>
          <c:smooth val="0"/>
          <c:extLst>
            <c:ext xmlns:c16="http://schemas.microsoft.com/office/drawing/2014/chart" uri="{C3380CC4-5D6E-409C-BE32-E72D297353CC}">
              <c16:uniqueId val="{00000003-989B-42B7-8AF4-430FB93667FF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[0]!PCG_V1_4</c:f>
            </c:numRef>
          </c:val>
          <c:smooth val="0"/>
          <c:extLst>
            <c:ext xmlns:c16="http://schemas.microsoft.com/office/drawing/2014/chart" uri="{C3380CC4-5D6E-409C-BE32-E72D297353CC}">
              <c16:uniqueId val="{00000004-989B-42B7-8AF4-430FB93667FF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[0]!PCG_V1_5</c:f>
            </c:numRef>
          </c:val>
          <c:smooth val="0"/>
          <c:extLst>
            <c:ext xmlns:c16="http://schemas.microsoft.com/office/drawing/2014/chart" uri="{C3380CC4-5D6E-409C-BE32-E72D297353CC}">
              <c16:uniqueId val="{00000005-989B-42B7-8AF4-430FB9366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9344"/>
        <c:axId val="789422704"/>
      </c:lineChart>
      <c:catAx>
        <c:axId val="78941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704"/>
        <c:crosses val="autoZero"/>
        <c:auto val="1"/>
        <c:lblAlgn val="ctr"/>
        <c:lblOffset val="100"/>
        <c:noMultiLvlLbl val="0"/>
      </c:catAx>
      <c:valAx>
        <c:axId val="7894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14F-4504-A0D8-204BEF39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6144"/>
        <c:axId val="7894241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[0]!PCG_SUp2_1</c:f>
            </c:numRef>
          </c:val>
          <c:smooth val="0"/>
          <c:extLst>
            <c:ext xmlns:c16="http://schemas.microsoft.com/office/drawing/2014/chart" uri="{C3380CC4-5D6E-409C-BE32-E72D297353CC}">
              <c16:uniqueId val="{00000000-22DE-44B5-B3E2-124BBBD5786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[0]!PCG_SDn2_1</c:f>
            </c:numRef>
          </c:val>
          <c:smooth val="0"/>
          <c:extLst>
            <c:ext xmlns:c16="http://schemas.microsoft.com/office/drawing/2014/chart" uri="{C3380CC4-5D6E-409C-BE32-E72D297353CC}">
              <c16:uniqueId val="{00000001-22DE-44B5-B3E2-124BBBD57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6144"/>
        <c:axId val="789424144"/>
      </c:lineChart>
      <c:catAx>
        <c:axId val="78943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144"/>
        <c:crosses val="autoZero"/>
        <c:auto val="1"/>
        <c:lblAlgn val="ctr"/>
        <c:lblOffset val="100"/>
        <c:noMultiLvlLbl val="0"/>
      </c:catAx>
      <c:valAx>
        <c:axId val="78942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6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A66-428C-A7D6-52060F853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1344"/>
        <c:axId val="789424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[0]!PCG_SUp2_2</c:f>
            </c:numRef>
          </c:val>
          <c:smooth val="0"/>
          <c:extLst>
            <c:ext xmlns:c16="http://schemas.microsoft.com/office/drawing/2014/chart" uri="{C3380CC4-5D6E-409C-BE32-E72D297353CC}">
              <c16:uniqueId val="{00000000-5698-453B-B5A2-86AF922F065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[0]!PCG_SDn2_2</c:f>
            </c:numRef>
          </c:val>
          <c:smooth val="0"/>
          <c:extLst>
            <c:ext xmlns:c16="http://schemas.microsoft.com/office/drawing/2014/chart" uri="{C3380CC4-5D6E-409C-BE32-E72D297353CC}">
              <c16:uniqueId val="{00000001-5698-453B-B5A2-86AF922F0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1344"/>
        <c:axId val="789424624"/>
      </c:lineChart>
      <c:catAx>
        <c:axId val="78943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624"/>
        <c:crosses val="autoZero"/>
        <c:auto val="1"/>
        <c:lblAlgn val="ctr"/>
        <c:lblOffset val="100"/>
        <c:noMultiLvlLbl val="0"/>
      </c:catAx>
      <c:valAx>
        <c:axId val="7894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3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09A-4CAB-AFA0-46D21967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6544"/>
        <c:axId val="789427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[0]!PCG_SUp2_3</c:f>
            </c:numRef>
          </c:val>
          <c:smooth val="0"/>
          <c:extLst>
            <c:ext xmlns:c16="http://schemas.microsoft.com/office/drawing/2014/chart" uri="{C3380CC4-5D6E-409C-BE32-E72D297353CC}">
              <c16:uniqueId val="{00000000-338D-4C53-B4C7-A6585972ED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[0]!PCG_SDn2_3</c:f>
            </c:numRef>
          </c:val>
          <c:smooth val="0"/>
          <c:extLst>
            <c:ext xmlns:c16="http://schemas.microsoft.com/office/drawing/2014/chart" uri="{C3380CC4-5D6E-409C-BE32-E72D297353CC}">
              <c16:uniqueId val="{00000001-338D-4C53-B4C7-A6585972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6544"/>
        <c:axId val="789427504"/>
      </c:lineChart>
      <c:catAx>
        <c:axId val="78942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7504"/>
        <c:crosses val="autoZero"/>
        <c:auto val="1"/>
        <c:lblAlgn val="ctr"/>
        <c:lblOffset val="100"/>
        <c:noMultiLvlLbl val="0"/>
      </c:catAx>
      <c:valAx>
        <c:axId val="78942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233-442E-9D9F-2B6DEEB46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0384"/>
        <c:axId val="78943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[0]!PCG_SUp2_4</c:f>
            </c:numRef>
          </c:val>
          <c:smooth val="0"/>
          <c:extLst>
            <c:ext xmlns:c16="http://schemas.microsoft.com/office/drawing/2014/chart" uri="{C3380CC4-5D6E-409C-BE32-E72D297353CC}">
              <c16:uniqueId val="{00000000-C3DF-43D3-8EF6-8CEC1E3677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[0]!PCG_SDn2_4</c:f>
            </c:numRef>
          </c:val>
          <c:smooth val="0"/>
          <c:extLst>
            <c:ext xmlns:c16="http://schemas.microsoft.com/office/drawing/2014/chart" uri="{C3380CC4-5D6E-409C-BE32-E72D297353CC}">
              <c16:uniqueId val="{00000001-C3DF-43D3-8EF6-8CEC1E367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0384"/>
        <c:axId val="789431824"/>
      </c:lineChart>
      <c:catAx>
        <c:axId val="78943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824"/>
        <c:crosses val="autoZero"/>
        <c:auto val="1"/>
        <c:lblAlgn val="ctr"/>
        <c:lblOffset val="100"/>
        <c:noMultiLvlLbl val="0"/>
      </c:catAx>
      <c:valAx>
        <c:axId val="78943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0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078-4D68-BCBE-9DE4608F1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8544"/>
        <c:axId val="7894553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[0]!PCG_SUp2_5</c:f>
            </c:numRef>
          </c:val>
          <c:smooth val="0"/>
          <c:extLst>
            <c:ext xmlns:c16="http://schemas.microsoft.com/office/drawing/2014/chart" uri="{C3380CC4-5D6E-409C-BE32-E72D297353CC}">
              <c16:uniqueId val="{00000000-ACF7-4E01-9E59-4A0F7CCC8A2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[0]!PCG_SDn2_5</c:f>
            </c:numRef>
          </c:val>
          <c:smooth val="0"/>
          <c:extLst>
            <c:ext xmlns:c16="http://schemas.microsoft.com/office/drawing/2014/chart" uri="{C3380CC4-5D6E-409C-BE32-E72D297353CC}">
              <c16:uniqueId val="{00000001-ACF7-4E01-9E59-4A0F7CCC8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8544"/>
        <c:axId val="789455344"/>
      </c:lineChart>
      <c:catAx>
        <c:axId val="78943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5344"/>
        <c:crosses val="autoZero"/>
        <c:auto val="1"/>
        <c:lblAlgn val="ctr"/>
        <c:lblOffset val="100"/>
        <c:noMultiLvlLbl val="0"/>
      </c:catAx>
      <c:valAx>
        <c:axId val="78945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8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[0]!PCG_V2_1</c:f>
            </c:numRef>
          </c:val>
          <c:smooth val="0"/>
          <c:extLst>
            <c:ext xmlns:c16="http://schemas.microsoft.com/office/drawing/2014/chart" uri="{C3380CC4-5D6E-409C-BE32-E72D297353CC}">
              <c16:uniqueId val="{00000001-FD2E-40EA-A479-784DA3FAFB6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[0]!PCG_V2_2</c:f>
            </c:numRef>
          </c:val>
          <c:smooth val="0"/>
          <c:extLst>
            <c:ext xmlns:c16="http://schemas.microsoft.com/office/drawing/2014/chart" uri="{C3380CC4-5D6E-409C-BE32-E72D297353CC}">
              <c16:uniqueId val="{00000002-FD2E-40EA-A479-784DA3FAFB6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[0]!PCG_V2_3</c:f>
            </c:numRef>
          </c:val>
          <c:smooth val="0"/>
          <c:extLst>
            <c:ext xmlns:c16="http://schemas.microsoft.com/office/drawing/2014/chart" uri="{C3380CC4-5D6E-409C-BE32-E72D297353CC}">
              <c16:uniqueId val="{00000003-FD2E-40EA-A479-784DA3FAFB6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[0]!PCG_V2_4</c:f>
            </c:numRef>
          </c:val>
          <c:smooth val="0"/>
          <c:extLst>
            <c:ext xmlns:c16="http://schemas.microsoft.com/office/drawing/2014/chart" uri="{C3380CC4-5D6E-409C-BE32-E72D297353CC}">
              <c16:uniqueId val="{00000004-FD2E-40EA-A479-784DA3FAFB6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[0]!PCG_V2_5</c:f>
            </c:numRef>
          </c:val>
          <c:smooth val="0"/>
          <c:extLst>
            <c:ext xmlns:c16="http://schemas.microsoft.com/office/drawing/2014/chart" uri="{C3380CC4-5D6E-409C-BE32-E72D297353CC}">
              <c16:uniqueId val="{00000005-FD2E-40EA-A479-784DA3FA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57744"/>
        <c:axId val="789457264"/>
      </c:lineChart>
      <c:catAx>
        <c:axId val="78945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264"/>
        <c:crosses val="autoZero"/>
        <c:auto val="1"/>
        <c:lblAlgn val="ctr"/>
        <c:lblOffset val="100"/>
        <c:noMultiLvlLbl val="0"/>
      </c:catAx>
      <c:valAx>
        <c:axId val="78945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21A-421E-A103-850776BC4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44784"/>
        <c:axId val="78946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[0]!PCG_SUp3_1</c:f>
            </c:numRef>
          </c:val>
          <c:smooth val="0"/>
          <c:extLst>
            <c:ext xmlns:c16="http://schemas.microsoft.com/office/drawing/2014/chart" uri="{C3380CC4-5D6E-409C-BE32-E72D297353CC}">
              <c16:uniqueId val="{00000000-8DDD-46F3-BC83-DB7B65C494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[0]!PCG_SDn3_1</c:f>
            </c:numRef>
          </c:val>
          <c:smooth val="0"/>
          <c:extLst>
            <c:ext xmlns:c16="http://schemas.microsoft.com/office/drawing/2014/chart" uri="{C3380CC4-5D6E-409C-BE32-E72D297353CC}">
              <c16:uniqueId val="{00000001-8DDD-46F3-BC83-DB7B65C4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44784"/>
        <c:axId val="789461584"/>
      </c:lineChart>
      <c:catAx>
        <c:axId val="78944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1584"/>
        <c:crosses val="autoZero"/>
        <c:auto val="1"/>
        <c:lblAlgn val="ctr"/>
        <c:lblOffset val="100"/>
        <c:noMultiLvlLbl val="0"/>
      </c:catAx>
      <c:valAx>
        <c:axId val="7894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447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89A-4997-A88A-42A444B9A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3024"/>
        <c:axId val="789463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[0]!PCG_SUp3_2</c:f>
            </c:numRef>
          </c:val>
          <c:smooth val="0"/>
          <c:extLst>
            <c:ext xmlns:c16="http://schemas.microsoft.com/office/drawing/2014/chart" uri="{C3380CC4-5D6E-409C-BE32-E72D297353CC}">
              <c16:uniqueId val="{00000000-2980-4EE5-8DBC-9505A46B665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[0]!PCG_SDn3_2</c:f>
            </c:numRef>
          </c:val>
          <c:smooth val="0"/>
          <c:extLst>
            <c:ext xmlns:c16="http://schemas.microsoft.com/office/drawing/2014/chart" uri="{C3380CC4-5D6E-409C-BE32-E72D297353CC}">
              <c16:uniqueId val="{00000001-2980-4EE5-8DBC-9505A46B6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3024"/>
        <c:axId val="789463504"/>
      </c:lineChart>
      <c:catAx>
        <c:axId val="78946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504"/>
        <c:crosses val="autoZero"/>
        <c:auto val="1"/>
        <c:lblAlgn val="ctr"/>
        <c:lblOffset val="100"/>
        <c:noMultiLvlLbl val="0"/>
      </c:catAx>
      <c:valAx>
        <c:axId val="78946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0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459-4E02-8ABC-4B2157170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5424"/>
        <c:axId val="789466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[0]!PCG_SUp3_3</c:f>
            </c:numRef>
          </c:val>
          <c:smooth val="0"/>
          <c:extLst>
            <c:ext xmlns:c16="http://schemas.microsoft.com/office/drawing/2014/chart" uri="{C3380CC4-5D6E-409C-BE32-E72D297353CC}">
              <c16:uniqueId val="{00000000-D8AF-4085-9A45-8E0FBA3B559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[0]!PCG_SDn3_3</c:f>
            </c:numRef>
          </c:val>
          <c:smooth val="0"/>
          <c:extLst>
            <c:ext xmlns:c16="http://schemas.microsoft.com/office/drawing/2014/chart" uri="{C3380CC4-5D6E-409C-BE32-E72D297353CC}">
              <c16:uniqueId val="{00000001-D8AF-4085-9A45-8E0FBA3B5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5424"/>
        <c:axId val="789466384"/>
      </c:lineChart>
      <c:catAx>
        <c:axId val="78946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6384"/>
        <c:crosses val="autoZero"/>
        <c:auto val="1"/>
        <c:lblAlgn val="ctr"/>
        <c:lblOffset val="100"/>
        <c:noMultiLvlLbl val="0"/>
      </c:catAx>
      <c:valAx>
        <c:axId val="78946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54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1E3-45BC-B0CF-7168505B9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3104"/>
        <c:axId val="789468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[0]!PCG_SUp3_4</c:f>
            </c:numRef>
          </c:val>
          <c:smooth val="0"/>
          <c:extLst>
            <c:ext xmlns:c16="http://schemas.microsoft.com/office/drawing/2014/chart" uri="{C3380CC4-5D6E-409C-BE32-E72D297353CC}">
              <c16:uniqueId val="{00000000-B93F-4EE5-98C9-006D3A83643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[0]!PCG_SDn3_4</c:f>
            </c:numRef>
          </c:val>
          <c:smooth val="0"/>
          <c:extLst>
            <c:ext xmlns:c16="http://schemas.microsoft.com/office/drawing/2014/chart" uri="{C3380CC4-5D6E-409C-BE32-E72D297353CC}">
              <c16:uniqueId val="{00000001-B93F-4EE5-98C9-006D3A836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3104"/>
        <c:axId val="789468304"/>
      </c:lineChart>
      <c:catAx>
        <c:axId val="78947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304"/>
        <c:crosses val="autoZero"/>
        <c:auto val="1"/>
        <c:lblAlgn val="ctr"/>
        <c:lblOffset val="100"/>
        <c:noMultiLvlLbl val="0"/>
      </c:catAx>
      <c:valAx>
        <c:axId val="78946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3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8F-4B85-8E64-A87E55DD0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0224"/>
        <c:axId val="7894687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[0]!PCG_SUp3_5</c:f>
            </c:numRef>
          </c:val>
          <c:smooth val="0"/>
          <c:extLst>
            <c:ext xmlns:c16="http://schemas.microsoft.com/office/drawing/2014/chart" uri="{C3380CC4-5D6E-409C-BE32-E72D297353CC}">
              <c16:uniqueId val="{00000000-63D6-4AC0-8052-541E19A9361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[0]!PCG_SDn3_5</c:f>
            </c:numRef>
          </c:val>
          <c:smooth val="0"/>
          <c:extLst>
            <c:ext xmlns:c16="http://schemas.microsoft.com/office/drawing/2014/chart" uri="{C3380CC4-5D6E-409C-BE32-E72D297353CC}">
              <c16:uniqueId val="{00000001-63D6-4AC0-8052-541E19A93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0224"/>
        <c:axId val="789468784"/>
      </c:lineChart>
      <c:catAx>
        <c:axId val="78947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784"/>
        <c:crosses val="autoZero"/>
        <c:auto val="1"/>
        <c:lblAlgn val="ctr"/>
        <c:lblOffset val="100"/>
        <c:noMultiLvlLbl val="0"/>
      </c:catAx>
      <c:valAx>
        <c:axId val="78946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02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[0]!PCG_V3_1</c:f>
            </c:numRef>
          </c:val>
          <c:smooth val="0"/>
          <c:extLst>
            <c:ext xmlns:c16="http://schemas.microsoft.com/office/drawing/2014/chart" uri="{C3380CC4-5D6E-409C-BE32-E72D297353CC}">
              <c16:uniqueId val="{00000001-AABB-4F27-BA7B-503310E3FB83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[0]!PCG_V3_2</c:f>
            </c:numRef>
          </c:val>
          <c:smooth val="0"/>
          <c:extLst>
            <c:ext xmlns:c16="http://schemas.microsoft.com/office/drawing/2014/chart" uri="{C3380CC4-5D6E-409C-BE32-E72D297353CC}">
              <c16:uniqueId val="{00000002-AABB-4F27-BA7B-503310E3FB83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[0]!PCG_V3_3</c:f>
            </c:numRef>
          </c:val>
          <c:smooth val="0"/>
          <c:extLst>
            <c:ext xmlns:c16="http://schemas.microsoft.com/office/drawing/2014/chart" uri="{C3380CC4-5D6E-409C-BE32-E72D297353CC}">
              <c16:uniqueId val="{00000003-AABB-4F27-BA7B-503310E3FB83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[0]!PCG_V3_4</c:f>
            </c:numRef>
          </c:val>
          <c:smooth val="0"/>
          <c:extLst>
            <c:ext xmlns:c16="http://schemas.microsoft.com/office/drawing/2014/chart" uri="{C3380CC4-5D6E-409C-BE32-E72D297353CC}">
              <c16:uniqueId val="{00000004-AABB-4F27-BA7B-503310E3FB83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[0]!PCG_V3_5</c:f>
            </c:numRef>
          </c:val>
          <c:smooth val="0"/>
          <c:extLst>
            <c:ext xmlns:c16="http://schemas.microsoft.com/office/drawing/2014/chart" uri="{C3380CC4-5D6E-409C-BE32-E72D297353CC}">
              <c16:uniqueId val="{00000005-AABB-4F27-BA7B-503310E3F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4544"/>
        <c:axId val="789472144"/>
      </c:lineChart>
      <c:catAx>
        <c:axId val="78947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2144"/>
        <c:crosses val="autoZero"/>
        <c:auto val="1"/>
        <c:lblAlgn val="ctr"/>
        <c:lblOffset val="100"/>
        <c:noMultiLvlLbl val="0"/>
      </c:catAx>
      <c:valAx>
        <c:axId val="7894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895-4D7E-AF20-364DDF42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4544"/>
        <c:axId val="789359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[0]!PCG_SUp4_1</c:f>
            </c:numRef>
          </c:val>
          <c:smooth val="0"/>
          <c:extLst>
            <c:ext xmlns:c16="http://schemas.microsoft.com/office/drawing/2014/chart" uri="{C3380CC4-5D6E-409C-BE32-E72D297353CC}">
              <c16:uniqueId val="{00000000-3DD3-43C0-A65A-BD85B0D73D2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[0]!PCG_SDn4_1</c:f>
            </c:numRef>
          </c:val>
          <c:smooth val="0"/>
          <c:extLst>
            <c:ext xmlns:c16="http://schemas.microsoft.com/office/drawing/2014/chart" uri="{C3380CC4-5D6E-409C-BE32-E72D297353CC}">
              <c16:uniqueId val="{00000001-3DD3-43C0-A65A-BD85B0D7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4544"/>
        <c:axId val="789359824"/>
      </c:lineChart>
      <c:catAx>
        <c:axId val="78935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9824"/>
        <c:crosses val="autoZero"/>
        <c:auto val="1"/>
        <c:lblAlgn val="ctr"/>
        <c:lblOffset val="100"/>
        <c:noMultiLvlLbl val="0"/>
      </c:catAx>
      <c:valAx>
        <c:axId val="78935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4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011-4A2A-B080-67501BE7B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48784"/>
        <c:axId val="789349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[0]!PCG_SUp4_2</c:f>
            </c:numRef>
          </c:val>
          <c:smooth val="0"/>
          <c:extLst>
            <c:ext xmlns:c16="http://schemas.microsoft.com/office/drawing/2014/chart" uri="{C3380CC4-5D6E-409C-BE32-E72D297353CC}">
              <c16:uniqueId val="{00000000-27E0-4945-AE16-F9D593B5517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[0]!PCG_SDn4_2</c:f>
            </c:numRef>
          </c:val>
          <c:smooth val="0"/>
          <c:extLst>
            <c:ext xmlns:c16="http://schemas.microsoft.com/office/drawing/2014/chart" uri="{C3380CC4-5D6E-409C-BE32-E72D297353CC}">
              <c16:uniqueId val="{00000001-27E0-4945-AE16-F9D593B55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48784"/>
        <c:axId val="789349744"/>
      </c:lineChart>
      <c:catAx>
        <c:axId val="78934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9744"/>
        <c:crosses val="autoZero"/>
        <c:auto val="1"/>
        <c:lblAlgn val="ctr"/>
        <c:lblOffset val="100"/>
        <c:noMultiLvlLbl val="0"/>
      </c:catAx>
      <c:valAx>
        <c:axId val="78934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87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F4D-4C13-B401-854036FC3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8864"/>
        <c:axId val="789361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[0]!PCG_SUp4_3</c:f>
            </c:numRef>
          </c:val>
          <c:smooth val="0"/>
          <c:extLst>
            <c:ext xmlns:c16="http://schemas.microsoft.com/office/drawing/2014/chart" uri="{C3380CC4-5D6E-409C-BE32-E72D297353CC}">
              <c16:uniqueId val="{00000000-676C-4E8A-B09A-925888462ABC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[0]!PCG_SDn4_3</c:f>
            </c:numRef>
          </c:val>
          <c:smooth val="0"/>
          <c:extLst>
            <c:ext xmlns:c16="http://schemas.microsoft.com/office/drawing/2014/chart" uri="{C3380CC4-5D6E-409C-BE32-E72D297353CC}">
              <c16:uniqueId val="{00000001-676C-4E8A-B09A-925888462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8864"/>
        <c:axId val="789361264"/>
      </c:lineChart>
      <c:catAx>
        <c:axId val="78935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264"/>
        <c:crosses val="autoZero"/>
        <c:auto val="1"/>
        <c:lblAlgn val="ctr"/>
        <c:lblOffset val="100"/>
        <c:noMultiLvlLbl val="0"/>
      </c:catAx>
      <c:valAx>
        <c:axId val="78936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8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14D-400B-A622-73DFC9B66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104"/>
        <c:axId val="789358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[0]!PCG_SUp4_4</c:f>
            </c:numRef>
          </c:val>
          <c:smooth val="0"/>
          <c:extLst>
            <c:ext xmlns:c16="http://schemas.microsoft.com/office/drawing/2014/chart" uri="{C3380CC4-5D6E-409C-BE32-E72D297353CC}">
              <c16:uniqueId val="{00000000-2707-48FB-A885-F128751F56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[0]!PCG_SDn4_4</c:f>
            </c:numRef>
          </c:val>
          <c:smooth val="0"/>
          <c:extLst>
            <c:ext xmlns:c16="http://schemas.microsoft.com/office/drawing/2014/chart" uri="{C3380CC4-5D6E-409C-BE32-E72D297353CC}">
              <c16:uniqueId val="{00000001-2707-48FB-A885-F128751F5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104"/>
        <c:axId val="789358384"/>
      </c:lineChart>
      <c:catAx>
        <c:axId val="78935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384"/>
        <c:crosses val="autoZero"/>
        <c:auto val="1"/>
        <c:lblAlgn val="ctr"/>
        <c:lblOffset val="100"/>
        <c:noMultiLvlLbl val="0"/>
      </c:catAx>
      <c:valAx>
        <c:axId val="7893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B3D-461B-96F2-68FD5FBBD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0704"/>
        <c:axId val="7893550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[0]!PCG_SUp4_5</c:f>
            </c:numRef>
          </c:val>
          <c:smooth val="0"/>
          <c:extLst>
            <c:ext xmlns:c16="http://schemas.microsoft.com/office/drawing/2014/chart" uri="{C3380CC4-5D6E-409C-BE32-E72D297353CC}">
              <c16:uniqueId val="{00000000-6A47-40F5-A49A-82EF3AE831E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[0]!PCG_SDn4_5</c:f>
            </c:numRef>
          </c:val>
          <c:smooth val="0"/>
          <c:extLst>
            <c:ext xmlns:c16="http://schemas.microsoft.com/office/drawing/2014/chart" uri="{C3380CC4-5D6E-409C-BE32-E72D297353CC}">
              <c16:uniqueId val="{00000001-6A47-40F5-A49A-82EF3AE83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0704"/>
        <c:axId val="789355024"/>
      </c:lineChart>
      <c:catAx>
        <c:axId val="78935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5024"/>
        <c:crosses val="autoZero"/>
        <c:auto val="1"/>
        <c:lblAlgn val="ctr"/>
        <c:lblOffset val="100"/>
        <c:noMultiLvlLbl val="0"/>
      </c:catAx>
      <c:valAx>
        <c:axId val="7893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07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4)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[0]!PCG_V4_1</c:f>
            </c:numRef>
          </c:val>
          <c:smooth val="0"/>
          <c:extLst>
            <c:ext xmlns:c16="http://schemas.microsoft.com/office/drawing/2014/chart" uri="{C3380CC4-5D6E-409C-BE32-E72D297353CC}">
              <c16:uniqueId val="{00000001-F58B-40EC-BB51-AB1BDD8119D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[0]!PCG_V4_2</c:f>
            </c:numRef>
          </c:val>
          <c:smooth val="0"/>
          <c:extLst>
            <c:ext xmlns:c16="http://schemas.microsoft.com/office/drawing/2014/chart" uri="{C3380CC4-5D6E-409C-BE32-E72D297353CC}">
              <c16:uniqueId val="{00000002-F58B-40EC-BB51-AB1BDD8119D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[0]!PCG_V4_3</c:f>
            </c:numRef>
          </c:val>
          <c:smooth val="0"/>
          <c:extLst>
            <c:ext xmlns:c16="http://schemas.microsoft.com/office/drawing/2014/chart" uri="{C3380CC4-5D6E-409C-BE32-E72D297353CC}">
              <c16:uniqueId val="{00000003-F58B-40EC-BB51-AB1BDD8119D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[0]!PCG_V4_4</c:f>
            </c:numRef>
          </c:val>
          <c:smooth val="0"/>
          <c:extLst>
            <c:ext xmlns:c16="http://schemas.microsoft.com/office/drawing/2014/chart" uri="{C3380CC4-5D6E-409C-BE32-E72D297353CC}">
              <c16:uniqueId val="{00000004-F58B-40EC-BB51-AB1BDD8119D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[0]!PCG_V4_5</c:f>
            </c:numRef>
          </c:val>
          <c:smooth val="0"/>
          <c:extLst>
            <c:ext xmlns:c16="http://schemas.microsoft.com/office/drawing/2014/chart" uri="{C3380CC4-5D6E-409C-BE32-E72D297353CC}">
              <c16:uniqueId val="{00000005-F58B-40EC-BB51-AB1BDD811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7424"/>
        <c:axId val="789356944"/>
      </c:lineChart>
      <c:catAx>
        <c:axId val="78935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6944"/>
        <c:crosses val="autoZero"/>
        <c:auto val="1"/>
        <c:lblAlgn val="ctr"/>
        <c:lblOffset val="100"/>
        <c:noMultiLvlLbl val="0"/>
      </c:catAx>
      <c:valAx>
        <c:axId val="78935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F97-4274-BDD5-4F46D4366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2704"/>
        <c:axId val="789374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[0]!PCG_SUp5_1</c:f>
            </c:numRef>
          </c:val>
          <c:smooth val="0"/>
          <c:extLst>
            <c:ext xmlns:c16="http://schemas.microsoft.com/office/drawing/2014/chart" uri="{C3380CC4-5D6E-409C-BE32-E72D297353CC}">
              <c16:uniqueId val="{00000000-E0FA-44DD-8B81-92D22EA4FA1E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[0]!PCG_SDn5_1</c:f>
            </c:numRef>
          </c:val>
          <c:smooth val="0"/>
          <c:extLst>
            <c:ext xmlns:c16="http://schemas.microsoft.com/office/drawing/2014/chart" uri="{C3380CC4-5D6E-409C-BE32-E72D297353CC}">
              <c16:uniqueId val="{00000001-E0FA-44DD-8B81-92D22EA4F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2704"/>
        <c:axId val="789374224"/>
      </c:lineChart>
      <c:catAx>
        <c:axId val="78936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4224"/>
        <c:crosses val="autoZero"/>
        <c:auto val="1"/>
        <c:lblAlgn val="ctr"/>
        <c:lblOffset val="100"/>
        <c:noMultiLvlLbl val="0"/>
      </c:catAx>
      <c:valAx>
        <c:axId val="7893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27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BC4-4C82-A6E0-C8049D7B2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3184"/>
        <c:axId val="789363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[0]!PCG_SUp5_2</c:f>
            </c:numRef>
          </c:val>
          <c:smooth val="0"/>
          <c:extLst>
            <c:ext xmlns:c16="http://schemas.microsoft.com/office/drawing/2014/chart" uri="{C3380CC4-5D6E-409C-BE32-E72D297353CC}">
              <c16:uniqueId val="{00000000-3C47-4741-B4DC-2D3A02B0509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[0]!PCG_SDn5_2</c:f>
            </c:numRef>
          </c:val>
          <c:smooth val="0"/>
          <c:extLst>
            <c:ext xmlns:c16="http://schemas.microsoft.com/office/drawing/2014/chart" uri="{C3380CC4-5D6E-409C-BE32-E72D297353CC}">
              <c16:uniqueId val="{00000001-3C47-4741-B4DC-2D3A02B0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3184"/>
        <c:axId val="789363664"/>
      </c:lineChart>
      <c:catAx>
        <c:axId val="78936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664"/>
        <c:crosses val="autoZero"/>
        <c:auto val="1"/>
        <c:lblAlgn val="ctr"/>
        <c:lblOffset val="100"/>
        <c:noMultiLvlLbl val="0"/>
      </c:catAx>
      <c:valAx>
        <c:axId val="78936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1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802-4046-B406-393A86A45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7504"/>
        <c:axId val="789373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[0]!PCG_SUp5_3</c:f>
            </c:numRef>
          </c:val>
          <c:smooth val="0"/>
          <c:extLst>
            <c:ext xmlns:c16="http://schemas.microsoft.com/office/drawing/2014/chart" uri="{C3380CC4-5D6E-409C-BE32-E72D297353CC}">
              <c16:uniqueId val="{00000000-8F58-420D-A809-B28AD225EC6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[0]!PCG_SDn5_3</c:f>
            </c:numRef>
          </c:val>
          <c:smooth val="0"/>
          <c:extLst>
            <c:ext xmlns:c16="http://schemas.microsoft.com/office/drawing/2014/chart" uri="{C3380CC4-5D6E-409C-BE32-E72D297353CC}">
              <c16:uniqueId val="{00000001-8F58-420D-A809-B28AD225E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7504"/>
        <c:axId val="789373264"/>
      </c:lineChart>
      <c:catAx>
        <c:axId val="78936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3264"/>
        <c:crosses val="autoZero"/>
        <c:auto val="1"/>
        <c:lblAlgn val="ctr"/>
        <c:lblOffset val="100"/>
        <c:noMultiLvlLbl val="0"/>
      </c:catAx>
      <c:valAx>
        <c:axId val="78937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75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EC4-40C5-A01C-E7506F94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6544"/>
        <c:axId val="78937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[0]!PCG_SUp5_4</c:f>
            </c:numRef>
          </c:val>
          <c:smooth val="0"/>
          <c:extLst>
            <c:ext xmlns:c16="http://schemas.microsoft.com/office/drawing/2014/chart" uri="{C3380CC4-5D6E-409C-BE32-E72D297353CC}">
              <c16:uniqueId val="{00000000-199F-44F2-9A74-09515CDD285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[0]!PCG_SDn5_4</c:f>
            </c:numRef>
          </c:val>
          <c:smooth val="0"/>
          <c:extLst>
            <c:ext xmlns:c16="http://schemas.microsoft.com/office/drawing/2014/chart" uri="{C3380CC4-5D6E-409C-BE32-E72D297353CC}">
              <c16:uniqueId val="{00000001-199F-44F2-9A74-09515CDD2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6544"/>
        <c:axId val="789371824"/>
      </c:lineChart>
      <c:catAx>
        <c:axId val="78936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1824"/>
        <c:crosses val="autoZero"/>
        <c:auto val="1"/>
        <c:lblAlgn val="ctr"/>
        <c:lblOffset val="100"/>
        <c:noMultiLvlLbl val="0"/>
      </c:catAx>
      <c:valAx>
        <c:axId val="7893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A9A-4D7B-A4A0-3ADEF26D8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584"/>
        <c:axId val="789372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[0]!PCG_SUp5_5</c:f>
            </c:numRef>
          </c:val>
          <c:smooth val="0"/>
          <c:extLst>
            <c:ext xmlns:c16="http://schemas.microsoft.com/office/drawing/2014/chart" uri="{C3380CC4-5D6E-409C-BE32-E72D297353CC}">
              <c16:uniqueId val="{00000000-5AED-4D38-AA15-3A21D7CA2EF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[0]!PCG_SDn5_5</c:f>
            </c:numRef>
          </c:val>
          <c:smooth val="0"/>
          <c:extLst>
            <c:ext xmlns:c16="http://schemas.microsoft.com/office/drawing/2014/chart" uri="{C3380CC4-5D6E-409C-BE32-E72D297353CC}">
              <c16:uniqueId val="{00000001-5AED-4D38-AA15-3A21D7CA2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584"/>
        <c:axId val="789372304"/>
      </c:lineChart>
      <c:catAx>
        <c:axId val="78935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2304"/>
        <c:crosses val="autoZero"/>
        <c:auto val="1"/>
        <c:lblAlgn val="ctr"/>
        <c:lblOffset val="100"/>
        <c:noMultiLvlLbl val="0"/>
      </c:catAx>
      <c:valAx>
        <c:axId val="78937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[0]!PCG_V5_1</c:f>
            </c:numRef>
          </c:val>
          <c:smooth val="0"/>
          <c:extLst>
            <c:ext xmlns:c16="http://schemas.microsoft.com/office/drawing/2014/chart" uri="{C3380CC4-5D6E-409C-BE32-E72D297353CC}">
              <c16:uniqueId val="{00000001-C030-4FD4-B16F-F433C2E69492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[0]!PCG_V5_2</c:f>
            </c:numRef>
          </c:val>
          <c:smooth val="0"/>
          <c:extLst>
            <c:ext xmlns:c16="http://schemas.microsoft.com/office/drawing/2014/chart" uri="{C3380CC4-5D6E-409C-BE32-E72D297353CC}">
              <c16:uniqueId val="{00000002-C030-4FD4-B16F-F433C2E69492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[0]!PCG_V5_3</c:f>
            </c:numRef>
          </c:val>
          <c:smooth val="0"/>
          <c:extLst>
            <c:ext xmlns:c16="http://schemas.microsoft.com/office/drawing/2014/chart" uri="{C3380CC4-5D6E-409C-BE32-E72D297353CC}">
              <c16:uniqueId val="{00000003-C030-4FD4-B16F-F433C2E69492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[0]!PCG_V5_4</c:f>
            </c:numRef>
          </c:val>
          <c:smooth val="0"/>
          <c:extLst>
            <c:ext xmlns:c16="http://schemas.microsoft.com/office/drawing/2014/chart" uri="{C3380CC4-5D6E-409C-BE32-E72D297353CC}">
              <c16:uniqueId val="{00000004-C030-4FD4-B16F-F433C2E69492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[0]!PCG_V5_5</c:f>
            </c:numRef>
          </c:val>
          <c:smooth val="0"/>
          <c:extLst>
            <c:ext xmlns:c16="http://schemas.microsoft.com/office/drawing/2014/chart" uri="{C3380CC4-5D6E-409C-BE32-E72D297353CC}">
              <c16:uniqueId val="{00000005-C030-4FD4-B16F-F433C2E69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464"/>
        <c:axId val="789386704"/>
      </c:lineChart>
      <c:catAx>
        <c:axId val="78938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704"/>
        <c:crosses val="autoZero"/>
        <c:auto val="1"/>
        <c:lblAlgn val="ctr"/>
        <c:lblOffset val="100"/>
        <c:noMultiLvlLbl val="0"/>
      </c:catAx>
      <c:valAx>
        <c:axId val="78938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A05-43BC-9A33-4D2839E99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8064"/>
        <c:axId val="789388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[0]!PCG_SUp6_1</c:f>
            </c:numRef>
          </c:val>
          <c:smooth val="0"/>
          <c:extLst>
            <c:ext xmlns:c16="http://schemas.microsoft.com/office/drawing/2014/chart" uri="{C3380CC4-5D6E-409C-BE32-E72D297353CC}">
              <c16:uniqueId val="{00000000-F7CC-47E5-B9A1-63E40DD2366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[0]!PCG_SDn6_1</c:f>
            </c:numRef>
          </c:val>
          <c:smooth val="0"/>
          <c:extLst>
            <c:ext xmlns:c16="http://schemas.microsoft.com/office/drawing/2014/chart" uri="{C3380CC4-5D6E-409C-BE32-E72D297353CC}">
              <c16:uniqueId val="{00000001-F7CC-47E5-B9A1-63E40DD23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8064"/>
        <c:axId val="789388624"/>
      </c:lineChart>
      <c:catAx>
        <c:axId val="78937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624"/>
        <c:crosses val="autoZero"/>
        <c:auto val="1"/>
        <c:lblAlgn val="ctr"/>
        <c:lblOffset val="100"/>
        <c:noMultiLvlLbl val="0"/>
      </c:catAx>
      <c:valAx>
        <c:axId val="78938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80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D64-4241-836F-0D259A904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8144"/>
        <c:axId val="789375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[0]!PCG_SUp6_2</c:f>
            </c:numRef>
          </c:val>
          <c:smooth val="0"/>
          <c:extLst>
            <c:ext xmlns:c16="http://schemas.microsoft.com/office/drawing/2014/chart" uri="{C3380CC4-5D6E-409C-BE32-E72D297353CC}">
              <c16:uniqueId val="{00000000-5B35-443C-AB72-A426D58FEDB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[0]!PCG_SDn6_2</c:f>
            </c:numRef>
          </c:val>
          <c:smooth val="0"/>
          <c:extLst>
            <c:ext xmlns:c16="http://schemas.microsoft.com/office/drawing/2014/chart" uri="{C3380CC4-5D6E-409C-BE32-E72D297353CC}">
              <c16:uniqueId val="{00000001-5B35-443C-AB72-A426D58FE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8144"/>
        <c:axId val="789375184"/>
      </c:lineChart>
      <c:catAx>
        <c:axId val="78938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5184"/>
        <c:crosses val="autoZero"/>
        <c:auto val="1"/>
        <c:lblAlgn val="ctr"/>
        <c:lblOffset val="100"/>
        <c:noMultiLvlLbl val="0"/>
      </c:catAx>
      <c:valAx>
        <c:axId val="78937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8D13-472F-9D6F-02E06DDEB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9024"/>
        <c:axId val="789387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[0]!PCG_SUp6_3</c:f>
            </c:numRef>
          </c:val>
          <c:smooth val="0"/>
          <c:extLst>
            <c:ext xmlns:c16="http://schemas.microsoft.com/office/drawing/2014/chart" uri="{C3380CC4-5D6E-409C-BE32-E72D297353CC}">
              <c16:uniqueId val="{00000000-E6B0-48A0-88C3-6B4E3DDCF3B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[0]!PCG_SDn6_3</c:f>
            </c:numRef>
          </c:val>
          <c:smooth val="0"/>
          <c:extLst>
            <c:ext xmlns:c16="http://schemas.microsoft.com/office/drawing/2014/chart" uri="{C3380CC4-5D6E-409C-BE32-E72D297353CC}">
              <c16:uniqueId val="{00000001-E6B0-48A0-88C3-6B4E3DDCF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9024"/>
        <c:axId val="789387664"/>
      </c:lineChart>
      <c:catAx>
        <c:axId val="78937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664"/>
        <c:crosses val="autoZero"/>
        <c:auto val="1"/>
        <c:lblAlgn val="ctr"/>
        <c:lblOffset val="100"/>
        <c:noMultiLvlLbl val="0"/>
      </c:catAx>
      <c:valAx>
        <c:axId val="78938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0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099-42BC-BE46-4000AEE5B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0944"/>
        <c:axId val="789379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[0]!PCG_SUp6_4</c:f>
            </c:numRef>
          </c:val>
          <c:smooth val="0"/>
          <c:extLst>
            <c:ext xmlns:c16="http://schemas.microsoft.com/office/drawing/2014/chart" uri="{C3380CC4-5D6E-409C-BE32-E72D297353CC}">
              <c16:uniqueId val="{00000000-9934-4E08-BCBF-06DA024C93F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[0]!PCG_SDn6_4</c:f>
            </c:numRef>
          </c:val>
          <c:smooth val="0"/>
          <c:extLst>
            <c:ext xmlns:c16="http://schemas.microsoft.com/office/drawing/2014/chart" uri="{C3380CC4-5D6E-409C-BE32-E72D297353CC}">
              <c16:uniqueId val="{00000001-9934-4E08-BCBF-06DA024C9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944"/>
        <c:axId val="789379504"/>
      </c:lineChart>
      <c:catAx>
        <c:axId val="78938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504"/>
        <c:crosses val="autoZero"/>
        <c:auto val="1"/>
        <c:lblAlgn val="ctr"/>
        <c:lblOffset val="100"/>
        <c:noMultiLvlLbl val="0"/>
      </c:catAx>
      <c:valAx>
        <c:axId val="7893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9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C80-4F2C-A9EE-1E3FFA9FB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92944"/>
        <c:axId val="7893934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[0]!PCG_SUp6_5</c:f>
            </c:numRef>
          </c:val>
          <c:smooth val="0"/>
          <c:extLst>
            <c:ext xmlns:c16="http://schemas.microsoft.com/office/drawing/2014/chart" uri="{C3380CC4-5D6E-409C-BE32-E72D297353CC}">
              <c16:uniqueId val="{00000000-41F7-4BA9-8AEC-76E51D53FC5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[0]!PCG_SDn6_5</c:f>
            </c:numRef>
          </c:val>
          <c:smooth val="0"/>
          <c:extLst>
            <c:ext xmlns:c16="http://schemas.microsoft.com/office/drawing/2014/chart" uri="{C3380CC4-5D6E-409C-BE32-E72D297353CC}">
              <c16:uniqueId val="{00000001-41F7-4BA9-8AEC-76E51D53F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2944"/>
        <c:axId val="789393424"/>
      </c:lineChart>
      <c:catAx>
        <c:axId val="78939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3424"/>
        <c:crosses val="autoZero"/>
        <c:auto val="1"/>
        <c:lblAlgn val="ctr"/>
        <c:lblOffset val="100"/>
        <c:noMultiLvlLbl val="0"/>
      </c:catAx>
      <c:valAx>
        <c:axId val="78939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29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[0]!PCG_V6_1</c:f>
            </c:numRef>
          </c:val>
          <c:smooth val="0"/>
          <c:extLst>
            <c:ext xmlns:c16="http://schemas.microsoft.com/office/drawing/2014/chart" uri="{C3380CC4-5D6E-409C-BE32-E72D297353CC}">
              <c16:uniqueId val="{00000001-17BF-4076-9289-697BBCF45BB9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[0]!PCG_V6_2</c:f>
            </c:numRef>
          </c:val>
          <c:smooth val="0"/>
          <c:extLst>
            <c:ext xmlns:c16="http://schemas.microsoft.com/office/drawing/2014/chart" uri="{C3380CC4-5D6E-409C-BE32-E72D297353CC}">
              <c16:uniqueId val="{00000002-17BF-4076-9289-697BBCF45BB9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[0]!PCG_V6_3</c:f>
            </c:numRef>
          </c:val>
          <c:smooth val="0"/>
          <c:extLst>
            <c:ext xmlns:c16="http://schemas.microsoft.com/office/drawing/2014/chart" uri="{C3380CC4-5D6E-409C-BE32-E72D297353CC}">
              <c16:uniqueId val="{00000003-17BF-4076-9289-697BBCF45BB9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[0]!PCG_V6_4</c:f>
            </c:numRef>
          </c:val>
          <c:smooth val="0"/>
          <c:extLst>
            <c:ext xmlns:c16="http://schemas.microsoft.com/office/drawing/2014/chart" uri="{C3380CC4-5D6E-409C-BE32-E72D297353CC}">
              <c16:uniqueId val="{00000004-17BF-4076-9289-697BBCF45BB9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[0]!PCG_V6_5</c:f>
            </c:numRef>
          </c:val>
          <c:smooth val="0"/>
          <c:extLst>
            <c:ext xmlns:c16="http://schemas.microsoft.com/office/drawing/2014/chart" uri="{C3380CC4-5D6E-409C-BE32-E72D297353CC}">
              <c16:uniqueId val="{00000005-17BF-4076-9289-697BBCF45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5824"/>
        <c:axId val="789396304"/>
      </c:lineChart>
      <c:catAx>
        <c:axId val="78939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6304"/>
        <c:crosses val="autoZero"/>
        <c:auto val="1"/>
        <c:lblAlgn val="ctr"/>
        <c:lblOffset val="100"/>
        <c:noMultiLvlLbl val="0"/>
      </c:catAx>
      <c:valAx>
        <c:axId val="7893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E5-4A40-A257-414C91A3C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864"/>
        <c:axId val="789386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[0]!PCG_SUp7_1</c:f>
            </c:numRef>
          </c:val>
          <c:smooth val="0"/>
          <c:extLst>
            <c:ext xmlns:c16="http://schemas.microsoft.com/office/drawing/2014/chart" uri="{C3380CC4-5D6E-409C-BE32-E72D297353CC}">
              <c16:uniqueId val="{00000000-9C8C-42AC-9087-D6383B2651C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[0]!PCG_SDn7_1</c:f>
            </c:numRef>
          </c:val>
          <c:smooth val="0"/>
          <c:extLst>
            <c:ext xmlns:c16="http://schemas.microsoft.com/office/drawing/2014/chart" uri="{C3380CC4-5D6E-409C-BE32-E72D297353CC}">
              <c16:uniqueId val="{00000001-9C8C-42AC-9087-D6383B265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864"/>
        <c:axId val="789386224"/>
      </c:lineChart>
      <c:catAx>
        <c:axId val="78938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224"/>
        <c:crosses val="autoZero"/>
        <c:auto val="1"/>
        <c:lblAlgn val="ctr"/>
        <c:lblOffset val="100"/>
        <c:noMultiLvlLbl val="0"/>
      </c:catAx>
      <c:valAx>
        <c:axId val="78938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8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01C-43C5-9B6F-7D771C5F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384"/>
        <c:axId val="789399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[0]!PCG_SUp7_2</c:f>
            </c:numRef>
          </c:val>
          <c:smooth val="0"/>
          <c:extLst>
            <c:ext xmlns:c16="http://schemas.microsoft.com/office/drawing/2014/chart" uri="{C3380CC4-5D6E-409C-BE32-E72D297353CC}">
              <c16:uniqueId val="{00000000-44B0-456A-B0BD-B0A24FA6127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[0]!PCG_SDn7_2</c:f>
            </c:numRef>
          </c:val>
          <c:smooth val="0"/>
          <c:extLst>
            <c:ext xmlns:c16="http://schemas.microsoft.com/office/drawing/2014/chart" uri="{C3380CC4-5D6E-409C-BE32-E72D297353CC}">
              <c16:uniqueId val="{00000001-44B0-456A-B0BD-B0A24FA61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384"/>
        <c:axId val="789399184"/>
      </c:lineChart>
      <c:catAx>
        <c:axId val="7893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9184"/>
        <c:crosses val="autoZero"/>
        <c:auto val="1"/>
        <c:lblAlgn val="ctr"/>
        <c:lblOffset val="100"/>
        <c:noMultiLvlLbl val="0"/>
      </c:catAx>
      <c:valAx>
        <c:axId val="78939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989-46EE-A46F-52224EE4A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1104"/>
        <c:axId val="78940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[0]!PCG_SUp7_3</c:f>
            </c:numRef>
          </c:val>
          <c:smooth val="0"/>
          <c:extLst>
            <c:ext xmlns:c16="http://schemas.microsoft.com/office/drawing/2014/chart" uri="{C3380CC4-5D6E-409C-BE32-E72D297353CC}">
              <c16:uniqueId val="{00000000-B66A-4716-8699-7F0969EEE6D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[0]!PCG_SDn7_3</c:f>
            </c:numRef>
          </c:val>
          <c:smooth val="0"/>
          <c:extLst>
            <c:ext xmlns:c16="http://schemas.microsoft.com/office/drawing/2014/chart" uri="{C3380CC4-5D6E-409C-BE32-E72D297353CC}">
              <c16:uniqueId val="{00000001-B66A-4716-8699-7F0969EEE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1104"/>
        <c:axId val="789401584"/>
      </c:lineChart>
      <c:catAx>
        <c:axId val="78940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584"/>
        <c:crosses val="autoZero"/>
        <c:auto val="1"/>
        <c:lblAlgn val="ctr"/>
        <c:lblOffset val="100"/>
        <c:noMultiLvlLbl val="0"/>
      </c:catAx>
      <c:valAx>
        <c:axId val="78940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39-428D-8477-9D836921C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3504"/>
        <c:axId val="789387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[0]!PCG_SUp7_4</c:f>
            </c:numRef>
          </c:val>
          <c:smooth val="0"/>
          <c:extLst>
            <c:ext xmlns:c16="http://schemas.microsoft.com/office/drawing/2014/chart" uri="{C3380CC4-5D6E-409C-BE32-E72D297353CC}">
              <c16:uniqueId val="{00000000-EB3C-4A26-8F30-C584E392D18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[0]!PCG_SDn7_4</c:f>
            </c:numRef>
          </c:val>
          <c:smooth val="0"/>
          <c:extLst>
            <c:ext xmlns:c16="http://schemas.microsoft.com/office/drawing/2014/chart" uri="{C3380CC4-5D6E-409C-BE32-E72D297353CC}">
              <c16:uniqueId val="{00000001-EB3C-4A26-8F30-C584E392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3504"/>
        <c:axId val="789387184"/>
      </c:lineChart>
      <c:catAx>
        <c:axId val="78940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184"/>
        <c:crosses val="autoZero"/>
        <c:auto val="1"/>
        <c:lblAlgn val="ctr"/>
        <c:lblOffset val="100"/>
        <c:noMultiLvlLbl val="0"/>
      </c:catAx>
      <c:valAx>
        <c:axId val="78938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35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B57-4E9F-B6FE-A795ED2DA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5424"/>
        <c:axId val="789361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[0]!PCG_SUp7_5</c:f>
            </c:numRef>
          </c:val>
          <c:smooth val="0"/>
          <c:extLst>
            <c:ext xmlns:c16="http://schemas.microsoft.com/office/drawing/2014/chart" uri="{C3380CC4-5D6E-409C-BE32-E72D297353CC}">
              <c16:uniqueId val="{00000000-00E5-4789-82ED-754FEA840B5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[0]!PCG_SDn7_5</c:f>
            </c:numRef>
          </c:val>
          <c:smooth val="0"/>
          <c:extLst>
            <c:ext xmlns:c16="http://schemas.microsoft.com/office/drawing/2014/chart" uri="{C3380CC4-5D6E-409C-BE32-E72D297353CC}">
              <c16:uniqueId val="{00000001-00E5-4789-82ED-754FEA840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5424"/>
        <c:axId val="789361744"/>
      </c:lineChart>
      <c:catAx>
        <c:axId val="78940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744"/>
        <c:crosses val="autoZero"/>
        <c:auto val="1"/>
        <c:lblAlgn val="ctr"/>
        <c:lblOffset val="100"/>
        <c:noMultiLvlLbl val="0"/>
      </c:catAx>
      <c:valAx>
        <c:axId val="7893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4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7)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[0]!PCG_V7_1</c:f>
            </c:numRef>
          </c:val>
          <c:smooth val="0"/>
          <c:extLst>
            <c:ext xmlns:c16="http://schemas.microsoft.com/office/drawing/2014/chart" uri="{C3380CC4-5D6E-409C-BE32-E72D297353CC}">
              <c16:uniqueId val="{00000001-FCE2-4509-A74F-14A60AF8803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[0]!PCG_V7_2</c:f>
            </c:numRef>
          </c:val>
          <c:smooth val="0"/>
          <c:extLst>
            <c:ext xmlns:c16="http://schemas.microsoft.com/office/drawing/2014/chart" uri="{C3380CC4-5D6E-409C-BE32-E72D297353CC}">
              <c16:uniqueId val="{00000002-FCE2-4509-A74F-14A60AF8803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[0]!PCG_V7_3</c:f>
            </c:numRef>
          </c:val>
          <c:smooth val="0"/>
          <c:extLst>
            <c:ext xmlns:c16="http://schemas.microsoft.com/office/drawing/2014/chart" uri="{C3380CC4-5D6E-409C-BE32-E72D297353CC}">
              <c16:uniqueId val="{00000003-FCE2-4509-A74F-14A60AF8803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[0]!PCG_V7_4</c:f>
            </c:numRef>
          </c:val>
          <c:smooth val="0"/>
          <c:extLst>
            <c:ext xmlns:c16="http://schemas.microsoft.com/office/drawing/2014/chart" uri="{C3380CC4-5D6E-409C-BE32-E72D297353CC}">
              <c16:uniqueId val="{00000004-FCE2-4509-A74F-14A60AF8803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[0]!PCG_V7_5</c:f>
            </c:numRef>
          </c:val>
          <c:smooth val="0"/>
          <c:extLst>
            <c:ext xmlns:c16="http://schemas.microsoft.com/office/drawing/2014/chart" uri="{C3380CC4-5D6E-409C-BE32-E72D297353CC}">
              <c16:uniqueId val="{00000005-FCE2-4509-A74F-14A60AF88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976"/>
        <c:axId val="714264176"/>
      </c:lineChart>
      <c:catAx>
        <c:axId val="71425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4176"/>
        <c:crosses val="autoZero"/>
        <c:auto val="1"/>
        <c:lblAlgn val="ctr"/>
        <c:lblOffset val="100"/>
        <c:noMultiLvlLbl val="0"/>
      </c:catAx>
      <c:valAx>
        <c:axId val="7142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23F-4CAE-805B-8382A4775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2736"/>
        <c:axId val="7142660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[0]!PCG_SUp8_1</c:f>
            </c:numRef>
          </c:val>
          <c:smooth val="0"/>
          <c:extLst>
            <c:ext xmlns:c16="http://schemas.microsoft.com/office/drawing/2014/chart" uri="{C3380CC4-5D6E-409C-BE32-E72D297353CC}">
              <c16:uniqueId val="{00000000-84AB-4B14-87DE-B1178369C59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[0]!PCG_SDn8_1</c:f>
            </c:numRef>
          </c:val>
          <c:smooth val="0"/>
          <c:extLst>
            <c:ext xmlns:c16="http://schemas.microsoft.com/office/drawing/2014/chart" uri="{C3380CC4-5D6E-409C-BE32-E72D297353CC}">
              <c16:uniqueId val="{00000001-84AB-4B14-87DE-B1178369C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2736"/>
        <c:axId val="714266096"/>
      </c:lineChart>
      <c:catAx>
        <c:axId val="71426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6096"/>
        <c:crosses val="autoZero"/>
        <c:auto val="1"/>
        <c:lblAlgn val="ctr"/>
        <c:lblOffset val="100"/>
        <c:noMultiLvlLbl val="0"/>
      </c:catAx>
      <c:valAx>
        <c:axId val="71426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27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079-4503-94C7-818654F93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016"/>
        <c:axId val="714255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[0]!PCG_SUp8_2</c:f>
            </c:numRef>
          </c:val>
          <c:smooth val="0"/>
          <c:extLst>
            <c:ext xmlns:c16="http://schemas.microsoft.com/office/drawing/2014/chart" uri="{C3380CC4-5D6E-409C-BE32-E72D297353CC}">
              <c16:uniqueId val="{00000000-E90A-48F2-94DB-FECE446A9DB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[0]!PCG_SDn8_2</c:f>
            </c:numRef>
          </c:val>
          <c:smooth val="0"/>
          <c:extLst>
            <c:ext xmlns:c16="http://schemas.microsoft.com/office/drawing/2014/chart" uri="{C3380CC4-5D6E-409C-BE32-E72D297353CC}">
              <c16:uniqueId val="{00000001-E90A-48F2-94DB-FECE446A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016"/>
        <c:axId val="714255536"/>
      </c:lineChart>
      <c:catAx>
        <c:axId val="71426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5536"/>
        <c:crosses val="autoZero"/>
        <c:auto val="1"/>
        <c:lblAlgn val="ctr"/>
        <c:lblOffset val="100"/>
        <c:noMultiLvlLbl val="0"/>
      </c:catAx>
      <c:valAx>
        <c:axId val="7142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0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367-4F0B-8680-EA56C3D9A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976"/>
        <c:axId val="7142603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[0]!PCG_SUp8_3</c:f>
            </c:numRef>
          </c:val>
          <c:smooth val="0"/>
          <c:extLst>
            <c:ext xmlns:c16="http://schemas.microsoft.com/office/drawing/2014/chart" uri="{C3380CC4-5D6E-409C-BE32-E72D297353CC}">
              <c16:uniqueId val="{00000000-65C9-4A27-9038-A08035DF81A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[0]!PCG_SDn8_3</c:f>
            </c:numRef>
          </c:val>
          <c:smooth val="0"/>
          <c:extLst>
            <c:ext xmlns:c16="http://schemas.microsoft.com/office/drawing/2014/chart" uri="{C3380CC4-5D6E-409C-BE32-E72D297353CC}">
              <c16:uniqueId val="{00000001-65C9-4A27-9038-A08035DF8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976"/>
        <c:axId val="714260336"/>
      </c:lineChart>
      <c:catAx>
        <c:axId val="71426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0336"/>
        <c:crosses val="autoZero"/>
        <c:auto val="1"/>
        <c:lblAlgn val="ctr"/>
        <c:lblOffset val="100"/>
        <c:noMultiLvlLbl val="0"/>
      </c:catAx>
      <c:valAx>
        <c:axId val="71426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9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F9F-46FC-BE92-FE44294D3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56016"/>
        <c:axId val="7142699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[0]!PCG_SUp8_4</c:f>
            </c:numRef>
          </c:val>
          <c:smooth val="0"/>
          <c:extLst>
            <c:ext xmlns:c16="http://schemas.microsoft.com/office/drawing/2014/chart" uri="{C3380CC4-5D6E-409C-BE32-E72D297353CC}">
              <c16:uniqueId val="{00000000-75B8-469B-8D85-002CE26667A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[0]!PCG_SDn8_4</c:f>
            </c:numRef>
          </c:val>
          <c:smooth val="0"/>
          <c:extLst>
            <c:ext xmlns:c16="http://schemas.microsoft.com/office/drawing/2014/chart" uri="{C3380CC4-5D6E-409C-BE32-E72D297353CC}">
              <c16:uniqueId val="{00000001-75B8-469B-8D85-002CE2666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016"/>
        <c:axId val="714269936"/>
      </c:lineChart>
      <c:catAx>
        <c:axId val="71425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9936"/>
        <c:crosses val="autoZero"/>
        <c:auto val="1"/>
        <c:lblAlgn val="ctr"/>
        <c:lblOffset val="100"/>
        <c:noMultiLvlLbl val="0"/>
      </c:catAx>
      <c:valAx>
        <c:axId val="71426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0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1FA-4AA5-90FE-132C8B765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3296"/>
        <c:axId val="714273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[0]!PCG_SUp8_5</c:f>
            </c:numRef>
          </c:val>
          <c:smooth val="0"/>
          <c:extLst>
            <c:ext xmlns:c16="http://schemas.microsoft.com/office/drawing/2014/chart" uri="{C3380CC4-5D6E-409C-BE32-E72D297353CC}">
              <c16:uniqueId val="{00000000-AEC1-488F-99F9-17A64C4B202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[0]!PCG_SDn8_5</c:f>
            </c:numRef>
          </c:val>
          <c:smooth val="0"/>
          <c:extLst>
            <c:ext xmlns:c16="http://schemas.microsoft.com/office/drawing/2014/chart" uri="{C3380CC4-5D6E-409C-BE32-E72D297353CC}">
              <c16:uniqueId val="{00000001-AEC1-488F-99F9-17A64C4B2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3296"/>
        <c:axId val="714273776"/>
      </c:lineChart>
      <c:catAx>
        <c:axId val="71427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776"/>
        <c:crosses val="autoZero"/>
        <c:auto val="1"/>
        <c:lblAlgn val="ctr"/>
        <c:lblOffset val="100"/>
        <c:noMultiLvlLbl val="0"/>
      </c:catAx>
      <c:valAx>
        <c:axId val="71427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2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[0]!PCG_V8_1</c:f>
            </c:numRef>
          </c:val>
          <c:smooth val="0"/>
          <c:extLst>
            <c:ext xmlns:c16="http://schemas.microsoft.com/office/drawing/2014/chart" uri="{C3380CC4-5D6E-409C-BE32-E72D297353CC}">
              <c16:uniqueId val="{00000001-62F2-4EAB-88CD-94F546E65B7E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[0]!PCG_V8_2</c:f>
            </c:numRef>
          </c:val>
          <c:smooth val="0"/>
          <c:extLst>
            <c:ext xmlns:c16="http://schemas.microsoft.com/office/drawing/2014/chart" uri="{C3380CC4-5D6E-409C-BE32-E72D297353CC}">
              <c16:uniqueId val="{00000002-62F2-4EAB-88CD-94F546E65B7E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[0]!PCG_V8_3</c:f>
            </c:numRef>
          </c:val>
          <c:smooth val="0"/>
          <c:extLst>
            <c:ext xmlns:c16="http://schemas.microsoft.com/office/drawing/2014/chart" uri="{C3380CC4-5D6E-409C-BE32-E72D297353CC}">
              <c16:uniqueId val="{00000003-62F2-4EAB-88CD-94F546E65B7E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[0]!PCG_V8_4</c:f>
            </c:numRef>
          </c:val>
          <c:smooth val="0"/>
          <c:extLst>
            <c:ext xmlns:c16="http://schemas.microsoft.com/office/drawing/2014/chart" uri="{C3380CC4-5D6E-409C-BE32-E72D297353CC}">
              <c16:uniqueId val="{00000004-62F2-4EAB-88CD-94F546E65B7E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[0]!PCG_V8_5</c:f>
            </c:numRef>
          </c:val>
          <c:smooth val="0"/>
          <c:extLst>
            <c:ext xmlns:c16="http://schemas.microsoft.com/office/drawing/2014/chart" uri="{C3380CC4-5D6E-409C-BE32-E72D297353CC}">
              <c16:uniqueId val="{00000005-62F2-4EAB-88CD-94F546E6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4256"/>
        <c:axId val="714261296"/>
      </c:lineChart>
      <c:catAx>
        <c:axId val="71427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1296"/>
        <c:crosses val="autoZero"/>
        <c:auto val="1"/>
        <c:lblAlgn val="ctr"/>
        <c:lblOffset val="100"/>
        <c:noMultiLvlLbl val="0"/>
      </c:catAx>
      <c:valAx>
        <c:axId val="71426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352-418B-A057-6B294992A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416"/>
        <c:axId val="71427761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[0]!PCG_SUp9_1</c:f>
            </c:numRef>
          </c:val>
          <c:smooth val="0"/>
          <c:extLst>
            <c:ext xmlns:c16="http://schemas.microsoft.com/office/drawing/2014/chart" uri="{C3380CC4-5D6E-409C-BE32-E72D297353CC}">
              <c16:uniqueId val="{00000000-9A31-4C71-8262-D998C8FF666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A31-4C71-8262-D998C8FF6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416"/>
        <c:axId val="714277616"/>
      </c:lineChart>
      <c:catAx>
        <c:axId val="71428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7616"/>
        <c:crosses val="autoZero"/>
        <c:auto val="1"/>
        <c:lblAlgn val="ctr"/>
        <c:lblOffset val="100"/>
        <c:noMultiLvlLbl val="0"/>
      </c:catAx>
      <c:valAx>
        <c:axId val="71427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5FE-4DF4-B260-39244136A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8576"/>
        <c:axId val="714279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[0]!PCG_SUp9_2</c:f>
            </c:numRef>
          </c:val>
          <c:smooth val="0"/>
          <c:extLst>
            <c:ext xmlns:c16="http://schemas.microsoft.com/office/drawing/2014/chart" uri="{C3380CC4-5D6E-409C-BE32-E72D297353CC}">
              <c16:uniqueId val="{00000000-1283-4AE1-8195-EA038A34DED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[0]!PCG_SDn9_2</c:f>
            </c:numRef>
          </c:val>
          <c:smooth val="0"/>
          <c:extLst>
            <c:ext xmlns:c16="http://schemas.microsoft.com/office/drawing/2014/chart" uri="{C3380CC4-5D6E-409C-BE32-E72D297353CC}">
              <c16:uniqueId val="{00000001-1283-4AE1-8195-EA038A34D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8576"/>
        <c:axId val="714279536"/>
      </c:lineChart>
      <c:catAx>
        <c:axId val="71427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9536"/>
        <c:crosses val="autoZero"/>
        <c:auto val="1"/>
        <c:lblAlgn val="ctr"/>
        <c:lblOffset val="100"/>
        <c:noMultiLvlLbl val="0"/>
      </c:catAx>
      <c:valAx>
        <c:axId val="7142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85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4DB-4BE9-8898-2932EFE51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896"/>
        <c:axId val="714283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[0]!PCG_SUp9_3</c:f>
            </c:numRef>
          </c:val>
          <c:smooth val="0"/>
          <c:extLst>
            <c:ext xmlns:c16="http://schemas.microsoft.com/office/drawing/2014/chart" uri="{C3380CC4-5D6E-409C-BE32-E72D297353CC}">
              <c16:uniqueId val="{00000000-7554-46CC-A905-9E865D377B4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[0]!PCG_SDn9_3</c:f>
            </c:numRef>
          </c:val>
          <c:smooth val="0"/>
          <c:extLst>
            <c:ext xmlns:c16="http://schemas.microsoft.com/office/drawing/2014/chart" uri="{C3380CC4-5D6E-409C-BE32-E72D297353CC}">
              <c16:uniqueId val="{00000001-7554-46CC-A905-9E865D377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896"/>
        <c:axId val="714283376"/>
      </c:lineChart>
      <c:catAx>
        <c:axId val="71428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3376"/>
        <c:crosses val="autoZero"/>
        <c:auto val="1"/>
        <c:lblAlgn val="ctr"/>
        <c:lblOffset val="100"/>
        <c:noMultiLvlLbl val="0"/>
      </c:catAx>
      <c:valAx>
        <c:axId val="7142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8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63E-4047-BF2E-F5E154DCE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4816"/>
        <c:axId val="714285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[0]!PCG_SUp9_4</c:f>
            </c:numRef>
          </c:val>
          <c:smooth val="0"/>
          <c:extLst>
            <c:ext xmlns:c16="http://schemas.microsoft.com/office/drawing/2014/chart" uri="{C3380CC4-5D6E-409C-BE32-E72D297353CC}">
              <c16:uniqueId val="{00000000-DF14-4979-A26B-F41B91F392A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[0]!PCG_SDn9_4</c:f>
            </c:numRef>
          </c:val>
          <c:smooth val="0"/>
          <c:extLst>
            <c:ext xmlns:c16="http://schemas.microsoft.com/office/drawing/2014/chart" uri="{C3380CC4-5D6E-409C-BE32-E72D297353CC}">
              <c16:uniqueId val="{00000001-DF14-4979-A26B-F41B91F39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4816"/>
        <c:axId val="714285776"/>
      </c:lineChart>
      <c:catAx>
        <c:axId val="7142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5776"/>
        <c:crosses val="autoZero"/>
        <c:auto val="1"/>
        <c:lblAlgn val="ctr"/>
        <c:lblOffset val="100"/>
        <c:noMultiLvlLbl val="0"/>
      </c:catAx>
      <c:valAx>
        <c:axId val="71428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48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64D-4BFE-8E73-B1129583B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8736"/>
        <c:axId val="714295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[0]!PCG_SUp9_5</c:f>
            </c:numRef>
          </c:val>
          <c:smooth val="0"/>
          <c:extLst>
            <c:ext xmlns:c16="http://schemas.microsoft.com/office/drawing/2014/chart" uri="{C3380CC4-5D6E-409C-BE32-E72D297353CC}">
              <c16:uniqueId val="{00000000-BE32-4C60-B433-82CFD65572B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[0]!PCG_SDn9_5</c:f>
            </c:numRef>
          </c:val>
          <c:smooth val="0"/>
          <c:extLst>
            <c:ext xmlns:c16="http://schemas.microsoft.com/office/drawing/2014/chart" uri="{C3380CC4-5D6E-409C-BE32-E72D297353CC}">
              <c16:uniqueId val="{00000001-BE32-4C60-B433-82CFD6557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8736"/>
        <c:axId val="714295376"/>
      </c:lineChart>
      <c:catAx>
        <c:axId val="71429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376"/>
        <c:crosses val="autoZero"/>
        <c:auto val="1"/>
        <c:lblAlgn val="ctr"/>
        <c:lblOffset val="100"/>
        <c:noMultiLvlLbl val="0"/>
      </c:catAx>
      <c:valAx>
        <c:axId val="71429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87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9)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1AA-4018-813A-A0D1405DD10C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[0]!PCG_V9_2</c:f>
            </c:numRef>
          </c:val>
          <c:smooth val="0"/>
          <c:extLst>
            <c:ext xmlns:c16="http://schemas.microsoft.com/office/drawing/2014/chart" uri="{C3380CC4-5D6E-409C-BE32-E72D297353CC}">
              <c16:uniqueId val="{00000002-91AA-4018-813A-A0D1405DD10C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[0]!PCG_V9_3</c:f>
            </c:numRef>
          </c:val>
          <c:smooth val="0"/>
          <c:extLst>
            <c:ext xmlns:c16="http://schemas.microsoft.com/office/drawing/2014/chart" uri="{C3380CC4-5D6E-409C-BE32-E72D297353CC}">
              <c16:uniqueId val="{00000003-91AA-4018-813A-A0D1405DD10C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[0]!PCG_V9_4</c:f>
            </c:numRef>
          </c:val>
          <c:smooth val="0"/>
          <c:extLst>
            <c:ext xmlns:c16="http://schemas.microsoft.com/office/drawing/2014/chart" uri="{C3380CC4-5D6E-409C-BE32-E72D297353CC}">
              <c16:uniqueId val="{00000004-91AA-4018-813A-A0D1405DD10C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[0]!PCG_V9_5</c:f>
            </c:numRef>
          </c:val>
          <c:smooth val="0"/>
          <c:extLst>
            <c:ext xmlns:c16="http://schemas.microsoft.com/office/drawing/2014/chart" uri="{C3380CC4-5D6E-409C-BE32-E72D297353CC}">
              <c16:uniqueId val="{00000005-91AA-4018-813A-A0D1405DD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5856"/>
        <c:axId val="714290096"/>
      </c:lineChart>
      <c:catAx>
        <c:axId val="71429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0096"/>
        <c:crosses val="autoZero"/>
        <c:auto val="1"/>
        <c:lblAlgn val="ctr"/>
        <c:lblOffset val="100"/>
        <c:noMultiLvlLbl val="0"/>
      </c:catAx>
      <c:valAx>
        <c:axId val="71429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9B-4AAD-B32E-4F52AE14A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2576"/>
        <c:axId val="7142881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[0]!PCG_SUp10_1</c:f>
            </c:numRef>
          </c:val>
          <c:smooth val="0"/>
          <c:extLst>
            <c:ext xmlns:c16="http://schemas.microsoft.com/office/drawing/2014/chart" uri="{C3380CC4-5D6E-409C-BE32-E72D297353CC}">
              <c16:uniqueId val="{00000000-9DFE-4B46-B867-439323ACC61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9DFE-4B46-B867-439323ACC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2576"/>
        <c:axId val="714288176"/>
      </c:lineChart>
      <c:catAx>
        <c:axId val="71430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8176"/>
        <c:crosses val="autoZero"/>
        <c:auto val="1"/>
        <c:lblAlgn val="ctr"/>
        <c:lblOffset val="100"/>
        <c:noMultiLvlLbl val="0"/>
      </c:catAx>
      <c:valAx>
        <c:axId val="71428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25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7B9-45A5-9DB7-13B1459F3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1136"/>
        <c:axId val="714291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[0]!PCG_SUp10_2</c:f>
            </c:numRef>
          </c:val>
          <c:smooth val="0"/>
          <c:extLst>
            <c:ext xmlns:c16="http://schemas.microsoft.com/office/drawing/2014/chart" uri="{C3380CC4-5D6E-409C-BE32-E72D297353CC}">
              <c16:uniqueId val="{00000000-0310-44E1-BFFA-14EB0CB2E00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[0]!PCG_SDn10_2</c:f>
            </c:numRef>
          </c:val>
          <c:smooth val="0"/>
          <c:extLst>
            <c:ext xmlns:c16="http://schemas.microsoft.com/office/drawing/2014/chart" uri="{C3380CC4-5D6E-409C-BE32-E72D297353CC}">
              <c16:uniqueId val="{00000001-0310-44E1-BFFA-14EB0CB2E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1136"/>
        <c:axId val="714291536"/>
      </c:lineChart>
      <c:catAx>
        <c:axId val="71430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1536"/>
        <c:crosses val="autoZero"/>
        <c:auto val="1"/>
        <c:lblAlgn val="ctr"/>
        <c:lblOffset val="100"/>
        <c:noMultiLvlLbl val="0"/>
      </c:catAx>
      <c:valAx>
        <c:axId val="71429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11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9A0-4A54-BBA9-32C89E26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2496"/>
        <c:axId val="7142948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[0]!PCG_SUp10_3</c:f>
            </c:numRef>
          </c:val>
          <c:smooth val="0"/>
          <c:extLst>
            <c:ext xmlns:c16="http://schemas.microsoft.com/office/drawing/2014/chart" uri="{C3380CC4-5D6E-409C-BE32-E72D297353CC}">
              <c16:uniqueId val="{00000000-BA3E-4A4A-89EF-531CB9CFD6A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[0]!PCG_SDn10_3</c:f>
            </c:numRef>
          </c:val>
          <c:smooth val="0"/>
          <c:extLst>
            <c:ext xmlns:c16="http://schemas.microsoft.com/office/drawing/2014/chart" uri="{C3380CC4-5D6E-409C-BE32-E72D297353CC}">
              <c16:uniqueId val="{00000001-BA3E-4A4A-89EF-531CB9CFD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2496"/>
        <c:axId val="714294896"/>
      </c:lineChart>
      <c:catAx>
        <c:axId val="71429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4896"/>
        <c:crosses val="autoZero"/>
        <c:auto val="1"/>
        <c:lblAlgn val="ctr"/>
        <c:lblOffset val="100"/>
        <c:noMultiLvlLbl val="0"/>
      </c:catAx>
      <c:valAx>
        <c:axId val="7142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2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22B-450B-BAED-836CA2FC2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3936"/>
        <c:axId val="7142867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[0]!PCG_SUp10_4</c:f>
            </c:numRef>
          </c:val>
          <c:smooth val="0"/>
          <c:extLst>
            <c:ext xmlns:c16="http://schemas.microsoft.com/office/drawing/2014/chart" uri="{C3380CC4-5D6E-409C-BE32-E72D297353CC}">
              <c16:uniqueId val="{00000000-094C-45AF-A6AD-023C51FF0D7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[0]!PCG_SDn10_4</c:f>
            </c:numRef>
          </c:val>
          <c:smooth val="0"/>
          <c:extLst>
            <c:ext xmlns:c16="http://schemas.microsoft.com/office/drawing/2014/chart" uri="{C3380CC4-5D6E-409C-BE32-E72D297353CC}">
              <c16:uniqueId val="{00000001-094C-45AF-A6AD-023C51FF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3936"/>
        <c:axId val="714286736"/>
      </c:lineChart>
      <c:catAx>
        <c:axId val="71429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6736"/>
        <c:crosses val="autoZero"/>
        <c:auto val="1"/>
        <c:lblAlgn val="ctr"/>
        <c:lblOffset val="100"/>
        <c:noMultiLvlLbl val="0"/>
      </c:catAx>
      <c:valAx>
        <c:axId val="71428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39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DA2-431B-AFEB-27DF890BA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7696"/>
        <c:axId val="7143164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[0]!PCG_SUp10_5</c:f>
            </c:numRef>
          </c:val>
          <c:smooth val="0"/>
          <c:extLst>
            <c:ext xmlns:c16="http://schemas.microsoft.com/office/drawing/2014/chart" uri="{C3380CC4-5D6E-409C-BE32-E72D297353CC}">
              <c16:uniqueId val="{00000000-773B-4849-9B69-9CC5C27B17B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[0]!PCG_SDn10_5</c:f>
            </c:numRef>
          </c:val>
          <c:smooth val="0"/>
          <c:extLst>
            <c:ext xmlns:c16="http://schemas.microsoft.com/office/drawing/2014/chart" uri="{C3380CC4-5D6E-409C-BE32-E72D297353CC}">
              <c16:uniqueId val="{00000001-773B-4849-9B69-9CC5C27B1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7696"/>
        <c:axId val="714316496"/>
      </c:lineChart>
      <c:catAx>
        <c:axId val="71428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6496"/>
        <c:crosses val="autoZero"/>
        <c:auto val="1"/>
        <c:lblAlgn val="ctr"/>
        <c:lblOffset val="100"/>
        <c:noMultiLvlLbl val="0"/>
      </c:catAx>
      <c:valAx>
        <c:axId val="71431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76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186D-4BED-B21C-38CF02CBB0E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[0]!PCG_V10_2</c:f>
            </c:numRef>
          </c:val>
          <c:smooth val="0"/>
          <c:extLst>
            <c:ext xmlns:c16="http://schemas.microsoft.com/office/drawing/2014/chart" uri="{C3380CC4-5D6E-409C-BE32-E72D297353CC}">
              <c16:uniqueId val="{00000002-186D-4BED-B21C-38CF02CBB0E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[0]!PCG_V10_3</c:f>
            </c:numRef>
          </c:val>
          <c:smooth val="0"/>
          <c:extLst>
            <c:ext xmlns:c16="http://schemas.microsoft.com/office/drawing/2014/chart" uri="{C3380CC4-5D6E-409C-BE32-E72D297353CC}">
              <c16:uniqueId val="{00000003-186D-4BED-B21C-38CF02CBB0E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[0]!PCG_V10_4</c:f>
            </c:numRef>
          </c:val>
          <c:smooth val="0"/>
          <c:extLst>
            <c:ext xmlns:c16="http://schemas.microsoft.com/office/drawing/2014/chart" uri="{C3380CC4-5D6E-409C-BE32-E72D297353CC}">
              <c16:uniqueId val="{00000004-186D-4BED-B21C-38CF02CBB0E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[0]!PCG_V10_5</c:f>
            </c:numRef>
          </c:val>
          <c:smooth val="0"/>
          <c:extLst>
            <c:ext xmlns:c16="http://schemas.microsoft.com/office/drawing/2014/chart" uri="{C3380CC4-5D6E-409C-BE32-E72D297353CC}">
              <c16:uniqueId val="{00000005-186D-4BED-B21C-38CF02CBB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5456"/>
        <c:axId val="714310736"/>
      </c:lineChart>
      <c:catAx>
        <c:axId val="71430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0736"/>
        <c:crosses val="autoZero"/>
        <c:auto val="1"/>
        <c:lblAlgn val="ctr"/>
        <c:lblOffset val="100"/>
        <c:noMultiLvlLbl val="0"/>
      </c:catAx>
      <c:valAx>
        <c:axId val="71431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</c:f>
            </c:numRef>
          </c:val>
          <c:smooth val="0"/>
          <c:extLst>
            <c:ext xmlns:c16="http://schemas.microsoft.com/office/drawing/2014/chart" uri="{C3380CC4-5D6E-409C-BE32-E72D297353CC}">
              <c16:uniqueId val="{00000003-98FF-4296-B230-E43B18796D1F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</c:f>
            </c:numRef>
          </c:val>
          <c:smooth val="0"/>
          <c:extLst>
            <c:ext xmlns:c16="http://schemas.microsoft.com/office/drawing/2014/chart" uri="{C3380CC4-5D6E-409C-BE32-E72D297353CC}">
              <c16:uniqueId val="{00000004-98FF-4296-B230-E43B18796D1F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</c:f>
            </c:numRef>
          </c:val>
          <c:smooth val="0"/>
          <c:extLst>
            <c:ext xmlns:c16="http://schemas.microsoft.com/office/drawing/2014/chart" uri="{C3380CC4-5D6E-409C-BE32-E72D297353CC}">
              <c16:uniqueId val="{00000005-98FF-4296-B230-E43B18796D1F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</c:f>
            </c:numRef>
          </c:val>
          <c:smooth val="0"/>
          <c:extLst>
            <c:ext xmlns:c16="http://schemas.microsoft.com/office/drawing/2014/chart" uri="{C3380CC4-5D6E-409C-BE32-E72D297353CC}">
              <c16:uniqueId val="{00000002-98FF-4296-B230-E43B18796D1F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</c:f>
            </c:numRef>
          </c:val>
          <c:smooth val="0"/>
          <c:extLst>
            <c:ext xmlns:c16="http://schemas.microsoft.com/office/drawing/2014/chart" uri="{C3380CC4-5D6E-409C-BE32-E72D297353CC}">
              <c16:uniqueId val="{00000001-98FF-4296-B230-E43B18796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13504"/>
        <c:axId val="2120715424"/>
      </c:lineChart>
      <c:catAx>
        <c:axId val="212071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5424"/>
        <c:crosses val="autoZero"/>
        <c:auto val="1"/>
        <c:lblAlgn val="ctr"/>
        <c:lblOffset val="100"/>
        <c:noMultiLvlLbl val="0"/>
      </c:catAx>
      <c:valAx>
        <c:axId val="212071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[0]!PCG_Rec2</c:f>
            </c:numRef>
          </c:val>
          <c:smooth val="0"/>
          <c:extLst>
            <c:ext xmlns:c16="http://schemas.microsoft.com/office/drawing/2014/chart" uri="{C3380CC4-5D6E-409C-BE32-E72D297353CC}">
              <c16:uniqueId val="{00000003-B66F-4314-AA5A-9E57B7CDBCC9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[0]!PCG_Up2</c:f>
            </c:numRef>
          </c:val>
          <c:smooth val="0"/>
          <c:extLst>
            <c:ext xmlns:c16="http://schemas.microsoft.com/office/drawing/2014/chart" uri="{C3380CC4-5D6E-409C-BE32-E72D297353CC}">
              <c16:uniqueId val="{00000004-B66F-4314-AA5A-9E57B7CDBCC9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[0]!PCG_Dn2</c:f>
            </c:numRef>
          </c:val>
          <c:smooth val="0"/>
          <c:extLst>
            <c:ext xmlns:c16="http://schemas.microsoft.com/office/drawing/2014/chart" uri="{C3380CC4-5D6E-409C-BE32-E72D297353CC}">
              <c16:uniqueId val="{00000005-B66F-4314-AA5A-9E57B7CDBCC9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[0]!PCG_Mean2</c:f>
            </c:numRef>
          </c:val>
          <c:smooth val="0"/>
          <c:extLst>
            <c:ext xmlns:c16="http://schemas.microsoft.com/office/drawing/2014/chart" uri="{C3380CC4-5D6E-409C-BE32-E72D297353CC}">
              <c16:uniqueId val="{00000002-B66F-4314-AA5A-9E57B7CDBCC9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[0]!PCG_Act2</c:f>
            </c:numRef>
          </c:val>
          <c:smooth val="0"/>
          <c:extLst>
            <c:ext xmlns:c16="http://schemas.microsoft.com/office/drawing/2014/chart" uri="{C3380CC4-5D6E-409C-BE32-E72D297353CC}">
              <c16:uniqueId val="{00000001-B66F-4314-AA5A-9E57B7CD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23104"/>
        <c:axId val="2120723584"/>
      </c:lineChart>
      <c:catAx>
        <c:axId val="212072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584"/>
        <c:crosses val="autoZero"/>
        <c:auto val="1"/>
        <c:lblAlgn val="ctr"/>
        <c:lblOffset val="100"/>
        <c:noMultiLvlLbl val="0"/>
      </c:catAx>
      <c:valAx>
        <c:axId val="212072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[0]!PCG_Rec3</c:f>
            </c:numRef>
          </c:val>
          <c:smooth val="0"/>
          <c:extLst>
            <c:ext xmlns:c16="http://schemas.microsoft.com/office/drawing/2014/chart" uri="{C3380CC4-5D6E-409C-BE32-E72D297353CC}">
              <c16:uniqueId val="{00000003-3DD1-41D0-B3A4-5FA6ADC5A878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[0]!PCG_Up3</c:f>
            </c:numRef>
          </c:val>
          <c:smooth val="0"/>
          <c:extLst>
            <c:ext xmlns:c16="http://schemas.microsoft.com/office/drawing/2014/chart" uri="{C3380CC4-5D6E-409C-BE32-E72D297353CC}">
              <c16:uniqueId val="{00000004-3DD1-41D0-B3A4-5FA6ADC5A878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[0]!PCG_Dn3</c:f>
            </c:numRef>
          </c:val>
          <c:smooth val="0"/>
          <c:extLst>
            <c:ext xmlns:c16="http://schemas.microsoft.com/office/drawing/2014/chart" uri="{C3380CC4-5D6E-409C-BE32-E72D297353CC}">
              <c16:uniqueId val="{00000005-3DD1-41D0-B3A4-5FA6ADC5A878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[0]!PCG_Mean3</c:f>
            </c:numRef>
          </c:val>
          <c:smooth val="0"/>
          <c:extLst>
            <c:ext xmlns:c16="http://schemas.microsoft.com/office/drawing/2014/chart" uri="{C3380CC4-5D6E-409C-BE32-E72D297353CC}">
              <c16:uniqueId val="{00000002-3DD1-41D0-B3A4-5FA6ADC5A878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[0]!PCG_Act3</c:f>
            </c:numRef>
          </c:val>
          <c:smooth val="0"/>
          <c:extLst>
            <c:ext xmlns:c16="http://schemas.microsoft.com/office/drawing/2014/chart" uri="{C3380CC4-5D6E-409C-BE32-E72D297353CC}">
              <c16:uniqueId val="{00000001-3DD1-41D0-B3A4-5FA6ADC5A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0480"/>
        <c:axId val="2122360960"/>
      </c:lineChart>
      <c:catAx>
        <c:axId val="21223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960"/>
        <c:crosses val="autoZero"/>
        <c:auto val="1"/>
        <c:lblAlgn val="ctr"/>
        <c:lblOffset val="100"/>
        <c:noMultiLvlLbl val="0"/>
      </c:catAx>
      <c:valAx>
        <c:axId val="212236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[0]!PCG_Rec4</c:f>
            </c:numRef>
          </c:val>
          <c:smooth val="0"/>
          <c:extLst>
            <c:ext xmlns:c16="http://schemas.microsoft.com/office/drawing/2014/chart" uri="{C3380CC4-5D6E-409C-BE32-E72D297353CC}">
              <c16:uniqueId val="{00000003-A0AB-4AC4-B993-9B23D06E4C1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[0]!PCG_Up4</c:f>
            </c:numRef>
          </c:val>
          <c:smooth val="0"/>
          <c:extLst>
            <c:ext xmlns:c16="http://schemas.microsoft.com/office/drawing/2014/chart" uri="{C3380CC4-5D6E-409C-BE32-E72D297353CC}">
              <c16:uniqueId val="{00000004-A0AB-4AC4-B993-9B23D06E4C1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[0]!PCG_Dn4</c:f>
            </c:numRef>
          </c:val>
          <c:smooth val="0"/>
          <c:extLst>
            <c:ext xmlns:c16="http://schemas.microsoft.com/office/drawing/2014/chart" uri="{C3380CC4-5D6E-409C-BE32-E72D297353CC}">
              <c16:uniqueId val="{00000005-A0AB-4AC4-B993-9B23D06E4C1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[0]!PCG_Mean4</c:f>
            </c:numRef>
          </c:val>
          <c:smooth val="0"/>
          <c:extLst>
            <c:ext xmlns:c16="http://schemas.microsoft.com/office/drawing/2014/chart" uri="{C3380CC4-5D6E-409C-BE32-E72D297353CC}">
              <c16:uniqueId val="{00000002-A0AB-4AC4-B993-9B23D06E4C1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[0]!PCG_Act4</c:f>
            </c:numRef>
          </c:val>
          <c:smooth val="0"/>
          <c:extLst>
            <c:ext xmlns:c16="http://schemas.microsoft.com/office/drawing/2014/chart" uri="{C3380CC4-5D6E-409C-BE32-E72D297353CC}">
              <c16:uniqueId val="{00000001-A0AB-4AC4-B993-9B23D06E4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6720"/>
        <c:axId val="2122367200"/>
      </c:lineChart>
      <c:catAx>
        <c:axId val="212236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7200"/>
        <c:crosses val="autoZero"/>
        <c:auto val="1"/>
        <c:lblAlgn val="ctr"/>
        <c:lblOffset val="100"/>
        <c:noMultiLvlLbl val="0"/>
      </c:catAx>
      <c:valAx>
        <c:axId val="212236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[0]!PCG_Rec5</c:f>
            </c:numRef>
          </c:val>
          <c:smooth val="0"/>
          <c:extLst>
            <c:ext xmlns:c16="http://schemas.microsoft.com/office/drawing/2014/chart" uri="{C3380CC4-5D6E-409C-BE32-E72D297353CC}">
              <c16:uniqueId val="{00000003-8289-469D-9F2D-1ADC4A443F4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[0]!PCG_Up5</c:f>
            </c:numRef>
          </c:val>
          <c:smooth val="0"/>
          <c:extLst>
            <c:ext xmlns:c16="http://schemas.microsoft.com/office/drawing/2014/chart" uri="{C3380CC4-5D6E-409C-BE32-E72D297353CC}">
              <c16:uniqueId val="{00000004-8289-469D-9F2D-1ADC4A443F4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[0]!PCG_Dn5</c:f>
            </c:numRef>
          </c:val>
          <c:smooth val="0"/>
          <c:extLst>
            <c:ext xmlns:c16="http://schemas.microsoft.com/office/drawing/2014/chart" uri="{C3380CC4-5D6E-409C-BE32-E72D297353CC}">
              <c16:uniqueId val="{00000005-8289-469D-9F2D-1ADC4A443F4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[0]!PCG_Mean5</c:f>
            </c:numRef>
          </c:val>
          <c:smooth val="0"/>
          <c:extLst>
            <c:ext xmlns:c16="http://schemas.microsoft.com/office/drawing/2014/chart" uri="{C3380CC4-5D6E-409C-BE32-E72D297353CC}">
              <c16:uniqueId val="{00000002-8289-469D-9F2D-1ADC4A443F4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[0]!PCG_Act5</c:f>
            </c:numRef>
          </c:val>
          <c:smooth val="0"/>
          <c:extLst>
            <c:ext xmlns:c16="http://schemas.microsoft.com/office/drawing/2014/chart" uri="{C3380CC4-5D6E-409C-BE32-E72D297353CC}">
              <c16:uniqueId val="{00000001-8289-469D-9F2D-1ADC4A443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53280"/>
        <c:axId val="2122359040"/>
      </c:lineChart>
      <c:catAx>
        <c:axId val="212235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9040"/>
        <c:crosses val="autoZero"/>
        <c:auto val="1"/>
        <c:lblAlgn val="ctr"/>
        <c:lblOffset val="100"/>
        <c:noMultiLvlLbl val="0"/>
      </c:catAx>
      <c:valAx>
        <c:axId val="212235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[0]!PCG_Rec6</c:f>
            </c:numRef>
          </c:val>
          <c:smooth val="0"/>
          <c:extLst>
            <c:ext xmlns:c16="http://schemas.microsoft.com/office/drawing/2014/chart" uri="{C3380CC4-5D6E-409C-BE32-E72D297353CC}">
              <c16:uniqueId val="{00000003-350D-4F4B-9C48-4D62FC84865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[0]!PCG_Up6</c:f>
            </c:numRef>
          </c:val>
          <c:smooth val="0"/>
          <c:extLst>
            <c:ext xmlns:c16="http://schemas.microsoft.com/office/drawing/2014/chart" uri="{C3380CC4-5D6E-409C-BE32-E72D297353CC}">
              <c16:uniqueId val="{00000004-350D-4F4B-9C48-4D62FC84865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[0]!PCG_Dn6</c:f>
            </c:numRef>
          </c:val>
          <c:smooth val="0"/>
          <c:extLst>
            <c:ext xmlns:c16="http://schemas.microsoft.com/office/drawing/2014/chart" uri="{C3380CC4-5D6E-409C-BE32-E72D297353CC}">
              <c16:uniqueId val="{00000005-350D-4F4B-9C48-4D62FC84865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[0]!PCG_Mean6</c:f>
            </c:numRef>
          </c:val>
          <c:smooth val="0"/>
          <c:extLst>
            <c:ext xmlns:c16="http://schemas.microsoft.com/office/drawing/2014/chart" uri="{C3380CC4-5D6E-409C-BE32-E72D297353CC}">
              <c16:uniqueId val="{00000002-350D-4F4B-9C48-4D62FC84865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[0]!PCG_Act6</c:f>
            </c:numRef>
          </c:val>
          <c:smooth val="0"/>
          <c:extLst>
            <c:ext xmlns:c16="http://schemas.microsoft.com/office/drawing/2014/chart" uri="{C3380CC4-5D6E-409C-BE32-E72D297353CC}">
              <c16:uniqueId val="{00000001-350D-4F4B-9C48-4D62FC848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5760"/>
        <c:axId val="2122355200"/>
      </c:lineChart>
      <c:catAx>
        <c:axId val="212236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5200"/>
        <c:crosses val="autoZero"/>
        <c:auto val="1"/>
        <c:lblAlgn val="ctr"/>
        <c:lblOffset val="100"/>
        <c:noMultiLvlLbl val="0"/>
      </c:catAx>
      <c:valAx>
        <c:axId val="212235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[0]!PCG_Rec7</c:f>
            </c:numRef>
          </c:val>
          <c:smooth val="0"/>
          <c:extLst>
            <c:ext xmlns:c16="http://schemas.microsoft.com/office/drawing/2014/chart" uri="{C3380CC4-5D6E-409C-BE32-E72D297353CC}">
              <c16:uniqueId val="{00000003-A3C5-40E0-8B37-33D527F9C500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[0]!PCG_Up7</c:f>
            </c:numRef>
          </c:val>
          <c:smooth val="0"/>
          <c:extLst>
            <c:ext xmlns:c16="http://schemas.microsoft.com/office/drawing/2014/chart" uri="{C3380CC4-5D6E-409C-BE32-E72D297353CC}">
              <c16:uniqueId val="{00000004-A3C5-40E0-8B37-33D527F9C500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[0]!PCG_Dn7</c:f>
            </c:numRef>
          </c:val>
          <c:smooth val="0"/>
          <c:extLst>
            <c:ext xmlns:c16="http://schemas.microsoft.com/office/drawing/2014/chart" uri="{C3380CC4-5D6E-409C-BE32-E72D297353CC}">
              <c16:uniqueId val="{00000005-A3C5-40E0-8B37-33D527F9C500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[0]!PCG_Mean7</c:f>
            </c:numRef>
          </c:val>
          <c:smooth val="0"/>
          <c:extLst>
            <c:ext xmlns:c16="http://schemas.microsoft.com/office/drawing/2014/chart" uri="{C3380CC4-5D6E-409C-BE32-E72D297353CC}">
              <c16:uniqueId val="{00000002-A3C5-40E0-8B37-33D527F9C500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[0]!PCG_Act7</c:f>
            </c:numRef>
          </c:val>
          <c:smooth val="0"/>
          <c:extLst>
            <c:ext xmlns:c16="http://schemas.microsoft.com/office/drawing/2014/chart" uri="{C3380CC4-5D6E-409C-BE32-E72D297353CC}">
              <c16:uniqueId val="{00000001-A3C5-40E0-8B37-33D527F9C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7136"/>
        <c:axId val="2123379536"/>
      </c:lineChart>
      <c:catAx>
        <c:axId val="212337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536"/>
        <c:crosses val="autoZero"/>
        <c:auto val="1"/>
        <c:lblAlgn val="ctr"/>
        <c:lblOffset val="100"/>
        <c:noMultiLvlLbl val="0"/>
      </c:catAx>
      <c:valAx>
        <c:axId val="21233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[0]!PCG_Rec8</c:f>
            </c:numRef>
          </c:val>
          <c:smooth val="0"/>
          <c:extLst>
            <c:ext xmlns:c16="http://schemas.microsoft.com/office/drawing/2014/chart" uri="{C3380CC4-5D6E-409C-BE32-E72D297353CC}">
              <c16:uniqueId val="{00000003-1913-429B-927D-564BF814B6ED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[0]!PCG_Up8</c:f>
            </c:numRef>
          </c:val>
          <c:smooth val="0"/>
          <c:extLst>
            <c:ext xmlns:c16="http://schemas.microsoft.com/office/drawing/2014/chart" uri="{C3380CC4-5D6E-409C-BE32-E72D297353CC}">
              <c16:uniqueId val="{00000004-1913-429B-927D-564BF814B6ED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[0]!PCG_Dn8</c:f>
            </c:numRef>
          </c:val>
          <c:smooth val="0"/>
          <c:extLst>
            <c:ext xmlns:c16="http://schemas.microsoft.com/office/drawing/2014/chart" uri="{C3380CC4-5D6E-409C-BE32-E72D297353CC}">
              <c16:uniqueId val="{00000005-1913-429B-927D-564BF814B6ED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[0]!PCG_Mean8</c:f>
            </c:numRef>
          </c:val>
          <c:smooth val="0"/>
          <c:extLst>
            <c:ext xmlns:c16="http://schemas.microsoft.com/office/drawing/2014/chart" uri="{C3380CC4-5D6E-409C-BE32-E72D297353CC}">
              <c16:uniqueId val="{00000002-1913-429B-927D-564BF814B6ED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[0]!PCG_Act8</c:f>
            </c:numRef>
          </c:val>
          <c:smooth val="0"/>
          <c:extLst>
            <c:ext xmlns:c16="http://schemas.microsoft.com/office/drawing/2014/chart" uri="{C3380CC4-5D6E-409C-BE32-E72D297353CC}">
              <c16:uniqueId val="{00000001-1913-429B-927D-564BF814B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9056"/>
        <c:axId val="2123378576"/>
      </c:lineChart>
      <c:catAx>
        <c:axId val="212337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576"/>
        <c:crosses val="autoZero"/>
        <c:auto val="1"/>
        <c:lblAlgn val="ctr"/>
        <c:lblOffset val="100"/>
        <c:noMultiLvlLbl val="0"/>
      </c:catAx>
      <c:valAx>
        <c:axId val="21233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[0]!PCG_Rec9</c:f>
            </c:numRef>
          </c:val>
          <c:smooth val="0"/>
          <c:extLst>
            <c:ext xmlns:c16="http://schemas.microsoft.com/office/drawing/2014/chart" uri="{C3380CC4-5D6E-409C-BE32-E72D297353CC}">
              <c16:uniqueId val="{00000003-0711-42F5-841A-E3E24F462AD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[0]!PCG_Up9</c:f>
            </c:numRef>
          </c:val>
          <c:smooth val="0"/>
          <c:extLst>
            <c:ext xmlns:c16="http://schemas.microsoft.com/office/drawing/2014/chart" uri="{C3380CC4-5D6E-409C-BE32-E72D297353CC}">
              <c16:uniqueId val="{00000004-0711-42F5-841A-E3E24F462AD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[0]!PCG_Dn9</c:f>
            </c:numRef>
          </c:val>
          <c:smooth val="0"/>
          <c:extLst>
            <c:ext xmlns:c16="http://schemas.microsoft.com/office/drawing/2014/chart" uri="{C3380CC4-5D6E-409C-BE32-E72D297353CC}">
              <c16:uniqueId val="{00000005-0711-42F5-841A-E3E24F462AD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[0]!PCG_Mean9</c:f>
            </c:numRef>
          </c:val>
          <c:smooth val="0"/>
          <c:extLst>
            <c:ext xmlns:c16="http://schemas.microsoft.com/office/drawing/2014/chart" uri="{C3380CC4-5D6E-409C-BE32-E72D297353CC}">
              <c16:uniqueId val="{00000002-0711-42F5-841A-E3E24F462AD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[0]!PCG_Act9</c:f>
            </c:numRef>
          </c:val>
          <c:smooth val="0"/>
          <c:extLst>
            <c:ext xmlns:c16="http://schemas.microsoft.com/office/drawing/2014/chart" uri="{C3380CC4-5D6E-409C-BE32-E72D297353CC}">
              <c16:uniqueId val="{00000001-0711-42F5-841A-E3E24F462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8096"/>
        <c:axId val="2123380016"/>
      </c:lineChart>
      <c:catAx>
        <c:axId val="212337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80016"/>
        <c:crosses val="autoZero"/>
        <c:auto val="1"/>
        <c:lblAlgn val="ctr"/>
        <c:lblOffset val="100"/>
        <c:noMultiLvlLbl val="0"/>
      </c:catAx>
      <c:valAx>
        <c:axId val="212338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[0]!PCG_Rec10</c:f>
            </c:numRef>
          </c:val>
          <c:smooth val="0"/>
          <c:extLst>
            <c:ext xmlns:c16="http://schemas.microsoft.com/office/drawing/2014/chart" uri="{C3380CC4-5D6E-409C-BE32-E72D297353CC}">
              <c16:uniqueId val="{00000003-4FEA-4492-AC6D-B7F8E83B115E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[0]!PCG_Up10</c:f>
            </c:numRef>
          </c:val>
          <c:smooth val="0"/>
          <c:extLst>
            <c:ext xmlns:c16="http://schemas.microsoft.com/office/drawing/2014/chart" uri="{C3380CC4-5D6E-409C-BE32-E72D297353CC}">
              <c16:uniqueId val="{00000004-4FEA-4492-AC6D-B7F8E83B115E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[0]!PCG_Dn10</c:f>
            </c:numRef>
          </c:val>
          <c:smooth val="0"/>
          <c:extLst>
            <c:ext xmlns:c16="http://schemas.microsoft.com/office/drawing/2014/chart" uri="{C3380CC4-5D6E-409C-BE32-E72D297353CC}">
              <c16:uniqueId val="{00000005-4FEA-4492-AC6D-B7F8E83B115E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[0]!PCG_Mean10</c:f>
            </c:numRef>
          </c:val>
          <c:smooth val="0"/>
          <c:extLst>
            <c:ext xmlns:c16="http://schemas.microsoft.com/office/drawing/2014/chart" uri="{C3380CC4-5D6E-409C-BE32-E72D297353CC}">
              <c16:uniqueId val="{00000002-4FEA-4492-AC6D-B7F8E83B115E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[0]!PCG_Act10</c:f>
            </c:numRef>
          </c:val>
          <c:smooth val="0"/>
          <c:extLst>
            <c:ext xmlns:c16="http://schemas.microsoft.com/office/drawing/2014/chart" uri="{C3380CC4-5D6E-409C-BE32-E72D297353CC}">
              <c16:uniqueId val="{00000001-4FEA-4492-AC6D-B7F8E83B1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90096"/>
        <c:axId val="2123721376"/>
      </c:lineChart>
      <c:catAx>
        <c:axId val="212339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721376"/>
        <c:crosses val="autoZero"/>
        <c:auto val="1"/>
        <c:lblAlgn val="ctr"/>
        <c:lblOffset val="100"/>
        <c:noMultiLvlLbl val="0"/>
      </c:catAx>
      <c:valAx>
        <c:axId val="212372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9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vs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[0]!VHV_ChIV</c:f>
            </c:numRef>
          </c:val>
          <c:smooth val="0"/>
          <c:extLst>
            <c:ext xmlns:c16="http://schemas.microsoft.com/office/drawing/2014/chart" uri="{C3380CC4-5D6E-409C-BE32-E72D297353CC}">
              <c16:uniqueId val="{00000001-6808-4268-A4B0-B2B916D544B2}"/>
            </c:ext>
          </c:extLst>
        </c:ser>
        <c:ser>
          <c:idx val="1"/>
          <c:order val="1"/>
          <c:tx>
            <c:v>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</c:f>
            </c:numRef>
          </c:val>
          <c:smooth val="0"/>
          <c:extLst>
            <c:ext xmlns:c16="http://schemas.microsoft.com/office/drawing/2014/chart" uri="{C3380CC4-5D6E-409C-BE32-E72D297353CC}">
              <c16:uniqueId val="{00000002-6808-4268-A4B0-B2B916D544B2}"/>
            </c:ext>
          </c:extLst>
        </c:ser>
        <c:ser>
          <c:idx val="2"/>
          <c:order val="2"/>
          <c:tx>
            <c:v>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[0]!VHV_ChHVs</c:f>
            </c:numRef>
          </c:val>
          <c:smooth val="0"/>
          <c:extLst>
            <c:ext xmlns:c16="http://schemas.microsoft.com/office/drawing/2014/chart" uri="{C3380CC4-5D6E-409C-BE32-E72D297353CC}">
              <c16:uniqueId val="{00000003-6808-4268-A4B0-B2B916D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9536"/>
        <c:axId val="1464909936"/>
      </c:lineChart>
      <c:dateAx>
        <c:axId val="146491953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09936"/>
        <c:crosses val="autoZero"/>
        <c:auto val="0"/>
        <c:lblOffset val="100"/>
        <c:baseTimeUnit val="days"/>
      </c:dateAx>
      <c:valAx>
        <c:axId val="146490993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9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-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 - 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</c:f>
            </c:numRef>
          </c:val>
          <c:smooth val="0"/>
          <c:extLst>
            <c:ext xmlns:c16="http://schemas.microsoft.com/office/drawing/2014/chart" uri="{C3380CC4-5D6E-409C-BE32-E72D297353CC}">
              <c16:uniqueId val="{00000001-60DA-4AE6-9A60-883D7E30200D}"/>
            </c:ext>
          </c:extLst>
        </c:ser>
        <c:ser>
          <c:idx val="1"/>
          <c:order val="1"/>
          <c:tx>
            <c:v>IV - 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[0]!VHV_ChGapS</c:f>
            </c:numRef>
          </c:val>
          <c:smooth val="0"/>
          <c:extLst>
            <c:ext xmlns:c16="http://schemas.microsoft.com/office/drawing/2014/chart" uri="{C3380CC4-5D6E-409C-BE32-E72D297353CC}">
              <c16:uniqueId val="{00000002-60DA-4AE6-9A60-883D7E30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3776"/>
        <c:axId val="1464914256"/>
      </c:lineChart>
      <c:dateAx>
        <c:axId val="146491377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14256"/>
        <c:crosses val="autoZero"/>
        <c:auto val="0"/>
        <c:lblOffset val="100"/>
        <c:baseTimeUnit val="days"/>
      </c:dateAx>
      <c:valAx>
        <c:axId val="14649142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377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Strip Nx1Y (%)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Live</c:v>
          </c:tx>
          <c:spPr>
            <a:ln w="25400">
              <a:solidFill>
                <a:srgbClr val="2A78D6"/>
              </a:solidFill>
            </a:ln>
          </c:spPr>
          <c:marker>
            <c:spPr>
              <a:ln w="25400">
                <a:solidFill>
                  <a:srgbClr val="2A78D6"/>
                </a:solidFill>
              </a:ln>
            </c:spPr>
          </c:marker>
          <c:xVal>
            <c:numRef>
              <c:f>FwdMonitor!$GC$4:$GC$19</c:f>
            </c:numRef>
          </c:xVal>
          <c:yVal>
            <c:numRef>
              <c:f>FwdMonitor!$GD$4:$GD$19</c:f>
            </c:numRef>
          </c:yVal>
          <c:smooth val="0"/>
          <c:extLst>
            <c:ext xmlns:c16="http://schemas.microsoft.com/office/drawing/2014/chart" uri="{C3380CC4-5D6E-409C-BE32-E72D297353CC}">
              <c16:uniqueId val="{00000002-E787-412D-B68E-DA821C2A1D4C}"/>
            </c:ext>
          </c:extLst>
        </c:ser>
        <c:ser>
          <c:idx val="1"/>
          <c:order val="1"/>
          <c:tx>
            <c:strRef>
              <c:f>FwdMonitor!$GE$3</c:f>
            </c:strRef>
          </c:tx>
          <c:spPr>
            <a:ln w="25400">
              <a:solidFill>
                <a:srgbClr val="EB6834"/>
              </a:solidFill>
              <a:prstDash val="dash"/>
            </a:ln>
          </c:spPr>
          <c:marker>
            <c:spPr>
              <a:ln w="25400">
                <a:solidFill>
                  <a:srgbClr val="EB6834"/>
                </a:solidFill>
                <a:prstDash val="dash"/>
              </a:ln>
            </c:spPr>
          </c:marker>
          <c:xVal>
            <c:numRef>
              <c:f>FwdMonitor!$GC$4:$GC$19</c:f>
            </c:numRef>
          </c:xVal>
          <c:yVal>
            <c:numRef>
              <c:f>FwdMonitor!$GE$4:$GE$19</c:f>
            </c:numRef>
          </c:yVal>
          <c:smooth val="0"/>
          <c:extLst>
            <c:ext xmlns:c16="http://schemas.microsoft.com/office/drawing/2014/chart" uri="{C3380CC4-5D6E-409C-BE32-E72D297353CC}">
              <c16:uniqueId val="{00000003-E787-412D-B68E-DA821C2A1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698960"/>
        <c:axId val="1838699440"/>
      </c:scatterChart>
      <c:valAx>
        <c:axId val="183869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8699440"/>
        <c:crosses val="autoZero"/>
        <c:crossBetween val="midCat"/>
      </c:valAx>
      <c:valAx>
        <c:axId val="1838699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8698960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Change vs compare Nx1Y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Chg</c:v>
          </c:tx>
          <c:spPr>
            <a:solidFill>
              <a:srgbClr val="2A78D6"/>
            </a:solidFill>
            <a:ln w="25400">
              <a:solidFill>
                <a:srgbClr val="2A78D6"/>
              </a:solidFill>
            </a:ln>
          </c:spPr>
          <c:invertIfNegative val="0"/>
          <c:cat>
            <c:strRef>
              <c:f>FwdMonitor!$A$12:$A$27</c:f>
            </c:strRef>
          </c:cat>
          <c:val>
            <c:numRef>
              <c:f>FwdMonitor!$GF$4:$GF$19</c:f>
            </c:numRef>
          </c:val>
          <c:extLst>
            <c:ext xmlns:c16="http://schemas.microsoft.com/office/drawing/2014/chart" uri="{C3380CC4-5D6E-409C-BE32-E72D297353CC}">
              <c16:uniqueId val="{00000002-D7A2-436D-9AA8-2E6CC5B5E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3794608"/>
        <c:axId val="2003795088"/>
      </c:barChart>
      <c:catAx>
        <c:axId val="2003794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3795088"/>
        <c:crosses val="autoZero"/>
        <c:auto val="1"/>
        <c:lblAlgn val="ctr"/>
        <c:lblOffset val="100"/>
        <c:noMultiLvlLbl val="0"/>
      </c:catAx>
      <c:valAx>
        <c:axId val="2003795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794608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Strip Nx5Y (%)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Live</c:v>
          </c:tx>
          <c:spPr>
            <a:ln w="25400">
              <a:solidFill>
                <a:srgbClr val="2A78D6"/>
              </a:solidFill>
            </a:ln>
          </c:spPr>
          <c:marker>
            <c:spPr>
              <a:ln w="25400">
                <a:solidFill>
                  <a:srgbClr val="2A78D6"/>
                </a:solidFill>
              </a:ln>
            </c:spPr>
          </c:marker>
          <c:xVal>
            <c:numRef>
              <c:f>FwdMonitor!$GH$4:$GH$10</c:f>
            </c:numRef>
          </c:xVal>
          <c:yVal>
            <c:numRef>
              <c:f>FwdMonitor!$GI$4:$GI$10</c:f>
            </c:numRef>
          </c:yVal>
          <c:smooth val="0"/>
          <c:extLst>
            <c:ext xmlns:c16="http://schemas.microsoft.com/office/drawing/2014/chart" uri="{C3380CC4-5D6E-409C-BE32-E72D297353CC}">
              <c16:uniqueId val="{00000002-4836-4BE7-997E-85F6BCC26D2E}"/>
            </c:ext>
          </c:extLst>
        </c:ser>
        <c:ser>
          <c:idx val="1"/>
          <c:order val="1"/>
          <c:tx>
            <c:strRef>
              <c:f>FwdMonitor!$GJ$3</c:f>
            </c:strRef>
          </c:tx>
          <c:spPr>
            <a:ln w="25400">
              <a:solidFill>
                <a:srgbClr val="EB6834"/>
              </a:solidFill>
              <a:prstDash val="dash"/>
            </a:ln>
          </c:spPr>
          <c:marker>
            <c:spPr>
              <a:ln w="25400">
                <a:solidFill>
                  <a:srgbClr val="EB6834"/>
                </a:solidFill>
                <a:prstDash val="dash"/>
              </a:ln>
            </c:spPr>
          </c:marker>
          <c:xVal>
            <c:numRef>
              <c:f>FwdMonitor!$GH$4:$GH$10</c:f>
            </c:numRef>
          </c:xVal>
          <c:yVal>
            <c:numRef>
              <c:f>FwdMonitor!$GJ$4:$GJ$10</c:f>
            </c:numRef>
          </c:yVal>
          <c:smooth val="0"/>
          <c:extLst>
            <c:ext xmlns:c16="http://schemas.microsoft.com/office/drawing/2014/chart" uri="{C3380CC4-5D6E-409C-BE32-E72D297353CC}">
              <c16:uniqueId val="{00000003-4836-4BE7-997E-85F6BCC26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653584"/>
        <c:axId val="2001651664"/>
      </c:scatterChart>
      <c:valAx>
        <c:axId val="200165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1651664"/>
        <c:crosses val="autoZero"/>
        <c:crossBetween val="midCat"/>
      </c:valAx>
      <c:valAx>
        <c:axId val="200165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1653584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Change vs compare Nx5Y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Chg</c:v>
          </c:tx>
          <c:spPr>
            <a:solidFill>
              <a:srgbClr val="2A78D6"/>
            </a:solidFill>
            <a:ln w="25400">
              <a:solidFill>
                <a:srgbClr val="2A78D6"/>
              </a:solidFill>
            </a:ln>
          </c:spPr>
          <c:invertIfNegative val="0"/>
          <c:cat>
            <c:strRef>
              <c:f>FwdMonitor!$A$29:$A$35</c:f>
            </c:strRef>
          </c:cat>
          <c:val>
            <c:numRef>
              <c:f>FwdMonitor!$GK$4:$GK$10</c:f>
            </c:numRef>
          </c:val>
          <c:extLst>
            <c:ext xmlns:c16="http://schemas.microsoft.com/office/drawing/2014/chart" uri="{C3380CC4-5D6E-409C-BE32-E72D297353CC}">
              <c16:uniqueId val="{00000002-FBAD-4B3B-AD1C-F4758878B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1653584"/>
        <c:axId val="2001654064"/>
      </c:barChart>
      <c:catAx>
        <c:axId val="200165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1654064"/>
        <c:crosses val="autoZero"/>
        <c:auto val="1"/>
        <c:lblAlgn val="ctr"/>
        <c:lblOffset val="100"/>
        <c:noMultiLvlLbl val="0"/>
      </c:catAx>
      <c:valAx>
        <c:axId val="200165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1653584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Comparison (bp)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FwdMonitor!$GN$3</c:f>
            </c:strRef>
          </c:tx>
          <c:spPr>
            <a:ln w="25400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[0]!FWM_Ch1</c:f>
            </c:numRef>
          </c:val>
          <c:smooth val="0"/>
          <c:extLst>
            <c:ext xmlns:c16="http://schemas.microsoft.com/office/drawing/2014/chart" uri="{C3380CC4-5D6E-409C-BE32-E72D297353CC}">
              <c16:uniqueId val="{00000002-1506-4CFC-95DF-177A4A8293F4}"/>
            </c:ext>
          </c:extLst>
        </c:ser>
        <c:ser>
          <c:idx val="1"/>
          <c:order val="1"/>
          <c:tx>
            <c:strRef>
              <c:f>FwdMonitor!$GO$3</c:f>
            </c:strRef>
          </c:tx>
          <c:spPr>
            <a:ln w="25400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[0]!FWM_Ch2</c:f>
            </c:numRef>
          </c:val>
          <c:smooth val="0"/>
          <c:extLst>
            <c:ext xmlns:c16="http://schemas.microsoft.com/office/drawing/2014/chart" uri="{C3380CC4-5D6E-409C-BE32-E72D297353CC}">
              <c16:uniqueId val="{00000003-1506-4CFC-95DF-177A4A8293F4}"/>
            </c:ext>
          </c:extLst>
        </c:ser>
        <c:ser>
          <c:idx val="2"/>
          <c:order val="2"/>
          <c:tx>
            <c:strRef>
              <c:f>FwdMonitor!$GP$3</c:f>
            </c:strRef>
          </c:tx>
          <c:spPr>
            <a:ln w="25400">
              <a:solidFill>
                <a:srgbClr val="1BAF7A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[0]!FWM_Ch3</c:f>
            </c:numRef>
          </c:val>
          <c:smooth val="0"/>
          <c:extLst>
            <c:ext xmlns:c16="http://schemas.microsoft.com/office/drawing/2014/chart" uri="{C3380CC4-5D6E-409C-BE32-E72D297353CC}">
              <c16:uniqueId val="{00000004-1506-4CFC-95DF-177A4A8293F4}"/>
            </c:ext>
          </c:extLst>
        </c:ser>
        <c:ser>
          <c:idx val="3"/>
          <c:order val="3"/>
          <c:tx>
            <c:strRef>
              <c:f>FwdMonitor!$GQ$3</c:f>
            </c:strRef>
          </c:tx>
          <c:spPr>
            <a:ln w="25400">
              <a:solidFill>
                <a:srgbClr val="6B7A80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[0]!FWM_Ch4</c:f>
            </c:numRef>
          </c:val>
          <c:smooth val="0"/>
          <c:extLst>
            <c:ext xmlns:c16="http://schemas.microsoft.com/office/drawing/2014/chart" uri="{C3380CC4-5D6E-409C-BE32-E72D297353CC}">
              <c16:uniqueId val="{00000005-1506-4CFC-95DF-177A4A829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3959616"/>
        <c:axId val="2003958176"/>
      </c:lineChart>
      <c:dateAx>
        <c:axId val="200395961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2003958176"/>
        <c:crosses val="autoZero"/>
        <c:auto val="1"/>
        <c:lblOffset val="100"/>
        <c:baseTimeUnit val="days"/>
      </c:dateAx>
      <c:valAx>
        <c:axId val="20039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95961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Front-month futures (settle / roll-adjusted)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Settle</c:v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[0]!FUT_ChSettle</c:f>
            </c:numRef>
          </c:val>
          <c:smooth val="0"/>
          <c:extLst>
            <c:ext xmlns:c16="http://schemas.microsoft.com/office/drawing/2014/chart" uri="{C3380CC4-5D6E-409C-BE32-E72D297353CC}">
              <c16:uniqueId val="{00000001-BC03-463D-B4A0-30CD9F078191}"/>
            </c:ext>
          </c:extLst>
        </c:ser>
        <c:ser>
          <c:idx val="1"/>
          <c:order val="1"/>
          <c:tx>
            <c:v>Settle adj</c:v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[0]!FUT_ChSettleAdj</c:f>
            </c:numRef>
          </c:val>
          <c:smooth val="0"/>
          <c:extLst>
            <c:ext xmlns:c16="http://schemas.microsoft.com/office/drawing/2014/chart" uri="{C3380CC4-5D6E-409C-BE32-E72D297353CC}">
              <c16:uniqueId val="{00000002-BC03-463D-B4A0-30CD9F078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43216"/>
        <c:axId val="625943696"/>
      </c:lineChart>
      <c:dateAx>
        <c:axId val="62594321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625943696"/>
        <c:crosses val="autoZero"/>
        <c:auto val="1"/>
        <c:lblOffset val="100"/>
        <c:baseTimeUnit val="days"/>
      </c:dateAx>
      <c:valAx>
        <c:axId val="62594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4321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CTD net basis (sen / step-adjusted)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Net</c:v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[0]!FUT_ChNet</c:f>
            </c:numRef>
          </c:val>
          <c:smooth val="0"/>
          <c:extLst>
            <c:ext xmlns:c16="http://schemas.microsoft.com/office/drawing/2014/chart" uri="{C3380CC4-5D6E-409C-BE32-E72D297353CC}">
              <c16:uniqueId val="{00000001-C9F9-4304-A924-3D9A06195CB3}"/>
            </c:ext>
          </c:extLst>
        </c:ser>
        <c:ser>
          <c:idx val="1"/>
          <c:order val="1"/>
          <c:tx>
            <c:v>Net adj</c:v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[0]!FUT_ChNetAdj</c:f>
            </c:numRef>
          </c:val>
          <c:smooth val="0"/>
          <c:extLst>
            <c:ext xmlns:c16="http://schemas.microsoft.com/office/drawing/2014/chart" uri="{C3380CC4-5D6E-409C-BE32-E72D297353CC}">
              <c16:uniqueId val="{00000002-C9F9-4304-A924-3D9A06195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35536"/>
        <c:axId val="625954256"/>
      </c:lineChart>
      <c:dateAx>
        <c:axId val="62593553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625954256"/>
        <c:crosses val="autoZero"/>
        <c:auto val="1"/>
        <c:lblOffset val="100"/>
        <c:baseTimeUnit val="days"/>
      </c:dateAx>
      <c:valAx>
        <c:axId val="625954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35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Overlay by business days to the last trading day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FutBasis!$BP$3</c:f>
            </c:strRef>
          </c:tx>
          <c:spPr>
            <a:ln w="22225">
              <a:solidFill>
                <a:srgbClr val="6B7A8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[0]!FUT_Ov1</c:f>
            </c:numRef>
          </c:val>
          <c:smooth val="0"/>
          <c:extLst>
            <c:ext xmlns:c16="http://schemas.microsoft.com/office/drawing/2014/chart" uri="{C3380CC4-5D6E-409C-BE32-E72D297353CC}">
              <c16:uniqueId val="{00000001-0AFF-480B-97C7-024DEB6AB79D}"/>
            </c:ext>
          </c:extLst>
        </c:ser>
        <c:ser>
          <c:idx val="1"/>
          <c:order val="1"/>
          <c:tx>
            <c:strRef>
              <c:f>FutBasis!$BQ$3</c:f>
            </c:strRef>
          </c:tx>
          <c:spPr>
            <a:ln w="22225">
              <a:solidFill>
                <a:srgbClr val="1BAF7A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[0]!FUT_Ov2</c:f>
            </c:numRef>
          </c:val>
          <c:smooth val="0"/>
          <c:extLst>
            <c:ext xmlns:c16="http://schemas.microsoft.com/office/drawing/2014/chart" uri="{C3380CC4-5D6E-409C-BE32-E72D297353CC}">
              <c16:uniqueId val="{00000002-0AFF-480B-97C7-024DEB6AB79D}"/>
            </c:ext>
          </c:extLst>
        </c:ser>
        <c:ser>
          <c:idx val="2"/>
          <c:order val="2"/>
          <c:tx>
            <c:strRef>
              <c:f>FutBasis!$BR$3</c:f>
            </c:strRef>
          </c:tx>
          <c:spPr>
            <a:ln w="22225">
              <a:solidFill>
                <a:srgbClr val="8E5AA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[0]!FUT_Ov3</c:f>
            </c:numRef>
          </c:val>
          <c:smooth val="0"/>
          <c:extLst>
            <c:ext xmlns:c16="http://schemas.microsoft.com/office/drawing/2014/chart" uri="{C3380CC4-5D6E-409C-BE32-E72D297353CC}">
              <c16:uniqueId val="{00000003-0AFF-480B-97C7-024DEB6AB79D}"/>
            </c:ext>
          </c:extLst>
        </c:ser>
        <c:ser>
          <c:idx val="3"/>
          <c:order val="3"/>
          <c:tx>
            <c:strRef>
              <c:f>FutBasis!$BS$3</c:f>
            </c:strRef>
          </c:tx>
          <c:spPr>
            <a:ln w="22225">
              <a:solidFill>
                <a:srgbClr val="E6B80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[0]!FUT_Ov4</c:f>
            </c:numRef>
          </c:val>
          <c:smooth val="0"/>
          <c:extLst>
            <c:ext xmlns:c16="http://schemas.microsoft.com/office/drawing/2014/chart" uri="{C3380CC4-5D6E-409C-BE32-E72D297353CC}">
              <c16:uniqueId val="{00000004-0AFF-480B-97C7-024DEB6AB79D}"/>
            </c:ext>
          </c:extLst>
        </c:ser>
        <c:ser>
          <c:idx val="4"/>
          <c:order val="4"/>
          <c:tx>
            <c:strRef>
              <c:f>FutBasis!$BT$3</c:f>
            </c:strRef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[0]!FUT_Ov5</c:f>
            </c:numRef>
          </c:val>
          <c:smooth val="0"/>
          <c:extLst>
            <c:ext xmlns:c16="http://schemas.microsoft.com/office/drawing/2014/chart" uri="{C3380CC4-5D6E-409C-BE32-E72D297353CC}">
              <c16:uniqueId val="{00000005-0AFF-480B-97C7-024DEB6AB79D}"/>
            </c:ext>
          </c:extLst>
        </c:ser>
        <c:ser>
          <c:idx val="5"/>
          <c:order val="5"/>
          <c:tx>
            <c:strRef>
              <c:f>FutBasis!$BU$3</c:f>
            </c:strRef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[0]!FUT_Ov6</c:f>
            </c:numRef>
          </c:val>
          <c:smooth val="0"/>
          <c:extLst>
            <c:ext xmlns:c16="http://schemas.microsoft.com/office/drawing/2014/chart" uri="{C3380CC4-5D6E-409C-BE32-E72D297353CC}">
              <c16:uniqueId val="{00000006-0AFF-480B-97C7-024DEB6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51856"/>
        <c:axId val="625949936"/>
      </c:lineChart>
      <c:catAx>
        <c:axId val="62595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949936"/>
        <c:crosses val="autoZero"/>
        <c:auto val="1"/>
        <c:lblAlgn val="ctr"/>
        <c:lblOffset val="100"/>
        <c:noMultiLvlLbl val="0"/>
      </c:catAx>
      <c:valAx>
        <c:axId val="625949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5185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9.xml"/><Relationship Id="rId21" Type="http://schemas.openxmlformats.org/officeDocument/2006/relationships/chart" Target="../charts/chart24.xml"/><Relationship Id="rId42" Type="http://schemas.openxmlformats.org/officeDocument/2006/relationships/chart" Target="../charts/chart45.xml"/><Relationship Id="rId47" Type="http://schemas.openxmlformats.org/officeDocument/2006/relationships/chart" Target="../charts/chart50.xml"/><Relationship Id="rId63" Type="http://schemas.openxmlformats.org/officeDocument/2006/relationships/chart" Target="../charts/chart66.xml"/><Relationship Id="rId68" Type="http://schemas.openxmlformats.org/officeDocument/2006/relationships/chart" Target="../charts/chart71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9" Type="http://schemas.openxmlformats.org/officeDocument/2006/relationships/chart" Target="../charts/chart32.xml"/><Relationship Id="rId11" Type="http://schemas.openxmlformats.org/officeDocument/2006/relationships/chart" Target="../charts/chart14.xml"/><Relationship Id="rId24" Type="http://schemas.openxmlformats.org/officeDocument/2006/relationships/chart" Target="../charts/chart27.xml"/><Relationship Id="rId32" Type="http://schemas.openxmlformats.org/officeDocument/2006/relationships/chart" Target="../charts/chart35.xml"/><Relationship Id="rId37" Type="http://schemas.openxmlformats.org/officeDocument/2006/relationships/chart" Target="../charts/chart40.xml"/><Relationship Id="rId40" Type="http://schemas.openxmlformats.org/officeDocument/2006/relationships/chart" Target="../charts/chart43.xml"/><Relationship Id="rId45" Type="http://schemas.openxmlformats.org/officeDocument/2006/relationships/chart" Target="../charts/chart48.xml"/><Relationship Id="rId53" Type="http://schemas.openxmlformats.org/officeDocument/2006/relationships/chart" Target="../charts/chart56.xml"/><Relationship Id="rId58" Type="http://schemas.openxmlformats.org/officeDocument/2006/relationships/chart" Target="../charts/chart61.xml"/><Relationship Id="rId66" Type="http://schemas.openxmlformats.org/officeDocument/2006/relationships/chart" Target="../charts/chart69.xml"/><Relationship Id="rId5" Type="http://schemas.openxmlformats.org/officeDocument/2006/relationships/chart" Target="../charts/chart8.xml"/><Relationship Id="rId61" Type="http://schemas.openxmlformats.org/officeDocument/2006/relationships/chart" Target="../charts/chart64.xml"/><Relationship Id="rId19" Type="http://schemas.openxmlformats.org/officeDocument/2006/relationships/chart" Target="../charts/chart2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Relationship Id="rId27" Type="http://schemas.openxmlformats.org/officeDocument/2006/relationships/chart" Target="../charts/chart30.xml"/><Relationship Id="rId30" Type="http://schemas.openxmlformats.org/officeDocument/2006/relationships/chart" Target="../charts/chart33.xml"/><Relationship Id="rId35" Type="http://schemas.openxmlformats.org/officeDocument/2006/relationships/chart" Target="../charts/chart38.xml"/><Relationship Id="rId43" Type="http://schemas.openxmlformats.org/officeDocument/2006/relationships/chart" Target="../charts/chart46.xml"/><Relationship Id="rId48" Type="http://schemas.openxmlformats.org/officeDocument/2006/relationships/chart" Target="../charts/chart51.xml"/><Relationship Id="rId56" Type="http://schemas.openxmlformats.org/officeDocument/2006/relationships/chart" Target="../charts/chart59.xml"/><Relationship Id="rId64" Type="http://schemas.openxmlformats.org/officeDocument/2006/relationships/chart" Target="../charts/chart67.xml"/><Relationship Id="rId69" Type="http://schemas.openxmlformats.org/officeDocument/2006/relationships/chart" Target="../charts/chart72.xml"/><Relationship Id="rId8" Type="http://schemas.openxmlformats.org/officeDocument/2006/relationships/chart" Target="../charts/chart11.xml"/><Relationship Id="rId51" Type="http://schemas.openxmlformats.org/officeDocument/2006/relationships/chart" Target="../charts/chart54.xml"/><Relationship Id="rId3" Type="http://schemas.openxmlformats.org/officeDocument/2006/relationships/chart" Target="../charts/chart6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33" Type="http://schemas.openxmlformats.org/officeDocument/2006/relationships/chart" Target="../charts/chart36.xml"/><Relationship Id="rId38" Type="http://schemas.openxmlformats.org/officeDocument/2006/relationships/chart" Target="../charts/chart41.xml"/><Relationship Id="rId46" Type="http://schemas.openxmlformats.org/officeDocument/2006/relationships/chart" Target="../charts/chart49.xml"/><Relationship Id="rId59" Type="http://schemas.openxmlformats.org/officeDocument/2006/relationships/chart" Target="../charts/chart62.xml"/><Relationship Id="rId67" Type="http://schemas.openxmlformats.org/officeDocument/2006/relationships/chart" Target="../charts/chart70.xml"/><Relationship Id="rId20" Type="http://schemas.openxmlformats.org/officeDocument/2006/relationships/chart" Target="../charts/chart23.xml"/><Relationship Id="rId41" Type="http://schemas.openxmlformats.org/officeDocument/2006/relationships/chart" Target="../charts/chart44.xml"/><Relationship Id="rId54" Type="http://schemas.openxmlformats.org/officeDocument/2006/relationships/chart" Target="../charts/chart57.xml"/><Relationship Id="rId62" Type="http://schemas.openxmlformats.org/officeDocument/2006/relationships/chart" Target="../charts/chart65.xml"/><Relationship Id="rId70" Type="http://schemas.openxmlformats.org/officeDocument/2006/relationships/chart" Target="../charts/chart73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28" Type="http://schemas.openxmlformats.org/officeDocument/2006/relationships/chart" Target="../charts/chart31.xml"/><Relationship Id="rId36" Type="http://schemas.openxmlformats.org/officeDocument/2006/relationships/chart" Target="../charts/chart39.xml"/><Relationship Id="rId49" Type="http://schemas.openxmlformats.org/officeDocument/2006/relationships/chart" Target="../charts/chart52.xml"/><Relationship Id="rId57" Type="http://schemas.openxmlformats.org/officeDocument/2006/relationships/chart" Target="../charts/chart60.xml"/><Relationship Id="rId10" Type="http://schemas.openxmlformats.org/officeDocument/2006/relationships/chart" Target="../charts/chart13.xml"/><Relationship Id="rId31" Type="http://schemas.openxmlformats.org/officeDocument/2006/relationships/chart" Target="../charts/chart34.xml"/><Relationship Id="rId44" Type="http://schemas.openxmlformats.org/officeDocument/2006/relationships/chart" Target="../charts/chart47.xml"/><Relationship Id="rId52" Type="http://schemas.openxmlformats.org/officeDocument/2006/relationships/chart" Target="../charts/chart55.xml"/><Relationship Id="rId60" Type="http://schemas.openxmlformats.org/officeDocument/2006/relationships/chart" Target="../charts/chart63.xml"/><Relationship Id="rId65" Type="http://schemas.openxmlformats.org/officeDocument/2006/relationships/chart" Target="../charts/chart6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39" Type="http://schemas.openxmlformats.org/officeDocument/2006/relationships/chart" Target="../charts/chart42.xml"/><Relationship Id="rId34" Type="http://schemas.openxmlformats.org/officeDocument/2006/relationships/chart" Target="../charts/chart37.xml"/><Relationship Id="rId50" Type="http://schemas.openxmlformats.org/officeDocument/2006/relationships/chart" Target="../charts/chart53.xml"/><Relationship Id="rId55" Type="http://schemas.openxmlformats.org/officeDocument/2006/relationships/chart" Target="../charts/chart5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5.xml"/><Relationship Id="rId1" Type="http://schemas.openxmlformats.org/officeDocument/2006/relationships/chart" Target="../charts/chart7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Relationship Id="rId5" Type="http://schemas.openxmlformats.org/officeDocument/2006/relationships/chart" Target="../charts/chart80.xml"/><Relationship Id="rId4" Type="http://schemas.openxmlformats.org/officeDocument/2006/relationships/chart" Target="../charts/chart7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10</xdr:col>
      <xdr:colOff>533400</xdr:colOff>
      <xdr:row>26</xdr:row>
      <xdr:rowOff>152400</xdr:rowOff>
    </xdr:to>
    <xdr:graphicFrame macro="">
      <xdr:nvGraphicFramePr>
        <xdr:cNvPr id="2" name="PCA_Chart_A">
          <a:extLst>
            <a:ext uri="{FF2B5EF4-FFF2-40B4-BE49-F238E27FC236}">
              <a16:creationId xmlns:a16="http://schemas.microsoft.com/office/drawing/2014/main" id="{D185B7AA-D536-84D7-29C0-A6C1ACE33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10</xdr:row>
      <xdr:rowOff>0</xdr:rowOff>
    </xdr:from>
    <xdr:to>
      <xdr:col>17</xdr:col>
      <xdr:colOff>533400</xdr:colOff>
      <xdr:row>26</xdr:row>
      <xdr:rowOff>152400</xdr:rowOff>
    </xdr:to>
    <xdr:graphicFrame macro="">
      <xdr:nvGraphicFramePr>
        <xdr:cNvPr id="3" name="PCA_Chart_H">
          <a:extLst>
            <a:ext uri="{FF2B5EF4-FFF2-40B4-BE49-F238E27FC236}">
              <a16:creationId xmlns:a16="http://schemas.microsoft.com/office/drawing/2014/main" id="{34BCB746-8AFE-AC20-F55E-79A77BDEC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26</xdr:col>
      <xdr:colOff>558800</xdr:colOff>
      <xdr:row>26</xdr:row>
      <xdr:rowOff>152400</xdr:rowOff>
    </xdr:to>
    <xdr:graphicFrame macro="">
      <xdr:nvGraphicFramePr>
        <xdr:cNvPr id="4" name="PCA_Chart_O">
          <a:extLst>
            <a:ext uri="{FF2B5EF4-FFF2-40B4-BE49-F238E27FC236}">
              <a16:creationId xmlns:a16="http://schemas.microsoft.com/office/drawing/2014/main" id="{92A28841-6BE6-3089-6E48-3FAD836EF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10</xdr:row>
      <xdr:rowOff>25400</xdr:rowOff>
    </xdr:from>
    <xdr:to>
      <xdr:col>10</xdr:col>
      <xdr:colOff>742950</xdr:colOff>
      <xdr:row>25</xdr:row>
      <xdr:rowOff>209550</xdr:rowOff>
    </xdr:to>
    <xdr:graphicFrame macro="">
      <xdr:nvGraphicFramePr>
        <xdr:cNvPr id="2" name="PCG_1_1">
          <a:extLst>
            <a:ext uri="{FF2B5EF4-FFF2-40B4-BE49-F238E27FC236}">
              <a16:creationId xmlns:a16="http://schemas.microsoft.com/office/drawing/2014/main" id="{0B5B637F-25A7-FE30-502C-72F26DAAE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</xdr:colOff>
      <xdr:row>26</xdr:row>
      <xdr:rowOff>25400</xdr:rowOff>
    </xdr:from>
    <xdr:to>
      <xdr:col>10</xdr:col>
      <xdr:colOff>742950</xdr:colOff>
      <xdr:row>41</xdr:row>
      <xdr:rowOff>209550</xdr:rowOff>
    </xdr:to>
    <xdr:graphicFrame macro="">
      <xdr:nvGraphicFramePr>
        <xdr:cNvPr id="3" name="PCG_1_2">
          <a:extLst>
            <a:ext uri="{FF2B5EF4-FFF2-40B4-BE49-F238E27FC236}">
              <a16:creationId xmlns:a16="http://schemas.microsoft.com/office/drawing/2014/main" id="{065454AF-A85D-3CD6-4334-451AE52A04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25400</xdr:colOff>
      <xdr:row>42</xdr:row>
      <xdr:rowOff>25400</xdr:rowOff>
    </xdr:from>
    <xdr:to>
      <xdr:col>10</xdr:col>
      <xdr:colOff>742950</xdr:colOff>
      <xdr:row>57</xdr:row>
      <xdr:rowOff>209550</xdr:rowOff>
    </xdr:to>
    <xdr:graphicFrame macro="">
      <xdr:nvGraphicFramePr>
        <xdr:cNvPr id="4" name="PCG_1_3">
          <a:extLst>
            <a:ext uri="{FF2B5EF4-FFF2-40B4-BE49-F238E27FC236}">
              <a16:creationId xmlns:a16="http://schemas.microsoft.com/office/drawing/2014/main" id="{A2E33E12-D8D5-7324-C884-BDBAE194BE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25400</xdr:colOff>
      <xdr:row>58</xdr:row>
      <xdr:rowOff>25400</xdr:rowOff>
    </xdr:from>
    <xdr:to>
      <xdr:col>10</xdr:col>
      <xdr:colOff>742950</xdr:colOff>
      <xdr:row>73</xdr:row>
      <xdr:rowOff>209550</xdr:rowOff>
    </xdr:to>
    <xdr:graphicFrame macro="">
      <xdr:nvGraphicFramePr>
        <xdr:cNvPr id="5" name="PCG_1_4">
          <a:extLst>
            <a:ext uri="{FF2B5EF4-FFF2-40B4-BE49-F238E27FC236}">
              <a16:creationId xmlns:a16="http://schemas.microsoft.com/office/drawing/2014/main" id="{398F0332-D74D-0F79-7EAE-35D21911B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25400</xdr:colOff>
      <xdr:row>74</xdr:row>
      <xdr:rowOff>25400</xdr:rowOff>
    </xdr:from>
    <xdr:to>
      <xdr:col>10</xdr:col>
      <xdr:colOff>742950</xdr:colOff>
      <xdr:row>89</xdr:row>
      <xdr:rowOff>209550</xdr:rowOff>
    </xdr:to>
    <xdr:graphicFrame macro="">
      <xdr:nvGraphicFramePr>
        <xdr:cNvPr id="6" name="PCG_1_5">
          <a:extLst>
            <a:ext uri="{FF2B5EF4-FFF2-40B4-BE49-F238E27FC236}">
              <a16:creationId xmlns:a16="http://schemas.microsoft.com/office/drawing/2014/main" id="{4F9B7A26-68AD-3F5B-E438-DEDC18DCA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25400</xdr:colOff>
      <xdr:row>90</xdr:row>
      <xdr:rowOff>25400</xdr:rowOff>
    </xdr:from>
    <xdr:to>
      <xdr:col>10</xdr:col>
      <xdr:colOff>742950</xdr:colOff>
      <xdr:row>105</xdr:row>
      <xdr:rowOff>209550</xdr:rowOff>
    </xdr:to>
    <xdr:graphicFrame macro="">
      <xdr:nvGraphicFramePr>
        <xdr:cNvPr id="7" name="PCG_1_6">
          <a:extLst>
            <a:ext uri="{FF2B5EF4-FFF2-40B4-BE49-F238E27FC236}">
              <a16:creationId xmlns:a16="http://schemas.microsoft.com/office/drawing/2014/main" id="{6F1619B5-35FB-5AA5-6F7D-DD86F28E8F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25400</xdr:colOff>
      <xdr:row>10</xdr:row>
      <xdr:rowOff>25400</xdr:rowOff>
    </xdr:from>
    <xdr:to>
      <xdr:col>17</xdr:col>
      <xdr:colOff>742950</xdr:colOff>
      <xdr:row>25</xdr:row>
      <xdr:rowOff>209550</xdr:rowOff>
    </xdr:to>
    <xdr:graphicFrame macro="">
      <xdr:nvGraphicFramePr>
        <xdr:cNvPr id="8" name="PCG_2_1">
          <a:extLst>
            <a:ext uri="{FF2B5EF4-FFF2-40B4-BE49-F238E27FC236}">
              <a16:creationId xmlns:a16="http://schemas.microsoft.com/office/drawing/2014/main" id="{DD98A588-1F0E-5791-9DF4-2566788720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25400</xdr:colOff>
      <xdr:row>26</xdr:row>
      <xdr:rowOff>25400</xdr:rowOff>
    </xdr:from>
    <xdr:to>
      <xdr:col>17</xdr:col>
      <xdr:colOff>742950</xdr:colOff>
      <xdr:row>41</xdr:row>
      <xdr:rowOff>209550</xdr:rowOff>
    </xdr:to>
    <xdr:graphicFrame macro="">
      <xdr:nvGraphicFramePr>
        <xdr:cNvPr id="9" name="PCG_2_2">
          <a:extLst>
            <a:ext uri="{FF2B5EF4-FFF2-40B4-BE49-F238E27FC236}">
              <a16:creationId xmlns:a16="http://schemas.microsoft.com/office/drawing/2014/main" id="{E1DCC4D6-D235-5A2A-40A0-87AE553A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</xdr:colOff>
      <xdr:row>42</xdr:row>
      <xdr:rowOff>25400</xdr:rowOff>
    </xdr:from>
    <xdr:to>
      <xdr:col>17</xdr:col>
      <xdr:colOff>742950</xdr:colOff>
      <xdr:row>57</xdr:row>
      <xdr:rowOff>209550</xdr:rowOff>
    </xdr:to>
    <xdr:graphicFrame macro="">
      <xdr:nvGraphicFramePr>
        <xdr:cNvPr id="10" name="PCG_2_3">
          <a:extLst>
            <a:ext uri="{FF2B5EF4-FFF2-40B4-BE49-F238E27FC236}">
              <a16:creationId xmlns:a16="http://schemas.microsoft.com/office/drawing/2014/main" id="{33F162AD-C4A4-783C-5053-6272E6E57E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25400</xdr:colOff>
      <xdr:row>58</xdr:row>
      <xdr:rowOff>25400</xdr:rowOff>
    </xdr:from>
    <xdr:to>
      <xdr:col>17</xdr:col>
      <xdr:colOff>742950</xdr:colOff>
      <xdr:row>73</xdr:row>
      <xdr:rowOff>209550</xdr:rowOff>
    </xdr:to>
    <xdr:graphicFrame macro="">
      <xdr:nvGraphicFramePr>
        <xdr:cNvPr id="11" name="PCG_2_4">
          <a:extLst>
            <a:ext uri="{FF2B5EF4-FFF2-40B4-BE49-F238E27FC236}">
              <a16:creationId xmlns:a16="http://schemas.microsoft.com/office/drawing/2014/main" id="{8A5828AD-4144-EA4C-3529-D9171B000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25400</xdr:colOff>
      <xdr:row>74</xdr:row>
      <xdr:rowOff>25400</xdr:rowOff>
    </xdr:from>
    <xdr:to>
      <xdr:col>17</xdr:col>
      <xdr:colOff>742950</xdr:colOff>
      <xdr:row>89</xdr:row>
      <xdr:rowOff>209550</xdr:rowOff>
    </xdr:to>
    <xdr:graphicFrame macro="">
      <xdr:nvGraphicFramePr>
        <xdr:cNvPr id="12" name="PCG_2_5">
          <a:extLst>
            <a:ext uri="{FF2B5EF4-FFF2-40B4-BE49-F238E27FC236}">
              <a16:creationId xmlns:a16="http://schemas.microsoft.com/office/drawing/2014/main" id="{FB29B481-1D35-DABF-6803-A15CA7F2F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25400</xdr:colOff>
      <xdr:row>90</xdr:row>
      <xdr:rowOff>25400</xdr:rowOff>
    </xdr:from>
    <xdr:to>
      <xdr:col>17</xdr:col>
      <xdr:colOff>742950</xdr:colOff>
      <xdr:row>105</xdr:row>
      <xdr:rowOff>209550</xdr:rowOff>
    </xdr:to>
    <xdr:graphicFrame macro="">
      <xdr:nvGraphicFramePr>
        <xdr:cNvPr id="13" name="PCG_2_6">
          <a:extLst>
            <a:ext uri="{FF2B5EF4-FFF2-40B4-BE49-F238E27FC236}">
              <a16:creationId xmlns:a16="http://schemas.microsoft.com/office/drawing/2014/main" id="{BBE28477-2370-7053-6466-E3BCA0E2C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25400</xdr:colOff>
      <xdr:row>10</xdr:row>
      <xdr:rowOff>25400</xdr:rowOff>
    </xdr:from>
    <xdr:to>
      <xdr:col>24</xdr:col>
      <xdr:colOff>742950</xdr:colOff>
      <xdr:row>25</xdr:row>
      <xdr:rowOff>209550</xdr:rowOff>
    </xdr:to>
    <xdr:graphicFrame macro="">
      <xdr:nvGraphicFramePr>
        <xdr:cNvPr id="14" name="PCG_3_1">
          <a:extLst>
            <a:ext uri="{FF2B5EF4-FFF2-40B4-BE49-F238E27FC236}">
              <a16:creationId xmlns:a16="http://schemas.microsoft.com/office/drawing/2014/main" id="{B0216956-258A-89EF-D397-550F0DCBE4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25400</xdr:colOff>
      <xdr:row>26</xdr:row>
      <xdr:rowOff>25400</xdr:rowOff>
    </xdr:from>
    <xdr:to>
      <xdr:col>24</xdr:col>
      <xdr:colOff>742950</xdr:colOff>
      <xdr:row>41</xdr:row>
      <xdr:rowOff>209550</xdr:rowOff>
    </xdr:to>
    <xdr:graphicFrame macro="">
      <xdr:nvGraphicFramePr>
        <xdr:cNvPr id="15" name="PCG_3_2">
          <a:extLst>
            <a:ext uri="{FF2B5EF4-FFF2-40B4-BE49-F238E27FC236}">
              <a16:creationId xmlns:a16="http://schemas.microsoft.com/office/drawing/2014/main" id="{FED72A30-7C3C-11B9-2F30-DBEFF779D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25400</xdr:colOff>
      <xdr:row>42</xdr:row>
      <xdr:rowOff>25400</xdr:rowOff>
    </xdr:from>
    <xdr:to>
      <xdr:col>24</xdr:col>
      <xdr:colOff>742950</xdr:colOff>
      <xdr:row>57</xdr:row>
      <xdr:rowOff>209550</xdr:rowOff>
    </xdr:to>
    <xdr:graphicFrame macro="">
      <xdr:nvGraphicFramePr>
        <xdr:cNvPr id="16" name="PCG_3_3">
          <a:extLst>
            <a:ext uri="{FF2B5EF4-FFF2-40B4-BE49-F238E27FC236}">
              <a16:creationId xmlns:a16="http://schemas.microsoft.com/office/drawing/2014/main" id="{D680AD0E-3F85-3BF2-59D7-B7147119E8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25400</xdr:colOff>
      <xdr:row>58</xdr:row>
      <xdr:rowOff>25400</xdr:rowOff>
    </xdr:from>
    <xdr:to>
      <xdr:col>24</xdr:col>
      <xdr:colOff>742950</xdr:colOff>
      <xdr:row>73</xdr:row>
      <xdr:rowOff>209550</xdr:rowOff>
    </xdr:to>
    <xdr:graphicFrame macro="">
      <xdr:nvGraphicFramePr>
        <xdr:cNvPr id="17" name="PCG_3_4">
          <a:extLst>
            <a:ext uri="{FF2B5EF4-FFF2-40B4-BE49-F238E27FC236}">
              <a16:creationId xmlns:a16="http://schemas.microsoft.com/office/drawing/2014/main" id="{C34375BA-0BD1-BCBC-903D-8B6C9EA4A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25400</xdr:colOff>
      <xdr:row>74</xdr:row>
      <xdr:rowOff>25400</xdr:rowOff>
    </xdr:from>
    <xdr:to>
      <xdr:col>24</xdr:col>
      <xdr:colOff>742950</xdr:colOff>
      <xdr:row>89</xdr:row>
      <xdr:rowOff>209550</xdr:rowOff>
    </xdr:to>
    <xdr:graphicFrame macro="">
      <xdr:nvGraphicFramePr>
        <xdr:cNvPr id="18" name="PCG_3_5">
          <a:extLst>
            <a:ext uri="{FF2B5EF4-FFF2-40B4-BE49-F238E27FC236}">
              <a16:creationId xmlns:a16="http://schemas.microsoft.com/office/drawing/2014/main" id="{4F8645DC-F708-176B-EFD7-276A1A3CA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25400</xdr:colOff>
      <xdr:row>90</xdr:row>
      <xdr:rowOff>25400</xdr:rowOff>
    </xdr:from>
    <xdr:to>
      <xdr:col>24</xdr:col>
      <xdr:colOff>742950</xdr:colOff>
      <xdr:row>105</xdr:row>
      <xdr:rowOff>209550</xdr:rowOff>
    </xdr:to>
    <xdr:graphicFrame macro="">
      <xdr:nvGraphicFramePr>
        <xdr:cNvPr id="19" name="PCG_3_6">
          <a:extLst>
            <a:ext uri="{FF2B5EF4-FFF2-40B4-BE49-F238E27FC236}">
              <a16:creationId xmlns:a16="http://schemas.microsoft.com/office/drawing/2014/main" id="{4E84D986-C98C-74BE-4DFA-FD86ACBCB9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25400</xdr:colOff>
      <xdr:row>10</xdr:row>
      <xdr:rowOff>25400</xdr:rowOff>
    </xdr:from>
    <xdr:to>
      <xdr:col>31</xdr:col>
      <xdr:colOff>742950</xdr:colOff>
      <xdr:row>25</xdr:row>
      <xdr:rowOff>209550</xdr:rowOff>
    </xdr:to>
    <xdr:graphicFrame macro="">
      <xdr:nvGraphicFramePr>
        <xdr:cNvPr id="20" name="PCG_4_1">
          <a:extLst>
            <a:ext uri="{FF2B5EF4-FFF2-40B4-BE49-F238E27FC236}">
              <a16:creationId xmlns:a16="http://schemas.microsoft.com/office/drawing/2014/main" id="{9395C031-FE2C-4C6C-98E8-E9530DA096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25</xdr:col>
      <xdr:colOff>25400</xdr:colOff>
      <xdr:row>26</xdr:row>
      <xdr:rowOff>25400</xdr:rowOff>
    </xdr:from>
    <xdr:to>
      <xdr:col>31</xdr:col>
      <xdr:colOff>742950</xdr:colOff>
      <xdr:row>41</xdr:row>
      <xdr:rowOff>209550</xdr:rowOff>
    </xdr:to>
    <xdr:graphicFrame macro="">
      <xdr:nvGraphicFramePr>
        <xdr:cNvPr id="21" name="PCG_4_2">
          <a:extLst>
            <a:ext uri="{FF2B5EF4-FFF2-40B4-BE49-F238E27FC236}">
              <a16:creationId xmlns:a16="http://schemas.microsoft.com/office/drawing/2014/main" id="{10F4CCD7-D3AF-1E43-890A-607A9A2406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25</xdr:col>
      <xdr:colOff>25400</xdr:colOff>
      <xdr:row>42</xdr:row>
      <xdr:rowOff>25400</xdr:rowOff>
    </xdr:from>
    <xdr:to>
      <xdr:col>31</xdr:col>
      <xdr:colOff>742950</xdr:colOff>
      <xdr:row>57</xdr:row>
      <xdr:rowOff>209550</xdr:rowOff>
    </xdr:to>
    <xdr:graphicFrame macro="">
      <xdr:nvGraphicFramePr>
        <xdr:cNvPr id="22" name="PCG_4_3">
          <a:extLst>
            <a:ext uri="{FF2B5EF4-FFF2-40B4-BE49-F238E27FC236}">
              <a16:creationId xmlns:a16="http://schemas.microsoft.com/office/drawing/2014/main" id="{9A46F675-7A0B-0C12-619A-5F5F456BB7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25400</xdr:colOff>
      <xdr:row>58</xdr:row>
      <xdr:rowOff>25400</xdr:rowOff>
    </xdr:from>
    <xdr:to>
      <xdr:col>31</xdr:col>
      <xdr:colOff>742950</xdr:colOff>
      <xdr:row>73</xdr:row>
      <xdr:rowOff>209550</xdr:rowOff>
    </xdr:to>
    <xdr:graphicFrame macro="">
      <xdr:nvGraphicFramePr>
        <xdr:cNvPr id="23" name="PCG_4_4">
          <a:extLst>
            <a:ext uri="{FF2B5EF4-FFF2-40B4-BE49-F238E27FC236}">
              <a16:creationId xmlns:a16="http://schemas.microsoft.com/office/drawing/2014/main" id="{8CFDBF8C-CB98-0FA9-57CA-2DF9A8B5F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25400</xdr:colOff>
      <xdr:row>74</xdr:row>
      <xdr:rowOff>25400</xdr:rowOff>
    </xdr:from>
    <xdr:to>
      <xdr:col>31</xdr:col>
      <xdr:colOff>742950</xdr:colOff>
      <xdr:row>89</xdr:row>
      <xdr:rowOff>209550</xdr:rowOff>
    </xdr:to>
    <xdr:graphicFrame macro="">
      <xdr:nvGraphicFramePr>
        <xdr:cNvPr id="24" name="PCG_4_5">
          <a:extLst>
            <a:ext uri="{FF2B5EF4-FFF2-40B4-BE49-F238E27FC236}">
              <a16:creationId xmlns:a16="http://schemas.microsoft.com/office/drawing/2014/main" id="{A0AADC13-B43E-0DE0-2486-0B440212C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25400</xdr:colOff>
      <xdr:row>90</xdr:row>
      <xdr:rowOff>25400</xdr:rowOff>
    </xdr:from>
    <xdr:to>
      <xdr:col>31</xdr:col>
      <xdr:colOff>742950</xdr:colOff>
      <xdr:row>105</xdr:row>
      <xdr:rowOff>209550</xdr:rowOff>
    </xdr:to>
    <xdr:graphicFrame macro="">
      <xdr:nvGraphicFramePr>
        <xdr:cNvPr id="25" name="PCG_4_6">
          <a:extLst>
            <a:ext uri="{FF2B5EF4-FFF2-40B4-BE49-F238E27FC236}">
              <a16:creationId xmlns:a16="http://schemas.microsoft.com/office/drawing/2014/main" id="{C999A727-9C84-8C66-AAFF-DD881EC497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32</xdr:col>
      <xdr:colOff>25400</xdr:colOff>
      <xdr:row>10</xdr:row>
      <xdr:rowOff>25400</xdr:rowOff>
    </xdr:from>
    <xdr:to>
      <xdr:col>38</xdr:col>
      <xdr:colOff>742950</xdr:colOff>
      <xdr:row>25</xdr:row>
      <xdr:rowOff>209550</xdr:rowOff>
    </xdr:to>
    <xdr:graphicFrame macro="">
      <xdr:nvGraphicFramePr>
        <xdr:cNvPr id="26" name="PCG_5_1">
          <a:extLst>
            <a:ext uri="{FF2B5EF4-FFF2-40B4-BE49-F238E27FC236}">
              <a16:creationId xmlns:a16="http://schemas.microsoft.com/office/drawing/2014/main" id="{D029774A-143B-D090-F566-392352426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32</xdr:col>
      <xdr:colOff>25400</xdr:colOff>
      <xdr:row>26</xdr:row>
      <xdr:rowOff>25400</xdr:rowOff>
    </xdr:from>
    <xdr:to>
      <xdr:col>38</xdr:col>
      <xdr:colOff>742950</xdr:colOff>
      <xdr:row>41</xdr:row>
      <xdr:rowOff>209550</xdr:rowOff>
    </xdr:to>
    <xdr:graphicFrame macro="">
      <xdr:nvGraphicFramePr>
        <xdr:cNvPr id="27" name="PCG_5_2">
          <a:extLst>
            <a:ext uri="{FF2B5EF4-FFF2-40B4-BE49-F238E27FC236}">
              <a16:creationId xmlns:a16="http://schemas.microsoft.com/office/drawing/2014/main" id="{093C1508-6493-861F-EE1F-96E707D46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32</xdr:col>
      <xdr:colOff>25400</xdr:colOff>
      <xdr:row>42</xdr:row>
      <xdr:rowOff>25400</xdr:rowOff>
    </xdr:from>
    <xdr:to>
      <xdr:col>38</xdr:col>
      <xdr:colOff>742950</xdr:colOff>
      <xdr:row>57</xdr:row>
      <xdr:rowOff>209550</xdr:rowOff>
    </xdr:to>
    <xdr:graphicFrame macro="">
      <xdr:nvGraphicFramePr>
        <xdr:cNvPr id="28" name="PCG_5_3">
          <a:extLst>
            <a:ext uri="{FF2B5EF4-FFF2-40B4-BE49-F238E27FC236}">
              <a16:creationId xmlns:a16="http://schemas.microsoft.com/office/drawing/2014/main" id="{7D52F355-7559-993B-0DFC-F0EF1A011F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32</xdr:col>
      <xdr:colOff>25400</xdr:colOff>
      <xdr:row>58</xdr:row>
      <xdr:rowOff>25400</xdr:rowOff>
    </xdr:from>
    <xdr:to>
      <xdr:col>38</xdr:col>
      <xdr:colOff>742950</xdr:colOff>
      <xdr:row>73</xdr:row>
      <xdr:rowOff>209550</xdr:rowOff>
    </xdr:to>
    <xdr:graphicFrame macro="">
      <xdr:nvGraphicFramePr>
        <xdr:cNvPr id="29" name="PCG_5_4">
          <a:extLst>
            <a:ext uri="{FF2B5EF4-FFF2-40B4-BE49-F238E27FC236}">
              <a16:creationId xmlns:a16="http://schemas.microsoft.com/office/drawing/2014/main" id="{2EA4DF2A-DA81-E366-AABD-2BB68808E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32</xdr:col>
      <xdr:colOff>25400</xdr:colOff>
      <xdr:row>74</xdr:row>
      <xdr:rowOff>25400</xdr:rowOff>
    </xdr:from>
    <xdr:to>
      <xdr:col>38</xdr:col>
      <xdr:colOff>742950</xdr:colOff>
      <xdr:row>89</xdr:row>
      <xdr:rowOff>209550</xdr:rowOff>
    </xdr:to>
    <xdr:graphicFrame macro="">
      <xdr:nvGraphicFramePr>
        <xdr:cNvPr id="30" name="PCG_5_5">
          <a:extLst>
            <a:ext uri="{FF2B5EF4-FFF2-40B4-BE49-F238E27FC236}">
              <a16:creationId xmlns:a16="http://schemas.microsoft.com/office/drawing/2014/main" id="{8EDA1DB3-EF5B-E462-8DAE-DE5F4DEF70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32</xdr:col>
      <xdr:colOff>25400</xdr:colOff>
      <xdr:row>90</xdr:row>
      <xdr:rowOff>25400</xdr:rowOff>
    </xdr:from>
    <xdr:to>
      <xdr:col>38</xdr:col>
      <xdr:colOff>742950</xdr:colOff>
      <xdr:row>105</xdr:row>
      <xdr:rowOff>209550</xdr:rowOff>
    </xdr:to>
    <xdr:graphicFrame macro="">
      <xdr:nvGraphicFramePr>
        <xdr:cNvPr id="31" name="PCG_5_6">
          <a:extLst>
            <a:ext uri="{FF2B5EF4-FFF2-40B4-BE49-F238E27FC236}">
              <a16:creationId xmlns:a16="http://schemas.microsoft.com/office/drawing/2014/main" id="{4BEC41EE-9DAA-0777-626D-685E4331C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39</xdr:col>
      <xdr:colOff>25400</xdr:colOff>
      <xdr:row>10</xdr:row>
      <xdr:rowOff>25400</xdr:rowOff>
    </xdr:from>
    <xdr:to>
      <xdr:col>45</xdr:col>
      <xdr:colOff>742950</xdr:colOff>
      <xdr:row>25</xdr:row>
      <xdr:rowOff>209550</xdr:rowOff>
    </xdr:to>
    <xdr:graphicFrame macro="">
      <xdr:nvGraphicFramePr>
        <xdr:cNvPr id="32" name="PCG_6_1">
          <a:extLst>
            <a:ext uri="{FF2B5EF4-FFF2-40B4-BE49-F238E27FC236}">
              <a16:creationId xmlns:a16="http://schemas.microsoft.com/office/drawing/2014/main" id="{DEB3FD24-87CF-C63E-8E96-90BC02176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39</xdr:col>
      <xdr:colOff>25400</xdr:colOff>
      <xdr:row>26</xdr:row>
      <xdr:rowOff>25400</xdr:rowOff>
    </xdr:from>
    <xdr:to>
      <xdr:col>45</xdr:col>
      <xdr:colOff>742950</xdr:colOff>
      <xdr:row>41</xdr:row>
      <xdr:rowOff>209550</xdr:rowOff>
    </xdr:to>
    <xdr:graphicFrame macro="">
      <xdr:nvGraphicFramePr>
        <xdr:cNvPr id="33" name="PCG_6_2">
          <a:extLst>
            <a:ext uri="{FF2B5EF4-FFF2-40B4-BE49-F238E27FC236}">
              <a16:creationId xmlns:a16="http://schemas.microsoft.com/office/drawing/2014/main" id="{A4039E4B-40CD-A360-2A46-22840D9D3D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39</xdr:col>
      <xdr:colOff>25400</xdr:colOff>
      <xdr:row>42</xdr:row>
      <xdr:rowOff>25400</xdr:rowOff>
    </xdr:from>
    <xdr:to>
      <xdr:col>45</xdr:col>
      <xdr:colOff>742950</xdr:colOff>
      <xdr:row>57</xdr:row>
      <xdr:rowOff>209550</xdr:rowOff>
    </xdr:to>
    <xdr:graphicFrame macro="">
      <xdr:nvGraphicFramePr>
        <xdr:cNvPr id="34" name="PCG_6_3">
          <a:extLst>
            <a:ext uri="{FF2B5EF4-FFF2-40B4-BE49-F238E27FC236}">
              <a16:creationId xmlns:a16="http://schemas.microsoft.com/office/drawing/2014/main" id="{A15E204A-C6F8-1D89-CB53-4BC47F582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39</xdr:col>
      <xdr:colOff>25400</xdr:colOff>
      <xdr:row>58</xdr:row>
      <xdr:rowOff>25400</xdr:rowOff>
    </xdr:from>
    <xdr:to>
      <xdr:col>45</xdr:col>
      <xdr:colOff>742950</xdr:colOff>
      <xdr:row>73</xdr:row>
      <xdr:rowOff>209550</xdr:rowOff>
    </xdr:to>
    <xdr:graphicFrame macro="">
      <xdr:nvGraphicFramePr>
        <xdr:cNvPr id="35" name="PCG_6_4">
          <a:extLst>
            <a:ext uri="{FF2B5EF4-FFF2-40B4-BE49-F238E27FC236}">
              <a16:creationId xmlns:a16="http://schemas.microsoft.com/office/drawing/2014/main" id="{E8D489C9-B071-0BCE-9554-05CADB0BD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39</xdr:col>
      <xdr:colOff>25400</xdr:colOff>
      <xdr:row>74</xdr:row>
      <xdr:rowOff>25400</xdr:rowOff>
    </xdr:from>
    <xdr:to>
      <xdr:col>45</xdr:col>
      <xdr:colOff>742950</xdr:colOff>
      <xdr:row>89</xdr:row>
      <xdr:rowOff>209550</xdr:rowOff>
    </xdr:to>
    <xdr:graphicFrame macro="">
      <xdr:nvGraphicFramePr>
        <xdr:cNvPr id="36" name="PCG_6_5">
          <a:extLst>
            <a:ext uri="{FF2B5EF4-FFF2-40B4-BE49-F238E27FC236}">
              <a16:creationId xmlns:a16="http://schemas.microsoft.com/office/drawing/2014/main" id="{398C135F-2D37-86ED-88B4-AD37B04736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39</xdr:col>
      <xdr:colOff>25400</xdr:colOff>
      <xdr:row>90</xdr:row>
      <xdr:rowOff>25400</xdr:rowOff>
    </xdr:from>
    <xdr:to>
      <xdr:col>45</xdr:col>
      <xdr:colOff>742950</xdr:colOff>
      <xdr:row>105</xdr:row>
      <xdr:rowOff>209550</xdr:rowOff>
    </xdr:to>
    <xdr:graphicFrame macro="">
      <xdr:nvGraphicFramePr>
        <xdr:cNvPr id="37" name="PCG_6_6">
          <a:extLst>
            <a:ext uri="{FF2B5EF4-FFF2-40B4-BE49-F238E27FC236}">
              <a16:creationId xmlns:a16="http://schemas.microsoft.com/office/drawing/2014/main" id="{11EA5391-6376-9222-B4EF-AD1E7408C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46</xdr:col>
      <xdr:colOff>25400</xdr:colOff>
      <xdr:row>10</xdr:row>
      <xdr:rowOff>25400</xdr:rowOff>
    </xdr:from>
    <xdr:to>
      <xdr:col>52</xdr:col>
      <xdr:colOff>742950</xdr:colOff>
      <xdr:row>25</xdr:row>
      <xdr:rowOff>209550</xdr:rowOff>
    </xdr:to>
    <xdr:graphicFrame macro="">
      <xdr:nvGraphicFramePr>
        <xdr:cNvPr id="38" name="PCG_7_1">
          <a:extLst>
            <a:ext uri="{FF2B5EF4-FFF2-40B4-BE49-F238E27FC236}">
              <a16:creationId xmlns:a16="http://schemas.microsoft.com/office/drawing/2014/main" id="{FB8CFA7C-2C66-C24E-1053-1A0F189C5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46</xdr:col>
      <xdr:colOff>25400</xdr:colOff>
      <xdr:row>26</xdr:row>
      <xdr:rowOff>25400</xdr:rowOff>
    </xdr:from>
    <xdr:to>
      <xdr:col>52</xdr:col>
      <xdr:colOff>742950</xdr:colOff>
      <xdr:row>41</xdr:row>
      <xdr:rowOff>209550</xdr:rowOff>
    </xdr:to>
    <xdr:graphicFrame macro="">
      <xdr:nvGraphicFramePr>
        <xdr:cNvPr id="39" name="PCG_7_2">
          <a:extLst>
            <a:ext uri="{FF2B5EF4-FFF2-40B4-BE49-F238E27FC236}">
              <a16:creationId xmlns:a16="http://schemas.microsoft.com/office/drawing/2014/main" id="{A4FA0132-7F12-A576-EC25-8A33165D5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46</xdr:col>
      <xdr:colOff>25400</xdr:colOff>
      <xdr:row>42</xdr:row>
      <xdr:rowOff>25400</xdr:rowOff>
    </xdr:from>
    <xdr:to>
      <xdr:col>52</xdr:col>
      <xdr:colOff>742950</xdr:colOff>
      <xdr:row>57</xdr:row>
      <xdr:rowOff>209550</xdr:rowOff>
    </xdr:to>
    <xdr:graphicFrame macro="">
      <xdr:nvGraphicFramePr>
        <xdr:cNvPr id="40" name="PCG_7_3">
          <a:extLst>
            <a:ext uri="{FF2B5EF4-FFF2-40B4-BE49-F238E27FC236}">
              <a16:creationId xmlns:a16="http://schemas.microsoft.com/office/drawing/2014/main" id="{C9155A63-F5D8-0600-6CA2-4B460FEAEE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46</xdr:col>
      <xdr:colOff>25400</xdr:colOff>
      <xdr:row>58</xdr:row>
      <xdr:rowOff>25400</xdr:rowOff>
    </xdr:from>
    <xdr:to>
      <xdr:col>52</xdr:col>
      <xdr:colOff>742950</xdr:colOff>
      <xdr:row>73</xdr:row>
      <xdr:rowOff>209550</xdr:rowOff>
    </xdr:to>
    <xdr:graphicFrame macro="">
      <xdr:nvGraphicFramePr>
        <xdr:cNvPr id="41" name="PCG_7_4">
          <a:extLst>
            <a:ext uri="{FF2B5EF4-FFF2-40B4-BE49-F238E27FC236}">
              <a16:creationId xmlns:a16="http://schemas.microsoft.com/office/drawing/2014/main" id="{3A96E0BC-95AF-4744-FFA0-9609FB3E8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46</xdr:col>
      <xdr:colOff>25400</xdr:colOff>
      <xdr:row>74</xdr:row>
      <xdr:rowOff>25400</xdr:rowOff>
    </xdr:from>
    <xdr:to>
      <xdr:col>52</xdr:col>
      <xdr:colOff>742950</xdr:colOff>
      <xdr:row>89</xdr:row>
      <xdr:rowOff>209550</xdr:rowOff>
    </xdr:to>
    <xdr:graphicFrame macro="">
      <xdr:nvGraphicFramePr>
        <xdr:cNvPr id="42" name="PCG_7_5">
          <a:extLst>
            <a:ext uri="{FF2B5EF4-FFF2-40B4-BE49-F238E27FC236}">
              <a16:creationId xmlns:a16="http://schemas.microsoft.com/office/drawing/2014/main" id="{48B1C826-CE76-F7D2-AE71-8ED7A6F53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46</xdr:col>
      <xdr:colOff>25400</xdr:colOff>
      <xdr:row>90</xdr:row>
      <xdr:rowOff>25400</xdr:rowOff>
    </xdr:from>
    <xdr:to>
      <xdr:col>52</xdr:col>
      <xdr:colOff>742950</xdr:colOff>
      <xdr:row>105</xdr:row>
      <xdr:rowOff>209550</xdr:rowOff>
    </xdr:to>
    <xdr:graphicFrame macro="">
      <xdr:nvGraphicFramePr>
        <xdr:cNvPr id="43" name="PCG_7_6">
          <a:extLst>
            <a:ext uri="{FF2B5EF4-FFF2-40B4-BE49-F238E27FC236}">
              <a16:creationId xmlns:a16="http://schemas.microsoft.com/office/drawing/2014/main" id="{D80C9A20-2524-023F-50D7-561AF715FE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53</xdr:col>
      <xdr:colOff>25400</xdr:colOff>
      <xdr:row>10</xdr:row>
      <xdr:rowOff>25400</xdr:rowOff>
    </xdr:from>
    <xdr:to>
      <xdr:col>59</xdr:col>
      <xdr:colOff>742950</xdr:colOff>
      <xdr:row>25</xdr:row>
      <xdr:rowOff>209550</xdr:rowOff>
    </xdr:to>
    <xdr:graphicFrame macro="">
      <xdr:nvGraphicFramePr>
        <xdr:cNvPr id="44" name="PCG_8_1">
          <a:extLst>
            <a:ext uri="{FF2B5EF4-FFF2-40B4-BE49-F238E27FC236}">
              <a16:creationId xmlns:a16="http://schemas.microsoft.com/office/drawing/2014/main" id="{C44E6877-FF56-4C1B-467F-0F64EC89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53</xdr:col>
      <xdr:colOff>25400</xdr:colOff>
      <xdr:row>26</xdr:row>
      <xdr:rowOff>25400</xdr:rowOff>
    </xdr:from>
    <xdr:to>
      <xdr:col>59</xdr:col>
      <xdr:colOff>742950</xdr:colOff>
      <xdr:row>41</xdr:row>
      <xdr:rowOff>209550</xdr:rowOff>
    </xdr:to>
    <xdr:graphicFrame macro="">
      <xdr:nvGraphicFramePr>
        <xdr:cNvPr id="45" name="PCG_8_2">
          <a:extLst>
            <a:ext uri="{FF2B5EF4-FFF2-40B4-BE49-F238E27FC236}">
              <a16:creationId xmlns:a16="http://schemas.microsoft.com/office/drawing/2014/main" id="{57C9A6C1-2F82-A848-6EAB-A3AB8B728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53</xdr:col>
      <xdr:colOff>25400</xdr:colOff>
      <xdr:row>42</xdr:row>
      <xdr:rowOff>25400</xdr:rowOff>
    </xdr:from>
    <xdr:to>
      <xdr:col>59</xdr:col>
      <xdr:colOff>742950</xdr:colOff>
      <xdr:row>57</xdr:row>
      <xdr:rowOff>209550</xdr:rowOff>
    </xdr:to>
    <xdr:graphicFrame macro="">
      <xdr:nvGraphicFramePr>
        <xdr:cNvPr id="46" name="PCG_8_3">
          <a:extLst>
            <a:ext uri="{FF2B5EF4-FFF2-40B4-BE49-F238E27FC236}">
              <a16:creationId xmlns:a16="http://schemas.microsoft.com/office/drawing/2014/main" id="{E1385596-1168-6E0B-8DE5-461357D560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53</xdr:col>
      <xdr:colOff>25400</xdr:colOff>
      <xdr:row>58</xdr:row>
      <xdr:rowOff>25400</xdr:rowOff>
    </xdr:from>
    <xdr:to>
      <xdr:col>59</xdr:col>
      <xdr:colOff>742950</xdr:colOff>
      <xdr:row>73</xdr:row>
      <xdr:rowOff>209550</xdr:rowOff>
    </xdr:to>
    <xdr:graphicFrame macro="">
      <xdr:nvGraphicFramePr>
        <xdr:cNvPr id="47" name="PCG_8_4">
          <a:extLst>
            <a:ext uri="{FF2B5EF4-FFF2-40B4-BE49-F238E27FC236}">
              <a16:creationId xmlns:a16="http://schemas.microsoft.com/office/drawing/2014/main" id="{A9B44EC3-664C-42D0-6C5F-1C782738B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53</xdr:col>
      <xdr:colOff>25400</xdr:colOff>
      <xdr:row>74</xdr:row>
      <xdr:rowOff>25400</xdr:rowOff>
    </xdr:from>
    <xdr:to>
      <xdr:col>59</xdr:col>
      <xdr:colOff>742950</xdr:colOff>
      <xdr:row>89</xdr:row>
      <xdr:rowOff>209550</xdr:rowOff>
    </xdr:to>
    <xdr:graphicFrame macro="">
      <xdr:nvGraphicFramePr>
        <xdr:cNvPr id="48" name="PCG_8_5">
          <a:extLst>
            <a:ext uri="{FF2B5EF4-FFF2-40B4-BE49-F238E27FC236}">
              <a16:creationId xmlns:a16="http://schemas.microsoft.com/office/drawing/2014/main" id="{CD378FEF-B237-4737-7F47-CF3C5C8119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53</xdr:col>
      <xdr:colOff>25400</xdr:colOff>
      <xdr:row>90</xdr:row>
      <xdr:rowOff>25400</xdr:rowOff>
    </xdr:from>
    <xdr:to>
      <xdr:col>59</xdr:col>
      <xdr:colOff>742950</xdr:colOff>
      <xdr:row>105</xdr:row>
      <xdr:rowOff>209550</xdr:rowOff>
    </xdr:to>
    <xdr:graphicFrame macro="">
      <xdr:nvGraphicFramePr>
        <xdr:cNvPr id="49" name="PCG_8_6">
          <a:extLst>
            <a:ext uri="{FF2B5EF4-FFF2-40B4-BE49-F238E27FC236}">
              <a16:creationId xmlns:a16="http://schemas.microsoft.com/office/drawing/2014/main" id="{72CE8F48-51D1-E9B6-0BED-0947A56E87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60</xdr:col>
      <xdr:colOff>25400</xdr:colOff>
      <xdr:row>10</xdr:row>
      <xdr:rowOff>25400</xdr:rowOff>
    </xdr:from>
    <xdr:to>
      <xdr:col>66</xdr:col>
      <xdr:colOff>742950</xdr:colOff>
      <xdr:row>25</xdr:row>
      <xdr:rowOff>209550</xdr:rowOff>
    </xdr:to>
    <xdr:graphicFrame macro="">
      <xdr:nvGraphicFramePr>
        <xdr:cNvPr id="50" name="PCG_9_1">
          <a:extLst>
            <a:ext uri="{FF2B5EF4-FFF2-40B4-BE49-F238E27FC236}">
              <a16:creationId xmlns:a16="http://schemas.microsoft.com/office/drawing/2014/main" id="{F475C9FF-2A26-EB87-E591-B2358BC29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60</xdr:col>
      <xdr:colOff>25400</xdr:colOff>
      <xdr:row>26</xdr:row>
      <xdr:rowOff>25400</xdr:rowOff>
    </xdr:from>
    <xdr:to>
      <xdr:col>66</xdr:col>
      <xdr:colOff>742950</xdr:colOff>
      <xdr:row>41</xdr:row>
      <xdr:rowOff>209550</xdr:rowOff>
    </xdr:to>
    <xdr:graphicFrame macro="">
      <xdr:nvGraphicFramePr>
        <xdr:cNvPr id="51" name="PCG_9_2">
          <a:extLst>
            <a:ext uri="{FF2B5EF4-FFF2-40B4-BE49-F238E27FC236}">
              <a16:creationId xmlns:a16="http://schemas.microsoft.com/office/drawing/2014/main" id="{E9E07537-A476-AF9D-B15C-11FB5FCB3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60</xdr:col>
      <xdr:colOff>25400</xdr:colOff>
      <xdr:row>42</xdr:row>
      <xdr:rowOff>25400</xdr:rowOff>
    </xdr:from>
    <xdr:to>
      <xdr:col>66</xdr:col>
      <xdr:colOff>742950</xdr:colOff>
      <xdr:row>57</xdr:row>
      <xdr:rowOff>209550</xdr:rowOff>
    </xdr:to>
    <xdr:graphicFrame macro="">
      <xdr:nvGraphicFramePr>
        <xdr:cNvPr id="52" name="PCG_9_3">
          <a:extLst>
            <a:ext uri="{FF2B5EF4-FFF2-40B4-BE49-F238E27FC236}">
              <a16:creationId xmlns:a16="http://schemas.microsoft.com/office/drawing/2014/main" id="{767AA05A-811C-6FD2-D795-11E3EAFB4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60</xdr:col>
      <xdr:colOff>25400</xdr:colOff>
      <xdr:row>58</xdr:row>
      <xdr:rowOff>25400</xdr:rowOff>
    </xdr:from>
    <xdr:to>
      <xdr:col>66</xdr:col>
      <xdr:colOff>742950</xdr:colOff>
      <xdr:row>73</xdr:row>
      <xdr:rowOff>209550</xdr:rowOff>
    </xdr:to>
    <xdr:graphicFrame macro="">
      <xdr:nvGraphicFramePr>
        <xdr:cNvPr id="53" name="PCG_9_4">
          <a:extLst>
            <a:ext uri="{FF2B5EF4-FFF2-40B4-BE49-F238E27FC236}">
              <a16:creationId xmlns:a16="http://schemas.microsoft.com/office/drawing/2014/main" id="{59480B3C-07CE-18B3-E3C4-AD6E55C0AD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60</xdr:col>
      <xdr:colOff>25400</xdr:colOff>
      <xdr:row>74</xdr:row>
      <xdr:rowOff>25400</xdr:rowOff>
    </xdr:from>
    <xdr:to>
      <xdr:col>66</xdr:col>
      <xdr:colOff>742950</xdr:colOff>
      <xdr:row>89</xdr:row>
      <xdr:rowOff>209550</xdr:rowOff>
    </xdr:to>
    <xdr:graphicFrame macro="">
      <xdr:nvGraphicFramePr>
        <xdr:cNvPr id="54" name="PCG_9_5">
          <a:extLst>
            <a:ext uri="{FF2B5EF4-FFF2-40B4-BE49-F238E27FC236}">
              <a16:creationId xmlns:a16="http://schemas.microsoft.com/office/drawing/2014/main" id="{57ACB46F-3D85-89E6-D893-E2F74E645A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60</xdr:col>
      <xdr:colOff>25400</xdr:colOff>
      <xdr:row>90</xdr:row>
      <xdr:rowOff>25400</xdr:rowOff>
    </xdr:from>
    <xdr:to>
      <xdr:col>66</xdr:col>
      <xdr:colOff>742950</xdr:colOff>
      <xdr:row>105</xdr:row>
      <xdr:rowOff>209550</xdr:rowOff>
    </xdr:to>
    <xdr:graphicFrame macro="">
      <xdr:nvGraphicFramePr>
        <xdr:cNvPr id="55" name="PCG_9_6">
          <a:extLst>
            <a:ext uri="{FF2B5EF4-FFF2-40B4-BE49-F238E27FC236}">
              <a16:creationId xmlns:a16="http://schemas.microsoft.com/office/drawing/2014/main" id="{71B1EC72-A904-1915-FDA6-BFAEB9CD7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67</xdr:col>
      <xdr:colOff>25400</xdr:colOff>
      <xdr:row>10</xdr:row>
      <xdr:rowOff>25400</xdr:rowOff>
    </xdr:from>
    <xdr:to>
      <xdr:col>73</xdr:col>
      <xdr:colOff>742950</xdr:colOff>
      <xdr:row>25</xdr:row>
      <xdr:rowOff>209550</xdr:rowOff>
    </xdr:to>
    <xdr:graphicFrame macro="">
      <xdr:nvGraphicFramePr>
        <xdr:cNvPr id="56" name="PCG_10_1">
          <a:extLst>
            <a:ext uri="{FF2B5EF4-FFF2-40B4-BE49-F238E27FC236}">
              <a16:creationId xmlns:a16="http://schemas.microsoft.com/office/drawing/2014/main" id="{09A627F1-22FA-CF45-D280-179A5ACF49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67</xdr:col>
      <xdr:colOff>25400</xdr:colOff>
      <xdr:row>26</xdr:row>
      <xdr:rowOff>25400</xdr:rowOff>
    </xdr:from>
    <xdr:to>
      <xdr:col>73</xdr:col>
      <xdr:colOff>742950</xdr:colOff>
      <xdr:row>41</xdr:row>
      <xdr:rowOff>209550</xdr:rowOff>
    </xdr:to>
    <xdr:graphicFrame macro="">
      <xdr:nvGraphicFramePr>
        <xdr:cNvPr id="57" name="PCG_10_2">
          <a:extLst>
            <a:ext uri="{FF2B5EF4-FFF2-40B4-BE49-F238E27FC236}">
              <a16:creationId xmlns:a16="http://schemas.microsoft.com/office/drawing/2014/main" id="{132080F3-5117-337A-BDE7-72B127D3FD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67</xdr:col>
      <xdr:colOff>25400</xdr:colOff>
      <xdr:row>42</xdr:row>
      <xdr:rowOff>25400</xdr:rowOff>
    </xdr:from>
    <xdr:to>
      <xdr:col>73</xdr:col>
      <xdr:colOff>742950</xdr:colOff>
      <xdr:row>57</xdr:row>
      <xdr:rowOff>209550</xdr:rowOff>
    </xdr:to>
    <xdr:graphicFrame macro="">
      <xdr:nvGraphicFramePr>
        <xdr:cNvPr id="58" name="PCG_10_3">
          <a:extLst>
            <a:ext uri="{FF2B5EF4-FFF2-40B4-BE49-F238E27FC236}">
              <a16:creationId xmlns:a16="http://schemas.microsoft.com/office/drawing/2014/main" id="{51CD05CF-374C-8C41-609E-D14AE76B3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67</xdr:col>
      <xdr:colOff>25400</xdr:colOff>
      <xdr:row>58</xdr:row>
      <xdr:rowOff>25400</xdr:rowOff>
    </xdr:from>
    <xdr:to>
      <xdr:col>73</xdr:col>
      <xdr:colOff>742950</xdr:colOff>
      <xdr:row>73</xdr:row>
      <xdr:rowOff>209550</xdr:rowOff>
    </xdr:to>
    <xdr:graphicFrame macro="">
      <xdr:nvGraphicFramePr>
        <xdr:cNvPr id="59" name="PCG_10_4">
          <a:extLst>
            <a:ext uri="{FF2B5EF4-FFF2-40B4-BE49-F238E27FC236}">
              <a16:creationId xmlns:a16="http://schemas.microsoft.com/office/drawing/2014/main" id="{BF63C08B-46E0-0C4A-E4DE-E7F545F8EB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67</xdr:col>
      <xdr:colOff>25400</xdr:colOff>
      <xdr:row>74</xdr:row>
      <xdr:rowOff>25400</xdr:rowOff>
    </xdr:from>
    <xdr:to>
      <xdr:col>73</xdr:col>
      <xdr:colOff>742950</xdr:colOff>
      <xdr:row>89</xdr:row>
      <xdr:rowOff>209550</xdr:rowOff>
    </xdr:to>
    <xdr:graphicFrame macro="">
      <xdr:nvGraphicFramePr>
        <xdr:cNvPr id="60" name="PCG_10_5">
          <a:extLst>
            <a:ext uri="{FF2B5EF4-FFF2-40B4-BE49-F238E27FC236}">
              <a16:creationId xmlns:a16="http://schemas.microsoft.com/office/drawing/2014/main" id="{40DE11D0-EB3B-EFA3-EFEC-65BC1BB65A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67</xdr:col>
      <xdr:colOff>25400</xdr:colOff>
      <xdr:row>90</xdr:row>
      <xdr:rowOff>25400</xdr:rowOff>
    </xdr:from>
    <xdr:to>
      <xdr:col>73</xdr:col>
      <xdr:colOff>742950</xdr:colOff>
      <xdr:row>105</xdr:row>
      <xdr:rowOff>209550</xdr:rowOff>
    </xdr:to>
    <xdr:graphicFrame macro="">
      <xdr:nvGraphicFramePr>
        <xdr:cNvPr id="61" name="PCG_10_6">
          <a:extLst>
            <a:ext uri="{FF2B5EF4-FFF2-40B4-BE49-F238E27FC236}">
              <a16:creationId xmlns:a16="http://schemas.microsoft.com/office/drawing/2014/main" id="{1C07D95F-4CC9-1526-E594-86A559E5D0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4</xdr:col>
      <xdr:colOff>25400</xdr:colOff>
      <xdr:row>106</xdr:row>
      <xdr:rowOff>25400</xdr:rowOff>
    </xdr:from>
    <xdr:to>
      <xdr:col>10</xdr:col>
      <xdr:colOff>742950</xdr:colOff>
      <xdr:row>121</xdr:row>
      <xdr:rowOff>209550</xdr:rowOff>
    </xdr:to>
    <xdr:graphicFrame macro="">
      <xdr:nvGraphicFramePr>
        <xdr:cNvPr id="62" name="PCG_1_7">
          <a:extLst>
            <a:ext uri="{FF2B5EF4-FFF2-40B4-BE49-F238E27FC236}">
              <a16:creationId xmlns:a16="http://schemas.microsoft.com/office/drawing/2014/main" id="{B0820030-C0FD-EBBC-32F1-C707F8BAC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11</xdr:col>
      <xdr:colOff>25400</xdr:colOff>
      <xdr:row>106</xdr:row>
      <xdr:rowOff>25400</xdr:rowOff>
    </xdr:from>
    <xdr:to>
      <xdr:col>17</xdr:col>
      <xdr:colOff>742950</xdr:colOff>
      <xdr:row>121</xdr:row>
      <xdr:rowOff>209550</xdr:rowOff>
    </xdr:to>
    <xdr:graphicFrame macro="">
      <xdr:nvGraphicFramePr>
        <xdr:cNvPr id="63" name="PCG_2_7">
          <a:extLst>
            <a:ext uri="{FF2B5EF4-FFF2-40B4-BE49-F238E27FC236}">
              <a16:creationId xmlns:a16="http://schemas.microsoft.com/office/drawing/2014/main" id="{33B6B428-CC67-D0D7-FC71-185A31688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18</xdr:col>
      <xdr:colOff>25400</xdr:colOff>
      <xdr:row>106</xdr:row>
      <xdr:rowOff>25400</xdr:rowOff>
    </xdr:from>
    <xdr:to>
      <xdr:col>24</xdr:col>
      <xdr:colOff>742950</xdr:colOff>
      <xdr:row>121</xdr:row>
      <xdr:rowOff>209550</xdr:rowOff>
    </xdr:to>
    <xdr:graphicFrame macro="">
      <xdr:nvGraphicFramePr>
        <xdr:cNvPr id="64" name="PCG_3_7">
          <a:extLst>
            <a:ext uri="{FF2B5EF4-FFF2-40B4-BE49-F238E27FC236}">
              <a16:creationId xmlns:a16="http://schemas.microsoft.com/office/drawing/2014/main" id="{30E9347B-6DAB-81ED-DA09-C46BD1F2B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25</xdr:col>
      <xdr:colOff>25400</xdr:colOff>
      <xdr:row>106</xdr:row>
      <xdr:rowOff>25400</xdr:rowOff>
    </xdr:from>
    <xdr:to>
      <xdr:col>31</xdr:col>
      <xdr:colOff>742950</xdr:colOff>
      <xdr:row>121</xdr:row>
      <xdr:rowOff>209550</xdr:rowOff>
    </xdr:to>
    <xdr:graphicFrame macro="">
      <xdr:nvGraphicFramePr>
        <xdr:cNvPr id="65" name="PCG_4_7">
          <a:extLst>
            <a:ext uri="{FF2B5EF4-FFF2-40B4-BE49-F238E27FC236}">
              <a16:creationId xmlns:a16="http://schemas.microsoft.com/office/drawing/2014/main" id="{8AE4FAD0-612A-273B-E47C-221F4D81D1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32</xdr:col>
      <xdr:colOff>25400</xdr:colOff>
      <xdr:row>106</xdr:row>
      <xdr:rowOff>25400</xdr:rowOff>
    </xdr:from>
    <xdr:to>
      <xdr:col>38</xdr:col>
      <xdr:colOff>742950</xdr:colOff>
      <xdr:row>121</xdr:row>
      <xdr:rowOff>209550</xdr:rowOff>
    </xdr:to>
    <xdr:graphicFrame macro="">
      <xdr:nvGraphicFramePr>
        <xdr:cNvPr id="66" name="PCG_5_7">
          <a:extLst>
            <a:ext uri="{FF2B5EF4-FFF2-40B4-BE49-F238E27FC236}">
              <a16:creationId xmlns:a16="http://schemas.microsoft.com/office/drawing/2014/main" id="{613DC3D5-FC74-22E8-2F2D-3EA16462A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39</xdr:col>
      <xdr:colOff>25400</xdr:colOff>
      <xdr:row>106</xdr:row>
      <xdr:rowOff>25400</xdr:rowOff>
    </xdr:from>
    <xdr:to>
      <xdr:col>45</xdr:col>
      <xdr:colOff>742950</xdr:colOff>
      <xdr:row>121</xdr:row>
      <xdr:rowOff>209550</xdr:rowOff>
    </xdr:to>
    <xdr:graphicFrame macro="">
      <xdr:nvGraphicFramePr>
        <xdr:cNvPr id="67" name="PCG_6_7">
          <a:extLst>
            <a:ext uri="{FF2B5EF4-FFF2-40B4-BE49-F238E27FC236}">
              <a16:creationId xmlns:a16="http://schemas.microsoft.com/office/drawing/2014/main" id="{7B94C8FD-6895-9435-397D-BB88040B3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46</xdr:col>
      <xdr:colOff>25400</xdr:colOff>
      <xdr:row>106</xdr:row>
      <xdr:rowOff>25400</xdr:rowOff>
    </xdr:from>
    <xdr:to>
      <xdr:col>52</xdr:col>
      <xdr:colOff>742950</xdr:colOff>
      <xdr:row>121</xdr:row>
      <xdr:rowOff>209550</xdr:rowOff>
    </xdr:to>
    <xdr:graphicFrame macro="">
      <xdr:nvGraphicFramePr>
        <xdr:cNvPr id="68" name="PCG_7_7">
          <a:extLst>
            <a:ext uri="{FF2B5EF4-FFF2-40B4-BE49-F238E27FC236}">
              <a16:creationId xmlns:a16="http://schemas.microsoft.com/office/drawing/2014/main" id="{D401DC21-8597-77E5-EAAA-6C78D1491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53</xdr:col>
      <xdr:colOff>25400</xdr:colOff>
      <xdr:row>106</xdr:row>
      <xdr:rowOff>25400</xdr:rowOff>
    </xdr:from>
    <xdr:to>
      <xdr:col>59</xdr:col>
      <xdr:colOff>742950</xdr:colOff>
      <xdr:row>121</xdr:row>
      <xdr:rowOff>209550</xdr:rowOff>
    </xdr:to>
    <xdr:graphicFrame macro="">
      <xdr:nvGraphicFramePr>
        <xdr:cNvPr id="69" name="PCG_8_7">
          <a:extLst>
            <a:ext uri="{FF2B5EF4-FFF2-40B4-BE49-F238E27FC236}">
              <a16:creationId xmlns:a16="http://schemas.microsoft.com/office/drawing/2014/main" id="{2E5593D9-5C99-D6F6-2FE4-84BA7662B0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60</xdr:col>
      <xdr:colOff>25400</xdr:colOff>
      <xdr:row>106</xdr:row>
      <xdr:rowOff>25400</xdr:rowOff>
    </xdr:from>
    <xdr:to>
      <xdr:col>66</xdr:col>
      <xdr:colOff>742950</xdr:colOff>
      <xdr:row>121</xdr:row>
      <xdr:rowOff>209550</xdr:rowOff>
    </xdr:to>
    <xdr:graphicFrame macro="">
      <xdr:nvGraphicFramePr>
        <xdr:cNvPr id="70" name="PCG_9_7">
          <a:extLst>
            <a:ext uri="{FF2B5EF4-FFF2-40B4-BE49-F238E27FC236}">
              <a16:creationId xmlns:a16="http://schemas.microsoft.com/office/drawing/2014/main" id="{2EDB0314-6973-EBE6-89E0-CDBEED1E88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67</xdr:col>
      <xdr:colOff>25400</xdr:colOff>
      <xdr:row>106</xdr:row>
      <xdr:rowOff>25400</xdr:rowOff>
    </xdr:from>
    <xdr:to>
      <xdr:col>73</xdr:col>
      <xdr:colOff>742950</xdr:colOff>
      <xdr:row>121</xdr:row>
      <xdr:rowOff>209550</xdr:rowOff>
    </xdr:to>
    <xdr:graphicFrame macro="">
      <xdr:nvGraphicFramePr>
        <xdr:cNvPr id="71" name="PCG_10_7">
          <a:extLst>
            <a:ext uri="{FF2B5EF4-FFF2-40B4-BE49-F238E27FC236}">
              <a16:creationId xmlns:a16="http://schemas.microsoft.com/office/drawing/2014/main" id="{93325E4F-755E-5A7A-5149-953C5F80C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19</xdr:col>
      <xdr:colOff>406400</xdr:colOff>
      <xdr:row>32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301309E-9E4C-5925-35AD-257FD97B0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19</xdr:col>
      <xdr:colOff>406400</xdr:colOff>
      <xdr:row>52</xdr:row>
      <xdr:rowOff>127000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BF1EDC8-CE79-9DB7-193A-7D02CDC9F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17</xdr:col>
      <xdr:colOff>609600</xdr:colOff>
      <xdr:row>13</xdr:row>
      <xdr:rowOff>82550</xdr:rowOff>
    </xdr:to>
    <xdr:graphicFrame macro="">
      <xdr:nvGraphicFramePr>
        <xdr:cNvPr id="2" name="FWM_Strip1">
          <a:extLst>
            <a:ext uri="{FF2B5EF4-FFF2-40B4-BE49-F238E27FC236}">
              <a16:creationId xmlns:a16="http://schemas.microsoft.com/office/drawing/2014/main" id="{CE15A1FB-B93F-4E7C-77D6-8E2713573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17</xdr:row>
      <xdr:rowOff>0</xdr:rowOff>
    </xdr:from>
    <xdr:to>
      <xdr:col>17</xdr:col>
      <xdr:colOff>609600</xdr:colOff>
      <xdr:row>24</xdr:row>
      <xdr:rowOff>6350</xdr:rowOff>
    </xdr:to>
    <xdr:graphicFrame macro="">
      <xdr:nvGraphicFramePr>
        <xdr:cNvPr id="3" name="FWM_Chg1">
          <a:extLst>
            <a:ext uri="{FF2B5EF4-FFF2-40B4-BE49-F238E27FC236}">
              <a16:creationId xmlns:a16="http://schemas.microsoft.com/office/drawing/2014/main" id="{FA9D5D51-3ADF-E31E-FE3C-0C829164AB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25</xdr:col>
      <xdr:colOff>609600</xdr:colOff>
      <xdr:row>13</xdr:row>
      <xdr:rowOff>82550</xdr:rowOff>
    </xdr:to>
    <xdr:graphicFrame macro="">
      <xdr:nvGraphicFramePr>
        <xdr:cNvPr id="4" name="FWM_Strip5">
          <a:extLst>
            <a:ext uri="{FF2B5EF4-FFF2-40B4-BE49-F238E27FC236}">
              <a16:creationId xmlns:a16="http://schemas.microsoft.com/office/drawing/2014/main" id="{60A6CDFD-0512-3D2D-F509-3480883EE3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17</xdr:row>
      <xdr:rowOff>0</xdr:rowOff>
    </xdr:from>
    <xdr:to>
      <xdr:col>25</xdr:col>
      <xdr:colOff>609600</xdr:colOff>
      <xdr:row>24</xdr:row>
      <xdr:rowOff>6350</xdr:rowOff>
    </xdr:to>
    <xdr:graphicFrame macro="">
      <xdr:nvGraphicFramePr>
        <xdr:cNvPr id="5" name="FWM_Chg5">
          <a:extLst>
            <a:ext uri="{FF2B5EF4-FFF2-40B4-BE49-F238E27FC236}">
              <a16:creationId xmlns:a16="http://schemas.microsoft.com/office/drawing/2014/main" id="{46CBECEC-161D-01E6-04B3-F775C48A1D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50</xdr:row>
      <xdr:rowOff>0</xdr:rowOff>
    </xdr:from>
    <xdr:to>
      <xdr:col>12</xdr:col>
      <xdr:colOff>304800</xdr:colOff>
      <xdr:row>66</xdr:row>
      <xdr:rowOff>50800</xdr:rowOff>
    </xdr:to>
    <xdr:graphicFrame macro="">
      <xdr:nvGraphicFramePr>
        <xdr:cNvPr id="6" name="FWM_Compare">
          <a:extLst>
            <a:ext uri="{FF2B5EF4-FFF2-40B4-BE49-F238E27FC236}">
              <a16:creationId xmlns:a16="http://schemas.microsoft.com/office/drawing/2014/main" id="{EE611711-654E-21AF-3D5A-3B1A46A407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</xdr:row>
      <xdr:rowOff>0</xdr:rowOff>
    </xdr:from>
    <xdr:to>
      <xdr:col>7</xdr:col>
      <xdr:colOff>273050</xdr:colOff>
      <xdr:row>56</xdr:row>
      <xdr:rowOff>12700</xdr:rowOff>
    </xdr:to>
    <xdr:graphicFrame macro="">
      <xdr:nvGraphicFramePr>
        <xdr:cNvPr id="2" name="FUT_ChartSettle">
          <a:extLst>
            <a:ext uri="{FF2B5EF4-FFF2-40B4-BE49-F238E27FC236}">
              <a16:creationId xmlns:a16="http://schemas.microsoft.com/office/drawing/2014/main" id="{BADEE256-901E-9870-3257-2C27EF4A6B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42</xdr:row>
      <xdr:rowOff>0</xdr:rowOff>
    </xdr:from>
    <xdr:to>
      <xdr:col>16</xdr:col>
      <xdr:colOff>31750</xdr:colOff>
      <xdr:row>56</xdr:row>
      <xdr:rowOff>12700</xdr:rowOff>
    </xdr:to>
    <xdr:graphicFrame macro="">
      <xdr:nvGraphicFramePr>
        <xdr:cNvPr id="3" name="FUT_ChartNet">
          <a:extLst>
            <a:ext uri="{FF2B5EF4-FFF2-40B4-BE49-F238E27FC236}">
              <a16:creationId xmlns:a16="http://schemas.microsoft.com/office/drawing/2014/main" id="{109C0F61-8B35-5CF8-9C36-6A35BBB66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15</xdr:col>
      <xdr:colOff>247650</xdr:colOff>
      <xdr:row>76</xdr:row>
      <xdr:rowOff>31750</xdr:rowOff>
    </xdr:to>
    <xdr:graphicFrame macro="">
      <xdr:nvGraphicFramePr>
        <xdr:cNvPr id="4" name="FUT_ChartOverlay">
          <a:extLst>
            <a:ext uri="{FF2B5EF4-FFF2-40B4-BE49-F238E27FC236}">
              <a16:creationId xmlns:a16="http://schemas.microsoft.com/office/drawing/2014/main" id="{8B58E74A-7652-EC8C-8A65-098F1390D9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0C9B4-E94E-4252-9288-88A234F9E7F1}">
  <sheetPr codeName="Sheet3"/>
  <dimension ref="A1:CG94"/>
  <sheetViews>
    <sheetView zoomScale="57" workbookViewId="0">
      <selection activeCell="J6" sqref="J6"/>
    </sheetView>
  </sheetViews>
  <sheetFormatPr defaultRowHeight="18.5" outlineLevelCol="2" x14ac:dyDescent="0.55000000000000004"/>
  <cols>
    <col min="1" max="1" width="17.1640625" customWidth="1"/>
    <col min="2" max="2" width="12.1640625" customWidth="1"/>
    <col min="3" max="3" width="2.58203125" customWidth="1"/>
    <col min="4" max="4" width="11.58203125" customWidth="1"/>
    <col min="5" max="5" width="16.58203125" customWidth="1"/>
    <col min="6" max="6" width="12.58203125" customWidth="1"/>
    <col min="8" max="8" width="12.58203125" customWidth="1"/>
    <col min="9" max="9" width="10.9140625" bestFit="1" customWidth="1"/>
    <col min="26" max="78" width="0" hidden="1" customWidth="1" outlineLevel="1"/>
    <col min="79" max="82" width="0" hidden="1" customWidth="1" outlineLevel="2"/>
    <col min="83" max="84" width="0" hidden="1" customWidth="1" outlineLevel="1"/>
    <col min="85" max="85" width="8.6640625" collapsed="1"/>
  </cols>
  <sheetData>
    <row r="1" spans="1:84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LiveInfo("swap",_xlfn.ANCHORARRAY($CA$4))</f>
      </c>
      <c r="E1" s="17" t="s">
        <v>55</v>
      </c>
    </row>
    <row r="2" spans="1:84" ht="22.5" x14ac:dyDescent="0.55000000000000004">
      <c r="A2" t="s">
        <v>195</v>
      </c>
      <c r="E2" s="1"/>
      <c r="Z2" s="1" t="s">
        <v>196</v>
      </c>
      <c r="CA2" t="s">
        <v>56</v>
      </c>
    </row>
    <row r="3" spans="1:84" x14ac:dyDescent="0.55000000000000004">
      <c r="A3" s="4" t="s">
        <v>190</v>
      </c>
      <c r="E3" t="s">
        <v>197</v>
      </c>
      <c r="H3" t="s">
        <v>251</v>
      </c>
      <c r="AB3" t="s">
        <v>198</v>
      </c>
      <c r="AC3" t="s">
        <v>199</v>
      </c>
      <c r="BX3" t="s">
        <v>170</v>
      </c>
      <c r="BY3" t="s">
        <v>171</v>
      </c>
      <c r="CE3" t="s">
        <v>172</v>
      </c>
      <c r="CF3" t="s">
        <v>173</v>
      </c>
    </row>
    <row r="4" spans="1:84" x14ac:dyDescent="0.55000000000000004">
      <c r="A4" t="s">
        <v>248</v>
      </c>
      <c r="B4" s="3"/>
      <c r="E4" cm="1">
        <f t="array" aca="1" ref="E4:F8" ca="1">PcaWindow(PCA_Selected,PCA_Mode,PCA_Standardize,PCA_window,PCA_WindowEnd)</f>
      </c>
      <c r="F4" s="7">
        <f ca="1"/>
      </c>
      <c r="H4" cm="1">
        <f t="array" aca="1" ref="H4:I7" ca="1">PcaActualInfo(PCA_Selected,PCA_Mode,PCA_ReconDate,_xlfn.CHOOSECOLS(_xlfn.ANCHORARRAY($CA$4),1,2))</f>
      </c>
      <c r="I4" s="7">
        <f ca="1"/>
      </c>
      <c r="O4" t="s">
        <v>200</v>
      </c>
      <c r="AA4" s="7"/>
      <c r="AB4" cm="1">
        <f t="array" ref="AB4:AB22">_xlfn._xlws.FILTER($A$15:$A$56,$B$15:$B$56="○")</f>
      </c>
      <c r="AC4" cm="1">
        <f t="array" aca="1" ref="AC4:AY23" ca="1">PcaModel(PCA_Selected,PCA_Mode,PCA_Standardize,PCA_window,PCA_WindowEnd)</f>
      </c>
      <c r="AD4">
        <f ca="1"/>
      </c>
      <c r="AE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AS4">
        <f ca="1"/>
      </c>
      <c r="AT4">
        <f ca="1"/>
      </c>
      <c r="AU4">
        <f ca="1"/>
      </c>
      <c r="AV4">
        <f ca="1"/>
      </c>
      <c r="AW4">
        <f ca="1"/>
      </c>
      <c r="AX4">
        <f ca="1"/>
      </c>
      <c r="AY4">
        <f ca="1"/>
      </c>
      <c r="BX4" cm="1">
        <f t="array" aca="1" ref="BX4:BX22" ca="1">_xlfn.DROP(_xlfn.CHOOSECOLS(_xlfn.ANCHORARRAY($AC$4),2),1)+_xlfn.DROP(_xlfn.CHOOSECOLS(_xlfn.ANCHORARRAY($AC$4),4),1)</f>
      </c>
      <c r="BY4" cm="1">
        <f t="array" aca="1" ref="BY4:BY22" ca="1">_xlfn.DROP(_xlfn.CHOOSECOLS(_xlfn.ANCHORARRAY($AC$4),2),1)-_xlfn.DROP(_xlfn.CHOOSECOLS(_xlfn.ANCHORARRAY($AC$4),4),1)</f>
      </c>
      <c r="CA4" cm="1">
        <f t="array" aca="1" ref="CA4:CD47" ca="1">IF($B$1="Fixed",LiveSnapshot("swap"),LiveQuotes("swap"))</f>
      </c>
      <c r="CB4">
        <f ca="1"/>
      </c>
      <c r="CC4">
        <f ca="1"/>
      </c>
      <c r="CD4">
        <f ca="1"/>
      </c>
      <c r="CE4" cm="1">
        <f t="array" aca="1" ref="CE4:CE22" ca="1">PcaResidStd(PCA_Selected,PCA_Mode,PCA_Standardize,PCA_window,PCA_k,PCA_WindowEnd,PCA_SigmaDays)</f>
      </c>
      <c r="CF4" cm="1">
        <f t="array" aca="1" ref="CF4:CF22" ca="1">-_xlfn.ANCHORARRAY($CE$4)</f>
      </c>
    </row>
    <row r="5" spans="1:84" x14ac:dyDescent="0.55000000000000004">
      <c r="A5" t="s">
        <v>191</v>
      </c>
      <c r="B5" s="2">
        <v>250</v>
      </c>
      <c r="E5">
        <f ca="1"/>
      </c>
      <c r="F5" s="7">
        <f ca="1"/>
      </c>
      <c r="H5">
        <f ca="1"/>
      </c>
      <c r="I5">
        <f ca="1"/>
      </c>
      <c r="O5" t="s">
        <v>201</v>
      </c>
      <c r="AA5" s="7"/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  <c r="AS5">
        <f ca="1"/>
      </c>
      <c r="AT5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BX5">
        <f ca="1"/>
      </c>
      <c r="BY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</row>
    <row r="6" spans="1:84" x14ac:dyDescent="0.55000000000000004">
      <c r="A6" t="s">
        <v>192</v>
      </c>
      <c r="B6" s="2" t="s">
        <v>221</v>
      </c>
      <c r="E6">
        <f ca="1"/>
      </c>
      <c r="F6">
        <f ca="1"/>
      </c>
      <c r="H6">
        <f ca="1"/>
      </c>
      <c r="I6" s="7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  <c r="AS6">
        <f ca="1"/>
      </c>
      <c r="AT6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BX6">
        <f ca="1"/>
      </c>
      <c r="BY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</row>
    <row r="7" spans="1:84" x14ac:dyDescent="0.55000000000000004">
      <c r="A7" t="s">
        <v>193</v>
      </c>
      <c r="B7" s="2" t="s">
        <v>222</v>
      </c>
      <c r="E7">
        <f ca="1"/>
      </c>
      <c r="F7">
        <f ca="1"/>
      </c>
      <c r="H7">
        <f ca="1"/>
      </c>
      <c r="I7" s="8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  <c r="AS7">
        <f ca="1"/>
      </c>
      <c r="AT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BX7">
        <f ca="1"/>
      </c>
      <c r="BY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</row>
    <row r="8" spans="1:84" x14ac:dyDescent="0.55000000000000004">
      <c r="E8">
        <f ca="1"/>
      </c>
      <c r="F8" s="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  <c r="AS8">
        <f ca="1"/>
      </c>
      <c r="AT8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BX8">
        <f ca="1"/>
      </c>
      <c r="BY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</row>
    <row r="9" spans="1:84" x14ac:dyDescent="0.55000000000000004">
      <c r="A9" s="4" t="s">
        <v>249</v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  <c r="AS9">
        <f ca="1"/>
      </c>
      <c r="AT9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BX9">
        <f ca="1"/>
      </c>
      <c r="BY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</row>
    <row r="10" spans="1:84" x14ac:dyDescent="0.55000000000000004">
      <c r="A10" t="s">
        <v>250</v>
      </c>
      <c r="B10" s="3"/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  <c r="AS10">
        <f ca="1"/>
      </c>
      <c r="AT10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BX10">
        <f ca="1"/>
      </c>
      <c r="BY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</row>
    <row r="11" spans="1:84" x14ac:dyDescent="0.55000000000000004">
      <c r="A11" t="s">
        <v>194</v>
      </c>
      <c r="B11" s="2">
        <v>3</v>
      </c>
      <c r="AA11" s="7"/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  <c r="AS11">
        <f ca="1"/>
      </c>
      <c r="AT11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BX11">
        <f ca="1"/>
      </c>
      <c r="BY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</row>
    <row r="12" spans="1:84" x14ac:dyDescent="0.55000000000000004">
      <c r="A12" t="s">
        <v>202</v>
      </c>
      <c r="B12" s="2"/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  <c r="AS12">
        <f ca="1"/>
      </c>
      <c r="AT12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BX12">
        <f ca="1"/>
      </c>
      <c r="BY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</row>
    <row r="13" spans="1:84" x14ac:dyDescent="0.55000000000000004">
      <c r="A13" t="s">
        <v>203</v>
      </c>
      <c r="AA13" s="7"/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  <c r="AS13">
        <f ca="1"/>
      </c>
      <c r="AT13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BX13">
        <f ca="1"/>
      </c>
      <c r="BY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</row>
    <row r="14" spans="1:84" x14ac:dyDescent="0.55000000000000004">
      <c r="A14" s="5" t="s">
        <v>204</v>
      </c>
      <c r="B14" s="5" t="s">
        <v>205</v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  <c r="AS14">
        <f ca="1"/>
      </c>
      <c r="AT14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BX14">
        <f ca="1"/>
      </c>
      <c r="BY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</row>
    <row r="15" spans="1:84" x14ac:dyDescent="0.55000000000000004">
      <c r="A15" t="s">
        <v>0</v>
      </c>
      <c r="B15" s="6" t="s">
        <v>43</v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  <c r="AS15">
        <f ca="1"/>
      </c>
      <c r="AT15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BX15">
        <f ca="1"/>
      </c>
      <c r="BY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</row>
    <row r="16" spans="1:84" x14ac:dyDescent="0.55000000000000004">
      <c r="A16" t="s">
        <v>1</v>
      </c>
      <c r="B16" s="6" t="s">
        <v>43</v>
      </c>
      <c r="Z16" t="s">
        <v>206</v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  <c r="AS16">
        <f ca="1"/>
      </c>
      <c r="AT16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BX16">
        <f ca="1"/>
      </c>
      <c r="BY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</row>
    <row r="17" spans="1:84" x14ac:dyDescent="0.55000000000000004">
      <c r="A17" t="s">
        <v>2</v>
      </c>
      <c r="B17" s="6" t="s">
        <v>43</v>
      </c>
      <c r="Z17" cm="1">
        <f t="array" aca="1" ref="Z17:AA36" ca="1">PcaEigen(PCA_Selected,PCA_Mode,PCA_Standardize,PCA_window,PCA_WindowEnd)</f>
      </c>
      <c r="AA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  <c r="AS17">
        <f ca="1"/>
      </c>
      <c r="AT1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BX17">
        <f ca="1"/>
      </c>
      <c r="BY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</row>
    <row r="18" spans="1:84" x14ac:dyDescent="0.55000000000000004">
      <c r="A18" t="s">
        <v>3</v>
      </c>
      <c r="B18" s="6" t="s">
        <v>43</v>
      </c>
      <c r="Z18">
        <f ca="1"/>
      </c>
      <c r="AA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P18">
        <f ca="1"/>
      </c>
      <c r="AQ18">
        <f ca="1"/>
      </c>
      <c r="AR18">
        <f ca="1"/>
      </c>
      <c r="AS18">
        <f ca="1"/>
      </c>
      <c r="AT18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BX18">
        <f ca="1"/>
      </c>
      <c r="BY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</row>
    <row r="19" spans="1:84" x14ac:dyDescent="0.55000000000000004">
      <c r="A19" t="s">
        <v>4</v>
      </c>
      <c r="B19" s="6" t="s">
        <v>43</v>
      </c>
      <c r="Z19">
        <f ca="1"/>
      </c>
      <c r="AA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P19">
        <f ca="1"/>
      </c>
      <c r="AQ19">
        <f ca="1"/>
      </c>
      <c r="AR19">
        <f ca="1"/>
      </c>
      <c r="AS19">
        <f ca="1"/>
      </c>
      <c r="AT19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BX19">
        <f ca="1"/>
      </c>
      <c r="BY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</row>
    <row r="20" spans="1:84" x14ac:dyDescent="0.55000000000000004">
      <c r="A20" t="s">
        <v>5</v>
      </c>
      <c r="B20" s="6" t="s">
        <v>43</v>
      </c>
      <c r="Z20">
        <f ca="1"/>
      </c>
      <c r="AA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P20">
        <f ca="1"/>
      </c>
      <c r="AQ20">
        <f ca="1"/>
      </c>
      <c r="AR20">
        <f ca="1"/>
      </c>
      <c r="AS20">
        <f ca="1"/>
      </c>
      <c r="AT20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BX20">
        <f ca="1"/>
      </c>
      <c r="BY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</row>
    <row r="21" spans="1:84" x14ac:dyDescent="0.55000000000000004">
      <c r="A21" t="s">
        <v>6</v>
      </c>
      <c r="B21" s="6" t="s">
        <v>43</v>
      </c>
      <c r="Z21">
        <f ca="1"/>
      </c>
      <c r="AA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P21">
        <f ca="1"/>
      </c>
      <c r="AQ21">
        <f ca="1"/>
      </c>
      <c r="AR21">
        <f ca="1"/>
      </c>
      <c r="AS21">
        <f ca="1"/>
      </c>
      <c r="AT21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BX21">
        <f ca="1"/>
      </c>
      <c r="BY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</row>
    <row r="22" spans="1:84" x14ac:dyDescent="0.55000000000000004">
      <c r="A22" t="s">
        <v>7</v>
      </c>
      <c r="B22" s="6" t="s">
        <v>42</v>
      </c>
      <c r="Z22">
        <f ca="1"/>
      </c>
      <c r="AA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P22">
        <f ca="1"/>
      </c>
      <c r="AQ22">
        <f ca="1"/>
      </c>
      <c r="AR22">
        <f ca="1"/>
      </c>
      <c r="AS22">
        <f ca="1"/>
      </c>
      <c r="AT22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BX22">
        <f ca="1"/>
      </c>
      <c r="BY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</row>
    <row r="23" spans="1:84" x14ac:dyDescent="0.55000000000000004">
      <c r="A23" t="s">
        <v>8</v>
      </c>
      <c r="B23" s="6" t="s">
        <v>43</v>
      </c>
      <c r="Z23">
        <f ca="1"/>
      </c>
      <c r="AA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P23">
        <f ca="1"/>
      </c>
      <c r="AQ23">
        <f ca="1"/>
      </c>
      <c r="AR23">
        <f ca="1"/>
      </c>
      <c r="AS23">
        <f ca="1"/>
      </c>
      <c r="AT23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CA23">
        <f ca="1"/>
      </c>
      <c r="CB23">
        <f ca="1"/>
      </c>
      <c r="CC23">
        <f ca="1"/>
      </c>
      <c r="CD23">
        <f ca="1"/>
      </c>
    </row>
    <row r="24" spans="1:84" x14ac:dyDescent="0.55000000000000004">
      <c r="A24" t="s">
        <v>9</v>
      </c>
      <c r="B24" s="6" t="s">
        <v>43</v>
      </c>
      <c r="Z24">
        <f ca="1"/>
      </c>
      <c r="AA24">
        <f ca="1"/>
      </c>
      <c r="CA24">
        <f ca="1"/>
      </c>
      <c r="CB24">
        <f ca="1"/>
      </c>
      <c r="CC24">
        <f ca="1"/>
      </c>
      <c r="CD24">
        <f ca="1"/>
      </c>
    </row>
    <row r="25" spans="1:84" x14ac:dyDescent="0.55000000000000004">
      <c r="A25" t="s">
        <v>10</v>
      </c>
      <c r="B25" s="6" t="s">
        <v>43</v>
      </c>
      <c r="Z25">
        <f ca="1"/>
      </c>
      <c r="AA25">
        <f ca="1"/>
      </c>
      <c r="CA25">
        <f ca="1"/>
      </c>
      <c r="CB25">
        <f ca="1"/>
      </c>
      <c r="CC25">
        <f ca="1"/>
      </c>
      <c r="CD25">
        <f ca="1"/>
      </c>
    </row>
    <row r="26" spans="1:84" x14ac:dyDescent="0.55000000000000004">
      <c r="A26" t="s">
        <v>11</v>
      </c>
      <c r="B26" s="6" t="s">
        <v>43</v>
      </c>
      <c r="Z26">
        <f ca="1"/>
      </c>
      <c r="AA26">
        <f ca="1"/>
      </c>
      <c r="CA26">
        <f ca="1"/>
      </c>
      <c r="CB26">
        <f ca="1"/>
      </c>
      <c r="CC26">
        <f ca="1"/>
      </c>
      <c r="CD26">
        <f ca="1"/>
      </c>
    </row>
    <row r="27" spans="1:84" x14ac:dyDescent="0.55000000000000004">
      <c r="A27" t="s">
        <v>12</v>
      </c>
      <c r="B27" s="6" t="s">
        <v>43</v>
      </c>
      <c r="Z27">
        <f ca="1"/>
      </c>
      <c r="AA27">
        <f ca="1"/>
      </c>
      <c r="CA27">
        <f ca="1"/>
      </c>
      <c r="CB27">
        <f ca="1"/>
      </c>
      <c r="CC27">
        <f ca="1"/>
      </c>
      <c r="CD27">
        <f ca="1"/>
      </c>
    </row>
    <row r="28" spans="1:84" x14ac:dyDescent="0.55000000000000004">
      <c r="A28" t="s">
        <v>41</v>
      </c>
      <c r="B28" s="6" t="s">
        <v>42</v>
      </c>
      <c r="Z28">
        <f ca="1"/>
      </c>
      <c r="AA28">
        <f ca="1"/>
      </c>
      <c r="CA28">
        <f ca="1"/>
      </c>
      <c r="CB28">
        <f ca="1"/>
      </c>
      <c r="CC28">
        <f ca="1"/>
      </c>
      <c r="CD28">
        <f ca="1"/>
      </c>
    </row>
    <row r="29" spans="1:84" x14ac:dyDescent="0.55000000000000004">
      <c r="A29" t="s">
        <v>13</v>
      </c>
      <c r="B29" s="6" t="s">
        <v>43</v>
      </c>
      <c r="Z29">
        <f ca="1"/>
      </c>
      <c r="AA29">
        <f ca="1"/>
      </c>
      <c r="CA29">
        <f ca="1"/>
      </c>
      <c r="CB29">
        <f ca="1"/>
      </c>
      <c r="CC29">
        <f ca="1"/>
      </c>
      <c r="CD29">
        <f ca="1"/>
      </c>
    </row>
    <row r="30" spans="1:84" x14ac:dyDescent="0.55000000000000004">
      <c r="A30" t="s">
        <v>14</v>
      </c>
      <c r="B30" s="6" t="s">
        <v>42</v>
      </c>
      <c r="Z30">
        <f ca="1"/>
      </c>
      <c r="AA30">
        <f ca="1"/>
      </c>
      <c r="CA30">
        <f ca="1"/>
      </c>
      <c r="CB30">
        <f ca="1"/>
      </c>
      <c r="CC30">
        <f ca="1"/>
      </c>
      <c r="CD30">
        <f ca="1"/>
      </c>
    </row>
    <row r="31" spans="1:84" x14ac:dyDescent="0.55000000000000004">
      <c r="A31" t="s">
        <v>15</v>
      </c>
      <c r="B31" s="6" t="s">
        <v>43</v>
      </c>
      <c r="Z31">
        <f ca="1"/>
      </c>
      <c r="AA31">
        <f ca="1"/>
      </c>
      <c r="CA31">
        <f ca="1"/>
      </c>
      <c r="CB31">
        <f ca="1"/>
      </c>
      <c r="CC31">
        <f ca="1"/>
      </c>
      <c r="CD31">
        <f ca="1"/>
      </c>
    </row>
    <row r="32" spans="1:84" x14ac:dyDescent="0.55000000000000004">
      <c r="A32" t="s">
        <v>16</v>
      </c>
      <c r="B32" s="6" t="s">
        <v>42</v>
      </c>
      <c r="E32" s="4" t="s">
        <v>207</v>
      </c>
      <c r="L32" s="4" t="s">
        <v>208</v>
      </c>
      <c r="S32" s="4" t="s">
        <v>209</v>
      </c>
      <c r="Z32">
        <f ca="1"/>
      </c>
      <c r="AA32">
        <f ca="1"/>
      </c>
      <c r="CA32">
        <f ca="1"/>
      </c>
      <c r="CB32">
        <f ca="1"/>
      </c>
      <c r="CC32">
        <f ca="1"/>
      </c>
      <c r="CD32">
        <f ca="1"/>
      </c>
    </row>
    <row r="33" spans="1:82" ht="74" x14ac:dyDescent="0.55000000000000004">
      <c r="A33" t="s">
        <v>17</v>
      </c>
      <c r="B33" s="6" t="s">
        <v>42</v>
      </c>
      <c r="E33" s="9" t="s">
        <v>204</v>
      </c>
      <c r="F33" s="9" t="s">
        <v>210</v>
      </c>
      <c r="G33" s="9" t="s">
        <v>211</v>
      </c>
      <c r="H33" s="9" t="s">
        <v>212</v>
      </c>
      <c r="I33" s="9" t="s">
        <v>213</v>
      </c>
      <c r="J33" s="9" t="s">
        <v>214</v>
      </c>
      <c r="L33" s="9" t="s">
        <v>215</v>
      </c>
      <c r="M33" s="9" t="s">
        <v>216</v>
      </c>
      <c r="N33" s="9" t="s">
        <v>217</v>
      </c>
      <c r="O33" s="9" t="s">
        <v>218</v>
      </c>
      <c r="P33" s="9" t="s">
        <v>219</v>
      </c>
      <c r="Q33" s="9" t="s">
        <v>220</v>
      </c>
      <c r="S33" s="9" t="s">
        <v>204</v>
      </c>
      <c r="T33" s="9" t="s">
        <v>44</v>
      </c>
      <c r="U33" s="9" t="s">
        <v>45</v>
      </c>
      <c r="V33" s="9" t="s">
        <v>46</v>
      </c>
      <c r="W33" s="9" t="s">
        <v>47</v>
      </c>
      <c r="X33" s="9" t="s">
        <v>48</v>
      </c>
      <c r="Z33">
        <f ca="1"/>
      </c>
      <c r="AA33">
        <f ca="1"/>
      </c>
      <c r="CA33">
        <f ca="1"/>
      </c>
      <c r="CB33">
        <f ca="1"/>
      </c>
      <c r="CC33">
        <f ca="1"/>
      </c>
      <c r="CD33">
        <f ca="1"/>
      </c>
    </row>
    <row r="34" spans="1:82" x14ac:dyDescent="0.55000000000000004">
      <c r="A34" t="s">
        <v>18</v>
      </c>
      <c r="B34" s="6" t="s">
        <v>42</v>
      </c>
      <c r="E34" cm="1">
        <f t="array" aca="1" ref="E34:E52" ca="1">_xlfn.DROP(_xlfn.TAKE(_xlfn.ANCHORARRAY($AC$4),,1),1)</f>
      </c>
      <c r="F34" s="10" cm="1">
        <f t="array" aca="1" ref="F34:F52" ca="1">PcaActual(PCA_Selected,PCA_Mode,PCA_ReconDate,_xlfn.CHOOSECOLS(_xlfn.ANCHORARRAY($CA$4),1,2))</f>
      </c>
      <c r="G34" s="10" cm="1">
        <f t="array" aca="1" ref="G34:G52" ca="1">_xlfn.DROP(_xlfn.CHOOSECOLS(_xlfn.ANCHORARRAY($AC$4),2),1)</f>
      </c>
      <c r="H34" s="10" cm="1">
        <f t="array" aca="1" ref="H34:H52" ca="1">_xlfn.LET(_xlpm.m,_xlfn.ANCHORARRAY(G34),_xlpm.s,_xlfn.DROP(_xlfn.CHOOSECOLS(_xlfn.ANCHORARRAY($AC$4),3),1),_xlpm.x,_xlfn.ANCHORARRAY(F34),_xlpm.V,_xlfn.TAKE(_xlfn.DROP(_xlfn.ANCHORARRAY($AC$4),1,4),,PCA_k),_xlpm.m+_xlpm.s*MMULT(_xlpm.V,MMULT(TRANSPOSE(_xlpm.V),(_xlpm.x-_xlpm.m)/_xlpm.s)))</f>
      </c>
      <c r="I34" s="11" cm="1">
        <f t="array" aca="1" ref="I34:I52" ca="1">(_xlfn.ANCHORARRAY(F34)-_xlfn.ANCHORARRAY(H34))*100</f>
      </c>
      <c r="J34" s="11" cm="1">
        <f t="array" aca="1" ref="J34:J52" ca="1">(_xlfn.ANCHORARRAY(F34)-_xlfn.ANCHORARRAY(G34))*100</f>
      </c>
      <c r="L34" cm="1">
        <f t="array" aca="1" ref="L34:L52" ca="1">_xlfn.DROP(_xlfn.TAKE(_xlfn.ANCHORARRAY($Z$17),,1),1)</f>
      </c>
      <c r="M34" s="11" cm="1">
        <f t="array" aca="1" ref="M34:M52" ca="1">_xlfn.DROP(_xlfn.CHOOSECOLS(_xlfn.ANCHORARRAY($Z$17),2),1)</f>
      </c>
      <c r="N34" s="12" cm="1">
        <f t="array" aca="1" ref="N34:N52" ca="1">_xlfn.ANCHORARRAY(M34)/SUM(_xlfn.ANCHORARRAY(M34))</f>
      </c>
      <c r="O34" s="12" cm="1">
        <f t="array" aca="1" ref="O34:O52" ca="1">_xlfn.SCAN(0,_xlfn.ANCHORARRAY(N34),_xlfn.LAMBDA(_xlpm.a,_xlpm.b,_xlpm.a+_xlpm.b))</f>
      </c>
      <c r="P34" s="11" cm="1">
        <f t="array" aca="1" ref="P34:P52" ca="1">MMULT(TRANSPOSE(_xlfn.DROP(_xlfn.ANCHORARRAY($AC$4),1,4)),(_xlfn.ANCHORARRAY(F34)-_xlfn.ANCHORARRAY(G34))/_xlfn.DROP(_xlfn.CHOOSECOLS(_xlfn.ANCHORARRAY($AC$4),3),1))*IF(PCA_Standardize="Yes",1,100)</f>
      </c>
      <c r="Q34" cm="1">
        <f t="array" aca="1" ref="Q34:Q52" ca="1">IF(_xlfn.SEQUENCE(ROWS(_xlfn.ANCHORARRAY(L34)))&lt;=PCA_k,"Yes","")</f>
      </c>
      <c r="S34" cm="1">
        <f t="array" aca="1" ref="S34:S52" ca="1">_xlfn.ANCHORARRAY(E34)</f>
      </c>
      <c r="T34" s="13" cm="1">
        <f t="array" aca="1" ref="T34:T52" ca="1">_xlfn.LET(_xlpm.V,_xlfn.DROP(_xlfn.ANCHORARRAY($AC$4),1,4),IF(1&lt;=COLUMNS(_xlpm.V),_xlfn.CHOOSECOLS(_xlpm.V,MIN(1,COLUMNS(_xlpm.V))),IF(_xlfn.SEQUENCE(ROWS(_xlpm.V)),NA())))</f>
      </c>
      <c r="U34" s="13" cm="1">
        <f t="array" aca="1" ref="U34:U52" ca="1">_xlfn.LET(_xlpm.V,_xlfn.DROP(_xlfn.ANCHORARRAY($AC$4),1,4),IF(2&lt;=COLUMNS(_xlpm.V),_xlfn.CHOOSECOLS(_xlpm.V,MIN(2,COLUMNS(_xlpm.V))),IF(_xlfn.SEQUENCE(ROWS(_xlpm.V)),NA())))</f>
      </c>
      <c r="V34" s="13" cm="1">
        <f t="array" aca="1" ref="V34:V52" ca="1">_xlfn.LET(_xlpm.V,_xlfn.DROP(_xlfn.ANCHORARRAY($AC$4),1,4),IF(3&lt;=COLUMNS(_xlpm.V),_xlfn.CHOOSECOLS(_xlpm.V,MIN(3,COLUMNS(_xlpm.V))),IF(_xlfn.SEQUENCE(ROWS(_xlpm.V)),NA())))</f>
      </c>
      <c r="W34" s="13" cm="1">
        <f t="array" aca="1" ref="W34:W52" ca="1">_xlfn.LET(_xlpm.V,_xlfn.DROP(_xlfn.ANCHORARRAY($AC$4),1,4),IF(4&lt;=COLUMNS(_xlpm.V),_xlfn.CHOOSECOLS(_xlpm.V,MIN(4,COLUMNS(_xlpm.V))),IF(_xlfn.SEQUENCE(ROWS(_xlpm.V)),NA())))</f>
      </c>
      <c r="X34" s="13" cm="1">
        <f t="array" aca="1" ref="X34:X52" ca="1">_xlfn.LET(_xlpm.V,_xlfn.DROP(_xlfn.ANCHORARRAY($AC$4),1,4),IF(5&lt;=COLUMNS(_xlpm.V),_xlfn.CHOOSECOLS(_xlpm.V,MIN(5,COLUMNS(_xlpm.V))),IF(_xlfn.SEQUENCE(ROWS(_xlpm.V)),NA())))</f>
      </c>
      <c r="Z34">
        <f ca="1"/>
      </c>
      <c r="AA34">
        <f ca="1"/>
      </c>
      <c r="CA34">
        <f ca="1"/>
      </c>
      <c r="CB34">
        <f ca="1"/>
      </c>
      <c r="CC34">
        <f ca="1"/>
      </c>
      <c r="CD34">
        <f ca="1"/>
      </c>
    </row>
    <row r="35" spans="1:82" x14ac:dyDescent="0.55000000000000004">
      <c r="A35" t="s">
        <v>19</v>
      </c>
      <c r="B35" s="6" t="s">
        <v>42</v>
      </c>
      <c r="E35">
        <f ca="1"/>
      </c>
      <c r="F35" s="10">
        <f ca="1"/>
      </c>
      <c r="G35" s="10">
        <f ca="1"/>
      </c>
      <c r="H35" s="10">
        <f ca="1"/>
      </c>
      <c r="I35" s="11">
        <f ca="1"/>
      </c>
      <c r="J35" s="11">
        <f ca="1"/>
      </c>
      <c r="L35">
        <f ca="1"/>
      </c>
      <c r="M35" s="11">
        <f ca="1"/>
      </c>
      <c r="N35" s="12">
        <f ca="1"/>
      </c>
      <c r="O35" s="12">
        <f ca="1"/>
      </c>
      <c r="P35" s="11">
        <f ca="1"/>
      </c>
      <c r="Q35">
        <f ca="1"/>
      </c>
      <c r="S35">
        <f ca="1"/>
      </c>
      <c r="T35" s="13">
        <f ca="1"/>
      </c>
      <c r="U35" s="13">
        <f ca="1"/>
      </c>
      <c r="V35" s="13">
        <f ca="1"/>
      </c>
      <c r="W35" s="13">
        <f ca="1"/>
      </c>
      <c r="X35" s="13">
        <f ca="1"/>
      </c>
      <c r="Z35">
        <f ca="1"/>
      </c>
      <c r="AA35">
        <f ca="1"/>
      </c>
      <c r="CA35">
        <f ca="1"/>
      </c>
      <c r="CB35">
        <f ca="1"/>
      </c>
      <c r="CC35">
        <f ca="1"/>
      </c>
      <c r="CD35">
        <f ca="1"/>
      </c>
    </row>
    <row r="36" spans="1:82" x14ac:dyDescent="0.55000000000000004">
      <c r="A36" t="s">
        <v>20</v>
      </c>
      <c r="B36" s="6" t="s">
        <v>42</v>
      </c>
      <c r="E36">
        <f ca="1"/>
      </c>
      <c r="F36" s="10">
        <f ca="1"/>
      </c>
      <c r="G36" s="10">
        <f ca="1"/>
      </c>
      <c r="H36" s="10">
        <f ca="1"/>
      </c>
      <c r="I36" s="11">
        <f ca="1"/>
      </c>
      <c r="J36" s="11">
        <f ca="1"/>
      </c>
      <c r="L36">
        <f ca="1"/>
      </c>
      <c r="M36" s="11">
        <f ca="1"/>
      </c>
      <c r="N36" s="12">
        <f ca="1"/>
      </c>
      <c r="O36" s="12">
        <f ca="1"/>
      </c>
      <c r="P36" s="11">
        <f ca="1"/>
      </c>
      <c r="Q36">
        <f ca="1"/>
      </c>
      <c r="S36">
        <f ca="1"/>
      </c>
      <c r="T36" s="13">
        <f ca="1"/>
      </c>
      <c r="U36" s="13">
        <f ca="1"/>
      </c>
      <c r="V36" s="13">
        <f ca="1"/>
      </c>
      <c r="W36" s="13">
        <f ca="1"/>
      </c>
      <c r="X36" s="13">
        <f ca="1"/>
      </c>
      <c r="Z36">
        <f ca="1"/>
      </c>
      <c r="AA36">
        <f ca="1"/>
      </c>
      <c r="CA36">
        <f ca="1"/>
      </c>
      <c r="CB36">
        <f ca="1"/>
      </c>
      <c r="CC36">
        <f ca="1"/>
      </c>
      <c r="CD36">
        <f ca="1"/>
      </c>
    </row>
    <row r="37" spans="1:82" x14ac:dyDescent="0.55000000000000004">
      <c r="A37" t="s">
        <v>21</v>
      </c>
      <c r="B37" s="6" t="s">
        <v>42</v>
      </c>
      <c r="E37">
        <f ca="1"/>
      </c>
      <c r="F37" s="10">
        <f ca="1"/>
      </c>
      <c r="G37" s="10">
        <f ca="1"/>
      </c>
      <c r="H37" s="10">
        <f ca="1"/>
      </c>
      <c r="I37" s="11">
        <f ca="1"/>
      </c>
      <c r="J37" s="11">
        <f ca="1"/>
      </c>
      <c r="L37">
        <f ca="1"/>
      </c>
      <c r="M37" s="11">
        <f ca="1"/>
      </c>
      <c r="N37" s="12">
        <f ca="1"/>
      </c>
      <c r="O37" s="12">
        <f ca="1"/>
      </c>
      <c r="P37" s="11">
        <f ca="1"/>
      </c>
      <c r="Q37">
        <f ca="1"/>
      </c>
      <c r="S37">
        <f ca="1"/>
      </c>
      <c r="T37" s="13">
        <f ca="1"/>
      </c>
      <c r="U37" s="13">
        <f ca="1"/>
      </c>
      <c r="V37" s="13">
        <f ca="1"/>
      </c>
      <c r="W37" s="13">
        <f ca="1"/>
      </c>
      <c r="X37" s="13">
        <f ca="1"/>
      </c>
      <c r="CA37">
        <f ca="1"/>
      </c>
      <c r="CB37">
        <f ca="1"/>
      </c>
      <c r="CC37">
        <f ca="1"/>
      </c>
      <c r="CD37">
        <f ca="1"/>
      </c>
    </row>
    <row r="38" spans="1:82" x14ac:dyDescent="0.55000000000000004">
      <c r="A38" t="s">
        <v>22</v>
      </c>
      <c r="B38" s="6" t="s">
        <v>42</v>
      </c>
      <c r="E38">
        <f ca="1"/>
      </c>
      <c r="F38" s="10">
        <f ca="1"/>
      </c>
      <c r="G38" s="10">
        <f ca="1"/>
      </c>
      <c r="H38" s="10">
        <f ca="1"/>
      </c>
      <c r="I38" s="11">
        <f ca="1"/>
      </c>
      <c r="J38" s="11">
        <f ca="1"/>
      </c>
      <c r="L38">
        <f ca="1"/>
      </c>
      <c r="M38" s="11">
        <f ca="1"/>
      </c>
      <c r="N38" s="12">
        <f ca="1"/>
      </c>
      <c r="O38" s="12">
        <f ca="1"/>
      </c>
      <c r="P38" s="11">
        <f ca="1"/>
      </c>
      <c r="Q38">
        <f ca="1"/>
      </c>
      <c r="S38">
        <f ca="1"/>
      </c>
      <c r="T38" s="13">
        <f ca="1"/>
      </c>
      <c r="U38" s="13">
        <f ca="1"/>
      </c>
      <c r="V38" s="13">
        <f ca="1"/>
      </c>
      <c r="W38" s="13">
        <f ca="1"/>
      </c>
      <c r="X38" s="13">
        <f ca="1"/>
      </c>
      <c r="CA38">
        <f ca="1"/>
      </c>
      <c r="CB38">
        <f ca="1"/>
      </c>
      <c r="CC38">
        <f ca="1"/>
      </c>
      <c r="CD38">
        <f ca="1"/>
      </c>
    </row>
    <row r="39" spans="1:82" x14ac:dyDescent="0.55000000000000004">
      <c r="A39" t="s">
        <v>23</v>
      </c>
      <c r="B39" s="6" t="s">
        <v>42</v>
      </c>
      <c r="E39">
        <f ca="1"/>
      </c>
      <c r="F39" s="10">
        <f ca="1"/>
      </c>
      <c r="G39" s="10">
        <f ca="1"/>
      </c>
      <c r="H39" s="10">
        <f ca="1"/>
      </c>
      <c r="I39" s="11">
        <f ca="1"/>
      </c>
      <c r="J39" s="11">
        <f ca="1"/>
      </c>
      <c r="L39">
        <f ca="1"/>
      </c>
      <c r="M39" s="11">
        <f ca="1"/>
      </c>
      <c r="N39" s="12">
        <f ca="1"/>
      </c>
      <c r="O39" s="12">
        <f ca="1"/>
      </c>
      <c r="P39" s="11">
        <f ca="1"/>
      </c>
      <c r="Q39">
        <f ca="1"/>
      </c>
      <c r="S39">
        <f ca="1"/>
      </c>
      <c r="T39" s="13">
        <f ca="1"/>
      </c>
      <c r="U39" s="13">
        <f ca="1"/>
      </c>
      <c r="V39" s="13">
        <f ca="1"/>
      </c>
      <c r="W39" s="13">
        <f ca="1"/>
      </c>
      <c r="X39" s="13">
        <f ca="1"/>
      </c>
      <c r="CA39">
        <f ca="1"/>
      </c>
      <c r="CB39">
        <f ca="1"/>
      </c>
      <c r="CC39">
        <f ca="1"/>
      </c>
      <c r="CD39">
        <f ca="1"/>
      </c>
    </row>
    <row r="40" spans="1:82" x14ac:dyDescent="0.55000000000000004">
      <c r="A40" t="s">
        <v>24</v>
      </c>
      <c r="B40" s="6" t="s">
        <v>42</v>
      </c>
      <c r="E40">
        <f ca="1"/>
      </c>
      <c r="F40" s="10">
        <f ca="1"/>
      </c>
      <c r="G40" s="10">
        <f ca="1"/>
      </c>
      <c r="H40" s="10">
        <f ca="1"/>
      </c>
      <c r="I40" s="11">
        <f ca="1"/>
      </c>
      <c r="J40" s="11">
        <f ca="1"/>
      </c>
      <c r="L40">
        <f ca="1"/>
      </c>
      <c r="M40" s="11">
        <f ca="1"/>
      </c>
      <c r="N40" s="12">
        <f ca="1"/>
      </c>
      <c r="O40" s="12">
        <f ca="1"/>
      </c>
      <c r="P40" s="11">
        <f ca="1"/>
      </c>
      <c r="Q40">
        <f ca="1"/>
      </c>
      <c r="S40">
        <f ca="1"/>
      </c>
      <c r="T40" s="13">
        <f ca="1"/>
      </c>
      <c r="U40" s="13">
        <f ca="1"/>
      </c>
      <c r="V40" s="13">
        <f ca="1"/>
      </c>
      <c r="W40" s="13">
        <f ca="1"/>
      </c>
      <c r="X40" s="13">
        <f ca="1"/>
      </c>
      <c r="CA40">
        <f ca="1"/>
      </c>
      <c r="CB40">
        <f ca="1"/>
      </c>
      <c r="CC40">
        <f ca="1"/>
      </c>
      <c r="CD40">
        <f ca="1"/>
      </c>
    </row>
    <row r="41" spans="1:82" x14ac:dyDescent="0.55000000000000004">
      <c r="A41" t="s">
        <v>25</v>
      </c>
      <c r="B41" s="6" t="s">
        <v>42</v>
      </c>
      <c r="E41">
        <f ca="1"/>
      </c>
      <c r="F41" s="10">
        <f ca="1"/>
      </c>
      <c r="G41" s="10">
        <f ca="1"/>
      </c>
      <c r="H41" s="10">
        <f ca="1"/>
      </c>
      <c r="I41" s="11">
        <f ca="1"/>
      </c>
      <c r="J41" s="11">
        <f ca="1"/>
      </c>
      <c r="L41">
        <f ca="1"/>
      </c>
      <c r="M41" s="11">
        <f ca="1"/>
      </c>
      <c r="N41" s="12">
        <f ca="1"/>
      </c>
      <c r="O41" s="12">
        <f ca="1"/>
      </c>
      <c r="P41" s="11">
        <f ca="1"/>
      </c>
      <c r="Q41">
        <f ca="1"/>
      </c>
      <c r="S41">
        <f ca="1"/>
      </c>
      <c r="T41" s="13">
        <f ca="1"/>
      </c>
      <c r="U41" s="13">
        <f ca="1"/>
      </c>
      <c r="V41" s="13">
        <f ca="1"/>
      </c>
      <c r="W41" s="13">
        <f ca="1"/>
      </c>
      <c r="X41" s="13">
        <f ca="1"/>
      </c>
      <c r="CA41">
        <f ca="1"/>
      </c>
      <c r="CB41">
        <f ca="1"/>
      </c>
      <c r="CC41">
        <f ca="1"/>
      </c>
      <c r="CD41">
        <f ca="1"/>
      </c>
    </row>
    <row r="42" spans="1:82" x14ac:dyDescent="0.55000000000000004">
      <c r="A42" t="s">
        <v>26</v>
      </c>
      <c r="B42" s="6" t="s">
        <v>42</v>
      </c>
      <c r="E42">
        <f ca="1"/>
      </c>
      <c r="F42" s="10">
        <f ca="1"/>
      </c>
      <c r="G42" s="10">
        <f ca="1"/>
      </c>
      <c r="H42" s="10">
        <f ca="1"/>
      </c>
      <c r="I42" s="11">
        <f ca="1"/>
      </c>
      <c r="J42" s="11">
        <f ca="1"/>
      </c>
      <c r="L42">
        <f ca="1"/>
      </c>
      <c r="M42" s="11">
        <f ca="1"/>
      </c>
      <c r="N42" s="12">
        <f ca="1"/>
      </c>
      <c r="O42" s="12">
        <f ca="1"/>
      </c>
      <c r="P42" s="11">
        <f ca="1"/>
      </c>
      <c r="Q42">
        <f ca="1"/>
      </c>
      <c r="S42">
        <f ca="1"/>
      </c>
      <c r="T42" s="13">
        <f ca="1"/>
      </c>
      <c r="U42" s="13">
        <f ca="1"/>
      </c>
      <c r="V42" s="13">
        <f ca="1"/>
      </c>
      <c r="W42" s="13">
        <f ca="1"/>
      </c>
      <c r="X42" s="13">
        <f ca="1"/>
      </c>
      <c r="CA42">
        <f ca="1"/>
      </c>
      <c r="CB42">
        <f ca="1"/>
      </c>
      <c r="CC42">
        <f ca="1"/>
      </c>
      <c r="CD42">
        <f ca="1"/>
      </c>
    </row>
    <row r="43" spans="1:82" x14ac:dyDescent="0.55000000000000004">
      <c r="A43" t="s">
        <v>27</v>
      </c>
      <c r="B43" s="6" t="s">
        <v>42</v>
      </c>
      <c r="E43">
        <f ca="1"/>
      </c>
      <c r="F43" s="10">
        <f ca="1"/>
      </c>
      <c r="G43" s="10">
        <f ca="1"/>
      </c>
      <c r="H43" s="10">
        <f ca="1"/>
      </c>
      <c r="I43" s="11">
        <f ca="1"/>
      </c>
      <c r="J43" s="11">
        <f ca="1"/>
      </c>
      <c r="L43">
        <f ca="1"/>
      </c>
      <c r="M43" s="11">
        <f ca="1"/>
      </c>
      <c r="N43" s="12">
        <f ca="1"/>
      </c>
      <c r="O43" s="12">
        <f ca="1"/>
      </c>
      <c r="P43" s="11">
        <f ca="1"/>
      </c>
      <c r="Q43">
        <f ca="1"/>
      </c>
      <c r="S43">
        <f ca="1"/>
      </c>
      <c r="T43" s="13">
        <f ca="1"/>
      </c>
      <c r="U43" s="13">
        <f ca="1"/>
      </c>
      <c r="V43" s="13">
        <f ca="1"/>
      </c>
      <c r="W43" s="13">
        <f ca="1"/>
      </c>
      <c r="X43" s="13">
        <f ca="1"/>
      </c>
      <c r="CA43">
        <f ca="1"/>
      </c>
      <c r="CB43">
        <f ca="1"/>
      </c>
      <c r="CC43">
        <f ca="1"/>
      </c>
      <c r="CD43">
        <f ca="1"/>
      </c>
    </row>
    <row r="44" spans="1:82" x14ac:dyDescent="0.55000000000000004">
      <c r="A44" t="s">
        <v>28</v>
      </c>
      <c r="B44" s="6" t="s">
        <v>42</v>
      </c>
      <c r="E44">
        <f ca="1"/>
      </c>
      <c r="F44" s="10">
        <f ca="1"/>
      </c>
      <c r="G44" s="10">
        <f ca="1"/>
      </c>
      <c r="H44" s="10">
        <f ca="1"/>
      </c>
      <c r="I44" s="11">
        <f ca="1"/>
      </c>
      <c r="J44" s="11">
        <f ca="1"/>
      </c>
      <c r="L44">
        <f ca="1"/>
      </c>
      <c r="M44" s="11">
        <f ca="1"/>
      </c>
      <c r="N44" s="12">
        <f ca="1"/>
      </c>
      <c r="O44" s="12">
        <f ca="1"/>
      </c>
      <c r="P44" s="11">
        <f ca="1"/>
      </c>
      <c r="Q44">
        <f ca="1"/>
      </c>
      <c r="S44">
        <f ca="1"/>
      </c>
      <c r="T44" s="13">
        <f ca="1"/>
      </c>
      <c r="U44" s="13">
        <f ca="1"/>
      </c>
      <c r="V44" s="13">
        <f ca="1"/>
      </c>
      <c r="W44" s="13">
        <f ca="1"/>
      </c>
      <c r="X44" s="13">
        <f ca="1"/>
      </c>
      <c r="CA44">
        <f ca="1"/>
      </c>
      <c r="CB44">
        <f ca="1"/>
      </c>
      <c r="CC44">
        <f ca="1"/>
      </c>
      <c r="CD44">
        <f ca="1"/>
      </c>
    </row>
    <row r="45" spans="1:82" x14ac:dyDescent="0.55000000000000004">
      <c r="A45" t="s">
        <v>29</v>
      </c>
      <c r="B45" s="6" t="s">
        <v>42</v>
      </c>
      <c r="E45">
        <f ca="1"/>
      </c>
      <c r="F45" s="10">
        <f ca="1"/>
      </c>
      <c r="G45" s="10">
        <f ca="1"/>
      </c>
      <c r="H45" s="10">
        <f ca="1"/>
      </c>
      <c r="I45" s="11">
        <f ca="1"/>
      </c>
      <c r="J45" s="11">
        <f ca="1"/>
      </c>
      <c r="L45">
        <f ca="1"/>
      </c>
      <c r="M45" s="11">
        <f ca="1"/>
      </c>
      <c r="N45" s="12">
        <f ca="1"/>
      </c>
      <c r="O45" s="12">
        <f ca="1"/>
      </c>
      <c r="P45" s="11">
        <f ca="1"/>
      </c>
      <c r="Q45">
        <f ca="1"/>
      </c>
      <c r="S45">
        <f ca="1"/>
      </c>
      <c r="T45" s="13">
        <f ca="1"/>
      </c>
      <c r="U45" s="13">
        <f ca="1"/>
      </c>
      <c r="V45" s="13">
        <f ca="1"/>
      </c>
      <c r="W45" s="13">
        <f ca="1"/>
      </c>
      <c r="X45" s="13">
        <f ca="1"/>
      </c>
      <c r="CA45">
        <f ca="1"/>
      </c>
      <c r="CB45">
        <f ca="1"/>
      </c>
      <c r="CC45">
        <f ca="1"/>
      </c>
      <c r="CD45">
        <f ca="1"/>
      </c>
    </row>
    <row r="46" spans="1:82" x14ac:dyDescent="0.55000000000000004">
      <c r="A46" t="s">
        <v>30</v>
      </c>
      <c r="B46" s="6" t="s">
        <v>42</v>
      </c>
      <c r="E46">
        <f ca="1"/>
      </c>
      <c r="F46" s="10">
        <f ca="1"/>
      </c>
      <c r="G46" s="10">
        <f ca="1"/>
      </c>
      <c r="H46" s="10">
        <f ca="1"/>
      </c>
      <c r="I46" s="11">
        <f ca="1"/>
      </c>
      <c r="J46" s="11">
        <f ca="1"/>
      </c>
      <c r="L46">
        <f ca="1"/>
      </c>
      <c r="M46" s="11">
        <f ca="1"/>
      </c>
      <c r="N46" s="12">
        <f ca="1"/>
      </c>
      <c r="O46" s="12">
        <f ca="1"/>
      </c>
      <c r="P46" s="11">
        <f ca="1"/>
      </c>
      <c r="Q46">
        <f ca="1"/>
      </c>
      <c r="S46">
        <f ca="1"/>
      </c>
      <c r="T46" s="13">
        <f ca="1"/>
      </c>
      <c r="U46" s="13">
        <f ca="1"/>
      </c>
      <c r="V46" s="13">
        <f ca="1"/>
      </c>
      <c r="W46" s="13">
        <f ca="1"/>
      </c>
      <c r="X46" s="13">
        <f ca="1"/>
      </c>
      <c r="CA46">
        <f ca="1"/>
      </c>
      <c r="CB46">
        <f ca="1"/>
      </c>
      <c r="CC46">
        <f ca="1"/>
      </c>
      <c r="CD46">
        <f ca="1"/>
      </c>
    </row>
    <row r="47" spans="1:82" x14ac:dyDescent="0.55000000000000004">
      <c r="A47" t="s">
        <v>31</v>
      </c>
      <c r="B47" s="6" t="s">
        <v>43</v>
      </c>
      <c r="E47">
        <f ca="1"/>
      </c>
      <c r="F47" s="10">
        <f ca="1"/>
      </c>
      <c r="G47" s="10">
        <f ca="1"/>
      </c>
      <c r="H47" s="10">
        <f ca="1"/>
      </c>
      <c r="I47" s="11">
        <f ca="1"/>
      </c>
      <c r="J47" s="11">
        <f ca="1"/>
      </c>
      <c r="L47">
        <f ca="1"/>
      </c>
      <c r="M47" s="11">
        <f ca="1"/>
      </c>
      <c r="N47" s="12">
        <f ca="1"/>
      </c>
      <c r="O47" s="12">
        <f ca="1"/>
      </c>
      <c r="P47" s="11">
        <f ca="1"/>
      </c>
      <c r="Q47">
        <f ca="1"/>
      </c>
      <c r="S47">
        <f ca="1"/>
      </c>
      <c r="T47" s="13">
        <f ca="1"/>
      </c>
      <c r="U47" s="13">
        <f ca="1"/>
      </c>
      <c r="V47" s="13">
        <f ca="1"/>
      </c>
      <c r="W47" s="13">
        <f ca="1"/>
      </c>
      <c r="X47" s="13">
        <f ca="1"/>
      </c>
      <c r="CA47">
        <f ca="1"/>
      </c>
      <c r="CB47">
        <f ca="1"/>
      </c>
      <c r="CC47">
        <f ca="1"/>
      </c>
      <c r="CD47">
        <f ca="1"/>
      </c>
    </row>
    <row r="48" spans="1:82" x14ac:dyDescent="0.55000000000000004">
      <c r="A48" t="s">
        <v>32</v>
      </c>
      <c r="B48" s="6" t="s">
        <v>42</v>
      </c>
      <c r="E48">
        <f ca="1"/>
      </c>
      <c r="F48" s="10">
        <f ca="1"/>
      </c>
      <c r="G48" s="10">
        <f ca="1"/>
      </c>
      <c r="H48" s="10">
        <f ca="1"/>
      </c>
      <c r="I48" s="11">
        <f ca="1"/>
      </c>
      <c r="J48" s="11">
        <f ca="1"/>
      </c>
      <c r="L48">
        <f ca="1"/>
      </c>
      <c r="M48" s="11">
        <f ca="1"/>
      </c>
      <c r="N48" s="12">
        <f ca="1"/>
      </c>
      <c r="O48" s="12">
        <f ca="1"/>
      </c>
      <c r="P48" s="11">
        <f ca="1"/>
      </c>
      <c r="Q48">
        <f ca="1"/>
      </c>
      <c r="S48">
        <f ca="1"/>
      </c>
      <c r="T48" s="13">
        <f ca="1"/>
      </c>
      <c r="U48" s="13">
        <f ca="1"/>
      </c>
      <c r="V48" s="13">
        <f ca="1"/>
      </c>
      <c r="W48" s="13">
        <f ca="1"/>
      </c>
      <c r="X48" s="13">
        <f ca="1"/>
      </c>
    </row>
    <row r="49" spans="1:24" x14ac:dyDescent="0.55000000000000004">
      <c r="A49" t="s">
        <v>33</v>
      </c>
      <c r="B49" s="6" t="s">
        <v>43</v>
      </c>
      <c r="E49">
        <f ca="1"/>
      </c>
      <c r="F49" s="10">
        <f ca="1"/>
      </c>
      <c r="G49" s="10">
        <f ca="1"/>
      </c>
      <c r="H49" s="10">
        <f ca="1"/>
      </c>
      <c r="I49" s="11">
        <f ca="1"/>
      </c>
      <c r="J49" s="11">
        <f ca="1"/>
      </c>
      <c r="L49">
        <f ca="1"/>
      </c>
      <c r="M49" s="11">
        <f ca="1"/>
      </c>
      <c r="N49" s="12">
        <f ca="1"/>
      </c>
      <c r="O49" s="12">
        <f ca="1"/>
      </c>
      <c r="P49" s="11">
        <f ca="1"/>
      </c>
      <c r="Q49">
        <f ca="1"/>
      </c>
      <c r="S49">
        <f ca="1"/>
      </c>
      <c r="T49" s="13">
        <f ca="1"/>
      </c>
      <c r="U49" s="13">
        <f ca="1"/>
      </c>
      <c r="V49" s="13">
        <f ca="1"/>
      </c>
      <c r="W49" s="13">
        <f ca="1"/>
      </c>
      <c r="X49" s="13">
        <f ca="1"/>
      </c>
    </row>
    <row r="50" spans="1:24" x14ac:dyDescent="0.55000000000000004">
      <c r="A50" t="s">
        <v>34</v>
      </c>
      <c r="B50" s="6" t="s">
        <v>43</v>
      </c>
      <c r="E50">
        <f ca="1"/>
      </c>
      <c r="F50" s="10">
        <f ca="1"/>
      </c>
      <c r="G50" s="10">
        <f ca="1"/>
      </c>
      <c r="H50" s="10">
        <f ca="1"/>
      </c>
      <c r="I50" s="11">
        <f ca="1"/>
      </c>
      <c r="J50" s="11">
        <f ca="1"/>
      </c>
      <c r="L50">
        <f ca="1"/>
      </c>
      <c r="M50" s="11">
        <f ca="1"/>
      </c>
      <c r="N50" s="12">
        <f ca="1"/>
      </c>
      <c r="O50" s="12">
        <f ca="1"/>
      </c>
      <c r="P50" s="11">
        <f ca="1"/>
      </c>
      <c r="Q50">
        <f ca="1"/>
      </c>
      <c r="S50">
        <f ca="1"/>
      </c>
      <c r="T50" s="13">
        <f ca="1"/>
      </c>
      <c r="U50" s="13">
        <f ca="1"/>
      </c>
      <c r="V50" s="13">
        <f ca="1"/>
      </c>
      <c r="W50" s="13">
        <f ca="1"/>
      </c>
      <c r="X50" s="13">
        <f ca="1"/>
      </c>
    </row>
    <row r="51" spans="1:24" x14ac:dyDescent="0.55000000000000004">
      <c r="A51" t="s">
        <v>35</v>
      </c>
      <c r="B51" s="6" t="s">
        <v>43</v>
      </c>
      <c r="E51">
        <f ca="1"/>
      </c>
      <c r="F51" s="10">
        <f ca="1"/>
      </c>
      <c r="G51" s="10">
        <f ca="1"/>
      </c>
      <c r="H51" s="10">
        <f ca="1"/>
      </c>
      <c r="I51" s="11">
        <f ca="1"/>
      </c>
      <c r="J51" s="11">
        <f ca="1"/>
      </c>
      <c r="L51">
        <f ca="1"/>
      </c>
      <c r="M51" s="11">
        <f ca="1"/>
      </c>
      <c r="N51" s="12">
        <f ca="1"/>
      </c>
      <c r="O51" s="12">
        <f ca="1"/>
      </c>
      <c r="P51" s="11">
        <f ca="1"/>
      </c>
      <c r="Q51">
        <f ca="1"/>
      </c>
      <c r="S51">
        <f ca="1"/>
      </c>
      <c r="T51" s="13">
        <f ca="1"/>
      </c>
      <c r="U51" s="13">
        <f ca="1"/>
      </c>
      <c r="V51" s="13">
        <f ca="1"/>
      </c>
      <c r="W51" s="13">
        <f ca="1"/>
      </c>
      <c r="X51" s="13">
        <f ca="1"/>
      </c>
    </row>
    <row r="52" spans="1:24" x14ac:dyDescent="0.55000000000000004">
      <c r="A52" t="s">
        <v>36</v>
      </c>
      <c r="B52" s="6" t="s">
        <v>43</v>
      </c>
      <c r="E52">
        <f ca="1"/>
      </c>
      <c r="F52" s="10">
        <f ca="1"/>
      </c>
      <c r="G52" s="10">
        <f ca="1"/>
      </c>
      <c r="H52" s="10">
        <f ca="1"/>
      </c>
      <c r="I52" s="11">
        <f ca="1"/>
      </c>
      <c r="J52" s="11">
        <f ca="1"/>
      </c>
      <c r="L52">
        <f ca="1"/>
      </c>
      <c r="M52" s="11">
        <f ca="1"/>
      </c>
      <c r="N52" s="12">
        <f ca="1"/>
      </c>
      <c r="O52" s="12">
        <f ca="1"/>
      </c>
      <c r="P52" s="11">
        <f ca="1"/>
      </c>
      <c r="Q52">
        <f ca="1"/>
      </c>
      <c r="S52">
        <f ca="1"/>
      </c>
      <c r="T52" s="13">
        <f ca="1"/>
      </c>
      <c r="U52" s="13">
        <f ca="1"/>
      </c>
      <c r="V52" s="13">
        <f ca="1"/>
      </c>
      <c r="W52" s="13">
        <f ca="1"/>
      </c>
      <c r="X52" s="13">
        <f ca="1"/>
      </c>
    </row>
    <row r="53" spans="1:24" x14ac:dyDescent="0.55000000000000004">
      <c r="A53" t="s">
        <v>37</v>
      </c>
      <c r="B53" s="6" t="s">
        <v>43</v>
      </c>
      <c r="F53" s="10"/>
      <c r="G53" s="10"/>
      <c r="H53" s="10"/>
      <c r="I53" s="11"/>
      <c r="J53" s="11"/>
      <c r="M53" s="11"/>
      <c r="N53" s="12"/>
      <c r="O53" s="12"/>
      <c r="P53" s="11"/>
      <c r="T53" s="13"/>
      <c r="U53" s="13"/>
      <c r="V53" s="13"/>
      <c r="W53" s="13"/>
      <c r="X53" s="13"/>
    </row>
    <row r="54" spans="1:24" x14ac:dyDescent="0.55000000000000004">
      <c r="A54" t="s">
        <v>38</v>
      </c>
      <c r="B54" s="6" t="s">
        <v>43</v>
      </c>
      <c r="F54" s="10"/>
      <c r="G54" s="10"/>
      <c r="H54" s="10"/>
      <c r="I54" s="11"/>
      <c r="J54" s="11"/>
      <c r="M54" s="11"/>
      <c r="N54" s="12"/>
      <c r="O54" s="12"/>
      <c r="P54" s="11"/>
      <c r="T54" s="13"/>
      <c r="U54" s="13"/>
      <c r="V54" s="13"/>
      <c r="W54" s="13"/>
      <c r="X54" s="13"/>
    </row>
    <row r="55" spans="1:24" x14ac:dyDescent="0.55000000000000004">
      <c r="A55" t="s">
        <v>39</v>
      </c>
      <c r="B55" s="6" t="s">
        <v>43</v>
      </c>
      <c r="F55" s="10"/>
      <c r="G55" s="10"/>
      <c r="H55" s="10"/>
      <c r="I55" s="11"/>
      <c r="J55" s="11"/>
      <c r="M55" s="11"/>
      <c r="N55" s="12"/>
      <c r="O55" s="12"/>
      <c r="P55" s="11"/>
      <c r="T55" s="13"/>
      <c r="U55" s="13"/>
      <c r="V55" s="13"/>
      <c r="W55" s="13"/>
      <c r="X55" s="13"/>
    </row>
    <row r="56" spans="1:24" x14ac:dyDescent="0.55000000000000004">
      <c r="A56" t="s">
        <v>40</v>
      </c>
      <c r="B56" s="6" t="s">
        <v>43</v>
      </c>
      <c r="F56" s="10"/>
      <c r="G56" s="10"/>
      <c r="H56" s="10"/>
      <c r="I56" s="11"/>
      <c r="J56" s="11"/>
      <c r="M56" s="11"/>
      <c r="N56" s="12"/>
      <c r="O56" s="12"/>
      <c r="P56" s="11"/>
      <c r="T56" s="13"/>
      <c r="U56" s="13"/>
      <c r="V56" s="13"/>
      <c r="W56" s="13"/>
      <c r="X56" s="13"/>
    </row>
    <row r="57" spans="1:24" x14ac:dyDescent="0.55000000000000004">
      <c r="F57" s="10"/>
      <c r="G57" s="10"/>
      <c r="H57" s="10"/>
      <c r="I57" s="11"/>
      <c r="J57" s="11"/>
      <c r="M57" s="11"/>
      <c r="N57" s="12"/>
      <c r="O57" s="12"/>
      <c r="P57" s="11"/>
      <c r="T57" s="13"/>
      <c r="U57" s="13"/>
      <c r="V57" s="13"/>
      <c r="W57" s="13"/>
      <c r="X57" s="13"/>
    </row>
    <row r="58" spans="1:24" x14ac:dyDescent="0.55000000000000004">
      <c r="F58" s="10"/>
      <c r="G58" s="10"/>
      <c r="H58" s="10"/>
      <c r="I58" s="11"/>
      <c r="J58" s="11"/>
      <c r="M58" s="11"/>
      <c r="N58" s="12"/>
      <c r="O58" s="12"/>
      <c r="P58" s="11"/>
      <c r="T58" s="13"/>
      <c r="U58" s="13"/>
      <c r="V58" s="13"/>
      <c r="W58" s="13"/>
      <c r="X58" s="13"/>
    </row>
    <row r="59" spans="1:24" x14ac:dyDescent="0.55000000000000004">
      <c r="F59" s="10"/>
      <c r="G59" s="10"/>
      <c r="H59" s="10"/>
      <c r="I59" s="11"/>
      <c r="J59" s="11"/>
      <c r="M59" s="11"/>
      <c r="N59" s="12"/>
      <c r="O59" s="12"/>
      <c r="P59" s="11"/>
      <c r="T59" s="13"/>
      <c r="U59" s="13"/>
      <c r="V59" s="13"/>
      <c r="W59" s="13"/>
      <c r="X59" s="13"/>
    </row>
    <row r="60" spans="1:24" x14ac:dyDescent="0.55000000000000004">
      <c r="F60" s="10"/>
      <c r="G60" s="10"/>
      <c r="H60" s="10"/>
      <c r="I60" s="11"/>
      <c r="J60" s="11"/>
      <c r="M60" s="11"/>
      <c r="N60" s="12"/>
      <c r="O60" s="12"/>
      <c r="P60" s="11"/>
      <c r="T60" s="13"/>
      <c r="U60" s="13"/>
      <c r="V60" s="13"/>
      <c r="W60" s="13"/>
      <c r="X60" s="13"/>
    </row>
    <row r="61" spans="1:24" x14ac:dyDescent="0.55000000000000004">
      <c r="F61" s="10"/>
      <c r="G61" s="10"/>
      <c r="H61" s="10"/>
      <c r="I61" s="11"/>
      <c r="J61" s="11"/>
      <c r="M61" s="11"/>
      <c r="N61" s="12"/>
      <c r="O61" s="12"/>
      <c r="P61" s="11"/>
      <c r="T61" s="13"/>
      <c r="U61" s="13"/>
      <c r="V61" s="13"/>
      <c r="W61" s="13"/>
      <c r="X61" s="13"/>
    </row>
    <row r="62" spans="1:24" x14ac:dyDescent="0.55000000000000004">
      <c r="F62" s="10"/>
      <c r="G62" s="10"/>
      <c r="H62" s="10"/>
      <c r="I62" s="11"/>
      <c r="J62" s="11"/>
      <c r="M62" s="11"/>
      <c r="N62" s="12"/>
      <c r="O62" s="12"/>
      <c r="P62" s="11"/>
      <c r="T62" s="13"/>
      <c r="U62" s="13"/>
      <c r="V62" s="13"/>
      <c r="W62" s="13"/>
      <c r="X62" s="13"/>
    </row>
    <row r="63" spans="1:24" x14ac:dyDescent="0.55000000000000004">
      <c r="F63" s="10"/>
      <c r="G63" s="10"/>
      <c r="H63" s="10"/>
      <c r="I63" s="11"/>
      <c r="J63" s="11"/>
      <c r="M63" s="11"/>
      <c r="N63" s="12"/>
      <c r="O63" s="12"/>
      <c r="P63" s="11"/>
      <c r="T63" s="13"/>
      <c r="U63" s="13"/>
      <c r="V63" s="13"/>
      <c r="W63" s="13"/>
      <c r="X63" s="13"/>
    </row>
    <row r="64" spans="1:24" x14ac:dyDescent="0.55000000000000004">
      <c r="F64" s="10"/>
      <c r="G64" s="10"/>
      <c r="H64" s="10"/>
      <c r="I64" s="11"/>
      <c r="J64" s="11"/>
      <c r="M64" s="11"/>
      <c r="N64" s="12"/>
      <c r="O64" s="12"/>
      <c r="P64" s="11"/>
      <c r="T64" s="13"/>
      <c r="U64" s="13"/>
      <c r="V64" s="13"/>
      <c r="W64" s="13"/>
      <c r="X64" s="13"/>
    </row>
    <row r="65" spans="6:24" x14ac:dyDescent="0.55000000000000004">
      <c r="F65" s="10"/>
      <c r="G65" s="10"/>
      <c r="H65" s="10"/>
      <c r="I65" s="11"/>
      <c r="J65" s="11"/>
      <c r="M65" s="11"/>
      <c r="N65" s="12"/>
      <c r="O65" s="12"/>
      <c r="P65" s="11"/>
      <c r="T65" s="13"/>
      <c r="U65" s="13"/>
      <c r="V65" s="13"/>
      <c r="W65" s="13"/>
      <c r="X65" s="13"/>
    </row>
    <row r="66" spans="6:24" x14ac:dyDescent="0.55000000000000004">
      <c r="F66" s="10"/>
      <c r="G66" s="10"/>
      <c r="H66" s="10"/>
      <c r="I66" s="11"/>
      <c r="J66" s="11"/>
      <c r="M66" s="11"/>
      <c r="N66" s="12"/>
      <c r="O66" s="12"/>
      <c r="P66" s="11"/>
      <c r="T66" s="13"/>
      <c r="U66" s="13"/>
      <c r="V66" s="13"/>
      <c r="W66" s="13"/>
      <c r="X66" s="13"/>
    </row>
    <row r="67" spans="6:24" x14ac:dyDescent="0.55000000000000004">
      <c r="F67" s="10"/>
      <c r="G67" s="10"/>
      <c r="H67" s="10"/>
      <c r="I67" s="11"/>
      <c r="J67" s="11"/>
      <c r="M67" s="11"/>
      <c r="N67" s="12"/>
      <c r="O67" s="12"/>
      <c r="P67" s="11"/>
      <c r="T67" s="13"/>
      <c r="U67" s="13"/>
      <c r="V67" s="13"/>
      <c r="W67" s="13"/>
      <c r="X67" s="13"/>
    </row>
    <row r="68" spans="6:24" x14ac:dyDescent="0.55000000000000004">
      <c r="F68" s="10"/>
      <c r="G68" s="10"/>
      <c r="H68" s="10"/>
      <c r="I68" s="11"/>
      <c r="J68" s="11"/>
      <c r="M68" s="11"/>
      <c r="N68" s="12"/>
      <c r="O68" s="12"/>
      <c r="P68" s="11"/>
      <c r="T68" s="13"/>
      <c r="U68" s="13"/>
      <c r="V68" s="13"/>
      <c r="W68" s="13"/>
      <c r="X68" s="13"/>
    </row>
    <row r="69" spans="6:24" x14ac:dyDescent="0.55000000000000004">
      <c r="F69" s="10"/>
      <c r="G69" s="10"/>
      <c r="H69" s="10"/>
      <c r="I69" s="11"/>
      <c r="J69" s="11"/>
      <c r="M69" s="11"/>
      <c r="N69" s="12"/>
      <c r="O69" s="12"/>
      <c r="P69" s="11"/>
      <c r="T69" s="13"/>
      <c r="U69" s="13"/>
      <c r="V69" s="13"/>
      <c r="W69" s="13"/>
      <c r="X69" s="13"/>
    </row>
    <row r="70" spans="6:24" x14ac:dyDescent="0.55000000000000004">
      <c r="F70" s="10"/>
      <c r="G70" s="10"/>
      <c r="H70" s="10"/>
      <c r="I70" s="11"/>
      <c r="J70" s="11"/>
      <c r="M70" s="11"/>
      <c r="N70" s="12"/>
      <c r="O70" s="12"/>
      <c r="P70" s="11"/>
      <c r="T70" s="13"/>
      <c r="U70" s="13"/>
      <c r="V70" s="13"/>
      <c r="W70" s="13"/>
      <c r="X70" s="13"/>
    </row>
    <row r="71" spans="6:24" x14ac:dyDescent="0.55000000000000004">
      <c r="F71" s="10"/>
      <c r="G71" s="10"/>
      <c r="H71" s="10"/>
      <c r="I71" s="11"/>
      <c r="J71" s="11"/>
      <c r="M71" s="11"/>
      <c r="N71" s="12"/>
      <c r="O71" s="12"/>
      <c r="P71" s="11"/>
      <c r="T71" s="13"/>
      <c r="U71" s="13"/>
      <c r="V71" s="13"/>
      <c r="W71" s="13"/>
      <c r="X71" s="13"/>
    </row>
    <row r="72" spans="6:24" x14ac:dyDescent="0.55000000000000004">
      <c r="F72" s="10"/>
      <c r="G72" s="10"/>
      <c r="H72" s="10"/>
      <c r="I72" s="11"/>
      <c r="J72" s="11"/>
      <c r="M72" s="11"/>
      <c r="N72" s="12"/>
      <c r="O72" s="12"/>
      <c r="P72" s="11"/>
      <c r="T72" s="13"/>
      <c r="U72" s="13"/>
      <c r="V72" s="13"/>
      <c r="W72" s="13"/>
      <c r="X72" s="13"/>
    </row>
    <row r="73" spans="6:24" x14ac:dyDescent="0.55000000000000004">
      <c r="F73" s="10"/>
      <c r="G73" s="10"/>
      <c r="H73" s="10"/>
      <c r="I73" s="11"/>
      <c r="J73" s="11"/>
      <c r="M73" s="11"/>
      <c r="N73" s="12"/>
      <c r="O73" s="12"/>
      <c r="P73" s="11"/>
      <c r="T73" s="13"/>
      <c r="U73" s="13"/>
      <c r="V73" s="13"/>
      <c r="W73" s="13"/>
      <c r="X73" s="13"/>
    </row>
    <row r="74" spans="6:24" x14ac:dyDescent="0.55000000000000004">
      <c r="F74" s="10"/>
      <c r="G74" s="10"/>
      <c r="H74" s="10"/>
      <c r="I74" s="11"/>
      <c r="J74" s="11"/>
      <c r="M74" s="11"/>
      <c r="N74" s="12"/>
      <c r="O74" s="12"/>
      <c r="P74" s="11"/>
      <c r="T74" s="13"/>
      <c r="U74" s="13"/>
      <c r="V74" s="13"/>
      <c r="W74" s="13"/>
      <c r="X74" s="13"/>
    </row>
    <row r="75" spans="6:24" x14ac:dyDescent="0.55000000000000004">
      <c r="F75" s="10"/>
      <c r="G75" s="10"/>
      <c r="H75" s="10"/>
      <c r="I75" s="11"/>
      <c r="J75" s="11"/>
      <c r="M75" s="11"/>
      <c r="N75" s="12"/>
      <c r="O75" s="12"/>
      <c r="P75" s="11"/>
      <c r="T75" s="13"/>
      <c r="U75" s="13"/>
      <c r="V75" s="13"/>
      <c r="W75" s="13"/>
      <c r="X75" s="13"/>
    </row>
    <row r="76" spans="6:24" x14ac:dyDescent="0.55000000000000004">
      <c r="F76" s="10"/>
      <c r="G76" s="10"/>
      <c r="H76" s="10"/>
      <c r="I76" s="11"/>
      <c r="J76" s="11"/>
      <c r="M76" s="11"/>
      <c r="N76" s="12"/>
      <c r="O76" s="12"/>
      <c r="P76" s="11"/>
      <c r="T76" s="13"/>
      <c r="U76" s="13"/>
      <c r="V76" s="13"/>
      <c r="W76" s="13"/>
      <c r="X76" s="13"/>
    </row>
    <row r="77" spans="6:24" x14ac:dyDescent="0.55000000000000004">
      <c r="F77" s="10"/>
      <c r="G77" s="10"/>
      <c r="H77" s="10"/>
      <c r="I77" s="11"/>
      <c r="J77" s="11"/>
      <c r="M77" s="11"/>
      <c r="N77" s="12"/>
      <c r="O77" s="12"/>
      <c r="P77" s="11"/>
      <c r="T77" s="13"/>
      <c r="U77" s="13"/>
      <c r="V77" s="13"/>
      <c r="W77" s="13"/>
      <c r="X77" s="13"/>
    </row>
    <row r="78" spans="6:24" x14ac:dyDescent="0.55000000000000004">
      <c r="F78" s="10"/>
      <c r="G78" s="10"/>
      <c r="H78" s="10"/>
      <c r="I78" s="11"/>
      <c r="J78" s="11"/>
      <c r="M78" s="11"/>
      <c r="N78" s="12"/>
      <c r="O78" s="12"/>
      <c r="P78" s="11"/>
      <c r="T78" s="13"/>
      <c r="U78" s="13"/>
      <c r="V78" s="13"/>
      <c r="W78" s="13"/>
      <c r="X78" s="13"/>
    </row>
    <row r="79" spans="6:24" x14ac:dyDescent="0.55000000000000004">
      <c r="F79" s="10"/>
      <c r="G79" s="10"/>
      <c r="H79" s="10"/>
      <c r="I79" s="11"/>
      <c r="J79" s="11"/>
      <c r="M79" s="11"/>
      <c r="N79" s="12"/>
      <c r="O79" s="12"/>
      <c r="P79" s="11"/>
      <c r="T79" s="13"/>
      <c r="U79" s="13"/>
      <c r="V79" s="13"/>
      <c r="W79" s="13"/>
      <c r="X79" s="13"/>
    </row>
    <row r="80" spans="6:24" x14ac:dyDescent="0.55000000000000004">
      <c r="F80" s="10"/>
      <c r="G80" s="10"/>
      <c r="H80" s="10"/>
      <c r="I80" s="11"/>
      <c r="J80" s="11"/>
      <c r="M80" s="11"/>
      <c r="N80" s="12"/>
      <c r="O80" s="12"/>
      <c r="P80" s="11"/>
      <c r="T80" s="13"/>
      <c r="U80" s="13"/>
      <c r="V80" s="13"/>
      <c r="W80" s="13"/>
      <c r="X80" s="13"/>
    </row>
    <row r="81" spans="6:24" x14ac:dyDescent="0.55000000000000004">
      <c r="F81" s="10"/>
      <c r="G81" s="10"/>
      <c r="H81" s="10"/>
      <c r="I81" s="11"/>
      <c r="J81" s="11"/>
      <c r="M81" s="11"/>
      <c r="N81" s="12"/>
      <c r="O81" s="12"/>
      <c r="P81" s="11"/>
      <c r="T81" s="13"/>
      <c r="U81" s="13"/>
      <c r="V81" s="13"/>
      <c r="W81" s="13"/>
      <c r="X81" s="13"/>
    </row>
    <row r="82" spans="6:24" x14ac:dyDescent="0.55000000000000004">
      <c r="F82" s="10"/>
      <c r="G82" s="10"/>
      <c r="H82" s="10"/>
      <c r="I82" s="11"/>
      <c r="J82" s="11"/>
      <c r="M82" s="11"/>
      <c r="N82" s="12"/>
      <c r="O82" s="12"/>
      <c r="P82" s="11"/>
      <c r="T82" s="13"/>
      <c r="U82" s="13"/>
      <c r="V82" s="13"/>
      <c r="W82" s="13"/>
      <c r="X82" s="13"/>
    </row>
    <row r="83" spans="6:24" x14ac:dyDescent="0.55000000000000004">
      <c r="F83" s="10"/>
      <c r="G83" s="10"/>
      <c r="H83" s="10"/>
      <c r="I83" s="11"/>
      <c r="J83" s="11"/>
      <c r="M83" s="11"/>
      <c r="N83" s="12"/>
      <c r="O83" s="12"/>
      <c r="P83" s="11"/>
      <c r="T83" s="13"/>
      <c r="U83" s="13"/>
      <c r="V83" s="13"/>
      <c r="W83" s="13"/>
      <c r="X83" s="13"/>
    </row>
    <row r="84" spans="6:24" x14ac:dyDescent="0.55000000000000004">
      <c r="F84" s="10"/>
      <c r="G84" s="10"/>
      <c r="H84" s="10"/>
      <c r="I84" s="11"/>
      <c r="J84" s="11"/>
      <c r="M84" s="11"/>
      <c r="N84" s="12"/>
      <c r="O84" s="12"/>
      <c r="P84" s="11"/>
      <c r="T84" s="13"/>
      <c r="U84" s="13"/>
      <c r="V84" s="13"/>
      <c r="W84" s="13"/>
      <c r="X84" s="13"/>
    </row>
    <row r="85" spans="6:24" x14ac:dyDescent="0.55000000000000004">
      <c r="F85" s="10"/>
      <c r="G85" s="10"/>
      <c r="H85" s="10"/>
      <c r="I85" s="11"/>
      <c r="J85" s="11"/>
      <c r="M85" s="11"/>
      <c r="N85" s="12"/>
      <c r="O85" s="12"/>
      <c r="P85" s="11"/>
      <c r="T85" s="13"/>
      <c r="U85" s="13"/>
      <c r="V85" s="13"/>
      <c r="W85" s="13"/>
      <c r="X85" s="13"/>
    </row>
    <row r="86" spans="6:24" x14ac:dyDescent="0.55000000000000004">
      <c r="F86" s="10"/>
      <c r="G86" s="10"/>
      <c r="H86" s="10"/>
      <c r="I86" s="11"/>
      <c r="J86" s="11"/>
      <c r="M86" s="11"/>
      <c r="N86" s="12"/>
      <c r="O86" s="12"/>
      <c r="P86" s="11"/>
      <c r="T86" s="13"/>
      <c r="U86" s="13"/>
      <c r="V86" s="13"/>
      <c r="W86" s="13"/>
      <c r="X86" s="13"/>
    </row>
    <row r="87" spans="6:24" x14ac:dyDescent="0.55000000000000004">
      <c r="F87" s="10"/>
      <c r="G87" s="10"/>
      <c r="H87" s="10"/>
      <c r="I87" s="11"/>
      <c r="J87" s="11"/>
      <c r="M87" s="11"/>
      <c r="N87" s="12"/>
      <c r="O87" s="12"/>
      <c r="P87" s="11"/>
      <c r="T87" s="13"/>
      <c r="U87" s="13"/>
      <c r="V87" s="13"/>
      <c r="W87" s="13"/>
      <c r="X87" s="13"/>
    </row>
    <row r="88" spans="6:24" x14ac:dyDescent="0.55000000000000004">
      <c r="F88" s="10"/>
      <c r="G88" s="10"/>
      <c r="H88" s="10"/>
      <c r="I88" s="11"/>
      <c r="J88" s="11"/>
      <c r="M88" s="11"/>
      <c r="N88" s="12"/>
      <c r="O88" s="12"/>
      <c r="P88" s="11"/>
      <c r="T88" s="13"/>
      <c r="U88" s="13"/>
      <c r="V88" s="13"/>
      <c r="W88" s="13"/>
      <c r="X88" s="13"/>
    </row>
    <row r="89" spans="6:24" x14ac:dyDescent="0.55000000000000004">
      <c r="F89" s="10"/>
      <c r="G89" s="10"/>
      <c r="H89" s="10"/>
      <c r="I89" s="11"/>
      <c r="J89" s="11"/>
      <c r="M89" s="11"/>
      <c r="N89" s="12"/>
      <c r="O89" s="12"/>
      <c r="P89" s="11"/>
      <c r="T89" s="13"/>
      <c r="U89" s="13"/>
      <c r="V89" s="13"/>
      <c r="W89" s="13"/>
      <c r="X89" s="13"/>
    </row>
    <row r="90" spans="6:24" x14ac:dyDescent="0.55000000000000004">
      <c r="F90" s="10"/>
      <c r="G90" s="10"/>
      <c r="H90" s="10"/>
      <c r="I90" s="11"/>
      <c r="J90" s="11"/>
      <c r="M90" s="11"/>
      <c r="N90" s="12"/>
      <c r="O90" s="12"/>
      <c r="P90" s="11"/>
      <c r="T90" s="13"/>
      <c r="U90" s="13"/>
      <c r="V90" s="13"/>
      <c r="W90" s="13"/>
      <c r="X90" s="13"/>
    </row>
    <row r="91" spans="6:24" x14ac:dyDescent="0.55000000000000004">
      <c r="F91" s="10"/>
      <c r="G91" s="10"/>
      <c r="H91" s="10"/>
      <c r="I91" s="11"/>
      <c r="J91" s="11"/>
      <c r="M91" s="11"/>
      <c r="N91" s="12"/>
      <c r="O91" s="12"/>
      <c r="P91" s="11"/>
      <c r="T91" s="13"/>
      <c r="U91" s="13"/>
      <c r="V91" s="13"/>
      <c r="W91" s="13"/>
      <c r="X91" s="13"/>
    </row>
    <row r="92" spans="6:24" x14ac:dyDescent="0.55000000000000004">
      <c r="F92" s="10"/>
      <c r="G92" s="10"/>
      <c r="H92" s="10"/>
      <c r="I92" s="11"/>
      <c r="J92" s="11"/>
      <c r="M92" s="11"/>
      <c r="N92" s="12"/>
      <c r="O92" s="12"/>
      <c r="P92" s="11"/>
      <c r="T92" s="13"/>
      <c r="U92" s="13"/>
      <c r="V92" s="13"/>
      <c r="W92" s="13"/>
      <c r="X92" s="13"/>
    </row>
    <row r="93" spans="6:24" x14ac:dyDescent="0.55000000000000004">
      <c r="F93" s="10"/>
      <c r="G93" s="10"/>
      <c r="H93" s="10"/>
      <c r="I93" s="11"/>
      <c r="J93" s="11"/>
      <c r="M93" s="11"/>
      <c r="N93" s="12"/>
      <c r="O93" s="12"/>
      <c r="P93" s="11"/>
      <c r="T93" s="13"/>
      <c r="U93" s="13"/>
      <c r="V93" s="13"/>
      <c r="W93" s="13"/>
      <c r="X93" s="13"/>
    </row>
    <row r="94" spans="6:24" x14ac:dyDescent="0.55000000000000004">
      <c r="F94" s="10"/>
      <c r="G94" s="10"/>
      <c r="H94" s="10"/>
      <c r="I94" s="11"/>
      <c r="J94" s="11"/>
      <c r="M94" s="11"/>
      <c r="N94" s="12"/>
      <c r="O94" s="12"/>
      <c r="P94" s="11"/>
      <c r="T94" s="13"/>
      <c r="U94" s="13"/>
      <c r="V94" s="13"/>
      <c r="W94" s="13"/>
      <c r="X94" s="13"/>
    </row>
  </sheetData>
  <phoneticPr fontId="2"/>
  <dataValidations count="9">
    <dataValidation type="whole" allowBlank="1" showInputMessage="1" showErrorMessage="1" prompt="復元に使う主成分の本数" sqref="B11" xr:uid="{3B0A9929-F77B-4789-86DE-D49A9891EE22}">
      <formula1>1</formula1>
      <formula2>50</formula2>
    </dataValidation>
    <dataValidation type="list" allowBlank="1" showInputMessage="1" showErrorMessage="1" sqref="B15:B56" xr:uid="{1DF7B3CE-05F5-439E-B5EE-13A30F7F2DB4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48A2AC22-91FF-400A-B977-72235A26AE3C}"/>
    <dataValidation allowBlank="1" showInputMessage="1" showErrorMessage="1" prompt="サンプル数。選択銘柄が1本でも欠けた日は除外し、さらに過去へさかのぼる" sqref="B5" xr:uid="{20CA5F3B-68B8-44B5-8794-DB5B0CB34044}"/>
    <dataValidation allowBlank="1" showInputMessage="1" showErrorMessage="1" prompt="復元・差分を見る日。空欄=今日(RealTimeのライブの値)。日付=DBのその日の引け値。Window endと独立に選べる" sqref="B10" xr:uid="{D0F498E5-B8A8-4FF6-AA47-621238B7DB52}"/>
    <dataValidation type="list" allowBlank="1" showInputMessage="1" showErrorMessage="1" sqref="B1" xr:uid="{E5BCCB72-573F-44AE-B771-387768C3409A}">
      <formula1>"Live,Fixed"</formula1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12" xr:uid="{2DABE3C6-97E9-49DD-A69B-6CB38C74BDC9}">
      <formula1>2</formula1>
    </dataValidation>
    <dataValidation type="list" allowBlank="1" showInputMessage="1" showErrorMessage="1" prompt="Level=水準のPCA / Change=前営業日からの変化のPCA" sqref="B6" xr:uid="{7A9C506C-D4E7-495B-B407-C31A5086EAAC}">
      <formula1>"Level,Change"</formula1>
    </dataValidation>
    <dataValidation type="list" allowBlank="1" showInputMessage="1" showErrorMessage="1" prompt="No=分散共分散(bp)のPCA / Yes=z-score(相関行列)のPCA" sqref="B7" xr:uid="{783E346F-FF77-4E3E-AE70-A2853C851D4D}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317AA-24F1-4FEE-9D3A-F26BC0CC8878}">
  <sheetPr codeName="Sheet4"/>
  <dimension ref="A1:IA496"/>
  <sheetViews>
    <sheetView zoomScale="44" workbookViewId="0">
      <pane xSplit="4" ySplit="9" topLeftCell="R59" activePane="bottomRight" state="frozenSplit"/>
      <selection pane="topRight" activeCell="E1" sqref="E1"/>
      <selection pane="bottomLeft" activeCell="A10" sqref="A10"/>
      <selection pane="bottomRight" activeCell="AE8" sqref="AE8"/>
    </sheetView>
  </sheetViews>
  <sheetFormatPr defaultRowHeight="18.5" outlineLevelCol="1" x14ac:dyDescent="0.55000000000000004"/>
  <cols>
    <col min="1" max="1" width="10.58203125" customWidth="1"/>
    <col min="2" max="2" width="7.58203125" customWidth="1"/>
    <col min="3" max="3" width="3.08203125" customWidth="1"/>
    <col min="4" max="4" width="12.58203125" customWidth="1"/>
    <col min="5" max="5" width="11.08203125" customWidth="1"/>
    <col min="6" max="11" width="10.08203125" customWidth="1"/>
    <col min="12" max="12" width="11.08203125" customWidth="1"/>
    <col min="13" max="18" width="10.08203125" customWidth="1"/>
    <col min="19" max="19" width="11.08203125" customWidth="1"/>
    <col min="20" max="25" width="10.08203125" customWidth="1"/>
    <col min="26" max="26" width="11.08203125" customWidth="1"/>
    <col min="27" max="32" width="10.08203125" customWidth="1"/>
    <col min="33" max="33" width="11.08203125" customWidth="1"/>
    <col min="34" max="39" width="10.08203125" customWidth="1"/>
    <col min="40" max="40" width="11.08203125" customWidth="1"/>
    <col min="41" max="46" width="10.08203125" customWidth="1"/>
    <col min="47" max="47" width="11.08203125" customWidth="1"/>
    <col min="48" max="53" width="10.08203125" customWidth="1"/>
    <col min="54" max="54" width="11.08203125" customWidth="1"/>
    <col min="55" max="60" width="10.08203125" customWidth="1"/>
    <col min="61" max="61" width="11.08203125" customWidth="1"/>
    <col min="62" max="67" width="10.08203125" customWidth="1"/>
    <col min="68" max="68" width="11.08203125" customWidth="1"/>
    <col min="69" max="74" width="10.08203125" customWidth="1"/>
    <col min="79" max="217" width="8.6640625" hidden="1" customWidth="1" outlineLevel="1"/>
    <col min="218" max="234" width="0" hidden="1" customWidth="1" outlineLevel="1"/>
    <col min="235" max="235" width="8.6640625" collapsed="1"/>
  </cols>
  <sheetData>
    <row r="1" spans="1:233" x14ac:dyDescent="0.55000000000000004">
      <c r="A1" s="15" t="s">
        <v>58</v>
      </c>
      <c r="B1" s="18" t="s">
        <v>53</v>
      </c>
      <c r="C1" s="15" t="s">
        <v>59</v>
      </c>
      <c r="D1" s="16" cm="1">
        <f t="array" aca="1" ref="D1" ca="1">LiveInfo("swap",_xlfn.ANCHORARRAY($CD$4))</f>
      </c>
      <c r="E1" s="17" t="s">
        <v>111</v>
      </c>
    </row>
    <row r="2" spans="1:233" ht="22.5" x14ac:dyDescent="0.55000000000000004">
      <c r="A2" t="s">
        <v>139</v>
      </c>
      <c r="CA2" s="1" t="s">
        <v>162</v>
      </c>
    </row>
    <row r="3" spans="1:233" x14ac:dyDescent="0.55000000000000004">
      <c r="A3" t="s">
        <v>253</v>
      </c>
      <c r="D3" t="s">
        <v>144</v>
      </c>
      <c r="E3" t="s">
        <v>150</v>
      </c>
      <c r="L3" t="s">
        <v>152</v>
      </c>
      <c r="S3" t="s">
        <v>153</v>
      </c>
      <c r="Z3" t="s">
        <v>155</v>
      </c>
      <c r="AG3" t="s">
        <v>156</v>
      </c>
      <c r="AN3" t="s">
        <v>157</v>
      </c>
      <c r="AU3" t="s">
        <v>158</v>
      </c>
      <c r="BB3" t="s">
        <v>159</v>
      </c>
      <c r="BI3" t="s">
        <v>160</v>
      </c>
      <c r="BP3" t="s">
        <v>161</v>
      </c>
      <c r="CB3" t="s">
        <v>140</v>
      </c>
      <c r="CD3" t="s">
        <v>116</v>
      </c>
      <c r="CI3" t="s">
        <v>165</v>
      </c>
      <c r="CJ3" t="s">
        <v>166</v>
      </c>
      <c r="CL3" t="s">
        <v>167</v>
      </c>
      <c r="CO3" t="s">
        <v>168</v>
      </c>
      <c r="HS3" t="s">
        <v>178</v>
      </c>
    </row>
    <row r="4" spans="1:233" x14ac:dyDescent="0.55000000000000004">
      <c r="A4" s="3"/>
      <c r="D4" t="s">
        <v>252</v>
      </c>
      <c r="E4" s="3"/>
      <c r="L4" s="3"/>
      <c r="S4" s="3"/>
      <c r="Z4" s="3"/>
      <c r="AG4" s="3"/>
      <c r="AN4" s="3"/>
      <c r="AU4" s="3"/>
      <c r="BB4" s="3"/>
      <c r="BI4" s="3"/>
      <c r="BP4" s="3"/>
      <c r="CB4" cm="1">
        <f t="array" ref="CB4:CB21">_xlfn._xlws.FILTER($A$12:$A$53,$B$12:$B$53="○")</f>
      </c>
      <c r="CD4" cm="1">
        <f t="array" aca="1" ref="CD4:CG47" ca="1">IF($B$1="Fixed",LiveSnapshot("swap"),LiveQuotes("swap"))</f>
      </c>
      <c r="CE4">
        <f ca="1"/>
      </c>
      <c r="CF4">
        <f ca="1"/>
      </c>
      <c r="CG4">
        <f ca="1"/>
      </c>
      <c r="CI4" cm="1">
        <f t="array" aca="1" ref="CI4:CI21" ca="1">PcaActual(_xlfn.ANCHORARRAY($CB$4),"Level",PCG_ReconDate,_xlfn.CHOOSECOLS(_xlfn.ANCHORARRAY($CD$4),1,2))</f>
      </c>
      <c r="CJ4" cm="1">
        <f t="array" aca="1" ref="CJ4:CJ21" ca="1">PcaActual(_xlfn.ANCHORARRAY($CB$4),"Change",PCG_ReconDate,_xlfn.CHOOSECOLS(_xlfn.ANCHORARRAY($CD$4),1,2))</f>
      </c>
      <c r="CL4" cm="1">
        <f t="array" aca="1" ref="CL4:CM7" ca="1">PcaActualInfo(_xlfn.ANCHORARRAY($CB$4),"Change",PCG_ReconDate,_xlfn.CHOOSECOLS(_xlfn.ANCHORARRAY($CD$4),1,2))</f>
      </c>
      <c r="CM4">
        <f ca="1"/>
      </c>
      <c r="CO4" cm="1">
        <f t="array" aca="1" ref="CO4:DP184" ca="1">PcaGrid(_xlfn.ANCHORARRAY($CB$4),_xlfn.LET(_xlpm.r,$E$4:$BP$7,_xlfn.CHOOSECOLS(IF(_xlpm.r="","",_xlpm.r),_xlfn.SEQUENCE(1,10,1,7))))</f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EP4" t="s">
        <v>150</v>
      </c>
      <c r="EQ4" cm="1">
        <f t="array" aca="1" ref="EQ4:FR21" ca="1">_xlfn.LET(_xlpm.g,_xlfn.DROP(_xlfn.ANCHORARRAY($CO$4),1),_xlfn._xlws.FILTER(_xlpm.g,_xlfn.TAKE(_xlpm.g,,1)=1))</f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GQ4" t="s">
        <v>169</v>
      </c>
      <c r="GR4" cm="1">
        <f t="array" aca="1" ref="GR4" ca="1">IFERROR(_xlfn.LET(_xlpm.R,_xlfn.ANCHORARRAY($GR$5),_xlpm.a,ABS(_xlpm.R),"k="&amp;$D$12&amp;"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" cm="1">
        <f t="array" aca="1" ref="GS4" ca="1">IFERROR(_xlfn.LET(_xlpm.R,_xlfn.ANCHORARRAY($GS$5),_xlpm.a,ABS(_xlpm.R),"k="&amp;$D$28&amp;"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" cm="1">
        <f t="array" aca="1" ref="GT4" ca="1">IFERROR(_xlfn.LET(_xlpm.R,_xlfn.ANCHORARRAY($GT$5),_xlpm.a,ABS(_xlpm.R),"k="&amp;$D$44&amp;"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" cm="1">
        <f t="array" aca="1" ref="GU4" ca="1">IFERROR(_xlfn.LET(_xlpm.R,_xlfn.ANCHORARRAY($GU$5),_xlpm.a,ABS(_xlpm.R),"k="&amp;$D$60&amp;"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" cm="1">
        <f t="array" aca="1" ref="GV4" ca="1">IFERROR(_xlfn.LET(_xlpm.R,_xlfn.ANCHORARRAY($GV$5),_xlpm.a,ABS(_xlpm.R),"k="&amp;$D$76&amp;"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" t="s">
        <v>44</v>
      </c>
      <c r="GY4" t="s">
        <v>45</v>
      </c>
      <c r="GZ4" t="s">
        <v>46</v>
      </c>
      <c r="HA4" t="s">
        <v>47</v>
      </c>
      <c r="HB4" t="s">
        <v>48</v>
      </c>
      <c r="HD4" t="s">
        <v>174</v>
      </c>
      <c r="HE4">
        <f>"Actual / Mean / Recon (k="&amp;$D$108&amp;")  dashed: Mean ±1σ"</f>
      </c>
      <c r="HF4" t="s">
        <v>175</v>
      </c>
      <c r="HG4" t="s">
        <v>176</v>
      </c>
      <c r="HH4" t="s">
        <v>179</v>
      </c>
      <c r="HI4" t="s">
        <v>180</v>
      </c>
      <c r="HJ4" t="s">
        <v>181</v>
      </c>
      <c r="HK4" t="s">
        <v>182</v>
      </c>
      <c r="HL4" t="s">
        <v>183</v>
      </c>
      <c r="HM4" t="s">
        <v>184</v>
      </c>
      <c r="HN4" t="s">
        <v>185</v>
      </c>
      <c r="HO4" t="s">
        <v>186</v>
      </c>
      <c r="HP4" t="s">
        <v>187</v>
      </c>
      <c r="HQ4" t="s">
        <v>188</v>
      </c>
      <c r="HR4" t="s">
        <v>189</v>
      </c>
      <c r="HS4" cm="1">
        <f t="array" aca="1" ref="HS4:HY184" ca="1">PcaGridResidStd(_xlfn.ANCHORARRAY($CB$4),_xlfn.LET(_xlpm.r,$E$4:$BP$7,_xlfn.CHOOSECOLS(IF(_xlpm.r="","",_xlpm.r),_xlfn.SEQUENCE(1,10,1,7))),_xlfn.VSTACK($D$12,$D$28,$D$44,$D$60,$D$76),$B$55)</f>
      </c>
      <c r="HT4">
        <f ca="1"/>
      </c>
      <c r="HU4">
        <f ca="1"/>
      </c>
      <c r="HV4">
        <f ca="1"/>
      </c>
      <c r="HW4">
        <f ca="1"/>
      </c>
      <c r="HX4">
        <f ca="1"/>
      </c>
      <c r="HY4">
        <f ca="1"/>
      </c>
    </row>
    <row r="5" spans="1:233" x14ac:dyDescent="0.55000000000000004">
      <c r="A5" t="s">
        <v>254</v>
      </c>
      <c r="D5" t="s">
        <v>145</v>
      </c>
      <c r="E5" s="2">
        <v>100</v>
      </c>
      <c r="L5" s="2">
        <v>50</v>
      </c>
      <c r="S5" s="2">
        <v>250</v>
      </c>
      <c r="Z5" s="2">
        <v>250</v>
      </c>
      <c r="AG5" s="2">
        <v>60</v>
      </c>
      <c r="AN5" s="2">
        <v>60</v>
      </c>
      <c r="AU5" s="2">
        <v>60</v>
      </c>
      <c r="BB5" s="2">
        <v>60</v>
      </c>
      <c r="BI5" s="2">
        <v>120</v>
      </c>
      <c r="BP5" s="2">
        <v>120</v>
      </c>
      <c r="CD5">
        <f ca="1"/>
      </c>
      <c r="CE5">
        <f ca="1"/>
      </c>
      <c r="CF5">
        <f ca="1"/>
      </c>
      <c r="CG5">
        <f ca="1"/>
      </c>
      <c r="CI5">
        <f ca="1"/>
      </c>
      <c r="CJ5">
        <f ca="1"/>
      </c>
      <c r="CL5">
        <f ca="1"/>
      </c>
      <c r="CM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GQ5" cm="1">
        <f t="array" aca="1" ref="GQ5:GQ22" ca="1">IF($E$6="Change",_xlfn.ANCHORARRAY($CJ$4),_xlfn.ANCHORARRAY($CI$4))</f>
      </c>
      <c r="GR5" s="11" cm="1">
        <f t="array" aca="1" ref="GR5:GR22" ca="1">_xlfn.LET(_xlpm.sl,_xlfn.ANCHORARRAY($EQ$4),_xlpm.mu,_xlfn.CHOOSECOLS(_xlpm.sl,8),_xlpm.sg,_xlfn.CHOOSECOLS(_xlpm.sl,9),_xlpm.x,_xlfn.ANCHORARRAY($GQ$5),_xlpm.V,_xlfn.TAKE(_xlfn.DROP(_xlpm.sl,,10),,$D$12),(_xlpm.x-(_xlpm.mu+_xlpm.sg*MMULT(_xlpm.V,MMULT(TRANSPOSE(_xlpm.V),(_xlpm.x-_xlpm.mu)/_xlpm.sg))))*100)</f>
      </c>
      <c r="GS5" s="11" cm="1">
        <f t="array" aca="1" ref="GS5:GS22" ca="1">_xlfn.LET(_xlpm.sl,_xlfn.ANCHORARRAY($EQ$4),_xlpm.mu,_xlfn.CHOOSECOLS(_xlpm.sl,8),_xlpm.sg,_xlfn.CHOOSECOLS(_xlpm.sl,9),_xlpm.x,_xlfn.ANCHORARRAY($GQ$5),_xlpm.V,_xlfn.TAKE(_xlfn.DROP(_xlpm.sl,,10),,$D$28),(_xlpm.x-(_xlpm.mu+_xlpm.sg*MMULT(_xlpm.V,MMULT(TRANSPOSE(_xlpm.V),(_xlpm.x-_xlpm.mu)/_xlpm.sg))))*100)</f>
      </c>
      <c r="GT5" s="11" cm="1">
        <f t="array" aca="1" ref="GT5:GT22" ca="1">_xlfn.LET(_xlpm.sl,_xlfn.ANCHORARRAY($EQ$4),_xlpm.mu,_xlfn.CHOOSECOLS(_xlpm.sl,8),_xlpm.sg,_xlfn.CHOOSECOLS(_xlpm.sl,9),_xlpm.x,_xlfn.ANCHORARRAY($GQ$5),_xlpm.V,_xlfn.TAKE(_xlfn.DROP(_xlpm.sl,,10),,$D$44),(_xlpm.x-(_xlpm.mu+_xlpm.sg*MMULT(_xlpm.V,MMULT(TRANSPOSE(_xlpm.V),(_xlpm.x-_xlpm.mu)/_xlpm.sg))))*100)</f>
      </c>
      <c r="GU5" s="11" cm="1">
        <f t="array" aca="1" ref="GU5:GU22" ca="1">_xlfn.LET(_xlpm.sl,_xlfn.ANCHORARRAY($EQ$4),_xlpm.mu,_xlfn.CHOOSECOLS(_xlpm.sl,8),_xlpm.sg,_xlfn.CHOOSECOLS(_xlpm.sl,9),_xlpm.x,_xlfn.ANCHORARRAY($GQ$5),_xlpm.V,_xlfn.TAKE(_xlfn.DROP(_xlpm.sl,,10),,$D$60),(_xlpm.x-(_xlpm.mu+_xlpm.sg*MMULT(_xlpm.V,MMULT(TRANSPOSE(_xlpm.V),(_xlpm.x-_xlpm.mu)/_xlpm.sg))))*100)</f>
      </c>
      <c r="GV5" s="11" cm="1">
        <f t="array" aca="1" ref="GV5:GV22" ca="1">_xlfn.LET(_xlpm.sl,_xlfn.ANCHORARRAY($EQ$4),_xlpm.mu,_xlfn.CHOOSECOLS(_xlpm.sl,8),_xlpm.sg,_xlfn.CHOOSECOLS(_xlpm.sl,9),_xlpm.x,_xlfn.ANCHORARRAY($GQ$5),_xlpm.V,_xlfn.TAKE(_xlfn.DROP(_xlpm.sl,,10),,$D$76),(_xlpm.x-(_xlpm.mu+_xlpm.sg*MMULT(_xlpm.V,MMULT(TRANSPOSE(_xlpm.V),(_xlpm.x-_xlpm.mu)/_xlpm.sg))))*100)</f>
      </c>
      <c r="GX5" cm="1">
        <f t="array" aca="1" ref="GX5:GX22" ca="1">_xlfn.LET(_xlpm.V,_xlfn.DROP(_xlfn.ANCHORARRAY($EQ$4),,10),IF(1&lt;=COLUMNS(_xlpm.V),_xlfn.CHOOSECOLS(_xlpm.V,1),IF(_xlfn.SEQUENCE(ROWS(_xlpm.V)),NA())))</f>
      </c>
      <c r="GY5" cm="1">
        <f t="array" aca="1" ref="GY5:GY22" ca="1">_xlfn.LET(_xlpm.V,_xlfn.DROP(_xlfn.ANCHORARRAY($EQ$4),,10),IF(2&lt;=COLUMNS(_xlpm.V),_xlfn.CHOOSECOLS(_xlpm.V,2),IF(_xlfn.SEQUENCE(ROWS(_xlpm.V)),NA())))</f>
      </c>
      <c r="GZ5" cm="1">
        <f t="array" aca="1" ref="GZ5:GZ22" ca="1">_xlfn.LET(_xlpm.V,_xlfn.DROP(_xlfn.ANCHORARRAY($EQ$4),,10),IF(3&lt;=COLUMNS(_xlpm.V),_xlfn.CHOOSECOLS(_xlpm.V,3),IF(_xlfn.SEQUENCE(ROWS(_xlpm.V)),NA())))</f>
      </c>
      <c r="HA5" cm="1">
        <f t="array" aca="1" ref="HA5:HA22" ca="1">_xlfn.LET(_xlpm.V,_xlfn.DROP(_xlfn.ANCHORARRAY($EQ$4),,10),IF(4&lt;=COLUMNS(_xlpm.V),_xlfn.CHOOSECOLS(_xlpm.V,4),IF(_xlfn.SEQUENCE(ROWS(_xlpm.V)),NA())))</f>
      </c>
      <c r="HB5" cm="1">
        <f t="array" aca="1" ref="HB5:HB22" ca="1">_xlfn.LET(_xlpm.V,_xlfn.DROP(_xlfn.ANCHORARRAY($EQ$4),,10),IF(5&lt;=COLUMNS(_xlpm.V),_xlfn.CHOOSECOLS(_xlpm.V,5),IF(_xlfn.SEQUENCE(ROWS(_xlpm.V)),NA())))</f>
      </c>
      <c r="HD5" cm="1">
        <f t="array" aca="1" ref="HD5:HD22" ca="1">_xlfn.CHOOSECOLS(_xlfn.ANCHORARRAY($EQ$4),8)</f>
      </c>
      <c r="HE5" cm="1">
        <f t="array" aca="1" ref="HE5:HE22" ca="1">_xlfn.LET(_xlpm.sl,_xlfn.ANCHORARRAY($EQ$4),_xlpm.mu,_xlfn.CHOOSECOLS(_xlpm.sl,8),_xlpm.sg,_xlfn.CHOOSECOLS(_xlpm.sl,9),_xlpm.x,_xlfn.ANCHORARRAY($GQ$5),_xlpm.V,_xlfn.TAKE(_xlfn.DROP(_xlpm.sl,,10),,$D$108),_xlpm.mu+_xlpm.sg*MMULT(_xlpm.V,MMULT(TRANSPOSE(_xlpm.V),(_xlpm.x-_xlpm.mu)/_xlpm.sg)))</f>
      </c>
      <c r="HF5" cm="1">
        <f t="array" aca="1" ref="HF5:HF22" ca="1">_xlfn.CHOOSECOLS(_xlfn.ANCHORARRAY($EQ$4),8)+_xlfn.CHOOSECOLS(_xlfn.ANCHORARRAY($EQ$4),10)</f>
      </c>
      <c r="HG5" cm="1">
        <f t="array" aca="1" ref="HG5:HG22" ca="1">_xlfn.CHOOSECOLS(_xlfn.ANCHORARRAY($EQ$4),8)-_xlfn.CHOOSECOLS(_xlfn.ANCHORARRAY($EQ$4),10)</f>
      </c>
      <c r="HH5" cm="1">
        <f t="array" aca="1" ref="HH5:HH22" ca="1">_xlfn.LET(_xlpm.v,_xlfn.CHOOSECOLS(_xlfn._xlws.FILTER(_xlfn.DROP(_xlfn.ANCHORARRAY($HS$4),1),_xlfn.TAKE(_xlfn.DROP(_xlfn.ANCHORARRAY($HS$4),1),,1)=1),3),IF(_xlpm.v="",NA(),_xlpm.v))</f>
      </c>
      <c r="HI5" cm="1">
        <f t="array" aca="1" ref="HI5:HI22" ca="1">-_xlfn.ANCHORARRAY($HH$5)</f>
      </c>
      <c r="HJ5" cm="1">
        <f t="array" aca="1" ref="HJ5:HJ22" ca="1">_xlfn.LET(_xlpm.v,_xlfn.CHOOSECOLS(_xlfn._xlws.FILTER(_xlfn.DROP(_xlfn.ANCHORARRAY($HS$4),1),_xlfn.TAKE(_xlfn.DROP(_xlfn.ANCHORARRAY($HS$4),1),,1)=1),4),IF(_xlpm.v="",NA(),_xlpm.v))</f>
      </c>
      <c r="HK5" cm="1">
        <f t="array" aca="1" ref="HK5:HK22" ca="1">-_xlfn.ANCHORARRAY($HJ$5)</f>
      </c>
      <c r="HL5" cm="1">
        <f t="array" aca="1" ref="HL5:HL22" ca="1">_xlfn.LET(_xlpm.v,_xlfn.CHOOSECOLS(_xlfn._xlws.FILTER(_xlfn.DROP(_xlfn.ANCHORARRAY($HS$4),1),_xlfn.TAKE(_xlfn.DROP(_xlfn.ANCHORARRAY($HS$4),1),,1)=1),5),IF(_xlpm.v="",NA(),_xlpm.v))</f>
      </c>
      <c r="HM5" cm="1">
        <f t="array" aca="1" ref="HM5:HM22" ca="1">-_xlfn.ANCHORARRAY($HL$5)</f>
      </c>
      <c r="HN5" cm="1">
        <f t="array" aca="1" ref="HN5:HN22" ca="1">_xlfn.LET(_xlpm.v,_xlfn.CHOOSECOLS(_xlfn._xlws.FILTER(_xlfn.DROP(_xlfn.ANCHORARRAY($HS$4),1),_xlfn.TAKE(_xlfn.DROP(_xlfn.ANCHORARRAY($HS$4),1),,1)=1),6),IF(_xlpm.v="",NA(),_xlpm.v))</f>
      </c>
      <c r="HO5" cm="1">
        <f t="array" aca="1" ref="HO5:HO22" ca="1">-_xlfn.ANCHORARRAY($HN$5)</f>
      </c>
      <c r="HP5" cm="1">
        <f t="array" aca="1" ref="HP5:HP22" ca="1">_xlfn.LET(_xlpm.v,_xlfn.CHOOSECOLS(_xlfn._xlws.FILTER(_xlfn.DROP(_xlfn.ANCHORARRAY($HS$4),1),_xlfn.TAKE(_xlfn.DROP(_xlfn.ANCHORARRAY($HS$4),1),,1)=1),7),IF(_xlpm.v="",NA(),_xlpm.v))</f>
      </c>
      <c r="HQ5" cm="1">
        <f t="array" aca="1" ref="HQ5:HQ22" ca="1">-_xlfn.ANCHORARRAY($HP$5)</f>
      </c>
      <c r="HR5" cm="1">
        <f t="array" aca="1" ref="HR5" ca="1">IFERROR(INDEX(_xlfn._xlws.FILTER(_xlfn.DROP(_xlfn.ANCHORARRAY($HS$4),1),_xlfn.TAKE(_xlfn.DROP(_xlfn.ANCHORARRAY($HS$4),1),,1)=1),1,2),"")</f>
      </c>
      <c r="HS5">
        <f ca="1"/>
      </c>
      <c r="HT5">
        <f ca="1"/>
      </c>
      <c r="HU5">
        <f ca="1"/>
      </c>
      <c r="HV5">
        <f ca="1"/>
      </c>
      <c r="HW5">
        <f ca="1"/>
      </c>
      <c r="HX5">
        <f ca="1"/>
      </c>
      <c r="HY5">
        <f ca="1"/>
      </c>
    </row>
    <row r="6" spans="1:233" x14ac:dyDescent="0.55000000000000004">
      <c r="A6">
        <f ca="1">IFERROR(INDEX(_xlfn.ANCHORARRAY($CL$4),2,2),"")</f>
      </c>
      <c r="D6" t="s">
        <v>146</v>
      </c>
      <c r="E6" s="2" t="s">
        <v>151</v>
      </c>
      <c r="L6" s="2" t="s">
        <v>151</v>
      </c>
      <c r="S6" s="2" t="s">
        <v>154</v>
      </c>
      <c r="Z6" s="2" t="s">
        <v>154</v>
      </c>
      <c r="AG6" s="2" t="s">
        <v>151</v>
      </c>
      <c r="AN6" s="2" t="s">
        <v>151</v>
      </c>
      <c r="AU6" s="2" t="s">
        <v>154</v>
      </c>
      <c r="BB6" s="2" t="s">
        <v>154</v>
      </c>
      <c r="BI6" s="2" t="s">
        <v>151</v>
      </c>
      <c r="BP6" s="2" t="s">
        <v>154</v>
      </c>
      <c r="CD6">
        <f ca="1"/>
      </c>
      <c r="CE6">
        <f ca="1"/>
      </c>
      <c r="CF6">
        <f ca="1"/>
      </c>
      <c r="CG6">
        <f ca="1"/>
      </c>
      <c r="CI6">
        <f ca="1"/>
      </c>
      <c r="CJ6">
        <f ca="1"/>
      </c>
      <c r="CL6">
        <f ca="1"/>
      </c>
      <c r="CM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GQ6">
        <f ca="1"/>
      </c>
      <c r="GR6" s="11">
        <f ca="1"/>
      </c>
      <c r="GS6" s="11">
        <f ca="1"/>
      </c>
      <c r="GT6" s="11">
        <f ca="1"/>
      </c>
      <c r="GU6" s="11">
        <f ca="1"/>
      </c>
      <c r="GV6" s="11">
        <f ca="1"/>
      </c>
      <c r="GX6">
        <f ca="1"/>
      </c>
      <c r="GY6">
        <f ca="1"/>
      </c>
      <c r="GZ6">
        <f ca="1"/>
      </c>
      <c r="HA6">
        <f ca="1"/>
      </c>
      <c r="HB6">
        <f ca="1"/>
      </c>
      <c r="HD6">
        <f ca="1"/>
      </c>
      <c r="HE6">
        <f ca="1"/>
      </c>
      <c r="HF6">
        <f ca="1"/>
      </c>
      <c r="HG6">
        <f ca="1"/>
      </c>
      <c r="HH6">
        <f ca="1"/>
      </c>
      <c r="HI6">
        <f ca="1"/>
      </c>
      <c r="HJ6">
        <f ca="1"/>
      </c>
      <c r="HK6">
        <f ca="1"/>
      </c>
      <c r="HL6">
        <f ca="1"/>
      </c>
      <c r="HM6">
        <f ca="1"/>
      </c>
      <c r="HN6">
        <f ca="1"/>
      </c>
      <c r="HO6">
        <f ca="1"/>
      </c>
      <c r="HP6">
        <f ca="1"/>
      </c>
      <c r="HQ6">
        <f ca="1"/>
      </c>
      <c r="HS6">
        <f ca="1"/>
      </c>
      <c r="HT6">
        <f ca="1"/>
      </c>
      <c r="HU6">
        <f ca="1"/>
      </c>
      <c r="HV6">
        <f ca="1"/>
      </c>
      <c r="HW6">
        <f ca="1"/>
      </c>
      <c r="HX6">
        <f ca="1"/>
      </c>
      <c r="HY6">
        <f ca="1"/>
      </c>
    </row>
    <row r="7" spans="1:233" x14ac:dyDescent="0.55000000000000004">
      <c r="D7" t="s">
        <v>147</v>
      </c>
      <c r="E7" s="2" t="s">
        <v>142</v>
      </c>
      <c r="L7" s="2" t="s">
        <v>143</v>
      </c>
      <c r="S7" s="2" t="s">
        <v>142</v>
      </c>
      <c r="Z7" s="2" t="s">
        <v>143</v>
      </c>
      <c r="AG7" s="2" t="s">
        <v>142</v>
      </c>
      <c r="AN7" s="2" t="s">
        <v>143</v>
      </c>
      <c r="AU7" s="2" t="s">
        <v>142</v>
      </c>
      <c r="BB7" s="2" t="s">
        <v>143</v>
      </c>
      <c r="BI7" s="2" t="s">
        <v>142</v>
      </c>
      <c r="BP7" s="2" t="s">
        <v>142</v>
      </c>
      <c r="CD7">
        <f ca="1"/>
      </c>
      <c r="CE7">
        <f ca="1"/>
      </c>
      <c r="CF7">
        <f ca="1"/>
      </c>
      <c r="CG7">
        <f ca="1"/>
      </c>
      <c r="CI7">
        <f ca="1"/>
      </c>
      <c r="CJ7">
        <f ca="1"/>
      </c>
      <c r="CL7">
        <f ca="1"/>
      </c>
      <c r="CM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GQ7">
        <f ca="1"/>
      </c>
      <c r="GR7" s="11">
        <f ca="1"/>
      </c>
      <c r="GS7" s="11">
        <f ca="1"/>
      </c>
      <c r="GT7" s="11">
        <f ca="1"/>
      </c>
      <c r="GU7" s="11">
        <f ca="1"/>
      </c>
      <c r="GV7" s="11">
        <f ca="1"/>
      </c>
      <c r="GX7">
        <f ca="1"/>
      </c>
      <c r="GY7">
        <f ca="1"/>
      </c>
      <c r="GZ7">
        <f ca="1"/>
      </c>
      <c r="HA7">
        <f ca="1"/>
      </c>
      <c r="HB7">
        <f ca="1"/>
      </c>
      <c r="HD7">
        <f ca="1"/>
      </c>
      <c r="HE7">
        <f ca="1"/>
      </c>
      <c r="HF7">
        <f ca="1"/>
      </c>
      <c r="HG7">
        <f ca="1"/>
      </c>
      <c r="HH7">
        <f ca="1"/>
      </c>
      <c r="HI7">
        <f ca="1"/>
      </c>
      <c r="HJ7">
        <f ca="1"/>
      </c>
      <c r="HK7">
        <f ca="1"/>
      </c>
      <c r="HL7">
        <f ca="1"/>
      </c>
      <c r="HM7">
        <f ca="1"/>
      </c>
      <c r="HN7">
        <f ca="1"/>
      </c>
      <c r="HO7">
        <f ca="1"/>
      </c>
      <c r="HP7">
        <f ca="1"/>
      </c>
      <c r="HQ7">
        <f ca="1"/>
      </c>
      <c r="HS7">
        <f ca="1"/>
      </c>
      <c r="HT7">
        <f ca="1"/>
      </c>
      <c r="HU7">
        <f ca="1"/>
      </c>
      <c r="HV7">
        <f ca="1"/>
      </c>
      <c r="HW7">
        <f ca="1"/>
      </c>
      <c r="HX7">
        <f ca="1"/>
      </c>
      <c r="HY7">
        <f ca="1"/>
      </c>
    </row>
    <row r="8" spans="1:233" x14ac:dyDescent="0.55000000000000004">
      <c r="D8" t="s">
        <v>148</v>
      </c>
      <c r="E8">
        <f ca="1">IFERROR(_xlfn.LET(_xlpm.sl,_xlfn.ANCHORARRAY($EQ$4),IF(ISNUMBER(INDEX(_xlpm.sl,1,2)),TEXT(INDEX(_xlpm.sl,1,2),"yyyy-mm-dd")&amp;" - "&amp;TEXT(INDEX(_xlpm.sl,1,3),"yyyy-mm-dd")&amp;"  (n="&amp;INDEX(_xlpm.sl,1,4)&amp;")","Error")),"Error")</f>
      </c>
      <c r="L8">
        <f ca="1">IFERROR(_xlfn.LET(_xlpm.sl,_xlfn.ANCHORARRAY($EQ$54),IF(ISNUMBER(INDEX(_xlpm.sl,1,2)),TEXT(INDEX(_xlpm.sl,1,2),"yyyy-mm-dd")&amp;" - "&amp;TEXT(INDEX(_xlpm.sl,1,3),"yyyy-mm-dd")&amp;"  (n="&amp;INDEX(_xlpm.sl,1,4)&amp;")","Error")),"Error")</f>
      </c>
      <c r="S8">
        <f ca="1">IFERROR(_xlfn.LET(_xlpm.sl,_xlfn.ANCHORARRAY($EQ$104),IF(ISNUMBER(INDEX(_xlpm.sl,1,2)),TEXT(INDEX(_xlpm.sl,1,2),"yyyy-mm-dd")&amp;" - "&amp;TEXT(INDEX(_xlpm.sl,1,3),"yyyy-mm-dd")&amp;"  (n="&amp;INDEX(_xlpm.sl,1,4)&amp;")","Error")),"Error")</f>
      </c>
      <c r="Z8">
        <f ca="1">IFERROR(_xlfn.LET(_xlpm.sl,_xlfn.ANCHORARRAY($EQ$154),IF(ISNUMBER(INDEX(_xlpm.sl,1,2)),TEXT(INDEX(_xlpm.sl,1,2),"yyyy-mm-dd")&amp;" - "&amp;TEXT(INDEX(_xlpm.sl,1,3),"yyyy-mm-dd")&amp;"  (n="&amp;INDEX(_xlpm.sl,1,4)&amp;")","Error")),"Error")</f>
      </c>
      <c r="AG8">
        <f ca="1">IFERROR(_xlfn.LET(_xlpm.sl,_xlfn.ANCHORARRAY($EQ$204),IF(ISNUMBER(INDEX(_xlpm.sl,1,2)),TEXT(INDEX(_xlpm.sl,1,2),"yyyy-mm-dd")&amp;" - "&amp;TEXT(INDEX(_xlpm.sl,1,3),"yyyy-mm-dd")&amp;"  (n="&amp;INDEX(_xlpm.sl,1,4)&amp;")","Error")),"Error")</f>
      </c>
      <c r="AN8">
        <f ca="1">IFERROR(_xlfn.LET(_xlpm.sl,_xlfn.ANCHORARRAY($EQ$254),IF(ISNUMBER(INDEX(_xlpm.sl,1,2)),TEXT(INDEX(_xlpm.sl,1,2),"yyyy-mm-dd")&amp;" - "&amp;TEXT(INDEX(_xlpm.sl,1,3),"yyyy-mm-dd")&amp;"  (n="&amp;INDEX(_xlpm.sl,1,4)&amp;")","Error")),"Error")</f>
      </c>
      <c r="AU8">
        <f ca="1">IFERROR(_xlfn.LET(_xlpm.sl,_xlfn.ANCHORARRAY($EQ$304),IF(ISNUMBER(INDEX(_xlpm.sl,1,2)),TEXT(INDEX(_xlpm.sl,1,2),"yyyy-mm-dd")&amp;" - "&amp;TEXT(INDEX(_xlpm.sl,1,3),"yyyy-mm-dd")&amp;"  (n="&amp;INDEX(_xlpm.sl,1,4)&amp;")","Error")),"Error")</f>
      </c>
      <c r="BB8">
        <f ca="1">IFERROR(_xlfn.LET(_xlpm.sl,_xlfn.ANCHORARRAY($EQ$354),IF(ISNUMBER(INDEX(_xlpm.sl,1,2)),TEXT(INDEX(_xlpm.sl,1,2),"yyyy-mm-dd")&amp;" - "&amp;TEXT(INDEX(_xlpm.sl,1,3),"yyyy-mm-dd")&amp;"  (n="&amp;INDEX(_xlpm.sl,1,4)&amp;")","Error")),"Error")</f>
      </c>
      <c r="BI8">
        <f ca="1">IFERROR(_xlfn.LET(_xlpm.sl,_xlfn.ANCHORARRAY($EQ$404),IF(ISNUMBER(INDEX(_xlpm.sl,1,2)),TEXT(INDEX(_xlpm.sl,1,2),"yyyy-mm-dd")&amp;" - "&amp;TEXT(INDEX(_xlpm.sl,1,3),"yyyy-mm-dd")&amp;"  (n="&amp;INDEX(_xlpm.sl,1,4)&amp;")","Error")),"Error")</f>
      </c>
      <c r="BP8">
        <f ca="1">IFERROR(_xlfn.LET(_xlpm.sl,_xlfn.ANCHORARRAY($EQ$454),IF(ISNUMBER(INDEX(_xlpm.sl,1,2)),TEXT(INDEX(_xlpm.sl,1,2),"yyyy-mm-dd")&amp;" - "&amp;TEXT(INDEX(_xlpm.sl,1,3),"yyyy-mm-dd")&amp;"  (n="&amp;INDEX(_xlpm.sl,1,4)&amp;")","Error")),"Error")</f>
      </c>
      <c r="CD8">
        <f ca="1"/>
      </c>
      <c r="CE8">
        <f ca="1"/>
      </c>
      <c r="CF8">
        <f ca="1"/>
      </c>
      <c r="CG8">
        <f ca="1"/>
      </c>
      <c r="CI8">
        <f ca="1"/>
      </c>
      <c r="CJ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GQ8">
        <f ca="1"/>
      </c>
      <c r="GR8" s="11">
        <f ca="1"/>
      </c>
      <c r="GS8" s="11">
        <f ca="1"/>
      </c>
      <c r="GT8" s="11">
        <f ca="1"/>
      </c>
      <c r="GU8" s="11">
        <f ca="1"/>
      </c>
      <c r="GV8" s="11">
        <f ca="1"/>
      </c>
      <c r="GX8">
        <f ca="1"/>
      </c>
      <c r="GY8">
        <f ca="1"/>
      </c>
      <c r="GZ8">
        <f ca="1"/>
      </c>
      <c r="HA8">
        <f ca="1"/>
      </c>
      <c r="HB8">
        <f ca="1"/>
      </c>
      <c r="HD8">
        <f ca="1"/>
      </c>
      <c r="HE8">
        <f ca="1"/>
      </c>
      <c r="HF8">
        <f ca="1"/>
      </c>
      <c r="HG8">
        <f ca="1"/>
      </c>
      <c r="HH8">
        <f ca="1"/>
      </c>
      <c r="HI8">
        <f ca="1"/>
      </c>
      <c r="HJ8">
        <f ca="1"/>
      </c>
      <c r="HK8">
        <f ca="1"/>
      </c>
      <c r="HL8">
        <f ca="1"/>
      </c>
      <c r="HM8">
        <f ca="1"/>
      </c>
      <c r="HN8">
        <f ca="1"/>
      </c>
      <c r="HO8">
        <f ca="1"/>
      </c>
      <c r="HP8">
        <f ca="1"/>
      </c>
      <c r="HQ8">
        <f ca="1"/>
      </c>
      <c r="HS8">
        <f ca="1"/>
      </c>
      <c r="HT8">
        <f ca="1"/>
      </c>
      <c r="HU8">
        <f ca="1"/>
      </c>
      <c r="HV8">
        <f ca="1"/>
      </c>
      <c r="HW8">
        <f ca="1"/>
      </c>
      <c r="HX8">
        <f ca="1"/>
      </c>
      <c r="HY8">
        <f ca="1"/>
      </c>
    </row>
    <row r="9" spans="1:233" x14ac:dyDescent="0.55000000000000004">
      <c r="D9" t="s">
        <v>149</v>
      </c>
      <c r="E9">
        <f ca="1">IFERROR(_xlfn.TEXTJOIN(" / ",TRUE,INDEX(_xlfn.ANCHORARRAY($EQ$4),1,6),IF($E$6="Change",INDEX(_xlfn.ANCHORARRAY($CL$4),4,2),""),$HR$5),"")</f>
      </c>
      <c r="L9">
        <f ca="1">IFERROR(_xlfn.TEXTJOIN(" / ",TRUE,INDEX(_xlfn.ANCHORARRAY($EQ$54),1,6),IF($L$6="Change",INDEX(_xlfn.ANCHORARRAY($CL$4),4,2),""),$HR$55),"")</f>
      </c>
      <c r="S9">
        <f ca="1">IFERROR(_xlfn.TEXTJOIN(" / ",TRUE,INDEX(_xlfn.ANCHORARRAY($EQ$104),1,6),IF($S$6="Change",INDEX(_xlfn.ANCHORARRAY($CL$4),4,2),""),$HR$105),"")</f>
      </c>
      <c r="Z9">
        <f ca="1">IFERROR(_xlfn.TEXTJOIN(" / ",TRUE,INDEX(_xlfn.ANCHORARRAY($EQ$154),1,6),IF($Z$6="Change",INDEX(_xlfn.ANCHORARRAY($CL$4),4,2),""),$HR$155),"")</f>
      </c>
      <c r="AG9">
        <f ca="1">IFERROR(_xlfn.TEXTJOIN(" / ",TRUE,INDEX(_xlfn.ANCHORARRAY($EQ$204),1,6),IF($AG$6="Change",INDEX(_xlfn.ANCHORARRAY($CL$4),4,2),""),$HR$205),"")</f>
      </c>
      <c r="AN9">
        <f ca="1">IFERROR(_xlfn.TEXTJOIN(" / ",TRUE,INDEX(_xlfn.ANCHORARRAY($EQ$254),1,6),IF($AN$6="Change",INDEX(_xlfn.ANCHORARRAY($CL$4),4,2),""),$HR$255),"")</f>
      </c>
      <c r="AU9">
        <f ca="1">IFERROR(_xlfn.TEXTJOIN(" / ",TRUE,INDEX(_xlfn.ANCHORARRAY($EQ$304),1,6),IF($AU$6="Change",INDEX(_xlfn.ANCHORARRAY($CL$4),4,2),""),$HR$305),"")</f>
      </c>
      <c r="BB9">
        <f ca="1">IFERROR(_xlfn.TEXTJOIN(" / ",TRUE,INDEX(_xlfn.ANCHORARRAY($EQ$354),1,6),IF($BB$6="Change",INDEX(_xlfn.ANCHORARRAY($CL$4),4,2),""),$HR$355),"")</f>
      </c>
      <c r="BI9">
        <f ca="1">IFERROR(_xlfn.TEXTJOIN(" / ",TRUE,INDEX(_xlfn.ANCHORARRAY($EQ$404),1,6),IF($BI$6="Change",INDEX(_xlfn.ANCHORARRAY($CL$4),4,2),""),$HR$405),"")</f>
      </c>
      <c r="BP9">
        <f ca="1">IFERROR(_xlfn.TEXTJOIN(" / ",TRUE,INDEX(_xlfn.ANCHORARRAY($EQ$454),1,6),IF($BP$6="Change",INDEX(_xlfn.ANCHORARRAY($CL$4),4,2),""),$HR$455),"")</f>
      </c>
      <c r="CD9">
        <f ca="1"/>
      </c>
      <c r="CE9">
        <f ca="1"/>
      </c>
      <c r="CF9">
        <f ca="1"/>
      </c>
      <c r="CG9">
        <f ca="1"/>
      </c>
      <c r="CI9">
        <f ca="1"/>
      </c>
      <c r="CJ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GQ9">
        <f ca="1"/>
      </c>
      <c r="GR9" s="11">
        <f ca="1"/>
      </c>
      <c r="GS9" s="11">
        <f ca="1"/>
      </c>
      <c r="GT9" s="11">
        <f ca="1"/>
      </c>
      <c r="GU9" s="11">
        <f ca="1"/>
      </c>
      <c r="GV9" s="11">
        <f ca="1"/>
      </c>
      <c r="GX9">
        <f ca="1"/>
      </c>
      <c r="GY9">
        <f ca="1"/>
      </c>
      <c r="GZ9">
        <f ca="1"/>
      </c>
      <c r="HA9">
        <f ca="1"/>
      </c>
      <c r="HB9">
        <f ca="1"/>
      </c>
      <c r="HD9">
        <f ca="1"/>
      </c>
      <c r="HE9">
        <f ca="1"/>
      </c>
      <c r="HF9">
        <f ca="1"/>
      </c>
      <c r="HG9">
        <f ca="1"/>
      </c>
      <c r="HH9">
        <f ca="1"/>
      </c>
      <c r="HI9">
        <f ca="1"/>
      </c>
      <c r="HJ9">
        <f ca="1"/>
      </c>
      <c r="HK9">
        <f ca="1"/>
      </c>
      <c r="HL9">
        <f ca="1"/>
      </c>
      <c r="HM9">
        <f ca="1"/>
      </c>
      <c r="HN9">
        <f ca="1"/>
      </c>
      <c r="HO9">
        <f ca="1"/>
      </c>
      <c r="HP9">
        <f ca="1"/>
      </c>
      <c r="HQ9">
        <f ca="1"/>
      </c>
      <c r="HS9">
        <f ca="1"/>
      </c>
      <c r="HT9">
        <f ca="1"/>
      </c>
      <c r="HU9">
        <f ca="1"/>
      </c>
      <c r="HV9">
        <f ca="1"/>
      </c>
      <c r="HW9">
        <f ca="1"/>
      </c>
      <c r="HX9">
        <f ca="1"/>
      </c>
      <c r="HY9">
        <f ca="1"/>
      </c>
    </row>
    <row r="10" spans="1:233" x14ac:dyDescent="0.55000000000000004">
      <c r="A10" s="4" t="s">
        <v>140</v>
      </c>
      <c r="CD10">
        <f ca="1"/>
      </c>
      <c r="CE10">
        <f ca="1"/>
      </c>
      <c r="CF10">
        <f ca="1"/>
      </c>
      <c r="CG10">
        <f ca="1"/>
      </c>
      <c r="CI10">
        <f ca="1"/>
      </c>
      <c r="CJ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GQ10">
        <f ca="1"/>
      </c>
      <c r="GR10" s="11">
        <f ca="1"/>
      </c>
      <c r="GS10" s="11">
        <f ca="1"/>
      </c>
      <c r="GT10" s="11">
        <f ca="1"/>
      </c>
      <c r="GU10" s="11">
        <f ca="1"/>
      </c>
      <c r="GV10" s="11">
        <f ca="1"/>
      </c>
      <c r="GX10">
        <f ca="1"/>
      </c>
      <c r="GY10">
        <f ca="1"/>
      </c>
      <c r="GZ10">
        <f ca="1"/>
      </c>
      <c r="HA10">
        <f ca="1"/>
      </c>
      <c r="HB10">
        <f ca="1"/>
      </c>
      <c r="HD10">
        <f ca="1"/>
      </c>
      <c r="HE10">
        <f ca="1"/>
      </c>
      <c r="HF10">
        <f ca="1"/>
      </c>
      <c r="HG10">
        <f ca="1"/>
      </c>
      <c r="HH10">
        <f ca="1"/>
      </c>
      <c r="HI10">
        <f ca="1"/>
      </c>
      <c r="HJ10">
        <f ca="1"/>
      </c>
      <c r="HK10">
        <f ca="1"/>
      </c>
      <c r="HL10">
        <f ca="1"/>
      </c>
      <c r="HM10">
        <f ca="1"/>
      </c>
      <c r="HN10">
        <f ca="1"/>
      </c>
      <c r="HO10">
        <f ca="1"/>
      </c>
      <c r="HP10">
        <f ca="1"/>
      </c>
      <c r="HQ10">
        <f ca="1"/>
      </c>
      <c r="HS10">
        <f ca="1"/>
      </c>
      <c r="HT10">
        <f ca="1"/>
      </c>
      <c r="HU10">
        <f ca="1"/>
      </c>
      <c r="HV10">
        <f ca="1"/>
      </c>
      <c r="HW10">
        <f ca="1"/>
      </c>
      <c r="HX10">
        <f ca="1"/>
      </c>
      <c r="HY10">
        <f ca="1"/>
      </c>
    </row>
    <row r="11" spans="1:233" x14ac:dyDescent="0.55000000000000004">
      <c r="A11" s="5" t="s">
        <v>135</v>
      </c>
      <c r="B11" s="5" t="s">
        <v>141</v>
      </c>
      <c r="D11" t="s">
        <v>163</v>
      </c>
      <c r="CD11">
        <f ca="1"/>
      </c>
      <c r="CE11">
        <f ca="1"/>
      </c>
      <c r="CF11">
        <f ca="1"/>
      </c>
      <c r="CG11">
        <f ca="1"/>
      </c>
      <c r="CI11">
        <f ca="1"/>
      </c>
      <c r="CJ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GQ11">
        <f ca="1"/>
      </c>
      <c r="GR11" s="11">
        <f ca="1"/>
      </c>
      <c r="GS11" s="11">
        <f ca="1"/>
      </c>
      <c r="GT11" s="11">
        <f ca="1"/>
      </c>
      <c r="GU11" s="11">
        <f ca="1"/>
      </c>
      <c r="GV11" s="11">
        <f ca="1"/>
      </c>
      <c r="GX11">
        <f ca="1"/>
      </c>
      <c r="GY11">
        <f ca="1"/>
      </c>
      <c r="GZ11">
        <f ca="1"/>
      </c>
      <c r="HA11">
        <f ca="1"/>
      </c>
      <c r="HB11">
        <f ca="1"/>
      </c>
      <c r="HD11">
        <f ca="1"/>
      </c>
      <c r="HE11">
        <f ca="1"/>
      </c>
      <c r="HF11">
        <f ca="1"/>
      </c>
      <c r="HG11">
        <f ca="1"/>
      </c>
      <c r="HH11">
        <f ca="1"/>
      </c>
      <c r="HI11">
        <f ca="1"/>
      </c>
      <c r="HJ11">
        <f ca="1"/>
      </c>
      <c r="HK11">
        <f ca="1"/>
      </c>
      <c r="HL11">
        <f ca="1"/>
      </c>
      <c r="HM11">
        <f ca="1"/>
      </c>
      <c r="HN11">
        <f ca="1"/>
      </c>
      <c r="HO11">
        <f ca="1"/>
      </c>
      <c r="HP11">
        <f ca="1"/>
      </c>
      <c r="HQ11">
        <f ca="1"/>
      </c>
      <c r="HS11">
        <f ca="1"/>
      </c>
      <c r="HT11">
        <f ca="1"/>
      </c>
      <c r="HU11">
        <f ca="1"/>
      </c>
      <c r="HV11">
        <f ca="1"/>
      </c>
      <c r="HW11">
        <f ca="1"/>
      </c>
      <c r="HX11">
        <f ca="1"/>
      </c>
      <c r="HY11">
        <f ca="1"/>
      </c>
    </row>
    <row r="12" spans="1:233" x14ac:dyDescent="0.55000000000000004">
      <c r="A12" t="s">
        <v>0</v>
      </c>
      <c r="B12" s="6" t="s">
        <v>43</v>
      </c>
      <c r="D12" s="2">
        <v>1</v>
      </c>
      <c r="CD12">
        <f ca="1"/>
      </c>
      <c r="CE12">
        <f ca="1"/>
      </c>
      <c r="CF12">
        <f ca="1"/>
      </c>
      <c r="CG12">
        <f ca="1"/>
      </c>
      <c r="CI12">
        <f ca="1"/>
      </c>
      <c r="CJ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GQ12">
        <f ca="1"/>
      </c>
      <c r="GR12" s="11">
        <f ca="1"/>
      </c>
      <c r="GS12" s="11">
        <f ca="1"/>
      </c>
      <c r="GT12" s="11">
        <f ca="1"/>
      </c>
      <c r="GU12" s="11">
        <f ca="1"/>
      </c>
      <c r="GV12" s="11">
        <f ca="1"/>
      </c>
      <c r="GX12">
        <f ca="1"/>
      </c>
      <c r="GY12">
        <f ca="1"/>
      </c>
      <c r="GZ12">
        <f ca="1"/>
      </c>
      <c r="HA12">
        <f ca="1"/>
      </c>
      <c r="HB12">
        <f ca="1"/>
      </c>
      <c r="HD12">
        <f ca="1"/>
      </c>
      <c r="HE12">
        <f ca="1"/>
      </c>
      <c r="HF12">
        <f ca="1"/>
      </c>
      <c r="HG12">
        <f ca="1"/>
      </c>
      <c r="HH12">
        <f ca="1"/>
      </c>
      <c r="HI12">
        <f ca="1"/>
      </c>
      <c r="HJ12">
        <f ca="1"/>
      </c>
      <c r="HK12">
        <f ca="1"/>
      </c>
      <c r="HL12">
        <f ca="1"/>
      </c>
      <c r="HM12">
        <f ca="1"/>
      </c>
      <c r="HN12">
        <f ca="1"/>
      </c>
      <c r="HO12">
        <f ca="1"/>
      </c>
      <c r="HP12">
        <f ca="1"/>
      </c>
      <c r="HQ12">
        <f ca="1"/>
      </c>
      <c r="HS12">
        <f ca="1"/>
      </c>
      <c r="HT12">
        <f ca="1"/>
      </c>
      <c r="HU12">
        <f ca="1"/>
      </c>
      <c r="HV12">
        <f ca="1"/>
      </c>
      <c r="HW12">
        <f ca="1"/>
      </c>
      <c r="HX12">
        <f ca="1"/>
      </c>
      <c r="HY12">
        <f ca="1"/>
      </c>
    </row>
    <row r="13" spans="1:233" x14ac:dyDescent="0.55000000000000004">
      <c r="A13" t="s">
        <v>1</v>
      </c>
      <c r="B13" s="6" t="s">
        <v>43</v>
      </c>
      <c r="CD13">
        <f ca="1"/>
      </c>
      <c r="CE13">
        <f ca="1"/>
      </c>
      <c r="CF13">
        <f ca="1"/>
      </c>
      <c r="CG13">
        <f ca="1"/>
      </c>
      <c r="CI13">
        <f ca="1"/>
      </c>
      <c r="CJ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GQ13">
        <f ca="1"/>
      </c>
      <c r="GR13" s="11">
        <f ca="1"/>
      </c>
      <c r="GS13" s="11">
        <f ca="1"/>
      </c>
      <c r="GT13" s="11">
        <f ca="1"/>
      </c>
      <c r="GU13" s="11">
        <f ca="1"/>
      </c>
      <c r="GV13" s="11">
        <f ca="1"/>
      </c>
      <c r="GX13">
        <f ca="1"/>
      </c>
      <c r="GY13">
        <f ca="1"/>
      </c>
      <c r="GZ13">
        <f ca="1"/>
      </c>
      <c r="HA13">
        <f ca="1"/>
      </c>
      <c r="HB13">
        <f ca="1"/>
      </c>
      <c r="HD13">
        <f ca="1"/>
      </c>
      <c r="HE13">
        <f ca="1"/>
      </c>
      <c r="HF13">
        <f ca="1"/>
      </c>
      <c r="HG13">
        <f ca="1"/>
      </c>
      <c r="HH13">
        <f ca="1"/>
      </c>
      <c r="HI13">
        <f ca="1"/>
      </c>
      <c r="HJ13">
        <f ca="1"/>
      </c>
      <c r="HK13">
        <f ca="1"/>
      </c>
      <c r="HL13">
        <f ca="1"/>
      </c>
      <c r="HM13">
        <f ca="1"/>
      </c>
      <c r="HN13">
        <f ca="1"/>
      </c>
      <c r="HO13">
        <f ca="1"/>
      </c>
      <c r="HP13">
        <f ca="1"/>
      </c>
      <c r="HQ13">
        <f ca="1"/>
      </c>
      <c r="HS13">
        <f ca="1"/>
      </c>
      <c r="HT13">
        <f ca="1"/>
      </c>
      <c r="HU13">
        <f ca="1"/>
      </c>
      <c r="HV13">
        <f ca="1"/>
      </c>
      <c r="HW13">
        <f ca="1"/>
      </c>
      <c r="HX13">
        <f ca="1"/>
      </c>
      <c r="HY13">
        <f ca="1"/>
      </c>
    </row>
    <row r="14" spans="1:233" x14ac:dyDescent="0.55000000000000004">
      <c r="A14" t="s">
        <v>2</v>
      </c>
      <c r="B14" s="6" t="s">
        <v>43</v>
      </c>
      <c r="CD14">
        <f ca="1"/>
      </c>
      <c r="CE14">
        <f ca="1"/>
      </c>
      <c r="CF14">
        <f ca="1"/>
      </c>
      <c r="CG14">
        <f ca="1"/>
      </c>
      <c r="CI14">
        <f ca="1"/>
      </c>
      <c r="CJ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GQ14">
        <f ca="1"/>
      </c>
      <c r="GR14" s="11">
        <f ca="1"/>
      </c>
      <c r="GS14" s="11">
        <f ca="1"/>
      </c>
      <c r="GT14" s="11">
        <f ca="1"/>
      </c>
      <c r="GU14" s="11">
        <f ca="1"/>
      </c>
      <c r="GV14" s="11">
        <f ca="1"/>
      </c>
      <c r="GX14">
        <f ca="1"/>
      </c>
      <c r="GY14">
        <f ca="1"/>
      </c>
      <c r="GZ14">
        <f ca="1"/>
      </c>
      <c r="HA14">
        <f ca="1"/>
      </c>
      <c r="HB14">
        <f ca="1"/>
      </c>
      <c r="HD14">
        <f ca="1"/>
      </c>
      <c r="HE14">
        <f ca="1"/>
      </c>
      <c r="HF14">
        <f ca="1"/>
      </c>
      <c r="HG14">
        <f ca="1"/>
      </c>
      <c r="HH14">
        <f ca="1"/>
      </c>
      <c r="HI14">
        <f ca="1"/>
      </c>
      <c r="HJ14">
        <f ca="1"/>
      </c>
      <c r="HK14">
        <f ca="1"/>
      </c>
      <c r="HL14">
        <f ca="1"/>
      </c>
      <c r="HM14">
        <f ca="1"/>
      </c>
      <c r="HN14">
        <f ca="1"/>
      </c>
      <c r="HO14">
        <f ca="1"/>
      </c>
      <c r="HP14">
        <f ca="1"/>
      </c>
      <c r="HQ14">
        <f ca="1"/>
      </c>
      <c r="HS14">
        <f ca="1"/>
      </c>
      <c r="HT14">
        <f ca="1"/>
      </c>
      <c r="HU14">
        <f ca="1"/>
      </c>
      <c r="HV14">
        <f ca="1"/>
      </c>
      <c r="HW14">
        <f ca="1"/>
      </c>
      <c r="HX14">
        <f ca="1"/>
      </c>
      <c r="HY14">
        <f ca="1"/>
      </c>
    </row>
    <row r="15" spans="1:233" x14ac:dyDescent="0.55000000000000004">
      <c r="A15" t="s">
        <v>3</v>
      </c>
      <c r="B15" s="6" t="s">
        <v>43</v>
      </c>
      <c r="CD15">
        <f ca="1"/>
      </c>
      <c r="CE15">
        <f ca="1"/>
      </c>
      <c r="CF15">
        <f ca="1"/>
      </c>
      <c r="CG15">
        <f ca="1"/>
      </c>
      <c r="CI15">
        <f ca="1"/>
      </c>
      <c r="CJ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GQ15">
        <f ca="1"/>
      </c>
      <c r="GR15" s="11">
        <f ca="1"/>
      </c>
      <c r="GS15" s="11">
        <f ca="1"/>
      </c>
      <c r="GT15" s="11">
        <f ca="1"/>
      </c>
      <c r="GU15" s="11">
        <f ca="1"/>
      </c>
      <c r="GV15" s="11">
        <f ca="1"/>
      </c>
      <c r="GX15">
        <f ca="1"/>
      </c>
      <c r="GY15">
        <f ca="1"/>
      </c>
      <c r="GZ15">
        <f ca="1"/>
      </c>
      <c r="HA15">
        <f ca="1"/>
      </c>
      <c r="HB15">
        <f ca="1"/>
      </c>
      <c r="HD15">
        <f ca="1"/>
      </c>
      <c r="HE15">
        <f ca="1"/>
      </c>
      <c r="HF15">
        <f ca="1"/>
      </c>
      <c r="HG15">
        <f ca="1"/>
      </c>
      <c r="HH15">
        <f ca="1"/>
      </c>
      <c r="HI15">
        <f ca="1"/>
      </c>
      <c r="HJ15">
        <f ca="1"/>
      </c>
      <c r="HK15">
        <f ca="1"/>
      </c>
      <c r="HL15">
        <f ca="1"/>
      </c>
      <c r="HM15">
        <f ca="1"/>
      </c>
      <c r="HN15">
        <f ca="1"/>
      </c>
      <c r="HO15">
        <f ca="1"/>
      </c>
      <c r="HP15">
        <f ca="1"/>
      </c>
      <c r="HQ15">
        <f ca="1"/>
      </c>
      <c r="HS15">
        <f ca="1"/>
      </c>
      <c r="HT15">
        <f ca="1"/>
      </c>
      <c r="HU15">
        <f ca="1"/>
      </c>
      <c r="HV15">
        <f ca="1"/>
      </c>
      <c r="HW15">
        <f ca="1"/>
      </c>
      <c r="HX15">
        <f ca="1"/>
      </c>
      <c r="HY15">
        <f ca="1"/>
      </c>
    </row>
    <row r="16" spans="1:233" x14ac:dyDescent="0.55000000000000004">
      <c r="A16" t="s">
        <v>4</v>
      </c>
      <c r="B16" s="6" t="s">
        <v>43</v>
      </c>
      <c r="CD16">
        <f ca="1"/>
      </c>
      <c r="CE16">
        <f ca="1"/>
      </c>
      <c r="CF16">
        <f ca="1"/>
      </c>
      <c r="CG16">
        <f ca="1"/>
      </c>
      <c r="CI16">
        <f ca="1"/>
      </c>
      <c r="CJ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GQ16">
        <f ca="1"/>
      </c>
      <c r="GR16" s="11">
        <f ca="1"/>
      </c>
      <c r="GS16" s="11">
        <f ca="1"/>
      </c>
      <c r="GT16" s="11">
        <f ca="1"/>
      </c>
      <c r="GU16" s="11">
        <f ca="1"/>
      </c>
      <c r="GV16" s="11">
        <f ca="1"/>
      </c>
      <c r="GX16">
        <f ca="1"/>
      </c>
      <c r="GY16">
        <f ca="1"/>
      </c>
      <c r="GZ16">
        <f ca="1"/>
      </c>
      <c r="HA16">
        <f ca="1"/>
      </c>
      <c r="HB16">
        <f ca="1"/>
      </c>
      <c r="HD16">
        <f ca="1"/>
      </c>
      <c r="HE16">
        <f ca="1"/>
      </c>
      <c r="HF16">
        <f ca="1"/>
      </c>
      <c r="HG16">
        <f ca="1"/>
      </c>
      <c r="HH16">
        <f ca="1"/>
      </c>
      <c r="HI16">
        <f ca="1"/>
      </c>
      <c r="HJ16">
        <f ca="1"/>
      </c>
      <c r="HK16">
        <f ca="1"/>
      </c>
      <c r="HL16">
        <f ca="1"/>
      </c>
      <c r="HM16">
        <f ca="1"/>
      </c>
      <c r="HN16">
        <f ca="1"/>
      </c>
      <c r="HO16">
        <f ca="1"/>
      </c>
      <c r="HP16">
        <f ca="1"/>
      </c>
      <c r="HQ16">
        <f ca="1"/>
      </c>
      <c r="HS16">
        <f ca="1"/>
      </c>
      <c r="HT16">
        <f ca="1"/>
      </c>
      <c r="HU16">
        <f ca="1"/>
      </c>
      <c r="HV16">
        <f ca="1"/>
      </c>
      <c r="HW16">
        <f ca="1"/>
      </c>
      <c r="HX16">
        <f ca="1"/>
      </c>
      <c r="HY16">
        <f ca="1"/>
      </c>
    </row>
    <row r="17" spans="1:233" x14ac:dyDescent="0.55000000000000004">
      <c r="A17" t="s">
        <v>5</v>
      </c>
      <c r="B17" s="6" t="s">
        <v>43</v>
      </c>
      <c r="CD17">
        <f ca="1"/>
      </c>
      <c r="CE17">
        <f ca="1"/>
      </c>
      <c r="CF17">
        <f ca="1"/>
      </c>
      <c r="CG17">
        <f ca="1"/>
      </c>
      <c r="CI17">
        <f ca="1"/>
      </c>
      <c r="CJ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GQ17">
        <f ca="1"/>
      </c>
      <c r="GR17" s="11">
        <f ca="1"/>
      </c>
      <c r="GS17" s="11">
        <f ca="1"/>
      </c>
      <c r="GT17" s="11">
        <f ca="1"/>
      </c>
      <c r="GU17" s="11">
        <f ca="1"/>
      </c>
      <c r="GV17" s="11">
        <f ca="1"/>
      </c>
      <c r="GX17">
        <f ca="1"/>
      </c>
      <c r="GY17">
        <f ca="1"/>
      </c>
      <c r="GZ17">
        <f ca="1"/>
      </c>
      <c r="HA17">
        <f ca="1"/>
      </c>
      <c r="HB17">
        <f ca="1"/>
      </c>
      <c r="HD17">
        <f ca="1"/>
      </c>
      <c r="HE17">
        <f ca="1"/>
      </c>
      <c r="HF17">
        <f ca="1"/>
      </c>
      <c r="HG17">
        <f ca="1"/>
      </c>
      <c r="HH17">
        <f ca="1"/>
      </c>
      <c r="HI17">
        <f ca="1"/>
      </c>
      <c r="HJ17">
        <f ca="1"/>
      </c>
      <c r="HK17">
        <f ca="1"/>
      </c>
      <c r="HL17">
        <f ca="1"/>
      </c>
      <c r="HM17">
        <f ca="1"/>
      </c>
      <c r="HN17">
        <f ca="1"/>
      </c>
      <c r="HO17">
        <f ca="1"/>
      </c>
      <c r="HP17">
        <f ca="1"/>
      </c>
      <c r="HQ17">
        <f ca="1"/>
      </c>
      <c r="HS17">
        <f ca="1"/>
      </c>
      <c r="HT17">
        <f ca="1"/>
      </c>
      <c r="HU17">
        <f ca="1"/>
      </c>
      <c r="HV17">
        <f ca="1"/>
      </c>
      <c r="HW17">
        <f ca="1"/>
      </c>
      <c r="HX17">
        <f ca="1"/>
      </c>
      <c r="HY17">
        <f ca="1"/>
      </c>
    </row>
    <row r="18" spans="1:233" x14ac:dyDescent="0.55000000000000004">
      <c r="A18" t="s">
        <v>6</v>
      </c>
      <c r="B18" s="6" t="s">
        <v>43</v>
      </c>
      <c r="CD18">
        <f ca="1"/>
      </c>
      <c r="CE18">
        <f ca="1"/>
      </c>
      <c r="CF18">
        <f ca="1"/>
      </c>
      <c r="CG18">
        <f ca="1"/>
      </c>
      <c r="CI18">
        <f ca="1"/>
      </c>
      <c r="CJ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GQ18">
        <f ca="1"/>
      </c>
      <c r="GR18" s="11">
        <f ca="1"/>
      </c>
      <c r="GS18" s="11">
        <f ca="1"/>
      </c>
      <c r="GT18" s="11">
        <f ca="1"/>
      </c>
      <c r="GU18" s="11">
        <f ca="1"/>
      </c>
      <c r="GV18" s="11">
        <f ca="1"/>
      </c>
      <c r="GX18">
        <f ca="1"/>
      </c>
      <c r="GY18">
        <f ca="1"/>
      </c>
      <c r="GZ18">
        <f ca="1"/>
      </c>
      <c r="HA18">
        <f ca="1"/>
      </c>
      <c r="HB18">
        <f ca="1"/>
      </c>
      <c r="HD18">
        <f ca="1"/>
      </c>
      <c r="HE18">
        <f ca="1"/>
      </c>
      <c r="HF18">
        <f ca="1"/>
      </c>
      <c r="HG18">
        <f ca="1"/>
      </c>
      <c r="HH18">
        <f ca="1"/>
      </c>
      <c r="HI18">
        <f ca="1"/>
      </c>
      <c r="HJ18">
        <f ca="1"/>
      </c>
      <c r="HK18">
        <f ca="1"/>
      </c>
      <c r="HL18">
        <f ca="1"/>
      </c>
      <c r="HM18">
        <f ca="1"/>
      </c>
      <c r="HN18">
        <f ca="1"/>
      </c>
      <c r="HO18">
        <f ca="1"/>
      </c>
      <c r="HP18">
        <f ca="1"/>
      </c>
      <c r="HQ18">
        <f ca="1"/>
      </c>
      <c r="HS18">
        <f ca="1"/>
      </c>
      <c r="HT18">
        <f ca="1"/>
      </c>
      <c r="HU18">
        <f ca="1"/>
      </c>
      <c r="HV18">
        <f ca="1"/>
      </c>
      <c r="HW18">
        <f ca="1"/>
      </c>
      <c r="HX18">
        <f ca="1"/>
      </c>
      <c r="HY18">
        <f ca="1"/>
      </c>
    </row>
    <row r="19" spans="1:233" x14ac:dyDescent="0.55000000000000004">
      <c r="A19" t="s">
        <v>7</v>
      </c>
      <c r="B19" s="6" t="s">
        <v>42</v>
      </c>
      <c r="CD19">
        <f ca="1"/>
      </c>
      <c r="CE19">
        <f ca="1"/>
      </c>
      <c r="CF19">
        <f ca="1"/>
      </c>
      <c r="CG19">
        <f ca="1"/>
      </c>
      <c r="CI19">
        <f ca="1"/>
      </c>
      <c r="CJ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GQ19">
        <f ca="1"/>
      </c>
      <c r="GR19" s="11">
        <f ca="1"/>
      </c>
      <c r="GS19" s="11">
        <f ca="1"/>
      </c>
      <c r="GT19" s="11">
        <f ca="1"/>
      </c>
      <c r="GU19" s="11">
        <f ca="1"/>
      </c>
      <c r="GV19" s="11">
        <f ca="1"/>
      </c>
      <c r="GX19">
        <f ca="1"/>
      </c>
      <c r="GY19">
        <f ca="1"/>
      </c>
      <c r="GZ19">
        <f ca="1"/>
      </c>
      <c r="HA19">
        <f ca="1"/>
      </c>
      <c r="HB19">
        <f ca="1"/>
      </c>
      <c r="HD19">
        <f ca="1"/>
      </c>
      <c r="HE19">
        <f ca="1"/>
      </c>
      <c r="HF19">
        <f ca="1"/>
      </c>
      <c r="HG19">
        <f ca="1"/>
      </c>
      <c r="HH19">
        <f ca="1"/>
      </c>
      <c r="HI19">
        <f ca="1"/>
      </c>
      <c r="HJ19">
        <f ca="1"/>
      </c>
      <c r="HK19">
        <f ca="1"/>
      </c>
      <c r="HL19">
        <f ca="1"/>
      </c>
      <c r="HM19">
        <f ca="1"/>
      </c>
      <c r="HN19">
        <f ca="1"/>
      </c>
      <c r="HO19">
        <f ca="1"/>
      </c>
      <c r="HP19">
        <f ca="1"/>
      </c>
      <c r="HQ19">
        <f ca="1"/>
      </c>
      <c r="HS19">
        <f ca="1"/>
      </c>
      <c r="HT19">
        <f ca="1"/>
      </c>
      <c r="HU19">
        <f ca="1"/>
      </c>
      <c r="HV19">
        <f ca="1"/>
      </c>
      <c r="HW19">
        <f ca="1"/>
      </c>
      <c r="HX19">
        <f ca="1"/>
      </c>
      <c r="HY19">
        <f ca="1"/>
      </c>
    </row>
    <row r="20" spans="1:233" x14ac:dyDescent="0.55000000000000004">
      <c r="A20" t="s">
        <v>8</v>
      </c>
      <c r="B20" s="6" t="s">
        <v>43</v>
      </c>
      <c r="CD20">
        <f ca="1"/>
      </c>
      <c r="CE20">
        <f ca="1"/>
      </c>
      <c r="CF20">
        <f ca="1"/>
      </c>
      <c r="CG20">
        <f ca="1"/>
      </c>
      <c r="CI20">
        <f ca="1"/>
      </c>
      <c r="CJ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GQ20">
        <f ca="1"/>
      </c>
      <c r="GR20" s="11">
        <f ca="1"/>
      </c>
      <c r="GS20" s="11">
        <f ca="1"/>
      </c>
      <c r="GT20" s="11">
        <f ca="1"/>
      </c>
      <c r="GU20" s="11">
        <f ca="1"/>
      </c>
      <c r="GV20" s="11">
        <f ca="1"/>
      </c>
      <c r="GX20">
        <f ca="1"/>
      </c>
      <c r="GY20">
        <f ca="1"/>
      </c>
      <c r="GZ20">
        <f ca="1"/>
      </c>
      <c r="HA20">
        <f ca="1"/>
      </c>
      <c r="HB20">
        <f ca="1"/>
      </c>
      <c r="HD20">
        <f ca="1"/>
      </c>
      <c r="HE20">
        <f ca="1"/>
      </c>
      <c r="HF20">
        <f ca="1"/>
      </c>
      <c r="HG20">
        <f ca="1"/>
      </c>
      <c r="HH20">
        <f ca="1"/>
      </c>
      <c r="HI20">
        <f ca="1"/>
      </c>
      <c r="HJ20">
        <f ca="1"/>
      </c>
      <c r="HK20">
        <f ca="1"/>
      </c>
      <c r="HL20">
        <f ca="1"/>
      </c>
      <c r="HM20">
        <f ca="1"/>
      </c>
      <c r="HN20">
        <f ca="1"/>
      </c>
      <c r="HO20">
        <f ca="1"/>
      </c>
      <c r="HP20">
        <f ca="1"/>
      </c>
      <c r="HQ20">
        <f ca="1"/>
      </c>
      <c r="HS20">
        <f ca="1"/>
      </c>
      <c r="HT20">
        <f ca="1"/>
      </c>
      <c r="HU20">
        <f ca="1"/>
      </c>
      <c r="HV20">
        <f ca="1"/>
      </c>
      <c r="HW20">
        <f ca="1"/>
      </c>
      <c r="HX20">
        <f ca="1"/>
      </c>
      <c r="HY20">
        <f ca="1"/>
      </c>
    </row>
    <row r="21" spans="1:233" x14ac:dyDescent="0.55000000000000004">
      <c r="A21" t="s">
        <v>9</v>
      </c>
      <c r="B21" s="6" t="s">
        <v>43</v>
      </c>
      <c r="CD21">
        <f ca="1"/>
      </c>
      <c r="CE21">
        <f ca="1"/>
      </c>
      <c r="CF21">
        <f ca="1"/>
      </c>
      <c r="CG21">
        <f ca="1"/>
      </c>
      <c r="CI21">
        <f ca="1"/>
      </c>
      <c r="CJ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GQ21">
        <f ca="1"/>
      </c>
      <c r="GR21" s="11">
        <f ca="1"/>
      </c>
      <c r="GS21" s="11">
        <f ca="1"/>
      </c>
      <c r="GT21" s="11">
        <f ca="1"/>
      </c>
      <c r="GU21" s="11">
        <f ca="1"/>
      </c>
      <c r="GV21" s="11">
        <f ca="1"/>
      </c>
      <c r="GX21">
        <f ca="1"/>
      </c>
      <c r="GY21">
        <f ca="1"/>
      </c>
      <c r="GZ21">
        <f ca="1"/>
      </c>
      <c r="HA21">
        <f ca="1"/>
      </c>
      <c r="HB21">
        <f ca="1"/>
      </c>
      <c r="HD21">
        <f ca="1"/>
      </c>
      <c r="HE21">
        <f ca="1"/>
      </c>
      <c r="HF21">
        <f ca="1"/>
      </c>
      <c r="HG21">
        <f ca="1"/>
      </c>
      <c r="HH21">
        <f ca="1"/>
      </c>
      <c r="HI21">
        <f ca="1"/>
      </c>
      <c r="HJ21">
        <f ca="1"/>
      </c>
      <c r="HK21">
        <f ca="1"/>
      </c>
      <c r="HL21">
        <f ca="1"/>
      </c>
      <c r="HM21">
        <f ca="1"/>
      </c>
      <c r="HN21">
        <f ca="1"/>
      </c>
      <c r="HO21">
        <f ca="1"/>
      </c>
      <c r="HP21">
        <f ca="1"/>
      </c>
      <c r="HQ21">
        <f ca="1"/>
      </c>
      <c r="HS21">
        <f ca="1"/>
      </c>
      <c r="HT21">
        <f ca="1"/>
      </c>
      <c r="HU21">
        <f ca="1"/>
      </c>
      <c r="HV21">
        <f ca="1"/>
      </c>
      <c r="HW21">
        <f ca="1"/>
      </c>
      <c r="HX21">
        <f ca="1"/>
      </c>
      <c r="HY21">
        <f ca="1"/>
      </c>
    </row>
    <row r="22" spans="1:233" x14ac:dyDescent="0.55000000000000004">
      <c r="A22" t="s">
        <v>10</v>
      </c>
      <c r="B22" s="6" t="s">
        <v>43</v>
      </c>
      <c r="CD22">
        <f ca="1"/>
      </c>
      <c r="CE22">
        <f ca="1"/>
      </c>
      <c r="CF22">
        <f ca="1"/>
      </c>
      <c r="CG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GQ22">
        <f ca="1"/>
      </c>
      <c r="GR22" s="11">
        <f ca="1"/>
      </c>
      <c r="GS22" s="11">
        <f ca="1"/>
      </c>
      <c r="GT22" s="11">
        <f ca="1"/>
      </c>
      <c r="GU22" s="11">
        <f ca="1"/>
      </c>
      <c r="GV22" s="11">
        <f ca="1"/>
      </c>
      <c r="GX22">
        <f ca="1"/>
      </c>
      <c r="GY22">
        <f ca="1"/>
      </c>
      <c r="GZ22">
        <f ca="1"/>
      </c>
      <c r="HA22">
        <f ca="1"/>
      </c>
      <c r="HB22">
        <f ca="1"/>
      </c>
      <c r="HD22">
        <f ca="1"/>
      </c>
      <c r="HE22">
        <f ca="1"/>
      </c>
      <c r="HF22">
        <f ca="1"/>
      </c>
      <c r="HG22">
        <f ca="1"/>
      </c>
      <c r="HH22">
        <f ca="1"/>
      </c>
      <c r="HI22">
        <f ca="1"/>
      </c>
      <c r="HJ22">
        <f ca="1"/>
      </c>
      <c r="HK22">
        <f ca="1"/>
      </c>
      <c r="HL22">
        <f ca="1"/>
      </c>
      <c r="HM22">
        <f ca="1"/>
      </c>
      <c r="HN22">
        <f ca="1"/>
      </c>
      <c r="HO22">
        <f ca="1"/>
      </c>
      <c r="HP22">
        <f ca="1"/>
      </c>
      <c r="HQ22">
        <f ca="1"/>
      </c>
      <c r="HS22">
        <f ca="1"/>
      </c>
      <c r="HT22">
        <f ca="1"/>
      </c>
      <c r="HU22">
        <f ca="1"/>
      </c>
      <c r="HV22">
        <f ca="1"/>
      </c>
      <c r="HW22">
        <f ca="1"/>
      </c>
      <c r="HX22">
        <f ca="1"/>
      </c>
      <c r="HY22">
        <f ca="1"/>
      </c>
    </row>
    <row r="23" spans="1:233" x14ac:dyDescent="0.55000000000000004">
      <c r="A23" t="s">
        <v>11</v>
      </c>
      <c r="B23" s="6" t="s">
        <v>43</v>
      </c>
      <c r="CD23">
        <f ca="1"/>
      </c>
      <c r="CE23">
        <f ca="1"/>
      </c>
      <c r="CF23">
        <f ca="1"/>
      </c>
      <c r="CG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GR23" s="11"/>
      <c r="GS23" s="11"/>
      <c r="GT23" s="11"/>
      <c r="GU23" s="11"/>
      <c r="GV23" s="11"/>
      <c r="HS23">
        <f ca="1"/>
      </c>
      <c r="HT23">
        <f ca="1"/>
      </c>
      <c r="HU23">
        <f ca="1"/>
      </c>
      <c r="HV23">
        <f ca="1"/>
      </c>
      <c r="HW23">
        <f ca="1"/>
      </c>
      <c r="HX23">
        <f ca="1"/>
      </c>
      <c r="HY23">
        <f ca="1"/>
      </c>
    </row>
    <row r="24" spans="1:233" x14ac:dyDescent="0.55000000000000004">
      <c r="A24" t="s">
        <v>12</v>
      </c>
      <c r="B24" s="6" t="s">
        <v>43</v>
      </c>
      <c r="CD24">
        <f ca="1"/>
      </c>
      <c r="CE24">
        <f ca="1"/>
      </c>
      <c r="CF24">
        <f ca="1"/>
      </c>
      <c r="CG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GR24" s="11"/>
      <c r="GS24" s="11"/>
      <c r="GT24" s="11"/>
      <c r="GU24" s="11"/>
      <c r="GV24" s="11"/>
      <c r="HS24">
        <f ca="1"/>
      </c>
      <c r="HT24">
        <f ca="1"/>
      </c>
      <c r="HU24">
        <f ca="1"/>
      </c>
      <c r="HV24">
        <f ca="1"/>
      </c>
      <c r="HW24">
        <f ca="1"/>
      </c>
      <c r="HX24">
        <f ca="1"/>
      </c>
      <c r="HY24">
        <f ca="1"/>
      </c>
    </row>
    <row r="25" spans="1:233" x14ac:dyDescent="0.55000000000000004">
      <c r="A25" t="s">
        <v>41</v>
      </c>
      <c r="B25" s="6" t="s">
        <v>42</v>
      </c>
      <c r="CD25">
        <f ca="1"/>
      </c>
      <c r="CE25">
        <f ca="1"/>
      </c>
      <c r="CF25">
        <f ca="1"/>
      </c>
      <c r="CG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GR25" s="11"/>
      <c r="GS25" s="11"/>
      <c r="GT25" s="11"/>
      <c r="GU25" s="11"/>
      <c r="GV25" s="11"/>
      <c r="HS25">
        <f ca="1"/>
      </c>
      <c r="HT25">
        <f ca="1"/>
      </c>
      <c r="HU25">
        <f ca="1"/>
      </c>
      <c r="HV25">
        <f ca="1"/>
      </c>
      <c r="HW25">
        <f ca="1"/>
      </c>
      <c r="HX25">
        <f ca="1"/>
      </c>
      <c r="HY25">
        <f ca="1"/>
      </c>
    </row>
    <row r="26" spans="1:233" x14ac:dyDescent="0.55000000000000004">
      <c r="A26" t="s">
        <v>13</v>
      </c>
      <c r="B26" s="6" t="s">
        <v>43</v>
      </c>
      <c r="CD26">
        <f ca="1"/>
      </c>
      <c r="CE26">
        <f ca="1"/>
      </c>
      <c r="CF26">
        <f ca="1"/>
      </c>
      <c r="CG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GR26" s="11"/>
      <c r="GS26" s="11"/>
      <c r="GT26" s="11"/>
      <c r="GU26" s="11"/>
      <c r="GV26" s="11"/>
      <c r="HS26">
        <f ca="1"/>
      </c>
      <c r="HT26">
        <f ca="1"/>
      </c>
      <c r="HU26">
        <f ca="1"/>
      </c>
      <c r="HV26">
        <f ca="1"/>
      </c>
      <c r="HW26">
        <f ca="1"/>
      </c>
      <c r="HX26">
        <f ca="1"/>
      </c>
      <c r="HY26">
        <f ca="1"/>
      </c>
    </row>
    <row r="27" spans="1:233" x14ac:dyDescent="0.55000000000000004">
      <c r="A27" t="s">
        <v>14</v>
      </c>
      <c r="B27" s="6" t="s">
        <v>42</v>
      </c>
      <c r="D27" t="s">
        <v>163</v>
      </c>
      <c r="CD27">
        <f ca="1"/>
      </c>
      <c r="CE27">
        <f ca="1"/>
      </c>
      <c r="CF27">
        <f ca="1"/>
      </c>
      <c r="CG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GR27" s="11"/>
      <c r="GS27" s="11"/>
      <c r="GT27" s="11"/>
      <c r="GU27" s="11"/>
      <c r="GV27" s="11"/>
      <c r="HS27">
        <f ca="1"/>
      </c>
      <c r="HT27">
        <f ca="1"/>
      </c>
      <c r="HU27">
        <f ca="1"/>
      </c>
      <c r="HV27">
        <f ca="1"/>
      </c>
      <c r="HW27">
        <f ca="1"/>
      </c>
      <c r="HX27">
        <f ca="1"/>
      </c>
      <c r="HY27">
        <f ca="1"/>
      </c>
    </row>
    <row r="28" spans="1:233" x14ac:dyDescent="0.55000000000000004">
      <c r="A28" t="s">
        <v>15</v>
      </c>
      <c r="B28" s="6" t="s">
        <v>43</v>
      </c>
      <c r="D28" s="2">
        <v>2</v>
      </c>
      <c r="CD28">
        <f ca="1"/>
      </c>
      <c r="CE28">
        <f ca="1"/>
      </c>
      <c r="CF28">
        <f ca="1"/>
      </c>
      <c r="CG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GR28" s="11"/>
      <c r="GS28" s="11"/>
      <c r="GT28" s="11"/>
      <c r="GU28" s="11"/>
      <c r="GV28" s="11"/>
      <c r="HS28">
        <f ca="1"/>
      </c>
      <c r="HT28">
        <f ca="1"/>
      </c>
      <c r="HU28">
        <f ca="1"/>
      </c>
      <c r="HV28">
        <f ca="1"/>
      </c>
      <c r="HW28">
        <f ca="1"/>
      </c>
      <c r="HX28">
        <f ca="1"/>
      </c>
      <c r="HY28">
        <f ca="1"/>
      </c>
    </row>
    <row r="29" spans="1:233" x14ac:dyDescent="0.55000000000000004">
      <c r="A29" t="s">
        <v>16</v>
      </c>
      <c r="B29" s="6" t="s">
        <v>42</v>
      </c>
      <c r="CD29">
        <f ca="1"/>
      </c>
      <c r="CE29">
        <f ca="1"/>
      </c>
      <c r="CF29">
        <f ca="1"/>
      </c>
      <c r="CG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GR29" s="11"/>
      <c r="GS29" s="11"/>
      <c r="GT29" s="11"/>
      <c r="GU29" s="11"/>
      <c r="GV29" s="11"/>
      <c r="HS29">
        <f ca="1"/>
      </c>
      <c r="HT29">
        <f ca="1"/>
      </c>
      <c r="HU29">
        <f ca="1"/>
      </c>
      <c r="HV29">
        <f ca="1"/>
      </c>
      <c r="HW29">
        <f ca="1"/>
      </c>
      <c r="HX29">
        <f ca="1"/>
      </c>
      <c r="HY29">
        <f ca="1"/>
      </c>
    </row>
    <row r="30" spans="1:233" x14ac:dyDescent="0.55000000000000004">
      <c r="A30" t="s">
        <v>17</v>
      </c>
      <c r="B30" s="6" t="s">
        <v>42</v>
      </c>
      <c r="CD30">
        <f ca="1"/>
      </c>
      <c r="CE30">
        <f ca="1"/>
      </c>
      <c r="CF30">
        <f ca="1"/>
      </c>
      <c r="CG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GR30" s="11"/>
      <c r="GS30" s="11"/>
      <c r="GT30" s="11"/>
      <c r="GU30" s="11"/>
      <c r="GV30" s="11"/>
      <c r="HS30">
        <f ca="1"/>
      </c>
      <c r="HT30">
        <f ca="1"/>
      </c>
      <c r="HU30">
        <f ca="1"/>
      </c>
      <c r="HV30">
        <f ca="1"/>
      </c>
      <c r="HW30">
        <f ca="1"/>
      </c>
      <c r="HX30">
        <f ca="1"/>
      </c>
      <c r="HY30">
        <f ca="1"/>
      </c>
    </row>
    <row r="31" spans="1:233" x14ac:dyDescent="0.55000000000000004">
      <c r="A31" t="s">
        <v>18</v>
      </c>
      <c r="B31" s="6" t="s">
        <v>42</v>
      </c>
      <c r="CD31">
        <f ca="1"/>
      </c>
      <c r="CE31">
        <f ca="1"/>
      </c>
      <c r="CF31">
        <f ca="1"/>
      </c>
      <c r="CG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GR31" s="11"/>
      <c r="GS31" s="11"/>
      <c r="GT31" s="11"/>
      <c r="GU31" s="11"/>
      <c r="GV31" s="11"/>
      <c r="HS31">
        <f ca="1"/>
      </c>
      <c r="HT31">
        <f ca="1"/>
      </c>
      <c r="HU31">
        <f ca="1"/>
      </c>
      <c r="HV31">
        <f ca="1"/>
      </c>
      <c r="HW31">
        <f ca="1"/>
      </c>
      <c r="HX31">
        <f ca="1"/>
      </c>
      <c r="HY31">
        <f ca="1"/>
      </c>
    </row>
    <row r="32" spans="1:233" x14ac:dyDescent="0.55000000000000004">
      <c r="A32" t="s">
        <v>19</v>
      </c>
      <c r="B32" s="6" t="s">
        <v>42</v>
      </c>
      <c r="CD32">
        <f ca="1"/>
      </c>
      <c r="CE32">
        <f ca="1"/>
      </c>
      <c r="CF32">
        <f ca="1"/>
      </c>
      <c r="CG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GR32" s="11"/>
      <c r="GS32" s="11"/>
      <c r="GT32" s="11"/>
      <c r="GU32" s="11"/>
      <c r="GV32" s="11"/>
      <c r="HS32">
        <f ca="1"/>
      </c>
      <c r="HT32">
        <f ca="1"/>
      </c>
      <c r="HU32">
        <f ca="1"/>
      </c>
      <c r="HV32">
        <f ca="1"/>
      </c>
      <c r="HW32">
        <f ca="1"/>
      </c>
      <c r="HX32">
        <f ca="1"/>
      </c>
      <c r="HY32">
        <f ca="1"/>
      </c>
    </row>
    <row r="33" spans="1:233" x14ac:dyDescent="0.55000000000000004">
      <c r="A33" t="s">
        <v>20</v>
      </c>
      <c r="B33" s="6" t="s">
        <v>42</v>
      </c>
      <c r="CD33">
        <f ca="1"/>
      </c>
      <c r="CE33">
        <f ca="1"/>
      </c>
      <c r="CF33">
        <f ca="1"/>
      </c>
      <c r="CG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GR33" s="11"/>
      <c r="GS33" s="11"/>
      <c r="GT33" s="11"/>
      <c r="GU33" s="11"/>
      <c r="GV33" s="11"/>
      <c r="HS33">
        <f ca="1"/>
      </c>
      <c r="HT33">
        <f ca="1"/>
      </c>
      <c r="HU33">
        <f ca="1"/>
      </c>
      <c r="HV33">
        <f ca="1"/>
      </c>
      <c r="HW33">
        <f ca="1"/>
      </c>
      <c r="HX33">
        <f ca="1"/>
      </c>
      <c r="HY33">
        <f ca="1"/>
      </c>
    </row>
    <row r="34" spans="1:233" x14ac:dyDescent="0.55000000000000004">
      <c r="A34" t="s">
        <v>21</v>
      </c>
      <c r="B34" s="6" t="s">
        <v>42</v>
      </c>
      <c r="CD34">
        <f ca="1"/>
      </c>
      <c r="CE34">
        <f ca="1"/>
      </c>
      <c r="CF34">
        <f ca="1"/>
      </c>
      <c r="CG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GR34" s="11"/>
      <c r="GS34" s="11"/>
      <c r="GT34" s="11"/>
      <c r="GU34" s="11"/>
      <c r="GV34" s="11"/>
      <c r="HS34">
        <f ca="1"/>
      </c>
      <c r="HT34">
        <f ca="1"/>
      </c>
      <c r="HU34">
        <f ca="1"/>
      </c>
      <c r="HV34">
        <f ca="1"/>
      </c>
      <c r="HW34">
        <f ca="1"/>
      </c>
      <c r="HX34">
        <f ca="1"/>
      </c>
      <c r="HY34">
        <f ca="1"/>
      </c>
    </row>
    <row r="35" spans="1:233" x14ac:dyDescent="0.55000000000000004">
      <c r="A35" t="s">
        <v>22</v>
      </c>
      <c r="B35" s="6" t="s">
        <v>42</v>
      </c>
      <c r="CD35">
        <f ca="1"/>
      </c>
      <c r="CE35">
        <f ca="1"/>
      </c>
      <c r="CF35">
        <f ca="1"/>
      </c>
      <c r="CG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GR35" s="11"/>
      <c r="GS35" s="11"/>
      <c r="GT35" s="11"/>
      <c r="GU35" s="11"/>
      <c r="GV35" s="11"/>
      <c r="HS35">
        <f ca="1"/>
      </c>
      <c r="HT35">
        <f ca="1"/>
      </c>
      <c r="HU35">
        <f ca="1"/>
      </c>
      <c r="HV35">
        <f ca="1"/>
      </c>
      <c r="HW35">
        <f ca="1"/>
      </c>
      <c r="HX35">
        <f ca="1"/>
      </c>
      <c r="HY35">
        <f ca="1"/>
      </c>
    </row>
    <row r="36" spans="1:233" x14ac:dyDescent="0.55000000000000004">
      <c r="A36" t="s">
        <v>23</v>
      </c>
      <c r="B36" s="6" t="s">
        <v>42</v>
      </c>
      <c r="CD36">
        <f ca="1"/>
      </c>
      <c r="CE36">
        <f ca="1"/>
      </c>
      <c r="CF36">
        <f ca="1"/>
      </c>
      <c r="CG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GR36" s="11"/>
      <c r="GS36" s="11"/>
      <c r="GT36" s="11"/>
      <c r="GU36" s="11"/>
      <c r="GV36" s="11"/>
      <c r="HS36">
        <f ca="1"/>
      </c>
      <c r="HT36">
        <f ca="1"/>
      </c>
      <c r="HU36">
        <f ca="1"/>
      </c>
      <c r="HV36">
        <f ca="1"/>
      </c>
      <c r="HW36">
        <f ca="1"/>
      </c>
      <c r="HX36">
        <f ca="1"/>
      </c>
      <c r="HY36">
        <f ca="1"/>
      </c>
    </row>
    <row r="37" spans="1:233" x14ac:dyDescent="0.55000000000000004">
      <c r="A37" t="s">
        <v>24</v>
      </c>
      <c r="B37" s="6" t="s">
        <v>42</v>
      </c>
      <c r="CD37">
        <f ca="1"/>
      </c>
      <c r="CE37">
        <f ca="1"/>
      </c>
      <c r="CF37">
        <f ca="1"/>
      </c>
      <c r="CG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GR37" s="11"/>
      <c r="GS37" s="11"/>
      <c r="GT37" s="11"/>
      <c r="GU37" s="11"/>
      <c r="GV37" s="11"/>
      <c r="HS37">
        <f ca="1"/>
      </c>
      <c r="HT37">
        <f ca="1"/>
      </c>
      <c r="HU37">
        <f ca="1"/>
      </c>
      <c r="HV37">
        <f ca="1"/>
      </c>
      <c r="HW37">
        <f ca="1"/>
      </c>
      <c r="HX37">
        <f ca="1"/>
      </c>
      <c r="HY37">
        <f ca="1"/>
      </c>
    </row>
    <row r="38" spans="1:233" x14ac:dyDescent="0.55000000000000004">
      <c r="A38" t="s">
        <v>25</v>
      </c>
      <c r="B38" s="6" t="s">
        <v>43</v>
      </c>
      <c r="CD38">
        <f ca="1"/>
      </c>
      <c r="CE38">
        <f ca="1"/>
      </c>
      <c r="CF38">
        <f ca="1"/>
      </c>
      <c r="CG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GR38" s="11"/>
      <c r="GS38" s="11"/>
      <c r="GT38" s="11"/>
      <c r="GU38" s="11"/>
      <c r="GV38" s="11"/>
      <c r="HS38">
        <f ca="1"/>
      </c>
      <c r="HT38">
        <f ca="1"/>
      </c>
      <c r="HU38">
        <f ca="1"/>
      </c>
      <c r="HV38">
        <f ca="1"/>
      </c>
      <c r="HW38">
        <f ca="1"/>
      </c>
      <c r="HX38">
        <f ca="1"/>
      </c>
      <c r="HY38">
        <f ca="1"/>
      </c>
    </row>
    <row r="39" spans="1:233" x14ac:dyDescent="0.55000000000000004">
      <c r="A39" t="s">
        <v>26</v>
      </c>
      <c r="B39" s="6" t="s">
        <v>42</v>
      </c>
      <c r="CD39">
        <f ca="1"/>
      </c>
      <c r="CE39">
        <f ca="1"/>
      </c>
      <c r="CF39">
        <f ca="1"/>
      </c>
      <c r="CG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GR39" s="11"/>
      <c r="GS39" s="11"/>
      <c r="GT39" s="11"/>
      <c r="GU39" s="11"/>
      <c r="GV39" s="11"/>
      <c r="HS39">
        <f ca="1"/>
      </c>
      <c r="HT39">
        <f ca="1"/>
      </c>
      <c r="HU39">
        <f ca="1"/>
      </c>
      <c r="HV39">
        <f ca="1"/>
      </c>
      <c r="HW39">
        <f ca="1"/>
      </c>
      <c r="HX39">
        <f ca="1"/>
      </c>
      <c r="HY39">
        <f ca="1"/>
      </c>
    </row>
    <row r="40" spans="1:233" x14ac:dyDescent="0.55000000000000004">
      <c r="A40" t="s">
        <v>27</v>
      </c>
      <c r="B40" s="6" t="s">
        <v>42</v>
      </c>
      <c r="CD40">
        <f ca="1"/>
      </c>
      <c r="CE40">
        <f ca="1"/>
      </c>
      <c r="CF40">
        <f ca="1"/>
      </c>
      <c r="CG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GR40" s="11"/>
      <c r="GS40" s="11"/>
      <c r="GT40" s="11"/>
      <c r="GU40" s="11"/>
      <c r="GV40" s="11"/>
      <c r="HS40">
        <f ca="1"/>
      </c>
      <c r="HT40">
        <f ca="1"/>
      </c>
      <c r="HU40">
        <f ca="1"/>
      </c>
      <c r="HV40">
        <f ca="1"/>
      </c>
      <c r="HW40">
        <f ca="1"/>
      </c>
      <c r="HX40">
        <f ca="1"/>
      </c>
      <c r="HY40">
        <f ca="1"/>
      </c>
    </row>
    <row r="41" spans="1:233" x14ac:dyDescent="0.55000000000000004">
      <c r="A41" t="s">
        <v>28</v>
      </c>
      <c r="B41" s="6" t="s">
        <v>42</v>
      </c>
      <c r="CD41">
        <f ca="1"/>
      </c>
      <c r="CE41">
        <f ca="1"/>
      </c>
      <c r="CF41">
        <f ca="1"/>
      </c>
      <c r="CG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GR41" s="11"/>
      <c r="GS41" s="11"/>
      <c r="GT41" s="11"/>
      <c r="GU41" s="11"/>
      <c r="GV41" s="11"/>
      <c r="HS41">
        <f ca="1"/>
      </c>
      <c r="HT41">
        <f ca="1"/>
      </c>
      <c r="HU41">
        <f ca="1"/>
      </c>
      <c r="HV41">
        <f ca="1"/>
      </c>
      <c r="HW41">
        <f ca="1"/>
      </c>
      <c r="HX41">
        <f ca="1"/>
      </c>
      <c r="HY41">
        <f ca="1"/>
      </c>
    </row>
    <row r="42" spans="1:233" x14ac:dyDescent="0.55000000000000004">
      <c r="A42" t="s">
        <v>29</v>
      </c>
      <c r="B42" s="6" t="s">
        <v>42</v>
      </c>
      <c r="CD42">
        <f ca="1"/>
      </c>
      <c r="CE42">
        <f ca="1"/>
      </c>
      <c r="CF42">
        <f ca="1"/>
      </c>
      <c r="CG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GR42" s="11"/>
      <c r="GS42" s="11"/>
      <c r="GT42" s="11"/>
      <c r="GU42" s="11"/>
      <c r="GV42" s="11"/>
      <c r="HS42">
        <f ca="1"/>
      </c>
      <c r="HT42">
        <f ca="1"/>
      </c>
      <c r="HU42">
        <f ca="1"/>
      </c>
      <c r="HV42">
        <f ca="1"/>
      </c>
      <c r="HW42">
        <f ca="1"/>
      </c>
      <c r="HX42">
        <f ca="1"/>
      </c>
      <c r="HY42">
        <f ca="1"/>
      </c>
    </row>
    <row r="43" spans="1:233" x14ac:dyDescent="0.55000000000000004">
      <c r="A43" t="s">
        <v>30</v>
      </c>
      <c r="B43" s="6" t="s">
        <v>42</v>
      </c>
      <c r="D43" t="s">
        <v>163</v>
      </c>
      <c r="CD43">
        <f ca="1"/>
      </c>
      <c r="CE43">
        <f ca="1"/>
      </c>
      <c r="CF43">
        <f ca="1"/>
      </c>
      <c r="CG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GR43" s="11"/>
      <c r="GS43" s="11"/>
      <c r="GT43" s="11"/>
      <c r="GU43" s="11"/>
      <c r="GV43" s="11"/>
      <c r="HS43">
        <f ca="1"/>
      </c>
      <c r="HT43">
        <f ca="1"/>
      </c>
      <c r="HU43">
        <f ca="1"/>
      </c>
      <c r="HV43">
        <f ca="1"/>
      </c>
      <c r="HW43">
        <f ca="1"/>
      </c>
      <c r="HX43">
        <f ca="1"/>
      </c>
      <c r="HY43">
        <f ca="1"/>
      </c>
    </row>
    <row r="44" spans="1:233" x14ac:dyDescent="0.55000000000000004">
      <c r="A44" t="s">
        <v>31</v>
      </c>
      <c r="B44" s="6" t="s">
        <v>43</v>
      </c>
      <c r="D44" s="2">
        <v>3</v>
      </c>
      <c r="CD44">
        <f ca="1"/>
      </c>
      <c r="CE44">
        <f ca="1"/>
      </c>
      <c r="CF44">
        <f ca="1"/>
      </c>
      <c r="CG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GR44" s="11"/>
      <c r="GS44" s="11"/>
      <c r="GT44" s="11"/>
      <c r="GU44" s="11"/>
      <c r="GV44" s="11"/>
      <c r="HS44">
        <f ca="1"/>
      </c>
      <c r="HT44">
        <f ca="1"/>
      </c>
      <c r="HU44">
        <f ca="1"/>
      </c>
      <c r="HV44">
        <f ca="1"/>
      </c>
      <c r="HW44">
        <f ca="1"/>
      </c>
      <c r="HX44">
        <f ca="1"/>
      </c>
      <c r="HY44">
        <f ca="1"/>
      </c>
    </row>
    <row r="45" spans="1:233" x14ac:dyDescent="0.55000000000000004">
      <c r="A45" t="s">
        <v>32</v>
      </c>
      <c r="B45" s="6" t="s">
        <v>42</v>
      </c>
      <c r="CD45">
        <f ca="1"/>
      </c>
      <c r="CE45">
        <f ca="1"/>
      </c>
      <c r="CF45">
        <f ca="1"/>
      </c>
      <c r="CG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GR45" s="11"/>
      <c r="GS45" s="11"/>
      <c r="GT45" s="11"/>
      <c r="GU45" s="11"/>
      <c r="GV45" s="11"/>
      <c r="HS45">
        <f ca="1"/>
      </c>
      <c r="HT45">
        <f ca="1"/>
      </c>
      <c r="HU45">
        <f ca="1"/>
      </c>
      <c r="HV45">
        <f ca="1"/>
      </c>
      <c r="HW45">
        <f ca="1"/>
      </c>
      <c r="HX45">
        <f ca="1"/>
      </c>
      <c r="HY45">
        <f ca="1"/>
      </c>
    </row>
    <row r="46" spans="1:233" x14ac:dyDescent="0.55000000000000004">
      <c r="A46" t="s">
        <v>33</v>
      </c>
      <c r="B46" s="6" t="s">
        <v>43</v>
      </c>
      <c r="CD46">
        <f ca="1"/>
      </c>
      <c r="CE46">
        <f ca="1"/>
      </c>
      <c r="CF46">
        <f ca="1"/>
      </c>
      <c r="CG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GR46" s="11"/>
      <c r="GS46" s="11"/>
      <c r="GT46" s="11"/>
      <c r="GU46" s="11"/>
      <c r="GV46" s="11"/>
      <c r="HS46">
        <f ca="1"/>
      </c>
      <c r="HT46">
        <f ca="1"/>
      </c>
      <c r="HU46">
        <f ca="1"/>
      </c>
      <c r="HV46">
        <f ca="1"/>
      </c>
      <c r="HW46">
        <f ca="1"/>
      </c>
      <c r="HX46">
        <f ca="1"/>
      </c>
      <c r="HY46">
        <f ca="1"/>
      </c>
    </row>
    <row r="47" spans="1:233" x14ac:dyDescent="0.55000000000000004">
      <c r="A47" t="s">
        <v>34</v>
      </c>
      <c r="B47" s="6" t="s">
        <v>43</v>
      </c>
      <c r="CD47">
        <f ca="1"/>
      </c>
      <c r="CE47">
        <f ca="1"/>
      </c>
      <c r="CF47">
        <f ca="1"/>
      </c>
      <c r="CG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HS47">
        <f ca="1"/>
      </c>
      <c r="HT47">
        <f ca="1"/>
      </c>
      <c r="HU47">
        <f ca="1"/>
      </c>
      <c r="HV47">
        <f ca="1"/>
      </c>
      <c r="HW47">
        <f ca="1"/>
      </c>
      <c r="HX47">
        <f ca="1"/>
      </c>
      <c r="HY47">
        <f ca="1"/>
      </c>
    </row>
    <row r="48" spans="1:233" x14ac:dyDescent="0.55000000000000004">
      <c r="A48" t="s">
        <v>35</v>
      </c>
      <c r="B48" s="6" t="s">
        <v>43</v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HS48">
        <f ca="1"/>
      </c>
      <c r="HT48">
        <f ca="1"/>
      </c>
      <c r="HU48">
        <f ca="1"/>
      </c>
      <c r="HV48">
        <f ca="1"/>
      </c>
      <c r="HW48">
        <f ca="1"/>
      </c>
      <c r="HX48">
        <f ca="1"/>
      </c>
      <c r="HY48">
        <f ca="1"/>
      </c>
    </row>
    <row r="49" spans="1:233" x14ac:dyDescent="0.55000000000000004">
      <c r="A49" t="s">
        <v>36</v>
      </c>
      <c r="B49" s="6" t="s">
        <v>43</v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HS49">
        <f ca="1"/>
      </c>
      <c r="HT49">
        <f ca="1"/>
      </c>
      <c r="HU49">
        <f ca="1"/>
      </c>
      <c r="HV49">
        <f ca="1"/>
      </c>
      <c r="HW49">
        <f ca="1"/>
      </c>
      <c r="HX49">
        <f ca="1"/>
      </c>
      <c r="HY49">
        <f ca="1"/>
      </c>
    </row>
    <row r="50" spans="1:233" x14ac:dyDescent="0.55000000000000004">
      <c r="A50" t="s">
        <v>37</v>
      </c>
      <c r="B50" s="6" t="s">
        <v>43</v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HS50">
        <f ca="1"/>
      </c>
      <c r="HT50">
        <f ca="1"/>
      </c>
      <c r="HU50">
        <f ca="1"/>
      </c>
      <c r="HV50">
        <f ca="1"/>
      </c>
      <c r="HW50">
        <f ca="1"/>
      </c>
      <c r="HX50">
        <f ca="1"/>
      </c>
      <c r="HY50">
        <f ca="1"/>
      </c>
    </row>
    <row r="51" spans="1:233" x14ac:dyDescent="0.55000000000000004">
      <c r="A51" t="s">
        <v>38</v>
      </c>
      <c r="B51" s="6" t="s">
        <v>43</v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HS51">
        <f ca="1"/>
      </c>
      <c r="HT51">
        <f ca="1"/>
      </c>
      <c r="HU51">
        <f ca="1"/>
      </c>
      <c r="HV51">
        <f ca="1"/>
      </c>
      <c r="HW51">
        <f ca="1"/>
      </c>
      <c r="HX51">
        <f ca="1"/>
      </c>
      <c r="HY51">
        <f ca="1"/>
      </c>
    </row>
    <row r="52" spans="1:233" x14ac:dyDescent="0.55000000000000004">
      <c r="A52" t="s">
        <v>39</v>
      </c>
      <c r="B52" s="6" t="s">
        <v>43</v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HS52">
        <f ca="1"/>
      </c>
      <c r="HT52">
        <f ca="1"/>
      </c>
      <c r="HU52">
        <f ca="1"/>
      </c>
      <c r="HV52">
        <f ca="1"/>
      </c>
      <c r="HW52">
        <f ca="1"/>
      </c>
      <c r="HX52">
        <f ca="1"/>
      </c>
      <c r="HY52">
        <f ca="1"/>
      </c>
    </row>
    <row r="53" spans="1:233" x14ac:dyDescent="0.55000000000000004">
      <c r="A53" t="s">
        <v>40</v>
      </c>
      <c r="B53" s="6" t="s">
        <v>43</v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HS53">
        <f ca="1"/>
      </c>
      <c r="HT53">
        <f ca="1"/>
      </c>
      <c r="HU53">
        <f ca="1"/>
      </c>
      <c r="HV53">
        <f ca="1"/>
      </c>
      <c r="HW53">
        <f ca="1"/>
      </c>
      <c r="HX53">
        <f ca="1"/>
      </c>
      <c r="HY53">
        <f ca="1"/>
      </c>
    </row>
    <row r="54" spans="1:233" x14ac:dyDescent="0.55000000000000004"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EP54" t="s">
        <v>152</v>
      </c>
      <c r="EQ54" cm="1">
        <f t="array" aca="1" ref="EQ54:FR71" ca="1">_xlfn.LET(_xlpm.g,_xlfn.DROP(_xlfn.ANCHORARRAY($CO$4),1),_xlfn._xlws.FILTER(_xlpm.g,_xlfn.TAKE(_xlpm.g,,1)=2))</f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GQ54" t="s">
        <v>169</v>
      </c>
      <c r="GR54" cm="1">
        <f t="array" aca="1" ref="GR54" ca="1">IFERROR(_xlfn.LET(_xlpm.R,_xlfn.ANCHORARRAY($GR$55),_xlpm.a,ABS(_xlpm.R),"k="&amp;$D$12&amp;"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54" cm="1">
        <f t="array" aca="1" ref="GS54" ca="1">IFERROR(_xlfn.LET(_xlpm.R,_xlfn.ANCHORARRAY($GS$55),_xlpm.a,ABS(_xlpm.R),"k="&amp;$D$28&amp;"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54" cm="1">
        <f t="array" aca="1" ref="GT54" ca="1">IFERROR(_xlfn.LET(_xlpm.R,_xlfn.ANCHORARRAY($GT$55),_xlpm.a,ABS(_xlpm.R),"k="&amp;$D$44&amp;"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54" cm="1">
        <f t="array" aca="1" ref="GU54" ca="1">IFERROR(_xlfn.LET(_xlpm.R,_xlfn.ANCHORARRAY($GU$55),_xlpm.a,ABS(_xlpm.R),"k="&amp;$D$60&amp;"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54" cm="1">
        <f t="array" aca="1" ref="GV54" ca="1">IFERROR(_xlfn.LET(_xlpm.R,_xlfn.ANCHORARRAY($GV$55),_xlpm.a,ABS(_xlpm.R),"k="&amp;$D$76&amp;"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54" t="s">
        <v>44</v>
      </c>
      <c r="GY54" t="s">
        <v>45</v>
      </c>
      <c r="GZ54" t="s">
        <v>46</v>
      </c>
      <c r="HA54" t="s">
        <v>47</v>
      </c>
      <c r="HB54" t="s">
        <v>48</v>
      </c>
      <c r="HD54" t="s">
        <v>174</v>
      </c>
      <c r="HE54">
        <f>"Actual / Mean / Recon (k="&amp;$D$108&amp;")  dashed: Mean ±1σ"</f>
      </c>
      <c r="HF54" t="s">
        <v>175</v>
      </c>
      <c r="HG54" t="s">
        <v>176</v>
      </c>
      <c r="HH54" t="s">
        <v>179</v>
      </c>
      <c r="HI54" t="s">
        <v>180</v>
      </c>
      <c r="HJ54" t="s">
        <v>181</v>
      </c>
      <c r="HK54" t="s">
        <v>182</v>
      </c>
      <c r="HL54" t="s">
        <v>183</v>
      </c>
      <c r="HM54" t="s">
        <v>184</v>
      </c>
      <c r="HN54" t="s">
        <v>185</v>
      </c>
      <c r="HO54" t="s">
        <v>186</v>
      </c>
      <c r="HP54" t="s">
        <v>187</v>
      </c>
      <c r="HQ54" t="s">
        <v>188</v>
      </c>
      <c r="HR54" t="s">
        <v>189</v>
      </c>
      <c r="HS54">
        <f ca="1"/>
      </c>
      <c r="HT54">
        <f ca="1"/>
      </c>
      <c r="HU54">
        <f ca="1"/>
      </c>
      <c r="HV54">
        <f ca="1"/>
      </c>
      <c r="HW54">
        <f ca="1"/>
      </c>
      <c r="HX54">
        <f ca="1"/>
      </c>
      <c r="HY54">
        <f ca="1"/>
      </c>
    </row>
    <row r="55" spans="1:233" x14ac:dyDescent="0.55000000000000004">
      <c r="A55" t="s">
        <v>177</v>
      </c>
      <c r="B55" s="3"/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GQ55" cm="1">
        <f t="array" aca="1" ref="GQ55:GQ72" ca="1">IF($L$6="Change",_xlfn.ANCHORARRAY($CJ$4),_xlfn.ANCHORARRAY($CI$4))</f>
      </c>
      <c r="GR55" s="11" cm="1">
        <f t="array" aca="1" ref="GR55:GR72" ca="1">_xlfn.LET(_xlpm.sl,_xlfn.ANCHORARRAY($EQ$54),_xlpm.mu,_xlfn.CHOOSECOLS(_xlpm.sl,8),_xlpm.sg,_xlfn.CHOOSECOLS(_xlpm.sl,9),_xlpm.x,_xlfn.ANCHORARRAY($GQ$55),_xlpm.V,_xlfn.TAKE(_xlfn.DROP(_xlpm.sl,,10),,$D$12),(_xlpm.x-(_xlpm.mu+_xlpm.sg*MMULT(_xlpm.V,MMULT(TRANSPOSE(_xlpm.V),(_xlpm.x-_xlpm.mu)/_xlpm.sg))))*100)</f>
      </c>
      <c r="GS55" s="11" cm="1">
        <f t="array" aca="1" ref="GS55:GS72" ca="1">_xlfn.LET(_xlpm.sl,_xlfn.ANCHORARRAY($EQ$54),_xlpm.mu,_xlfn.CHOOSECOLS(_xlpm.sl,8),_xlpm.sg,_xlfn.CHOOSECOLS(_xlpm.sl,9),_xlpm.x,_xlfn.ANCHORARRAY($GQ$55),_xlpm.V,_xlfn.TAKE(_xlfn.DROP(_xlpm.sl,,10),,$D$28),(_xlpm.x-(_xlpm.mu+_xlpm.sg*MMULT(_xlpm.V,MMULT(TRANSPOSE(_xlpm.V),(_xlpm.x-_xlpm.mu)/_xlpm.sg))))*100)</f>
      </c>
      <c r="GT55" s="11" cm="1">
        <f t="array" aca="1" ref="GT55:GT72" ca="1">_xlfn.LET(_xlpm.sl,_xlfn.ANCHORARRAY($EQ$54),_xlpm.mu,_xlfn.CHOOSECOLS(_xlpm.sl,8),_xlpm.sg,_xlfn.CHOOSECOLS(_xlpm.sl,9),_xlpm.x,_xlfn.ANCHORARRAY($GQ$55),_xlpm.V,_xlfn.TAKE(_xlfn.DROP(_xlpm.sl,,10),,$D$44),(_xlpm.x-(_xlpm.mu+_xlpm.sg*MMULT(_xlpm.V,MMULT(TRANSPOSE(_xlpm.V),(_xlpm.x-_xlpm.mu)/_xlpm.sg))))*100)</f>
      </c>
      <c r="GU55" s="11" cm="1">
        <f t="array" aca="1" ref="GU55:GU72" ca="1">_xlfn.LET(_xlpm.sl,_xlfn.ANCHORARRAY($EQ$54),_xlpm.mu,_xlfn.CHOOSECOLS(_xlpm.sl,8),_xlpm.sg,_xlfn.CHOOSECOLS(_xlpm.sl,9),_xlpm.x,_xlfn.ANCHORARRAY($GQ$55),_xlpm.V,_xlfn.TAKE(_xlfn.DROP(_xlpm.sl,,10),,$D$60),(_xlpm.x-(_xlpm.mu+_xlpm.sg*MMULT(_xlpm.V,MMULT(TRANSPOSE(_xlpm.V),(_xlpm.x-_xlpm.mu)/_xlpm.sg))))*100)</f>
      </c>
      <c r="GV55" s="11" cm="1">
        <f t="array" aca="1" ref="GV55:GV72" ca="1">_xlfn.LET(_xlpm.sl,_xlfn.ANCHORARRAY($EQ$54),_xlpm.mu,_xlfn.CHOOSECOLS(_xlpm.sl,8),_xlpm.sg,_xlfn.CHOOSECOLS(_xlpm.sl,9),_xlpm.x,_xlfn.ANCHORARRAY($GQ$55),_xlpm.V,_xlfn.TAKE(_xlfn.DROP(_xlpm.sl,,10),,$D$76),(_xlpm.x-(_xlpm.mu+_xlpm.sg*MMULT(_xlpm.V,MMULT(TRANSPOSE(_xlpm.V),(_xlpm.x-_xlpm.mu)/_xlpm.sg))))*100)</f>
      </c>
      <c r="GX55" cm="1">
        <f t="array" aca="1" ref="GX55:GX72" ca="1">_xlfn.LET(_xlpm.V,_xlfn.DROP(_xlfn.ANCHORARRAY($EQ$54),,10),IF(1&lt;=COLUMNS(_xlpm.V),_xlfn.CHOOSECOLS(_xlpm.V,1),IF(_xlfn.SEQUENCE(ROWS(_xlpm.V)),NA())))</f>
      </c>
      <c r="GY55" cm="1">
        <f t="array" aca="1" ref="GY55:GY72" ca="1">_xlfn.LET(_xlpm.V,_xlfn.DROP(_xlfn.ANCHORARRAY($EQ$54),,10),IF(2&lt;=COLUMNS(_xlpm.V),_xlfn.CHOOSECOLS(_xlpm.V,2),IF(_xlfn.SEQUENCE(ROWS(_xlpm.V)),NA())))</f>
      </c>
      <c r="GZ55" cm="1">
        <f t="array" aca="1" ref="GZ55:GZ72" ca="1">_xlfn.LET(_xlpm.V,_xlfn.DROP(_xlfn.ANCHORARRAY($EQ$54),,10),IF(3&lt;=COLUMNS(_xlpm.V),_xlfn.CHOOSECOLS(_xlpm.V,3),IF(_xlfn.SEQUENCE(ROWS(_xlpm.V)),NA())))</f>
      </c>
      <c r="HA55" cm="1">
        <f t="array" aca="1" ref="HA55:HA72" ca="1">_xlfn.LET(_xlpm.V,_xlfn.DROP(_xlfn.ANCHORARRAY($EQ$54),,10),IF(4&lt;=COLUMNS(_xlpm.V),_xlfn.CHOOSECOLS(_xlpm.V,4),IF(_xlfn.SEQUENCE(ROWS(_xlpm.V)),NA())))</f>
      </c>
      <c r="HB55" cm="1">
        <f t="array" aca="1" ref="HB55:HB72" ca="1">_xlfn.LET(_xlpm.V,_xlfn.DROP(_xlfn.ANCHORARRAY($EQ$54),,10),IF(5&lt;=COLUMNS(_xlpm.V),_xlfn.CHOOSECOLS(_xlpm.V,5),IF(_xlfn.SEQUENCE(ROWS(_xlpm.V)),NA())))</f>
      </c>
      <c r="HD55" cm="1">
        <f t="array" aca="1" ref="HD55:HD72" ca="1">_xlfn.CHOOSECOLS(_xlfn.ANCHORARRAY($EQ$54),8)</f>
      </c>
      <c r="HE55" cm="1">
        <f t="array" aca="1" ref="HE55:HE72" ca="1">_xlfn.LET(_xlpm.sl,_xlfn.ANCHORARRAY($EQ$54),_xlpm.mu,_xlfn.CHOOSECOLS(_xlpm.sl,8),_xlpm.sg,_xlfn.CHOOSECOLS(_xlpm.sl,9),_xlpm.x,_xlfn.ANCHORARRAY($GQ$55),_xlpm.V,_xlfn.TAKE(_xlfn.DROP(_xlpm.sl,,10),,$D$108),_xlpm.mu+_xlpm.sg*MMULT(_xlpm.V,MMULT(TRANSPOSE(_xlpm.V),(_xlpm.x-_xlpm.mu)/_xlpm.sg)))</f>
      </c>
      <c r="HF55" cm="1">
        <f t="array" aca="1" ref="HF55:HF72" ca="1">_xlfn.CHOOSECOLS(_xlfn.ANCHORARRAY($EQ$54),8)+_xlfn.CHOOSECOLS(_xlfn.ANCHORARRAY($EQ$54),10)</f>
      </c>
      <c r="HG55" cm="1">
        <f t="array" aca="1" ref="HG55:HG72" ca="1">_xlfn.CHOOSECOLS(_xlfn.ANCHORARRAY($EQ$54),8)-_xlfn.CHOOSECOLS(_xlfn.ANCHORARRAY($EQ$54),10)</f>
      </c>
      <c r="HH55" cm="1">
        <f t="array" aca="1" ref="HH55:HH72" ca="1">_xlfn.LET(_xlpm.v,_xlfn.CHOOSECOLS(_xlfn._xlws.FILTER(_xlfn.DROP(_xlfn.ANCHORARRAY($HS$4),1),_xlfn.TAKE(_xlfn.DROP(_xlfn.ANCHORARRAY($HS$4),1),,1)=2),3),IF(_xlpm.v="",NA(),_xlpm.v))</f>
      </c>
      <c r="HI55" cm="1">
        <f t="array" aca="1" ref="HI55:HI72" ca="1">-_xlfn.ANCHORARRAY($HH$55)</f>
      </c>
      <c r="HJ55" cm="1">
        <f t="array" aca="1" ref="HJ55:HJ72" ca="1">_xlfn.LET(_xlpm.v,_xlfn.CHOOSECOLS(_xlfn._xlws.FILTER(_xlfn.DROP(_xlfn.ANCHORARRAY($HS$4),1),_xlfn.TAKE(_xlfn.DROP(_xlfn.ANCHORARRAY($HS$4),1),,1)=2),4),IF(_xlpm.v="",NA(),_xlpm.v))</f>
      </c>
      <c r="HK55" cm="1">
        <f t="array" aca="1" ref="HK55:HK72" ca="1">-_xlfn.ANCHORARRAY($HJ$55)</f>
      </c>
      <c r="HL55" cm="1">
        <f t="array" aca="1" ref="HL55:HL72" ca="1">_xlfn.LET(_xlpm.v,_xlfn.CHOOSECOLS(_xlfn._xlws.FILTER(_xlfn.DROP(_xlfn.ANCHORARRAY($HS$4),1),_xlfn.TAKE(_xlfn.DROP(_xlfn.ANCHORARRAY($HS$4),1),,1)=2),5),IF(_xlpm.v="",NA(),_xlpm.v))</f>
      </c>
      <c r="HM55" cm="1">
        <f t="array" aca="1" ref="HM55:HM72" ca="1">-_xlfn.ANCHORARRAY($HL$55)</f>
      </c>
      <c r="HN55" cm="1">
        <f t="array" aca="1" ref="HN55:HN72" ca="1">_xlfn.LET(_xlpm.v,_xlfn.CHOOSECOLS(_xlfn._xlws.FILTER(_xlfn.DROP(_xlfn.ANCHORARRAY($HS$4),1),_xlfn.TAKE(_xlfn.DROP(_xlfn.ANCHORARRAY($HS$4),1),,1)=2),6),IF(_xlpm.v="",NA(),_xlpm.v))</f>
      </c>
      <c r="HO55" cm="1">
        <f t="array" aca="1" ref="HO55:HO72" ca="1">-_xlfn.ANCHORARRAY($HN$55)</f>
      </c>
      <c r="HP55" cm="1">
        <f t="array" aca="1" ref="HP55:HP72" ca="1">_xlfn.LET(_xlpm.v,_xlfn.CHOOSECOLS(_xlfn._xlws.FILTER(_xlfn.DROP(_xlfn.ANCHORARRAY($HS$4),1),_xlfn.TAKE(_xlfn.DROP(_xlfn.ANCHORARRAY($HS$4),1),,1)=2),7),IF(_xlpm.v="",NA(),_xlpm.v))</f>
      </c>
      <c r="HQ55" cm="1">
        <f t="array" aca="1" ref="HQ55:HQ72" ca="1">-_xlfn.ANCHORARRAY($HP$55)</f>
      </c>
      <c r="HR55" cm="1">
        <f t="array" aca="1" ref="HR55" ca="1">IFERROR(INDEX(_xlfn._xlws.FILTER(_xlfn.DROP(_xlfn.ANCHORARRAY($HS$4),1),_xlfn.TAKE(_xlfn.DROP(_xlfn.ANCHORARRAY($HS$4),1),,1)=2),1,2),"")</f>
      </c>
      <c r="HS55">
        <f ca="1"/>
      </c>
      <c r="HT55">
        <f ca="1"/>
      </c>
      <c r="HU55">
        <f ca="1"/>
      </c>
      <c r="HV55">
        <f ca="1"/>
      </c>
      <c r="HW55">
        <f ca="1"/>
      </c>
      <c r="HX55">
        <f ca="1"/>
      </c>
      <c r="HY55">
        <f ca="1"/>
      </c>
    </row>
    <row r="56" spans="1:233" x14ac:dyDescent="0.55000000000000004"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GQ56">
        <f ca="1"/>
      </c>
      <c r="GR56" s="11">
        <f ca="1"/>
      </c>
      <c r="GS56" s="11">
        <f ca="1"/>
      </c>
      <c r="GT56" s="11">
        <f ca="1"/>
      </c>
      <c r="GU56" s="11">
        <f ca="1"/>
      </c>
      <c r="GV56" s="11">
        <f ca="1"/>
      </c>
      <c r="GX56">
        <f ca="1"/>
      </c>
      <c r="GY56">
        <f ca="1"/>
      </c>
      <c r="GZ56">
        <f ca="1"/>
      </c>
      <c r="HA56">
        <f ca="1"/>
      </c>
      <c r="HB56">
        <f ca="1"/>
      </c>
      <c r="HD56">
        <f ca="1"/>
      </c>
      <c r="HE56">
        <f ca="1"/>
      </c>
      <c r="HF56">
        <f ca="1"/>
      </c>
      <c r="HG56">
        <f ca="1"/>
      </c>
      <c r="HH56">
        <f ca="1"/>
      </c>
      <c r="HI56">
        <f ca="1"/>
      </c>
      <c r="HJ56">
        <f ca="1"/>
      </c>
      <c r="HK56">
        <f ca="1"/>
      </c>
      <c r="HL56">
        <f ca="1"/>
      </c>
      <c r="HM56">
        <f ca="1"/>
      </c>
      <c r="HN56">
        <f ca="1"/>
      </c>
      <c r="HO56">
        <f ca="1"/>
      </c>
      <c r="HP56">
        <f ca="1"/>
      </c>
      <c r="HQ56">
        <f ca="1"/>
      </c>
      <c r="HS56">
        <f ca="1"/>
      </c>
      <c r="HT56">
        <f ca="1"/>
      </c>
      <c r="HU56">
        <f ca="1"/>
      </c>
      <c r="HV56">
        <f ca="1"/>
      </c>
      <c r="HW56">
        <f ca="1"/>
      </c>
      <c r="HX56">
        <f ca="1"/>
      </c>
      <c r="HY56">
        <f ca="1"/>
      </c>
    </row>
    <row r="57" spans="1:233" x14ac:dyDescent="0.55000000000000004"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GQ57">
        <f ca="1"/>
      </c>
      <c r="GR57" s="11">
        <f ca="1"/>
      </c>
      <c r="GS57" s="11">
        <f ca="1"/>
      </c>
      <c r="GT57" s="11">
        <f ca="1"/>
      </c>
      <c r="GU57" s="11">
        <f ca="1"/>
      </c>
      <c r="GV57" s="11">
        <f ca="1"/>
      </c>
      <c r="GX57">
        <f ca="1"/>
      </c>
      <c r="GY57">
        <f ca="1"/>
      </c>
      <c r="GZ57">
        <f ca="1"/>
      </c>
      <c r="HA57">
        <f ca="1"/>
      </c>
      <c r="HB57">
        <f ca="1"/>
      </c>
      <c r="HD57">
        <f ca="1"/>
      </c>
      <c r="HE57">
        <f ca="1"/>
      </c>
      <c r="HF57">
        <f ca="1"/>
      </c>
      <c r="HG57">
        <f ca="1"/>
      </c>
      <c r="HH57">
        <f ca="1"/>
      </c>
      <c r="HI57">
        <f ca="1"/>
      </c>
      <c r="HJ57">
        <f ca="1"/>
      </c>
      <c r="HK57">
        <f ca="1"/>
      </c>
      <c r="HL57">
        <f ca="1"/>
      </c>
      <c r="HM57">
        <f ca="1"/>
      </c>
      <c r="HN57">
        <f ca="1"/>
      </c>
      <c r="HO57">
        <f ca="1"/>
      </c>
      <c r="HP57">
        <f ca="1"/>
      </c>
      <c r="HQ57">
        <f ca="1"/>
      </c>
      <c r="HS57">
        <f ca="1"/>
      </c>
      <c r="HT57">
        <f ca="1"/>
      </c>
      <c r="HU57">
        <f ca="1"/>
      </c>
      <c r="HV57">
        <f ca="1"/>
      </c>
      <c r="HW57">
        <f ca="1"/>
      </c>
      <c r="HX57">
        <f ca="1"/>
      </c>
      <c r="HY57">
        <f ca="1"/>
      </c>
    </row>
    <row r="58" spans="1:233" x14ac:dyDescent="0.55000000000000004"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GQ58">
        <f ca="1"/>
      </c>
      <c r="GR58" s="11">
        <f ca="1"/>
      </c>
      <c r="GS58" s="11">
        <f ca="1"/>
      </c>
      <c r="GT58" s="11">
        <f ca="1"/>
      </c>
      <c r="GU58" s="11">
        <f ca="1"/>
      </c>
      <c r="GV58" s="11">
        <f ca="1"/>
      </c>
      <c r="GX58">
        <f ca="1"/>
      </c>
      <c r="GY58">
        <f ca="1"/>
      </c>
      <c r="GZ58">
        <f ca="1"/>
      </c>
      <c r="HA58">
        <f ca="1"/>
      </c>
      <c r="HB58">
        <f ca="1"/>
      </c>
      <c r="HD58">
        <f ca="1"/>
      </c>
      <c r="HE58">
        <f ca="1"/>
      </c>
      <c r="HF58">
        <f ca="1"/>
      </c>
      <c r="HG58">
        <f ca="1"/>
      </c>
      <c r="HH58">
        <f ca="1"/>
      </c>
      <c r="HI58">
        <f ca="1"/>
      </c>
      <c r="HJ58">
        <f ca="1"/>
      </c>
      <c r="HK58">
        <f ca="1"/>
      </c>
      <c r="HL58">
        <f ca="1"/>
      </c>
      <c r="HM58">
        <f ca="1"/>
      </c>
      <c r="HN58">
        <f ca="1"/>
      </c>
      <c r="HO58">
        <f ca="1"/>
      </c>
      <c r="HP58">
        <f ca="1"/>
      </c>
      <c r="HQ58">
        <f ca="1"/>
      </c>
      <c r="HS58">
        <f ca="1"/>
      </c>
      <c r="HT58">
        <f ca="1"/>
      </c>
      <c r="HU58">
        <f ca="1"/>
      </c>
      <c r="HV58">
        <f ca="1"/>
      </c>
      <c r="HW58">
        <f ca="1"/>
      </c>
      <c r="HX58">
        <f ca="1"/>
      </c>
      <c r="HY58">
        <f ca="1"/>
      </c>
    </row>
    <row r="59" spans="1:233" x14ac:dyDescent="0.55000000000000004">
      <c r="D59" t="s">
        <v>163</v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GQ59">
        <f ca="1"/>
      </c>
      <c r="GR59" s="11">
        <f ca="1"/>
      </c>
      <c r="GS59" s="11">
        <f ca="1"/>
      </c>
      <c r="GT59" s="11">
        <f ca="1"/>
      </c>
      <c r="GU59" s="11">
        <f ca="1"/>
      </c>
      <c r="GV59" s="11">
        <f ca="1"/>
      </c>
      <c r="GX59">
        <f ca="1"/>
      </c>
      <c r="GY59">
        <f ca="1"/>
      </c>
      <c r="GZ59">
        <f ca="1"/>
      </c>
      <c r="HA59">
        <f ca="1"/>
      </c>
      <c r="HB59">
        <f ca="1"/>
      </c>
      <c r="HD59">
        <f ca="1"/>
      </c>
      <c r="HE59">
        <f ca="1"/>
      </c>
      <c r="HF59">
        <f ca="1"/>
      </c>
      <c r="HG59">
        <f ca="1"/>
      </c>
      <c r="HH59">
        <f ca="1"/>
      </c>
      <c r="HI59">
        <f ca="1"/>
      </c>
      <c r="HJ59">
        <f ca="1"/>
      </c>
      <c r="HK59">
        <f ca="1"/>
      </c>
      <c r="HL59">
        <f ca="1"/>
      </c>
      <c r="HM59">
        <f ca="1"/>
      </c>
      <c r="HN59">
        <f ca="1"/>
      </c>
      <c r="HO59">
        <f ca="1"/>
      </c>
      <c r="HP59">
        <f ca="1"/>
      </c>
      <c r="HQ59">
        <f ca="1"/>
      </c>
      <c r="HS59">
        <f ca="1"/>
      </c>
      <c r="HT59">
        <f ca="1"/>
      </c>
      <c r="HU59">
        <f ca="1"/>
      </c>
      <c r="HV59">
        <f ca="1"/>
      </c>
      <c r="HW59">
        <f ca="1"/>
      </c>
      <c r="HX59">
        <f ca="1"/>
      </c>
      <c r="HY59">
        <f ca="1"/>
      </c>
    </row>
    <row r="60" spans="1:233" x14ac:dyDescent="0.55000000000000004">
      <c r="D60" s="2">
        <v>4</v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GQ60">
        <f ca="1"/>
      </c>
      <c r="GR60" s="11">
        <f ca="1"/>
      </c>
      <c r="GS60" s="11">
        <f ca="1"/>
      </c>
      <c r="GT60" s="11">
        <f ca="1"/>
      </c>
      <c r="GU60" s="11">
        <f ca="1"/>
      </c>
      <c r="GV60" s="11">
        <f ca="1"/>
      </c>
      <c r="GX60">
        <f ca="1"/>
      </c>
      <c r="GY60">
        <f ca="1"/>
      </c>
      <c r="GZ60">
        <f ca="1"/>
      </c>
      <c r="HA60">
        <f ca="1"/>
      </c>
      <c r="HB60">
        <f ca="1"/>
      </c>
      <c r="HD60">
        <f ca="1"/>
      </c>
      <c r="HE60">
        <f ca="1"/>
      </c>
      <c r="HF60">
        <f ca="1"/>
      </c>
      <c r="HG60">
        <f ca="1"/>
      </c>
      <c r="HH60">
        <f ca="1"/>
      </c>
      <c r="HI60">
        <f ca="1"/>
      </c>
      <c r="HJ60">
        <f ca="1"/>
      </c>
      <c r="HK60">
        <f ca="1"/>
      </c>
      <c r="HL60">
        <f ca="1"/>
      </c>
      <c r="HM60">
        <f ca="1"/>
      </c>
      <c r="HN60">
        <f ca="1"/>
      </c>
      <c r="HO60">
        <f ca="1"/>
      </c>
      <c r="HP60">
        <f ca="1"/>
      </c>
      <c r="HQ60">
        <f ca="1"/>
      </c>
      <c r="HS60">
        <f ca="1"/>
      </c>
      <c r="HT60">
        <f ca="1"/>
      </c>
      <c r="HU60">
        <f ca="1"/>
      </c>
      <c r="HV60">
        <f ca="1"/>
      </c>
      <c r="HW60">
        <f ca="1"/>
      </c>
      <c r="HX60">
        <f ca="1"/>
      </c>
      <c r="HY60">
        <f ca="1"/>
      </c>
    </row>
    <row r="61" spans="1:233" x14ac:dyDescent="0.55000000000000004"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GQ61">
        <f ca="1"/>
      </c>
      <c r="GR61" s="11">
        <f ca="1"/>
      </c>
      <c r="GS61" s="11">
        <f ca="1"/>
      </c>
      <c r="GT61" s="11">
        <f ca="1"/>
      </c>
      <c r="GU61" s="11">
        <f ca="1"/>
      </c>
      <c r="GV61" s="11">
        <f ca="1"/>
      </c>
      <c r="GX61">
        <f ca="1"/>
      </c>
      <c r="GY61">
        <f ca="1"/>
      </c>
      <c r="GZ61">
        <f ca="1"/>
      </c>
      <c r="HA61">
        <f ca="1"/>
      </c>
      <c r="HB61">
        <f ca="1"/>
      </c>
      <c r="HD61">
        <f ca="1"/>
      </c>
      <c r="HE61">
        <f ca="1"/>
      </c>
      <c r="HF61">
        <f ca="1"/>
      </c>
      <c r="HG61">
        <f ca="1"/>
      </c>
      <c r="HH61">
        <f ca="1"/>
      </c>
      <c r="HI61">
        <f ca="1"/>
      </c>
      <c r="HJ61">
        <f ca="1"/>
      </c>
      <c r="HK61">
        <f ca="1"/>
      </c>
      <c r="HL61">
        <f ca="1"/>
      </c>
      <c r="HM61">
        <f ca="1"/>
      </c>
      <c r="HN61">
        <f ca="1"/>
      </c>
      <c r="HO61">
        <f ca="1"/>
      </c>
      <c r="HP61">
        <f ca="1"/>
      </c>
      <c r="HQ61">
        <f ca="1"/>
      </c>
      <c r="HS61">
        <f ca="1"/>
      </c>
      <c r="HT61">
        <f ca="1"/>
      </c>
      <c r="HU61">
        <f ca="1"/>
      </c>
      <c r="HV61">
        <f ca="1"/>
      </c>
      <c r="HW61">
        <f ca="1"/>
      </c>
      <c r="HX61">
        <f ca="1"/>
      </c>
      <c r="HY61">
        <f ca="1"/>
      </c>
    </row>
    <row r="62" spans="1:233" x14ac:dyDescent="0.55000000000000004"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GQ62">
        <f ca="1"/>
      </c>
      <c r="GR62" s="11">
        <f ca="1"/>
      </c>
      <c r="GS62" s="11">
        <f ca="1"/>
      </c>
      <c r="GT62" s="11">
        <f ca="1"/>
      </c>
      <c r="GU62" s="11">
        <f ca="1"/>
      </c>
      <c r="GV62" s="11">
        <f ca="1"/>
      </c>
      <c r="GX62">
        <f ca="1"/>
      </c>
      <c r="GY62">
        <f ca="1"/>
      </c>
      <c r="GZ62">
        <f ca="1"/>
      </c>
      <c r="HA62">
        <f ca="1"/>
      </c>
      <c r="HB62">
        <f ca="1"/>
      </c>
      <c r="HD62">
        <f ca="1"/>
      </c>
      <c r="HE62">
        <f ca="1"/>
      </c>
      <c r="HF62">
        <f ca="1"/>
      </c>
      <c r="HG62">
        <f ca="1"/>
      </c>
      <c r="HH62">
        <f ca="1"/>
      </c>
      <c r="HI62">
        <f ca="1"/>
      </c>
      <c r="HJ62">
        <f ca="1"/>
      </c>
      <c r="HK62">
        <f ca="1"/>
      </c>
      <c r="HL62">
        <f ca="1"/>
      </c>
      <c r="HM62">
        <f ca="1"/>
      </c>
      <c r="HN62">
        <f ca="1"/>
      </c>
      <c r="HO62">
        <f ca="1"/>
      </c>
      <c r="HP62">
        <f ca="1"/>
      </c>
      <c r="HQ62">
        <f ca="1"/>
      </c>
      <c r="HS62">
        <f ca="1"/>
      </c>
      <c r="HT62">
        <f ca="1"/>
      </c>
      <c r="HU62">
        <f ca="1"/>
      </c>
      <c r="HV62">
        <f ca="1"/>
      </c>
      <c r="HW62">
        <f ca="1"/>
      </c>
      <c r="HX62">
        <f ca="1"/>
      </c>
      <c r="HY62">
        <f ca="1"/>
      </c>
    </row>
    <row r="63" spans="1:233" x14ac:dyDescent="0.55000000000000004"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GQ63">
        <f ca="1"/>
      </c>
      <c r="GR63" s="11">
        <f ca="1"/>
      </c>
      <c r="GS63" s="11">
        <f ca="1"/>
      </c>
      <c r="GT63" s="11">
        <f ca="1"/>
      </c>
      <c r="GU63" s="11">
        <f ca="1"/>
      </c>
      <c r="GV63" s="11">
        <f ca="1"/>
      </c>
      <c r="GX63">
        <f ca="1"/>
      </c>
      <c r="GY63">
        <f ca="1"/>
      </c>
      <c r="GZ63">
        <f ca="1"/>
      </c>
      <c r="HA63">
        <f ca="1"/>
      </c>
      <c r="HB63">
        <f ca="1"/>
      </c>
      <c r="HD63">
        <f ca="1"/>
      </c>
      <c r="HE63">
        <f ca="1"/>
      </c>
      <c r="HF63">
        <f ca="1"/>
      </c>
      <c r="HG63">
        <f ca="1"/>
      </c>
      <c r="HH63">
        <f ca="1"/>
      </c>
      <c r="HI63">
        <f ca="1"/>
      </c>
      <c r="HJ63">
        <f ca="1"/>
      </c>
      <c r="HK63">
        <f ca="1"/>
      </c>
      <c r="HL63">
        <f ca="1"/>
      </c>
      <c r="HM63">
        <f ca="1"/>
      </c>
      <c r="HN63">
        <f ca="1"/>
      </c>
      <c r="HO63">
        <f ca="1"/>
      </c>
      <c r="HP63">
        <f ca="1"/>
      </c>
      <c r="HQ63">
        <f ca="1"/>
      </c>
      <c r="HS63">
        <f ca="1"/>
      </c>
      <c r="HT63">
        <f ca="1"/>
      </c>
      <c r="HU63">
        <f ca="1"/>
      </c>
      <c r="HV63">
        <f ca="1"/>
      </c>
      <c r="HW63">
        <f ca="1"/>
      </c>
      <c r="HX63">
        <f ca="1"/>
      </c>
      <c r="HY63">
        <f ca="1"/>
      </c>
    </row>
    <row r="64" spans="1:233" x14ac:dyDescent="0.55000000000000004"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GQ64">
        <f ca="1"/>
      </c>
      <c r="GR64" s="11">
        <f ca="1"/>
      </c>
      <c r="GS64" s="11">
        <f ca="1"/>
      </c>
      <c r="GT64" s="11">
        <f ca="1"/>
      </c>
      <c r="GU64" s="11">
        <f ca="1"/>
      </c>
      <c r="GV64" s="11">
        <f ca="1"/>
      </c>
      <c r="GX64">
        <f ca="1"/>
      </c>
      <c r="GY64">
        <f ca="1"/>
      </c>
      <c r="GZ64">
        <f ca="1"/>
      </c>
      <c r="HA64">
        <f ca="1"/>
      </c>
      <c r="HB64">
        <f ca="1"/>
      </c>
      <c r="HD64">
        <f ca="1"/>
      </c>
      <c r="HE64">
        <f ca="1"/>
      </c>
      <c r="HF64">
        <f ca="1"/>
      </c>
      <c r="HG64">
        <f ca="1"/>
      </c>
      <c r="HH64">
        <f ca="1"/>
      </c>
      <c r="HI64">
        <f ca="1"/>
      </c>
      <c r="HJ64">
        <f ca="1"/>
      </c>
      <c r="HK64">
        <f ca="1"/>
      </c>
      <c r="HL64">
        <f ca="1"/>
      </c>
      <c r="HM64">
        <f ca="1"/>
      </c>
      <c r="HN64">
        <f ca="1"/>
      </c>
      <c r="HO64">
        <f ca="1"/>
      </c>
      <c r="HP64">
        <f ca="1"/>
      </c>
      <c r="HQ64">
        <f ca="1"/>
      </c>
      <c r="HS64">
        <f ca="1"/>
      </c>
      <c r="HT64">
        <f ca="1"/>
      </c>
      <c r="HU64">
        <f ca="1"/>
      </c>
      <c r="HV64">
        <f ca="1"/>
      </c>
      <c r="HW64">
        <f ca="1"/>
      </c>
      <c r="HX64">
        <f ca="1"/>
      </c>
      <c r="HY64">
        <f ca="1"/>
      </c>
    </row>
    <row r="65" spans="4:233" x14ac:dyDescent="0.55000000000000004"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GQ65">
        <f ca="1"/>
      </c>
      <c r="GR65" s="11">
        <f ca="1"/>
      </c>
      <c r="GS65" s="11">
        <f ca="1"/>
      </c>
      <c r="GT65" s="11">
        <f ca="1"/>
      </c>
      <c r="GU65" s="11">
        <f ca="1"/>
      </c>
      <c r="GV65" s="11">
        <f ca="1"/>
      </c>
      <c r="GX65">
        <f ca="1"/>
      </c>
      <c r="GY65">
        <f ca="1"/>
      </c>
      <c r="GZ65">
        <f ca="1"/>
      </c>
      <c r="HA65">
        <f ca="1"/>
      </c>
      <c r="HB65">
        <f ca="1"/>
      </c>
      <c r="HD65">
        <f ca="1"/>
      </c>
      <c r="HE65">
        <f ca="1"/>
      </c>
      <c r="HF65">
        <f ca="1"/>
      </c>
      <c r="HG65">
        <f ca="1"/>
      </c>
      <c r="HH65">
        <f ca="1"/>
      </c>
      <c r="HI65">
        <f ca="1"/>
      </c>
      <c r="HJ65">
        <f ca="1"/>
      </c>
      <c r="HK65">
        <f ca="1"/>
      </c>
      <c r="HL65">
        <f ca="1"/>
      </c>
      <c r="HM65">
        <f ca="1"/>
      </c>
      <c r="HN65">
        <f ca="1"/>
      </c>
      <c r="HO65">
        <f ca="1"/>
      </c>
      <c r="HP65">
        <f ca="1"/>
      </c>
      <c r="HQ65">
        <f ca="1"/>
      </c>
      <c r="HS65">
        <f ca="1"/>
      </c>
      <c r="HT65">
        <f ca="1"/>
      </c>
      <c r="HU65">
        <f ca="1"/>
      </c>
      <c r="HV65">
        <f ca="1"/>
      </c>
      <c r="HW65">
        <f ca="1"/>
      </c>
      <c r="HX65">
        <f ca="1"/>
      </c>
      <c r="HY65">
        <f ca="1"/>
      </c>
    </row>
    <row r="66" spans="4:233" x14ac:dyDescent="0.55000000000000004"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GQ66">
        <f ca="1"/>
      </c>
      <c r="GR66" s="11">
        <f ca="1"/>
      </c>
      <c r="GS66" s="11">
        <f ca="1"/>
      </c>
      <c r="GT66" s="11">
        <f ca="1"/>
      </c>
      <c r="GU66" s="11">
        <f ca="1"/>
      </c>
      <c r="GV66" s="11">
        <f ca="1"/>
      </c>
      <c r="GX66">
        <f ca="1"/>
      </c>
      <c r="GY66">
        <f ca="1"/>
      </c>
      <c r="GZ66">
        <f ca="1"/>
      </c>
      <c r="HA66">
        <f ca="1"/>
      </c>
      <c r="HB66">
        <f ca="1"/>
      </c>
      <c r="HD66">
        <f ca="1"/>
      </c>
      <c r="HE66">
        <f ca="1"/>
      </c>
      <c r="HF66">
        <f ca="1"/>
      </c>
      <c r="HG66">
        <f ca="1"/>
      </c>
      <c r="HH66">
        <f ca="1"/>
      </c>
      <c r="HI66">
        <f ca="1"/>
      </c>
      <c r="HJ66">
        <f ca="1"/>
      </c>
      <c r="HK66">
        <f ca="1"/>
      </c>
      <c r="HL66">
        <f ca="1"/>
      </c>
      <c r="HM66">
        <f ca="1"/>
      </c>
      <c r="HN66">
        <f ca="1"/>
      </c>
      <c r="HO66">
        <f ca="1"/>
      </c>
      <c r="HP66">
        <f ca="1"/>
      </c>
      <c r="HQ66">
        <f ca="1"/>
      </c>
      <c r="HS66">
        <f ca="1"/>
      </c>
      <c r="HT66">
        <f ca="1"/>
      </c>
      <c r="HU66">
        <f ca="1"/>
      </c>
      <c r="HV66">
        <f ca="1"/>
      </c>
      <c r="HW66">
        <f ca="1"/>
      </c>
      <c r="HX66">
        <f ca="1"/>
      </c>
      <c r="HY66">
        <f ca="1"/>
      </c>
    </row>
    <row r="67" spans="4:233" x14ac:dyDescent="0.55000000000000004"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GQ67">
        <f ca="1"/>
      </c>
      <c r="GR67" s="11">
        <f ca="1"/>
      </c>
      <c r="GS67" s="11">
        <f ca="1"/>
      </c>
      <c r="GT67" s="11">
        <f ca="1"/>
      </c>
      <c r="GU67" s="11">
        <f ca="1"/>
      </c>
      <c r="GV67" s="11">
        <f ca="1"/>
      </c>
      <c r="GX67">
        <f ca="1"/>
      </c>
      <c r="GY67">
        <f ca="1"/>
      </c>
      <c r="GZ67">
        <f ca="1"/>
      </c>
      <c r="HA67">
        <f ca="1"/>
      </c>
      <c r="HB67">
        <f ca="1"/>
      </c>
      <c r="HD67">
        <f ca="1"/>
      </c>
      <c r="HE67">
        <f ca="1"/>
      </c>
      <c r="HF67">
        <f ca="1"/>
      </c>
      <c r="HG67">
        <f ca="1"/>
      </c>
      <c r="HH67">
        <f ca="1"/>
      </c>
      <c r="HI67">
        <f ca="1"/>
      </c>
      <c r="HJ67">
        <f ca="1"/>
      </c>
      <c r="HK67">
        <f ca="1"/>
      </c>
      <c r="HL67">
        <f ca="1"/>
      </c>
      <c r="HM67">
        <f ca="1"/>
      </c>
      <c r="HN67">
        <f ca="1"/>
      </c>
      <c r="HO67">
        <f ca="1"/>
      </c>
      <c r="HP67">
        <f ca="1"/>
      </c>
      <c r="HQ67">
        <f ca="1"/>
      </c>
      <c r="HS67">
        <f ca="1"/>
      </c>
      <c r="HT67">
        <f ca="1"/>
      </c>
      <c r="HU67">
        <f ca="1"/>
      </c>
      <c r="HV67">
        <f ca="1"/>
      </c>
      <c r="HW67">
        <f ca="1"/>
      </c>
      <c r="HX67">
        <f ca="1"/>
      </c>
      <c r="HY67">
        <f ca="1"/>
      </c>
    </row>
    <row r="68" spans="4:233" x14ac:dyDescent="0.55000000000000004"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GQ68">
        <f ca="1"/>
      </c>
      <c r="GR68" s="11">
        <f ca="1"/>
      </c>
      <c r="GS68" s="11">
        <f ca="1"/>
      </c>
      <c r="GT68" s="11">
        <f ca="1"/>
      </c>
      <c r="GU68" s="11">
        <f ca="1"/>
      </c>
      <c r="GV68" s="11">
        <f ca="1"/>
      </c>
      <c r="GX68">
        <f ca="1"/>
      </c>
      <c r="GY68">
        <f ca="1"/>
      </c>
      <c r="GZ68">
        <f ca="1"/>
      </c>
      <c r="HA68">
        <f ca="1"/>
      </c>
      <c r="HB68">
        <f ca="1"/>
      </c>
      <c r="HD68">
        <f ca="1"/>
      </c>
      <c r="HE68">
        <f ca="1"/>
      </c>
      <c r="HF68">
        <f ca="1"/>
      </c>
      <c r="HG68">
        <f ca="1"/>
      </c>
      <c r="HH68">
        <f ca="1"/>
      </c>
      <c r="HI68">
        <f ca="1"/>
      </c>
      <c r="HJ68">
        <f ca="1"/>
      </c>
      <c r="HK68">
        <f ca="1"/>
      </c>
      <c r="HL68">
        <f ca="1"/>
      </c>
      <c r="HM68">
        <f ca="1"/>
      </c>
      <c r="HN68">
        <f ca="1"/>
      </c>
      <c r="HO68">
        <f ca="1"/>
      </c>
      <c r="HP68">
        <f ca="1"/>
      </c>
      <c r="HQ68">
        <f ca="1"/>
      </c>
      <c r="HS68">
        <f ca="1"/>
      </c>
      <c r="HT68">
        <f ca="1"/>
      </c>
      <c r="HU68">
        <f ca="1"/>
      </c>
      <c r="HV68">
        <f ca="1"/>
      </c>
      <c r="HW68">
        <f ca="1"/>
      </c>
      <c r="HX68">
        <f ca="1"/>
      </c>
      <c r="HY68">
        <f ca="1"/>
      </c>
    </row>
    <row r="69" spans="4:233" x14ac:dyDescent="0.55000000000000004"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GQ69">
        <f ca="1"/>
      </c>
      <c r="GR69" s="11">
        <f ca="1"/>
      </c>
      <c r="GS69" s="11">
        <f ca="1"/>
      </c>
      <c r="GT69" s="11">
        <f ca="1"/>
      </c>
      <c r="GU69" s="11">
        <f ca="1"/>
      </c>
      <c r="GV69" s="11">
        <f ca="1"/>
      </c>
      <c r="GX69">
        <f ca="1"/>
      </c>
      <c r="GY69">
        <f ca="1"/>
      </c>
      <c r="GZ69">
        <f ca="1"/>
      </c>
      <c r="HA69">
        <f ca="1"/>
      </c>
      <c r="HB69">
        <f ca="1"/>
      </c>
      <c r="HD69">
        <f ca="1"/>
      </c>
      <c r="HE69">
        <f ca="1"/>
      </c>
      <c r="HF69">
        <f ca="1"/>
      </c>
      <c r="HG69">
        <f ca="1"/>
      </c>
      <c r="HH69">
        <f ca="1"/>
      </c>
      <c r="HI69">
        <f ca="1"/>
      </c>
      <c r="HJ69">
        <f ca="1"/>
      </c>
      <c r="HK69">
        <f ca="1"/>
      </c>
      <c r="HL69">
        <f ca="1"/>
      </c>
      <c r="HM69">
        <f ca="1"/>
      </c>
      <c r="HN69">
        <f ca="1"/>
      </c>
      <c r="HO69">
        <f ca="1"/>
      </c>
      <c r="HP69">
        <f ca="1"/>
      </c>
      <c r="HQ69">
        <f ca="1"/>
      </c>
      <c r="HS69">
        <f ca="1"/>
      </c>
      <c r="HT69">
        <f ca="1"/>
      </c>
      <c r="HU69">
        <f ca="1"/>
      </c>
      <c r="HV69">
        <f ca="1"/>
      </c>
      <c r="HW69">
        <f ca="1"/>
      </c>
      <c r="HX69">
        <f ca="1"/>
      </c>
      <c r="HY69">
        <f ca="1"/>
      </c>
    </row>
    <row r="70" spans="4:233" x14ac:dyDescent="0.55000000000000004"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GQ70">
        <f ca="1"/>
      </c>
      <c r="GR70" s="11">
        <f ca="1"/>
      </c>
      <c r="GS70" s="11">
        <f ca="1"/>
      </c>
      <c r="GT70" s="11">
        <f ca="1"/>
      </c>
      <c r="GU70" s="11">
        <f ca="1"/>
      </c>
      <c r="GV70" s="11">
        <f ca="1"/>
      </c>
      <c r="GX70">
        <f ca="1"/>
      </c>
      <c r="GY70">
        <f ca="1"/>
      </c>
      <c r="GZ70">
        <f ca="1"/>
      </c>
      <c r="HA70">
        <f ca="1"/>
      </c>
      <c r="HB70">
        <f ca="1"/>
      </c>
      <c r="HD70">
        <f ca="1"/>
      </c>
      <c r="HE70">
        <f ca="1"/>
      </c>
      <c r="HF70">
        <f ca="1"/>
      </c>
      <c r="HG70">
        <f ca="1"/>
      </c>
      <c r="HH70">
        <f ca="1"/>
      </c>
      <c r="HI70">
        <f ca="1"/>
      </c>
      <c r="HJ70">
        <f ca="1"/>
      </c>
      <c r="HK70">
        <f ca="1"/>
      </c>
      <c r="HL70">
        <f ca="1"/>
      </c>
      <c r="HM70">
        <f ca="1"/>
      </c>
      <c r="HN70">
        <f ca="1"/>
      </c>
      <c r="HO70">
        <f ca="1"/>
      </c>
      <c r="HP70">
        <f ca="1"/>
      </c>
      <c r="HQ70">
        <f ca="1"/>
      </c>
      <c r="HS70">
        <f ca="1"/>
      </c>
      <c r="HT70">
        <f ca="1"/>
      </c>
      <c r="HU70">
        <f ca="1"/>
      </c>
      <c r="HV70">
        <f ca="1"/>
      </c>
      <c r="HW70">
        <f ca="1"/>
      </c>
      <c r="HX70">
        <f ca="1"/>
      </c>
      <c r="HY70">
        <f ca="1"/>
      </c>
    </row>
    <row r="71" spans="4:233" x14ac:dyDescent="0.55000000000000004"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GQ71">
        <f ca="1"/>
      </c>
      <c r="GR71" s="11">
        <f ca="1"/>
      </c>
      <c r="GS71" s="11">
        <f ca="1"/>
      </c>
      <c r="GT71" s="11">
        <f ca="1"/>
      </c>
      <c r="GU71" s="11">
        <f ca="1"/>
      </c>
      <c r="GV71" s="11">
        <f ca="1"/>
      </c>
      <c r="GX71">
        <f ca="1"/>
      </c>
      <c r="GY71">
        <f ca="1"/>
      </c>
      <c r="GZ71">
        <f ca="1"/>
      </c>
      <c r="HA71">
        <f ca="1"/>
      </c>
      <c r="HB71">
        <f ca="1"/>
      </c>
      <c r="HD71">
        <f ca="1"/>
      </c>
      <c r="HE71">
        <f ca="1"/>
      </c>
      <c r="HF71">
        <f ca="1"/>
      </c>
      <c r="HG71">
        <f ca="1"/>
      </c>
      <c r="HH71">
        <f ca="1"/>
      </c>
      <c r="HI71">
        <f ca="1"/>
      </c>
      <c r="HJ71">
        <f ca="1"/>
      </c>
      <c r="HK71">
        <f ca="1"/>
      </c>
      <c r="HL71">
        <f ca="1"/>
      </c>
      <c r="HM71">
        <f ca="1"/>
      </c>
      <c r="HN71">
        <f ca="1"/>
      </c>
      <c r="HO71">
        <f ca="1"/>
      </c>
      <c r="HP71">
        <f ca="1"/>
      </c>
      <c r="HQ71">
        <f ca="1"/>
      </c>
      <c r="HS71">
        <f ca="1"/>
      </c>
      <c r="HT71">
        <f ca="1"/>
      </c>
      <c r="HU71">
        <f ca="1"/>
      </c>
      <c r="HV71">
        <f ca="1"/>
      </c>
      <c r="HW71">
        <f ca="1"/>
      </c>
      <c r="HX71">
        <f ca="1"/>
      </c>
      <c r="HY71">
        <f ca="1"/>
      </c>
    </row>
    <row r="72" spans="4:233" x14ac:dyDescent="0.55000000000000004"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GQ72">
        <f ca="1"/>
      </c>
      <c r="GR72" s="11">
        <f ca="1"/>
      </c>
      <c r="GS72" s="11">
        <f ca="1"/>
      </c>
      <c r="GT72" s="11">
        <f ca="1"/>
      </c>
      <c r="GU72" s="11">
        <f ca="1"/>
      </c>
      <c r="GV72" s="11">
        <f ca="1"/>
      </c>
      <c r="GX72">
        <f ca="1"/>
      </c>
      <c r="GY72">
        <f ca="1"/>
      </c>
      <c r="GZ72">
        <f ca="1"/>
      </c>
      <c r="HA72">
        <f ca="1"/>
      </c>
      <c r="HB72">
        <f ca="1"/>
      </c>
      <c r="HD72">
        <f ca="1"/>
      </c>
      <c r="HE72">
        <f ca="1"/>
      </c>
      <c r="HF72">
        <f ca="1"/>
      </c>
      <c r="HG72">
        <f ca="1"/>
      </c>
      <c r="HH72">
        <f ca="1"/>
      </c>
      <c r="HI72">
        <f ca="1"/>
      </c>
      <c r="HJ72">
        <f ca="1"/>
      </c>
      <c r="HK72">
        <f ca="1"/>
      </c>
      <c r="HL72">
        <f ca="1"/>
      </c>
      <c r="HM72">
        <f ca="1"/>
      </c>
      <c r="HN72">
        <f ca="1"/>
      </c>
      <c r="HO72">
        <f ca="1"/>
      </c>
      <c r="HP72">
        <f ca="1"/>
      </c>
      <c r="HQ72">
        <f ca="1"/>
      </c>
      <c r="HS72">
        <f ca="1"/>
      </c>
      <c r="HT72">
        <f ca="1"/>
      </c>
      <c r="HU72">
        <f ca="1"/>
      </c>
      <c r="HV72">
        <f ca="1"/>
      </c>
      <c r="HW72">
        <f ca="1"/>
      </c>
      <c r="HX72">
        <f ca="1"/>
      </c>
      <c r="HY72">
        <f ca="1"/>
      </c>
    </row>
    <row r="73" spans="4:233" x14ac:dyDescent="0.55000000000000004"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GR73" s="11"/>
      <c r="GS73" s="11"/>
      <c r="GT73" s="11"/>
      <c r="GU73" s="11"/>
      <c r="GV73" s="11"/>
      <c r="HS73">
        <f ca="1"/>
      </c>
      <c r="HT73">
        <f ca="1"/>
      </c>
      <c r="HU73">
        <f ca="1"/>
      </c>
      <c r="HV73">
        <f ca="1"/>
      </c>
      <c r="HW73">
        <f ca="1"/>
      </c>
      <c r="HX73">
        <f ca="1"/>
      </c>
      <c r="HY73">
        <f ca="1"/>
      </c>
    </row>
    <row r="74" spans="4:233" x14ac:dyDescent="0.55000000000000004"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GR74" s="11"/>
      <c r="GS74" s="11"/>
      <c r="GT74" s="11"/>
      <c r="GU74" s="11"/>
      <c r="GV74" s="11"/>
      <c r="HS74">
        <f ca="1"/>
      </c>
      <c r="HT74">
        <f ca="1"/>
      </c>
      <c r="HU74">
        <f ca="1"/>
      </c>
      <c r="HV74">
        <f ca="1"/>
      </c>
      <c r="HW74">
        <f ca="1"/>
      </c>
      <c r="HX74">
        <f ca="1"/>
      </c>
      <c r="HY74">
        <f ca="1"/>
      </c>
    </row>
    <row r="75" spans="4:233" x14ac:dyDescent="0.55000000000000004">
      <c r="D75" t="s">
        <v>163</v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GR75" s="11"/>
      <c r="GS75" s="11"/>
      <c r="GT75" s="11"/>
      <c r="GU75" s="11"/>
      <c r="GV75" s="11"/>
      <c r="HS75">
        <f ca="1"/>
      </c>
      <c r="HT75">
        <f ca="1"/>
      </c>
      <c r="HU75">
        <f ca="1"/>
      </c>
      <c r="HV75">
        <f ca="1"/>
      </c>
      <c r="HW75">
        <f ca="1"/>
      </c>
      <c r="HX75">
        <f ca="1"/>
      </c>
      <c r="HY75">
        <f ca="1"/>
      </c>
    </row>
    <row r="76" spans="4:233" x14ac:dyDescent="0.55000000000000004">
      <c r="D76" s="2">
        <v>5</v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GR76" s="11"/>
      <c r="GS76" s="11"/>
      <c r="GT76" s="11"/>
      <c r="GU76" s="11"/>
      <c r="GV76" s="11"/>
      <c r="HS76">
        <f ca="1"/>
      </c>
      <c r="HT76">
        <f ca="1"/>
      </c>
      <c r="HU76">
        <f ca="1"/>
      </c>
      <c r="HV76">
        <f ca="1"/>
      </c>
      <c r="HW76">
        <f ca="1"/>
      </c>
      <c r="HX76">
        <f ca="1"/>
      </c>
      <c r="HY76">
        <f ca="1"/>
      </c>
    </row>
    <row r="77" spans="4:233" x14ac:dyDescent="0.55000000000000004"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GR77" s="11"/>
      <c r="GS77" s="11"/>
      <c r="GT77" s="11"/>
      <c r="GU77" s="11"/>
      <c r="GV77" s="11"/>
      <c r="HS77">
        <f ca="1"/>
      </c>
      <c r="HT77">
        <f ca="1"/>
      </c>
      <c r="HU77">
        <f ca="1"/>
      </c>
      <c r="HV77">
        <f ca="1"/>
      </c>
      <c r="HW77">
        <f ca="1"/>
      </c>
      <c r="HX77">
        <f ca="1"/>
      </c>
      <c r="HY77">
        <f ca="1"/>
      </c>
    </row>
    <row r="78" spans="4:233" x14ac:dyDescent="0.55000000000000004"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GR78" s="11"/>
      <c r="GS78" s="11"/>
      <c r="GT78" s="11"/>
      <c r="GU78" s="11"/>
      <c r="GV78" s="11"/>
      <c r="HS78">
        <f ca="1"/>
      </c>
      <c r="HT78">
        <f ca="1"/>
      </c>
      <c r="HU78">
        <f ca="1"/>
      </c>
      <c r="HV78">
        <f ca="1"/>
      </c>
      <c r="HW78">
        <f ca="1"/>
      </c>
      <c r="HX78">
        <f ca="1"/>
      </c>
      <c r="HY78">
        <f ca="1"/>
      </c>
    </row>
    <row r="79" spans="4:233" x14ac:dyDescent="0.55000000000000004"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GR79" s="11"/>
      <c r="GS79" s="11"/>
      <c r="GT79" s="11"/>
      <c r="GU79" s="11"/>
      <c r="GV79" s="11"/>
      <c r="HS79">
        <f ca="1"/>
      </c>
      <c r="HT79">
        <f ca="1"/>
      </c>
      <c r="HU79">
        <f ca="1"/>
      </c>
      <c r="HV79">
        <f ca="1"/>
      </c>
      <c r="HW79">
        <f ca="1"/>
      </c>
      <c r="HX79">
        <f ca="1"/>
      </c>
      <c r="HY79">
        <f ca="1"/>
      </c>
    </row>
    <row r="80" spans="4:233" x14ac:dyDescent="0.55000000000000004"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GR80" s="11"/>
      <c r="GS80" s="11"/>
      <c r="GT80" s="11"/>
      <c r="GU80" s="11"/>
      <c r="GV80" s="11"/>
      <c r="HS80">
        <f ca="1"/>
      </c>
      <c r="HT80">
        <f ca="1"/>
      </c>
      <c r="HU80">
        <f ca="1"/>
      </c>
      <c r="HV80">
        <f ca="1"/>
      </c>
      <c r="HW80">
        <f ca="1"/>
      </c>
      <c r="HX80">
        <f ca="1"/>
      </c>
      <c r="HY80">
        <f ca="1"/>
      </c>
    </row>
    <row r="81" spans="4:233" x14ac:dyDescent="0.55000000000000004"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GR81" s="11"/>
      <c r="GS81" s="11"/>
      <c r="GT81" s="11"/>
      <c r="GU81" s="11"/>
      <c r="GV81" s="11"/>
      <c r="HS81">
        <f ca="1"/>
      </c>
      <c r="HT81">
        <f ca="1"/>
      </c>
      <c r="HU81">
        <f ca="1"/>
      </c>
      <c r="HV81">
        <f ca="1"/>
      </c>
      <c r="HW81">
        <f ca="1"/>
      </c>
      <c r="HX81">
        <f ca="1"/>
      </c>
      <c r="HY81">
        <f ca="1"/>
      </c>
    </row>
    <row r="82" spans="4:233" x14ac:dyDescent="0.55000000000000004"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GR82" s="11"/>
      <c r="GS82" s="11"/>
      <c r="GT82" s="11"/>
      <c r="GU82" s="11"/>
      <c r="GV82" s="11"/>
      <c r="HS82">
        <f ca="1"/>
      </c>
      <c r="HT82">
        <f ca="1"/>
      </c>
      <c r="HU82">
        <f ca="1"/>
      </c>
      <c r="HV82">
        <f ca="1"/>
      </c>
      <c r="HW82">
        <f ca="1"/>
      </c>
      <c r="HX82">
        <f ca="1"/>
      </c>
      <c r="HY82">
        <f ca="1"/>
      </c>
    </row>
    <row r="83" spans="4:233" x14ac:dyDescent="0.55000000000000004"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GR83" s="11"/>
      <c r="GS83" s="11"/>
      <c r="GT83" s="11"/>
      <c r="GU83" s="11"/>
      <c r="GV83" s="11"/>
      <c r="HS83">
        <f ca="1"/>
      </c>
      <c r="HT83">
        <f ca="1"/>
      </c>
      <c r="HU83">
        <f ca="1"/>
      </c>
      <c r="HV83">
        <f ca="1"/>
      </c>
      <c r="HW83">
        <f ca="1"/>
      </c>
      <c r="HX83">
        <f ca="1"/>
      </c>
      <c r="HY83">
        <f ca="1"/>
      </c>
    </row>
    <row r="84" spans="4:233" x14ac:dyDescent="0.55000000000000004"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GR84" s="11"/>
      <c r="GS84" s="11"/>
      <c r="GT84" s="11"/>
      <c r="GU84" s="11"/>
      <c r="GV84" s="11"/>
      <c r="HS84">
        <f ca="1"/>
      </c>
      <c r="HT84">
        <f ca="1"/>
      </c>
      <c r="HU84">
        <f ca="1"/>
      </c>
      <c r="HV84">
        <f ca="1"/>
      </c>
      <c r="HW84">
        <f ca="1"/>
      </c>
      <c r="HX84">
        <f ca="1"/>
      </c>
      <c r="HY84">
        <f ca="1"/>
      </c>
    </row>
    <row r="85" spans="4:233" x14ac:dyDescent="0.55000000000000004"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GR85" s="11"/>
      <c r="GS85" s="11"/>
      <c r="GT85" s="11"/>
      <c r="GU85" s="11"/>
      <c r="GV85" s="11"/>
      <c r="HS85">
        <f ca="1"/>
      </c>
      <c r="HT85">
        <f ca="1"/>
      </c>
      <c r="HU85">
        <f ca="1"/>
      </c>
      <c r="HV85">
        <f ca="1"/>
      </c>
      <c r="HW85">
        <f ca="1"/>
      </c>
      <c r="HX85">
        <f ca="1"/>
      </c>
      <c r="HY85">
        <f ca="1"/>
      </c>
    </row>
    <row r="86" spans="4:233" x14ac:dyDescent="0.55000000000000004"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GR86" s="11"/>
      <c r="GS86" s="11"/>
      <c r="GT86" s="11"/>
      <c r="GU86" s="11"/>
      <c r="GV86" s="11"/>
      <c r="HS86">
        <f ca="1"/>
      </c>
      <c r="HT86">
        <f ca="1"/>
      </c>
      <c r="HU86">
        <f ca="1"/>
      </c>
      <c r="HV86">
        <f ca="1"/>
      </c>
      <c r="HW86">
        <f ca="1"/>
      </c>
      <c r="HX86">
        <f ca="1"/>
      </c>
      <c r="HY86">
        <f ca="1"/>
      </c>
    </row>
    <row r="87" spans="4:233" x14ac:dyDescent="0.55000000000000004"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GR87" s="11"/>
      <c r="GS87" s="11"/>
      <c r="GT87" s="11"/>
      <c r="GU87" s="11"/>
      <c r="GV87" s="11"/>
      <c r="HS87">
        <f ca="1"/>
      </c>
      <c r="HT87">
        <f ca="1"/>
      </c>
      <c r="HU87">
        <f ca="1"/>
      </c>
      <c r="HV87">
        <f ca="1"/>
      </c>
      <c r="HW87">
        <f ca="1"/>
      </c>
      <c r="HX87">
        <f ca="1"/>
      </c>
      <c r="HY87">
        <f ca="1"/>
      </c>
    </row>
    <row r="88" spans="4:233" x14ac:dyDescent="0.55000000000000004"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GR88" s="11"/>
      <c r="GS88" s="11"/>
      <c r="GT88" s="11"/>
      <c r="GU88" s="11"/>
      <c r="GV88" s="11"/>
      <c r="HS88">
        <f ca="1"/>
      </c>
      <c r="HT88">
        <f ca="1"/>
      </c>
      <c r="HU88">
        <f ca="1"/>
      </c>
      <c r="HV88">
        <f ca="1"/>
      </c>
      <c r="HW88">
        <f ca="1"/>
      </c>
      <c r="HX88">
        <f ca="1"/>
      </c>
      <c r="HY88">
        <f ca="1"/>
      </c>
    </row>
    <row r="89" spans="4:233" x14ac:dyDescent="0.55000000000000004"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GR89" s="11"/>
      <c r="GS89" s="11"/>
      <c r="GT89" s="11"/>
      <c r="GU89" s="11"/>
      <c r="GV89" s="11"/>
      <c r="HS89">
        <f ca="1"/>
      </c>
      <c r="HT89">
        <f ca="1"/>
      </c>
      <c r="HU89">
        <f ca="1"/>
      </c>
      <c r="HV89">
        <f ca="1"/>
      </c>
      <c r="HW89">
        <f ca="1"/>
      </c>
      <c r="HX89">
        <f ca="1"/>
      </c>
      <c r="HY89">
        <f ca="1"/>
      </c>
    </row>
    <row r="90" spans="4:233" x14ac:dyDescent="0.55000000000000004"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GR90" s="11"/>
      <c r="GS90" s="11"/>
      <c r="GT90" s="11"/>
      <c r="GU90" s="11"/>
      <c r="GV90" s="11"/>
      <c r="HS90">
        <f ca="1"/>
      </c>
      <c r="HT90">
        <f ca="1"/>
      </c>
      <c r="HU90">
        <f ca="1"/>
      </c>
      <c r="HV90">
        <f ca="1"/>
      </c>
      <c r="HW90">
        <f ca="1"/>
      </c>
      <c r="HX90">
        <f ca="1"/>
      </c>
      <c r="HY90">
        <f ca="1"/>
      </c>
    </row>
    <row r="91" spans="4:233" x14ac:dyDescent="0.55000000000000004">
      <c r="D91" t="s">
        <v>164</v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GR91" s="11"/>
      <c r="GS91" s="11"/>
      <c r="GT91" s="11"/>
      <c r="GU91" s="11"/>
      <c r="GV91" s="11"/>
      <c r="HS91">
        <f ca="1"/>
      </c>
      <c r="HT91">
        <f ca="1"/>
      </c>
      <c r="HU91">
        <f ca="1"/>
      </c>
      <c r="HV91">
        <f ca="1"/>
      </c>
      <c r="HW91">
        <f ca="1"/>
      </c>
      <c r="HX91">
        <f ca="1"/>
      </c>
      <c r="HY91">
        <f ca="1"/>
      </c>
    </row>
    <row r="92" spans="4:233" x14ac:dyDescent="0.55000000000000004"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GR92" s="11"/>
      <c r="GS92" s="11"/>
      <c r="GT92" s="11"/>
      <c r="GU92" s="11"/>
      <c r="GV92" s="11"/>
      <c r="HS92">
        <f ca="1"/>
      </c>
      <c r="HT92">
        <f ca="1"/>
      </c>
      <c r="HU92">
        <f ca="1"/>
      </c>
      <c r="HV92">
        <f ca="1"/>
      </c>
      <c r="HW92">
        <f ca="1"/>
      </c>
      <c r="HX92">
        <f ca="1"/>
      </c>
      <c r="HY92">
        <f ca="1"/>
      </c>
    </row>
    <row r="93" spans="4:233" x14ac:dyDescent="0.55000000000000004"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GR93" s="11"/>
      <c r="GS93" s="11"/>
      <c r="GT93" s="11"/>
      <c r="GU93" s="11"/>
      <c r="GV93" s="11"/>
      <c r="HS93">
        <f ca="1"/>
      </c>
      <c r="HT93">
        <f ca="1"/>
      </c>
      <c r="HU93">
        <f ca="1"/>
      </c>
      <c r="HV93">
        <f ca="1"/>
      </c>
      <c r="HW93">
        <f ca="1"/>
      </c>
      <c r="HX93">
        <f ca="1"/>
      </c>
      <c r="HY93">
        <f ca="1"/>
      </c>
    </row>
    <row r="94" spans="4:233" x14ac:dyDescent="0.55000000000000004"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GR94" s="11"/>
      <c r="GS94" s="11"/>
      <c r="GT94" s="11"/>
      <c r="GU94" s="11"/>
      <c r="GV94" s="11"/>
      <c r="HS94">
        <f ca="1"/>
      </c>
      <c r="HT94">
        <f ca="1"/>
      </c>
      <c r="HU94">
        <f ca="1"/>
      </c>
      <c r="HV94">
        <f ca="1"/>
      </c>
      <c r="HW94">
        <f ca="1"/>
      </c>
      <c r="HX94">
        <f ca="1"/>
      </c>
      <c r="HY94">
        <f ca="1"/>
      </c>
    </row>
    <row r="95" spans="4:233" x14ac:dyDescent="0.55000000000000004"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GR95" s="11"/>
      <c r="GS95" s="11"/>
      <c r="GT95" s="11"/>
      <c r="GU95" s="11"/>
      <c r="GV95" s="11"/>
      <c r="HS95">
        <f ca="1"/>
      </c>
      <c r="HT95">
        <f ca="1"/>
      </c>
      <c r="HU95">
        <f ca="1"/>
      </c>
      <c r="HV95">
        <f ca="1"/>
      </c>
      <c r="HW95">
        <f ca="1"/>
      </c>
      <c r="HX95">
        <f ca="1"/>
      </c>
      <c r="HY95">
        <f ca="1"/>
      </c>
    </row>
    <row r="96" spans="4:233" x14ac:dyDescent="0.55000000000000004"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GR96" s="11"/>
      <c r="GS96" s="11"/>
      <c r="GT96" s="11"/>
      <c r="GU96" s="11"/>
      <c r="GV96" s="11"/>
      <c r="HS96">
        <f ca="1"/>
      </c>
      <c r="HT96">
        <f ca="1"/>
      </c>
      <c r="HU96">
        <f ca="1"/>
      </c>
      <c r="HV96">
        <f ca="1"/>
      </c>
      <c r="HW96">
        <f ca="1"/>
      </c>
      <c r="HX96">
        <f ca="1"/>
      </c>
      <c r="HY96">
        <f ca="1"/>
      </c>
    </row>
    <row r="97" spans="4:233" x14ac:dyDescent="0.55000000000000004"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HS97">
        <f ca="1"/>
      </c>
      <c r="HT97">
        <f ca="1"/>
      </c>
      <c r="HU97">
        <f ca="1"/>
      </c>
      <c r="HV97">
        <f ca="1"/>
      </c>
      <c r="HW97">
        <f ca="1"/>
      </c>
      <c r="HX97">
        <f ca="1"/>
      </c>
      <c r="HY97">
        <f ca="1"/>
      </c>
    </row>
    <row r="98" spans="4:233" x14ac:dyDescent="0.55000000000000004"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HS98">
        <f ca="1"/>
      </c>
      <c r="HT98">
        <f ca="1"/>
      </c>
      <c r="HU98">
        <f ca="1"/>
      </c>
      <c r="HV98">
        <f ca="1"/>
      </c>
      <c r="HW98">
        <f ca="1"/>
      </c>
      <c r="HX98">
        <f ca="1"/>
      </c>
      <c r="HY98">
        <f ca="1"/>
      </c>
    </row>
    <row r="99" spans="4:233" x14ac:dyDescent="0.55000000000000004"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HS99">
        <f ca="1"/>
      </c>
      <c r="HT99">
        <f ca="1"/>
      </c>
      <c r="HU99">
        <f ca="1"/>
      </c>
      <c r="HV99">
        <f ca="1"/>
      </c>
      <c r="HW99">
        <f ca="1"/>
      </c>
      <c r="HX99">
        <f ca="1"/>
      </c>
      <c r="HY99">
        <f ca="1"/>
      </c>
    </row>
    <row r="100" spans="4:233" x14ac:dyDescent="0.55000000000000004"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HS100">
        <f ca="1"/>
      </c>
      <c r="HT100">
        <f ca="1"/>
      </c>
      <c r="HU100">
        <f ca="1"/>
      </c>
      <c r="HV100">
        <f ca="1"/>
      </c>
      <c r="HW100">
        <f ca="1"/>
      </c>
      <c r="HX100">
        <f ca="1"/>
      </c>
      <c r="HY100">
        <f ca="1"/>
      </c>
    </row>
    <row r="101" spans="4:233" x14ac:dyDescent="0.55000000000000004"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HS101">
        <f ca="1"/>
      </c>
      <c r="HT101">
        <f ca="1"/>
      </c>
      <c r="HU101">
        <f ca="1"/>
      </c>
      <c r="HV101">
        <f ca="1"/>
      </c>
      <c r="HW101">
        <f ca="1"/>
      </c>
      <c r="HX101">
        <f ca="1"/>
      </c>
      <c r="HY101">
        <f ca="1"/>
      </c>
    </row>
    <row r="102" spans="4:233" x14ac:dyDescent="0.55000000000000004"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HS102">
        <f ca="1"/>
      </c>
      <c r="HT102">
        <f ca="1"/>
      </c>
      <c r="HU102">
        <f ca="1"/>
      </c>
      <c r="HV102">
        <f ca="1"/>
      </c>
      <c r="HW102">
        <f ca="1"/>
      </c>
      <c r="HX102">
        <f ca="1"/>
      </c>
      <c r="HY102">
        <f ca="1"/>
      </c>
    </row>
    <row r="103" spans="4:233" x14ac:dyDescent="0.55000000000000004"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HS103">
        <f ca="1"/>
      </c>
      <c r="HT103">
        <f ca="1"/>
      </c>
      <c r="HU103">
        <f ca="1"/>
      </c>
      <c r="HV103">
        <f ca="1"/>
      </c>
      <c r="HW103">
        <f ca="1"/>
      </c>
      <c r="HX103">
        <f ca="1"/>
      </c>
      <c r="HY103">
        <f ca="1"/>
      </c>
    </row>
    <row r="104" spans="4:233" x14ac:dyDescent="0.55000000000000004"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EP104" t="s">
        <v>153</v>
      </c>
      <c r="EQ104" cm="1">
        <f t="array" aca="1" ref="EQ104:FR121" ca="1">_xlfn.LET(_xlpm.g,_xlfn.DROP(_xlfn.ANCHORARRAY($CO$4),1),_xlfn._xlws.FILTER(_xlpm.g,_xlfn.TAKE(_xlpm.g,,1)=3))</f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GQ104" t="s">
        <v>169</v>
      </c>
      <c r="GR104" cm="1">
        <f t="array" aca="1" ref="GR104" ca="1">IFERROR(_xlfn.LET(_xlpm.R,_xlfn.ANCHORARRAY($GR$105),_xlpm.a,ABS(_xlpm.R),"k="&amp;$D$12&amp;"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04" cm="1">
        <f t="array" aca="1" ref="GS104" ca="1">IFERROR(_xlfn.LET(_xlpm.R,_xlfn.ANCHORARRAY($GS$105),_xlpm.a,ABS(_xlpm.R),"k="&amp;$D$28&amp;"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04" cm="1">
        <f t="array" aca="1" ref="GT104" ca="1">IFERROR(_xlfn.LET(_xlpm.R,_xlfn.ANCHORARRAY($GT$105),_xlpm.a,ABS(_xlpm.R),"k="&amp;$D$44&amp;"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04" cm="1">
        <f t="array" aca="1" ref="GU104" ca="1">IFERROR(_xlfn.LET(_xlpm.R,_xlfn.ANCHORARRAY($GU$105),_xlpm.a,ABS(_xlpm.R),"k="&amp;$D$60&amp;"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04" cm="1">
        <f t="array" aca="1" ref="GV104" ca="1">IFERROR(_xlfn.LET(_xlpm.R,_xlfn.ANCHORARRAY($GV$105),_xlpm.a,ABS(_xlpm.R),"k="&amp;$D$76&amp;"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04" t="s">
        <v>44</v>
      </c>
      <c r="GY104" t="s">
        <v>45</v>
      </c>
      <c r="GZ104" t="s">
        <v>46</v>
      </c>
      <c r="HA104" t="s">
        <v>47</v>
      </c>
      <c r="HB104" t="s">
        <v>48</v>
      </c>
      <c r="HD104" t="s">
        <v>174</v>
      </c>
      <c r="HE104">
        <f>"Actual / Mean / Recon (k="&amp;$D$108&amp;")  dashed: Mean ±1σ"</f>
      </c>
      <c r="HF104" t="s">
        <v>175</v>
      </c>
      <c r="HG104" t="s">
        <v>176</v>
      </c>
      <c r="HH104" t="s">
        <v>179</v>
      </c>
      <c r="HI104" t="s">
        <v>180</v>
      </c>
      <c r="HJ104" t="s">
        <v>181</v>
      </c>
      <c r="HK104" t="s">
        <v>182</v>
      </c>
      <c r="HL104" t="s">
        <v>183</v>
      </c>
      <c r="HM104" t="s">
        <v>184</v>
      </c>
      <c r="HN104" t="s">
        <v>185</v>
      </c>
      <c r="HO104" t="s">
        <v>186</v>
      </c>
      <c r="HP104" t="s">
        <v>187</v>
      </c>
      <c r="HQ104" t="s">
        <v>188</v>
      </c>
      <c r="HR104" t="s">
        <v>189</v>
      </c>
      <c r="HS104">
        <f ca="1"/>
      </c>
      <c r="HT104">
        <f ca="1"/>
      </c>
      <c r="HU104">
        <f ca="1"/>
      </c>
      <c r="HV104">
        <f ca="1"/>
      </c>
      <c r="HW104">
        <f ca="1"/>
      </c>
      <c r="HX104">
        <f ca="1"/>
      </c>
      <c r="HY104">
        <f ca="1"/>
      </c>
    </row>
    <row r="105" spans="4:233" x14ac:dyDescent="0.55000000000000004"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GQ105" cm="1">
        <f t="array" aca="1" ref="GQ105:GQ122" ca="1">IF($S$6="Change",_xlfn.ANCHORARRAY($CJ$4),_xlfn.ANCHORARRAY($CI$4))</f>
      </c>
      <c r="GR105" s="11" cm="1">
        <f t="array" aca="1" ref="GR105:GR122" ca="1">_xlfn.LET(_xlpm.sl,_xlfn.ANCHORARRAY($EQ$104),_xlpm.mu,_xlfn.CHOOSECOLS(_xlpm.sl,8),_xlpm.sg,_xlfn.CHOOSECOLS(_xlpm.sl,9),_xlpm.x,_xlfn.ANCHORARRAY($GQ$105),_xlpm.V,_xlfn.TAKE(_xlfn.DROP(_xlpm.sl,,10),,$D$12),(_xlpm.x-(_xlpm.mu+_xlpm.sg*MMULT(_xlpm.V,MMULT(TRANSPOSE(_xlpm.V),(_xlpm.x-_xlpm.mu)/_xlpm.sg))))*100)</f>
      </c>
      <c r="GS105" s="11" cm="1">
        <f t="array" aca="1" ref="GS105:GS122" ca="1">_xlfn.LET(_xlpm.sl,_xlfn.ANCHORARRAY($EQ$104),_xlpm.mu,_xlfn.CHOOSECOLS(_xlpm.sl,8),_xlpm.sg,_xlfn.CHOOSECOLS(_xlpm.sl,9),_xlpm.x,_xlfn.ANCHORARRAY($GQ$105),_xlpm.V,_xlfn.TAKE(_xlfn.DROP(_xlpm.sl,,10),,$D$28),(_xlpm.x-(_xlpm.mu+_xlpm.sg*MMULT(_xlpm.V,MMULT(TRANSPOSE(_xlpm.V),(_xlpm.x-_xlpm.mu)/_xlpm.sg))))*100)</f>
      </c>
      <c r="GT105" s="11" cm="1">
        <f t="array" aca="1" ref="GT105:GT122" ca="1">_xlfn.LET(_xlpm.sl,_xlfn.ANCHORARRAY($EQ$104),_xlpm.mu,_xlfn.CHOOSECOLS(_xlpm.sl,8),_xlpm.sg,_xlfn.CHOOSECOLS(_xlpm.sl,9),_xlpm.x,_xlfn.ANCHORARRAY($GQ$105),_xlpm.V,_xlfn.TAKE(_xlfn.DROP(_xlpm.sl,,10),,$D$44),(_xlpm.x-(_xlpm.mu+_xlpm.sg*MMULT(_xlpm.V,MMULT(TRANSPOSE(_xlpm.V),(_xlpm.x-_xlpm.mu)/_xlpm.sg))))*100)</f>
      </c>
      <c r="GU105" s="11" cm="1">
        <f t="array" aca="1" ref="GU105:GU122" ca="1">_xlfn.LET(_xlpm.sl,_xlfn.ANCHORARRAY($EQ$104),_xlpm.mu,_xlfn.CHOOSECOLS(_xlpm.sl,8),_xlpm.sg,_xlfn.CHOOSECOLS(_xlpm.sl,9),_xlpm.x,_xlfn.ANCHORARRAY($GQ$105),_xlpm.V,_xlfn.TAKE(_xlfn.DROP(_xlpm.sl,,10),,$D$60),(_xlpm.x-(_xlpm.mu+_xlpm.sg*MMULT(_xlpm.V,MMULT(TRANSPOSE(_xlpm.V),(_xlpm.x-_xlpm.mu)/_xlpm.sg))))*100)</f>
      </c>
      <c r="GV105" s="11" cm="1">
        <f t="array" aca="1" ref="GV105:GV122" ca="1">_xlfn.LET(_xlpm.sl,_xlfn.ANCHORARRAY($EQ$104),_xlpm.mu,_xlfn.CHOOSECOLS(_xlpm.sl,8),_xlpm.sg,_xlfn.CHOOSECOLS(_xlpm.sl,9),_xlpm.x,_xlfn.ANCHORARRAY($GQ$105),_xlpm.V,_xlfn.TAKE(_xlfn.DROP(_xlpm.sl,,10),,$D$76),(_xlpm.x-(_xlpm.mu+_xlpm.sg*MMULT(_xlpm.V,MMULT(TRANSPOSE(_xlpm.V),(_xlpm.x-_xlpm.mu)/_xlpm.sg))))*100)</f>
      </c>
      <c r="GX105" cm="1">
        <f t="array" aca="1" ref="GX105:GX122" ca="1">_xlfn.LET(_xlpm.V,_xlfn.DROP(_xlfn.ANCHORARRAY($EQ$104),,10),IF(1&lt;=COLUMNS(_xlpm.V),_xlfn.CHOOSECOLS(_xlpm.V,1),IF(_xlfn.SEQUENCE(ROWS(_xlpm.V)),NA())))</f>
      </c>
      <c r="GY105" cm="1">
        <f t="array" aca="1" ref="GY105:GY122" ca="1">_xlfn.LET(_xlpm.V,_xlfn.DROP(_xlfn.ANCHORARRAY($EQ$104),,10),IF(2&lt;=COLUMNS(_xlpm.V),_xlfn.CHOOSECOLS(_xlpm.V,2),IF(_xlfn.SEQUENCE(ROWS(_xlpm.V)),NA())))</f>
      </c>
      <c r="GZ105" cm="1">
        <f t="array" aca="1" ref="GZ105:GZ122" ca="1">_xlfn.LET(_xlpm.V,_xlfn.DROP(_xlfn.ANCHORARRAY($EQ$104),,10),IF(3&lt;=COLUMNS(_xlpm.V),_xlfn.CHOOSECOLS(_xlpm.V,3),IF(_xlfn.SEQUENCE(ROWS(_xlpm.V)),NA())))</f>
      </c>
      <c r="HA105" cm="1">
        <f t="array" aca="1" ref="HA105:HA122" ca="1">_xlfn.LET(_xlpm.V,_xlfn.DROP(_xlfn.ANCHORARRAY($EQ$104),,10),IF(4&lt;=COLUMNS(_xlpm.V),_xlfn.CHOOSECOLS(_xlpm.V,4),IF(_xlfn.SEQUENCE(ROWS(_xlpm.V)),NA())))</f>
      </c>
      <c r="HB105" cm="1">
        <f t="array" aca="1" ref="HB105:HB122" ca="1">_xlfn.LET(_xlpm.V,_xlfn.DROP(_xlfn.ANCHORARRAY($EQ$104),,10),IF(5&lt;=COLUMNS(_xlpm.V),_xlfn.CHOOSECOLS(_xlpm.V,5),IF(_xlfn.SEQUENCE(ROWS(_xlpm.V)),NA())))</f>
      </c>
      <c r="HD105" cm="1">
        <f t="array" aca="1" ref="HD105:HD122" ca="1">_xlfn.CHOOSECOLS(_xlfn.ANCHORARRAY($EQ$104),8)</f>
      </c>
      <c r="HE105" cm="1">
        <f t="array" aca="1" ref="HE105:HE122" ca="1">_xlfn.LET(_xlpm.sl,_xlfn.ANCHORARRAY($EQ$104),_xlpm.mu,_xlfn.CHOOSECOLS(_xlpm.sl,8),_xlpm.sg,_xlfn.CHOOSECOLS(_xlpm.sl,9),_xlpm.x,_xlfn.ANCHORARRAY($GQ$105),_xlpm.V,_xlfn.TAKE(_xlfn.DROP(_xlpm.sl,,10),,$D$108),_xlpm.mu+_xlpm.sg*MMULT(_xlpm.V,MMULT(TRANSPOSE(_xlpm.V),(_xlpm.x-_xlpm.mu)/_xlpm.sg)))</f>
      </c>
      <c r="HF105" cm="1">
        <f t="array" aca="1" ref="HF105:HF122" ca="1">_xlfn.CHOOSECOLS(_xlfn.ANCHORARRAY($EQ$104),8)+_xlfn.CHOOSECOLS(_xlfn.ANCHORARRAY($EQ$104),10)</f>
      </c>
      <c r="HG105" cm="1">
        <f t="array" aca="1" ref="HG105:HG122" ca="1">_xlfn.CHOOSECOLS(_xlfn.ANCHORARRAY($EQ$104),8)-_xlfn.CHOOSECOLS(_xlfn.ANCHORARRAY($EQ$104),10)</f>
      </c>
      <c r="HH105" cm="1">
        <f t="array" aca="1" ref="HH105:HH122" ca="1">_xlfn.LET(_xlpm.v,_xlfn.CHOOSECOLS(_xlfn._xlws.FILTER(_xlfn.DROP(_xlfn.ANCHORARRAY($HS$4),1),_xlfn.TAKE(_xlfn.DROP(_xlfn.ANCHORARRAY($HS$4),1),,1)=3),3),IF(_xlpm.v="",NA(),_xlpm.v))</f>
      </c>
      <c r="HI105" cm="1">
        <f t="array" aca="1" ref="HI105:HI122" ca="1">-_xlfn.ANCHORARRAY($HH$105)</f>
      </c>
      <c r="HJ105" cm="1">
        <f t="array" aca="1" ref="HJ105:HJ122" ca="1">_xlfn.LET(_xlpm.v,_xlfn.CHOOSECOLS(_xlfn._xlws.FILTER(_xlfn.DROP(_xlfn.ANCHORARRAY($HS$4),1),_xlfn.TAKE(_xlfn.DROP(_xlfn.ANCHORARRAY($HS$4),1),,1)=3),4),IF(_xlpm.v="",NA(),_xlpm.v))</f>
      </c>
      <c r="HK105" cm="1">
        <f t="array" aca="1" ref="HK105:HK122" ca="1">-_xlfn.ANCHORARRAY($HJ$105)</f>
      </c>
      <c r="HL105" cm="1">
        <f t="array" aca="1" ref="HL105:HL122" ca="1">_xlfn.LET(_xlpm.v,_xlfn.CHOOSECOLS(_xlfn._xlws.FILTER(_xlfn.DROP(_xlfn.ANCHORARRAY($HS$4),1),_xlfn.TAKE(_xlfn.DROP(_xlfn.ANCHORARRAY($HS$4),1),,1)=3),5),IF(_xlpm.v="",NA(),_xlpm.v))</f>
      </c>
      <c r="HM105" cm="1">
        <f t="array" aca="1" ref="HM105:HM122" ca="1">-_xlfn.ANCHORARRAY($HL$105)</f>
      </c>
      <c r="HN105" cm="1">
        <f t="array" aca="1" ref="HN105:HN122" ca="1">_xlfn.LET(_xlpm.v,_xlfn.CHOOSECOLS(_xlfn._xlws.FILTER(_xlfn.DROP(_xlfn.ANCHORARRAY($HS$4),1),_xlfn.TAKE(_xlfn.DROP(_xlfn.ANCHORARRAY($HS$4),1),,1)=3),6),IF(_xlpm.v="",NA(),_xlpm.v))</f>
      </c>
      <c r="HO105" cm="1">
        <f t="array" aca="1" ref="HO105:HO122" ca="1">-_xlfn.ANCHORARRAY($HN$105)</f>
      </c>
      <c r="HP105" cm="1">
        <f t="array" aca="1" ref="HP105:HP122" ca="1">_xlfn.LET(_xlpm.v,_xlfn.CHOOSECOLS(_xlfn._xlws.FILTER(_xlfn.DROP(_xlfn.ANCHORARRAY($HS$4),1),_xlfn.TAKE(_xlfn.DROP(_xlfn.ANCHORARRAY($HS$4),1),,1)=3),7),IF(_xlpm.v="",NA(),_xlpm.v))</f>
      </c>
      <c r="HQ105" cm="1">
        <f t="array" aca="1" ref="HQ105:HQ122" ca="1">-_xlfn.ANCHORARRAY($HP$105)</f>
      </c>
      <c r="HR105" cm="1">
        <f t="array" aca="1" ref="HR105" ca="1">IFERROR(INDEX(_xlfn._xlws.FILTER(_xlfn.DROP(_xlfn.ANCHORARRAY($HS$4),1),_xlfn.TAKE(_xlfn.DROP(_xlfn.ANCHORARRAY($HS$4),1),,1)=3),1,2),"")</f>
      </c>
      <c r="HS105">
        <f ca="1"/>
      </c>
      <c r="HT105">
        <f ca="1"/>
      </c>
      <c r="HU105">
        <f ca="1"/>
      </c>
      <c r="HV105">
        <f ca="1"/>
      </c>
      <c r="HW105">
        <f ca="1"/>
      </c>
      <c r="HX105">
        <f ca="1"/>
      </c>
      <c r="HY105">
        <f ca="1"/>
      </c>
    </row>
    <row r="106" spans="4:233" x14ac:dyDescent="0.55000000000000004"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GQ106">
        <f ca="1"/>
      </c>
      <c r="GR106" s="11">
        <f ca="1"/>
      </c>
      <c r="GS106" s="11">
        <f ca="1"/>
      </c>
      <c r="GT106" s="11">
        <f ca="1"/>
      </c>
      <c r="GU106" s="11">
        <f ca="1"/>
      </c>
      <c r="GV106" s="11">
        <f ca="1"/>
      </c>
      <c r="GX106">
        <f ca="1"/>
      </c>
      <c r="GY106">
        <f ca="1"/>
      </c>
      <c r="GZ106">
        <f ca="1"/>
      </c>
      <c r="HA106">
        <f ca="1"/>
      </c>
      <c r="HB106">
        <f ca="1"/>
      </c>
      <c r="HD106">
        <f ca="1"/>
      </c>
      <c r="HE106">
        <f ca="1"/>
      </c>
      <c r="HF106">
        <f ca="1"/>
      </c>
      <c r="HG106">
        <f ca="1"/>
      </c>
      <c r="HH106">
        <f ca="1"/>
      </c>
      <c r="HI106">
        <f ca="1"/>
      </c>
      <c r="HJ106">
        <f ca="1"/>
      </c>
      <c r="HK106">
        <f ca="1"/>
      </c>
      <c r="HL106">
        <f ca="1"/>
      </c>
      <c r="HM106">
        <f ca="1"/>
      </c>
      <c r="HN106">
        <f ca="1"/>
      </c>
      <c r="HO106">
        <f ca="1"/>
      </c>
      <c r="HP106">
        <f ca="1"/>
      </c>
      <c r="HQ106">
        <f ca="1"/>
      </c>
      <c r="HS106">
        <f ca="1"/>
      </c>
      <c r="HT106">
        <f ca="1"/>
      </c>
      <c r="HU106">
        <f ca="1"/>
      </c>
      <c r="HV106">
        <f ca="1"/>
      </c>
      <c r="HW106">
        <f ca="1"/>
      </c>
      <c r="HX106">
        <f ca="1"/>
      </c>
      <c r="HY106">
        <f ca="1"/>
      </c>
    </row>
    <row r="107" spans="4:233" x14ac:dyDescent="0.55000000000000004">
      <c r="D107" t="s">
        <v>163</v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GQ107">
        <f ca="1"/>
      </c>
      <c r="GR107" s="11">
        <f ca="1"/>
      </c>
      <c r="GS107" s="11">
        <f ca="1"/>
      </c>
      <c r="GT107" s="11">
        <f ca="1"/>
      </c>
      <c r="GU107" s="11">
        <f ca="1"/>
      </c>
      <c r="GV107" s="11">
        <f ca="1"/>
      </c>
      <c r="GX107">
        <f ca="1"/>
      </c>
      <c r="GY107">
        <f ca="1"/>
      </c>
      <c r="GZ107">
        <f ca="1"/>
      </c>
      <c r="HA107">
        <f ca="1"/>
      </c>
      <c r="HB107">
        <f ca="1"/>
      </c>
      <c r="HD107">
        <f ca="1"/>
      </c>
      <c r="HE107">
        <f ca="1"/>
      </c>
      <c r="HF107">
        <f ca="1"/>
      </c>
      <c r="HG107">
        <f ca="1"/>
      </c>
      <c r="HH107">
        <f ca="1"/>
      </c>
      <c r="HI107">
        <f ca="1"/>
      </c>
      <c r="HJ107">
        <f ca="1"/>
      </c>
      <c r="HK107">
        <f ca="1"/>
      </c>
      <c r="HL107">
        <f ca="1"/>
      </c>
      <c r="HM107">
        <f ca="1"/>
      </c>
      <c r="HN107">
        <f ca="1"/>
      </c>
      <c r="HO107">
        <f ca="1"/>
      </c>
      <c r="HP107">
        <f ca="1"/>
      </c>
      <c r="HQ107">
        <f ca="1"/>
      </c>
      <c r="HS107">
        <f ca="1"/>
      </c>
      <c r="HT107">
        <f ca="1"/>
      </c>
      <c r="HU107">
        <f ca="1"/>
      </c>
      <c r="HV107">
        <f ca="1"/>
      </c>
      <c r="HW107">
        <f ca="1"/>
      </c>
      <c r="HX107">
        <f ca="1"/>
      </c>
      <c r="HY107">
        <f ca="1"/>
      </c>
    </row>
    <row r="108" spans="4:233" x14ac:dyDescent="0.55000000000000004">
      <c r="D108" s="2">
        <v>3</v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GQ108">
        <f ca="1"/>
      </c>
      <c r="GR108" s="11">
        <f ca="1"/>
      </c>
      <c r="GS108" s="11">
        <f ca="1"/>
      </c>
      <c r="GT108" s="11">
        <f ca="1"/>
      </c>
      <c r="GU108" s="11">
        <f ca="1"/>
      </c>
      <c r="GV108" s="11">
        <f ca="1"/>
      </c>
      <c r="GX108">
        <f ca="1"/>
      </c>
      <c r="GY108">
        <f ca="1"/>
      </c>
      <c r="GZ108">
        <f ca="1"/>
      </c>
      <c r="HA108">
        <f ca="1"/>
      </c>
      <c r="HB108">
        <f ca="1"/>
      </c>
      <c r="HD108">
        <f ca="1"/>
      </c>
      <c r="HE108">
        <f ca="1"/>
      </c>
      <c r="HF108">
        <f ca="1"/>
      </c>
      <c r="HG108">
        <f ca="1"/>
      </c>
      <c r="HH108">
        <f ca="1"/>
      </c>
      <c r="HI108">
        <f ca="1"/>
      </c>
      <c r="HJ108">
        <f ca="1"/>
      </c>
      <c r="HK108">
        <f ca="1"/>
      </c>
      <c r="HL108">
        <f ca="1"/>
      </c>
      <c r="HM108">
        <f ca="1"/>
      </c>
      <c r="HN108">
        <f ca="1"/>
      </c>
      <c r="HO108">
        <f ca="1"/>
      </c>
      <c r="HP108">
        <f ca="1"/>
      </c>
      <c r="HQ108">
        <f ca="1"/>
      </c>
      <c r="HS108">
        <f ca="1"/>
      </c>
      <c r="HT108">
        <f ca="1"/>
      </c>
      <c r="HU108">
        <f ca="1"/>
      </c>
      <c r="HV108">
        <f ca="1"/>
      </c>
      <c r="HW108">
        <f ca="1"/>
      </c>
      <c r="HX108">
        <f ca="1"/>
      </c>
      <c r="HY108">
        <f ca="1"/>
      </c>
    </row>
    <row r="109" spans="4:233" x14ac:dyDescent="0.55000000000000004"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GQ109">
        <f ca="1"/>
      </c>
      <c r="GR109" s="11">
        <f ca="1"/>
      </c>
      <c r="GS109" s="11">
        <f ca="1"/>
      </c>
      <c r="GT109" s="11">
        <f ca="1"/>
      </c>
      <c r="GU109" s="11">
        <f ca="1"/>
      </c>
      <c r="GV109" s="11">
        <f ca="1"/>
      </c>
      <c r="GX109">
        <f ca="1"/>
      </c>
      <c r="GY109">
        <f ca="1"/>
      </c>
      <c r="GZ109">
        <f ca="1"/>
      </c>
      <c r="HA109">
        <f ca="1"/>
      </c>
      <c r="HB109">
        <f ca="1"/>
      </c>
      <c r="HD109">
        <f ca="1"/>
      </c>
      <c r="HE109">
        <f ca="1"/>
      </c>
      <c r="HF109">
        <f ca="1"/>
      </c>
      <c r="HG109">
        <f ca="1"/>
      </c>
      <c r="HH109">
        <f ca="1"/>
      </c>
      <c r="HI109">
        <f ca="1"/>
      </c>
      <c r="HJ109">
        <f ca="1"/>
      </c>
      <c r="HK109">
        <f ca="1"/>
      </c>
      <c r="HL109">
        <f ca="1"/>
      </c>
      <c r="HM109">
        <f ca="1"/>
      </c>
      <c r="HN109">
        <f ca="1"/>
      </c>
      <c r="HO109">
        <f ca="1"/>
      </c>
      <c r="HP109">
        <f ca="1"/>
      </c>
      <c r="HQ109">
        <f ca="1"/>
      </c>
      <c r="HS109">
        <f ca="1"/>
      </c>
      <c r="HT109">
        <f ca="1"/>
      </c>
      <c r="HU109">
        <f ca="1"/>
      </c>
      <c r="HV109">
        <f ca="1"/>
      </c>
      <c r="HW109">
        <f ca="1"/>
      </c>
      <c r="HX109">
        <f ca="1"/>
      </c>
      <c r="HY109">
        <f ca="1"/>
      </c>
    </row>
    <row r="110" spans="4:233" x14ac:dyDescent="0.55000000000000004"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GQ110">
        <f ca="1"/>
      </c>
      <c r="GR110" s="11">
        <f ca="1"/>
      </c>
      <c r="GS110" s="11">
        <f ca="1"/>
      </c>
      <c r="GT110" s="11">
        <f ca="1"/>
      </c>
      <c r="GU110" s="11">
        <f ca="1"/>
      </c>
      <c r="GV110" s="11">
        <f ca="1"/>
      </c>
      <c r="GX110">
        <f ca="1"/>
      </c>
      <c r="GY110">
        <f ca="1"/>
      </c>
      <c r="GZ110">
        <f ca="1"/>
      </c>
      <c r="HA110">
        <f ca="1"/>
      </c>
      <c r="HB110">
        <f ca="1"/>
      </c>
      <c r="HD110">
        <f ca="1"/>
      </c>
      <c r="HE110">
        <f ca="1"/>
      </c>
      <c r="HF110">
        <f ca="1"/>
      </c>
      <c r="HG110">
        <f ca="1"/>
      </c>
      <c r="HH110">
        <f ca="1"/>
      </c>
      <c r="HI110">
        <f ca="1"/>
      </c>
      <c r="HJ110">
        <f ca="1"/>
      </c>
      <c r="HK110">
        <f ca="1"/>
      </c>
      <c r="HL110">
        <f ca="1"/>
      </c>
      <c r="HM110">
        <f ca="1"/>
      </c>
      <c r="HN110">
        <f ca="1"/>
      </c>
      <c r="HO110">
        <f ca="1"/>
      </c>
      <c r="HP110">
        <f ca="1"/>
      </c>
      <c r="HQ110">
        <f ca="1"/>
      </c>
      <c r="HS110">
        <f ca="1"/>
      </c>
      <c r="HT110">
        <f ca="1"/>
      </c>
      <c r="HU110">
        <f ca="1"/>
      </c>
      <c r="HV110">
        <f ca="1"/>
      </c>
      <c r="HW110">
        <f ca="1"/>
      </c>
      <c r="HX110">
        <f ca="1"/>
      </c>
      <c r="HY110">
        <f ca="1"/>
      </c>
    </row>
    <row r="111" spans="4:233" x14ac:dyDescent="0.55000000000000004"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GQ111">
        <f ca="1"/>
      </c>
      <c r="GR111" s="11">
        <f ca="1"/>
      </c>
      <c r="GS111" s="11">
        <f ca="1"/>
      </c>
      <c r="GT111" s="11">
        <f ca="1"/>
      </c>
      <c r="GU111" s="11">
        <f ca="1"/>
      </c>
      <c r="GV111" s="11">
        <f ca="1"/>
      </c>
      <c r="GX111">
        <f ca="1"/>
      </c>
      <c r="GY111">
        <f ca="1"/>
      </c>
      <c r="GZ111">
        <f ca="1"/>
      </c>
      <c r="HA111">
        <f ca="1"/>
      </c>
      <c r="HB111">
        <f ca="1"/>
      </c>
      <c r="HD111">
        <f ca="1"/>
      </c>
      <c r="HE111">
        <f ca="1"/>
      </c>
      <c r="HF111">
        <f ca="1"/>
      </c>
      <c r="HG111">
        <f ca="1"/>
      </c>
      <c r="HH111">
        <f ca="1"/>
      </c>
      <c r="HI111">
        <f ca="1"/>
      </c>
      <c r="HJ111">
        <f ca="1"/>
      </c>
      <c r="HK111">
        <f ca="1"/>
      </c>
      <c r="HL111">
        <f ca="1"/>
      </c>
      <c r="HM111">
        <f ca="1"/>
      </c>
      <c r="HN111">
        <f ca="1"/>
      </c>
      <c r="HO111">
        <f ca="1"/>
      </c>
      <c r="HP111">
        <f ca="1"/>
      </c>
      <c r="HQ111">
        <f ca="1"/>
      </c>
      <c r="HS111">
        <f ca="1"/>
      </c>
      <c r="HT111">
        <f ca="1"/>
      </c>
      <c r="HU111">
        <f ca="1"/>
      </c>
      <c r="HV111">
        <f ca="1"/>
      </c>
      <c r="HW111">
        <f ca="1"/>
      </c>
      <c r="HX111">
        <f ca="1"/>
      </c>
      <c r="HY111">
        <f ca="1"/>
      </c>
    </row>
    <row r="112" spans="4:233" x14ac:dyDescent="0.55000000000000004"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GQ112">
        <f ca="1"/>
      </c>
      <c r="GR112" s="11">
        <f ca="1"/>
      </c>
      <c r="GS112" s="11">
        <f ca="1"/>
      </c>
      <c r="GT112" s="11">
        <f ca="1"/>
      </c>
      <c r="GU112" s="11">
        <f ca="1"/>
      </c>
      <c r="GV112" s="11">
        <f ca="1"/>
      </c>
      <c r="GX112">
        <f ca="1"/>
      </c>
      <c r="GY112">
        <f ca="1"/>
      </c>
      <c r="GZ112">
        <f ca="1"/>
      </c>
      <c r="HA112">
        <f ca="1"/>
      </c>
      <c r="HB112">
        <f ca="1"/>
      </c>
      <c r="HD112">
        <f ca="1"/>
      </c>
      <c r="HE112">
        <f ca="1"/>
      </c>
      <c r="HF112">
        <f ca="1"/>
      </c>
      <c r="HG112">
        <f ca="1"/>
      </c>
      <c r="HH112">
        <f ca="1"/>
      </c>
      <c r="HI112">
        <f ca="1"/>
      </c>
      <c r="HJ112">
        <f ca="1"/>
      </c>
      <c r="HK112">
        <f ca="1"/>
      </c>
      <c r="HL112">
        <f ca="1"/>
      </c>
      <c r="HM112">
        <f ca="1"/>
      </c>
      <c r="HN112">
        <f ca="1"/>
      </c>
      <c r="HO112">
        <f ca="1"/>
      </c>
      <c r="HP112">
        <f ca="1"/>
      </c>
      <c r="HQ112">
        <f ca="1"/>
      </c>
      <c r="HS112">
        <f ca="1"/>
      </c>
      <c r="HT112">
        <f ca="1"/>
      </c>
      <c r="HU112">
        <f ca="1"/>
      </c>
      <c r="HV112">
        <f ca="1"/>
      </c>
      <c r="HW112">
        <f ca="1"/>
      </c>
      <c r="HX112">
        <f ca="1"/>
      </c>
      <c r="HY112">
        <f ca="1"/>
      </c>
    </row>
    <row r="113" spans="93:233" x14ac:dyDescent="0.55000000000000004"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GQ113">
        <f ca="1"/>
      </c>
      <c r="GR113" s="11">
        <f ca="1"/>
      </c>
      <c r="GS113" s="11">
        <f ca="1"/>
      </c>
      <c r="GT113" s="11">
        <f ca="1"/>
      </c>
      <c r="GU113" s="11">
        <f ca="1"/>
      </c>
      <c r="GV113" s="11">
        <f ca="1"/>
      </c>
      <c r="GX113">
        <f ca="1"/>
      </c>
      <c r="GY113">
        <f ca="1"/>
      </c>
      <c r="GZ113">
        <f ca="1"/>
      </c>
      <c r="HA113">
        <f ca="1"/>
      </c>
      <c r="HB113">
        <f ca="1"/>
      </c>
      <c r="HD113">
        <f ca="1"/>
      </c>
      <c r="HE113">
        <f ca="1"/>
      </c>
      <c r="HF113">
        <f ca="1"/>
      </c>
      <c r="HG113">
        <f ca="1"/>
      </c>
      <c r="HH113">
        <f ca="1"/>
      </c>
      <c r="HI113">
        <f ca="1"/>
      </c>
      <c r="HJ113">
        <f ca="1"/>
      </c>
      <c r="HK113">
        <f ca="1"/>
      </c>
      <c r="HL113">
        <f ca="1"/>
      </c>
      <c r="HM113">
        <f ca="1"/>
      </c>
      <c r="HN113">
        <f ca="1"/>
      </c>
      <c r="HO113">
        <f ca="1"/>
      </c>
      <c r="HP113">
        <f ca="1"/>
      </c>
      <c r="HQ113">
        <f ca="1"/>
      </c>
      <c r="HS113">
        <f ca="1"/>
      </c>
      <c r="HT113">
        <f ca="1"/>
      </c>
      <c r="HU113">
        <f ca="1"/>
      </c>
      <c r="HV113">
        <f ca="1"/>
      </c>
      <c r="HW113">
        <f ca="1"/>
      </c>
      <c r="HX113">
        <f ca="1"/>
      </c>
      <c r="HY113">
        <f ca="1"/>
      </c>
    </row>
    <row r="114" spans="93:233" x14ac:dyDescent="0.55000000000000004"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GQ114">
        <f ca="1"/>
      </c>
      <c r="GR114" s="11">
        <f ca="1"/>
      </c>
      <c r="GS114" s="11">
        <f ca="1"/>
      </c>
      <c r="GT114" s="11">
        <f ca="1"/>
      </c>
      <c r="GU114" s="11">
        <f ca="1"/>
      </c>
      <c r="GV114" s="11">
        <f ca="1"/>
      </c>
      <c r="GX114">
        <f ca="1"/>
      </c>
      <c r="GY114">
        <f ca="1"/>
      </c>
      <c r="GZ114">
        <f ca="1"/>
      </c>
      <c r="HA114">
        <f ca="1"/>
      </c>
      <c r="HB114">
        <f ca="1"/>
      </c>
      <c r="HD114">
        <f ca="1"/>
      </c>
      <c r="HE114">
        <f ca="1"/>
      </c>
      <c r="HF114">
        <f ca="1"/>
      </c>
      <c r="HG114">
        <f ca="1"/>
      </c>
      <c r="HH114">
        <f ca="1"/>
      </c>
      <c r="HI114">
        <f ca="1"/>
      </c>
      <c r="HJ114">
        <f ca="1"/>
      </c>
      <c r="HK114">
        <f ca="1"/>
      </c>
      <c r="HL114">
        <f ca="1"/>
      </c>
      <c r="HM114">
        <f ca="1"/>
      </c>
      <c r="HN114">
        <f ca="1"/>
      </c>
      <c r="HO114">
        <f ca="1"/>
      </c>
      <c r="HP114">
        <f ca="1"/>
      </c>
      <c r="HQ114">
        <f ca="1"/>
      </c>
      <c r="HS114">
        <f ca="1"/>
      </c>
      <c r="HT114">
        <f ca="1"/>
      </c>
      <c r="HU114">
        <f ca="1"/>
      </c>
      <c r="HV114">
        <f ca="1"/>
      </c>
      <c r="HW114">
        <f ca="1"/>
      </c>
      <c r="HX114">
        <f ca="1"/>
      </c>
      <c r="HY114">
        <f ca="1"/>
      </c>
    </row>
    <row r="115" spans="93:233" x14ac:dyDescent="0.55000000000000004"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GQ115">
        <f ca="1"/>
      </c>
      <c r="GR115" s="11">
        <f ca="1"/>
      </c>
      <c r="GS115" s="11">
        <f ca="1"/>
      </c>
      <c r="GT115" s="11">
        <f ca="1"/>
      </c>
      <c r="GU115" s="11">
        <f ca="1"/>
      </c>
      <c r="GV115" s="11">
        <f ca="1"/>
      </c>
      <c r="GX115">
        <f ca="1"/>
      </c>
      <c r="GY115">
        <f ca="1"/>
      </c>
      <c r="GZ115">
        <f ca="1"/>
      </c>
      <c r="HA115">
        <f ca="1"/>
      </c>
      <c r="HB115">
        <f ca="1"/>
      </c>
      <c r="HD115">
        <f ca="1"/>
      </c>
      <c r="HE115">
        <f ca="1"/>
      </c>
      <c r="HF115">
        <f ca="1"/>
      </c>
      <c r="HG115">
        <f ca="1"/>
      </c>
      <c r="HH115">
        <f ca="1"/>
      </c>
      <c r="HI115">
        <f ca="1"/>
      </c>
      <c r="HJ115">
        <f ca="1"/>
      </c>
      <c r="HK115">
        <f ca="1"/>
      </c>
      <c r="HL115">
        <f ca="1"/>
      </c>
      <c r="HM115">
        <f ca="1"/>
      </c>
      <c r="HN115">
        <f ca="1"/>
      </c>
      <c r="HO115">
        <f ca="1"/>
      </c>
      <c r="HP115">
        <f ca="1"/>
      </c>
      <c r="HQ115">
        <f ca="1"/>
      </c>
      <c r="HS115">
        <f ca="1"/>
      </c>
      <c r="HT115">
        <f ca="1"/>
      </c>
      <c r="HU115">
        <f ca="1"/>
      </c>
      <c r="HV115">
        <f ca="1"/>
      </c>
      <c r="HW115">
        <f ca="1"/>
      </c>
      <c r="HX115">
        <f ca="1"/>
      </c>
      <c r="HY115">
        <f ca="1"/>
      </c>
    </row>
    <row r="116" spans="93:233" x14ac:dyDescent="0.55000000000000004"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GQ116">
        <f ca="1"/>
      </c>
      <c r="GR116" s="11">
        <f ca="1"/>
      </c>
      <c r="GS116" s="11">
        <f ca="1"/>
      </c>
      <c r="GT116" s="11">
        <f ca="1"/>
      </c>
      <c r="GU116" s="11">
        <f ca="1"/>
      </c>
      <c r="GV116" s="11">
        <f ca="1"/>
      </c>
      <c r="GX116">
        <f ca="1"/>
      </c>
      <c r="GY116">
        <f ca="1"/>
      </c>
      <c r="GZ116">
        <f ca="1"/>
      </c>
      <c r="HA116">
        <f ca="1"/>
      </c>
      <c r="HB116">
        <f ca="1"/>
      </c>
      <c r="HD116">
        <f ca="1"/>
      </c>
      <c r="HE116">
        <f ca="1"/>
      </c>
      <c r="HF116">
        <f ca="1"/>
      </c>
      <c r="HG116">
        <f ca="1"/>
      </c>
      <c r="HH116">
        <f ca="1"/>
      </c>
      <c r="HI116">
        <f ca="1"/>
      </c>
      <c r="HJ116">
        <f ca="1"/>
      </c>
      <c r="HK116">
        <f ca="1"/>
      </c>
      <c r="HL116">
        <f ca="1"/>
      </c>
      <c r="HM116">
        <f ca="1"/>
      </c>
      <c r="HN116">
        <f ca="1"/>
      </c>
      <c r="HO116">
        <f ca="1"/>
      </c>
      <c r="HP116">
        <f ca="1"/>
      </c>
      <c r="HQ116">
        <f ca="1"/>
      </c>
      <c r="HS116">
        <f ca="1"/>
      </c>
      <c r="HT116">
        <f ca="1"/>
      </c>
      <c r="HU116">
        <f ca="1"/>
      </c>
      <c r="HV116">
        <f ca="1"/>
      </c>
      <c r="HW116">
        <f ca="1"/>
      </c>
      <c r="HX116">
        <f ca="1"/>
      </c>
      <c r="HY116">
        <f ca="1"/>
      </c>
    </row>
    <row r="117" spans="93:233" x14ac:dyDescent="0.55000000000000004"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GQ117">
        <f ca="1"/>
      </c>
      <c r="GR117" s="11">
        <f ca="1"/>
      </c>
      <c r="GS117" s="11">
        <f ca="1"/>
      </c>
      <c r="GT117" s="11">
        <f ca="1"/>
      </c>
      <c r="GU117" s="11">
        <f ca="1"/>
      </c>
      <c r="GV117" s="11">
        <f ca="1"/>
      </c>
      <c r="GX117">
        <f ca="1"/>
      </c>
      <c r="GY117">
        <f ca="1"/>
      </c>
      <c r="GZ117">
        <f ca="1"/>
      </c>
      <c r="HA117">
        <f ca="1"/>
      </c>
      <c r="HB117">
        <f ca="1"/>
      </c>
      <c r="HD117">
        <f ca="1"/>
      </c>
      <c r="HE117">
        <f ca="1"/>
      </c>
      <c r="HF117">
        <f ca="1"/>
      </c>
      <c r="HG117">
        <f ca="1"/>
      </c>
      <c r="HH117">
        <f ca="1"/>
      </c>
      <c r="HI117">
        <f ca="1"/>
      </c>
      <c r="HJ117">
        <f ca="1"/>
      </c>
      <c r="HK117">
        <f ca="1"/>
      </c>
      <c r="HL117">
        <f ca="1"/>
      </c>
      <c r="HM117">
        <f ca="1"/>
      </c>
      <c r="HN117">
        <f ca="1"/>
      </c>
      <c r="HO117">
        <f ca="1"/>
      </c>
      <c r="HP117">
        <f ca="1"/>
      </c>
      <c r="HQ117">
        <f ca="1"/>
      </c>
      <c r="HS117">
        <f ca="1"/>
      </c>
      <c r="HT117">
        <f ca="1"/>
      </c>
      <c r="HU117">
        <f ca="1"/>
      </c>
      <c r="HV117">
        <f ca="1"/>
      </c>
      <c r="HW117">
        <f ca="1"/>
      </c>
      <c r="HX117">
        <f ca="1"/>
      </c>
      <c r="HY117">
        <f ca="1"/>
      </c>
    </row>
    <row r="118" spans="93:233" x14ac:dyDescent="0.55000000000000004"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GQ118">
        <f ca="1"/>
      </c>
      <c r="GR118" s="11">
        <f ca="1"/>
      </c>
      <c r="GS118" s="11">
        <f ca="1"/>
      </c>
      <c r="GT118" s="11">
        <f ca="1"/>
      </c>
      <c r="GU118" s="11">
        <f ca="1"/>
      </c>
      <c r="GV118" s="11">
        <f ca="1"/>
      </c>
      <c r="GX118">
        <f ca="1"/>
      </c>
      <c r="GY118">
        <f ca="1"/>
      </c>
      <c r="GZ118">
        <f ca="1"/>
      </c>
      <c r="HA118">
        <f ca="1"/>
      </c>
      <c r="HB118">
        <f ca="1"/>
      </c>
      <c r="HD118">
        <f ca="1"/>
      </c>
      <c r="HE118">
        <f ca="1"/>
      </c>
      <c r="HF118">
        <f ca="1"/>
      </c>
      <c r="HG118">
        <f ca="1"/>
      </c>
      <c r="HH118">
        <f ca="1"/>
      </c>
      <c r="HI118">
        <f ca="1"/>
      </c>
      <c r="HJ118">
        <f ca="1"/>
      </c>
      <c r="HK118">
        <f ca="1"/>
      </c>
      <c r="HL118">
        <f ca="1"/>
      </c>
      <c r="HM118">
        <f ca="1"/>
      </c>
      <c r="HN118">
        <f ca="1"/>
      </c>
      <c r="HO118">
        <f ca="1"/>
      </c>
      <c r="HP118">
        <f ca="1"/>
      </c>
      <c r="HQ118">
        <f ca="1"/>
      </c>
      <c r="HS118">
        <f ca="1"/>
      </c>
      <c r="HT118">
        <f ca="1"/>
      </c>
      <c r="HU118">
        <f ca="1"/>
      </c>
      <c r="HV118">
        <f ca="1"/>
      </c>
      <c r="HW118">
        <f ca="1"/>
      </c>
      <c r="HX118">
        <f ca="1"/>
      </c>
      <c r="HY118">
        <f ca="1"/>
      </c>
    </row>
    <row r="119" spans="93:233" x14ac:dyDescent="0.55000000000000004"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GQ119">
        <f ca="1"/>
      </c>
      <c r="GR119" s="11">
        <f ca="1"/>
      </c>
      <c r="GS119" s="11">
        <f ca="1"/>
      </c>
      <c r="GT119" s="11">
        <f ca="1"/>
      </c>
      <c r="GU119" s="11">
        <f ca="1"/>
      </c>
      <c r="GV119" s="11">
        <f ca="1"/>
      </c>
      <c r="GX119">
        <f ca="1"/>
      </c>
      <c r="GY119">
        <f ca="1"/>
      </c>
      <c r="GZ119">
        <f ca="1"/>
      </c>
      <c r="HA119">
        <f ca="1"/>
      </c>
      <c r="HB119">
        <f ca="1"/>
      </c>
      <c r="HD119">
        <f ca="1"/>
      </c>
      <c r="HE119">
        <f ca="1"/>
      </c>
      <c r="HF119">
        <f ca="1"/>
      </c>
      <c r="HG119">
        <f ca="1"/>
      </c>
      <c r="HH119">
        <f ca="1"/>
      </c>
      <c r="HI119">
        <f ca="1"/>
      </c>
      <c r="HJ119">
        <f ca="1"/>
      </c>
      <c r="HK119">
        <f ca="1"/>
      </c>
      <c r="HL119">
        <f ca="1"/>
      </c>
      <c r="HM119">
        <f ca="1"/>
      </c>
      <c r="HN119">
        <f ca="1"/>
      </c>
      <c r="HO119">
        <f ca="1"/>
      </c>
      <c r="HP119">
        <f ca="1"/>
      </c>
      <c r="HQ119">
        <f ca="1"/>
      </c>
      <c r="HS119">
        <f ca="1"/>
      </c>
      <c r="HT119">
        <f ca="1"/>
      </c>
      <c r="HU119">
        <f ca="1"/>
      </c>
      <c r="HV119">
        <f ca="1"/>
      </c>
      <c r="HW119">
        <f ca="1"/>
      </c>
      <c r="HX119">
        <f ca="1"/>
      </c>
      <c r="HY119">
        <f ca="1"/>
      </c>
    </row>
    <row r="120" spans="93:233" x14ac:dyDescent="0.55000000000000004"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GQ120">
        <f ca="1"/>
      </c>
      <c r="GR120" s="11">
        <f ca="1"/>
      </c>
      <c r="GS120" s="11">
        <f ca="1"/>
      </c>
      <c r="GT120" s="11">
        <f ca="1"/>
      </c>
      <c r="GU120" s="11">
        <f ca="1"/>
      </c>
      <c r="GV120" s="11">
        <f ca="1"/>
      </c>
      <c r="GX120">
        <f ca="1"/>
      </c>
      <c r="GY120">
        <f ca="1"/>
      </c>
      <c r="GZ120">
        <f ca="1"/>
      </c>
      <c r="HA120">
        <f ca="1"/>
      </c>
      <c r="HB120">
        <f ca="1"/>
      </c>
      <c r="HD120">
        <f ca="1"/>
      </c>
      <c r="HE120">
        <f ca="1"/>
      </c>
      <c r="HF120">
        <f ca="1"/>
      </c>
      <c r="HG120">
        <f ca="1"/>
      </c>
      <c r="HH120">
        <f ca="1"/>
      </c>
      <c r="HI120">
        <f ca="1"/>
      </c>
      <c r="HJ120">
        <f ca="1"/>
      </c>
      <c r="HK120">
        <f ca="1"/>
      </c>
      <c r="HL120">
        <f ca="1"/>
      </c>
      <c r="HM120">
        <f ca="1"/>
      </c>
      <c r="HN120">
        <f ca="1"/>
      </c>
      <c r="HO120">
        <f ca="1"/>
      </c>
      <c r="HP120">
        <f ca="1"/>
      </c>
      <c r="HQ120">
        <f ca="1"/>
      </c>
      <c r="HS120">
        <f ca="1"/>
      </c>
      <c r="HT120">
        <f ca="1"/>
      </c>
      <c r="HU120">
        <f ca="1"/>
      </c>
      <c r="HV120">
        <f ca="1"/>
      </c>
      <c r="HW120">
        <f ca="1"/>
      </c>
      <c r="HX120">
        <f ca="1"/>
      </c>
      <c r="HY120">
        <f ca="1"/>
      </c>
    </row>
    <row r="121" spans="93:233" x14ac:dyDescent="0.55000000000000004"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GQ121">
        <f ca="1"/>
      </c>
      <c r="GR121" s="11">
        <f ca="1"/>
      </c>
      <c r="GS121" s="11">
        <f ca="1"/>
      </c>
      <c r="GT121" s="11">
        <f ca="1"/>
      </c>
      <c r="GU121" s="11">
        <f ca="1"/>
      </c>
      <c r="GV121" s="11">
        <f ca="1"/>
      </c>
      <c r="GX121">
        <f ca="1"/>
      </c>
      <c r="GY121">
        <f ca="1"/>
      </c>
      <c r="GZ121">
        <f ca="1"/>
      </c>
      <c r="HA121">
        <f ca="1"/>
      </c>
      <c r="HB121">
        <f ca="1"/>
      </c>
      <c r="HD121">
        <f ca="1"/>
      </c>
      <c r="HE121">
        <f ca="1"/>
      </c>
      <c r="HF121">
        <f ca="1"/>
      </c>
      <c r="HG121">
        <f ca="1"/>
      </c>
      <c r="HH121">
        <f ca="1"/>
      </c>
      <c r="HI121">
        <f ca="1"/>
      </c>
      <c r="HJ121">
        <f ca="1"/>
      </c>
      <c r="HK121">
        <f ca="1"/>
      </c>
      <c r="HL121">
        <f ca="1"/>
      </c>
      <c r="HM121">
        <f ca="1"/>
      </c>
      <c r="HN121">
        <f ca="1"/>
      </c>
      <c r="HO121">
        <f ca="1"/>
      </c>
      <c r="HP121">
        <f ca="1"/>
      </c>
      <c r="HQ121">
        <f ca="1"/>
      </c>
      <c r="HS121">
        <f ca="1"/>
      </c>
      <c r="HT121">
        <f ca="1"/>
      </c>
      <c r="HU121">
        <f ca="1"/>
      </c>
      <c r="HV121">
        <f ca="1"/>
      </c>
      <c r="HW121">
        <f ca="1"/>
      </c>
      <c r="HX121">
        <f ca="1"/>
      </c>
      <c r="HY121">
        <f ca="1"/>
      </c>
    </row>
    <row r="122" spans="93:233" x14ac:dyDescent="0.55000000000000004"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GQ122">
        <f ca="1"/>
      </c>
      <c r="GR122" s="11">
        <f ca="1"/>
      </c>
      <c r="GS122" s="11">
        <f ca="1"/>
      </c>
      <c r="GT122" s="11">
        <f ca="1"/>
      </c>
      <c r="GU122" s="11">
        <f ca="1"/>
      </c>
      <c r="GV122" s="11">
        <f ca="1"/>
      </c>
      <c r="GX122">
        <f ca="1"/>
      </c>
      <c r="GY122">
        <f ca="1"/>
      </c>
      <c r="GZ122">
        <f ca="1"/>
      </c>
      <c r="HA122">
        <f ca="1"/>
      </c>
      <c r="HB122">
        <f ca="1"/>
      </c>
      <c r="HD122">
        <f ca="1"/>
      </c>
      <c r="HE122">
        <f ca="1"/>
      </c>
      <c r="HF122">
        <f ca="1"/>
      </c>
      <c r="HG122">
        <f ca="1"/>
      </c>
      <c r="HH122">
        <f ca="1"/>
      </c>
      <c r="HI122">
        <f ca="1"/>
      </c>
      <c r="HJ122">
        <f ca="1"/>
      </c>
      <c r="HK122">
        <f ca="1"/>
      </c>
      <c r="HL122">
        <f ca="1"/>
      </c>
      <c r="HM122">
        <f ca="1"/>
      </c>
      <c r="HN122">
        <f ca="1"/>
      </c>
      <c r="HO122">
        <f ca="1"/>
      </c>
      <c r="HP122">
        <f ca="1"/>
      </c>
      <c r="HQ122">
        <f ca="1"/>
      </c>
      <c r="HS122">
        <f ca="1"/>
      </c>
      <c r="HT122">
        <f ca="1"/>
      </c>
      <c r="HU122">
        <f ca="1"/>
      </c>
      <c r="HV122">
        <f ca="1"/>
      </c>
      <c r="HW122">
        <f ca="1"/>
      </c>
      <c r="HX122">
        <f ca="1"/>
      </c>
      <c r="HY122">
        <f ca="1"/>
      </c>
    </row>
    <row r="123" spans="93:233" x14ac:dyDescent="0.55000000000000004"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GR123" s="11"/>
      <c r="GS123" s="11"/>
      <c r="GT123" s="11"/>
      <c r="GU123" s="11"/>
      <c r="GV123" s="11"/>
      <c r="HS123">
        <f ca="1"/>
      </c>
      <c r="HT123">
        <f ca="1"/>
      </c>
      <c r="HU123">
        <f ca="1"/>
      </c>
      <c r="HV123">
        <f ca="1"/>
      </c>
      <c r="HW123">
        <f ca="1"/>
      </c>
      <c r="HX123">
        <f ca="1"/>
      </c>
      <c r="HY123">
        <f ca="1"/>
      </c>
    </row>
    <row r="124" spans="93:233" x14ac:dyDescent="0.55000000000000004"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GR124" s="11"/>
      <c r="GS124" s="11"/>
      <c r="GT124" s="11"/>
      <c r="GU124" s="11"/>
      <c r="GV124" s="11"/>
      <c r="HS124">
        <f ca="1"/>
      </c>
      <c r="HT124">
        <f ca="1"/>
      </c>
      <c r="HU124">
        <f ca="1"/>
      </c>
      <c r="HV124">
        <f ca="1"/>
      </c>
      <c r="HW124">
        <f ca="1"/>
      </c>
      <c r="HX124">
        <f ca="1"/>
      </c>
      <c r="HY124">
        <f ca="1"/>
      </c>
    </row>
    <row r="125" spans="93:233" x14ac:dyDescent="0.55000000000000004"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GR125" s="11"/>
      <c r="GS125" s="11"/>
      <c r="GT125" s="11"/>
      <c r="GU125" s="11"/>
      <c r="GV125" s="11"/>
      <c r="HS125">
        <f ca="1"/>
      </c>
      <c r="HT125">
        <f ca="1"/>
      </c>
      <c r="HU125">
        <f ca="1"/>
      </c>
      <c r="HV125">
        <f ca="1"/>
      </c>
      <c r="HW125">
        <f ca="1"/>
      </c>
      <c r="HX125">
        <f ca="1"/>
      </c>
      <c r="HY125">
        <f ca="1"/>
      </c>
    </row>
    <row r="126" spans="93:233" x14ac:dyDescent="0.55000000000000004"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GR126" s="11"/>
      <c r="GS126" s="11"/>
      <c r="GT126" s="11"/>
      <c r="GU126" s="11"/>
      <c r="GV126" s="11"/>
      <c r="HS126">
        <f ca="1"/>
      </c>
      <c r="HT126">
        <f ca="1"/>
      </c>
      <c r="HU126">
        <f ca="1"/>
      </c>
      <c r="HV126">
        <f ca="1"/>
      </c>
      <c r="HW126">
        <f ca="1"/>
      </c>
      <c r="HX126">
        <f ca="1"/>
      </c>
      <c r="HY126">
        <f ca="1"/>
      </c>
    </row>
    <row r="127" spans="93:233" x14ac:dyDescent="0.55000000000000004"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GR127" s="11"/>
      <c r="GS127" s="11"/>
      <c r="GT127" s="11"/>
      <c r="GU127" s="11"/>
      <c r="GV127" s="11"/>
      <c r="HS127">
        <f ca="1"/>
      </c>
      <c r="HT127">
        <f ca="1"/>
      </c>
      <c r="HU127">
        <f ca="1"/>
      </c>
      <c r="HV127">
        <f ca="1"/>
      </c>
      <c r="HW127">
        <f ca="1"/>
      </c>
      <c r="HX127">
        <f ca="1"/>
      </c>
      <c r="HY127">
        <f ca="1"/>
      </c>
    </row>
    <row r="128" spans="93:233" x14ac:dyDescent="0.55000000000000004"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GR128" s="11"/>
      <c r="GS128" s="11"/>
      <c r="GT128" s="11"/>
      <c r="GU128" s="11"/>
      <c r="GV128" s="11"/>
      <c r="HS128">
        <f ca="1"/>
      </c>
      <c r="HT128">
        <f ca="1"/>
      </c>
      <c r="HU128">
        <f ca="1"/>
      </c>
      <c r="HV128">
        <f ca="1"/>
      </c>
      <c r="HW128">
        <f ca="1"/>
      </c>
      <c r="HX128">
        <f ca="1"/>
      </c>
      <c r="HY128">
        <f ca="1"/>
      </c>
    </row>
    <row r="129" spans="93:233" x14ac:dyDescent="0.55000000000000004"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GR129" s="11"/>
      <c r="GS129" s="11"/>
      <c r="GT129" s="11"/>
      <c r="GU129" s="11"/>
      <c r="GV129" s="11"/>
      <c r="HS129">
        <f ca="1"/>
      </c>
      <c r="HT129">
        <f ca="1"/>
      </c>
      <c r="HU129">
        <f ca="1"/>
      </c>
      <c r="HV129">
        <f ca="1"/>
      </c>
      <c r="HW129">
        <f ca="1"/>
      </c>
      <c r="HX129">
        <f ca="1"/>
      </c>
      <c r="HY129">
        <f ca="1"/>
      </c>
    </row>
    <row r="130" spans="93:233" x14ac:dyDescent="0.55000000000000004"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GR130" s="11"/>
      <c r="GS130" s="11"/>
      <c r="GT130" s="11"/>
      <c r="GU130" s="11"/>
      <c r="GV130" s="11"/>
      <c r="HS130">
        <f ca="1"/>
      </c>
      <c r="HT130">
        <f ca="1"/>
      </c>
      <c r="HU130">
        <f ca="1"/>
      </c>
      <c r="HV130">
        <f ca="1"/>
      </c>
      <c r="HW130">
        <f ca="1"/>
      </c>
      <c r="HX130">
        <f ca="1"/>
      </c>
      <c r="HY130">
        <f ca="1"/>
      </c>
    </row>
    <row r="131" spans="93:233" x14ac:dyDescent="0.55000000000000004"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GR131" s="11"/>
      <c r="GS131" s="11"/>
      <c r="GT131" s="11"/>
      <c r="GU131" s="11"/>
      <c r="GV131" s="11"/>
      <c r="HS131">
        <f ca="1"/>
      </c>
      <c r="HT131">
        <f ca="1"/>
      </c>
      <c r="HU131">
        <f ca="1"/>
      </c>
      <c r="HV131">
        <f ca="1"/>
      </c>
      <c r="HW131">
        <f ca="1"/>
      </c>
      <c r="HX131">
        <f ca="1"/>
      </c>
      <c r="HY131">
        <f ca="1"/>
      </c>
    </row>
    <row r="132" spans="93:233" x14ac:dyDescent="0.55000000000000004"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GR132" s="11"/>
      <c r="GS132" s="11"/>
      <c r="GT132" s="11"/>
      <c r="GU132" s="11"/>
      <c r="GV132" s="11"/>
      <c r="HS132">
        <f ca="1"/>
      </c>
      <c r="HT132">
        <f ca="1"/>
      </c>
      <c r="HU132">
        <f ca="1"/>
      </c>
      <c r="HV132">
        <f ca="1"/>
      </c>
      <c r="HW132">
        <f ca="1"/>
      </c>
      <c r="HX132">
        <f ca="1"/>
      </c>
      <c r="HY132">
        <f ca="1"/>
      </c>
    </row>
    <row r="133" spans="93:233" x14ac:dyDescent="0.55000000000000004"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GR133" s="11"/>
      <c r="GS133" s="11"/>
      <c r="GT133" s="11"/>
      <c r="GU133" s="11"/>
      <c r="GV133" s="11"/>
      <c r="HS133">
        <f ca="1"/>
      </c>
      <c r="HT133">
        <f ca="1"/>
      </c>
      <c r="HU133">
        <f ca="1"/>
      </c>
      <c r="HV133">
        <f ca="1"/>
      </c>
      <c r="HW133">
        <f ca="1"/>
      </c>
      <c r="HX133">
        <f ca="1"/>
      </c>
      <c r="HY133">
        <f ca="1"/>
      </c>
    </row>
    <row r="134" spans="93:233" x14ac:dyDescent="0.55000000000000004"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GR134" s="11"/>
      <c r="GS134" s="11"/>
      <c r="GT134" s="11"/>
      <c r="GU134" s="11"/>
      <c r="GV134" s="11"/>
      <c r="HS134">
        <f ca="1"/>
      </c>
      <c r="HT134">
        <f ca="1"/>
      </c>
      <c r="HU134">
        <f ca="1"/>
      </c>
      <c r="HV134">
        <f ca="1"/>
      </c>
      <c r="HW134">
        <f ca="1"/>
      </c>
      <c r="HX134">
        <f ca="1"/>
      </c>
      <c r="HY134">
        <f ca="1"/>
      </c>
    </row>
    <row r="135" spans="93:233" x14ac:dyDescent="0.55000000000000004"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GR135" s="11"/>
      <c r="GS135" s="11"/>
      <c r="GT135" s="11"/>
      <c r="GU135" s="11"/>
      <c r="GV135" s="11"/>
      <c r="HS135">
        <f ca="1"/>
      </c>
      <c r="HT135">
        <f ca="1"/>
      </c>
      <c r="HU135">
        <f ca="1"/>
      </c>
      <c r="HV135">
        <f ca="1"/>
      </c>
      <c r="HW135">
        <f ca="1"/>
      </c>
      <c r="HX135">
        <f ca="1"/>
      </c>
      <c r="HY135">
        <f ca="1"/>
      </c>
    </row>
    <row r="136" spans="93:233" x14ac:dyDescent="0.55000000000000004"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GR136" s="11"/>
      <c r="GS136" s="11"/>
      <c r="GT136" s="11"/>
      <c r="GU136" s="11"/>
      <c r="GV136" s="11"/>
      <c r="HS136">
        <f ca="1"/>
      </c>
      <c r="HT136">
        <f ca="1"/>
      </c>
      <c r="HU136">
        <f ca="1"/>
      </c>
      <c r="HV136">
        <f ca="1"/>
      </c>
      <c r="HW136">
        <f ca="1"/>
      </c>
      <c r="HX136">
        <f ca="1"/>
      </c>
      <c r="HY136">
        <f ca="1"/>
      </c>
    </row>
    <row r="137" spans="93:233" x14ac:dyDescent="0.55000000000000004"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GR137" s="11"/>
      <c r="GS137" s="11"/>
      <c r="GT137" s="11"/>
      <c r="GU137" s="11"/>
      <c r="GV137" s="11"/>
      <c r="HS137">
        <f ca="1"/>
      </c>
      <c r="HT137">
        <f ca="1"/>
      </c>
      <c r="HU137">
        <f ca="1"/>
      </c>
      <c r="HV137">
        <f ca="1"/>
      </c>
      <c r="HW137">
        <f ca="1"/>
      </c>
      <c r="HX137">
        <f ca="1"/>
      </c>
      <c r="HY137">
        <f ca="1"/>
      </c>
    </row>
    <row r="138" spans="93:233" x14ac:dyDescent="0.55000000000000004"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GR138" s="11"/>
      <c r="GS138" s="11"/>
      <c r="GT138" s="11"/>
      <c r="GU138" s="11"/>
      <c r="GV138" s="11"/>
      <c r="HS138">
        <f ca="1"/>
      </c>
      <c r="HT138">
        <f ca="1"/>
      </c>
      <c r="HU138">
        <f ca="1"/>
      </c>
      <c r="HV138">
        <f ca="1"/>
      </c>
      <c r="HW138">
        <f ca="1"/>
      </c>
      <c r="HX138">
        <f ca="1"/>
      </c>
      <c r="HY138">
        <f ca="1"/>
      </c>
    </row>
    <row r="139" spans="93:233" x14ac:dyDescent="0.55000000000000004"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GR139" s="11"/>
      <c r="GS139" s="11"/>
      <c r="GT139" s="11"/>
      <c r="GU139" s="11"/>
      <c r="GV139" s="11"/>
      <c r="HS139">
        <f ca="1"/>
      </c>
      <c r="HT139">
        <f ca="1"/>
      </c>
      <c r="HU139">
        <f ca="1"/>
      </c>
      <c r="HV139">
        <f ca="1"/>
      </c>
      <c r="HW139">
        <f ca="1"/>
      </c>
      <c r="HX139">
        <f ca="1"/>
      </c>
      <c r="HY139">
        <f ca="1"/>
      </c>
    </row>
    <row r="140" spans="93:233" x14ac:dyDescent="0.55000000000000004"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GR140" s="11"/>
      <c r="GS140" s="11"/>
      <c r="GT140" s="11"/>
      <c r="GU140" s="11"/>
      <c r="GV140" s="11"/>
      <c r="HS140">
        <f ca="1"/>
      </c>
      <c r="HT140">
        <f ca="1"/>
      </c>
      <c r="HU140">
        <f ca="1"/>
      </c>
      <c r="HV140">
        <f ca="1"/>
      </c>
      <c r="HW140">
        <f ca="1"/>
      </c>
      <c r="HX140">
        <f ca="1"/>
      </c>
      <c r="HY140">
        <f ca="1"/>
      </c>
    </row>
    <row r="141" spans="93:233" x14ac:dyDescent="0.55000000000000004"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GR141" s="11"/>
      <c r="GS141" s="11"/>
      <c r="GT141" s="11"/>
      <c r="GU141" s="11"/>
      <c r="GV141" s="11"/>
      <c r="HS141">
        <f ca="1"/>
      </c>
      <c r="HT141">
        <f ca="1"/>
      </c>
      <c r="HU141">
        <f ca="1"/>
      </c>
      <c r="HV141">
        <f ca="1"/>
      </c>
      <c r="HW141">
        <f ca="1"/>
      </c>
      <c r="HX141">
        <f ca="1"/>
      </c>
      <c r="HY141">
        <f ca="1"/>
      </c>
    </row>
    <row r="142" spans="93:233" x14ac:dyDescent="0.55000000000000004"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GR142" s="11"/>
      <c r="GS142" s="11"/>
      <c r="GT142" s="11"/>
      <c r="GU142" s="11"/>
      <c r="GV142" s="11"/>
      <c r="HS142">
        <f ca="1"/>
      </c>
      <c r="HT142">
        <f ca="1"/>
      </c>
      <c r="HU142">
        <f ca="1"/>
      </c>
      <c r="HV142">
        <f ca="1"/>
      </c>
      <c r="HW142">
        <f ca="1"/>
      </c>
      <c r="HX142">
        <f ca="1"/>
      </c>
      <c r="HY142">
        <f ca="1"/>
      </c>
    </row>
    <row r="143" spans="93:233" x14ac:dyDescent="0.55000000000000004"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GR143" s="11"/>
      <c r="GS143" s="11"/>
      <c r="GT143" s="11"/>
      <c r="GU143" s="11"/>
      <c r="GV143" s="11"/>
      <c r="HS143">
        <f ca="1"/>
      </c>
      <c r="HT143">
        <f ca="1"/>
      </c>
      <c r="HU143">
        <f ca="1"/>
      </c>
      <c r="HV143">
        <f ca="1"/>
      </c>
      <c r="HW143">
        <f ca="1"/>
      </c>
      <c r="HX143">
        <f ca="1"/>
      </c>
      <c r="HY143">
        <f ca="1"/>
      </c>
    </row>
    <row r="144" spans="93:233" x14ac:dyDescent="0.55000000000000004"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GR144" s="11"/>
      <c r="GS144" s="11"/>
      <c r="GT144" s="11"/>
      <c r="GU144" s="11"/>
      <c r="GV144" s="11"/>
      <c r="HS144">
        <f ca="1"/>
      </c>
      <c r="HT144">
        <f ca="1"/>
      </c>
      <c r="HU144">
        <f ca="1"/>
      </c>
      <c r="HV144">
        <f ca="1"/>
      </c>
      <c r="HW144">
        <f ca="1"/>
      </c>
      <c r="HX144">
        <f ca="1"/>
      </c>
      <c r="HY144">
        <f ca="1"/>
      </c>
    </row>
    <row r="145" spans="93:233" x14ac:dyDescent="0.55000000000000004"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GR145" s="11"/>
      <c r="GS145" s="11"/>
      <c r="GT145" s="11"/>
      <c r="GU145" s="11"/>
      <c r="GV145" s="11"/>
      <c r="HS145">
        <f ca="1"/>
      </c>
      <c r="HT145">
        <f ca="1"/>
      </c>
      <c r="HU145">
        <f ca="1"/>
      </c>
      <c r="HV145">
        <f ca="1"/>
      </c>
      <c r="HW145">
        <f ca="1"/>
      </c>
      <c r="HX145">
        <f ca="1"/>
      </c>
      <c r="HY145">
        <f ca="1"/>
      </c>
    </row>
    <row r="146" spans="93:233" x14ac:dyDescent="0.55000000000000004"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GR146" s="11"/>
      <c r="GS146" s="11"/>
      <c r="GT146" s="11"/>
      <c r="GU146" s="11"/>
      <c r="GV146" s="11"/>
      <c r="HS146">
        <f ca="1"/>
      </c>
      <c r="HT146">
        <f ca="1"/>
      </c>
      <c r="HU146">
        <f ca="1"/>
      </c>
      <c r="HV146">
        <f ca="1"/>
      </c>
      <c r="HW146">
        <f ca="1"/>
      </c>
      <c r="HX146">
        <f ca="1"/>
      </c>
      <c r="HY146">
        <f ca="1"/>
      </c>
    </row>
    <row r="147" spans="93:233" x14ac:dyDescent="0.55000000000000004"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HS147">
        <f ca="1"/>
      </c>
      <c r="HT147">
        <f ca="1"/>
      </c>
      <c r="HU147">
        <f ca="1"/>
      </c>
      <c r="HV147">
        <f ca="1"/>
      </c>
      <c r="HW147">
        <f ca="1"/>
      </c>
      <c r="HX147">
        <f ca="1"/>
      </c>
      <c r="HY147">
        <f ca="1"/>
      </c>
    </row>
    <row r="148" spans="93:233" x14ac:dyDescent="0.55000000000000004"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HS148">
        <f ca="1"/>
      </c>
      <c r="HT148">
        <f ca="1"/>
      </c>
      <c r="HU148">
        <f ca="1"/>
      </c>
      <c r="HV148">
        <f ca="1"/>
      </c>
      <c r="HW148">
        <f ca="1"/>
      </c>
      <c r="HX148">
        <f ca="1"/>
      </c>
      <c r="HY148">
        <f ca="1"/>
      </c>
    </row>
    <row r="149" spans="93:233" x14ac:dyDescent="0.55000000000000004"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HS149">
        <f ca="1"/>
      </c>
      <c r="HT149">
        <f ca="1"/>
      </c>
      <c r="HU149">
        <f ca="1"/>
      </c>
      <c r="HV149">
        <f ca="1"/>
      </c>
      <c r="HW149">
        <f ca="1"/>
      </c>
      <c r="HX149">
        <f ca="1"/>
      </c>
      <c r="HY149">
        <f ca="1"/>
      </c>
    </row>
    <row r="150" spans="93:233" x14ac:dyDescent="0.55000000000000004"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HS150">
        <f ca="1"/>
      </c>
      <c r="HT150">
        <f ca="1"/>
      </c>
      <c r="HU150">
        <f ca="1"/>
      </c>
      <c r="HV150">
        <f ca="1"/>
      </c>
      <c r="HW150">
        <f ca="1"/>
      </c>
      <c r="HX150">
        <f ca="1"/>
      </c>
      <c r="HY150">
        <f ca="1"/>
      </c>
    </row>
    <row r="151" spans="93:233" x14ac:dyDescent="0.55000000000000004"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HS151">
        <f ca="1"/>
      </c>
      <c r="HT151">
        <f ca="1"/>
      </c>
      <c r="HU151">
        <f ca="1"/>
      </c>
      <c r="HV151">
        <f ca="1"/>
      </c>
      <c r="HW151">
        <f ca="1"/>
      </c>
      <c r="HX151">
        <f ca="1"/>
      </c>
      <c r="HY151">
        <f ca="1"/>
      </c>
    </row>
    <row r="152" spans="93:233" x14ac:dyDescent="0.55000000000000004"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HS152">
        <f ca="1"/>
      </c>
      <c r="HT152">
        <f ca="1"/>
      </c>
      <c r="HU152">
        <f ca="1"/>
      </c>
      <c r="HV152">
        <f ca="1"/>
      </c>
      <c r="HW152">
        <f ca="1"/>
      </c>
      <c r="HX152">
        <f ca="1"/>
      </c>
      <c r="HY152">
        <f ca="1"/>
      </c>
    </row>
    <row r="153" spans="93:233" x14ac:dyDescent="0.55000000000000004"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HS153">
        <f ca="1"/>
      </c>
      <c r="HT153">
        <f ca="1"/>
      </c>
      <c r="HU153">
        <f ca="1"/>
      </c>
      <c r="HV153">
        <f ca="1"/>
      </c>
      <c r="HW153">
        <f ca="1"/>
      </c>
      <c r="HX153">
        <f ca="1"/>
      </c>
      <c r="HY153">
        <f ca="1"/>
      </c>
    </row>
    <row r="154" spans="93:233" x14ac:dyDescent="0.55000000000000004"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EP154" t="s">
        <v>155</v>
      </c>
      <c r="EQ154" cm="1">
        <f t="array" aca="1" ref="EQ154:FR171" ca="1">_xlfn.LET(_xlpm.g,_xlfn.DROP(_xlfn.ANCHORARRAY($CO$4),1),_xlfn._xlws.FILTER(_xlpm.g,_xlfn.TAKE(_xlpm.g,,1)=4))</f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GQ154" t="s">
        <v>169</v>
      </c>
      <c r="GR154" cm="1">
        <f t="array" aca="1" ref="GR154" ca="1">IFERROR(_xlfn.LET(_xlpm.R,_xlfn.ANCHORARRAY($GR$155),_xlpm.a,ABS(_xlpm.R),"k="&amp;$D$12&amp;"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54" cm="1">
        <f t="array" aca="1" ref="GS154" ca="1">IFERROR(_xlfn.LET(_xlpm.R,_xlfn.ANCHORARRAY($GS$155),_xlpm.a,ABS(_xlpm.R),"k="&amp;$D$28&amp;"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54" cm="1">
        <f t="array" aca="1" ref="GT154" ca="1">IFERROR(_xlfn.LET(_xlpm.R,_xlfn.ANCHORARRAY($GT$155),_xlpm.a,ABS(_xlpm.R),"k="&amp;$D$44&amp;"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54" cm="1">
        <f t="array" aca="1" ref="GU154" ca="1">IFERROR(_xlfn.LET(_xlpm.R,_xlfn.ANCHORARRAY($GU$155),_xlpm.a,ABS(_xlpm.R),"k="&amp;$D$60&amp;"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54" cm="1">
        <f t="array" aca="1" ref="GV154" ca="1">IFERROR(_xlfn.LET(_xlpm.R,_xlfn.ANCHORARRAY($GV$155),_xlpm.a,ABS(_xlpm.R),"k="&amp;$D$76&amp;"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54" t="s">
        <v>44</v>
      </c>
      <c r="GY154" t="s">
        <v>45</v>
      </c>
      <c r="GZ154" t="s">
        <v>46</v>
      </c>
      <c r="HA154" t="s">
        <v>47</v>
      </c>
      <c r="HB154" t="s">
        <v>48</v>
      </c>
      <c r="HD154" t="s">
        <v>174</v>
      </c>
      <c r="HE154">
        <f>"Actual / Mean / Recon (k="&amp;$D$108&amp;")  dashed: Mean ±1σ"</f>
      </c>
      <c r="HF154" t="s">
        <v>175</v>
      </c>
      <c r="HG154" t="s">
        <v>176</v>
      </c>
      <c r="HH154" t="s">
        <v>179</v>
      </c>
      <c r="HI154" t="s">
        <v>180</v>
      </c>
      <c r="HJ154" t="s">
        <v>181</v>
      </c>
      <c r="HK154" t="s">
        <v>182</v>
      </c>
      <c r="HL154" t="s">
        <v>183</v>
      </c>
      <c r="HM154" t="s">
        <v>184</v>
      </c>
      <c r="HN154" t="s">
        <v>185</v>
      </c>
      <c r="HO154" t="s">
        <v>186</v>
      </c>
      <c r="HP154" t="s">
        <v>187</v>
      </c>
      <c r="HQ154" t="s">
        <v>188</v>
      </c>
      <c r="HR154" t="s">
        <v>189</v>
      </c>
      <c r="HS154">
        <f ca="1"/>
      </c>
      <c r="HT154">
        <f ca="1"/>
      </c>
      <c r="HU154">
        <f ca="1"/>
      </c>
      <c r="HV154">
        <f ca="1"/>
      </c>
      <c r="HW154">
        <f ca="1"/>
      </c>
      <c r="HX154">
        <f ca="1"/>
      </c>
      <c r="HY154">
        <f ca="1"/>
      </c>
    </row>
    <row r="155" spans="93:233" x14ac:dyDescent="0.55000000000000004"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GQ155" cm="1">
        <f t="array" aca="1" ref="GQ155:GQ172" ca="1">IF($Z$6="Change",_xlfn.ANCHORARRAY($CJ$4),_xlfn.ANCHORARRAY($CI$4))</f>
      </c>
      <c r="GR155" s="11" cm="1">
        <f t="array" aca="1" ref="GR155:GR172" ca="1">_xlfn.LET(_xlpm.sl,_xlfn.ANCHORARRAY($EQ$154),_xlpm.mu,_xlfn.CHOOSECOLS(_xlpm.sl,8),_xlpm.sg,_xlfn.CHOOSECOLS(_xlpm.sl,9),_xlpm.x,_xlfn.ANCHORARRAY($GQ$155),_xlpm.V,_xlfn.TAKE(_xlfn.DROP(_xlpm.sl,,10),,$D$12),(_xlpm.x-(_xlpm.mu+_xlpm.sg*MMULT(_xlpm.V,MMULT(TRANSPOSE(_xlpm.V),(_xlpm.x-_xlpm.mu)/_xlpm.sg))))*100)</f>
      </c>
      <c r="GS155" s="11" cm="1">
        <f t="array" aca="1" ref="GS155:GS172" ca="1">_xlfn.LET(_xlpm.sl,_xlfn.ANCHORARRAY($EQ$154),_xlpm.mu,_xlfn.CHOOSECOLS(_xlpm.sl,8),_xlpm.sg,_xlfn.CHOOSECOLS(_xlpm.sl,9),_xlpm.x,_xlfn.ANCHORARRAY($GQ$155),_xlpm.V,_xlfn.TAKE(_xlfn.DROP(_xlpm.sl,,10),,$D$28),(_xlpm.x-(_xlpm.mu+_xlpm.sg*MMULT(_xlpm.V,MMULT(TRANSPOSE(_xlpm.V),(_xlpm.x-_xlpm.mu)/_xlpm.sg))))*100)</f>
      </c>
      <c r="GT155" s="11" cm="1">
        <f t="array" aca="1" ref="GT155:GT172" ca="1">_xlfn.LET(_xlpm.sl,_xlfn.ANCHORARRAY($EQ$154),_xlpm.mu,_xlfn.CHOOSECOLS(_xlpm.sl,8),_xlpm.sg,_xlfn.CHOOSECOLS(_xlpm.sl,9),_xlpm.x,_xlfn.ANCHORARRAY($GQ$155),_xlpm.V,_xlfn.TAKE(_xlfn.DROP(_xlpm.sl,,10),,$D$44),(_xlpm.x-(_xlpm.mu+_xlpm.sg*MMULT(_xlpm.V,MMULT(TRANSPOSE(_xlpm.V),(_xlpm.x-_xlpm.mu)/_xlpm.sg))))*100)</f>
      </c>
      <c r="GU155" s="11" cm="1">
        <f t="array" aca="1" ref="GU155:GU172" ca="1">_xlfn.LET(_xlpm.sl,_xlfn.ANCHORARRAY($EQ$154),_xlpm.mu,_xlfn.CHOOSECOLS(_xlpm.sl,8),_xlpm.sg,_xlfn.CHOOSECOLS(_xlpm.sl,9),_xlpm.x,_xlfn.ANCHORARRAY($GQ$155),_xlpm.V,_xlfn.TAKE(_xlfn.DROP(_xlpm.sl,,10),,$D$60),(_xlpm.x-(_xlpm.mu+_xlpm.sg*MMULT(_xlpm.V,MMULT(TRANSPOSE(_xlpm.V),(_xlpm.x-_xlpm.mu)/_xlpm.sg))))*100)</f>
      </c>
      <c r="GV155" s="11" cm="1">
        <f t="array" aca="1" ref="GV155:GV172" ca="1">_xlfn.LET(_xlpm.sl,_xlfn.ANCHORARRAY($EQ$154),_xlpm.mu,_xlfn.CHOOSECOLS(_xlpm.sl,8),_xlpm.sg,_xlfn.CHOOSECOLS(_xlpm.sl,9),_xlpm.x,_xlfn.ANCHORARRAY($GQ$155),_xlpm.V,_xlfn.TAKE(_xlfn.DROP(_xlpm.sl,,10),,$D$76),(_xlpm.x-(_xlpm.mu+_xlpm.sg*MMULT(_xlpm.V,MMULT(TRANSPOSE(_xlpm.V),(_xlpm.x-_xlpm.mu)/_xlpm.sg))))*100)</f>
      </c>
      <c r="GX155" cm="1">
        <f t="array" aca="1" ref="GX155:GX172" ca="1">_xlfn.LET(_xlpm.V,_xlfn.DROP(_xlfn.ANCHORARRAY($EQ$154),,10),IF(1&lt;=COLUMNS(_xlpm.V),_xlfn.CHOOSECOLS(_xlpm.V,1),IF(_xlfn.SEQUENCE(ROWS(_xlpm.V)),NA())))</f>
      </c>
      <c r="GY155" cm="1">
        <f t="array" aca="1" ref="GY155:GY172" ca="1">_xlfn.LET(_xlpm.V,_xlfn.DROP(_xlfn.ANCHORARRAY($EQ$154),,10),IF(2&lt;=COLUMNS(_xlpm.V),_xlfn.CHOOSECOLS(_xlpm.V,2),IF(_xlfn.SEQUENCE(ROWS(_xlpm.V)),NA())))</f>
      </c>
      <c r="GZ155" cm="1">
        <f t="array" aca="1" ref="GZ155:GZ172" ca="1">_xlfn.LET(_xlpm.V,_xlfn.DROP(_xlfn.ANCHORARRAY($EQ$154),,10),IF(3&lt;=COLUMNS(_xlpm.V),_xlfn.CHOOSECOLS(_xlpm.V,3),IF(_xlfn.SEQUENCE(ROWS(_xlpm.V)),NA())))</f>
      </c>
      <c r="HA155" cm="1">
        <f t="array" aca="1" ref="HA155:HA172" ca="1">_xlfn.LET(_xlpm.V,_xlfn.DROP(_xlfn.ANCHORARRAY($EQ$154),,10),IF(4&lt;=COLUMNS(_xlpm.V),_xlfn.CHOOSECOLS(_xlpm.V,4),IF(_xlfn.SEQUENCE(ROWS(_xlpm.V)),NA())))</f>
      </c>
      <c r="HB155" cm="1">
        <f t="array" aca="1" ref="HB155:HB172" ca="1">_xlfn.LET(_xlpm.V,_xlfn.DROP(_xlfn.ANCHORARRAY($EQ$154),,10),IF(5&lt;=COLUMNS(_xlpm.V),_xlfn.CHOOSECOLS(_xlpm.V,5),IF(_xlfn.SEQUENCE(ROWS(_xlpm.V)),NA())))</f>
      </c>
      <c r="HD155" cm="1">
        <f t="array" aca="1" ref="HD155:HD172" ca="1">_xlfn.CHOOSECOLS(_xlfn.ANCHORARRAY($EQ$154),8)</f>
      </c>
      <c r="HE155" cm="1">
        <f t="array" aca="1" ref="HE155:HE172" ca="1">_xlfn.LET(_xlpm.sl,_xlfn.ANCHORARRAY($EQ$154),_xlpm.mu,_xlfn.CHOOSECOLS(_xlpm.sl,8),_xlpm.sg,_xlfn.CHOOSECOLS(_xlpm.sl,9),_xlpm.x,_xlfn.ANCHORARRAY($GQ$155),_xlpm.V,_xlfn.TAKE(_xlfn.DROP(_xlpm.sl,,10),,$D$108),_xlpm.mu+_xlpm.sg*MMULT(_xlpm.V,MMULT(TRANSPOSE(_xlpm.V),(_xlpm.x-_xlpm.mu)/_xlpm.sg)))</f>
      </c>
      <c r="HF155" cm="1">
        <f t="array" aca="1" ref="HF155:HF172" ca="1">_xlfn.CHOOSECOLS(_xlfn.ANCHORARRAY($EQ$154),8)+_xlfn.CHOOSECOLS(_xlfn.ANCHORARRAY($EQ$154),10)</f>
      </c>
      <c r="HG155" cm="1">
        <f t="array" aca="1" ref="HG155:HG172" ca="1">_xlfn.CHOOSECOLS(_xlfn.ANCHORARRAY($EQ$154),8)-_xlfn.CHOOSECOLS(_xlfn.ANCHORARRAY($EQ$154),10)</f>
      </c>
      <c r="HH155" cm="1">
        <f t="array" aca="1" ref="HH155:HH172" ca="1">_xlfn.LET(_xlpm.v,_xlfn.CHOOSECOLS(_xlfn._xlws.FILTER(_xlfn.DROP(_xlfn.ANCHORARRAY($HS$4),1),_xlfn.TAKE(_xlfn.DROP(_xlfn.ANCHORARRAY($HS$4),1),,1)=4),3),IF(_xlpm.v="",NA(),_xlpm.v))</f>
      </c>
      <c r="HI155" cm="1">
        <f t="array" aca="1" ref="HI155:HI172" ca="1">-_xlfn.ANCHORARRAY($HH$155)</f>
      </c>
      <c r="HJ155" cm="1">
        <f t="array" aca="1" ref="HJ155:HJ172" ca="1">_xlfn.LET(_xlpm.v,_xlfn.CHOOSECOLS(_xlfn._xlws.FILTER(_xlfn.DROP(_xlfn.ANCHORARRAY($HS$4),1),_xlfn.TAKE(_xlfn.DROP(_xlfn.ANCHORARRAY($HS$4),1),,1)=4),4),IF(_xlpm.v="",NA(),_xlpm.v))</f>
      </c>
      <c r="HK155" cm="1">
        <f t="array" aca="1" ref="HK155:HK172" ca="1">-_xlfn.ANCHORARRAY($HJ$155)</f>
      </c>
      <c r="HL155" cm="1">
        <f t="array" aca="1" ref="HL155:HL172" ca="1">_xlfn.LET(_xlpm.v,_xlfn.CHOOSECOLS(_xlfn._xlws.FILTER(_xlfn.DROP(_xlfn.ANCHORARRAY($HS$4),1),_xlfn.TAKE(_xlfn.DROP(_xlfn.ANCHORARRAY($HS$4),1),,1)=4),5),IF(_xlpm.v="",NA(),_xlpm.v))</f>
      </c>
      <c r="HM155" cm="1">
        <f t="array" aca="1" ref="HM155:HM172" ca="1">-_xlfn.ANCHORARRAY($HL$155)</f>
      </c>
      <c r="HN155" cm="1">
        <f t="array" aca="1" ref="HN155:HN172" ca="1">_xlfn.LET(_xlpm.v,_xlfn.CHOOSECOLS(_xlfn._xlws.FILTER(_xlfn.DROP(_xlfn.ANCHORARRAY($HS$4),1),_xlfn.TAKE(_xlfn.DROP(_xlfn.ANCHORARRAY($HS$4),1),,1)=4),6),IF(_xlpm.v="",NA(),_xlpm.v))</f>
      </c>
      <c r="HO155" cm="1">
        <f t="array" aca="1" ref="HO155:HO172" ca="1">-_xlfn.ANCHORARRAY($HN$155)</f>
      </c>
      <c r="HP155" cm="1">
        <f t="array" aca="1" ref="HP155:HP172" ca="1">_xlfn.LET(_xlpm.v,_xlfn.CHOOSECOLS(_xlfn._xlws.FILTER(_xlfn.DROP(_xlfn.ANCHORARRAY($HS$4),1),_xlfn.TAKE(_xlfn.DROP(_xlfn.ANCHORARRAY($HS$4),1),,1)=4),7),IF(_xlpm.v="",NA(),_xlpm.v))</f>
      </c>
      <c r="HQ155" cm="1">
        <f t="array" aca="1" ref="HQ155:HQ172" ca="1">-_xlfn.ANCHORARRAY($HP$155)</f>
      </c>
      <c r="HR155" cm="1">
        <f t="array" aca="1" ref="HR155" ca="1">IFERROR(INDEX(_xlfn._xlws.FILTER(_xlfn.DROP(_xlfn.ANCHORARRAY($HS$4),1),_xlfn.TAKE(_xlfn.DROP(_xlfn.ANCHORARRAY($HS$4),1),,1)=4),1,2),"")</f>
      </c>
      <c r="HS155">
        <f ca="1"/>
      </c>
      <c r="HT155">
        <f ca="1"/>
      </c>
      <c r="HU155">
        <f ca="1"/>
      </c>
      <c r="HV155">
        <f ca="1"/>
      </c>
      <c r="HW155">
        <f ca="1"/>
      </c>
      <c r="HX155">
        <f ca="1"/>
      </c>
      <c r="HY155">
        <f ca="1"/>
      </c>
    </row>
    <row r="156" spans="93:233" x14ac:dyDescent="0.55000000000000004"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GQ156">
        <f ca="1"/>
      </c>
      <c r="GR156" s="11">
        <f ca="1"/>
      </c>
      <c r="GS156" s="11">
        <f ca="1"/>
      </c>
      <c r="GT156" s="11">
        <f ca="1"/>
      </c>
      <c r="GU156" s="11">
        <f ca="1"/>
      </c>
      <c r="GV156" s="11">
        <f ca="1"/>
      </c>
      <c r="GX156">
        <f ca="1"/>
      </c>
      <c r="GY156">
        <f ca="1"/>
      </c>
      <c r="GZ156">
        <f ca="1"/>
      </c>
      <c r="HA156">
        <f ca="1"/>
      </c>
      <c r="HB156">
        <f ca="1"/>
      </c>
      <c r="HD156">
        <f ca="1"/>
      </c>
      <c r="HE156">
        <f ca="1"/>
      </c>
      <c r="HF156">
        <f ca="1"/>
      </c>
      <c r="HG156">
        <f ca="1"/>
      </c>
      <c r="HH156">
        <f ca="1"/>
      </c>
      <c r="HI156">
        <f ca="1"/>
      </c>
      <c r="HJ156">
        <f ca="1"/>
      </c>
      <c r="HK156">
        <f ca="1"/>
      </c>
      <c r="HL156">
        <f ca="1"/>
      </c>
      <c r="HM156">
        <f ca="1"/>
      </c>
      <c r="HN156">
        <f ca="1"/>
      </c>
      <c r="HO156">
        <f ca="1"/>
      </c>
      <c r="HP156">
        <f ca="1"/>
      </c>
      <c r="HQ156">
        <f ca="1"/>
      </c>
      <c r="HS156">
        <f ca="1"/>
      </c>
      <c r="HT156">
        <f ca="1"/>
      </c>
      <c r="HU156">
        <f ca="1"/>
      </c>
      <c r="HV156">
        <f ca="1"/>
      </c>
      <c r="HW156">
        <f ca="1"/>
      </c>
      <c r="HX156">
        <f ca="1"/>
      </c>
      <c r="HY156">
        <f ca="1"/>
      </c>
    </row>
    <row r="157" spans="93:233" x14ac:dyDescent="0.55000000000000004"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GQ157">
        <f ca="1"/>
      </c>
      <c r="GR157" s="11">
        <f ca="1"/>
      </c>
      <c r="GS157" s="11">
        <f ca="1"/>
      </c>
      <c r="GT157" s="11">
        <f ca="1"/>
      </c>
      <c r="GU157" s="11">
        <f ca="1"/>
      </c>
      <c r="GV157" s="11">
        <f ca="1"/>
      </c>
      <c r="GX157">
        <f ca="1"/>
      </c>
      <c r="GY157">
        <f ca="1"/>
      </c>
      <c r="GZ157">
        <f ca="1"/>
      </c>
      <c r="HA157">
        <f ca="1"/>
      </c>
      <c r="HB157">
        <f ca="1"/>
      </c>
      <c r="HD157">
        <f ca="1"/>
      </c>
      <c r="HE157">
        <f ca="1"/>
      </c>
      <c r="HF157">
        <f ca="1"/>
      </c>
      <c r="HG157">
        <f ca="1"/>
      </c>
      <c r="HH157">
        <f ca="1"/>
      </c>
      <c r="HI157">
        <f ca="1"/>
      </c>
      <c r="HJ157">
        <f ca="1"/>
      </c>
      <c r="HK157">
        <f ca="1"/>
      </c>
      <c r="HL157">
        <f ca="1"/>
      </c>
      <c r="HM157">
        <f ca="1"/>
      </c>
      <c r="HN157">
        <f ca="1"/>
      </c>
      <c r="HO157">
        <f ca="1"/>
      </c>
      <c r="HP157">
        <f ca="1"/>
      </c>
      <c r="HQ157">
        <f ca="1"/>
      </c>
      <c r="HS157">
        <f ca="1"/>
      </c>
      <c r="HT157">
        <f ca="1"/>
      </c>
      <c r="HU157">
        <f ca="1"/>
      </c>
      <c r="HV157">
        <f ca="1"/>
      </c>
      <c r="HW157">
        <f ca="1"/>
      </c>
      <c r="HX157">
        <f ca="1"/>
      </c>
      <c r="HY157">
        <f ca="1"/>
      </c>
    </row>
    <row r="158" spans="93:233" x14ac:dyDescent="0.55000000000000004"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GQ158">
        <f ca="1"/>
      </c>
      <c r="GR158" s="11">
        <f ca="1"/>
      </c>
      <c r="GS158" s="11">
        <f ca="1"/>
      </c>
      <c r="GT158" s="11">
        <f ca="1"/>
      </c>
      <c r="GU158" s="11">
        <f ca="1"/>
      </c>
      <c r="GV158" s="11">
        <f ca="1"/>
      </c>
      <c r="GX158">
        <f ca="1"/>
      </c>
      <c r="GY158">
        <f ca="1"/>
      </c>
      <c r="GZ158">
        <f ca="1"/>
      </c>
      <c r="HA158">
        <f ca="1"/>
      </c>
      <c r="HB158">
        <f ca="1"/>
      </c>
      <c r="HD158">
        <f ca="1"/>
      </c>
      <c r="HE158">
        <f ca="1"/>
      </c>
      <c r="HF158">
        <f ca="1"/>
      </c>
      <c r="HG158">
        <f ca="1"/>
      </c>
      <c r="HH158">
        <f ca="1"/>
      </c>
      <c r="HI158">
        <f ca="1"/>
      </c>
      <c r="HJ158">
        <f ca="1"/>
      </c>
      <c r="HK158">
        <f ca="1"/>
      </c>
      <c r="HL158">
        <f ca="1"/>
      </c>
      <c r="HM158">
        <f ca="1"/>
      </c>
      <c r="HN158">
        <f ca="1"/>
      </c>
      <c r="HO158">
        <f ca="1"/>
      </c>
      <c r="HP158">
        <f ca="1"/>
      </c>
      <c r="HQ158">
        <f ca="1"/>
      </c>
      <c r="HS158">
        <f ca="1"/>
      </c>
      <c r="HT158">
        <f ca="1"/>
      </c>
      <c r="HU158">
        <f ca="1"/>
      </c>
      <c r="HV158">
        <f ca="1"/>
      </c>
      <c r="HW158">
        <f ca="1"/>
      </c>
      <c r="HX158">
        <f ca="1"/>
      </c>
      <c r="HY158">
        <f ca="1"/>
      </c>
    </row>
    <row r="159" spans="93:233" x14ac:dyDescent="0.55000000000000004"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GQ159">
        <f ca="1"/>
      </c>
      <c r="GR159" s="11">
        <f ca="1"/>
      </c>
      <c r="GS159" s="11">
        <f ca="1"/>
      </c>
      <c r="GT159" s="11">
        <f ca="1"/>
      </c>
      <c r="GU159" s="11">
        <f ca="1"/>
      </c>
      <c r="GV159" s="11">
        <f ca="1"/>
      </c>
      <c r="GX159">
        <f ca="1"/>
      </c>
      <c r="GY159">
        <f ca="1"/>
      </c>
      <c r="GZ159">
        <f ca="1"/>
      </c>
      <c r="HA159">
        <f ca="1"/>
      </c>
      <c r="HB159">
        <f ca="1"/>
      </c>
      <c r="HD159">
        <f ca="1"/>
      </c>
      <c r="HE159">
        <f ca="1"/>
      </c>
      <c r="HF159">
        <f ca="1"/>
      </c>
      <c r="HG159">
        <f ca="1"/>
      </c>
      <c r="HH159">
        <f ca="1"/>
      </c>
      <c r="HI159">
        <f ca="1"/>
      </c>
      <c r="HJ159">
        <f ca="1"/>
      </c>
      <c r="HK159">
        <f ca="1"/>
      </c>
      <c r="HL159">
        <f ca="1"/>
      </c>
      <c r="HM159">
        <f ca="1"/>
      </c>
      <c r="HN159">
        <f ca="1"/>
      </c>
      <c r="HO159">
        <f ca="1"/>
      </c>
      <c r="HP159">
        <f ca="1"/>
      </c>
      <c r="HQ159">
        <f ca="1"/>
      </c>
      <c r="HS159">
        <f ca="1"/>
      </c>
      <c r="HT159">
        <f ca="1"/>
      </c>
      <c r="HU159">
        <f ca="1"/>
      </c>
      <c r="HV159">
        <f ca="1"/>
      </c>
      <c r="HW159">
        <f ca="1"/>
      </c>
      <c r="HX159">
        <f ca="1"/>
      </c>
      <c r="HY159">
        <f ca="1"/>
      </c>
    </row>
    <row r="160" spans="93:233" x14ac:dyDescent="0.55000000000000004"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GQ160">
        <f ca="1"/>
      </c>
      <c r="GR160" s="11">
        <f ca="1"/>
      </c>
      <c r="GS160" s="11">
        <f ca="1"/>
      </c>
      <c r="GT160" s="11">
        <f ca="1"/>
      </c>
      <c r="GU160" s="11">
        <f ca="1"/>
      </c>
      <c r="GV160" s="11">
        <f ca="1"/>
      </c>
      <c r="GX160">
        <f ca="1"/>
      </c>
      <c r="GY160">
        <f ca="1"/>
      </c>
      <c r="GZ160">
        <f ca="1"/>
      </c>
      <c r="HA160">
        <f ca="1"/>
      </c>
      <c r="HB160">
        <f ca="1"/>
      </c>
      <c r="HD160">
        <f ca="1"/>
      </c>
      <c r="HE160">
        <f ca="1"/>
      </c>
      <c r="HF160">
        <f ca="1"/>
      </c>
      <c r="HG160">
        <f ca="1"/>
      </c>
      <c r="HH160">
        <f ca="1"/>
      </c>
      <c r="HI160">
        <f ca="1"/>
      </c>
      <c r="HJ160">
        <f ca="1"/>
      </c>
      <c r="HK160">
        <f ca="1"/>
      </c>
      <c r="HL160">
        <f ca="1"/>
      </c>
      <c r="HM160">
        <f ca="1"/>
      </c>
      <c r="HN160">
        <f ca="1"/>
      </c>
      <c r="HO160">
        <f ca="1"/>
      </c>
      <c r="HP160">
        <f ca="1"/>
      </c>
      <c r="HQ160">
        <f ca="1"/>
      </c>
      <c r="HS160">
        <f ca="1"/>
      </c>
      <c r="HT160">
        <f ca="1"/>
      </c>
      <c r="HU160">
        <f ca="1"/>
      </c>
      <c r="HV160">
        <f ca="1"/>
      </c>
      <c r="HW160">
        <f ca="1"/>
      </c>
      <c r="HX160">
        <f ca="1"/>
      </c>
      <c r="HY160">
        <f ca="1"/>
      </c>
    </row>
    <row r="161" spans="93:233" x14ac:dyDescent="0.55000000000000004">
      <c r="CO161">
        <f ca="1"/>
      </c>
      <c r="CP161">
        <f ca="1"/>
      </c>
      <c r="CQ161">
        <f ca="1"/>
      </c>
      <c r="CR161">
        <f ca="1"/>
      </c>
      <c r="CS161">
        <f ca="1"/>
      </c>
      <c r="CT161">
        <f ca="1"/>
      </c>
      <c r="CU161">
        <f ca="1"/>
      </c>
      <c r="CV161">
        <f ca="1"/>
      </c>
      <c r="CW161">
        <f ca="1"/>
      </c>
      <c r="CX161">
        <f ca="1"/>
      </c>
      <c r="CY161">
        <f ca="1"/>
      </c>
      <c r="CZ161">
        <f ca="1"/>
      </c>
      <c r="DA161">
        <f ca="1"/>
      </c>
      <c r="DB161">
        <f ca="1"/>
      </c>
      <c r="DC161">
        <f ca="1"/>
      </c>
      <c r="DD161">
        <f ca="1"/>
      </c>
      <c r="DE161">
        <f ca="1"/>
      </c>
      <c r="DF161">
        <f ca="1"/>
      </c>
      <c r="DG161">
        <f ca="1"/>
      </c>
      <c r="DH161">
        <f ca="1"/>
      </c>
      <c r="DI161">
        <f ca="1"/>
      </c>
      <c r="DJ161">
        <f ca="1"/>
      </c>
      <c r="DK161">
        <f ca="1"/>
      </c>
      <c r="DL161">
        <f ca="1"/>
      </c>
      <c r="DM161">
        <f ca="1"/>
      </c>
      <c r="DN161">
        <f ca="1"/>
      </c>
      <c r="DO161">
        <f ca="1"/>
      </c>
      <c r="DP161">
        <f ca="1"/>
      </c>
      <c r="EQ161">
        <f ca="1"/>
      </c>
      <c r="ER161">
        <f ca="1"/>
      </c>
      <c r="ES161">
        <f ca="1"/>
      </c>
      <c r="ET161">
        <f ca="1"/>
      </c>
      <c r="EU161">
        <f ca="1"/>
      </c>
      <c r="EV161">
        <f ca="1"/>
      </c>
      <c r="EW161">
        <f ca="1"/>
      </c>
      <c r="EX161">
        <f ca="1"/>
      </c>
      <c r="EY161">
        <f ca="1"/>
      </c>
      <c r="EZ161">
        <f ca="1"/>
      </c>
      <c r="FA161">
        <f ca="1"/>
      </c>
      <c r="FB161">
        <f ca="1"/>
      </c>
      <c r="FC161">
        <f ca="1"/>
      </c>
      <c r="FD161">
        <f ca="1"/>
      </c>
      <c r="FE161">
        <f ca="1"/>
      </c>
      <c r="FF161">
        <f ca="1"/>
      </c>
      <c r="FG161">
        <f ca="1"/>
      </c>
      <c r="FH161">
        <f ca="1"/>
      </c>
      <c r="FI161">
        <f ca="1"/>
      </c>
      <c r="FJ161">
        <f ca="1"/>
      </c>
      <c r="FK161">
        <f ca="1"/>
      </c>
      <c r="FL161">
        <f ca="1"/>
      </c>
      <c r="FM161">
        <f ca="1"/>
      </c>
      <c r="FN161">
        <f ca="1"/>
      </c>
      <c r="FO161">
        <f ca="1"/>
      </c>
      <c r="FP161">
        <f ca="1"/>
      </c>
      <c r="FQ161">
        <f ca="1"/>
      </c>
      <c r="FR161">
        <f ca="1"/>
      </c>
      <c r="GQ161">
        <f ca="1"/>
      </c>
      <c r="GR161" s="11">
        <f ca="1"/>
      </c>
      <c r="GS161" s="11">
        <f ca="1"/>
      </c>
      <c r="GT161" s="11">
        <f ca="1"/>
      </c>
      <c r="GU161" s="11">
        <f ca="1"/>
      </c>
      <c r="GV161" s="11">
        <f ca="1"/>
      </c>
      <c r="GX161">
        <f ca="1"/>
      </c>
      <c r="GY161">
        <f ca="1"/>
      </c>
      <c r="GZ161">
        <f ca="1"/>
      </c>
      <c r="HA161">
        <f ca="1"/>
      </c>
      <c r="HB161">
        <f ca="1"/>
      </c>
      <c r="HD161">
        <f ca="1"/>
      </c>
      <c r="HE161">
        <f ca="1"/>
      </c>
      <c r="HF161">
        <f ca="1"/>
      </c>
      <c r="HG161">
        <f ca="1"/>
      </c>
      <c r="HH161">
        <f ca="1"/>
      </c>
      <c r="HI161">
        <f ca="1"/>
      </c>
      <c r="HJ161">
        <f ca="1"/>
      </c>
      <c r="HK161">
        <f ca="1"/>
      </c>
      <c r="HL161">
        <f ca="1"/>
      </c>
      <c r="HM161">
        <f ca="1"/>
      </c>
      <c r="HN161">
        <f ca="1"/>
      </c>
      <c r="HO161">
        <f ca="1"/>
      </c>
      <c r="HP161">
        <f ca="1"/>
      </c>
      <c r="HQ161">
        <f ca="1"/>
      </c>
      <c r="HS161">
        <f ca="1"/>
      </c>
      <c r="HT161">
        <f ca="1"/>
      </c>
      <c r="HU161">
        <f ca="1"/>
      </c>
      <c r="HV161">
        <f ca="1"/>
      </c>
      <c r="HW161">
        <f ca="1"/>
      </c>
      <c r="HX161">
        <f ca="1"/>
      </c>
      <c r="HY161">
        <f ca="1"/>
      </c>
    </row>
    <row r="162" spans="93:233" x14ac:dyDescent="0.55000000000000004">
      <c r="CO162">
        <f ca="1"/>
      </c>
      <c r="CP162">
        <f ca="1"/>
      </c>
      <c r="CQ162">
        <f ca="1"/>
      </c>
      <c r="CR162">
        <f ca="1"/>
      </c>
      <c r="CS162">
        <f ca="1"/>
      </c>
      <c r="CT162">
        <f ca="1"/>
      </c>
      <c r="CU162">
        <f ca="1"/>
      </c>
      <c r="CV162">
        <f ca="1"/>
      </c>
      <c r="CW162">
        <f ca="1"/>
      </c>
      <c r="CX162">
        <f ca="1"/>
      </c>
      <c r="CY162">
        <f ca="1"/>
      </c>
      <c r="CZ162">
        <f ca="1"/>
      </c>
      <c r="DA162">
        <f ca="1"/>
      </c>
      <c r="DB162">
        <f ca="1"/>
      </c>
      <c r="DC162">
        <f ca="1"/>
      </c>
      <c r="DD162">
        <f ca="1"/>
      </c>
      <c r="DE162">
        <f ca="1"/>
      </c>
      <c r="DF162">
        <f ca="1"/>
      </c>
      <c r="DG162">
        <f ca="1"/>
      </c>
      <c r="DH162">
        <f ca="1"/>
      </c>
      <c r="DI162">
        <f ca="1"/>
      </c>
      <c r="DJ162">
        <f ca="1"/>
      </c>
      <c r="DK162">
        <f ca="1"/>
      </c>
      <c r="DL162">
        <f ca="1"/>
      </c>
      <c r="DM162">
        <f ca="1"/>
      </c>
      <c r="DN162">
        <f ca="1"/>
      </c>
      <c r="DO162">
        <f ca="1"/>
      </c>
      <c r="DP162">
        <f ca="1"/>
      </c>
      <c r="EQ162">
        <f ca="1"/>
      </c>
      <c r="ER162">
        <f ca="1"/>
      </c>
      <c r="ES162">
        <f ca="1"/>
      </c>
      <c r="ET162">
        <f ca="1"/>
      </c>
      <c r="EU162">
        <f ca="1"/>
      </c>
      <c r="EV162">
        <f ca="1"/>
      </c>
      <c r="EW162">
        <f ca="1"/>
      </c>
      <c r="EX162">
        <f ca="1"/>
      </c>
      <c r="EY162">
        <f ca="1"/>
      </c>
      <c r="EZ162">
        <f ca="1"/>
      </c>
      <c r="FA162">
        <f ca="1"/>
      </c>
      <c r="FB162">
        <f ca="1"/>
      </c>
      <c r="FC162">
        <f ca="1"/>
      </c>
      <c r="FD162">
        <f ca="1"/>
      </c>
      <c r="FE162">
        <f ca="1"/>
      </c>
      <c r="FF162">
        <f ca="1"/>
      </c>
      <c r="FG162">
        <f ca="1"/>
      </c>
      <c r="FH162">
        <f ca="1"/>
      </c>
      <c r="FI162">
        <f ca="1"/>
      </c>
      <c r="FJ162">
        <f ca="1"/>
      </c>
      <c r="FK162">
        <f ca="1"/>
      </c>
      <c r="FL162">
        <f ca="1"/>
      </c>
      <c r="FM162">
        <f ca="1"/>
      </c>
      <c r="FN162">
        <f ca="1"/>
      </c>
      <c r="FO162">
        <f ca="1"/>
      </c>
      <c r="FP162">
        <f ca="1"/>
      </c>
      <c r="FQ162">
        <f ca="1"/>
      </c>
      <c r="FR162">
        <f ca="1"/>
      </c>
      <c r="GQ162">
        <f ca="1"/>
      </c>
      <c r="GR162" s="11">
        <f ca="1"/>
      </c>
      <c r="GS162" s="11">
        <f ca="1"/>
      </c>
      <c r="GT162" s="11">
        <f ca="1"/>
      </c>
      <c r="GU162" s="11">
        <f ca="1"/>
      </c>
      <c r="GV162" s="11">
        <f ca="1"/>
      </c>
      <c r="GX162">
        <f ca="1"/>
      </c>
      <c r="GY162">
        <f ca="1"/>
      </c>
      <c r="GZ162">
        <f ca="1"/>
      </c>
      <c r="HA162">
        <f ca="1"/>
      </c>
      <c r="HB162">
        <f ca="1"/>
      </c>
      <c r="HD162">
        <f ca="1"/>
      </c>
      <c r="HE162">
        <f ca="1"/>
      </c>
      <c r="HF162">
        <f ca="1"/>
      </c>
      <c r="HG162">
        <f ca="1"/>
      </c>
      <c r="HH162">
        <f ca="1"/>
      </c>
      <c r="HI162">
        <f ca="1"/>
      </c>
      <c r="HJ162">
        <f ca="1"/>
      </c>
      <c r="HK162">
        <f ca="1"/>
      </c>
      <c r="HL162">
        <f ca="1"/>
      </c>
      <c r="HM162">
        <f ca="1"/>
      </c>
      <c r="HN162">
        <f ca="1"/>
      </c>
      <c r="HO162">
        <f ca="1"/>
      </c>
      <c r="HP162">
        <f ca="1"/>
      </c>
      <c r="HQ162">
        <f ca="1"/>
      </c>
      <c r="HS162">
        <f ca="1"/>
      </c>
      <c r="HT162">
        <f ca="1"/>
      </c>
      <c r="HU162">
        <f ca="1"/>
      </c>
      <c r="HV162">
        <f ca="1"/>
      </c>
      <c r="HW162">
        <f ca="1"/>
      </c>
      <c r="HX162">
        <f ca="1"/>
      </c>
      <c r="HY162">
        <f ca="1"/>
      </c>
    </row>
    <row r="163" spans="93:233" x14ac:dyDescent="0.55000000000000004">
      <c r="CO163">
        <f ca="1"/>
      </c>
      <c r="CP163">
        <f ca="1"/>
      </c>
      <c r="CQ163">
        <f ca="1"/>
      </c>
      <c r="CR163">
        <f ca="1"/>
      </c>
      <c r="CS163">
        <f ca="1"/>
      </c>
      <c r="CT163">
        <f ca="1"/>
      </c>
      <c r="CU163">
        <f ca="1"/>
      </c>
      <c r="CV163">
        <f ca="1"/>
      </c>
      <c r="CW163">
        <f ca="1"/>
      </c>
      <c r="CX163">
        <f ca="1"/>
      </c>
      <c r="CY163">
        <f ca="1"/>
      </c>
      <c r="CZ163">
        <f ca="1"/>
      </c>
      <c r="DA163">
        <f ca="1"/>
      </c>
      <c r="DB163">
        <f ca="1"/>
      </c>
      <c r="DC163">
        <f ca="1"/>
      </c>
      <c r="DD163">
        <f ca="1"/>
      </c>
      <c r="DE163">
        <f ca="1"/>
      </c>
      <c r="DF163">
        <f ca="1"/>
      </c>
      <c r="DG163">
        <f ca="1"/>
      </c>
      <c r="DH163">
        <f ca="1"/>
      </c>
      <c r="DI163">
        <f ca="1"/>
      </c>
      <c r="DJ163">
        <f ca="1"/>
      </c>
      <c r="DK163">
        <f ca="1"/>
      </c>
      <c r="DL163">
        <f ca="1"/>
      </c>
      <c r="DM163">
        <f ca="1"/>
      </c>
      <c r="DN163">
        <f ca="1"/>
      </c>
      <c r="DO163">
        <f ca="1"/>
      </c>
      <c r="DP163">
        <f ca="1"/>
      </c>
      <c r="EQ163">
        <f ca="1"/>
      </c>
      <c r="ER163">
        <f ca="1"/>
      </c>
      <c r="ES163">
        <f ca="1"/>
      </c>
      <c r="ET163">
        <f ca="1"/>
      </c>
      <c r="EU163">
        <f ca="1"/>
      </c>
      <c r="EV163">
        <f ca="1"/>
      </c>
      <c r="EW163">
        <f ca="1"/>
      </c>
      <c r="EX163">
        <f ca="1"/>
      </c>
      <c r="EY163">
        <f ca="1"/>
      </c>
      <c r="EZ163">
        <f ca="1"/>
      </c>
      <c r="FA163">
        <f ca="1"/>
      </c>
      <c r="FB163">
        <f ca="1"/>
      </c>
      <c r="FC163">
        <f ca="1"/>
      </c>
      <c r="FD163">
        <f ca="1"/>
      </c>
      <c r="FE163">
        <f ca="1"/>
      </c>
      <c r="FF163">
        <f ca="1"/>
      </c>
      <c r="FG163">
        <f ca="1"/>
      </c>
      <c r="FH163">
        <f ca="1"/>
      </c>
      <c r="FI163">
        <f ca="1"/>
      </c>
      <c r="FJ163">
        <f ca="1"/>
      </c>
      <c r="FK163">
        <f ca="1"/>
      </c>
      <c r="FL163">
        <f ca="1"/>
      </c>
      <c r="FM163">
        <f ca="1"/>
      </c>
      <c r="FN163">
        <f ca="1"/>
      </c>
      <c r="FO163">
        <f ca="1"/>
      </c>
      <c r="FP163">
        <f ca="1"/>
      </c>
      <c r="FQ163">
        <f ca="1"/>
      </c>
      <c r="FR163">
        <f ca="1"/>
      </c>
      <c r="GQ163">
        <f ca="1"/>
      </c>
      <c r="GR163" s="11">
        <f ca="1"/>
      </c>
      <c r="GS163" s="11">
        <f ca="1"/>
      </c>
      <c r="GT163" s="11">
        <f ca="1"/>
      </c>
      <c r="GU163" s="11">
        <f ca="1"/>
      </c>
      <c r="GV163" s="11">
        <f ca="1"/>
      </c>
      <c r="GX163">
        <f ca="1"/>
      </c>
      <c r="GY163">
        <f ca="1"/>
      </c>
      <c r="GZ163">
        <f ca="1"/>
      </c>
      <c r="HA163">
        <f ca="1"/>
      </c>
      <c r="HB163">
        <f ca="1"/>
      </c>
      <c r="HD163">
        <f ca="1"/>
      </c>
      <c r="HE163">
        <f ca="1"/>
      </c>
      <c r="HF163">
        <f ca="1"/>
      </c>
      <c r="HG163">
        <f ca="1"/>
      </c>
      <c r="HH163">
        <f ca="1"/>
      </c>
      <c r="HI163">
        <f ca="1"/>
      </c>
      <c r="HJ163">
        <f ca="1"/>
      </c>
      <c r="HK163">
        <f ca="1"/>
      </c>
      <c r="HL163">
        <f ca="1"/>
      </c>
      <c r="HM163">
        <f ca="1"/>
      </c>
      <c r="HN163">
        <f ca="1"/>
      </c>
      <c r="HO163">
        <f ca="1"/>
      </c>
      <c r="HP163">
        <f ca="1"/>
      </c>
      <c r="HQ163">
        <f ca="1"/>
      </c>
      <c r="HS163">
        <f ca="1"/>
      </c>
      <c r="HT163">
        <f ca="1"/>
      </c>
      <c r="HU163">
        <f ca="1"/>
      </c>
      <c r="HV163">
        <f ca="1"/>
      </c>
      <c r="HW163">
        <f ca="1"/>
      </c>
      <c r="HX163">
        <f ca="1"/>
      </c>
      <c r="HY163">
        <f ca="1"/>
      </c>
    </row>
    <row r="164" spans="93:233" x14ac:dyDescent="0.55000000000000004">
      <c r="CO164">
        <f ca="1"/>
      </c>
      <c r="CP164">
        <f ca="1"/>
      </c>
      <c r="CQ164">
        <f ca="1"/>
      </c>
      <c r="CR164">
        <f ca="1"/>
      </c>
      <c r="CS164">
        <f ca="1"/>
      </c>
      <c r="CT164">
        <f ca="1"/>
      </c>
      <c r="CU164">
        <f ca="1"/>
      </c>
      <c r="CV164">
        <f ca="1"/>
      </c>
      <c r="CW164">
        <f ca="1"/>
      </c>
      <c r="CX164">
        <f ca="1"/>
      </c>
      <c r="CY164">
        <f ca="1"/>
      </c>
      <c r="CZ164">
        <f ca="1"/>
      </c>
      <c r="DA164">
        <f ca="1"/>
      </c>
      <c r="DB164">
        <f ca="1"/>
      </c>
      <c r="DC164">
        <f ca="1"/>
      </c>
      <c r="DD164">
        <f ca="1"/>
      </c>
      <c r="DE164">
        <f ca="1"/>
      </c>
      <c r="DF164">
        <f ca="1"/>
      </c>
      <c r="DG164">
        <f ca="1"/>
      </c>
      <c r="DH164">
        <f ca="1"/>
      </c>
      <c r="DI164">
        <f ca="1"/>
      </c>
      <c r="DJ164">
        <f ca="1"/>
      </c>
      <c r="DK164">
        <f ca="1"/>
      </c>
      <c r="DL164">
        <f ca="1"/>
      </c>
      <c r="DM164">
        <f ca="1"/>
      </c>
      <c r="DN164">
        <f ca="1"/>
      </c>
      <c r="DO164">
        <f ca="1"/>
      </c>
      <c r="DP164">
        <f ca="1"/>
      </c>
      <c r="EQ164">
        <f ca="1"/>
      </c>
      <c r="ER164">
        <f ca="1"/>
      </c>
      <c r="ES164">
        <f ca="1"/>
      </c>
      <c r="ET164">
        <f ca="1"/>
      </c>
      <c r="EU164">
        <f ca="1"/>
      </c>
      <c r="EV164">
        <f ca="1"/>
      </c>
      <c r="EW164">
        <f ca="1"/>
      </c>
      <c r="EX164">
        <f ca="1"/>
      </c>
      <c r="EY164">
        <f ca="1"/>
      </c>
      <c r="EZ164">
        <f ca="1"/>
      </c>
      <c r="FA164">
        <f ca="1"/>
      </c>
      <c r="FB164">
        <f ca="1"/>
      </c>
      <c r="FC164">
        <f ca="1"/>
      </c>
      <c r="FD164">
        <f ca="1"/>
      </c>
      <c r="FE164">
        <f ca="1"/>
      </c>
      <c r="FF164">
        <f ca="1"/>
      </c>
      <c r="FG164">
        <f ca="1"/>
      </c>
      <c r="FH164">
        <f ca="1"/>
      </c>
      <c r="FI164">
        <f ca="1"/>
      </c>
      <c r="FJ164">
        <f ca="1"/>
      </c>
      <c r="FK164">
        <f ca="1"/>
      </c>
      <c r="FL164">
        <f ca="1"/>
      </c>
      <c r="FM164">
        <f ca="1"/>
      </c>
      <c r="FN164">
        <f ca="1"/>
      </c>
      <c r="FO164">
        <f ca="1"/>
      </c>
      <c r="FP164">
        <f ca="1"/>
      </c>
      <c r="FQ164">
        <f ca="1"/>
      </c>
      <c r="FR164">
        <f ca="1"/>
      </c>
      <c r="GQ164">
        <f ca="1"/>
      </c>
      <c r="GR164" s="11">
        <f ca="1"/>
      </c>
      <c r="GS164" s="11">
        <f ca="1"/>
      </c>
      <c r="GT164" s="11">
        <f ca="1"/>
      </c>
      <c r="GU164" s="11">
        <f ca="1"/>
      </c>
      <c r="GV164" s="11">
        <f ca="1"/>
      </c>
      <c r="GX164">
        <f ca="1"/>
      </c>
      <c r="GY164">
        <f ca="1"/>
      </c>
      <c r="GZ164">
        <f ca="1"/>
      </c>
      <c r="HA164">
        <f ca="1"/>
      </c>
      <c r="HB164">
        <f ca="1"/>
      </c>
      <c r="HD164">
        <f ca="1"/>
      </c>
      <c r="HE164">
        <f ca="1"/>
      </c>
      <c r="HF164">
        <f ca="1"/>
      </c>
      <c r="HG164">
        <f ca="1"/>
      </c>
      <c r="HH164">
        <f ca="1"/>
      </c>
      <c r="HI164">
        <f ca="1"/>
      </c>
      <c r="HJ164">
        <f ca="1"/>
      </c>
      <c r="HK164">
        <f ca="1"/>
      </c>
      <c r="HL164">
        <f ca="1"/>
      </c>
      <c r="HM164">
        <f ca="1"/>
      </c>
      <c r="HN164">
        <f ca="1"/>
      </c>
      <c r="HO164">
        <f ca="1"/>
      </c>
      <c r="HP164">
        <f ca="1"/>
      </c>
      <c r="HQ164">
        <f ca="1"/>
      </c>
      <c r="HS164">
        <f ca="1"/>
      </c>
      <c r="HT164">
        <f ca="1"/>
      </c>
      <c r="HU164">
        <f ca="1"/>
      </c>
      <c r="HV164">
        <f ca="1"/>
      </c>
      <c r="HW164">
        <f ca="1"/>
      </c>
      <c r="HX164">
        <f ca="1"/>
      </c>
      <c r="HY164">
        <f ca="1"/>
      </c>
    </row>
    <row r="165" spans="93:233" x14ac:dyDescent="0.55000000000000004">
      <c r="CO165">
        <f ca="1"/>
      </c>
      <c r="CP165">
        <f ca="1"/>
      </c>
      <c r="CQ165">
        <f ca="1"/>
      </c>
      <c r="CR165">
        <f ca="1"/>
      </c>
      <c r="CS165">
        <f ca="1"/>
      </c>
      <c r="CT165">
        <f ca="1"/>
      </c>
      <c r="CU165">
        <f ca="1"/>
      </c>
      <c r="CV165">
        <f ca="1"/>
      </c>
      <c r="CW165">
        <f ca="1"/>
      </c>
      <c r="CX165">
        <f ca="1"/>
      </c>
      <c r="CY165">
        <f ca="1"/>
      </c>
      <c r="CZ165">
        <f ca="1"/>
      </c>
      <c r="DA165">
        <f ca="1"/>
      </c>
      <c r="DB165">
        <f ca="1"/>
      </c>
      <c r="DC165">
        <f ca="1"/>
      </c>
      <c r="DD165">
        <f ca="1"/>
      </c>
      <c r="DE165">
        <f ca="1"/>
      </c>
      <c r="DF165">
        <f ca="1"/>
      </c>
      <c r="DG165">
        <f ca="1"/>
      </c>
      <c r="DH165">
        <f ca="1"/>
      </c>
      <c r="DI165">
        <f ca="1"/>
      </c>
      <c r="DJ165">
        <f ca="1"/>
      </c>
      <c r="DK165">
        <f ca="1"/>
      </c>
      <c r="DL165">
        <f ca="1"/>
      </c>
      <c r="DM165">
        <f ca="1"/>
      </c>
      <c r="DN165">
        <f ca="1"/>
      </c>
      <c r="DO165">
        <f ca="1"/>
      </c>
      <c r="DP165">
        <f ca="1"/>
      </c>
      <c r="EQ165">
        <f ca="1"/>
      </c>
      <c r="ER165">
        <f ca="1"/>
      </c>
      <c r="ES165">
        <f ca="1"/>
      </c>
      <c r="ET165">
        <f ca="1"/>
      </c>
      <c r="EU165">
        <f ca="1"/>
      </c>
      <c r="EV165">
        <f ca="1"/>
      </c>
      <c r="EW165">
        <f ca="1"/>
      </c>
      <c r="EX165">
        <f ca="1"/>
      </c>
      <c r="EY165">
        <f ca="1"/>
      </c>
      <c r="EZ165">
        <f ca="1"/>
      </c>
      <c r="FA165">
        <f ca="1"/>
      </c>
      <c r="FB165">
        <f ca="1"/>
      </c>
      <c r="FC165">
        <f ca="1"/>
      </c>
      <c r="FD165">
        <f ca="1"/>
      </c>
      <c r="FE165">
        <f ca="1"/>
      </c>
      <c r="FF165">
        <f ca="1"/>
      </c>
      <c r="FG165">
        <f ca="1"/>
      </c>
      <c r="FH165">
        <f ca="1"/>
      </c>
      <c r="FI165">
        <f ca="1"/>
      </c>
      <c r="FJ165">
        <f ca="1"/>
      </c>
      <c r="FK165">
        <f ca="1"/>
      </c>
      <c r="FL165">
        <f ca="1"/>
      </c>
      <c r="FM165">
        <f ca="1"/>
      </c>
      <c r="FN165">
        <f ca="1"/>
      </c>
      <c r="FO165">
        <f ca="1"/>
      </c>
      <c r="FP165">
        <f ca="1"/>
      </c>
      <c r="FQ165">
        <f ca="1"/>
      </c>
      <c r="FR165">
        <f ca="1"/>
      </c>
      <c r="GQ165">
        <f ca="1"/>
      </c>
      <c r="GR165" s="11">
        <f ca="1"/>
      </c>
      <c r="GS165" s="11">
        <f ca="1"/>
      </c>
      <c r="GT165" s="11">
        <f ca="1"/>
      </c>
      <c r="GU165" s="11">
        <f ca="1"/>
      </c>
      <c r="GV165" s="11">
        <f ca="1"/>
      </c>
      <c r="GX165">
        <f ca="1"/>
      </c>
      <c r="GY165">
        <f ca="1"/>
      </c>
      <c r="GZ165">
        <f ca="1"/>
      </c>
      <c r="HA165">
        <f ca="1"/>
      </c>
      <c r="HB165">
        <f ca="1"/>
      </c>
      <c r="HD165">
        <f ca="1"/>
      </c>
      <c r="HE165">
        <f ca="1"/>
      </c>
      <c r="HF165">
        <f ca="1"/>
      </c>
      <c r="HG165">
        <f ca="1"/>
      </c>
      <c r="HH165">
        <f ca="1"/>
      </c>
      <c r="HI165">
        <f ca="1"/>
      </c>
      <c r="HJ165">
        <f ca="1"/>
      </c>
      <c r="HK165">
        <f ca="1"/>
      </c>
      <c r="HL165">
        <f ca="1"/>
      </c>
      <c r="HM165">
        <f ca="1"/>
      </c>
      <c r="HN165">
        <f ca="1"/>
      </c>
      <c r="HO165">
        <f ca="1"/>
      </c>
      <c r="HP165">
        <f ca="1"/>
      </c>
      <c r="HQ165">
        <f ca="1"/>
      </c>
      <c r="HS165">
        <f ca="1"/>
      </c>
      <c r="HT165">
        <f ca="1"/>
      </c>
      <c r="HU165">
        <f ca="1"/>
      </c>
      <c r="HV165">
        <f ca="1"/>
      </c>
      <c r="HW165">
        <f ca="1"/>
      </c>
      <c r="HX165">
        <f ca="1"/>
      </c>
      <c r="HY165">
        <f ca="1"/>
      </c>
    </row>
    <row r="166" spans="93:233" x14ac:dyDescent="0.55000000000000004">
      <c r="CO166">
        <f ca="1"/>
      </c>
      <c r="CP166">
        <f ca="1"/>
      </c>
      <c r="CQ166">
        <f ca="1"/>
      </c>
      <c r="CR166">
        <f ca="1"/>
      </c>
      <c r="CS166">
        <f ca="1"/>
      </c>
      <c r="CT166">
        <f ca="1"/>
      </c>
      <c r="CU166">
        <f ca="1"/>
      </c>
      <c r="CV166">
        <f ca="1"/>
      </c>
      <c r="CW166">
        <f ca="1"/>
      </c>
      <c r="CX166">
        <f ca="1"/>
      </c>
      <c r="CY166">
        <f ca="1"/>
      </c>
      <c r="CZ166">
        <f ca="1"/>
      </c>
      <c r="DA166">
        <f ca="1"/>
      </c>
      <c r="DB166">
        <f ca="1"/>
      </c>
      <c r="DC166">
        <f ca="1"/>
      </c>
      <c r="DD166">
        <f ca="1"/>
      </c>
      <c r="DE166">
        <f ca="1"/>
      </c>
      <c r="DF166">
        <f ca="1"/>
      </c>
      <c r="DG166">
        <f ca="1"/>
      </c>
      <c r="DH166">
        <f ca="1"/>
      </c>
      <c r="DI166">
        <f ca="1"/>
      </c>
      <c r="DJ166">
        <f ca="1"/>
      </c>
      <c r="DK166">
        <f ca="1"/>
      </c>
      <c r="DL166">
        <f ca="1"/>
      </c>
      <c r="DM166">
        <f ca="1"/>
      </c>
      <c r="DN166">
        <f ca="1"/>
      </c>
      <c r="DO166">
        <f ca="1"/>
      </c>
      <c r="DP166">
        <f ca="1"/>
      </c>
      <c r="EQ166">
        <f ca="1"/>
      </c>
      <c r="ER166">
        <f ca="1"/>
      </c>
      <c r="ES166">
        <f ca="1"/>
      </c>
      <c r="ET166">
        <f ca="1"/>
      </c>
      <c r="EU166">
        <f ca="1"/>
      </c>
      <c r="EV166">
        <f ca="1"/>
      </c>
      <c r="EW166">
        <f ca="1"/>
      </c>
      <c r="EX166">
        <f ca="1"/>
      </c>
      <c r="EY166">
        <f ca="1"/>
      </c>
      <c r="EZ166">
        <f ca="1"/>
      </c>
      <c r="FA166">
        <f ca="1"/>
      </c>
      <c r="FB166">
        <f ca="1"/>
      </c>
      <c r="FC166">
        <f ca="1"/>
      </c>
      <c r="FD166">
        <f ca="1"/>
      </c>
      <c r="FE166">
        <f ca="1"/>
      </c>
      <c r="FF166">
        <f ca="1"/>
      </c>
      <c r="FG166">
        <f ca="1"/>
      </c>
      <c r="FH166">
        <f ca="1"/>
      </c>
      <c r="FI166">
        <f ca="1"/>
      </c>
      <c r="FJ166">
        <f ca="1"/>
      </c>
      <c r="FK166">
        <f ca="1"/>
      </c>
      <c r="FL166">
        <f ca="1"/>
      </c>
      <c r="FM166">
        <f ca="1"/>
      </c>
      <c r="FN166">
        <f ca="1"/>
      </c>
      <c r="FO166">
        <f ca="1"/>
      </c>
      <c r="FP166">
        <f ca="1"/>
      </c>
      <c r="FQ166">
        <f ca="1"/>
      </c>
      <c r="FR166">
        <f ca="1"/>
      </c>
      <c r="GQ166">
        <f ca="1"/>
      </c>
      <c r="GR166" s="11">
        <f ca="1"/>
      </c>
      <c r="GS166" s="11">
        <f ca="1"/>
      </c>
      <c r="GT166" s="11">
        <f ca="1"/>
      </c>
      <c r="GU166" s="11">
        <f ca="1"/>
      </c>
      <c r="GV166" s="11">
        <f ca="1"/>
      </c>
      <c r="GX166">
        <f ca="1"/>
      </c>
      <c r="GY166">
        <f ca="1"/>
      </c>
      <c r="GZ166">
        <f ca="1"/>
      </c>
      <c r="HA166">
        <f ca="1"/>
      </c>
      <c r="HB166">
        <f ca="1"/>
      </c>
      <c r="HD166">
        <f ca="1"/>
      </c>
      <c r="HE166">
        <f ca="1"/>
      </c>
      <c r="HF166">
        <f ca="1"/>
      </c>
      <c r="HG166">
        <f ca="1"/>
      </c>
      <c r="HH166">
        <f ca="1"/>
      </c>
      <c r="HI166">
        <f ca="1"/>
      </c>
      <c r="HJ166">
        <f ca="1"/>
      </c>
      <c r="HK166">
        <f ca="1"/>
      </c>
      <c r="HL166">
        <f ca="1"/>
      </c>
      <c r="HM166">
        <f ca="1"/>
      </c>
      <c r="HN166">
        <f ca="1"/>
      </c>
      <c r="HO166">
        <f ca="1"/>
      </c>
      <c r="HP166">
        <f ca="1"/>
      </c>
      <c r="HQ166">
        <f ca="1"/>
      </c>
      <c r="HS166">
        <f ca="1"/>
      </c>
      <c r="HT166">
        <f ca="1"/>
      </c>
      <c r="HU166">
        <f ca="1"/>
      </c>
      <c r="HV166">
        <f ca="1"/>
      </c>
      <c r="HW166">
        <f ca="1"/>
      </c>
      <c r="HX166">
        <f ca="1"/>
      </c>
      <c r="HY166">
        <f ca="1"/>
      </c>
    </row>
    <row r="167" spans="93:233" x14ac:dyDescent="0.55000000000000004">
      <c r="CO167">
        <f ca="1"/>
      </c>
      <c r="CP167">
        <f ca="1"/>
      </c>
      <c r="CQ167">
        <f ca="1"/>
      </c>
      <c r="CR167">
        <f ca="1"/>
      </c>
      <c r="CS167">
        <f ca="1"/>
      </c>
      <c r="CT167">
        <f ca="1"/>
      </c>
      <c r="CU167">
        <f ca="1"/>
      </c>
      <c r="CV167">
        <f ca="1"/>
      </c>
      <c r="CW167">
        <f ca="1"/>
      </c>
      <c r="CX167">
        <f ca="1"/>
      </c>
      <c r="CY167">
        <f ca="1"/>
      </c>
      <c r="CZ167">
        <f ca="1"/>
      </c>
      <c r="DA167">
        <f ca="1"/>
      </c>
      <c r="DB167">
        <f ca="1"/>
      </c>
      <c r="DC167">
        <f ca="1"/>
      </c>
      <c r="DD167">
        <f ca="1"/>
      </c>
      <c r="DE167">
        <f ca="1"/>
      </c>
      <c r="DF167">
        <f ca="1"/>
      </c>
      <c r="DG167">
        <f ca="1"/>
      </c>
      <c r="DH167">
        <f ca="1"/>
      </c>
      <c r="DI167">
        <f ca="1"/>
      </c>
      <c r="DJ167">
        <f ca="1"/>
      </c>
      <c r="DK167">
        <f ca="1"/>
      </c>
      <c r="DL167">
        <f ca="1"/>
      </c>
      <c r="DM167">
        <f ca="1"/>
      </c>
      <c r="DN167">
        <f ca="1"/>
      </c>
      <c r="DO167">
        <f ca="1"/>
      </c>
      <c r="DP167">
        <f ca="1"/>
      </c>
      <c r="EQ167">
        <f ca="1"/>
      </c>
      <c r="ER167">
        <f ca="1"/>
      </c>
      <c r="ES167">
        <f ca="1"/>
      </c>
      <c r="ET167">
        <f ca="1"/>
      </c>
      <c r="EU167">
        <f ca="1"/>
      </c>
      <c r="EV167">
        <f ca="1"/>
      </c>
      <c r="EW167">
        <f ca="1"/>
      </c>
      <c r="EX167">
        <f ca="1"/>
      </c>
      <c r="EY167">
        <f ca="1"/>
      </c>
      <c r="EZ167">
        <f ca="1"/>
      </c>
      <c r="FA167">
        <f ca="1"/>
      </c>
      <c r="FB167">
        <f ca="1"/>
      </c>
      <c r="FC167">
        <f ca="1"/>
      </c>
      <c r="FD167">
        <f ca="1"/>
      </c>
      <c r="FE167">
        <f ca="1"/>
      </c>
      <c r="FF167">
        <f ca="1"/>
      </c>
      <c r="FG167">
        <f ca="1"/>
      </c>
      <c r="FH167">
        <f ca="1"/>
      </c>
      <c r="FI167">
        <f ca="1"/>
      </c>
      <c r="FJ167">
        <f ca="1"/>
      </c>
      <c r="FK167">
        <f ca="1"/>
      </c>
      <c r="FL167">
        <f ca="1"/>
      </c>
      <c r="FM167">
        <f ca="1"/>
      </c>
      <c r="FN167">
        <f ca="1"/>
      </c>
      <c r="FO167">
        <f ca="1"/>
      </c>
      <c r="FP167">
        <f ca="1"/>
      </c>
      <c r="FQ167">
        <f ca="1"/>
      </c>
      <c r="FR167">
        <f ca="1"/>
      </c>
      <c r="GQ167">
        <f ca="1"/>
      </c>
      <c r="GR167" s="11">
        <f ca="1"/>
      </c>
      <c r="GS167" s="11">
        <f ca="1"/>
      </c>
      <c r="GT167" s="11">
        <f ca="1"/>
      </c>
      <c r="GU167" s="11">
        <f ca="1"/>
      </c>
      <c r="GV167" s="11">
        <f ca="1"/>
      </c>
      <c r="GX167">
        <f ca="1"/>
      </c>
      <c r="GY167">
        <f ca="1"/>
      </c>
      <c r="GZ167">
        <f ca="1"/>
      </c>
      <c r="HA167">
        <f ca="1"/>
      </c>
      <c r="HB167">
        <f ca="1"/>
      </c>
      <c r="HD167">
        <f ca="1"/>
      </c>
      <c r="HE167">
        <f ca="1"/>
      </c>
      <c r="HF167">
        <f ca="1"/>
      </c>
      <c r="HG167">
        <f ca="1"/>
      </c>
      <c r="HH167">
        <f ca="1"/>
      </c>
      <c r="HI167">
        <f ca="1"/>
      </c>
      <c r="HJ167">
        <f ca="1"/>
      </c>
      <c r="HK167">
        <f ca="1"/>
      </c>
      <c r="HL167">
        <f ca="1"/>
      </c>
      <c r="HM167">
        <f ca="1"/>
      </c>
      <c r="HN167">
        <f ca="1"/>
      </c>
      <c r="HO167">
        <f ca="1"/>
      </c>
      <c r="HP167">
        <f ca="1"/>
      </c>
      <c r="HQ167">
        <f ca="1"/>
      </c>
      <c r="HS167">
        <f ca="1"/>
      </c>
      <c r="HT167">
        <f ca="1"/>
      </c>
      <c r="HU167">
        <f ca="1"/>
      </c>
      <c r="HV167">
        <f ca="1"/>
      </c>
      <c r="HW167">
        <f ca="1"/>
      </c>
      <c r="HX167">
        <f ca="1"/>
      </c>
      <c r="HY167">
        <f ca="1"/>
      </c>
    </row>
    <row r="168" spans="93:233" x14ac:dyDescent="0.55000000000000004">
      <c r="CO168">
        <f ca="1"/>
      </c>
      <c r="CP168">
        <f ca="1"/>
      </c>
      <c r="CQ168">
        <f ca="1"/>
      </c>
      <c r="CR168">
        <f ca="1"/>
      </c>
      <c r="CS168">
        <f ca="1"/>
      </c>
      <c r="CT168">
        <f ca="1"/>
      </c>
      <c r="CU168">
        <f ca="1"/>
      </c>
      <c r="CV168">
        <f ca="1"/>
      </c>
      <c r="CW168">
        <f ca="1"/>
      </c>
      <c r="CX168">
        <f ca="1"/>
      </c>
      <c r="CY168">
        <f ca="1"/>
      </c>
      <c r="CZ168">
        <f ca="1"/>
      </c>
      <c r="DA168">
        <f ca="1"/>
      </c>
      <c r="DB168">
        <f ca="1"/>
      </c>
      <c r="DC168">
        <f ca="1"/>
      </c>
      <c r="DD168">
        <f ca="1"/>
      </c>
      <c r="DE168">
        <f ca="1"/>
      </c>
      <c r="DF168">
        <f ca="1"/>
      </c>
      <c r="DG168">
        <f ca="1"/>
      </c>
      <c r="DH168">
        <f ca="1"/>
      </c>
      <c r="DI168">
        <f ca="1"/>
      </c>
      <c r="DJ168">
        <f ca="1"/>
      </c>
      <c r="DK168">
        <f ca="1"/>
      </c>
      <c r="DL168">
        <f ca="1"/>
      </c>
      <c r="DM168">
        <f ca="1"/>
      </c>
      <c r="DN168">
        <f ca="1"/>
      </c>
      <c r="DO168">
        <f ca="1"/>
      </c>
      <c r="DP168">
        <f ca="1"/>
      </c>
      <c r="EQ168">
        <f ca="1"/>
      </c>
      <c r="ER168">
        <f ca="1"/>
      </c>
      <c r="ES168">
        <f ca="1"/>
      </c>
      <c r="ET168">
        <f ca="1"/>
      </c>
      <c r="EU168">
        <f ca="1"/>
      </c>
      <c r="EV168">
        <f ca="1"/>
      </c>
      <c r="EW168">
        <f ca="1"/>
      </c>
      <c r="EX168">
        <f ca="1"/>
      </c>
      <c r="EY168">
        <f ca="1"/>
      </c>
      <c r="EZ168">
        <f ca="1"/>
      </c>
      <c r="FA168">
        <f ca="1"/>
      </c>
      <c r="FB168">
        <f ca="1"/>
      </c>
      <c r="FC168">
        <f ca="1"/>
      </c>
      <c r="FD168">
        <f ca="1"/>
      </c>
      <c r="FE168">
        <f ca="1"/>
      </c>
      <c r="FF168">
        <f ca="1"/>
      </c>
      <c r="FG168">
        <f ca="1"/>
      </c>
      <c r="FH168">
        <f ca="1"/>
      </c>
      <c r="FI168">
        <f ca="1"/>
      </c>
      <c r="FJ168">
        <f ca="1"/>
      </c>
      <c r="FK168">
        <f ca="1"/>
      </c>
      <c r="FL168">
        <f ca="1"/>
      </c>
      <c r="FM168">
        <f ca="1"/>
      </c>
      <c r="FN168">
        <f ca="1"/>
      </c>
      <c r="FO168">
        <f ca="1"/>
      </c>
      <c r="FP168">
        <f ca="1"/>
      </c>
      <c r="FQ168">
        <f ca="1"/>
      </c>
      <c r="FR168">
        <f ca="1"/>
      </c>
      <c r="GQ168">
        <f ca="1"/>
      </c>
      <c r="GR168" s="11">
        <f ca="1"/>
      </c>
      <c r="GS168" s="11">
        <f ca="1"/>
      </c>
      <c r="GT168" s="11">
        <f ca="1"/>
      </c>
      <c r="GU168" s="11">
        <f ca="1"/>
      </c>
      <c r="GV168" s="11">
        <f ca="1"/>
      </c>
      <c r="GX168">
        <f ca="1"/>
      </c>
      <c r="GY168">
        <f ca="1"/>
      </c>
      <c r="GZ168">
        <f ca="1"/>
      </c>
      <c r="HA168">
        <f ca="1"/>
      </c>
      <c r="HB168">
        <f ca="1"/>
      </c>
      <c r="HD168">
        <f ca="1"/>
      </c>
      <c r="HE168">
        <f ca="1"/>
      </c>
      <c r="HF168">
        <f ca="1"/>
      </c>
      <c r="HG168">
        <f ca="1"/>
      </c>
      <c r="HH168">
        <f ca="1"/>
      </c>
      <c r="HI168">
        <f ca="1"/>
      </c>
      <c r="HJ168">
        <f ca="1"/>
      </c>
      <c r="HK168">
        <f ca="1"/>
      </c>
      <c r="HL168">
        <f ca="1"/>
      </c>
      <c r="HM168">
        <f ca="1"/>
      </c>
      <c r="HN168">
        <f ca="1"/>
      </c>
      <c r="HO168">
        <f ca="1"/>
      </c>
      <c r="HP168">
        <f ca="1"/>
      </c>
      <c r="HQ168">
        <f ca="1"/>
      </c>
      <c r="HS168">
        <f ca="1"/>
      </c>
      <c r="HT168">
        <f ca="1"/>
      </c>
      <c r="HU168">
        <f ca="1"/>
      </c>
      <c r="HV168">
        <f ca="1"/>
      </c>
      <c r="HW168">
        <f ca="1"/>
      </c>
      <c r="HX168">
        <f ca="1"/>
      </c>
      <c r="HY168">
        <f ca="1"/>
      </c>
    </row>
    <row r="169" spans="93:233" x14ac:dyDescent="0.55000000000000004">
      <c r="CO169">
        <f ca="1"/>
      </c>
      <c r="CP169">
        <f ca="1"/>
      </c>
      <c r="CQ169">
        <f ca="1"/>
      </c>
      <c r="CR169">
        <f ca="1"/>
      </c>
      <c r="CS169">
        <f ca="1"/>
      </c>
      <c r="CT169">
        <f ca="1"/>
      </c>
      <c r="CU169">
        <f ca="1"/>
      </c>
      <c r="CV169">
        <f ca="1"/>
      </c>
      <c r="CW169">
        <f ca="1"/>
      </c>
      <c r="CX169">
        <f ca="1"/>
      </c>
      <c r="CY169">
        <f ca="1"/>
      </c>
      <c r="CZ169">
        <f ca="1"/>
      </c>
      <c r="DA169">
        <f ca="1"/>
      </c>
      <c r="DB169">
        <f ca="1"/>
      </c>
      <c r="DC169">
        <f ca="1"/>
      </c>
      <c r="DD169">
        <f ca="1"/>
      </c>
      <c r="DE169">
        <f ca="1"/>
      </c>
      <c r="DF169">
        <f ca="1"/>
      </c>
      <c r="DG169">
        <f ca="1"/>
      </c>
      <c r="DH169">
        <f ca="1"/>
      </c>
      <c r="DI169">
        <f ca="1"/>
      </c>
      <c r="DJ169">
        <f ca="1"/>
      </c>
      <c r="DK169">
        <f ca="1"/>
      </c>
      <c r="DL169">
        <f ca="1"/>
      </c>
      <c r="DM169">
        <f ca="1"/>
      </c>
      <c r="DN169">
        <f ca="1"/>
      </c>
      <c r="DO169">
        <f ca="1"/>
      </c>
      <c r="DP169">
        <f ca="1"/>
      </c>
      <c r="EQ169">
        <f ca="1"/>
      </c>
      <c r="ER169">
        <f ca="1"/>
      </c>
      <c r="ES169">
        <f ca="1"/>
      </c>
      <c r="ET169">
        <f ca="1"/>
      </c>
      <c r="EU169">
        <f ca="1"/>
      </c>
      <c r="EV169">
        <f ca="1"/>
      </c>
      <c r="EW169">
        <f ca="1"/>
      </c>
      <c r="EX169">
        <f ca="1"/>
      </c>
      <c r="EY169">
        <f ca="1"/>
      </c>
      <c r="EZ169">
        <f ca="1"/>
      </c>
      <c r="FA169">
        <f ca="1"/>
      </c>
      <c r="FB169">
        <f ca="1"/>
      </c>
      <c r="FC169">
        <f ca="1"/>
      </c>
      <c r="FD169">
        <f ca="1"/>
      </c>
      <c r="FE169">
        <f ca="1"/>
      </c>
      <c r="FF169">
        <f ca="1"/>
      </c>
      <c r="FG169">
        <f ca="1"/>
      </c>
      <c r="FH169">
        <f ca="1"/>
      </c>
      <c r="FI169">
        <f ca="1"/>
      </c>
      <c r="FJ169">
        <f ca="1"/>
      </c>
      <c r="FK169">
        <f ca="1"/>
      </c>
      <c r="FL169">
        <f ca="1"/>
      </c>
      <c r="FM169">
        <f ca="1"/>
      </c>
      <c r="FN169">
        <f ca="1"/>
      </c>
      <c r="FO169">
        <f ca="1"/>
      </c>
      <c r="FP169">
        <f ca="1"/>
      </c>
      <c r="FQ169">
        <f ca="1"/>
      </c>
      <c r="FR169">
        <f ca="1"/>
      </c>
      <c r="GQ169">
        <f ca="1"/>
      </c>
      <c r="GR169" s="11">
        <f ca="1"/>
      </c>
      <c r="GS169" s="11">
        <f ca="1"/>
      </c>
      <c r="GT169" s="11">
        <f ca="1"/>
      </c>
      <c r="GU169" s="11">
        <f ca="1"/>
      </c>
      <c r="GV169" s="11">
        <f ca="1"/>
      </c>
      <c r="GX169">
        <f ca="1"/>
      </c>
      <c r="GY169">
        <f ca="1"/>
      </c>
      <c r="GZ169">
        <f ca="1"/>
      </c>
      <c r="HA169">
        <f ca="1"/>
      </c>
      <c r="HB169">
        <f ca="1"/>
      </c>
      <c r="HD169">
        <f ca="1"/>
      </c>
      <c r="HE169">
        <f ca="1"/>
      </c>
      <c r="HF169">
        <f ca="1"/>
      </c>
      <c r="HG169">
        <f ca="1"/>
      </c>
      <c r="HH169">
        <f ca="1"/>
      </c>
      <c r="HI169">
        <f ca="1"/>
      </c>
      <c r="HJ169">
        <f ca="1"/>
      </c>
      <c r="HK169">
        <f ca="1"/>
      </c>
      <c r="HL169">
        <f ca="1"/>
      </c>
      <c r="HM169">
        <f ca="1"/>
      </c>
      <c r="HN169">
        <f ca="1"/>
      </c>
      <c r="HO169">
        <f ca="1"/>
      </c>
      <c r="HP169">
        <f ca="1"/>
      </c>
      <c r="HQ169">
        <f ca="1"/>
      </c>
      <c r="HS169">
        <f ca="1"/>
      </c>
      <c r="HT169">
        <f ca="1"/>
      </c>
      <c r="HU169">
        <f ca="1"/>
      </c>
      <c r="HV169">
        <f ca="1"/>
      </c>
      <c r="HW169">
        <f ca="1"/>
      </c>
      <c r="HX169">
        <f ca="1"/>
      </c>
      <c r="HY169">
        <f ca="1"/>
      </c>
    </row>
    <row r="170" spans="93:233" x14ac:dyDescent="0.55000000000000004">
      <c r="CO170">
        <f ca="1"/>
      </c>
      <c r="CP170">
        <f ca="1"/>
      </c>
      <c r="CQ170">
        <f ca="1"/>
      </c>
      <c r="CR170">
        <f ca="1"/>
      </c>
      <c r="CS170">
        <f ca="1"/>
      </c>
      <c r="CT170">
        <f ca="1"/>
      </c>
      <c r="CU170">
        <f ca="1"/>
      </c>
      <c r="CV170">
        <f ca="1"/>
      </c>
      <c r="CW170">
        <f ca="1"/>
      </c>
      <c r="CX170">
        <f ca="1"/>
      </c>
      <c r="CY170">
        <f ca="1"/>
      </c>
      <c r="CZ170">
        <f ca="1"/>
      </c>
      <c r="DA170">
        <f ca="1"/>
      </c>
      <c r="DB170">
        <f ca="1"/>
      </c>
      <c r="DC170">
        <f ca="1"/>
      </c>
      <c r="DD170">
        <f ca="1"/>
      </c>
      <c r="DE170">
        <f ca="1"/>
      </c>
      <c r="DF170">
        <f ca="1"/>
      </c>
      <c r="DG170">
        <f ca="1"/>
      </c>
      <c r="DH170">
        <f ca="1"/>
      </c>
      <c r="DI170">
        <f ca="1"/>
      </c>
      <c r="DJ170">
        <f ca="1"/>
      </c>
      <c r="DK170">
        <f ca="1"/>
      </c>
      <c r="DL170">
        <f ca="1"/>
      </c>
      <c r="DM170">
        <f ca="1"/>
      </c>
      <c r="DN170">
        <f ca="1"/>
      </c>
      <c r="DO170">
        <f ca="1"/>
      </c>
      <c r="DP170">
        <f ca="1"/>
      </c>
      <c r="EQ170">
        <f ca="1"/>
      </c>
      <c r="ER170">
        <f ca="1"/>
      </c>
      <c r="ES170">
        <f ca="1"/>
      </c>
      <c r="ET170">
        <f ca="1"/>
      </c>
      <c r="EU170">
        <f ca="1"/>
      </c>
      <c r="EV170">
        <f ca="1"/>
      </c>
      <c r="EW170">
        <f ca="1"/>
      </c>
      <c r="EX170">
        <f ca="1"/>
      </c>
      <c r="EY170">
        <f ca="1"/>
      </c>
      <c r="EZ170">
        <f ca="1"/>
      </c>
      <c r="FA170">
        <f ca="1"/>
      </c>
      <c r="FB170">
        <f ca="1"/>
      </c>
      <c r="FC170">
        <f ca="1"/>
      </c>
      <c r="FD170">
        <f ca="1"/>
      </c>
      <c r="FE170">
        <f ca="1"/>
      </c>
      <c r="FF170">
        <f ca="1"/>
      </c>
      <c r="FG170">
        <f ca="1"/>
      </c>
      <c r="FH170">
        <f ca="1"/>
      </c>
      <c r="FI170">
        <f ca="1"/>
      </c>
      <c r="FJ170">
        <f ca="1"/>
      </c>
      <c r="FK170">
        <f ca="1"/>
      </c>
      <c r="FL170">
        <f ca="1"/>
      </c>
      <c r="FM170">
        <f ca="1"/>
      </c>
      <c r="FN170">
        <f ca="1"/>
      </c>
      <c r="FO170">
        <f ca="1"/>
      </c>
      <c r="FP170">
        <f ca="1"/>
      </c>
      <c r="FQ170">
        <f ca="1"/>
      </c>
      <c r="FR170">
        <f ca="1"/>
      </c>
      <c r="GQ170">
        <f ca="1"/>
      </c>
      <c r="GR170" s="11">
        <f ca="1"/>
      </c>
      <c r="GS170" s="11">
        <f ca="1"/>
      </c>
      <c r="GT170" s="11">
        <f ca="1"/>
      </c>
      <c r="GU170" s="11">
        <f ca="1"/>
      </c>
      <c r="GV170" s="11">
        <f ca="1"/>
      </c>
      <c r="GX170">
        <f ca="1"/>
      </c>
      <c r="GY170">
        <f ca="1"/>
      </c>
      <c r="GZ170">
        <f ca="1"/>
      </c>
      <c r="HA170">
        <f ca="1"/>
      </c>
      <c r="HB170">
        <f ca="1"/>
      </c>
      <c r="HD170">
        <f ca="1"/>
      </c>
      <c r="HE170">
        <f ca="1"/>
      </c>
      <c r="HF170">
        <f ca="1"/>
      </c>
      <c r="HG170">
        <f ca="1"/>
      </c>
      <c r="HH170">
        <f ca="1"/>
      </c>
      <c r="HI170">
        <f ca="1"/>
      </c>
      <c r="HJ170">
        <f ca="1"/>
      </c>
      <c r="HK170">
        <f ca="1"/>
      </c>
      <c r="HL170">
        <f ca="1"/>
      </c>
      <c r="HM170">
        <f ca="1"/>
      </c>
      <c r="HN170">
        <f ca="1"/>
      </c>
      <c r="HO170">
        <f ca="1"/>
      </c>
      <c r="HP170">
        <f ca="1"/>
      </c>
      <c r="HQ170">
        <f ca="1"/>
      </c>
      <c r="HS170">
        <f ca="1"/>
      </c>
      <c r="HT170">
        <f ca="1"/>
      </c>
      <c r="HU170">
        <f ca="1"/>
      </c>
      <c r="HV170">
        <f ca="1"/>
      </c>
      <c r="HW170">
        <f ca="1"/>
      </c>
      <c r="HX170">
        <f ca="1"/>
      </c>
      <c r="HY170">
        <f ca="1"/>
      </c>
    </row>
    <row r="171" spans="93:233" x14ac:dyDescent="0.55000000000000004">
      <c r="CO171">
        <f ca="1"/>
      </c>
      <c r="CP171">
        <f ca="1"/>
      </c>
      <c r="CQ171">
        <f ca="1"/>
      </c>
      <c r="CR171">
        <f ca="1"/>
      </c>
      <c r="CS171">
        <f ca="1"/>
      </c>
      <c r="CT171">
        <f ca="1"/>
      </c>
      <c r="CU171">
        <f ca="1"/>
      </c>
      <c r="CV171">
        <f ca="1"/>
      </c>
      <c r="CW171">
        <f ca="1"/>
      </c>
      <c r="CX171">
        <f ca="1"/>
      </c>
      <c r="CY171">
        <f ca="1"/>
      </c>
      <c r="CZ171">
        <f ca="1"/>
      </c>
      <c r="DA171">
        <f ca="1"/>
      </c>
      <c r="DB171">
        <f ca="1"/>
      </c>
      <c r="DC171">
        <f ca="1"/>
      </c>
      <c r="DD171">
        <f ca="1"/>
      </c>
      <c r="DE171">
        <f ca="1"/>
      </c>
      <c r="DF171">
        <f ca="1"/>
      </c>
      <c r="DG171">
        <f ca="1"/>
      </c>
      <c r="DH171">
        <f ca="1"/>
      </c>
      <c r="DI171">
        <f ca="1"/>
      </c>
      <c r="DJ171">
        <f ca="1"/>
      </c>
      <c r="DK171">
        <f ca="1"/>
      </c>
      <c r="DL171">
        <f ca="1"/>
      </c>
      <c r="DM171">
        <f ca="1"/>
      </c>
      <c r="DN171">
        <f ca="1"/>
      </c>
      <c r="DO171">
        <f ca="1"/>
      </c>
      <c r="DP171">
        <f ca="1"/>
      </c>
      <c r="EQ171">
        <f ca="1"/>
      </c>
      <c r="ER171">
        <f ca="1"/>
      </c>
      <c r="ES171">
        <f ca="1"/>
      </c>
      <c r="ET171">
        <f ca="1"/>
      </c>
      <c r="EU171">
        <f ca="1"/>
      </c>
      <c r="EV171">
        <f ca="1"/>
      </c>
      <c r="EW171">
        <f ca="1"/>
      </c>
      <c r="EX171">
        <f ca="1"/>
      </c>
      <c r="EY171">
        <f ca="1"/>
      </c>
      <c r="EZ171">
        <f ca="1"/>
      </c>
      <c r="FA171">
        <f ca="1"/>
      </c>
      <c r="FB171">
        <f ca="1"/>
      </c>
      <c r="FC171">
        <f ca="1"/>
      </c>
      <c r="FD171">
        <f ca="1"/>
      </c>
      <c r="FE171">
        <f ca="1"/>
      </c>
      <c r="FF171">
        <f ca="1"/>
      </c>
      <c r="FG171">
        <f ca="1"/>
      </c>
      <c r="FH171">
        <f ca="1"/>
      </c>
      <c r="FI171">
        <f ca="1"/>
      </c>
      <c r="FJ171">
        <f ca="1"/>
      </c>
      <c r="FK171">
        <f ca="1"/>
      </c>
      <c r="FL171">
        <f ca="1"/>
      </c>
      <c r="FM171">
        <f ca="1"/>
      </c>
      <c r="FN171">
        <f ca="1"/>
      </c>
      <c r="FO171">
        <f ca="1"/>
      </c>
      <c r="FP171">
        <f ca="1"/>
      </c>
      <c r="FQ171">
        <f ca="1"/>
      </c>
      <c r="FR171">
        <f ca="1"/>
      </c>
      <c r="GQ171">
        <f ca="1"/>
      </c>
      <c r="GR171" s="11">
        <f ca="1"/>
      </c>
      <c r="GS171" s="11">
        <f ca="1"/>
      </c>
      <c r="GT171" s="11">
        <f ca="1"/>
      </c>
      <c r="GU171" s="11">
        <f ca="1"/>
      </c>
      <c r="GV171" s="11">
        <f ca="1"/>
      </c>
      <c r="GX171">
        <f ca="1"/>
      </c>
      <c r="GY171">
        <f ca="1"/>
      </c>
      <c r="GZ171">
        <f ca="1"/>
      </c>
      <c r="HA171">
        <f ca="1"/>
      </c>
      <c r="HB171">
        <f ca="1"/>
      </c>
      <c r="HD171">
        <f ca="1"/>
      </c>
      <c r="HE171">
        <f ca="1"/>
      </c>
      <c r="HF171">
        <f ca="1"/>
      </c>
      <c r="HG171">
        <f ca="1"/>
      </c>
      <c r="HH171">
        <f ca="1"/>
      </c>
      <c r="HI171">
        <f ca="1"/>
      </c>
      <c r="HJ171">
        <f ca="1"/>
      </c>
      <c r="HK171">
        <f ca="1"/>
      </c>
      <c r="HL171">
        <f ca="1"/>
      </c>
      <c r="HM171">
        <f ca="1"/>
      </c>
      <c r="HN171">
        <f ca="1"/>
      </c>
      <c r="HO171">
        <f ca="1"/>
      </c>
      <c r="HP171">
        <f ca="1"/>
      </c>
      <c r="HQ171">
        <f ca="1"/>
      </c>
      <c r="HS171">
        <f ca="1"/>
      </c>
      <c r="HT171">
        <f ca="1"/>
      </c>
      <c r="HU171">
        <f ca="1"/>
      </c>
      <c r="HV171">
        <f ca="1"/>
      </c>
      <c r="HW171">
        <f ca="1"/>
      </c>
      <c r="HX171">
        <f ca="1"/>
      </c>
      <c r="HY171">
        <f ca="1"/>
      </c>
    </row>
    <row r="172" spans="93:233" x14ac:dyDescent="0.55000000000000004">
      <c r="CO172">
        <f ca="1"/>
      </c>
      <c r="CP172">
        <f ca="1"/>
      </c>
      <c r="CQ172">
        <f ca="1"/>
      </c>
      <c r="CR172">
        <f ca="1"/>
      </c>
      <c r="CS172">
        <f ca="1"/>
      </c>
      <c r="CT172">
        <f ca="1"/>
      </c>
      <c r="CU172">
        <f ca="1"/>
      </c>
      <c r="CV172">
        <f ca="1"/>
      </c>
      <c r="CW172">
        <f ca="1"/>
      </c>
      <c r="CX172">
        <f ca="1"/>
      </c>
      <c r="CY172">
        <f ca="1"/>
      </c>
      <c r="CZ172">
        <f ca="1"/>
      </c>
      <c r="DA172">
        <f ca="1"/>
      </c>
      <c r="DB172">
        <f ca="1"/>
      </c>
      <c r="DC172">
        <f ca="1"/>
      </c>
      <c r="DD172">
        <f ca="1"/>
      </c>
      <c r="DE172">
        <f ca="1"/>
      </c>
      <c r="DF172">
        <f ca="1"/>
      </c>
      <c r="DG172">
        <f ca="1"/>
      </c>
      <c r="DH172">
        <f ca="1"/>
      </c>
      <c r="DI172">
        <f ca="1"/>
      </c>
      <c r="DJ172">
        <f ca="1"/>
      </c>
      <c r="DK172">
        <f ca="1"/>
      </c>
      <c r="DL172">
        <f ca="1"/>
      </c>
      <c r="DM172">
        <f ca="1"/>
      </c>
      <c r="DN172">
        <f ca="1"/>
      </c>
      <c r="DO172">
        <f ca="1"/>
      </c>
      <c r="DP172">
        <f ca="1"/>
      </c>
      <c r="GQ172">
        <f ca="1"/>
      </c>
      <c r="GR172" s="11">
        <f ca="1"/>
      </c>
      <c r="GS172" s="11">
        <f ca="1"/>
      </c>
      <c r="GT172" s="11">
        <f ca="1"/>
      </c>
      <c r="GU172" s="11">
        <f ca="1"/>
      </c>
      <c r="GV172" s="11">
        <f ca="1"/>
      </c>
      <c r="GX172">
        <f ca="1"/>
      </c>
      <c r="GY172">
        <f ca="1"/>
      </c>
      <c r="GZ172">
        <f ca="1"/>
      </c>
      <c r="HA172">
        <f ca="1"/>
      </c>
      <c r="HB172">
        <f ca="1"/>
      </c>
      <c r="HD172">
        <f ca="1"/>
      </c>
      <c r="HE172">
        <f ca="1"/>
      </c>
      <c r="HF172">
        <f ca="1"/>
      </c>
      <c r="HG172">
        <f ca="1"/>
      </c>
      <c r="HH172">
        <f ca="1"/>
      </c>
      <c r="HI172">
        <f ca="1"/>
      </c>
      <c r="HJ172">
        <f ca="1"/>
      </c>
      <c r="HK172">
        <f ca="1"/>
      </c>
      <c r="HL172">
        <f ca="1"/>
      </c>
      <c r="HM172">
        <f ca="1"/>
      </c>
      <c r="HN172">
        <f ca="1"/>
      </c>
      <c r="HO172">
        <f ca="1"/>
      </c>
      <c r="HP172">
        <f ca="1"/>
      </c>
      <c r="HQ172">
        <f ca="1"/>
      </c>
      <c r="HS172">
        <f ca="1"/>
      </c>
      <c r="HT172">
        <f ca="1"/>
      </c>
      <c r="HU172">
        <f ca="1"/>
      </c>
      <c r="HV172">
        <f ca="1"/>
      </c>
      <c r="HW172">
        <f ca="1"/>
      </c>
      <c r="HX172">
        <f ca="1"/>
      </c>
      <c r="HY172">
        <f ca="1"/>
      </c>
    </row>
    <row r="173" spans="93:233" x14ac:dyDescent="0.55000000000000004">
      <c r="CO173">
        <f ca="1"/>
      </c>
      <c r="CP173">
        <f ca="1"/>
      </c>
      <c r="CQ173">
        <f ca="1"/>
      </c>
      <c r="CR173">
        <f ca="1"/>
      </c>
      <c r="CS173">
        <f ca="1"/>
      </c>
      <c r="CT173">
        <f ca="1"/>
      </c>
      <c r="CU173">
        <f ca="1"/>
      </c>
      <c r="CV173">
        <f ca="1"/>
      </c>
      <c r="CW173">
        <f ca="1"/>
      </c>
      <c r="CX173">
        <f ca="1"/>
      </c>
      <c r="CY173">
        <f ca="1"/>
      </c>
      <c r="CZ173">
        <f ca="1"/>
      </c>
      <c r="DA173">
        <f ca="1"/>
      </c>
      <c r="DB173">
        <f ca="1"/>
      </c>
      <c r="DC173">
        <f ca="1"/>
      </c>
      <c r="DD173">
        <f ca="1"/>
      </c>
      <c r="DE173">
        <f ca="1"/>
      </c>
      <c r="DF173">
        <f ca="1"/>
      </c>
      <c r="DG173">
        <f ca="1"/>
      </c>
      <c r="DH173">
        <f ca="1"/>
      </c>
      <c r="DI173">
        <f ca="1"/>
      </c>
      <c r="DJ173">
        <f ca="1"/>
      </c>
      <c r="DK173">
        <f ca="1"/>
      </c>
      <c r="DL173">
        <f ca="1"/>
      </c>
      <c r="DM173">
        <f ca="1"/>
      </c>
      <c r="DN173">
        <f ca="1"/>
      </c>
      <c r="DO173">
        <f ca="1"/>
      </c>
      <c r="DP173">
        <f ca="1"/>
      </c>
      <c r="GR173" s="11"/>
      <c r="GS173" s="11"/>
      <c r="GT173" s="11"/>
      <c r="GU173" s="11"/>
      <c r="GV173" s="11"/>
      <c r="HS173">
        <f ca="1"/>
      </c>
      <c r="HT173">
        <f ca="1"/>
      </c>
      <c r="HU173">
        <f ca="1"/>
      </c>
      <c r="HV173">
        <f ca="1"/>
      </c>
      <c r="HW173">
        <f ca="1"/>
      </c>
      <c r="HX173">
        <f ca="1"/>
      </c>
      <c r="HY173">
        <f ca="1"/>
      </c>
    </row>
    <row r="174" spans="93:233" x14ac:dyDescent="0.55000000000000004">
      <c r="CO174">
        <f ca="1"/>
      </c>
      <c r="CP174">
        <f ca="1"/>
      </c>
      <c r="CQ174">
        <f ca="1"/>
      </c>
      <c r="CR174">
        <f ca="1"/>
      </c>
      <c r="CS174">
        <f ca="1"/>
      </c>
      <c r="CT174">
        <f ca="1"/>
      </c>
      <c r="CU174">
        <f ca="1"/>
      </c>
      <c r="CV174">
        <f ca="1"/>
      </c>
      <c r="CW174">
        <f ca="1"/>
      </c>
      <c r="CX174">
        <f ca="1"/>
      </c>
      <c r="CY174">
        <f ca="1"/>
      </c>
      <c r="CZ174">
        <f ca="1"/>
      </c>
      <c r="DA174">
        <f ca="1"/>
      </c>
      <c r="DB174">
        <f ca="1"/>
      </c>
      <c r="DC174">
        <f ca="1"/>
      </c>
      <c r="DD174">
        <f ca="1"/>
      </c>
      <c r="DE174">
        <f ca="1"/>
      </c>
      <c r="DF174">
        <f ca="1"/>
      </c>
      <c r="DG174">
        <f ca="1"/>
      </c>
      <c r="DH174">
        <f ca="1"/>
      </c>
      <c r="DI174">
        <f ca="1"/>
      </c>
      <c r="DJ174">
        <f ca="1"/>
      </c>
      <c r="DK174">
        <f ca="1"/>
      </c>
      <c r="DL174">
        <f ca="1"/>
      </c>
      <c r="DM174">
        <f ca="1"/>
      </c>
      <c r="DN174">
        <f ca="1"/>
      </c>
      <c r="DO174">
        <f ca="1"/>
      </c>
      <c r="DP174">
        <f ca="1"/>
      </c>
      <c r="GR174" s="11"/>
      <c r="GS174" s="11"/>
      <c r="GT174" s="11"/>
      <c r="GU174" s="11"/>
      <c r="GV174" s="11"/>
      <c r="HS174">
        <f ca="1"/>
      </c>
      <c r="HT174">
        <f ca="1"/>
      </c>
      <c r="HU174">
        <f ca="1"/>
      </c>
      <c r="HV174">
        <f ca="1"/>
      </c>
      <c r="HW174">
        <f ca="1"/>
      </c>
      <c r="HX174">
        <f ca="1"/>
      </c>
      <c r="HY174">
        <f ca="1"/>
      </c>
    </row>
    <row r="175" spans="93:233" x14ac:dyDescent="0.55000000000000004">
      <c r="CO175">
        <f ca="1"/>
      </c>
      <c r="CP175">
        <f ca="1"/>
      </c>
      <c r="CQ175">
        <f ca="1"/>
      </c>
      <c r="CR175">
        <f ca="1"/>
      </c>
      <c r="CS175">
        <f ca="1"/>
      </c>
      <c r="CT175">
        <f ca="1"/>
      </c>
      <c r="CU175">
        <f ca="1"/>
      </c>
      <c r="CV175">
        <f ca="1"/>
      </c>
      <c r="CW175">
        <f ca="1"/>
      </c>
      <c r="CX175">
        <f ca="1"/>
      </c>
      <c r="CY175">
        <f ca="1"/>
      </c>
      <c r="CZ175">
        <f ca="1"/>
      </c>
      <c r="DA175">
        <f ca="1"/>
      </c>
      <c r="DB175">
        <f ca="1"/>
      </c>
      <c r="DC175">
        <f ca="1"/>
      </c>
      <c r="DD175">
        <f ca="1"/>
      </c>
      <c r="DE175">
        <f ca="1"/>
      </c>
      <c r="DF175">
        <f ca="1"/>
      </c>
      <c r="DG175">
        <f ca="1"/>
      </c>
      <c r="DH175">
        <f ca="1"/>
      </c>
      <c r="DI175">
        <f ca="1"/>
      </c>
      <c r="DJ175">
        <f ca="1"/>
      </c>
      <c r="DK175">
        <f ca="1"/>
      </c>
      <c r="DL175">
        <f ca="1"/>
      </c>
      <c r="DM175">
        <f ca="1"/>
      </c>
      <c r="DN175">
        <f ca="1"/>
      </c>
      <c r="DO175">
        <f ca="1"/>
      </c>
      <c r="DP175">
        <f ca="1"/>
      </c>
      <c r="GR175" s="11"/>
      <c r="GS175" s="11"/>
      <c r="GT175" s="11"/>
      <c r="GU175" s="11"/>
      <c r="GV175" s="11"/>
      <c r="HS175">
        <f ca="1"/>
      </c>
      <c r="HT175">
        <f ca="1"/>
      </c>
      <c r="HU175">
        <f ca="1"/>
      </c>
      <c r="HV175">
        <f ca="1"/>
      </c>
      <c r="HW175">
        <f ca="1"/>
      </c>
      <c r="HX175">
        <f ca="1"/>
      </c>
      <c r="HY175">
        <f ca="1"/>
      </c>
    </row>
    <row r="176" spans="93:233" x14ac:dyDescent="0.55000000000000004">
      <c r="CO176">
        <f ca="1"/>
      </c>
      <c r="CP176">
        <f ca="1"/>
      </c>
      <c r="CQ176">
        <f ca="1"/>
      </c>
      <c r="CR176">
        <f ca="1"/>
      </c>
      <c r="CS176">
        <f ca="1"/>
      </c>
      <c r="CT176">
        <f ca="1"/>
      </c>
      <c r="CU176">
        <f ca="1"/>
      </c>
      <c r="CV176">
        <f ca="1"/>
      </c>
      <c r="CW176">
        <f ca="1"/>
      </c>
      <c r="CX176">
        <f ca="1"/>
      </c>
      <c r="CY176">
        <f ca="1"/>
      </c>
      <c r="CZ176">
        <f ca="1"/>
      </c>
      <c r="DA176">
        <f ca="1"/>
      </c>
      <c r="DB176">
        <f ca="1"/>
      </c>
      <c r="DC176">
        <f ca="1"/>
      </c>
      <c r="DD176">
        <f ca="1"/>
      </c>
      <c r="DE176">
        <f ca="1"/>
      </c>
      <c r="DF176">
        <f ca="1"/>
      </c>
      <c r="DG176">
        <f ca="1"/>
      </c>
      <c r="DH176">
        <f ca="1"/>
      </c>
      <c r="DI176">
        <f ca="1"/>
      </c>
      <c r="DJ176">
        <f ca="1"/>
      </c>
      <c r="DK176">
        <f ca="1"/>
      </c>
      <c r="DL176">
        <f ca="1"/>
      </c>
      <c r="DM176">
        <f ca="1"/>
      </c>
      <c r="DN176">
        <f ca="1"/>
      </c>
      <c r="DO176">
        <f ca="1"/>
      </c>
      <c r="DP176">
        <f ca="1"/>
      </c>
      <c r="GR176" s="11"/>
      <c r="GS176" s="11"/>
      <c r="GT176" s="11"/>
      <c r="GU176" s="11"/>
      <c r="GV176" s="11"/>
      <c r="HS176">
        <f ca="1"/>
      </c>
      <c r="HT176">
        <f ca="1"/>
      </c>
      <c r="HU176">
        <f ca="1"/>
      </c>
      <c r="HV176">
        <f ca="1"/>
      </c>
      <c r="HW176">
        <f ca="1"/>
      </c>
      <c r="HX176">
        <f ca="1"/>
      </c>
      <c r="HY176">
        <f ca="1"/>
      </c>
    </row>
    <row r="177" spans="93:233" x14ac:dyDescent="0.55000000000000004">
      <c r="CO177">
        <f ca="1"/>
      </c>
      <c r="CP177">
        <f ca="1"/>
      </c>
      <c r="CQ177">
        <f ca="1"/>
      </c>
      <c r="CR177">
        <f ca="1"/>
      </c>
      <c r="CS177">
        <f ca="1"/>
      </c>
      <c r="CT177">
        <f ca="1"/>
      </c>
      <c r="CU177">
        <f ca="1"/>
      </c>
      <c r="CV177">
        <f ca="1"/>
      </c>
      <c r="CW177">
        <f ca="1"/>
      </c>
      <c r="CX177">
        <f ca="1"/>
      </c>
      <c r="CY177">
        <f ca="1"/>
      </c>
      <c r="CZ177">
        <f ca="1"/>
      </c>
      <c r="DA177">
        <f ca="1"/>
      </c>
      <c r="DB177">
        <f ca="1"/>
      </c>
      <c r="DC177">
        <f ca="1"/>
      </c>
      <c r="DD177">
        <f ca="1"/>
      </c>
      <c r="DE177">
        <f ca="1"/>
      </c>
      <c r="DF177">
        <f ca="1"/>
      </c>
      <c r="DG177">
        <f ca="1"/>
      </c>
      <c r="DH177">
        <f ca="1"/>
      </c>
      <c r="DI177">
        <f ca="1"/>
      </c>
      <c r="DJ177">
        <f ca="1"/>
      </c>
      <c r="DK177">
        <f ca="1"/>
      </c>
      <c r="DL177">
        <f ca="1"/>
      </c>
      <c r="DM177">
        <f ca="1"/>
      </c>
      <c r="DN177">
        <f ca="1"/>
      </c>
      <c r="DO177">
        <f ca="1"/>
      </c>
      <c r="DP177">
        <f ca="1"/>
      </c>
      <c r="GR177" s="11"/>
      <c r="GS177" s="11"/>
      <c r="GT177" s="11"/>
      <c r="GU177" s="11"/>
      <c r="GV177" s="11"/>
      <c r="HS177">
        <f ca="1"/>
      </c>
      <c r="HT177">
        <f ca="1"/>
      </c>
      <c r="HU177">
        <f ca="1"/>
      </c>
      <c r="HV177">
        <f ca="1"/>
      </c>
      <c r="HW177">
        <f ca="1"/>
      </c>
      <c r="HX177">
        <f ca="1"/>
      </c>
      <c r="HY177">
        <f ca="1"/>
      </c>
    </row>
    <row r="178" spans="93:233" x14ac:dyDescent="0.55000000000000004">
      <c r="CO178">
        <f ca="1"/>
      </c>
      <c r="CP178">
        <f ca="1"/>
      </c>
      <c r="CQ178">
        <f ca="1"/>
      </c>
      <c r="CR178">
        <f ca="1"/>
      </c>
      <c r="CS178">
        <f ca="1"/>
      </c>
      <c r="CT178">
        <f ca="1"/>
      </c>
      <c r="CU178">
        <f ca="1"/>
      </c>
      <c r="CV178">
        <f ca="1"/>
      </c>
      <c r="CW178">
        <f ca="1"/>
      </c>
      <c r="CX178">
        <f ca="1"/>
      </c>
      <c r="CY178">
        <f ca="1"/>
      </c>
      <c r="CZ178">
        <f ca="1"/>
      </c>
      <c r="DA178">
        <f ca="1"/>
      </c>
      <c r="DB178">
        <f ca="1"/>
      </c>
      <c r="DC178">
        <f ca="1"/>
      </c>
      <c r="DD178">
        <f ca="1"/>
      </c>
      <c r="DE178">
        <f ca="1"/>
      </c>
      <c r="DF178">
        <f ca="1"/>
      </c>
      <c r="DG178">
        <f ca="1"/>
      </c>
      <c r="DH178">
        <f ca="1"/>
      </c>
      <c r="DI178">
        <f ca="1"/>
      </c>
      <c r="DJ178">
        <f ca="1"/>
      </c>
      <c r="DK178">
        <f ca="1"/>
      </c>
      <c r="DL178">
        <f ca="1"/>
      </c>
      <c r="DM178">
        <f ca="1"/>
      </c>
      <c r="DN178">
        <f ca="1"/>
      </c>
      <c r="DO178">
        <f ca="1"/>
      </c>
      <c r="DP178">
        <f ca="1"/>
      </c>
      <c r="GR178" s="11"/>
      <c r="GS178" s="11"/>
      <c r="GT178" s="11"/>
      <c r="GU178" s="11"/>
      <c r="GV178" s="11"/>
      <c r="HS178">
        <f ca="1"/>
      </c>
      <c r="HT178">
        <f ca="1"/>
      </c>
      <c r="HU178">
        <f ca="1"/>
      </c>
      <c r="HV178">
        <f ca="1"/>
      </c>
      <c r="HW178">
        <f ca="1"/>
      </c>
      <c r="HX178">
        <f ca="1"/>
      </c>
      <c r="HY178">
        <f ca="1"/>
      </c>
    </row>
    <row r="179" spans="93:233" x14ac:dyDescent="0.55000000000000004">
      <c r="CO179">
        <f ca="1"/>
      </c>
      <c r="CP179">
        <f ca="1"/>
      </c>
      <c r="CQ179">
        <f ca="1"/>
      </c>
      <c r="CR179">
        <f ca="1"/>
      </c>
      <c r="CS179">
        <f ca="1"/>
      </c>
      <c r="CT179">
        <f ca="1"/>
      </c>
      <c r="CU179">
        <f ca="1"/>
      </c>
      <c r="CV179">
        <f ca="1"/>
      </c>
      <c r="CW179">
        <f ca="1"/>
      </c>
      <c r="CX179">
        <f ca="1"/>
      </c>
      <c r="CY179">
        <f ca="1"/>
      </c>
      <c r="CZ179">
        <f ca="1"/>
      </c>
      <c r="DA179">
        <f ca="1"/>
      </c>
      <c r="DB179">
        <f ca="1"/>
      </c>
      <c r="DC179">
        <f ca="1"/>
      </c>
      <c r="DD179">
        <f ca="1"/>
      </c>
      <c r="DE179">
        <f ca="1"/>
      </c>
      <c r="DF179">
        <f ca="1"/>
      </c>
      <c r="DG179">
        <f ca="1"/>
      </c>
      <c r="DH179">
        <f ca="1"/>
      </c>
      <c r="DI179">
        <f ca="1"/>
      </c>
      <c r="DJ179">
        <f ca="1"/>
      </c>
      <c r="DK179">
        <f ca="1"/>
      </c>
      <c r="DL179">
        <f ca="1"/>
      </c>
      <c r="DM179">
        <f ca="1"/>
      </c>
      <c r="DN179">
        <f ca="1"/>
      </c>
      <c r="DO179">
        <f ca="1"/>
      </c>
      <c r="DP179">
        <f ca="1"/>
      </c>
      <c r="GR179" s="11"/>
      <c r="GS179" s="11"/>
      <c r="GT179" s="11"/>
      <c r="GU179" s="11"/>
      <c r="GV179" s="11"/>
      <c r="HS179">
        <f ca="1"/>
      </c>
      <c r="HT179">
        <f ca="1"/>
      </c>
      <c r="HU179">
        <f ca="1"/>
      </c>
      <c r="HV179">
        <f ca="1"/>
      </c>
      <c r="HW179">
        <f ca="1"/>
      </c>
      <c r="HX179">
        <f ca="1"/>
      </c>
      <c r="HY179">
        <f ca="1"/>
      </c>
    </row>
    <row r="180" spans="93:233" x14ac:dyDescent="0.55000000000000004">
      <c r="CO180">
        <f ca="1"/>
      </c>
      <c r="CP180">
        <f ca="1"/>
      </c>
      <c r="CQ180">
        <f ca="1"/>
      </c>
      <c r="CR180">
        <f ca="1"/>
      </c>
      <c r="CS180">
        <f ca="1"/>
      </c>
      <c r="CT180">
        <f ca="1"/>
      </c>
      <c r="CU180">
        <f ca="1"/>
      </c>
      <c r="CV180">
        <f ca="1"/>
      </c>
      <c r="CW180">
        <f ca="1"/>
      </c>
      <c r="CX180">
        <f ca="1"/>
      </c>
      <c r="CY180">
        <f ca="1"/>
      </c>
      <c r="CZ180">
        <f ca="1"/>
      </c>
      <c r="DA180">
        <f ca="1"/>
      </c>
      <c r="DB180">
        <f ca="1"/>
      </c>
      <c r="DC180">
        <f ca="1"/>
      </c>
      <c r="DD180">
        <f ca="1"/>
      </c>
      <c r="DE180">
        <f ca="1"/>
      </c>
      <c r="DF180">
        <f ca="1"/>
      </c>
      <c r="DG180">
        <f ca="1"/>
      </c>
      <c r="DH180">
        <f ca="1"/>
      </c>
      <c r="DI180">
        <f ca="1"/>
      </c>
      <c r="DJ180">
        <f ca="1"/>
      </c>
      <c r="DK180">
        <f ca="1"/>
      </c>
      <c r="DL180">
        <f ca="1"/>
      </c>
      <c r="DM180">
        <f ca="1"/>
      </c>
      <c r="DN180">
        <f ca="1"/>
      </c>
      <c r="DO180">
        <f ca="1"/>
      </c>
      <c r="DP180">
        <f ca="1"/>
      </c>
      <c r="GR180" s="11"/>
      <c r="GS180" s="11"/>
      <c r="GT180" s="11"/>
      <c r="GU180" s="11"/>
      <c r="GV180" s="11"/>
      <c r="HS180">
        <f ca="1"/>
      </c>
      <c r="HT180">
        <f ca="1"/>
      </c>
      <c r="HU180">
        <f ca="1"/>
      </c>
      <c r="HV180">
        <f ca="1"/>
      </c>
      <c r="HW180">
        <f ca="1"/>
      </c>
      <c r="HX180">
        <f ca="1"/>
      </c>
      <c r="HY180">
        <f ca="1"/>
      </c>
    </row>
    <row r="181" spans="93:233" x14ac:dyDescent="0.55000000000000004">
      <c r="CO181">
        <f ca="1"/>
      </c>
      <c r="CP181">
        <f ca="1"/>
      </c>
      <c r="CQ181">
        <f ca="1"/>
      </c>
      <c r="CR181">
        <f ca="1"/>
      </c>
      <c r="CS181">
        <f ca="1"/>
      </c>
      <c r="CT181">
        <f ca="1"/>
      </c>
      <c r="CU181">
        <f ca="1"/>
      </c>
      <c r="CV181">
        <f ca="1"/>
      </c>
      <c r="CW181">
        <f ca="1"/>
      </c>
      <c r="CX181">
        <f ca="1"/>
      </c>
      <c r="CY181">
        <f ca="1"/>
      </c>
      <c r="CZ181">
        <f ca="1"/>
      </c>
      <c r="DA181">
        <f ca="1"/>
      </c>
      <c r="DB181">
        <f ca="1"/>
      </c>
      <c r="DC181">
        <f ca="1"/>
      </c>
      <c r="DD181">
        <f ca="1"/>
      </c>
      <c r="DE181">
        <f ca="1"/>
      </c>
      <c r="DF181">
        <f ca="1"/>
      </c>
      <c r="DG181">
        <f ca="1"/>
      </c>
      <c r="DH181">
        <f ca="1"/>
      </c>
      <c r="DI181">
        <f ca="1"/>
      </c>
      <c r="DJ181">
        <f ca="1"/>
      </c>
      <c r="DK181">
        <f ca="1"/>
      </c>
      <c r="DL181">
        <f ca="1"/>
      </c>
      <c r="DM181">
        <f ca="1"/>
      </c>
      <c r="DN181">
        <f ca="1"/>
      </c>
      <c r="DO181">
        <f ca="1"/>
      </c>
      <c r="DP181">
        <f ca="1"/>
      </c>
      <c r="GR181" s="11"/>
      <c r="GS181" s="11"/>
      <c r="GT181" s="11"/>
      <c r="GU181" s="11"/>
      <c r="GV181" s="11"/>
      <c r="HS181">
        <f ca="1"/>
      </c>
      <c r="HT181">
        <f ca="1"/>
      </c>
      <c r="HU181">
        <f ca="1"/>
      </c>
      <c r="HV181">
        <f ca="1"/>
      </c>
      <c r="HW181">
        <f ca="1"/>
      </c>
      <c r="HX181">
        <f ca="1"/>
      </c>
      <c r="HY181">
        <f ca="1"/>
      </c>
    </row>
    <row r="182" spans="93:233" x14ac:dyDescent="0.55000000000000004">
      <c r="CO182">
        <f ca="1"/>
      </c>
      <c r="CP182">
        <f ca="1"/>
      </c>
      <c r="CQ182">
        <f ca="1"/>
      </c>
      <c r="CR182">
        <f ca="1"/>
      </c>
      <c r="CS182">
        <f ca="1"/>
      </c>
      <c r="CT182">
        <f ca="1"/>
      </c>
      <c r="CU182">
        <f ca="1"/>
      </c>
      <c r="CV182">
        <f ca="1"/>
      </c>
      <c r="CW182">
        <f ca="1"/>
      </c>
      <c r="CX182">
        <f ca="1"/>
      </c>
      <c r="CY182">
        <f ca="1"/>
      </c>
      <c r="CZ182">
        <f ca="1"/>
      </c>
      <c r="DA182">
        <f ca="1"/>
      </c>
      <c r="DB182">
        <f ca="1"/>
      </c>
      <c r="DC182">
        <f ca="1"/>
      </c>
      <c r="DD182">
        <f ca="1"/>
      </c>
      <c r="DE182">
        <f ca="1"/>
      </c>
      <c r="DF182">
        <f ca="1"/>
      </c>
      <c r="DG182">
        <f ca="1"/>
      </c>
      <c r="DH182">
        <f ca="1"/>
      </c>
      <c r="DI182">
        <f ca="1"/>
      </c>
      <c r="DJ182">
        <f ca="1"/>
      </c>
      <c r="DK182">
        <f ca="1"/>
      </c>
      <c r="DL182">
        <f ca="1"/>
      </c>
      <c r="DM182">
        <f ca="1"/>
      </c>
      <c r="DN182">
        <f ca="1"/>
      </c>
      <c r="DO182">
        <f ca="1"/>
      </c>
      <c r="DP182">
        <f ca="1"/>
      </c>
      <c r="GR182" s="11"/>
      <c r="GS182" s="11"/>
      <c r="GT182" s="11"/>
      <c r="GU182" s="11"/>
      <c r="GV182" s="11"/>
      <c r="HS182">
        <f ca="1"/>
      </c>
      <c r="HT182">
        <f ca="1"/>
      </c>
      <c r="HU182">
        <f ca="1"/>
      </c>
      <c r="HV182">
        <f ca="1"/>
      </c>
      <c r="HW182">
        <f ca="1"/>
      </c>
      <c r="HX182">
        <f ca="1"/>
      </c>
      <c r="HY182">
        <f ca="1"/>
      </c>
    </row>
    <row r="183" spans="93:233" x14ac:dyDescent="0.55000000000000004">
      <c r="CO183">
        <f ca="1"/>
      </c>
      <c r="CP183">
        <f ca="1"/>
      </c>
      <c r="CQ183">
        <f ca="1"/>
      </c>
      <c r="CR183">
        <f ca="1"/>
      </c>
      <c r="CS183">
        <f ca="1"/>
      </c>
      <c r="CT183">
        <f ca="1"/>
      </c>
      <c r="CU183">
        <f ca="1"/>
      </c>
      <c r="CV183">
        <f ca="1"/>
      </c>
      <c r="CW183">
        <f ca="1"/>
      </c>
      <c r="CX183">
        <f ca="1"/>
      </c>
      <c r="CY183">
        <f ca="1"/>
      </c>
      <c r="CZ183">
        <f ca="1"/>
      </c>
      <c r="DA183">
        <f ca="1"/>
      </c>
      <c r="DB183">
        <f ca="1"/>
      </c>
      <c r="DC183">
        <f ca="1"/>
      </c>
      <c r="DD183">
        <f ca="1"/>
      </c>
      <c r="DE183">
        <f ca="1"/>
      </c>
      <c r="DF183">
        <f ca="1"/>
      </c>
      <c r="DG183">
        <f ca="1"/>
      </c>
      <c r="DH183">
        <f ca="1"/>
      </c>
      <c r="DI183">
        <f ca="1"/>
      </c>
      <c r="DJ183">
        <f ca="1"/>
      </c>
      <c r="DK183">
        <f ca="1"/>
      </c>
      <c r="DL183">
        <f ca="1"/>
      </c>
      <c r="DM183">
        <f ca="1"/>
      </c>
      <c r="DN183">
        <f ca="1"/>
      </c>
      <c r="DO183">
        <f ca="1"/>
      </c>
      <c r="DP183">
        <f ca="1"/>
      </c>
      <c r="GR183" s="11"/>
      <c r="GS183" s="11"/>
      <c r="GT183" s="11"/>
      <c r="GU183" s="11"/>
      <c r="GV183" s="11"/>
      <c r="HS183">
        <f ca="1"/>
      </c>
      <c r="HT183">
        <f ca="1"/>
      </c>
      <c r="HU183">
        <f ca="1"/>
      </c>
      <c r="HV183">
        <f ca="1"/>
      </c>
      <c r="HW183">
        <f ca="1"/>
      </c>
      <c r="HX183">
        <f ca="1"/>
      </c>
      <c r="HY183">
        <f ca="1"/>
      </c>
    </row>
    <row r="184" spans="93:233" x14ac:dyDescent="0.55000000000000004">
      <c r="CO184">
        <f ca="1"/>
      </c>
      <c r="CP184">
        <f ca="1"/>
      </c>
      <c r="CQ184">
        <f ca="1"/>
      </c>
      <c r="CR184">
        <f ca="1"/>
      </c>
      <c r="CS184">
        <f ca="1"/>
      </c>
      <c r="CT184">
        <f ca="1"/>
      </c>
      <c r="CU184">
        <f ca="1"/>
      </c>
      <c r="CV184">
        <f ca="1"/>
      </c>
      <c r="CW184">
        <f ca="1"/>
      </c>
      <c r="CX184">
        <f ca="1"/>
      </c>
      <c r="CY184">
        <f ca="1"/>
      </c>
      <c r="CZ184">
        <f ca="1"/>
      </c>
      <c r="DA184">
        <f ca="1"/>
      </c>
      <c r="DB184">
        <f ca="1"/>
      </c>
      <c r="DC184">
        <f ca="1"/>
      </c>
      <c r="DD184">
        <f ca="1"/>
      </c>
      <c r="DE184">
        <f ca="1"/>
      </c>
      <c r="DF184">
        <f ca="1"/>
      </c>
      <c r="DG184">
        <f ca="1"/>
      </c>
      <c r="DH184">
        <f ca="1"/>
      </c>
      <c r="DI184">
        <f ca="1"/>
      </c>
      <c r="DJ184">
        <f ca="1"/>
      </c>
      <c r="DK184">
       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     <c r="GR184" s="11"/>
      <c r="GS184" s="11"/>
      <c r="GT184" s="11"/>
      <c r="GU184" s="11"/>
      <c r="GV184" s="11"/>
      <c r="HS184">
        <f ca="1"/>
      </c>
      <c r="HT184">
        <f ca="1"/>
      </c>
      <c r="HU184">
        <f ca="1"/>
      </c>
      <c r="HV184">
        <f ca="1"/>
      </c>
      <c r="HW184">
        <f ca="1"/>
      </c>
      <c r="HX184">
        <f ca="1"/>
      </c>
      <c r="HY184">
        <f ca="1"/>
      </c>
    </row>
    <row r="185" spans="93:233" x14ac:dyDescent="0.55000000000000004">
      <c r="GR185" s="11"/>
      <c r="GS185" s="11"/>
      <c r="GT185" s="11"/>
      <c r="GU185" s="11"/>
      <c r="GV185" s="11"/>
    </row>
    <row r="186" spans="93:233" x14ac:dyDescent="0.55000000000000004">
      <c r="GR186" s="11"/>
      <c r="GS186" s="11"/>
      <c r="GT186" s="11"/>
      <c r="GU186" s="11"/>
      <c r="GV186" s="11"/>
    </row>
    <row r="187" spans="93:233" x14ac:dyDescent="0.55000000000000004">
      <c r="GR187" s="11"/>
      <c r="GS187" s="11"/>
      <c r="GT187" s="11"/>
      <c r="GU187" s="11"/>
      <c r="GV187" s="11"/>
    </row>
    <row r="188" spans="93:233" x14ac:dyDescent="0.55000000000000004">
      <c r="GR188" s="11"/>
      <c r="GS188" s="11"/>
      <c r="GT188" s="11"/>
      <c r="GU188" s="11"/>
      <c r="GV188" s="11"/>
    </row>
    <row r="189" spans="93:233" x14ac:dyDescent="0.55000000000000004">
      <c r="GR189" s="11"/>
      <c r="GS189" s="11"/>
      <c r="GT189" s="11"/>
      <c r="GU189" s="11"/>
      <c r="GV189" s="11"/>
    </row>
    <row r="190" spans="93:233" x14ac:dyDescent="0.55000000000000004">
      <c r="GR190" s="11"/>
      <c r="GS190" s="11"/>
      <c r="GT190" s="11"/>
      <c r="GU190" s="11"/>
      <c r="GV190" s="11"/>
    </row>
    <row r="191" spans="93:233" x14ac:dyDescent="0.55000000000000004">
      <c r="GR191" s="11"/>
      <c r="GS191" s="11"/>
      <c r="GT191" s="11"/>
      <c r="GU191" s="11"/>
      <c r="GV191" s="11"/>
    </row>
    <row r="192" spans="93:233" x14ac:dyDescent="0.55000000000000004">
      <c r="GR192" s="11"/>
      <c r="GS192" s="11"/>
      <c r="GT192" s="11"/>
      <c r="GU192" s="11"/>
      <c r="GV192" s="11"/>
    </row>
    <row r="193" spans="146:226" x14ac:dyDescent="0.55000000000000004">
      <c r="GR193" s="11"/>
      <c r="GS193" s="11"/>
      <c r="GT193" s="11"/>
      <c r="GU193" s="11"/>
      <c r="GV193" s="11"/>
    </row>
    <row r="194" spans="146:226" x14ac:dyDescent="0.55000000000000004">
      <c r="GR194" s="11"/>
      <c r="GS194" s="11"/>
      <c r="GT194" s="11"/>
      <c r="GU194" s="11"/>
      <c r="GV194" s="11"/>
    </row>
    <row r="195" spans="146:226" x14ac:dyDescent="0.55000000000000004">
      <c r="GR195" s="11"/>
      <c r="GS195" s="11"/>
      <c r="GT195" s="11"/>
      <c r="GU195" s="11"/>
      <c r="GV195" s="11"/>
    </row>
    <row r="196" spans="146:226" x14ac:dyDescent="0.55000000000000004">
      <c r="GR196" s="11"/>
      <c r="GS196" s="11"/>
      <c r="GT196" s="11"/>
      <c r="GU196" s="11"/>
      <c r="GV196" s="11"/>
    </row>
    <row r="204" spans="146:226" x14ac:dyDescent="0.55000000000000004">
      <c r="EP204" t="s">
        <v>156</v>
      </c>
      <c r="EQ204" cm="1">
        <f t="array" aca="1" ref="EQ204:FR221" ca="1">_xlfn.LET(_xlpm.g,_xlfn.DROP(_xlfn.ANCHORARRAY($CO$4),1),_xlfn._xlws.FILTER(_xlpm.g,_xlfn.TAKE(_xlpm.g,,1)=5))</f>
      </c>
      <c r="ER204">
        <f ca="1"/>
      </c>
      <c r="ES204">
        <f ca="1"/>
      </c>
      <c r="ET204">
        <f ca="1"/>
      </c>
      <c r="EU204">
        <f ca="1"/>
      </c>
      <c r="EV204">
        <f ca="1"/>
      </c>
      <c r="EW204">
        <f ca="1"/>
      </c>
      <c r="EX204">
        <f ca="1"/>
      </c>
      <c r="EY204">
        <f ca="1"/>
      </c>
      <c r="EZ204">
        <f ca="1"/>
      </c>
      <c r="FA204">
        <f ca="1"/>
      </c>
      <c r="FB204">
        <f ca="1"/>
      </c>
      <c r="FC204">
        <f ca="1"/>
      </c>
      <c r="FD204">
        <f ca="1"/>
      </c>
      <c r="FE204">
        <f ca="1"/>
      </c>
      <c r="FF204">
        <f ca="1"/>
      </c>
      <c r="FG204">
        <f ca="1"/>
      </c>
      <c r="FH204">
        <f ca="1"/>
      </c>
      <c r="FI204">
        <f ca="1"/>
      </c>
      <c r="FJ204">
        <f ca="1"/>
      </c>
      <c r="FK204">
        <f ca="1"/>
      </c>
      <c r="FL204">
        <f ca="1"/>
      </c>
      <c r="FM204">
        <f ca="1"/>
      </c>
      <c r="FN204">
        <f ca="1"/>
      </c>
      <c r="FO204">
        <f ca="1"/>
      </c>
      <c r="FP204">
        <f ca="1"/>
      </c>
      <c r="FQ204">
        <f ca="1"/>
      </c>
      <c r="FR204">
        <f ca="1"/>
      </c>
      <c r="GQ204" t="s">
        <v>169</v>
      </c>
      <c r="GR204" cm="1">
        <f t="array" aca="1" ref="GR204" ca="1">IFERROR(_xlfn.LET(_xlpm.R,_xlfn.ANCHORARRAY($GR$205),_xlpm.a,ABS(_xlpm.R),"k="&amp;$D$12&amp;"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04" cm="1">
        <f t="array" aca="1" ref="GS204" ca="1">IFERROR(_xlfn.LET(_xlpm.R,_xlfn.ANCHORARRAY($GS$205),_xlpm.a,ABS(_xlpm.R),"k="&amp;$D$28&amp;"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04" cm="1">
        <f t="array" aca="1" ref="GT204" ca="1">IFERROR(_xlfn.LET(_xlpm.R,_xlfn.ANCHORARRAY($GT$205),_xlpm.a,ABS(_xlpm.R),"k="&amp;$D$44&amp;"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04" cm="1">
        <f t="array" aca="1" ref="GU204" ca="1">IFERROR(_xlfn.LET(_xlpm.R,_xlfn.ANCHORARRAY($GU$205),_xlpm.a,ABS(_xlpm.R),"k="&amp;$D$60&amp;"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04" cm="1">
        <f t="array" aca="1" ref="GV204" ca="1">IFERROR(_xlfn.LET(_xlpm.R,_xlfn.ANCHORARRAY($GV$205),_xlpm.a,ABS(_xlpm.R),"k="&amp;$D$76&amp;"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04" t="s">
        <v>44</v>
      </c>
      <c r="GY204" t="s">
        <v>45</v>
      </c>
      <c r="GZ204" t="s">
        <v>46</v>
      </c>
      <c r="HA204" t="s">
        <v>47</v>
      </c>
      <c r="HB204" t="s">
        <v>48</v>
      </c>
      <c r="HD204" t="s">
        <v>174</v>
      </c>
      <c r="HE204">
        <f>"Actual / Mean / Recon (k="&amp;$D$108&amp;")  dashed: Mean ±1σ"</f>
      </c>
      <c r="HF204" t="s">
        <v>175</v>
      </c>
      <c r="HG204" t="s">
        <v>176</v>
      </c>
      <c r="HH204" t="s">
        <v>179</v>
      </c>
      <c r="HI204" t="s">
        <v>180</v>
      </c>
      <c r="HJ204" t="s">
        <v>181</v>
      </c>
      <c r="HK204" t="s">
        <v>182</v>
      </c>
      <c r="HL204" t="s">
        <v>183</v>
      </c>
      <c r="HM204" t="s">
        <v>184</v>
      </c>
      <c r="HN204" t="s">
        <v>185</v>
      </c>
      <c r="HO204" t="s">
        <v>186</v>
      </c>
      <c r="HP204" t="s">
        <v>187</v>
      </c>
      <c r="HQ204" t="s">
        <v>188</v>
      </c>
      <c r="HR204" t="s">
        <v>189</v>
      </c>
    </row>
    <row r="205" spans="146:226" x14ac:dyDescent="0.55000000000000004">
      <c r="EQ205">
        <f ca="1"/>
      </c>
      <c r="ER205">
        <f ca="1"/>
      </c>
      <c r="ES205">
        <f ca="1"/>
      </c>
      <c r="ET205">
        <f ca="1"/>
      </c>
      <c r="EU205">
        <f ca="1"/>
      </c>
      <c r="EV205">
        <f ca="1"/>
      </c>
      <c r="EW205">
        <f ca="1"/>
      </c>
      <c r="EX205">
        <f ca="1"/>
      </c>
      <c r="EY205">
        <f ca="1"/>
      </c>
      <c r="EZ205">
        <f ca="1"/>
      </c>
      <c r="FA205">
        <f ca="1"/>
      </c>
      <c r="FB205">
        <f ca="1"/>
      </c>
      <c r="FC205">
        <f ca="1"/>
      </c>
      <c r="FD205">
        <f ca="1"/>
      </c>
      <c r="FE205">
        <f ca="1"/>
      </c>
      <c r="FF205">
        <f ca="1"/>
      </c>
      <c r="FG205">
        <f ca="1"/>
      </c>
      <c r="FH205">
        <f ca="1"/>
      </c>
      <c r="FI205">
        <f ca="1"/>
      </c>
      <c r="FJ205">
        <f ca="1"/>
      </c>
      <c r="FK205">
        <f ca="1"/>
      </c>
      <c r="FL205">
        <f ca="1"/>
      </c>
      <c r="FM205">
        <f ca="1"/>
      </c>
      <c r="FN205">
        <f ca="1"/>
      </c>
      <c r="FO205">
        <f ca="1"/>
      </c>
      <c r="FP205">
        <f ca="1"/>
      </c>
      <c r="FQ205">
        <f ca="1"/>
      </c>
      <c r="FR205">
        <f ca="1"/>
      </c>
      <c r="GQ205" cm="1">
        <f t="array" aca="1" ref="GQ205:GQ222" ca="1">IF($AG$6="Change",_xlfn.ANCHORARRAY($CJ$4),_xlfn.ANCHORARRAY($CI$4))</f>
      </c>
      <c r="GR205" s="11" cm="1">
        <f t="array" aca="1" ref="GR205:GR222" ca="1">_xlfn.LET(_xlpm.sl,_xlfn.ANCHORARRAY($EQ$204),_xlpm.mu,_xlfn.CHOOSECOLS(_xlpm.sl,8),_xlpm.sg,_xlfn.CHOOSECOLS(_xlpm.sl,9),_xlpm.x,_xlfn.ANCHORARRAY($GQ$205),_xlpm.V,_xlfn.TAKE(_xlfn.DROP(_xlpm.sl,,10),,$D$12),(_xlpm.x-(_xlpm.mu+_xlpm.sg*MMULT(_xlpm.V,MMULT(TRANSPOSE(_xlpm.V),(_xlpm.x-_xlpm.mu)/_xlpm.sg))))*100)</f>
      </c>
      <c r="GS205" s="11" cm="1">
        <f t="array" aca="1" ref="GS205:GS222" ca="1">_xlfn.LET(_xlpm.sl,_xlfn.ANCHORARRAY($EQ$204),_xlpm.mu,_xlfn.CHOOSECOLS(_xlpm.sl,8),_xlpm.sg,_xlfn.CHOOSECOLS(_xlpm.sl,9),_xlpm.x,_xlfn.ANCHORARRAY($GQ$205),_xlpm.V,_xlfn.TAKE(_xlfn.DROP(_xlpm.sl,,10),,$D$28),(_xlpm.x-(_xlpm.mu+_xlpm.sg*MMULT(_xlpm.V,MMULT(TRANSPOSE(_xlpm.V),(_xlpm.x-_xlpm.mu)/_xlpm.sg))))*100)</f>
      </c>
      <c r="GT205" s="11" cm="1">
        <f t="array" aca="1" ref="GT205:GT222" ca="1">_xlfn.LET(_xlpm.sl,_xlfn.ANCHORARRAY($EQ$204),_xlpm.mu,_xlfn.CHOOSECOLS(_xlpm.sl,8),_xlpm.sg,_xlfn.CHOOSECOLS(_xlpm.sl,9),_xlpm.x,_xlfn.ANCHORARRAY($GQ$205),_xlpm.V,_xlfn.TAKE(_xlfn.DROP(_xlpm.sl,,10),,$D$44),(_xlpm.x-(_xlpm.mu+_xlpm.sg*MMULT(_xlpm.V,MMULT(TRANSPOSE(_xlpm.V),(_xlpm.x-_xlpm.mu)/_xlpm.sg))))*100)</f>
      </c>
      <c r="GU205" s="11" cm="1">
        <f t="array" aca="1" ref="GU205:GU222" ca="1">_xlfn.LET(_xlpm.sl,_xlfn.ANCHORARRAY($EQ$204),_xlpm.mu,_xlfn.CHOOSECOLS(_xlpm.sl,8),_xlpm.sg,_xlfn.CHOOSECOLS(_xlpm.sl,9),_xlpm.x,_xlfn.ANCHORARRAY($GQ$205),_xlpm.V,_xlfn.TAKE(_xlfn.DROP(_xlpm.sl,,10),,$D$60),(_xlpm.x-(_xlpm.mu+_xlpm.sg*MMULT(_xlpm.V,MMULT(TRANSPOSE(_xlpm.V),(_xlpm.x-_xlpm.mu)/_xlpm.sg))))*100)</f>
      </c>
      <c r="GV205" s="11" cm="1">
        <f t="array" aca="1" ref="GV205:GV222" ca="1">_xlfn.LET(_xlpm.sl,_xlfn.ANCHORARRAY($EQ$204),_xlpm.mu,_xlfn.CHOOSECOLS(_xlpm.sl,8),_xlpm.sg,_xlfn.CHOOSECOLS(_xlpm.sl,9),_xlpm.x,_xlfn.ANCHORARRAY($GQ$205),_xlpm.V,_xlfn.TAKE(_xlfn.DROP(_xlpm.sl,,10),,$D$76),(_xlpm.x-(_xlpm.mu+_xlpm.sg*MMULT(_xlpm.V,MMULT(TRANSPOSE(_xlpm.V),(_xlpm.x-_xlpm.mu)/_xlpm.sg))))*100)</f>
      </c>
      <c r="GX205" cm="1">
        <f t="array" aca="1" ref="GX205:GX222" ca="1">_xlfn.LET(_xlpm.V,_xlfn.DROP(_xlfn.ANCHORARRAY($EQ$204),,10),IF(1&lt;=COLUMNS(_xlpm.V),_xlfn.CHOOSECOLS(_xlpm.V,1),IF(_xlfn.SEQUENCE(ROWS(_xlpm.V)),NA())))</f>
      </c>
      <c r="GY205" cm="1">
        <f t="array" aca="1" ref="GY205:GY222" ca="1">_xlfn.LET(_xlpm.V,_xlfn.DROP(_xlfn.ANCHORARRAY($EQ$204),,10),IF(2&lt;=COLUMNS(_xlpm.V),_xlfn.CHOOSECOLS(_xlpm.V,2),IF(_xlfn.SEQUENCE(ROWS(_xlpm.V)),NA())))</f>
      </c>
      <c r="GZ205" cm="1">
        <f t="array" aca="1" ref="GZ205:GZ222" ca="1">_xlfn.LET(_xlpm.V,_xlfn.DROP(_xlfn.ANCHORARRAY($EQ$204),,10),IF(3&lt;=COLUMNS(_xlpm.V),_xlfn.CHOOSECOLS(_xlpm.V,3),IF(_xlfn.SEQUENCE(ROWS(_xlpm.V)),NA())))</f>
      </c>
      <c r="HA205" cm="1">
        <f t="array" aca="1" ref="HA205:HA222" ca="1">_xlfn.LET(_xlpm.V,_xlfn.DROP(_xlfn.ANCHORARRAY($EQ$204),,10),IF(4&lt;=COLUMNS(_xlpm.V),_xlfn.CHOOSECOLS(_xlpm.V,4),IF(_xlfn.SEQUENCE(ROWS(_xlpm.V)),NA())))</f>
      </c>
      <c r="HB205" cm="1">
        <f t="array" aca="1" ref="HB205:HB222" ca="1">_xlfn.LET(_xlpm.V,_xlfn.DROP(_xlfn.ANCHORARRAY($EQ$204),,10),IF(5&lt;=COLUMNS(_xlpm.V),_xlfn.CHOOSECOLS(_xlpm.V,5),IF(_xlfn.SEQUENCE(ROWS(_xlpm.V)),NA())))</f>
      </c>
      <c r="HD205" cm="1">
        <f t="array" aca="1" ref="HD205:HD222" ca="1">_xlfn.CHOOSECOLS(_xlfn.ANCHORARRAY($EQ$204),8)</f>
      </c>
      <c r="HE205" cm="1">
        <f t="array" aca="1" ref="HE205:HE222" ca="1">_xlfn.LET(_xlpm.sl,_xlfn.ANCHORARRAY($EQ$204),_xlpm.mu,_xlfn.CHOOSECOLS(_xlpm.sl,8),_xlpm.sg,_xlfn.CHOOSECOLS(_xlpm.sl,9),_xlpm.x,_xlfn.ANCHORARRAY($GQ$205),_xlpm.V,_xlfn.TAKE(_xlfn.DROP(_xlpm.sl,,10),,$D$108),_xlpm.mu+_xlpm.sg*MMULT(_xlpm.V,MMULT(TRANSPOSE(_xlpm.V),(_xlpm.x-_xlpm.mu)/_xlpm.sg)))</f>
      </c>
      <c r="HF205" cm="1">
        <f t="array" aca="1" ref="HF205:HF222" ca="1">_xlfn.CHOOSECOLS(_xlfn.ANCHORARRAY($EQ$204),8)+_xlfn.CHOOSECOLS(_xlfn.ANCHORARRAY($EQ$204),10)</f>
      </c>
      <c r="HG205" cm="1">
        <f t="array" aca="1" ref="HG205:HG222" ca="1">_xlfn.CHOOSECOLS(_xlfn.ANCHORARRAY($EQ$204),8)-_xlfn.CHOOSECOLS(_xlfn.ANCHORARRAY($EQ$204),10)</f>
      </c>
      <c r="HH205" cm="1">
        <f t="array" aca="1" ref="HH205:HH222" ca="1">_xlfn.LET(_xlpm.v,_xlfn.CHOOSECOLS(_xlfn._xlws.FILTER(_xlfn.DROP(_xlfn.ANCHORARRAY($HS$4),1),_xlfn.TAKE(_xlfn.DROP(_xlfn.ANCHORARRAY($HS$4),1),,1)=5),3),IF(_xlpm.v="",NA(),_xlpm.v))</f>
      </c>
      <c r="HI205" cm="1">
        <f t="array" aca="1" ref="HI205:HI222" ca="1">-_xlfn.ANCHORARRAY($HH$205)</f>
      </c>
      <c r="HJ205" cm="1">
        <f t="array" aca="1" ref="HJ205:HJ222" ca="1">_xlfn.LET(_xlpm.v,_xlfn.CHOOSECOLS(_xlfn._xlws.FILTER(_xlfn.DROP(_xlfn.ANCHORARRAY($HS$4),1),_xlfn.TAKE(_xlfn.DROP(_xlfn.ANCHORARRAY($HS$4),1),,1)=5),4),IF(_xlpm.v="",NA(),_xlpm.v))</f>
      </c>
      <c r="HK205" cm="1">
        <f t="array" aca="1" ref="HK205:HK222" ca="1">-_xlfn.ANCHORARRAY($HJ$205)</f>
      </c>
      <c r="HL205" cm="1">
        <f t="array" aca="1" ref="HL205:HL222" ca="1">_xlfn.LET(_xlpm.v,_xlfn.CHOOSECOLS(_xlfn._xlws.FILTER(_xlfn.DROP(_xlfn.ANCHORARRAY($HS$4),1),_xlfn.TAKE(_xlfn.DROP(_xlfn.ANCHORARRAY($HS$4),1),,1)=5),5),IF(_xlpm.v="",NA(),_xlpm.v))</f>
      </c>
      <c r="HM205" cm="1">
        <f t="array" aca="1" ref="HM205:HM222" ca="1">-_xlfn.ANCHORARRAY($HL$205)</f>
      </c>
      <c r="HN205" cm="1">
        <f t="array" aca="1" ref="HN205:HN222" ca="1">_xlfn.LET(_xlpm.v,_xlfn.CHOOSECOLS(_xlfn._xlws.FILTER(_xlfn.DROP(_xlfn.ANCHORARRAY($HS$4),1),_xlfn.TAKE(_xlfn.DROP(_xlfn.ANCHORARRAY($HS$4),1),,1)=5),6),IF(_xlpm.v="",NA(),_xlpm.v))</f>
      </c>
      <c r="HO205" cm="1">
        <f t="array" aca="1" ref="HO205:HO222" ca="1">-_xlfn.ANCHORARRAY($HN$205)</f>
      </c>
      <c r="HP205" cm="1">
        <f t="array" aca="1" ref="HP205:HP222" ca="1">_xlfn.LET(_xlpm.v,_xlfn.CHOOSECOLS(_xlfn._xlws.FILTER(_xlfn.DROP(_xlfn.ANCHORARRAY($HS$4),1),_xlfn.TAKE(_xlfn.DROP(_xlfn.ANCHORARRAY($HS$4),1),,1)=5),7),IF(_xlpm.v="",NA(),_xlpm.v))</f>
      </c>
      <c r="HQ205" cm="1">
        <f t="array" aca="1" ref="HQ205:HQ222" ca="1">-_xlfn.ANCHORARRAY($HP$205)</f>
      </c>
      <c r="HR205" cm="1">
        <f t="array" aca="1" ref="HR205" ca="1">IFERROR(INDEX(_xlfn._xlws.FILTER(_xlfn.DROP(_xlfn.ANCHORARRAY($HS$4),1),_xlfn.TAKE(_xlfn.DROP(_xlfn.ANCHORARRAY($HS$4),1),,1)=5),1,2),"")</f>
      </c>
    </row>
    <row r="206" spans="146:226" x14ac:dyDescent="0.55000000000000004">
      <c r="EQ206">
        <f ca="1"/>
      </c>
      <c r="ER206">
        <f ca="1"/>
      </c>
      <c r="ES206">
        <f ca="1"/>
      </c>
      <c r="ET206">
        <f ca="1"/>
      </c>
      <c r="EU206">
        <f ca="1"/>
      </c>
      <c r="EV206">
        <f ca="1"/>
      </c>
      <c r="EW206">
        <f ca="1"/>
      </c>
      <c r="EX206">
        <f ca="1"/>
      </c>
      <c r="EY206">
        <f ca="1"/>
      </c>
      <c r="EZ206">
        <f ca="1"/>
      </c>
      <c r="FA206">
        <f ca="1"/>
      </c>
      <c r="FB206">
        <f ca="1"/>
      </c>
      <c r="FC206">
        <f ca="1"/>
      </c>
      <c r="FD206">
        <f ca="1"/>
      </c>
      <c r="FE206">
        <f ca="1"/>
      </c>
      <c r="FF206">
        <f ca="1"/>
      </c>
      <c r="FG206">
        <f ca="1"/>
      </c>
      <c r="FH206">
        <f ca="1"/>
      </c>
      <c r="FI206">
        <f ca="1"/>
      </c>
      <c r="FJ206">
        <f ca="1"/>
      </c>
      <c r="FK206">
        <f ca="1"/>
      </c>
      <c r="FL206">
        <f ca="1"/>
      </c>
      <c r="FM206">
        <f ca="1"/>
      </c>
      <c r="FN206">
        <f ca="1"/>
      </c>
      <c r="FO206">
        <f ca="1"/>
      </c>
      <c r="FP206">
        <f ca="1"/>
      </c>
      <c r="FQ206">
        <f ca="1"/>
      </c>
      <c r="FR206">
        <f ca="1"/>
      </c>
      <c r="GQ206">
        <f ca="1"/>
      </c>
      <c r="GR206" s="11">
        <f ca="1"/>
      </c>
      <c r="GS206" s="11">
        <f ca="1"/>
      </c>
      <c r="GT206" s="11">
        <f ca="1"/>
      </c>
      <c r="GU206" s="11">
        <f ca="1"/>
      </c>
      <c r="GV206" s="11">
        <f ca="1"/>
      </c>
      <c r="GX206">
        <f ca="1"/>
      </c>
      <c r="GY206">
        <f ca="1"/>
      </c>
      <c r="GZ206">
        <f ca="1"/>
      </c>
      <c r="HA206">
        <f ca="1"/>
      </c>
      <c r="HB206">
        <f ca="1"/>
      </c>
      <c r="HD206">
        <f ca="1"/>
      </c>
      <c r="HE206">
        <f ca="1"/>
      </c>
      <c r="HF206">
        <f ca="1"/>
      </c>
      <c r="HG206">
        <f ca="1"/>
      </c>
      <c r="HH206">
        <f ca="1"/>
      </c>
      <c r="HI206">
        <f ca="1"/>
      </c>
      <c r="HJ206">
        <f ca="1"/>
      </c>
      <c r="HK206">
        <f ca="1"/>
      </c>
      <c r="HL206">
        <f ca="1"/>
      </c>
      <c r="HM206">
        <f ca="1"/>
      </c>
      <c r="HN206">
        <f ca="1"/>
      </c>
      <c r="HO206">
        <f ca="1"/>
      </c>
      <c r="HP206">
        <f ca="1"/>
      </c>
      <c r="HQ206">
        <f ca="1"/>
      </c>
    </row>
    <row r="207" spans="146:226" x14ac:dyDescent="0.55000000000000004">
      <c r="EQ207">
        <f ca="1"/>
      </c>
      <c r="ER207">
        <f ca="1"/>
      </c>
      <c r="ES207">
        <f ca="1"/>
      </c>
      <c r="ET207">
        <f ca="1"/>
      </c>
      <c r="EU207">
        <f ca="1"/>
      </c>
      <c r="EV207">
        <f ca="1"/>
      </c>
      <c r="EW207">
        <f ca="1"/>
      </c>
      <c r="EX207">
        <f ca="1"/>
      </c>
      <c r="EY207">
        <f ca="1"/>
      </c>
      <c r="EZ207">
        <f ca="1"/>
      </c>
      <c r="FA207">
        <f ca="1"/>
      </c>
      <c r="FB207">
        <f ca="1"/>
      </c>
      <c r="FC207">
        <f ca="1"/>
      </c>
      <c r="FD207">
        <f ca="1"/>
      </c>
      <c r="FE207">
        <f ca="1"/>
      </c>
      <c r="FF207">
        <f ca="1"/>
      </c>
      <c r="FG207">
        <f ca="1"/>
      </c>
      <c r="FH207">
        <f ca="1"/>
      </c>
      <c r="FI207">
        <f ca="1"/>
      </c>
      <c r="FJ207">
        <f ca="1"/>
      </c>
      <c r="FK207">
        <f ca="1"/>
      </c>
      <c r="FL207">
        <f ca="1"/>
      </c>
      <c r="FM207">
        <f ca="1"/>
      </c>
      <c r="FN207">
        <f ca="1"/>
      </c>
      <c r="FO207">
        <f ca="1"/>
      </c>
      <c r="FP207">
        <f ca="1"/>
      </c>
      <c r="FQ207">
        <f ca="1"/>
      </c>
      <c r="FR207">
        <f ca="1"/>
      </c>
      <c r="GQ207">
        <f ca="1"/>
      </c>
      <c r="GR207" s="11">
        <f ca="1"/>
      </c>
      <c r="GS207" s="11">
        <f ca="1"/>
      </c>
      <c r="GT207" s="11">
        <f ca="1"/>
      </c>
      <c r="GU207" s="11">
        <f ca="1"/>
      </c>
      <c r="GV207" s="11">
        <f ca="1"/>
      </c>
      <c r="GX207">
        <f ca="1"/>
      </c>
      <c r="GY207">
        <f ca="1"/>
      </c>
      <c r="GZ207">
        <f ca="1"/>
      </c>
      <c r="HA207">
        <f ca="1"/>
      </c>
      <c r="HB207">
        <f ca="1"/>
      </c>
      <c r="HD207">
        <f ca="1"/>
      </c>
      <c r="HE207">
        <f ca="1"/>
      </c>
      <c r="HF207">
        <f ca="1"/>
      </c>
      <c r="HG207">
        <f ca="1"/>
      </c>
      <c r="HH207">
        <f ca="1"/>
      </c>
      <c r="HI207">
        <f ca="1"/>
      </c>
      <c r="HJ207">
        <f ca="1"/>
      </c>
      <c r="HK207">
        <f ca="1"/>
      </c>
      <c r="HL207">
        <f ca="1"/>
      </c>
      <c r="HM207">
        <f ca="1"/>
      </c>
      <c r="HN207">
        <f ca="1"/>
      </c>
      <c r="HO207">
        <f ca="1"/>
      </c>
      <c r="HP207">
        <f ca="1"/>
      </c>
      <c r="HQ207">
        <f ca="1"/>
      </c>
    </row>
    <row r="208" spans="146:226" x14ac:dyDescent="0.55000000000000004">
      <c r="EQ208">
        <f ca="1"/>
      </c>
      <c r="ER208">
        <f ca="1"/>
      </c>
      <c r="ES208">
        <f ca="1"/>
      </c>
      <c r="ET208">
        <f ca="1"/>
      </c>
      <c r="EU208">
        <f ca="1"/>
      </c>
      <c r="EV208">
        <f ca="1"/>
      </c>
      <c r="EW208">
        <f ca="1"/>
      </c>
      <c r="EX208">
        <f ca="1"/>
      </c>
      <c r="EY208">
        <f ca="1"/>
      </c>
      <c r="EZ208">
        <f ca="1"/>
      </c>
      <c r="FA208">
        <f ca="1"/>
      </c>
      <c r="FB208">
        <f ca="1"/>
      </c>
      <c r="FC208">
        <f ca="1"/>
      </c>
      <c r="FD208">
        <f ca="1"/>
      </c>
      <c r="FE208">
        <f ca="1"/>
      </c>
      <c r="FF208">
        <f ca="1"/>
      </c>
      <c r="FG208">
        <f ca="1"/>
      </c>
      <c r="FH208">
        <f ca="1"/>
      </c>
      <c r="FI208">
        <f ca="1"/>
      </c>
      <c r="FJ208">
        <f ca="1"/>
      </c>
      <c r="FK208">
        <f ca="1"/>
      </c>
      <c r="FL208">
        <f ca="1"/>
      </c>
      <c r="FM208">
        <f ca="1"/>
      </c>
      <c r="FN208">
        <f ca="1"/>
      </c>
      <c r="FO208">
        <f ca="1"/>
      </c>
      <c r="FP208">
        <f ca="1"/>
      </c>
      <c r="FQ208">
        <f ca="1"/>
      </c>
      <c r="FR208">
        <f ca="1"/>
      </c>
      <c r="GQ208">
        <f ca="1"/>
      </c>
      <c r="GR208" s="11">
        <f ca="1"/>
      </c>
      <c r="GS208" s="11">
        <f ca="1"/>
      </c>
      <c r="GT208" s="11">
        <f ca="1"/>
      </c>
      <c r="GU208" s="11">
        <f ca="1"/>
      </c>
      <c r="GV208" s="11">
        <f ca="1"/>
      </c>
      <c r="GX208">
        <f ca="1"/>
      </c>
      <c r="GY208">
        <f ca="1"/>
      </c>
      <c r="GZ208">
        <f ca="1"/>
      </c>
      <c r="HA208">
        <f ca="1"/>
      </c>
      <c r="HB208">
        <f ca="1"/>
      </c>
      <c r="HD208">
        <f ca="1"/>
      </c>
      <c r="HE208">
        <f ca="1"/>
      </c>
      <c r="HF208">
        <f ca="1"/>
      </c>
      <c r="HG208">
        <f ca="1"/>
      </c>
      <c r="HH208">
        <f ca="1"/>
      </c>
      <c r="HI208">
        <f ca="1"/>
      </c>
      <c r="HJ208">
        <f ca="1"/>
      </c>
      <c r="HK208">
        <f ca="1"/>
      </c>
      <c r="HL208">
        <f ca="1"/>
      </c>
      <c r="HM208">
        <f ca="1"/>
      </c>
      <c r="HN208">
        <f ca="1"/>
      </c>
      <c r="HO208">
        <f ca="1"/>
      </c>
      <c r="HP208">
        <f ca="1"/>
      </c>
      <c r="HQ208">
        <f ca="1"/>
      </c>
    </row>
    <row r="209" spans="147:225" x14ac:dyDescent="0.55000000000000004">
      <c r="EQ209">
        <f ca="1"/>
      </c>
      <c r="ER209">
        <f ca="1"/>
      </c>
      <c r="ES209">
        <f ca="1"/>
      </c>
      <c r="ET209">
        <f ca="1"/>
      </c>
      <c r="EU209">
        <f ca="1"/>
      </c>
      <c r="EV209">
        <f ca="1"/>
      </c>
      <c r="EW209">
        <f ca="1"/>
      </c>
      <c r="EX209">
        <f ca="1"/>
      </c>
      <c r="EY209">
        <f ca="1"/>
      </c>
      <c r="EZ209">
        <f ca="1"/>
      </c>
      <c r="FA209">
        <f ca="1"/>
      </c>
      <c r="FB209">
        <f ca="1"/>
      </c>
      <c r="FC209">
        <f ca="1"/>
      </c>
      <c r="FD209">
        <f ca="1"/>
      </c>
      <c r="FE209">
        <f ca="1"/>
      </c>
      <c r="FF209">
        <f ca="1"/>
      </c>
      <c r="FG209">
        <f ca="1"/>
      </c>
      <c r="FH209">
        <f ca="1"/>
      </c>
      <c r="FI209">
        <f ca="1"/>
      </c>
      <c r="FJ209">
        <f ca="1"/>
      </c>
      <c r="FK209">
        <f ca="1"/>
      </c>
      <c r="FL209">
        <f ca="1"/>
      </c>
      <c r="FM209">
        <f ca="1"/>
      </c>
      <c r="FN209">
        <f ca="1"/>
      </c>
      <c r="FO209">
        <f ca="1"/>
      </c>
      <c r="FP209">
        <f ca="1"/>
      </c>
      <c r="FQ209">
        <f ca="1"/>
      </c>
      <c r="FR209">
        <f ca="1"/>
      </c>
      <c r="GQ209">
        <f ca="1"/>
      </c>
      <c r="GR209" s="11">
        <f ca="1"/>
      </c>
      <c r="GS209" s="11">
        <f ca="1"/>
      </c>
      <c r="GT209" s="11">
        <f ca="1"/>
      </c>
      <c r="GU209" s="11">
        <f ca="1"/>
      </c>
      <c r="GV209" s="11">
        <f ca="1"/>
      </c>
      <c r="GX209">
        <f ca="1"/>
      </c>
      <c r="GY209">
        <f ca="1"/>
      </c>
      <c r="GZ209">
        <f ca="1"/>
      </c>
      <c r="HA209">
        <f ca="1"/>
      </c>
      <c r="HB209">
        <f ca="1"/>
      </c>
      <c r="HD209">
        <f ca="1"/>
      </c>
      <c r="HE209">
        <f ca="1"/>
      </c>
      <c r="HF209">
        <f ca="1"/>
      </c>
      <c r="HG209">
        <f ca="1"/>
      </c>
      <c r="HH209">
        <f ca="1"/>
      </c>
      <c r="HI209">
        <f ca="1"/>
      </c>
      <c r="HJ209">
        <f ca="1"/>
      </c>
      <c r="HK209">
        <f ca="1"/>
      </c>
      <c r="HL209">
        <f ca="1"/>
      </c>
      <c r="HM209">
        <f ca="1"/>
      </c>
      <c r="HN209">
        <f ca="1"/>
      </c>
      <c r="HO209">
        <f ca="1"/>
      </c>
      <c r="HP209">
        <f ca="1"/>
      </c>
      <c r="HQ209">
        <f ca="1"/>
      </c>
    </row>
    <row r="210" spans="147:225" x14ac:dyDescent="0.55000000000000004">
      <c r="EQ210">
        <f ca="1"/>
      </c>
      <c r="ER210">
        <f ca="1"/>
      </c>
      <c r="ES210">
        <f ca="1"/>
      </c>
      <c r="ET210">
        <f ca="1"/>
      </c>
      <c r="EU210">
        <f ca="1"/>
      </c>
      <c r="EV210">
        <f ca="1"/>
      </c>
      <c r="EW210">
        <f ca="1"/>
      </c>
      <c r="EX210">
        <f ca="1"/>
      </c>
      <c r="EY210">
        <f ca="1"/>
      </c>
      <c r="EZ210">
        <f ca="1"/>
      </c>
      <c r="FA210">
        <f ca="1"/>
      </c>
      <c r="FB210">
        <f ca="1"/>
      </c>
      <c r="FC210">
        <f ca="1"/>
      </c>
      <c r="FD210">
        <f ca="1"/>
      </c>
      <c r="FE210">
        <f ca="1"/>
      </c>
      <c r="FF210">
        <f ca="1"/>
      </c>
      <c r="FG210">
        <f ca="1"/>
      </c>
      <c r="FH210">
        <f ca="1"/>
      </c>
      <c r="FI210">
        <f ca="1"/>
      </c>
      <c r="FJ210">
        <f ca="1"/>
      </c>
      <c r="FK210">
        <f ca="1"/>
      </c>
      <c r="FL210">
        <f ca="1"/>
      </c>
      <c r="FM210">
        <f ca="1"/>
      </c>
      <c r="FN210">
        <f ca="1"/>
      </c>
      <c r="FO210">
        <f ca="1"/>
      </c>
      <c r="FP210">
        <f ca="1"/>
      </c>
      <c r="FQ210">
        <f ca="1"/>
      </c>
      <c r="FR210">
        <f ca="1"/>
      </c>
      <c r="GQ210">
        <f ca="1"/>
      </c>
      <c r="GR210" s="11">
        <f ca="1"/>
      </c>
      <c r="GS210" s="11">
        <f ca="1"/>
      </c>
      <c r="GT210" s="11">
        <f ca="1"/>
      </c>
      <c r="GU210" s="11">
        <f ca="1"/>
      </c>
      <c r="GV210" s="11">
        <f ca="1"/>
      </c>
      <c r="GX210">
        <f ca="1"/>
      </c>
      <c r="GY210">
        <f ca="1"/>
      </c>
      <c r="GZ210">
        <f ca="1"/>
      </c>
      <c r="HA210">
        <f ca="1"/>
      </c>
      <c r="HB210">
        <f ca="1"/>
      </c>
      <c r="HD210">
        <f ca="1"/>
      </c>
      <c r="HE210">
        <f ca="1"/>
      </c>
      <c r="HF210">
        <f ca="1"/>
      </c>
      <c r="HG210">
        <f ca="1"/>
      </c>
      <c r="HH210">
        <f ca="1"/>
      </c>
      <c r="HI210">
        <f ca="1"/>
      </c>
      <c r="HJ210">
        <f ca="1"/>
      </c>
      <c r="HK210">
        <f ca="1"/>
      </c>
      <c r="HL210">
        <f ca="1"/>
      </c>
      <c r="HM210">
        <f ca="1"/>
      </c>
      <c r="HN210">
        <f ca="1"/>
      </c>
      <c r="HO210">
        <f ca="1"/>
      </c>
      <c r="HP210">
        <f ca="1"/>
      </c>
      <c r="HQ210">
        <f ca="1"/>
      </c>
    </row>
    <row r="211" spans="147:225" x14ac:dyDescent="0.55000000000000004">
      <c r="EQ211">
        <f ca="1"/>
      </c>
      <c r="ER211">
        <f ca="1"/>
      </c>
      <c r="ES211">
        <f ca="1"/>
      </c>
      <c r="ET211">
        <f ca="1"/>
      </c>
      <c r="EU211">
        <f ca="1"/>
      </c>
      <c r="EV211">
        <f ca="1"/>
      </c>
      <c r="EW211">
        <f ca="1"/>
      </c>
      <c r="EX211">
        <f ca="1"/>
      </c>
      <c r="EY211">
        <f ca="1"/>
      </c>
      <c r="EZ211">
        <f ca="1"/>
      </c>
      <c r="FA211">
        <f ca="1"/>
      </c>
      <c r="FB211">
        <f ca="1"/>
      </c>
      <c r="FC211">
        <f ca="1"/>
      </c>
      <c r="FD211">
        <f ca="1"/>
      </c>
      <c r="FE211">
        <f ca="1"/>
      </c>
      <c r="FF211">
        <f ca="1"/>
      </c>
      <c r="FG211">
        <f ca="1"/>
      </c>
      <c r="FH211">
        <f ca="1"/>
      </c>
      <c r="FI211">
        <f ca="1"/>
      </c>
      <c r="FJ211">
        <f ca="1"/>
      </c>
      <c r="FK211">
        <f ca="1"/>
      </c>
      <c r="FL211">
        <f ca="1"/>
      </c>
      <c r="FM211">
        <f ca="1"/>
      </c>
      <c r="FN211">
        <f ca="1"/>
      </c>
      <c r="FO211">
        <f ca="1"/>
      </c>
      <c r="FP211">
        <f ca="1"/>
      </c>
      <c r="FQ211">
        <f ca="1"/>
      </c>
      <c r="FR211">
        <f ca="1"/>
      </c>
      <c r="GQ211">
        <f ca="1"/>
      </c>
      <c r="GR211" s="11">
        <f ca="1"/>
      </c>
      <c r="GS211" s="11">
        <f ca="1"/>
      </c>
      <c r="GT211" s="11">
        <f ca="1"/>
      </c>
      <c r="GU211" s="11">
        <f ca="1"/>
      </c>
      <c r="GV211" s="11">
        <f ca="1"/>
      </c>
      <c r="GX211">
        <f ca="1"/>
      </c>
      <c r="GY211">
        <f ca="1"/>
      </c>
      <c r="GZ211">
        <f ca="1"/>
      </c>
      <c r="HA211">
        <f ca="1"/>
      </c>
      <c r="HB211">
        <f ca="1"/>
      </c>
      <c r="HD211">
        <f ca="1"/>
      </c>
      <c r="HE211">
        <f ca="1"/>
      </c>
      <c r="HF211">
        <f ca="1"/>
      </c>
      <c r="HG211">
        <f ca="1"/>
      </c>
      <c r="HH211">
        <f ca="1"/>
      </c>
      <c r="HI211">
        <f ca="1"/>
      </c>
      <c r="HJ211">
        <f ca="1"/>
      </c>
      <c r="HK211">
        <f ca="1"/>
      </c>
      <c r="HL211">
        <f ca="1"/>
      </c>
      <c r="HM211">
        <f ca="1"/>
      </c>
      <c r="HN211">
        <f ca="1"/>
      </c>
      <c r="HO211">
        <f ca="1"/>
      </c>
      <c r="HP211">
        <f ca="1"/>
      </c>
      <c r="HQ211">
        <f ca="1"/>
      </c>
    </row>
    <row r="212" spans="147:225" x14ac:dyDescent="0.55000000000000004">
      <c r="EQ212">
        <f ca="1"/>
      </c>
      <c r="ER212">
        <f ca="1"/>
      </c>
      <c r="ES212">
        <f ca="1"/>
      </c>
      <c r="ET212">
        <f ca="1"/>
      </c>
      <c r="EU212">
        <f ca="1"/>
      </c>
      <c r="EV212">
        <f ca="1"/>
      </c>
      <c r="EW212">
        <f ca="1"/>
      </c>
      <c r="EX212">
        <f ca="1"/>
      </c>
      <c r="EY212">
        <f ca="1"/>
      </c>
      <c r="EZ212">
        <f ca="1"/>
      </c>
      <c r="FA212">
        <f ca="1"/>
      </c>
      <c r="FB212">
        <f ca="1"/>
      </c>
      <c r="FC212">
        <f ca="1"/>
      </c>
      <c r="FD212">
        <f ca="1"/>
      </c>
      <c r="FE212">
        <f ca="1"/>
      </c>
      <c r="FF212">
        <f ca="1"/>
      </c>
      <c r="FG212">
        <f ca="1"/>
      </c>
      <c r="FH212">
        <f ca="1"/>
      </c>
      <c r="FI212">
        <f ca="1"/>
      </c>
      <c r="FJ212">
        <f ca="1"/>
      </c>
      <c r="FK212">
        <f ca="1"/>
      </c>
      <c r="FL212">
        <f ca="1"/>
      </c>
      <c r="FM212">
        <f ca="1"/>
      </c>
      <c r="FN212">
        <f ca="1"/>
      </c>
      <c r="FO212">
        <f ca="1"/>
      </c>
      <c r="FP212">
        <f ca="1"/>
      </c>
      <c r="FQ212">
        <f ca="1"/>
      </c>
      <c r="FR212">
        <f ca="1"/>
      </c>
      <c r="GQ212">
        <f ca="1"/>
      </c>
      <c r="GR212" s="11">
        <f ca="1"/>
      </c>
      <c r="GS212" s="11">
        <f ca="1"/>
      </c>
      <c r="GT212" s="11">
        <f ca="1"/>
      </c>
      <c r="GU212" s="11">
        <f ca="1"/>
      </c>
      <c r="GV212" s="11">
        <f ca="1"/>
      </c>
      <c r="GX212">
        <f ca="1"/>
      </c>
      <c r="GY212">
        <f ca="1"/>
      </c>
      <c r="GZ212">
        <f ca="1"/>
      </c>
      <c r="HA212">
        <f ca="1"/>
      </c>
      <c r="HB212">
        <f ca="1"/>
      </c>
      <c r="HD212">
        <f ca="1"/>
      </c>
      <c r="HE212">
        <f ca="1"/>
      </c>
      <c r="HF212">
        <f ca="1"/>
      </c>
      <c r="HG212">
        <f ca="1"/>
      </c>
      <c r="HH212">
        <f ca="1"/>
      </c>
      <c r="HI212">
        <f ca="1"/>
      </c>
      <c r="HJ212">
        <f ca="1"/>
      </c>
      <c r="HK212">
        <f ca="1"/>
      </c>
      <c r="HL212">
        <f ca="1"/>
      </c>
      <c r="HM212">
        <f ca="1"/>
      </c>
      <c r="HN212">
        <f ca="1"/>
      </c>
      <c r="HO212">
        <f ca="1"/>
      </c>
      <c r="HP212">
        <f ca="1"/>
      </c>
      <c r="HQ212">
        <f ca="1"/>
      </c>
    </row>
    <row r="213" spans="147:225" x14ac:dyDescent="0.55000000000000004">
      <c r="EQ213">
        <f ca="1"/>
      </c>
      <c r="ER213">
        <f ca="1"/>
      </c>
      <c r="ES213">
        <f ca="1"/>
      </c>
      <c r="ET213">
        <f ca="1"/>
      </c>
      <c r="EU213">
        <f ca="1"/>
      </c>
      <c r="EV213">
        <f ca="1"/>
      </c>
      <c r="EW213">
        <f ca="1"/>
      </c>
      <c r="EX213">
        <f ca="1"/>
      </c>
      <c r="EY213">
        <f ca="1"/>
      </c>
      <c r="EZ213">
        <f ca="1"/>
      </c>
      <c r="FA213">
        <f ca="1"/>
      </c>
      <c r="FB213">
        <f ca="1"/>
      </c>
      <c r="FC213">
        <f ca="1"/>
      </c>
      <c r="FD213">
        <f ca="1"/>
      </c>
      <c r="FE213">
        <f ca="1"/>
      </c>
      <c r="FF213">
        <f ca="1"/>
      </c>
      <c r="FG213">
        <f ca="1"/>
      </c>
      <c r="FH213">
        <f ca="1"/>
      </c>
      <c r="FI213">
        <f ca="1"/>
      </c>
      <c r="FJ213">
        <f ca="1"/>
      </c>
      <c r="FK213">
        <f ca="1"/>
      </c>
      <c r="FL213">
        <f ca="1"/>
      </c>
      <c r="FM213">
        <f ca="1"/>
      </c>
      <c r="FN213">
        <f ca="1"/>
      </c>
      <c r="FO213">
        <f ca="1"/>
      </c>
      <c r="FP213">
        <f ca="1"/>
      </c>
      <c r="FQ213">
        <f ca="1"/>
      </c>
      <c r="FR213">
        <f ca="1"/>
      </c>
      <c r="GQ213">
        <f ca="1"/>
      </c>
      <c r="GR213" s="11">
        <f ca="1"/>
      </c>
      <c r="GS213" s="11">
        <f ca="1"/>
      </c>
      <c r="GT213" s="11">
        <f ca="1"/>
      </c>
      <c r="GU213" s="11">
        <f ca="1"/>
      </c>
      <c r="GV213" s="11">
        <f ca="1"/>
      </c>
      <c r="GX213">
        <f ca="1"/>
      </c>
      <c r="GY213">
        <f ca="1"/>
      </c>
      <c r="GZ213">
        <f ca="1"/>
      </c>
      <c r="HA213">
        <f ca="1"/>
      </c>
      <c r="HB213">
        <f ca="1"/>
      </c>
      <c r="HD213">
        <f ca="1"/>
      </c>
      <c r="HE213">
        <f ca="1"/>
      </c>
      <c r="HF213">
        <f ca="1"/>
      </c>
      <c r="HG213">
        <f ca="1"/>
      </c>
      <c r="HH213">
        <f ca="1"/>
      </c>
      <c r="HI213">
        <f ca="1"/>
      </c>
      <c r="HJ213">
        <f ca="1"/>
      </c>
      <c r="HK213">
        <f ca="1"/>
      </c>
      <c r="HL213">
        <f ca="1"/>
      </c>
      <c r="HM213">
        <f ca="1"/>
      </c>
      <c r="HN213">
        <f ca="1"/>
      </c>
      <c r="HO213">
        <f ca="1"/>
      </c>
      <c r="HP213">
        <f ca="1"/>
      </c>
      <c r="HQ213">
        <f ca="1"/>
      </c>
    </row>
    <row r="214" spans="147:225" x14ac:dyDescent="0.55000000000000004">
      <c r="EQ214">
        <f ca="1"/>
      </c>
      <c r="ER214">
        <f ca="1"/>
      </c>
      <c r="ES214">
        <f ca="1"/>
      </c>
      <c r="ET214">
        <f ca="1"/>
      </c>
      <c r="EU214">
        <f ca="1"/>
      </c>
      <c r="EV214">
        <f ca="1"/>
      </c>
      <c r="EW214">
        <f ca="1"/>
      </c>
      <c r="EX214">
        <f ca="1"/>
      </c>
      <c r="EY214">
        <f ca="1"/>
      </c>
      <c r="EZ214">
        <f ca="1"/>
      </c>
      <c r="FA214">
        <f ca="1"/>
      </c>
      <c r="FB214">
        <f ca="1"/>
      </c>
      <c r="FC214">
        <f ca="1"/>
      </c>
      <c r="FD214">
        <f ca="1"/>
      </c>
      <c r="FE214">
        <f ca="1"/>
      </c>
      <c r="FF214">
        <f ca="1"/>
      </c>
      <c r="FG214">
        <f ca="1"/>
      </c>
      <c r="FH214">
        <f ca="1"/>
      </c>
      <c r="FI214">
        <f ca="1"/>
      </c>
      <c r="FJ214">
        <f ca="1"/>
      </c>
      <c r="FK214">
        <f ca="1"/>
      </c>
      <c r="FL214">
        <f ca="1"/>
      </c>
      <c r="FM214">
        <f ca="1"/>
      </c>
      <c r="FN214">
        <f ca="1"/>
      </c>
      <c r="FO214">
        <f ca="1"/>
      </c>
      <c r="FP214">
        <f ca="1"/>
      </c>
      <c r="FQ214">
        <f ca="1"/>
      </c>
      <c r="FR214">
        <f ca="1"/>
      </c>
      <c r="GQ214">
        <f ca="1"/>
      </c>
      <c r="GR214" s="11">
        <f ca="1"/>
      </c>
      <c r="GS214" s="11">
        <f ca="1"/>
      </c>
      <c r="GT214" s="11">
        <f ca="1"/>
      </c>
      <c r="GU214" s="11">
        <f ca="1"/>
      </c>
      <c r="GV214" s="11">
        <f ca="1"/>
      </c>
      <c r="GX214">
        <f ca="1"/>
      </c>
      <c r="GY214">
        <f ca="1"/>
      </c>
      <c r="GZ214">
        <f ca="1"/>
      </c>
      <c r="HA214">
        <f ca="1"/>
      </c>
      <c r="HB214">
        <f ca="1"/>
      </c>
      <c r="HD214">
        <f ca="1"/>
      </c>
      <c r="HE214">
        <f ca="1"/>
      </c>
      <c r="HF214">
        <f ca="1"/>
      </c>
      <c r="HG214">
        <f ca="1"/>
      </c>
      <c r="HH214">
        <f ca="1"/>
      </c>
      <c r="HI214">
        <f ca="1"/>
      </c>
      <c r="HJ214">
        <f ca="1"/>
      </c>
      <c r="HK214">
        <f ca="1"/>
      </c>
      <c r="HL214">
        <f ca="1"/>
      </c>
      <c r="HM214">
        <f ca="1"/>
      </c>
      <c r="HN214">
        <f ca="1"/>
      </c>
      <c r="HO214">
        <f ca="1"/>
      </c>
      <c r="HP214">
        <f ca="1"/>
      </c>
      <c r="HQ214">
        <f ca="1"/>
      </c>
    </row>
    <row r="215" spans="147:225" x14ac:dyDescent="0.55000000000000004">
      <c r="EQ215">
        <f ca="1"/>
      </c>
      <c r="ER215">
        <f ca="1"/>
      </c>
      <c r="ES215">
        <f ca="1"/>
      </c>
      <c r="ET215">
        <f ca="1"/>
      </c>
      <c r="EU215">
        <f ca="1"/>
      </c>
      <c r="EV215">
        <f ca="1"/>
      </c>
      <c r="EW215">
        <f ca="1"/>
      </c>
      <c r="EX215">
        <f ca="1"/>
      </c>
      <c r="EY215">
        <f ca="1"/>
      </c>
      <c r="EZ215">
        <f ca="1"/>
      </c>
      <c r="FA215">
        <f ca="1"/>
      </c>
      <c r="FB215">
        <f ca="1"/>
      </c>
      <c r="FC215">
        <f ca="1"/>
      </c>
      <c r="FD215">
        <f ca="1"/>
      </c>
      <c r="FE215">
        <f ca="1"/>
      </c>
      <c r="FF215">
        <f ca="1"/>
      </c>
      <c r="FG215">
        <f ca="1"/>
      </c>
      <c r="FH215">
        <f ca="1"/>
      </c>
      <c r="FI215">
        <f ca="1"/>
      </c>
      <c r="FJ215">
        <f ca="1"/>
      </c>
      <c r="FK215">
        <f ca="1"/>
      </c>
      <c r="FL215">
        <f ca="1"/>
      </c>
      <c r="FM215">
        <f ca="1"/>
      </c>
      <c r="FN215">
        <f ca="1"/>
      </c>
      <c r="FO215">
        <f ca="1"/>
      </c>
      <c r="FP215">
        <f ca="1"/>
      </c>
      <c r="FQ215">
        <f ca="1"/>
      </c>
      <c r="FR215">
        <f ca="1"/>
      </c>
      <c r="GQ215">
        <f ca="1"/>
      </c>
      <c r="GR215" s="11">
        <f ca="1"/>
      </c>
      <c r="GS215" s="11">
        <f ca="1"/>
      </c>
      <c r="GT215" s="11">
        <f ca="1"/>
      </c>
      <c r="GU215" s="11">
        <f ca="1"/>
      </c>
      <c r="GV215" s="11">
        <f ca="1"/>
      </c>
      <c r="GX215">
        <f ca="1"/>
      </c>
      <c r="GY215">
        <f ca="1"/>
      </c>
      <c r="GZ215">
        <f ca="1"/>
      </c>
      <c r="HA215">
        <f ca="1"/>
      </c>
      <c r="HB215">
        <f ca="1"/>
      </c>
      <c r="HD215">
        <f ca="1"/>
      </c>
      <c r="HE215">
        <f ca="1"/>
      </c>
      <c r="HF215">
        <f ca="1"/>
      </c>
      <c r="HG215">
        <f ca="1"/>
      </c>
      <c r="HH215">
        <f ca="1"/>
      </c>
      <c r="HI215">
        <f ca="1"/>
      </c>
      <c r="HJ215">
        <f ca="1"/>
      </c>
      <c r="HK215">
        <f ca="1"/>
      </c>
      <c r="HL215">
        <f ca="1"/>
      </c>
      <c r="HM215">
        <f ca="1"/>
      </c>
      <c r="HN215">
        <f ca="1"/>
      </c>
      <c r="HO215">
        <f ca="1"/>
      </c>
      <c r="HP215">
        <f ca="1"/>
      </c>
      <c r="HQ215">
        <f ca="1"/>
      </c>
    </row>
    <row r="216" spans="147:225" x14ac:dyDescent="0.55000000000000004">
      <c r="EQ216">
        <f ca="1"/>
      </c>
      <c r="ER216">
        <f ca="1"/>
      </c>
      <c r="ES216">
        <f ca="1"/>
      </c>
      <c r="ET216">
        <f ca="1"/>
      </c>
      <c r="EU216">
        <f ca="1"/>
      </c>
      <c r="EV216">
        <f ca="1"/>
      </c>
      <c r="EW216">
        <f ca="1"/>
      </c>
      <c r="EX216">
        <f ca="1"/>
      </c>
      <c r="EY216">
        <f ca="1"/>
      </c>
      <c r="EZ216">
        <f ca="1"/>
      </c>
      <c r="FA216">
        <f ca="1"/>
      </c>
      <c r="FB216">
        <f ca="1"/>
      </c>
      <c r="FC216">
        <f ca="1"/>
      </c>
      <c r="FD216">
        <f ca="1"/>
      </c>
      <c r="FE216">
        <f ca="1"/>
      </c>
      <c r="FF216">
        <f ca="1"/>
      </c>
      <c r="FG216">
        <f ca="1"/>
      </c>
      <c r="FH216">
        <f ca="1"/>
      </c>
      <c r="FI216">
        <f ca="1"/>
      </c>
      <c r="FJ216">
        <f ca="1"/>
      </c>
      <c r="FK216">
        <f ca="1"/>
      </c>
      <c r="FL216">
        <f ca="1"/>
      </c>
      <c r="FM216">
        <f ca="1"/>
      </c>
      <c r="FN216">
        <f ca="1"/>
      </c>
      <c r="FO216">
        <f ca="1"/>
      </c>
      <c r="FP216">
        <f ca="1"/>
      </c>
      <c r="FQ216">
        <f ca="1"/>
      </c>
      <c r="FR216">
        <f ca="1"/>
      </c>
      <c r="GQ216">
        <f ca="1"/>
      </c>
      <c r="GR216" s="11">
        <f ca="1"/>
      </c>
      <c r="GS216" s="11">
        <f ca="1"/>
      </c>
      <c r="GT216" s="11">
        <f ca="1"/>
      </c>
      <c r="GU216" s="11">
        <f ca="1"/>
      </c>
      <c r="GV216" s="11">
        <f ca="1"/>
      </c>
      <c r="GX216">
        <f ca="1"/>
      </c>
      <c r="GY216">
        <f ca="1"/>
      </c>
      <c r="GZ216">
        <f ca="1"/>
      </c>
      <c r="HA216">
        <f ca="1"/>
      </c>
      <c r="HB216">
        <f ca="1"/>
      </c>
      <c r="HD216">
        <f ca="1"/>
      </c>
      <c r="HE216">
        <f ca="1"/>
      </c>
      <c r="HF216">
        <f ca="1"/>
      </c>
      <c r="HG216">
        <f ca="1"/>
      </c>
      <c r="HH216">
        <f ca="1"/>
      </c>
      <c r="HI216">
        <f ca="1"/>
      </c>
      <c r="HJ216">
        <f ca="1"/>
      </c>
      <c r="HK216">
        <f ca="1"/>
      </c>
      <c r="HL216">
        <f ca="1"/>
      </c>
      <c r="HM216">
        <f ca="1"/>
      </c>
      <c r="HN216">
        <f ca="1"/>
      </c>
      <c r="HO216">
        <f ca="1"/>
      </c>
      <c r="HP216">
        <f ca="1"/>
      </c>
      <c r="HQ216">
        <f ca="1"/>
      </c>
    </row>
    <row r="217" spans="147:225" x14ac:dyDescent="0.55000000000000004">
      <c r="EQ217">
        <f ca="1"/>
      </c>
      <c r="ER217">
        <f ca="1"/>
      </c>
      <c r="ES217">
        <f ca="1"/>
      </c>
      <c r="ET217">
        <f ca="1"/>
      </c>
      <c r="EU217">
        <f ca="1"/>
      </c>
      <c r="EV217">
        <f ca="1"/>
      </c>
      <c r="EW217">
        <f ca="1"/>
      </c>
      <c r="EX217">
        <f ca="1"/>
      </c>
      <c r="EY217">
        <f ca="1"/>
      </c>
      <c r="EZ217">
        <f ca="1"/>
      </c>
      <c r="FA217">
        <f ca="1"/>
      </c>
      <c r="FB217">
        <f ca="1"/>
      </c>
      <c r="FC217">
        <f ca="1"/>
      </c>
      <c r="FD217">
        <f ca="1"/>
      </c>
      <c r="FE217">
        <f ca="1"/>
      </c>
      <c r="FF217">
        <f ca="1"/>
      </c>
      <c r="FG217">
        <f ca="1"/>
      </c>
      <c r="FH217">
        <f ca="1"/>
      </c>
      <c r="FI217">
        <f ca="1"/>
      </c>
      <c r="FJ217">
        <f ca="1"/>
      </c>
      <c r="FK217">
        <f ca="1"/>
      </c>
      <c r="FL217">
        <f ca="1"/>
      </c>
      <c r="FM217">
        <f ca="1"/>
      </c>
      <c r="FN217">
        <f ca="1"/>
      </c>
      <c r="FO217">
        <f ca="1"/>
      </c>
      <c r="FP217">
        <f ca="1"/>
      </c>
      <c r="FQ217">
        <f ca="1"/>
      </c>
      <c r="FR217">
        <f ca="1"/>
      </c>
      <c r="GQ217">
        <f ca="1"/>
      </c>
      <c r="GR217" s="11">
        <f ca="1"/>
      </c>
      <c r="GS217" s="11">
        <f ca="1"/>
      </c>
      <c r="GT217" s="11">
        <f ca="1"/>
      </c>
      <c r="GU217" s="11">
        <f ca="1"/>
      </c>
      <c r="GV217" s="11">
        <f ca="1"/>
      </c>
      <c r="GX217">
        <f ca="1"/>
      </c>
      <c r="GY217">
        <f ca="1"/>
      </c>
      <c r="GZ217">
        <f ca="1"/>
      </c>
      <c r="HA217">
        <f ca="1"/>
      </c>
      <c r="HB217">
        <f ca="1"/>
      </c>
      <c r="HD217">
        <f ca="1"/>
      </c>
      <c r="HE217">
        <f ca="1"/>
      </c>
      <c r="HF217">
        <f ca="1"/>
      </c>
      <c r="HG217">
        <f ca="1"/>
      </c>
      <c r="HH217">
        <f ca="1"/>
      </c>
      <c r="HI217">
        <f ca="1"/>
      </c>
      <c r="HJ217">
        <f ca="1"/>
      </c>
      <c r="HK217">
        <f ca="1"/>
      </c>
      <c r="HL217">
        <f ca="1"/>
      </c>
      <c r="HM217">
        <f ca="1"/>
      </c>
      <c r="HN217">
        <f ca="1"/>
      </c>
      <c r="HO217">
        <f ca="1"/>
      </c>
      <c r="HP217">
        <f ca="1"/>
      </c>
      <c r="HQ217">
        <f ca="1"/>
      </c>
    </row>
    <row r="218" spans="147:225" x14ac:dyDescent="0.55000000000000004">
      <c r="EQ218">
        <f ca="1"/>
      </c>
      <c r="ER218">
        <f ca="1"/>
      </c>
      <c r="ES218">
        <f ca="1"/>
      </c>
      <c r="ET218">
        <f ca="1"/>
      </c>
      <c r="EU218">
        <f ca="1"/>
      </c>
      <c r="EV218">
        <f ca="1"/>
      </c>
      <c r="EW218">
        <f ca="1"/>
      </c>
      <c r="EX218">
        <f ca="1"/>
      </c>
      <c r="EY218">
        <f ca="1"/>
      </c>
      <c r="EZ218">
        <f ca="1"/>
      </c>
      <c r="FA218">
        <f ca="1"/>
      </c>
      <c r="FB218">
        <f ca="1"/>
      </c>
      <c r="FC218">
        <f ca="1"/>
      </c>
      <c r="FD218">
        <f ca="1"/>
      </c>
      <c r="FE218">
        <f ca="1"/>
      </c>
      <c r="FF218">
        <f ca="1"/>
      </c>
      <c r="FG218">
        <f ca="1"/>
      </c>
      <c r="FH218">
        <f ca="1"/>
      </c>
      <c r="FI218">
        <f ca="1"/>
      </c>
      <c r="FJ218">
        <f ca="1"/>
      </c>
      <c r="FK218">
        <f ca="1"/>
      </c>
      <c r="FL218">
        <f ca="1"/>
      </c>
      <c r="FM218">
        <f ca="1"/>
      </c>
      <c r="FN218">
        <f ca="1"/>
      </c>
      <c r="FO218">
        <f ca="1"/>
      </c>
      <c r="FP218">
        <f ca="1"/>
      </c>
      <c r="FQ218">
        <f ca="1"/>
      </c>
      <c r="FR218">
        <f ca="1"/>
      </c>
      <c r="GQ218">
        <f ca="1"/>
      </c>
      <c r="GR218" s="11">
        <f ca="1"/>
      </c>
      <c r="GS218" s="11">
        <f ca="1"/>
      </c>
      <c r="GT218" s="11">
        <f ca="1"/>
      </c>
      <c r="GU218" s="11">
        <f ca="1"/>
      </c>
      <c r="GV218" s="11">
        <f ca="1"/>
      </c>
      <c r="GX218">
        <f ca="1"/>
      </c>
      <c r="GY218">
        <f ca="1"/>
      </c>
      <c r="GZ218">
        <f ca="1"/>
      </c>
      <c r="HA218">
        <f ca="1"/>
      </c>
      <c r="HB218">
        <f ca="1"/>
      </c>
      <c r="HD218">
        <f ca="1"/>
      </c>
      <c r="HE218">
        <f ca="1"/>
      </c>
      <c r="HF218">
        <f ca="1"/>
      </c>
      <c r="HG218">
        <f ca="1"/>
      </c>
      <c r="HH218">
        <f ca="1"/>
      </c>
      <c r="HI218">
        <f ca="1"/>
      </c>
      <c r="HJ218">
        <f ca="1"/>
      </c>
      <c r="HK218">
        <f ca="1"/>
      </c>
      <c r="HL218">
        <f ca="1"/>
      </c>
      <c r="HM218">
        <f ca="1"/>
      </c>
      <c r="HN218">
        <f ca="1"/>
      </c>
      <c r="HO218">
        <f ca="1"/>
      </c>
      <c r="HP218">
        <f ca="1"/>
      </c>
      <c r="HQ218">
        <f ca="1"/>
      </c>
    </row>
    <row r="219" spans="147:225" x14ac:dyDescent="0.55000000000000004">
      <c r="EQ219">
        <f ca="1"/>
      </c>
      <c r="ER219">
        <f ca="1"/>
      </c>
      <c r="ES219">
        <f ca="1"/>
      </c>
      <c r="ET219">
        <f ca="1"/>
      </c>
      <c r="EU219">
        <f ca="1"/>
      </c>
      <c r="EV219">
        <f ca="1"/>
      </c>
      <c r="EW219">
        <f ca="1"/>
      </c>
      <c r="EX219">
        <f ca="1"/>
      </c>
      <c r="EY219">
        <f ca="1"/>
      </c>
      <c r="EZ219">
        <f ca="1"/>
      </c>
      <c r="FA219">
        <f ca="1"/>
      </c>
      <c r="FB219">
        <f ca="1"/>
      </c>
      <c r="FC219">
        <f ca="1"/>
      </c>
      <c r="FD219">
        <f ca="1"/>
      </c>
      <c r="FE219">
        <f ca="1"/>
      </c>
      <c r="FF219">
        <f ca="1"/>
      </c>
      <c r="FG219">
        <f ca="1"/>
      </c>
      <c r="FH219">
        <f ca="1"/>
      </c>
      <c r="FI219">
        <f ca="1"/>
      </c>
      <c r="FJ219">
        <f ca="1"/>
      </c>
      <c r="FK219">
        <f ca="1"/>
      </c>
      <c r="FL219">
        <f ca="1"/>
      </c>
      <c r="FM219">
        <f ca="1"/>
      </c>
      <c r="FN219">
        <f ca="1"/>
      </c>
      <c r="FO219">
        <f ca="1"/>
      </c>
      <c r="FP219">
        <f ca="1"/>
      </c>
      <c r="FQ219">
        <f ca="1"/>
      </c>
      <c r="FR219">
        <f ca="1"/>
      </c>
      <c r="GQ219">
        <f ca="1"/>
      </c>
      <c r="GR219" s="11">
        <f ca="1"/>
      </c>
      <c r="GS219" s="11">
        <f ca="1"/>
      </c>
      <c r="GT219" s="11">
        <f ca="1"/>
      </c>
      <c r="GU219" s="11">
        <f ca="1"/>
      </c>
      <c r="GV219" s="11">
        <f ca="1"/>
      </c>
      <c r="GX219">
        <f ca="1"/>
      </c>
      <c r="GY219">
        <f ca="1"/>
      </c>
      <c r="GZ219">
        <f ca="1"/>
      </c>
      <c r="HA219">
        <f ca="1"/>
      </c>
      <c r="HB219">
        <f ca="1"/>
      </c>
      <c r="HD219">
        <f ca="1"/>
      </c>
      <c r="HE219">
        <f ca="1"/>
      </c>
      <c r="HF219">
        <f ca="1"/>
      </c>
      <c r="HG219">
        <f ca="1"/>
      </c>
      <c r="HH219">
        <f ca="1"/>
      </c>
      <c r="HI219">
        <f ca="1"/>
      </c>
      <c r="HJ219">
        <f ca="1"/>
      </c>
      <c r="HK219">
        <f ca="1"/>
      </c>
      <c r="HL219">
        <f ca="1"/>
      </c>
      <c r="HM219">
        <f ca="1"/>
      </c>
      <c r="HN219">
        <f ca="1"/>
      </c>
      <c r="HO219">
        <f ca="1"/>
      </c>
      <c r="HP219">
        <f ca="1"/>
      </c>
      <c r="HQ219">
        <f ca="1"/>
      </c>
    </row>
    <row r="220" spans="147:225" x14ac:dyDescent="0.55000000000000004">
      <c r="EQ220">
        <f ca="1"/>
      </c>
      <c r="ER220">
        <f ca="1"/>
      </c>
      <c r="ES220">
        <f ca="1"/>
      </c>
      <c r="ET220">
        <f ca="1"/>
      </c>
      <c r="EU220">
        <f ca="1"/>
      </c>
      <c r="EV220">
        <f ca="1"/>
      </c>
      <c r="EW220">
        <f ca="1"/>
      </c>
      <c r="EX220">
        <f ca="1"/>
      </c>
      <c r="EY220">
        <f ca="1"/>
      </c>
      <c r="EZ220">
        <f ca="1"/>
      </c>
      <c r="FA220">
        <f ca="1"/>
      </c>
      <c r="FB220">
        <f ca="1"/>
      </c>
      <c r="FC220">
        <f ca="1"/>
      </c>
      <c r="FD220">
        <f ca="1"/>
      </c>
      <c r="FE220">
        <f ca="1"/>
      </c>
      <c r="FF220">
        <f ca="1"/>
      </c>
      <c r="FG220">
        <f ca="1"/>
      </c>
      <c r="FH220">
        <f ca="1"/>
      </c>
      <c r="FI220">
        <f ca="1"/>
      </c>
      <c r="FJ220">
        <f ca="1"/>
      </c>
      <c r="FK220">
        <f ca="1"/>
      </c>
      <c r="FL220">
        <f ca="1"/>
      </c>
      <c r="FM220">
        <f ca="1"/>
      </c>
      <c r="FN220">
        <f ca="1"/>
      </c>
      <c r="FO220">
        <f ca="1"/>
      </c>
      <c r="FP220">
        <f ca="1"/>
      </c>
      <c r="FQ220">
        <f ca="1"/>
      </c>
      <c r="FR220">
        <f ca="1"/>
      </c>
      <c r="GQ220">
        <f ca="1"/>
      </c>
      <c r="GR220" s="11">
        <f ca="1"/>
      </c>
      <c r="GS220" s="11">
        <f ca="1"/>
      </c>
      <c r="GT220" s="11">
        <f ca="1"/>
      </c>
      <c r="GU220" s="11">
        <f ca="1"/>
      </c>
      <c r="GV220" s="11">
        <f ca="1"/>
      </c>
      <c r="GX220">
        <f ca="1"/>
      </c>
      <c r="GY220">
        <f ca="1"/>
      </c>
      <c r="GZ220">
        <f ca="1"/>
      </c>
      <c r="HA220">
        <f ca="1"/>
      </c>
      <c r="HB220">
        <f ca="1"/>
      </c>
      <c r="HD220">
        <f ca="1"/>
      </c>
      <c r="HE220">
        <f ca="1"/>
      </c>
      <c r="HF220">
        <f ca="1"/>
      </c>
      <c r="HG220">
        <f ca="1"/>
      </c>
      <c r="HH220">
        <f ca="1"/>
      </c>
      <c r="HI220">
        <f ca="1"/>
      </c>
      <c r="HJ220">
        <f ca="1"/>
      </c>
      <c r="HK220">
        <f ca="1"/>
      </c>
      <c r="HL220">
        <f ca="1"/>
      </c>
      <c r="HM220">
        <f ca="1"/>
      </c>
      <c r="HN220">
        <f ca="1"/>
      </c>
      <c r="HO220">
        <f ca="1"/>
      </c>
      <c r="HP220">
        <f ca="1"/>
      </c>
      <c r="HQ220">
        <f ca="1"/>
      </c>
    </row>
    <row r="221" spans="147:225" x14ac:dyDescent="0.55000000000000004">
      <c r="EQ221">
        <f ca="1"/>
      </c>
      <c r="ER221">
        <f ca="1"/>
      </c>
      <c r="ES221">
        <f ca="1"/>
      </c>
      <c r="ET221">
        <f ca="1"/>
      </c>
      <c r="EU221">
        <f ca="1"/>
      </c>
      <c r="EV221">
        <f ca="1"/>
      </c>
      <c r="EW221">
        <f ca="1"/>
      </c>
      <c r="EX221">
        <f ca="1"/>
      </c>
      <c r="EY221">
        <f ca="1"/>
      </c>
      <c r="EZ221">
        <f ca="1"/>
      </c>
      <c r="FA221">
        <f ca="1"/>
      </c>
      <c r="FB221">
        <f ca="1"/>
      </c>
      <c r="FC221">
        <f ca="1"/>
      </c>
      <c r="FD221">
        <f ca="1"/>
      </c>
      <c r="FE221">
        <f ca="1"/>
      </c>
      <c r="FF221">
        <f ca="1"/>
      </c>
      <c r="FG221">
        <f ca="1"/>
      </c>
      <c r="FH221">
        <f ca="1"/>
      </c>
      <c r="FI221">
        <f ca="1"/>
      </c>
      <c r="FJ221">
        <f ca="1"/>
      </c>
      <c r="FK221">
        <f ca="1"/>
      </c>
      <c r="FL221">
        <f ca="1"/>
      </c>
      <c r="FM221">
        <f ca="1"/>
      </c>
      <c r="FN221">
        <f ca="1"/>
      </c>
      <c r="FO221">
        <f ca="1"/>
      </c>
      <c r="FP221">
        <f ca="1"/>
      </c>
      <c r="FQ221">
        <f ca="1"/>
      </c>
      <c r="FR221">
        <f ca="1"/>
      </c>
      <c r="GQ221">
        <f ca="1"/>
      </c>
      <c r="GR221" s="11">
        <f ca="1"/>
      </c>
      <c r="GS221" s="11">
        <f ca="1"/>
      </c>
      <c r="GT221" s="11">
        <f ca="1"/>
      </c>
      <c r="GU221" s="11">
        <f ca="1"/>
      </c>
      <c r="GV221" s="11">
        <f ca="1"/>
      </c>
      <c r="GX221">
        <f ca="1"/>
      </c>
      <c r="GY221">
        <f ca="1"/>
      </c>
      <c r="GZ221">
        <f ca="1"/>
      </c>
      <c r="HA221">
        <f ca="1"/>
      </c>
      <c r="HB221">
        <f ca="1"/>
      </c>
      <c r="HD221">
        <f ca="1"/>
      </c>
      <c r="HE221">
        <f ca="1"/>
      </c>
      <c r="HF221">
        <f ca="1"/>
      </c>
      <c r="HG221">
        <f ca="1"/>
      </c>
      <c r="HH221">
        <f ca="1"/>
      </c>
      <c r="HI221">
        <f ca="1"/>
      </c>
      <c r="HJ221">
        <f ca="1"/>
      </c>
      <c r="HK221">
        <f ca="1"/>
      </c>
      <c r="HL221">
        <f ca="1"/>
      </c>
      <c r="HM221">
        <f ca="1"/>
      </c>
      <c r="HN221">
        <f ca="1"/>
      </c>
      <c r="HO221">
        <f ca="1"/>
      </c>
      <c r="HP221">
        <f ca="1"/>
      </c>
      <c r="HQ221">
        <f ca="1"/>
      </c>
    </row>
    <row r="222" spans="147:225" x14ac:dyDescent="0.55000000000000004">
      <c r="GQ222">
        <f ca="1"/>
      </c>
      <c r="GR222" s="11">
        <f ca="1"/>
      </c>
      <c r="GS222" s="11">
        <f ca="1"/>
      </c>
      <c r="GT222" s="11">
        <f ca="1"/>
      </c>
      <c r="GU222" s="11">
        <f ca="1"/>
      </c>
      <c r="GV222" s="11">
        <f ca="1"/>
      </c>
      <c r="GX222">
        <f ca="1"/>
      </c>
      <c r="GY222">
        <f ca="1"/>
      </c>
      <c r="GZ222">
        <f ca="1"/>
      </c>
      <c r="HA222">
        <f ca="1"/>
      </c>
      <c r="HB222">
        <f ca="1"/>
      </c>
      <c r="HD222">
        <f ca="1"/>
      </c>
      <c r="HE222">
        <f ca="1"/>
      </c>
      <c r="HF222">
        <f ca="1"/>
      </c>
      <c r="HG222">
        <f ca="1"/>
      </c>
      <c r="HH222">
        <f ca="1"/>
      </c>
      <c r="HI222">
        <f ca="1"/>
      </c>
      <c r="HJ222">
        <f ca="1"/>
      </c>
      <c r="HK222">
        <f ca="1"/>
      </c>
      <c r="HL222">
        <f ca="1"/>
      </c>
      <c r="HM222">
        <f ca="1"/>
      </c>
      <c r="HN222">
        <f ca="1"/>
      </c>
      <c r="HO222">
        <f ca="1"/>
      </c>
      <c r="HP222">
        <f ca="1"/>
      </c>
      <c r="HQ222">
        <f ca="1"/>
      </c>
    </row>
    <row r="223" spans="147:225" x14ac:dyDescent="0.55000000000000004">
      <c r="GR223" s="11"/>
      <c r="GS223" s="11"/>
      <c r="GT223" s="11"/>
      <c r="GU223" s="11"/>
      <c r="GV223" s="11"/>
    </row>
    <row r="224" spans="147:225" x14ac:dyDescent="0.55000000000000004">
      <c r="GR224" s="11"/>
      <c r="GS224" s="11"/>
      <c r="GT224" s="11"/>
      <c r="GU224" s="11"/>
      <c r="GV224" s="11"/>
    </row>
    <row r="225" spans="200:204" x14ac:dyDescent="0.55000000000000004">
      <c r="GR225" s="11"/>
      <c r="GS225" s="11"/>
      <c r="GT225" s="11"/>
      <c r="GU225" s="11"/>
      <c r="GV225" s="11"/>
    </row>
    <row r="226" spans="200:204" x14ac:dyDescent="0.55000000000000004">
      <c r="GR226" s="11"/>
      <c r="GS226" s="11"/>
      <c r="GT226" s="11"/>
      <c r="GU226" s="11"/>
      <c r="GV226" s="11"/>
    </row>
    <row r="227" spans="200:204" x14ac:dyDescent="0.55000000000000004">
      <c r="GR227" s="11"/>
      <c r="GS227" s="11"/>
      <c r="GT227" s="11"/>
      <c r="GU227" s="11"/>
      <c r="GV227" s="11"/>
    </row>
    <row r="228" spans="200:204" x14ac:dyDescent="0.55000000000000004">
      <c r="GR228" s="11"/>
      <c r="GS228" s="11"/>
      <c r="GT228" s="11"/>
      <c r="GU228" s="11"/>
      <c r="GV228" s="11"/>
    </row>
    <row r="229" spans="200:204" x14ac:dyDescent="0.55000000000000004">
      <c r="GR229" s="11"/>
      <c r="GS229" s="11"/>
      <c r="GT229" s="11"/>
      <c r="GU229" s="11"/>
      <c r="GV229" s="11"/>
    </row>
    <row r="230" spans="200:204" x14ac:dyDescent="0.55000000000000004">
      <c r="GR230" s="11"/>
      <c r="GS230" s="11"/>
      <c r="GT230" s="11"/>
      <c r="GU230" s="11"/>
      <c r="GV230" s="11"/>
    </row>
    <row r="231" spans="200:204" x14ac:dyDescent="0.55000000000000004">
      <c r="GR231" s="11"/>
      <c r="GS231" s="11"/>
      <c r="GT231" s="11"/>
      <c r="GU231" s="11"/>
      <c r="GV231" s="11"/>
    </row>
    <row r="232" spans="200:204" x14ac:dyDescent="0.55000000000000004">
      <c r="GR232" s="11"/>
      <c r="GS232" s="11"/>
      <c r="GT232" s="11"/>
      <c r="GU232" s="11"/>
      <c r="GV232" s="11"/>
    </row>
    <row r="233" spans="200:204" x14ac:dyDescent="0.55000000000000004">
      <c r="GR233" s="11"/>
      <c r="GS233" s="11"/>
      <c r="GT233" s="11"/>
      <c r="GU233" s="11"/>
      <c r="GV233" s="11"/>
    </row>
    <row r="234" spans="200:204" x14ac:dyDescent="0.55000000000000004">
      <c r="GR234" s="11"/>
      <c r="GS234" s="11"/>
      <c r="GT234" s="11"/>
      <c r="GU234" s="11"/>
      <c r="GV234" s="11"/>
    </row>
    <row r="235" spans="200:204" x14ac:dyDescent="0.55000000000000004">
      <c r="GR235" s="11"/>
      <c r="GS235" s="11"/>
      <c r="GT235" s="11"/>
      <c r="GU235" s="11"/>
      <c r="GV235" s="11"/>
    </row>
    <row r="236" spans="200:204" x14ac:dyDescent="0.55000000000000004">
      <c r="GR236" s="11"/>
      <c r="GS236" s="11"/>
      <c r="GT236" s="11"/>
      <c r="GU236" s="11"/>
      <c r="GV236" s="11"/>
    </row>
    <row r="237" spans="200:204" x14ac:dyDescent="0.55000000000000004">
      <c r="GR237" s="11"/>
      <c r="GS237" s="11"/>
      <c r="GT237" s="11"/>
      <c r="GU237" s="11"/>
      <c r="GV237" s="11"/>
    </row>
    <row r="238" spans="200:204" x14ac:dyDescent="0.55000000000000004">
      <c r="GR238" s="11"/>
      <c r="GS238" s="11"/>
      <c r="GT238" s="11"/>
      <c r="GU238" s="11"/>
      <c r="GV238" s="11"/>
    </row>
    <row r="239" spans="200:204" x14ac:dyDescent="0.55000000000000004">
      <c r="GR239" s="11"/>
      <c r="GS239" s="11"/>
      <c r="GT239" s="11"/>
      <c r="GU239" s="11"/>
      <c r="GV239" s="11"/>
    </row>
    <row r="240" spans="200:204" x14ac:dyDescent="0.55000000000000004">
      <c r="GR240" s="11"/>
      <c r="GS240" s="11"/>
      <c r="GT240" s="11"/>
      <c r="GU240" s="11"/>
      <c r="GV240" s="11"/>
    </row>
    <row r="241" spans="146:226" x14ac:dyDescent="0.55000000000000004">
      <c r="GR241" s="11"/>
      <c r="GS241" s="11"/>
      <c r="GT241" s="11"/>
      <c r="GU241" s="11"/>
      <c r="GV241" s="11"/>
    </row>
    <row r="242" spans="146:226" x14ac:dyDescent="0.55000000000000004">
      <c r="GR242" s="11"/>
      <c r="GS242" s="11"/>
      <c r="GT242" s="11"/>
      <c r="GU242" s="11"/>
      <c r="GV242" s="11"/>
    </row>
    <row r="243" spans="146:226" x14ac:dyDescent="0.55000000000000004">
      <c r="GR243" s="11"/>
      <c r="GS243" s="11"/>
      <c r="GT243" s="11"/>
      <c r="GU243" s="11"/>
      <c r="GV243" s="11"/>
    </row>
    <row r="244" spans="146:226" x14ac:dyDescent="0.55000000000000004">
      <c r="GR244" s="11"/>
      <c r="GS244" s="11"/>
      <c r="GT244" s="11"/>
      <c r="GU244" s="11"/>
      <c r="GV244" s="11"/>
    </row>
    <row r="245" spans="146:226" x14ac:dyDescent="0.55000000000000004">
      <c r="GR245" s="11"/>
      <c r="GS245" s="11"/>
      <c r="GT245" s="11"/>
      <c r="GU245" s="11"/>
      <c r="GV245" s="11"/>
    </row>
    <row r="246" spans="146:226" x14ac:dyDescent="0.55000000000000004">
      <c r="GR246" s="11"/>
      <c r="GS246" s="11"/>
      <c r="GT246" s="11"/>
      <c r="GU246" s="11"/>
      <c r="GV246" s="11"/>
    </row>
    <row r="254" spans="146:226" x14ac:dyDescent="0.55000000000000004">
      <c r="EP254" t="s">
        <v>157</v>
      </c>
      <c r="EQ254" cm="1">
        <f t="array" aca="1" ref="EQ254:FR271" ca="1">_xlfn.LET(_xlpm.g,_xlfn.DROP(_xlfn.ANCHORARRAY($CO$4),1),_xlfn._xlws.FILTER(_xlpm.g,_xlfn.TAKE(_xlpm.g,,1)=6))</f>
      </c>
      <c r="ER254">
        <f ca="1"/>
      </c>
      <c r="ES254">
        <f ca="1"/>
      </c>
      <c r="ET254">
        <f ca="1"/>
      </c>
      <c r="EU254">
        <f ca="1"/>
      </c>
      <c r="EV254">
        <f ca="1"/>
      </c>
      <c r="EW254">
        <f ca="1"/>
      </c>
      <c r="EX254">
        <f ca="1"/>
      </c>
      <c r="EY254">
        <f ca="1"/>
      </c>
      <c r="EZ254">
        <f ca="1"/>
      </c>
      <c r="FA254">
        <f ca="1"/>
      </c>
      <c r="FB254">
        <f ca="1"/>
      </c>
      <c r="FC254">
        <f ca="1"/>
      </c>
      <c r="FD254">
        <f ca="1"/>
      </c>
      <c r="FE254">
        <f ca="1"/>
      </c>
      <c r="FF254">
        <f ca="1"/>
      </c>
      <c r="FG254">
        <f ca="1"/>
      </c>
      <c r="FH254">
        <f ca="1"/>
      </c>
      <c r="FI254">
        <f ca="1"/>
      </c>
      <c r="FJ254">
        <f ca="1"/>
      </c>
      <c r="FK254">
        <f ca="1"/>
      </c>
      <c r="FL254">
        <f ca="1"/>
      </c>
      <c r="FM254">
        <f ca="1"/>
      </c>
      <c r="FN254">
        <f ca="1"/>
      </c>
      <c r="FO254">
        <f ca="1"/>
      </c>
      <c r="FP254">
        <f ca="1"/>
      </c>
      <c r="FQ254">
        <f ca="1"/>
      </c>
      <c r="FR254">
        <f ca="1"/>
      </c>
      <c r="GQ254" t="s">
        <v>169</v>
      </c>
      <c r="GR254" cm="1">
        <f t="array" aca="1" ref="GR254" ca="1">IFERROR(_xlfn.LET(_xlpm.R,_xlfn.ANCHORARRAY($GR$255),_xlpm.a,ABS(_xlpm.R),"k="&amp;$D$12&amp;"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54" cm="1">
        <f t="array" aca="1" ref="GS254" ca="1">IFERROR(_xlfn.LET(_xlpm.R,_xlfn.ANCHORARRAY($GS$255),_xlpm.a,ABS(_xlpm.R),"k="&amp;$D$28&amp;"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54" cm="1">
        <f t="array" aca="1" ref="GT254" ca="1">IFERROR(_xlfn.LET(_xlpm.R,_xlfn.ANCHORARRAY($GT$255),_xlpm.a,ABS(_xlpm.R),"k="&amp;$D$44&amp;"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54" cm="1">
        <f t="array" aca="1" ref="GU254" ca="1">IFERROR(_xlfn.LET(_xlpm.R,_xlfn.ANCHORARRAY($GU$255),_xlpm.a,ABS(_xlpm.R),"k="&amp;$D$60&amp;"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54" cm="1">
        <f t="array" aca="1" ref="GV254" ca="1">IFERROR(_xlfn.LET(_xlpm.R,_xlfn.ANCHORARRAY($GV$255),_xlpm.a,ABS(_xlpm.R),"k="&amp;$D$76&amp;"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54" t="s">
        <v>44</v>
      </c>
      <c r="GY254" t="s">
        <v>45</v>
      </c>
      <c r="GZ254" t="s">
        <v>46</v>
      </c>
      <c r="HA254" t="s">
        <v>47</v>
      </c>
      <c r="HB254" t="s">
        <v>48</v>
      </c>
      <c r="HD254" t="s">
        <v>174</v>
      </c>
      <c r="HE254">
        <f>"Actual / Mean / Recon (k="&amp;$D$108&amp;")  dashed: Mean ±1σ"</f>
      </c>
      <c r="HF254" t="s">
        <v>175</v>
      </c>
      <c r="HG254" t="s">
        <v>176</v>
      </c>
      <c r="HH254" t="s">
        <v>179</v>
      </c>
      <c r="HI254" t="s">
        <v>180</v>
      </c>
      <c r="HJ254" t="s">
        <v>181</v>
      </c>
      <c r="HK254" t="s">
        <v>182</v>
      </c>
      <c r="HL254" t="s">
        <v>183</v>
      </c>
      <c r="HM254" t="s">
        <v>184</v>
      </c>
      <c r="HN254" t="s">
        <v>185</v>
      </c>
      <c r="HO254" t="s">
        <v>186</v>
      </c>
      <c r="HP254" t="s">
        <v>187</v>
      </c>
      <c r="HQ254" t="s">
        <v>188</v>
      </c>
      <c r="HR254" t="s">
        <v>189</v>
      </c>
    </row>
    <row r="255" spans="146:226" x14ac:dyDescent="0.55000000000000004">
      <c r="EQ255">
        <f ca="1"/>
      </c>
      <c r="ER255">
        <f ca="1"/>
      </c>
      <c r="ES255">
        <f ca="1"/>
      </c>
      <c r="ET255">
        <f ca="1"/>
      </c>
      <c r="EU255">
        <f ca="1"/>
      </c>
      <c r="EV255">
        <f ca="1"/>
      </c>
      <c r="EW255">
        <f ca="1"/>
      </c>
      <c r="EX255">
        <f ca="1"/>
      </c>
      <c r="EY255">
        <f ca="1"/>
      </c>
      <c r="EZ255">
        <f ca="1"/>
      </c>
      <c r="FA255">
        <f ca="1"/>
      </c>
      <c r="FB255">
        <f ca="1"/>
      </c>
      <c r="FC255">
        <f ca="1"/>
      </c>
      <c r="FD255">
        <f ca="1"/>
      </c>
      <c r="FE255">
        <f ca="1"/>
      </c>
      <c r="FF255">
        <f ca="1"/>
      </c>
      <c r="FG255">
        <f ca="1"/>
      </c>
      <c r="FH255">
        <f ca="1"/>
      </c>
      <c r="FI255">
        <f ca="1"/>
      </c>
      <c r="FJ255">
        <f ca="1"/>
      </c>
      <c r="FK255">
        <f ca="1"/>
      </c>
      <c r="FL255">
        <f ca="1"/>
      </c>
      <c r="FM255">
        <f ca="1"/>
      </c>
      <c r="FN255">
        <f ca="1"/>
      </c>
      <c r="FO255">
        <f ca="1"/>
      </c>
      <c r="FP255">
        <f ca="1"/>
      </c>
      <c r="FQ255">
        <f ca="1"/>
      </c>
      <c r="FR255">
        <f ca="1"/>
      </c>
      <c r="GQ255" cm="1">
        <f t="array" aca="1" ref="GQ255:GQ272" ca="1">IF($AN$6="Change",_xlfn.ANCHORARRAY($CJ$4),_xlfn.ANCHORARRAY($CI$4))</f>
      </c>
      <c r="GR255" s="11" cm="1">
        <f t="array" aca="1" ref="GR255:GR272" ca="1">_xlfn.LET(_xlpm.sl,_xlfn.ANCHORARRAY($EQ$254),_xlpm.mu,_xlfn.CHOOSECOLS(_xlpm.sl,8),_xlpm.sg,_xlfn.CHOOSECOLS(_xlpm.sl,9),_xlpm.x,_xlfn.ANCHORARRAY($GQ$255),_xlpm.V,_xlfn.TAKE(_xlfn.DROP(_xlpm.sl,,10),,$D$12),(_xlpm.x-(_xlpm.mu+_xlpm.sg*MMULT(_xlpm.V,MMULT(TRANSPOSE(_xlpm.V),(_xlpm.x-_xlpm.mu)/_xlpm.sg))))*100)</f>
      </c>
      <c r="GS255" s="11" cm="1">
        <f t="array" aca="1" ref="GS255:GS272" ca="1">_xlfn.LET(_xlpm.sl,_xlfn.ANCHORARRAY($EQ$254),_xlpm.mu,_xlfn.CHOOSECOLS(_xlpm.sl,8),_xlpm.sg,_xlfn.CHOOSECOLS(_xlpm.sl,9),_xlpm.x,_xlfn.ANCHORARRAY($GQ$255),_xlpm.V,_xlfn.TAKE(_xlfn.DROP(_xlpm.sl,,10),,$D$28),(_xlpm.x-(_xlpm.mu+_xlpm.sg*MMULT(_xlpm.V,MMULT(TRANSPOSE(_xlpm.V),(_xlpm.x-_xlpm.mu)/_xlpm.sg))))*100)</f>
      </c>
      <c r="GT255" s="11" cm="1">
        <f t="array" aca="1" ref="GT255:GT272" ca="1">_xlfn.LET(_xlpm.sl,_xlfn.ANCHORARRAY($EQ$254),_xlpm.mu,_xlfn.CHOOSECOLS(_xlpm.sl,8),_xlpm.sg,_xlfn.CHOOSECOLS(_xlpm.sl,9),_xlpm.x,_xlfn.ANCHORARRAY($GQ$255),_xlpm.V,_xlfn.TAKE(_xlfn.DROP(_xlpm.sl,,10),,$D$44),(_xlpm.x-(_xlpm.mu+_xlpm.sg*MMULT(_xlpm.V,MMULT(TRANSPOSE(_xlpm.V),(_xlpm.x-_xlpm.mu)/_xlpm.sg))))*100)</f>
      </c>
      <c r="GU255" s="11" cm="1">
        <f t="array" aca="1" ref="GU255:GU272" ca="1">_xlfn.LET(_xlpm.sl,_xlfn.ANCHORARRAY($EQ$254),_xlpm.mu,_xlfn.CHOOSECOLS(_xlpm.sl,8),_xlpm.sg,_xlfn.CHOOSECOLS(_xlpm.sl,9),_xlpm.x,_xlfn.ANCHORARRAY($GQ$255),_xlpm.V,_xlfn.TAKE(_xlfn.DROP(_xlpm.sl,,10),,$D$60),(_xlpm.x-(_xlpm.mu+_xlpm.sg*MMULT(_xlpm.V,MMULT(TRANSPOSE(_xlpm.V),(_xlpm.x-_xlpm.mu)/_xlpm.sg))))*100)</f>
      </c>
      <c r="GV255" s="11" cm="1">
        <f t="array" aca="1" ref="GV255:GV272" ca="1">_xlfn.LET(_xlpm.sl,_xlfn.ANCHORARRAY($EQ$254),_xlpm.mu,_xlfn.CHOOSECOLS(_xlpm.sl,8),_xlpm.sg,_xlfn.CHOOSECOLS(_xlpm.sl,9),_xlpm.x,_xlfn.ANCHORARRAY($GQ$255),_xlpm.V,_xlfn.TAKE(_xlfn.DROP(_xlpm.sl,,10),,$D$76),(_xlpm.x-(_xlpm.mu+_xlpm.sg*MMULT(_xlpm.V,MMULT(TRANSPOSE(_xlpm.V),(_xlpm.x-_xlpm.mu)/_xlpm.sg))))*100)</f>
      </c>
      <c r="GX255" cm="1">
        <f t="array" aca="1" ref="GX255:GX272" ca="1">_xlfn.LET(_xlpm.V,_xlfn.DROP(_xlfn.ANCHORARRAY($EQ$254),,10),IF(1&lt;=COLUMNS(_xlpm.V),_xlfn.CHOOSECOLS(_xlpm.V,1),IF(_xlfn.SEQUENCE(ROWS(_xlpm.V)),NA())))</f>
      </c>
      <c r="GY255" cm="1">
        <f t="array" aca="1" ref="GY255:GY272" ca="1">_xlfn.LET(_xlpm.V,_xlfn.DROP(_xlfn.ANCHORARRAY($EQ$254),,10),IF(2&lt;=COLUMNS(_xlpm.V),_xlfn.CHOOSECOLS(_xlpm.V,2),IF(_xlfn.SEQUENCE(ROWS(_xlpm.V)),NA())))</f>
      </c>
      <c r="GZ255" cm="1">
        <f t="array" aca="1" ref="GZ255:GZ272" ca="1">_xlfn.LET(_xlpm.V,_xlfn.DROP(_xlfn.ANCHORARRAY($EQ$254),,10),IF(3&lt;=COLUMNS(_xlpm.V),_xlfn.CHOOSECOLS(_xlpm.V,3),IF(_xlfn.SEQUENCE(ROWS(_xlpm.V)),NA())))</f>
      </c>
      <c r="HA255" cm="1">
        <f t="array" aca="1" ref="HA255:HA272" ca="1">_xlfn.LET(_xlpm.V,_xlfn.DROP(_xlfn.ANCHORARRAY($EQ$254),,10),IF(4&lt;=COLUMNS(_xlpm.V),_xlfn.CHOOSECOLS(_xlpm.V,4),IF(_xlfn.SEQUENCE(ROWS(_xlpm.V)),NA())))</f>
      </c>
      <c r="HB255" cm="1">
        <f t="array" aca="1" ref="HB255:HB272" ca="1">_xlfn.LET(_xlpm.V,_xlfn.DROP(_xlfn.ANCHORARRAY($EQ$254),,10),IF(5&lt;=COLUMNS(_xlpm.V),_xlfn.CHOOSECOLS(_xlpm.V,5),IF(_xlfn.SEQUENCE(ROWS(_xlpm.V)),NA())))</f>
      </c>
      <c r="HD255" cm="1">
        <f t="array" aca="1" ref="HD255:HD272" ca="1">_xlfn.CHOOSECOLS(_xlfn.ANCHORARRAY($EQ$254),8)</f>
      </c>
      <c r="HE255" cm="1">
        <f t="array" aca="1" ref="HE255:HE272" ca="1">_xlfn.LET(_xlpm.sl,_xlfn.ANCHORARRAY($EQ$254),_xlpm.mu,_xlfn.CHOOSECOLS(_xlpm.sl,8),_xlpm.sg,_xlfn.CHOOSECOLS(_xlpm.sl,9),_xlpm.x,_xlfn.ANCHORARRAY($GQ$255),_xlpm.V,_xlfn.TAKE(_xlfn.DROP(_xlpm.sl,,10),,$D$108),_xlpm.mu+_xlpm.sg*MMULT(_xlpm.V,MMULT(TRANSPOSE(_xlpm.V),(_xlpm.x-_xlpm.mu)/_xlpm.sg)))</f>
      </c>
      <c r="HF255" cm="1">
        <f t="array" aca="1" ref="HF255:HF272" ca="1">_xlfn.CHOOSECOLS(_xlfn.ANCHORARRAY($EQ$254),8)+_xlfn.CHOOSECOLS(_xlfn.ANCHORARRAY($EQ$254),10)</f>
      </c>
      <c r="HG255" cm="1">
        <f t="array" aca="1" ref="HG255:HG272" ca="1">_xlfn.CHOOSECOLS(_xlfn.ANCHORARRAY($EQ$254),8)-_xlfn.CHOOSECOLS(_xlfn.ANCHORARRAY($EQ$254),10)</f>
      </c>
      <c r="HH255" cm="1">
        <f t="array" aca="1" ref="HH255:HH272" ca="1">_xlfn.LET(_xlpm.v,_xlfn.CHOOSECOLS(_xlfn._xlws.FILTER(_xlfn.DROP(_xlfn.ANCHORARRAY($HS$4),1),_xlfn.TAKE(_xlfn.DROP(_xlfn.ANCHORARRAY($HS$4),1),,1)=6),3),IF(_xlpm.v="",NA(),_xlpm.v))</f>
      </c>
      <c r="HI255" cm="1">
        <f t="array" aca="1" ref="HI255:HI272" ca="1">-_xlfn.ANCHORARRAY($HH$255)</f>
      </c>
      <c r="HJ255" cm="1">
        <f t="array" aca="1" ref="HJ255:HJ272" ca="1">_xlfn.LET(_xlpm.v,_xlfn.CHOOSECOLS(_xlfn._xlws.FILTER(_xlfn.DROP(_xlfn.ANCHORARRAY($HS$4),1),_xlfn.TAKE(_xlfn.DROP(_xlfn.ANCHORARRAY($HS$4),1),,1)=6),4),IF(_xlpm.v="",NA(),_xlpm.v))</f>
      </c>
      <c r="HK255" cm="1">
        <f t="array" aca="1" ref="HK255:HK272" ca="1">-_xlfn.ANCHORARRAY($HJ$255)</f>
      </c>
      <c r="HL255" cm="1">
        <f t="array" aca="1" ref="HL255:HL272" ca="1">_xlfn.LET(_xlpm.v,_xlfn.CHOOSECOLS(_xlfn._xlws.FILTER(_xlfn.DROP(_xlfn.ANCHORARRAY($HS$4),1),_xlfn.TAKE(_xlfn.DROP(_xlfn.ANCHORARRAY($HS$4),1),,1)=6),5),IF(_xlpm.v="",NA(),_xlpm.v))</f>
      </c>
      <c r="HM255" cm="1">
        <f t="array" aca="1" ref="HM255:HM272" ca="1">-_xlfn.ANCHORARRAY($HL$255)</f>
      </c>
      <c r="HN255" cm="1">
        <f t="array" aca="1" ref="HN255:HN272" ca="1">_xlfn.LET(_xlpm.v,_xlfn.CHOOSECOLS(_xlfn._xlws.FILTER(_xlfn.DROP(_xlfn.ANCHORARRAY($HS$4),1),_xlfn.TAKE(_xlfn.DROP(_xlfn.ANCHORARRAY($HS$4),1),,1)=6),6),IF(_xlpm.v="",NA(),_xlpm.v))</f>
      </c>
      <c r="HO255" cm="1">
        <f t="array" aca="1" ref="HO255:HO272" ca="1">-_xlfn.ANCHORARRAY($HN$255)</f>
      </c>
      <c r="HP255" cm="1">
        <f t="array" aca="1" ref="HP255:HP272" ca="1">_xlfn.LET(_xlpm.v,_xlfn.CHOOSECOLS(_xlfn._xlws.FILTER(_xlfn.DROP(_xlfn.ANCHORARRAY($HS$4),1),_xlfn.TAKE(_xlfn.DROP(_xlfn.ANCHORARRAY($HS$4),1),,1)=6),7),IF(_xlpm.v="",NA(),_xlpm.v))</f>
      </c>
      <c r="HQ255" cm="1">
        <f t="array" aca="1" ref="HQ255:HQ272" ca="1">-_xlfn.ANCHORARRAY($HP$255)</f>
      </c>
      <c r="HR255" cm="1">
        <f t="array" aca="1" ref="HR255" ca="1">IFERROR(INDEX(_xlfn._xlws.FILTER(_xlfn.DROP(_xlfn.ANCHORARRAY($HS$4),1),_xlfn.TAKE(_xlfn.DROP(_xlfn.ANCHORARRAY($HS$4),1),,1)=6),1,2),"")</f>
      </c>
    </row>
    <row r="256" spans="146:226" x14ac:dyDescent="0.55000000000000004">
      <c r="EQ256">
        <f ca="1"/>
      </c>
      <c r="ER256">
        <f ca="1"/>
      </c>
      <c r="ES256">
        <f ca="1"/>
      </c>
      <c r="ET256">
        <f ca="1"/>
      </c>
      <c r="EU256">
        <f ca="1"/>
      </c>
      <c r="EV256">
        <f ca="1"/>
      </c>
      <c r="EW256">
        <f ca="1"/>
      </c>
      <c r="EX256">
        <f ca="1"/>
      </c>
      <c r="EY256">
        <f ca="1"/>
      </c>
      <c r="EZ256">
        <f ca="1"/>
      </c>
      <c r="FA256">
        <f ca="1"/>
      </c>
      <c r="FB256">
        <f ca="1"/>
      </c>
      <c r="FC256">
        <f ca="1"/>
      </c>
      <c r="FD256">
        <f ca="1"/>
      </c>
      <c r="FE256">
        <f ca="1"/>
      </c>
      <c r="FF256">
        <f ca="1"/>
      </c>
      <c r="FG256">
        <f ca="1"/>
      </c>
      <c r="FH256">
        <f ca="1"/>
      </c>
      <c r="FI256">
        <f ca="1"/>
      </c>
      <c r="FJ256">
        <f ca="1"/>
      </c>
      <c r="FK256">
        <f ca="1"/>
      </c>
      <c r="FL256">
        <f ca="1"/>
      </c>
      <c r="FM256">
        <f ca="1"/>
      </c>
      <c r="FN256">
        <f ca="1"/>
      </c>
      <c r="FO256">
        <f ca="1"/>
      </c>
      <c r="FP256">
        <f ca="1"/>
      </c>
      <c r="FQ256">
        <f ca="1"/>
      </c>
      <c r="FR256">
        <f ca="1"/>
      </c>
      <c r="GQ256">
        <f ca="1"/>
      </c>
      <c r="GR256" s="11">
        <f ca="1"/>
      </c>
      <c r="GS256" s="11">
        <f ca="1"/>
      </c>
      <c r="GT256" s="11">
        <f ca="1"/>
      </c>
      <c r="GU256" s="11">
        <f ca="1"/>
      </c>
      <c r="GV256" s="11">
        <f ca="1"/>
      </c>
      <c r="GX256">
        <f ca="1"/>
      </c>
      <c r="GY256">
        <f ca="1"/>
      </c>
      <c r="GZ256">
        <f ca="1"/>
      </c>
      <c r="HA256">
        <f ca="1"/>
      </c>
      <c r="HB256">
        <f ca="1"/>
      </c>
      <c r="HD256">
        <f ca="1"/>
      </c>
      <c r="HE256">
        <f ca="1"/>
      </c>
      <c r="HF256">
        <f ca="1"/>
      </c>
      <c r="HG256">
        <f ca="1"/>
      </c>
      <c r="HH256">
        <f ca="1"/>
      </c>
      <c r="HI256">
        <f ca="1"/>
      </c>
      <c r="HJ256">
        <f ca="1"/>
      </c>
      <c r="HK256">
        <f ca="1"/>
      </c>
      <c r="HL256">
        <f ca="1"/>
      </c>
      <c r="HM256">
        <f ca="1"/>
      </c>
      <c r="HN256">
        <f ca="1"/>
      </c>
      <c r="HO256">
        <f ca="1"/>
      </c>
      <c r="HP256">
        <f ca="1"/>
      </c>
      <c r="HQ256">
        <f ca="1"/>
      </c>
    </row>
    <row r="257" spans="147:225" x14ac:dyDescent="0.55000000000000004">
      <c r="EQ257">
        <f ca="1"/>
      </c>
      <c r="ER257">
        <f ca="1"/>
      </c>
      <c r="ES257">
        <f ca="1"/>
      </c>
      <c r="ET257">
        <f ca="1"/>
      </c>
      <c r="EU257">
        <f ca="1"/>
      </c>
      <c r="EV257">
        <f ca="1"/>
      </c>
      <c r="EW257">
        <f ca="1"/>
      </c>
      <c r="EX257">
        <f ca="1"/>
      </c>
      <c r="EY257">
        <f ca="1"/>
      </c>
      <c r="EZ257">
        <f ca="1"/>
      </c>
      <c r="FA257">
        <f ca="1"/>
      </c>
      <c r="FB257">
        <f ca="1"/>
      </c>
      <c r="FC257">
        <f ca="1"/>
      </c>
      <c r="FD257">
        <f ca="1"/>
      </c>
      <c r="FE257">
        <f ca="1"/>
      </c>
      <c r="FF257">
        <f ca="1"/>
      </c>
      <c r="FG257">
        <f ca="1"/>
      </c>
      <c r="FH257">
        <f ca="1"/>
      </c>
      <c r="FI257">
        <f ca="1"/>
      </c>
      <c r="FJ257">
        <f ca="1"/>
      </c>
      <c r="FK257">
        <f ca="1"/>
      </c>
      <c r="FL257">
        <f ca="1"/>
      </c>
      <c r="FM257">
        <f ca="1"/>
      </c>
      <c r="FN257">
        <f ca="1"/>
      </c>
      <c r="FO257">
        <f ca="1"/>
      </c>
      <c r="FP257">
        <f ca="1"/>
      </c>
      <c r="FQ257">
        <f ca="1"/>
      </c>
      <c r="FR257">
        <f ca="1"/>
      </c>
      <c r="GQ257">
        <f ca="1"/>
      </c>
      <c r="GR257" s="11">
        <f ca="1"/>
      </c>
      <c r="GS257" s="11">
        <f ca="1"/>
      </c>
      <c r="GT257" s="11">
        <f ca="1"/>
      </c>
      <c r="GU257" s="11">
        <f ca="1"/>
      </c>
      <c r="GV257" s="11">
        <f ca="1"/>
      </c>
      <c r="GX257">
        <f ca="1"/>
      </c>
      <c r="GY257">
        <f ca="1"/>
      </c>
      <c r="GZ257">
        <f ca="1"/>
      </c>
      <c r="HA257">
        <f ca="1"/>
      </c>
      <c r="HB257">
        <f ca="1"/>
      </c>
      <c r="HD257">
        <f ca="1"/>
      </c>
      <c r="HE257">
        <f ca="1"/>
      </c>
      <c r="HF257">
        <f ca="1"/>
      </c>
      <c r="HG257">
        <f ca="1"/>
      </c>
      <c r="HH257">
        <f ca="1"/>
      </c>
      <c r="HI257">
        <f ca="1"/>
      </c>
      <c r="HJ257">
        <f ca="1"/>
      </c>
      <c r="HK257">
        <f ca="1"/>
      </c>
      <c r="HL257">
        <f ca="1"/>
      </c>
      <c r="HM257">
        <f ca="1"/>
      </c>
      <c r="HN257">
        <f ca="1"/>
      </c>
      <c r="HO257">
        <f ca="1"/>
      </c>
      <c r="HP257">
        <f ca="1"/>
      </c>
      <c r="HQ257">
        <f ca="1"/>
      </c>
    </row>
    <row r="258" spans="147:225" x14ac:dyDescent="0.55000000000000004">
      <c r="EQ258">
        <f ca="1"/>
      </c>
      <c r="ER258">
        <f ca="1"/>
      </c>
      <c r="ES258">
        <f ca="1"/>
      </c>
      <c r="ET258">
        <f ca="1"/>
      </c>
      <c r="EU258">
        <f ca="1"/>
      </c>
      <c r="EV258">
        <f ca="1"/>
      </c>
      <c r="EW258">
        <f ca="1"/>
      </c>
      <c r="EX258">
        <f ca="1"/>
      </c>
      <c r="EY258">
        <f ca="1"/>
      </c>
      <c r="EZ258">
        <f ca="1"/>
      </c>
      <c r="FA258">
        <f ca="1"/>
      </c>
      <c r="FB258">
        <f ca="1"/>
      </c>
      <c r="FC258">
        <f ca="1"/>
      </c>
      <c r="FD258">
        <f ca="1"/>
      </c>
      <c r="FE258">
        <f ca="1"/>
      </c>
      <c r="FF258">
        <f ca="1"/>
      </c>
      <c r="FG258">
        <f ca="1"/>
      </c>
      <c r="FH258">
        <f ca="1"/>
      </c>
      <c r="FI258">
        <f ca="1"/>
      </c>
      <c r="FJ258">
        <f ca="1"/>
      </c>
      <c r="FK258">
        <f ca="1"/>
      </c>
      <c r="FL258">
        <f ca="1"/>
      </c>
      <c r="FM258">
        <f ca="1"/>
      </c>
      <c r="FN258">
        <f ca="1"/>
      </c>
      <c r="FO258">
        <f ca="1"/>
      </c>
      <c r="FP258">
        <f ca="1"/>
      </c>
      <c r="FQ258">
        <f ca="1"/>
      </c>
      <c r="FR258">
        <f ca="1"/>
      </c>
      <c r="GQ258">
        <f ca="1"/>
      </c>
      <c r="GR258" s="11">
        <f ca="1"/>
      </c>
      <c r="GS258" s="11">
        <f ca="1"/>
      </c>
      <c r="GT258" s="11">
        <f ca="1"/>
      </c>
      <c r="GU258" s="11">
        <f ca="1"/>
      </c>
      <c r="GV258" s="11">
        <f ca="1"/>
      </c>
      <c r="GX258">
        <f ca="1"/>
      </c>
      <c r="GY258">
        <f ca="1"/>
      </c>
      <c r="GZ258">
        <f ca="1"/>
      </c>
      <c r="HA258">
        <f ca="1"/>
      </c>
      <c r="HB258">
        <f ca="1"/>
      </c>
      <c r="HD258">
        <f ca="1"/>
      </c>
      <c r="HE258">
        <f ca="1"/>
      </c>
      <c r="HF258">
        <f ca="1"/>
      </c>
      <c r="HG258">
        <f ca="1"/>
      </c>
      <c r="HH258">
        <f ca="1"/>
      </c>
      <c r="HI258">
        <f ca="1"/>
      </c>
      <c r="HJ258">
        <f ca="1"/>
      </c>
      <c r="HK258">
        <f ca="1"/>
      </c>
      <c r="HL258">
        <f ca="1"/>
      </c>
      <c r="HM258">
        <f ca="1"/>
      </c>
      <c r="HN258">
        <f ca="1"/>
      </c>
      <c r="HO258">
        <f ca="1"/>
      </c>
      <c r="HP258">
        <f ca="1"/>
      </c>
      <c r="HQ258">
        <f ca="1"/>
      </c>
    </row>
    <row r="259" spans="147:225" x14ac:dyDescent="0.55000000000000004">
      <c r="EQ259">
        <f ca="1"/>
      </c>
      <c r="ER259">
        <f ca="1"/>
      </c>
      <c r="ES259">
        <f ca="1"/>
      </c>
      <c r="ET259">
        <f ca="1"/>
      </c>
      <c r="EU259">
        <f ca="1"/>
      </c>
      <c r="EV259">
        <f ca="1"/>
      </c>
      <c r="EW259">
        <f ca="1"/>
      </c>
      <c r="EX259">
        <f ca="1"/>
      </c>
      <c r="EY259">
        <f ca="1"/>
      </c>
      <c r="EZ259">
        <f ca="1"/>
      </c>
      <c r="FA259">
        <f ca="1"/>
      </c>
      <c r="FB259">
        <f ca="1"/>
      </c>
      <c r="FC259">
        <f ca="1"/>
      </c>
      <c r="FD259">
        <f ca="1"/>
      </c>
      <c r="FE259">
        <f ca="1"/>
      </c>
      <c r="FF259">
        <f ca="1"/>
      </c>
      <c r="FG259">
        <f ca="1"/>
      </c>
      <c r="FH259">
        <f ca="1"/>
      </c>
      <c r="FI259">
        <f ca="1"/>
      </c>
      <c r="FJ259">
        <f ca="1"/>
      </c>
      <c r="FK259">
        <f ca="1"/>
      </c>
      <c r="FL259">
        <f ca="1"/>
      </c>
      <c r="FM259">
        <f ca="1"/>
      </c>
      <c r="FN259">
        <f ca="1"/>
      </c>
      <c r="FO259">
        <f ca="1"/>
      </c>
      <c r="FP259">
        <f ca="1"/>
      </c>
      <c r="FQ259">
        <f ca="1"/>
      </c>
      <c r="FR259">
        <f ca="1"/>
      </c>
      <c r="GQ259">
        <f ca="1"/>
      </c>
      <c r="GR259" s="11">
        <f ca="1"/>
      </c>
      <c r="GS259" s="11">
        <f ca="1"/>
      </c>
      <c r="GT259" s="11">
        <f ca="1"/>
      </c>
      <c r="GU259" s="11">
        <f ca="1"/>
      </c>
      <c r="GV259" s="11">
        <f ca="1"/>
      </c>
      <c r="GX259">
        <f ca="1"/>
      </c>
      <c r="GY259">
        <f ca="1"/>
      </c>
      <c r="GZ259">
        <f ca="1"/>
      </c>
      <c r="HA259">
        <f ca="1"/>
      </c>
      <c r="HB259">
        <f ca="1"/>
      </c>
      <c r="HD259">
        <f ca="1"/>
      </c>
      <c r="HE259">
        <f ca="1"/>
      </c>
      <c r="HF259">
        <f ca="1"/>
      </c>
      <c r="HG259">
        <f ca="1"/>
      </c>
      <c r="HH259">
        <f ca="1"/>
      </c>
      <c r="HI259">
        <f ca="1"/>
      </c>
      <c r="HJ259">
        <f ca="1"/>
      </c>
      <c r="HK259">
        <f ca="1"/>
      </c>
      <c r="HL259">
        <f ca="1"/>
      </c>
      <c r="HM259">
        <f ca="1"/>
      </c>
      <c r="HN259">
        <f ca="1"/>
      </c>
      <c r="HO259">
        <f ca="1"/>
      </c>
      <c r="HP259">
        <f ca="1"/>
      </c>
      <c r="HQ259">
        <f ca="1"/>
      </c>
    </row>
    <row r="260" spans="147:225" x14ac:dyDescent="0.55000000000000004">
      <c r="EQ260">
        <f ca="1"/>
      </c>
      <c r="ER260">
        <f ca="1"/>
      </c>
      <c r="ES260">
        <f ca="1"/>
      </c>
      <c r="ET260">
        <f ca="1"/>
      </c>
      <c r="EU260">
        <f ca="1"/>
      </c>
      <c r="EV260">
        <f ca="1"/>
      </c>
      <c r="EW260">
        <f ca="1"/>
      </c>
      <c r="EX260">
        <f ca="1"/>
      </c>
      <c r="EY260">
        <f ca="1"/>
      </c>
      <c r="EZ260">
        <f ca="1"/>
      </c>
      <c r="FA260">
        <f ca="1"/>
      </c>
      <c r="FB260">
        <f ca="1"/>
      </c>
      <c r="FC260">
        <f ca="1"/>
      </c>
      <c r="FD260">
        <f ca="1"/>
      </c>
      <c r="FE260">
        <f ca="1"/>
      </c>
      <c r="FF260">
        <f ca="1"/>
      </c>
      <c r="FG260">
        <f ca="1"/>
      </c>
      <c r="FH260">
        <f ca="1"/>
      </c>
      <c r="FI260">
        <f ca="1"/>
      </c>
      <c r="FJ260">
        <f ca="1"/>
      </c>
      <c r="FK260">
        <f ca="1"/>
      </c>
      <c r="FL260">
        <f ca="1"/>
      </c>
      <c r="FM260">
        <f ca="1"/>
      </c>
      <c r="FN260">
        <f ca="1"/>
      </c>
      <c r="FO260">
        <f ca="1"/>
      </c>
      <c r="FP260">
        <f ca="1"/>
      </c>
      <c r="FQ260">
        <f ca="1"/>
      </c>
      <c r="FR260">
        <f ca="1"/>
      </c>
      <c r="GQ260">
        <f ca="1"/>
      </c>
      <c r="GR260" s="11">
        <f ca="1"/>
      </c>
      <c r="GS260" s="11">
        <f ca="1"/>
      </c>
      <c r="GT260" s="11">
        <f ca="1"/>
      </c>
      <c r="GU260" s="11">
        <f ca="1"/>
      </c>
      <c r="GV260" s="11">
        <f ca="1"/>
      </c>
      <c r="GX260">
        <f ca="1"/>
      </c>
      <c r="GY260">
        <f ca="1"/>
      </c>
      <c r="GZ260">
        <f ca="1"/>
      </c>
      <c r="HA260">
        <f ca="1"/>
      </c>
      <c r="HB260">
        <f ca="1"/>
      </c>
      <c r="HD260">
        <f ca="1"/>
      </c>
      <c r="HE260">
        <f ca="1"/>
      </c>
      <c r="HF260">
        <f ca="1"/>
      </c>
      <c r="HG260">
        <f ca="1"/>
      </c>
      <c r="HH260">
        <f ca="1"/>
      </c>
      <c r="HI260">
        <f ca="1"/>
      </c>
      <c r="HJ260">
        <f ca="1"/>
      </c>
      <c r="HK260">
        <f ca="1"/>
      </c>
      <c r="HL260">
        <f ca="1"/>
      </c>
      <c r="HM260">
        <f ca="1"/>
      </c>
      <c r="HN260">
        <f ca="1"/>
      </c>
      <c r="HO260">
        <f ca="1"/>
      </c>
      <c r="HP260">
        <f ca="1"/>
      </c>
      <c r="HQ260">
        <f ca="1"/>
      </c>
    </row>
    <row r="261" spans="147:225" x14ac:dyDescent="0.55000000000000004">
      <c r="EQ261">
        <f ca="1"/>
      </c>
      <c r="ER261">
        <f ca="1"/>
      </c>
      <c r="ES261">
        <f ca="1"/>
      </c>
      <c r="ET261">
        <f ca="1"/>
      </c>
      <c r="EU261">
        <f ca="1"/>
      </c>
      <c r="EV261">
        <f ca="1"/>
      </c>
      <c r="EW261">
        <f ca="1"/>
      </c>
      <c r="EX261">
        <f ca="1"/>
      </c>
      <c r="EY261">
        <f ca="1"/>
      </c>
      <c r="EZ261">
        <f ca="1"/>
      </c>
      <c r="FA261">
        <f ca="1"/>
      </c>
      <c r="FB261">
        <f ca="1"/>
      </c>
      <c r="FC261">
        <f ca="1"/>
      </c>
      <c r="FD261">
        <f ca="1"/>
      </c>
      <c r="FE261">
        <f ca="1"/>
      </c>
      <c r="FF261">
        <f ca="1"/>
      </c>
      <c r="FG261">
        <f ca="1"/>
      </c>
      <c r="FH261">
        <f ca="1"/>
      </c>
      <c r="FI261">
        <f ca="1"/>
      </c>
      <c r="FJ261">
        <f ca="1"/>
      </c>
      <c r="FK261">
        <f ca="1"/>
      </c>
      <c r="FL261">
        <f ca="1"/>
      </c>
      <c r="FM261">
        <f ca="1"/>
      </c>
      <c r="FN261">
        <f ca="1"/>
      </c>
      <c r="FO261">
        <f ca="1"/>
      </c>
      <c r="FP261">
        <f ca="1"/>
      </c>
      <c r="FQ261">
        <f ca="1"/>
      </c>
      <c r="FR261">
        <f ca="1"/>
      </c>
      <c r="GQ261">
        <f ca="1"/>
      </c>
      <c r="GR261" s="11">
        <f ca="1"/>
      </c>
      <c r="GS261" s="11">
        <f ca="1"/>
      </c>
      <c r="GT261" s="11">
        <f ca="1"/>
      </c>
      <c r="GU261" s="11">
        <f ca="1"/>
      </c>
      <c r="GV261" s="11">
        <f ca="1"/>
      </c>
      <c r="GX261">
        <f ca="1"/>
      </c>
      <c r="GY261">
        <f ca="1"/>
      </c>
      <c r="GZ261">
        <f ca="1"/>
      </c>
      <c r="HA261">
        <f ca="1"/>
      </c>
      <c r="HB261">
        <f ca="1"/>
      </c>
      <c r="HD261">
        <f ca="1"/>
      </c>
      <c r="HE261">
        <f ca="1"/>
      </c>
      <c r="HF261">
        <f ca="1"/>
      </c>
      <c r="HG261">
        <f ca="1"/>
      </c>
      <c r="HH261">
        <f ca="1"/>
      </c>
      <c r="HI261">
        <f ca="1"/>
      </c>
      <c r="HJ261">
        <f ca="1"/>
      </c>
      <c r="HK261">
        <f ca="1"/>
      </c>
      <c r="HL261">
        <f ca="1"/>
      </c>
      <c r="HM261">
        <f ca="1"/>
      </c>
      <c r="HN261">
        <f ca="1"/>
      </c>
      <c r="HO261">
        <f ca="1"/>
      </c>
      <c r="HP261">
        <f ca="1"/>
      </c>
      <c r="HQ261">
        <f ca="1"/>
      </c>
    </row>
    <row r="262" spans="147:225" x14ac:dyDescent="0.55000000000000004">
      <c r="EQ262">
        <f ca="1"/>
      </c>
      <c r="ER262">
        <f ca="1"/>
      </c>
      <c r="ES262">
        <f ca="1"/>
      </c>
      <c r="ET262">
        <f ca="1"/>
      </c>
      <c r="EU262">
        <f ca="1"/>
      </c>
      <c r="EV262">
        <f ca="1"/>
      </c>
      <c r="EW262">
        <f ca="1"/>
      </c>
      <c r="EX262">
        <f ca="1"/>
      </c>
      <c r="EY262">
        <f ca="1"/>
      </c>
      <c r="EZ262">
        <f ca="1"/>
      </c>
      <c r="FA262">
        <f ca="1"/>
      </c>
      <c r="FB262">
        <f ca="1"/>
      </c>
      <c r="FC262">
        <f ca="1"/>
      </c>
      <c r="FD262">
        <f ca="1"/>
      </c>
      <c r="FE262">
        <f ca="1"/>
      </c>
      <c r="FF262">
        <f ca="1"/>
      </c>
      <c r="FG262">
        <f ca="1"/>
      </c>
      <c r="FH262">
        <f ca="1"/>
      </c>
      <c r="FI262">
        <f ca="1"/>
      </c>
      <c r="FJ262">
        <f ca="1"/>
      </c>
      <c r="FK262">
        <f ca="1"/>
      </c>
      <c r="FL262">
        <f ca="1"/>
      </c>
      <c r="FM262">
        <f ca="1"/>
      </c>
      <c r="FN262">
        <f ca="1"/>
      </c>
      <c r="FO262">
        <f ca="1"/>
      </c>
      <c r="FP262">
        <f ca="1"/>
      </c>
      <c r="FQ262">
        <f ca="1"/>
      </c>
      <c r="FR262">
        <f ca="1"/>
      </c>
      <c r="GQ262">
        <f ca="1"/>
      </c>
      <c r="GR262" s="11">
        <f ca="1"/>
      </c>
      <c r="GS262" s="11">
        <f ca="1"/>
      </c>
      <c r="GT262" s="11">
        <f ca="1"/>
      </c>
      <c r="GU262" s="11">
        <f ca="1"/>
      </c>
      <c r="GV262" s="11">
        <f ca="1"/>
      </c>
      <c r="GX262">
        <f ca="1"/>
      </c>
      <c r="GY262">
        <f ca="1"/>
      </c>
      <c r="GZ262">
        <f ca="1"/>
      </c>
      <c r="HA262">
        <f ca="1"/>
      </c>
      <c r="HB262">
        <f ca="1"/>
      </c>
      <c r="HD262">
        <f ca="1"/>
      </c>
      <c r="HE262">
        <f ca="1"/>
      </c>
      <c r="HF262">
        <f ca="1"/>
      </c>
      <c r="HG262">
        <f ca="1"/>
      </c>
      <c r="HH262">
        <f ca="1"/>
      </c>
      <c r="HI262">
        <f ca="1"/>
      </c>
      <c r="HJ262">
        <f ca="1"/>
      </c>
      <c r="HK262">
        <f ca="1"/>
      </c>
      <c r="HL262">
        <f ca="1"/>
      </c>
      <c r="HM262">
        <f ca="1"/>
      </c>
      <c r="HN262">
        <f ca="1"/>
      </c>
      <c r="HO262">
        <f ca="1"/>
      </c>
      <c r="HP262">
        <f ca="1"/>
      </c>
      <c r="HQ262">
        <f ca="1"/>
      </c>
    </row>
    <row r="263" spans="147:225" x14ac:dyDescent="0.55000000000000004">
      <c r="EQ263">
        <f ca="1"/>
      </c>
      <c r="ER263">
        <f ca="1"/>
      </c>
      <c r="ES263">
        <f ca="1"/>
      </c>
      <c r="ET263">
        <f ca="1"/>
      </c>
      <c r="EU263">
        <f ca="1"/>
      </c>
      <c r="EV263">
        <f ca="1"/>
      </c>
      <c r="EW263">
        <f ca="1"/>
      </c>
      <c r="EX263">
        <f ca="1"/>
      </c>
      <c r="EY263">
        <f ca="1"/>
      </c>
      <c r="EZ263">
        <f ca="1"/>
      </c>
      <c r="FA263">
        <f ca="1"/>
      </c>
      <c r="FB263">
        <f ca="1"/>
      </c>
      <c r="FC263">
        <f ca="1"/>
      </c>
      <c r="FD263">
        <f ca="1"/>
      </c>
      <c r="FE263">
        <f ca="1"/>
      </c>
      <c r="FF263">
        <f ca="1"/>
      </c>
      <c r="FG263">
        <f ca="1"/>
      </c>
      <c r="FH263">
        <f ca="1"/>
      </c>
      <c r="FI263">
        <f ca="1"/>
      </c>
      <c r="FJ263">
        <f ca="1"/>
      </c>
      <c r="FK263">
        <f ca="1"/>
      </c>
      <c r="FL263">
        <f ca="1"/>
      </c>
      <c r="FM263">
        <f ca="1"/>
      </c>
      <c r="FN263">
        <f ca="1"/>
      </c>
      <c r="FO263">
        <f ca="1"/>
      </c>
      <c r="FP263">
        <f ca="1"/>
      </c>
      <c r="FQ263">
        <f ca="1"/>
      </c>
      <c r="FR263">
        <f ca="1"/>
      </c>
      <c r="GQ263">
        <f ca="1"/>
      </c>
      <c r="GR263" s="11">
        <f ca="1"/>
      </c>
      <c r="GS263" s="11">
        <f ca="1"/>
      </c>
      <c r="GT263" s="11">
        <f ca="1"/>
      </c>
      <c r="GU263" s="11">
        <f ca="1"/>
      </c>
      <c r="GV263" s="11">
        <f ca="1"/>
      </c>
      <c r="GX263">
        <f ca="1"/>
      </c>
      <c r="GY263">
        <f ca="1"/>
      </c>
      <c r="GZ263">
        <f ca="1"/>
      </c>
      <c r="HA263">
        <f ca="1"/>
      </c>
      <c r="HB263">
        <f ca="1"/>
      </c>
      <c r="HD263">
        <f ca="1"/>
      </c>
      <c r="HE263">
        <f ca="1"/>
      </c>
      <c r="HF263">
        <f ca="1"/>
      </c>
      <c r="HG263">
        <f ca="1"/>
      </c>
      <c r="HH263">
        <f ca="1"/>
      </c>
      <c r="HI263">
        <f ca="1"/>
      </c>
      <c r="HJ263">
        <f ca="1"/>
      </c>
      <c r="HK263">
        <f ca="1"/>
      </c>
      <c r="HL263">
        <f ca="1"/>
      </c>
      <c r="HM263">
        <f ca="1"/>
      </c>
      <c r="HN263">
        <f ca="1"/>
      </c>
      <c r="HO263">
        <f ca="1"/>
      </c>
      <c r="HP263">
        <f ca="1"/>
      </c>
      <c r="HQ263">
        <f ca="1"/>
      </c>
    </row>
    <row r="264" spans="147:225" x14ac:dyDescent="0.55000000000000004">
      <c r="EQ264">
        <f ca="1"/>
      </c>
      <c r="ER264">
        <f ca="1"/>
      </c>
      <c r="ES264">
        <f ca="1"/>
      </c>
      <c r="ET264">
        <f ca="1"/>
      </c>
      <c r="EU264">
        <f ca="1"/>
      </c>
      <c r="EV264">
        <f ca="1"/>
      </c>
      <c r="EW264">
        <f ca="1"/>
      </c>
      <c r="EX264">
        <f ca="1"/>
      </c>
      <c r="EY264">
        <f ca="1"/>
      </c>
      <c r="EZ264">
        <f ca="1"/>
      </c>
      <c r="FA264">
        <f ca="1"/>
      </c>
      <c r="FB264">
        <f ca="1"/>
      </c>
      <c r="FC264">
        <f ca="1"/>
      </c>
      <c r="FD264">
        <f ca="1"/>
      </c>
      <c r="FE264">
        <f ca="1"/>
      </c>
      <c r="FF264">
        <f ca="1"/>
      </c>
      <c r="FG264">
        <f ca="1"/>
      </c>
      <c r="FH264">
        <f ca="1"/>
      </c>
      <c r="FI264">
        <f ca="1"/>
      </c>
      <c r="FJ264">
        <f ca="1"/>
      </c>
      <c r="FK264">
        <f ca="1"/>
      </c>
      <c r="FL264">
        <f ca="1"/>
      </c>
      <c r="FM264">
        <f ca="1"/>
      </c>
      <c r="FN264">
        <f ca="1"/>
      </c>
      <c r="FO264">
        <f ca="1"/>
      </c>
      <c r="FP264">
        <f ca="1"/>
      </c>
      <c r="FQ264">
        <f ca="1"/>
      </c>
      <c r="FR264">
        <f ca="1"/>
      </c>
      <c r="GQ264">
        <f ca="1"/>
      </c>
      <c r="GR264" s="11">
        <f ca="1"/>
      </c>
      <c r="GS264" s="11">
        <f ca="1"/>
      </c>
      <c r="GT264" s="11">
        <f ca="1"/>
      </c>
      <c r="GU264" s="11">
        <f ca="1"/>
      </c>
      <c r="GV264" s="11">
        <f ca="1"/>
      </c>
      <c r="GX264">
        <f ca="1"/>
      </c>
      <c r="GY264">
        <f ca="1"/>
      </c>
      <c r="GZ264">
        <f ca="1"/>
      </c>
      <c r="HA264">
        <f ca="1"/>
      </c>
      <c r="HB264">
        <f ca="1"/>
      </c>
      <c r="HD264">
        <f ca="1"/>
      </c>
      <c r="HE264">
        <f ca="1"/>
      </c>
      <c r="HF264">
        <f ca="1"/>
      </c>
      <c r="HG264">
        <f ca="1"/>
      </c>
      <c r="HH264">
        <f ca="1"/>
      </c>
      <c r="HI264">
        <f ca="1"/>
      </c>
      <c r="HJ264">
        <f ca="1"/>
      </c>
      <c r="HK264">
        <f ca="1"/>
      </c>
      <c r="HL264">
        <f ca="1"/>
      </c>
      <c r="HM264">
        <f ca="1"/>
      </c>
      <c r="HN264">
        <f ca="1"/>
      </c>
      <c r="HO264">
        <f ca="1"/>
      </c>
      <c r="HP264">
        <f ca="1"/>
      </c>
      <c r="HQ264">
        <f ca="1"/>
      </c>
    </row>
    <row r="265" spans="147:225" x14ac:dyDescent="0.55000000000000004">
      <c r="EQ265">
        <f ca="1"/>
      </c>
      <c r="ER265">
        <f ca="1"/>
      </c>
      <c r="ES265">
        <f ca="1"/>
      </c>
      <c r="ET265">
        <f ca="1"/>
      </c>
      <c r="EU265">
        <f ca="1"/>
      </c>
      <c r="EV265">
        <f ca="1"/>
      </c>
      <c r="EW265">
        <f ca="1"/>
      </c>
      <c r="EX265">
        <f ca="1"/>
      </c>
      <c r="EY265">
        <f ca="1"/>
      </c>
      <c r="EZ265">
        <f ca="1"/>
      </c>
      <c r="FA265">
        <f ca="1"/>
      </c>
      <c r="FB265">
        <f ca="1"/>
      </c>
      <c r="FC265">
        <f ca="1"/>
      </c>
      <c r="FD265">
        <f ca="1"/>
      </c>
      <c r="FE265">
        <f ca="1"/>
      </c>
      <c r="FF265">
        <f ca="1"/>
      </c>
      <c r="FG265">
        <f ca="1"/>
      </c>
      <c r="FH265">
        <f ca="1"/>
      </c>
      <c r="FI265">
        <f ca="1"/>
      </c>
      <c r="FJ265">
        <f ca="1"/>
      </c>
      <c r="FK265">
        <f ca="1"/>
      </c>
      <c r="FL265">
        <f ca="1"/>
      </c>
      <c r="FM265">
        <f ca="1"/>
      </c>
      <c r="FN265">
        <f ca="1"/>
      </c>
      <c r="FO265">
        <f ca="1"/>
      </c>
      <c r="FP265">
        <f ca="1"/>
      </c>
      <c r="FQ265">
        <f ca="1"/>
      </c>
      <c r="FR265">
        <f ca="1"/>
      </c>
      <c r="GQ265">
        <f ca="1"/>
      </c>
      <c r="GR265" s="11">
        <f ca="1"/>
      </c>
      <c r="GS265" s="11">
        <f ca="1"/>
      </c>
      <c r="GT265" s="11">
        <f ca="1"/>
      </c>
      <c r="GU265" s="11">
        <f ca="1"/>
      </c>
      <c r="GV265" s="11">
        <f ca="1"/>
      </c>
      <c r="GX265">
        <f ca="1"/>
      </c>
      <c r="GY265">
        <f ca="1"/>
      </c>
      <c r="GZ265">
        <f ca="1"/>
      </c>
      <c r="HA265">
        <f ca="1"/>
      </c>
      <c r="HB265">
        <f ca="1"/>
      </c>
      <c r="HD265">
        <f ca="1"/>
      </c>
      <c r="HE265">
        <f ca="1"/>
      </c>
      <c r="HF265">
        <f ca="1"/>
      </c>
      <c r="HG265">
        <f ca="1"/>
      </c>
      <c r="HH265">
        <f ca="1"/>
      </c>
      <c r="HI265">
        <f ca="1"/>
      </c>
      <c r="HJ265">
        <f ca="1"/>
      </c>
      <c r="HK265">
        <f ca="1"/>
      </c>
      <c r="HL265">
        <f ca="1"/>
      </c>
      <c r="HM265">
        <f ca="1"/>
      </c>
      <c r="HN265">
        <f ca="1"/>
      </c>
      <c r="HO265">
        <f ca="1"/>
      </c>
      <c r="HP265">
        <f ca="1"/>
      </c>
      <c r="HQ265">
        <f ca="1"/>
      </c>
    </row>
    <row r="266" spans="147:225" x14ac:dyDescent="0.55000000000000004">
      <c r="EQ266">
        <f ca="1"/>
      </c>
      <c r="ER266">
        <f ca="1"/>
      </c>
      <c r="ES266">
        <f ca="1"/>
      </c>
      <c r="ET266">
        <f ca="1"/>
      </c>
      <c r="EU266">
        <f ca="1"/>
      </c>
      <c r="EV266">
        <f ca="1"/>
      </c>
      <c r="EW266">
        <f ca="1"/>
      </c>
      <c r="EX266">
        <f ca="1"/>
      </c>
      <c r="EY266">
        <f ca="1"/>
      </c>
      <c r="EZ266">
        <f ca="1"/>
      </c>
      <c r="FA266">
        <f ca="1"/>
      </c>
      <c r="FB266">
        <f ca="1"/>
      </c>
      <c r="FC266">
        <f ca="1"/>
      </c>
      <c r="FD266">
        <f ca="1"/>
      </c>
      <c r="FE266">
        <f ca="1"/>
      </c>
      <c r="FF266">
        <f ca="1"/>
      </c>
      <c r="FG266">
        <f ca="1"/>
      </c>
      <c r="FH266">
        <f ca="1"/>
      </c>
      <c r="FI266">
        <f ca="1"/>
      </c>
      <c r="FJ266">
        <f ca="1"/>
      </c>
      <c r="FK266">
        <f ca="1"/>
      </c>
      <c r="FL266">
        <f ca="1"/>
      </c>
      <c r="FM266">
        <f ca="1"/>
      </c>
      <c r="FN266">
        <f ca="1"/>
      </c>
      <c r="FO266">
        <f ca="1"/>
      </c>
      <c r="FP266">
        <f ca="1"/>
      </c>
      <c r="FQ266">
        <f ca="1"/>
      </c>
      <c r="FR266">
        <f ca="1"/>
      </c>
      <c r="GQ266">
        <f ca="1"/>
      </c>
      <c r="GR266" s="11">
        <f ca="1"/>
      </c>
      <c r="GS266" s="11">
        <f ca="1"/>
      </c>
      <c r="GT266" s="11">
        <f ca="1"/>
      </c>
      <c r="GU266" s="11">
        <f ca="1"/>
      </c>
      <c r="GV266" s="11">
        <f ca="1"/>
      </c>
      <c r="GX266">
        <f ca="1"/>
      </c>
      <c r="GY266">
        <f ca="1"/>
      </c>
      <c r="GZ266">
        <f ca="1"/>
      </c>
      <c r="HA266">
        <f ca="1"/>
      </c>
      <c r="HB266">
        <f ca="1"/>
      </c>
      <c r="HD266">
        <f ca="1"/>
      </c>
      <c r="HE266">
        <f ca="1"/>
      </c>
      <c r="HF266">
        <f ca="1"/>
      </c>
      <c r="HG266">
        <f ca="1"/>
      </c>
      <c r="HH266">
        <f ca="1"/>
      </c>
      <c r="HI266">
        <f ca="1"/>
      </c>
      <c r="HJ266">
        <f ca="1"/>
      </c>
      <c r="HK266">
        <f ca="1"/>
      </c>
      <c r="HL266">
        <f ca="1"/>
      </c>
      <c r="HM266">
        <f ca="1"/>
      </c>
      <c r="HN266">
        <f ca="1"/>
      </c>
      <c r="HO266">
        <f ca="1"/>
      </c>
      <c r="HP266">
        <f ca="1"/>
      </c>
      <c r="HQ266">
        <f ca="1"/>
      </c>
    </row>
    <row r="267" spans="147:225" x14ac:dyDescent="0.55000000000000004">
      <c r="EQ267">
        <f ca="1"/>
      </c>
      <c r="ER267">
        <f ca="1"/>
      </c>
      <c r="ES267">
        <f ca="1"/>
      </c>
      <c r="ET267">
        <f ca="1"/>
      </c>
      <c r="EU267">
        <f ca="1"/>
      </c>
      <c r="EV267">
        <f ca="1"/>
      </c>
      <c r="EW267">
        <f ca="1"/>
      </c>
      <c r="EX267">
        <f ca="1"/>
      </c>
      <c r="EY267">
        <f ca="1"/>
      </c>
      <c r="EZ267">
        <f ca="1"/>
      </c>
      <c r="FA267">
        <f ca="1"/>
      </c>
      <c r="FB267">
        <f ca="1"/>
      </c>
      <c r="FC267">
        <f ca="1"/>
      </c>
      <c r="FD267">
        <f ca="1"/>
      </c>
      <c r="FE267">
        <f ca="1"/>
      </c>
      <c r="FF267">
        <f ca="1"/>
      </c>
      <c r="FG267">
        <f ca="1"/>
      </c>
      <c r="FH267">
        <f ca="1"/>
      </c>
      <c r="FI267">
        <f ca="1"/>
      </c>
      <c r="FJ267">
        <f ca="1"/>
      </c>
      <c r="FK267">
        <f ca="1"/>
      </c>
      <c r="FL267">
        <f ca="1"/>
      </c>
      <c r="FM267">
        <f ca="1"/>
      </c>
      <c r="FN267">
        <f ca="1"/>
      </c>
      <c r="FO267">
        <f ca="1"/>
      </c>
      <c r="FP267">
        <f ca="1"/>
      </c>
      <c r="FQ267">
        <f ca="1"/>
      </c>
      <c r="FR267">
        <f ca="1"/>
      </c>
      <c r="GQ267">
        <f ca="1"/>
      </c>
      <c r="GR267" s="11">
        <f ca="1"/>
      </c>
      <c r="GS267" s="11">
        <f ca="1"/>
      </c>
      <c r="GT267" s="11">
        <f ca="1"/>
      </c>
      <c r="GU267" s="11">
        <f ca="1"/>
      </c>
      <c r="GV267" s="11">
        <f ca="1"/>
      </c>
      <c r="GX267">
        <f ca="1"/>
      </c>
      <c r="GY267">
        <f ca="1"/>
      </c>
      <c r="GZ267">
        <f ca="1"/>
      </c>
      <c r="HA267">
        <f ca="1"/>
      </c>
      <c r="HB267">
        <f ca="1"/>
      </c>
      <c r="HD267">
        <f ca="1"/>
      </c>
      <c r="HE267">
        <f ca="1"/>
      </c>
      <c r="HF267">
        <f ca="1"/>
      </c>
      <c r="HG267">
        <f ca="1"/>
      </c>
      <c r="HH267">
        <f ca="1"/>
      </c>
      <c r="HI267">
        <f ca="1"/>
      </c>
      <c r="HJ267">
        <f ca="1"/>
      </c>
      <c r="HK267">
        <f ca="1"/>
      </c>
      <c r="HL267">
        <f ca="1"/>
      </c>
      <c r="HM267">
        <f ca="1"/>
      </c>
      <c r="HN267">
        <f ca="1"/>
      </c>
      <c r="HO267">
        <f ca="1"/>
      </c>
      <c r="HP267">
        <f ca="1"/>
      </c>
      <c r="HQ267">
        <f ca="1"/>
      </c>
    </row>
    <row r="268" spans="147:225" x14ac:dyDescent="0.55000000000000004">
      <c r="EQ268">
        <f ca="1"/>
      </c>
      <c r="ER268">
        <f ca="1"/>
      </c>
      <c r="ES268">
        <f ca="1"/>
      </c>
      <c r="ET268">
        <f ca="1"/>
      </c>
      <c r="EU268">
        <f ca="1"/>
      </c>
      <c r="EV268">
        <f ca="1"/>
      </c>
      <c r="EW268">
        <f ca="1"/>
      </c>
      <c r="EX268">
        <f ca="1"/>
      </c>
      <c r="EY268">
        <f ca="1"/>
      </c>
      <c r="EZ268">
        <f ca="1"/>
      </c>
      <c r="FA268">
        <f ca="1"/>
      </c>
      <c r="FB268">
        <f ca="1"/>
      </c>
      <c r="FC268">
        <f ca="1"/>
      </c>
      <c r="FD268">
        <f ca="1"/>
      </c>
      <c r="FE268">
        <f ca="1"/>
      </c>
      <c r="FF268">
        <f ca="1"/>
      </c>
      <c r="FG268">
        <f ca="1"/>
      </c>
      <c r="FH268">
        <f ca="1"/>
      </c>
      <c r="FI268">
        <f ca="1"/>
      </c>
      <c r="FJ268">
        <f ca="1"/>
      </c>
      <c r="FK268">
        <f ca="1"/>
      </c>
      <c r="FL268">
        <f ca="1"/>
      </c>
      <c r="FM268">
        <f ca="1"/>
      </c>
      <c r="FN268">
        <f ca="1"/>
      </c>
      <c r="FO268">
        <f ca="1"/>
      </c>
      <c r="FP268">
        <f ca="1"/>
      </c>
      <c r="FQ268">
        <f ca="1"/>
      </c>
      <c r="FR268">
        <f ca="1"/>
      </c>
      <c r="GQ268">
        <f ca="1"/>
      </c>
      <c r="GR268" s="11">
        <f ca="1"/>
      </c>
      <c r="GS268" s="11">
        <f ca="1"/>
      </c>
      <c r="GT268" s="11">
        <f ca="1"/>
      </c>
      <c r="GU268" s="11">
        <f ca="1"/>
      </c>
      <c r="GV268" s="11">
        <f ca="1"/>
      </c>
      <c r="GX268">
        <f ca="1"/>
      </c>
      <c r="GY268">
        <f ca="1"/>
      </c>
      <c r="GZ268">
        <f ca="1"/>
      </c>
      <c r="HA268">
        <f ca="1"/>
      </c>
      <c r="HB268">
        <f ca="1"/>
      </c>
      <c r="HD268">
        <f ca="1"/>
      </c>
      <c r="HE268">
        <f ca="1"/>
      </c>
      <c r="HF268">
        <f ca="1"/>
      </c>
      <c r="HG268">
        <f ca="1"/>
      </c>
      <c r="HH268">
        <f ca="1"/>
      </c>
      <c r="HI268">
        <f ca="1"/>
      </c>
      <c r="HJ268">
        <f ca="1"/>
      </c>
      <c r="HK268">
        <f ca="1"/>
      </c>
      <c r="HL268">
        <f ca="1"/>
      </c>
      <c r="HM268">
        <f ca="1"/>
      </c>
      <c r="HN268">
        <f ca="1"/>
      </c>
      <c r="HO268">
        <f ca="1"/>
      </c>
      <c r="HP268">
        <f ca="1"/>
      </c>
      <c r="HQ268">
        <f ca="1"/>
      </c>
    </row>
    <row r="269" spans="147:225" x14ac:dyDescent="0.55000000000000004">
      <c r="EQ269">
        <f ca="1"/>
      </c>
      <c r="ER269">
        <f ca="1"/>
      </c>
      <c r="ES269">
        <f ca="1"/>
      </c>
      <c r="ET269">
        <f ca="1"/>
      </c>
      <c r="EU269">
        <f ca="1"/>
      </c>
      <c r="EV269">
        <f ca="1"/>
      </c>
      <c r="EW269">
        <f ca="1"/>
      </c>
      <c r="EX269">
        <f ca="1"/>
      </c>
      <c r="EY269">
        <f ca="1"/>
      </c>
      <c r="EZ269">
        <f ca="1"/>
      </c>
      <c r="FA269">
        <f ca="1"/>
      </c>
      <c r="FB269">
        <f ca="1"/>
      </c>
      <c r="FC269">
        <f ca="1"/>
      </c>
      <c r="FD269">
        <f ca="1"/>
      </c>
      <c r="FE269">
        <f ca="1"/>
      </c>
      <c r="FF269">
        <f ca="1"/>
      </c>
      <c r="FG269">
        <f ca="1"/>
      </c>
      <c r="FH269">
        <f ca="1"/>
      </c>
      <c r="FI269">
        <f ca="1"/>
      </c>
      <c r="FJ269">
        <f ca="1"/>
      </c>
      <c r="FK269">
        <f ca="1"/>
      </c>
      <c r="FL269">
        <f ca="1"/>
      </c>
      <c r="FM269">
        <f ca="1"/>
      </c>
      <c r="FN269">
        <f ca="1"/>
      </c>
      <c r="FO269">
        <f ca="1"/>
      </c>
      <c r="FP269">
        <f ca="1"/>
      </c>
      <c r="FQ269">
        <f ca="1"/>
      </c>
      <c r="FR269">
        <f ca="1"/>
      </c>
      <c r="GQ269">
        <f ca="1"/>
      </c>
      <c r="GR269" s="11">
        <f ca="1"/>
      </c>
      <c r="GS269" s="11">
        <f ca="1"/>
      </c>
      <c r="GT269" s="11">
        <f ca="1"/>
      </c>
      <c r="GU269" s="11">
        <f ca="1"/>
      </c>
      <c r="GV269" s="11">
        <f ca="1"/>
      </c>
      <c r="GX269">
        <f ca="1"/>
      </c>
      <c r="GY269">
        <f ca="1"/>
      </c>
      <c r="GZ269">
        <f ca="1"/>
      </c>
      <c r="HA269">
        <f ca="1"/>
      </c>
      <c r="HB269">
        <f ca="1"/>
      </c>
      <c r="HD269">
        <f ca="1"/>
      </c>
      <c r="HE269">
        <f ca="1"/>
      </c>
      <c r="HF269">
        <f ca="1"/>
      </c>
      <c r="HG269">
        <f ca="1"/>
      </c>
      <c r="HH269">
        <f ca="1"/>
      </c>
      <c r="HI269">
        <f ca="1"/>
      </c>
      <c r="HJ269">
        <f ca="1"/>
      </c>
      <c r="HK269">
        <f ca="1"/>
      </c>
      <c r="HL269">
        <f ca="1"/>
      </c>
      <c r="HM269">
        <f ca="1"/>
      </c>
      <c r="HN269">
        <f ca="1"/>
      </c>
      <c r="HO269">
        <f ca="1"/>
      </c>
      <c r="HP269">
        <f ca="1"/>
      </c>
      <c r="HQ269">
        <f ca="1"/>
      </c>
    </row>
    <row r="270" spans="147:225" x14ac:dyDescent="0.55000000000000004">
      <c r="EQ270">
        <f ca="1"/>
      </c>
      <c r="ER270">
        <f ca="1"/>
      </c>
      <c r="ES270">
        <f ca="1"/>
      </c>
      <c r="ET270">
        <f ca="1"/>
      </c>
      <c r="EU270">
        <f ca="1"/>
      </c>
      <c r="EV270">
        <f ca="1"/>
      </c>
      <c r="EW270">
        <f ca="1"/>
      </c>
      <c r="EX270">
        <f ca="1"/>
      </c>
      <c r="EY270">
        <f ca="1"/>
      </c>
      <c r="EZ270">
        <f ca="1"/>
      </c>
      <c r="FA270">
        <f ca="1"/>
      </c>
      <c r="FB270">
        <f ca="1"/>
      </c>
      <c r="FC270">
        <f ca="1"/>
      </c>
      <c r="FD270">
        <f ca="1"/>
      </c>
      <c r="FE270">
        <f ca="1"/>
      </c>
      <c r="FF270">
        <f ca="1"/>
      </c>
      <c r="FG270">
        <f ca="1"/>
      </c>
      <c r="FH270">
        <f ca="1"/>
      </c>
      <c r="FI270">
        <f ca="1"/>
      </c>
      <c r="FJ270">
        <f ca="1"/>
      </c>
      <c r="FK270">
        <f ca="1"/>
      </c>
      <c r="FL270">
        <f ca="1"/>
      </c>
      <c r="FM270">
        <f ca="1"/>
      </c>
      <c r="FN270">
        <f ca="1"/>
      </c>
      <c r="FO270">
        <f ca="1"/>
      </c>
      <c r="FP270">
        <f ca="1"/>
      </c>
      <c r="FQ270">
        <f ca="1"/>
      </c>
      <c r="FR270">
        <f ca="1"/>
      </c>
      <c r="GQ270">
        <f ca="1"/>
      </c>
      <c r="GR270" s="11">
        <f ca="1"/>
      </c>
      <c r="GS270" s="11">
        <f ca="1"/>
      </c>
      <c r="GT270" s="11">
        <f ca="1"/>
      </c>
      <c r="GU270" s="11">
        <f ca="1"/>
      </c>
      <c r="GV270" s="11">
        <f ca="1"/>
      </c>
      <c r="GX270">
        <f ca="1"/>
      </c>
      <c r="GY270">
        <f ca="1"/>
      </c>
      <c r="GZ270">
        <f ca="1"/>
      </c>
      <c r="HA270">
        <f ca="1"/>
      </c>
      <c r="HB270">
        <f ca="1"/>
      </c>
      <c r="HD270">
        <f ca="1"/>
      </c>
      <c r="HE270">
        <f ca="1"/>
      </c>
      <c r="HF270">
        <f ca="1"/>
      </c>
      <c r="HG270">
        <f ca="1"/>
      </c>
      <c r="HH270">
        <f ca="1"/>
      </c>
      <c r="HI270">
        <f ca="1"/>
      </c>
      <c r="HJ270">
        <f ca="1"/>
      </c>
      <c r="HK270">
        <f ca="1"/>
      </c>
      <c r="HL270">
        <f ca="1"/>
      </c>
      <c r="HM270">
        <f ca="1"/>
      </c>
      <c r="HN270">
        <f ca="1"/>
      </c>
      <c r="HO270">
        <f ca="1"/>
      </c>
      <c r="HP270">
        <f ca="1"/>
      </c>
      <c r="HQ270">
        <f ca="1"/>
      </c>
    </row>
    <row r="271" spans="147:225" x14ac:dyDescent="0.55000000000000004">
      <c r="EQ271">
        <f ca="1"/>
      </c>
      <c r="ER271">
        <f ca="1"/>
      </c>
      <c r="ES271">
        <f ca="1"/>
      </c>
      <c r="ET271">
        <f ca="1"/>
      </c>
      <c r="EU271">
        <f ca="1"/>
      </c>
      <c r="EV271">
        <f ca="1"/>
      </c>
      <c r="EW271">
        <f ca="1"/>
      </c>
      <c r="EX271">
        <f ca="1"/>
      </c>
      <c r="EY271">
        <f ca="1"/>
      </c>
      <c r="EZ271">
        <f ca="1"/>
      </c>
      <c r="FA271">
        <f ca="1"/>
      </c>
      <c r="FB271">
        <f ca="1"/>
      </c>
      <c r="FC271">
        <f ca="1"/>
      </c>
      <c r="FD271">
        <f ca="1"/>
      </c>
      <c r="FE271">
        <f ca="1"/>
      </c>
      <c r="FF271">
        <f ca="1"/>
      </c>
      <c r="FG271">
        <f ca="1"/>
      </c>
      <c r="FH271">
        <f ca="1"/>
      </c>
      <c r="FI271">
        <f ca="1"/>
      </c>
      <c r="FJ271">
        <f ca="1"/>
      </c>
      <c r="FK271">
        <f ca="1"/>
      </c>
      <c r="FL271">
        <f ca="1"/>
      </c>
      <c r="FM271">
        <f ca="1"/>
      </c>
      <c r="FN271">
        <f ca="1"/>
      </c>
      <c r="FO271">
        <f ca="1"/>
      </c>
      <c r="FP271">
        <f ca="1"/>
      </c>
      <c r="FQ271">
        <f ca="1"/>
      </c>
      <c r="FR271">
        <f ca="1"/>
      </c>
      <c r="GQ271">
        <f ca="1"/>
      </c>
      <c r="GR271" s="11">
        <f ca="1"/>
      </c>
      <c r="GS271" s="11">
        <f ca="1"/>
      </c>
      <c r="GT271" s="11">
        <f ca="1"/>
      </c>
      <c r="GU271" s="11">
        <f ca="1"/>
      </c>
      <c r="GV271" s="11">
        <f ca="1"/>
      </c>
      <c r="GX271">
        <f ca="1"/>
      </c>
      <c r="GY271">
        <f ca="1"/>
      </c>
      <c r="GZ271">
        <f ca="1"/>
      </c>
      <c r="HA271">
        <f ca="1"/>
      </c>
      <c r="HB271">
        <f ca="1"/>
      </c>
      <c r="HD271">
        <f ca="1"/>
      </c>
      <c r="HE271">
        <f ca="1"/>
      </c>
      <c r="HF271">
        <f ca="1"/>
      </c>
      <c r="HG271">
        <f ca="1"/>
      </c>
      <c r="HH271">
        <f ca="1"/>
      </c>
      <c r="HI271">
        <f ca="1"/>
      </c>
      <c r="HJ271">
        <f ca="1"/>
      </c>
      <c r="HK271">
        <f ca="1"/>
      </c>
      <c r="HL271">
        <f ca="1"/>
      </c>
      <c r="HM271">
        <f ca="1"/>
      </c>
      <c r="HN271">
        <f ca="1"/>
      </c>
      <c r="HO271">
        <f ca="1"/>
      </c>
      <c r="HP271">
        <f ca="1"/>
      </c>
      <c r="HQ271">
        <f ca="1"/>
      </c>
    </row>
    <row r="272" spans="147:225" x14ac:dyDescent="0.55000000000000004">
      <c r="GQ272">
        <f ca="1"/>
      </c>
      <c r="GR272" s="11">
        <f ca="1"/>
      </c>
      <c r="GS272" s="11">
        <f ca="1"/>
      </c>
      <c r="GT272" s="11">
        <f ca="1"/>
      </c>
      <c r="GU272" s="11">
        <f ca="1"/>
      </c>
      <c r="GV272" s="11">
        <f ca="1"/>
      </c>
      <c r="GX272">
        <f ca="1"/>
      </c>
      <c r="GY272">
        <f ca="1"/>
      </c>
      <c r="GZ272">
        <f ca="1"/>
      </c>
      <c r="HA272">
        <f ca="1"/>
      </c>
      <c r="HB272">
        <f ca="1"/>
      </c>
      <c r="HD272">
        <f ca="1"/>
      </c>
      <c r="HE272">
        <f ca="1"/>
      </c>
      <c r="HF272">
        <f ca="1"/>
      </c>
      <c r="HG272">
        <f ca="1"/>
      </c>
      <c r="HH272">
        <f ca="1"/>
      </c>
      <c r="HI272">
        <f ca="1"/>
      </c>
      <c r="HJ272">
        <f ca="1"/>
      </c>
      <c r="HK272">
        <f ca="1"/>
      </c>
      <c r="HL272">
        <f ca="1"/>
      </c>
      <c r="HM272">
        <f ca="1"/>
      </c>
      <c r="HN272">
        <f ca="1"/>
      </c>
      <c r="HO272">
        <f ca="1"/>
      </c>
      <c r="HP272">
        <f ca="1"/>
      </c>
      <c r="HQ272">
        <f ca="1"/>
      </c>
    </row>
    <row r="273" spans="200:204" x14ac:dyDescent="0.55000000000000004">
      <c r="GR273" s="11"/>
      <c r="GS273" s="11"/>
      <c r="GT273" s="11"/>
      <c r="GU273" s="11"/>
      <c r="GV273" s="11"/>
    </row>
    <row r="274" spans="200:204" x14ac:dyDescent="0.55000000000000004">
      <c r="GR274" s="11"/>
      <c r="GS274" s="11"/>
      <c r="GT274" s="11"/>
      <c r="GU274" s="11"/>
      <c r="GV274" s="11"/>
    </row>
    <row r="275" spans="200:204" x14ac:dyDescent="0.55000000000000004">
      <c r="GR275" s="11"/>
      <c r="GS275" s="11"/>
      <c r="GT275" s="11"/>
      <c r="GU275" s="11"/>
      <c r="GV275" s="11"/>
    </row>
    <row r="276" spans="200:204" x14ac:dyDescent="0.55000000000000004">
      <c r="GR276" s="11"/>
      <c r="GS276" s="11"/>
      <c r="GT276" s="11"/>
      <c r="GU276" s="11"/>
      <c r="GV276" s="11"/>
    </row>
    <row r="277" spans="200:204" x14ac:dyDescent="0.55000000000000004">
      <c r="GR277" s="11"/>
      <c r="GS277" s="11"/>
      <c r="GT277" s="11"/>
      <c r="GU277" s="11"/>
      <c r="GV277" s="11"/>
    </row>
    <row r="278" spans="200:204" x14ac:dyDescent="0.55000000000000004">
      <c r="GR278" s="11"/>
      <c r="GS278" s="11"/>
      <c r="GT278" s="11"/>
      <c r="GU278" s="11"/>
      <c r="GV278" s="11"/>
    </row>
    <row r="279" spans="200:204" x14ac:dyDescent="0.55000000000000004">
      <c r="GR279" s="11"/>
      <c r="GS279" s="11"/>
      <c r="GT279" s="11"/>
      <c r="GU279" s="11"/>
      <c r="GV279" s="11"/>
    </row>
    <row r="280" spans="200:204" x14ac:dyDescent="0.55000000000000004">
      <c r="GR280" s="11"/>
      <c r="GS280" s="11"/>
      <c r="GT280" s="11"/>
      <c r="GU280" s="11"/>
      <c r="GV280" s="11"/>
    </row>
    <row r="281" spans="200:204" x14ac:dyDescent="0.55000000000000004">
      <c r="GR281" s="11"/>
      <c r="GS281" s="11"/>
      <c r="GT281" s="11"/>
      <c r="GU281" s="11"/>
      <c r="GV281" s="11"/>
    </row>
    <row r="282" spans="200:204" x14ac:dyDescent="0.55000000000000004">
      <c r="GR282" s="11"/>
      <c r="GS282" s="11"/>
      <c r="GT282" s="11"/>
      <c r="GU282" s="11"/>
      <c r="GV282" s="11"/>
    </row>
    <row r="283" spans="200:204" x14ac:dyDescent="0.55000000000000004">
      <c r="GR283" s="11"/>
      <c r="GS283" s="11"/>
      <c r="GT283" s="11"/>
      <c r="GU283" s="11"/>
      <c r="GV283" s="11"/>
    </row>
    <row r="284" spans="200:204" x14ac:dyDescent="0.55000000000000004">
      <c r="GR284" s="11"/>
      <c r="GS284" s="11"/>
      <c r="GT284" s="11"/>
      <c r="GU284" s="11"/>
      <c r="GV284" s="11"/>
    </row>
    <row r="285" spans="200:204" x14ac:dyDescent="0.55000000000000004">
      <c r="GR285" s="11"/>
      <c r="GS285" s="11"/>
      <c r="GT285" s="11"/>
      <c r="GU285" s="11"/>
      <c r="GV285" s="11"/>
    </row>
    <row r="286" spans="200:204" x14ac:dyDescent="0.55000000000000004">
      <c r="GR286" s="11"/>
      <c r="GS286" s="11"/>
      <c r="GT286" s="11"/>
      <c r="GU286" s="11"/>
      <c r="GV286" s="11"/>
    </row>
    <row r="287" spans="200:204" x14ac:dyDescent="0.55000000000000004">
      <c r="GR287" s="11"/>
      <c r="GS287" s="11"/>
      <c r="GT287" s="11"/>
      <c r="GU287" s="11"/>
      <c r="GV287" s="11"/>
    </row>
    <row r="288" spans="200:204" x14ac:dyDescent="0.55000000000000004">
      <c r="GR288" s="11"/>
      <c r="GS288" s="11"/>
      <c r="GT288" s="11"/>
      <c r="GU288" s="11"/>
      <c r="GV288" s="11"/>
    </row>
    <row r="289" spans="146:226" x14ac:dyDescent="0.55000000000000004">
      <c r="GR289" s="11"/>
      <c r="GS289" s="11"/>
      <c r="GT289" s="11"/>
      <c r="GU289" s="11"/>
      <c r="GV289" s="11"/>
    </row>
    <row r="290" spans="146:226" x14ac:dyDescent="0.55000000000000004">
      <c r="GR290" s="11"/>
      <c r="GS290" s="11"/>
      <c r="GT290" s="11"/>
      <c r="GU290" s="11"/>
      <c r="GV290" s="11"/>
    </row>
    <row r="291" spans="146:226" x14ac:dyDescent="0.55000000000000004">
      <c r="GR291" s="11"/>
      <c r="GS291" s="11"/>
      <c r="GT291" s="11"/>
      <c r="GU291" s="11"/>
      <c r="GV291" s="11"/>
    </row>
    <row r="292" spans="146:226" x14ac:dyDescent="0.55000000000000004">
      <c r="GR292" s="11"/>
      <c r="GS292" s="11"/>
      <c r="GT292" s="11"/>
      <c r="GU292" s="11"/>
      <c r="GV292" s="11"/>
    </row>
    <row r="293" spans="146:226" x14ac:dyDescent="0.55000000000000004">
      <c r="GR293" s="11"/>
      <c r="GS293" s="11"/>
      <c r="GT293" s="11"/>
      <c r="GU293" s="11"/>
      <c r="GV293" s="11"/>
    </row>
    <row r="294" spans="146:226" x14ac:dyDescent="0.55000000000000004">
      <c r="GR294" s="11"/>
      <c r="GS294" s="11"/>
      <c r="GT294" s="11"/>
      <c r="GU294" s="11"/>
      <c r="GV294" s="11"/>
    </row>
    <row r="295" spans="146:226" x14ac:dyDescent="0.55000000000000004">
      <c r="GR295" s="11"/>
      <c r="GS295" s="11"/>
      <c r="GT295" s="11"/>
      <c r="GU295" s="11"/>
      <c r="GV295" s="11"/>
    </row>
    <row r="296" spans="146:226" x14ac:dyDescent="0.55000000000000004">
      <c r="GR296" s="11"/>
      <c r="GS296" s="11"/>
      <c r="GT296" s="11"/>
      <c r="GU296" s="11"/>
      <c r="GV296" s="11"/>
    </row>
    <row r="304" spans="146:226" x14ac:dyDescent="0.55000000000000004">
      <c r="EP304" t="s">
        <v>158</v>
      </c>
      <c r="EQ304" cm="1">
        <f t="array" aca="1" ref="EQ304:FR321" ca="1">_xlfn.LET(_xlpm.g,_xlfn.DROP(_xlfn.ANCHORARRAY($CO$4),1),_xlfn._xlws.FILTER(_xlpm.g,_xlfn.TAKE(_xlpm.g,,1)=7))</f>
      </c>
      <c r="ER304">
        <f ca="1"/>
      </c>
      <c r="ES304">
        <f ca="1"/>
      </c>
      <c r="ET304">
        <f ca="1"/>
      </c>
      <c r="EU304">
        <f ca="1"/>
      </c>
      <c r="EV304">
        <f ca="1"/>
      </c>
      <c r="EW304">
        <f ca="1"/>
      </c>
      <c r="EX304">
        <f ca="1"/>
      </c>
      <c r="EY304">
        <f ca="1"/>
      </c>
      <c r="EZ304">
        <f ca="1"/>
      </c>
      <c r="FA304">
        <f ca="1"/>
      </c>
      <c r="FB304">
        <f ca="1"/>
      </c>
      <c r="FC304">
        <f ca="1"/>
      </c>
      <c r="FD304">
        <f ca="1"/>
      </c>
      <c r="FE304">
        <f ca="1"/>
      </c>
      <c r="FF304">
        <f ca="1"/>
      </c>
      <c r="FG304">
        <f ca="1"/>
      </c>
      <c r="FH304">
        <f ca="1"/>
      </c>
      <c r="FI304">
        <f ca="1"/>
      </c>
      <c r="FJ304">
        <f ca="1"/>
      </c>
      <c r="FK304">
        <f ca="1"/>
      </c>
      <c r="FL304">
        <f ca="1"/>
      </c>
      <c r="FM304">
        <f ca="1"/>
      </c>
      <c r="FN304">
        <f ca="1"/>
      </c>
      <c r="FO304">
        <f ca="1"/>
      </c>
      <c r="FP304">
        <f ca="1"/>
      </c>
      <c r="FQ304">
        <f ca="1"/>
      </c>
      <c r="FR304">
        <f ca="1"/>
      </c>
      <c r="GQ304" t="s">
        <v>169</v>
      </c>
      <c r="GR304" cm="1">
        <f t="array" aca="1" ref="GR304" ca="1">IFERROR(_xlfn.LET(_xlpm.R,_xlfn.ANCHORARRAY($GR$305),_xlpm.a,ABS(_xlpm.R),"k="&amp;$D$12&amp;"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04" cm="1">
        <f t="array" aca="1" ref="GS304" ca="1">IFERROR(_xlfn.LET(_xlpm.R,_xlfn.ANCHORARRAY($GS$305),_xlpm.a,ABS(_xlpm.R),"k="&amp;$D$28&amp;"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04" cm="1">
        <f t="array" aca="1" ref="GT304" ca="1">IFERROR(_xlfn.LET(_xlpm.R,_xlfn.ANCHORARRAY($GT$305),_xlpm.a,ABS(_xlpm.R),"k="&amp;$D$44&amp;"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04" cm="1">
        <f t="array" aca="1" ref="GU304" ca="1">IFERROR(_xlfn.LET(_xlpm.R,_xlfn.ANCHORARRAY($GU$305),_xlpm.a,ABS(_xlpm.R),"k="&amp;$D$60&amp;"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04" cm="1">
        <f t="array" aca="1" ref="GV304" ca="1">IFERROR(_xlfn.LET(_xlpm.R,_xlfn.ANCHORARRAY($GV$305),_xlpm.a,ABS(_xlpm.R),"k="&amp;$D$76&amp;"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04" t="s">
        <v>44</v>
      </c>
      <c r="GY304" t="s">
        <v>45</v>
      </c>
      <c r="GZ304" t="s">
        <v>46</v>
      </c>
      <c r="HA304" t="s">
        <v>47</v>
      </c>
      <c r="HB304" t="s">
        <v>48</v>
      </c>
      <c r="HD304" t="s">
        <v>174</v>
      </c>
      <c r="HE304">
        <f>"Actual / Mean / Recon (k="&amp;$D$108&amp;")  dashed: Mean ±1σ"</f>
      </c>
      <c r="HF304" t="s">
        <v>175</v>
      </c>
      <c r="HG304" t="s">
        <v>176</v>
      </c>
      <c r="HH304" t="s">
        <v>179</v>
      </c>
      <c r="HI304" t="s">
        <v>180</v>
      </c>
      <c r="HJ304" t="s">
        <v>181</v>
      </c>
      <c r="HK304" t="s">
        <v>182</v>
      </c>
      <c r="HL304" t="s">
        <v>183</v>
      </c>
      <c r="HM304" t="s">
        <v>184</v>
      </c>
      <c r="HN304" t="s">
        <v>185</v>
      </c>
      <c r="HO304" t="s">
        <v>186</v>
      </c>
      <c r="HP304" t="s">
        <v>187</v>
      </c>
      <c r="HQ304" t="s">
        <v>188</v>
      </c>
      <c r="HR304" t="s">
        <v>189</v>
      </c>
    </row>
    <row r="305" spans="147:226" x14ac:dyDescent="0.55000000000000004">
      <c r="EQ305">
        <f ca="1"/>
      </c>
      <c r="ER305">
        <f ca="1"/>
      </c>
      <c r="ES305">
        <f ca="1"/>
      </c>
      <c r="ET305">
        <f ca="1"/>
      </c>
      <c r="EU305">
        <f ca="1"/>
      </c>
      <c r="EV305">
        <f ca="1"/>
      </c>
      <c r="EW305">
        <f ca="1"/>
      </c>
      <c r="EX305">
        <f ca="1"/>
      </c>
      <c r="EY305">
        <f ca="1"/>
      </c>
      <c r="EZ305">
        <f ca="1"/>
      </c>
      <c r="FA305">
        <f ca="1"/>
      </c>
      <c r="FB305">
        <f ca="1"/>
      </c>
      <c r="FC305">
        <f ca="1"/>
      </c>
      <c r="FD305">
        <f ca="1"/>
      </c>
      <c r="FE305">
        <f ca="1"/>
      </c>
      <c r="FF305">
        <f ca="1"/>
      </c>
      <c r="FG305">
        <f ca="1"/>
      </c>
      <c r="FH305">
        <f ca="1"/>
      </c>
      <c r="FI305">
        <f ca="1"/>
      </c>
      <c r="FJ305">
        <f ca="1"/>
      </c>
      <c r="FK305">
        <f ca="1"/>
      </c>
      <c r="FL305">
        <f ca="1"/>
      </c>
      <c r="FM305">
        <f ca="1"/>
      </c>
      <c r="FN305">
        <f ca="1"/>
      </c>
      <c r="FO305">
        <f ca="1"/>
      </c>
      <c r="FP305">
        <f ca="1"/>
      </c>
      <c r="FQ305">
        <f ca="1"/>
      </c>
      <c r="FR305">
        <f ca="1"/>
      </c>
      <c r="GQ305" cm="1">
        <f t="array" aca="1" ref="GQ305:GQ322" ca="1">IF($AU$6="Change",_xlfn.ANCHORARRAY($CJ$4),_xlfn.ANCHORARRAY($CI$4))</f>
      </c>
      <c r="GR305" s="11" cm="1">
        <f t="array" aca="1" ref="GR305:GR322" ca="1">_xlfn.LET(_xlpm.sl,_xlfn.ANCHORARRAY($EQ$304),_xlpm.mu,_xlfn.CHOOSECOLS(_xlpm.sl,8),_xlpm.sg,_xlfn.CHOOSECOLS(_xlpm.sl,9),_xlpm.x,_xlfn.ANCHORARRAY($GQ$305),_xlpm.V,_xlfn.TAKE(_xlfn.DROP(_xlpm.sl,,10),,$D$12),(_xlpm.x-(_xlpm.mu+_xlpm.sg*MMULT(_xlpm.V,MMULT(TRANSPOSE(_xlpm.V),(_xlpm.x-_xlpm.mu)/_xlpm.sg))))*100)</f>
      </c>
      <c r="GS305" s="11" cm="1">
        <f t="array" aca="1" ref="GS305:GS322" ca="1">_xlfn.LET(_xlpm.sl,_xlfn.ANCHORARRAY($EQ$304),_xlpm.mu,_xlfn.CHOOSECOLS(_xlpm.sl,8),_xlpm.sg,_xlfn.CHOOSECOLS(_xlpm.sl,9),_xlpm.x,_xlfn.ANCHORARRAY($GQ$305),_xlpm.V,_xlfn.TAKE(_xlfn.DROP(_xlpm.sl,,10),,$D$28),(_xlpm.x-(_xlpm.mu+_xlpm.sg*MMULT(_xlpm.V,MMULT(TRANSPOSE(_xlpm.V),(_xlpm.x-_xlpm.mu)/_xlpm.sg))))*100)</f>
      </c>
      <c r="GT305" s="11" cm="1">
        <f t="array" aca="1" ref="GT305:GT322" ca="1">_xlfn.LET(_xlpm.sl,_xlfn.ANCHORARRAY($EQ$304),_xlpm.mu,_xlfn.CHOOSECOLS(_xlpm.sl,8),_xlpm.sg,_xlfn.CHOOSECOLS(_xlpm.sl,9),_xlpm.x,_xlfn.ANCHORARRAY($GQ$305),_xlpm.V,_xlfn.TAKE(_xlfn.DROP(_xlpm.sl,,10),,$D$44),(_xlpm.x-(_xlpm.mu+_xlpm.sg*MMULT(_xlpm.V,MMULT(TRANSPOSE(_xlpm.V),(_xlpm.x-_xlpm.mu)/_xlpm.sg))))*100)</f>
      </c>
      <c r="GU305" s="11" cm="1">
        <f t="array" aca="1" ref="GU305:GU322" ca="1">_xlfn.LET(_xlpm.sl,_xlfn.ANCHORARRAY($EQ$304),_xlpm.mu,_xlfn.CHOOSECOLS(_xlpm.sl,8),_xlpm.sg,_xlfn.CHOOSECOLS(_xlpm.sl,9),_xlpm.x,_xlfn.ANCHORARRAY($GQ$305),_xlpm.V,_xlfn.TAKE(_xlfn.DROP(_xlpm.sl,,10),,$D$60),(_xlpm.x-(_xlpm.mu+_xlpm.sg*MMULT(_xlpm.V,MMULT(TRANSPOSE(_xlpm.V),(_xlpm.x-_xlpm.mu)/_xlpm.sg))))*100)</f>
      </c>
      <c r="GV305" s="11" cm="1">
        <f t="array" aca="1" ref="GV305:GV322" ca="1">_xlfn.LET(_xlpm.sl,_xlfn.ANCHORARRAY($EQ$304),_xlpm.mu,_xlfn.CHOOSECOLS(_xlpm.sl,8),_xlpm.sg,_xlfn.CHOOSECOLS(_xlpm.sl,9),_xlpm.x,_xlfn.ANCHORARRAY($GQ$305),_xlpm.V,_xlfn.TAKE(_xlfn.DROP(_xlpm.sl,,10),,$D$76),(_xlpm.x-(_xlpm.mu+_xlpm.sg*MMULT(_xlpm.V,MMULT(TRANSPOSE(_xlpm.V),(_xlpm.x-_xlpm.mu)/_xlpm.sg))))*100)</f>
      </c>
      <c r="GX305" cm="1">
        <f t="array" aca="1" ref="GX305:GX322" ca="1">_xlfn.LET(_xlpm.V,_xlfn.DROP(_xlfn.ANCHORARRAY($EQ$304),,10),IF(1&lt;=COLUMNS(_xlpm.V),_xlfn.CHOOSECOLS(_xlpm.V,1),IF(_xlfn.SEQUENCE(ROWS(_xlpm.V)),NA())))</f>
      </c>
      <c r="GY305" cm="1">
        <f t="array" aca="1" ref="GY305:GY322" ca="1">_xlfn.LET(_xlpm.V,_xlfn.DROP(_xlfn.ANCHORARRAY($EQ$304),,10),IF(2&lt;=COLUMNS(_xlpm.V),_xlfn.CHOOSECOLS(_xlpm.V,2),IF(_xlfn.SEQUENCE(ROWS(_xlpm.V)),NA())))</f>
      </c>
      <c r="GZ305" cm="1">
        <f t="array" aca="1" ref="GZ305:GZ322" ca="1">_xlfn.LET(_xlpm.V,_xlfn.DROP(_xlfn.ANCHORARRAY($EQ$304),,10),IF(3&lt;=COLUMNS(_xlpm.V),_xlfn.CHOOSECOLS(_xlpm.V,3),IF(_xlfn.SEQUENCE(ROWS(_xlpm.V)),NA())))</f>
      </c>
      <c r="HA305" cm="1">
        <f t="array" aca="1" ref="HA305:HA322" ca="1">_xlfn.LET(_xlpm.V,_xlfn.DROP(_xlfn.ANCHORARRAY($EQ$304),,10),IF(4&lt;=COLUMNS(_xlpm.V),_xlfn.CHOOSECOLS(_xlpm.V,4),IF(_xlfn.SEQUENCE(ROWS(_xlpm.V)),NA())))</f>
      </c>
      <c r="HB305" cm="1">
        <f t="array" aca="1" ref="HB305:HB322" ca="1">_xlfn.LET(_xlpm.V,_xlfn.DROP(_xlfn.ANCHORARRAY($EQ$304),,10),IF(5&lt;=COLUMNS(_xlpm.V),_xlfn.CHOOSECOLS(_xlpm.V,5),IF(_xlfn.SEQUENCE(ROWS(_xlpm.V)),NA())))</f>
      </c>
      <c r="HD305" cm="1">
        <f t="array" aca="1" ref="HD305:HD322" ca="1">_xlfn.CHOOSECOLS(_xlfn.ANCHORARRAY($EQ$304),8)</f>
      </c>
      <c r="HE305" cm="1">
        <f t="array" aca="1" ref="HE305:HE322" ca="1">_xlfn.LET(_xlpm.sl,_xlfn.ANCHORARRAY($EQ$304),_xlpm.mu,_xlfn.CHOOSECOLS(_xlpm.sl,8),_xlpm.sg,_xlfn.CHOOSECOLS(_xlpm.sl,9),_xlpm.x,_xlfn.ANCHORARRAY($GQ$305),_xlpm.V,_xlfn.TAKE(_xlfn.DROP(_xlpm.sl,,10),,$D$108),_xlpm.mu+_xlpm.sg*MMULT(_xlpm.V,MMULT(TRANSPOSE(_xlpm.V),(_xlpm.x-_xlpm.mu)/_xlpm.sg)))</f>
      </c>
      <c r="HF305" cm="1">
        <f t="array" aca="1" ref="HF305:HF322" ca="1">_xlfn.CHOOSECOLS(_xlfn.ANCHORARRAY($EQ$304),8)+_xlfn.CHOOSECOLS(_xlfn.ANCHORARRAY($EQ$304),10)</f>
      </c>
      <c r="HG305" cm="1">
        <f t="array" aca="1" ref="HG305:HG322" ca="1">_xlfn.CHOOSECOLS(_xlfn.ANCHORARRAY($EQ$304),8)-_xlfn.CHOOSECOLS(_xlfn.ANCHORARRAY($EQ$304),10)</f>
      </c>
      <c r="HH305" cm="1">
        <f t="array" aca="1" ref="HH305:HH322" ca="1">_xlfn.LET(_xlpm.v,_xlfn.CHOOSECOLS(_xlfn._xlws.FILTER(_xlfn.DROP(_xlfn.ANCHORARRAY($HS$4),1),_xlfn.TAKE(_xlfn.DROP(_xlfn.ANCHORARRAY($HS$4),1),,1)=7),3),IF(_xlpm.v="",NA(),_xlpm.v))</f>
      </c>
      <c r="HI305" cm="1">
        <f t="array" aca="1" ref="HI305:HI322" ca="1">-_xlfn.ANCHORARRAY($HH$305)</f>
      </c>
      <c r="HJ305" cm="1">
        <f t="array" aca="1" ref="HJ305:HJ322" ca="1">_xlfn.LET(_xlpm.v,_xlfn.CHOOSECOLS(_xlfn._xlws.FILTER(_xlfn.DROP(_xlfn.ANCHORARRAY($HS$4),1),_xlfn.TAKE(_xlfn.DROP(_xlfn.ANCHORARRAY($HS$4),1),,1)=7),4),IF(_xlpm.v="",NA(),_xlpm.v))</f>
      </c>
      <c r="HK305" cm="1">
        <f t="array" aca="1" ref="HK305:HK322" ca="1">-_xlfn.ANCHORARRAY($HJ$305)</f>
      </c>
      <c r="HL305" cm="1">
        <f t="array" aca="1" ref="HL305:HL322" ca="1">_xlfn.LET(_xlpm.v,_xlfn.CHOOSECOLS(_xlfn._xlws.FILTER(_xlfn.DROP(_xlfn.ANCHORARRAY($HS$4),1),_xlfn.TAKE(_xlfn.DROP(_xlfn.ANCHORARRAY($HS$4),1),,1)=7),5),IF(_xlpm.v="",NA(),_xlpm.v))</f>
      </c>
      <c r="HM305" cm="1">
        <f t="array" aca="1" ref="HM305:HM322" ca="1">-_xlfn.ANCHORARRAY($HL$305)</f>
      </c>
      <c r="HN305" cm="1">
        <f t="array" aca="1" ref="HN305:HN322" ca="1">_xlfn.LET(_xlpm.v,_xlfn.CHOOSECOLS(_xlfn._xlws.FILTER(_xlfn.DROP(_xlfn.ANCHORARRAY($HS$4),1),_xlfn.TAKE(_xlfn.DROP(_xlfn.ANCHORARRAY($HS$4),1),,1)=7),6),IF(_xlpm.v="",NA(),_xlpm.v))</f>
      </c>
      <c r="HO305" cm="1">
        <f t="array" aca="1" ref="HO305:HO322" ca="1">-_xlfn.ANCHORARRAY($HN$305)</f>
      </c>
      <c r="HP305" cm="1">
        <f t="array" aca="1" ref="HP305:HP322" ca="1">_xlfn.LET(_xlpm.v,_xlfn.CHOOSECOLS(_xlfn._xlws.FILTER(_xlfn.DROP(_xlfn.ANCHORARRAY($HS$4),1),_xlfn.TAKE(_xlfn.DROP(_xlfn.ANCHORARRAY($HS$4),1),,1)=7),7),IF(_xlpm.v="",NA(),_xlpm.v))</f>
      </c>
      <c r="HQ305" cm="1">
        <f t="array" aca="1" ref="HQ305:HQ322" ca="1">-_xlfn.ANCHORARRAY($HP$305)</f>
      </c>
      <c r="HR305" cm="1">
        <f t="array" aca="1" ref="HR305" ca="1">IFERROR(INDEX(_xlfn._xlws.FILTER(_xlfn.DROP(_xlfn.ANCHORARRAY($HS$4),1),_xlfn.TAKE(_xlfn.DROP(_xlfn.ANCHORARRAY($HS$4),1),,1)=7),1,2),"")</f>
      </c>
    </row>
    <row r="306" spans="147:226" x14ac:dyDescent="0.55000000000000004">
      <c r="EQ306">
        <f ca="1"/>
      </c>
      <c r="ER306">
        <f ca="1"/>
      </c>
      <c r="ES306">
        <f ca="1"/>
      </c>
      <c r="ET306">
        <f ca="1"/>
      </c>
      <c r="EU306">
        <f ca="1"/>
      </c>
      <c r="EV306">
        <f ca="1"/>
      </c>
      <c r="EW306">
        <f ca="1"/>
      </c>
      <c r="EX306">
        <f ca="1"/>
      </c>
      <c r="EY306">
        <f ca="1"/>
      </c>
      <c r="EZ306">
        <f ca="1"/>
      </c>
      <c r="FA306">
        <f ca="1"/>
      </c>
      <c r="FB306">
        <f ca="1"/>
      </c>
      <c r="FC306">
        <f ca="1"/>
      </c>
      <c r="FD306">
        <f ca="1"/>
      </c>
      <c r="FE306">
        <f ca="1"/>
      </c>
      <c r="FF306">
        <f ca="1"/>
      </c>
      <c r="FG306">
        <f ca="1"/>
      </c>
      <c r="FH306">
        <f ca="1"/>
      </c>
      <c r="FI306">
        <f ca="1"/>
      </c>
      <c r="FJ306">
        <f ca="1"/>
      </c>
      <c r="FK306">
        <f ca="1"/>
      </c>
      <c r="FL306">
        <f ca="1"/>
      </c>
      <c r="FM306">
        <f ca="1"/>
      </c>
      <c r="FN306">
        <f ca="1"/>
      </c>
      <c r="FO306">
        <f ca="1"/>
      </c>
      <c r="FP306">
        <f ca="1"/>
      </c>
      <c r="FQ306">
        <f ca="1"/>
      </c>
      <c r="FR306">
        <f ca="1"/>
      </c>
      <c r="GQ306">
        <f ca="1"/>
      </c>
      <c r="GR306" s="11">
        <f ca="1"/>
      </c>
      <c r="GS306" s="11">
        <f ca="1"/>
      </c>
      <c r="GT306" s="11">
        <f ca="1"/>
      </c>
      <c r="GU306" s="11">
        <f ca="1"/>
      </c>
      <c r="GV306" s="11">
        <f ca="1"/>
      </c>
      <c r="GX306">
        <f ca="1"/>
      </c>
      <c r="GY306">
        <f ca="1"/>
      </c>
      <c r="GZ306">
        <f ca="1"/>
      </c>
      <c r="HA306">
        <f ca="1"/>
      </c>
      <c r="HB306">
        <f ca="1"/>
      </c>
      <c r="HD306">
        <f ca="1"/>
      </c>
      <c r="HE306">
        <f ca="1"/>
      </c>
      <c r="HF306">
        <f ca="1"/>
      </c>
      <c r="HG306">
        <f ca="1"/>
      </c>
      <c r="HH306">
        <f ca="1"/>
      </c>
      <c r="HI306">
        <f ca="1"/>
      </c>
      <c r="HJ306">
        <f ca="1"/>
      </c>
      <c r="HK306">
        <f ca="1"/>
      </c>
      <c r="HL306">
        <f ca="1"/>
      </c>
      <c r="HM306">
        <f ca="1"/>
      </c>
      <c r="HN306">
        <f ca="1"/>
      </c>
      <c r="HO306">
        <f ca="1"/>
      </c>
      <c r="HP306">
        <f ca="1"/>
      </c>
      <c r="HQ306">
        <f ca="1"/>
      </c>
    </row>
    <row r="307" spans="147:226" x14ac:dyDescent="0.55000000000000004">
      <c r="EQ307">
        <f ca="1"/>
      </c>
      <c r="ER307">
        <f ca="1"/>
      </c>
      <c r="ES307">
        <f ca="1"/>
      </c>
      <c r="ET307">
        <f ca="1"/>
      </c>
      <c r="EU307">
        <f ca="1"/>
      </c>
      <c r="EV307">
        <f ca="1"/>
      </c>
      <c r="EW307">
        <f ca="1"/>
      </c>
      <c r="EX307">
        <f ca="1"/>
      </c>
      <c r="EY307">
        <f ca="1"/>
      </c>
      <c r="EZ307">
        <f ca="1"/>
      </c>
      <c r="FA307">
        <f ca="1"/>
      </c>
      <c r="FB307">
        <f ca="1"/>
      </c>
      <c r="FC307">
        <f ca="1"/>
      </c>
      <c r="FD307">
        <f ca="1"/>
      </c>
      <c r="FE307">
        <f ca="1"/>
      </c>
      <c r="FF307">
        <f ca="1"/>
      </c>
      <c r="FG307">
        <f ca="1"/>
      </c>
      <c r="FH307">
        <f ca="1"/>
      </c>
      <c r="FI307">
        <f ca="1"/>
      </c>
      <c r="FJ307">
        <f ca="1"/>
      </c>
      <c r="FK307">
        <f ca="1"/>
      </c>
      <c r="FL307">
        <f ca="1"/>
      </c>
      <c r="FM307">
        <f ca="1"/>
      </c>
      <c r="FN307">
        <f ca="1"/>
      </c>
      <c r="FO307">
        <f ca="1"/>
      </c>
      <c r="FP307">
        <f ca="1"/>
      </c>
      <c r="FQ307">
        <f ca="1"/>
      </c>
      <c r="FR307">
        <f ca="1"/>
      </c>
      <c r="GQ307">
        <f ca="1"/>
      </c>
      <c r="GR307" s="11">
        <f ca="1"/>
      </c>
      <c r="GS307" s="11">
        <f ca="1"/>
      </c>
      <c r="GT307" s="11">
        <f ca="1"/>
      </c>
      <c r="GU307" s="11">
        <f ca="1"/>
      </c>
      <c r="GV307" s="11">
        <f ca="1"/>
      </c>
      <c r="GX307">
        <f ca="1"/>
      </c>
      <c r="GY307">
        <f ca="1"/>
      </c>
      <c r="GZ307">
        <f ca="1"/>
      </c>
      <c r="HA307">
        <f ca="1"/>
      </c>
      <c r="HB307">
        <f ca="1"/>
      </c>
      <c r="HD307">
        <f ca="1"/>
      </c>
      <c r="HE307">
        <f ca="1"/>
      </c>
      <c r="HF307">
        <f ca="1"/>
      </c>
      <c r="HG307">
        <f ca="1"/>
      </c>
      <c r="HH307">
        <f ca="1"/>
      </c>
      <c r="HI307">
        <f ca="1"/>
      </c>
      <c r="HJ307">
        <f ca="1"/>
      </c>
      <c r="HK307">
        <f ca="1"/>
      </c>
      <c r="HL307">
        <f ca="1"/>
      </c>
      <c r="HM307">
        <f ca="1"/>
      </c>
      <c r="HN307">
        <f ca="1"/>
      </c>
      <c r="HO307">
        <f ca="1"/>
      </c>
      <c r="HP307">
        <f ca="1"/>
      </c>
      <c r="HQ307">
        <f ca="1"/>
      </c>
    </row>
    <row r="308" spans="147:226" x14ac:dyDescent="0.55000000000000004">
      <c r="EQ308">
        <f ca="1"/>
      </c>
      <c r="ER308">
        <f ca="1"/>
      </c>
      <c r="ES308">
        <f ca="1"/>
      </c>
      <c r="ET308">
        <f ca="1"/>
      </c>
      <c r="EU308">
        <f ca="1"/>
      </c>
      <c r="EV308">
        <f ca="1"/>
      </c>
      <c r="EW308">
        <f ca="1"/>
      </c>
      <c r="EX308">
        <f ca="1"/>
      </c>
      <c r="EY308">
        <f ca="1"/>
      </c>
      <c r="EZ308">
        <f ca="1"/>
      </c>
      <c r="FA308">
        <f ca="1"/>
      </c>
      <c r="FB308">
        <f ca="1"/>
      </c>
      <c r="FC308">
        <f ca="1"/>
      </c>
      <c r="FD308">
        <f ca="1"/>
      </c>
      <c r="FE308">
        <f ca="1"/>
      </c>
      <c r="FF308">
        <f ca="1"/>
      </c>
      <c r="FG308">
        <f ca="1"/>
      </c>
      <c r="FH308">
        <f ca="1"/>
      </c>
      <c r="FI308">
        <f ca="1"/>
      </c>
      <c r="FJ308">
        <f ca="1"/>
      </c>
      <c r="FK308">
        <f ca="1"/>
      </c>
      <c r="FL308">
        <f ca="1"/>
      </c>
      <c r="FM308">
        <f ca="1"/>
      </c>
      <c r="FN308">
        <f ca="1"/>
      </c>
      <c r="FO308">
        <f ca="1"/>
      </c>
      <c r="FP308">
        <f ca="1"/>
      </c>
      <c r="FQ308">
        <f ca="1"/>
      </c>
      <c r="FR308">
        <f ca="1"/>
      </c>
      <c r="GQ308">
        <f ca="1"/>
      </c>
      <c r="GR308" s="11">
        <f ca="1"/>
      </c>
      <c r="GS308" s="11">
        <f ca="1"/>
      </c>
      <c r="GT308" s="11">
        <f ca="1"/>
      </c>
      <c r="GU308" s="11">
        <f ca="1"/>
      </c>
      <c r="GV308" s="11">
        <f ca="1"/>
      </c>
      <c r="GX308">
        <f ca="1"/>
      </c>
      <c r="GY308">
        <f ca="1"/>
      </c>
      <c r="GZ308">
        <f ca="1"/>
      </c>
      <c r="HA308">
        <f ca="1"/>
      </c>
      <c r="HB308">
        <f ca="1"/>
      </c>
      <c r="HD308">
        <f ca="1"/>
      </c>
      <c r="HE308">
        <f ca="1"/>
      </c>
      <c r="HF308">
        <f ca="1"/>
      </c>
      <c r="HG308">
        <f ca="1"/>
      </c>
      <c r="HH308">
        <f ca="1"/>
      </c>
      <c r="HI308">
        <f ca="1"/>
      </c>
      <c r="HJ308">
        <f ca="1"/>
      </c>
      <c r="HK308">
        <f ca="1"/>
      </c>
      <c r="HL308">
        <f ca="1"/>
      </c>
      <c r="HM308">
        <f ca="1"/>
      </c>
      <c r="HN308">
        <f ca="1"/>
      </c>
      <c r="HO308">
        <f ca="1"/>
      </c>
      <c r="HP308">
        <f ca="1"/>
      </c>
      <c r="HQ308">
        <f ca="1"/>
      </c>
    </row>
    <row r="309" spans="147:226" x14ac:dyDescent="0.55000000000000004">
      <c r="EQ309">
        <f ca="1"/>
      </c>
      <c r="ER309">
        <f ca="1"/>
      </c>
      <c r="ES309">
        <f ca="1"/>
      </c>
      <c r="ET309">
        <f ca="1"/>
      </c>
      <c r="EU309">
        <f ca="1"/>
      </c>
      <c r="EV309">
        <f ca="1"/>
      </c>
      <c r="EW309">
        <f ca="1"/>
      </c>
      <c r="EX309">
        <f ca="1"/>
      </c>
      <c r="EY309">
        <f ca="1"/>
      </c>
      <c r="EZ309">
        <f ca="1"/>
      </c>
      <c r="FA309">
        <f ca="1"/>
      </c>
      <c r="FB309">
        <f ca="1"/>
      </c>
      <c r="FC309">
        <f ca="1"/>
      </c>
      <c r="FD309">
        <f ca="1"/>
      </c>
      <c r="FE309">
        <f ca="1"/>
      </c>
      <c r="FF309">
        <f ca="1"/>
      </c>
      <c r="FG309">
        <f ca="1"/>
      </c>
      <c r="FH309">
        <f ca="1"/>
      </c>
      <c r="FI309">
        <f ca="1"/>
      </c>
      <c r="FJ309">
        <f ca="1"/>
      </c>
      <c r="FK309">
        <f ca="1"/>
      </c>
      <c r="FL309">
        <f ca="1"/>
      </c>
      <c r="FM309">
        <f ca="1"/>
      </c>
      <c r="FN309">
        <f ca="1"/>
      </c>
      <c r="FO309">
        <f ca="1"/>
      </c>
      <c r="FP309">
        <f ca="1"/>
      </c>
      <c r="FQ309">
        <f ca="1"/>
      </c>
      <c r="FR309">
        <f ca="1"/>
      </c>
      <c r="GQ309">
        <f ca="1"/>
      </c>
      <c r="GR309" s="11">
        <f ca="1"/>
      </c>
      <c r="GS309" s="11">
        <f ca="1"/>
      </c>
      <c r="GT309" s="11">
        <f ca="1"/>
      </c>
      <c r="GU309" s="11">
        <f ca="1"/>
      </c>
      <c r="GV309" s="11">
        <f ca="1"/>
      </c>
      <c r="GX309">
        <f ca="1"/>
      </c>
      <c r="GY309">
        <f ca="1"/>
      </c>
      <c r="GZ309">
        <f ca="1"/>
      </c>
      <c r="HA309">
        <f ca="1"/>
      </c>
      <c r="HB309">
        <f ca="1"/>
      </c>
      <c r="HD309">
        <f ca="1"/>
      </c>
      <c r="HE309">
        <f ca="1"/>
      </c>
      <c r="HF309">
        <f ca="1"/>
      </c>
      <c r="HG309">
        <f ca="1"/>
      </c>
      <c r="HH309">
        <f ca="1"/>
      </c>
      <c r="HI309">
        <f ca="1"/>
      </c>
      <c r="HJ309">
        <f ca="1"/>
      </c>
      <c r="HK309">
        <f ca="1"/>
      </c>
      <c r="HL309">
        <f ca="1"/>
      </c>
      <c r="HM309">
        <f ca="1"/>
      </c>
      <c r="HN309">
        <f ca="1"/>
      </c>
      <c r="HO309">
        <f ca="1"/>
      </c>
      <c r="HP309">
        <f ca="1"/>
      </c>
      <c r="HQ309">
        <f ca="1"/>
      </c>
    </row>
    <row r="310" spans="147:226" x14ac:dyDescent="0.55000000000000004">
      <c r="EQ310">
        <f ca="1"/>
      </c>
      <c r="ER310">
        <f ca="1"/>
      </c>
      <c r="ES310">
        <f ca="1"/>
      </c>
      <c r="ET310">
        <f ca="1"/>
      </c>
      <c r="EU310">
        <f ca="1"/>
      </c>
      <c r="EV310">
        <f ca="1"/>
      </c>
      <c r="EW310">
        <f ca="1"/>
      </c>
      <c r="EX310">
        <f ca="1"/>
      </c>
      <c r="EY310">
        <f ca="1"/>
      </c>
      <c r="EZ310">
        <f ca="1"/>
      </c>
      <c r="FA310">
        <f ca="1"/>
      </c>
      <c r="FB310">
        <f ca="1"/>
      </c>
      <c r="FC310">
        <f ca="1"/>
      </c>
      <c r="FD310">
        <f ca="1"/>
      </c>
      <c r="FE310">
        <f ca="1"/>
      </c>
      <c r="FF310">
        <f ca="1"/>
      </c>
      <c r="FG310">
        <f ca="1"/>
      </c>
      <c r="FH310">
        <f ca="1"/>
      </c>
      <c r="FI310">
        <f ca="1"/>
      </c>
      <c r="FJ310">
        <f ca="1"/>
      </c>
      <c r="FK310">
        <f ca="1"/>
      </c>
      <c r="FL310">
        <f ca="1"/>
      </c>
      <c r="FM310">
        <f ca="1"/>
      </c>
      <c r="FN310">
        <f ca="1"/>
      </c>
      <c r="FO310">
        <f ca="1"/>
      </c>
      <c r="FP310">
        <f ca="1"/>
      </c>
      <c r="FQ310">
        <f ca="1"/>
      </c>
      <c r="FR310">
        <f ca="1"/>
      </c>
      <c r="GQ310">
        <f ca="1"/>
      </c>
      <c r="GR310" s="11">
        <f ca="1"/>
      </c>
      <c r="GS310" s="11">
        <f ca="1"/>
      </c>
      <c r="GT310" s="11">
        <f ca="1"/>
      </c>
      <c r="GU310" s="11">
        <f ca="1"/>
      </c>
      <c r="GV310" s="11">
        <f ca="1"/>
      </c>
      <c r="GX310">
        <f ca="1"/>
      </c>
      <c r="GY310">
        <f ca="1"/>
      </c>
      <c r="GZ310">
        <f ca="1"/>
      </c>
      <c r="HA310">
        <f ca="1"/>
      </c>
      <c r="HB310">
        <f ca="1"/>
      </c>
      <c r="HD310">
        <f ca="1"/>
      </c>
      <c r="HE310">
        <f ca="1"/>
      </c>
      <c r="HF310">
        <f ca="1"/>
      </c>
      <c r="HG310">
        <f ca="1"/>
      </c>
      <c r="HH310">
        <f ca="1"/>
      </c>
      <c r="HI310">
        <f ca="1"/>
      </c>
      <c r="HJ310">
        <f ca="1"/>
      </c>
      <c r="HK310">
        <f ca="1"/>
      </c>
      <c r="HL310">
        <f ca="1"/>
      </c>
      <c r="HM310">
        <f ca="1"/>
      </c>
      <c r="HN310">
        <f ca="1"/>
      </c>
      <c r="HO310">
        <f ca="1"/>
      </c>
      <c r="HP310">
        <f ca="1"/>
      </c>
      <c r="HQ310">
        <f ca="1"/>
      </c>
    </row>
    <row r="311" spans="147:226" x14ac:dyDescent="0.55000000000000004">
      <c r="EQ311">
        <f ca="1"/>
      </c>
      <c r="ER311">
        <f ca="1"/>
      </c>
      <c r="ES311">
        <f ca="1"/>
      </c>
      <c r="ET311">
        <f ca="1"/>
      </c>
      <c r="EU311">
        <f ca="1"/>
      </c>
      <c r="EV311">
        <f ca="1"/>
      </c>
      <c r="EW311">
        <f ca="1"/>
      </c>
      <c r="EX311">
        <f ca="1"/>
      </c>
      <c r="EY311">
        <f ca="1"/>
      </c>
      <c r="EZ311">
        <f ca="1"/>
      </c>
      <c r="FA311">
        <f ca="1"/>
      </c>
      <c r="FB311">
        <f ca="1"/>
      </c>
      <c r="FC311">
        <f ca="1"/>
      </c>
      <c r="FD311">
        <f ca="1"/>
      </c>
      <c r="FE311">
        <f ca="1"/>
      </c>
      <c r="FF311">
        <f ca="1"/>
      </c>
      <c r="FG311">
        <f ca="1"/>
      </c>
      <c r="FH311">
        <f ca="1"/>
      </c>
      <c r="FI311">
        <f ca="1"/>
      </c>
      <c r="FJ311">
        <f ca="1"/>
      </c>
      <c r="FK311">
        <f ca="1"/>
      </c>
      <c r="FL311">
        <f ca="1"/>
      </c>
      <c r="FM311">
        <f ca="1"/>
      </c>
      <c r="FN311">
        <f ca="1"/>
      </c>
      <c r="FO311">
        <f ca="1"/>
      </c>
      <c r="FP311">
        <f ca="1"/>
      </c>
      <c r="FQ311">
        <f ca="1"/>
      </c>
      <c r="FR311">
        <f ca="1"/>
      </c>
      <c r="GQ311">
        <f ca="1"/>
      </c>
      <c r="GR311" s="11">
        <f ca="1"/>
      </c>
      <c r="GS311" s="11">
        <f ca="1"/>
      </c>
      <c r="GT311" s="11">
        <f ca="1"/>
      </c>
      <c r="GU311" s="11">
        <f ca="1"/>
      </c>
      <c r="GV311" s="11">
        <f ca="1"/>
      </c>
      <c r="GX311">
        <f ca="1"/>
      </c>
      <c r="GY311">
        <f ca="1"/>
      </c>
      <c r="GZ311">
        <f ca="1"/>
      </c>
      <c r="HA311">
        <f ca="1"/>
      </c>
      <c r="HB311">
        <f ca="1"/>
      </c>
      <c r="HD311">
        <f ca="1"/>
      </c>
      <c r="HE311">
        <f ca="1"/>
      </c>
      <c r="HF311">
        <f ca="1"/>
      </c>
      <c r="HG311">
        <f ca="1"/>
      </c>
      <c r="HH311">
        <f ca="1"/>
      </c>
      <c r="HI311">
        <f ca="1"/>
      </c>
      <c r="HJ311">
        <f ca="1"/>
      </c>
      <c r="HK311">
        <f ca="1"/>
      </c>
      <c r="HL311">
        <f ca="1"/>
      </c>
      <c r="HM311">
        <f ca="1"/>
      </c>
      <c r="HN311">
        <f ca="1"/>
      </c>
      <c r="HO311">
        <f ca="1"/>
      </c>
      <c r="HP311">
        <f ca="1"/>
      </c>
      <c r="HQ311">
        <f ca="1"/>
      </c>
    </row>
    <row r="312" spans="147:226" x14ac:dyDescent="0.55000000000000004">
      <c r="EQ312">
        <f ca="1"/>
      </c>
      <c r="ER312">
        <f ca="1"/>
      </c>
      <c r="ES312">
        <f ca="1"/>
      </c>
      <c r="ET312">
        <f ca="1"/>
      </c>
      <c r="EU312">
        <f ca="1"/>
      </c>
      <c r="EV312">
        <f ca="1"/>
      </c>
      <c r="EW312">
        <f ca="1"/>
      </c>
      <c r="EX312">
        <f ca="1"/>
      </c>
      <c r="EY312">
        <f ca="1"/>
      </c>
      <c r="EZ312">
        <f ca="1"/>
      </c>
      <c r="FA312">
        <f ca="1"/>
      </c>
      <c r="FB312">
        <f ca="1"/>
      </c>
      <c r="FC312">
        <f ca="1"/>
      </c>
      <c r="FD312">
        <f ca="1"/>
      </c>
      <c r="FE312">
        <f ca="1"/>
      </c>
      <c r="FF312">
        <f ca="1"/>
      </c>
      <c r="FG312">
        <f ca="1"/>
      </c>
      <c r="FH312">
        <f ca="1"/>
      </c>
      <c r="FI312">
        <f ca="1"/>
      </c>
      <c r="FJ312">
        <f ca="1"/>
      </c>
      <c r="FK312">
        <f ca="1"/>
      </c>
      <c r="FL312">
        <f ca="1"/>
      </c>
      <c r="FM312">
        <f ca="1"/>
      </c>
      <c r="FN312">
        <f ca="1"/>
      </c>
      <c r="FO312">
        <f ca="1"/>
      </c>
      <c r="FP312">
        <f ca="1"/>
      </c>
      <c r="FQ312">
        <f ca="1"/>
      </c>
      <c r="FR312">
        <f ca="1"/>
      </c>
      <c r="GQ312">
        <f ca="1"/>
      </c>
      <c r="GR312" s="11">
        <f ca="1"/>
      </c>
      <c r="GS312" s="11">
        <f ca="1"/>
      </c>
      <c r="GT312" s="11">
        <f ca="1"/>
      </c>
      <c r="GU312" s="11">
        <f ca="1"/>
      </c>
      <c r="GV312" s="11">
        <f ca="1"/>
      </c>
      <c r="GX312">
        <f ca="1"/>
      </c>
      <c r="GY312">
        <f ca="1"/>
      </c>
      <c r="GZ312">
        <f ca="1"/>
      </c>
      <c r="HA312">
        <f ca="1"/>
      </c>
      <c r="HB312">
        <f ca="1"/>
      </c>
      <c r="HD312">
        <f ca="1"/>
      </c>
      <c r="HE312">
        <f ca="1"/>
      </c>
      <c r="HF312">
        <f ca="1"/>
      </c>
      <c r="HG312">
        <f ca="1"/>
      </c>
      <c r="HH312">
        <f ca="1"/>
      </c>
      <c r="HI312">
        <f ca="1"/>
      </c>
      <c r="HJ312">
        <f ca="1"/>
      </c>
      <c r="HK312">
        <f ca="1"/>
      </c>
      <c r="HL312">
        <f ca="1"/>
      </c>
      <c r="HM312">
        <f ca="1"/>
      </c>
      <c r="HN312">
        <f ca="1"/>
      </c>
      <c r="HO312">
        <f ca="1"/>
      </c>
      <c r="HP312">
        <f ca="1"/>
      </c>
      <c r="HQ312">
        <f ca="1"/>
      </c>
    </row>
    <row r="313" spans="147:226" x14ac:dyDescent="0.55000000000000004">
      <c r="EQ313">
        <f ca="1"/>
      </c>
      <c r="ER313">
        <f ca="1"/>
      </c>
      <c r="ES313">
        <f ca="1"/>
      </c>
      <c r="ET313">
        <f ca="1"/>
      </c>
      <c r="EU313">
        <f ca="1"/>
      </c>
      <c r="EV313">
        <f ca="1"/>
      </c>
      <c r="EW313">
        <f ca="1"/>
      </c>
      <c r="EX313">
        <f ca="1"/>
      </c>
      <c r="EY313">
        <f ca="1"/>
      </c>
      <c r="EZ313">
        <f ca="1"/>
      </c>
      <c r="FA313">
        <f ca="1"/>
      </c>
      <c r="FB313">
        <f ca="1"/>
      </c>
      <c r="FC313">
        <f ca="1"/>
      </c>
      <c r="FD313">
        <f ca="1"/>
      </c>
      <c r="FE313">
        <f ca="1"/>
      </c>
      <c r="FF313">
        <f ca="1"/>
      </c>
      <c r="FG313">
        <f ca="1"/>
      </c>
      <c r="FH313">
        <f ca="1"/>
      </c>
      <c r="FI313">
        <f ca="1"/>
      </c>
      <c r="FJ313">
        <f ca="1"/>
      </c>
      <c r="FK313">
        <f ca="1"/>
      </c>
      <c r="FL313">
        <f ca="1"/>
      </c>
      <c r="FM313">
        <f ca="1"/>
      </c>
      <c r="FN313">
        <f ca="1"/>
      </c>
      <c r="FO313">
        <f ca="1"/>
      </c>
      <c r="FP313">
        <f ca="1"/>
      </c>
      <c r="FQ313">
        <f ca="1"/>
      </c>
      <c r="FR313">
        <f ca="1"/>
      </c>
      <c r="GQ313">
        <f ca="1"/>
      </c>
      <c r="GR313" s="11">
        <f ca="1"/>
      </c>
      <c r="GS313" s="11">
        <f ca="1"/>
      </c>
      <c r="GT313" s="11">
        <f ca="1"/>
      </c>
      <c r="GU313" s="11">
        <f ca="1"/>
      </c>
      <c r="GV313" s="11">
        <f ca="1"/>
      </c>
      <c r="GX313">
        <f ca="1"/>
      </c>
      <c r="GY313">
        <f ca="1"/>
      </c>
      <c r="GZ313">
        <f ca="1"/>
      </c>
      <c r="HA313">
        <f ca="1"/>
      </c>
      <c r="HB313">
        <f ca="1"/>
      </c>
      <c r="HD313">
        <f ca="1"/>
      </c>
      <c r="HE313">
        <f ca="1"/>
      </c>
      <c r="HF313">
        <f ca="1"/>
      </c>
      <c r="HG313">
        <f ca="1"/>
      </c>
      <c r="HH313">
        <f ca="1"/>
      </c>
      <c r="HI313">
        <f ca="1"/>
      </c>
      <c r="HJ313">
        <f ca="1"/>
      </c>
      <c r="HK313">
        <f ca="1"/>
      </c>
      <c r="HL313">
        <f ca="1"/>
      </c>
      <c r="HM313">
        <f ca="1"/>
      </c>
      <c r="HN313">
        <f ca="1"/>
      </c>
      <c r="HO313">
        <f ca="1"/>
      </c>
      <c r="HP313">
        <f ca="1"/>
      </c>
      <c r="HQ313">
        <f ca="1"/>
      </c>
    </row>
    <row r="314" spans="147:226" x14ac:dyDescent="0.55000000000000004">
      <c r="EQ314">
        <f ca="1"/>
      </c>
      <c r="ER314">
        <f ca="1"/>
      </c>
      <c r="ES314">
        <f ca="1"/>
      </c>
      <c r="ET314">
        <f ca="1"/>
      </c>
      <c r="EU314">
        <f ca="1"/>
      </c>
      <c r="EV314">
        <f ca="1"/>
      </c>
      <c r="EW314">
        <f ca="1"/>
      </c>
      <c r="EX314">
        <f ca="1"/>
      </c>
      <c r="EY314">
        <f ca="1"/>
      </c>
      <c r="EZ314">
        <f ca="1"/>
      </c>
      <c r="FA314">
        <f ca="1"/>
      </c>
      <c r="FB314">
        <f ca="1"/>
      </c>
      <c r="FC314">
        <f ca="1"/>
      </c>
      <c r="FD314">
        <f ca="1"/>
      </c>
      <c r="FE314">
        <f ca="1"/>
      </c>
      <c r="FF314">
        <f ca="1"/>
      </c>
      <c r="FG314">
        <f ca="1"/>
      </c>
      <c r="FH314">
        <f ca="1"/>
      </c>
      <c r="FI314">
        <f ca="1"/>
      </c>
      <c r="FJ314">
        <f ca="1"/>
      </c>
      <c r="FK314">
        <f ca="1"/>
      </c>
      <c r="FL314">
        <f ca="1"/>
      </c>
      <c r="FM314">
        <f ca="1"/>
      </c>
      <c r="FN314">
        <f ca="1"/>
      </c>
      <c r="FO314">
        <f ca="1"/>
      </c>
      <c r="FP314">
        <f ca="1"/>
      </c>
      <c r="FQ314">
        <f ca="1"/>
      </c>
      <c r="FR314">
        <f ca="1"/>
      </c>
      <c r="GQ314">
        <f ca="1"/>
      </c>
      <c r="GR314" s="11">
        <f ca="1"/>
      </c>
      <c r="GS314" s="11">
        <f ca="1"/>
      </c>
      <c r="GT314" s="11">
        <f ca="1"/>
      </c>
      <c r="GU314" s="11">
        <f ca="1"/>
      </c>
      <c r="GV314" s="11">
        <f ca="1"/>
      </c>
      <c r="GX314">
        <f ca="1"/>
      </c>
      <c r="GY314">
        <f ca="1"/>
      </c>
      <c r="GZ314">
        <f ca="1"/>
      </c>
      <c r="HA314">
        <f ca="1"/>
      </c>
      <c r="HB314">
        <f ca="1"/>
      </c>
      <c r="HD314">
        <f ca="1"/>
      </c>
      <c r="HE314">
        <f ca="1"/>
      </c>
      <c r="HF314">
        <f ca="1"/>
      </c>
      <c r="HG314">
        <f ca="1"/>
      </c>
      <c r="HH314">
        <f ca="1"/>
      </c>
      <c r="HI314">
        <f ca="1"/>
      </c>
      <c r="HJ314">
        <f ca="1"/>
      </c>
      <c r="HK314">
        <f ca="1"/>
      </c>
      <c r="HL314">
        <f ca="1"/>
      </c>
      <c r="HM314">
        <f ca="1"/>
      </c>
      <c r="HN314">
        <f ca="1"/>
      </c>
      <c r="HO314">
        <f ca="1"/>
      </c>
      <c r="HP314">
        <f ca="1"/>
      </c>
      <c r="HQ314">
        <f ca="1"/>
      </c>
    </row>
    <row r="315" spans="147:226" x14ac:dyDescent="0.55000000000000004">
      <c r="EQ315">
        <f ca="1"/>
      </c>
      <c r="ER315">
        <f ca="1"/>
      </c>
      <c r="ES315">
        <f ca="1"/>
      </c>
      <c r="ET315">
        <f ca="1"/>
      </c>
      <c r="EU315">
        <f ca="1"/>
      </c>
      <c r="EV315">
        <f ca="1"/>
      </c>
      <c r="EW315">
        <f ca="1"/>
      </c>
      <c r="EX315">
        <f ca="1"/>
      </c>
      <c r="EY315">
        <f ca="1"/>
      </c>
      <c r="EZ315">
        <f ca="1"/>
      </c>
      <c r="FA315">
        <f ca="1"/>
      </c>
      <c r="FB315">
        <f ca="1"/>
      </c>
      <c r="FC315">
        <f ca="1"/>
      </c>
      <c r="FD315">
        <f ca="1"/>
      </c>
      <c r="FE315">
        <f ca="1"/>
      </c>
      <c r="FF315">
        <f ca="1"/>
      </c>
      <c r="FG315">
        <f ca="1"/>
      </c>
      <c r="FH315">
        <f ca="1"/>
      </c>
      <c r="FI315">
        <f ca="1"/>
      </c>
      <c r="FJ315">
        <f ca="1"/>
      </c>
      <c r="FK315">
        <f ca="1"/>
      </c>
      <c r="FL315">
        <f ca="1"/>
      </c>
      <c r="FM315">
        <f ca="1"/>
      </c>
      <c r="FN315">
        <f ca="1"/>
      </c>
      <c r="FO315">
        <f ca="1"/>
      </c>
      <c r="FP315">
        <f ca="1"/>
      </c>
      <c r="FQ315">
        <f ca="1"/>
      </c>
      <c r="FR315">
        <f ca="1"/>
      </c>
      <c r="GQ315">
        <f ca="1"/>
      </c>
      <c r="GR315" s="11">
        <f ca="1"/>
      </c>
      <c r="GS315" s="11">
        <f ca="1"/>
      </c>
      <c r="GT315" s="11">
        <f ca="1"/>
      </c>
      <c r="GU315" s="11">
        <f ca="1"/>
      </c>
      <c r="GV315" s="11">
        <f ca="1"/>
      </c>
      <c r="GX315">
        <f ca="1"/>
      </c>
      <c r="GY315">
        <f ca="1"/>
      </c>
      <c r="GZ315">
        <f ca="1"/>
      </c>
      <c r="HA315">
        <f ca="1"/>
      </c>
      <c r="HB315">
        <f ca="1"/>
      </c>
      <c r="HD315">
        <f ca="1"/>
      </c>
      <c r="HE315">
        <f ca="1"/>
      </c>
      <c r="HF315">
        <f ca="1"/>
      </c>
      <c r="HG315">
        <f ca="1"/>
      </c>
      <c r="HH315">
        <f ca="1"/>
      </c>
      <c r="HI315">
        <f ca="1"/>
      </c>
      <c r="HJ315">
        <f ca="1"/>
      </c>
      <c r="HK315">
        <f ca="1"/>
      </c>
      <c r="HL315">
        <f ca="1"/>
      </c>
      <c r="HM315">
        <f ca="1"/>
      </c>
      <c r="HN315">
        <f ca="1"/>
      </c>
      <c r="HO315">
        <f ca="1"/>
      </c>
      <c r="HP315">
        <f ca="1"/>
      </c>
      <c r="HQ315">
        <f ca="1"/>
      </c>
    </row>
    <row r="316" spans="147:226" x14ac:dyDescent="0.55000000000000004">
      <c r="EQ316">
        <f ca="1"/>
      </c>
      <c r="ER316">
        <f ca="1"/>
      </c>
      <c r="ES316">
        <f ca="1"/>
      </c>
      <c r="ET316">
        <f ca="1"/>
      </c>
      <c r="EU316">
        <f ca="1"/>
      </c>
      <c r="EV316">
        <f ca="1"/>
      </c>
      <c r="EW316">
        <f ca="1"/>
      </c>
      <c r="EX316">
        <f ca="1"/>
      </c>
      <c r="EY316">
        <f ca="1"/>
      </c>
      <c r="EZ316">
        <f ca="1"/>
      </c>
      <c r="FA316">
        <f ca="1"/>
      </c>
      <c r="FB316">
        <f ca="1"/>
      </c>
      <c r="FC316">
        <f ca="1"/>
      </c>
      <c r="FD316">
        <f ca="1"/>
      </c>
      <c r="FE316">
        <f ca="1"/>
      </c>
      <c r="FF316">
        <f ca="1"/>
      </c>
      <c r="FG316">
        <f ca="1"/>
      </c>
      <c r="FH316">
        <f ca="1"/>
      </c>
      <c r="FI316">
        <f ca="1"/>
      </c>
      <c r="FJ316">
        <f ca="1"/>
      </c>
      <c r="FK316">
        <f ca="1"/>
      </c>
      <c r="FL316">
        <f ca="1"/>
      </c>
      <c r="FM316">
        <f ca="1"/>
      </c>
      <c r="FN316">
        <f ca="1"/>
      </c>
      <c r="FO316">
        <f ca="1"/>
      </c>
      <c r="FP316">
        <f ca="1"/>
      </c>
      <c r="FQ316">
        <f ca="1"/>
      </c>
      <c r="FR316">
        <f ca="1"/>
      </c>
      <c r="GQ316">
        <f ca="1"/>
      </c>
      <c r="GR316" s="11">
        <f ca="1"/>
      </c>
      <c r="GS316" s="11">
        <f ca="1"/>
      </c>
      <c r="GT316" s="11">
        <f ca="1"/>
      </c>
      <c r="GU316" s="11">
        <f ca="1"/>
      </c>
      <c r="GV316" s="11">
        <f ca="1"/>
      </c>
      <c r="GX316">
        <f ca="1"/>
      </c>
      <c r="GY316">
        <f ca="1"/>
      </c>
      <c r="GZ316">
        <f ca="1"/>
      </c>
      <c r="HA316">
        <f ca="1"/>
      </c>
      <c r="HB316">
        <f ca="1"/>
      </c>
      <c r="HD316">
        <f ca="1"/>
      </c>
      <c r="HE316">
        <f ca="1"/>
      </c>
      <c r="HF316">
        <f ca="1"/>
      </c>
      <c r="HG316">
        <f ca="1"/>
      </c>
      <c r="HH316">
        <f ca="1"/>
      </c>
      <c r="HI316">
        <f ca="1"/>
      </c>
      <c r="HJ316">
        <f ca="1"/>
      </c>
      <c r="HK316">
        <f ca="1"/>
      </c>
      <c r="HL316">
        <f ca="1"/>
      </c>
      <c r="HM316">
        <f ca="1"/>
      </c>
      <c r="HN316">
        <f ca="1"/>
      </c>
      <c r="HO316">
        <f ca="1"/>
      </c>
      <c r="HP316">
        <f ca="1"/>
      </c>
      <c r="HQ316">
        <f ca="1"/>
      </c>
    </row>
    <row r="317" spans="147:226" x14ac:dyDescent="0.55000000000000004">
      <c r="EQ317">
        <f ca="1"/>
      </c>
      <c r="ER317">
        <f ca="1"/>
      </c>
      <c r="ES317">
        <f ca="1"/>
      </c>
      <c r="ET317">
        <f ca="1"/>
      </c>
      <c r="EU317">
        <f ca="1"/>
      </c>
      <c r="EV317">
        <f ca="1"/>
      </c>
      <c r="EW317">
        <f ca="1"/>
      </c>
      <c r="EX317">
        <f ca="1"/>
      </c>
      <c r="EY317">
        <f ca="1"/>
      </c>
      <c r="EZ317">
        <f ca="1"/>
      </c>
      <c r="FA317">
        <f ca="1"/>
      </c>
      <c r="FB317">
        <f ca="1"/>
      </c>
      <c r="FC317">
        <f ca="1"/>
      </c>
      <c r="FD317">
        <f ca="1"/>
      </c>
      <c r="FE317">
        <f ca="1"/>
      </c>
      <c r="FF317">
        <f ca="1"/>
      </c>
      <c r="FG317">
        <f ca="1"/>
      </c>
      <c r="FH317">
        <f ca="1"/>
      </c>
      <c r="FI317">
        <f ca="1"/>
      </c>
      <c r="FJ317">
        <f ca="1"/>
      </c>
      <c r="FK317">
        <f ca="1"/>
      </c>
      <c r="FL317">
        <f ca="1"/>
      </c>
      <c r="FM317">
        <f ca="1"/>
      </c>
      <c r="FN317">
        <f ca="1"/>
      </c>
      <c r="FO317">
        <f ca="1"/>
      </c>
      <c r="FP317">
        <f ca="1"/>
      </c>
      <c r="FQ317">
        <f ca="1"/>
      </c>
      <c r="FR317">
        <f ca="1"/>
      </c>
      <c r="GQ317">
        <f ca="1"/>
      </c>
      <c r="GR317" s="11">
        <f ca="1"/>
      </c>
      <c r="GS317" s="11">
        <f ca="1"/>
      </c>
      <c r="GT317" s="11">
        <f ca="1"/>
      </c>
      <c r="GU317" s="11">
        <f ca="1"/>
      </c>
      <c r="GV317" s="11">
        <f ca="1"/>
      </c>
      <c r="GX317">
        <f ca="1"/>
      </c>
      <c r="GY317">
        <f ca="1"/>
      </c>
      <c r="GZ317">
        <f ca="1"/>
      </c>
      <c r="HA317">
        <f ca="1"/>
      </c>
      <c r="HB317">
        <f ca="1"/>
      </c>
      <c r="HD317">
        <f ca="1"/>
      </c>
      <c r="HE317">
        <f ca="1"/>
      </c>
      <c r="HF317">
        <f ca="1"/>
      </c>
      <c r="HG317">
        <f ca="1"/>
      </c>
      <c r="HH317">
        <f ca="1"/>
      </c>
      <c r="HI317">
        <f ca="1"/>
      </c>
      <c r="HJ317">
        <f ca="1"/>
      </c>
      <c r="HK317">
        <f ca="1"/>
      </c>
      <c r="HL317">
        <f ca="1"/>
      </c>
      <c r="HM317">
        <f ca="1"/>
      </c>
      <c r="HN317">
        <f ca="1"/>
      </c>
      <c r="HO317">
        <f ca="1"/>
      </c>
      <c r="HP317">
        <f ca="1"/>
      </c>
      <c r="HQ317">
        <f ca="1"/>
      </c>
    </row>
    <row r="318" spans="147:226" x14ac:dyDescent="0.55000000000000004">
      <c r="EQ318">
        <f ca="1"/>
      </c>
      <c r="ER318">
        <f ca="1"/>
      </c>
      <c r="ES318">
        <f ca="1"/>
      </c>
      <c r="ET318">
        <f ca="1"/>
      </c>
      <c r="EU318">
        <f ca="1"/>
      </c>
      <c r="EV318">
        <f ca="1"/>
      </c>
      <c r="EW318">
        <f ca="1"/>
      </c>
      <c r="EX318">
        <f ca="1"/>
      </c>
      <c r="EY318">
        <f ca="1"/>
      </c>
      <c r="EZ318">
        <f ca="1"/>
      </c>
      <c r="FA318">
        <f ca="1"/>
      </c>
      <c r="FB318">
        <f ca="1"/>
      </c>
      <c r="FC318">
        <f ca="1"/>
      </c>
      <c r="FD318">
        <f ca="1"/>
      </c>
      <c r="FE318">
        <f ca="1"/>
      </c>
      <c r="FF318">
        <f ca="1"/>
      </c>
      <c r="FG318">
        <f ca="1"/>
      </c>
      <c r="FH318">
        <f ca="1"/>
      </c>
      <c r="FI318">
        <f ca="1"/>
      </c>
      <c r="FJ318">
        <f ca="1"/>
      </c>
      <c r="FK318">
        <f ca="1"/>
      </c>
      <c r="FL318">
        <f ca="1"/>
      </c>
      <c r="FM318">
        <f ca="1"/>
      </c>
      <c r="FN318">
        <f ca="1"/>
      </c>
      <c r="FO318">
        <f ca="1"/>
      </c>
      <c r="FP318">
        <f ca="1"/>
      </c>
      <c r="FQ318">
        <f ca="1"/>
      </c>
      <c r="FR318">
        <f ca="1"/>
      </c>
      <c r="GQ318">
        <f ca="1"/>
      </c>
      <c r="GR318" s="11">
        <f ca="1"/>
      </c>
      <c r="GS318" s="11">
        <f ca="1"/>
      </c>
      <c r="GT318" s="11">
        <f ca="1"/>
      </c>
      <c r="GU318" s="11">
        <f ca="1"/>
      </c>
      <c r="GV318" s="11">
        <f ca="1"/>
      </c>
      <c r="GX318">
        <f ca="1"/>
      </c>
      <c r="GY318">
        <f ca="1"/>
      </c>
      <c r="GZ318">
        <f ca="1"/>
      </c>
      <c r="HA318">
        <f ca="1"/>
      </c>
      <c r="HB318">
        <f ca="1"/>
      </c>
      <c r="HD318">
        <f ca="1"/>
      </c>
      <c r="HE318">
        <f ca="1"/>
      </c>
      <c r="HF318">
        <f ca="1"/>
      </c>
      <c r="HG318">
        <f ca="1"/>
      </c>
      <c r="HH318">
        <f ca="1"/>
      </c>
      <c r="HI318">
        <f ca="1"/>
      </c>
      <c r="HJ318">
        <f ca="1"/>
      </c>
      <c r="HK318">
        <f ca="1"/>
      </c>
      <c r="HL318">
        <f ca="1"/>
      </c>
      <c r="HM318">
        <f ca="1"/>
      </c>
      <c r="HN318">
        <f ca="1"/>
      </c>
      <c r="HO318">
        <f ca="1"/>
      </c>
      <c r="HP318">
        <f ca="1"/>
      </c>
      <c r="HQ318">
        <f ca="1"/>
      </c>
    </row>
    <row r="319" spans="147:226" x14ac:dyDescent="0.55000000000000004">
      <c r="EQ319">
        <f ca="1"/>
      </c>
      <c r="ER319">
        <f ca="1"/>
      </c>
      <c r="ES319">
        <f ca="1"/>
      </c>
      <c r="ET319">
        <f ca="1"/>
      </c>
      <c r="EU319">
        <f ca="1"/>
      </c>
      <c r="EV319">
        <f ca="1"/>
      </c>
      <c r="EW319">
        <f ca="1"/>
      </c>
      <c r="EX319">
        <f ca="1"/>
      </c>
      <c r="EY319">
        <f ca="1"/>
      </c>
      <c r="EZ319">
        <f ca="1"/>
      </c>
      <c r="FA319">
        <f ca="1"/>
      </c>
      <c r="FB319">
        <f ca="1"/>
      </c>
      <c r="FC319">
        <f ca="1"/>
      </c>
      <c r="FD319">
        <f ca="1"/>
      </c>
      <c r="FE319">
        <f ca="1"/>
      </c>
      <c r="FF319">
        <f ca="1"/>
      </c>
      <c r="FG319">
        <f ca="1"/>
      </c>
      <c r="FH319">
        <f ca="1"/>
      </c>
      <c r="FI319">
        <f ca="1"/>
      </c>
      <c r="FJ319">
        <f ca="1"/>
      </c>
      <c r="FK319">
        <f ca="1"/>
      </c>
      <c r="FL319">
        <f ca="1"/>
      </c>
      <c r="FM319">
        <f ca="1"/>
      </c>
      <c r="FN319">
        <f ca="1"/>
      </c>
      <c r="FO319">
        <f ca="1"/>
      </c>
      <c r="FP319">
        <f ca="1"/>
      </c>
      <c r="FQ319">
        <f ca="1"/>
      </c>
      <c r="FR319">
        <f ca="1"/>
      </c>
      <c r="GQ319">
        <f ca="1"/>
      </c>
      <c r="GR319" s="11">
        <f ca="1"/>
      </c>
      <c r="GS319" s="11">
        <f ca="1"/>
      </c>
      <c r="GT319" s="11">
        <f ca="1"/>
      </c>
      <c r="GU319" s="11">
        <f ca="1"/>
      </c>
      <c r="GV319" s="11">
        <f ca="1"/>
      </c>
      <c r="GX319">
        <f ca="1"/>
      </c>
      <c r="GY319">
        <f ca="1"/>
      </c>
      <c r="GZ319">
        <f ca="1"/>
      </c>
      <c r="HA319">
        <f ca="1"/>
      </c>
      <c r="HB319">
        <f ca="1"/>
      </c>
      <c r="HD319">
        <f ca="1"/>
      </c>
      <c r="HE319">
        <f ca="1"/>
      </c>
      <c r="HF319">
        <f ca="1"/>
      </c>
      <c r="HG319">
        <f ca="1"/>
      </c>
      <c r="HH319">
        <f ca="1"/>
      </c>
      <c r="HI319">
        <f ca="1"/>
      </c>
      <c r="HJ319">
        <f ca="1"/>
      </c>
      <c r="HK319">
        <f ca="1"/>
      </c>
      <c r="HL319">
        <f ca="1"/>
      </c>
      <c r="HM319">
        <f ca="1"/>
      </c>
      <c r="HN319">
        <f ca="1"/>
      </c>
      <c r="HO319">
        <f ca="1"/>
      </c>
      <c r="HP319">
        <f ca="1"/>
      </c>
      <c r="HQ319">
        <f ca="1"/>
      </c>
    </row>
    <row r="320" spans="147:226" x14ac:dyDescent="0.55000000000000004">
      <c r="EQ320">
        <f ca="1"/>
      </c>
      <c r="ER320">
        <f ca="1"/>
      </c>
      <c r="ES320">
        <f ca="1"/>
      </c>
      <c r="ET320">
        <f ca="1"/>
      </c>
      <c r="EU320">
        <f ca="1"/>
      </c>
      <c r="EV320">
        <f ca="1"/>
      </c>
      <c r="EW320">
        <f ca="1"/>
      </c>
      <c r="EX320">
        <f ca="1"/>
      </c>
      <c r="EY320">
        <f ca="1"/>
      </c>
      <c r="EZ320">
        <f ca="1"/>
      </c>
      <c r="FA320">
        <f ca="1"/>
      </c>
      <c r="FB320">
        <f ca="1"/>
      </c>
      <c r="FC320">
        <f ca="1"/>
      </c>
      <c r="FD320">
        <f ca="1"/>
      </c>
      <c r="FE320">
        <f ca="1"/>
      </c>
      <c r="FF320">
        <f ca="1"/>
      </c>
      <c r="FG320">
        <f ca="1"/>
      </c>
      <c r="FH320">
        <f ca="1"/>
      </c>
      <c r="FI320">
        <f ca="1"/>
      </c>
      <c r="FJ320">
        <f ca="1"/>
      </c>
      <c r="FK320">
        <f ca="1"/>
      </c>
      <c r="FL320">
        <f ca="1"/>
      </c>
      <c r="FM320">
        <f ca="1"/>
      </c>
      <c r="FN320">
        <f ca="1"/>
      </c>
      <c r="FO320">
        <f ca="1"/>
      </c>
      <c r="FP320">
        <f ca="1"/>
      </c>
      <c r="FQ320">
        <f ca="1"/>
      </c>
      <c r="FR320">
        <f ca="1"/>
      </c>
      <c r="GQ320">
        <f ca="1"/>
      </c>
      <c r="GR320" s="11">
        <f ca="1"/>
      </c>
      <c r="GS320" s="11">
        <f ca="1"/>
      </c>
      <c r="GT320" s="11">
        <f ca="1"/>
      </c>
      <c r="GU320" s="11">
        <f ca="1"/>
      </c>
      <c r="GV320" s="11">
        <f ca="1"/>
      </c>
      <c r="GX320">
        <f ca="1"/>
      </c>
      <c r="GY320">
        <f ca="1"/>
      </c>
      <c r="GZ320">
        <f ca="1"/>
      </c>
      <c r="HA320">
        <f ca="1"/>
      </c>
      <c r="HB320">
        <f ca="1"/>
      </c>
      <c r="HD320">
        <f ca="1"/>
      </c>
      <c r="HE320">
        <f ca="1"/>
      </c>
      <c r="HF320">
        <f ca="1"/>
      </c>
      <c r="HG320">
        <f ca="1"/>
      </c>
      <c r="HH320">
        <f ca="1"/>
      </c>
      <c r="HI320">
        <f ca="1"/>
      </c>
      <c r="HJ320">
        <f ca="1"/>
      </c>
      <c r="HK320">
        <f ca="1"/>
      </c>
      <c r="HL320">
        <f ca="1"/>
      </c>
      <c r="HM320">
        <f ca="1"/>
      </c>
      <c r="HN320">
        <f ca="1"/>
      </c>
      <c r="HO320">
        <f ca="1"/>
      </c>
      <c r="HP320">
        <f ca="1"/>
      </c>
      <c r="HQ320">
        <f ca="1"/>
      </c>
    </row>
    <row r="321" spans="147:225" x14ac:dyDescent="0.55000000000000004">
      <c r="EQ321">
        <f ca="1"/>
      </c>
      <c r="ER321">
        <f ca="1"/>
      </c>
      <c r="ES321">
        <f ca="1"/>
      </c>
      <c r="ET321">
        <f ca="1"/>
      </c>
      <c r="EU321">
        <f ca="1"/>
      </c>
      <c r="EV321">
        <f ca="1"/>
      </c>
      <c r="EW321">
        <f ca="1"/>
      </c>
      <c r="EX321">
        <f ca="1"/>
      </c>
      <c r="EY321">
        <f ca="1"/>
      </c>
      <c r="EZ321">
        <f ca="1"/>
      </c>
      <c r="FA321">
        <f ca="1"/>
      </c>
      <c r="FB321">
        <f ca="1"/>
      </c>
      <c r="FC321">
        <f ca="1"/>
      </c>
      <c r="FD321">
        <f ca="1"/>
      </c>
      <c r="FE321">
        <f ca="1"/>
      </c>
      <c r="FF321">
        <f ca="1"/>
      </c>
      <c r="FG321">
        <f ca="1"/>
      </c>
      <c r="FH321">
        <f ca="1"/>
      </c>
      <c r="FI321">
        <f ca="1"/>
      </c>
      <c r="FJ321">
        <f ca="1"/>
      </c>
      <c r="FK321">
        <f ca="1"/>
      </c>
      <c r="FL321">
        <f ca="1"/>
      </c>
      <c r="FM321">
        <f ca="1"/>
      </c>
      <c r="FN321">
        <f ca="1"/>
      </c>
      <c r="FO321">
        <f ca="1"/>
      </c>
      <c r="FP321">
        <f ca="1"/>
      </c>
      <c r="FQ321">
        <f ca="1"/>
      </c>
      <c r="FR321">
        <f ca="1"/>
      </c>
      <c r="GQ321">
        <f ca="1"/>
      </c>
      <c r="GR321" s="11">
        <f ca="1"/>
      </c>
      <c r="GS321" s="11">
        <f ca="1"/>
      </c>
      <c r="GT321" s="11">
        <f ca="1"/>
      </c>
      <c r="GU321" s="11">
        <f ca="1"/>
      </c>
      <c r="GV321" s="11">
        <f ca="1"/>
      </c>
      <c r="GX321">
        <f ca="1"/>
      </c>
      <c r="GY321">
        <f ca="1"/>
      </c>
      <c r="GZ321">
        <f ca="1"/>
      </c>
      <c r="HA321">
        <f ca="1"/>
      </c>
      <c r="HB321">
        <f ca="1"/>
      </c>
      <c r="HD321">
        <f ca="1"/>
      </c>
      <c r="HE321">
        <f ca="1"/>
      </c>
      <c r="HF321">
        <f ca="1"/>
      </c>
      <c r="HG321">
        <f ca="1"/>
      </c>
      <c r="HH321">
        <f ca="1"/>
      </c>
      <c r="HI321">
        <f ca="1"/>
      </c>
      <c r="HJ321">
        <f ca="1"/>
      </c>
      <c r="HK321">
        <f ca="1"/>
      </c>
      <c r="HL321">
        <f ca="1"/>
      </c>
      <c r="HM321">
        <f ca="1"/>
      </c>
      <c r="HN321">
        <f ca="1"/>
      </c>
      <c r="HO321">
        <f ca="1"/>
      </c>
      <c r="HP321">
        <f ca="1"/>
      </c>
      <c r="HQ321">
        <f ca="1"/>
      </c>
    </row>
    <row r="322" spans="147:225" x14ac:dyDescent="0.55000000000000004">
      <c r="GQ322">
        <f ca="1"/>
      </c>
      <c r="GR322" s="11">
        <f ca="1"/>
      </c>
      <c r="GS322" s="11">
        <f ca="1"/>
      </c>
      <c r="GT322" s="11">
        <f ca="1"/>
      </c>
      <c r="GU322" s="11">
        <f ca="1"/>
      </c>
      <c r="GV322" s="11">
        <f ca="1"/>
      </c>
      <c r="GX322">
        <f ca="1"/>
      </c>
      <c r="GY322">
        <f ca="1"/>
      </c>
      <c r="GZ322">
        <f ca="1"/>
      </c>
      <c r="HA322">
        <f ca="1"/>
      </c>
      <c r="HB322">
        <f ca="1"/>
      </c>
      <c r="HD322">
        <f ca="1"/>
      </c>
      <c r="HE322">
        <f ca="1"/>
      </c>
      <c r="HF322">
        <f ca="1"/>
      </c>
      <c r="HG322">
        <f ca="1"/>
      </c>
      <c r="HH322">
        <f ca="1"/>
      </c>
      <c r="HI322">
        <f ca="1"/>
      </c>
      <c r="HJ322">
        <f ca="1"/>
      </c>
      <c r="HK322">
        <f ca="1"/>
      </c>
      <c r="HL322">
        <f ca="1"/>
      </c>
      <c r="HM322">
        <f ca="1"/>
      </c>
      <c r="HN322">
        <f ca="1"/>
      </c>
      <c r="HO322">
        <f ca="1"/>
      </c>
      <c r="HP322">
        <f ca="1"/>
      </c>
      <c r="HQ322">
        <f ca="1"/>
      </c>
    </row>
    <row r="323" spans="147:225" x14ac:dyDescent="0.55000000000000004">
      <c r="GR323" s="11"/>
      <c r="GS323" s="11"/>
      <c r="GT323" s="11"/>
      <c r="GU323" s="11"/>
      <c r="GV323" s="11"/>
    </row>
    <row r="324" spans="147:225" x14ac:dyDescent="0.55000000000000004">
      <c r="GR324" s="11"/>
      <c r="GS324" s="11"/>
      <c r="GT324" s="11"/>
      <c r="GU324" s="11"/>
      <c r="GV324" s="11"/>
    </row>
    <row r="325" spans="147:225" x14ac:dyDescent="0.55000000000000004">
      <c r="GR325" s="11"/>
      <c r="GS325" s="11"/>
      <c r="GT325" s="11"/>
      <c r="GU325" s="11"/>
      <c r="GV325" s="11"/>
    </row>
    <row r="326" spans="147:225" x14ac:dyDescent="0.55000000000000004">
      <c r="GR326" s="11"/>
      <c r="GS326" s="11"/>
      <c r="GT326" s="11"/>
      <c r="GU326" s="11"/>
      <c r="GV326" s="11"/>
    </row>
    <row r="327" spans="147:225" x14ac:dyDescent="0.55000000000000004">
      <c r="GR327" s="11"/>
      <c r="GS327" s="11"/>
      <c r="GT327" s="11"/>
      <c r="GU327" s="11"/>
      <c r="GV327" s="11"/>
    </row>
    <row r="328" spans="147:225" x14ac:dyDescent="0.55000000000000004">
      <c r="GR328" s="11"/>
      <c r="GS328" s="11"/>
      <c r="GT328" s="11"/>
      <c r="GU328" s="11"/>
      <c r="GV328" s="11"/>
    </row>
    <row r="329" spans="147:225" x14ac:dyDescent="0.55000000000000004">
      <c r="GR329" s="11"/>
      <c r="GS329" s="11"/>
      <c r="GT329" s="11"/>
      <c r="GU329" s="11"/>
      <c r="GV329" s="11"/>
    </row>
    <row r="330" spans="147:225" x14ac:dyDescent="0.55000000000000004">
      <c r="GR330" s="11"/>
      <c r="GS330" s="11"/>
      <c r="GT330" s="11"/>
      <c r="GU330" s="11"/>
      <c r="GV330" s="11"/>
    </row>
    <row r="331" spans="147:225" x14ac:dyDescent="0.55000000000000004">
      <c r="GR331" s="11"/>
      <c r="GS331" s="11"/>
      <c r="GT331" s="11"/>
      <c r="GU331" s="11"/>
      <c r="GV331" s="11"/>
    </row>
    <row r="332" spans="147:225" x14ac:dyDescent="0.55000000000000004">
      <c r="GR332" s="11"/>
      <c r="GS332" s="11"/>
      <c r="GT332" s="11"/>
      <c r="GU332" s="11"/>
      <c r="GV332" s="11"/>
    </row>
    <row r="333" spans="147:225" x14ac:dyDescent="0.55000000000000004">
      <c r="GR333" s="11"/>
      <c r="GS333" s="11"/>
      <c r="GT333" s="11"/>
      <c r="GU333" s="11"/>
      <c r="GV333" s="11"/>
    </row>
    <row r="334" spans="147:225" x14ac:dyDescent="0.55000000000000004">
      <c r="GR334" s="11"/>
      <c r="GS334" s="11"/>
      <c r="GT334" s="11"/>
      <c r="GU334" s="11"/>
      <c r="GV334" s="11"/>
    </row>
    <row r="335" spans="147:225" x14ac:dyDescent="0.55000000000000004">
      <c r="GR335" s="11"/>
      <c r="GS335" s="11"/>
      <c r="GT335" s="11"/>
      <c r="GU335" s="11"/>
      <c r="GV335" s="11"/>
    </row>
    <row r="336" spans="147:225" x14ac:dyDescent="0.55000000000000004">
      <c r="GR336" s="11"/>
      <c r="GS336" s="11"/>
      <c r="GT336" s="11"/>
      <c r="GU336" s="11"/>
      <c r="GV336" s="11"/>
    </row>
    <row r="337" spans="200:204" x14ac:dyDescent="0.55000000000000004">
      <c r="GR337" s="11"/>
      <c r="GS337" s="11"/>
      <c r="GT337" s="11"/>
      <c r="GU337" s="11"/>
      <c r="GV337" s="11"/>
    </row>
    <row r="338" spans="200:204" x14ac:dyDescent="0.55000000000000004">
      <c r="GR338" s="11"/>
      <c r="GS338" s="11"/>
      <c r="GT338" s="11"/>
      <c r="GU338" s="11"/>
      <c r="GV338" s="11"/>
    </row>
    <row r="339" spans="200:204" x14ac:dyDescent="0.55000000000000004">
      <c r="GR339" s="11"/>
      <c r="GS339" s="11"/>
      <c r="GT339" s="11"/>
      <c r="GU339" s="11"/>
      <c r="GV339" s="11"/>
    </row>
    <row r="340" spans="200:204" x14ac:dyDescent="0.55000000000000004">
      <c r="GR340" s="11"/>
      <c r="GS340" s="11"/>
      <c r="GT340" s="11"/>
      <c r="GU340" s="11"/>
      <c r="GV340" s="11"/>
    </row>
    <row r="341" spans="200:204" x14ac:dyDescent="0.55000000000000004">
      <c r="GR341" s="11"/>
      <c r="GS341" s="11"/>
      <c r="GT341" s="11"/>
      <c r="GU341" s="11"/>
      <c r="GV341" s="11"/>
    </row>
    <row r="342" spans="200:204" x14ac:dyDescent="0.55000000000000004">
      <c r="GR342" s="11"/>
      <c r="GS342" s="11"/>
      <c r="GT342" s="11"/>
      <c r="GU342" s="11"/>
      <c r="GV342" s="11"/>
    </row>
    <row r="343" spans="200:204" x14ac:dyDescent="0.55000000000000004">
      <c r="GR343" s="11"/>
      <c r="GS343" s="11"/>
      <c r="GT343" s="11"/>
      <c r="GU343" s="11"/>
      <c r="GV343" s="11"/>
    </row>
    <row r="344" spans="200:204" x14ac:dyDescent="0.55000000000000004">
      <c r="GR344" s="11"/>
      <c r="GS344" s="11"/>
      <c r="GT344" s="11"/>
      <c r="GU344" s="11"/>
      <c r="GV344" s="11"/>
    </row>
    <row r="345" spans="200:204" x14ac:dyDescent="0.55000000000000004">
      <c r="GR345" s="11"/>
      <c r="GS345" s="11"/>
      <c r="GT345" s="11"/>
      <c r="GU345" s="11"/>
      <c r="GV345" s="11"/>
    </row>
    <row r="346" spans="200:204" x14ac:dyDescent="0.55000000000000004">
      <c r="GR346" s="11"/>
      <c r="GS346" s="11"/>
      <c r="GT346" s="11"/>
      <c r="GU346" s="11"/>
      <c r="GV346" s="11"/>
    </row>
    <row r="354" spans="146:226" x14ac:dyDescent="0.55000000000000004">
      <c r="EP354" t="s">
        <v>159</v>
      </c>
      <c r="EQ354" cm="1">
        <f t="array" aca="1" ref="EQ354:FR371" ca="1">_xlfn.LET(_xlpm.g,_xlfn.DROP(_xlfn.ANCHORARRAY($CO$4),1),_xlfn._xlws.FILTER(_xlpm.g,_xlfn.TAKE(_xlpm.g,,1)=8))</f>
      </c>
      <c r="ER354">
        <f ca="1"/>
      </c>
      <c r="ES354">
        <f ca="1"/>
      </c>
      <c r="ET354">
        <f ca="1"/>
      </c>
      <c r="EU354">
        <f ca="1"/>
      </c>
      <c r="EV354">
        <f ca="1"/>
      </c>
      <c r="EW354">
        <f ca="1"/>
      </c>
      <c r="EX354">
        <f ca="1"/>
      </c>
      <c r="EY354">
        <f ca="1"/>
      </c>
      <c r="EZ354">
        <f ca="1"/>
      </c>
      <c r="FA354">
        <f ca="1"/>
      </c>
      <c r="FB354">
        <f ca="1"/>
      </c>
      <c r="FC354">
        <f ca="1"/>
      </c>
      <c r="FD354">
        <f ca="1"/>
      </c>
      <c r="FE354">
        <f ca="1"/>
      </c>
      <c r="FF354">
        <f ca="1"/>
      </c>
      <c r="FG354">
        <f ca="1"/>
      </c>
      <c r="FH354">
        <f ca="1"/>
      </c>
      <c r="FI354">
        <f ca="1"/>
      </c>
      <c r="FJ354">
        <f ca="1"/>
      </c>
      <c r="FK354">
        <f ca="1"/>
      </c>
      <c r="FL354">
        <f ca="1"/>
      </c>
      <c r="FM354">
        <f ca="1"/>
      </c>
      <c r="FN354">
        <f ca="1"/>
      </c>
      <c r="FO354">
        <f ca="1"/>
      </c>
      <c r="FP354">
        <f ca="1"/>
      </c>
      <c r="FQ354">
        <f ca="1"/>
      </c>
      <c r="FR354">
        <f ca="1"/>
      </c>
      <c r="GQ354" t="s">
        <v>169</v>
      </c>
      <c r="GR354" cm="1">
        <f t="array" aca="1" ref="GR354" ca="1">IFERROR(_xlfn.LET(_xlpm.R,_xlfn.ANCHORARRAY($GR$355),_xlpm.a,ABS(_xlpm.R),"k="&amp;$D$12&amp;"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54" cm="1">
        <f t="array" aca="1" ref="GS354" ca="1">IFERROR(_xlfn.LET(_xlpm.R,_xlfn.ANCHORARRAY($GS$355),_xlpm.a,ABS(_xlpm.R),"k="&amp;$D$28&amp;"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54" cm="1">
        <f t="array" aca="1" ref="GT354" ca="1">IFERROR(_xlfn.LET(_xlpm.R,_xlfn.ANCHORARRAY($GT$355),_xlpm.a,ABS(_xlpm.R),"k="&amp;$D$44&amp;"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54" cm="1">
        <f t="array" aca="1" ref="GU354" ca="1">IFERROR(_xlfn.LET(_xlpm.R,_xlfn.ANCHORARRAY($GU$355),_xlpm.a,ABS(_xlpm.R),"k="&amp;$D$60&amp;"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54" cm="1">
        <f t="array" aca="1" ref="GV354" ca="1">IFERROR(_xlfn.LET(_xlpm.R,_xlfn.ANCHORARRAY($GV$355),_xlpm.a,ABS(_xlpm.R),"k="&amp;$D$76&amp;"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54" t="s">
        <v>44</v>
      </c>
      <c r="GY354" t="s">
        <v>45</v>
      </c>
      <c r="GZ354" t="s">
        <v>46</v>
      </c>
      <c r="HA354" t="s">
        <v>47</v>
      </c>
      <c r="HB354" t="s">
        <v>48</v>
      </c>
      <c r="HD354" t="s">
        <v>174</v>
      </c>
      <c r="HE354">
        <f>"Actual / Mean / Recon (k="&amp;$D$108&amp;")  dashed: Mean ±1σ"</f>
      </c>
      <c r="HF354" t="s">
        <v>175</v>
      </c>
      <c r="HG354" t="s">
        <v>176</v>
      </c>
      <c r="HH354" t="s">
        <v>179</v>
      </c>
      <c r="HI354" t="s">
        <v>180</v>
      </c>
      <c r="HJ354" t="s">
        <v>181</v>
      </c>
      <c r="HK354" t="s">
        <v>182</v>
      </c>
      <c r="HL354" t="s">
        <v>183</v>
      </c>
      <c r="HM354" t="s">
        <v>184</v>
      </c>
      <c r="HN354" t="s">
        <v>185</v>
      </c>
      <c r="HO354" t="s">
        <v>186</v>
      </c>
      <c r="HP354" t="s">
        <v>187</v>
      </c>
      <c r="HQ354" t="s">
        <v>188</v>
      </c>
      <c r="HR354" t="s">
        <v>189</v>
      </c>
    </row>
    <row r="355" spans="146:226" x14ac:dyDescent="0.55000000000000004">
      <c r="EQ355">
        <f ca="1"/>
      </c>
      <c r="ER355">
        <f ca="1"/>
      </c>
      <c r="ES355">
        <f ca="1"/>
      </c>
      <c r="ET355">
        <f ca="1"/>
      </c>
      <c r="EU355">
        <f ca="1"/>
      </c>
      <c r="EV355">
        <f ca="1"/>
      </c>
      <c r="EW355">
        <f ca="1"/>
      </c>
      <c r="EX355">
        <f ca="1"/>
      </c>
      <c r="EY355">
        <f ca="1"/>
      </c>
      <c r="EZ355">
        <f ca="1"/>
      </c>
      <c r="FA355">
        <f ca="1"/>
      </c>
      <c r="FB355">
        <f ca="1"/>
      </c>
      <c r="FC355">
        <f ca="1"/>
      </c>
      <c r="FD355">
        <f ca="1"/>
      </c>
      <c r="FE355">
        <f ca="1"/>
      </c>
      <c r="FF355">
        <f ca="1"/>
      </c>
      <c r="FG355">
        <f ca="1"/>
      </c>
      <c r="FH355">
        <f ca="1"/>
      </c>
      <c r="FI355">
        <f ca="1"/>
      </c>
      <c r="FJ355">
        <f ca="1"/>
      </c>
      <c r="FK355">
        <f ca="1"/>
      </c>
      <c r="FL355">
        <f ca="1"/>
      </c>
      <c r="FM355">
        <f ca="1"/>
      </c>
      <c r="FN355">
        <f ca="1"/>
      </c>
      <c r="FO355">
        <f ca="1"/>
      </c>
      <c r="FP355">
        <f ca="1"/>
      </c>
      <c r="FQ355">
        <f ca="1"/>
      </c>
      <c r="FR355">
        <f ca="1"/>
      </c>
      <c r="GQ355" cm="1">
        <f t="array" aca="1" ref="GQ355:GQ372" ca="1">IF($BB$6="Change",_xlfn.ANCHORARRAY($CJ$4),_xlfn.ANCHORARRAY($CI$4))</f>
      </c>
      <c r="GR355" s="11" cm="1">
        <f t="array" aca="1" ref="GR355:GR372" ca="1">_xlfn.LET(_xlpm.sl,_xlfn.ANCHORARRAY($EQ$354),_xlpm.mu,_xlfn.CHOOSECOLS(_xlpm.sl,8),_xlpm.sg,_xlfn.CHOOSECOLS(_xlpm.sl,9),_xlpm.x,_xlfn.ANCHORARRAY($GQ$355),_xlpm.V,_xlfn.TAKE(_xlfn.DROP(_xlpm.sl,,10),,$D$12),(_xlpm.x-(_xlpm.mu+_xlpm.sg*MMULT(_xlpm.V,MMULT(TRANSPOSE(_xlpm.V),(_xlpm.x-_xlpm.mu)/_xlpm.sg))))*100)</f>
      </c>
      <c r="GS355" s="11" cm="1">
        <f t="array" aca="1" ref="GS355:GS372" ca="1">_xlfn.LET(_xlpm.sl,_xlfn.ANCHORARRAY($EQ$354),_xlpm.mu,_xlfn.CHOOSECOLS(_xlpm.sl,8),_xlpm.sg,_xlfn.CHOOSECOLS(_xlpm.sl,9),_xlpm.x,_xlfn.ANCHORARRAY($GQ$355),_xlpm.V,_xlfn.TAKE(_xlfn.DROP(_xlpm.sl,,10),,$D$28),(_xlpm.x-(_xlpm.mu+_xlpm.sg*MMULT(_xlpm.V,MMULT(TRANSPOSE(_xlpm.V),(_xlpm.x-_xlpm.mu)/_xlpm.sg))))*100)</f>
      </c>
      <c r="GT355" s="11" cm="1">
        <f t="array" aca="1" ref="GT355:GT372" ca="1">_xlfn.LET(_xlpm.sl,_xlfn.ANCHORARRAY($EQ$354),_xlpm.mu,_xlfn.CHOOSECOLS(_xlpm.sl,8),_xlpm.sg,_xlfn.CHOOSECOLS(_xlpm.sl,9),_xlpm.x,_xlfn.ANCHORARRAY($GQ$355),_xlpm.V,_xlfn.TAKE(_xlfn.DROP(_xlpm.sl,,10),,$D$44),(_xlpm.x-(_xlpm.mu+_xlpm.sg*MMULT(_xlpm.V,MMULT(TRANSPOSE(_xlpm.V),(_xlpm.x-_xlpm.mu)/_xlpm.sg))))*100)</f>
      </c>
      <c r="GU355" s="11" cm="1">
        <f t="array" aca="1" ref="GU355:GU372" ca="1">_xlfn.LET(_xlpm.sl,_xlfn.ANCHORARRAY($EQ$354),_xlpm.mu,_xlfn.CHOOSECOLS(_xlpm.sl,8),_xlpm.sg,_xlfn.CHOOSECOLS(_xlpm.sl,9),_xlpm.x,_xlfn.ANCHORARRAY($GQ$355),_xlpm.V,_xlfn.TAKE(_xlfn.DROP(_xlpm.sl,,10),,$D$60),(_xlpm.x-(_xlpm.mu+_xlpm.sg*MMULT(_xlpm.V,MMULT(TRANSPOSE(_xlpm.V),(_xlpm.x-_xlpm.mu)/_xlpm.sg))))*100)</f>
      </c>
      <c r="GV355" s="11" cm="1">
        <f t="array" aca="1" ref="GV355:GV372" ca="1">_xlfn.LET(_xlpm.sl,_xlfn.ANCHORARRAY($EQ$354),_xlpm.mu,_xlfn.CHOOSECOLS(_xlpm.sl,8),_xlpm.sg,_xlfn.CHOOSECOLS(_xlpm.sl,9),_xlpm.x,_xlfn.ANCHORARRAY($GQ$355),_xlpm.V,_xlfn.TAKE(_xlfn.DROP(_xlpm.sl,,10),,$D$76),(_xlpm.x-(_xlpm.mu+_xlpm.sg*MMULT(_xlpm.V,MMULT(TRANSPOSE(_xlpm.V),(_xlpm.x-_xlpm.mu)/_xlpm.sg))))*100)</f>
      </c>
      <c r="GX355" cm="1">
        <f t="array" aca="1" ref="GX355:GX372" ca="1">_xlfn.LET(_xlpm.V,_xlfn.DROP(_xlfn.ANCHORARRAY($EQ$354),,10),IF(1&lt;=COLUMNS(_xlpm.V),_xlfn.CHOOSECOLS(_xlpm.V,1),IF(_xlfn.SEQUENCE(ROWS(_xlpm.V)),NA())))</f>
      </c>
      <c r="GY355" cm="1">
        <f t="array" aca="1" ref="GY355:GY372" ca="1">_xlfn.LET(_xlpm.V,_xlfn.DROP(_xlfn.ANCHORARRAY($EQ$354),,10),IF(2&lt;=COLUMNS(_xlpm.V),_xlfn.CHOOSECOLS(_xlpm.V,2),IF(_xlfn.SEQUENCE(ROWS(_xlpm.V)),NA())))</f>
      </c>
      <c r="GZ355" cm="1">
        <f t="array" aca="1" ref="GZ355:GZ372" ca="1">_xlfn.LET(_xlpm.V,_xlfn.DROP(_xlfn.ANCHORARRAY($EQ$354),,10),IF(3&lt;=COLUMNS(_xlpm.V),_xlfn.CHOOSECOLS(_xlpm.V,3),IF(_xlfn.SEQUENCE(ROWS(_xlpm.V)),NA())))</f>
      </c>
      <c r="HA355" cm="1">
        <f t="array" aca="1" ref="HA355:HA372" ca="1">_xlfn.LET(_xlpm.V,_xlfn.DROP(_xlfn.ANCHORARRAY($EQ$354),,10),IF(4&lt;=COLUMNS(_xlpm.V),_xlfn.CHOOSECOLS(_xlpm.V,4),IF(_xlfn.SEQUENCE(ROWS(_xlpm.V)),NA())))</f>
      </c>
      <c r="HB355" cm="1">
        <f t="array" aca="1" ref="HB355:HB372" ca="1">_xlfn.LET(_xlpm.V,_xlfn.DROP(_xlfn.ANCHORARRAY($EQ$354),,10),IF(5&lt;=COLUMNS(_xlpm.V),_xlfn.CHOOSECOLS(_xlpm.V,5),IF(_xlfn.SEQUENCE(ROWS(_xlpm.V)),NA())))</f>
      </c>
      <c r="HD355" cm="1">
        <f t="array" aca="1" ref="HD355:HD372" ca="1">_xlfn.CHOOSECOLS(_xlfn.ANCHORARRAY($EQ$354),8)</f>
      </c>
      <c r="HE355" cm="1">
        <f t="array" aca="1" ref="HE355:HE372" ca="1">_xlfn.LET(_xlpm.sl,_xlfn.ANCHORARRAY($EQ$354),_xlpm.mu,_xlfn.CHOOSECOLS(_xlpm.sl,8),_xlpm.sg,_xlfn.CHOOSECOLS(_xlpm.sl,9),_xlpm.x,_xlfn.ANCHORARRAY($GQ$355),_xlpm.V,_xlfn.TAKE(_xlfn.DROP(_xlpm.sl,,10),,$D$108),_xlpm.mu+_xlpm.sg*MMULT(_xlpm.V,MMULT(TRANSPOSE(_xlpm.V),(_xlpm.x-_xlpm.mu)/_xlpm.sg)))</f>
      </c>
      <c r="HF355" cm="1">
        <f t="array" aca="1" ref="HF355:HF372" ca="1">_xlfn.CHOOSECOLS(_xlfn.ANCHORARRAY($EQ$354),8)+_xlfn.CHOOSECOLS(_xlfn.ANCHORARRAY($EQ$354),10)</f>
      </c>
      <c r="HG355" cm="1">
        <f t="array" aca="1" ref="HG355:HG372" ca="1">_xlfn.CHOOSECOLS(_xlfn.ANCHORARRAY($EQ$354),8)-_xlfn.CHOOSECOLS(_xlfn.ANCHORARRAY($EQ$354),10)</f>
      </c>
      <c r="HH355" cm="1">
        <f t="array" aca="1" ref="HH355:HH372" ca="1">_xlfn.LET(_xlpm.v,_xlfn.CHOOSECOLS(_xlfn._xlws.FILTER(_xlfn.DROP(_xlfn.ANCHORARRAY($HS$4),1),_xlfn.TAKE(_xlfn.DROP(_xlfn.ANCHORARRAY($HS$4),1),,1)=8),3),IF(_xlpm.v="",NA(),_xlpm.v))</f>
      </c>
      <c r="HI355" cm="1">
        <f t="array" aca="1" ref="HI355:HI372" ca="1">-_xlfn.ANCHORARRAY($HH$355)</f>
      </c>
      <c r="HJ355" cm="1">
        <f t="array" aca="1" ref="HJ355:HJ372" ca="1">_xlfn.LET(_xlpm.v,_xlfn.CHOOSECOLS(_xlfn._xlws.FILTER(_xlfn.DROP(_xlfn.ANCHORARRAY($HS$4),1),_xlfn.TAKE(_xlfn.DROP(_xlfn.ANCHORARRAY($HS$4),1),,1)=8),4),IF(_xlpm.v="",NA(),_xlpm.v))</f>
      </c>
      <c r="HK355" cm="1">
        <f t="array" aca="1" ref="HK355:HK372" ca="1">-_xlfn.ANCHORARRAY($HJ$355)</f>
      </c>
      <c r="HL355" cm="1">
        <f t="array" aca="1" ref="HL355:HL372" ca="1">_xlfn.LET(_xlpm.v,_xlfn.CHOOSECOLS(_xlfn._xlws.FILTER(_xlfn.DROP(_xlfn.ANCHORARRAY($HS$4),1),_xlfn.TAKE(_xlfn.DROP(_xlfn.ANCHORARRAY($HS$4),1),,1)=8),5),IF(_xlpm.v="",NA(),_xlpm.v))</f>
      </c>
      <c r="HM355" cm="1">
        <f t="array" aca="1" ref="HM355:HM372" ca="1">-_xlfn.ANCHORARRAY($HL$355)</f>
      </c>
      <c r="HN355" cm="1">
        <f t="array" aca="1" ref="HN355:HN372" ca="1">_xlfn.LET(_xlpm.v,_xlfn.CHOOSECOLS(_xlfn._xlws.FILTER(_xlfn.DROP(_xlfn.ANCHORARRAY($HS$4),1),_xlfn.TAKE(_xlfn.DROP(_xlfn.ANCHORARRAY($HS$4),1),,1)=8),6),IF(_xlpm.v="",NA(),_xlpm.v))</f>
      </c>
      <c r="HO355" cm="1">
        <f t="array" aca="1" ref="HO355:HO372" ca="1">-_xlfn.ANCHORARRAY($HN$355)</f>
      </c>
      <c r="HP355" cm="1">
        <f t="array" aca="1" ref="HP355:HP372" ca="1">_xlfn.LET(_xlpm.v,_xlfn.CHOOSECOLS(_xlfn._xlws.FILTER(_xlfn.DROP(_xlfn.ANCHORARRAY($HS$4),1),_xlfn.TAKE(_xlfn.DROP(_xlfn.ANCHORARRAY($HS$4),1),,1)=8),7),IF(_xlpm.v="",NA(),_xlpm.v))</f>
      </c>
      <c r="HQ355" cm="1">
        <f t="array" aca="1" ref="HQ355:HQ372" ca="1">-_xlfn.ANCHORARRAY($HP$355)</f>
      </c>
      <c r="HR355" cm="1">
        <f t="array" aca="1" ref="HR355" ca="1">IFERROR(INDEX(_xlfn._xlws.FILTER(_xlfn.DROP(_xlfn.ANCHORARRAY($HS$4),1),_xlfn.TAKE(_xlfn.DROP(_xlfn.ANCHORARRAY($HS$4),1),,1)=8),1,2),"")</f>
      </c>
    </row>
    <row r="356" spans="146:226" x14ac:dyDescent="0.55000000000000004">
      <c r="EQ356">
        <f ca="1"/>
      </c>
      <c r="ER356">
        <f ca="1"/>
      </c>
      <c r="ES356">
        <f ca="1"/>
      </c>
      <c r="ET356">
        <f ca="1"/>
      </c>
      <c r="EU356">
        <f ca="1"/>
      </c>
      <c r="EV356">
        <f ca="1"/>
      </c>
      <c r="EW356">
        <f ca="1"/>
      </c>
      <c r="EX356">
        <f ca="1"/>
      </c>
      <c r="EY356">
        <f ca="1"/>
      </c>
      <c r="EZ356">
        <f ca="1"/>
      </c>
      <c r="FA356">
        <f ca="1"/>
      </c>
      <c r="FB356">
        <f ca="1"/>
      </c>
      <c r="FC356">
        <f ca="1"/>
      </c>
      <c r="FD356">
        <f ca="1"/>
      </c>
      <c r="FE356">
        <f ca="1"/>
      </c>
      <c r="FF356">
        <f ca="1"/>
      </c>
      <c r="FG356">
        <f ca="1"/>
      </c>
      <c r="FH356">
        <f ca="1"/>
      </c>
      <c r="FI356">
        <f ca="1"/>
      </c>
      <c r="FJ356">
        <f ca="1"/>
      </c>
      <c r="FK356">
        <f ca="1"/>
      </c>
      <c r="FL356">
        <f ca="1"/>
      </c>
      <c r="FM356">
        <f ca="1"/>
      </c>
      <c r="FN356">
        <f ca="1"/>
      </c>
      <c r="FO356">
        <f ca="1"/>
      </c>
      <c r="FP356">
        <f ca="1"/>
      </c>
      <c r="FQ356">
        <f ca="1"/>
      </c>
      <c r="FR356">
        <f ca="1"/>
      </c>
      <c r="GQ356">
        <f ca="1"/>
      </c>
      <c r="GR356" s="11">
        <f ca="1"/>
      </c>
      <c r="GS356" s="11">
        <f ca="1"/>
      </c>
      <c r="GT356" s="11">
        <f ca="1"/>
      </c>
      <c r="GU356" s="11">
        <f ca="1"/>
      </c>
      <c r="GV356" s="11">
        <f ca="1"/>
      </c>
      <c r="GX356">
        <f ca="1"/>
      </c>
      <c r="GY356">
        <f ca="1"/>
      </c>
      <c r="GZ356">
        <f ca="1"/>
      </c>
      <c r="HA356">
        <f ca="1"/>
      </c>
      <c r="HB356">
        <f ca="1"/>
      </c>
      <c r="HD356">
        <f ca="1"/>
      </c>
      <c r="HE356">
        <f ca="1"/>
      </c>
      <c r="HF356">
        <f ca="1"/>
      </c>
      <c r="HG356">
        <f ca="1"/>
      </c>
      <c r="HH356">
        <f ca="1"/>
      </c>
      <c r="HI356">
        <f ca="1"/>
      </c>
      <c r="HJ356">
        <f ca="1"/>
      </c>
      <c r="HK356">
        <f ca="1"/>
      </c>
      <c r="HL356">
        <f ca="1"/>
      </c>
      <c r="HM356">
        <f ca="1"/>
      </c>
      <c r="HN356">
        <f ca="1"/>
      </c>
      <c r="HO356">
        <f ca="1"/>
      </c>
      <c r="HP356">
        <f ca="1"/>
      </c>
      <c r="HQ356">
        <f ca="1"/>
      </c>
    </row>
    <row r="357" spans="146:226" x14ac:dyDescent="0.55000000000000004">
      <c r="EQ357">
        <f ca="1"/>
      </c>
      <c r="ER357">
        <f ca="1"/>
      </c>
      <c r="ES357">
        <f ca="1"/>
      </c>
      <c r="ET357">
        <f ca="1"/>
      </c>
      <c r="EU357">
        <f ca="1"/>
      </c>
      <c r="EV357">
        <f ca="1"/>
      </c>
      <c r="EW357">
        <f ca="1"/>
      </c>
      <c r="EX357">
        <f ca="1"/>
      </c>
      <c r="EY357">
        <f ca="1"/>
      </c>
      <c r="EZ357">
        <f ca="1"/>
      </c>
      <c r="FA357">
        <f ca="1"/>
      </c>
      <c r="FB357">
        <f ca="1"/>
      </c>
      <c r="FC357">
        <f ca="1"/>
      </c>
      <c r="FD357">
        <f ca="1"/>
      </c>
      <c r="FE357">
        <f ca="1"/>
      </c>
      <c r="FF357">
        <f ca="1"/>
      </c>
      <c r="FG357">
        <f ca="1"/>
      </c>
      <c r="FH357">
        <f ca="1"/>
      </c>
      <c r="FI357">
        <f ca="1"/>
      </c>
      <c r="FJ357">
        <f ca="1"/>
      </c>
      <c r="FK357">
        <f ca="1"/>
      </c>
      <c r="FL357">
        <f ca="1"/>
      </c>
      <c r="FM357">
        <f ca="1"/>
      </c>
      <c r="FN357">
        <f ca="1"/>
      </c>
      <c r="FO357">
        <f ca="1"/>
      </c>
      <c r="FP357">
        <f ca="1"/>
      </c>
      <c r="FQ357">
        <f ca="1"/>
      </c>
      <c r="FR357">
        <f ca="1"/>
      </c>
      <c r="GQ357">
        <f ca="1"/>
      </c>
      <c r="GR357" s="11">
        <f ca="1"/>
      </c>
      <c r="GS357" s="11">
        <f ca="1"/>
      </c>
      <c r="GT357" s="11">
        <f ca="1"/>
      </c>
      <c r="GU357" s="11">
        <f ca="1"/>
      </c>
      <c r="GV357" s="11">
        <f ca="1"/>
      </c>
      <c r="GX357">
        <f ca="1"/>
      </c>
      <c r="GY357">
        <f ca="1"/>
      </c>
      <c r="GZ357">
        <f ca="1"/>
      </c>
      <c r="HA357">
        <f ca="1"/>
      </c>
      <c r="HB357">
        <f ca="1"/>
      </c>
      <c r="HD357">
        <f ca="1"/>
      </c>
      <c r="HE357">
        <f ca="1"/>
      </c>
      <c r="HF357">
        <f ca="1"/>
      </c>
      <c r="HG357">
        <f ca="1"/>
      </c>
      <c r="HH357">
        <f ca="1"/>
      </c>
      <c r="HI357">
        <f ca="1"/>
      </c>
      <c r="HJ357">
        <f ca="1"/>
      </c>
      <c r="HK357">
        <f ca="1"/>
      </c>
      <c r="HL357">
        <f ca="1"/>
      </c>
      <c r="HM357">
        <f ca="1"/>
      </c>
      <c r="HN357">
        <f ca="1"/>
      </c>
      <c r="HO357">
        <f ca="1"/>
      </c>
      <c r="HP357">
        <f ca="1"/>
      </c>
      <c r="HQ357">
        <f ca="1"/>
      </c>
    </row>
    <row r="358" spans="146:226" x14ac:dyDescent="0.55000000000000004">
      <c r="EQ358">
        <f ca="1"/>
      </c>
      <c r="ER358">
        <f ca="1"/>
      </c>
      <c r="ES358">
        <f ca="1"/>
      </c>
      <c r="ET358">
        <f ca="1"/>
      </c>
      <c r="EU358">
        <f ca="1"/>
      </c>
      <c r="EV358">
        <f ca="1"/>
      </c>
      <c r="EW358">
        <f ca="1"/>
      </c>
      <c r="EX358">
        <f ca="1"/>
      </c>
      <c r="EY358">
        <f ca="1"/>
      </c>
      <c r="EZ358">
        <f ca="1"/>
      </c>
      <c r="FA358">
        <f ca="1"/>
      </c>
      <c r="FB358">
        <f ca="1"/>
      </c>
      <c r="FC358">
        <f ca="1"/>
      </c>
      <c r="FD358">
        <f ca="1"/>
      </c>
      <c r="FE358">
        <f ca="1"/>
      </c>
      <c r="FF358">
        <f ca="1"/>
      </c>
      <c r="FG358">
        <f ca="1"/>
      </c>
      <c r="FH358">
        <f ca="1"/>
      </c>
      <c r="FI358">
        <f ca="1"/>
      </c>
      <c r="FJ358">
        <f ca="1"/>
      </c>
      <c r="FK358">
        <f ca="1"/>
      </c>
      <c r="FL358">
        <f ca="1"/>
      </c>
      <c r="FM358">
        <f ca="1"/>
      </c>
      <c r="FN358">
        <f ca="1"/>
      </c>
      <c r="FO358">
        <f ca="1"/>
      </c>
      <c r="FP358">
        <f ca="1"/>
      </c>
      <c r="FQ358">
        <f ca="1"/>
      </c>
      <c r="FR358">
        <f ca="1"/>
      </c>
      <c r="GQ358">
        <f ca="1"/>
      </c>
      <c r="GR358" s="11">
        <f ca="1"/>
      </c>
      <c r="GS358" s="11">
        <f ca="1"/>
      </c>
      <c r="GT358" s="11">
        <f ca="1"/>
      </c>
      <c r="GU358" s="11">
        <f ca="1"/>
      </c>
      <c r="GV358" s="11">
        <f ca="1"/>
      </c>
      <c r="GX358">
        <f ca="1"/>
      </c>
      <c r="GY358">
        <f ca="1"/>
      </c>
      <c r="GZ358">
        <f ca="1"/>
      </c>
      <c r="HA358">
        <f ca="1"/>
      </c>
      <c r="HB358">
        <f ca="1"/>
      </c>
      <c r="HD358">
        <f ca="1"/>
      </c>
      <c r="HE358">
        <f ca="1"/>
      </c>
      <c r="HF358">
        <f ca="1"/>
      </c>
      <c r="HG358">
        <f ca="1"/>
      </c>
      <c r="HH358">
        <f ca="1"/>
      </c>
      <c r="HI358">
        <f ca="1"/>
      </c>
      <c r="HJ358">
        <f ca="1"/>
      </c>
      <c r="HK358">
        <f ca="1"/>
      </c>
      <c r="HL358">
        <f ca="1"/>
      </c>
      <c r="HM358">
        <f ca="1"/>
      </c>
      <c r="HN358">
        <f ca="1"/>
      </c>
      <c r="HO358">
        <f ca="1"/>
      </c>
      <c r="HP358">
        <f ca="1"/>
      </c>
      <c r="HQ358">
        <f ca="1"/>
      </c>
    </row>
    <row r="359" spans="146:226" x14ac:dyDescent="0.55000000000000004">
      <c r="EQ359">
        <f ca="1"/>
      </c>
      <c r="ER359">
        <f ca="1"/>
      </c>
      <c r="ES359">
        <f ca="1"/>
      </c>
      <c r="ET359">
        <f ca="1"/>
      </c>
      <c r="EU359">
        <f ca="1"/>
      </c>
      <c r="EV359">
        <f ca="1"/>
      </c>
      <c r="EW359">
        <f ca="1"/>
      </c>
      <c r="EX359">
        <f ca="1"/>
      </c>
      <c r="EY359">
        <f ca="1"/>
      </c>
      <c r="EZ359">
        <f ca="1"/>
      </c>
      <c r="FA359">
        <f ca="1"/>
      </c>
      <c r="FB359">
        <f ca="1"/>
      </c>
      <c r="FC359">
        <f ca="1"/>
      </c>
      <c r="FD359">
        <f ca="1"/>
      </c>
      <c r="FE359">
        <f ca="1"/>
      </c>
      <c r="FF359">
        <f ca="1"/>
      </c>
      <c r="FG359">
        <f ca="1"/>
      </c>
      <c r="FH359">
        <f ca="1"/>
      </c>
      <c r="FI359">
        <f ca="1"/>
      </c>
      <c r="FJ359">
        <f ca="1"/>
      </c>
      <c r="FK359">
        <f ca="1"/>
      </c>
      <c r="FL359">
        <f ca="1"/>
      </c>
      <c r="FM359">
        <f ca="1"/>
      </c>
      <c r="FN359">
        <f ca="1"/>
      </c>
      <c r="FO359">
        <f ca="1"/>
      </c>
      <c r="FP359">
        <f ca="1"/>
      </c>
      <c r="FQ359">
        <f ca="1"/>
      </c>
      <c r="FR359">
        <f ca="1"/>
      </c>
      <c r="GQ359">
        <f ca="1"/>
      </c>
      <c r="GR359" s="11">
        <f ca="1"/>
      </c>
      <c r="GS359" s="11">
        <f ca="1"/>
      </c>
      <c r="GT359" s="11">
        <f ca="1"/>
      </c>
      <c r="GU359" s="11">
        <f ca="1"/>
      </c>
      <c r="GV359" s="11">
        <f ca="1"/>
      </c>
      <c r="GX359">
        <f ca="1"/>
      </c>
      <c r="GY359">
        <f ca="1"/>
      </c>
      <c r="GZ359">
        <f ca="1"/>
      </c>
      <c r="HA359">
        <f ca="1"/>
      </c>
      <c r="HB359">
        <f ca="1"/>
      </c>
      <c r="HD359">
        <f ca="1"/>
      </c>
      <c r="HE359">
        <f ca="1"/>
      </c>
      <c r="HF359">
        <f ca="1"/>
      </c>
      <c r="HG359">
        <f ca="1"/>
      </c>
      <c r="HH359">
        <f ca="1"/>
      </c>
      <c r="HI359">
        <f ca="1"/>
      </c>
      <c r="HJ359">
        <f ca="1"/>
      </c>
      <c r="HK359">
        <f ca="1"/>
      </c>
      <c r="HL359">
        <f ca="1"/>
      </c>
      <c r="HM359">
        <f ca="1"/>
      </c>
      <c r="HN359">
        <f ca="1"/>
      </c>
      <c r="HO359">
        <f ca="1"/>
      </c>
      <c r="HP359">
        <f ca="1"/>
      </c>
      <c r="HQ359">
        <f ca="1"/>
      </c>
    </row>
    <row r="360" spans="146:226" x14ac:dyDescent="0.55000000000000004">
      <c r="EQ360">
        <f ca="1"/>
      </c>
      <c r="ER360">
        <f ca="1"/>
      </c>
      <c r="ES360">
        <f ca="1"/>
      </c>
      <c r="ET360">
        <f ca="1"/>
      </c>
      <c r="EU360">
        <f ca="1"/>
      </c>
      <c r="EV360">
        <f ca="1"/>
      </c>
      <c r="EW360">
        <f ca="1"/>
      </c>
      <c r="EX360">
        <f ca="1"/>
      </c>
      <c r="EY360">
        <f ca="1"/>
      </c>
      <c r="EZ360">
        <f ca="1"/>
      </c>
      <c r="FA360">
        <f ca="1"/>
      </c>
      <c r="FB360">
        <f ca="1"/>
      </c>
      <c r="FC360">
        <f ca="1"/>
      </c>
      <c r="FD360">
        <f ca="1"/>
      </c>
      <c r="FE360">
        <f ca="1"/>
      </c>
      <c r="FF360">
        <f ca="1"/>
      </c>
      <c r="FG360">
        <f ca="1"/>
      </c>
      <c r="FH360">
        <f ca="1"/>
      </c>
      <c r="FI360">
        <f ca="1"/>
      </c>
      <c r="FJ360">
        <f ca="1"/>
      </c>
      <c r="FK360">
        <f ca="1"/>
      </c>
      <c r="FL360">
        <f ca="1"/>
      </c>
      <c r="FM360">
        <f ca="1"/>
      </c>
      <c r="FN360">
        <f ca="1"/>
      </c>
      <c r="FO360">
        <f ca="1"/>
      </c>
      <c r="FP360">
        <f ca="1"/>
      </c>
      <c r="FQ360">
        <f ca="1"/>
      </c>
      <c r="FR360">
        <f ca="1"/>
      </c>
      <c r="GQ360">
        <f ca="1"/>
      </c>
      <c r="GR360" s="11">
        <f ca="1"/>
      </c>
      <c r="GS360" s="11">
        <f ca="1"/>
      </c>
      <c r="GT360" s="11">
        <f ca="1"/>
      </c>
      <c r="GU360" s="11">
        <f ca="1"/>
      </c>
      <c r="GV360" s="11">
        <f ca="1"/>
      </c>
      <c r="GX360">
        <f ca="1"/>
      </c>
      <c r="GY360">
        <f ca="1"/>
      </c>
      <c r="GZ360">
        <f ca="1"/>
      </c>
      <c r="HA360">
        <f ca="1"/>
      </c>
      <c r="HB360">
        <f ca="1"/>
      </c>
      <c r="HD360">
        <f ca="1"/>
      </c>
      <c r="HE360">
        <f ca="1"/>
      </c>
      <c r="HF360">
        <f ca="1"/>
      </c>
      <c r="HG360">
        <f ca="1"/>
      </c>
      <c r="HH360">
        <f ca="1"/>
      </c>
      <c r="HI360">
        <f ca="1"/>
      </c>
      <c r="HJ360">
        <f ca="1"/>
      </c>
      <c r="HK360">
        <f ca="1"/>
      </c>
      <c r="HL360">
        <f ca="1"/>
      </c>
      <c r="HM360">
        <f ca="1"/>
      </c>
      <c r="HN360">
        <f ca="1"/>
      </c>
      <c r="HO360">
        <f ca="1"/>
      </c>
      <c r="HP360">
        <f ca="1"/>
      </c>
      <c r="HQ360">
        <f ca="1"/>
      </c>
    </row>
    <row r="361" spans="146:226" x14ac:dyDescent="0.55000000000000004">
      <c r="EQ361">
        <f ca="1"/>
      </c>
      <c r="ER361">
        <f ca="1"/>
      </c>
      <c r="ES361">
        <f ca="1"/>
      </c>
      <c r="ET361">
        <f ca="1"/>
      </c>
      <c r="EU361">
        <f ca="1"/>
      </c>
      <c r="EV361">
        <f ca="1"/>
      </c>
      <c r="EW361">
        <f ca="1"/>
      </c>
      <c r="EX361">
        <f ca="1"/>
      </c>
      <c r="EY361">
        <f ca="1"/>
      </c>
      <c r="EZ361">
        <f ca="1"/>
      </c>
      <c r="FA361">
        <f ca="1"/>
      </c>
      <c r="FB361">
        <f ca="1"/>
      </c>
      <c r="FC361">
        <f ca="1"/>
      </c>
      <c r="FD361">
        <f ca="1"/>
      </c>
      <c r="FE361">
        <f ca="1"/>
      </c>
      <c r="FF361">
        <f ca="1"/>
      </c>
      <c r="FG361">
        <f ca="1"/>
      </c>
      <c r="FH361">
        <f ca="1"/>
      </c>
      <c r="FI361">
        <f ca="1"/>
      </c>
      <c r="FJ361">
        <f ca="1"/>
      </c>
      <c r="FK361">
        <f ca="1"/>
      </c>
      <c r="FL361">
        <f ca="1"/>
      </c>
      <c r="FM361">
        <f ca="1"/>
      </c>
      <c r="FN361">
        <f ca="1"/>
      </c>
      <c r="FO361">
        <f ca="1"/>
      </c>
      <c r="FP361">
        <f ca="1"/>
      </c>
      <c r="FQ361">
        <f ca="1"/>
      </c>
      <c r="FR361">
        <f ca="1"/>
      </c>
      <c r="GQ361">
        <f ca="1"/>
      </c>
      <c r="GR361" s="11">
        <f ca="1"/>
      </c>
      <c r="GS361" s="11">
        <f ca="1"/>
      </c>
      <c r="GT361" s="11">
        <f ca="1"/>
      </c>
      <c r="GU361" s="11">
        <f ca="1"/>
      </c>
      <c r="GV361" s="11">
        <f ca="1"/>
      </c>
      <c r="GX361">
        <f ca="1"/>
      </c>
      <c r="GY361">
        <f ca="1"/>
      </c>
      <c r="GZ361">
        <f ca="1"/>
      </c>
      <c r="HA361">
        <f ca="1"/>
      </c>
      <c r="HB361">
        <f ca="1"/>
      </c>
      <c r="HD361">
        <f ca="1"/>
      </c>
      <c r="HE361">
        <f ca="1"/>
      </c>
      <c r="HF361">
        <f ca="1"/>
      </c>
      <c r="HG361">
        <f ca="1"/>
      </c>
      <c r="HH361">
        <f ca="1"/>
      </c>
      <c r="HI361">
        <f ca="1"/>
      </c>
      <c r="HJ361">
        <f ca="1"/>
      </c>
      <c r="HK361">
        <f ca="1"/>
      </c>
      <c r="HL361">
        <f ca="1"/>
      </c>
      <c r="HM361">
        <f ca="1"/>
      </c>
      <c r="HN361">
        <f ca="1"/>
      </c>
      <c r="HO361">
        <f ca="1"/>
      </c>
      <c r="HP361">
        <f ca="1"/>
      </c>
      <c r="HQ361">
        <f ca="1"/>
      </c>
    </row>
    <row r="362" spans="146:226" x14ac:dyDescent="0.55000000000000004">
      <c r="EQ362">
        <f ca="1"/>
      </c>
      <c r="ER362">
        <f ca="1"/>
      </c>
      <c r="ES362">
        <f ca="1"/>
      </c>
      <c r="ET362">
        <f ca="1"/>
      </c>
      <c r="EU362">
        <f ca="1"/>
      </c>
      <c r="EV362">
        <f ca="1"/>
      </c>
      <c r="EW362">
        <f ca="1"/>
      </c>
      <c r="EX362">
        <f ca="1"/>
      </c>
      <c r="EY362">
        <f ca="1"/>
      </c>
      <c r="EZ362">
        <f ca="1"/>
      </c>
      <c r="FA362">
        <f ca="1"/>
      </c>
      <c r="FB362">
        <f ca="1"/>
      </c>
      <c r="FC362">
        <f ca="1"/>
      </c>
      <c r="FD362">
        <f ca="1"/>
      </c>
      <c r="FE362">
        <f ca="1"/>
      </c>
      <c r="FF362">
        <f ca="1"/>
      </c>
      <c r="FG362">
        <f ca="1"/>
      </c>
      <c r="FH362">
        <f ca="1"/>
      </c>
      <c r="FI362">
        <f ca="1"/>
      </c>
      <c r="FJ362">
        <f ca="1"/>
      </c>
      <c r="FK362">
        <f ca="1"/>
      </c>
      <c r="FL362">
        <f ca="1"/>
      </c>
      <c r="FM362">
        <f ca="1"/>
      </c>
      <c r="FN362">
        <f ca="1"/>
      </c>
      <c r="FO362">
        <f ca="1"/>
      </c>
      <c r="FP362">
        <f ca="1"/>
      </c>
      <c r="FQ362">
        <f ca="1"/>
      </c>
      <c r="FR362">
        <f ca="1"/>
      </c>
      <c r="GQ362">
        <f ca="1"/>
      </c>
      <c r="GR362" s="11">
        <f ca="1"/>
      </c>
      <c r="GS362" s="11">
        <f ca="1"/>
      </c>
      <c r="GT362" s="11">
        <f ca="1"/>
      </c>
      <c r="GU362" s="11">
        <f ca="1"/>
      </c>
      <c r="GV362" s="11">
        <f ca="1"/>
      </c>
      <c r="GX362">
        <f ca="1"/>
      </c>
      <c r="GY362">
        <f ca="1"/>
      </c>
      <c r="GZ362">
        <f ca="1"/>
      </c>
      <c r="HA362">
        <f ca="1"/>
      </c>
      <c r="HB362">
        <f ca="1"/>
      </c>
      <c r="HD362">
        <f ca="1"/>
      </c>
      <c r="HE362">
        <f ca="1"/>
      </c>
      <c r="HF362">
        <f ca="1"/>
      </c>
      <c r="HG362">
        <f ca="1"/>
      </c>
      <c r="HH362">
        <f ca="1"/>
      </c>
      <c r="HI362">
        <f ca="1"/>
      </c>
      <c r="HJ362">
        <f ca="1"/>
      </c>
      <c r="HK362">
        <f ca="1"/>
      </c>
      <c r="HL362">
        <f ca="1"/>
      </c>
      <c r="HM362">
        <f ca="1"/>
      </c>
      <c r="HN362">
        <f ca="1"/>
      </c>
      <c r="HO362">
        <f ca="1"/>
      </c>
      <c r="HP362">
        <f ca="1"/>
      </c>
      <c r="HQ362">
        <f ca="1"/>
      </c>
    </row>
    <row r="363" spans="146:226" x14ac:dyDescent="0.55000000000000004">
      <c r="EQ363">
        <f ca="1"/>
      </c>
      <c r="ER363">
        <f ca="1"/>
      </c>
      <c r="ES363">
        <f ca="1"/>
      </c>
      <c r="ET363">
        <f ca="1"/>
      </c>
      <c r="EU363">
        <f ca="1"/>
      </c>
      <c r="EV363">
        <f ca="1"/>
      </c>
      <c r="EW363">
        <f ca="1"/>
      </c>
      <c r="EX363">
        <f ca="1"/>
      </c>
      <c r="EY363">
        <f ca="1"/>
      </c>
      <c r="EZ363">
        <f ca="1"/>
      </c>
      <c r="FA363">
        <f ca="1"/>
      </c>
      <c r="FB363">
        <f ca="1"/>
      </c>
      <c r="FC363">
        <f ca="1"/>
      </c>
      <c r="FD363">
        <f ca="1"/>
      </c>
      <c r="FE363">
        <f ca="1"/>
      </c>
      <c r="FF363">
        <f ca="1"/>
      </c>
      <c r="FG363">
        <f ca="1"/>
      </c>
      <c r="FH363">
        <f ca="1"/>
      </c>
      <c r="FI363">
        <f ca="1"/>
      </c>
      <c r="FJ363">
        <f ca="1"/>
      </c>
      <c r="FK363">
        <f ca="1"/>
      </c>
      <c r="FL363">
        <f ca="1"/>
      </c>
      <c r="FM363">
        <f ca="1"/>
      </c>
      <c r="FN363">
        <f ca="1"/>
      </c>
      <c r="FO363">
        <f ca="1"/>
      </c>
      <c r="FP363">
        <f ca="1"/>
      </c>
      <c r="FQ363">
        <f ca="1"/>
      </c>
      <c r="FR363">
        <f ca="1"/>
      </c>
      <c r="GQ363">
        <f ca="1"/>
      </c>
      <c r="GR363" s="11">
        <f ca="1"/>
      </c>
      <c r="GS363" s="11">
        <f ca="1"/>
      </c>
      <c r="GT363" s="11">
        <f ca="1"/>
      </c>
      <c r="GU363" s="11">
        <f ca="1"/>
      </c>
      <c r="GV363" s="11">
        <f ca="1"/>
      </c>
      <c r="GX363">
        <f ca="1"/>
      </c>
      <c r="GY363">
        <f ca="1"/>
      </c>
      <c r="GZ363">
        <f ca="1"/>
      </c>
      <c r="HA363">
        <f ca="1"/>
      </c>
      <c r="HB363">
        <f ca="1"/>
      </c>
      <c r="HD363">
        <f ca="1"/>
      </c>
      <c r="HE363">
        <f ca="1"/>
      </c>
      <c r="HF363">
        <f ca="1"/>
      </c>
      <c r="HG363">
        <f ca="1"/>
      </c>
      <c r="HH363">
        <f ca="1"/>
      </c>
      <c r="HI363">
        <f ca="1"/>
      </c>
      <c r="HJ363">
        <f ca="1"/>
      </c>
      <c r="HK363">
        <f ca="1"/>
      </c>
      <c r="HL363">
        <f ca="1"/>
      </c>
      <c r="HM363">
        <f ca="1"/>
      </c>
      <c r="HN363">
        <f ca="1"/>
      </c>
      <c r="HO363">
        <f ca="1"/>
      </c>
      <c r="HP363">
        <f ca="1"/>
      </c>
      <c r="HQ363">
        <f ca="1"/>
      </c>
    </row>
    <row r="364" spans="146:226" x14ac:dyDescent="0.55000000000000004">
      <c r="EQ364">
        <f ca="1"/>
      </c>
      <c r="ER364">
        <f ca="1"/>
      </c>
      <c r="ES364">
        <f ca="1"/>
      </c>
      <c r="ET364">
        <f ca="1"/>
      </c>
      <c r="EU364">
        <f ca="1"/>
      </c>
      <c r="EV364">
        <f ca="1"/>
      </c>
      <c r="EW364">
        <f ca="1"/>
      </c>
      <c r="EX364">
        <f ca="1"/>
      </c>
      <c r="EY364">
        <f ca="1"/>
      </c>
      <c r="EZ364">
        <f ca="1"/>
      </c>
      <c r="FA364">
        <f ca="1"/>
      </c>
      <c r="FB364">
        <f ca="1"/>
      </c>
      <c r="FC364">
        <f ca="1"/>
      </c>
      <c r="FD364">
        <f ca="1"/>
      </c>
      <c r="FE364">
        <f ca="1"/>
      </c>
      <c r="FF364">
        <f ca="1"/>
      </c>
      <c r="FG364">
        <f ca="1"/>
      </c>
      <c r="FH364">
        <f ca="1"/>
      </c>
      <c r="FI364">
        <f ca="1"/>
      </c>
      <c r="FJ364">
        <f ca="1"/>
      </c>
      <c r="FK364">
        <f ca="1"/>
      </c>
      <c r="FL364">
        <f ca="1"/>
      </c>
      <c r="FM364">
        <f ca="1"/>
      </c>
      <c r="FN364">
        <f ca="1"/>
      </c>
      <c r="FO364">
        <f ca="1"/>
      </c>
      <c r="FP364">
        <f ca="1"/>
      </c>
      <c r="FQ364">
        <f ca="1"/>
      </c>
      <c r="FR364">
        <f ca="1"/>
      </c>
      <c r="GQ364">
        <f ca="1"/>
      </c>
      <c r="GR364" s="11">
        <f ca="1"/>
      </c>
      <c r="GS364" s="11">
        <f ca="1"/>
      </c>
      <c r="GT364" s="11">
        <f ca="1"/>
      </c>
      <c r="GU364" s="11">
        <f ca="1"/>
      </c>
      <c r="GV364" s="11">
        <f ca="1"/>
      </c>
      <c r="GX364">
        <f ca="1"/>
      </c>
      <c r="GY364">
        <f ca="1"/>
      </c>
      <c r="GZ364">
        <f ca="1"/>
      </c>
      <c r="HA364">
        <f ca="1"/>
      </c>
      <c r="HB364">
        <f ca="1"/>
      </c>
      <c r="HD364">
        <f ca="1"/>
      </c>
      <c r="HE364">
        <f ca="1"/>
      </c>
      <c r="HF364">
        <f ca="1"/>
      </c>
      <c r="HG364">
        <f ca="1"/>
      </c>
      <c r="HH364">
        <f ca="1"/>
      </c>
      <c r="HI364">
        <f ca="1"/>
      </c>
      <c r="HJ364">
        <f ca="1"/>
      </c>
      <c r="HK364">
        <f ca="1"/>
      </c>
      <c r="HL364">
        <f ca="1"/>
      </c>
      <c r="HM364">
        <f ca="1"/>
      </c>
      <c r="HN364">
        <f ca="1"/>
      </c>
      <c r="HO364">
        <f ca="1"/>
      </c>
      <c r="HP364">
        <f ca="1"/>
      </c>
      <c r="HQ364">
        <f ca="1"/>
      </c>
    </row>
    <row r="365" spans="146:226" x14ac:dyDescent="0.55000000000000004">
      <c r="EQ365">
        <f ca="1"/>
      </c>
      <c r="ER365">
        <f ca="1"/>
      </c>
      <c r="ES365">
        <f ca="1"/>
      </c>
      <c r="ET365">
        <f ca="1"/>
      </c>
      <c r="EU365">
        <f ca="1"/>
      </c>
      <c r="EV365">
        <f ca="1"/>
      </c>
      <c r="EW365">
        <f ca="1"/>
      </c>
      <c r="EX365">
        <f ca="1"/>
      </c>
      <c r="EY365">
        <f ca="1"/>
      </c>
      <c r="EZ365">
        <f ca="1"/>
      </c>
      <c r="FA365">
        <f ca="1"/>
      </c>
      <c r="FB365">
        <f ca="1"/>
      </c>
      <c r="FC365">
        <f ca="1"/>
      </c>
      <c r="FD365">
        <f ca="1"/>
      </c>
      <c r="FE365">
        <f ca="1"/>
      </c>
      <c r="FF365">
        <f ca="1"/>
      </c>
      <c r="FG365">
        <f ca="1"/>
      </c>
      <c r="FH365">
        <f ca="1"/>
      </c>
      <c r="FI365">
        <f ca="1"/>
      </c>
      <c r="FJ365">
        <f ca="1"/>
      </c>
      <c r="FK365">
        <f ca="1"/>
      </c>
      <c r="FL365">
        <f ca="1"/>
      </c>
      <c r="FM365">
        <f ca="1"/>
      </c>
      <c r="FN365">
        <f ca="1"/>
      </c>
      <c r="FO365">
        <f ca="1"/>
      </c>
      <c r="FP365">
        <f ca="1"/>
      </c>
      <c r="FQ365">
        <f ca="1"/>
      </c>
      <c r="FR365">
        <f ca="1"/>
      </c>
      <c r="GQ365">
        <f ca="1"/>
      </c>
      <c r="GR365" s="11">
        <f ca="1"/>
      </c>
      <c r="GS365" s="11">
        <f ca="1"/>
      </c>
      <c r="GT365" s="11">
        <f ca="1"/>
      </c>
      <c r="GU365" s="11">
        <f ca="1"/>
      </c>
      <c r="GV365" s="11">
        <f ca="1"/>
      </c>
      <c r="GX365">
        <f ca="1"/>
      </c>
      <c r="GY365">
        <f ca="1"/>
      </c>
      <c r="GZ365">
        <f ca="1"/>
      </c>
      <c r="HA365">
        <f ca="1"/>
      </c>
      <c r="HB365">
        <f ca="1"/>
      </c>
      <c r="HD365">
        <f ca="1"/>
      </c>
      <c r="HE365">
        <f ca="1"/>
      </c>
      <c r="HF365">
        <f ca="1"/>
      </c>
      <c r="HG365">
        <f ca="1"/>
      </c>
      <c r="HH365">
        <f ca="1"/>
      </c>
      <c r="HI365">
        <f ca="1"/>
      </c>
      <c r="HJ365">
        <f ca="1"/>
      </c>
      <c r="HK365">
        <f ca="1"/>
      </c>
      <c r="HL365">
        <f ca="1"/>
      </c>
      <c r="HM365">
        <f ca="1"/>
      </c>
      <c r="HN365">
        <f ca="1"/>
      </c>
      <c r="HO365">
        <f ca="1"/>
      </c>
      <c r="HP365">
        <f ca="1"/>
      </c>
      <c r="HQ365">
        <f ca="1"/>
      </c>
    </row>
    <row r="366" spans="146:226" x14ac:dyDescent="0.55000000000000004">
      <c r="EQ366">
        <f ca="1"/>
      </c>
      <c r="ER366">
        <f ca="1"/>
      </c>
      <c r="ES366">
        <f ca="1"/>
      </c>
      <c r="ET366">
        <f ca="1"/>
      </c>
      <c r="EU366">
        <f ca="1"/>
      </c>
      <c r="EV366">
        <f ca="1"/>
      </c>
      <c r="EW366">
        <f ca="1"/>
      </c>
      <c r="EX366">
        <f ca="1"/>
      </c>
      <c r="EY366">
        <f ca="1"/>
      </c>
      <c r="EZ366">
        <f ca="1"/>
      </c>
      <c r="FA366">
        <f ca="1"/>
      </c>
      <c r="FB366">
        <f ca="1"/>
      </c>
      <c r="FC366">
        <f ca="1"/>
      </c>
      <c r="FD366">
        <f ca="1"/>
      </c>
      <c r="FE366">
        <f ca="1"/>
      </c>
      <c r="FF366">
        <f ca="1"/>
      </c>
      <c r="FG366">
        <f ca="1"/>
      </c>
      <c r="FH366">
        <f ca="1"/>
      </c>
      <c r="FI366">
        <f ca="1"/>
      </c>
      <c r="FJ366">
        <f ca="1"/>
      </c>
      <c r="FK366">
        <f ca="1"/>
      </c>
      <c r="FL366">
        <f ca="1"/>
      </c>
      <c r="FM366">
        <f ca="1"/>
      </c>
      <c r="FN366">
        <f ca="1"/>
      </c>
      <c r="FO366">
        <f ca="1"/>
      </c>
      <c r="FP366">
        <f ca="1"/>
      </c>
      <c r="FQ366">
        <f ca="1"/>
      </c>
      <c r="FR366">
        <f ca="1"/>
      </c>
      <c r="GQ366">
        <f ca="1"/>
      </c>
      <c r="GR366" s="11">
        <f ca="1"/>
      </c>
      <c r="GS366" s="11">
        <f ca="1"/>
      </c>
      <c r="GT366" s="11">
        <f ca="1"/>
      </c>
      <c r="GU366" s="11">
        <f ca="1"/>
      </c>
      <c r="GV366" s="11">
        <f ca="1"/>
      </c>
      <c r="GX366">
        <f ca="1"/>
      </c>
      <c r="GY366">
        <f ca="1"/>
      </c>
      <c r="GZ366">
        <f ca="1"/>
      </c>
      <c r="HA366">
        <f ca="1"/>
      </c>
      <c r="HB366">
        <f ca="1"/>
      </c>
      <c r="HD366">
        <f ca="1"/>
      </c>
      <c r="HE366">
        <f ca="1"/>
      </c>
      <c r="HF366">
        <f ca="1"/>
      </c>
      <c r="HG366">
        <f ca="1"/>
      </c>
      <c r="HH366">
        <f ca="1"/>
      </c>
      <c r="HI366">
        <f ca="1"/>
      </c>
      <c r="HJ366">
        <f ca="1"/>
      </c>
      <c r="HK366">
        <f ca="1"/>
      </c>
      <c r="HL366">
        <f ca="1"/>
      </c>
      <c r="HM366">
        <f ca="1"/>
      </c>
      <c r="HN366">
        <f ca="1"/>
      </c>
      <c r="HO366">
        <f ca="1"/>
      </c>
      <c r="HP366">
        <f ca="1"/>
      </c>
      <c r="HQ366">
        <f ca="1"/>
      </c>
    </row>
    <row r="367" spans="146:226" x14ac:dyDescent="0.55000000000000004">
      <c r="EQ367">
        <f ca="1"/>
      </c>
      <c r="ER367">
        <f ca="1"/>
      </c>
      <c r="ES367">
        <f ca="1"/>
      </c>
      <c r="ET367">
        <f ca="1"/>
      </c>
      <c r="EU367">
        <f ca="1"/>
      </c>
      <c r="EV367">
        <f ca="1"/>
      </c>
      <c r="EW367">
        <f ca="1"/>
      </c>
      <c r="EX367">
        <f ca="1"/>
      </c>
      <c r="EY367">
        <f ca="1"/>
      </c>
      <c r="EZ367">
        <f ca="1"/>
      </c>
      <c r="FA367">
        <f ca="1"/>
      </c>
      <c r="FB367">
        <f ca="1"/>
      </c>
      <c r="FC367">
        <f ca="1"/>
      </c>
      <c r="FD367">
        <f ca="1"/>
      </c>
      <c r="FE367">
        <f ca="1"/>
      </c>
      <c r="FF367">
        <f ca="1"/>
      </c>
      <c r="FG367">
        <f ca="1"/>
      </c>
      <c r="FH367">
        <f ca="1"/>
      </c>
      <c r="FI367">
        <f ca="1"/>
      </c>
      <c r="FJ367">
        <f ca="1"/>
      </c>
      <c r="FK367">
        <f ca="1"/>
      </c>
      <c r="FL367">
        <f ca="1"/>
      </c>
      <c r="FM367">
        <f ca="1"/>
      </c>
      <c r="FN367">
        <f ca="1"/>
      </c>
      <c r="FO367">
        <f ca="1"/>
      </c>
      <c r="FP367">
        <f ca="1"/>
      </c>
      <c r="FQ367">
        <f ca="1"/>
      </c>
      <c r="FR367">
        <f ca="1"/>
      </c>
      <c r="GQ367">
        <f ca="1"/>
      </c>
      <c r="GR367" s="11">
        <f ca="1"/>
      </c>
      <c r="GS367" s="11">
        <f ca="1"/>
      </c>
      <c r="GT367" s="11">
        <f ca="1"/>
      </c>
      <c r="GU367" s="11">
        <f ca="1"/>
      </c>
      <c r="GV367" s="11">
        <f ca="1"/>
      </c>
      <c r="GX367">
        <f ca="1"/>
      </c>
      <c r="GY367">
        <f ca="1"/>
      </c>
      <c r="GZ367">
        <f ca="1"/>
      </c>
      <c r="HA367">
        <f ca="1"/>
      </c>
      <c r="HB367">
        <f ca="1"/>
      </c>
      <c r="HD367">
        <f ca="1"/>
      </c>
      <c r="HE367">
        <f ca="1"/>
      </c>
      <c r="HF367">
        <f ca="1"/>
      </c>
      <c r="HG367">
        <f ca="1"/>
      </c>
      <c r="HH367">
        <f ca="1"/>
      </c>
      <c r="HI367">
        <f ca="1"/>
      </c>
      <c r="HJ367">
        <f ca="1"/>
      </c>
      <c r="HK367">
        <f ca="1"/>
      </c>
      <c r="HL367">
        <f ca="1"/>
      </c>
      <c r="HM367">
        <f ca="1"/>
      </c>
      <c r="HN367">
        <f ca="1"/>
      </c>
      <c r="HO367">
        <f ca="1"/>
      </c>
      <c r="HP367">
        <f ca="1"/>
      </c>
      <c r="HQ367">
        <f ca="1"/>
      </c>
    </row>
    <row r="368" spans="146:226" x14ac:dyDescent="0.55000000000000004">
      <c r="EQ368">
        <f ca="1"/>
      </c>
      <c r="ER368">
        <f ca="1"/>
      </c>
      <c r="ES368">
        <f ca="1"/>
      </c>
      <c r="ET368">
        <f ca="1"/>
      </c>
      <c r="EU368">
        <f ca="1"/>
      </c>
      <c r="EV368">
        <f ca="1"/>
      </c>
      <c r="EW368">
        <f ca="1"/>
      </c>
      <c r="EX368">
        <f ca="1"/>
      </c>
      <c r="EY368">
        <f ca="1"/>
      </c>
      <c r="EZ368">
        <f ca="1"/>
      </c>
      <c r="FA368">
        <f ca="1"/>
      </c>
      <c r="FB368">
        <f ca="1"/>
      </c>
      <c r="FC368">
        <f ca="1"/>
      </c>
      <c r="FD368">
        <f ca="1"/>
      </c>
      <c r="FE368">
        <f ca="1"/>
      </c>
      <c r="FF368">
        <f ca="1"/>
      </c>
      <c r="FG368">
        <f ca="1"/>
      </c>
      <c r="FH368">
        <f ca="1"/>
      </c>
      <c r="FI368">
        <f ca="1"/>
      </c>
      <c r="FJ368">
        <f ca="1"/>
      </c>
      <c r="FK368">
        <f ca="1"/>
      </c>
      <c r="FL368">
        <f ca="1"/>
      </c>
      <c r="FM368">
        <f ca="1"/>
      </c>
      <c r="FN368">
        <f ca="1"/>
      </c>
      <c r="FO368">
        <f ca="1"/>
      </c>
      <c r="FP368">
        <f ca="1"/>
      </c>
      <c r="FQ368">
        <f ca="1"/>
      </c>
      <c r="FR368">
        <f ca="1"/>
      </c>
      <c r="GQ368">
        <f ca="1"/>
      </c>
      <c r="GR368" s="11">
        <f ca="1"/>
      </c>
      <c r="GS368" s="11">
        <f ca="1"/>
      </c>
      <c r="GT368" s="11">
        <f ca="1"/>
      </c>
      <c r="GU368" s="11">
        <f ca="1"/>
      </c>
      <c r="GV368" s="11">
        <f ca="1"/>
      </c>
      <c r="GX368">
        <f ca="1"/>
      </c>
      <c r="GY368">
        <f ca="1"/>
      </c>
      <c r="GZ368">
        <f ca="1"/>
      </c>
      <c r="HA368">
        <f ca="1"/>
      </c>
      <c r="HB368">
        <f ca="1"/>
      </c>
      <c r="HD368">
        <f ca="1"/>
      </c>
      <c r="HE368">
        <f ca="1"/>
      </c>
      <c r="HF368">
        <f ca="1"/>
      </c>
      <c r="HG368">
        <f ca="1"/>
      </c>
      <c r="HH368">
        <f ca="1"/>
      </c>
      <c r="HI368">
        <f ca="1"/>
      </c>
      <c r="HJ368">
        <f ca="1"/>
      </c>
      <c r="HK368">
        <f ca="1"/>
      </c>
      <c r="HL368">
        <f ca="1"/>
      </c>
      <c r="HM368">
        <f ca="1"/>
      </c>
      <c r="HN368">
        <f ca="1"/>
      </c>
      <c r="HO368">
        <f ca="1"/>
      </c>
      <c r="HP368">
        <f ca="1"/>
      </c>
      <c r="HQ368">
        <f ca="1"/>
      </c>
    </row>
    <row r="369" spans="147:225" x14ac:dyDescent="0.55000000000000004">
      <c r="EQ369">
        <f ca="1"/>
      </c>
      <c r="ER369">
        <f ca="1"/>
      </c>
      <c r="ES369">
        <f ca="1"/>
      </c>
      <c r="ET369">
        <f ca="1"/>
      </c>
      <c r="EU369">
        <f ca="1"/>
      </c>
      <c r="EV369">
        <f ca="1"/>
      </c>
      <c r="EW369">
        <f ca="1"/>
      </c>
      <c r="EX369">
        <f ca="1"/>
      </c>
      <c r="EY369">
        <f ca="1"/>
      </c>
      <c r="EZ369">
        <f ca="1"/>
      </c>
      <c r="FA369">
        <f ca="1"/>
      </c>
      <c r="FB369">
        <f ca="1"/>
      </c>
      <c r="FC369">
        <f ca="1"/>
      </c>
      <c r="FD369">
        <f ca="1"/>
      </c>
      <c r="FE369">
        <f ca="1"/>
      </c>
      <c r="FF369">
        <f ca="1"/>
      </c>
      <c r="FG369">
        <f ca="1"/>
      </c>
      <c r="FH369">
        <f ca="1"/>
      </c>
      <c r="FI369">
        <f ca="1"/>
      </c>
      <c r="FJ369">
        <f ca="1"/>
      </c>
      <c r="FK369">
        <f ca="1"/>
      </c>
      <c r="FL369">
        <f ca="1"/>
      </c>
      <c r="FM369">
        <f ca="1"/>
      </c>
      <c r="FN369">
        <f ca="1"/>
      </c>
      <c r="FO369">
        <f ca="1"/>
      </c>
      <c r="FP369">
        <f ca="1"/>
      </c>
      <c r="FQ369">
        <f ca="1"/>
      </c>
      <c r="FR369">
        <f ca="1"/>
      </c>
      <c r="GQ369">
        <f ca="1"/>
      </c>
      <c r="GR369" s="11">
        <f ca="1"/>
      </c>
      <c r="GS369" s="11">
        <f ca="1"/>
      </c>
      <c r="GT369" s="11">
        <f ca="1"/>
      </c>
      <c r="GU369" s="11">
        <f ca="1"/>
      </c>
      <c r="GV369" s="11">
        <f ca="1"/>
      </c>
      <c r="GX369">
        <f ca="1"/>
      </c>
      <c r="GY369">
        <f ca="1"/>
      </c>
      <c r="GZ369">
        <f ca="1"/>
      </c>
      <c r="HA369">
        <f ca="1"/>
      </c>
      <c r="HB369">
        <f ca="1"/>
      </c>
      <c r="HD369">
        <f ca="1"/>
      </c>
      <c r="HE369">
        <f ca="1"/>
      </c>
      <c r="HF369">
        <f ca="1"/>
      </c>
      <c r="HG369">
        <f ca="1"/>
      </c>
      <c r="HH369">
        <f ca="1"/>
      </c>
      <c r="HI369">
        <f ca="1"/>
      </c>
      <c r="HJ369">
        <f ca="1"/>
      </c>
      <c r="HK369">
        <f ca="1"/>
      </c>
      <c r="HL369">
        <f ca="1"/>
      </c>
      <c r="HM369">
        <f ca="1"/>
      </c>
      <c r="HN369">
        <f ca="1"/>
      </c>
      <c r="HO369">
        <f ca="1"/>
      </c>
      <c r="HP369">
        <f ca="1"/>
      </c>
      <c r="HQ369">
        <f ca="1"/>
      </c>
    </row>
    <row r="370" spans="147:225" x14ac:dyDescent="0.55000000000000004">
      <c r="EQ370">
        <f ca="1"/>
      </c>
      <c r="ER370">
        <f ca="1"/>
      </c>
      <c r="ES370">
        <f ca="1"/>
      </c>
      <c r="ET370">
        <f ca="1"/>
      </c>
      <c r="EU370">
        <f ca="1"/>
      </c>
      <c r="EV370">
        <f ca="1"/>
      </c>
      <c r="EW370">
        <f ca="1"/>
      </c>
      <c r="EX370">
        <f ca="1"/>
      </c>
      <c r="EY370">
        <f ca="1"/>
      </c>
      <c r="EZ370">
        <f ca="1"/>
      </c>
      <c r="FA370">
        <f ca="1"/>
      </c>
      <c r="FB370">
        <f ca="1"/>
      </c>
      <c r="FC370">
        <f ca="1"/>
      </c>
      <c r="FD370">
        <f ca="1"/>
      </c>
      <c r="FE370">
        <f ca="1"/>
      </c>
      <c r="FF370">
        <f ca="1"/>
      </c>
      <c r="FG370">
        <f ca="1"/>
      </c>
      <c r="FH370">
        <f ca="1"/>
      </c>
      <c r="FI370">
        <f ca="1"/>
      </c>
      <c r="FJ370">
        <f ca="1"/>
      </c>
      <c r="FK370">
        <f ca="1"/>
      </c>
      <c r="FL370">
        <f ca="1"/>
      </c>
      <c r="FM370">
        <f ca="1"/>
      </c>
      <c r="FN370">
        <f ca="1"/>
      </c>
      <c r="FO370">
        <f ca="1"/>
      </c>
      <c r="FP370">
        <f ca="1"/>
      </c>
      <c r="FQ370">
        <f ca="1"/>
      </c>
      <c r="FR370">
        <f ca="1"/>
      </c>
      <c r="GQ370">
        <f ca="1"/>
      </c>
      <c r="GR370" s="11">
        <f ca="1"/>
      </c>
      <c r="GS370" s="11">
        <f ca="1"/>
      </c>
      <c r="GT370" s="11">
        <f ca="1"/>
      </c>
      <c r="GU370" s="11">
        <f ca="1"/>
      </c>
      <c r="GV370" s="11">
        <f ca="1"/>
      </c>
      <c r="GX370">
        <f ca="1"/>
      </c>
      <c r="GY370">
        <f ca="1"/>
      </c>
      <c r="GZ370">
        <f ca="1"/>
      </c>
      <c r="HA370">
        <f ca="1"/>
      </c>
      <c r="HB370">
        <f ca="1"/>
      </c>
      <c r="HD370">
        <f ca="1"/>
      </c>
      <c r="HE370">
        <f ca="1"/>
      </c>
      <c r="HF370">
        <f ca="1"/>
      </c>
      <c r="HG370">
        <f ca="1"/>
      </c>
      <c r="HH370">
        <f ca="1"/>
      </c>
      <c r="HI370">
        <f ca="1"/>
      </c>
      <c r="HJ370">
        <f ca="1"/>
      </c>
      <c r="HK370">
        <f ca="1"/>
      </c>
      <c r="HL370">
        <f ca="1"/>
      </c>
      <c r="HM370">
        <f ca="1"/>
      </c>
      <c r="HN370">
        <f ca="1"/>
      </c>
      <c r="HO370">
        <f ca="1"/>
      </c>
      <c r="HP370">
        <f ca="1"/>
      </c>
      <c r="HQ370">
        <f ca="1"/>
      </c>
    </row>
    <row r="371" spans="147:225" x14ac:dyDescent="0.55000000000000004">
      <c r="EQ371">
        <f ca="1"/>
      </c>
      <c r="ER371">
        <f ca="1"/>
      </c>
      <c r="ES371">
        <f ca="1"/>
      </c>
      <c r="ET371">
        <f ca="1"/>
      </c>
      <c r="EU371">
        <f ca="1"/>
      </c>
      <c r="EV371">
        <f ca="1"/>
      </c>
      <c r="EW371">
        <f ca="1"/>
      </c>
      <c r="EX371">
        <f ca="1"/>
      </c>
      <c r="EY371">
        <f ca="1"/>
      </c>
      <c r="EZ371">
        <f ca="1"/>
      </c>
      <c r="FA371">
        <f ca="1"/>
      </c>
      <c r="FB371">
        <f ca="1"/>
      </c>
      <c r="FC371">
        <f ca="1"/>
      </c>
      <c r="FD371">
        <f ca="1"/>
      </c>
      <c r="FE371">
        <f ca="1"/>
      </c>
      <c r="FF371">
        <f ca="1"/>
      </c>
      <c r="FG371">
        <f ca="1"/>
      </c>
      <c r="FH371">
        <f ca="1"/>
      </c>
      <c r="FI371">
        <f ca="1"/>
      </c>
      <c r="FJ371">
        <f ca="1"/>
      </c>
      <c r="FK371">
        <f ca="1"/>
      </c>
      <c r="FL371">
        <f ca="1"/>
      </c>
      <c r="FM371">
        <f ca="1"/>
      </c>
      <c r="FN371">
        <f ca="1"/>
      </c>
      <c r="FO371">
        <f ca="1"/>
      </c>
      <c r="FP371">
        <f ca="1"/>
      </c>
      <c r="FQ371">
        <f ca="1"/>
      </c>
      <c r="FR371">
        <f ca="1"/>
      </c>
      <c r="GQ371">
        <f ca="1"/>
      </c>
      <c r="GR371" s="11">
        <f ca="1"/>
      </c>
      <c r="GS371" s="11">
        <f ca="1"/>
      </c>
      <c r="GT371" s="11">
        <f ca="1"/>
      </c>
      <c r="GU371" s="11">
        <f ca="1"/>
      </c>
      <c r="GV371" s="11">
        <f ca="1"/>
      </c>
      <c r="GX371">
        <f ca="1"/>
      </c>
      <c r="GY371">
        <f ca="1"/>
      </c>
      <c r="GZ371">
        <f ca="1"/>
      </c>
      <c r="HA371">
        <f ca="1"/>
      </c>
      <c r="HB371">
        <f ca="1"/>
      </c>
      <c r="HD371">
        <f ca="1"/>
      </c>
      <c r="HE371">
        <f ca="1"/>
      </c>
      <c r="HF371">
        <f ca="1"/>
      </c>
      <c r="HG371">
        <f ca="1"/>
      </c>
      <c r="HH371">
        <f ca="1"/>
      </c>
      <c r="HI371">
        <f ca="1"/>
      </c>
      <c r="HJ371">
        <f ca="1"/>
      </c>
      <c r="HK371">
        <f ca="1"/>
      </c>
      <c r="HL371">
        <f ca="1"/>
      </c>
      <c r="HM371">
        <f ca="1"/>
      </c>
      <c r="HN371">
        <f ca="1"/>
      </c>
      <c r="HO371">
        <f ca="1"/>
      </c>
      <c r="HP371">
        <f ca="1"/>
      </c>
      <c r="HQ371">
        <f ca="1"/>
      </c>
    </row>
    <row r="372" spans="147:225" x14ac:dyDescent="0.55000000000000004">
      <c r="GQ372">
        <f ca="1"/>
      </c>
      <c r="GR372" s="11">
        <f ca="1"/>
      </c>
      <c r="GS372" s="11">
        <f ca="1"/>
      </c>
      <c r="GT372" s="11">
        <f ca="1"/>
      </c>
      <c r="GU372" s="11">
        <f ca="1"/>
      </c>
      <c r="GV372" s="11">
        <f ca="1"/>
      </c>
      <c r="GX372">
        <f ca="1"/>
      </c>
      <c r="GY372">
        <f ca="1"/>
      </c>
      <c r="GZ372">
        <f ca="1"/>
      </c>
      <c r="HA372">
        <f ca="1"/>
      </c>
      <c r="HB372">
        <f ca="1"/>
      </c>
      <c r="HD372">
        <f ca="1"/>
      </c>
      <c r="HE372">
        <f ca="1"/>
      </c>
      <c r="HF372">
        <f ca="1"/>
      </c>
      <c r="HG372">
        <f ca="1"/>
      </c>
      <c r="HH372">
        <f ca="1"/>
      </c>
      <c r="HI372">
        <f ca="1"/>
      </c>
      <c r="HJ372">
        <f ca="1"/>
      </c>
      <c r="HK372">
        <f ca="1"/>
      </c>
      <c r="HL372">
        <f ca="1"/>
      </c>
      <c r="HM372">
        <f ca="1"/>
      </c>
      <c r="HN372">
        <f ca="1"/>
      </c>
      <c r="HO372">
        <f ca="1"/>
      </c>
      <c r="HP372">
        <f ca="1"/>
      </c>
      <c r="HQ372">
        <f ca="1"/>
      </c>
    </row>
    <row r="373" spans="147:225" x14ac:dyDescent="0.55000000000000004">
      <c r="GR373" s="11"/>
      <c r="GS373" s="11"/>
      <c r="GT373" s="11"/>
      <c r="GU373" s="11"/>
      <c r="GV373" s="11"/>
    </row>
    <row r="374" spans="147:225" x14ac:dyDescent="0.55000000000000004">
      <c r="GR374" s="11"/>
      <c r="GS374" s="11"/>
      <c r="GT374" s="11"/>
      <c r="GU374" s="11"/>
      <c r="GV374" s="11"/>
    </row>
    <row r="375" spans="147:225" x14ac:dyDescent="0.55000000000000004">
      <c r="GR375" s="11"/>
      <c r="GS375" s="11"/>
      <c r="GT375" s="11"/>
      <c r="GU375" s="11"/>
      <c r="GV375" s="11"/>
    </row>
    <row r="376" spans="147:225" x14ac:dyDescent="0.55000000000000004">
      <c r="GR376" s="11"/>
      <c r="GS376" s="11"/>
      <c r="GT376" s="11"/>
      <c r="GU376" s="11"/>
      <c r="GV376" s="11"/>
    </row>
    <row r="377" spans="147:225" x14ac:dyDescent="0.55000000000000004">
      <c r="GR377" s="11"/>
      <c r="GS377" s="11"/>
      <c r="GT377" s="11"/>
      <c r="GU377" s="11"/>
      <c r="GV377" s="11"/>
    </row>
    <row r="378" spans="147:225" x14ac:dyDescent="0.55000000000000004">
      <c r="GR378" s="11"/>
      <c r="GS378" s="11"/>
      <c r="GT378" s="11"/>
      <c r="GU378" s="11"/>
      <c r="GV378" s="11"/>
    </row>
    <row r="379" spans="147:225" x14ac:dyDescent="0.55000000000000004">
      <c r="GR379" s="11"/>
      <c r="GS379" s="11"/>
      <c r="GT379" s="11"/>
      <c r="GU379" s="11"/>
      <c r="GV379" s="11"/>
    </row>
    <row r="380" spans="147:225" x14ac:dyDescent="0.55000000000000004">
      <c r="GR380" s="11"/>
      <c r="GS380" s="11"/>
      <c r="GT380" s="11"/>
      <c r="GU380" s="11"/>
      <c r="GV380" s="11"/>
    </row>
    <row r="381" spans="147:225" x14ac:dyDescent="0.55000000000000004">
      <c r="GR381" s="11"/>
      <c r="GS381" s="11"/>
      <c r="GT381" s="11"/>
      <c r="GU381" s="11"/>
      <c r="GV381" s="11"/>
    </row>
    <row r="382" spans="147:225" x14ac:dyDescent="0.55000000000000004">
      <c r="GR382" s="11"/>
      <c r="GS382" s="11"/>
      <c r="GT382" s="11"/>
      <c r="GU382" s="11"/>
      <c r="GV382" s="11"/>
    </row>
    <row r="383" spans="147:225" x14ac:dyDescent="0.55000000000000004">
      <c r="GR383" s="11"/>
      <c r="GS383" s="11"/>
      <c r="GT383" s="11"/>
      <c r="GU383" s="11"/>
      <c r="GV383" s="11"/>
    </row>
    <row r="384" spans="147:225" x14ac:dyDescent="0.55000000000000004">
      <c r="GR384" s="11"/>
      <c r="GS384" s="11"/>
      <c r="GT384" s="11"/>
      <c r="GU384" s="11"/>
      <c r="GV384" s="11"/>
    </row>
    <row r="385" spans="200:204" x14ac:dyDescent="0.55000000000000004">
      <c r="GR385" s="11"/>
      <c r="GS385" s="11"/>
      <c r="GT385" s="11"/>
      <c r="GU385" s="11"/>
      <c r="GV385" s="11"/>
    </row>
    <row r="386" spans="200:204" x14ac:dyDescent="0.55000000000000004">
      <c r="GR386" s="11"/>
      <c r="GS386" s="11"/>
      <c r="GT386" s="11"/>
      <c r="GU386" s="11"/>
      <c r="GV386" s="11"/>
    </row>
    <row r="387" spans="200:204" x14ac:dyDescent="0.55000000000000004">
      <c r="GR387" s="11"/>
      <c r="GS387" s="11"/>
      <c r="GT387" s="11"/>
      <c r="GU387" s="11"/>
      <c r="GV387" s="11"/>
    </row>
    <row r="388" spans="200:204" x14ac:dyDescent="0.55000000000000004">
      <c r="GR388" s="11"/>
      <c r="GS388" s="11"/>
      <c r="GT388" s="11"/>
      <c r="GU388" s="11"/>
      <c r="GV388" s="11"/>
    </row>
    <row r="389" spans="200:204" x14ac:dyDescent="0.55000000000000004">
      <c r="GR389" s="11"/>
      <c r="GS389" s="11"/>
      <c r="GT389" s="11"/>
      <c r="GU389" s="11"/>
      <c r="GV389" s="11"/>
    </row>
    <row r="390" spans="200:204" x14ac:dyDescent="0.55000000000000004">
      <c r="GR390" s="11"/>
      <c r="GS390" s="11"/>
      <c r="GT390" s="11"/>
      <c r="GU390" s="11"/>
      <c r="GV390" s="11"/>
    </row>
    <row r="391" spans="200:204" x14ac:dyDescent="0.55000000000000004">
      <c r="GR391" s="11"/>
      <c r="GS391" s="11"/>
      <c r="GT391" s="11"/>
      <c r="GU391" s="11"/>
      <c r="GV391" s="11"/>
    </row>
    <row r="392" spans="200:204" x14ac:dyDescent="0.55000000000000004">
      <c r="GR392" s="11"/>
      <c r="GS392" s="11"/>
      <c r="GT392" s="11"/>
      <c r="GU392" s="11"/>
      <c r="GV392" s="11"/>
    </row>
    <row r="393" spans="200:204" x14ac:dyDescent="0.55000000000000004">
      <c r="GR393" s="11"/>
      <c r="GS393" s="11"/>
      <c r="GT393" s="11"/>
      <c r="GU393" s="11"/>
      <c r="GV393" s="11"/>
    </row>
    <row r="394" spans="200:204" x14ac:dyDescent="0.55000000000000004">
      <c r="GR394" s="11"/>
      <c r="GS394" s="11"/>
      <c r="GT394" s="11"/>
      <c r="GU394" s="11"/>
      <c r="GV394" s="11"/>
    </row>
    <row r="395" spans="200:204" x14ac:dyDescent="0.55000000000000004">
      <c r="GR395" s="11"/>
      <c r="GS395" s="11"/>
      <c r="GT395" s="11"/>
      <c r="GU395" s="11"/>
      <c r="GV395" s="11"/>
    </row>
    <row r="396" spans="200:204" x14ac:dyDescent="0.55000000000000004">
      <c r="GR396" s="11"/>
      <c r="GS396" s="11"/>
      <c r="GT396" s="11"/>
      <c r="GU396" s="11"/>
      <c r="GV396" s="11"/>
    </row>
    <row r="404" spans="146:226" x14ac:dyDescent="0.55000000000000004">
      <c r="EP404" t="s">
        <v>160</v>
      </c>
      <c r="EQ404" cm="1">
        <f t="array" aca="1" ref="EQ404:FR421" ca="1">_xlfn.LET(_xlpm.g,_xlfn.DROP(_xlfn.ANCHORARRAY($CO$4),1),_xlfn._xlws.FILTER(_xlpm.g,_xlfn.TAKE(_xlpm.g,,1)=9))</f>
      </c>
      <c r="ER404">
        <f ca="1"/>
      </c>
      <c r="ES404">
        <f ca="1"/>
      </c>
      <c r="ET404">
        <f ca="1"/>
      </c>
      <c r="EU404">
        <f ca="1"/>
      </c>
      <c r="EV404">
        <f ca="1"/>
      </c>
      <c r="EW404">
        <f ca="1"/>
      </c>
      <c r="EX404">
        <f ca="1"/>
      </c>
      <c r="EY404">
        <f ca="1"/>
      </c>
      <c r="EZ404">
        <f ca="1"/>
      </c>
      <c r="FA404">
        <f ca="1"/>
      </c>
      <c r="FB404">
        <f ca="1"/>
      </c>
      <c r="FC404">
        <f ca="1"/>
      </c>
      <c r="FD404">
        <f ca="1"/>
      </c>
      <c r="FE404">
        <f ca="1"/>
      </c>
      <c r="FF404">
        <f ca="1"/>
      </c>
      <c r="FG404">
        <f ca="1"/>
      </c>
      <c r="FH404">
        <f ca="1"/>
      </c>
      <c r="FI404">
        <f ca="1"/>
      </c>
      <c r="FJ404">
        <f ca="1"/>
      </c>
      <c r="FK404">
        <f ca="1"/>
      </c>
      <c r="FL404">
        <f ca="1"/>
      </c>
      <c r="FM404">
        <f ca="1"/>
      </c>
      <c r="FN404">
        <f ca="1"/>
      </c>
      <c r="FO404">
        <f ca="1"/>
      </c>
      <c r="FP404">
        <f ca="1"/>
      </c>
      <c r="FQ404">
        <f ca="1"/>
      </c>
      <c r="FR404">
        <f ca="1"/>
      </c>
      <c r="GQ404" t="s">
        <v>169</v>
      </c>
      <c r="GR404" cm="1">
        <f t="array" aca="1" ref="GR404" ca="1">IFERROR(_xlfn.LET(_xlpm.R,_xlfn.ANCHORARRAY($GR$405),_xlpm.a,ABS(_xlpm.R),"k="&amp;$D$12&amp;"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04" cm="1">
        <f t="array" aca="1" ref="GS404" ca="1">IFERROR(_xlfn.LET(_xlpm.R,_xlfn.ANCHORARRAY($GS$405),_xlpm.a,ABS(_xlpm.R),"k="&amp;$D$28&amp;"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04" cm="1">
        <f t="array" aca="1" ref="GT404" ca="1">IFERROR(_xlfn.LET(_xlpm.R,_xlfn.ANCHORARRAY($GT$405),_xlpm.a,ABS(_xlpm.R),"k="&amp;$D$44&amp;"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04" cm="1">
        <f t="array" aca="1" ref="GU404" ca="1">IFERROR(_xlfn.LET(_xlpm.R,_xlfn.ANCHORARRAY($GU$405),_xlpm.a,ABS(_xlpm.R),"k="&amp;$D$60&amp;"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04" cm="1">
        <f t="array" aca="1" ref="GV404" ca="1">IFERROR(_xlfn.LET(_xlpm.R,_xlfn.ANCHORARRAY($GV$405),_xlpm.a,ABS(_xlpm.R),"k="&amp;$D$76&amp;"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04" t="s">
        <v>44</v>
      </c>
      <c r="GY404" t="s">
        <v>45</v>
      </c>
      <c r="GZ404" t="s">
        <v>46</v>
      </c>
      <c r="HA404" t="s">
        <v>47</v>
      </c>
      <c r="HB404" t="s">
        <v>48</v>
      </c>
      <c r="HD404" t="s">
        <v>174</v>
      </c>
      <c r="HE404">
        <f>"Actual / Mean / Recon (k="&amp;$D$108&amp;")  dashed: Mean ±1σ"</f>
      </c>
      <c r="HF404" t="s">
        <v>175</v>
      </c>
      <c r="HG404" t="s">
        <v>176</v>
      </c>
      <c r="HH404" t="s">
        <v>179</v>
      </c>
      <c r="HI404" t="s">
        <v>180</v>
      </c>
      <c r="HJ404" t="s">
        <v>181</v>
      </c>
      <c r="HK404" t="s">
        <v>182</v>
      </c>
      <c r="HL404" t="s">
        <v>183</v>
      </c>
      <c r="HM404" t="s">
        <v>184</v>
      </c>
      <c r="HN404" t="s">
        <v>185</v>
      </c>
      <c r="HO404" t="s">
        <v>186</v>
      </c>
      <c r="HP404" t="s">
        <v>187</v>
      </c>
      <c r="HQ404" t="s">
        <v>188</v>
      </c>
      <c r="HR404" t="s">
        <v>189</v>
      </c>
    </row>
    <row r="405" spans="146:226" x14ac:dyDescent="0.55000000000000004">
      <c r="EQ405">
        <f ca="1"/>
      </c>
      <c r="ER405">
        <f ca="1"/>
      </c>
      <c r="ES405">
        <f ca="1"/>
      </c>
      <c r="ET405">
        <f ca="1"/>
      </c>
      <c r="EU405">
        <f ca="1"/>
      </c>
      <c r="EV405">
        <f ca="1"/>
      </c>
      <c r="EW405">
        <f ca="1"/>
      </c>
      <c r="EX405">
        <f ca="1"/>
      </c>
      <c r="EY405">
        <f ca="1"/>
      </c>
      <c r="EZ405">
        <f ca="1"/>
      </c>
      <c r="FA405">
        <f ca="1"/>
      </c>
      <c r="FB405">
        <f ca="1"/>
      </c>
      <c r="FC405">
        <f ca="1"/>
      </c>
      <c r="FD405">
        <f ca="1"/>
      </c>
      <c r="FE405">
        <f ca="1"/>
      </c>
      <c r="FF405">
        <f ca="1"/>
      </c>
      <c r="FG405">
        <f ca="1"/>
      </c>
      <c r="FH405">
        <f ca="1"/>
      </c>
      <c r="FI405">
        <f ca="1"/>
      </c>
      <c r="FJ405">
        <f ca="1"/>
      </c>
      <c r="FK405">
        <f ca="1"/>
      </c>
      <c r="FL405">
        <f ca="1"/>
      </c>
      <c r="FM405">
        <f ca="1"/>
      </c>
      <c r="FN405">
        <f ca="1"/>
      </c>
      <c r="FO405">
        <f ca="1"/>
      </c>
      <c r="FP405">
        <f ca="1"/>
      </c>
      <c r="FQ405">
        <f ca="1"/>
      </c>
      <c r="FR405">
        <f ca="1"/>
      </c>
      <c r="GQ405" cm="1">
        <f t="array" aca="1" ref="GQ405:GQ422" ca="1">IF($BI$6="Change",_xlfn.ANCHORARRAY($CJ$4),_xlfn.ANCHORARRAY($CI$4))</f>
      </c>
      <c r="GR405" s="11" cm="1">
        <f t="array" aca="1" ref="GR405:GR422" ca="1">_xlfn.LET(_xlpm.sl,_xlfn.ANCHORARRAY($EQ$404),_xlpm.mu,_xlfn.CHOOSECOLS(_xlpm.sl,8),_xlpm.sg,_xlfn.CHOOSECOLS(_xlpm.sl,9),_xlpm.x,_xlfn.ANCHORARRAY($GQ$405),_xlpm.V,_xlfn.TAKE(_xlfn.DROP(_xlpm.sl,,10),,$D$12),(_xlpm.x-(_xlpm.mu+_xlpm.sg*MMULT(_xlpm.V,MMULT(TRANSPOSE(_xlpm.V),(_xlpm.x-_xlpm.mu)/_xlpm.sg))))*100)</f>
      </c>
      <c r="GS405" s="11" cm="1">
        <f t="array" aca="1" ref="GS405:GS422" ca="1">_xlfn.LET(_xlpm.sl,_xlfn.ANCHORARRAY($EQ$404),_xlpm.mu,_xlfn.CHOOSECOLS(_xlpm.sl,8),_xlpm.sg,_xlfn.CHOOSECOLS(_xlpm.sl,9),_xlpm.x,_xlfn.ANCHORARRAY($GQ$405),_xlpm.V,_xlfn.TAKE(_xlfn.DROP(_xlpm.sl,,10),,$D$28),(_xlpm.x-(_xlpm.mu+_xlpm.sg*MMULT(_xlpm.V,MMULT(TRANSPOSE(_xlpm.V),(_xlpm.x-_xlpm.mu)/_xlpm.sg))))*100)</f>
      </c>
      <c r="GT405" s="11" cm="1">
        <f t="array" aca="1" ref="GT405:GT422" ca="1">_xlfn.LET(_xlpm.sl,_xlfn.ANCHORARRAY($EQ$404),_xlpm.mu,_xlfn.CHOOSECOLS(_xlpm.sl,8),_xlpm.sg,_xlfn.CHOOSECOLS(_xlpm.sl,9),_xlpm.x,_xlfn.ANCHORARRAY($GQ$405),_xlpm.V,_xlfn.TAKE(_xlfn.DROP(_xlpm.sl,,10),,$D$44),(_xlpm.x-(_xlpm.mu+_xlpm.sg*MMULT(_xlpm.V,MMULT(TRANSPOSE(_xlpm.V),(_xlpm.x-_xlpm.mu)/_xlpm.sg))))*100)</f>
      </c>
      <c r="GU405" s="11" cm="1">
        <f t="array" aca="1" ref="GU405:GU422" ca="1">_xlfn.LET(_xlpm.sl,_xlfn.ANCHORARRAY($EQ$404),_xlpm.mu,_xlfn.CHOOSECOLS(_xlpm.sl,8),_xlpm.sg,_xlfn.CHOOSECOLS(_xlpm.sl,9),_xlpm.x,_xlfn.ANCHORARRAY($GQ$405),_xlpm.V,_xlfn.TAKE(_xlfn.DROP(_xlpm.sl,,10),,$D$60),(_xlpm.x-(_xlpm.mu+_xlpm.sg*MMULT(_xlpm.V,MMULT(TRANSPOSE(_xlpm.V),(_xlpm.x-_xlpm.mu)/_xlpm.sg))))*100)</f>
      </c>
      <c r="GV405" s="11" cm="1">
        <f t="array" aca="1" ref="GV405:GV422" ca="1">_xlfn.LET(_xlpm.sl,_xlfn.ANCHORARRAY($EQ$404),_xlpm.mu,_xlfn.CHOOSECOLS(_xlpm.sl,8),_xlpm.sg,_xlfn.CHOOSECOLS(_xlpm.sl,9),_xlpm.x,_xlfn.ANCHORARRAY($GQ$405),_xlpm.V,_xlfn.TAKE(_xlfn.DROP(_xlpm.sl,,10),,$D$76),(_xlpm.x-(_xlpm.mu+_xlpm.sg*MMULT(_xlpm.V,MMULT(TRANSPOSE(_xlpm.V),(_xlpm.x-_xlpm.mu)/_xlpm.sg))))*100)</f>
      </c>
      <c r="GX405" cm="1">
        <f t="array" aca="1" ref="GX405:GX422" ca="1">_xlfn.LET(_xlpm.V,_xlfn.DROP(_xlfn.ANCHORARRAY($EQ$404),,10),IF(1&lt;=COLUMNS(_xlpm.V),_xlfn.CHOOSECOLS(_xlpm.V,1),IF(_xlfn.SEQUENCE(ROWS(_xlpm.V)),NA())))</f>
      </c>
      <c r="GY405" cm="1">
        <f t="array" aca="1" ref="GY405:GY422" ca="1">_xlfn.LET(_xlpm.V,_xlfn.DROP(_xlfn.ANCHORARRAY($EQ$404),,10),IF(2&lt;=COLUMNS(_xlpm.V),_xlfn.CHOOSECOLS(_xlpm.V,2),IF(_xlfn.SEQUENCE(ROWS(_xlpm.V)),NA())))</f>
      </c>
      <c r="GZ405" cm="1">
        <f t="array" aca="1" ref="GZ405:GZ422" ca="1">_xlfn.LET(_xlpm.V,_xlfn.DROP(_xlfn.ANCHORARRAY($EQ$404),,10),IF(3&lt;=COLUMNS(_xlpm.V),_xlfn.CHOOSECOLS(_xlpm.V,3),IF(_xlfn.SEQUENCE(ROWS(_xlpm.V)),NA())))</f>
      </c>
      <c r="HA405" cm="1">
        <f t="array" aca="1" ref="HA405:HA422" ca="1">_xlfn.LET(_xlpm.V,_xlfn.DROP(_xlfn.ANCHORARRAY($EQ$404),,10),IF(4&lt;=COLUMNS(_xlpm.V),_xlfn.CHOOSECOLS(_xlpm.V,4),IF(_xlfn.SEQUENCE(ROWS(_xlpm.V)),NA())))</f>
      </c>
      <c r="HB405" cm="1">
        <f t="array" aca="1" ref="HB405:HB422" ca="1">_xlfn.LET(_xlpm.V,_xlfn.DROP(_xlfn.ANCHORARRAY($EQ$404),,10),IF(5&lt;=COLUMNS(_xlpm.V),_xlfn.CHOOSECOLS(_xlpm.V,5),IF(_xlfn.SEQUENCE(ROWS(_xlpm.V)),NA())))</f>
      </c>
      <c r="HD405" cm="1">
        <f t="array" aca="1" ref="HD405:HD422" ca="1">_xlfn.CHOOSECOLS(_xlfn.ANCHORARRAY($EQ$404),8)</f>
      </c>
      <c r="HE405" cm="1">
        <f t="array" aca="1" ref="HE405:HE422" ca="1">_xlfn.LET(_xlpm.sl,_xlfn.ANCHORARRAY($EQ$404),_xlpm.mu,_xlfn.CHOOSECOLS(_xlpm.sl,8),_xlpm.sg,_xlfn.CHOOSECOLS(_xlpm.sl,9),_xlpm.x,_xlfn.ANCHORARRAY($GQ$405),_xlpm.V,_xlfn.TAKE(_xlfn.DROP(_xlpm.sl,,10),,$D$108),_xlpm.mu+_xlpm.sg*MMULT(_xlpm.V,MMULT(TRANSPOSE(_xlpm.V),(_xlpm.x-_xlpm.mu)/_xlpm.sg)))</f>
      </c>
      <c r="HF405" cm="1">
        <f t="array" aca="1" ref="HF405:HF422" ca="1">_xlfn.CHOOSECOLS(_xlfn.ANCHORARRAY($EQ$404),8)+_xlfn.CHOOSECOLS(_xlfn.ANCHORARRAY($EQ$404),10)</f>
      </c>
      <c r="HG405" cm="1">
        <f t="array" aca="1" ref="HG405:HG422" ca="1">_xlfn.CHOOSECOLS(_xlfn.ANCHORARRAY($EQ$404),8)-_xlfn.CHOOSECOLS(_xlfn.ANCHORARRAY($EQ$404),10)</f>
      </c>
      <c r="HH405" cm="1">
        <f t="array" aca="1" ref="HH405:HH422" ca="1">_xlfn.LET(_xlpm.v,_xlfn.CHOOSECOLS(_xlfn._xlws.FILTER(_xlfn.DROP(_xlfn.ANCHORARRAY($HS$4),1),_xlfn.TAKE(_xlfn.DROP(_xlfn.ANCHORARRAY($HS$4),1),,1)=9),3),IF(_xlpm.v="",NA(),_xlpm.v))</f>
      </c>
      <c r="HI405" cm="1">
        <f t="array" aca="1" ref="HI405:HI422" ca="1">-_xlfn.ANCHORARRAY($HH$405)</f>
      </c>
      <c r="HJ405" cm="1">
        <f t="array" aca="1" ref="HJ405:HJ422" ca="1">_xlfn.LET(_xlpm.v,_xlfn.CHOOSECOLS(_xlfn._xlws.FILTER(_xlfn.DROP(_xlfn.ANCHORARRAY($HS$4),1),_xlfn.TAKE(_xlfn.DROP(_xlfn.ANCHORARRAY($HS$4),1),,1)=9),4),IF(_xlpm.v="",NA(),_xlpm.v))</f>
      </c>
      <c r="HK405" cm="1">
        <f t="array" aca="1" ref="HK405:HK422" ca="1">-_xlfn.ANCHORARRAY($HJ$405)</f>
      </c>
      <c r="HL405" cm="1">
        <f t="array" aca="1" ref="HL405:HL422" ca="1">_xlfn.LET(_xlpm.v,_xlfn.CHOOSECOLS(_xlfn._xlws.FILTER(_xlfn.DROP(_xlfn.ANCHORARRAY($HS$4),1),_xlfn.TAKE(_xlfn.DROP(_xlfn.ANCHORARRAY($HS$4),1),,1)=9),5),IF(_xlpm.v="",NA(),_xlpm.v))</f>
      </c>
      <c r="HM405" cm="1">
        <f t="array" aca="1" ref="HM405:HM422" ca="1">-_xlfn.ANCHORARRAY($HL$405)</f>
      </c>
      <c r="HN405" cm="1">
        <f t="array" aca="1" ref="HN405:HN422" ca="1">_xlfn.LET(_xlpm.v,_xlfn.CHOOSECOLS(_xlfn._xlws.FILTER(_xlfn.DROP(_xlfn.ANCHORARRAY($HS$4),1),_xlfn.TAKE(_xlfn.DROP(_xlfn.ANCHORARRAY($HS$4),1),,1)=9),6),IF(_xlpm.v="",NA(),_xlpm.v))</f>
      </c>
      <c r="HO405" cm="1">
        <f t="array" aca="1" ref="HO405:HO422" ca="1">-_xlfn.ANCHORARRAY($HN$405)</f>
      </c>
      <c r="HP405" cm="1">
        <f t="array" aca="1" ref="HP405:HP422" ca="1">_xlfn.LET(_xlpm.v,_xlfn.CHOOSECOLS(_xlfn._xlws.FILTER(_xlfn.DROP(_xlfn.ANCHORARRAY($HS$4),1),_xlfn.TAKE(_xlfn.DROP(_xlfn.ANCHORARRAY($HS$4),1),,1)=9),7),IF(_xlpm.v="",NA(),_xlpm.v))</f>
      </c>
      <c r="HQ405" cm="1">
        <f t="array" aca="1" ref="HQ405:HQ422" ca="1">-_xlfn.ANCHORARRAY($HP$405)</f>
      </c>
      <c r="HR405" cm="1">
        <f t="array" aca="1" ref="HR405" ca="1">IFERROR(INDEX(_xlfn._xlws.FILTER(_xlfn.DROP(_xlfn.ANCHORARRAY($HS$4),1),_xlfn.TAKE(_xlfn.DROP(_xlfn.ANCHORARRAY($HS$4),1),,1)=9),1,2),"")</f>
      </c>
    </row>
    <row r="406" spans="146:226" x14ac:dyDescent="0.55000000000000004">
      <c r="EQ406">
        <f ca="1"/>
      </c>
      <c r="ER406">
        <f ca="1"/>
      </c>
      <c r="ES406">
        <f ca="1"/>
      </c>
      <c r="ET406">
        <f ca="1"/>
      </c>
      <c r="EU406">
        <f ca="1"/>
      </c>
      <c r="EV406">
        <f ca="1"/>
      </c>
      <c r="EW406">
        <f ca="1"/>
      </c>
      <c r="EX406">
        <f ca="1"/>
      </c>
      <c r="EY406">
        <f ca="1"/>
      </c>
      <c r="EZ406">
        <f ca="1"/>
      </c>
      <c r="FA406">
        <f ca="1"/>
      </c>
      <c r="FB406">
        <f ca="1"/>
      </c>
      <c r="FC406">
        <f ca="1"/>
      </c>
      <c r="FD406">
        <f ca="1"/>
      </c>
      <c r="FE406">
        <f ca="1"/>
      </c>
      <c r="FF406">
        <f ca="1"/>
      </c>
      <c r="FG406">
        <f ca="1"/>
      </c>
      <c r="FH406">
        <f ca="1"/>
      </c>
      <c r="FI406">
        <f ca="1"/>
      </c>
      <c r="FJ406">
        <f ca="1"/>
      </c>
      <c r="FK406">
        <f ca="1"/>
      </c>
      <c r="FL406">
        <f ca="1"/>
      </c>
      <c r="FM406">
        <f ca="1"/>
      </c>
      <c r="FN406">
        <f ca="1"/>
      </c>
      <c r="FO406">
        <f ca="1"/>
      </c>
      <c r="FP406">
        <f ca="1"/>
      </c>
      <c r="FQ406">
        <f ca="1"/>
      </c>
      <c r="FR406">
        <f ca="1"/>
      </c>
      <c r="GQ406">
        <f ca="1"/>
      </c>
      <c r="GR406" s="11">
        <f ca="1"/>
      </c>
      <c r="GS406" s="11">
        <f ca="1"/>
      </c>
      <c r="GT406" s="11">
        <f ca="1"/>
      </c>
      <c r="GU406" s="11">
        <f ca="1"/>
      </c>
      <c r="GV406" s="11">
        <f ca="1"/>
      </c>
      <c r="GX406">
        <f ca="1"/>
      </c>
      <c r="GY406">
        <f ca="1"/>
      </c>
      <c r="GZ406">
        <f ca="1"/>
      </c>
      <c r="HA406">
        <f ca="1"/>
      </c>
      <c r="HB406">
        <f ca="1"/>
      </c>
      <c r="HD406">
        <f ca="1"/>
      </c>
      <c r="HE406">
        <f ca="1"/>
      </c>
      <c r="HF406">
        <f ca="1"/>
      </c>
      <c r="HG406">
        <f ca="1"/>
      </c>
      <c r="HH406">
        <f ca="1"/>
      </c>
      <c r="HI406">
        <f ca="1"/>
      </c>
      <c r="HJ406">
        <f ca="1"/>
      </c>
      <c r="HK406">
        <f ca="1"/>
      </c>
      <c r="HL406">
        <f ca="1"/>
      </c>
      <c r="HM406">
        <f ca="1"/>
      </c>
      <c r="HN406">
        <f ca="1"/>
      </c>
      <c r="HO406">
        <f ca="1"/>
      </c>
      <c r="HP406">
        <f ca="1"/>
      </c>
      <c r="HQ406">
        <f ca="1"/>
      </c>
    </row>
    <row r="407" spans="146:226" x14ac:dyDescent="0.55000000000000004">
      <c r="EQ407">
        <f ca="1"/>
      </c>
      <c r="ER407">
        <f ca="1"/>
      </c>
      <c r="ES407">
        <f ca="1"/>
      </c>
      <c r="ET407">
        <f ca="1"/>
      </c>
      <c r="EU407">
        <f ca="1"/>
      </c>
      <c r="EV407">
        <f ca="1"/>
      </c>
      <c r="EW407">
        <f ca="1"/>
      </c>
      <c r="EX407">
        <f ca="1"/>
      </c>
      <c r="EY407">
        <f ca="1"/>
      </c>
      <c r="EZ407">
        <f ca="1"/>
      </c>
      <c r="FA407">
        <f ca="1"/>
      </c>
      <c r="FB407">
        <f ca="1"/>
      </c>
      <c r="FC407">
        <f ca="1"/>
      </c>
      <c r="FD407">
        <f ca="1"/>
      </c>
      <c r="FE407">
        <f ca="1"/>
      </c>
      <c r="FF407">
        <f ca="1"/>
      </c>
      <c r="FG407">
        <f ca="1"/>
      </c>
      <c r="FH407">
        <f ca="1"/>
      </c>
      <c r="FI407">
        <f ca="1"/>
      </c>
      <c r="FJ407">
        <f ca="1"/>
      </c>
      <c r="FK407">
        <f ca="1"/>
      </c>
      <c r="FL407">
        <f ca="1"/>
      </c>
      <c r="FM407">
        <f ca="1"/>
      </c>
      <c r="FN407">
        <f ca="1"/>
      </c>
      <c r="FO407">
        <f ca="1"/>
      </c>
      <c r="FP407">
        <f ca="1"/>
      </c>
      <c r="FQ407">
        <f ca="1"/>
      </c>
      <c r="FR407">
        <f ca="1"/>
      </c>
      <c r="GQ407">
        <f ca="1"/>
      </c>
      <c r="GR407" s="11">
        <f ca="1"/>
      </c>
      <c r="GS407" s="11">
        <f ca="1"/>
      </c>
      <c r="GT407" s="11">
        <f ca="1"/>
      </c>
      <c r="GU407" s="11">
        <f ca="1"/>
      </c>
      <c r="GV407" s="11">
        <f ca="1"/>
      </c>
      <c r="GX407">
        <f ca="1"/>
      </c>
      <c r="GY407">
        <f ca="1"/>
      </c>
      <c r="GZ407">
        <f ca="1"/>
      </c>
      <c r="HA407">
        <f ca="1"/>
      </c>
      <c r="HB407">
        <f ca="1"/>
      </c>
      <c r="HD407">
        <f ca="1"/>
      </c>
      <c r="HE407">
        <f ca="1"/>
      </c>
      <c r="HF407">
        <f ca="1"/>
      </c>
      <c r="HG407">
        <f ca="1"/>
      </c>
      <c r="HH407">
        <f ca="1"/>
      </c>
      <c r="HI407">
        <f ca="1"/>
      </c>
      <c r="HJ407">
        <f ca="1"/>
      </c>
      <c r="HK407">
        <f ca="1"/>
      </c>
      <c r="HL407">
        <f ca="1"/>
      </c>
      <c r="HM407">
        <f ca="1"/>
      </c>
      <c r="HN407">
        <f ca="1"/>
      </c>
      <c r="HO407">
        <f ca="1"/>
      </c>
      <c r="HP407">
        <f ca="1"/>
      </c>
      <c r="HQ407">
        <f ca="1"/>
      </c>
    </row>
    <row r="408" spans="146:226" x14ac:dyDescent="0.55000000000000004">
      <c r="EQ408">
        <f ca="1"/>
      </c>
      <c r="ER408">
        <f ca="1"/>
      </c>
      <c r="ES408">
        <f ca="1"/>
      </c>
      <c r="ET408">
        <f ca="1"/>
      </c>
      <c r="EU408">
        <f ca="1"/>
      </c>
      <c r="EV408">
        <f ca="1"/>
      </c>
      <c r="EW408">
        <f ca="1"/>
      </c>
      <c r="EX408">
        <f ca="1"/>
      </c>
      <c r="EY408">
        <f ca="1"/>
      </c>
      <c r="EZ408">
        <f ca="1"/>
      </c>
      <c r="FA408">
        <f ca="1"/>
      </c>
      <c r="FB408">
        <f ca="1"/>
      </c>
      <c r="FC408">
        <f ca="1"/>
      </c>
      <c r="FD408">
        <f ca="1"/>
      </c>
      <c r="FE408">
        <f ca="1"/>
      </c>
      <c r="FF408">
        <f ca="1"/>
      </c>
      <c r="FG408">
        <f ca="1"/>
      </c>
      <c r="FH408">
        <f ca="1"/>
      </c>
      <c r="FI408">
        <f ca="1"/>
      </c>
      <c r="FJ408">
        <f ca="1"/>
      </c>
      <c r="FK408">
        <f ca="1"/>
      </c>
      <c r="FL408">
        <f ca="1"/>
      </c>
      <c r="FM408">
        <f ca="1"/>
      </c>
      <c r="FN408">
        <f ca="1"/>
      </c>
      <c r="FO408">
        <f ca="1"/>
      </c>
      <c r="FP408">
        <f ca="1"/>
      </c>
      <c r="FQ408">
        <f ca="1"/>
      </c>
      <c r="FR408">
        <f ca="1"/>
      </c>
      <c r="GQ408">
        <f ca="1"/>
      </c>
      <c r="GR408" s="11">
        <f ca="1"/>
      </c>
      <c r="GS408" s="11">
        <f ca="1"/>
      </c>
      <c r="GT408" s="11">
        <f ca="1"/>
      </c>
      <c r="GU408" s="11">
        <f ca="1"/>
      </c>
      <c r="GV408" s="11">
        <f ca="1"/>
      </c>
      <c r="GX408">
        <f ca="1"/>
      </c>
      <c r="GY408">
        <f ca="1"/>
      </c>
      <c r="GZ408">
        <f ca="1"/>
      </c>
      <c r="HA408">
        <f ca="1"/>
      </c>
      <c r="HB408">
        <f ca="1"/>
      </c>
      <c r="HD408">
        <f ca="1"/>
      </c>
      <c r="HE408">
        <f ca="1"/>
      </c>
      <c r="HF408">
        <f ca="1"/>
      </c>
      <c r="HG408">
        <f ca="1"/>
      </c>
      <c r="HH408">
        <f ca="1"/>
      </c>
      <c r="HI408">
        <f ca="1"/>
      </c>
      <c r="HJ408">
        <f ca="1"/>
      </c>
      <c r="HK408">
        <f ca="1"/>
      </c>
      <c r="HL408">
        <f ca="1"/>
      </c>
      <c r="HM408">
        <f ca="1"/>
      </c>
      <c r="HN408">
        <f ca="1"/>
      </c>
      <c r="HO408">
        <f ca="1"/>
      </c>
      <c r="HP408">
        <f ca="1"/>
      </c>
      <c r="HQ408">
        <f ca="1"/>
      </c>
    </row>
    <row r="409" spans="146:226" x14ac:dyDescent="0.55000000000000004">
      <c r="EQ409">
        <f ca="1"/>
      </c>
      <c r="ER409">
        <f ca="1"/>
      </c>
      <c r="ES409">
        <f ca="1"/>
      </c>
      <c r="ET409">
        <f ca="1"/>
      </c>
      <c r="EU409">
        <f ca="1"/>
      </c>
      <c r="EV409">
        <f ca="1"/>
      </c>
      <c r="EW409">
        <f ca="1"/>
      </c>
      <c r="EX409">
        <f ca="1"/>
      </c>
      <c r="EY409">
        <f ca="1"/>
      </c>
      <c r="EZ409">
        <f ca="1"/>
      </c>
      <c r="FA409">
        <f ca="1"/>
      </c>
      <c r="FB409">
        <f ca="1"/>
      </c>
      <c r="FC409">
        <f ca="1"/>
      </c>
      <c r="FD409">
        <f ca="1"/>
      </c>
      <c r="FE409">
        <f ca="1"/>
      </c>
      <c r="FF409">
        <f ca="1"/>
      </c>
      <c r="FG409">
        <f ca="1"/>
      </c>
      <c r="FH409">
        <f ca="1"/>
      </c>
      <c r="FI409">
        <f ca="1"/>
      </c>
      <c r="FJ409">
        <f ca="1"/>
      </c>
      <c r="FK409">
        <f ca="1"/>
      </c>
      <c r="FL409">
        <f ca="1"/>
      </c>
      <c r="FM409">
        <f ca="1"/>
      </c>
      <c r="FN409">
        <f ca="1"/>
      </c>
      <c r="FO409">
        <f ca="1"/>
      </c>
      <c r="FP409">
        <f ca="1"/>
      </c>
      <c r="FQ409">
        <f ca="1"/>
      </c>
      <c r="FR409">
        <f ca="1"/>
      </c>
      <c r="GQ409">
        <f ca="1"/>
      </c>
      <c r="GR409" s="11">
        <f ca="1"/>
      </c>
      <c r="GS409" s="11">
        <f ca="1"/>
      </c>
      <c r="GT409" s="11">
        <f ca="1"/>
      </c>
      <c r="GU409" s="11">
        <f ca="1"/>
      </c>
      <c r="GV409" s="11">
        <f ca="1"/>
      </c>
      <c r="GX409">
        <f ca="1"/>
      </c>
      <c r="GY409">
        <f ca="1"/>
      </c>
      <c r="GZ409">
        <f ca="1"/>
      </c>
      <c r="HA409">
        <f ca="1"/>
      </c>
      <c r="HB409">
        <f ca="1"/>
      </c>
      <c r="HD409">
        <f ca="1"/>
      </c>
      <c r="HE409">
        <f ca="1"/>
      </c>
      <c r="HF409">
        <f ca="1"/>
      </c>
      <c r="HG409">
        <f ca="1"/>
      </c>
      <c r="HH409">
        <f ca="1"/>
      </c>
      <c r="HI409">
        <f ca="1"/>
      </c>
      <c r="HJ409">
        <f ca="1"/>
      </c>
      <c r="HK409">
        <f ca="1"/>
      </c>
      <c r="HL409">
        <f ca="1"/>
      </c>
      <c r="HM409">
        <f ca="1"/>
      </c>
      <c r="HN409">
        <f ca="1"/>
      </c>
      <c r="HO409">
        <f ca="1"/>
      </c>
      <c r="HP409">
        <f ca="1"/>
      </c>
      <c r="HQ409">
        <f ca="1"/>
      </c>
    </row>
    <row r="410" spans="146:226" x14ac:dyDescent="0.55000000000000004">
      <c r="EQ410">
        <f ca="1"/>
      </c>
      <c r="ER410">
        <f ca="1"/>
      </c>
      <c r="ES410">
        <f ca="1"/>
      </c>
      <c r="ET410">
        <f ca="1"/>
      </c>
      <c r="EU410">
        <f ca="1"/>
      </c>
      <c r="EV410">
        <f ca="1"/>
      </c>
      <c r="EW410">
        <f ca="1"/>
      </c>
      <c r="EX410">
        <f ca="1"/>
      </c>
      <c r="EY410">
        <f ca="1"/>
      </c>
      <c r="EZ410">
        <f ca="1"/>
      </c>
      <c r="FA410">
        <f ca="1"/>
      </c>
      <c r="FB410">
        <f ca="1"/>
      </c>
      <c r="FC410">
        <f ca="1"/>
      </c>
      <c r="FD410">
        <f ca="1"/>
      </c>
      <c r="FE410">
        <f ca="1"/>
      </c>
      <c r="FF410">
        <f ca="1"/>
      </c>
      <c r="FG410">
        <f ca="1"/>
      </c>
      <c r="FH410">
        <f ca="1"/>
      </c>
      <c r="FI410">
        <f ca="1"/>
      </c>
      <c r="FJ410">
        <f ca="1"/>
      </c>
      <c r="FK410">
        <f ca="1"/>
      </c>
      <c r="FL410">
        <f ca="1"/>
      </c>
      <c r="FM410">
        <f ca="1"/>
      </c>
      <c r="FN410">
        <f ca="1"/>
      </c>
      <c r="FO410">
        <f ca="1"/>
      </c>
      <c r="FP410">
        <f ca="1"/>
      </c>
      <c r="FQ410">
        <f ca="1"/>
      </c>
      <c r="FR410">
        <f ca="1"/>
      </c>
      <c r="GQ410">
        <f ca="1"/>
      </c>
      <c r="GR410" s="11">
        <f ca="1"/>
      </c>
      <c r="GS410" s="11">
        <f ca="1"/>
      </c>
      <c r="GT410" s="11">
        <f ca="1"/>
      </c>
      <c r="GU410" s="11">
        <f ca="1"/>
      </c>
      <c r="GV410" s="11">
        <f ca="1"/>
      </c>
      <c r="GX410">
        <f ca="1"/>
      </c>
      <c r="GY410">
        <f ca="1"/>
      </c>
      <c r="GZ410">
        <f ca="1"/>
      </c>
      <c r="HA410">
        <f ca="1"/>
      </c>
      <c r="HB410">
        <f ca="1"/>
      </c>
      <c r="HD410">
        <f ca="1"/>
      </c>
      <c r="HE410">
        <f ca="1"/>
      </c>
      <c r="HF410">
        <f ca="1"/>
      </c>
      <c r="HG410">
        <f ca="1"/>
      </c>
      <c r="HH410">
        <f ca="1"/>
      </c>
      <c r="HI410">
        <f ca="1"/>
      </c>
      <c r="HJ410">
        <f ca="1"/>
      </c>
      <c r="HK410">
        <f ca="1"/>
      </c>
      <c r="HL410">
        <f ca="1"/>
      </c>
      <c r="HM410">
        <f ca="1"/>
      </c>
      <c r="HN410">
        <f ca="1"/>
      </c>
      <c r="HO410">
        <f ca="1"/>
      </c>
      <c r="HP410">
        <f ca="1"/>
      </c>
      <c r="HQ410">
        <f ca="1"/>
      </c>
    </row>
    <row r="411" spans="146:226" x14ac:dyDescent="0.55000000000000004">
      <c r="EQ411">
        <f ca="1"/>
      </c>
      <c r="ER411">
        <f ca="1"/>
      </c>
      <c r="ES411">
        <f ca="1"/>
      </c>
      <c r="ET411">
        <f ca="1"/>
      </c>
      <c r="EU411">
        <f ca="1"/>
      </c>
      <c r="EV411">
        <f ca="1"/>
      </c>
      <c r="EW411">
        <f ca="1"/>
      </c>
      <c r="EX411">
        <f ca="1"/>
      </c>
      <c r="EY411">
        <f ca="1"/>
      </c>
      <c r="EZ411">
        <f ca="1"/>
      </c>
      <c r="FA411">
        <f ca="1"/>
      </c>
      <c r="FB411">
        <f ca="1"/>
      </c>
      <c r="FC411">
        <f ca="1"/>
      </c>
      <c r="FD411">
        <f ca="1"/>
      </c>
      <c r="FE411">
        <f ca="1"/>
      </c>
      <c r="FF411">
        <f ca="1"/>
      </c>
      <c r="FG411">
        <f ca="1"/>
      </c>
      <c r="FH411">
        <f ca="1"/>
      </c>
      <c r="FI411">
        <f ca="1"/>
      </c>
      <c r="FJ411">
        <f ca="1"/>
      </c>
      <c r="FK411">
        <f ca="1"/>
      </c>
      <c r="FL411">
        <f ca="1"/>
      </c>
      <c r="FM411">
        <f ca="1"/>
      </c>
      <c r="FN411">
        <f ca="1"/>
      </c>
      <c r="FO411">
        <f ca="1"/>
      </c>
      <c r="FP411">
        <f ca="1"/>
      </c>
      <c r="FQ411">
        <f ca="1"/>
      </c>
      <c r="FR411">
        <f ca="1"/>
      </c>
      <c r="GQ411">
        <f ca="1"/>
      </c>
      <c r="GR411" s="11">
        <f ca="1"/>
      </c>
      <c r="GS411" s="11">
        <f ca="1"/>
      </c>
      <c r="GT411" s="11">
        <f ca="1"/>
      </c>
      <c r="GU411" s="11">
        <f ca="1"/>
      </c>
      <c r="GV411" s="11">
        <f ca="1"/>
      </c>
      <c r="GX411">
        <f ca="1"/>
      </c>
      <c r="GY411">
        <f ca="1"/>
      </c>
      <c r="GZ411">
        <f ca="1"/>
      </c>
      <c r="HA411">
        <f ca="1"/>
      </c>
      <c r="HB411">
        <f ca="1"/>
      </c>
      <c r="HD411">
        <f ca="1"/>
      </c>
      <c r="HE411">
        <f ca="1"/>
      </c>
      <c r="HF411">
        <f ca="1"/>
      </c>
      <c r="HG411">
        <f ca="1"/>
      </c>
      <c r="HH411">
        <f ca="1"/>
      </c>
      <c r="HI411">
        <f ca="1"/>
      </c>
      <c r="HJ411">
        <f ca="1"/>
      </c>
      <c r="HK411">
        <f ca="1"/>
      </c>
      <c r="HL411">
        <f ca="1"/>
      </c>
      <c r="HM411">
        <f ca="1"/>
      </c>
      <c r="HN411">
        <f ca="1"/>
      </c>
      <c r="HO411">
        <f ca="1"/>
      </c>
      <c r="HP411">
        <f ca="1"/>
      </c>
      <c r="HQ411">
        <f ca="1"/>
      </c>
    </row>
    <row r="412" spans="146:226" x14ac:dyDescent="0.55000000000000004">
      <c r="EQ412">
        <f ca="1"/>
      </c>
      <c r="ER412">
        <f ca="1"/>
      </c>
      <c r="ES412">
        <f ca="1"/>
      </c>
      <c r="ET412">
        <f ca="1"/>
      </c>
      <c r="EU412">
        <f ca="1"/>
      </c>
      <c r="EV412">
        <f ca="1"/>
      </c>
      <c r="EW412">
        <f ca="1"/>
      </c>
      <c r="EX412">
        <f ca="1"/>
      </c>
      <c r="EY412">
        <f ca="1"/>
      </c>
      <c r="EZ412">
        <f ca="1"/>
      </c>
      <c r="FA412">
        <f ca="1"/>
      </c>
      <c r="FB412">
        <f ca="1"/>
      </c>
      <c r="FC412">
        <f ca="1"/>
      </c>
      <c r="FD412">
        <f ca="1"/>
      </c>
      <c r="FE412">
        <f ca="1"/>
      </c>
      <c r="FF412">
        <f ca="1"/>
      </c>
      <c r="FG412">
        <f ca="1"/>
      </c>
      <c r="FH412">
        <f ca="1"/>
      </c>
      <c r="FI412">
        <f ca="1"/>
      </c>
      <c r="FJ412">
        <f ca="1"/>
      </c>
      <c r="FK412">
        <f ca="1"/>
      </c>
      <c r="FL412">
        <f ca="1"/>
      </c>
      <c r="FM412">
        <f ca="1"/>
      </c>
      <c r="FN412">
        <f ca="1"/>
      </c>
      <c r="FO412">
        <f ca="1"/>
      </c>
      <c r="FP412">
        <f ca="1"/>
      </c>
      <c r="FQ412">
        <f ca="1"/>
      </c>
      <c r="FR412">
        <f ca="1"/>
      </c>
      <c r="GQ412">
        <f ca="1"/>
      </c>
      <c r="GR412" s="11">
        <f ca="1"/>
      </c>
      <c r="GS412" s="11">
        <f ca="1"/>
      </c>
      <c r="GT412" s="11">
        <f ca="1"/>
      </c>
      <c r="GU412" s="11">
        <f ca="1"/>
      </c>
      <c r="GV412" s="11">
        <f ca="1"/>
      </c>
      <c r="GX412">
        <f ca="1"/>
      </c>
      <c r="GY412">
        <f ca="1"/>
      </c>
      <c r="GZ412">
        <f ca="1"/>
      </c>
      <c r="HA412">
        <f ca="1"/>
      </c>
      <c r="HB412">
        <f ca="1"/>
      </c>
      <c r="HD412">
        <f ca="1"/>
      </c>
      <c r="HE412">
        <f ca="1"/>
      </c>
      <c r="HF412">
        <f ca="1"/>
      </c>
      <c r="HG412">
        <f ca="1"/>
      </c>
      <c r="HH412">
        <f ca="1"/>
      </c>
      <c r="HI412">
        <f ca="1"/>
      </c>
      <c r="HJ412">
        <f ca="1"/>
      </c>
      <c r="HK412">
        <f ca="1"/>
      </c>
      <c r="HL412">
        <f ca="1"/>
      </c>
      <c r="HM412">
        <f ca="1"/>
      </c>
      <c r="HN412">
        <f ca="1"/>
      </c>
      <c r="HO412">
        <f ca="1"/>
      </c>
      <c r="HP412">
        <f ca="1"/>
      </c>
      <c r="HQ412">
        <f ca="1"/>
      </c>
    </row>
    <row r="413" spans="146:226" x14ac:dyDescent="0.55000000000000004">
      <c r="EQ413">
        <f ca="1"/>
      </c>
      <c r="ER413">
        <f ca="1"/>
      </c>
      <c r="ES413">
        <f ca="1"/>
      </c>
      <c r="ET413">
        <f ca="1"/>
      </c>
      <c r="EU413">
        <f ca="1"/>
      </c>
      <c r="EV413">
        <f ca="1"/>
      </c>
      <c r="EW413">
        <f ca="1"/>
      </c>
      <c r="EX413">
        <f ca="1"/>
      </c>
      <c r="EY413">
        <f ca="1"/>
      </c>
      <c r="EZ413">
        <f ca="1"/>
      </c>
      <c r="FA413">
        <f ca="1"/>
      </c>
      <c r="FB413">
        <f ca="1"/>
      </c>
      <c r="FC413">
        <f ca="1"/>
      </c>
      <c r="FD413">
        <f ca="1"/>
      </c>
      <c r="FE413">
        <f ca="1"/>
      </c>
      <c r="FF413">
        <f ca="1"/>
      </c>
      <c r="FG413">
        <f ca="1"/>
      </c>
      <c r="FH413">
        <f ca="1"/>
      </c>
      <c r="FI413">
        <f ca="1"/>
      </c>
      <c r="FJ413">
        <f ca="1"/>
      </c>
      <c r="FK413">
        <f ca="1"/>
      </c>
      <c r="FL413">
        <f ca="1"/>
      </c>
      <c r="FM413">
        <f ca="1"/>
      </c>
      <c r="FN413">
        <f ca="1"/>
      </c>
      <c r="FO413">
        <f ca="1"/>
      </c>
      <c r="FP413">
        <f ca="1"/>
      </c>
      <c r="FQ413">
        <f ca="1"/>
      </c>
      <c r="FR413">
        <f ca="1"/>
      </c>
      <c r="GQ413">
        <f ca="1"/>
      </c>
      <c r="GR413" s="11">
        <f ca="1"/>
      </c>
      <c r="GS413" s="11">
        <f ca="1"/>
      </c>
      <c r="GT413" s="11">
        <f ca="1"/>
      </c>
      <c r="GU413" s="11">
        <f ca="1"/>
      </c>
      <c r="GV413" s="11">
        <f ca="1"/>
      </c>
      <c r="GX413">
        <f ca="1"/>
      </c>
      <c r="GY413">
        <f ca="1"/>
      </c>
      <c r="GZ413">
        <f ca="1"/>
      </c>
      <c r="HA413">
        <f ca="1"/>
      </c>
      <c r="HB413">
        <f ca="1"/>
      </c>
      <c r="HD413">
        <f ca="1"/>
      </c>
      <c r="HE413">
        <f ca="1"/>
      </c>
      <c r="HF413">
        <f ca="1"/>
      </c>
      <c r="HG413">
        <f ca="1"/>
      </c>
      <c r="HH413">
        <f ca="1"/>
      </c>
      <c r="HI413">
        <f ca="1"/>
      </c>
      <c r="HJ413">
        <f ca="1"/>
      </c>
      <c r="HK413">
        <f ca="1"/>
      </c>
      <c r="HL413">
        <f ca="1"/>
      </c>
      <c r="HM413">
        <f ca="1"/>
      </c>
      <c r="HN413">
        <f ca="1"/>
      </c>
      <c r="HO413">
        <f ca="1"/>
      </c>
      <c r="HP413">
        <f ca="1"/>
      </c>
      <c r="HQ413">
        <f ca="1"/>
      </c>
    </row>
    <row r="414" spans="146:226" x14ac:dyDescent="0.55000000000000004">
      <c r="EQ414">
        <f ca="1"/>
      </c>
      <c r="ER414">
        <f ca="1"/>
      </c>
      <c r="ES414">
        <f ca="1"/>
      </c>
      <c r="ET414">
        <f ca="1"/>
      </c>
      <c r="EU414">
        <f ca="1"/>
      </c>
      <c r="EV414">
        <f ca="1"/>
      </c>
      <c r="EW414">
        <f ca="1"/>
      </c>
      <c r="EX414">
        <f ca="1"/>
      </c>
      <c r="EY414">
        <f ca="1"/>
      </c>
      <c r="EZ414">
        <f ca="1"/>
      </c>
      <c r="FA414">
        <f ca="1"/>
      </c>
      <c r="FB414">
        <f ca="1"/>
      </c>
      <c r="FC414">
        <f ca="1"/>
      </c>
      <c r="FD414">
        <f ca="1"/>
      </c>
      <c r="FE414">
        <f ca="1"/>
      </c>
      <c r="FF414">
        <f ca="1"/>
      </c>
      <c r="FG414">
        <f ca="1"/>
      </c>
      <c r="FH414">
        <f ca="1"/>
      </c>
      <c r="FI414">
        <f ca="1"/>
      </c>
      <c r="FJ414">
        <f ca="1"/>
      </c>
      <c r="FK414">
        <f ca="1"/>
      </c>
      <c r="FL414">
        <f ca="1"/>
      </c>
      <c r="FM414">
        <f ca="1"/>
      </c>
      <c r="FN414">
        <f ca="1"/>
      </c>
      <c r="FO414">
        <f ca="1"/>
      </c>
      <c r="FP414">
        <f ca="1"/>
      </c>
      <c r="FQ414">
        <f ca="1"/>
      </c>
      <c r="FR414">
        <f ca="1"/>
      </c>
      <c r="GQ414">
        <f ca="1"/>
      </c>
      <c r="GR414" s="11">
        <f ca="1"/>
      </c>
      <c r="GS414" s="11">
        <f ca="1"/>
      </c>
      <c r="GT414" s="11">
        <f ca="1"/>
      </c>
      <c r="GU414" s="11">
        <f ca="1"/>
      </c>
      <c r="GV414" s="11">
        <f ca="1"/>
      </c>
      <c r="GX414">
        <f ca="1"/>
      </c>
      <c r="GY414">
        <f ca="1"/>
      </c>
      <c r="GZ414">
        <f ca="1"/>
      </c>
      <c r="HA414">
        <f ca="1"/>
      </c>
      <c r="HB414">
        <f ca="1"/>
      </c>
      <c r="HD414">
        <f ca="1"/>
      </c>
      <c r="HE414">
        <f ca="1"/>
      </c>
      <c r="HF414">
        <f ca="1"/>
      </c>
      <c r="HG414">
        <f ca="1"/>
      </c>
      <c r="HH414">
        <f ca="1"/>
      </c>
      <c r="HI414">
        <f ca="1"/>
      </c>
      <c r="HJ414">
        <f ca="1"/>
      </c>
      <c r="HK414">
        <f ca="1"/>
      </c>
      <c r="HL414">
        <f ca="1"/>
      </c>
      <c r="HM414">
        <f ca="1"/>
      </c>
      <c r="HN414">
        <f ca="1"/>
      </c>
      <c r="HO414">
        <f ca="1"/>
      </c>
      <c r="HP414">
        <f ca="1"/>
      </c>
      <c r="HQ414">
        <f ca="1"/>
      </c>
    </row>
    <row r="415" spans="146:226" x14ac:dyDescent="0.55000000000000004">
      <c r="EQ415">
        <f ca="1"/>
      </c>
      <c r="ER415">
        <f ca="1"/>
      </c>
      <c r="ES415">
        <f ca="1"/>
      </c>
      <c r="ET415">
        <f ca="1"/>
      </c>
      <c r="EU415">
        <f ca="1"/>
      </c>
      <c r="EV415">
        <f ca="1"/>
      </c>
      <c r="EW415">
        <f ca="1"/>
      </c>
      <c r="EX415">
        <f ca="1"/>
      </c>
      <c r="EY415">
        <f ca="1"/>
      </c>
      <c r="EZ415">
        <f ca="1"/>
      </c>
      <c r="FA415">
        <f ca="1"/>
      </c>
      <c r="FB415">
        <f ca="1"/>
      </c>
      <c r="FC415">
        <f ca="1"/>
      </c>
      <c r="FD415">
        <f ca="1"/>
      </c>
      <c r="FE415">
        <f ca="1"/>
      </c>
      <c r="FF415">
        <f ca="1"/>
      </c>
      <c r="FG415">
        <f ca="1"/>
      </c>
      <c r="FH415">
        <f ca="1"/>
      </c>
      <c r="FI415">
        <f ca="1"/>
      </c>
      <c r="FJ415">
        <f ca="1"/>
      </c>
      <c r="FK415">
        <f ca="1"/>
      </c>
      <c r="FL415">
        <f ca="1"/>
      </c>
      <c r="FM415">
        <f ca="1"/>
      </c>
      <c r="FN415">
        <f ca="1"/>
      </c>
      <c r="FO415">
        <f ca="1"/>
      </c>
      <c r="FP415">
        <f ca="1"/>
      </c>
      <c r="FQ415">
        <f ca="1"/>
      </c>
      <c r="FR415">
        <f ca="1"/>
      </c>
      <c r="GQ415">
        <f ca="1"/>
      </c>
      <c r="GR415" s="11">
        <f ca="1"/>
      </c>
      <c r="GS415" s="11">
        <f ca="1"/>
      </c>
      <c r="GT415" s="11">
        <f ca="1"/>
      </c>
      <c r="GU415" s="11">
        <f ca="1"/>
      </c>
      <c r="GV415" s="11">
        <f ca="1"/>
      </c>
      <c r="GX415">
        <f ca="1"/>
      </c>
      <c r="GY415">
        <f ca="1"/>
      </c>
      <c r="GZ415">
        <f ca="1"/>
      </c>
      <c r="HA415">
        <f ca="1"/>
      </c>
      <c r="HB415">
        <f ca="1"/>
      </c>
      <c r="HD415">
        <f ca="1"/>
      </c>
      <c r="HE415">
        <f ca="1"/>
      </c>
      <c r="HF415">
        <f ca="1"/>
      </c>
      <c r="HG415">
        <f ca="1"/>
      </c>
      <c r="HH415">
        <f ca="1"/>
      </c>
      <c r="HI415">
        <f ca="1"/>
      </c>
      <c r="HJ415">
        <f ca="1"/>
      </c>
      <c r="HK415">
        <f ca="1"/>
      </c>
      <c r="HL415">
        <f ca="1"/>
      </c>
      <c r="HM415">
        <f ca="1"/>
      </c>
      <c r="HN415">
        <f ca="1"/>
      </c>
      <c r="HO415">
        <f ca="1"/>
      </c>
      <c r="HP415">
        <f ca="1"/>
      </c>
      <c r="HQ415">
        <f ca="1"/>
      </c>
    </row>
    <row r="416" spans="146:226" x14ac:dyDescent="0.55000000000000004">
      <c r="EQ416">
        <f ca="1"/>
      </c>
      <c r="ER416">
        <f ca="1"/>
      </c>
      <c r="ES416">
        <f ca="1"/>
      </c>
      <c r="ET416">
        <f ca="1"/>
      </c>
      <c r="EU416">
        <f ca="1"/>
      </c>
      <c r="EV416">
        <f ca="1"/>
      </c>
      <c r="EW416">
        <f ca="1"/>
      </c>
      <c r="EX416">
        <f ca="1"/>
      </c>
      <c r="EY416">
        <f ca="1"/>
      </c>
      <c r="EZ416">
        <f ca="1"/>
      </c>
      <c r="FA416">
        <f ca="1"/>
      </c>
      <c r="FB416">
        <f ca="1"/>
      </c>
      <c r="FC416">
        <f ca="1"/>
      </c>
      <c r="FD416">
        <f ca="1"/>
      </c>
      <c r="FE416">
        <f ca="1"/>
      </c>
      <c r="FF416">
        <f ca="1"/>
      </c>
      <c r="FG416">
        <f ca="1"/>
      </c>
      <c r="FH416">
        <f ca="1"/>
      </c>
      <c r="FI416">
        <f ca="1"/>
      </c>
      <c r="FJ416">
        <f ca="1"/>
      </c>
      <c r="FK416">
        <f ca="1"/>
      </c>
      <c r="FL416">
        <f ca="1"/>
      </c>
      <c r="FM416">
        <f ca="1"/>
      </c>
      <c r="FN416">
        <f ca="1"/>
      </c>
      <c r="FO416">
        <f ca="1"/>
      </c>
      <c r="FP416">
        <f ca="1"/>
      </c>
      <c r="FQ416">
        <f ca="1"/>
      </c>
      <c r="FR416">
        <f ca="1"/>
      </c>
      <c r="GQ416">
        <f ca="1"/>
      </c>
      <c r="GR416" s="11">
        <f ca="1"/>
      </c>
      <c r="GS416" s="11">
        <f ca="1"/>
      </c>
      <c r="GT416" s="11">
        <f ca="1"/>
      </c>
      <c r="GU416" s="11">
        <f ca="1"/>
      </c>
      <c r="GV416" s="11">
        <f ca="1"/>
      </c>
      <c r="GX416">
        <f ca="1"/>
      </c>
      <c r="GY416">
        <f ca="1"/>
      </c>
      <c r="GZ416">
        <f ca="1"/>
      </c>
      <c r="HA416">
        <f ca="1"/>
      </c>
      <c r="HB416">
        <f ca="1"/>
      </c>
      <c r="HD416">
        <f ca="1"/>
      </c>
      <c r="HE416">
        <f ca="1"/>
      </c>
      <c r="HF416">
        <f ca="1"/>
      </c>
      <c r="HG416">
        <f ca="1"/>
      </c>
      <c r="HH416">
        <f ca="1"/>
      </c>
      <c r="HI416">
        <f ca="1"/>
      </c>
      <c r="HJ416">
        <f ca="1"/>
      </c>
      <c r="HK416">
        <f ca="1"/>
      </c>
      <c r="HL416">
        <f ca="1"/>
      </c>
      <c r="HM416">
        <f ca="1"/>
      </c>
      <c r="HN416">
        <f ca="1"/>
      </c>
      <c r="HO416">
        <f ca="1"/>
      </c>
      <c r="HP416">
        <f ca="1"/>
      </c>
      <c r="HQ416">
        <f ca="1"/>
      </c>
    </row>
    <row r="417" spans="147:225" x14ac:dyDescent="0.55000000000000004">
      <c r="EQ417">
        <f ca="1"/>
      </c>
      <c r="ER417">
        <f ca="1"/>
      </c>
      <c r="ES417">
        <f ca="1"/>
      </c>
      <c r="ET417">
        <f ca="1"/>
      </c>
      <c r="EU417">
        <f ca="1"/>
      </c>
      <c r="EV417">
        <f ca="1"/>
      </c>
      <c r="EW417">
        <f ca="1"/>
      </c>
      <c r="EX417">
        <f ca="1"/>
      </c>
      <c r="EY417">
        <f ca="1"/>
      </c>
      <c r="EZ417">
        <f ca="1"/>
      </c>
      <c r="FA417">
        <f ca="1"/>
      </c>
      <c r="FB417">
        <f ca="1"/>
      </c>
      <c r="FC417">
        <f ca="1"/>
      </c>
      <c r="FD417">
        <f ca="1"/>
      </c>
      <c r="FE417">
        <f ca="1"/>
      </c>
      <c r="FF417">
        <f ca="1"/>
      </c>
      <c r="FG417">
        <f ca="1"/>
      </c>
      <c r="FH417">
        <f ca="1"/>
      </c>
      <c r="FI417">
        <f ca="1"/>
      </c>
      <c r="FJ417">
        <f ca="1"/>
      </c>
      <c r="FK417">
        <f ca="1"/>
      </c>
      <c r="FL417">
        <f ca="1"/>
      </c>
      <c r="FM417">
        <f ca="1"/>
      </c>
      <c r="FN417">
        <f ca="1"/>
      </c>
      <c r="FO417">
        <f ca="1"/>
      </c>
      <c r="FP417">
        <f ca="1"/>
      </c>
      <c r="FQ417">
        <f ca="1"/>
      </c>
      <c r="FR417">
        <f ca="1"/>
      </c>
      <c r="GQ417">
        <f ca="1"/>
      </c>
      <c r="GR417" s="11">
        <f ca="1"/>
      </c>
      <c r="GS417" s="11">
        <f ca="1"/>
      </c>
      <c r="GT417" s="11">
        <f ca="1"/>
      </c>
      <c r="GU417" s="11">
        <f ca="1"/>
      </c>
      <c r="GV417" s="11">
        <f ca="1"/>
      </c>
      <c r="GX417">
        <f ca="1"/>
      </c>
      <c r="GY417">
        <f ca="1"/>
      </c>
      <c r="GZ417">
        <f ca="1"/>
      </c>
      <c r="HA417">
        <f ca="1"/>
      </c>
      <c r="HB417">
        <f ca="1"/>
      </c>
      <c r="HD417">
        <f ca="1"/>
      </c>
      <c r="HE417">
        <f ca="1"/>
      </c>
      <c r="HF417">
        <f ca="1"/>
      </c>
      <c r="HG417">
        <f ca="1"/>
      </c>
      <c r="HH417">
        <f ca="1"/>
      </c>
      <c r="HI417">
        <f ca="1"/>
      </c>
      <c r="HJ417">
        <f ca="1"/>
      </c>
      <c r="HK417">
        <f ca="1"/>
      </c>
      <c r="HL417">
        <f ca="1"/>
      </c>
      <c r="HM417">
        <f ca="1"/>
      </c>
      <c r="HN417">
        <f ca="1"/>
      </c>
      <c r="HO417">
        <f ca="1"/>
      </c>
      <c r="HP417">
        <f ca="1"/>
      </c>
      <c r="HQ417">
        <f ca="1"/>
      </c>
    </row>
    <row r="418" spans="147:225" x14ac:dyDescent="0.55000000000000004">
      <c r="EQ418">
        <f ca="1"/>
      </c>
      <c r="ER418">
        <f ca="1"/>
      </c>
      <c r="ES418">
        <f ca="1"/>
      </c>
      <c r="ET418">
        <f ca="1"/>
      </c>
      <c r="EU418">
        <f ca="1"/>
      </c>
      <c r="EV418">
        <f ca="1"/>
      </c>
      <c r="EW418">
        <f ca="1"/>
      </c>
      <c r="EX418">
        <f ca="1"/>
      </c>
      <c r="EY418">
        <f ca="1"/>
      </c>
      <c r="EZ418">
        <f ca="1"/>
      </c>
      <c r="FA418">
        <f ca="1"/>
      </c>
      <c r="FB418">
        <f ca="1"/>
      </c>
      <c r="FC418">
        <f ca="1"/>
      </c>
      <c r="FD418">
        <f ca="1"/>
      </c>
      <c r="FE418">
        <f ca="1"/>
      </c>
      <c r="FF418">
        <f ca="1"/>
      </c>
      <c r="FG418">
        <f ca="1"/>
      </c>
      <c r="FH418">
        <f ca="1"/>
      </c>
      <c r="FI418">
        <f ca="1"/>
      </c>
      <c r="FJ418">
        <f ca="1"/>
      </c>
      <c r="FK418">
        <f ca="1"/>
      </c>
      <c r="FL418">
        <f ca="1"/>
      </c>
      <c r="FM418">
        <f ca="1"/>
      </c>
      <c r="FN418">
        <f ca="1"/>
      </c>
      <c r="FO418">
        <f ca="1"/>
      </c>
      <c r="FP418">
        <f ca="1"/>
      </c>
      <c r="FQ418">
        <f ca="1"/>
      </c>
      <c r="FR418">
        <f ca="1"/>
      </c>
      <c r="GQ418">
        <f ca="1"/>
      </c>
      <c r="GR418" s="11">
        <f ca="1"/>
      </c>
      <c r="GS418" s="11">
        <f ca="1"/>
      </c>
      <c r="GT418" s="11">
        <f ca="1"/>
      </c>
      <c r="GU418" s="11">
        <f ca="1"/>
      </c>
      <c r="GV418" s="11">
        <f ca="1"/>
      </c>
      <c r="GX418">
        <f ca="1"/>
      </c>
      <c r="GY418">
        <f ca="1"/>
      </c>
      <c r="GZ418">
        <f ca="1"/>
      </c>
      <c r="HA418">
        <f ca="1"/>
      </c>
      <c r="HB418">
        <f ca="1"/>
      </c>
      <c r="HD418">
        <f ca="1"/>
      </c>
      <c r="HE418">
        <f ca="1"/>
      </c>
      <c r="HF418">
        <f ca="1"/>
      </c>
      <c r="HG418">
        <f ca="1"/>
      </c>
      <c r="HH418">
        <f ca="1"/>
      </c>
      <c r="HI418">
        <f ca="1"/>
      </c>
      <c r="HJ418">
        <f ca="1"/>
      </c>
      <c r="HK418">
        <f ca="1"/>
      </c>
      <c r="HL418">
        <f ca="1"/>
      </c>
      <c r="HM418">
        <f ca="1"/>
      </c>
      <c r="HN418">
        <f ca="1"/>
      </c>
      <c r="HO418">
        <f ca="1"/>
      </c>
      <c r="HP418">
        <f ca="1"/>
      </c>
      <c r="HQ418">
        <f ca="1"/>
      </c>
    </row>
    <row r="419" spans="147:225" x14ac:dyDescent="0.55000000000000004">
      <c r="EQ419">
        <f ca="1"/>
      </c>
      <c r="ER419">
        <f ca="1"/>
      </c>
      <c r="ES419">
        <f ca="1"/>
      </c>
      <c r="ET419">
        <f ca="1"/>
      </c>
      <c r="EU419">
        <f ca="1"/>
      </c>
      <c r="EV419">
        <f ca="1"/>
      </c>
      <c r="EW419">
        <f ca="1"/>
      </c>
      <c r="EX419">
        <f ca="1"/>
      </c>
      <c r="EY419">
        <f ca="1"/>
      </c>
      <c r="EZ419">
        <f ca="1"/>
      </c>
      <c r="FA419">
        <f ca="1"/>
      </c>
      <c r="FB419">
        <f ca="1"/>
      </c>
      <c r="FC419">
        <f ca="1"/>
      </c>
      <c r="FD419">
        <f ca="1"/>
      </c>
      <c r="FE419">
        <f ca="1"/>
      </c>
      <c r="FF419">
        <f ca="1"/>
      </c>
      <c r="FG419">
        <f ca="1"/>
      </c>
      <c r="FH419">
        <f ca="1"/>
      </c>
      <c r="FI419">
        <f ca="1"/>
      </c>
      <c r="FJ419">
        <f ca="1"/>
      </c>
      <c r="FK419">
        <f ca="1"/>
      </c>
      <c r="FL419">
        <f ca="1"/>
      </c>
      <c r="FM419">
        <f ca="1"/>
      </c>
      <c r="FN419">
        <f ca="1"/>
      </c>
      <c r="FO419">
        <f ca="1"/>
      </c>
      <c r="FP419">
        <f ca="1"/>
      </c>
      <c r="FQ419">
        <f ca="1"/>
      </c>
      <c r="FR419">
        <f ca="1"/>
      </c>
      <c r="GQ419">
        <f ca="1"/>
      </c>
      <c r="GR419" s="11">
        <f ca="1"/>
      </c>
      <c r="GS419" s="11">
        <f ca="1"/>
      </c>
      <c r="GT419" s="11">
        <f ca="1"/>
      </c>
      <c r="GU419" s="11">
        <f ca="1"/>
      </c>
      <c r="GV419" s="11">
        <f ca="1"/>
      </c>
      <c r="GX419">
        <f ca="1"/>
      </c>
      <c r="GY419">
        <f ca="1"/>
      </c>
      <c r="GZ419">
        <f ca="1"/>
      </c>
      <c r="HA419">
        <f ca="1"/>
      </c>
      <c r="HB419">
        <f ca="1"/>
      </c>
      <c r="HD419">
        <f ca="1"/>
      </c>
      <c r="HE419">
        <f ca="1"/>
      </c>
      <c r="HF419">
        <f ca="1"/>
      </c>
      <c r="HG419">
        <f ca="1"/>
      </c>
      <c r="HH419">
        <f ca="1"/>
      </c>
      <c r="HI419">
        <f ca="1"/>
      </c>
      <c r="HJ419">
        <f ca="1"/>
      </c>
      <c r="HK419">
        <f ca="1"/>
      </c>
      <c r="HL419">
        <f ca="1"/>
      </c>
      <c r="HM419">
        <f ca="1"/>
      </c>
      <c r="HN419">
        <f ca="1"/>
      </c>
      <c r="HO419">
        <f ca="1"/>
      </c>
      <c r="HP419">
        <f ca="1"/>
      </c>
      <c r="HQ419">
        <f ca="1"/>
      </c>
    </row>
    <row r="420" spans="147:225" x14ac:dyDescent="0.55000000000000004">
      <c r="EQ420">
        <f ca="1"/>
      </c>
      <c r="ER420">
        <f ca="1"/>
      </c>
      <c r="ES420">
        <f ca="1"/>
      </c>
      <c r="ET420">
        <f ca="1"/>
      </c>
      <c r="EU420">
        <f ca="1"/>
      </c>
      <c r="EV420">
        <f ca="1"/>
      </c>
      <c r="EW420">
        <f ca="1"/>
      </c>
      <c r="EX420">
        <f ca="1"/>
      </c>
      <c r="EY420">
        <f ca="1"/>
      </c>
      <c r="EZ420">
        <f ca="1"/>
      </c>
      <c r="FA420">
        <f ca="1"/>
      </c>
      <c r="FB420">
        <f ca="1"/>
      </c>
      <c r="FC420">
        <f ca="1"/>
      </c>
      <c r="FD420">
        <f ca="1"/>
      </c>
      <c r="FE420">
        <f ca="1"/>
      </c>
      <c r="FF420">
        <f ca="1"/>
      </c>
      <c r="FG420">
        <f ca="1"/>
      </c>
      <c r="FH420">
        <f ca="1"/>
      </c>
      <c r="FI420">
        <f ca="1"/>
      </c>
      <c r="FJ420">
        <f ca="1"/>
      </c>
      <c r="FK420">
        <f ca="1"/>
      </c>
      <c r="FL420">
        <f ca="1"/>
      </c>
      <c r="FM420">
        <f ca="1"/>
      </c>
      <c r="FN420">
        <f ca="1"/>
      </c>
      <c r="FO420">
        <f ca="1"/>
      </c>
      <c r="FP420">
        <f ca="1"/>
      </c>
      <c r="FQ420">
        <f ca="1"/>
      </c>
      <c r="FR420">
        <f ca="1"/>
      </c>
      <c r="GQ420">
        <f ca="1"/>
      </c>
      <c r="GR420" s="11">
        <f ca="1"/>
      </c>
      <c r="GS420" s="11">
        <f ca="1"/>
      </c>
      <c r="GT420" s="11">
        <f ca="1"/>
      </c>
      <c r="GU420" s="11">
        <f ca="1"/>
      </c>
      <c r="GV420" s="11">
        <f ca="1"/>
      </c>
      <c r="GX420">
        <f ca="1"/>
      </c>
      <c r="GY420">
        <f ca="1"/>
      </c>
      <c r="GZ420">
        <f ca="1"/>
      </c>
      <c r="HA420">
        <f ca="1"/>
      </c>
      <c r="HB420">
        <f ca="1"/>
      </c>
      <c r="HD420">
        <f ca="1"/>
      </c>
      <c r="HE420">
        <f ca="1"/>
      </c>
      <c r="HF420">
        <f ca="1"/>
      </c>
      <c r="HG420">
        <f ca="1"/>
      </c>
      <c r="HH420">
        <f ca="1"/>
      </c>
      <c r="HI420">
        <f ca="1"/>
      </c>
      <c r="HJ420">
        <f ca="1"/>
      </c>
      <c r="HK420">
        <f ca="1"/>
      </c>
      <c r="HL420">
        <f ca="1"/>
      </c>
      <c r="HM420">
        <f ca="1"/>
      </c>
      <c r="HN420">
        <f ca="1"/>
      </c>
      <c r="HO420">
        <f ca="1"/>
      </c>
      <c r="HP420">
        <f ca="1"/>
      </c>
      <c r="HQ420">
        <f ca="1"/>
      </c>
    </row>
    <row r="421" spans="147:225" x14ac:dyDescent="0.55000000000000004">
      <c r="EQ421">
        <f ca="1"/>
      </c>
      <c r="ER421">
        <f ca="1"/>
      </c>
      <c r="ES421">
        <f ca="1"/>
      </c>
      <c r="ET421">
        <f ca="1"/>
      </c>
      <c r="EU421">
        <f ca="1"/>
      </c>
      <c r="EV421">
        <f ca="1"/>
      </c>
      <c r="EW421">
        <f ca="1"/>
      </c>
      <c r="EX421">
        <f ca="1"/>
      </c>
      <c r="EY421">
        <f ca="1"/>
      </c>
      <c r="EZ421">
        <f ca="1"/>
      </c>
      <c r="FA421">
        <f ca="1"/>
      </c>
      <c r="FB421">
        <f ca="1"/>
      </c>
      <c r="FC421">
        <f ca="1"/>
      </c>
      <c r="FD421">
        <f ca="1"/>
      </c>
      <c r="FE421">
        <f ca="1"/>
      </c>
      <c r="FF421">
        <f ca="1"/>
      </c>
      <c r="FG421">
        <f ca="1"/>
      </c>
      <c r="FH421">
        <f ca="1"/>
      </c>
      <c r="FI421">
        <f ca="1"/>
      </c>
      <c r="FJ421">
        <f ca="1"/>
      </c>
      <c r="FK421">
        <f ca="1"/>
      </c>
      <c r="FL421">
        <f ca="1"/>
      </c>
      <c r="FM421">
        <f ca="1"/>
      </c>
      <c r="FN421">
        <f ca="1"/>
      </c>
      <c r="FO421">
        <f ca="1"/>
      </c>
      <c r="FP421">
        <f ca="1"/>
      </c>
      <c r="FQ421">
        <f ca="1"/>
      </c>
      <c r="FR421">
        <f ca="1"/>
      </c>
      <c r="GQ421">
        <f ca="1"/>
      </c>
      <c r="GR421" s="11">
        <f ca="1"/>
      </c>
      <c r="GS421" s="11">
        <f ca="1"/>
      </c>
      <c r="GT421" s="11">
        <f ca="1"/>
      </c>
      <c r="GU421" s="11">
        <f ca="1"/>
      </c>
      <c r="GV421" s="11">
        <f ca="1"/>
      </c>
      <c r="GX421">
        <f ca="1"/>
      </c>
      <c r="GY421">
        <f ca="1"/>
      </c>
      <c r="GZ421">
        <f ca="1"/>
      </c>
      <c r="HA421">
        <f ca="1"/>
      </c>
      <c r="HB421">
        <f ca="1"/>
      </c>
      <c r="HD421">
        <f ca="1"/>
      </c>
      <c r="HE421">
        <f ca="1"/>
      </c>
      <c r="HF421">
        <f ca="1"/>
      </c>
      <c r="HG421">
        <f ca="1"/>
      </c>
      <c r="HH421">
        <f ca="1"/>
      </c>
      <c r="HI421">
        <f ca="1"/>
      </c>
      <c r="HJ421">
        <f ca="1"/>
      </c>
      <c r="HK421">
        <f ca="1"/>
      </c>
      <c r="HL421">
        <f ca="1"/>
      </c>
      <c r="HM421">
        <f ca="1"/>
      </c>
      <c r="HN421">
        <f ca="1"/>
      </c>
      <c r="HO421">
        <f ca="1"/>
      </c>
      <c r="HP421">
        <f ca="1"/>
      </c>
      <c r="HQ421">
        <f ca="1"/>
      </c>
    </row>
    <row r="422" spans="147:225" x14ac:dyDescent="0.55000000000000004">
      <c r="GQ422">
        <f ca="1"/>
      </c>
      <c r="GR422" s="11">
        <f ca="1"/>
      </c>
      <c r="GS422" s="11">
        <f ca="1"/>
      </c>
      <c r="GT422" s="11">
        <f ca="1"/>
      </c>
      <c r="GU422" s="11">
        <f ca="1"/>
      </c>
      <c r="GV422" s="11">
        <f ca="1"/>
      </c>
      <c r="GX422">
        <f ca="1"/>
      </c>
      <c r="GY422">
        <f ca="1"/>
      </c>
      <c r="GZ422">
        <f ca="1"/>
      </c>
      <c r="HA422">
        <f ca="1"/>
      </c>
      <c r="HB422">
        <f ca="1"/>
      </c>
      <c r="HD422">
        <f ca="1"/>
      </c>
      <c r="HE422">
        <f ca="1"/>
      </c>
      <c r="HF422">
        <f ca="1"/>
      </c>
      <c r="HG422">
        <f ca="1"/>
      </c>
      <c r="HH422">
        <f ca="1"/>
      </c>
      <c r="HI422">
        <f ca="1"/>
      </c>
      <c r="HJ422">
        <f ca="1"/>
      </c>
      <c r="HK422">
        <f ca="1"/>
      </c>
      <c r="HL422">
        <f ca="1"/>
      </c>
      <c r="HM422">
        <f ca="1"/>
      </c>
      <c r="HN422">
        <f ca="1"/>
      </c>
      <c r="HO422">
        <f ca="1"/>
      </c>
      <c r="HP422">
        <f ca="1"/>
      </c>
      <c r="HQ422">
        <f ca="1"/>
      </c>
    </row>
    <row r="423" spans="147:225" x14ac:dyDescent="0.55000000000000004">
      <c r="GR423" s="11"/>
      <c r="GS423" s="11"/>
      <c r="GT423" s="11"/>
      <c r="GU423" s="11"/>
      <c r="GV423" s="11"/>
    </row>
    <row r="424" spans="147:225" x14ac:dyDescent="0.55000000000000004">
      <c r="GR424" s="11"/>
      <c r="GS424" s="11"/>
      <c r="GT424" s="11"/>
      <c r="GU424" s="11"/>
      <c r="GV424" s="11"/>
    </row>
    <row r="425" spans="147:225" x14ac:dyDescent="0.55000000000000004">
      <c r="GR425" s="11"/>
      <c r="GS425" s="11"/>
      <c r="GT425" s="11"/>
      <c r="GU425" s="11"/>
      <c r="GV425" s="11"/>
    </row>
    <row r="426" spans="147:225" x14ac:dyDescent="0.55000000000000004">
      <c r="GR426" s="11"/>
      <c r="GS426" s="11"/>
      <c r="GT426" s="11"/>
      <c r="GU426" s="11"/>
      <c r="GV426" s="11"/>
    </row>
    <row r="427" spans="147:225" x14ac:dyDescent="0.55000000000000004">
      <c r="GR427" s="11"/>
      <c r="GS427" s="11"/>
      <c r="GT427" s="11"/>
      <c r="GU427" s="11"/>
      <c r="GV427" s="11"/>
    </row>
    <row r="428" spans="147:225" x14ac:dyDescent="0.55000000000000004">
      <c r="GR428" s="11"/>
      <c r="GS428" s="11"/>
      <c r="GT428" s="11"/>
      <c r="GU428" s="11"/>
      <c r="GV428" s="11"/>
    </row>
    <row r="429" spans="147:225" x14ac:dyDescent="0.55000000000000004">
      <c r="GR429" s="11"/>
      <c r="GS429" s="11"/>
      <c r="GT429" s="11"/>
      <c r="GU429" s="11"/>
      <c r="GV429" s="11"/>
    </row>
    <row r="430" spans="147:225" x14ac:dyDescent="0.55000000000000004">
      <c r="GR430" s="11"/>
      <c r="GS430" s="11"/>
      <c r="GT430" s="11"/>
      <c r="GU430" s="11"/>
      <c r="GV430" s="11"/>
    </row>
    <row r="431" spans="147:225" x14ac:dyDescent="0.55000000000000004">
      <c r="GR431" s="11"/>
      <c r="GS431" s="11"/>
      <c r="GT431" s="11"/>
      <c r="GU431" s="11"/>
      <c r="GV431" s="11"/>
    </row>
    <row r="432" spans="147:225" x14ac:dyDescent="0.55000000000000004">
      <c r="GR432" s="11"/>
      <c r="GS432" s="11"/>
      <c r="GT432" s="11"/>
      <c r="GU432" s="11"/>
      <c r="GV432" s="11"/>
    </row>
    <row r="433" spans="200:204" x14ac:dyDescent="0.55000000000000004">
      <c r="GR433" s="11"/>
      <c r="GS433" s="11"/>
      <c r="GT433" s="11"/>
      <c r="GU433" s="11"/>
      <c r="GV433" s="11"/>
    </row>
    <row r="434" spans="200:204" x14ac:dyDescent="0.55000000000000004">
      <c r="GR434" s="11"/>
      <c r="GS434" s="11"/>
      <c r="GT434" s="11"/>
      <c r="GU434" s="11"/>
      <c r="GV434" s="11"/>
    </row>
    <row r="435" spans="200:204" x14ac:dyDescent="0.55000000000000004">
      <c r="GR435" s="11"/>
      <c r="GS435" s="11"/>
      <c r="GT435" s="11"/>
      <c r="GU435" s="11"/>
      <c r="GV435" s="11"/>
    </row>
    <row r="436" spans="200:204" x14ac:dyDescent="0.55000000000000004">
      <c r="GR436" s="11"/>
      <c r="GS436" s="11"/>
      <c r="GT436" s="11"/>
      <c r="GU436" s="11"/>
      <c r="GV436" s="11"/>
    </row>
    <row r="437" spans="200:204" x14ac:dyDescent="0.55000000000000004">
      <c r="GR437" s="11"/>
      <c r="GS437" s="11"/>
      <c r="GT437" s="11"/>
      <c r="GU437" s="11"/>
      <c r="GV437" s="11"/>
    </row>
    <row r="438" spans="200:204" x14ac:dyDescent="0.55000000000000004">
      <c r="GR438" s="11"/>
      <c r="GS438" s="11"/>
      <c r="GT438" s="11"/>
      <c r="GU438" s="11"/>
      <c r="GV438" s="11"/>
    </row>
    <row r="439" spans="200:204" x14ac:dyDescent="0.55000000000000004">
      <c r="GR439" s="11"/>
      <c r="GS439" s="11"/>
      <c r="GT439" s="11"/>
      <c r="GU439" s="11"/>
      <c r="GV439" s="11"/>
    </row>
    <row r="440" spans="200:204" x14ac:dyDescent="0.55000000000000004">
      <c r="GR440" s="11"/>
      <c r="GS440" s="11"/>
      <c r="GT440" s="11"/>
      <c r="GU440" s="11"/>
      <c r="GV440" s="11"/>
    </row>
    <row r="441" spans="200:204" x14ac:dyDescent="0.55000000000000004">
      <c r="GR441" s="11"/>
      <c r="GS441" s="11"/>
      <c r="GT441" s="11"/>
      <c r="GU441" s="11"/>
      <c r="GV441" s="11"/>
    </row>
    <row r="442" spans="200:204" x14ac:dyDescent="0.55000000000000004">
      <c r="GR442" s="11"/>
      <c r="GS442" s="11"/>
      <c r="GT442" s="11"/>
      <c r="GU442" s="11"/>
      <c r="GV442" s="11"/>
    </row>
    <row r="443" spans="200:204" x14ac:dyDescent="0.55000000000000004">
      <c r="GR443" s="11"/>
      <c r="GS443" s="11"/>
      <c r="GT443" s="11"/>
      <c r="GU443" s="11"/>
      <c r="GV443" s="11"/>
    </row>
    <row r="444" spans="200:204" x14ac:dyDescent="0.55000000000000004">
      <c r="GR444" s="11"/>
      <c r="GS444" s="11"/>
      <c r="GT444" s="11"/>
      <c r="GU444" s="11"/>
      <c r="GV444" s="11"/>
    </row>
    <row r="445" spans="200:204" x14ac:dyDescent="0.55000000000000004">
      <c r="GR445" s="11"/>
      <c r="GS445" s="11"/>
      <c r="GT445" s="11"/>
      <c r="GU445" s="11"/>
      <c r="GV445" s="11"/>
    </row>
    <row r="446" spans="200:204" x14ac:dyDescent="0.55000000000000004">
      <c r="GR446" s="11"/>
      <c r="GS446" s="11"/>
      <c r="GT446" s="11"/>
      <c r="GU446" s="11"/>
      <c r="GV446" s="11"/>
    </row>
    <row r="454" spans="146:226" x14ac:dyDescent="0.55000000000000004">
      <c r="EP454" t="s">
        <v>161</v>
      </c>
      <c r="EQ454" cm="1">
        <f t="array" aca="1" ref="EQ454:FR471" ca="1">_xlfn.LET(_xlpm.g,_xlfn.DROP(_xlfn.ANCHORARRAY($CO$4),1),_xlfn._xlws.FILTER(_xlpm.g,_xlfn.TAKE(_xlpm.g,,1)=10))</f>
      </c>
      <c r="ER454">
        <f ca="1"/>
      </c>
      <c r="ES454">
        <f ca="1"/>
      </c>
      <c r="ET454">
        <f ca="1"/>
      </c>
      <c r="EU454">
        <f ca="1"/>
      </c>
      <c r="EV454">
        <f ca="1"/>
      </c>
      <c r="EW454">
        <f ca="1"/>
      </c>
      <c r="EX454">
        <f ca="1"/>
      </c>
      <c r="EY454">
        <f ca="1"/>
      </c>
      <c r="EZ454">
        <f ca="1"/>
      </c>
      <c r="FA454">
        <f ca="1"/>
      </c>
      <c r="FB454">
        <f ca="1"/>
      </c>
      <c r="FC454">
        <f ca="1"/>
      </c>
      <c r="FD454">
        <f ca="1"/>
      </c>
      <c r="FE454">
        <f ca="1"/>
      </c>
      <c r="FF454">
        <f ca="1"/>
      </c>
      <c r="FG454">
        <f ca="1"/>
      </c>
      <c r="FH454">
        <f ca="1"/>
      </c>
      <c r="FI454">
        <f ca="1"/>
      </c>
      <c r="FJ454">
        <f ca="1"/>
      </c>
      <c r="FK454">
        <f ca="1"/>
      </c>
      <c r="FL454">
        <f ca="1"/>
      </c>
      <c r="FM454">
        <f ca="1"/>
      </c>
      <c r="FN454">
        <f ca="1"/>
      </c>
      <c r="FO454">
        <f ca="1"/>
      </c>
      <c r="FP454">
        <f ca="1"/>
      </c>
      <c r="FQ454">
        <f ca="1"/>
      </c>
      <c r="FR454">
        <f ca="1"/>
      </c>
      <c r="GQ454" t="s">
        <v>169</v>
      </c>
      <c r="GR454" cm="1">
        <f t="array" aca="1" ref="GR454" ca="1">IFERROR(_xlfn.LET(_xlpm.R,_xlfn.ANCHORARRAY($GR$455),_xlpm.a,ABS(_xlpm.R),"k="&amp;$D$12&amp;"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54" cm="1">
        <f t="array" aca="1" ref="GS454" ca="1">IFERROR(_xlfn.LET(_xlpm.R,_xlfn.ANCHORARRAY($GS$455),_xlpm.a,ABS(_xlpm.R),"k="&amp;$D$28&amp;"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54" cm="1">
        <f t="array" aca="1" ref="GT454" ca="1">IFERROR(_xlfn.LET(_xlpm.R,_xlfn.ANCHORARRAY($GT$455),_xlpm.a,ABS(_xlpm.R),"k="&amp;$D$44&amp;"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54" cm="1">
        <f t="array" aca="1" ref="GU454" ca="1">IFERROR(_xlfn.LET(_xlpm.R,_xlfn.ANCHORARRAY($GU$455),_xlpm.a,ABS(_xlpm.R),"k="&amp;$D$60&amp;"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54" cm="1">
        <f t="array" aca="1" ref="GV454" ca="1">IFERROR(_xlfn.LET(_xlpm.R,_xlfn.ANCHORARRAY($GV$455),_xlpm.a,ABS(_xlpm.R),"k="&amp;$D$76&amp;"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54" t="s">
        <v>44</v>
      </c>
      <c r="GY454" t="s">
        <v>45</v>
      </c>
      <c r="GZ454" t="s">
        <v>46</v>
      </c>
      <c r="HA454" t="s">
        <v>47</v>
      </c>
      <c r="HB454" t="s">
        <v>48</v>
      </c>
      <c r="HD454" t="s">
        <v>174</v>
      </c>
      <c r="HE454">
        <f>"Actual / Mean / Recon (k="&amp;$D$108&amp;")  dashed: Mean ±1σ"</f>
      </c>
      <c r="HF454" t="s">
        <v>175</v>
      </c>
      <c r="HG454" t="s">
        <v>176</v>
      </c>
      <c r="HH454" t="s">
        <v>179</v>
      </c>
      <c r="HI454" t="s">
        <v>180</v>
      </c>
      <c r="HJ454" t="s">
        <v>181</v>
      </c>
      <c r="HK454" t="s">
        <v>182</v>
      </c>
      <c r="HL454" t="s">
        <v>183</v>
      </c>
      <c r="HM454" t="s">
        <v>184</v>
      </c>
      <c r="HN454" t="s">
        <v>185</v>
      </c>
      <c r="HO454" t="s">
        <v>186</v>
      </c>
      <c r="HP454" t="s">
        <v>187</v>
      </c>
      <c r="HQ454" t="s">
        <v>188</v>
      </c>
      <c r="HR454" t="s">
        <v>189</v>
      </c>
    </row>
    <row r="455" spans="146:226" x14ac:dyDescent="0.55000000000000004">
      <c r="EQ455">
        <f ca="1"/>
      </c>
      <c r="ER455">
        <f ca="1"/>
      </c>
      <c r="ES455">
        <f ca="1"/>
      </c>
      <c r="ET455">
        <f ca="1"/>
      </c>
      <c r="EU455">
        <f ca="1"/>
      </c>
      <c r="EV455">
        <f ca="1"/>
      </c>
      <c r="EW455">
        <f ca="1"/>
      </c>
      <c r="EX455">
        <f ca="1"/>
      </c>
      <c r="EY455">
        <f ca="1"/>
      </c>
      <c r="EZ455">
        <f ca="1"/>
      </c>
      <c r="FA455">
        <f ca="1"/>
      </c>
      <c r="FB455">
        <f ca="1"/>
      </c>
      <c r="FC455">
        <f ca="1"/>
      </c>
      <c r="FD455">
        <f ca="1"/>
      </c>
      <c r="FE455">
        <f ca="1"/>
      </c>
      <c r="FF455">
        <f ca="1"/>
      </c>
      <c r="FG455">
        <f ca="1"/>
      </c>
      <c r="FH455">
        <f ca="1"/>
      </c>
      <c r="FI455">
        <f ca="1"/>
      </c>
      <c r="FJ455">
        <f ca="1"/>
      </c>
      <c r="FK455">
        <f ca="1"/>
      </c>
      <c r="FL455">
        <f ca="1"/>
      </c>
      <c r="FM455">
        <f ca="1"/>
      </c>
      <c r="FN455">
        <f ca="1"/>
      </c>
      <c r="FO455">
        <f ca="1"/>
      </c>
      <c r="FP455">
        <f ca="1"/>
      </c>
      <c r="FQ455">
        <f ca="1"/>
      </c>
      <c r="FR455">
        <f ca="1"/>
      </c>
      <c r="GQ455" cm="1">
        <f t="array" aca="1" ref="GQ455:GQ472" ca="1">IF($BP$6="Change",_xlfn.ANCHORARRAY($CJ$4),_xlfn.ANCHORARRAY($CI$4))</f>
      </c>
      <c r="GR455" s="11" cm="1">
        <f t="array" aca="1" ref="GR455:GR472" ca="1">_xlfn.LET(_xlpm.sl,_xlfn.ANCHORARRAY($EQ$454),_xlpm.mu,_xlfn.CHOOSECOLS(_xlpm.sl,8),_xlpm.sg,_xlfn.CHOOSECOLS(_xlpm.sl,9),_xlpm.x,_xlfn.ANCHORARRAY($GQ$455),_xlpm.V,_xlfn.TAKE(_xlfn.DROP(_xlpm.sl,,10),,$D$12),(_xlpm.x-(_xlpm.mu+_xlpm.sg*MMULT(_xlpm.V,MMULT(TRANSPOSE(_xlpm.V),(_xlpm.x-_xlpm.mu)/_xlpm.sg))))*100)</f>
      </c>
      <c r="GS455" s="11" cm="1">
        <f t="array" aca="1" ref="GS455:GS472" ca="1">_xlfn.LET(_xlpm.sl,_xlfn.ANCHORARRAY($EQ$454),_xlpm.mu,_xlfn.CHOOSECOLS(_xlpm.sl,8),_xlpm.sg,_xlfn.CHOOSECOLS(_xlpm.sl,9),_xlpm.x,_xlfn.ANCHORARRAY($GQ$455),_xlpm.V,_xlfn.TAKE(_xlfn.DROP(_xlpm.sl,,10),,$D$28),(_xlpm.x-(_xlpm.mu+_xlpm.sg*MMULT(_xlpm.V,MMULT(TRANSPOSE(_xlpm.V),(_xlpm.x-_xlpm.mu)/_xlpm.sg))))*100)</f>
      </c>
      <c r="GT455" s="11" cm="1">
        <f t="array" aca="1" ref="GT455:GT472" ca="1">_xlfn.LET(_xlpm.sl,_xlfn.ANCHORARRAY($EQ$454),_xlpm.mu,_xlfn.CHOOSECOLS(_xlpm.sl,8),_xlpm.sg,_xlfn.CHOOSECOLS(_xlpm.sl,9),_xlpm.x,_xlfn.ANCHORARRAY($GQ$455),_xlpm.V,_xlfn.TAKE(_xlfn.DROP(_xlpm.sl,,10),,$D$44),(_xlpm.x-(_xlpm.mu+_xlpm.sg*MMULT(_xlpm.V,MMULT(TRANSPOSE(_xlpm.V),(_xlpm.x-_xlpm.mu)/_xlpm.sg))))*100)</f>
      </c>
      <c r="GU455" s="11" cm="1">
        <f t="array" aca="1" ref="GU455:GU472" ca="1">_xlfn.LET(_xlpm.sl,_xlfn.ANCHORARRAY($EQ$454),_xlpm.mu,_xlfn.CHOOSECOLS(_xlpm.sl,8),_xlpm.sg,_xlfn.CHOOSECOLS(_xlpm.sl,9),_xlpm.x,_xlfn.ANCHORARRAY($GQ$455),_xlpm.V,_xlfn.TAKE(_xlfn.DROP(_xlpm.sl,,10),,$D$60),(_xlpm.x-(_xlpm.mu+_xlpm.sg*MMULT(_xlpm.V,MMULT(TRANSPOSE(_xlpm.V),(_xlpm.x-_xlpm.mu)/_xlpm.sg))))*100)</f>
      </c>
      <c r="GV455" s="11" cm="1">
        <f t="array" aca="1" ref="GV455:GV472" ca="1">_xlfn.LET(_xlpm.sl,_xlfn.ANCHORARRAY($EQ$454),_xlpm.mu,_xlfn.CHOOSECOLS(_xlpm.sl,8),_xlpm.sg,_xlfn.CHOOSECOLS(_xlpm.sl,9),_xlpm.x,_xlfn.ANCHORARRAY($GQ$455),_xlpm.V,_xlfn.TAKE(_xlfn.DROP(_xlpm.sl,,10),,$D$76),(_xlpm.x-(_xlpm.mu+_xlpm.sg*MMULT(_xlpm.V,MMULT(TRANSPOSE(_xlpm.V),(_xlpm.x-_xlpm.mu)/_xlpm.sg))))*100)</f>
      </c>
      <c r="GX455" cm="1">
        <f t="array" aca="1" ref="GX455:GX472" ca="1">_xlfn.LET(_xlpm.V,_xlfn.DROP(_xlfn.ANCHORARRAY($EQ$454),,10),IF(1&lt;=COLUMNS(_xlpm.V),_xlfn.CHOOSECOLS(_xlpm.V,1),IF(_xlfn.SEQUENCE(ROWS(_xlpm.V)),NA())))</f>
      </c>
      <c r="GY455" cm="1">
        <f t="array" aca="1" ref="GY455:GY472" ca="1">_xlfn.LET(_xlpm.V,_xlfn.DROP(_xlfn.ANCHORARRAY($EQ$454),,10),IF(2&lt;=COLUMNS(_xlpm.V),_xlfn.CHOOSECOLS(_xlpm.V,2),IF(_xlfn.SEQUENCE(ROWS(_xlpm.V)),NA())))</f>
      </c>
      <c r="GZ455" cm="1">
        <f t="array" aca="1" ref="GZ455:GZ472" ca="1">_xlfn.LET(_xlpm.V,_xlfn.DROP(_xlfn.ANCHORARRAY($EQ$454),,10),IF(3&lt;=COLUMNS(_xlpm.V),_xlfn.CHOOSECOLS(_xlpm.V,3),IF(_xlfn.SEQUENCE(ROWS(_xlpm.V)),NA())))</f>
      </c>
      <c r="HA455" cm="1">
        <f t="array" aca="1" ref="HA455:HA472" ca="1">_xlfn.LET(_xlpm.V,_xlfn.DROP(_xlfn.ANCHORARRAY($EQ$454),,10),IF(4&lt;=COLUMNS(_xlpm.V),_xlfn.CHOOSECOLS(_xlpm.V,4),IF(_xlfn.SEQUENCE(ROWS(_xlpm.V)),NA())))</f>
      </c>
      <c r="HB455" cm="1">
        <f t="array" aca="1" ref="HB455:HB472" ca="1">_xlfn.LET(_xlpm.V,_xlfn.DROP(_xlfn.ANCHORARRAY($EQ$454),,10),IF(5&lt;=COLUMNS(_xlpm.V),_xlfn.CHOOSECOLS(_xlpm.V,5),IF(_xlfn.SEQUENCE(ROWS(_xlpm.V)),NA())))</f>
      </c>
      <c r="HD455" cm="1">
        <f t="array" aca="1" ref="HD455:HD472" ca="1">_xlfn.CHOOSECOLS(_xlfn.ANCHORARRAY($EQ$454),8)</f>
      </c>
      <c r="HE455" cm="1">
        <f t="array" aca="1" ref="HE455:HE472" ca="1">_xlfn.LET(_xlpm.sl,_xlfn.ANCHORARRAY($EQ$454),_xlpm.mu,_xlfn.CHOOSECOLS(_xlpm.sl,8),_xlpm.sg,_xlfn.CHOOSECOLS(_xlpm.sl,9),_xlpm.x,_xlfn.ANCHORARRAY($GQ$455),_xlpm.V,_xlfn.TAKE(_xlfn.DROP(_xlpm.sl,,10),,$D$108),_xlpm.mu+_xlpm.sg*MMULT(_xlpm.V,MMULT(TRANSPOSE(_xlpm.V),(_xlpm.x-_xlpm.mu)/_xlpm.sg)))</f>
      </c>
      <c r="HF455" cm="1">
        <f t="array" aca="1" ref="HF455:HF472" ca="1">_xlfn.CHOOSECOLS(_xlfn.ANCHORARRAY($EQ$454),8)+_xlfn.CHOOSECOLS(_xlfn.ANCHORARRAY($EQ$454),10)</f>
      </c>
      <c r="HG455" cm="1">
        <f t="array" aca="1" ref="HG455:HG472" ca="1">_xlfn.CHOOSECOLS(_xlfn.ANCHORARRAY($EQ$454),8)-_xlfn.CHOOSECOLS(_xlfn.ANCHORARRAY($EQ$454),10)</f>
      </c>
      <c r="HH455" cm="1">
        <f t="array" aca="1" ref="HH455:HH472" ca="1">_xlfn.LET(_xlpm.v,_xlfn.CHOOSECOLS(_xlfn._xlws.FILTER(_xlfn.DROP(_xlfn.ANCHORARRAY($HS$4),1),_xlfn.TAKE(_xlfn.DROP(_xlfn.ANCHORARRAY($HS$4),1),,1)=10),3),IF(_xlpm.v="",NA(),_xlpm.v))</f>
      </c>
      <c r="HI455" cm="1">
        <f t="array" aca="1" ref="HI455:HI472" ca="1">-_xlfn.ANCHORARRAY($HH$455)</f>
      </c>
      <c r="HJ455" cm="1">
        <f t="array" aca="1" ref="HJ455:HJ472" ca="1">_xlfn.LET(_xlpm.v,_xlfn.CHOOSECOLS(_xlfn._xlws.FILTER(_xlfn.DROP(_xlfn.ANCHORARRAY($HS$4),1),_xlfn.TAKE(_xlfn.DROP(_xlfn.ANCHORARRAY($HS$4),1),,1)=10),4),IF(_xlpm.v="",NA(),_xlpm.v))</f>
      </c>
      <c r="HK455" cm="1">
        <f t="array" aca="1" ref="HK455:HK472" ca="1">-_xlfn.ANCHORARRAY($HJ$455)</f>
      </c>
      <c r="HL455" cm="1">
        <f t="array" aca="1" ref="HL455:HL472" ca="1">_xlfn.LET(_xlpm.v,_xlfn.CHOOSECOLS(_xlfn._xlws.FILTER(_xlfn.DROP(_xlfn.ANCHORARRAY($HS$4),1),_xlfn.TAKE(_xlfn.DROP(_xlfn.ANCHORARRAY($HS$4),1),,1)=10),5),IF(_xlpm.v="",NA(),_xlpm.v))</f>
      </c>
      <c r="HM455" cm="1">
        <f t="array" aca="1" ref="HM455:HM472" ca="1">-_xlfn.ANCHORARRAY($HL$455)</f>
      </c>
      <c r="HN455" cm="1">
        <f t="array" aca="1" ref="HN455:HN472" ca="1">_xlfn.LET(_xlpm.v,_xlfn.CHOOSECOLS(_xlfn._xlws.FILTER(_xlfn.DROP(_xlfn.ANCHORARRAY($HS$4),1),_xlfn.TAKE(_xlfn.DROP(_xlfn.ANCHORARRAY($HS$4),1),,1)=10),6),IF(_xlpm.v="",NA(),_xlpm.v))</f>
      </c>
      <c r="HO455" cm="1">
        <f t="array" aca="1" ref="HO455:HO472" ca="1">-_xlfn.ANCHORARRAY($HN$455)</f>
      </c>
      <c r="HP455" cm="1">
        <f t="array" aca="1" ref="HP455:HP472" ca="1">_xlfn.LET(_xlpm.v,_xlfn.CHOOSECOLS(_xlfn._xlws.FILTER(_xlfn.DROP(_xlfn.ANCHORARRAY($HS$4),1),_xlfn.TAKE(_xlfn.DROP(_xlfn.ANCHORARRAY($HS$4),1),,1)=10),7),IF(_xlpm.v="",NA(),_xlpm.v))</f>
      </c>
      <c r="HQ455" cm="1">
        <f t="array" aca="1" ref="HQ455:HQ472" ca="1">-_xlfn.ANCHORARRAY($HP$455)</f>
      </c>
      <c r="HR455" cm="1">
        <f t="array" aca="1" ref="HR455" ca="1">IFERROR(INDEX(_xlfn._xlws.FILTER(_xlfn.DROP(_xlfn.ANCHORARRAY($HS$4),1),_xlfn.TAKE(_xlfn.DROP(_xlfn.ANCHORARRAY($HS$4),1),,1)=10),1,2),"")</f>
      </c>
    </row>
    <row r="456" spans="146:226" x14ac:dyDescent="0.55000000000000004">
      <c r="EQ456">
        <f ca="1"/>
      </c>
      <c r="ER456">
        <f ca="1"/>
      </c>
      <c r="ES456">
        <f ca="1"/>
      </c>
      <c r="ET456">
        <f ca="1"/>
      </c>
      <c r="EU456">
        <f ca="1"/>
      </c>
      <c r="EV456">
        <f ca="1"/>
      </c>
      <c r="EW456">
        <f ca="1"/>
      </c>
      <c r="EX456">
        <f ca="1"/>
      </c>
      <c r="EY456">
        <f ca="1"/>
      </c>
      <c r="EZ456">
        <f ca="1"/>
      </c>
      <c r="FA456">
        <f ca="1"/>
      </c>
      <c r="FB456">
        <f ca="1"/>
      </c>
      <c r="FC456">
        <f ca="1"/>
      </c>
      <c r="FD456">
        <f ca="1"/>
      </c>
      <c r="FE456">
        <f ca="1"/>
      </c>
      <c r="FF456">
        <f ca="1"/>
      </c>
      <c r="FG456">
        <f ca="1"/>
      </c>
      <c r="FH456">
        <f ca="1"/>
      </c>
      <c r="FI456">
        <f ca="1"/>
      </c>
      <c r="FJ456">
        <f ca="1"/>
      </c>
      <c r="FK456">
        <f ca="1"/>
      </c>
      <c r="FL456">
        <f ca="1"/>
      </c>
      <c r="FM456">
        <f ca="1"/>
      </c>
      <c r="FN456">
        <f ca="1"/>
      </c>
      <c r="FO456">
        <f ca="1"/>
      </c>
      <c r="FP456">
        <f ca="1"/>
      </c>
      <c r="FQ456">
        <f ca="1"/>
      </c>
      <c r="FR456">
        <f ca="1"/>
      </c>
      <c r="GQ456">
        <f ca="1"/>
      </c>
      <c r="GR456" s="11">
        <f ca="1"/>
      </c>
      <c r="GS456" s="11">
        <f ca="1"/>
      </c>
      <c r="GT456" s="11">
        <f ca="1"/>
      </c>
      <c r="GU456" s="11">
        <f ca="1"/>
      </c>
      <c r="GV456" s="11">
        <f ca="1"/>
      </c>
      <c r="GX456">
        <f ca="1"/>
      </c>
      <c r="GY456">
        <f ca="1"/>
      </c>
      <c r="GZ456">
        <f ca="1"/>
      </c>
      <c r="HA456">
        <f ca="1"/>
      </c>
      <c r="HB456">
        <f ca="1"/>
      </c>
      <c r="HD456">
        <f ca="1"/>
      </c>
      <c r="HE456">
        <f ca="1"/>
      </c>
      <c r="HF456">
        <f ca="1"/>
      </c>
      <c r="HG456">
        <f ca="1"/>
      </c>
      <c r="HH456">
        <f ca="1"/>
      </c>
      <c r="HI456">
        <f ca="1"/>
      </c>
      <c r="HJ456">
        <f ca="1"/>
      </c>
      <c r="HK456">
        <f ca="1"/>
      </c>
      <c r="HL456">
        <f ca="1"/>
      </c>
      <c r="HM456">
        <f ca="1"/>
      </c>
      <c r="HN456">
        <f ca="1"/>
      </c>
      <c r="HO456">
        <f ca="1"/>
      </c>
      <c r="HP456">
        <f ca="1"/>
      </c>
      <c r="HQ456">
        <f ca="1"/>
      </c>
    </row>
    <row r="457" spans="146:226" x14ac:dyDescent="0.55000000000000004">
      <c r="EQ457">
        <f ca="1"/>
      </c>
      <c r="ER457">
        <f ca="1"/>
      </c>
      <c r="ES457">
        <f ca="1"/>
      </c>
      <c r="ET457">
        <f ca="1"/>
      </c>
      <c r="EU457">
        <f ca="1"/>
      </c>
      <c r="EV457">
        <f ca="1"/>
      </c>
      <c r="EW457">
        <f ca="1"/>
      </c>
      <c r="EX457">
        <f ca="1"/>
      </c>
      <c r="EY457">
        <f ca="1"/>
      </c>
      <c r="EZ457">
        <f ca="1"/>
      </c>
      <c r="FA457">
        <f ca="1"/>
      </c>
      <c r="FB457">
        <f ca="1"/>
      </c>
      <c r="FC457">
        <f ca="1"/>
      </c>
      <c r="FD457">
        <f ca="1"/>
      </c>
      <c r="FE457">
        <f ca="1"/>
      </c>
      <c r="FF457">
        <f ca="1"/>
      </c>
      <c r="FG457">
        <f ca="1"/>
      </c>
      <c r="FH457">
        <f ca="1"/>
      </c>
      <c r="FI457">
        <f ca="1"/>
      </c>
      <c r="FJ457">
        <f ca="1"/>
      </c>
      <c r="FK457">
        <f ca="1"/>
      </c>
      <c r="FL457">
        <f ca="1"/>
      </c>
      <c r="FM457">
        <f ca="1"/>
      </c>
      <c r="FN457">
        <f ca="1"/>
      </c>
      <c r="FO457">
        <f ca="1"/>
      </c>
      <c r="FP457">
        <f ca="1"/>
      </c>
      <c r="FQ457">
        <f ca="1"/>
      </c>
      <c r="FR457">
        <f ca="1"/>
      </c>
      <c r="GQ457">
        <f ca="1"/>
      </c>
      <c r="GR457" s="11">
        <f ca="1"/>
      </c>
      <c r="GS457" s="11">
        <f ca="1"/>
      </c>
      <c r="GT457" s="11">
        <f ca="1"/>
      </c>
      <c r="GU457" s="11">
        <f ca="1"/>
      </c>
      <c r="GV457" s="11">
        <f ca="1"/>
      </c>
      <c r="GX457">
        <f ca="1"/>
      </c>
      <c r="GY457">
        <f ca="1"/>
      </c>
      <c r="GZ457">
        <f ca="1"/>
      </c>
      <c r="HA457">
        <f ca="1"/>
      </c>
      <c r="HB457">
        <f ca="1"/>
      </c>
      <c r="HD457">
        <f ca="1"/>
      </c>
      <c r="HE457">
        <f ca="1"/>
      </c>
      <c r="HF457">
        <f ca="1"/>
      </c>
      <c r="HG457">
        <f ca="1"/>
      </c>
      <c r="HH457">
        <f ca="1"/>
      </c>
      <c r="HI457">
        <f ca="1"/>
      </c>
      <c r="HJ457">
        <f ca="1"/>
      </c>
      <c r="HK457">
        <f ca="1"/>
      </c>
      <c r="HL457">
        <f ca="1"/>
      </c>
      <c r="HM457">
        <f ca="1"/>
      </c>
      <c r="HN457">
        <f ca="1"/>
      </c>
      <c r="HO457">
        <f ca="1"/>
      </c>
      <c r="HP457">
        <f ca="1"/>
      </c>
      <c r="HQ457">
        <f ca="1"/>
      </c>
    </row>
    <row r="458" spans="146:226" x14ac:dyDescent="0.55000000000000004">
      <c r="EQ458">
        <f ca="1"/>
      </c>
      <c r="ER458">
        <f ca="1"/>
      </c>
      <c r="ES458">
        <f ca="1"/>
      </c>
      <c r="ET458">
        <f ca="1"/>
      </c>
      <c r="EU458">
        <f ca="1"/>
      </c>
      <c r="EV458">
        <f ca="1"/>
      </c>
      <c r="EW458">
        <f ca="1"/>
      </c>
      <c r="EX458">
        <f ca="1"/>
      </c>
      <c r="EY458">
        <f ca="1"/>
      </c>
      <c r="EZ458">
        <f ca="1"/>
      </c>
      <c r="FA458">
        <f ca="1"/>
      </c>
      <c r="FB458">
        <f ca="1"/>
      </c>
      <c r="FC458">
        <f ca="1"/>
      </c>
      <c r="FD458">
        <f ca="1"/>
      </c>
      <c r="FE458">
        <f ca="1"/>
      </c>
      <c r="FF458">
        <f ca="1"/>
      </c>
      <c r="FG458">
        <f ca="1"/>
      </c>
      <c r="FH458">
        <f ca="1"/>
      </c>
      <c r="FI458">
        <f ca="1"/>
      </c>
      <c r="FJ458">
        <f ca="1"/>
      </c>
      <c r="FK458">
        <f ca="1"/>
      </c>
      <c r="FL458">
        <f ca="1"/>
      </c>
      <c r="FM458">
        <f ca="1"/>
      </c>
      <c r="FN458">
        <f ca="1"/>
      </c>
      <c r="FO458">
        <f ca="1"/>
      </c>
      <c r="FP458">
        <f ca="1"/>
      </c>
      <c r="FQ458">
        <f ca="1"/>
      </c>
      <c r="FR458">
        <f ca="1"/>
      </c>
      <c r="GQ458">
        <f ca="1"/>
      </c>
      <c r="GR458" s="11">
        <f ca="1"/>
      </c>
      <c r="GS458" s="11">
        <f ca="1"/>
      </c>
      <c r="GT458" s="11">
        <f ca="1"/>
      </c>
      <c r="GU458" s="11">
        <f ca="1"/>
      </c>
      <c r="GV458" s="11">
        <f ca="1"/>
      </c>
      <c r="GX458">
        <f ca="1"/>
      </c>
      <c r="GY458">
        <f ca="1"/>
      </c>
      <c r="GZ458">
        <f ca="1"/>
      </c>
      <c r="HA458">
        <f ca="1"/>
      </c>
      <c r="HB458">
        <f ca="1"/>
      </c>
      <c r="HD458">
        <f ca="1"/>
      </c>
      <c r="HE458">
        <f ca="1"/>
      </c>
      <c r="HF458">
        <f ca="1"/>
      </c>
      <c r="HG458">
        <f ca="1"/>
      </c>
      <c r="HH458">
        <f ca="1"/>
      </c>
      <c r="HI458">
        <f ca="1"/>
      </c>
      <c r="HJ458">
        <f ca="1"/>
      </c>
      <c r="HK458">
        <f ca="1"/>
      </c>
      <c r="HL458">
        <f ca="1"/>
      </c>
      <c r="HM458">
        <f ca="1"/>
      </c>
      <c r="HN458">
        <f ca="1"/>
      </c>
      <c r="HO458">
        <f ca="1"/>
      </c>
      <c r="HP458">
        <f ca="1"/>
      </c>
      <c r="HQ458">
        <f ca="1"/>
      </c>
    </row>
    <row r="459" spans="146:226" x14ac:dyDescent="0.55000000000000004">
      <c r="EQ459">
        <f ca="1"/>
      </c>
      <c r="ER459">
        <f ca="1"/>
      </c>
      <c r="ES459">
        <f ca="1"/>
      </c>
      <c r="ET459">
        <f ca="1"/>
      </c>
      <c r="EU459">
        <f ca="1"/>
      </c>
      <c r="EV459">
        <f ca="1"/>
      </c>
      <c r="EW459">
        <f ca="1"/>
      </c>
      <c r="EX459">
        <f ca="1"/>
      </c>
      <c r="EY459">
        <f ca="1"/>
      </c>
      <c r="EZ459">
        <f ca="1"/>
      </c>
      <c r="FA459">
        <f ca="1"/>
      </c>
      <c r="FB459">
        <f ca="1"/>
      </c>
      <c r="FC459">
        <f ca="1"/>
      </c>
      <c r="FD459">
        <f ca="1"/>
      </c>
      <c r="FE459">
        <f ca="1"/>
      </c>
      <c r="FF459">
        <f ca="1"/>
      </c>
      <c r="FG459">
        <f ca="1"/>
      </c>
      <c r="FH459">
        <f ca="1"/>
      </c>
      <c r="FI459">
        <f ca="1"/>
      </c>
      <c r="FJ459">
        <f ca="1"/>
      </c>
      <c r="FK459">
        <f ca="1"/>
      </c>
      <c r="FL459">
        <f ca="1"/>
      </c>
      <c r="FM459">
        <f ca="1"/>
      </c>
      <c r="FN459">
        <f ca="1"/>
      </c>
      <c r="FO459">
        <f ca="1"/>
      </c>
      <c r="FP459">
        <f ca="1"/>
      </c>
      <c r="FQ459">
        <f ca="1"/>
      </c>
      <c r="FR459">
        <f ca="1"/>
      </c>
      <c r="GQ459">
        <f ca="1"/>
      </c>
      <c r="GR459" s="11">
        <f ca="1"/>
      </c>
      <c r="GS459" s="11">
        <f ca="1"/>
      </c>
      <c r="GT459" s="11">
        <f ca="1"/>
      </c>
      <c r="GU459" s="11">
        <f ca="1"/>
      </c>
      <c r="GV459" s="11">
        <f ca="1"/>
      </c>
      <c r="GX459">
        <f ca="1"/>
      </c>
      <c r="GY459">
        <f ca="1"/>
      </c>
      <c r="GZ459">
        <f ca="1"/>
      </c>
      <c r="HA459">
        <f ca="1"/>
      </c>
      <c r="HB459">
        <f ca="1"/>
      </c>
      <c r="HD459">
        <f ca="1"/>
      </c>
      <c r="HE459">
        <f ca="1"/>
      </c>
      <c r="HF459">
        <f ca="1"/>
      </c>
      <c r="HG459">
        <f ca="1"/>
      </c>
      <c r="HH459">
        <f ca="1"/>
      </c>
      <c r="HI459">
        <f ca="1"/>
      </c>
      <c r="HJ459">
        <f ca="1"/>
      </c>
      <c r="HK459">
        <f ca="1"/>
      </c>
      <c r="HL459">
        <f ca="1"/>
      </c>
      <c r="HM459">
        <f ca="1"/>
      </c>
      <c r="HN459">
        <f ca="1"/>
      </c>
      <c r="HO459">
        <f ca="1"/>
      </c>
      <c r="HP459">
        <f ca="1"/>
      </c>
      <c r="HQ459">
        <f ca="1"/>
      </c>
    </row>
    <row r="460" spans="146:226" x14ac:dyDescent="0.55000000000000004">
      <c r="EQ460">
        <f ca="1"/>
      </c>
      <c r="ER460">
        <f ca="1"/>
      </c>
      <c r="ES460">
        <f ca="1"/>
      </c>
      <c r="ET460">
        <f ca="1"/>
      </c>
      <c r="EU460">
        <f ca="1"/>
      </c>
      <c r="EV460">
        <f ca="1"/>
      </c>
      <c r="EW460">
        <f ca="1"/>
      </c>
      <c r="EX460">
        <f ca="1"/>
      </c>
      <c r="EY460">
        <f ca="1"/>
      </c>
      <c r="EZ460">
        <f ca="1"/>
      </c>
      <c r="FA460">
        <f ca="1"/>
      </c>
      <c r="FB460">
        <f ca="1"/>
      </c>
      <c r="FC460">
        <f ca="1"/>
      </c>
      <c r="FD460">
        <f ca="1"/>
      </c>
      <c r="FE460">
        <f ca="1"/>
      </c>
      <c r="FF460">
        <f ca="1"/>
      </c>
      <c r="FG460">
        <f ca="1"/>
      </c>
      <c r="FH460">
        <f ca="1"/>
      </c>
      <c r="FI460">
        <f ca="1"/>
      </c>
      <c r="FJ460">
        <f ca="1"/>
      </c>
      <c r="FK460">
        <f ca="1"/>
      </c>
      <c r="FL460">
        <f ca="1"/>
      </c>
      <c r="FM460">
        <f ca="1"/>
      </c>
      <c r="FN460">
        <f ca="1"/>
      </c>
      <c r="FO460">
        <f ca="1"/>
      </c>
      <c r="FP460">
        <f ca="1"/>
      </c>
      <c r="FQ460">
        <f ca="1"/>
      </c>
      <c r="FR460">
        <f ca="1"/>
      </c>
      <c r="GQ460">
        <f ca="1"/>
      </c>
      <c r="GR460" s="11">
        <f ca="1"/>
      </c>
      <c r="GS460" s="11">
        <f ca="1"/>
      </c>
      <c r="GT460" s="11">
        <f ca="1"/>
      </c>
      <c r="GU460" s="11">
        <f ca="1"/>
      </c>
      <c r="GV460" s="11">
        <f ca="1"/>
      </c>
      <c r="GX460">
        <f ca="1"/>
      </c>
      <c r="GY460">
        <f ca="1"/>
      </c>
      <c r="GZ460">
        <f ca="1"/>
      </c>
      <c r="HA460">
        <f ca="1"/>
      </c>
      <c r="HB460">
        <f ca="1"/>
      </c>
      <c r="HD460">
        <f ca="1"/>
      </c>
      <c r="HE460">
        <f ca="1"/>
      </c>
      <c r="HF460">
        <f ca="1"/>
      </c>
      <c r="HG460">
        <f ca="1"/>
      </c>
      <c r="HH460">
        <f ca="1"/>
      </c>
      <c r="HI460">
        <f ca="1"/>
      </c>
      <c r="HJ460">
        <f ca="1"/>
      </c>
      <c r="HK460">
        <f ca="1"/>
      </c>
      <c r="HL460">
        <f ca="1"/>
      </c>
      <c r="HM460">
        <f ca="1"/>
      </c>
      <c r="HN460">
        <f ca="1"/>
      </c>
      <c r="HO460">
        <f ca="1"/>
      </c>
      <c r="HP460">
        <f ca="1"/>
      </c>
      <c r="HQ460">
        <f ca="1"/>
      </c>
    </row>
    <row r="461" spans="146:226" x14ac:dyDescent="0.55000000000000004">
      <c r="EQ461">
        <f ca="1"/>
      </c>
      <c r="ER461">
        <f ca="1"/>
      </c>
      <c r="ES461">
        <f ca="1"/>
      </c>
      <c r="ET461">
        <f ca="1"/>
      </c>
      <c r="EU461">
        <f ca="1"/>
      </c>
      <c r="EV461">
        <f ca="1"/>
      </c>
      <c r="EW461">
        <f ca="1"/>
      </c>
      <c r="EX461">
        <f ca="1"/>
      </c>
      <c r="EY461">
        <f ca="1"/>
      </c>
      <c r="EZ461">
        <f ca="1"/>
      </c>
      <c r="FA461">
        <f ca="1"/>
      </c>
      <c r="FB461">
        <f ca="1"/>
      </c>
      <c r="FC461">
        <f ca="1"/>
      </c>
      <c r="FD461">
        <f ca="1"/>
      </c>
      <c r="FE461">
        <f ca="1"/>
      </c>
      <c r="FF461">
        <f ca="1"/>
      </c>
      <c r="FG461">
        <f ca="1"/>
      </c>
      <c r="FH461">
        <f ca="1"/>
      </c>
      <c r="FI461">
        <f ca="1"/>
      </c>
      <c r="FJ461">
        <f ca="1"/>
      </c>
      <c r="FK461">
        <f ca="1"/>
      </c>
      <c r="FL461">
        <f ca="1"/>
      </c>
      <c r="FM461">
        <f ca="1"/>
      </c>
      <c r="FN461">
        <f ca="1"/>
      </c>
      <c r="FO461">
        <f ca="1"/>
      </c>
      <c r="FP461">
        <f ca="1"/>
      </c>
      <c r="FQ461">
        <f ca="1"/>
      </c>
      <c r="FR461">
        <f ca="1"/>
      </c>
      <c r="GQ461">
        <f ca="1"/>
      </c>
      <c r="GR461" s="11">
        <f ca="1"/>
      </c>
      <c r="GS461" s="11">
        <f ca="1"/>
      </c>
      <c r="GT461" s="11">
        <f ca="1"/>
      </c>
      <c r="GU461" s="11">
        <f ca="1"/>
      </c>
      <c r="GV461" s="11">
        <f ca="1"/>
      </c>
      <c r="GX461">
        <f ca="1"/>
      </c>
      <c r="GY461">
        <f ca="1"/>
      </c>
      <c r="GZ461">
        <f ca="1"/>
      </c>
      <c r="HA461">
        <f ca="1"/>
      </c>
      <c r="HB461">
        <f ca="1"/>
      </c>
      <c r="HD461">
        <f ca="1"/>
      </c>
      <c r="HE461">
        <f ca="1"/>
      </c>
      <c r="HF461">
        <f ca="1"/>
      </c>
      <c r="HG461">
        <f ca="1"/>
      </c>
      <c r="HH461">
        <f ca="1"/>
      </c>
      <c r="HI461">
        <f ca="1"/>
      </c>
      <c r="HJ461">
        <f ca="1"/>
      </c>
      <c r="HK461">
        <f ca="1"/>
      </c>
      <c r="HL461">
        <f ca="1"/>
      </c>
      <c r="HM461">
        <f ca="1"/>
      </c>
      <c r="HN461">
        <f ca="1"/>
      </c>
      <c r="HO461">
        <f ca="1"/>
      </c>
      <c r="HP461">
        <f ca="1"/>
      </c>
      <c r="HQ461">
        <f ca="1"/>
      </c>
    </row>
    <row r="462" spans="146:226" x14ac:dyDescent="0.55000000000000004">
      <c r="EQ462">
        <f ca="1"/>
      </c>
      <c r="ER462">
        <f ca="1"/>
      </c>
      <c r="ES462">
        <f ca="1"/>
      </c>
      <c r="ET462">
        <f ca="1"/>
      </c>
      <c r="EU462">
        <f ca="1"/>
      </c>
      <c r="EV462">
        <f ca="1"/>
      </c>
      <c r="EW462">
        <f ca="1"/>
      </c>
      <c r="EX462">
        <f ca="1"/>
      </c>
      <c r="EY462">
        <f ca="1"/>
      </c>
      <c r="EZ462">
        <f ca="1"/>
      </c>
      <c r="FA462">
        <f ca="1"/>
      </c>
      <c r="FB462">
        <f ca="1"/>
      </c>
      <c r="FC462">
        <f ca="1"/>
      </c>
      <c r="FD462">
        <f ca="1"/>
      </c>
      <c r="FE462">
        <f ca="1"/>
      </c>
      <c r="FF462">
        <f ca="1"/>
      </c>
      <c r="FG462">
        <f ca="1"/>
      </c>
      <c r="FH462">
        <f ca="1"/>
      </c>
      <c r="FI462">
        <f ca="1"/>
      </c>
      <c r="FJ462">
        <f ca="1"/>
      </c>
      <c r="FK462">
        <f ca="1"/>
      </c>
      <c r="FL462">
        <f ca="1"/>
      </c>
      <c r="FM462">
        <f ca="1"/>
      </c>
      <c r="FN462">
        <f ca="1"/>
      </c>
      <c r="FO462">
        <f ca="1"/>
      </c>
      <c r="FP462">
        <f ca="1"/>
      </c>
      <c r="FQ462">
        <f ca="1"/>
      </c>
      <c r="FR462">
        <f ca="1"/>
      </c>
      <c r="GQ462">
        <f ca="1"/>
      </c>
      <c r="GR462" s="11">
        <f ca="1"/>
      </c>
      <c r="GS462" s="11">
        <f ca="1"/>
      </c>
      <c r="GT462" s="11">
        <f ca="1"/>
      </c>
      <c r="GU462" s="11">
        <f ca="1"/>
      </c>
      <c r="GV462" s="11">
        <f ca="1"/>
      </c>
      <c r="GX462">
        <f ca="1"/>
      </c>
      <c r="GY462">
        <f ca="1"/>
      </c>
      <c r="GZ462">
        <f ca="1"/>
      </c>
      <c r="HA462">
        <f ca="1"/>
      </c>
      <c r="HB462">
        <f ca="1"/>
      </c>
      <c r="HD462">
        <f ca="1"/>
      </c>
      <c r="HE462">
        <f ca="1"/>
      </c>
      <c r="HF462">
        <f ca="1"/>
      </c>
      <c r="HG462">
        <f ca="1"/>
      </c>
      <c r="HH462">
        <f ca="1"/>
      </c>
      <c r="HI462">
        <f ca="1"/>
      </c>
      <c r="HJ462">
        <f ca="1"/>
      </c>
      <c r="HK462">
        <f ca="1"/>
      </c>
      <c r="HL462">
        <f ca="1"/>
      </c>
      <c r="HM462">
        <f ca="1"/>
      </c>
      <c r="HN462">
        <f ca="1"/>
      </c>
      <c r="HO462">
        <f ca="1"/>
      </c>
      <c r="HP462">
        <f ca="1"/>
      </c>
      <c r="HQ462">
        <f ca="1"/>
      </c>
    </row>
    <row r="463" spans="146:226" x14ac:dyDescent="0.55000000000000004">
      <c r="EQ463">
        <f ca="1"/>
      </c>
      <c r="ER463">
        <f ca="1"/>
      </c>
      <c r="ES463">
        <f ca="1"/>
      </c>
      <c r="ET463">
        <f ca="1"/>
      </c>
      <c r="EU463">
        <f ca="1"/>
      </c>
      <c r="EV463">
        <f ca="1"/>
      </c>
      <c r="EW463">
        <f ca="1"/>
      </c>
      <c r="EX463">
        <f ca="1"/>
      </c>
      <c r="EY463">
        <f ca="1"/>
      </c>
      <c r="EZ463">
        <f ca="1"/>
      </c>
      <c r="FA463">
        <f ca="1"/>
      </c>
      <c r="FB463">
        <f ca="1"/>
      </c>
      <c r="FC463">
        <f ca="1"/>
      </c>
      <c r="FD463">
        <f ca="1"/>
      </c>
      <c r="FE463">
        <f ca="1"/>
      </c>
      <c r="FF463">
        <f ca="1"/>
      </c>
      <c r="FG463">
        <f ca="1"/>
      </c>
      <c r="FH463">
        <f ca="1"/>
      </c>
      <c r="FI463">
        <f ca="1"/>
      </c>
      <c r="FJ463">
        <f ca="1"/>
      </c>
      <c r="FK463">
        <f ca="1"/>
      </c>
      <c r="FL463">
        <f ca="1"/>
      </c>
      <c r="FM463">
        <f ca="1"/>
      </c>
      <c r="FN463">
        <f ca="1"/>
      </c>
      <c r="FO463">
        <f ca="1"/>
      </c>
      <c r="FP463">
        <f ca="1"/>
      </c>
      <c r="FQ463">
        <f ca="1"/>
      </c>
      <c r="FR463">
        <f ca="1"/>
      </c>
      <c r="GQ463">
        <f ca="1"/>
      </c>
      <c r="GR463" s="11">
        <f ca="1"/>
      </c>
      <c r="GS463" s="11">
        <f ca="1"/>
      </c>
      <c r="GT463" s="11">
        <f ca="1"/>
      </c>
      <c r="GU463" s="11">
        <f ca="1"/>
      </c>
      <c r="GV463" s="11">
        <f ca="1"/>
      </c>
      <c r="GX463">
        <f ca="1"/>
      </c>
      <c r="GY463">
        <f ca="1"/>
      </c>
      <c r="GZ463">
        <f ca="1"/>
      </c>
      <c r="HA463">
        <f ca="1"/>
      </c>
      <c r="HB463">
        <f ca="1"/>
      </c>
      <c r="HD463">
        <f ca="1"/>
      </c>
      <c r="HE463">
        <f ca="1"/>
      </c>
      <c r="HF463">
        <f ca="1"/>
      </c>
      <c r="HG463">
        <f ca="1"/>
      </c>
      <c r="HH463">
        <f ca="1"/>
      </c>
      <c r="HI463">
        <f ca="1"/>
      </c>
      <c r="HJ463">
        <f ca="1"/>
      </c>
      <c r="HK463">
        <f ca="1"/>
      </c>
      <c r="HL463">
        <f ca="1"/>
      </c>
      <c r="HM463">
        <f ca="1"/>
      </c>
      <c r="HN463">
        <f ca="1"/>
      </c>
      <c r="HO463">
        <f ca="1"/>
      </c>
      <c r="HP463">
        <f ca="1"/>
      </c>
      <c r="HQ463">
        <f ca="1"/>
      </c>
    </row>
    <row r="464" spans="146:226" x14ac:dyDescent="0.55000000000000004">
      <c r="EQ464">
        <f ca="1"/>
      </c>
      <c r="ER464">
        <f ca="1"/>
      </c>
      <c r="ES464">
        <f ca="1"/>
      </c>
      <c r="ET464">
        <f ca="1"/>
      </c>
      <c r="EU464">
        <f ca="1"/>
      </c>
      <c r="EV464">
        <f ca="1"/>
      </c>
      <c r="EW464">
        <f ca="1"/>
      </c>
      <c r="EX464">
        <f ca="1"/>
      </c>
      <c r="EY464">
        <f ca="1"/>
      </c>
      <c r="EZ464">
        <f ca="1"/>
      </c>
      <c r="FA464">
        <f ca="1"/>
      </c>
      <c r="FB464">
        <f ca="1"/>
      </c>
      <c r="FC464">
        <f ca="1"/>
      </c>
      <c r="FD464">
        <f ca="1"/>
      </c>
      <c r="FE464">
        <f ca="1"/>
      </c>
      <c r="FF464">
        <f ca="1"/>
      </c>
      <c r="FG464">
        <f ca="1"/>
      </c>
      <c r="FH464">
        <f ca="1"/>
      </c>
      <c r="FI464">
        <f ca="1"/>
      </c>
      <c r="FJ464">
        <f ca="1"/>
      </c>
      <c r="FK464">
        <f ca="1"/>
      </c>
      <c r="FL464">
        <f ca="1"/>
      </c>
      <c r="FM464">
        <f ca="1"/>
      </c>
      <c r="FN464">
        <f ca="1"/>
      </c>
      <c r="FO464">
        <f ca="1"/>
      </c>
      <c r="FP464">
        <f ca="1"/>
      </c>
      <c r="FQ464">
        <f ca="1"/>
      </c>
      <c r="FR464">
        <f ca="1"/>
      </c>
      <c r="GQ464">
        <f ca="1"/>
      </c>
      <c r="GR464" s="11">
        <f ca="1"/>
      </c>
      <c r="GS464" s="11">
        <f ca="1"/>
      </c>
      <c r="GT464" s="11">
        <f ca="1"/>
      </c>
      <c r="GU464" s="11">
        <f ca="1"/>
      </c>
      <c r="GV464" s="11">
        <f ca="1"/>
      </c>
      <c r="GX464">
        <f ca="1"/>
      </c>
      <c r="GY464">
        <f ca="1"/>
      </c>
      <c r="GZ464">
        <f ca="1"/>
      </c>
      <c r="HA464">
        <f ca="1"/>
      </c>
      <c r="HB464">
        <f ca="1"/>
      </c>
      <c r="HD464">
        <f ca="1"/>
      </c>
      <c r="HE464">
        <f ca="1"/>
      </c>
      <c r="HF464">
        <f ca="1"/>
      </c>
      <c r="HG464">
        <f ca="1"/>
      </c>
      <c r="HH464">
        <f ca="1"/>
      </c>
      <c r="HI464">
        <f ca="1"/>
      </c>
      <c r="HJ464">
        <f ca="1"/>
      </c>
      <c r="HK464">
        <f ca="1"/>
      </c>
      <c r="HL464">
        <f ca="1"/>
      </c>
      <c r="HM464">
        <f ca="1"/>
      </c>
      <c r="HN464">
        <f ca="1"/>
      </c>
      <c r="HO464">
        <f ca="1"/>
      </c>
      <c r="HP464">
        <f ca="1"/>
      </c>
      <c r="HQ464">
        <f ca="1"/>
      </c>
    </row>
    <row r="465" spans="147:225" x14ac:dyDescent="0.55000000000000004">
      <c r="EQ465">
        <f ca="1"/>
      </c>
      <c r="ER465">
        <f ca="1"/>
      </c>
      <c r="ES465">
        <f ca="1"/>
      </c>
      <c r="ET465">
        <f ca="1"/>
      </c>
      <c r="EU465">
        <f ca="1"/>
      </c>
      <c r="EV465">
        <f ca="1"/>
      </c>
      <c r="EW465">
        <f ca="1"/>
      </c>
      <c r="EX465">
        <f ca="1"/>
      </c>
      <c r="EY465">
        <f ca="1"/>
      </c>
      <c r="EZ465">
        <f ca="1"/>
      </c>
      <c r="FA465">
        <f ca="1"/>
      </c>
      <c r="FB465">
        <f ca="1"/>
      </c>
      <c r="FC465">
        <f ca="1"/>
      </c>
      <c r="FD465">
        <f ca="1"/>
      </c>
      <c r="FE465">
        <f ca="1"/>
      </c>
      <c r="FF465">
        <f ca="1"/>
      </c>
      <c r="FG465">
        <f ca="1"/>
      </c>
      <c r="FH465">
        <f ca="1"/>
      </c>
      <c r="FI465">
        <f ca="1"/>
      </c>
      <c r="FJ465">
        <f ca="1"/>
      </c>
      <c r="FK465">
        <f ca="1"/>
      </c>
      <c r="FL465">
        <f ca="1"/>
      </c>
      <c r="FM465">
        <f ca="1"/>
      </c>
      <c r="FN465">
        <f ca="1"/>
      </c>
      <c r="FO465">
        <f ca="1"/>
      </c>
      <c r="FP465">
        <f ca="1"/>
      </c>
      <c r="FQ465">
        <f ca="1"/>
      </c>
      <c r="FR465">
        <f ca="1"/>
      </c>
      <c r="GQ465">
        <f ca="1"/>
      </c>
      <c r="GR465" s="11">
        <f ca="1"/>
      </c>
      <c r="GS465" s="11">
        <f ca="1"/>
      </c>
      <c r="GT465" s="11">
        <f ca="1"/>
      </c>
      <c r="GU465" s="11">
        <f ca="1"/>
      </c>
      <c r="GV465" s="11">
        <f ca="1"/>
      </c>
      <c r="GX465">
        <f ca="1"/>
      </c>
      <c r="GY465">
        <f ca="1"/>
      </c>
      <c r="GZ465">
        <f ca="1"/>
      </c>
      <c r="HA465">
        <f ca="1"/>
      </c>
      <c r="HB465">
        <f ca="1"/>
      </c>
      <c r="HD465">
        <f ca="1"/>
      </c>
      <c r="HE465">
        <f ca="1"/>
      </c>
      <c r="HF465">
        <f ca="1"/>
      </c>
      <c r="HG465">
        <f ca="1"/>
      </c>
      <c r="HH465">
        <f ca="1"/>
      </c>
      <c r="HI465">
        <f ca="1"/>
      </c>
      <c r="HJ465">
        <f ca="1"/>
      </c>
      <c r="HK465">
        <f ca="1"/>
      </c>
      <c r="HL465">
        <f ca="1"/>
      </c>
      <c r="HM465">
        <f ca="1"/>
      </c>
      <c r="HN465">
        <f ca="1"/>
      </c>
      <c r="HO465">
        <f ca="1"/>
      </c>
      <c r="HP465">
        <f ca="1"/>
      </c>
      <c r="HQ465">
        <f ca="1"/>
      </c>
    </row>
    <row r="466" spans="147:225" x14ac:dyDescent="0.55000000000000004">
      <c r="EQ466">
        <f ca="1"/>
      </c>
      <c r="ER466">
        <f ca="1"/>
      </c>
      <c r="ES466">
        <f ca="1"/>
      </c>
      <c r="ET466">
        <f ca="1"/>
      </c>
      <c r="EU466">
        <f ca="1"/>
      </c>
      <c r="EV466">
        <f ca="1"/>
      </c>
      <c r="EW466">
        <f ca="1"/>
      </c>
      <c r="EX466">
        <f ca="1"/>
      </c>
      <c r="EY466">
        <f ca="1"/>
      </c>
      <c r="EZ466">
        <f ca="1"/>
      </c>
      <c r="FA466">
        <f ca="1"/>
      </c>
      <c r="FB466">
        <f ca="1"/>
      </c>
      <c r="FC466">
        <f ca="1"/>
      </c>
      <c r="FD466">
        <f ca="1"/>
      </c>
      <c r="FE466">
        <f ca="1"/>
      </c>
      <c r="FF466">
        <f ca="1"/>
      </c>
      <c r="FG466">
        <f ca="1"/>
      </c>
      <c r="FH466">
        <f ca="1"/>
      </c>
      <c r="FI466">
        <f ca="1"/>
      </c>
      <c r="FJ466">
        <f ca="1"/>
      </c>
      <c r="FK466">
        <f ca="1"/>
      </c>
      <c r="FL466">
        <f ca="1"/>
      </c>
      <c r="FM466">
        <f ca="1"/>
      </c>
      <c r="FN466">
        <f ca="1"/>
      </c>
      <c r="FO466">
        <f ca="1"/>
      </c>
      <c r="FP466">
        <f ca="1"/>
      </c>
      <c r="FQ466">
        <f ca="1"/>
      </c>
      <c r="FR466">
        <f ca="1"/>
      </c>
      <c r="GQ466">
        <f ca="1"/>
      </c>
      <c r="GR466" s="11">
        <f ca="1"/>
      </c>
      <c r="GS466" s="11">
        <f ca="1"/>
      </c>
      <c r="GT466" s="11">
        <f ca="1"/>
      </c>
      <c r="GU466" s="11">
        <f ca="1"/>
      </c>
      <c r="GV466" s="11">
        <f ca="1"/>
      </c>
      <c r="GX466">
        <f ca="1"/>
      </c>
      <c r="GY466">
        <f ca="1"/>
      </c>
      <c r="GZ466">
        <f ca="1"/>
      </c>
      <c r="HA466">
        <f ca="1"/>
      </c>
      <c r="HB466">
        <f ca="1"/>
      </c>
      <c r="HD466">
        <f ca="1"/>
      </c>
      <c r="HE466">
        <f ca="1"/>
      </c>
      <c r="HF466">
        <f ca="1"/>
      </c>
      <c r="HG466">
        <f ca="1"/>
      </c>
      <c r="HH466">
        <f ca="1"/>
      </c>
      <c r="HI466">
        <f ca="1"/>
      </c>
      <c r="HJ466">
        <f ca="1"/>
      </c>
      <c r="HK466">
        <f ca="1"/>
      </c>
      <c r="HL466">
        <f ca="1"/>
      </c>
      <c r="HM466">
        <f ca="1"/>
      </c>
      <c r="HN466">
        <f ca="1"/>
      </c>
      <c r="HO466">
        <f ca="1"/>
      </c>
      <c r="HP466">
        <f ca="1"/>
      </c>
      <c r="HQ466">
        <f ca="1"/>
      </c>
    </row>
    <row r="467" spans="147:225" x14ac:dyDescent="0.55000000000000004">
      <c r="EQ467">
        <f ca="1"/>
      </c>
      <c r="ER467">
        <f ca="1"/>
      </c>
      <c r="ES467">
        <f ca="1"/>
      </c>
      <c r="ET467">
        <f ca="1"/>
      </c>
      <c r="EU467">
        <f ca="1"/>
      </c>
      <c r="EV467">
        <f ca="1"/>
      </c>
      <c r="EW467">
        <f ca="1"/>
      </c>
      <c r="EX467">
        <f ca="1"/>
      </c>
      <c r="EY467">
        <f ca="1"/>
      </c>
      <c r="EZ467">
        <f ca="1"/>
      </c>
      <c r="FA467">
        <f ca="1"/>
      </c>
      <c r="FB467">
        <f ca="1"/>
      </c>
      <c r="FC467">
        <f ca="1"/>
      </c>
      <c r="FD467">
        <f ca="1"/>
      </c>
      <c r="FE467">
        <f ca="1"/>
      </c>
      <c r="FF467">
        <f ca="1"/>
      </c>
      <c r="FG467">
        <f ca="1"/>
      </c>
      <c r="FH467">
        <f ca="1"/>
      </c>
      <c r="FI467">
        <f ca="1"/>
      </c>
      <c r="FJ467">
        <f ca="1"/>
      </c>
      <c r="FK467">
        <f ca="1"/>
      </c>
      <c r="FL467">
        <f ca="1"/>
      </c>
      <c r="FM467">
        <f ca="1"/>
      </c>
      <c r="FN467">
        <f ca="1"/>
      </c>
      <c r="FO467">
        <f ca="1"/>
      </c>
      <c r="FP467">
        <f ca="1"/>
      </c>
      <c r="FQ467">
        <f ca="1"/>
      </c>
      <c r="FR467">
        <f ca="1"/>
      </c>
      <c r="GQ467">
        <f ca="1"/>
      </c>
      <c r="GR467" s="11">
        <f ca="1"/>
      </c>
      <c r="GS467" s="11">
        <f ca="1"/>
      </c>
      <c r="GT467" s="11">
        <f ca="1"/>
      </c>
      <c r="GU467" s="11">
        <f ca="1"/>
      </c>
      <c r="GV467" s="11">
        <f ca="1"/>
      </c>
      <c r="GX467">
        <f ca="1"/>
      </c>
      <c r="GY467">
        <f ca="1"/>
      </c>
      <c r="GZ467">
        <f ca="1"/>
      </c>
      <c r="HA467">
        <f ca="1"/>
      </c>
      <c r="HB467">
        <f ca="1"/>
      </c>
      <c r="HD467">
        <f ca="1"/>
      </c>
      <c r="HE467">
        <f ca="1"/>
      </c>
      <c r="HF467">
        <f ca="1"/>
      </c>
      <c r="HG467">
        <f ca="1"/>
      </c>
      <c r="HH467">
        <f ca="1"/>
      </c>
      <c r="HI467">
        <f ca="1"/>
      </c>
      <c r="HJ467">
        <f ca="1"/>
      </c>
      <c r="HK467">
        <f ca="1"/>
      </c>
      <c r="HL467">
        <f ca="1"/>
      </c>
      <c r="HM467">
        <f ca="1"/>
      </c>
      <c r="HN467">
        <f ca="1"/>
      </c>
      <c r="HO467">
        <f ca="1"/>
      </c>
      <c r="HP467">
        <f ca="1"/>
      </c>
      <c r="HQ467">
        <f ca="1"/>
      </c>
    </row>
    <row r="468" spans="147:225" x14ac:dyDescent="0.55000000000000004">
      <c r="EQ468">
        <f ca="1"/>
      </c>
      <c r="ER468">
        <f ca="1"/>
      </c>
      <c r="ES468">
        <f ca="1"/>
      </c>
      <c r="ET468">
        <f ca="1"/>
      </c>
      <c r="EU468">
        <f ca="1"/>
      </c>
      <c r="EV468">
        <f ca="1"/>
      </c>
      <c r="EW468">
        <f ca="1"/>
      </c>
      <c r="EX468">
        <f ca="1"/>
      </c>
      <c r="EY468">
        <f ca="1"/>
      </c>
      <c r="EZ468">
        <f ca="1"/>
      </c>
      <c r="FA468">
        <f ca="1"/>
      </c>
      <c r="FB468">
        <f ca="1"/>
      </c>
      <c r="FC468">
        <f ca="1"/>
      </c>
      <c r="FD468">
        <f ca="1"/>
      </c>
      <c r="FE468">
        <f ca="1"/>
      </c>
      <c r="FF468">
        <f ca="1"/>
      </c>
      <c r="FG468">
        <f ca="1"/>
      </c>
      <c r="FH468">
        <f ca="1"/>
      </c>
      <c r="FI468">
        <f ca="1"/>
      </c>
      <c r="FJ468">
        <f ca="1"/>
      </c>
      <c r="FK468">
        <f ca="1"/>
      </c>
      <c r="FL468">
        <f ca="1"/>
      </c>
      <c r="FM468">
        <f ca="1"/>
      </c>
      <c r="FN468">
        <f ca="1"/>
      </c>
      <c r="FO468">
        <f ca="1"/>
      </c>
      <c r="FP468">
        <f ca="1"/>
      </c>
      <c r="FQ468">
        <f ca="1"/>
      </c>
      <c r="FR468">
        <f ca="1"/>
      </c>
      <c r="GQ468">
        <f ca="1"/>
      </c>
      <c r="GR468" s="11">
        <f ca="1"/>
      </c>
      <c r="GS468" s="11">
        <f ca="1"/>
      </c>
      <c r="GT468" s="11">
        <f ca="1"/>
      </c>
      <c r="GU468" s="11">
        <f ca="1"/>
      </c>
      <c r="GV468" s="11">
        <f ca="1"/>
      </c>
      <c r="GX468">
        <f ca="1"/>
      </c>
      <c r="GY468">
        <f ca="1"/>
      </c>
      <c r="GZ468">
        <f ca="1"/>
      </c>
      <c r="HA468">
        <f ca="1"/>
      </c>
      <c r="HB468">
        <f ca="1"/>
      </c>
      <c r="HD468">
        <f ca="1"/>
      </c>
      <c r="HE468">
        <f ca="1"/>
      </c>
      <c r="HF468">
        <f ca="1"/>
      </c>
      <c r="HG468">
        <f ca="1"/>
      </c>
      <c r="HH468">
        <f ca="1"/>
      </c>
      <c r="HI468">
        <f ca="1"/>
      </c>
      <c r="HJ468">
        <f ca="1"/>
      </c>
      <c r="HK468">
        <f ca="1"/>
      </c>
      <c r="HL468">
        <f ca="1"/>
      </c>
      <c r="HM468">
        <f ca="1"/>
      </c>
      <c r="HN468">
        <f ca="1"/>
      </c>
      <c r="HO468">
        <f ca="1"/>
      </c>
      <c r="HP468">
        <f ca="1"/>
      </c>
      <c r="HQ468">
        <f ca="1"/>
      </c>
    </row>
    <row r="469" spans="147:225" x14ac:dyDescent="0.55000000000000004">
      <c r="EQ469">
        <f ca="1"/>
      </c>
      <c r="ER469">
        <f ca="1"/>
      </c>
      <c r="ES469">
        <f ca="1"/>
      </c>
      <c r="ET469">
        <f ca="1"/>
      </c>
      <c r="EU469">
        <f ca="1"/>
      </c>
      <c r="EV469">
        <f ca="1"/>
      </c>
      <c r="EW469">
        <f ca="1"/>
      </c>
      <c r="EX469">
        <f ca="1"/>
      </c>
      <c r="EY469">
        <f ca="1"/>
      </c>
      <c r="EZ469">
        <f ca="1"/>
      </c>
      <c r="FA469">
        <f ca="1"/>
      </c>
      <c r="FB469">
        <f ca="1"/>
      </c>
      <c r="FC469">
        <f ca="1"/>
      </c>
      <c r="FD469">
        <f ca="1"/>
      </c>
      <c r="FE469">
        <f ca="1"/>
      </c>
      <c r="FF469">
        <f ca="1"/>
      </c>
      <c r="FG469">
        <f ca="1"/>
      </c>
      <c r="FH469">
        <f ca="1"/>
      </c>
      <c r="FI469">
        <f ca="1"/>
      </c>
      <c r="FJ469">
        <f ca="1"/>
      </c>
      <c r="FK469">
        <f ca="1"/>
      </c>
      <c r="FL469">
        <f ca="1"/>
      </c>
      <c r="FM469">
        <f ca="1"/>
      </c>
      <c r="FN469">
        <f ca="1"/>
      </c>
      <c r="FO469">
        <f ca="1"/>
      </c>
      <c r="FP469">
        <f ca="1"/>
      </c>
      <c r="FQ469">
        <f ca="1"/>
      </c>
      <c r="FR469">
        <f ca="1"/>
      </c>
      <c r="GQ469">
        <f ca="1"/>
      </c>
      <c r="GR469" s="11">
        <f ca="1"/>
      </c>
      <c r="GS469" s="11">
        <f ca="1"/>
      </c>
      <c r="GT469" s="11">
        <f ca="1"/>
      </c>
      <c r="GU469" s="11">
        <f ca="1"/>
      </c>
      <c r="GV469" s="11">
        <f ca="1"/>
      </c>
      <c r="GX469">
        <f ca="1"/>
      </c>
      <c r="GY469">
        <f ca="1"/>
      </c>
      <c r="GZ469">
        <f ca="1"/>
      </c>
      <c r="HA469">
        <f ca="1"/>
      </c>
      <c r="HB469">
        <f ca="1"/>
      </c>
      <c r="HD469">
        <f ca="1"/>
      </c>
      <c r="HE469">
        <f ca="1"/>
      </c>
      <c r="HF469">
        <f ca="1"/>
      </c>
      <c r="HG469">
        <f ca="1"/>
      </c>
      <c r="HH469">
        <f ca="1"/>
      </c>
      <c r="HI469">
        <f ca="1"/>
      </c>
      <c r="HJ469">
        <f ca="1"/>
      </c>
      <c r="HK469">
        <f ca="1"/>
      </c>
      <c r="HL469">
        <f ca="1"/>
      </c>
      <c r="HM469">
        <f ca="1"/>
      </c>
      <c r="HN469">
        <f ca="1"/>
      </c>
      <c r="HO469">
        <f ca="1"/>
      </c>
      <c r="HP469">
        <f ca="1"/>
      </c>
      <c r="HQ469">
        <f ca="1"/>
      </c>
    </row>
    <row r="470" spans="147:225" x14ac:dyDescent="0.55000000000000004">
      <c r="EQ470">
        <f ca="1"/>
      </c>
      <c r="ER470">
        <f ca="1"/>
      </c>
      <c r="ES470">
        <f ca="1"/>
      </c>
      <c r="ET470">
        <f ca="1"/>
      </c>
      <c r="EU470">
        <f ca="1"/>
      </c>
      <c r="EV470">
        <f ca="1"/>
      </c>
      <c r="EW470">
        <f ca="1"/>
      </c>
      <c r="EX470">
        <f ca="1"/>
      </c>
      <c r="EY470">
        <f ca="1"/>
      </c>
      <c r="EZ470">
        <f ca="1"/>
      </c>
      <c r="FA470">
        <f ca="1"/>
      </c>
      <c r="FB470">
        <f ca="1"/>
      </c>
      <c r="FC470">
        <f ca="1"/>
      </c>
      <c r="FD470">
        <f ca="1"/>
      </c>
      <c r="FE470">
        <f ca="1"/>
      </c>
      <c r="FF470">
        <f ca="1"/>
      </c>
      <c r="FG470">
        <f ca="1"/>
      </c>
      <c r="FH470">
        <f ca="1"/>
      </c>
      <c r="FI470">
        <f ca="1"/>
      </c>
      <c r="FJ470">
        <f ca="1"/>
      </c>
      <c r="FK470">
        <f ca="1"/>
      </c>
      <c r="FL470">
        <f ca="1"/>
      </c>
      <c r="FM470">
        <f ca="1"/>
      </c>
      <c r="FN470">
        <f ca="1"/>
      </c>
      <c r="FO470">
        <f ca="1"/>
      </c>
      <c r="FP470">
        <f ca="1"/>
      </c>
      <c r="FQ470">
        <f ca="1"/>
      </c>
      <c r="FR470">
        <f ca="1"/>
      </c>
      <c r="GQ470">
        <f ca="1"/>
      </c>
      <c r="GR470" s="11">
        <f ca="1"/>
      </c>
      <c r="GS470" s="11">
        <f ca="1"/>
      </c>
      <c r="GT470" s="11">
        <f ca="1"/>
      </c>
      <c r="GU470" s="11">
        <f ca="1"/>
      </c>
      <c r="GV470" s="11">
        <f ca="1"/>
      </c>
      <c r="GX470">
        <f ca="1"/>
      </c>
      <c r="GY470">
        <f ca="1"/>
      </c>
      <c r="GZ470">
        <f ca="1"/>
      </c>
      <c r="HA470">
        <f ca="1"/>
      </c>
      <c r="HB470">
        <f ca="1"/>
      </c>
      <c r="HD470">
        <f ca="1"/>
      </c>
      <c r="HE470">
        <f ca="1"/>
      </c>
      <c r="HF470">
        <f ca="1"/>
      </c>
      <c r="HG470">
        <f ca="1"/>
      </c>
      <c r="HH470">
        <f ca="1"/>
      </c>
      <c r="HI470">
        <f ca="1"/>
      </c>
      <c r="HJ470">
        <f ca="1"/>
      </c>
      <c r="HK470">
        <f ca="1"/>
      </c>
      <c r="HL470">
        <f ca="1"/>
      </c>
      <c r="HM470">
        <f ca="1"/>
      </c>
      <c r="HN470">
        <f ca="1"/>
      </c>
      <c r="HO470">
        <f ca="1"/>
      </c>
      <c r="HP470">
        <f ca="1"/>
      </c>
      <c r="HQ470">
        <f ca="1"/>
      </c>
    </row>
    <row r="471" spans="147:225" x14ac:dyDescent="0.55000000000000004">
      <c r="EQ471">
        <f ca="1"/>
      </c>
      <c r="ER471">
        <f ca="1"/>
      </c>
      <c r="ES471">
        <f ca="1"/>
      </c>
      <c r="ET471">
        <f ca="1"/>
      </c>
      <c r="EU471">
        <f ca="1"/>
      </c>
      <c r="EV471">
        <f ca="1"/>
      </c>
      <c r="EW471">
        <f ca="1"/>
      </c>
      <c r="EX471">
        <f ca="1"/>
      </c>
      <c r="EY471">
        <f ca="1"/>
      </c>
      <c r="EZ471">
        <f ca="1"/>
      </c>
      <c r="FA471">
        <f ca="1"/>
      </c>
      <c r="FB471">
        <f ca="1"/>
      </c>
      <c r="FC471">
        <f ca="1"/>
      </c>
      <c r="FD471">
        <f ca="1"/>
      </c>
      <c r="FE471">
        <f ca="1"/>
      </c>
      <c r="FF471">
        <f ca="1"/>
      </c>
      <c r="FG471">
        <f ca="1"/>
      </c>
      <c r="FH471">
        <f ca="1"/>
      </c>
      <c r="FI471">
        <f ca="1"/>
      </c>
      <c r="FJ471">
        <f ca="1"/>
      </c>
      <c r="FK471">
        <f ca="1"/>
      </c>
      <c r="FL471">
        <f ca="1"/>
      </c>
      <c r="FM471">
        <f ca="1"/>
      </c>
      <c r="FN471">
        <f ca="1"/>
      </c>
      <c r="FO471">
        <f ca="1"/>
      </c>
      <c r="FP471">
        <f ca="1"/>
      </c>
      <c r="FQ471">
        <f ca="1"/>
      </c>
      <c r="FR471">
        <f ca="1"/>
      </c>
      <c r="GQ471">
        <f ca="1"/>
      </c>
      <c r="GR471" s="11">
        <f ca="1"/>
      </c>
      <c r="GS471" s="11">
        <f ca="1"/>
      </c>
      <c r="GT471" s="11">
        <f ca="1"/>
      </c>
      <c r="GU471" s="11">
        <f ca="1"/>
      </c>
      <c r="GV471" s="11">
        <f ca="1"/>
      </c>
      <c r="GX471">
        <f ca="1"/>
      </c>
      <c r="GY471">
        <f ca="1"/>
      </c>
      <c r="GZ471">
        <f ca="1"/>
      </c>
      <c r="HA471">
        <f ca="1"/>
      </c>
      <c r="HB471">
        <f ca="1"/>
      </c>
      <c r="HD471">
        <f ca="1"/>
      </c>
      <c r="HE471">
        <f ca="1"/>
      </c>
      <c r="HF471">
        <f ca="1"/>
      </c>
      <c r="HG471">
        <f ca="1"/>
      </c>
      <c r="HH471">
        <f ca="1"/>
      </c>
      <c r="HI471">
        <f ca="1"/>
      </c>
      <c r="HJ471">
        <f ca="1"/>
      </c>
      <c r="HK471">
        <f ca="1"/>
      </c>
      <c r="HL471">
        <f ca="1"/>
      </c>
      <c r="HM471">
        <f ca="1"/>
      </c>
      <c r="HN471">
        <f ca="1"/>
      </c>
      <c r="HO471">
        <f ca="1"/>
      </c>
      <c r="HP471">
        <f ca="1"/>
      </c>
      <c r="HQ471">
        <f ca="1"/>
      </c>
    </row>
    <row r="472" spans="147:225" x14ac:dyDescent="0.55000000000000004">
      <c r="GQ472">
        <f ca="1"/>
      </c>
      <c r="GR472" s="11">
        <f ca="1"/>
      </c>
      <c r="GS472" s="11">
        <f ca="1"/>
      </c>
      <c r="GT472" s="11">
        <f ca="1"/>
      </c>
      <c r="GU472" s="11">
        <f ca="1"/>
      </c>
      <c r="GV472" s="11">
        <f ca="1"/>
      </c>
      <c r="GX472">
        <f ca="1"/>
      </c>
      <c r="GY472">
        <f ca="1"/>
      </c>
      <c r="GZ472">
        <f ca="1"/>
      </c>
      <c r="HA472">
        <f ca="1"/>
      </c>
      <c r="HB472">
        <f ca="1"/>
      </c>
      <c r="HD472">
        <f ca="1"/>
      </c>
      <c r="HE472">
        <f ca="1"/>
      </c>
      <c r="HF472">
        <f ca="1"/>
      </c>
      <c r="HG472">
        <f ca="1"/>
      </c>
      <c r="HH472">
        <f ca="1"/>
      </c>
      <c r="HI472">
        <f ca="1"/>
      </c>
      <c r="HJ472">
        <f ca="1"/>
      </c>
      <c r="HK472">
        <f ca="1"/>
      </c>
      <c r="HL472">
        <f ca="1"/>
      </c>
      <c r="HM472">
        <f ca="1"/>
      </c>
      <c r="HN472">
        <f ca="1"/>
      </c>
      <c r="HO472">
        <f ca="1"/>
      </c>
      <c r="HP472">
        <f ca="1"/>
      </c>
      <c r="HQ472">
        <f ca="1"/>
      </c>
    </row>
    <row r="473" spans="147:225" x14ac:dyDescent="0.55000000000000004">
      <c r="GR473" s="11"/>
      <c r="GS473" s="11"/>
      <c r="GT473" s="11"/>
      <c r="GU473" s="11"/>
      <c r="GV473" s="11"/>
    </row>
    <row r="474" spans="147:225" x14ac:dyDescent="0.55000000000000004">
      <c r="GR474" s="11"/>
      <c r="GS474" s="11"/>
      <c r="GT474" s="11"/>
      <c r="GU474" s="11"/>
      <c r="GV474" s="11"/>
    </row>
    <row r="475" spans="147:225" x14ac:dyDescent="0.55000000000000004">
      <c r="GR475" s="11"/>
      <c r="GS475" s="11"/>
      <c r="GT475" s="11"/>
      <c r="GU475" s="11"/>
      <c r="GV475" s="11"/>
    </row>
    <row r="476" spans="147:225" x14ac:dyDescent="0.55000000000000004">
      <c r="GR476" s="11"/>
      <c r="GS476" s="11"/>
      <c r="GT476" s="11"/>
      <c r="GU476" s="11"/>
      <c r="GV476" s="11"/>
    </row>
    <row r="477" spans="147:225" x14ac:dyDescent="0.55000000000000004">
      <c r="GR477" s="11"/>
      <c r="GS477" s="11"/>
      <c r="GT477" s="11"/>
      <c r="GU477" s="11"/>
      <c r="GV477" s="11"/>
    </row>
    <row r="478" spans="147:225" x14ac:dyDescent="0.55000000000000004">
      <c r="GR478" s="11"/>
      <c r="GS478" s="11"/>
      <c r="GT478" s="11"/>
      <c r="GU478" s="11"/>
      <c r="GV478" s="11"/>
    </row>
    <row r="479" spans="147:225" x14ac:dyDescent="0.55000000000000004">
      <c r="GR479" s="11"/>
      <c r="GS479" s="11"/>
      <c r="GT479" s="11"/>
      <c r="GU479" s="11"/>
      <c r="GV479" s="11"/>
    </row>
    <row r="480" spans="147:225" x14ac:dyDescent="0.55000000000000004">
      <c r="GR480" s="11"/>
      <c r="GS480" s="11"/>
      <c r="GT480" s="11"/>
      <c r="GU480" s="11"/>
      <c r="GV480" s="11"/>
    </row>
    <row r="481" spans="200:204" x14ac:dyDescent="0.55000000000000004">
      <c r="GR481" s="11"/>
      <c r="GS481" s="11"/>
      <c r="GT481" s="11"/>
      <c r="GU481" s="11"/>
      <c r="GV481" s="11"/>
    </row>
    <row r="482" spans="200:204" x14ac:dyDescent="0.55000000000000004">
      <c r="GR482" s="11"/>
      <c r="GS482" s="11"/>
      <c r="GT482" s="11"/>
      <c r="GU482" s="11"/>
      <c r="GV482" s="11"/>
    </row>
    <row r="483" spans="200:204" x14ac:dyDescent="0.55000000000000004">
      <c r="GR483" s="11"/>
      <c r="GS483" s="11"/>
      <c r="GT483" s="11"/>
      <c r="GU483" s="11"/>
      <c r="GV483" s="11"/>
    </row>
    <row r="484" spans="200:204" x14ac:dyDescent="0.55000000000000004">
      <c r="GR484" s="11"/>
      <c r="GS484" s="11"/>
      <c r="GT484" s="11"/>
      <c r="GU484" s="11"/>
      <c r="GV484" s="11"/>
    </row>
    <row r="485" spans="200:204" x14ac:dyDescent="0.55000000000000004">
      <c r="GR485" s="11"/>
      <c r="GS485" s="11"/>
      <c r="GT485" s="11"/>
      <c r="GU485" s="11"/>
      <c r="GV485" s="11"/>
    </row>
    <row r="486" spans="200:204" x14ac:dyDescent="0.55000000000000004">
      <c r="GR486" s="11"/>
      <c r="GS486" s="11"/>
      <c r="GT486" s="11"/>
      <c r="GU486" s="11"/>
      <c r="GV486" s="11"/>
    </row>
    <row r="487" spans="200:204" x14ac:dyDescent="0.55000000000000004">
      <c r="GR487" s="11"/>
      <c r="GS487" s="11"/>
      <c r="GT487" s="11"/>
      <c r="GU487" s="11"/>
      <c r="GV487" s="11"/>
    </row>
    <row r="488" spans="200:204" x14ac:dyDescent="0.55000000000000004">
      <c r="GR488" s="11"/>
      <c r="GS488" s="11"/>
      <c r="GT488" s="11"/>
      <c r="GU488" s="11"/>
      <c r="GV488" s="11"/>
    </row>
    <row r="489" spans="200:204" x14ac:dyDescent="0.55000000000000004">
      <c r="GR489" s="11"/>
      <c r="GS489" s="11"/>
      <c r="GT489" s="11"/>
      <c r="GU489" s="11"/>
      <c r="GV489" s="11"/>
    </row>
    <row r="490" spans="200:204" x14ac:dyDescent="0.55000000000000004">
      <c r="GR490" s="11"/>
      <c r="GS490" s="11"/>
      <c r="GT490" s="11"/>
      <c r="GU490" s="11"/>
      <c r="GV490" s="11"/>
    </row>
    <row r="491" spans="200:204" x14ac:dyDescent="0.55000000000000004">
      <c r="GR491" s="11"/>
      <c r="GS491" s="11"/>
      <c r="GT491" s="11"/>
      <c r="GU491" s="11"/>
      <c r="GV491" s="11"/>
    </row>
    <row r="492" spans="200:204" x14ac:dyDescent="0.55000000000000004">
      <c r="GR492" s="11"/>
      <c r="GS492" s="11"/>
      <c r="GT492" s="11"/>
      <c r="GU492" s="11"/>
      <c r="GV492" s="11"/>
    </row>
    <row r="493" spans="200:204" x14ac:dyDescent="0.55000000000000004">
      <c r="GR493" s="11"/>
      <c r="GS493" s="11"/>
      <c r="GT493" s="11"/>
      <c r="GU493" s="11"/>
      <c r="GV493" s="11"/>
    </row>
    <row r="494" spans="200:204" x14ac:dyDescent="0.55000000000000004">
      <c r="GR494" s="11"/>
      <c r="GS494" s="11"/>
      <c r="GT494" s="11"/>
      <c r="GU494" s="11"/>
      <c r="GV494" s="11"/>
    </row>
    <row r="495" spans="200:204" x14ac:dyDescent="0.55000000000000004">
      <c r="GR495" s="11"/>
      <c r="GS495" s="11"/>
      <c r="GT495" s="11"/>
      <c r="GU495" s="11"/>
      <c r="GV495" s="11"/>
    </row>
    <row r="496" spans="200:204" x14ac:dyDescent="0.55000000000000004">
      <c r="GR496" s="11"/>
      <c r="GS496" s="11"/>
      <c r="GT496" s="11"/>
      <c r="GU496" s="11"/>
      <c r="GV496" s="11"/>
    </row>
  </sheetData>
  <phoneticPr fontId="2"/>
  <dataValidations count="10">
    <dataValidation type="list" allowBlank="1" showInputMessage="1" showErrorMessage="1" sqref="B1" xr:uid="{12E6568F-7ED6-43D5-9C23-8BA80B077B7F}">
      <formula1>"Live,Fixed"</formula1>
    </dataValidation>
    <dataValidation type="list" allowBlank="1" showInputMessage="1" showErrorMessage="1" prompt="○=PCAに使う(全ケース共通)。並び順がグラフの横軸の順" sqref="B12:B53" xr:uid="{7D2AA224-911F-43FE-80AD-077363FF75D1}">
      <formula1>"○,×"</formula1>
    </dataValidation>
    <dataValidation type="whole" operator="greaterThanOrEqual" allowBlank="1" showInputMessage="1" showErrorMessage="1" prompt="サンプル数(営業日)。テナーが1本でも欠けた日は除外して、さらに過去へ。空欄=このケースを使わない" sqref="E5 BP5 BI5 BB5 AU5 AN5 AG5 Z5 S5 L5" xr:uid="{40903130-5C5B-4E62-A8E9-0A3FC28C4891}">
      <formula1>2</formula1>
    </dataValidation>
    <dataValidation type="list" allowBlank="1" showInputMessage="1" showErrorMessage="1" prompt="Level=水準のPCA / Change=前営業日からの変化のPCA" sqref="E6 BP6 BI6 BB6 AU6 AN6 AG6 Z6 S6 L6" xr:uid="{87A3F734-9DF1-4D9B-9399-44A018D0046F}">
      <formula1>"Level,Change"</formula1>
    </dataValidation>
    <dataValidation type="list" allowBlank="1" showInputMessage="1" showErrorMessage="1" prompt="No=分散共分散(bp)のPCA / Yes=z-score(相関行列)のPCA" sqref="E7 BP7 BI7 BB7 AU7 AN7 AG7 Z7 S7 L7" xr:uid="{478A49A7-61B2-444E-9DAB-52BB02493A38}">
      <formula1>"Yes,No"</formula1>
    </dataValidation>
    <dataValidation type="whole" allowBlank="1" showInputMessage="1" showErrorMessage="1" prompt="復元に使う主成分の本数(この段の全ケース共通)" sqref="D12 D76 D60 D44 D28" xr:uid="{B1A35BA4-3427-47B4-B722-C18B0FAFBC40}">
      <formula1>1</formula1>
      <formula2>42</formula2>
    </dataValidation>
    <dataValidation type="whole" allowBlank="1" showInputMessage="1" showErrorMessage="1" prompt="復元に使う主成分の本数(この段の全ケース共通)。破線=推定windowの平均±1σ" sqref="D108" xr:uid="{84D5ECE9-1346-4BDC-9259-1EC049A7F0A7}">
      <formula1>1</formula1>
      <formula2>42</formula2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55" xr:uid="{787AF8F1-6E01-43C2-B30F-DEF51402565D}">
      <formula1>2</formula1>
    </dataValidation>
    <dataValidation type="date" operator="greaterThanOrEqual" allowBlank="1" showInputMessage="1" showErrorMessage="1" prompt="推定期間(window)の最終日。空欄=今日(推定はDBの引け値だけ。DBに今日の値がなければ直近の営業日まで)" sqref="E4 L4 S4 Z4 AG4 AN4 AU4 BB4 BI4 BP4" xr:uid="{6B7EA848-C4B1-40B6-AA85-3B7CB2E8E639}">
      <formula1>1</formula1>
    </dataValidation>
    <dataValidation type="date" operator="greaterThanOrEqual" allowBlank="1" showInputMessage="1" showErrorMessage="1" prompt="復元・差分を見る日(全ケース共通)。空欄=今日(RealTimeのライブの値)。日付=DBのその日の引け値" sqref="A4" xr:uid="{07D39F00-0859-432F-90F6-05FB010042D7}">
      <formula1>1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8242C-3467-4C0D-92AA-6BB525ADCCF6}">
  <sheetPr codeName="Sheet6"/>
  <dimension ref="A1:LD401"/>
  <sheetViews>
    <sheetView topLeftCell="B1" zoomScale="56" workbookViewId="0">
      <selection activeCell="R5" sqref="R5"/>
    </sheetView>
  </sheetViews>
  <sheetFormatPr defaultRowHeight="18.5" outlineLevelCol="1" x14ac:dyDescent="0.55000000000000004"/>
  <cols>
    <col min="1" max="1" width="17.1640625" customWidth="1"/>
    <col min="2" max="2" width="11.58203125" customWidth="1"/>
    <col min="3" max="3" width="8.58203125" customWidth="1"/>
    <col min="4" max="4" width="11.58203125" customWidth="1"/>
    <col min="5" max="5" width="2.58203125" customWidth="1"/>
    <col min="6" max="6" width="12.58203125" customWidth="1"/>
    <col min="7" max="7" width="10.9140625" bestFit="1" customWidth="1"/>
    <col min="10" max="10" width="10.9140625" bestFit="1" customWidth="1"/>
    <col min="21" max="21" width="12.58203125" customWidth="1"/>
    <col min="58" max="268" width="0" hidden="1" customWidth="1" outlineLevel="1"/>
    <col min="269" max="269" width="8.6640625" collapsed="1"/>
    <col min="313" max="315" width="0" hidden="1" customWidth="1" outlineLevel="1"/>
    <col min="316" max="316" width="8.6640625" collapsed="1"/>
  </cols>
  <sheetData>
    <row r="1" spans="1:315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LiveInfo("vol",_xlfn.ANCHORARRAY($LA$3))</f>
      </c>
      <c r="E1" s="17" t="s">
        <v>55</v>
      </c>
    </row>
    <row r="2" spans="1:315" ht="22.5" x14ac:dyDescent="0.55000000000000004">
      <c r="A2" t="s">
        <v>223</v>
      </c>
      <c r="F2" s="1"/>
      <c r="BF2" s="1" t="s">
        <v>224</v>
      </c>
      <c r="LA2" t="s">
        <v>57</v>
      </c>
    </row>
    <row r="3" spans="1:315" x14ac:dyDescent="0.55000000000000004">
      <c r="A3" s="4" t="s">
        <v>190</v>
      </c>
      <c r="F3" t="s">
        <v>197</v>
      </c>
      <c r="I3" t="s">
        <v>251</v>
      </c>
      <c r="BI3" t="s">
        <v>225</v>
      </c>
      <c r="BP3" t="s">
        <v>226</v>
      </c>
      <c r="JD3" t="s">
        <v>227</v>
      </c>
      <c r="JE3" t="s">
        <v>198</v>
      </c>
      <c r="JG3" t="s">
        <v>228</v>
      </c>
      <c r="LA3" cm="1">
        <f t="array" aca="1" ref="LA3:LC194" ca="1">IF($B$1="Fixed",LiveSnapshot("vol"),LiveQuotes("vol"))</f>
      </c>
      <c r="LB3">
        <f ca="1"/>
      </c>
      <c r="LC3">
        <f ca="1"/>
      </c>
    </row>
    <row r="4" spans="1:315" x14ac:dyDescent="0.55000000000000004">
      <c r="A4" t="s">
        <v>248</v>
      </c>
      <c r="B4" s="3"/>
      <c r="F4" cm="1">
        <f t="array" aca="1" ref="F4" ca="1">PcaWindow(VOL_Labels,VOL_Mode,VOL_Standardize,VOL_window,VOL_WindowEnd,"vol")</f>
      </c>
      <c r="G4" s="7"/>
      <c r="I4" cm="1">
        <f t="array" aca="1" ref="I4:J7" ca="1">PcaActualInfo(VOL_Labels,VOL_Mode,VOL_ReconDate,_xlfn.ANCHORARRAY($LA$3),"vol")</f>
      </c>
      <c r="J4" s="7">
        <f ca="1"/>
      </c>
      <c r="P4" t="s">
        <v>229</v>
      </c>
      <c r="BG4" s="7"/>
      <c r="BI4" s="5" t="s">
        <v>231</v>
      </c>
      <c r="BJ4" s="5" t="s">
        <v>232</v>
      </c>
      <c r="BK4" s="5" t="s">
        <v>233</v>
      </c>
      <c r="BL4" s="5" t="s">
        <v>234</v>
      </c>
      <c r="BM4" s="5" t="s">
        <v>235</v>
      </c>
      <c r="BN4" s="5" t="s">
        <v>236</v>
      </c>
      <c r="BP4" cm="1">
        <f t="array" aca="1" ref="BP4" ca="1">PcaModel(VOL_Labels,VOL_Mode,VOL_Standardize,VOL_window,VOL_WindowEnd,"vol")</f>
      </c>
      <c r="JD4" cm="1">
        <f t="array" ref="JD4:JD19">_xlfn._xlws.FILTER($A$15:$A$30,$B$15:$B$30="○")</f>
      </c>
      <c r="JE4" cm="1">
        <f t="array" ref="JE4:JE15">_xlfn._xlws.FILTER($C$15:$C$26,$D$15:$D$26="○")</f>
      </c>
      <c r="JG4" cm="1">
        <f t="array" ref="JG4:JG195">_xlfn.TOCOL(_xlfn.ANCHORARRAY(JD4)&amp;"x"&amp;TRANSPOSE(_xlfn.ANCHORARRAY(JE4)))</f>
      </c>
      <c r="LA4">
        <f ca="1"/>
      </c>
      <c r="LB4">
        <f ca="1"/>
      </c>
      <c r="LC4">
        <f ca="1"/>
      </c>
    </row>
    <row r="5" spans="1:315" x14ac:dyDescent="0.55000000000000004">
      <c r="A5" t="s">
        <v>191</v>
      </c>
      <c r="B5" s="2">
        <v>250</v>
      </c>
      <c r="G5" s="7"/>
      <c r="I5">
        <f ca="1"/>
      </c>
      <c r="J5">
        <f ca="1"/>
      </c>
      <c r="P5" t="s">
        <v>230</v>
      </c>
      <c r="BG5" s="7"/>
      <c r="BI5" cm="1">
        <f t="array" aca="1" ref="BI5:BI196" ca="1">_xlfn.DROP(_xlfn.TAKE(_xlfn.ANCHORARRAY($BP$4),,1),1)</f>
      </c>
      <c r="BJ5" s="11" cm="1">
        <f t="array" aca="1" ref="BJ5:BJ196" ca="1">PcaActual(VOL_Labels,VOL_Mode,VOL_ReconDate,_xlfn.ANCHORARRAY($LA$3),"vol")</f>
      </c>
      <c r="BK5" s="11" cm="1">
        <f t="array" aca="1" ref="BK5:BK196" ca="1">_xlfn.DROP(_xlfn.CHOOSECOLS(_xlfn.ANCHORARRAY($BP$4),2),1)</f>
      </c>
      <c r="BL5" s="11" cm="1">
        <f t="array" aca="1" ref="BL5:BL196" ca="1">_xlfn.DROP(_xlfn.CHOOSECOLS(_xlfn.ANCHORARRAY($BP$4),3),1)</f>
      </c>
      <c r="BM5" s="11" cm="1">
        <f t="array" aca="1" ref="BM5:BM196" ca="1">_xlfn.LET(_xlpm.m,_xlfn.ANCHORARRAY(BK5),_xlpm.s,_xlfn.ANCHORARRAY(BL5),_xlpm.x,_xlfn.ANCHORARRAY(BJ5),_xlpm.V,_xlfn.TAKE(_xlfn.DROP(_xlfn.ANCHORARRAY($BP$4),1,4),,VOL_k),_xlpm.m+_xlpm.s*MMULT(_xlpm.V,MMULT(TRANSPOSE(_xlpm.V),(_xlpm.x-_xlpm.m)/_xlpm.s)))</f>
      </c>
      <c r="BN5" s="11" cm="1">
        <f t="array" aca="1" ref="BN5:BN196" ca="1">_xlfn.ANCHORARRAY(BJ5)-_xlfn.ANCHORARRAY(BM5)</f>
      </c>
      <c r="LA5">
        <f ca="1"/>
      </c>
      <c r="LB5">
        <f ca="1"/>
      </c>
      <c r="LC5">
        <f ca="1"/>
      </c>
    </row>
    <row r="6" spans="1:315" x14ac:dyDescent="0.55000000000000004">
      <c r="A6" t="s">
        <v>192</v>
      </c>
      <c r="B6" s="2" t="s">
        <v>221</v>
      </c>
      <c r="I6">
        <f ca="1"/>
      </c>
      <c r="J6" s="7">
        <f ca="1"/>
      </c>
      <c r="BI6">
        <f ca="1"/>
      </c>
      <c r="BJ6" s="11">
        <f ca="1"/>
      </c>
      <c r="BK6" s="11">
        <f ca="1"/>
      </c>
      <c r="BL6" s="11">
        <f ca="1"/>
      </c>
      <c r="BM6" s="11">
        <f ca="1"/>
      </c>
      <c r="BN6" s="11">
        <f ca="1"/>
      </c>
      <c r="LA6">
        <f ca="1"/>
      </c>
      <c r="LB6">
        <f ca="1"/>
      </c>
      <c r="LC6">
        <f ca="1"/>
      </c>
    </row>
    <row r="7" spans="1:315" x14ac:dyDescent="0.55000000000000004">
      <c r="A7" t="s">
        <v>193</v>
      </c>
      <c r="B7" s="2" t="s">
        <v>222</v>
      </c>
      <c r="I7">
        <f ca="1"/>
      </c>
      <c r="J7" s="8">
        <f ca="1"/>
      </c>
      <c r="BI7">
        <f ca="1"/>
      </c>
      <c r="BJ7" s="11">
        <f ca="1"/>
      </c>
      <c r="BK7" s="11">
        <f ca="1"/>
      </c>
      <c r="BL7" s="11">
        <f ca="1"/>
      </c>
      <c r="BM7" s="11">
        <f ca="1"/>
      </c>
      <c r="BN7" s="11">
        <f ca="1"/>
      </c>
      <c r="LA7">
        <f ca="1"/>
      </c>
      <c r="LB7">
        <f ca="1"/>
      </c>
      <c r="LC7">
        <f ca="1"/>
      </c>
    </row>
    <row r="8" spans="1:315" x14ac:dyDescent="0.55000000000000004">
      <c r="G8" s="8"/>
      <c r="BI8">
        <f ca="1"/>
      </c>
      <c r="BJ8" s="11">
        <f ca="1"/>
      </c>
      <c r="BK8" s="11">
        <f ca="1"/>
      </c>
      <c r="BL8" s="11">
        <f ca="1"/>
      </c>
      <c r="BM8" s="11">
        <f ca="1"/>
      </c>
      <c r="BN8" s="11">
        <f ca="1"/>
      </c>
      <c r="LA8">
        <f ca="1"/>
      </c>
      <c r="LB8">
        <f ca="1"/>
      </c>
      <c r="LC8">
        <f ca="1"/>
      </c>
    </row>
    <row r="9" spans="1:315" x14ac:dyDescent="0.55000000000000004">
      <c r="A9" s="4" t="s">
        <v>249</v>
      </c>
      <c r="BI9">
        <f ca="1"/>
      </c>
      <c r="BJ9" s="11">
        <f ca="1"/>
      </c>
      <c r="BK9" s="11">
        <f ca="1"/>
      </c>
      <c r="BL9" s="11">
        <f ca="1"/>
      </c>
      <c r="BM9" s="11">
        <f ca="1"/>
      </c>
      <c r="BN9" s="11">
        <f ca="1"/>
      </c>
      <c r="LA9">
        <f ca="1"/>
      </c>
      <c r="LB9">
        <f ca="1"/>
      </c>
      <c r="LC9">
        <f ca="1"/>
      </c>
    </row>
    <row r="10" spans="1:315" x14ac:dyDescent="0.55000000000000004">
      <c r="A10" t="s">
        <v>250</v>
      </c>
      <c r="B10" s="3"/>
      <c r="F10" s="4" t="s">
        <v>237</v>
      </c>
      <c r="U10" s="4" t="s">
        <v>238</v>
      </c>
      <c r="AJ10" s="4" t="s">
        <v>239</v>
      </c>
      <c r="BI10">
        <f ca="1"/>
      </c>
      <c r="BJ10" s="11">
        <f ca="1"/>
      </c>
      <c r="BK10" s="11">
        <f ca="1"/>
      </c>
      <c r="BL10" s="11">
        <f ca="1"/>
      </c>
      <c r="BM10" s="11">
        <f ca="1"/>
      </c>
      <c r="BN10" s="11">
        <f ca="1"/>
      </c>
      <c r="LA10">
        <f ca="1"/>
      </c>
      <c r="LB10">
        <f ca="1"/>
      </c>
      <c r="LC10">
        <f ca="1"/>
      </c>
    </row>
    <row r="11" spans="1:315" x14ac:dyDescent="0.55000000000000004">
      <c r="A11" t="s">
        <v>194</v>
      </c>
      <c r="B11" s="2">
        <v>3</v>
      </c>
      <c r="F11" s="5" t="s">
        <v>240</v>
      </c>
      <c r="G11" cm="1">
        <f t="array" ref="G11:R11">TRANSPOSE(VOL_Tenors)</f>
      </c>
      <c r="U11" s="5" t="s">
        <v>240</v>
      </c>
      <c r="V11" cm="1">
        <f t="array" ref="V11:AG11">TRANSPOSE(VOL_Tenors)</f>
      </c>
      <c r="AJ11" s="5" t="s">
        <v>215</v>
      </c>
      <c r="AK11" s="5" t="s">
        <v>216</v>
      </c>
      <c r="AL11" s="5" t="s">
        <v>217</v>
      </c>
      <c r="AM11" s="5" t="s">
        <v>218</v>
      </c>
      <c r="AN11" s="5" t="s">
        <v>219</v>
      </c>
      <c r="AO11" s="5" t="s">
        <v>220</v>
      </c>
      <c r="BG11" s="7"/>
      <c r="BI11">
        <f ca="1"/>
      </c>
      <c r="BJ11" s="11">
        <f ca="1"/>
      </c>
      <c r="BK11" s="11">
        <f ca="1"/>
      </c>
      <c r="BL11" s="11">
        <f ca="1"/>
      </c>
      <c r="BM11" s="11">
        <f ca="1"/>
      </c>
      <c r="BN11" s="11">
        <f ca="1"/>
      </c>
      <c r="LA11">
        <f ca="1"/>
      </c>
      <c r="LB11">
        <f ca="1"/>
      </c>
      <c r="LC11">
        <f ca="1"/>
      </c>
    </row>
    <row r="12" spans="1:315" x14ac:dyDescent="0.55000000000000004">
      <c r="F12" cm="1">
        <f t="array" ref="F12:F27">VOL_Expiries</f>
      </c>
      <c r="G12" s="11" cm="1">
        <f t="array" aca="1" ref="G12:R27" ca="1">_xlfn.XLOOKUP(_xlfn.ANCHORARRAY(F12)&amp;"x"&amp;_xlfn.ANCHORARRAY(G11),_xlfn.ANCHORARRAY($BI$5),_xlfn.ANCHORARRAY($BN$5))</f>
      </c>
      <c r="H12" s="11">
        <f ca="1"/>
      </c>
      <c r="I12" s="11">
        <f ca="1"/>
      </c>
      <c r="J12" s="11">
        <f ca="1"/>
      </c>
      <c r="K12" s="11">
        <f ca="1"/>
      </c>
      <c r="L12" s="11">
        <f ca="1"/>
      </c>
      <c r="M12" s="11">
        <f ca="1"/>
      </c>
      <c r="N12" s="11">
        <f ca="1"/>
      </c>
      <c r="O12" s="11">
        <f ca="1"/>
      </c>
      <c r="P12" s="11">
        <f ca="1"/>
      </c>
      <c r="Q12" s="11">
        <f ca="1"/>
      </c>
      <c r="R12" s="11">
        <f ca="1"/>
      </c>
      <c r="S12" s="11"/>
      <c r="T12" s="11"/>
      <c r="U12" s="11" cm="1">
        <f t="array" ref="U12:U27">VOL_Expiries</f>
      </c>
      <c r="V12" s="14" cm="1">
        <f t="array" aca="1" ref="V12:AG27" ca="1">_xlfn.XLOOKUP(_xlfn.ANCHORARRAY(U12)&amp;"x"&amp;_xlfn.ANCHORARRAY(V11),_xlfn.ANCHORARRAY($BI$5),_xlfn.ANCHORARRAY($BJ$5))</f>
      </c>
      <c r="W12" s="14">
        <f ca="1"/>
      </c>
      <c r="X12" s="14">
        <f ca="1"/>
      </c>
      <c r="Y12" s="14">
        <f ca="1"/>
      </c>
      <c r="Z12" s="14">
        <f ca="1"/>
      </c>
      <c r="AA12" s="14">
        <f ca="1"/>
      </c>
      <c r="AB12" s="14">
        <f ca="1"/>
      </c>
      <c r="AC12" s="14">
        <f ca="1"/>
      </c>
      <c r="AD12" s="14">
        <f ca="1"/>
      </c>
      <c r="AE12" s="14">
        <f ca="1"/>
      </c>
      <c r="AF12" s="14">
        <f ca="1"/>
      </c>
      <c r="AG12" s="14">
        <f ca="1"/>
      </c>
      <c r="AH12" s="14"/>
      <c r="AI12" s="14"/>
      <c r="AJ12" s="14" cm="1">
        <f t="array" aca="1" ref="AJ12:AJ21" ca="1">_xlfn.TAKE(_xlfn.DROP(_xlfn.TAKE(_xlfn.ANCHORARRAY($BF$17),,1),1),10)</f>
      </c>
      <c r="AK12" s="11" cm="1">
        <f t="array" aca="1" ref="AK12:AK21" ca="1">_xlfn.TAKE(_xlfn.DROP(_xlfn.CHOOSECOLS(_xlfn.ANCHORARRAY($BF$17),2),1),10)</f>
      </c>
      <c r="AL12" s="12" cm="1">
        <f t="array" aca="1" ref="AL12:AL21" ca="1">_xlfn.ANCHORARRAY(AK12)/SUM(_xlfn.DROP(_xlfn.CHOOSECOLS(_xlfn.ANCHORARRAY($BF$17),2),1))</f>
      </c>
      <c r="AM12" s="12" cm="1">
        <f t="array" aca="1" ref="AM12:AM21" ca="1">_xlfn.SCAN(0,_xlfn.ANCHORARRAY(AL12),_xlfn.LAMBDA(_xlpm.a,_xlpm.b,_xlpm.a+_xlpm.b))</f>
      </c>
      <c r="AN12" s="11" cm="1">
        <f t="array" aca="1" ref="AN12:AN21" ca="1">_xlfn.TAKE(MMULT(TRANSPOSE(_xlfn.DROP(_xlfn.ANCHORARRAY($BP$4),1,4)),(_xlfn.ANCHORARRAY($BJ$5)-_xlfn.ANCHORARRAY($BK$5))/_xlfn.ANCHORARRAY($BL$5)),10)</f>
      </c>
      <c r="AO12" s="14" cm="1">
        <f t="array" aca="1" ref="AO12:AO21" ca="1">IF(_xlfn.SEQUENCE(ROWS(_xlfn.ANCHORARRAY(AJ12)))&lt;=VOL_k,"Yes","")</f>
      </c>
      <c r="BI12">
        <f ca="1"/>
      </c>
      <c r="BJ12" s="11">
        <f ca="1"/>
      </c>
      <c r="BK12" s="11">
        <f ca="1"/>
      </c>
      <c r="BL12" s="11">
        <f ca="1"/>
      </c>
      <c r="BM12" s="11">
        <f ca="1"/>
      </c>
      <c r="BN12" s="11">
        <f ca="1"/>
      </c>
      <c r="LA12">
        <f ca="1"/>
      </c>
      <c r="LB12">
        <f ca="1"/>
      </c>
      <c r="LC12">
        <f ca="1"/>
      </c>
    </row>
    <row r="13" spans="1:315" x14ac:dyDescent="0.55000000000000004">
      <c r="A13" t="s">
        <v>241</v>
      </c>
      <c r="G13" s="11">
        <f ca="1"/>
      </c>
      <c r="H13" s="11">
        <f ca="1"/>
      </c>
      <c r="I13" s="11">
        <f ca="1"/>
      </c>
      <c r="J13" s="11">
        <f ca="1"/>
      </c>
      <c r="K13" s="11">
        <f ca="1"/>
      </c>
      <c r="L13" s="11">
        <f ca="1"/>
      </c>
      <c r="M13" s="11">
        <f ca="1"/>
      </c>
      <c r="N13" s="11">
        <f ca="1"/>
      </c>
      <c r="O13" s="11">
        <f ca="1"/>
      </c>
      <c r="P13" s="11">
        <f ca="1"/>
      </c>
      <c r="Q13" s="11">
        <f ca="1"/>
      </c>
      <c r="R13" s="11">
        <f ca="1"/>
      </c>
      <c r="S13" s="11"/>
      <c r="T13" s="11"/>
      <c r="U13" s="11"/>
      <c r="V13" s="14">
        <f ca="1"/>
      </c>
      <c r="W13" s="14">
        <f ca="1"/>
      </c>
      <c r="X13" s="14">
        <f ca="1"/>
      </c>
      <c r="Y13" s="14">
        <f ca="1"/>
      </c>
      <c r="Z13" s="14">
        <f ca="1"/>
      </c>
      <c r="AA13" s="14">
        <f ca="1"/>
      </c>
      <c r="AB13" s="14">
        <f ca="1"/>
      </c>
      <c r="AC13" s="14">
        <f ca="1"/>
      </c>
      <c r="AD13" s="14">
        <f ca="1"/>
      </c>
      <c r="AE13" s="14">
        <f ca="1"/>
      </c>
      <c r="AF13" s="14">
        <f ca="1"/>
      </c>
      <c r="AG13" s="14">
        <f ca="1"/>
      </c>
      <c r="AH13" s="14"/>
      <c r="AI13" s="14"/>
      <c r="AJ13" s="14">
        <f ca="1"/>
      </c>
      <c r="AK13" s="11">
        <f ca="1"/>
      </c>
      <c r="AL13" s="12">
        <f ca="1"/>
      </c>
      <c r="AM13" s="12">
        <f ca="1"/>
      </c>
      <c r="AN13" s="11">
        <f ca="1"/>
      </c>
      <c r="AO13" s="14">
        <f ca="1"/>
      </c>
      <c r="BG13" s="7"/>
      <c r="BI13">
        <f ca="1"/>
      </c>
      <c r="BJ13" s="11">
        <f ca="1"/>
      </c>
      <c r="BK13" s="11">
        <f ca="1"/>
      </c>
      <c r="BL13" s="11">
        <f ca="1"/>
      </c>
      <c r="BM13" s="11">
        <f ca="1"/>
      </c>
      <c r="BN13" s="11">
        <f ca="1"/>
      </c>
      <c r="LA13">
        <f ca="1"/>
      </c>
      <c r="LB13">
        <f ca="1"/>
      </c>
      <c r="LC13">
        <f ca="1"/>
      </c>
    </row>
    <row r="14" spans="1:315" x14ac:dyDescent="0.55000000000000004">
      <c r="A14" s="5" t="s">
        <v>242</v>
      </c>
      <c r="B14" s="5" t="s">
        <v>205</v>
      </c>
      <c r="C14" s="5" t="s">
        <v>204</v>
      </c>
      <c r="D14" s="5" t="s">
        <v>205</v>
      </c>
      <c r="G14" s="11">
        <f ca="1"/>
      </c>
      <c r="H14" s="11">
        <f ca="1"/>
      </c>
      <c r="I14" s="11">
        <f ca="1"/>
      </c>
      <c r="J14" s="11">
        <f ca="1"/>
      </c>
      <c r="K14" s="11">
        <f ca="1"/>
      </c>
      <c r="L14" s="11">
        <f ca="1"/>
      </c>
      <c r="M14" s="11">
        <f ca="1"/>
      </c>
      <c r="N14" s="11">
        <f ca="1"/>
      </c>
      <c r="O14" s="11">
        <f ca="1"/>
      </c>
      <c r="P14" s="11">
        <f ca="1"/>
      </c>
      <c r="Q14" s="11">
        <f ca="1"/>
      </c>
      <c r="R14" s="11">
        <f ca="1"/>
      </c>
      <c r="S14" s="11"/>
      <c r="T14" s="11"/>
      <c r="U14" s="11"/>
      <c r="V14" s="14">
        <f ca="1"/>
      </c>
      <c r="W14" s="14">
        <f ca="1"/>
      </c>
      <c r="X14" s="14">
        <f ca="1"/>
      </c>
      <c r="Y14" s="14">
        <f ca="1"/>
      </c>
      <c r="Z14" s="14">
        <f ca="1"/>
      </c>
      <c r="AA14" s="14">
        <f ca="1"/>
      </c>
      <c r="AB14" s="14">
        <f ca="1"/>
      </c>
      <c r="AC14" s="14">
        <f ca="1"/>
      </c>
      <c r="AD14" s="14">
        <f ca="1"/>
      </c>
      <c r="AE14" s="14">
        <f ca="1"/>
      </c>
      <c r="AF14" s="14">
        <f ca="1"/>
      </c>
      <c r="AG14" s="14">
        <f ca="1"/>
      </c>
      <c r="AH14" s="14"/>
      <c r="AI14" s="14"/>
      <c r="AJ14" s="14">
        <f ca="1"/>
      </c>
      <c r="AK14" s="11">
        <f ca="1"/>
      </c>
      <c r="AL14" s="12">
        <f ca="1"/>
      </c>
      <c r="AM14" s="12">
        <f ca="1"/>
      </c>
      <c r="AN14" s="11">
        <f ca="1"/>
      </c>
      <c r="AO14" s="14">
        <f ca="1"/>
      </c>
      <c r="BI14">
        <f ca="1"/>
      </c>
      <c r="BJ14" s="11">
        <f ca="1"/>
      </c>
      <c r="BK14" s="11">
        <f ca="1"/>
      </c>
      <c r="BL14" s="11">
        <f ca="1"/>
      </c>
      <c r="BM14" s="11">
        <f ca="1"/>
      </c>
      <c r="BN14" s="11">
        <f ca="1"/>
      </c>
      <c r="LA14">
        <f ca="1"/>
      </c>
      <c r="LB14">
        <f ca="1"/>
      </c>
      <c r="LC14">
        <f ca="1"/>
      </c>
    </row>
    <row r="15" spans="1:315" x14ac:dyDescent="0.55000000000000004">
      <c r="A15" t="s">
        <v>2</v>
      </c>
      <c r="B15" s="6" t="s">
        <v>42</v>
      </c>
      <c r="C15" t="s">
        <v>49</v>
      </c>
      <c r="D15" s="6" t="s">
        <v>42</v>
      </c>
      <c r="G15" s="11">
        <f ca="1"/>
      </c>
      <c r="H15" s="11">
        <f ca="1"/>
      </c>
      <c r="I15" s="11">
        <f ca="1"/>
      </c>
      <c r="J15" s="11">
        <f ca="1"/>
      </c>
      <c r="K15" s="11">
        <f ca="1"/>
      </c>
      <c r="L15" s="11">
        <f ca="1"/>
      </c>
      <c r="M15" s="11">
        <f ca="1"/>
      </c>
      <c r="N15" s="11">
        <f ca="1"/>
      </c>
      <c r="O15" s="11">
        <f ca="1"/>
      </c>
      <c r="P15" s="11">
        <f ca="1"/>
      </c>
      <c r="Q15" s="11">
        <f ca="1"/>
      </c>
      <c r="R15" s="11">
        <f ca="1"/>
      </c>
      <c r="S15" s="11"/>
      <c r="T15" s="11"/>
      <c r="U15" s="11"/>
      <c r="V15" s="14">
        <f ca="1"/>
      </c>
      <c r="W15" s="14">
        <f ca="1"/>
      </c>
      <c r="X15" s="14">
        <f ca="1"/>
      </c>
      <c r="Y15" s="14">
        <f ca="1"/>
      </c>
      <c r="Z15" s="14">
        <f ca="1"/>
      </c>
      <c r="AA15" s="14">
        <f ca="1"/>
      </c>
      <c r="AB15" s="14">
        <f ca="1"/>
      </c>
      <c r="AC15" s="14">
        <f ca="1"/>
      </c>
      <c r="AD15" s="14">
        <f ca="1"/>
      </c>
      <c r="AE15" s="14">
        <f ca="1"/>
      </c>
      <c r="AF15" s="14">
        <f ca="1"/>
      </c>
      <c r="AG15" s="14">
        <f ca="1"/>
      </c>
      <c r="AH15" s="14"/>
      <c r="AI15" s="14"/>
      <c r="AJ15" s="14">
        <f ca="1"/>
      </c>
      <c r="AK15" s="11">
        <f ca="1"/>
      </c>
      <c r="AL15" s="12">
        <f ca="1"/>
      </c>
      <c r="AM15" s="12">
        <f ca="1"/>
      </c>
      <c r="AN15" s="11">
        <f ca="1"/>
      </c>
      <c r="AO15" s="14">
        <f ca="1"/>
      </c>
      <c r="BI15">
        <f ca="1"/>
      </c>
      <c r="BJ15" s="11">
        <f ca="1"/>
      </c>
      <c r="BK15" s="11">
        <f ca="1"/>
      </c>
      <c r="BL15" s="11">
        <f ca="1"/>
      </c>
      <c r="BM15" s="11">
        <f ca="1"/>
      </c>
      <c r="BN15" s="11">
        <f ca="1"/>
      </c>
      <c r="LA15">
        <f ca="1"/>
      </c>
      <c r="LB15">
        <f ca="1"/>
      </c>
      <c r="LC15">
        <f ca="1"/>
      </c>
    </row>
    <row r="16" spans="1:315" x14ac:dyDescent="0.55000000000000004">
      <c r="A16" t="s">
        <v>3</v>
      </c>
      <c r="B16" s="6" t="s">
        <v>42</v>
      </c>
      <c r="C16" t="s">
        <v>50</v>
      </c>
      <c r="D16" s="6" t="s">
        <v>42</v>
      </c>
      <c r="G16" s="11">
        <f ca="1"/>
      </c>
      <c r="H16" s="11">
        <f ca="1"/>
      </c>
      <c r="I16" s="11">
        <f ca="1"/>
      </c>
      <c r="J16" s="11">
        <f ca="1"/>
      </c>
      <c r="K16" s="11">
        <f ca="1"/>
      </c>
      <c r="L16" s="11">
        <f ca="1"/>
      </c>
      <c r="M16" s="11">
        <f ca="1"/>
      </c>
      <c r="N16" s="11">
        <f ca="1"/>
      </c>
      <c r="O16" s="11">
        <f ca="1"/>
      </c>
      <c r="P16" s="11">
        <f ca="1"/>
      </c>
      <c r="Q16" s="11">
        <f ca="1"/>
      </c>
      <c r="R16" s="11">
        <f ca="1"/>
      </c>
      <c r="S16" s="11"/>
      <c r="T16" s="11"/>
      <c r="U16" s="11"/>
      <c r="V16" s="14">
        <f ca="1"/>
      </c>
      <c r="W16" s="14">
        <f ca="1"/>
      </c>
      <c r="X16" s="14">
        <f ca="1"/>
      </c>
      <c r="Y16" s="14">
        <f ca="1"/>
      </c>
      <c r="Z16" s="14">
        <f ca="1"/>
      </c>
      <c r="AA16" s="14">
        <f ca="1"/>
      </c>
      <c r="AB16" s="14">
        <f ca="1"/>
      </c>
      <c r="AC16" s="14">
        <f ca="1"/>
      </c>
      <c r="AD16" s="14">
        <f ca="1"/>
      </c>
      <c r="AE16" s="14">
        <f ca="1"/>
      </c>
      <c r="AF16" s="14">
        <f ca="1"/>
      </c>
      <c r="AG16" s="14">
        <f ca="1"/>
      </c>
      <c r="AH16" s="14"/>
      <c r="AI16" s="14"/>
      <c r="AJ16" s="14">
        <f ca="1"/>
      </c>
      <c r="AK16" s="11">
        <f ca="1"/>
      </c>
      <c r="AL16" s="12">
        <f ca="1"/>
      </c>
      <c r="AM16" s="12">
        <f ca="1"/>
      </c>
      <c r="AN16" s="11">
        <f ca="1"/>
      </c>
      <c r="AO16" s="14">
        <f ca="1"/>
      </c>
      <c r="BF16" t="s">
        <v>206</v>
      </c>
      <c r="BI16">
        <f ca="1"/>
      </c>
      <c r="BJ16" s="11">
        <f ca="1"/>
      </c>
      <c r="BK16" s="11">
        <f ca="1"/>
      </c>
      <c r="BL16" s="11">
        <f ca="1"/>
      </c>
      <c r="BM16" s="11">
        <f ca="1"/>
      </c>
      <c r="BN16" s="11">
        <f ca="1"/>
      </c>
      <c r="LA16">
        <f ca="1"/>
      </c>
      <c r="LB16">
        <f ca="1"/>
      </c>
      <c r="LC16">
        <f ca="1"/>
      </c>
    </row>
    <row r="17" spans="1:315" x14ac:dyDescent="0.55000000000000004">
      <c r="A17" t="s">
        <v>4</v>
      </c>
      <c r="B17" s="6" t="s">
        <v>42</v>
      </c>
      <c r="C17" t="s">
        <v>51</v>
      </c>
      <c r="D17" s="6" t="s">
        <v>42</v>
      </c>
      <c r="G17" s="11">
        <f ca="1"/>
      </c>
      <c r="H17" s="11">
        <f ca="1"/>
      </c>
      <c r="I17" s="11">
        <f ca="1"/>
      </c>
      <c r="J17" s="11">
        <f ca="1"/>
      </c>
      <c r="K17" s="11">
        <f ca="1"/>
      </c>
      <c r="L17" s="11">
        <f ca="1"/>
      </c>
      <c r="M17" s="11">
        <f ca="1"/>
      </c>
      <c r="N17" s="11">
        <f ca="1"/>
      </c>
      <c r="O17" s="11">
        <f ca="1"/>
      </c>
      <c r="P17" s="11">
        <f ca="1"/>
      </c>
      <c r="Q17" s="11">
        <f ca="1"/>
      </c>
      <c r="R17" s="11">
        <f ca="1"/>
      </c>
      <c r="S17" s="11"/>
      <c r="T17" s="11"/>
      <c r="U17" s="11"/>
      <c r="V17" s="14">
        <f ca="1"/>
      </c>
      <c r="W17" s="14">
        <f ca="1"/>
      </c>
      <c r="X17" s="14">
        <f ca="1"/>
      </c>
      <c r="Y17" s="14">
        <f ca="1"/>
      </c>
      <c r="Z17" s="14">
        <f ca="1"/>
      </c>
      <c r="AA17" s="14">
        <f ca="1"/>
      </c>
      <c r="AB17" s="14">
        <f ca="1"/>
      </c>
      <c r="AC17" s="14">
        <f ca="1"/>
      </c>
      <c r="AD17" s="14">
        <f ca="1"/>
      </c>
      <c r="AE17" s="14">
        <f ca="1"/>
      </c>
      <c r="AF17" s="14">
        <f ca="1"/>
      </c>
      <c r="AG17" s="14">
        <f ca="1"/>
      </c>
      <c r="AH17" s="14"/>
      <c r="AI17" s="14"/>
      <c r="AJ17" s="14">
        <f ca="1"/>
      </c>
      <c r="AK17" s="11">
        <f ca="1"/>
      </c>
      <c r="AL17" s="12">
        <f ca="1"/>
      </c>
      <c r="AM17" s="12">
        <f ca="1"/>
      </c>
      <c r="AN17" s="11">
        <f ca="1"/>
      </c>
      <c r="AO17" s="14">
        <f ca="1"/>
      </c>
      <c r="BF17" cm="1">
        <f t="array" aca="1" ref="BF17" ca="1">PcaEigen(VOL_Labels,VOL_Mode,VOL_Standardize,VOL_window,VOL_WindowEnd,"vol")</f>
      </c>
      <c r="BI17">
        <f ca="1"/>
      </c>
      <c r="BJ17" s="11">
        <f ca="1"/>
      </c>
      <c r="BK17" s="11">
        <f ca="1"/>
      </c>
      <c r="BL17" s="11">
        <f ca="1"/>
      </c>
      <c r="BM17" s="11">
        <f ca="1"/>
      </c>
      <c r="BN17" s="11">
        <f ca="1"/>
      </c>
      <c r="LA17">
        <f ca="1"/>
      </c>
      <c r="LB17">
        <f ca="1"/>
      </c>
      <c r="LC17">
        <f ca="1"/>
      </c>
    </row>
    <row r="18" spans="1:315" x14ac:dyDescent="0.55000000000000004">
      <c r="A18" t="s">
        <v>7</v>
      </c>
      <c r="B18" s="6" t="s">
        <v>42</v>
      </c>
      <c r="C18" t="s">
        <v>18</v>
      </c>
      <c r="D18" s="6" t="s">
        <v>42</v>
      </c>
      <c r="G18" s="11">
        <f ca="1"/>
      </c>
      <c r="H18" s="11">
        <f ca="1"/>
      </c>
      <c r="I18" s="11">
        <f ca="1"/>
      </c>
      <c r="J18" s="11">
        <f ca="1"/>
      </c>
      <c r="K18" s="11">
        <f ca="1"/>
      </c>
      <c r="L18" s="11">
        <f ca="1"/>
      </c>
      <c r="M18" s="11">
        <f ca="1"/>
      </c>
      <c r="N18" s="11">
        <f ca="1"/>
      </c>
      <c r="O18" s="11">
        <f ca="1"/>
      </c>
      <c r="P18" s="11">
        <f ca="1"/>
      </c>
      <c r="Q18" s="11">
        <f ca="1"/>
      </c>
      <c r="R18" s="11">
        <f ca="1"/>
      </c>
      <c r="S18" s="11"/>
      <c r="T18" s="11"/>
      <c r="U18" s="11"/>
      <c r="V18" s="14">
        <f ca="1"/>
      </c>
      <c r="W18" s="14">
        <f ca="1"/>
      </c>
      <c r="X18" s="14">
        <f ca="1"/>
      </c>
      <c r="Y18" s="14">
        <f ca="1"/>
      </c>
      <c r="Z18" s="14">
        <f ca="1"/>
      </c>
      <c r="AA18" s="14">
        <f ca="1"/>
      </c>
      <c r="AB18" s="14">
        <f ca="1"/>
      </c>
      <c r="AC18" s="14">
        <f ca="1"/>
      </c>
      <c r="AD18" s="14">
        <f ca="1"/>
      </c>
      <c r="AE18" s="14">
        <f ca="1"/>
      </c>
      <c r="AF18" s="14">
        <f ca="1"/>
      </c>
      <c r="AG18" s="14">
        <f ca="1"/>
      </c>
      <c r="AH18" s="14"/>
      <c r="AI18" s="14"/>
      <c r="AJ18" s="14">
        <f ca="1"/>
      </c>
      <c r="AK18" s="11">
        <f ca="1"/>
      </c>
      <c r="AL18" s="12">
        <f ca="1"/>
      </c>
      <c r="AM18" s="12">
        <f ca="1"/>
      </c>
      <c r="AN18" s="11">
        <f ca="1"/>
      </c>
      <c r="AO18" s="14">
        <f ca="1"/>
      </c>
      <c r="BI18">
        <f ca="1"/>
      </c>
      <c r="BJ18" s="11">
        <f ca="1"/>
      </c>
      <c r="BK18" s="11">
        <f ca="1"/>
      </c>
      <c r="BL18" s="11">
        <f ca="1"/>
      </c>
      <c r="BM18" s="11">
        <f ca="1"/>
      </c>
      <c r="BN18" s="11">
        <f ca="1"/>
      </c>
      <c r="LA18">
        <f ca="1"/>
      </c>
      <c r="LB18">
        <f ca="1"/>
      </c>
      <c r="LC18">
        <f ca="1"/>
      </c>
    </row>
    <row r="19" spans="1:315" x14ac:dyDescent="0.55000000000000004">
      <c r="A19" t="s">
        <v>10</v>
      </c>
      <c r="B19" s="6" t="s">
        <v>42</v>
      </c>
      <c r="C19" t="s">
        <v>19</v>
      </c>
      <c r="D19" s="6" t="s">
        <v>42</v>
      </c>
      <c r="G19" s="11">
        <f ca="1"/>
      </c>
      <c r="H19" s="11">
        <f ca="1"/>
      </c>
      <c r="I19" s="11">
        <f ca="1"/>
      </c>
      <c r="J19" s="11">
        <f ca="1"/>
      </c>
      <c r="K19" s="11">
        <f ca="1"/>
      </c>
      <c r="L19" s="11">
        <f ca="1"/>
      </c>
      <c r="M19" s="11">
        <f ca="1"/>
      </c>
      <c r="N19" s="11">
        <f ca="1"/>
      </c>
      <c r="O19" s="11">
        <f ca="1"/>
      </c>
      <c r="P19" s="11">
        <f ca="1"/>
      </c>
      <c r="Q19" s="11">
        <f ca="1"/>
      </c>
      <c r="R19" s="11">
        <f ca="1"/>
      </c>
      <c r="S19" s="11"/>
      <c r="T19" s="11"/>
      <c r="U19" s="11"/>
      <c r="V19" s="14">
        <f ca="1"/>
      </c>
      <c r="W19" s="14">
        <f ca="1"/>
      </c>
      <c r="X19" s="14">
        <f ca="1"/>
      </c>
      <c r="Y19" s="14">
        <f ca="1"/>
      </c>
      <c r="Z19" s="14">
        <f ca="1"/>
      </c>
      <c r="AA19" s="14">
        <f ca="1"/>
      </c>
      <c r="AB19" s="14">
        <f ca="1"/>
      </c>
      <c r="AC19" s="14">
        <f ca="1"/>
      </c>
      <c r="AD19" s="14">
        <f ca="1"/>
      </c>
      <c r="AE19" s="14">
        <f ca="1"/>
      </c>
      <c r="AF19" s="14">
        <f ca="1"/>
      </c>
      <c r="AG19" s="14">
        <f ca="1"/>
      </c>
      <c r="AH19" s="14"/>
      <c r="AI19" s="14"/>
      <c r="AJ19" s="14">
        <f ca="1"/>
      </c>
      <c r="AK19" s="11">
        <f ca="1"/>
      </c>
      <c r="AL19" s="12">
        <f ca="1"/>
      </c>
      <c r="AM19" s="12">
        <f ca="1"/>
      </c>
      <c r="AN19" s="11">
        <f ca="1"/>
      </c>
      <c r="AO19" s="14">
        <f ca="1"/>
      </c>
      <c r="BI19">
        <f ca="1"/>
      </c>
      <c r="BJ19" s="11">
        <f ca="1"/>
      </c>
      <c r="BK19" s="11">
        <f ca="1"/>
      </c>
      <c r="BL19" s="11">
        <f ca="1"/>
      </c>
      <c r="BM19" s="11">
        <f ca="1"/>
      </c>
      <c r="BN19" s="11">
        <f ca="1"/>
      </c>
      <c r="LA19">
        <f ca="1"/>
      </c>
      <c r="LB19">
        <f ca="1"/>
      </c>
      <c r="LC19">
        <f ca="1"/>
      </c>
    </row>
    <row r="20" spans="1:315" x14ac:dyDescent="0.55000000000000004">
      <c r="A20" t="s">
        <v>49</v>
      </c>
      <c r="B20" s="6" t="s">
        <v>42</v>
      </c>
      <c r="C20" t="s">
        <v>20</v>
      </c>
      <c r="D20" s="6" t="s">
        <v>42</v>
      </c>
      <c r="G20" s="11">
        <f ca="1"/>
      </c>
      <c r="H20" s="11">
        <f ca="1"/>
      </c>
      <c r="I20" s="11">
        <f ca="1"/>
      </c>
      <c r="J20" s="11">
        <f ca="1"/>
      </c>
      <c r="K20" s="11">
        <f ca="1"/>
      </c>
      <c r="L20" s="11">
        <f ca="1"/>
      </c>
      <c r="M20" s="11">
        <f ca="1"/>
      </c>
      <c r="N20" s="11">
        <f ca="1"/>
      </c>
      <c r="O20" s="11">
        <f ca="1"/>
      </c>
      <c r="P20" s="11">
        <f ca="1"/>
      </c>
      <c r="Q20" s="11">
        <f ca="1"/>
      </c>
      <c r="R20" s="11">
        <f ca="1"/>
      </c>
      <c r="S20" s="11"/>
      <c r="T20" s="11"/>
      <c r="U20" s="11"/>
      <c r="V20" s="14">
        <f ca="1"/>
      </c>
      <c r="W20" s="14">
        <f ca="1"/>
      </c>
      <c r="X20" s="14">
        <f ca="1"/>
      </c>
      <c r="Y20" s="14">
        <f ca="1"/>
      </c>
      <c r="Z20" s="14">
        <f ca="1"/>
      </c>
      <c r="AA20" s="14">
        <f ca="1"/>
      </c>
      <c r="AB20" s="14">
        <f ca="1"/>
      </c>
      <c r="AC20" s="14">
        <f ca="1"/>
      </c>
      <c r="AD20" s="14">
        <f ca="1"/>
      </c>
      <c r="AE20" s="14">
        <f ca="1"/>
      </c>
      <c r="AF20" s="14">
        <f ca="1"/>
      </c>
      <c r="AG20" s="14">
        <f ca="1"/>
      </c>
      <c r="AH20" s="14"/>
      <c r="AI20" s="14"/>
      <c r="AJ20" s="14">
        <f ca="1"/>
      </c>
      <c r="AK20" s="11">
        <f ca="1"/>
      </c>
      <c r="AL20" s="12">
        <f ca="1"/>
      </c>
      <c r="AM20" s="12">
        <f ca="1"/>
      </c>
      <c r="AN20" s="11">
        <f ca="1"/>
      </c>
      <c r="AO20" s="14">
        <f ca="1"/>
      </c>
      <c r="BI20">
        <f ca="1"/>
      </c>
      <c r="BJ20" s="11">
        <f ca="1"/>
      </c>
      <c r="BK20" s="11">
        <f ca="1"/>
      </c>
      <c r="BL20" s="11">
        <f ca="1"/>
      </c>
      <c r="BM20" s="11">
        <f ca="1"/>
      </c>
      <c r="BN20" s="11">
        <f ca="1"/>
      </c>
      <c r="LA20">
        <f ca="1"/>
      </c>
      <c r="LB20">
        <f ca="1"/>
      </c>
      <c r="LC20">
        <f ca="1"/>
      </c>
    </row>
    <row r="21" spans="1:315" x14ac:dyDescent="0.55000000000000004">
      <c r="A21" t="s">
        <v>50</v>
      </c>
      <c r="B21" s="6" t="s">
        <v>42</v>
      </c>
      <c r="C21" t="s">
        <v>21</v>
      </c>
      <c r="D21" s="6" t="s">
        <v>42</v>
      </c>
      <c r="G21" s="11">
        <f ca="1"/>
      </c>
      <c r="H21" s="11">
        <f ca="1"/>
      </c>
      <c r="I21" s="11">
        <f ca="1"/>
      </c>
      <c r="J21" s="11">
        <f ca="1"/>
      </c>
      <c r="K21" s="11">
        <f ca="1"/>
      </c>
      <c r="L21" s="11">
        <f ca="1"/>
      </c>
      <c r="M21" s="11">
        <f ca="1"/>
      </c>
      <c r="N21" s="11">
        <f ca="1"/>
      </c>
      <c r="O21" s="11">
        <f ca="1"/>
      </c>
      <c r="P21" s="11">
        <f ca="1"/>
      </c>
      <c r="Q21" s="11">
        <f ca="1"/>
      </c>
      <c r="R21" s="11">
        <f ca="1"/>
      </c>
      <c r="S21" s="11"/>
      <c r="T21" s="11"/>
      <c r="U21" s="11"/>
      <c r="V21" s="14">
        <f ca="1"/>
      </c>
      <c r="W21" s="14">
        <f ca="1"/>
      </c>
      <c r="X21" s="14">
        <f ca="1"/>
      </c>
      <c r="Y21" s="14">
        <f ca="1"/>
      </c>
      <c r="Z21" s="14">
        <f ca="1"/>
      </c>
      <c r="AA21" s="14">
        <f ca="1"/>
      </c>
      <c r="AB21" s="14">
        <f ca="1"/>
      </c>
      <c r="AC21" s="14">
        <f ca="1"/>
      </c>
      <c r="AD21" s="14">
        <f ca="1"/>
      </c>
      <c r="AE21" s="14">
        <f ca="1"/>
      </c>
      <c r="AF21" s="14">
        <f ca="1"/>
      </c>
      <c r="AG21" s="14">
        <f ca="1"/>
      </c>
      <c r="AH21" s="14"/>
      <c r="AI21" s="14"/>
      <c r="AJ21" s="14">
        <f ca="1"/>
      </c>
      <c r="AK21" s="11">
        <f ca="1"/>
      </c>
      <c r="AL21" s="12">
        <f ca="1"/>
      </c>
      <c r="AM21" s="12">
        <f ca="1"/>
      </c>
      <c r="AN21" s="11">
        <f ca="1"/>
      </c>
      <c r="AO21" s="14">
        <f ca="1"/>
      </c>
      <c r="BI21">
        <f ca="1"/>
      </c>
      <c r="BJ21" s="11">
        <f ca="1"/>
      </c>
      <c r="BK21" s="11">
        <f ca="1"/>
      </c>
      <c r="BL21" s="11">
        <f ca="1"/>
      </c>
      <c r="BM21" s="11">
        <f ca="1"/>
      </c>
      <c r="BN21" s="11">
        <f ca="1"/>
      </c>
      <c r="LA21">
        <f ca="1"/>
      </c>
      <c r="LB21">
        <f ca="1"/>
      </c>
      <c r="LC21">
        <f ca="1"/>
      </c>
    </row>
    <row r="22" spans="1:315" x14ac:dyDescent="0.55000000000000004">
      <c r="A22" t="s">
        <v>51</v>
      </c>
      <c r="B22" s="6" t="s">
        <v>42</v>
      </c>
      <c r="C22" t="s">
        <v>22</v>
      </c>
      <c r="D22" s="6" t="s">
        <v>42</v>
      </c>
      <c r="G22" s="11">
        <f ca="1"/>
      </c>
      <c r="H22" s="11">
        <f ca="1"/>
      </c>
      <c r="I22" s="11">
        <f ca="1"/>
      </c>
      <c r="J22" s="11">
        <f ca="1"/>
      </c>
      <c r="K22" s="11">
        <f ca="1"/>
      </c>
      <c r="L22" s="11">
        <f ca="1"/>
      </c>
      <c r="M22" s="11">
        <f ca="1"/>
      </c>
      <c r="N22" s="11">
        <f ca="1"/>
      </c>
      <c r="O22" s="11">
        <f ca="1"/>
      </c>
      <c r="P22" s="11">
        <f ca="1"/>
      </c>
      <c r="Q22" s="11">
        <f ca="1"/>
      </c>
      <c r="R22" s="11">
        <f ca="1"/>
      </c>
      <c r="S22" s="11"/>
      <c r="T22" s="11"/>
      <c r="U22" s="11"/>
      <c r="V22" s="14">
        <f ca="1"/>
      </c>
      <c r="W22" s="14">
        <f ca="1"/>
      </c>
      <c r="X22" s="14">
        <f ca="1"/>
      </c>
      <c r="Y22" s="14">
        <f ca="1"/>
      </c>
      <c r="Z22" s="14">
        <f ca="1"/>
      </c>
      <c r="AA22" s="14">
        <f ca="1"/>
      </c>
      <c r="AB22" s="14">
        <f ca="1"/>
      </c>
      <c r="AC22" s="14">
        <f ca="1"/>
      </c>
      <c r="AD22" s="14">
        <f ca="1"/>
      </c>
      <c r="AE22" s="14">
        <f ca="1"/>
      </c>
      <c r="AF22" s="14">
        <f ca="1"/>
      </c>
      <c r="AG22" s="14">
        <f ca="1"/>
      </c>
      <c r="AH22" s="14"/>
      <c r="AI22" s="14"/>
      <c r="AJ22" s="14"/>
      <c r="AK22" s="14"/>
      <c r="AL22" s="14"/>
      <c r="AM22" s="14"/>
      <c r="AN22" s="14"/>
      <c r="AO22" s="14"/>
      <c r="BI22">
        <f ca="1"/>
      </c>
      <c r="BJ22" s="11">
        <f ca="1"/>
      </c>
      <c r="BK22" s="11">
        <f ca="1"/>
      </c>
      <c r="BL22" s="11">
        <f ca="1"/>
      </c>
      <c r="BM22" s="11">
        <f ca="1"/>
      </c>
      <c r="BN22" s="11">
        <f ca="1"/>
      </c>
      <c r="LA22">
        <f ca="1"/>
      </c>
      <c r="LB22">
        <f ca="1"/>
      </c>
      <c r="LC22">
        <f ca="1"/>
      </c>
    </row>
    <row r="23" spans="1:315" x14ac:dyDescent="0.55000000000000004">
      <c r="A23" t="s">
        <v>18</v>
      </c>
      <c r="B23" s="6" t="s">
        <v>42</v>
      </c>
      <c r="C23" t="s">
        <v>23</v>
      </c>
      <c r="D23" s="6" t="s">
        <v>42</v>
      </c>
      <c r="G23" s="11">
        <f ca="1"/>
      </c>
      <c r="H23" s="11">
        <f ca="1"/>
      </c>
      <c r="I23" s="11">
        <f ca="1"/>
      </c>
      <c r="J23" s="11">
        <f ca="1"/>
      </c>
      <c r="K23" s="11">
        <f ca="1"/>
      </c>
      <c r="L23" s="11">
        <f ca="1"/>
      </c>
      <c r="M23" s="11">
        <f ca="1"/>
      </c>
      <c r="N23" s="11">
        <f ca="1"/>
      </c>
      <c r="O23" s="11">
        <f ca="1"/>
      </c>
      <c r="P23" s="11">
        <f ca="1"/>
      </c>
      <c r="Q23" s="11">
        <f ca="1"/>
      </c>
      <c r="R23" s="11">
        <f ca="1"/>
      </c>
      <c r="S23" s="11"/>
      <c r="T23" s="11"/>
      <c r="U23" s="11"/>
      <c r="V23" s="14">
        <f ca="1"/>
      </c>
      <c r="W23" s="14">
        <f ca="1"/>
      </c>
      <c r="X23" s="14">
        <f ca="1"/>
      </c>
      <c r="Y23" s="14">
        <f ca="1"/>
      </c>
      <c r="Z23" s="14">
        <f ca="1"/>
      </c>
      <c r="AA23" s="14">
        <f ca="1"/>
      </c>
      <c r="AB23" s="14">
        <f ca="1"/>
      </c>
      <c r="AC23" s="14">
        <f ca="1"/>
      </c>
      <c r="AD23" s="14">
        <f ca="1"/>
      </c>
      <c r="AE23" s="14">
        <f ca="1"/>
      </c>
      <c r="AF23" s="14">
        <f ca="1"/>
      </c>
      <c r="AG23" s="14">
        <f ca="1"/>
      </c>
      <c r="AH23" s="14"/>
      <c r="AI23" s="14"/>
      <c r="AJ23" s="14"/>
      <c r="AK23" s="14"/>
      <c r="AL23" s="14"/>
      <c r="AM23" s="14"/>
      <c r="AN23" s="14"/>
      <c r="AO23" s="14"/>
      <c r="BI23">
        <f ca="1"/>
      </c>
      <c r="BJ23" s="11">
        <f ca="1"/>
      </c>
      <c r="BK23" s="11">
        <f ca="1"/>
      </c>
      <c r="BL23" s="11">
        <f ca="1"/>
      </c>
      <c r="BM23" s="11">
        <f ca="1"/>
      </c>
      <c r="BN23" s="11">
        <f ca="1"/>
      </c>
      <c r="LA23">
        <f ca="1"/>
      </c>
      <c r="LB23">
        <f ca="1"/>
      </c>
      <c r="LC23">
        <f ca="1"/>
      </c>
    </row>
    <row r="24" spans="1:315" x14ac:dyDescent="0.55000000000000004">
      <c r="A24" t="s">
        <v>19</v>
      </c>
      <c r="B24" s="6" t="s">
        <v>42</v>
      </c>
      <c r="C24" t="s">
        <v>24</v>
      </c>
      <c r="D24" s="6" t="s">
        <v>42</v>
      </c>
      <c r="G24" s="11">
        <f ca="1"/>
      </c>
      <c r="H24" s="11">
        <f ca="1"/>
      </c>
      <c r="I24" s="11">
        <f ca="1"/>
      </c>
      <c r="J24" s="11">
        <f ca="1"/>
      </c>
      <c r="K24" s="11">
        <f ca="1"/>
      </c>
      <c r="L24" s="11">
        <f ca="1"/>
      </c>
      <c r="M24" s="11">
        <f ca="1"/>
      </c>
      <c r="N24" s="11">
        <f ca="1"/>
      </c>
      <c r="O24" s="11">
        <f ca="1"/>
      </c>
      <c r="P24" s="11">
        <f ca="1"/>
      </c>
      <c r="Q24" s="11">
        <f ca="1"/>
      </c>
      <c r="R24" s="11">
        <f ca="1"/>
      </c>
      <c r="S24" s="11"/>
      <c r="T24" s="11"/>
      <c r="U24" s="11"/>
      <c r="V24" s="14">
        <f ca="1"/>
      </c>
      <c r="W24" s="14">
        <f ca="1"/>
      </c>
      <c r="X24" s="14">
        <f ca="1"/>
      </c>
      <c r="Y24" s="14">
        <f ca="1"/>
      </c>
      <c r="Z24" s="14">
        <f ca="1"/>
      </c>
      <c r="AA24" s="14">
        <f ca="1"/>
      </c>
      <c r="AB24" s="14">
        <f ca="1"/>
      </c>
      <c r="AC24" s="14">
        <f ca="1"/>
      </c>
      <c r="AD24" s="14">
        <f ca="1"/>
      </c>
      <c r="AE24" s="14">
        <f ca="1"/>
      </c>
      <c r="AF24" s="14">
        <f ca="1"/>
      </c>
      <c r="AG24" s="14">
        <f ca="1"/>
      </c>
      <c r="AH24" s="14"/>
      <c r="AI24" s="14"/>
      <c r="AJ24" s="14"/>
      <c r="AK24" s="14"/>
      <c r="AL24" s="14"/>
      <c r="AM24" s="14"/>
      <c r="AN24" s="14"/>
      <c r="AO24" s="14"/>
      <c r="BI24">
        <f ca="1"/>
      </c>
      <c r="BJ24" s="11">
        <f ca="1"/>
      </c>
      <c r="BK24" s="11">
        <f ca="1"/>
      </c>
      <c r="BL24" s="11">
        <f ca="1"/>
      </c>
      <c r="BM24" s="11">
        <f ca="1"/>
      </c>
      <c r="BN24" s="11">
        <f ca="1"/>
      </c>
      <c r="LA24">
        <f ca="1"/>
      </c>
      <c r="LB24">
        <f ca="1"/>
      </c>
      <c r="LC24">
        <f ca="1"/>
      </c>
    </row>
    <row r="25" spans="1:315" x14ac:dyDescent="0.55000000000000004">
      <c r="A25" t="s">
        <v>20</v>
      </c>
      <c r="B25" s="6" t="s">
        <v>42</v>
      </c>
      <c r="C25" t="s">
        <v>27</v>
      </c>
      <c r="D25" s="6" t="s">
        <v>42</v>
      </c>
      <c r="G25" s="11">
        <f ca="1"/>
      </c>
      <c r="H25" s="11">
        <f ca="1"/>
      </c>
      <c r="I25" s="11">
        <f ca="1"/>
      </c>
      <c r="J25" s="11">
        <f ca="1"/>
      </c>
      <c r="K25" s="11">
        <f ca="1"/>
      </c>
      <c r="L25" s="11">
        <f ca="1"/>
      </c>
      <c r="M25" s="11">
        <f ca="1"/>
      </c>
      <c r="N25" s="11">
        <f ca="1"/>
      </c>
      <c r="O25" s="11">
        <f ca="1"/>
      </c>
      <c r="P25" s="11">
        <f ca="1"/>
      </c>
      <c r="Q25" s="11">
        <f ca="1"/>
      </c>
      <c r="R25" s="11">
        <f ca="1"/>
      </c>
      <c r="S25" s="11"/>
      <c r="T25" s="11"/>
      <c r="U25" s="11"/>
      <c r="V25" s="14">
        <f ca="1"/>
      </c>
      <c r="W25" s="14">
        <f ca="1"/>
      </c>
      <c r="X25" s="14">
        <f ca="1"/>
      </c>
      <c r="Y25" s="14">
        <f ca="1"/>
      </c>
      <c r="Z25" s="14">
        <f ca="1"/>
      </c>
      <c r="AA25" s="14">
        <f ca="1"/>
      </c>
      <c r="AB25" s="14">
        <f ca="1"/>
      </c>
      <c r="AC25" s="14">
        <f ca="1"/>
      </c>
      <c r="AD25" s="14">
        <f ca="1"/>
      </c>
      <c r="AE25" s="14">
        <f ca="1"/>
      </c>
      <c r="AF25" s="14">
        <f ca="1"/>
      </c>
      <c r="AG25" s="14">
        <f ca="1"/>
      </c>
      <c r="AH25" s="14"/>
      <c r="AI25" s="14"/>
      <c r="AJ25" s="14"/>
      <c r="AK25" s="14"/>
      <c r="AL25" s="14"/>
      <c r="AM25" s="14"/>
      <c r="AN25" s="14"/>
      <c r="AO25" s="14"/>
      <c r="BI25">
        <f ca="1"/>
      </c>
      <c r="BJ25" s="11">
        <f ca="1"/>
      </c>
      <c r="BK25" s="11">
        <f ca="1"/>
      </c>
      <c r="BL25" s="11">
        <f ca="1"/>
      </c>
      <c r="BM25" s="11">
        <f ca="1"/>
      </c>
      <c r="BN25" s="11">
        <f ca="1"/>
      </c>
      <c r="LA25">
        <f ca="1"/>
      </c>
      <c r="LB25">
        <f ca="1"/>
      </c>
      <c r="LC25">
        <f ca="1"/>
      </c>
    </row>
    <row r="26" spans="1:315" x14ac:dyDescent="0.55000000000000004">
      <c r="A26" t="s">
        <v>21</v>
      </c>
      <c r="B26" s="6" t="s">
        <v>42</v>
      </c>
      <c r="C26" t="s">
        <v>28</v>
      </c>
      <c r="D26" s="6" t="s">
        <v>42</v>
      </c>
      <c r="G26" s="11">
        <f ca="1"/>
      </c>
      <c r="H26" s="11">
        <f ca="1"/>
      </c>
      <c r="I26" s="11">
        <f ca="1"/>
      </c>
      <c r="J26" s="11">
        <f ca="1"/>
      </c>
      <c r="K26" s="11">
        <f ca="1"/>
      </c>
      <c r="L26" s="11">
        <f ca="1"/>
      </c>
      <c r="M26" s="11">
        <f ca="1"/>
      </c>
      <c r="N26" s="11">
        <f ca="1"/>
      </c>
      <c r="O26" s="11">
        <f ca="1"/>
      </c>
      <c r="P26" s="11">
        <f ca="1"/>
      </c>
      <c r="Q26" s="11">
        <f ca="1"/>
      </c>
      <c r="R26" s="11">
        <f ca="1"/>
      </c>
      <c r="S26" s="11"/>
      <c r="T26" s="11"/>
      <c r="U26" s="11"/>
      <c r="V26" s="14">
        <f ca="1"/>
      </c>
      <c r="W26" s="14">
        <f ca="1"/>
      </c>
      <c r="X26" s="14">
        <f ca="1"/>
      </c>
      <c r="Y26" s="14">
        <f ca="1"/>
      </c>
      <c r="Z26" s="14">
        <f ca="1"/>
      </c>
      <c r="AA26" s="14">
        <f ca="1"/>
      </c>
      <c r="AB26" s="14">
        <f ca="1"/>
      </c>
      <c r="AC26" s="14">
        <f ca="1"/>
      </c>
      <c r="AD26" s="14">
        <f ca="1"/>
      </c>
      <c r="AE26" s="14">
        <f ca="1"/>
      </c>
      <c r="AF26" s="14">
        <f ca="1"/>
      </c>
      <c r="AG26" s="14">
        <f ca="1"/>
      </c>
      <c r="AH26" s="14"/>
      <c r="AI26" s="14"/>
      <c r="AJ26" s="14"/>
      <c r="AK26" s="14"/>
      <c r="AL26" s="14"/>
      <c r="AM26" s="14"/>
      <c r="AN26" s="14"/>
      <c r="AO26" s="14"/>
      <c r="BI26">
        <f ca="1"/>
      </c>
      <c r="BJ26" s="11">
        <f ca="1"/>
      </c>
      <c r="BK26" s="11">
        <f ca="1"/>
      </c>
      <c r="BL26" s="11">
        <f ca="1"/>
      </c>
      <c r="BM26" s="11">
        <f ca="1"/>
      </c>
      <c r="BN26" s="11">
        <f ca="1"/>
      </c>
      <c r="LA26">
        <f ca="1"/>
      </c>
      <c r="LB26">
        <f ca="1"/>
      </c>
      <c r="LC26">
        <f ca="1"/>
      </c>
    </row>
    <row r="27" spans="1:315" x14ac:dyDescent="0.55000000000000004">
      <c r="A27" t="s">
        <v>23</v>
      </c>
      <c r="B27" s="6" t="s">
        <v>42</v>
      </c>
      <c r="G27" s="11">
        <f ca="1"/>
      </c>
      <c r="H27" s="11">
        <f ca="1"/>
      </c>
      <c r="I27" s="11">
        <f ca="1"/>
      </c>
      <c r="J27" s="11">
        <f ca="1"/>
      </c>
      <c r="K27" s="11">
        <f ca="1"/>
      </c>
      <c r="L27" s="11">
        <f ca="1"/>
      </c>
      <c r="M27" s="11">
        <f ca="1"/>
      </c>
      <c r="N27" s="11">
        <f ca="1"/>
      </c>
      <c r="O27" s="11">
        <f ca="1"/>
      </c>
      <c r="P27" s="11">
        <f ca="1"/>
      </c>
      <c r="Q27" s="11">
        <f ca="1"/>
      </c>
      <c r="R27" s="11">
        <f ca="1"/>
      </c>
      <c r="S27" s="11"/>
      <c r="T27" s="11"/>
      <c r="U27" s="11"/>
      <c r="V27" s="14">
        <f ca="1"/>
      </c>
      <c r="W27" s="14">
        <f ca="1"/>
      </c>
      <c r="X27" s="14">
        <f ca="1"/>
      </c>
      <c r="Y27" s="14">
        <f ca="1"/>
      </c>
      <c r="Z27" s="14">
        <f ca="1"/>
      </c>
      <c r="AA27" s="14">
        <f ca="1"/>
      </c>
      <c r="AB27" s="14">
        <f ca="1"/>
      </c>
      <c r="AC27" s="14">
        <f ca="1"/>
      </c>
      <c r="AD27" s="14">
        <f ca="1"/>
      </c>
      <c r="AE27" s="14">
        <f ca="1"/>
      </c>
      <c r="AF27" s="14">
        <f ca="1"/>
      </c>
      <c r="AG27" s="14">
        <f ca="1"/>
      </c>
      <c r="AH27" s="14"/>
      <c r="AI27" s="14"/>
      <c r="AJ27" s="14"/>
      <c r="AK27" s="14"/>
      <c r="AL27" s="14"/>
      <c r="AM27" s="14"/>
      <c r="AN27" s="14"/>
      <c r="AO27" s="14"/>
      <c r="BI27">
        <f ca="1"/>
      </c>
      <c r="BJ27" s="11">
        <f ca="1"/>
      </c>
      <c r="BK27" s="11">
        <f ca="1"/>
      </c>
      <c r="BL27" s="11">
        <f ca="1"/>
      </c>
      <c r="BM27" s="11">
        <f ca="1"/>
      </c>
      <c r="BN27" s="11">
        <f ca="1"/>
      </c>
      <c r="LA27">
        <f ca="1"/>
      </c>
      <c r="LB27">
        <f ca="1"/>
      </c>
      <c r="LC27">
        <f ca="1"/>
      </c>
    </row>
    <row r="28" spans="1:315" x14ac:dyDescent="0.55000000000000004">
      <c r="A28" t="s">
        <v>24</v>
      </c>
      <c r="B28" s="6" t="s">
        <v>42</v>
      </c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BI28">
        <f ca="1"/>
      </c>
      <c r="BJ28" s="11">
        <f ca="1"/>
      </c>
      <c r="BK28" s="11">
        <f ca="1"/>
      </c>
      <c r="BL28" s="11">
        <f ca="1"/>
      </c>
      <c r="BM28" s="11">
        <f ca="1"/>
      </c>
      <c r="BN28" s="11">
        <f ca="1"/>
      </c>
      <c r="LA28">
        <f ca="1"/>
      </c>
      <c r="LB28">
        <f ca="1"/>
      </c>
      <c r="LC28">
        <f ca="1"/>
      </c>
    </row>
    <row r="29" spans="1:315" x14ac:dyDescent="0.55000000000000004">
      <c r="A29" t="s">
        <v>27</v>
      </c>
      <c r="B29" s="6" t="s">
        <v>42</v>
      </c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BI29">
        <f ca="1"/>
      </c>
      <c r="BJ29" s="11">
        <f ca="1"/>
      </c>
      <c r="BK29" s="11">
        <f ca="1"/>
      </c>
      <c r="BL29" s="11">
        <f ca="1"/>
      </c>
      <c r="BM29" s="11">
        <f ca="1"/>
      </c>
      <c r="BN29" s="11">
        <f ca="1"/>
      </c>
      <c r="LA29">
        <f ca="1"/>
      </c>
      <c r="LB29">
        <f ca="1"/>
      </c>
      <c r="LC29">
        <f ca="1"/>
      </c>
    </row>
    <row r="30" spans="1:315" x14ac:dyDescent="0.55000000000000004">
      <c r="A30" t="s">
        <v>28</v>
      </c>
      <c r="B30" s="6" t="s">
        <v>42</v>
      </c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BI30">
        <f ca="1"/>
      </c>
      <c r="BJ30" s="11">
        <f ca="1"/>
      </c>
      <c r="BK30" s="11">
        <f ca="1"/>
      </c>
      <c r="BL30" s="11">
        <f ca="1"/>
      </c>
      <c r="BM30" s="11">
        <f ca="1"/>
      </c>
      <c r="BN30" s="11">
        <f ca="1"/>
      </c>
      <c r="LA30">
        <f ca="1"/>
      </c>
      <c r="LB30">
        <f ca="1"/>
      </c>
      <c r="LC30">
        <f ca="1"/>
      </c>
    </row>
    <row r="31" spans="1:315" x14ac:dyDescent="0.55000000000000004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BI31">
        <f ca="1"/>
      </c>
      <c r="BJ31" s="11">
        <f ca="1"/>
      </c>
      <c r="BK31" s="11">
        <f ca="1"/>
      </c>
      <c r="BL31" s="11">
        <f ca="1"/>
      </c>
      <c r="BM31" s="11">
        <f ca="1"/>
      </c>
      <c r="BN31" s="11">
        <f ca="1"/>
      </c>
      <c r="LA31">
        <f ca="1"/>
      </c>
      <c r="LB31">
        <f ca="1"/>
      </c>
      <c r="LC31">
        <f ca="1"/>
      </c>
    </row>
    <row r="32" spans="1:315" x14ac:dyDescent="0.55000000000000004">
      <c r="BI32">
        <f ca="1"/>
      </c>
      <c r="BJ32" s="11">
        <f ca="1"/>
      </c>
      <c r="BK32" s="11">
        <f ca="1"/>
      </c>
      <c r="BL32" s="11">
        <f ca="1"/>
      </c>
      <c r="BM32" s="11">
        <f ca="1"/>
      </c>
      <c r="BN32" s="11">
        <f ca="1"/>
      </c>
      <c r="LA32">
        <f ca="1"/>
      </c>
      <c r="LB32">
        <f ca="1"/>
      </c>
      <c r="LC32">
        <f ca="1"/>
      </c>
    </row>
    <row r="33" spans="6:315" x14ac:dyDescent="0.55000000000000004">
      <c r="BI33">
        <f ca="1"/>
      </c>
      <c r="BJ33" s="11">
        <f ca="1"/>
      </c>
      <c r="BK33" s="11">
        <f ca="1"/>
      </c>
      <c r="BL33" s="11">
        <f ca="1"/>
      </c>
      <c r="BM33" s="11">
        <f ca="1"/>
      </c>
      <c r="BN33" s="11">
        <f ca="1"/>
      </c>
      <c r="LA33">
        <f ca="1"/>
      </c>
      <c r="LB33">
        <f ca="1"/>
      </c>
      <c r="LC33">
        <f ca="1"/>
      </c>
    </row>
    <row r="34" spans="6:315" x14ac:dyDescent="0.55000000000000004">
      <c r="F34" s="4" t="s">
        <v>243</v>
      </c>
      <c r="U34" s="4" t="s">
        <v>244</v>
      </c>
      <c r="BI34">
        <f ca="1"/>
      </c>
      <c r="BJ34" s="11">
        <f ca="1"/>
      </c>
      <c r="BK34" s="11">
        <f ca="1"/>
      </c>
      <c r="BL34" s="11">
        <f ca="1"/>
      </c>
      <c r="BM34" s="11">
        <f ca="1"/>
      </c>
      <c r="BN34" s="11">
        <f ca="1"/>
      </c>
      <c r="LA34">
        <f ca="1"/>
      </c>
      <c r="LB34">
        <f ca="1"/>
      </c>
      <c r="LC34">
        <f ca="1"/>
      </c>
    </row>
    <row r="35" spans="6:315" x14ac:dyDescent="0.55000000000000004">
      <c r="F35" s="5" t="s">
        <v>240</v>
      </c>
      <c r="G35" cm="1">
        <f t="array" ref="G35:R35">TRANSPOSE(VOL_Tenors)</f>
      </c>
      <c r="U35" s="5" t="s">
        <v>240</v>
      </c>
      <c r="V35" cm="1">
        <f t="array" ref="V35:AG35">TRANSPOSE(VOL_Tenors)</f>
      </c>
      <c r="BI35">
        <f ca="1"/>
      </c>
      <c r="BJ35" s="11">
        <f ca="1"/>
      </c>
      <c r="BK35" s="11">
        <f ca="1"/>
      </c>
      <c r="BL35" s="11">
        <f ca="1"/>
      </c>
      <c r="BM35" s="11">
        <f ca="1"/>
      </c>
      <c r="BN35" s="11">
        <f ca="1"/>
      </c>
      <c r="LA35">
        <f ca="1"/>
      </c>
      <c r="LB35">
        <f ca="1"/>
      </c>
      <c r="LC35">
        <f ca="1"/>
      </c>
    </row>
    <row r="36" spans="6:315" x14ac:dyDescent="0.55000000000000004">
      <c r="F36" cm="1">
        <f t="array" ref="F36:F51">VOL_Expiries</f>
      </c>
      <c r="G36" s="14" cm="1">
        <f t="array" aca="1" ref="G36:R51" ca="1">_xlfn.XLOOKUP(_xlfn.ANCHORARRAY(F36)&amp;"x"&amp;_xlfn.ANCHORARRAY(G35),_xlfn.ANCHORARRAY($BI$5),_xlfn.ANCHORARRAY($BM$5))</f>
      </c>
      <c r="H36" s="14">
        <f ca="1"/>
      </c>
      <c r="I36" s="14">
        <f ca="1"/>
      </c>
      <c r="J36" s="14">
        <f ca="1"/>
      </c>
      <c r="K36" s="14">
        <f ca="1"/>
      </c>
      <c r="L36" s="14">
        <f ca="1"/>
      </c>
      <c r="M36" s="14">
        <f ca="1"/>
      </c>
      <c r="N36" s="14">
        <f ca="1"/>
      </c>
      <c r="O36" s="14">
        <f ca="1"/>
      </c>
      <c r="P36" s="14">
        <f ca="1"/>
      </c>
      <c r="Q36" s="14">
        <f ca="1"/>
      </c>
      <c r="R36" s="14">
        <f ca="1"/>
      </c>
      <c r="S36" s="14"/>
      <c r="T36" s="14"/>
      <c r="U36" s="14" cm="1">
        <f t="array" ref="U36:U51">VOL_Expiries</f>
      </c>
      <c r="V36" s="14" cm="1">
        <f t="array" aca="1" ref="V36:AG51" ca="1">_xlfn.XLOOKUP(_xlfn.ANCHORARRAY(U36)&amp;"x"&amp;_xlfn.ANCHORARRAY(V35),_xlfn.ANCHORARRAY($BI$5),_xlfn.ANCHORARRAY($BK$5))</f>
      </c>
      <c r="W36" s="14">
        <f ca="1"/>
      </c>
      <c r="X36" s="14">
        <f ca="1"/>
      </c>
      <c r="Y36" s="14">
        <f ca="1"/>
      </c>
      <c r="Z36" s="14">
        <f ca="1"/>
      </c>
      <c r="AA36" s="14">
        <f ca="1"/>
      </c>
      <c r="AB36" s="14">
        <f ca="1"/>
      </c>
      <c r="AC36" s="14">
        <f ca="1"/>
      </c>
      <c r="AD36" s="14">
        <f ca="1"/>
      </c>
      <c r="AE36" s="14">
        <f ca="1"/>
      </c>
      <c r="AF36" s="14">
        <f ca="1"/>
      </c>
      <c r="AG36" s="14">
        <f ca="1"/>
      </c>
      <c r="AH36" s="14"/>
      <c r="AI36" s="14"/>
      <c r="AJ36" s="14"/>
      <c r="AK36" s="14"/>
      <c r="AL36" s="14"/>
      <c r="AM36" s="14"/>
      <c r="AN36" s="14"/>
      <c r="AO36" s="14"/>
      <c r="BI36">
        <f ca="1"/>
      </c>
      <c r="BJ36" s="11">
        <f ca="1"/>
      </c>
      <c r="BK36" s="11">
        <f ca="1"/>
      </c>
      <c r="BL36" s="11">
        <f ca="1"/>
      </c>
      <c r="BM36" s="11">
        <f ca="1"/>
      </c>
      <c r="BN36" s="11">
        <f ca="1"/>
      </c>
      <c r="LA36">
        <f ca="1"/>
      </c>
      <c r="LB36">
        <f ca="1"/>
      </c>
      <c r="LC36">
        <f ca="1"/>
      </c>
    </row>
    <row r="37" spans="6:315" x14ac:dyDescent="0.55000000000000004">
      <c r="G37" s="14">
        <f ca="1"/>
      </c>
      <c r="H37" s="14">
        <f ca="1"/>
      </c>
      <c r="I37" s="14">
        <f ca="1"/>
      </c>
      <c r="J37" s="14">
        <f ca="1"/>
      </c>
      <c r="K37" s="14">
        <f ca="1"/>
      </c>
      <c r="L37" s="14">
        <f ca="1"/>
      </c>
      <c r="M37" s="14">
        <f ca="1"/>
      </c>
      <c r="N37" s="14">
        <f ca="1"/>
      </c>
      <c r="O37" s="14">
        <f ca="1"/>
      </c>
      <c r="P37" s="14">
        <f ca="1"/>
      </c>
      <c r="Q37" s="14">
        <f ca="1"/>
      </c>
      <c r="R37" s="14">
        <f ca="1"/>
      </c>
      <c r="S37" s="14"/>
      <c r="T37" s="14"/>
      <c r="U37" s="14"/>
      <c r="V37" s="14">
        <f ca="1"/>
      </c>
      <c r="W37" s="14">
        <f ca="1"/>
      </c>
      <c r="X37" s="14">
        <f ca="1"/>
      </c>
      <c r="Y37" s="14">
        <f ca="1"/>
      </c>
      <c r="Z37" s="14">
        <f ca="1"/>
      </c>
      <c r="AA37" s="14">
        <f ca="1"/>
      </c>
      <c r="AB37" s="14">
        <f ca="1"/>
      </c>
      <c r="AC37" s="14">
        <f ca="1"/>
      </c>
      <c r="AD37" s="14">
        <f ca="1"/>
      </c>
      <c r="AE37" s="14">
        <f ca="1"/>
      </c>
      <c r="AF37" s="14">
        <f ca="1"/>
      </c>
      <c r="AG37" s="14">
        <f ca="1"/>
      </c>
      <c r="AH37" s="14"/>
      <c r="AI37" s="14"/>
      <c r="AJ37" s="14"/>
      <c r="AK37" s="14"/>
      <c r="AL37" s="14"/>
      <c r="AM37" s="14"/>
      <c r="AN37" s="14"/>
      <c r="AO37" s="14"/>
      <c r="BI37">
        <f ca="1"/>
      </c>
      <c r="BJ37" s="11">
        <f ca="1"/>
      </c>
      <c r="BK37" s="11">
        <f ca="1"/>
      </c>
      <c r="BL37" s="11">
        <f ca="1"/>
      </c>
      <c r="BM37" s="11">
        <f ca="1"/>
      </c>
      <c r="BN37" s="11">
        <f ca="1"/>
      </c>
      <c r="LA37">
        <f ca="1"/>
      </c>
      <c r="LB37">
        <f ca="1"/>
      </c>
      <c r="LC37">
        <f ca="1"/>
      </c>
    </row>
    <row r="38" spans="6:315" x14ac:dyDescent="0.55000000000000004">
      <c r="G38" s="14">
        <f ca="1"/>
      </c>
      <c r="H38" s="14">
        <f ca="1"/>
      </c>
      <c r="I38" s="14">
        <f ca="1"/>
      </c>
      <c r="J38" s="14">
        <f ca="1"/>
      </c>
      <c r="K38" s="14">
        <f ca="1"/>
      </c>
      <c r="L38" s="14">
        <f ca="1"/>
      </c>
      <c r="M38" s="14">
        <f ca="1"/>
      </c>
      <c r="N38" s="14">
        <f ca="1"/>
      </c>
      <c r="O38" s="14">
        <f ca="1"/>
      </c>
      <c r="P38" s="14">
        <f ca="1"/>
      </c>
      <c r="Q38" s="14">
        <f ca="1"/>
      </c>
      <c r="R38" s="14">
        <f ca="1"/>
      </c>
      <c r="S38" s="14"/>
      <c r="T38" s="14"/>
      <c r="U38" s="14"/>
      <c r="V38" s="14">
        <f ca="1"/>
      </c>
      <c r="W38" s="14">
        <f ca="1"/>
      </c>
      <c r="X38" s="14">
        <f ca="1"/>
      </c>
      <c r="Y38" s="14">
        <f ca="1"/>
      </c>
      <c r="Z38" s="14">
        <f ca="1"/>
      </c>
      <c r="AA38" s="14">
        <f ca="1"/>
      </c>
      <c r="AB38" s="14">
        <f ca="1"/>
      </c>
      <c r="AC38" s="14">
        <f ca="1"/>
      </c>
      <c r="AD38" s="14">
        <f ca="1"/>
      </c>
      <c r="AE38" s="14">
        <f ca="1"/>
      </c>
      <c r="AF38" s="14">
        <f ca="1"/>
      </c>
      <c r="AG38" s="14">
        <f ca="1"/>
      </c>
      <c r="AH38" s="14"/>
      <c r="AI38" s="14"/>
      <c r="AJ38" s="14"/>
      <c r="AK38" s="14"/>
      <c r="AL38" s="14"/>
      <c r="AM38" s="14"/>
      <c r="AN38" s="14"/>
      <c r="AO38" s="14"/>
      <c r="BI38">
        <f ca="1"/>
      </c>
      <c r="BJ38" s="11">
        <f ca="1"/>
      </c>
      <c r="BK38" s="11">
        <f ca="1"/>
      </c>
      <c r="BL38" s="11">
        <f ca="1"/>
      </c>
      <c r="BM38" s="11">
        <f ca="1"/>
      </c>
      <c r="BN38" s="11">
        <f ca="1"/>
      </c>
      <c r="LA38">
        <f ca="1"/>
      </c>
      <c r="LB38">
        <f ca="1"/>
      </c>
      <c r="LC38">
        <f ca="1"/>
      </c>
    </row>
    <row r="39" spans="6:315" x14ac:dyDescent="0.55000000000000004">
      <c r="G39" s="14">
        <f ca="1"/>
      </c>
      <c r="H39" s="14">
        <f ca="1"/>
      </c>
      <c r="I39" s="14">
        <f ca="1"/>
      </c>
      <c r="J39" s="14">
        <f ca="1"/>
      </c>
      <c r="K39" s="14">
        <f ca="1"/>
      </c>
      <c r="L39" s="14">
        <f ca="1"/>
      </c>
      <c r="M39" s="14">
        <f ca="1"/>
      </c>
      <c r="N39" s="14">
        <f ca="1"/>
      </c>
      <c r="O39" s="14">
        <f ca="1"/>
      </c>
      <c r="P39" s="14">
        <f ca="1"/>
      </c>
      <c r="Q39" s="14">
        <f ca="1"/>
      </c>
      <c r="R39" s="14">
        <f ca="1"/>
      </c>
      <c r="S39" s="14"/>
      <c r="T39" s="14"/>
      <c r="U39" s="14"/>
      <c r="V39" s="14">
        <f ca="1"/>
      </c>
      <c r="W39" s="14">
        <f ca="1"/>
      </c>
      <c r="X39" s="14">
        <f ca="1"/>
      </c>
      <c r="Y39" s="14">
        <f ca="1"/>
      </c>
      <c r="Z39" s="14">
        <f ca="1"/>
      </c>
      <c r="AA39" s="14">
        <f ca="1"/>
      </c>
      <c r="AB39" s="14">
        <f ca="1"/>
      </c>
      <c r="AC39" s="14">
        <f ca="1"/>
      </c>
      <c r="AD39" s="14">
        <f ca="1"/>
      </c>
      <c r="AE39" s="14">
        <f ca="1"/>
      </c>
      <c r="AF39" s="14">
        <f ca="1"/>
      </c>
      <c r="AG39" s="14">
        <f ca="1"/>
      </c>
      <c r="AH39" s="14"/>
      <c r="AI39" s="14"/>
      <c r="AJ39" s="14"/>
      <c r="AK39" s="14"/>
      <c r="AL39" s="14"/>
      <c r="AM39" s="14"/>
      <c r="AN39" s="14"/>
      <c r="AO39" s="14"/>
      <c r="BI39">
        <f ca="1"/>
      </c>
      <c r="BJ39" s="11">
        <f ca="1"/>
      </c>
      <c r="BK39" s="11">
        <f ca="1"/>
      </c>
      <c r="BL39" s="11">
        <f ca="1"/>
      </c>
      <c r="BM39" s="11">
        <f ca="1"/>
      </c>
      <c r="BN39" s="11">
        <f ca="1"/>
      </c>
      <c r="LA39">
        <f ca="1"/>
      </c>
      <c r="LB39">
        <f ca="1"/>
      </c>
      <c r="LC39">
        <f ca="1"/>
      </c>
    </row>
    <row r="40" spans="6:315" x14ac:dyDescent="0.55000000000000004">
      <c r="G40" s="14">
        <f ca="1"/>
      </c>
      <c r="H40" s="14">
        <f ca="1"/>
      </c>
      <c r="I40" s="14">
        <f ca="1"/>
      </c>
      <c r="J40" s="14">
        <f ca="1"/>
      </c>
      <c r="K40" s="14">
        <f ca="1"/>
      </c>
      <c r="L40" s="14">
        <f ca="1"/>
      </c>
      <c r="M40" s="14">
        <f ca="1"/>
      </c>
      <c r="N40" s="14">
        <f ca="1"/>
      </c>
      <c r="O40" s="14">
        <f ca="1"/>
      </c>
      <c r="P40" s="14">
        <f ca="1"/>
      </c>
      <c r="Q40" s="14">
        <f ca="1"/>
      </c>
      <c r="R40" s="14">
        <f ca="1"/>
      </c>
      <c r="S40" s="14"/>
      <c r="T40" s="14"/>
      <c r="U40" s="14"/>
      <c r="V40" s="14">
        <f ca="1"/>
      </c>
      <c r="W40" s="14">
        <f ca="1"/>
      </c>
      <c r="X40" s="14">
        <f ca="1"/>
      </c>
      <c r="Y40" s="14">
        <f ca="1"/>
      </c>
      <c r="Z40" s="14">
        <f ca="1"/>
      </c>
      <c r="AA40" s="14">
        <f ca="1"/>
      </c>
      <c r="AB40" s="14">
        <f ca="1"/>
      </c>
      <c r="AC40" s="14">
        <f ca="1"/>
      </c>
      <c r="AD40" s="14">
        <f ca="1"/>
      </c>
      <c r="AE40" s="14">
        <f ca="1"/>
      </c>
      <c r="AF40" s="14">
        <f ca="1"/>
      </c>
      <c r="AG40" s="14">
        <f ca="1"/>
      </c>
      <c r="AH40" s="14"/>
      <c r="AI40" s="14"/>
      <c r="AJ40" s="14"/>
      <c r="AK40" s="14"/>
      <c r="AL40" s="14"/>
      <c r="AM40" s="14"/>
      <c r="AN40" s="14"/>
      <c r="AO40" s="14"/>
      <c r="BI40">
        <f ca="1"/>
      </c>
      <c r="BJ40" s="11">
        <f ca="1"/>
      </c>
      <c r="BK40" s="11">
        <f ca="1"/>
      </c>
      <c r="BL40" s="11">
        <f ca="1"/>
      </c>
      <c r="BM40" s="11">
        <f ca="1"/>
      </c>
      <c r="BN40" s="11">
        <f ca="1"/>
      </c>
      <c r="LA40">
        <f ca="1"/>
      </c>
      <c r="LB40">
        <f ca="1"/>
      </c>
      <c r="LC40">
        <f ca="1"/>
      </c>
    </row>
    <row r="41" spans="6:315" x14ac:dyDescent="0.55000000000000004">
      <c r="G41" s="14">
        <f ca="1"/>
      </c>
      <c r="H41" s="14">
        <f ca="1"/>
      </c>
      <c r="I41" s="14">
        <f ca="1"/>
      </c>
      <c r="J41" s="14">
        <f ca="1"/>
      </c>
      <c r="K41" s="14">
        <f ca="1"/>
      </c>
      <c r="L41" s="14">
        <f ca="1"/>
      </c>
      <c r="M41" s="14">
        <f ca="1"/>
      </c>
      <c r="N41" s="14">
        <f ca="1"/>
      </c>
      <c r="O41" s="14">
        <f ca="1"/>
      </c>
      <c r="P41" s="14">
        <f ca="1"/>
      </c>
      <c r="Q41" s="14">
        <f ca="1"/>
      </c>
      <c r="R41" s="14">
        <f ca="1"/>
      </c>
      <c r="S41" s="14"/>
      <c r="T41" s="14"/>
      <c r="U41" s="14"/>
      <c r="V41" s="14">
        <f ca="1"/>
      </c>
      <c r="W41" s="14">
        <f ca="1"/>
      </c>
      <c r="X41" s="14">
        <f ca="1"/>
      </c>
      <c r="Y41" s="14">
        <f ca="1"/>
      </c>
      <c r="Z41" s="14">
        <f ca="1"/>
      </c>
      <c r="AA41" s="14">
        <f ca="1"/>
      </c>
      <c r="AB41" s="14">
        <f ca="1"/>
      </c>
      <c r="AC41" s="14">
        <f ca="1"/>
      </c>
      <c r="AD41" s="14">
        <f ca="1"/>
      </c>
      <c r="AE41" s="14">
        <f ca="1"/>
      </c>
      <c r="AF41" s="14">
        <f ca="1"/>
      </c>
      <c r="AG41" s="14">
        <f ca="1"/>
      </c>
      <c r="AH41" s="14"/>
      <c r="AI41" s="14"/>
      <c r="AJ41" s="14"/>
      <c r="AK41" s="14"/>
      <c r="AL41" s="14"/>
      <c r="AM41" s="14"/>
      <c r="AN41" s="14"/>
      <c r="AO41" s="14"/>
      <c r="BI41">
        <f ca="1"/>
      </c>
      <c r="BJ41" s="11">
        <f ca="1"/>
      </c>
      <c r="BK41" s="11">
        <f ca="1"/>
      </c>
      <c r="BL41" s="11">
        <f ca="1"/>
      </c>
      <c r="BM41" s="11">
        <f ca="1"/>
      </c>
      <c r="BN41" s="11">
        <f ca="1"/>
      </c>
      <c r="LA41">
        <f ca="1"/>
      </c>
      <c r="LB41">
        <f ca="1"/>
      </c>
      <c r="LC41">
        <f ca="1"/>
      </c>
    </row>
    <row r="42" spans="6:315" x14ac:dyDescent="0.55000000000000004">
      <c r="G42" s="14">
        <f ca="1"/>
      </c>
      <c r="H42" s="14">
        <f ca="1"/>
      </c>
      <c r="I42" s="14">
        <f ca="1"/>
      </c>
      <c r="J42" s="14">
        <f ca="1"/>
      </c>
      <c r="K42" s="14">
        <f ca="1"/>
      </c>
      <c r="L42" s="14">
        <f ca="1"/>
      </c>
      <c r="M42" s="14">
        <f ca="1"/>
      </c>
      <c r="N42" s="14">
        <f ca="1"/>
      </c>
      <c r="O42" s="14">
        <f ca="1"/>
      </c>
      <c r="P42" s="14">
        <f ca="1"/>
      </c>
      <c r="Q42" s="14">
        <f ca="1"/>
      </c>
      <c r="R42" s="14">
        <f ca="1"/>
      </c>
      <c r="S42" s="14"/>
      <c r="T42" s="14"/>
      <c r="U42" s="14"/>
      <c r="V42" s="14">
        <f ca="1"/>
      </c>
      <c r="W42" s="14">
        <f ca="1"/>
      </c>
      <c r="X42" s="14">
        <f ca="1"/>
      </c>
      <c r="Y42" s="14">
        <f ca="1"/>
      </c>
      <c r="Z42" s="14">
        <f ca="1"/>
      </c>
      <c r="AA42" s="14">
        <f ca="1"/>
      </c>
      <c r="AB42" s="14">
        <f ca="1"/>
      </c>
      <c r="AC42" s="14">
        <f ca="1"/>
      </c>
      <c r="AD42" s="14">
        <f ca="1"/>
      </c>
      <c r="AE42" s="14">
        <f ca="1"/>
      </c>
      <c r="AF42" s="14">
        <f ca="1"/>
      </c>
      <c r="AG42" s="14">
        <f ca="1"/>
      </c>
      <c r="AH42" s="14"/>
      <c r="AI42" s="14"/>
      <c r="AJ42" s="14"/>
      <c r="AK42" s="14"/>
      <c r="AL42" s="14"/>
      <c r="AM42" s="14"/>
      <c r="AN42" s="14"/>
      <c r="AO42" s="14"/>
      <c r="BI42">
        <f ca="1"/>
      </c>
      <c r="BJ42" s="11">
        <f ca="1"/>
      </c>
      <c r="BK42" s="11">
        <f ca="1"/>
      </c>
      <c r="BL42" s="11">
        <f ca="1"/>
      </c>
      <c r="BM42" s="11">
        <f ca="1"/>
      </c>
      <c r="BN42" s="11">
        <f ca="1"/>
      </c>
      <c r="LA42">
        <f ca="1"/>
      </c>
      <c r="LB42">
        <f ca="1"/>
      </c>
      <c r="LC42">
        <f ca="1"/>
      </c>
    </row>
    <row r="43" spans="6:315" x14ac:dyDescent="0.55000000000000004">
      <c r="G43" s="14">
        <f ca="1"/>
      </c>
      <c r="H43" s="14">
        <f ca="1"/>
      </c>
      <c r="I43" s="14">
        <f ca="1"/>
      </c>
      <c r="J43" s="14">
        <f ca="1"/>
      </c>
      <c r="K43" s="14">
        <f ca="1"/>
      </c>
      <c r="L43" s="14">
        <f ca="1"/>
      </c>
      <c r="M43" s="14">
        <f ca="1"/>
      </c>
      <c r="N43" s="14">
        <f ca="1"/>
      </c>
      <c r="O43" s="14">
        <f ca="1"/>
      </c>
      <c r="P43" s="14">
        <f ca="1"/>
      </c>
      <c r="Q43" s="14">
        <f ca="1"/>
      </c>
      <c r="R43" s="14">
        <f ca="1"/>
      </c>
      <c r="S43" s="14"/>
      <c r="T43" s="14"/>
      <c r="U43" s="14"/>
      <c r="V43" s="14">
        <f ca="1"/>
      </c>
      <c r="W43" s="14">
        <f ca="1"/>
      </c>
      <c r="X43" s="14">
        <f ca="1"/>
      </c>
      <c r="Y43" s="14">
        <f ca="1"/>
      </c>
      <c r="Z43" s="14">
        <f ca="1"/>
      </c>
      <c r="AA43" s="14">
        <f ca="1"/>
      </c>
      <c r="AB43" s="14">
        <f ca="1"/>
      </c>
      <c r="AC43" s="14">
        <f ca="1"/>
      </c>
      <c r="AD43" s="14">
        <f ca="1"/>
      </c>
      <c r="AE43" s="14">
        <f ca="1"/>
      </c>
      <c r="AF43" s="14">
        <f ca="1"/>
      </c>
      <c r="AG43" s="14">
        <f ca="1"/>
      </c>
      <c r="AH43" s="14"/>
      <c r="AI43" s="14"/>
      <c r="AJ43" s="14"/>
      <c r="AK43" s="14"/>
      <c r="AL43" s="14"/>
      <c r="AM43" s="14"/>
      <c r="AN43" s="14"/>
      <c r="AO43" s="14"/>
      <c r="BI43">
        <f ca="1"/>
      </c>
      <c r="BJ43" s="11">
        <f ca="1"/>
      </c>
      <c r="BK43" s="11">
        <f ca="1"/>
      </c>
      <c r="BL43" s="11">
        <f ca="1"/>
      </c>
      <c r="BM43" s="11">
        <f ca="1"/>
      </c>
      <c r="BN43" s="11">
        <f ca="1"/>
      </c>
      <c r="LA43">
        <f ca="1"/>
      </c>
      <c r="LB43">
        <f ca="1"/>
      </c>
      <c r="LC43">
        <f ca="1"/>
      </c>
    </row>
    <row r="44" spans="6:315" x14ac:dyDescent="0.55000000000000004">
      <c r="G44" s="14">
        <f ca="1"/>
      </c>
      <c r="H44" s="14">
        <f ca="1"/>
      </c>
      <c r="I44" s="14">
        <f ca="1"/>
      </c>
      <c r="J44" s="14">
        <f ca="1"/>
      </c>
      <c r="K44" s="14">
        <f ca="1"/>
      </c>
      <c r="L44" s="14">
        <f ca="1"/>
      </c>
      <c r="M44" s="14">
        <f ca="1"/>
      </c>
      <c r="N44" s="14">
        <f ca="1"/>
      </c>
      <c r="O44" s="14">
        <f ca="1"/>
      </c>
      <c r="P44" s="14">
        <f ca="1"/>
      </c>
      <c r="Q44" s="14">
        <f ca="1"/>
      </c>
      <c r="R44" s="14">
        <f ca="1"/>
      </c>
      <c r="S44" s="14"/>
      <c r="T44" s="14"/>
      <c r="U44" s="14"/>
      <c r="V44" s="14">
        <f ca="1"/>
      </c>
      <c r="W44" s="14">
        <f ca="1"/>
      </c>
      <c r="X44" s="14">
        <f ca="1"/>
      </c>
      <c r="Y44" s="14">
        <f ca="1"/>
      </c>
      <c r="Z44" s="14">
        <f ca="1"/>
      </c>
      <c r="AA44" s="14">
        <f ca="1"/>
      </c>
      <c r="AB44" s="14">
        <f ca="1"/>
      </c>
      <c r="AC44" s="14">
        <f ca="1"/>
      </c>
      <c r="AD44" s="14">
        <f ca="1"/>
      </c>
      <c r="AE44" s="14">
        <f ca="1"/>
      </c>
      <c r="AF44" s="14">
        <f ca="1"/>
      </c>
      <c r="AG44" s="14">
        <f ca="1"/>
      </c>
      <c r="AH44" s="14"/>
      <c r="AI44" s="14"/>
      <c r="AJ44" s="14"/>
      <c r="AK44" s="14"/>
      <c r="AL44" s="14"/>
      <c r="AM44" s="14"/>
      <c r="AN44" s="14"/>
      <c r="AO44" s="14"/>
      <c r="BI44">
        <f ca="1"/>
      </c>
      <c r="BJ44" s="11">
        <f ca="1"/>
      </c>
      <c r="BK44" s="11">
        <f ca="1"/>
      </c>
      <c r="BL44" s="11">
        <f ca="1"/>
      </c>
      <c r="BM44" s="11">
        <f ca="1"/>
      </c>
      <c r="BN44" s="11">
        <f ca="1"/>
      </c>
      <c r="LA44">
        <f ca="1"/>
      </c>
      <c r="LB44">
        <f ca="1"/>
      </c>
      <c r="LC44">
        <f ca="1"/>
      </c>
    </row>
    <row r="45" spans="6:315" x14ac:dyDescent="0.55000000000000004">
      <c r="G45" s="14">
        <f ca="1"/>
      </c>
      <c r="H45" s="14">
        <f ca="1"/>
      </c>
      <c r="I45" s="14">
        <f ca="1"/>
      </c>
      <c r="J45" s="14">
        <f ca="1"/>
      </c>
      <c r="K45" s="14">
        <f ca="1"/>
      </c>
      <c r="L45" s="14">
        <f ca="1"/>
      </c>
      <c r="M45" s="14">
        <f ca="1"/>
      </c>
      <c r="N45" s="14">
        <f ca="1"/>
      </c>
      <c r="O45" s="14">
        <f ca="1"/>
      </c>
      <c r="P45" s="14">
        <f ca="1"/>
      </c>
      <c r="Q45" s="14">
        <f ca="1"/>
      </c>
      <c r="R45" s="14">
        <f ca="1"/>
      </c>
      <c r="S45" s="14"/>
      <c r="T45" s="14"/>
      <c r="U45" s="14"/>
      <c r="V45" s="14">
        <f ca="1"/>
      </c>
      <c r="W45" s="14">
        <f ca="1"/>
      </c>
      <c r="X45" s="14">
        <f ca="1"/>
      </c>
      <c r="Y45" s="14">
        <f ca="1"/>
      </c>
      <c r="Z45" s="14">
        <f ca="1"/>
      </c>
      <c r="AA45" s="14">
        <f ca="1"/>
      </c>
      <c r="AB45" s="14">
        <f ca="1"/>
      </c>
      <c r="AC45" s="14">
        <f ca="1"/>
      </c>
      <c r="AD45" s="14">
        <f ca="1"/>
      </c>
      <c r="AE45" s="14">
        <f ca="1"/>
      </c>
      <c r="AF45" s="14">
        <f ca="1"/>
      </c>
      <c r="AG45" s="14">
        <f ca="1"/>
      </c>
      <c r="AH45" s="14"/>
      <c r="AI45" s="14"/>
      <c r="AJ45" s="14"/>
      <c r="AK45" s="14"/>
      <c r="AL45" s="14"/>
      <c r="AM45" s="14"/>
      <c r="AN45" s="14"/>
      <c r="AO45" s="14"/>
      <c r="BI45">
        <f ca="1"/>
      </c>
      <c r="BJ45" s="11">
        <f ca="1"/>
      </c>
      <c r="BK45" s="11">
        <f ca="1"/>
      </c>
      <c r="BL45" s="11">
        <f ca="1"/>
      </c>
      <c r="BM45" s="11">
        <f ca="1"/>
      </c>
      <c r="BN45" s="11">
        <f ca="1"/>
      </c>
      <c r="LA45">
        <f ca="1"/>
      </c>
      <c r="LB45">
        <f ca="1"/>
      </c>
      <c r="LC45">
        <f ca="1"/>
      </c>
    </row>
    <row r="46" spans="6:315" x14ac:dyDescent="0.55000000000000004">
      <c r="G46" s="14">
        <f ca="1"/>
      </c>
      <c r="H46" s="14">
        <f ca="1"/>
      </c>
      <c r="I46" s="14">
        <f ca="1"/>
      </c>
      <c r="J46" s="14">
        <f ca="1"/>
      </c>
      <c r="K46" s="14">
        <f ca="1"/>
      </c>
      <c r="L46" s="14">
        <f ca="1"/>
      </c>
      <c r="M46" s="14">
        <f ca="1"/>
      </c>
      <c r="N46" s="14">
        <f ca="1"/>
      </c>
      <c r="O46" s="14">
        <f ca="1"/>
      </c>
      <c r="P46" s="14">
        <f ca="1"/>
      </c>
      <c r="Q46" s="14">
        <f ca="1"/>
      </c>
      <c r="R46" s="14">
        <f ca="1"/>
      </c>
      <c r="S46" s="14"/>
      <c r="T46" s="14"/>
      <c r="U46" s="14"/>
      <c r="V46" s="14">
        <f ca="1"/>
      </c>
      <c r="W46" s="14">
        <f ca="1"/>
      </c>
      <c r="X46" s="14">
        <f ca="1"/>
      </c>
      <c r="Y46" s="14">
        <f ca="1"/>
      </c>
      <c r="Z46" s="14">
        <f ca="1"/>
      </c>
      <c r="AA46" s="14">
        <f ca="1"/>
      </c>
      <c r="AB46" s="14">
        <f ca="1"/>
      </c>
      <c r="AC46" s="14">
        <f ca="1"/>
      </c>
      <c r="AD46" s="14">
        <f ca="1"/>
      </c>
      <c r="AE46" s="14">
        <f ca="1"/>
      </c>
      <c r="AF46" s="14">
        <f ca="1"/>
      </c>
      <c r="AG46" s="14">
        <f ca="1"/>
      </c>
      <c r="AH46" s="14"/>
      <c r="AI46" s="14"/>
      <c r="AJ46" s="14"/>
      <c r="AK46" s="14"/>
      <c r="AL46" s="14"/>
      <c r="AM46" s="14"/>
      <c r="AN46" s="14"/>
      <c r="AO46" s="14"/>
      <c r="BI46">
        <f ca="1"/>
      </c>
      <c r="BJ46" s="11">
        <f ca="1"/>
      </c>
      <c r="BK46" s="11">
        <f ca="1"/>
      </c>
      <c r="BL46" s="11">
        <f ca="1"/>
      </c>
      <c r="BM46" s="11">
        <f ca="1"/>
      </c>
      <c r="BN46" s="11">
        <f ca="1"/>
      </c>
      <c r="LA46">
        <f ca="1"/>
      </c>
      <c r="LB46">
        <f ca="1"/>
      </c>
      <c r="LC46">
        <f ca="1"/>
      </c>
    </row>
    <row r="47" spans="6:315" x14ac:dyDescent="0.55000000000000004">
      <c r="G47" s="14">
        <f ca="1"/>
      </c>
      <c r="H47" s="14">
        <f ca="1"/>
      </c>
      <c r="I47" s="14">
        <f ca="1"/>
      </c>
      <c r="J47" s="14">
        <f ca="1"/>
      </c>
      <c r="K47" s="14">
        <f ca="1"/>
      </c>
      <c r="L47" s="14">
        <f ca="1"/>
      </c>
      <c r="M47" s="14">
        <f ca="1"/>
      </c>
      <c r="N47" s="14">
        <f ca="1"/>
      </c>
      <c r="O47" s="14">
        <f ca="1"/>
      </c>
      <c r="P47" s="14">
        <f ca="1"/>
      </c>
      <c r="Q47" s="14">
        <f ca="1"/>
      </c>
      <c r="R47" s="14">
        <f ca="1"/>
      </c>
      <c r="S47" s="14"/>
      <c r="T47" s="14"/>
      <c r="U47" s="14"/>
      <c r="V47" s="14">
        <f ca="1"/>
      </c>
      <c r="W47" s="14">
        <f ca="1"/>
      </c>
      <c r="X47" s="14">
        <f ca="1"/>
      </c>
      <c r="Y47" s="14">
        <f ca="1"/>
      </c>
      <c r="Z47" s="14">
        <f ca="1"/>
      </c>
      <c r="AA47" s="14">
        <f ca="1"/>
      </c>
      <c r="AB47" s="14">
        <f ca="1"/>
      </c>
      <c r="AC47" s="14">
        <f ca="1"/>
      </c>
      <c r="AD47" s="14">
        <f ca="1"/>
      </c>
      <c r="AE47" s="14">
        <f ca="1"/>
      </c>
      <c r="AF47" s="14">
        <f ca="1"/>
      </c>
      <c r="AG47" s="14">
        <f ca="1"/>
      </c>
      <c r="AH47" s="14"/>
      <c r="AI47" s="14"/>
      <c r="AJ47" s="14"/>
      <c r="AK47" s="14"/>
      <c r="AL47" s="14"/>
      <c r="AM47" s="14"/>
      <c r="AN47" s="14"/>
      <c r="AO47" s="14"/>
      <c r="BI47">
        <f ca="1"/>
      </c>
      <c r="BJ47" s="11">
        <f ca="1"/>
      </c>
      <c r="BK47" s="11">
        <f ca="1"/>
      </c>
      <c r="BL47" s="11">
        <f ca="1"/>
      </c>
      <c r="BM47" s="11">
        <f ca="1"/>
      </c>
      <c r="BN47" s="11">
        <f ca="1"/>
      </c>
      <c r="LA47">
        <f ca="1"/>
      </c>
      <c r="LB47">
        <f ca="1"/>
      </c>
      <c r="LC47">
        <f ca="1"/>
      </c>
    </row>
    <row r="48" spans="6:315" x14ac:dyDescent="0.55000000000000004">
      <c r="G48" s="14">
        <f ca="1"/>
      </c>
      <c r="H48" s="14">
        <f ca="1"/>
      </c>
      <c r="I48" s="14">
        <f ca="1"/>
      </c>
      <c r="J48" s="14">
        <f ca="1"/>
      </c>
      <c r="K48" s="14">
        <f ca="1"/>
      </c>
      <c r="L48" s="14">
        <f ca="1"/>
      </c>
      <c r="M48" s="14">
        <f ca="1"/>
      </c>
      <c r="N48" s="14">
        <f ca="1"/>
      </c>
      <c r="O48" s="14">
        <f ca="1"/>
      </c>
      <c r="P48" s="14">
        <f ca="1"/>
      </c>
      <c r="Q48" s="14">
        <f ca="1"/>
      </c>
      <c r="R48" s="14">
        <f ca="1"/>
      </c>
      <c r="S48" s="14"/>
      <c r="T48" s="14"/>
      <c r="U48" s="14"/>
      <c r="V48" s="14">
        <f ca="1"/>
      </c>
      <c r="W48" s="14">
        <f ca="1"/>
      </c>
      <c r="X48" s="14">
        <f ca="1"/>
      </c>
      <c r="Y48" s="14">
        <f ca="1"/>
      </c>
      <c r="Z48" s="14">
        <f ca="1"/>
      </c>
      <c r="AA48" s="14">
        <f ca="1"/>
      </c>
      <c r="AB48" s="14">
        <f ca="1"/>
      </c>
      <c r="AC48" s="14">
        <f ca="1"/>
      </c>
      <c r="AD48" s="14">
        <f ca="1"/>
      </c>
      <c r="AE48" s="14">
        <f ca="1"/>
      </c>
      <c r="AF48" s="14">
        <f ca="1"/>
      </c>
      <c r="AG48" s="14">
        <f ca="1"/>
      </c>
      <c r="AH48" s="14"/>
      <c r="AI48" s="14"/>
      <c r="AJ48" s="14"/>
      <c r="AK48" s="14"/>
      <c r="AL48" s="14"/>
      <c r="AM48" s="14"/>
      <c r="AN48" s="14"/>
      <c r="AO48" s="14"/>
      <c r="BI48">
        <f ca="1"/>
      </c>
      <c r="BJ48" s="11">
        <f ca="1"/>
      </c>
      <c r="BK48" s="11">
        <f ca="1"/>
      </c>
      <c r="BL48" s="11">
        <f ca="1"/>
      </c>
      <c r="BM48" s="11">
        <f ca="1"/>
      </c>
      <c r="BN48" s="11">
        <f ca="1"/>
      </c>
      <c r="LA48">
        <f ca="1"/>
      </c>
      <c r="LB48">
        <f ca="1"/>
      </c>
      <c r="LC48">
        <f ca="1"/>
      </c>
    </row>
    <row r="49" spans="6:315" x14ac:dyDescent="0.55000000000000004">
      <c r="G49" s="14">
        <f ca="1"/>
      </c>
      <c r="H49" s="14">
        <f ca="1"/>
      </c>
      <c r="I49" s="14">
        <f ca="1"/>
      </c>
      <c r="J49" s="14">
        <f ca="1"/>
      </c>
      <c r="K49" s="14">
        <f ca="1"/>
      </c>
      <c r="L49" s="14">
        <f ca="1"/>
      </c>
      <c r="M49" s="14">
        <f ca="1"/>
      </c>
      <c r="N49" s="14">
        <f ca="1"/>
      </c>
      <c r="O49" s="14">
        <f ca="1"/>
      </c>
      <c r="P49" s="14">
        <f ca="1"/>
      </c>
      <c r="Q49" s="14">
        <f ca="1"/>
      </c>
      <c r="R49" s="14">
        <f ca="1"/>
      </c>
      <c r="S49" s="14"/>
      <c r="T49" s="14"/>
      <c r="U49" s="14"/>
      <c r="V49" s="14">
        <f ca="1"/>
      </c>
      <c r="W49" s="14">
        <f ca="1"/>
      </c>
      <c r="X49" s="14">
        <f ca="1"/>
      </c>
      <c r="Y49" s="14">
        <f ca="1"/>
      </c>
      <c r="Z49" s="14">
        <f ca="1"/>
      </c>
      <c r="AA49" s="14">
        <f ca="1"/>
      </c>
      <c r="AB49" s="14">
        <f ca="1"/>
      </c>
      <c r="AC49" s="14">
        <f ca="1"/>
      </c>
      <c r="AD49" s="14">
        <f ca="1"/>
      </c>
      <c r="AE49" s="14">
        <f ca="1"/>
      </c>
      <c r="AF49" s="14">
        <f ca="1"/>
      </c>
      <c r="AG49" s="14">
        <f ca="1"/>
      </c>
      <c r="AH49" s="14"/>
      <c r="AI49" s="14"/>
      <c r="AJ49" s="14"/>
      <c r="AK49" s="14"/>
      <c r="AL49" s="14"/>
      <c r="AM49" s="14"/>
      <c r="AN49" s="14"/>
      <c r="AO49" s="14"/>
      <c r="BI49">
        <f ca="1"/>
      </c>
      <c r="BJ49" s="11">
        <f ca="1"/>
      </c>
      <c r="BK49" s="11">
        <f ca="1"/>
      </c>
      <c r="BL49" s="11">
        <f ca="1"/>
      </c>
      <c r="BM49" s="11">
        <f ca="1"/>
      </c>
      <c r="BN49" s="11">
        <f ca="1"/>
      </c>
      <c r="LA49">
        <f ca="1"/>
      </c>
      <c r="LB49">
        <f ca="1"/>
      </c>
      <c r="LC49">
        <f ca="1"/>
      </c>
    </row>
    <row r="50" spans="6:315" x14ac:dyDescent="0.55000000000000004">
      <c r="G50" s="14">
        <f ca="1"/>
      </c>
      <c r="H50" s="14">
        <f ca="1"/>
      </c>
      <c r="I50" s="14">
        <f ca="1"/>
      </c>
      <c r="J50" s="14">
        <f ca="1"/>
      </c>
      <c r="K50" s="14">
        <f ca="1"/>
      </c>
      <c r="L50" s="14">
        <f ca="1"/>
      </c>
      <c r="M50" s="14">
        <f ca="1"/>
      </c>
      <c r="N50" s="14">
        <f ca="1"/>
      </c>
      <c r="O50" s="14">
        <f ca="1"/>
      </c>
      <c r="P50" s="14">
        <f ca="1"/>
      </c>
      <c r="Q50" s="14">
        <f ca="1"/>
      </c>
      <c r="R50" s="14">
        <f ca="1"/>
      </c>
      <c r="S50" s="14"/>
      <c r="T50" s="14"/>
      <c r="U50" s="14"/>
      <c r="V50" s="14">
        <f ca="1"/>
      </c>
      <c r="W50" s="14">
        <f ca="1"/>
      </c>
      <c r="X50" s="14">
        <f ca="1"/>
      </c>
      <c r="Y50" s="14">
        <f ca="1"/>
      </c>
      <c r="Z50" s="14">
        <f ca="1"/>
      </c>
      <c r="AA50" s="14">
        <f ca="1"/>
      </c>
      <c r="AB50" s="14">
        <f ca="1"/>
      </c>
      <c r="AC50" s="14">
        <f ca="1"/>
      </c>
      <c r="AD50" s="14">
        <f ca="1"/>
      </c>
      <c r="AE50" s="14">
        <f ca="1"/>
      </c>
      <c r="AF50" s="14">
        <f ca="1"/>
      </c>
      <c r="AG50" s="14">
        <f ca="1"/>
      </c>
      <c r="AH50" s="14"/>
      <c r="AI50" s="14"/>
      <c r="AJ50" s="14"/>
      <c r="AK50" s="14"/>
      <c r="AL50" s="14"/>
      <c r="AM50" s="14"/>
      <c r="AN50" s="14"/>
      <c r="AO50" s="14"/>
      <c r="BI50">
        <f ca="1"/>
      </c>
      <c r="BJ50" s="11">
        <f ca="1"/>
      </c>
      <c r="BK50" s="11">
        <f ca="1"/>
      </c>
      <c r="BL50" s="11">
        <f ca="1"/>
      </c>
      <c r="BM50" s="11">
        <f ca="1"/>
      </c>
      <c r="BN50" s="11">
        <f ca="1"/>
      </c>
      <c r="LA50">
        <f ca="1"/>
      </c>
      <c r="LB50">
        <f ca="1"/>
      </c>
      <c r="LC50">
        <f ca="1"/>
      </c>
    </row>
    <row r="51" spans="6:315" x14ac:dyDescent="0.55000000000000004">
      <c r="G51" s="14">
        <f ca="1"/>
      </c>
      <c r="H51" s="14">
        <f ca="1"/>
      </c>
      <c r="I51" s="14">
        <f ca="1"/>
      </c>
      <c r="J51" s="14">
        <f ca="1"/>
      </c>
      <c r="K51" s="14">
        <f ca="1"/>
      </c>
      <c r="L51" s="14">
        <f ca="1"/>
      </c>
      <c r="M51" s="14">
        <f ca="1"/>
      </c>
      <c r="N51" s="14">
        <f ca="1"/>
      </c>
      <c r="O51" s="14">
        <f ca="1"/>
      </c>
      <c r="P51" s="14">
        <f ca="1"/>
      </c>
      <c r="Q51" s="14">
        <f ca="1"/>
      </c>
      <c r="R51" s="14">
        <f ca="1"/>
      </c>
      <c r="S51" s="14"/>
      <c r="T51" s="14"/>
      <c r="U51" s="14"/>
      <c r="V51" s="14">
        <f ca="1"/>
      </c>
      <c r="W51" s="14">
        <f ca="1"/>
      </c>
      <c r="X51" s="14">
        <f ca="1"/>
      </c>
      <c r="Y51" s="14">
        <f ca="1"/>
      </c>
      <c r="Z51" s="14">
        <f ca="1"/>
      </c>
      <c r="AA51" s="14">
        <f ca="1"/>
      </c>
      <c r="AB51" s="14">
        <f ca="1"/>
      </c>
      <c r="AC51" s="14">
        <f ca="1"/>
      </c>
      <c r="AD51" s="14">
        <f ca="1"/>
      </c>
      <c r="AE51" s="14">
        <f ca="1"/>
      </c>
      <c r="AF51" s="14">
        <f ca="1"/>
      </c>
      <c r="AG51" s="14">
        <f ca="1"/>
      </c>
      <c r="AH51" s="14"/>
      <c r="AI51" s="14"/>
      <c r="AJ51" s="14"/>
      <c r="AK51" s="14"/>
      <c r="AL51" s="14"/>
      <c r="AM51" s="14"/>
      <c r="AN51" s="14"/>
      <c r="AO51" s="14"/>
      <c r="BI51">
        <f ca="1"/>
      </c>
      <c r="BJ51" s="11">
        <f ca="1"/>
      </c>
      <c r="BK51" s="11">
        <f ca="1"/>
      </c>
      <c r="BL51" s="11">
        <f ca="1"/>
      </c>
      <c r="BM51" s="11">
        <f ca="1"/>
      </c>
      <c r="BN51" s="11">
        <f ca="1"/>
      </c>
      <c r="LA51">
        <f ca="1"/>
      </c>
      <c r="LB51">
        <f ca="1"/>
      </c>
      <c r="LC51">
        <f ca="1"/>
      </c>
    </row>
    <row r="52" spans="6:315" x14ac:dyDescent="0.55000000000000004"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BI52">
        <f ca="1"/>
      </c>
      <c r="BJ52" s="11">
        <f ca="1"/>
      </c>
      <c r="BK52" s="11">
        <f ca="1"/>
      </c>
      <c r="BL52" s="11">
        <f ca="1"/>
      </c>
      <c r="BM52" s="11">
        <f ca="1"/>
      </c>
      <c r="BN52" s="11">
        <f ca="1"/>
      </c>
      <c r="LA52">
        <f ca="1"/>
      </c>
      <c r="LB52">
        <f ca="1"/>
      </c>
      <c r="LC52">
        <f ca="1"/>
      </c>
    </row>
    <row r="53" spans="6:315" x14ac:dyDescent="0.55000000000000004"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BI53">
        <f ca="1"/>
      </c>
      <c r="BJ53" s="11">
        <f ca="1"/>
      </c>
      <c r="BK53" s="11">
        <f ca="1"/>
      </c>
      <c r="BL53" s="11">
        <f ca="1"/>
      </c>
      <c r="BM53" s="11">
        <f ca="1"/>
      </c>
      <c r="BN53" s="11">
        <f ca="1"/>
      </c>
      <c r="LA53">
        <f ca="1"/>
      </c>
      <c r="LB53">
        <f ca="1"/>
      </c>
      <c r="LC53">
        <f ca="1"/>
      </c>
    </row>
    <row r="54" spans="6:315" x14ac:dyDescent="0.55000000000000004"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BI54">
        <f ca="1"/>
      </c>
      <c r="BJ54" s="11">
        <f ca="1"/>
      </c>
      <c r="BK54" s="11">
        <f ca="1"/>
      </c>
      <c r="BL54" s="11">
        <f ca="1"/>
      </c>
      <c r="BM54" s="11">
        <f ca="1"/>
      </c>
      <c r="BN54" s="11">
        <f ca="1"/>
      </c>
      <c r="LA54">
        <f ca="1"/>
      </c>
      <c r="LB54">
        <f ca="1"/>
      </c>
      <c r="LC54">
        <f ca="1"/>
      </c>
    </row>
    <row r="55" spans="6:315" x14ac:dyDescent="0.55000000000000004"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BI55">
        <f ca="1"/>
      </c>
      <c r="BJ55" s="11">
        <f ca="1"/>
      </c>
      <c r="BK55" s="11">
        <f ca="1"/>
      </c>
      <c r="BL55" s="11">
        <f ca="1"/>
      </c>
      <c r="BM55" s="11">
        <f ca="1"/>
      </c>
      <c r="BN55" s="11">
        <f ca="1"/>
      </c>
      <c r="LA55">
        <f ca="1"/>
      </c>
      <c r="LB55">
        <f ca="1"/>
      </c>
      <c r="LC55">
        <f ca="1"/>
      </c>
    </row>
    <row r="56" spans="6:315" x14ac:dyDescent="0.55000000000000004">
      <c r="BI56">
        <f ca="1"/>
      </c>
      <c r="BJ56" s="11">
        <f ca="1"/>
      </c>
      <c r="BK56" s="11">
        <f ca="1"/>
      </c>
      <c r="BL56" s="11">
        <f ca="1"/>
      </c>
      <c r="BM56" s="11">
        <f ca="1"/>
      </c>
      <c r="BN56" s="11">
        <f ca="1"/>
      </c>
      <c r="LA56">
        <f ca="1"/>
      </c>
      <c r="LB56">
        <f ca="1"/>
      </c>
      <c r="LC56">
        <f ca="1"/>
      </c>
    </row>
    <row r="57" spans="6:315" x14ac:dyDescent="0.55000000000000004">
      <c r="BI57">
        <f ca="1"/>
      </c>
      <c r="BJ57" s="11">
        <f ca="1"/>
      </c>
      <c r="BK57" s="11">
        <f ca="1"/>
      </c>
      <c r="BL57" s="11">
        <f ca="1"/>
      </c>
      <c r="BM57" s="11">
        <f ca="1"/>
      </c>
      <c r="BN57" s="11">
        <f ca="1"/>
      </c>
      <c r="LA57">
        <f ca="1"/>
      </c>
      <c r="LB57">
        <f ca="1"/>
      </c>
      <c r="LC57">
        <f ca="1"/>
      </c>
    </row>
    <row r="58" spans="6:315" x14ac:dyDescent="0.55000000000000004">
      <c r="F58" s="4" t="s">
        <v>245</v>
      </c>
      <c r="U58" s="4" t="s">
        <v>246</v>
      </c>
      <c r="AJ58" s="4" t="s">
        <v>247</v>
      </c>
      <c r="BI58">
        <f ca="1"/>
      </c>
      <c r="BJ58" s="11">
        <f ca="1"/>
      </c>
      <c r="BK58" s="11">
        <f ca="1"/>
      </c>
      <c r="BL58" s="11">
        <f ca="1"/>
      </c>
      <c r="BM58" s="11">
        <f ca="1"/>
      </c>
      <c r="BN58" s="11">
        <f ca="1"/>
      </c>
      <c r="LA58">
        <f ca="1"/>
      </c>
      <c r="LB58">
        <f ca="1"/>
      </c>
      <c r="LC58">
        <f ca="1"/>
      </c>
    </row>
    <row r="59" spans="6:315" x14ac:dyDescent="0.55000000000000004">
      <c r="F59" s="5" t="s">
        <v>240</v>
      </c>
      <c r="G59" cm="1">
        <f t="array" ref="G59:R59">TRANSPOSE(VOL_Tenors)</f>
      </c>
      <c r="U59" s="5" t="s">
        <v>240</v>
      </c>
      <c r="V59" cm="1">
        <f t="array" ref="V59:AG59">TRANSPOSE(VOL_Tenors)</f>
      </c>
      <c r="AJ59" s="5" t="s">
        <v>240</v>
      </c>
      <c r="AK59" cm="1">
        <f t="array" ref="AK59:AV59">TRANSPOSE(VOL_Tenors)</f>
      </c>
      <c r="BI59">
        <f ca="1"/>
      </c>
      <c r="BJ59" s="11">
        <f ca="1"/>
      </c>
      <c r="BK59" s="11">
        <f ca="1"/>
      </c>
      <c r="BL59" s="11">
        <f ca="1"/>
      </c>
      <c r="BM59" s="11">
        <f ca="1"/>
      </c>
      <c r="BN59" s="11">
        <f ca="1"/>
      </c>
      <c r="LA59">
        <f ca="1"/>
      </c>
      <c r="LB59">
        <f ca="1"/>
      </c>
      <c r="LC59">
        <f ca="1"/>
      </c>
    </row>
    <row r="60" spans="6:315" x14ac:dyDescent="0.55000000000000004">
      <c r="F60" cm="1">
        <f t="array" ref="F60:F75">VOL_Expiries</f>
      </c>
      <c r="G60" s="13" cm="1">
        <f t="array" aca="1" ref="G60:R75" ca="1">_xlfn.XLOOKUP(_xlfn.ANCHORARRAY(F60)&amp;"x"&amp;_xlfn.ANCHORARRAY(G59),_xlfn.ANCHORARRAY($BI$5),_xlfn.LET(_xlpm.V,_xlfn.DROP(_xlfn.ANCHORARRAY($BP$4),1,4),IF(1&lt;=COLUMNS(_xlpm.V),_xlfn.CHOOSECOLS(_xlpm.V,MIN(1,COLUMNS(_xlpm.V))),IF(_xlfn.SEQUENCE(ROWS(_xlpm.V)),NA()))))</f>
      </c>
      <c r="H60" s="13">
        <f ca="1"/>
      </c>
      <c r="I60" s="13">
        <f ca="1"/>
      </c>
      <c r="J60" s="13">
        <f ca="1"/>
      </c>
      <c r="K60" s="13">
        <f ca="1"/>
      </c>
      <c r="L60" s="13">
        <f ca="1"/>
      </c>
      <c r="M60" s="13">
        <f ca="1"/>
      </c>
      <c r="N60" s="13">
        <f ca="1"/>
      </c>
      <c r="O60" s="13">
        <f ca="1"/>
      </c>
      <c r="P60" s="13">
        <f ca="1"/>
      </c>
      <c r="Q60" s="13">
        <f ca="1"/>
      </c>
      <c r="R60" s="13">
        <f ca="1"/>
      </c>
      <c r="S60" s="13"/>
      <c r="T60" s="13"/>
      <c r="U60" s="13" cm="1">
        <f t="array" ref="U60:U75">VOL_Expiries</f>
      </c>
      <c r="V60" s="13" cm="1">
        <f t="array" aca="1" ref="V60:AG75" ca="1">_xlfn.XLOOKUP(_xlfn.ANCHORARRAY(U60)&amp;"x"&amp;_xlfn.ANCHORARRAY(V59),_xlfn.ANCHORARRAY($BI$5),_xlfn.LET(_xlpm.V,_xlfn.DROP(_xlfn.ANCHORARRAY($BP$4),1,4),IF(2&lt;=COLUMNS(_xlpm.V),_xlfn.CHOOSECOLS(_xlpm.V,MIN(2,COLUMNS(_xlpm.V))),IF(_xlfn.SEQUENCE(ROWS(_xlpm.V)),NA()))))</f>
      </c>
      <c r="W60" s="13">
        <f ca="1"/>
      </c>
      <c r="X60" s="13">
        <f ca="1"/>
      </c>
      <c r="Y60" s="13">
        <f ca="1"/>
      </c>
      <c r="Z60" s="13">
        <f ca="1"/>
      </c>
      <c r="AA60" s="13">
        <f ca="1"/>
      </c>
      <c r="AB60" s="13">
        <f ca="1"/>
      </c>
      <c r="AC60" s="13">
        <f ca="1"/>
      </c>
      <c r="AD60" s="13">
        <f ca="1"/>
      </c>
      <c r="AE60" s="13">
        <f ca="1"/>
      </c>
      <c r="AF60" s="13">
        <f ca="1"/>
      </c>
      <c r="AG60" s="13">
        <f ca="1"/>
      </c>
      <c r="AH60" s="13"/>
      <c r="AI60" s="13"/>
      <c r="AJ60" s="13" cm="1">
        <f t="array" ref="AJ60:AJ75">VOL_Expiries</f>
      </c>
      <c r="AK60" s="13" cm="1">
        <f t="array" aca="1" ref="AK60:AV75" ca="1">_xlfn.XLOOKUP(_xlfn.ANCHORARRAY(AJ60)&amp;"x"&amp;_xlfn.ANCHORARRAY(AK59),_xlfn.ANCHORARRAY($BI$5),_xlfn.LET(_xlpm.V,_xlfn.DROP(_xlfn.ANCHORARRAY($BP$4),1,4),IF(3&lt;=COLUMNS(_xlpm.V),_xlfn.CHOOSECOLS(_xlpm.V,MIN(3,COLUMNS(_xlpm.V))),IF(_xlfn.SEQUENCE(ROWS(_xlpm.V)),NA()))))</f>
      </c>
      <c r="AL60" s="13">
        <f ca="1"/>
      </c>
      <c r="AM60" s="13">
        <f ca="1"/>
      </c>
      <c r="AN60" s="13">
        <f ca="1"/>
      </c>
      <c r="AO60" s="13">
        <f ca="1"/>
      </c>
      <c r="AP60" s="13">
        <f ca="1"/>
      </c>
      <c r="AQ60" s="13">
        <f ca="1"/>
      </c>
      <c r="AR60" s="13">
        <f ca="1"/>
      </c>
      <c r="AS60" s="13">
        <f ca="1"/>
      </c>
      <c r="AT60" s="13">
        <f ca="1"/>
      </c>
      <c r="AU60" s="13">
        <f ca="1"/>
      </c>
      <c r="AV60" s="13">
        <f ca="1"/>
      </c>
      <c r="AW60" s="13"/>
      <c r="AX60" s="13"/>
      <c r="AY60" s="13"/>
      <c r="AZ60" s="13"/>
      <c r="BA60" s="13"/>
      <c r="BB60" s="13"/>
      <c r="BC60" s="13"/>
      <c r="BD60" s="13"/>
      <c r="BI60">
        <f ca="1"/>
      </c>
      <c r="BJ60" s="11">
        <f ca="1"/>
      </c>
      <c r="BK60" s="11">
        <f ca="1"/>
      </c>
      <c r="BL60" s="11">
        <f ca="1"/>
      </c>
      <c r="BM60" s="11">
        <f ca="1"/>
      </c>
      <c r="BN60" s="11">
        <f ca="1"/>
      </c>
      <c r="LA60">
        <f ca="1"/>
      </c>
      <c r="LB60">
        <f ca="1"/>
      </c>
      <c r="LC60">
        <f ca="1"/>
      </c>
    </row>
    <row r="61" spans="6:315" x14ac:dyDescent="0.55000000000000004">
      <c r="G61" s="13">
        <f ca="1"/>
      </c>
      <c r="H61" s="13">
        <f ca="1"/>
      </c>
      <c r="I61" s="13">
        <f ca="1"/>
      </c>
      <c r="J61" s="13">
        <f ca="1"/>
      </c>
      <c r="K61" s="13">
        <f ca="1"/>
      </c>
      <c r="L61" s="13">
        <f ca="1"/>
      </c>
      <c r="M61" s="13">
        <f ca="1"/>
      </c>
      <c r="N61" s="13">
        <f ca="1"/>
      </c>
      <c r="O61" s="13">
        <f ca="1"/>
      </c>
      <c r="P61" s="13">
        <f ca="1"/>
      </c>
      <c r="Q61" s="13">
        <f ca="1"/>
      </c>
      <c r="R61" s="13">
        <f ca="1"/>
      </c>
      <c r="S61" s="13"/>
      <c r="T61" s="13"/>
      <c r="U61" s="13"/>
      <c r="V61" s="13">
        <f ca="1"/>
      </c>
      <c r="W61" s="13">
        <f ca="1"/>
      </c>
      <c r="X61" s="13">
        <f ca="1"/>
      </c>
      <c r="Y61" s="13">
        <f ca="1"/>
      </c>
      <c r="Z61" s="13">
        <f ca="1"/>
      </c>
      <c r="AA61" s="13">
        <f ca="1"/>
      </c>
      <c r="AB61" s="13">
        <f ca="1"/>
      </c>
      <c r="AC61" s="13">
        <f ca="1"/>
      </c>
      <c r="AD61" s="13">
        <f ca="1"/>
      </c>
      <c r="AE61" s="13">
        <f ca="1"/>
      </c>
      <c r="AF61" s="13">
        <f ca="1"/>
      </c>
      <c r="AG61" s="13">
        <f ca="1"/>
      </c>
      <c r="AH61" s="13"/>
      <c r="AI61" s="13"/>
      <c r="AJ61" s="13"/>
      <c r="AK61" s="13">
        <f ca="1"/>
      </c>
      <c r="AL61" s="13">
        <f ca="1"/>
      </c>
      <c r="AM61" s="13">
        <f ca="1"/>
      </c>
      <c r="AN61" s="13">
        <f ca="1"/>
      </c>
      <c r="AO61" s="13">
        <f ca="1"/>
      </c>
      <c r="AP61" s="13">
        <f ca="1"/>
      </c>
      <c r="AQ61" s="13">
        <f ca="1"/>
      </c>
      <c r="AR61" s="13">
        <f ca="1"/>
      </c>
      <c r="AS61" s="13">
        <f ca="1"/>
      </c>
      <c r="AT61" s="13">
        <f ca="1"/>
      </c>
      <c r="AU61" s="13">
        <f ca="1"/>
      </c>
      <c r="AV61" s="13">
        <f ca="1"/>
      </c>
      <c r="AW61" s="13"/>
      <c r="AX61" s="13"/>
      <c r="AY61" s="13"/>
      <c r="AZ61" s="13"/>
      <c r="BA61" s="13"/>
      <c r="BB61" s="13"/>
      <c r="BC61" s="13"/>
      <c r="BD61" s="13"/>
      <c r="BI61">
        <f ca="1"/>
      </c>
      <c r="BJ61" s="11">
        <f ca="1"/>
      </c>
      <c r="BK61" s="11">
        <f ca="1"/>
      </c>
      <c r="BL61" s="11">
        <f ca="1"/>
      </c>
      <c r="BM61" s="11">
        <f ca="1"/>
      </c>
      <c r="BN61" s="11">
        <f ca="1"/>
      </c>
      <c r="LA61">
        <f ca="1"/>
      </c>
      <c r="LB61">
        <f ca="1"/>
      </c>
      <c r="LC61">
        <f ca="1"/>
      </c>
    </row>
    <row r="62" spans="6:315" x14ac:dyDescent="0.55000000000000004">
      <c r="G62" s="13">
        <f ca="1"/>
      </c>
      <c r="H62" s="13">
        <f ca="1"/>
      </c>
      <c r="I62" s="13">
        <f ca="1"/>
      </c>
      <c r="J62" s="13">
        <f ca="1"/>
      </c>
      <c r="K62" s="13">
        <f ca="1"/>
      </c>
      <c r="L62" s="13">
        <f ca="1"/>
      </c>
      <c r="M62" s="13">
        <f ca="1"/>
      </c>
      <c r="N62" s="13">
        <f ca="1"/>
      </c>
      <c r="O62" s="13">
        <f ca="1"/>
      </c>
      <c r="P62" s="13">
        <f ca="1"/>
      </c>
      <c r="Q62" s="13">
        <f ca="1"/>
      </c>
      <c r="R62" s="13">
        <f ca="1"/>
      </c>
      <c r="S62" s="13"/>
      <c r="T62" s="13"/>
      <c r="U62" s="13"/>
      <c r="V62" s="13">
        <f ca="1"/>
      </c>
      <c r="W62" s="13">
        <f ca="1"/>
      </c>
      <c r="X62" s="13">
        <f ca="1"/>
      </c>
      <c r="Y62" s="13">
        <f ca="1"/>
      </c>
      <c r="Z62" s="13">
        <f ca="1"/>
      </c>
      <c r="AA62" s="13">
        <f ca="1"/>
      </c>
      <c r="AB62" s="13">
        <f ca="1"/>
      </c>
      <c r="AC62" s="13">
        <f ca="1"/>
      </c>
      <c r="AD62" s="13">
        <f ca="1"/>
      </c>
      <c r="AE62" s="13">
        <f ca="1"/>
      </c>
      <c r="AF62" s="13">
        <f ca="1"/>
      </c>
      <c r="AG62" s="13">
        <f ca="1"/>
      </c>
      <c r="AH62" s="13"/>
      <c r="AI62" s="13"/>
      <c r="AJ62" s="13"/>
      <c r="AK62" s="13">
        <f ca="1"/>
      </c>
      <c r="AL62" s="13">
        <f ca="1"/>
      </c>
      <c r="AM62" s="13">
        <f ca="1"/>
      </c>
      <c r="AN62" s="13">
        <f ca="1"/>
      </c>
      <c r="AO62" s="13">
        <f ca="1"/>
      </c>
      <c r="AP62" s="13">
        <f ca="1"/>
      </c>
      <c r="AQ62" s="13">
        <f ca="1"/>
      </c>
      <c r="AR62" s="13">
        <f ca="1"/>
      </c>
      <c r="AS62" s="13">
        <f ca="1"/>
      </c>
      <c r="AT62" s="13">
        <f ca="1"/>
      </c>
      <c r="AU62" s="13">
        <f ca="1"/>
      </c>
      <c r="AV62" s="13">
        <f ca="1"/>
      </c>
      <c r="AW62" s="13"/>
      <c r="AX62" s="13"/>
      <c r="AY62" s="13"/>
      <c r="AZ62" s="13"/>
      <c r="BA62" s="13"/>
      <c r="BB62" s="13"/>
      <c r="BC62" s="13"/>
      <c r="BD62" s="13"/>
      <c r="BI62">
        <f ca="1"/>
      </c>
      <c r="BJ62" s="11">
        <f ca="1"/>
      </c>
      <c r="BK62" s="11">
        <f ca="1"/>
      </c>
      <c r="BL62" s="11">
        <f ca="1"/>
      </c>
      <c r="BM62" s="11">
        <f ca="1"/>
      </c>
      <c r="BN62" s="11">
        <f ca="1"/>
      </c>
      <c r="LA62">
        <f ca="1"/>
      </c>
      <c r="LB62">
        <f ca="1"/>
      </c>
      <c r="LC62">
        <f ca="1"/>
      </c>
    </row>
    <row r="63" spans="6:315" x14ac:dyDescent="0.55000000000000004">
      <c r="G63" s="13">
        <f ca="1"/>
      </c>
      <c r="H63" s="13">
        <f ca="1"/>
      </c>
      <c r="I63" s="13">
        <f ca="1"/>
      </c>
      <c r="J63" s="13">
        <f ca="1"/>
      </c>
      <c r="K63" s="13">
        <f ca="1"/>
      </c>
      <c r="L63" s="13">
        <f ca="1"/>
      </c>
      <c r="M63" s="13">
        <f ca="1"/>
      </c>
      <c r="N63" s="13">
        <f ca="1"/>
      </c>
      <c r="O63" s="13">
        <f ca="1"/>
      </c>
      <c r="P63" s="13">
        <f ca="1"/>
      </c>
      <c r="Q63" s="13">
        <f ca="1"/>
      </c>
      <c r="R63" s="13">
        <f ca="1"/>
      </c>
      <c r="S63" s="13"/>
      <c r="T63" s="13"/>
      <c r="U63" s="13"/>
      <c r="V63" s="13">
        <f ca="1"/>
      </c>
      <c r="W63" s="13">
        <f ca="1"/>
      </c>
      <c r="X63" s="13">
        <f ca="1"/>
      </c>
      <c r="Y63" s="13">
        <f ca="1"/>
      </c>
      <c r="Z63" s="13">
        <f ca="1"/>
      </c>
      <c r="AA63" s="13">
        <f ca="1"/>
      </c>
      <c r="AB63" s="13">
        <f ca="1"/>
      </c>
      <c r="AC63" s="13">
        <f ca="1"/>
      </c>
      <c r="AD63" s="13">
        <f ca="1"/>
      </c>
      <c r="AE63" s="13">
        <f ca="1"/>
      </c>
      <c r="AF63" s="13">
        <f ca="1"/>
      </c>
      <c r="AG63" s="13">
        <f ca="1"/>
      </c>
      <c r="AH63" s="13"/>
      <c r="AI63" s="13"/>
      <c r="AJ63" s="13"/>
      <c r="AK63" s="13">
        <f ca="1"/>
      </c>
      <c r="AL63" s="13">
        <f ca="1"/>
      </c>
      <c r="AM63" s="13">
        <f ca="1"/>
      </c>
      <c r="AN63" s="13">
        <f ca="1"/>
      </c>
      <c r="AO63" s="13">
        <f ca="1"/>
      </c>
      <c r="AP63" s="13">
        <f ca="1"/>
      </c>
      <c r="AQ63" s="13">
        <f ca="1"/>
      </c>
      <c r="AR63" s="13">
        <f ca="1"/>
      </c>
      <c r="AS63" s="13">
        <f ca="1"/>
      </c>
      <c r="AT63" s="13">
        <f ca="1"/>
      </c>
      <c r="AU63" s="13">
        <f ca="1"/>
      </c>
      <c r="AV63" s="13">
        <f ca="1"/>
      </c>
      <c r="AW63" s="13"/>
      <c r="AX63" s="13"/>
      <c r="AY63" s="13"/>
      <c r="AZ63" s="13"/>
      <c r="BA63" s="13"/>
      <c r="BB63" s="13"/>
      <c r="BC63" s="13"/>
      <c r="BD63" s="13"/>
      <c r="BI63">
        <f ca="1"/>
      </c>
      <c r="BJ63" s="11">
        <f ca="1"/>
      </c>
      <c r="BK63" s="11">
        <f ca="1"/>
      </c>
      <c r="BL63" s="11">
        <f ca="1"/>
      </c>
      <c r="BM63" s="11">
        <f ca="1"/>
      </c>
      <c r="BN63" s="11">
        <f ca="1"/>
      </c>
      <c r="LA63">
        <f ca="1"/>
      </c>
      <c r="LB63">
        <f ca="1"/>
      </c>
      <c r="LC63">
        <f ca="1"/>
      </c>
    </row>
    <row r="64" spans="6:315" x14ac:dyDescent="0.55000000000000004">
      <c r="G64" s="13">
        <f ca="1"/>
      </c>
      <c r="H64" s="13">
        <f ca="1"/>
      </c>
      <c r="I64" s="13">
        <f ca="1"/>
      </c>
      <c r="J64" s="13">
        <f ca="1"/>
      </c>
      <c r="K64" s="13">
        <f ca="1"/>
      </c>
      <c r="L64" s="13">
        <f ca="1"/>
      </c>
      <c r="M64" s="13">
        <f ca="1"/>
      </c>
      <c r="N64" s="13">
        <f ca="1"/>
      </c>
      <c r="O64" s="13">
        <f ca="1"/>
      </c>
      <c r="P64" s="13">
        <f ca="1"/>
      </c>
      <c r="Q64" s="13">
        <f ca="1"/>
      </c>
      <c r="R64" s="13">
        <f ca="1"/>
      </c>
      <c r="S64" s="13"/>
      <c r="T64" s="13"/>
      <c r="U64" s="13"/>
      <c r="V64" s="13">
        <f ca="1"/>
      </c>
      <c r="W64" s="13">
        <f ca="1"/>
      </c>
      <c r="X64" s="13">
        <f ca="1"/>
      </c>
      <c r="Y64" s="13">
        <f ca="1"/>
      </c>
      <c r="Z64" s="13">
        <f ca="1"/>
      </c>
      <c r="AA64" s="13">
        <f ca="1"/>
      </c>
      <c r="AB64" s="13">
        <f ca="1"/>
      </c>
      <c r="AC64" s="13">
        <f ca="1"/>
      </c>
      <c r="AD64" s="13">
        <f ca="1"/>
      </c>
      <c r="AE64" s="13">
        <f ca="1"/>
      </c>
      <c r="AF64" s="13">
        <f ca="1"/>
      </c>
      <c r="AG64" s="13">
        <f ca="1"/>
      </c>
      <c r="AH64" s="13"/>
      <c r="AI64" s="13"/>
      <c r="AJ64" s="13"/>
      <c r="AK64" s="13">
        <f ca="1"/>
      </c>
      <c r="AL64" s="13">
        <f ca="1"/>
      </c>
      <c r="AM64" s="13">
        <f ca="1"/>
      </c>
      <c r="AN64" s="13">
        <f ca="1"/>
      </c>
      <c r="AO64" s="13">
        <f ca="1"/>
      </c>
      <c r="AP64" s="13">
        <f ca="1"/>
      </c>
      <c r="AQ64" s="13">
        <f ca="1"/>
      </c>
      <c r="AR64" s="13">
        <f ca="1"/>
      </c>
      <c r="AS64" s="13">
        <f ca="1"/>
      </c>
      <c r="AT64" s="13">
        <f ca="1"/>
      </c>
      <c r="AU64" s="13">
        <f ca="1"/>
      </c>
      <c r="AV64" s="13">
        <f ca="1"/>
      </c>
      <c r="AW64" s="13"/>
      <c r="AX64" s="13"/>
      <c r="AY64" s="13"/>
      <c r="AZ64" s="13"/>
      <c r="BA64" s="13"/>
      <c r="BB64" s="13"/>
      <c r="BC64" s="13"/>
      <c r="BD64" s="13"/>
      <c r="BI64">
        <f ca="1"/>
      </c>
      <c r="BJ64" s="11">
        <f ca="1"/>
      </c>
      <c r="BK64" s="11">
        <f ca="1"/>
      </c>
      <c r="BL64" s="11">
        <f ca="1"/>
      </c>
      <c r="BM64" s="11">
        <f ca="1"/>
      </c>
      <c r="BN64" s="11">
        <f ca="1"/>
      </c>
      <c r="LA64">
        <f ca="1"/>
      </c>
      <c r="LB64">
        <f ca="1"/>
      </c>
      <c r="LC64">
        <f ca="1"/>
      </c>
    </row>
    <row r="65" spans="6:315" x14ac:dyDescent="0.55000000000000004">
      <c r="G65" s="13">
        <f ca="1"/>
      </c>
      <c r="H65" s="13">
        <f ca="1"/>
      </c>
      <c r="I65" s="13">
        <f ca="1"/>
      </c>
      <c r="J65" s="13">
        <f ca="1"/>
      </c>
      <c r="K65" s="13">
        <f ca="1"/>
      </c>
      <c r="L65" s="13">
        <f ca="1"/>
      </c>
      <c r="M65" s="13">
        <f ca="1"/>
      </c>
      <c r="N65" s="13">
        <f ca="1"/>
      </c>
      <c r="O65" s="13">
        <f ca="1"/>
      </c>
      <c r="P65" s="13">
        <f ca="1"/>
      </c>
      <c r="Q65" s="13">
        <f ca="1"/>
      </c>
      <c r="R65" s="13">
        <f ca="1"/>
      </c>
      <c r="S65" s="13"/>
      <c r="T65" s="13"/>
      <c r="U65" s="13"/>
      <c r="V65" s="13">
        <f ca="1"/>
      </c>
      <c r="W65" s="13">
        <f ca="1"/>
      </c>
      <c r="X65" s="13">
        <f ca="1"/>
      </c>
      <c r="Y65" s="13">
        <f ca="1"/>
      </c>
      <c r="Z65" s="13">
        <f ca="1"/>
      </c>
      <c r="AA65" s="13">
        <f ca="1"/>
      </c>
      <c r="AB65" s="13">
        <f ca="1"/>
      </c>
      <c r="AC65" s="13">
        <f ca="1"/>
      </c>
      <c r="AD65" s="13">
        <f ca="1"/>
      </c>
      <c r="AE65" s="13">
        <f ca="1"/>
      </c>
      <c r="AF65" s="13">
        <f ca="1"/>
      </c>
      <c r="AG65" s="13">
        <f ca="1"/>
      </c>
      <c r="AH65" s="13"/>
      <c r="AI65" s="13"/>
      <c r="AJ65" s="13"/>
      <c r="AK65" s="13">
        <f ca="1"/>
      </c>
      <c r="AL65" s="13">
        <f ca="1"/>
      </c>
      <c r="AM65" s="13">
        <f ca="1"/>
      </c>
      <c r="AN65" s="13">
        <f ca="1"/>
      </c>
      <c r="AO65" s="13">
        <f ca="1"/>
      </c>
      <c r="AP65" s="13">
        <f ca="1"/>
      </c>
      <c r="AQ65" s="13">
        <f ca="1"/>
      </c>
      <c r="AR65" s="13">
        <f ca="1"/>
      </c>
      <c r="AS65" s="13">
        <f ca="1"/>
      </c>
      <c r="AT65" s="13">
        <f ca="1"/>
      </c>
      <c r="AU65" s="13">
        <f ca="1"/>
      </c>
      <c r="AV65" s="13">
        <f ca="1"/>
      </c>
      <c r="AW65" s="13"/>
      <c r="AX65" s="13"/>
      <c r="AY65" s="13"/>
      <c r="AZ65" s="13"/>
      <c r="BA65" s="13"/>
      <c r="BB65" s="13"/>
      <c r="BC65" s="13"/>
      <c r="BD65" s="13"/>
      <c r="BI65">
        <f ca="1"/>
      </c>
      <c r="BJ65" s="11">
        <f ca="1"/>
      </c>
      <c r="BK65" s="11">
        <f ca="1"/>
      </c>
      <c r="BL65" s="11">
        <f ca="1"/>
      </c>
      <c r="BM65" s="11">
        <f ca="1"/>
      </c>
      <c r="BN65" s="11">
        <f ca="1"/>
      </c>
      <c r="LA65">
        <f ca="1"/>
      </c>
      <c r="LB65">
        <f ca="1"/>
      </c>
      <c r="LC65">
        <f ca="1"/>
      </c>
    </row>
    <row r="66" spans="6:315" x14ac:dyDescent="0.55000000000000004">
      <c r="G66" s="13">
        <f ca="1"/>
      </c>
      <c r="H66" s="13">
        <f ca="1"/>
      </c>
      <c r="I66" s="13">
        <f ca="1"/>
      </c>
      <c r="J66" s="13">
        <f ca="1"/>
      </c>
      <c r="K66" s="13">
        <f ca="1"/>
      </c>
      <c r="L66" s="13">
        <f ca="1"/>
      </c>
      <c r="M66" s="13">
        <f ca="1"/>
      </c>
      <c r="N66" s="13">
        <f ca="1"/>
      </c>
      <c r="O66" s="13">
        <f ca="1"/>
      </c>
      <c r="P66" s="13">
        <f ca="1"/>
      </c>
      <c r="Q66" s="13">
        <f ca="1"/>
      </c>
      <c r="R66" s="13">
        <f ca="1"/>
      </c>
      <c r="S66" s="13"/>
      <c r="T66" s="13"/>
      <c r="U66" s="13"/>
      <c r="V66" s="13">
        <f ca="1"/>
      </c>
      <c r="W66" s="13">
        <f ca="1"/>
      </c>
      <c r="X66" s="13">
        <f ca="1"/>
      </c>
      <c r="Y66" s="13">
        <f ca="1"/>
      </c>
      <c r="Z66" s="13">
        <f ca="1"/>
      </c>
      <c r="AA66" s="13">
        <f ca="1"/>
      </c>
      <c r="AB66" s="13">
        <f ca="1"/>
      </c>
      <c r="AC66" s="13">
        <f ca="1"/>
      </c>
      <c r="AD66" s="13">
        <f ca="1"/>
      </c>
      <c r="AE66" s="13">
        <f ca="1"/>
      </c>
      <c r="AF66" s="13">
        <f ca="1"/>
      </c>
      <c r="AG66" s="13">
        <f ca="1"/>
      </c>
      <c r="AH66" s="13"/>
      <c r="AI66" s="13"/>
      <c r="AJ66" s="13"/>
      <c r="AK66" s="13">
        <f ca="1"/>
      </c>
      <c r="AL66" s="13">
        <f ca="1"/>
      </c>
      <c r="AM66" s="13">
        <f ca="1"/>
      </c>
      <c r="AN66" s="13">
        <f ca="1"/>
      </c>
      <c r="AO66" s="13">
        <f ca="1"/>
      </c>
      <c r="AP66" s="13">
        <f ca="1"/>
      </c>
      <c r="AQ66" s="13">
        <f ca="1"/>
      </c>
      <c r="AR66" s="13">
        <f ca="1"/>
      </c>
      <c r="AS66" s="13">
        <f ca="1"/>
      </c>
      <c r="AT66" s="13">
        <f ca="1"/>
      </c>
      <c r="AU66" s="13">
        <f ca="1"/>
      </c>
      <c r="AV66" s="13">
        <f ca="1"/>
      </c>
      <c r="AW66" s="13"/>
      <c r="AX66" s="13"/>
      <c r="AY66" s="13"/>
      <c r="AZ66" s="13"/>
      <c r="BA66" s="13"/>
      <c r="BB66" s="13"/>
      <c r="BC66" s="13"/>
      <c r="BD66" s="13"/>
      <c r="BI66">
        <f ca="1"/>
      </c>
      <c r="BJ66" s="11">
        <f ca="1"/>
      </c>
      <c r="BK66" s="11">
        <f ca="1"/>
      </c>
      <c r="BL66" s="11">
        <f ca="1"/>
      </c>
      <c r="BM66" s="11">
        <f ca="1"/>
      </c>
      <c r="BN66" s="11">
        <f ca="1"/>
      </c>
      <c r="LA66">
        <f ca="1"/>
      </c>
      <c r="LB66">
        <f ca="1"/>
      </c>
      <c r="LC66">
        <f ca="1"/>
      </c>
    </row>
    <row r="67" spans="6:315" x14ac:dyDescent="0.55000000000000004">
      <c r="G67" s="13">
        <f ca="1"/>
      </c>
      <c r="H67" s="13">
        <f ca="1"/>
      </c>
      <c r="I67" s="13">
        <f ca="1"/>
      </c>
      <c r="J67" s="13">
        <f ca="1"/>
      </c>
      <c r="K67" s="13">
        <f ca="1"/>
      </c>
      <c r="L67" s="13">
        <f ca="1"/>
      </c>
      <c r="M67" s="13">
        <f ca="1"/>
      </c>
      <c r="N67" s="13">
        <f ca="1"/>
      </c>
      <c r="O67" s="13">
        <f ca="1"/>
      </c>
      <c r="P67" s="13">
        <f ca="1"/>
      </c>
      <c r="Q67" s="13">
        <f ca="1"/>
      </c>
      <c r="R67" s="13">
        <f ca="1"/>
      </c>
      <c r="S67" s="13"/>
      <c r="T67" s="13"/>
      <c r="U67" s="13"/>
      <c r="V67" s="13">
        <f ca="1"/>
      </c>
      <c r="W67" s="13">
        <f ca="1"/>
      </c>
      <c r="X67" s="13">
        <f ca="1"/>
      </c>
      <c r="Y67" s="13">
        <f ca="1"/>
      </c>
      <c r="Z67" s="13">
        <f ca="1"/>
      </c>
      <c r="AA67" s="13">
        <f ca="1"/>
      </c>
      <c r="AB67" s="13">
        <f ca="1"/>
      </c>
      <c r="AC67" s="13">
        <f ca="1"/>
      </c>
      <c r="AD67" s="13">
        <f ca="1"/>
      </c>
      <c r="AE67" s="13">
        <f ca="1"/>
      </c>
      <c r="AF67" s="13">
        <f ca="1"/>
      </c>
      <c r="AG67" s="13">
        <f ca="1"/>
      </c>
      <c r="AH67" s="13"/>
      <c r="AI67" s="13"/>
      <c r="AJ67" s="13"/>
      <c r="AK67" s="13">
        <f ca="1"/>
      </c>
      <c r="AL67" s="13">
        <f ca="1"/>
      </c>
      <c r="AM67" s="13">
        <f ca="1"/>
      </c>
      <c r="AN67" s="13">
        <f ca="1"/>
      </c>
      <c r="AO67" s="13">
        <f ca="1"/>
      </c>
      <c r="AP67" s="13">
        <f ca="1"/>
      </c>
      <c r="AQ67" s="13">
        <f ca="1"/>
      </c>
      <c r="AR67" s="13">
        <f ca="1"/>
      </c>
      <c r="AS67" s="13">
        <f ca="1"/>
      </c>
      <c r="AT67" s="13">
        <f ca="1"/>
      </c>
      <c r="AU67" s="13">
        <f ca="1"/>
      </c>
      <c r="AV67" s="13">
        <f ca="1"/>
      </c>
      <c r="AW67" s="13"/>
      <c r="AX67" s="13"/>
      <c r="AY67" s="13"/>
      <c r="AZ67" s="13"/>
      <c r="BA67" s="13"/>
      <c r="BB67" s="13"/>
      <c r="BC67" s="13"/>
      <c r="BD67" s="13"/>
      <c r="BI67">
        <f ca="1"/>
      </c>
      <c r="BJ67" s="11">
        <f ca="1"/>
      </c>
      <c r="BK67" s="11">
        <f ca="1"/>
      </c>
      <c r="BL67" s="11">
        <f ca="1"/>
      </c>
      <c r="BM67" s="11">
        <f ca="1"/>
      </c>
      <c r="BN67" s="11">
        <f ca="1"/>
      </c>
      <c r="LA67">
        <f ca="1"/>
      </c>
      <c r="LB67">
        <f ca="1"/>
      </c>
      <c r="LC67">
        <f ca="1"/>
      </c>
    </row>
    <row r="68" spans="6:315" x14ac:dyDescent="0.55000000000000004">
      <c r="G68" s="13">
        <f ca="1"/>
      </c>
      <c r="H68" s="13">
        <f ca="1"/>
      </c>
      <c r="I68" s="13">
        <f ca="1"/>
      </c>
      <c r="J68" s="13">
        <f ca="1"/>
      </c>
      <c r="K68" s="13">
        <f ca="1"/>
      </c>
      <c r="L68" s="13">
        <f ca="1"/>
      </c>
      <c r="M68" s="13">
        <f ca="1"/>
      </c>
      <c r="N68" s="13">
        <f ca="1"/>
      </c>
      <c r="O68" s="13">
        <f ca="1"/>
      </c>
      <c r="P68" s="13">
        <f ca="1"/>
      </c>
      <c r="Q68" s="13">
        <f ca="1"/>
      </c>
      <c r="R68" s="13">
        <f ca="1"/>
      </c>
      <c r="S68" s="13"/>
      <c r="T68" s="13"/>
      <c r="U68" s="13"/>
      <c r="V68" s="13">
        <f ca="1"/>
      </c>
      <c r="W68" s="13">
        <f ca="1"/>
      </c>
      <c r="X68" s="13">
        <f ca="1"/>
      </c>
      <c r="Y68" s="13">
        <f ca="1"/>
      </c>
      <c r="Z68" s="13">
        <f ca="1"/>
      </c>
      <c r="AA68" s="13">
        <f ca="1"/>
      </c>
      <c r="AB68" s="13">
        <f ca="1"/>
      </c>
      <c r="AC68" s="13">
        <f ca="1"/>
      </c>
      <c r="AD68" s="13">
        <f ca="1"/>
      </c>
      <c r="AE68" s="13">
        <f ca="1"/>
      </c>
      <c r="AF68" s="13">
        <f ca="1"/>
      </c>
      <c r="AG68" s="13">
        <f ca="1"/>
      </c>
      <c r="AH68" s="13"/>
      <c r="AI68" s="13"/>
      <c r="AJ68" s="13"/>
      <c r="AK68" s="13">
        <f ca="1"/>
      </c>
      <c r="AL68" s="13">
        <f ca="1"/>
      </c>
      <c r="AM68" s="13">
        <f ca="1"/>
      </c>
      <c r="AN68" s="13">
        <f ca="1"/>
      </c>
      <c r="AO68" s="13">
        <f ca="1"/>
      </c>
      <c r="AP68" s="13">
        <f ca="1"/>
      </c>
      <c r="AQ68" s="13">
        <f ca="1"/>
      </c>
      <c r="AR68" s="13">
        <f ca="1"/>
      </c>
      <c r="AS68" s="13">
        <f ca="1"/>
      </c>
      <c r="AT68" s="13">
        <f ca="1"/>
      </c>
      <c r="AU68" s="13">
        <f ca="1"/>
      </c>
      <c r="AV68" s="13">
        <f ca="1"/>
      </c>
      <c r="AW68" s="13"/>
      <c r="AX68" s="13"/>
      <c r="AY68" s="13"/>
      <c r="AZ68" s="13"/>
      <c r="BA68" s="13"/>
      <c r="BB68" s="13"/>
      <c r="BC68" s="13"/>
      <c r="BD68" s="13"/>
      <c r="BI68">
        <f ca="1"/>
      </c>
      <c r="BJ68" s="11">
        <f ca="1"/>
      </c>
      <c r="BK68" s="11">
        <f ca="1"/>
      </c>
      <c r="BL68" s="11">
        <f ca="1"/>
      </c>
      <c r="BM68" s="11">
        <f ca="1"/>
      </c>
      <c r="BN68" s="11">
        <f ca="1"/>
      </c>
      <c r="LA68">
        <f ca="1"/>
      </c>
      <c r="LB68">
        <f ca="1"/>
      </c>
      <c r="LC68">
        <f ca="1"/>
      </c>
    </row>
    <row r="69" spans="6:315" x14ac:dyDescent="0.55000000000000004">
      <c r="G69" s="13">
        <f ca="1"/>
      </c>
      <c r="H69" s="13">
        <f ca="1"/>
      </c>
      <c r="I69" s="13">
        <f ca="1"/>
      </c>
      <c r="J69" s="13">
        <f ca="1"/>
      </c>
      <c r="K69" s="13">
        <f ca="1"/>
      </c>
      <c r="L69" s="13">
        <f ca="1"/>
      </c>
      <c r="M69" s="13">
        <f ca="1"/>
      </c>
      <c r="N69" s="13">
        <f ca="1"/>
      </c>
      <c r="O69" s="13">
        <f ca="1"/>
      </c>
      <c r="P69" s="13">
        <f ca="1"/>
      </c>
      <c r="Q69" s="13">
        <f ca="1"/>
      </c>
      <c r="R69" s="13">
        <f ca="1"/>
      </c>
      <c r="S69" s="13"/>
      <c r="T69" s="13"/>
      <c r="U69" s="13"/>
      <c r="V69" s="13">
        <f ca="1"/>
      </c>
      <c r="W69" s="13">
        <f ca="1"/>
      </c>
      <c r="X69" s="13">
        <f ca="1"/>
      </c>
      <c r="Y69" s="13">
        <f ca="1"/>
      </c>
      <c r="Z69" s="13">
        <f ca="1"/>
      </c>
      <c r="AA69" s="13">
        <f ca="1"/>
      </c>
      <c r="AB69" s="13">
        <f ca="1"/>
      </c>
      <c r="AC69" s="13">
        <f ca="1"/>
      </c>
      <c r="AD69" s="13">
        <f ca="1"/>
      </c>
      <c r="AE69" s="13">
        <f ca="1"/>
      </c>
      <c r="AF69" s="13">
        <f ca="1"/>
      </c>
      <c r="AG69" s="13">
        <f ca="1"/>
      </c>
      <c r="AH69" s="13"/>
      <c r="AI69" s="13"/>
      <c r="AJ69" s="13"/>
      <c r="AK69" s="13">
        <f ca="1"/>
      </c>
      <c r="AL69" s="13">
        <f ca="1"/>
      </c>
      <c r="AM69" s="13">
        <f ca="1"/>
      </c>
      <c r="AN69" s="13">
        <f ca="1"/>
      </c>
      <c r="AO69" s="13">
        <f ca="1"/>
      </c>
      <c r="AP69" s="13">
        <f ca="1"/>
      </c>
      <c r="AQ69" s="13">
        <f ca="1"/>
      </c>
      <c r="AR69" s="13">
        <f ca="1"/>
      </c>
      <c r="AS69" s="13">
        <f ca="1"/>
      </c>
      <c r="AT69" s="13">
        <f ca="1"/>
      </c>
      <c r="AU69" s="13">
        <f ca="1"/>
      </c>
      <c r="AV69" s="13">
        <f ca="1"/>
      </c>
      <c r="AW69" s="13"/>
      <c r="AX69" s="13"/>
      <c r="AY69" s="13"/>
      <c r="AZ69" s="13"/>
      <c r="BA69" s="13"/>
      <c r="BB69" s="13"/>
      <c r="BC69" s="13"/>
      <c r="BD69" s="13"/>
      <c r="BI69">
        <f ca="1"/>
      </c>
      <c r="BJ69" s="11">
        <f ca="1"/>
      </c>
      <c r="BK69" s="11">
        <f ca="1"/>
      </c>
      <c r="BL69" s="11">
        <f ca="1"/>
      </c>
      <c r="BM69" s="11">
        <f ca="1"/>
      </c>
      <c r="BN69" s="11">
        <f ca="1"/>
      </c>
      <c r="LA69">
        <f ca="1"/>
      </c>
      <c r="LB69">
        <f ca="1"/>
      </c>
      <c r="LC69">
        <f ca="1"/>
      </c>
    </row>
    <row r="70" spans="6:315" x14ac:dyDescent="0.55000000000000004">
      <c r="G70" s="13">
        <f ca="1"/>
      </c>
      <c r="H70" s="13">
        <f ca="1"/>
      </c>
      <c r="I70" s="13">
        <f ca="1"/>
      </c>
      <c r="J70" s="13">
        <f ca="1"/>
      </c>
      <c r="K70" s="13">
        <f ca="1"/>
      </c>
      <c r="L70" s="13">
        <f ca="1"/>
      </c>
      <c r="M70" s="13">
        <f ca="1"/>
      </c>
      <c r="N70" s="13">
        <f ca="1"/>
      </c>
      <c r="O70" s="13">
        <f ca="1"/>
      </c>
      <c r="P70" s="13">
        <f ca="1"/>
      </c>
      <c r="Q70" s="13">
        <f ca="1"/>
      </c>
      <c r="R70" s="13">
        <f ca="1"/>
      </c>
      <c r="S70" s="13"/>
      <c r="T70" s="13"/>
      <c r="U70" s="13"/>
      <c r="V70" s="13">
        <f ca="1"/>
      </c>
      <c r="W70" s="13">
        <f ca="1"/>
      </c>
      <c r="X70" s="13">
        <f ca="1"/>
      </c>
      <c r="Y70" s="13">
        <f ca="1"/>
      </c>
      <c r="Z70" s="13">
        <f ca="1"/>
      </c>
      <c r="AA70" s="13">
        <f ca="1"/>
      </c>
      <c r="AB70" s="13">
        <f ca="1"/>
      </c>
      <c r="AC70" s="13">
        <f ca="1"/>
      </c>
      <c r="AD70" s="13">
        <f ca="1"/>
      </c>
      <c r="AE70" s="13">
        <f ca="1"/>
      </c>
      <c r="AF70" s="13">
        <f ca="1"/>
      </c>
      <c r="AG70" s="13">
        <f ca="1"/>
      </c>
      <c r="AH70" s="13"/>
      <c r="AI70" s="13"/>
      <c r="AJ70" s="13"/>
      <c r="AK70" s="13">
        <f ca="1"/>
      </c>
      <c r="AL70" s="13">
        <f ca="1"/>
      </c>
      <c r="AM70" s="13">
        <f ca="1"/>
      </c>
      <c r="AN70" s="13">
        <f ca="1"/>
      </c>
      <c r="AO70" s="13">
        <f ca="1"/>
      </c>
      <c r="AP70" s="13">
        <f ca="1"/>
      </c>
      <c r="AQ70" s="13">
        <f ca="1"/>
      </c>
      <c r="AR70" s="13">
        <f ca="1"/>
      </c>
      <c r="AS70" s="13">
        <f ca="1"/>
      </c>
      <c r="AT70" s="13">
        <f ca="1"/>
      </c>
      <c r="AU70" s="13">
        <f ca="1"/>
      </c>
      <c r="AV70" s="13">
        <f ca="1"/>
      </c>
      <c r="AW70" s="13"/>
      <c r="AX70" s="13"/>
      <c r="AY70" s="13"/>
      <c r="AZ70" s="13"/>
      <c r="BA70" s="13"/>
      <c r="BB70" s="13"/>
      <c r="BC70" s="13"/>
      <c r="BD70" s="13"/>
      <c r="BI70">
        <f ca="1"/>
      </c>
      <c r="BJ70" s="11">
        <f ca="1"/>
      </c>
      <c r="BK70" s="11">
        <f ca="1"/>
      </c>
      <c r="BL70" s="11">
        <f ca="1"/>
      </c>
      <c r="BM70" s="11">
        <f ca="1"/>
      </c>
      <c r="BN70" s="11">
        <f ca="1"/>
      </c>
      <c r="LA70">
        <f ca="1"/>
      </c>
      <c r="LB70">
        <f ca="1"/>
      </c>
      <c r="LC70">
        <f ca="1"/>
      </c>
    </row>
    <row r="71" spans="6:315" x14ac:dyDescent="0.55000000000000004">
      <c r="G71" s="13">
        <f ca="1"/>
      </c>
      <c r="H71" s="13">
        <f ca="1"/>
      </c>
      <c r="I71" s="13">
        <f ca="1"/>
      </c>
      <c r="J71" s="13">
        <f ca="1"/>
      </c>
      <c r="K71" s="13">
        <f ca="1"/>
      </c>
      <c r="L71" s="13">
        <f ca="1"/>
      </c>
      <c r="M71" s="13">
        <f ca="1"/>
      </c>
      <c r="N71" s="13">
        <f ca="1"/>
      </c>
      <c r="O71" s="13">
        <f ca="1"/>
      </c>
      <c r="P71" s="13">
        <f ca="1"/>
      </c>
      <c r="Q71" s="13">
        <f ca="1"/>
      </c>
      <c r="R71" s="13">
        <f ca="1"/>
      </c>
      <c r="S71" s="13"/>
      <c r="T71" s="13"/>
      <c r="U71" s="13"/>
      <c r="V71" s="13">
        <f ca="1"/>
      </c>
      <c r="W71" s="13">
        <f ca="1"/>
      </c>
      <c r="X71" s="13">
        <f ca="1"/>
      </c>
      <c r="Y71" s="13">
        <f ca="1"/>
      </c>
      <c r="Z71" s="13">
        <f ca="1"/>
      </c>
      <c r="AA71" s="13">
        <f ca="1"/>
      </c>
      <c r="AB71" s="13">
        <f ca="1"/>
      </c>
      <c r="AC71" s="13">
        <f ca="1"/>
      </c>
      <c r="AD71" s="13">
        <f ca="1"/>
      </c>
      <c r="AE71" s="13">
        <f ca="1"/>
      </c>
      <c r="AF71" s="13">
        <f ca="1"/>
      </c>
      <c r="AG71" s="13">
        <f ca="1"/>
      </c>
      <c r="AH71" s="13"/>
      <c r="AI71" s="13"/>
      <c r="AJ71" s="13"/>
      <c r="AK71" s="13">
        <f ca="1"/>
      </c>
      <c r="AL71" s="13">
        <f ca="1"/>
      </c>
      <c r="AM71" s="13">
        <f ca="1"/>
      </c>
      <c r="AN71" s="13">
        <f ca="1"/>
      </c>
      <c r="AO71" s="13">
        <f ca="1"/>
      </c>
      <c r="AP71" s="13">
        <f ca="1"/>
      </c>
      <c r="AQ71" s="13">
        <f ca="1"/>
      </c>
      <c r="AR71" s="13">
        <f ca="1"/>
      </c>
      <c r="AS71" s="13">
        <f ca="1"/>
      </c>
      <c r="AT71" s="13">
        <f ca="1"/>
      </c>
      <c r="AU71" s="13">
        <f ca="1"/>
      </c>
      <c r="AV71" s="13">
        <f ca="1"/>
      </c>
      <c r="AW71" s="13"/>
      <c r="AX71" s="13"/>
      <c r="AY71" s="13"/>
      <c r="AZ71" s="13"/>
      <c r="BA71" s="13"/>
      <c r="BB71" s="13"/>
      <c r="BC71" s="13"/>
      <c r="BD71" s="13"/>
      <c r="BI71">
        <f ca="1"/>
      </c>
      <c r="BJ71" s="11">
        <f ca="1"/>
      </c>
      <c r="BK71" s="11">
        <f ca="1"/>
      </c>
      <c r="BL71" s="11">
        <f ca="1"/>
      </c>
      <c r="BM71" s="11">
        <f ca="1"/>
      </c>
      <c r="BN71" s="11">
        <f ca="1"/>
      </c>
      <c r="LA71">
        <f ca="1"/>
      </c>
      <c r="LB71">
        <f ca="1"/>
      </c>
      <c r="LC71">
        <f ca="1"/>
      </c>
    </row>
    <row r="72" spans="6:315" x14ac:dyDescent="0.55000000000000004">
      <c r="G72" s="13">
        <f ca="1"/>
      </c>
      <c r="H72" s="13">
        <f ca="1"/>
      </c>
      <c r="I72" s="13">
        <f ca="1"/>
      </c>
      <c r="J72" s="13">
        <f ca="1"/>
      </c>
      <c r="K72" s="13">
        <f ca="1"/>
      </c>
      <c r="L72" s="13">
        <f ca="1"/>
      </c>
      <c r="M72" s="13">
        <f ca="1"/>
      </c>
      <c r="N72" s="13">
        <f ca="1"/>
      </c>
      <c r="O72" s="13">
        <f ca="1"/>
      </c>
      <c r="P72" s="13">
        <f ca="1"/>
      </c>
      <c r="Q72" s="13">
        <f ca="1"/>
      </c>
      <c r="R72" s="13">
        <f ca="1"/>
      </c>
      <c r="S72" s="13"/>
      <c r="T72" s="13"/>
      <c r="U72" s="13"/>
      <c r="V72" s="13">
        <f ca="1"/>
      </c>
      <c r="W72" s="13">
        <f ca="1"/>
      </c>
      <c r="X72" s="13">
        <f ca="1"/>
      </c>
      <c r="Y72" s="13">
        <f ca="1"/>
      </c>
      <c r="Z72" s="13">
        <f ca="1"/>
      </c>
      <c r="AA72" s="13">
        <f ca="1"/>
      </c>
      <c r="AB72" s="13">
        <f ca="1"/>
      </c>
      <c r="AC72" s="13">
        <f ca="1"/>
      </c>
      <c r="AD72" s="13">
        <f ca="1"/>
      </c>
      <c r="AE72" s="13">
        <f ca="1"/>
      </c>
      <c r="AF72" s="13">
        <f ca="1"/>
      </c>
      <c r="AG72" s="13">
        <f ca="1"/>
      </c>
      <c r="AH72" s="13"/>
      <c r="AI72" s="13"/>
      <c r="AJ72" s="13"/>
      <c r="AK72" s="13">
        <f ca="1"/>
      </c>
      <c r="AL72" s="13">
        <f ca="1"/>
      </c>
      <c r="AM72" s="13">
        <f ca="1"/>
      </c>
      <c r="AN72" s="13">
        <f ca="1"/>
      </c>
      <c r="AO72" s="13">
        <f ca="1"/>
      </c>
      <c r="AP72" s="13">
        <f ca="1"/>
      </c>
      <c r="AQ72" s="13">
        <f ca="1"/>
      </c>
      <c r="AR72" s="13">
        <f ca="1"/>
      </c>
      <c r="AS72" s="13">
        <f ca="1"/>
      </c>
      <c r="AT72" s="13">
        <f ca="1"/>
      </c>
      <c r="AU72" s="13">
        <f ca="1"/>
      </c>
      <c r="AV72" s="13">
        <f ca="1"/>
      </c>
      <c r="AW72" s="13"/>
      <c r="AX72" s="13"/>
      <c r="AY72" s="13"/>
      <c r="AZ72" s="13"/>
      <c r="BA72" s="13"/>
      <c r="BB72" s="13"/>
      <c r="BC72" s="13"/>
      <c r="BD72" s="13"/>
      <c r="BI72">
        <f ca="1"/>
      </c>
      <c r="BJ72" s="11">
        <f ca="1"/>
      </c>
      <c r="BK72" s="11">
        <f ca="1"/>
      </c>
      <c r="BL72" s="11">
        <f ca="1"/>
      </c>
      <c r="BM72" s="11">
        <f ca="1"/>
      </c>
      <c r="BN72" s="11">
        <f ca="1"/>
      </c>
      <c r="LA72">
        <f ca="1"/>
      </c>
      <c r="LB72">
        <f ca="1"/>
      </c>
      <c r="LC72">
        <f ca="1"/>
      </c>
    </row>
    <row r="73" spans="6:315" x14ac:dyDescent="0.55000000000000004">
      <c r="G73" s="13">
        <f ca="1"/>
      </c>
      <c r="H73" s="13">
        <f ca="1"/>
      </c>
      <c r="I73" s="13">
        <f ca="1"/>
      </c>
      <c r="J73" s="13">
        <f ca="1"/>
      </c>
      <c r="K73" s="13">
        <f ca="1"/>
      </c>
      <c r="L73" s="13">
        <f ca="1"/>
      </c>
      <c r="M73" s="13">
        <f ca="1"/>
      </c>
      <c r="N73" s="13">
        <f ca="1"/>
      </c>
      <c r="O73" s="13">
        <f ca="1"/>
      </c>
      <c r="P73" s="13">
        <f ca="1"/>
      </c>
      <c r="Q73" s="13">
        <f ca="1"/>
      </c>
      <c r="R73" s="13">
        <f ca="1"/>
      </c>
      <c r="S73" s="13"/>
      <c r="T73" s="13"/>
      <c r="U73" s="13"/>
      <c r="V73" s="13">
        <f ca="1"/>
      </c>
      <c r="W73" s="13">
        <f ca="1"/>
      </c>
      <c r="X73" s="13">
        <f ca="1"/>
      </c>
      <c r="Y73" s="13">
        <f ca="1"/>
      </c>
      <c r="Z73" s="13">
        <f ca="1"/>
      </c>
      <c r="AA73" s="13">
        <f ca="1"/>
      </c>
      <c r="AB73" s="13">
        <f ca="1"/>
      </c>
      <c r="AC73" s="13">
        <f ca="1"/>
      </c>
      <c r="AD73" s="13">
        <f ca="1"/>
      </c>
      <c r="AE73" s="13">
        <f ca="1"/>
      </c>
      <c r="AF73" s="13">
        <f ca="1"/>
      </c>
      <c r="AG73" s="13">
        <f ca="1"/>
      </c>
      <c r="AH73" s="13"/>
      <c r="AI73" s="13"/>
      <c r="AJ73" s="13"/>
      <c r="AK73" s="13">
        <f ca="1"/>
      </c>
      <c r="AL73" s="13">
        <f ca="1"/>
      </c>
      <c r="AM73" s="13">
        <f ca="1"/>
      </c>
      <c r="AN73" s="13">
        <f ca="1"/>
      </c>
      <c r="AO73" s="13">
        <f ca="1"/>
      </c>
      <c r="AP73" s="13">
        <f ca="1"/>
      </c>
      <c r="AQ73" s="13">
        <f ca="1"/>
      </c>
      <c r="AR73" s="13">
        <f ca="1"/>
      </c>
      <c r="AS73" s="13">
        <f ca="1"/>
      </c>
      <c r="AT73" s="13">
        <f ca="1"/>
      </c>
      <c r="AU73" s="13">
        <f ca="1"/>
      </c>
      <c r="AV73" s="13">
        <f ca="1"/>
      </c>
      <c r="AW73" s="13"/>
      <c r="AX73" s="13"/>
      <c r="AY73" s="13"/>
      <c r="AZ73" s="13"/>
      <c r="BA73" s="13"/>
      <c r="BB73" s="13"/>
      <c r="BC73" s="13"/>
      <c r="BD73" s="13"/>
      <c r="BI73">
        <f ca="1"/>
      </c>
      <c r="BJ73" s="11">
        <f ca="1"/>
      </c>
      <c r="BK73" s="11">
        <f ca="1"/>
      </c>
      <c r="BL73" s="11">
        <f ca="1"/>
      </c>
      <c r="BM73" s="11">
        <f ca="1"/>
      </c>
      <c r="BN73" s="11">
        <f ca="1"/>
      </c>
      <c r="LA73">
        <f ca="1"/>
      </c>
      <c r="LB73">
        <f ca="1"/>
      </c>
      <c r="LC73">
        <f ca="1"/>
      </c>
    </row>
    <row r="74" spans="6:315" x14ac:dyDescent="0.55000000000000004">
      <c r="G74" s="13">
        <f ca="1"/>
      </c>
      <c r="H74" s="13">
        <f ca="1"/>
      </c>
      <c r="I74" s="13">
        <f ca="1"/>
      </c>
      <c r="J74" s="13">
        <f ca="1"/>
      </c>
      <c r="K74" s="13">
        <f ca="1"/>
      </c>
      <c r="L74" s="13">
        <f ca="1"/>
      </c>
      <c r="M74" s="13">
        <f ca="1"/>
      </c>
      <c r="N74" s="13">
        <f ca="1"/>
      </c>
      <c r="O74" s="13">
        <f ca="1"/>
      </c>
      <c r="P74" s="13">
        <f ca="1"/>
      </c>
      <c r="Q74" s="13">
        <f ca="1"/>
      </c>
      <c r="R74" s="13">
        <f ca="1"/>
      </c>
      <c r="S74" s="13"/>
      <c r="T74" s="13"/>
      <c r="U74" s="13"/>
      <c r="V74" s="13">
        <f ca="1"/>
      </c>
      <c r="W74" s="13">
        <f ca="1"/>
      </c>
      <c r="X74" s="13">
        <f ca="1"/>
      </c>
      <c r="Y74" s="13">
        <f ca="1"/>
      </c>
      <c r="Z74" s="13">
        <f ca="1"/>
      </c>
      <c r="AA74" s="13">
        <f ca="1"/>
      </c>
      <c r="AB74" s="13">
        <f ca="1"/>
      </c>
      <c r="AC74" s="13">
        <f ca="1"/>
      </c>
      <c r="AD74" s="13">
        <f ca="1"/>
      </c>
      <c r="AE74" s="13">
        <f ca="1"/>
      </c>
      <c r="AF74" s="13">
        <f ca="1"/>
      </c>
      <c r="AG74" s="13">
        <f ca="1"/>
      </c>
      <c r="AH74" s="13"/>
      <c r="AI74" s="13"/>
      <c r="AJ74" s="13"/>
      <c r="AK74" s="13">
        <f ca="1"/>
      </c>
      <c r="AL74" s="13">
        <f ca="1"/>
      </c>
      <c r="AM74" s="13">
        <f ca="1"/>
      </c>
      <c r="AN74" s="13">
        <f ca="1"/>
      </c>
      <c r="AO74" s="13">
        <f ca="1"/>
      </c>
      <c r="AP74" s="13">
        <f ca="1"/>
      </c>
      <c r="AQ74" s="13">
        <f ca="1"/>
      </c>
      <c r="AR74" s="13">
        <f ca="1"/>
      </c>
      <c r="AS74" s="13">
        <f ca="1"/>
      </c>
      <c r="AT74" s="13">
        <f ca="1"/>
      </c>
      <c r="AU74" s="13">
        <f ca="1"/>
      </c>
      <c r="AV74" s="13">
        <f ca="1"/>
      </c>
      <c r="AW74" s="13"/>
      <c r="AX74" s="13"/>
      <c r="AY74" s="13"/>
      <c r="AZ74" s="13"/>
      <c r="BA74" s="13"/>
      <c r="BB74" s="13"/>
      <c r="BC74" s="13"/>
      <c r="BD74" s="13"/>
      <c r="BI74">
        <f ca="1"/>
      </c>
      <c r="BJ74" s="11">
        <f ca="1"/>
      </c>
      <c r="BK74" s="11">
        <f ca="1"/>
      </c>
      <c r="BL74" s="11">
        <f ca="1"/>
      </c>
      <c r="BM74" s="11">
        <f ca="1"/>
      </c>
      <c r="BN74" s="11">
        <f ca="1"/>
      </c>
      <c r="LA74">
        <f ca="1"/>
      </c>
      <c r="LB74">
        <f ca="1"/>
      </c>
      <c r="LC74">
        <f ca="1"/>
      </c>
    </row>
    <row r="75" spans="6:315" x14ac:dyDescent="0.55000000000000004">
      <c r="G75" s="13">
        <f ca="1"/>
      </c>
      <c r="H75" s="13">
        <f ca="1"/>
      </c>
      <c r="I75" s="13">
        <f ca="1"/>
      </c>
      <c r="J75" s="13">
        <f ca="1"/>
      </c>
      <c r="K75" s="13">
        <f ca="1"/>
      </c>
      <c r="L75" s="13">
        <f ca="1"/>
      </c>
      <c r="M75" s="13">
        <f ca="1"/>
      </c>
      <c r="N75" s="13">
        <f ca="1"/>
      </c>
      <c r="O75" s="13">
        <f ca="1"/>
      </c>
      <c r="P75" s="13">
        <f ca="1"/>
      </c>
      <c r="Q75" s="13">
        <f ca="1"/>
      </c>
      <c r="R75" s="13">
        <f ca="1"/>
      </c>
      <c r="S75" s="13"/>
      <c r="T75" s="13"/>
      <c r="U75" s="13"/>
      <c r="V75" s="13">
        <f ca="1"/>
      </c>
      <c r="W75" s="13">
        <f ca="1"/>
      </c>
      <c r="X75" s="13">
        <f ca="1"/>
      </c>
      <c r="Y75" s="13">
        <f ca="1"/>
      </c>
      <c r="Z75" s="13">
        <f ca="1"/>
      </c>
      <c r="AA75" s="13">
        <f ca="1"/>
      </c>
      <c r="AB75" s="13">
        <f ca="1"/>
      </c>
      <c r="AC75" s="13">
        <f ca="1"/>
      </c>
      <c r="AD75" s="13">
        <f ca="1"/>
      </c>
      <c r="AE75" s="13">
        <f ca="1"/>
      </c>
      <c r="AF75" s="13">
        <f ca="1"/>
      </c>
      <c r="AG75" s="13">
        <f ca="1"/>
      </c>
      <c r="AH75" s="13"/>
      <c r="AI75" s="13"/>
      <c r="AJ75" s="13"/>
      <c r="AK75" s="13">
        <f ca="1"/>
      </c>
      <c r="AL75" s="13">
        <f ca="1"/>
      </c>
      <c r="AM75" s="13">
        <f ca="1"/>
      </c>
      <c r="AN75" s="13">
        <f ca="1"/>
      </c>
      <c r="AO75" s="13">
        <f ca="1"/>
      </c>
      <c r="AP75" s="13">
        <f ca="1"/>
      </c>
      <c r="AQ75" s="13">
        <f ca="1"/>
      </c>
      <c r="AR75" s="13">
        <f ca="1"/>
      </c>
      <c r="AS75" s="13">
        <f ca="1"/>
      </c>
      <c r="AT75" s="13">
        <f ca="1"/>
      </c>
      <c r="AU75" s="13">
        <f ca="1"/>
      </c>
      <c r="AV75" s="13">
        <f ca="1"/>
      </c>
      <c r="AW75" s="13"/>
      <c r="AX75" s="13"/>
      <c r="AY75" s="13"/>
      <c r="AZ75" s="13"/>
      <c r="BA75" s="13"/>
      <c r="BB75" s="13"/>
      <c r="BC75" s="13"/>
      <c r="BD75" s="13"/>
      <c r="BI75">
        <f ca="1"/>
      </c>
      <c r="BJ75" s="11">
        <f ca="1"/>
      </c>
      <c r="BK75" s="11">
        <f ca="1"/>
      </c>
      <c r="BL75" s="11">
        <f ca="1"/>
      </c>
      <c r="BM75" s="11">
        <f ca="1"/>
      </c>
      <c r="BN75" s="11">
        <f ca="1"/>
      </c>
      <c r="LA75">
        <f ca="1"/>
      </c>
      <c r="LB75">
        <f ca="1"/>
      </c>
      <c r="LC75">
        <f ca="1"/>
      </c>
    </row>
    <row r="76" spans="6:315" x14ac:dyDescent="0.55000000000000004"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I76">
        <f ca="1"/>
      </c>
      <c r="BJ76" s="11">
        <f ca="1"/>
      </c>
      <c r="BK76" s="11">
        <f ca="1"/>
      </c>
      <c r="BL76" s="11">
        <f ca="1"/>
      </c>
      <c r="BM76" s="11">
        <f ca="1"/>
      </c>
      <c r="BN76" s="11">
        <f ca="1"/>
      </c>
      <c r="LA76">
        <f ca="1"/>
      </c>
      <c r="LB76">
        <f ca="1"/>
      </c>
      <c r="LC76">
        <f ca="1"/>
      </c>
    </row>
    <row r="77" spans="6:315" x14ac:dyDescent="0.55000000000000004"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I77">
        <f ca="1"/>
      </c>
      <c r="BJ77" s="11">
        <f ca="1"/>
      </c>
      <c r="BK77" s="11">
        <f ca="1"/>
      </c>
      <c r="BL77" s="11">
        <f ca="1"/>
      </c>
      <c r="BM77" s="11">
        <f ca="1"/>
      </c>
      <c r="BN77" s="11">
        <f ca="1"/>
      </c>
      <c r="LA77">
        <f ca="1"/>
      </c>
      <c r="LB77">
        <f ca="1"/>
      </c>
      <c r="LC77">
        <f ca="1"/>
      </c>
    </row>
    <row r="78" spans="6:315" x14ac:dyDescent="0.55000000000000004"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I78">
        <f ca="1"/>
      </c>
      <c r="BJ78" s="11">
        <f ca="1"/>
      </c>
      <c r="BK78" s="11">
        <f ca="1"/>
      </c>
      <c r="BL78" s="11">
        <f ca="1"/>
      </c>
      <c r="BM78" s="11">
        <f ca="1"/>
      </c>
      <c r="BN78" s="11">
        <f ca="1"/>
      </c>
      <c r="LA78">
        <f ca="1"/>
      </c>
      <c r="LB78">
        <f ca="1"/>
      </c>
      <c r="LC78">
        <f ca="1"/>
      </c>
    </row>
    <row r="79" spans="6:315" x14ac:dyDescent="0.55000000000000004"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I79">
        <f ca="1"/>
      </c>
      <c r="BJ79" s="11">
        <f ca="1"/>
      </c>
      <c r="BK79" s="11">
        <f ca="1"/>
      </c>
      <c r="BL79" s="11">
        <f ca="1"/>
      </c>
      <c r="BM79" s="11">
        <f ca="1"/>
      </c>
      <c r="BN79" s="11">
        <f ca="1"/>
      </c>
      <c r="LA79">
        <f ca="1"/>
      </c>
      <c r="LB79">
        <f ca="1"/>
      </c>
      <c r="LC79">
        <f ca="1"/>
      </c>
    </row>
    <row r="80" spans="6:315" x14ac:dyDescent="0.55000000000000004">
      <c r="BI80">
        <f ca="1"/>
      </c>
      <c r="BJ80" s="11">
        <f ca="1"/>
      </c>
      <c r="BK80" s="11">
        <f ca="1"/>
      </c>
      <c r="BL80" s="11">
        <f ca="1"/>
      </c>
      <c r="BM80" s="11">
        <f ca="1"/>
      </c>
      <c r="BN80" s="11">
        <f ca="1"/>
      </c>
      <c r="LA80">
        <f ca="1"/>
      </c>
      <c r="LB80">
        <f ca="1"/>
      </c>
      <c r="LC80">
        <f ca="1"/>
      </c>
    </row>
    <row r="81" spans="61:315" x14ac:dyDescent="0.55000000000000004">
      <c r="BI81">
        <f ca="1"/>
      </c>
      <c r="BJ81" s="11">
        <f ca="1"/>
      </c>
      <c r="BK81" s="11">
        <f ca="1"/>
      </c>
      <c r="BL81" s="11">
        <f ca="1"/>
      </c>
      <c r="BM81" s="11">
        <f ca="1"/>
      </c>
      <c r="BN81" s="11">
        <f ca="1"/>
      </c>
      <c r="LA81">
        <f ca="1"/>
      </c>
      <c r="LB81">
        <f ca="1"/>
      </c>
      <c r="LC81">
        <f ca="1"/>
      </c>
    </row>
    <row r="82" spans="61:315" x14ac:dyDescent="0.55000000000000004">
      <c r="BI82">
        <f ca="1"/>
      </c>
      <c r="BJ82" s="11">
        <f ca="1"/>
      </c>
      <c r="BK82" s="11">
        <f ca="1"/>
      </c>
      <c r="BL82" s="11">
        <f ca="1"/>
      </c>
      <c r="BM82" s="11">
        <f ca="1"/>
      </c>
      <c r="BN82" s="11">
        <f ca="1"/>
      </c>
      <c r="LA82">
        <f ca="1"/>
      </c>
      <c r="LB82">
        <f ca="1"/>
      </c>
      <c r="LC82">
        <f ca="1"/>
      </c>
    </row>
    <row r="83" spans="61:315" x14ac:dyDescent="0.55000000000000004">
      <c r="BI83">
        <f ca="1"/>
      </c>
      <c r="BJ83" s="11">
        <f ca="1"/>
      </c>
      <c r="BK83" s="11">
        <f ca="1"/>
      </c>
      <c r="BL83" s="11">
        <f ca="1"/>
      </c>
      <c r="BM83" s="11">
        <f ca="1"/>
      </c>
      <c r="BN83" s="11">
        <f ca="1"/>
      </c>
      <c r="LA83">
        <f ca="1"/>
      </c>
      <c r="LB83">
        <f ca="1"/>
      </c>
      <c r="LC83">
        <f ca="1"/>
      </c>
    </row>
    <row r="84" spans="61:315" x14ac:dyDescent="0.55000000000000004">
      <c r="BI84">
        <f ca="1"/>
      </c>
      <c r="BJ84" s="11">
        <f ca="1"/>
      </c>
      <c r="BK84" s="11">
        <f ca="1"/>
      </c>
      <c r="BL84" s="11">
        <f ca="1"/>
      </c>
      <c r="BM84" s="11">
        <f ca="1"/>
      </c>
      <c r="BN84" s="11">
        <f ca="1"/>
      </c>
      <c r="LA84">
        <f ca="1"/>
      </c>
      <c r="LB84">
        <f ca="1"/>
      </c>
      <c r="LC84">
        <f ca="1"/>
      </c>
    </row>
    <row r="85" spans="61:315" x14ac:dyDescent="0.55000000000000004">
      <c r="BI85">
        <f ca="1"/>
      </c>
      <c r="BJ85" s="11">
        <f ca="1"/>
      </c>
      <c r="BK85" s="11">
        <f ca="1"/>
      </c>
      <c r="BL85" s="11">
        <f ca="1"/>
      </c>
      <c r="BM85" s="11">
        <f ca="1"/>
      </c>
      <c r="BN85" s="11">
        <f ca="1"/>
      </c>
      <c r="LA85">
        <f ca="1"/>
      </c>
      <c r="LB85">
        <f ca="1"/>
      </c>
      <c r="LC85">
        <f ca="1"/>
      </c>
    </row>
    <row r="86" spans="61:315" x14ac:dyDescent="0.55000000000000004">
      <c r="BI86">
        <f ca="1"/>
      </c>
      <c r="BJ86" s="11">
        <f ca="1"/>
      </c>
      <c r="BK86" s="11">
        <f ca="1"/>
      </c>
      <c r="BL86" s="11">
        <f ca="1"/>
      </c>
      <c r="BM86" s="11">
        <f ca="1"/>
      </c>
      <c r="BN86" s="11">
        <f ca="1"/>
      </c>
      <c r="LA86">
        <f ca="1"/>
      </c>
      <c r="LB86">
        <f ca="1"/>
      </c>
      <c r="LC86">
        <f ca="1"/>
      </c>
    </row>
    <row r="87" spans="61:315" x14ac:dyDescent="0.55000000000000004">
      <c r="BI87">
        <f ca="1"/>
      </c>
      <c r="BJ87" s="11">
        <f ca="1"/>
      </c>
      <c r="BK87" s="11">
        <f ca="1"/>
      </c>
      <c r="BL87" s="11">
        <f ca="1"/>
      </c>
      <c r="BM87" s="11">
        <f ca="1"/>
      </c>
      <c r="BN87" s="11">
        <f ca="1"/>
      </c>
      <c r="LA87">
        <f ca="1"/>
      </c>
      <c r="LB87">
        <f ca="1"/>
      </c>
      <c r="LC87">
        <f ca="1"/>
      </c>
    </row>
    <row r="88" spans="61:315" x14ac:dyDescent="0.55000000000000004">
      <c r="BI88">
        <f ca="1"/>
      </c>
      <c r="BJ88" s="11">
        <f ca="1"/>
      </c>
      <c r="BK88" s="11">
        <f ca="1"/>
      </c>
      <c r="BL88" s="11">
        <f ca="1"/>
      </c>
      <c r="BM88" s="11">
        <f ca="1"/>
      </c>
      <c r="BN88" s="11">
        <f ca="1"/>
      </c>
      <c r="LA88">
        <f ca="1"/>
      </c>
      <c r="LB88">
        <f ca="1"/>
      </c>
      <c r="LC88">
        <f ca="1"/>
      </c>
    </row>
    <row r="89" spans="61:315" x14ac:dyDescent="0.55000000000000004">
      <c r="BI89">
        <f ca="1"/>
      </c>
      <c r="BJ89" s="11">
        <f ca="1"/>
      </c>
      <c r="BK89" s="11">
        <f ca="1"/>
      </c>
      <c r="BL89" s="11">
        <f ca="1"/>
      </c>
      <c r="BM89" s="11">
        <f ca="1"/>
      </c>
      <c r="BN89" s="11">
        <f ca="1"/>
      </c>
      <c r="LA89">
        <f ca="1"/>
      </c>
      <c r="LB89">
        <f ca="1"/>
      </c>
      <c r="LC89">
        <f ca="1"/>
      </c>
    </row>
    <row r="90" spans="61:315" x14ac:dyDescent="0.55000000000000004">
      <c r="BI90">
        <f ca="1"/>
      </c>
      <c r="BJ90" s="11">
        <f ca="1"/>
      </c>
      <c r="BK90" s="11">
        <f ca="1"/>
      </c>
      <c r="BL90" s="11">
        <f ca="1"/>
      </c>
      <c r="BM90" s="11">
        <f ca="1"/>
      </c>
      <c r="BN90" s="11">
        <f ca="1"/>
      </c>
      <c r="LA90">
        <f ca="1"/>
      </c>
      <c r="LB90">
        <f ca="1"/>
      </c>
      <c r="LC90">
        <f ca="1"/>
      </c>
    </row>
    <row r="91" spans="61:315" x14ac:dyDescent="0.55000000000000004">
      <c r="BI91">
        <f ca="1"/>
      </c>
      <c r="BJ91" s="11">
        <f ca="1"/>
      </c>
      <c r="BK91" s="11">
        <f ca="1"/>
      </c>
      <c r="BL91" s="11">
        <f ca="1"/>
      </c>
      <c r="BM91" s="11">
        <f ca="1"/>
      </c>
      <c r="BN91" s="11">
        <f ca="1"/>
      </c>
      <c r="LA91">
        <f ca="1"/>
      </c>
      <c r="LB91">
        <f ca="1"/>
      </c>
      <c r="LC91">
        <f ca="1"/>
      </c>
    </row>
    <row r="92" spans="61:315" x14ac:dyDescent="0.55000000000000004">
      <c r="BI92">
        <f ca="1"/>
      </c>
      <c r="BJ92" s="11">
        <f ca="1"/>
      </c>
      <c r="BK92" s="11">
        <f ca="1"/>
      </c>
      <c r="BL92" s="11">
        <f ca="1"/>
      </c>
      <c r="BM92" s="11">
        <f ca="1"/>
      </c>
      <c r="BN92" s="11">
        <f ca="1"/>
      </c>
      <c r="LA92">
        <f ca="1"/>
      </c>
      <c r="LB92">
        <f ca="1"/>
      </c>
      <c r="LC92">
        <f ca="1"/>
      </c>
    </row>
    <row r="93" spans="61:315" x14ac:dyDescent="0.55000000000000004">
      <c r="BI93">
        <f ca="1"/>
      </c>
      <c r="BJ93" s="11">
        <f ca="1"/>
      </c>
      <c r="BK93" s="11">
        <f ca="1"/>
      </c>
      <c r="BL93" s="11">
        <f ca="1"/>
      </c>
      <c r="BM93" s="11">
        <f ca="1"/>
      </c>
      <c r="BN93" s="11">
        <f ca="1"/>
      </c>
      <c r="LA93">
        <f ca="1"/>
      </c>
      <c r="LB93">
        <f ca="1"/>
      </c>
      <c r="LC93">
        <f ca="1"/>
      </c>
    </row>
    <row r="94" spans="61:315" x14ac:dyDescent="0.55000000000000004">
      <c r="BI94">
        <f ca="1"/>
      </c>
      <c r="BJ94" s="11">
        <f ca="1"/>
      </c>
      <c r="BK94" s="11">
        <f ca="1"/>
      </c>
      <c r="BL94" s="11">
        <f ca="1"/>
      </c>
      <c r="BM94" s="11">
        <f ca="1"/>
      </c>
      <c r="BN94" s="11">
        <f ca="1"/>
      </c>
      <c r="LA94">
        <f ca="1"/>
      </c>
      <c r="LB94">
        <f ca="1"/>
      </c>
      <c r="LC94">
        <f ca="1"/>
      </c>
    </row>
    <row r="95" spans="61:315" x14ac:dyDescent="0.55000000000000004">
      <c r="BI95">
        <f ca="1"/>
      </c>
      <c r="BJ95" s="11">
        <f ca="1"/>
      </c>
      <c r="BK95" s="11">
        <f ca="1"/>
      </c>
      <c r="BL95" s="11">
        <f ca="1"/>
      </c>
      <c r="BM95" s="11">
        <f ca="1"/>
      </c>
      <c r="BN95" s="11">
        <f ca="1"/>
      </c>
      <c r="LA95">
        <f ca="1"/>
      </c>
      <c r="LB95">
        <f ca="1"/>
      </c>
      <c r="LC95">
        <f ca="1"/>
      </c>
    </row>
    <row r="96" spans="61:315" x14ac:dyDescent="0.55000000000000004">
      <c r="BI96">
        <f ca="1"/>
      </c>
      <c r="BJ96" s="11">
        <f ca="1"/>
      </c>
      <c r="BK96" s="11">
        <f ca="1"/>
      </c>
      <c r="BL96" s="11">
        <f ca="1"/>
      </c>
      <c r="BM96" s="11">
        <f ca="1"/>
      </c>
      <c r="BN96" s="11">
        <f ca="1"/>
      </c>
      <c r="LA96">
        <f ca="1"/>
      </c>
      <c r="LB96">
        <f ca="1"/>
      </c>
      <c r="LC96">
        <f ca="1"/>
      </c>
    </row>
    <row r="97" spans="61:315" x14ac:dyDescent="0.55000000000000004">
      <c r="BI97">
        <f ca="1"/>
      </c>
      <c r="BJ97" s="11">
        <f ca="1"/>
      </c>
      <c r="BK97" s="11">
        <f ca="1"/>
      </c>
      <c r="BL97" s="11">
        <f ca="1"/>
      </c>
      <c r="BM97" s="11">
        <f ca="1"/>
      </c>
      <c r="BN97" s="11">
        <f ca="1"/>
      </c>
      <c r="LA97">
        <f ca="1"/>
      </c>
      <c r="LB97">
        <f ca="1"/>
      </c>
      <c r="LC97">
        <f ca="1"/>
      </c>
    </row>
    <row r="98" spans="61:315" x14ac:dyDescent="0.55000000000000004">
      <c r="BI98">
        <f ca="1"/>
      </c>
      <c r="BJ98" s="11">
        <f ca="1"/>
      </c>
      <c r="BK98" s="11">
        <f ca="1"/>
      </c>
      <c r="BL98" s="11">
        <f ca="1"/>
      </c>
      <c r="BM98" s="11">
        <f ca="1"/>
      </c>
      <c r="BN98" s="11">
        <f ca="1"/>
      </c>
      <c r="LA98">
        <f ca="1"/>
      </c>
      <c r="LB98">
        <f ca="1"/>
      </c>
      <c r="LC98">
        <f ca="1"/>
      </c>
    </row>
    <row r="99" spans="61:315" x14ac:dyDescent="0.55000000000000004">
      <c r="BI99">
        <f ca="1"/>
      </c>
      <c r="BJ99" s="11">
        <f ca="1"/>
      </c>
      <c r="BK99" s="11">
        <f ca="1"/>
      </c>
      <c r="BL99" s="11">
        <f ca="1"/>
      </c>
      <c r="BM99" s="11">
        <f ca="1"/>
      </c>
      <c r="BN99" s="11">
        <f ca="1"/>
      </c>
      <c r="LA99">
        <f ca="1"/>
      </c>
      <c r="LB99">
        <f ca="1"/>
      </c>
      <c r="LC99">
        <f ca="1"/>
      </c>
    </row>
    <row r="100" spans="61:315" x14ac:dyDescent="0.55000000000000004">
      <c r="BI100">
        <f ca="1"/>
      </c>
      <c r="BJ100" s="11">
        <f ca="1"/>
      </c>
      <c r="BK100" s="11">
        <f ca="1"/>
      </c>
      <c r="BL100" s="11">
        <f ca="1"/>
      </c>
      <c r="BM100" s="11">
        <f ca="1"/>
      </c>
      <c r="BN100" s="11">
        <f ca="1"/>
      </c>
      <c r="LA100">
        <f ca="1"/>
      </c>
      <c r="LB100">
        <f ca="1"/>
      </c>
      <c r="LC100">
        <f ca="1"/>
      </c>
    </row>
    <row r="101" spans="61:315" x14ac:dyDescent="0.55000000000000004">
      <c r="BI101">
        <f ca="1"/>
      </c>
      <c r="BJ101" s="11">
        <f ca="1"/>
      </c>
      <c r="BK101" s="11">
        <f ca="1"/>
      </c>
      <c r="BL101" s="11">
        <f ca="1"/>
      </c>
      <c r="BM101" s="11">
        <f ca="1"/>
      </c>
      <c r="BN101" s="11">
        <f ca="1"/>
      </c>
      <c r="LA101">
        <f ca="1"/>
      </c>
      <c r="LB101">
        <f ca="1"/>
      </c>
      <c r="LC101">
        <f ca="1"/>
      </c>
    </row>
    <row r="102" spans="61:315" x14ac:dyDescent="0.55000000000000004">
      <c r="BI102">
        <f ca="1"/>
      </c>
      <c r="BJ102" s="11">
        <f ca="1"/>
      </c>
      <c r="BK102" s="11">
        <f ca="1"/>
      </c>
      <c r="BL102" s="11">
        <f ca="1"/>
      </c>
      <c r="BM102" s="11">
        <f ca="1"/>
      </c>
      <c r="BN102" s="11">
        <f ca="1"/>
      </c>
      <c r="LA102">
        <f ca="1"/>
      </c>
      <c r="LB102">
        <f ca="1"/>
      </c>
      <c r="LC102">
        <f ca="1"/>
      </c>
    </row>
    <row r="103" spans="61:315" x14ac:dyDescent="0.55000000000000004">
      <c r="BI103">
        <f ca="1"/>
      </c>
      <c r="BJ103" s="11">
        <f ca="1"/>
      </c>
      <c r="BK103" s="11">
        <f ca="1"/>
      </c>
      <c r="BL103" s="11">
        <f ca="1"/>
      </c>
      <c r="BM103" s="11">
        <f ca="1"/>
      </c>
      <c r="BN103" s="11">
        <f ca="1"/>
      </c>
      <c r="LA103">
        <f ca="1"/>
      </c>
      <c r="LB103">
        <f ca="1"/>
      </c>
      <c r="LC103">
        <f ca="1"/>
      </c>
    </row>
    <row r="104" spans="61:315" x14ac:dyDescent="0.55000000000000004">
      <c r="BI104">
        <f ca="1"/>
      </c>
      <c r="BJ104" s="11">
        <f ca="1"/>
      </c>
      <c r="BK104" s="11">
        <f ca="1"/>
      </c>
      <c r="BL104" s="11">
        <f ca="1"/>
      </c>
      <c r="BM104" s="11">
        <f ca="1"/>
      </c>
      <c r="BN104" s="11">
        <f ca="1"/>
      </c>
      <c r="LA104">
        <f ca="1"/>
      </c>
      <c r="LB104">
        <f ca="1"/>
      </c>
      <c r="LC104">
        <f ca="1"/>
      </c>
    </row>
    <row r="105" spans="61:315" x14ac:dyDescent="0.55000000000000004">
      <c r="BI105">
        <f ca="1"/>
      </c>
      <c r="BJ105" s="11">
        <f ca="1"/>
      </c>
      <c r="BK105" s="11">
        <f ca="1"/>
      </c>
      <c r="BL105" s="11">
        <f ca="1"/>
      </c>
      <c r="BM105" s="11">
        <f ca="1"/>
      </c>
      <c r="BN105" s="11">
        <f ca="1"/>
      </c>
      <c r="LA105">
        <f ca="1"/>
      </c>
      <c r="LB105">
        <f ca="1"/>
      </c>
      <c r="LC105">
        <f ca="1"/>
      </c>
    </row>
    <row r="106" spans="61:315" x14ac:dyDescent="0.55000000000000004">
      <c r="BI106">
        <f ca="1"/>
      </c>
      <c r="BJ106" s="11">
        <f ca="1"/>
      </c>
      <c r="BK106" s="11">
        <f ca="1"/>
      </c>
      <c r="BL106" s="11">
        <f ca="1"/>
      </c>
      <c r="BM106" s="11">
        <f ca="1"/>
      </c>
      <c r="BN106" s="11">
        <f ca="1"/>
      </c>
      <c r="LA106">
        <f ca="1"/>
      </c>
      <c r="LB106">
        <f ca="1"/>
      </c>
      <c r="LC106">
        <f ca="1"/>
      </c>
    </row>
    <row r="107" spans="61:315" x14ac:dyDescent="0.55000000000000004">
      <c r="BI107">
        <f ca="1"/>
      </c>
      <c r="BJ107" s="11">
        <f ca="1"/>
      </c>
      <c r="BK107" s="11">
        <f ca="1"/>
      </c>
      <c r="BL107" s="11">
        <f ca="1"/>
      </c>
      <c r="BM107" s="11">
        <f ca="1"/>
      </c>
      <c r="BN107" s="11">
        <f ca="1"/>
      </c>
      <c r="LA107">
        <f ca="1"/>
      </c>
      <c r="LB107">
        <f ca="1"/>
      </c>
      <c r="LC107">
        <f ca="1"/>
      </c>
    </row>
    <row r="108" spans="61:315" x14ac:dyDescent="0.55000000000000004">
      <c r="BI108">
        <f ca="1"/>
      </c>
      <c r="BJ108" s="11">
        <f ca="1"/>
      </c>
      <c r="BK108" s="11">
        <f ca="1"/>
      </c>
      <c r="BL108" s="11">
        <f ca="1"/>
      </c>
      <c r="BM108" s="11">
        <f ca="1"/>
      </c>
      <c r="BN108" s="11">
        <f ca="1"/>
      </c>
      <c r="LA108">
        <f ca="1"/>
      </c>
      <c r="LB108">
        <f ca="1"/>
      </c>
      <c r="LC108">
        <f ca="1"/>
      </c>
    </row>
    <row r="109" spans="61:315" x14ac:dyDescent="0.55000000000000004">
      <c r="BI109">
        <f ca="1"/>
      </c>
      <c r="BJ109" s="11">
        <f ca="1"/>
      </c>
      <c r="BK109" s="11">
        <f ca="1"/>
      </c>
      <c r="BL109" s="11">
        <f ca="1"/>
      </c>
      <c r="BM109" s="11">
        <f ca="1"/>
      </c>
      <c r="BN109" s="11">
        <f ca="1"/>
      </c>
      <c r="LA109">
        <f ca="1"/>
      </c>
      <c r="LB109">
        <f ca="1"/>
      </c>
      <c r="LC109">
        <f ca="1"/>
      </c>
    </row>
    <row r="110" spans="61:315" x14ac:dyDescent="0.55000000000000004">
      <c r="BI110">
        <f ca="1"/>
      </c>
      <c r="BJ110" s="11">
        <f ca="1"/>
      </c>
      <c r="BK110" s="11">
        <f ca="1"/>
      </c>
      <c r="BL110" s="11">
        <f ca="1"/>
      </c>
      <c r="BM110" s="11">
        <f ca="1"/>
      </c>
      <c r="BN110" s="11">
        <f ca="1"/>
      </c>
      <c r="LA110">
        <f ca="1"/>
      </c>
      <c r="LB110">
        <f ca="1"/>
      </c>
      <c r="LC110">
        <f ca="1"/>
      </c>
    </row>
    <row r="111" spans="61:315" x14ac:dyDescent="0.55000000000000004">
      <c r="BI111">
        <f ca="1"/>
      </c>
      <c r="BJ111" s="11">
        <f ca="1"/>
      </c>
      <c r="BK111" s="11">
        <f ca="1"/>
      </c>
      <c r="BL111" s="11">
        <f ca="1"/>
      </c>
      <c r="BM111" s="11">
        <f ca="1"/>
      </c>
      <c r="BN111" s="11">
        <f ca="1"/>
      </c>
      <c r="LA111">
        <f ca="1"/>
      </c>
      <c r="LB111">
        <f ca="1"/>
      </c>
      <c r="LC111">
        <f ca="1"/>
      </c>
    </row>
    <row r="112" spans="61:315" x14ac:dyDescent="0.55000000000000004">
      <c r="BI112">
        <f ca="1"/>
      </c>
      <c r="BJ112" s="11">
        <f ca="1"/>
      </c>
      <c r="BK112" s="11">
        <f ca="1"/>
      </c>
      <c r="BL112" s="11">
        <f ca="1"/>
      </c>
      <c r="BM112" s="11">
        <f ca="1"/>
      </c>
      <c r="BN112" s="11">
        <f ca="1"/>
      </c>
      <c r="LA112">
        <f ca="1"/>
      </c>
      <c r="LB112">
        <f ca="1"/>
      </c>
      <c r="LC112">
        <f ca="1"/>
      </c>
    </row>
    <row r="113" spans="61:315" x14ac:dyDescent="0.55000000000000004">
      <c r="BI113">
        <f ca="1"/>
      </c>
      <c r="BJ113" s="11">
        <f ca="1"/>
      </c>
      <c r="BK113" s="11">
        <f ca="1"/>
      </c>
      <c r="BL113" s="11">
        <f ca="1"/>
      </c>
      <c r="BM113" s="11">
        <f ca="1"/>
      </c>
      <c r="BN113" s="11">
        <f ca="1"/>
      </c>
      <c r="LA113">
        <f ca="1"/>
      </c>
      <c r="LB113">
        <f ca="1"/>
      </c>
      <c r="LC113">
        <f ca="1"/>
      </c>
    </row>
    <row r="114" spans="61:315" x14ac:dyDescent="0.55000000000000004">
      <c r="BI114">
        <f ca="1"/>
      </c>
      <c r="BJ114" s="11">
        <f ca="1"/>
      </c>
      <c r="BK114" s="11">
        <f ca="1"/>
      </c>
      <c r="BL114" s="11">
        <f ca="1"/>
      </c>
      <c r="BM114" s="11">
        <f ca="1"/>
      </c>
      <c r="BN114" s="11">
        <f ca="1"/>
      </c>
      <c r="LA114">
        <f ca="1"/>
      </c>
      <c r="LB114">
        <f ca="1"/>
      </c>
      <c r="LC114">
        <f ca="1"/>
      </c>
    </row>
    <row r="115" spans="61:315" x14ac:dyDescent="0.55000000000000004">
      <c r="BI115">
        <f ca="1"/>
      </c>
      <c r="BJ115" s="11">
        <f ca="1"/>
      </c>
      <c r="BK115" s="11">
        <f ca="1"/>
      </c>
      <c r="BL115" s="11">
        <f ca="1"/>
      </c>
      <c r="BM115" s="11">
        <f ca="1"/>
      </c>
      <c r="BN115" s="11">
        <f ca="1"/>
      </c>
      <c r="LA115">
        <f ca="1"/>
      </c>
      <c r="LB115">
        <f ca="1"/>
      </c>
      <c r="LC115">
        <f ca="1"/>
      </c>
    </row>
    <row r="116" spans="61:315" x14ac:dyDescent="0.55000000000000004">
      <c r="BI116">
        <f ca="1"/>
      </c>
      <c r="BJ116" s="11">
        <f ca="1"/>
      </c>
      <c r="BK116" s="11">
        <f ca="1"/>
      </c>
      <c r="BL116" s="11">
        <f ca="1"/>
      </c>
      <c r="BM116" s="11">
        <f ca="1"/>
      </c>
      <c r="BN116" s="11">
        <f ca="1"/>
      </c>
      <c r="LA116">
        <f ca="1"/>
      </c>
      <c r="LB116">
        <f ca="1"/>
      </c>
      <c r="LC116">
        <f ca="1"/>
      </c>
    </row>
    <row r="117" spans="61:315" x14ac:dyDescent="0.55000000000000004">
      <c r="BI117">
        <f ca="1"/>
      </c>
      <c r="BJ117" s="11">
        <f ca="1"/>
      </c>
      <c r="BK117" s="11">
        <f ca="1"/>
      </c>
      <c r="BL117" s="11">
        <f ca="1"/>
      </c>
      <c r="BM117" s="11">
        <f ca="1"/>
      </c>
      <c r="BN117" s="11">
        <f ca="1"/>
      </c>
      <c r="LA117">
        <f ca="1"/>
      </c>
      <c r="LB117">
        <f ca="1"/>
      </c>
      <c r="LC117">
        <f ca="1"/>
      </c>
    </row>
    <row r="118" spans="61:315" x14ac:dyDescent="0.55000000000000004">
      <c r="BI118">
        <f ca="1"/>
      </c>
      <c r="BJ118" s="11">
        <f ca="1"/>
      </c>
      <c r="BK118" s="11">
        <f ca="1"/>
      </c>
      <c r="BL118" s="11">
        <f ca="1"/>
      </c>
      <c r="BM118" s="11">
        <f ca="1"/>
      </c>
      <c r="BN118" s="11">
        <f ca="1"/>
      </c>
      <c r="LA118">
        <f ca="1"/>
      </c>
      <c r="LB118">
        <f ca="1"/>
      </c>
      <c r="LC118">
        <f ca="1"/>
      </c>
    </row>
    <row r="119" spans="61:315" x14ac:dyDescent="0.55000000000000004">
      <c r="BI119">
        <f ca="1"/>
      </c>
      <c r="BJ119" s="11">
        <f ca="1"/>
      </c>
      <c r="BK119" s="11">
        <f ca="1"/>
      </c>
      <c r="BL119" s="11">
        <f ca="1"/>
      </c>
      <c r="BM119" s="11">
        <f ca="1"/>
      </c>
      <c r="BN119" s="11">
        <f ca="1"/>
      </c>
      <c r="LA119">
        <f ca="1"/>
      </c>
      <c r="LB119">
        <f ca="1"/>
      </c>
      <c r="LC119">
        <f ca="1"/>
      </c>
    </row>
    <row r="120" spans="61:315" x14ac:dyDescent="0.55000000000000004">
      <c r="BI120">
        <f ca="1"/>
      </c>
      <c r="BJ120" s="11">
        <f ca="1"/>
      </c>
      <c r="BK120" s="11">
        <f ca="1"/>
      </c>
      <c r="BL120" s="11">
        <f ca="1"/>
      </c>
      <c r="BM120" s="11">
        <f ca="1"/>
      </c>
      <c r="BN120" s="11">
        <f ca="1"/>
      </c>
      <c r="LA120">
        <f ca="1"/>
      </c>
      <c r="LB120">
        <f ca="1"/>
      </c>
      <c r="LC120">
        <f ca="1"/>
      </c>
    </row>
    <row r="121" spans="61:315" x14ac:dyDescent="0.55000000000000004">
      <c r="BI121">
        <f ca="1"/>
      </c>
      <c r="BJ121" s="11">
        <f ca="1"/>
      </c>
      <c r="BK121" s="11">
        <f ca="1"/>
      </c>
      <c r="BL121" s="11">
        <f ca="1"/>
      </c>
      <c r="BM121" s="11">
        <f ca="1"/>
      </c>
      <c r="BN121" s="11">
        <f ca="1"/>
      </c>
      <c r="LA121">
        <f ca="1"/>
      </c>
      <c r="LB121">
        <f ca="1"/>
      </c>
      <c r="LC121">
        <f ca="1"/>
      </c>
    </row>
    <row r="122" spans="61:315" x14ac:dyDescent="0.55000000000000004">
      <c r="BI122">
        <f ca="1"/>
      </c>
      <c r="BJ122" s="11">
        <f ca="1"/>
      </c>
      <c r="BK122" s="11">
        <f ca="1"/>
      </c>
      <c r="BL122" s="11">
        <f ca="1"/>
      </c>
      <c r="BM122" s="11">
        <f ca="1"/>
      </c>
      <c r="BN122" s="11">
        <f ca="1"/>
      </c>
      <c r="LA122">
        <f ca="1"/>
      </c>
      <c r="LB122">
        <f ca="1"/>
      </c>
      <c r="LC122">
        <f ca="1"/>
      </c>
    </row>
    <row r="123" spans="61:315" x14ac:dyDescent="0.55000000000000004">
      <c r="BI123">
        <f ca="1"/>
      </c>
      <c r="BJ123" s="11">
        <f ca="1"/>
      </c>
      <c r="BK123" s="11">
        <f ca="1"/>
      </c>
      <c r="BL123" s="11">
        <f ca="1"/>
      </c>
      <c r="BM123" s="11">
        <f ca="1"/>
      </c>
      <c r="BN123" s="11">
        <f ca="1"/>
      </c>
      <c r="LA123">
        <f ca="1"/>
      </c>
      <c r="LB123">
        <f ca="1"/>
      </c>
      <c r="LC123">
        <f ca="1"/>
      </c>
    </row>
    <row r="124" spans="61:315" x14ac:dyDescent="0.55000000000000004">
      <c r="BI124">
        <f ca="1"/>
      </c>
      <c r="BJ124" s="11">
        <f ca="1"/>
      </c>
      <c r="BK124" s="11">
        <f ca="1"/>
      </c>
      <c r="BL124" s="11">
        <f ca="1"/>
      </c>
      <c r="BM124" s="11">
        <f ca="1"/>
      </c>
      <c r="BN124" s="11">
        <f ca="1"/>
      </c>
      <c r="LA124">
        <f ca="1"/>
      </c>
      <c r="LB124">
        <f ca="1"/>
      </c>
      <c r="LC124">
        <f ca="1"/>
      </c>
    </row>
    <row r="125" spans="61:315" x14ac:dyDescent="0.55000000000000004">
      <c r="BI125">
        <f ca="1"/>
      </c>
      <c r="BJ125" s="11">
        <f ca="1"/>
      </c>
      <c r="BK125" s="11">
        <f ca="1"/>
      </c>
      <c r="BL125" s="11">
        <f ca="1"/>
      </c>
      <c r="BM125" s="11">
        <f ca="1"/>
      </c>
      <c r="BN125" s="11">
        <f ca="1"/>
      </c>
      <c r="LA125">
        <f ca="1"/>
      </c>
      <c r="LB125">
        <f ca="1"/>
      </c>
      <c r="LC125">
        <f ca="1"/>
      </c>
    </row>
    <row r="126" spans="61:315" x14ac:dyDescent="0.55000000000000004">
      <c r="BI126">
        <f ca="1"/>
      </c>
      <c r="BJ126" s="11">
        <f ca="1"/>
      </c>
      <c r="BK126" s="11">
        <f ca="1"/>
      </c>
      <c r="BL126" s="11">
        <f ca="1"/>
      </c>
      <c r="BM126" s="11">
        <f ca="1"/>
      </c>
      <c r="BN126" s="11">
        <f ca="1"/>
      </c>
      <c r="LA126">
        <f ca="1"/>
      </c>
      <c r="LB126">
        <f ca="1"/>
      </c>
      <c r="LC126">
        <f ca="1"/>
      </c>
    </row>
    <row r="127" spans="61:315" x14ac:dyDescent="0.55000000000000004">
      <c r="BI127">
        <f ca="1"/>
      </c>
      <c r="BJ127" s="11">
        <f ca="1"/>
      </c>
      <c r="BK127" s="11">
        <f ca="1"/>
      </c>
      <c r="BL127" s="11">
        <f ca="1"/>
      </c>
      <c r="BM127" s="11">
        <f ca="1"/>
      </c>
      <c r="BN127" s="11">
        <f ca="1"/>
      </c>
      <c r="LA127">
        <f ca="1"/>
      </c>
      <c r="LB127">
        <f ca="1"/>
      </c>
      <c r="LC127">
        <f ca="1"/>
      </c>
    </row>
    <row r="128" spans="61:315" x14ac:dyDescent="0.55000000000000004">
      <c r="BI128">
        <f ca="1"/>
      </c>
      <c r="BJ128" s="11">
        <f ca="1"/>
      </c>
      <c r="BK128" s="11">
        <f ca="1"/>
      </c>
      <c r="BL128" s="11">
        <f ca="1"/>
      </c>
      <c r="BM128" s="11">
        <f ca="1"/>
      </c>
      <c r="BN128" s="11">
        <f ca="1"/>
      </c>
      <c r="LA128">
        <f ca="1"/>
      </c>
      <c r="LB128">
        <f ca="1"/>
      </c>
      <c r="LC128">
        <f ca="1"/>
      </c>
    </row>
    <row r="129" spans="61:315" x14ac:dyDescent="0.55000000000000004">
      <c r="BI129">
        <f ca="1"/>
      </c>
      <c r="BJ129" s="11">
        <f ca="1"/>
      </c>
      <c r="BK129" s="11">
        <f ca="1"/>
      </c>
      <c r="BL129" s="11">
        <f ca="1"/>
      </c>
      <c r="BM129" s="11">
        <f ca="1"/>
      </c>
      <c r="BN129" s="11">
        <f ca="1"/>
      </c>
      <c r="LA129">
        <f ca="1"/>
      </c>
      <c r="LB129">
        <f ca="1"/>
      </c>
      <c r="LC129">
        <f ca="1"/>
      </c>
    </row>
    <row r="130" spans="61:315" x14ac:dyDescent="0.55000000000000004">
      <c r="BI130">
        <f ca="1"/>
      </c>
      <c r="BJ130" s="11">
        <f ca="1"/>
      </c>
      <c r="BK130" s="11">
        <f ca="1"/>
      </c>
      <c r="BL130" s="11">
        <f ca="1"/>
      </c>
      <c r="BM130" s="11">
        <f ca="1"/>
      </c>
      <c r="BN130" s="11">
        <f ca="1"/>
      </c>
      <c r="LA130">
        <f ca="1"/>
      </c>
      <c r="LB130">
        <f ca="1"/>
      </c>
      <c r="LC130">
        <f ca="1"/>
      </c>
    </row>
    <row r="131" spans="61:315" x14ac:dyDescent="0.55000000000000004">
      <c r="BI131">
        <f ca="1"/>
      </c>
      <c r="BJ131" s="11">
        <f ca="1"/>
      </c>
      <c r="BK131" s="11">
        <f ca="1"/>
      </c>
      <c r="BL131" s="11">
        <f ca="1"/>
      </c>
      <c r="BM131" s="11">
        <f ca="1"/>
      </c>
      <c r="BN131" s="11">
        <f ca="1"/>
      </c>
      <c r="LA131">
        <f ca="1"/>
      </c>
      <c r="LB131">
        <f ca="1"/>
      </c>
      <c r="LC131">
        <f ca="1"/>
      </c>
    </row>
    <row r="132" spans="61:315" x14ac:dyDescent="0.55000000000000004">
      <c r="BI132">
        <f ca="1"/>
      </c>
      <c r="BJ132" s="11">
        <f ca="1"/>
      </c>
      <c r="BK132" s="11">
        <f ca="1"/>
      </c>
      <c r="BL132" s="11">
        <f ca="1"/>
      </c>
      <c r="BM132" s="11">
        <f ca="1"/>
      </c>
      <c r="BN132" s="11">
        <f ca="1"/>
      </c>
      <c r="LA132">
        <f ca="1"/>
      </c>
      <c r="LB132">
        <f ca="1"/>
      </c>
      <c r="LC132">
        <f ca="1"/>
      </c>
    </row>
    <row r="133" spans="61:315" x14ac:dyDescent="0.55000000000000004">
      <c r="BI133">
        <f ca="1"/>
      </c>
      <c r="BJ133" s="11">
        <f ca="1"/>
      </c>
      <c r="BK133" s="11">
        <f ca="1"/>
      </c>
      <c r="BL133" s="11">
        <f ca="1"/>
      </c>
      <c r="BM133" s="11">
        <f ca="1"/>
      </c>
      <c r="BN133" s="11">
        <f ca="1"/>
      </c>
      <c r="LA133">
        <f ca="1"/>
      </c>
      <c r="LB133">
        <f ca="1"/>
      </c>
      <c r="LC133">
        <f ca="1"/>
      </c>
    </row>
    <row r="134" spans="61:315" x14ac:dyDescent="0.55000000000000004">
      <c r="BI134">
        <f ca="1"/>
      </c>
      <c r="BJ134" s="11">
        <f ca="1"/>
      </c>
      <c r="BK134" s="11">
        <f ca="1"/>
      </c>
      <c r="BL134" s="11">
        <f ca="1"/>
      </c>
      <c r="BM134" s="11">
        <f ca="1"/>
      </c>
      <c r="BN134" s="11">
        <f ca="1"/>
      </c>
      <c r="LA134">
        <f ca="1"/>
      </c>
      <c r="LB134">
        <f ca="1"/>
      </c>
      <c r="LC134">
        <f ca="1"/>
      </c>
    </row>
    <row r="135" spans="61:315" x14ac:dyDescent="0.55000000000000004">
      <c r="BI135">
        <f ca="1"/>
      </c>
      <c r="BJ135" s="11">
        <f ca="1"/>
      </c>
      <c r="BK135" s="11">
        <f ca="1"/>
      </c>
      <c r="BL135" s="11">
        <f ca="1"/>
      </c>
      <c r="BM135" s="11">
        <f ca="1"/>
      </c>
      <c r="BN135" s="11">
        <f ca="1"/>
      </c>
      <c r="LA135">
        <f ca="1"/>
      </c>
      <c r="LB135">
        <f ca="1"/>
      </c>
      <c r="LC135">
        <f ca="1"/>
      </c>
    </row>
    <row r="136" spans="61:315" x14ac:dyDescent="0.55000000000000004">
      <c r="BI136">
        <f ca="1"/>
      </c>
      <c r="BJ136" s="11">
        <f ca="1"/>
      </c>
      <c r="BK136" s="11">
        <f ca="1"/>
      </c>
      <c r="BL136" s="11">
        <f ca="1"/>
      </c>
      <c r="BM136" s="11">
        <f ca="1"/>
      </c>
      <c r="BN136" s="11">
        <f ca="1"/>
      </c>
      <c r="LA136">
        <f ca="1"/>
      </c>
      <c r="LB136">
        <f ca="1"/>
      </c>
      <c r="LC136">
        <f ca="1"/>
      </c>
    </row>
    <row r="137" spans="61:315" x14ac:dyDescent="0.55000000000000004">
      <c r="BI137">
        <f ca="1"/>
      </c>
      <c r="BJ137" s="11">
        <f ca="1"/>
      </c>
      <c r="BK137" s="11">
        <f ca="1"/>
      </c>
      <c r="BL137" s="11">
        <f ca="1"/>
      </c>
      <c r="BM137" s="11">
        <f ca="1"/>
      </c>
      <c r="BN137" s="11">
        <f ca="1"/>
      </c>
      <c r="LA137">
        <f ca="1"/>
      </c>
      <c r="LB137">
        <f ca="1"/>
      </c>
      <c r="LC137">
        <f ca="1"/>
      </c>
    </row>
    <row r="138" spans="61:315" x14ac:dyDescent="0.55000000000000004">
      <c r="BI138">
        <f ca="1"/>
      </c>
      <c r="BJ138" s="11">
        <f ca="1"/>
      </c>
      <c r="BK138" s="11">
        <f ca="1"/>
      </c>
      <c r="BL138" s="11">
        <f ca="1"/>
      </c>
      <c r="BM138" s="11">
        <f ca="1"/>
      </c>
      <c r="BN138" s="11">
        <f ca="1"/>
      </c>
      <c r="LA138">
        <f ca="1"/>
      </c>
      <c r="LB138">
        <f ca="1"/>
      </c>
      <c r="LC138">
        <f ca="1"/>
      </c>
    </row>
    <row r="139" spans="61:315" x14ac:dyDescent="0.55000000000000004">
      <c r="BI139">
        <f ca="1"/>
      </c>
      <c r="BJ139" s="11">
        <f ca="1"/>
      </c>
      <c r="BK139" s="11">
        <f ca="1"/>
      </c>
      <c r="BL139" s="11">
        <f ca="1"/>
      </c>
      <c r="BM139" s="11">
        <f ca="1"/>
      </c>
      <c r="BN139" s="11">
        <f ca="1"/>
      </c>
      <c r="LA139">
        <f ca="1"/>
      </c>
      <c r="LB139">
        <f ca="1"/>
      </c>
      <c r="LC139">
        <f ca="1"/>
      </c>
    </row>
    <row r="140" spans="61:315" x14ac:dyDescent="0.55000000000000004">
      <c r="BI140">
        <f ca="1"/>
      </c>
      <c r="BJ140" s="11">
        <f ca="1"/>
      </c>
      <c r="BK140" s="11">
        <f ca="1"/>
      </c>
      <c r="BL140" s="11">
        <f ca="1"/>
      </c>
      <c r="BM140" s="11">
        <f ca="1"/>
      </c>
      <c r="BN140" s="11">
        <f ca="1"/>
      </c>
      <c r="LA140">
        <f ca="1"/>
      </c>
      <c r="LB140">
        <f ca="1"/>
      </c>
      <c r="LC140">
        <f ca="1"/>
      </c>
    </row>
    <row r="141" spans="61:315" x14ac:dyDescent="0.55000000000000004">
      <c r="BI141">
        <f ca="1"/>
      </c>
      <c r="BJ141" s="11">
        <f ca="1"/>
      </c>
      <c r="BK141" s="11">
        <f ca="1"/>
      </c>
      <c r="BL141" s="11">
        <f ca="1"/>
      </c>
      <c r="BM141" s="11">
        <f ca="1"/>
      </c>
      <c r="BN141" s="11">
        <f ca="1"/>
      </c>
      <c r="LA141">
        <f ca="1"/>
      </c>
      <c r="LB141">
        <f ca="1"/>
      </c>
      <c r="LC141">
        <f ca="1"/>
      </c>
    </row>
    <row r="142" spans="61:315" x14ac:dyDescent="0.55000000000000004">
      <c r="BI142">
        <f ca="1"/>
      </c>
      <c r="BJ142" s="11">
        <f ca="1"/>
      </c>
      <c r="BK142" s="11">
        <f ca="1"/>
      </c>
      <c r="BL142" s="11">
        <f ca="1"/>
      </c>
      <c r="BM142" s="11">
        <f ca="1"/>
      </c>
      <c r="BN142" s="11">
        <f ca="1"/>
      </c>
      <c r="LA142">
        <f ca="1"/>
      </c>
      <c r="LB142">
        <f ca="1"/>
      </c>
      <c r="LC142">
        <f ca="1"/>
      </c>
    </row>
    <row r="143" spans="61:315" x14ac:dyDescent="0.55000000000000004">
      <c r="BI143">
        <f ca="1"/>
      </c>
      <c r="BJ143" s="11">
        <f ca="1"/>
      </c>
      <c r="BK143" s="11">
        <f ca="1"/>
      </c>
      <c r="BL143" s="11">
        <f ca="1"/>
      </c>
      <c r="BM143" s="11">
        <f ca="1"/>
      </c>
      <c r="BN143" s="11">
        <f ca="1"/>
      </c>
      <c r="LA143">
        <f ca="1"/>
      </c>
      <c r="LB143">
        <f ca="1"/>
      </c>
      <c r="LC143">
        <f ca="1"/>
      </c>
    </row>
    <row r="144" spans="61:315" x14ac:dyDescent="0.55000000000000004">
      <c r="BI144">
        <f ca="1"/>
      </c>
      <c r="BJ144" s="11">
        <f ca="1"/>
      </c>
      <c r="BK144" s="11">
        <f ca="1"/>
      </c>
      <c r="BL144" s="11">
        <f ca="1"/>
      </c>
      <c r="BM144" s="11">
        <f ca="1"/>
      </c>
      <c r="BN144" s="11">
        <f ca="1"/>
      </c>
      <c r="LA144">
        <f ca="1"/>
      </c>
      <c r="LB144">
        <f ca="1"/>
      </c>
      <c r="LC144">
        <f ca="1"/>
      </c>
    </row>
    <row r="145" spans="61:315" x14ac:dyDescent="0.55000000000000004">
      <c r="BI145">
        <f ca="1"/>
      </c>
      <c r="BJ145" s="11">
        <f ca="1"/>
      </c>
      <c r="BK145" s="11">
        <f ca="1"/>
      </c>
      <c r="BL145" s="11">
        <f ca="1"/>
      </c>
      <c r="BM145" s="11">
        <f ca="1"/>
      </c>
      <c r="BN145" s="11">
        <f ca="1"/>
      </c>
      <c r="LA145">
        <f ca="1"/>
      </c>
      <c r="LB145">
        <f ca="1"/>
      </c>
      <c r="LC145">
        <f ca="1"/>
      </c>
    </row>
    <row r="146" spans="61:315" x14ac:dyDescent="0.55000000000000004">
      <c r="BI146">
        <f ca="1"/>
      </c>
      <c r="BJ146" s="11">
        <f ca="1"/>
      </c>
      <c r="BK146" s="11">
        <f ca="1"/>
      </c>
      <c r="BL146" s="11">
        <f ca="1"/>
      </c>
      <c r="BM146" s="11">
        <f ca="1"/>
      </c>
      <c r="BN146" s="11">
        <f ca="1"/>
      </c>
      <c r="LA146">
        <f ca="1"/>
      </c>
      <c r="LB146">
        <f ca="1"/>
      </c>
      <c r="LC146">
        <f ca="1"/>
      </c>
    </row>
    <row r="147" spans="61:315" x14ac:dyDescent="0.55000000000000004">
      <c r="BI147">
        <f ca="1"/>
      </c>
      <c r="BJ147" s="11">
        <f ca="1"/>
      </c>
      <c r="BK147" s="11">
        <f ca="1"/>
      </c>
      <c r="BL147" s="11">
        <f ca="1"/>
      </c>
      <c r="BM147" s="11">
        <f ca="1"/>
      </c>
      <c r="BN147" s="11">
        <f ca="1"/>
      </c>
      <c r="LA147">
        <f ca="1"/>
      </c>
      <c r="LB147">
        <f ca="1"/>
      </c>
      <c r="LC147">
        <f ca="1"/>
      </c>
    </row>
    <row r="148" spans="61:315" x14ac:dyDescent="0.55000000000000004">
      <c r="BI148">
        <f ca="1"/>
      </c>
      <c r="BJ148" s="11">
        <f ca="1"/>
      </c>
      <c r="BK148" s="11">
        <f ca="1"/>
      </c>
      <c r="BL148" s="11">
        <f ca="1"/>
      </c>
      <c r="BM148" s="11">
        <f ca="1"/>
      </c>
      <c r="BN148" s="11">
        <f ca="1"/>
      </c>
      <c r="LA148">
        <f ca="1"/>
      </c>
      <c r="LB148">
        <f ca="1"/>
      </c>
      <c r="LC148">
        <f ca="1"/>
      </c>
    </row>
    <row r="149" spans="61:315" x14ac:dyDescent="0.55000000000000004">
      <c r="BI149">
        <f ca="1"/>
      </c>
      <c r="BJ149" s="11">
        <f ca="1"/>
      </c>
      <c r="BK149" s="11">
        <f ca="1"/>
      </c>
      <c r="BL149" s="11">
        <f ca="1"/>
      </c>
      <c r="BM149" s="11">
        <f ca="1"/>
      </c>
      <c r="BN149" s="11">
        <f ca="1"/>
      </c>
      <c r="LA149">
        <f ca="1"/>
      </c>
      <c r="LB149">
        <f ca="1"/>
      </c>
      <c r="LC149">
        <f ca="1"/>
      </c>
    </row>
    <row r="150" spans="61:315" x14ac:dyDescent="0.55000000000000004">
      <c r="BI150">
        <f ca="1"/>
      </c>
      <c r="BJ150" s="11">
        <f ca="1"/>
      </c>
      <c r="BK150" s="11">
        <f ca="1"/>
      </c>
      <c r="BL150" s="11">
        <f ca="1"/>
      </c>
      <c r="BM150" s="11">
        <f ca="1"/>
      </c>
      <c r="BN150" s="11">
        <f ca="1"/>
      </c>
      <c r="LA150">
        <f ca="1"/>
      </c>
      <c r="LB150">
        <f ca="1"/>
      </c>
      <c r="LC150">
        <f ca="1"/>
      </c>
    </row>
    <row r="151" spans="61:315" x14ac:dyDescent="0.55000000000000004">
      <c r="BI151">
        <f ca="1"/>
      </c>
      <c r="BJ151" s="11">
        <f ca="1"/>
      </c>
      <c r="BK151" s="11">
        <f ca="1"/>
      </c>
      <c r="BL151" s="11">
        <f ca="1"/>
      </c>
      <c r="BM151" s="11">
        <f ca="1"/>
      </c>
      <c r="BN151" s="11">
        <f ca="1"/>
      </c>
      <c r="LA151">
        <f ca="1"/>
      </c>
      <c r="LB151">
        <f ca="1"/>
      </c>
      <c r="LC151">
        <f ca="1"/>
      </c>
    </row>
    <row r="152" spans="61:315" x14ac:dyDescent="0.55000000000000004">
      <c r="BI152">
        <f ca="1"/>
      </c>
      <c r="BJ152" s="11">
        <f ca="1"/>
      </c>
      <c r="BK152" s="11">
        <f ca="1"/>
      </c>
      <c r="BL152" s="11">
        <f ca="1"/>
      </c>
      <c r="BM152" s="11">
        <f ca="1"/>
      </c>
      <c r="BN152" s="11">
        <f ca="1"/>
      </c>
      <c r="LA152">
        <f ca="1"/>
      </c>
      <c r="LB152">
        <f ca="1"/>
      </c>
      <c r="LC152">
        <f ca="1"/>
      </c>
    </row>
    <row r="153" spans="61:315" x14ac:dyDescent="0.55000000000000004">
      <c r="BI153">
        <f ca="1"/>
      </c>
      <c r="BJ153" s="11">
        <f ca="1"/>
      </c>
      <c r="BK153" s="11">
        <f ca="1"/>
      </c>
      <c r="BL153" s="11">
        <f ca="1"/>
      </c>
      <c r="BM153" s="11">
        <f ca="1"/>
      </c>
      <c r="BN153" s="11">
        <f ca="1"/>
      </c>
      <c r="LA153">
        <f ca="1"/>
      </c>
      <c r="LB153">
        <f ca="1"/>
      </c>
      <c r="LC153">
        <f ca="1"/>
      </c>
    </row>
    <row r="154" spans="61:315" x14ac:dyDescent="0.55000000000000004">
      <c r="BI154">
        <f ca="1"/>
      </c>
      <c r="BJ154" s="11">
        <f ca="1"/>
      </c>
      <c r="BK154" s="11">
        <f ca="1"/>
      </c>
      <c r="BL154" s="11">
        <f ca="1"/>
      </c>
      <c r="BM154" s="11">
        <f ca="1"/>
      </c>
      <c r="BN154" s="11">
        <f ca="1"/>
      </c>
      <c r="LA154">
        <f ca="1"/>
      </c>
      <c r="LB154">
        <f ca="1"/>
      </c>
      <c r="LC154">
        <f ca="1"/>
      </c>
    </row>
    <row r="155" spans="61:315" x14ac:dyDescent="0.55000000000000004">
      <c r="BI155">
        <f ca="1"/>
      </c>
      <c r="BJ155" s="11">
        <f ca="1"/>
      </c>
      <c r="BK155" s="11">
        <f ca="1"/>
      </c>
      <c r="BL155" s="11">
        <f ca="1"/>
      </c>
      <c r="BM155" s="11">
        <f ca="1"/>
      </c>
      <c r="BN155" s="11">
        <f ca="1"/>
      </c>
      <c r="LA155">
        <f ca="1"/>
      </c>
      <c r="LB155">
        <f ca="1"/>
      </c>
      <c r="LC155">
        <f ca="1"/>
      </c>
    </row>
    <row r="156" spans="61:315" x14ac:dyDescent="0.55000000000000004">
      <c r="BI156">
        <f ca="1"/>
      </c>
      <c r="BJ156" s="11">
        <f ca="1"/>
      </c>
      <c r="BK156" s="11">
        <f ca="1"/>
      </c>
      <c r="BL156" s="11">
        <f ca="1"/>
      </c>
      <c r="BM156" s="11">
        <f ca="1"/>
      </c>
      <c r="BN156" s="11">
        <f ca="1"/>
      </c>
      <c r="LA156">
        <f ca="1"/>
      </c>
      <c r="LB156">
        <f ca="1"/>
      </c>
      <c r="LC156">
        <f ca="1"/>
      </c>
    </row>
    <row r="157" spans="61:315" x14ac:dyDescent="0.55000000000000004">
      <c r="BI157">
        <f ca="1"/>
      </c>
      <c r="BJ157" s="11">
        <f ca="1"/>
      </c>
      <c r="BK157" s="11">
        <f ca="1"/>
      </c>
      <c r="BL157" s="11">
        <f ca="1"/>
      </c>
      <c r="BM157" s="11">
        <f ca="1"/>
      </c>
      <c r="BN157" s="11">
        <f ca="1"/>
      </c>
      <c r="LA157">
        <f ca="1"/>
      </c>
      <c r="LB157">
        <f ca="1"/>
      </c>
      <c r="LC157">
        <f ca="1"/>
      </c>
    </row>
    <row r="158" spans="61:315" x14ac:dyDescent="0.55000000000000004">
      <c r="BI158">
        <f ca="1"/>
      </c>
      <c r="BJ158" s="11">
        <f ca="1"/>
      </c>
      <c r="BK158" s="11">
        <f ca="1"/>
      </c>
      <c r="BL158" s="11">
        <f ca="1"/>
      </c>
      <c r="BM158" s="11">
        <f ca="1"/>
      </c>
      <c r="BN158" s="11">
        <f ca="1"/>
      </c>
      <c r="LA158">
        <f ca="1"/>
      </c>
      <c r="LB158">
        <f ca="1"/>
      </c>
      <c r="LC158">
        <f ca="1"/>
      </c>
    </row>
    <row r="159" spans="61:315" x14ac:dyDescent="0.55000000000000004">
      <c r="BI159">
        <f ca="1"/>
      </c>
      <c r="BJ159" s="11">
        <f ca="1"/>
      </c>
      <c r="BK159" s="11">
        <f ca="1"/>
      </c>
      <c r="BL159" s="11">
        <f ca="1"/>
      </c>
      <c r="BM159" s="11">
        <f ca="1"/>
      </c>
      <c r="BN159" s="11">
        <f ca="1"/>
      </c>
      <c r="LA159">
        <f ca="1"/>
      </c>
      <c r="LB159">
        <f ca="1"/>
      </c>
      <c r="LC159">
        <f ca="1"/>
      </c>
    </row>
    <row r="160" spans="61:315" x14ac:dyDescent="0.55000000000000004">
      <c r="BI160">
        <f ca="1"/>
      </c>
      <c r="BJ160" s="11">
        <f ca="1"/>
      </c>
      <c r="BK160" s="11">
        <f ca="1"/>
      </c>
      <c r="BL160" s="11">
        <f ca="1"/>
      </c>
      <c r="BM160" s="11">
        <f ca="1"/>
      </c>
      <c r="BN160" s="11">
        <f ca="1"/>
      </c>
      <c r="LA160">
        <f ca="1"/>
      </c>
      <c r="LB160">
        <f ca="1"/>
      </c>
      <c r="LC160">
        <f ca="1"/>
      </c>
    </row>
    <row r="161" spans="61:315" x14ac:dyDescent="0.55000000000000004">
      <c r="BI161">
        <f ca="1"/>
      </c>
      <c r="BJ161" s="11">
        <f ca="1"/>
      </c>
      <c r="BK161" s="11">
        <f ca="1"/>
      </c>
      <c r="BL161" s="11">
        <f ca="1"/>
      </c>
      <c r="BM161" s="11">
        <f ca="1"/>
      </c>
      <c r="BN161" s="11">
        <f ca="1"/>
      </c>
      <c r="LA161">
        <f ca="1"/>
      </c>
      <c r="LB161">
        <f ca="1"/>
      </c>
      <c r="LC161">
        <f ca="1"/>
      </c>
    </row>
    <row r="162" spans="61:315" x14ac:dyDescent="0.55000000000000004">
      <c r="BI162">
        <f ca="1"/>
      </c>
      <c r="BJ162" s="11">
        <f ca="1"/>
      </c>
      <c r="BK162" s="11">
        <f ca="1"/>
      </c>
      <c r="BL162" s="11">
        <f ca="1"/>
      </c>
      <c r="BM162" s="11">
        <f ca="1"/>
      </c>
      <c r="BN162" s="11">
        <f ca="1"/>
      </c>
      <c r="LA162">
        <f ca="1"/>
      </c>
      <c r="LB162">
        <f ca="1"/>
      </c>
      <c r="LC162">
        <f ca="1"/>
      </c>
    </row>
    <row r="163" spans="61:315" x14ac:dyDescent="0.55000000000000004">
      <c r="BI163">
        <f ca="1"/>
      </c>
      <c r="BJ163" s="11">
        <f ca="1"/>
      </c>
      <c r="BK163" s="11">
        <f ca="1"/>
      </c>
      <c r="BL163" s="11">
        <f ca="1"/>
      </c>
      <c r="BM163" s="11">
        <f ca="1"/>
      </c>
      <c r="BN163" s="11">
        <f ca="1"/>
      </c>
      <c r="LA163">
        <f ca="1"/>
      </c>
      <c r="LB163">
        <f ca="1"/>
      </c>
      <c r="LC163">
        <f ca="1"/>
      </c>
    </row>
    <row r="164" spans="61:315" x14ac:dyDescent="0.55000000000000004">
      <c r="BI164">
        <f ca="1"/>
      </c>
      <c r="BJ164" s="11">
        <f ca="1"/>
      </c>
      <c r="BK164" s="11">
        <f ca="1"/>
      </c>
      <c r="BL164" s="11">
        <f ca="1"/>
      </c>
      <c r="BM164" s="11">
        <f ca="1"/>
      </c>
      <c r="BN164" s="11">
        <f ca="1"/>
      </c>
      <c r="LA164">
        <f ca="1"/>
      </c>
      <c r="LB164">
        <f ca="1"/>
      </c>
      <c r="LC164">
        <f ca="1"/>
      </c>
    </row>
    <row r="165" spans="61:315" x14ac:dyDescent="0.55000000000000004">
      <c r="BI165">
        <f ca="1"/>
      </c>
      <c r="BJ165" s="11">
        <f ca="1"/>
      </c>
      <c r="BK165" s="11">
        <f ca="1"/>
      </c>
      <c r="BL165" s="11">
        <f ca="1"/>
      </c>
      <c r="BM165" s="11">
        <f ca="1"/>
      </c>
      <c r="BN165" s="11">
        <f ca="1"/>
      </c>
      <c r="LA165">
        <f ca="1"/>
      </c>
      <c r="LB165">
        <f ca="1"/>
      </c>
      <c r="LC165">
        <f ca="1"/>
      </c>
    </row>
    <row r="166" spans="61:315" x14ac:dyDescent="0.55000000000000004">
      <c r="BI166">
        <f ca="1"/>
      </c>
      <c r="BJ166" s="11">
        <f ca="1"/>
      </c>
      <c r="BK166" s="11">
        <f ca="1"/>
      </c>
      <c r="BL166" s="11">
        <f ca="1"/>
      </c>
      <c r="BM166" s="11">
        <f ca="1"/>
      </c>
      <c r="BN166" s="11">
        <f ca="1"/>
      </c>
      <c r="LA166">
        <f ca="1"/>
      </c>
      <c r="LB166">
        <f ca="1"/>
      </c>
      <c r="LC166">
        <f ca="1"/>
      </c>
    </row>
    <row r="167" spans="61:315" x14ac:dyDescent="0.55000000000000004">
      <c r="BI167">
        <f ca="1"/>
      </c>
      <c r="BJ167" s="11">
        <f ca="1"/>
      </c>
      <c r="BK167" s="11">
        <f ca="1"/>
      </c>
      <c r="BL167" s="11">
        <f ca="1"/>
      </c>
      <c r="BM167" s="11">
        <f ca="1"/>
      </c>
      <c r="BN167" s="11">
        <f ca="1"/>
      </c>
      <c r="LA167">
        <f ca="1"/>
      </c>
      <c r="LB167">
        <f ca="1"/>
      </c>
      <c r="LC167">
        <f ca="1"/>
      </c>
    </row>
    <row r="168" spans="61:315" x14ac:dyDescent="0.55000000000000004">
      <c r="BI168">
        <f ca="1"/>
      </c>
      <c r="BJ168" s="11">
        <f ca="1"/>
      </c>
      <c r="BK168" s="11">
        <f ca="1"/>
      </c>
      <c r="BL168" s="11">
        <f ca="1"/>
      </c>
      <c r="BM168" s="11">
        <f ca="1"/>
      </c>
      <c r="BN168" s="11">
        <f ca="1"/>
      </c>
      <c r="LA168">
        <f ca="1"/>
      </c>
      <c r="LB168">
        <f ca="1"/>
      </c>
      <c r="LC168">
        <f ca="1"/>
      </c>
    </row>
    <row r="169" spans="61:315" x14ac:dyDescent="0.55000000000000004">
      <c r="BI169">
        <f ca="1"/>
      </c>
      <c r="BJ169" s="11">
        <f ca="1"/>
      </c>
      <c r="BK169" s="11">
        <f ca="1"/>
      </c>
      <c r="BL169" s="11">
        <f ca="1"/>
      </c>
      <c r="BM169" s="11">
        <f ca="1"/>
      </c>
      <c r="BN169" s="11">
        <f ca="1"/>
      </c>
      <c r="LA169">
        <f ca="1"/>
      </c>
      <c r="LB169">
        <f ca="1"/>
      </c>
      <c r="LC169">
        <f ca="1"/>
      </c>
    </row>
    <row r="170" spans="61:315" x14ac:dyDescent="0.55000000000000004">
      <c r="BI170">
        <f ca="1"/>
      </c>
      <c r="BJ170" s="11">
        <f ca="1"/>
      </c>
      <c r="BK170" s="11">
        <f ca="1"/>
      </c>
      <c r="BL170" s="11">
        <f ca="1"/>
      </c>
      <c r="BM170" s="11">
        <f ca="1"/>
      </c>
      <c r="BN170" s="11">
        <f ca="1"/>
      </c>
      <c r="LA170">
        <f ca="1"/>
      </c>
      <c r="LB170">
        <f ca="1"/>
      </c>
      <c r="LC170">
        <f ca="1"/>
      </c>
    </row>
    <row r="171" spans="61:315" x14ac:dyDescent="0.55000000000000004">
      <c r="BI171">
        <f ca="1"/>
      </c>
      <c r="BJ171" s="11">
        <f ca="1"/>
      </c>
      <c r="BK171" s="11">
        <f ca="1"/>
      </c>
      <c r="BL171" s="11">
        <f ca="1"/>
      </c>
      <c r="BM171" s="11">
        <f ca="1"/>
      </c>
      <c r="BN171" s="11">
        <f ca="1"/>
      </c>
      <c r="LA171">
        <f ca="1"/>
      </c>
      <c r="LB171">
        <f ca="1"/>
      </c>
      <c r="LC171">
        <f ca="1"/>
      </c>
    </row>
    <row r="172" spans="61:315" x14ac:dyDescent="0.55000000000000004">
      <c r="BI172">
        <f ca="1"/>
      </c>
      <c r="BJ172" s="11">
        <f ca="1"/>
      </c>
      <c r="BK172" s="11">
        <f ca="1"/>
      </c>
      <c r="BL172" s="11">
        <f ca="1"/>
      </c>
      <c r="BM172" s="11">
        <f ca="1"/>
      </c>
      <c r="BN172" s="11">
        <f ca="1"/>
      </c>
      <c r="LA172">
        <f ca="1"/>
      </c>
      <c r="LB172">
        <f ca="1"/>
      </c>
      <c r="LC172">
        <f ca="1"/>
      </c>
    </row>
    <row r="173" spans="61:315" x14ac:dyDescent="0.55000000000000004">
      <c r="BI173">
        <f ca="1"/>
      </c>
      <c r="BJ173" s="11">
        <f ca="1"/>
      </c>
      <c r="BK173" s="11">
        <f ca="1"/>
      </c>
      <c r="BL173" s="11">
        <f ca="1"/>
      </c>
      <c r="BM173" s="11">
        <f ca="1"/>
      </c>
      <c r="BN173" s="11">
        <f ca="1"/>
      </c>
      <c r="LA173">
        <f ca="1"/>
      </c>
      <c r="LB173">
        <f ca="1"/>
      </c>
      <c r="LC173">
        <f ca="1"/>
      </c>
    </row>
    <row r="174" spans="61:315" x14ac:dyDescent="0.55000000000000004">
      <c r="BI174">
        <f ca="1"/>
      </c>
      <c r="BJ174" s="11">
        <f ca="1"/>
      </c>
      <c r="BK174" s="11">
        <f ca="1"/>
      </c>
      <c r="BL174" s="11">
        <f ca="1"/>
      </c>
      <c r="BM174" s="11">
        <f ca="1"/>
      </c>
      <c r="BN174" s="11">
        <f ca="1"/>
      </c>
      <c r="LA174">
        <f ca="1"/>
      </c>
      <c r="LB174">
        <f ca="1"/>
      </c>
      <c r="LC174">
        <f ca="1"/>
      </c>
    </row>
    <row r="175" spans="61:315" x14ac:dyDescent="0.55000000000000004">
      <c r="BI175">
        <f ca="1"/>
      </c>
      <c r="BJ175" s="11">
        <f ca="1"/>
      </c>
      <c r="BK175" s="11">
        <f ca="1"/>
      </c>
      <c r="BL175" s="11">
        <f ca="1"/>
      </c>
      <c r="BM175" s="11">
        <f ca="1"/>
      </c>
      <c r="BN175" s="11">
        <f ca="1"/>
      </c>
      <c r="LA175">
        <f ca="1"/>
      </c>
      <c r="LB175">
        <f ca="1"/>
      </c>
      <c r="LC175">
        <f ca="1"/>
      </c>
    </row>
    <row r="176" spans="61:315" x14ac:dyDescent="0.55000000000000004">
      <c r="BI176">
        <f ca="1"/>
      </c>
      <c r="BJ176" s="11">
        <f ca="1"/>
      </c>
      <c r="BK176" s="11">
        <f ca="1"/>
      </c>
      <c r="BL176" s="11">
        <f ca="1"/>
      </c>
      <c r="BM176" s="11">
        <f ca="1"/>
      </c>
      <c r="BN176" s="11">
        <f ca="1"/>
      </c>
      <c r="LA176">
        <f ca="1"/>
      </c>
      <c r="LB176">
        <f ca="1"/>
      </c>
      <c r="LC176">
        <f ca="1"/>
      </c>
    </row>
    <row r="177" spans="61:315" x14ac:dyDescent="0.55000000000000004">
      <c r="BI177">
        <f ca="1"/>
      </c>
      <c r="BJ177" s="11">
        <f ca="1"/>
      </c>
      <c r="BK177" s="11">
        <f ca="1"/>
      </c>
      <c r="BL177" s="11">
        <f ca="1"/>
      </c>
      <c r="BM177" s="11">
        <f ca="1"/>
      </c>
      <c r="BN177" s="11">
        <f ca="1"/>
      </c>
      <c r="LA177">
        <f ca="1"/>
      </c>
      <c r="LB177">
        <f ca="1"/>
      </c>
      <c r="LC177">
        <f ca="1"/>
      </c>
    </row>
    <row r="178" spans="61:315" x14ac:dyDescent="0.55000000000000004">
      <c r="BI178">
        <f ca="1"/>
      </c>
      <c r="BJ178" s="11">
        <f ca="1"/>
      </c>
      <c r="BK178" s="11">
        <f ca="1"/>
      </c>
      <c r="BL178" s="11">
        <f ca="1"/>
      </c>
      <c r="BM178" s="11">
        <f ca="1"/>
      </c>
      <c r="BN178" s="11">
        <f ca="1"/>
      </c>
      <c r="LA178">
        <f ca="1"/>
      </c>
      <c r="LB178">
        <f ca="1"/>
      </c>
      <c r="LC178">
        <f ca="1"/>
      </c>
    </row>
    <row r="179" spans="61:315" x14ac:dyDescent="0.55000000000000004">
      <c r="BI179">
        <f ca="1"/>
      </c>
      <c r="BJ179" s="11">
        <f ca="1"/>
      </c>
      <c r="BK179" s="11">
        <f ca="1"/>
      </c>
      <c r="BL179" s="11">
        <f ca="1"/>
      </c>
      <c r="BM179" s="11">
        <f ca="1"/>
      </c>
      <c r="BN179" s="11">
        <f ca="1"/>
      </c>
      <c r="LA179">
        <f ca="1"/>
      </c>
      <c r="LB179">
        <f ca="1"/>
      </c>
      <c r="LC179">
        <f ca="1"/>
      </c>
    </row>
    <row r="180" spans="61:315" x14ac:dyDescent="0.55000000000000004">
      <c r="BI180">
        <f ca="1"/>
      </c>
      <c r="BJ180" s="11">
        <f ca="1"/>
      </c>
      <c r="BK180" s="11">
        <f ca="1"/>
      </c>
      <c r="BL180" s="11">
        <f ca="1"/>
      </c>
      <c r="BM180" s="11">
        <f ca="1"/>
      </c>
      <c r="BN180" s="11">
        <f ca="1"/>
      </c>
      <c r="LA180">
        <f ca="1"/>
      </c>
      <c r="LB180">
        <f ca="1"/>
      </c>
      <c r="LC180">
        <f ca="1"/>
      </c>
    </row>
    <row r="181" spans="61:315" x14ac:dyDescent="0.55000000000000004">
      <c r="BI181">
        <f ca="1"/>
      </c>
      <c r="BJ181" s="11">
        <f ca="1"/>
      </c>
      <c r="BK181" s="11">
        <f ca="1"/>
      </c>
      <c r="BL181" s="11">
        <f ca="1"/>
      </c>
      <c r="BM181" s="11">
        <f ca="1"/>
      </c>
      <c r="BN181" s="11">
        <f ca="1"/>
      </c>
      <c r="LA181">
        <f ca="1"/>
      </c>
      <c r="LB181">
        <f ca="1"/>
      </c>
      <c r="LC181">
        <f ca="1"/>
      </c>
    </row>
    <row r="182" spans="61:315" x14ac:dyDescent="0.55000000000000004">
      <c r="BI182">
        <f ca="1"/>
      </c>
      <c r="BJ182" s="11">
        <f ca="1"/>
      </c>
      <c r="BK182" s="11">
        <f ca="1"/>
      </c>
      <c r="BL182" s="11">
        <f ca="1"/>
      </c>
      <c r="BM182" s="11">
        <f ca="1"/>
      </c>
      <c r="BN182" s="11">
        <f ca="1"/>
      </c>
      <c r="LA182">
        <f ca="1"/>
      </c>
      <c r="LB182">
        <f ca="1"/>
      </c>
      <c r="LC182">
        <f ca="1"/>
      </c>
    </row>
    <row r="183" spans="61:315" x14ac:dyDescent="0.55000000000000004">
      <c r="BI183">
        <f ca="1"/>
      </c>
      <c r="BJ183" s="11">
        <f ca="1"/>
      </c>
      <c r="BK183" s="11">
        <f ca="1"/>
      </c>
      <c r="BL183" s="11">
        <f ca="1"/>
      </c>
      <c r="BM183" s="11">
        <f ca="1"/>
      </c>
      <c r="BN183" s="11">
        <f ca="1"/>
      </c>
      <c r="LA183">
        <f ca="1"/>
      </c>
      <c r="LB183">
        <f ca="1"/>
      </c>
      <c r="LC183">
        <f ca="1"/>
      </c>
    </row>
    <row r="184" spans="61:315" x14ac:dyDescent="0.55000000000000004">
      <c r="BI184">
        <f ca="1"/>
      </c>
      <c r="BJ184" s="11">
        <f ca="1"/>
      </c>
      <c r="BK184" s="11">
        <f ca="1"/>
      </c>
      <c r="BL184" s="11">
        <f ca="1"/>
      </c>
      <c r="BM184" s="11">
        <f ca="1"/>
      </c>
      <c r="BN184" s="11">
        <f ca="1"/>
      </c>
      <c r="LA184">
        <f ca="1"/>
      </c>
      <c r="LB184">
        <f ca="1"/>
      </c>
      <c r="LC184">
        <f ca="1"/>
      </c>
    </row>
    <row r="185" spans="61:315" x14ac:dyDescent="0.55000000000000004">
      <c r="BI185">
        <f ca="1"/>
      </c>
      <c r="BJ185" s="11">
        <f ca="1"/>
      </c>
      <c r="BK185" s="11">
        <f ca="1"/>
      </c>
      <c r="BL185" s="11">
        <f ca="1"/>
      </c>
      <c r="BM185" s="11">
        <f ca="1"/>
      </c>
      <c r="BN185" s="11">
        <f ca="1"/>
      </c>
      <c r="LA185">
        <f ca="1"/>
      </c>
      <c r="LB185">
        <f ca="1"/>
      </c>
      <c r="LC185">
        <f ca="1"/>
      </c>
    </row>
    <row r="186" spans="61:315" x14ac:dyDescent="0.55000000000000004">
      <c r="BI186">
        <f ca="1"/>
      </c>
      <c r="BJ186" s="11">
        <f ca="1"/>
      </c>
      <c r="BK186" s="11">
        <f ca="1"/>
      </c>
      <c r="BL186" s="11">
        <f ca="1"/>
      </c>
      <c r="BM186" s="11">
        <f ca="1"/>
      </c>
      <c r="BN186" s="11">
        <f ca="1"/>
      </c>
      <c r="LA186">
        <f ca="1"/>
      </c>
      <c r="LB186">
        <f ca="1"/>
      </c>
      <c r="LC186">
        <f ca="1"/>
      </c>
    </row>
    <row r="187" spans="61:315" x14ac:dyDescent="0.55000000000000004">
      <c r="BI187">
        <f ca="1"/>
      </c>
      <c r="BJ187" s="11">
        <f ca="1"/>
      </c>
      <c r="BK187" s="11">
        <f ca="1"/>
      </c>
      <c r="BL187" s="11">
        <f ca="1"/>
      </c>
      <c r="BM187" s="11">
        <f ca="1"/>
      </c>
      <c r="BN187" s="11">
        <f ca="1"/>
      </c>
      <c r="LA187">
        <f ca="1"/>
      </c>
      <c r="LB187">
        <f ca="1"/>
      </c>
      <c r="LC187">
        <f ca="1"/>
      </c>
    </row>
    <row r="188" spans="61:315" x14ac:dyDescent="0.55000000000000004">
      <c r="BI188">
        <f ca="1"/>
      </c>
      <c r="BJ188" s="11">
        <f ca="1"/>
      </c>
      <c r="BK188" s="11">
        <f ca="1"/>
      </c>
      <c r="BL188" s="11">
        <f ca="1"/>
      </c>
      <c r="BM188" s="11">
        <f ca="1"/>
      </c>
      <c r="BN188" s="11">
        <f ca="1"/>
      </c>
      <c r="LA188">
        <f ca="1"/>
      </c>
      <c r="LB188">
        <f ca="1"/>
      </c>
      <c r="LC188">
        <f ca="1"/>
      </c>
    </row>
    <row r="189" spans="61:315" x14ac:dyDescent="0.55000000000000004">
      <c r="BI189">
        <f ca="1"/>
      </c>
      <c r="BJ189" s="11">
        <f ca="1"/>
      </c>
      <c r="BK189" s="11">
        <f ca="1"/>
      </c>
      <c r="BL189" s="11">
        <f ca="1"/>
      </c>
      <c r="BM189" s="11">
        <f ca="1"/>
      </c>
      <c r="BN189" s="11">
        <f ca="1"/>
      </c>
      <c r="LA189">
        <f ca="1"/>
      </c>
      <c r="LB189">
        <f ca="1"/>
      </c>
      <c r="LC189">
        <f ca="1"/>
      </c>
    </row>
    <row r="190" spans="61:315" x14ac:dyDescent="0.55000000000000004">
      <c r="BI190">
        <f ca="1"/>
      </c>
      <c r="BJ190" s="11">
        <f ca="1"/>
      </c>
      <c r="BK190" s="11">
        <f ca="1"/>
      </c>
      <c r="BL190" s="11">
        <f ca="1"/>
      </c>
      <c r="BM190" s="11">
        <f ca="1"/>
      </c>
      <c r="BN190" s="11">
        <f ca="1"/>
      </c>
      <c r="LA190">
        <f ca="1"/>
      </c>
      <c r="LB190">
        <f ca="1"/>
      </c>
      <c r="LC190">
        <f ca="1"/>
      </c>
    </row>
    <row r="191" spans="61:315" x14ac:dyDescent="0.55000000000000004">
      <c r="BI191">
        <f ca="1"/>
      </c>
      <c r="BJ191" s="11">
        <f ca="1"/>
      </c>
      <c r="BK191" s="11">
        <f ca="1"/>
      </c>
      <c r="BL191" s="11">
        <f ca="1"/>
      </c>
      <c r="BM191" s="11">
        <f ca="1"/>
      </c>
      <c r="BN191" s="11">
        <f ca="1"/>
      </c>
      <c r="LA191">
        <f ca="1"/>
      </c>
      <c r="LB191">
        <f ca="1"/>
      </c>
      <c r="LC191">
        <f ca="1"/>
      </c>
    </row>
    <row r="192" spans="61:315" x14ac:dyDescent="0.55000000000000004">
      <c r="BI192">
        <f ca="1"/>
      </c>
      <c r="BJ192" s="11">
        <f ca="1"/>
      </c>
      <c r="BK192" s="11">
        <f ca="1"/>
      </c>
      <c r="BL192" s="11">
        <f ca="1"/>
      </c>
      <c r="BM192" s="11">
        <f ca="1"/>
      </c>
      <c r="BN192" s="11">
        <f ca="1"/>
      </c>
      <c r="LA192">
        <f ca="1"/>
      </c>
      <c r="LB192">
        <f ca="1"/>
      </c>
      <c r="LC192">
        <f ca="1"/>
      </c>
    </row>
    <row r="193" spans="61:315" x14ac:dyDescent="0.55000000000000004">
      <c r="BI193">
        <f ca="1"/>
      </c>
      <c r="BJ193" s="11">
        <f ca="1"/>
      </c>
      <c r="BK193" s="11">
        <f ca="1"/>
      </c>
      <c r="BL193" s="11">
        <f ca="1"/>
      </c>
      <c r="BM193" s="11">
        <f ca="1"/>
      </c>
      <c r="BN193" s="11">
        <f ca="1"/>
      </c>
      <c r="LA193">
        <f ca="1"/>
      </c>
      <c r="LB193">
        <f ca="1"/>
      </c>
      <c r="LC193">
        <f ca="1"/>
      </c>
    </row>
    <row r="194" spans="61:315" x14ac:dyDescent="0.55000000000000004">
      <c r="BI194">
        <f ca="1"/>
      </c>
      <c r="BJ194" s="11">
        <f ca="1"/>
      </c>
      <c r="BK194" s="11">
        <f ca="1"/>
      </c>
      <c r="BL194" s="11">
        <f ca="1"/>
      </c>
      <c r="BM194" s="11">
        <f ca="1"/>
      </c>
      <c r="BN194" s="11">
        <f ca="1"/>
      </c>
      <c r="LA194">
        <f ca="1"/>
      </c>
      <c r="LB194">
        <f ca="1"/>
      </c>
      <c r="LC194">
        <f ca="1"/>
      </c>
    </row>
    <row r="195" spans="61:315" x14ac:dyDescent="0.55000000000000004">
      <c r="BI195">
        <f ca="1"/>
      </c>
      <c r="BJ195" s="11">
        <f ca="1"/>
      </c>
      <c r="BK195" s="11">
        <f ca="1"/>
      </c>
      <c r="BL195" s="11">
        <f ca="1"/>
      </c>
      <c r="BM195" s="11">
        <f ca="1"/>
      </c>
      <c r="BN195" s="11">
        <f ca="1"/>
      </c>
    </row>
    <row r="196" spans="61:315" x14ac:dyDescent="0.55000000000000004">
      <c r="BI196">
        <f ca="1"/>
      </c>
      <c r="BJ196" s="11">
        <f ca="1"/>
      </c>
      <c r="BK196" s="11">
        <f ca="1"/>
      </c>
      <c r="BL196" s="11">
        <f ca="1"/>
      </c>
      <c r="BM196" s="11">
        <f ca="1"/>
      </c>
      <c r="BN196" s="11">
        <f ca="1"/>
      </c>
    </row>
    <row r="197" spans="61:315" x14ac:dyDescent="0.55000000000000004">
      <c r="BJ197" s="11"/>
      <c r="BK197" s="11"/>
      <c r="BL197" s="11"/>
      <c r="BM197" s="11"/>
      <c r="BN197" s="11"/>
    </row>
    <row r="198" spans="61:315" x14ac:dyDescent="0.55000000000000004">
      <c r="BJ198" s="11"/>
      <c r="BK198" s="11"/>
      <c r="BL198" s="11"/>
      <c r="BM198" s="11"/>
      <c r="BN198" s="11"/>
    </row>
    <row r="199" spans="61:315" x14ac:dyDescent="0.55000000000000004">
      <c r="BJ199" s="11"/>
      <c r="BK199" s="11"/>
      <c r="BL199" s="11"/>
      <c r="BM199" s="11"/>
      <c r="BN199" s="11"/>
    </row>
    <row r="200" spans="61:315" x14ac:dyDescent="0.55000000000000004">
      <c r="BJ200" s="11"/>
      <c r="BK200" s="11"/>
      <c r="BL200" s="11"/>
      <c r="BM200" s="11"/>
      <c r="BN200" s="11"/>
    </row>
    <row r="201" spans="61:315" x14ac:dyDescent="0.55000000000000004">
      <c r="BJ201" s="11"/>
      <c r="BK201" s="11"/>
      <c r="BL201" s="11"/>
      <c r="BM201" s="11"/>
      <c r="BN201" s="11"/>
    </row>
    <row r="202" spans="61:315" x14ac:dyDescent="0.55000000000000004">
      <c r="BJ202" s="11"/>
      <c r="BK202" s="11"/>
      <c r="BL202" s="11"/>
      <c r="BM202" s="11"/>
      <c r="BN202" s="11"/>
    </row>
    <row r="203" spans="61:315" x14ac:dyDescent="0.55000000000000004">
      <c r="BJ203" s="11"/>
      <c r="BK203" s="11"/>
      <c r="BL203" s="11"/>
      <c r="BM203" s="11"/>
      <c r="BN203" s="11"/>
    </row>
    <row r="204" spans="61:315" x14ac:dyDescent="0.55000000000000004">
      <c r="BJ204" s="11"/>
      <c r="BK204" s="11"/>
      <c r="BL204" s="11"/>
      <c r="BM204" s="11"/>
      <c r="BN204" s="11"/>
    </row>
    <row r="205" spans="61:315" x14ac:dyDescent="0.55000000000000004">
      <c r="BJ205" s="11"/>
      <c r="BK205" s="11"/>
      <c r="BL205" s="11"/>
      <c r="BM205" s="11"/>
      <c r="BN205" s="11"/>
    </row>
    <row r="206" spans="61:315" x14ac:dyDescent="0.55000000000000004">
      <c r="BJ206" s="11"/>
      <c r="BK206" s="11"/>
      <c r="BL206" s="11"/>
      <c r="BM206" s="11"/>
      <c r="BN206" s="11"/>
    </row>
    <row r="207" spans="61:315" x14ac:dyDescent="0.55000000000000004">
      <c r="BJ207" s="11"/>
      <c r="BK207" s="11"/>
      <c r="BL207" s="11"/>
      <c r="BM207" s="11"/>
      <c r="BN207" s="11"/>
    </row>
    <row r="208" spans="61:315" x14ac:dyDescent="0.55000000000000004">
      <c r="BJ208" s="11"/>
      <c r="BK208" s="11"/>
      <c r="BL208" s="11"/>
      <c r="BM208" s="11"/>
      <c r="BN208" s="11"/>
    </row>
    <row r="209" spans="62:66" x14ac:dyDescent="0.55000000000000004">
      <c r="BJ209" s="11"/>
      <c r="BK209" s="11"/>
      <c r="BL209" s="11"/>
      <c r="BM209" s="11"/>
      <c r="BN209" s="11"/>
    </row>
    <row r="210" spans="62:66" x14ac:dyDescent="0.55000000000000004">
      <c r="BJ210" s="11"/>
      <c r="BK210" s="11"/>
      <c r="BL210" s="11"/>
      <c r="BM210" s="11"/>
      <c r="BN210" s="11"/>
    </row>
    <row r="211" spans="62:66" x14ac:dyDescent="0.55000000000000004">
      <c r="BJ211" s="11"/>
      <c r="BK211" s="11"/>
      <c r="BL211" s="11"/>
      <c r="BM211" s="11"/>
      <c r="BN211" s="11"/>
    </row>
    <row r="212" spans="62:66" x14ac:dyDescent="0.55000000000000004">
      <c r="BJ212" s="11"/>
      <c r="BK212" s="11"/>
      <c r="BL212" s="11"/>
      <c r="BM212" s="11"/>
      <c r="BN212" s="11"/>
    </row>
    <row r="213" spans="62:66" x14ac:dyDescent="0.55000000000000004">
      <c r="BJ213" s="11"/>
      <c r="BK213" s="11"/>
      <c r="BL213" s="11"/>
      <c r="BM213" s="11"/>
      <c r="BN213" s="11"/>
    </row>
    <row r="214" spans="62:66" x14ac:dyDescent="0.55000000000000004">
      <c r="BJ214" s="11"/>
      <c r="BK214" s="11"/>
      <c r="BL214" s="11"/>
      <c r="BM214" s="11"/>
      <c r="BN214" s="11"/>
    </row>
    <row r="215" spans="62:66" x14ac:dyDescent="0.55000000000000004">
      <c r="BJ215" s="11"/>
      <c r="BK215" s="11"/>
      <c r="BL215" s="11"/>
      <c r="BM215" s="11"/>
      <c r="BN215" s="11"/>
    </row>
    <row r="216" spans="62:66" x14ac:dyDescent="0.55000000000000004">
      <c r="BJ216" s="11"/>
      <c r="BK216" s="11"/>
      <c r="BL216" s="11"/>
      <c r="BM216" s="11"/>
      <c r="BN216" s="11"/>
    </row>
    <row r="217" spans="62:66" x14ac:dyDescent="0.55000000000000004">
      <c r="BJ217" s="11"/>
      <c r="BK217" s="11"/>
      <c r="BL217" s="11"/>
      <c r="BM217" s="11"/>
      <c r="BN217" s="11"/>
    </row>
    <row r="218" spans="62:66" x14ac:dyDescent="0.55000000000000004">
      <c r="BJ218" s="11"/>
      <c r="BK218" s="11"/>
      <c r="BL218" s="11"/>
      <c r="BM218" s="11"/>
      <c r="BN218" s="11"/>
    </row>
    <row r="219" spans="62:66" x14ac:dyDescent="0.55000000000000004">
      <c r="BJ219" s="11"/>
      <c r="BK219" s="11"/>
      <c r="BL219" s="11"/>
      <c r="BM219" s="11"/>
      <c r="BN219" s="11"/>
    </row>
    <row r="220" spans="62:66" x14ac:dyDescent="0.55000000000000004">
      <c r="BJ220" s="11"/>
      <c r="BK220" s="11"/>
      <c r="BL220" s="11"/>
      <c r="BM220" s="11"/>
      <c r="BN220" s="11"/>
    </row>
    <row r="221" spans="62:66" x14ac:dyDescent="0.55000000000000004">
      <c r="BJ221" s="11"/>
      <c r="BK221" s="11"/>
      <c r="BL221" s="11"/>
      <c r="BM221" s="11"/>
      <c r="BN221" s="11"/>
    </row>
    <row r="222" spans="62:66" x14ac:dyDescent="0.55000000000000004">
      <c r="BJ222" s="11"/>
      <c r="BK222" s="11"/>
      <c r="BL222" s="11"/>
      <c r="BM222" s="11"/>
      <c r="BN222" s="11"/>
    </row>
    <row r="223" spans="62:66" x14ac:dyDescent="0.55000000000000004">
      <c r="BJ223" s="11"/>
      <c r="BK223" s="11"/>
      <c r="BL223" s="11"/>
      <c r="BM223" s="11"/>
      <c r="BN223" s="11"/>
    </row>
    <row r="224" spans="62:66" x14ac:dyDescent="0.55000000000000004">
      <c r="BJ224" s="11"/>
      <c r="BK224" s="11"/>
      <c r="BL224" s="11"/>
      <c r="BM224" s="11"/>
      <c r="BN224" s="11"/>
    </row>
    <row r="225" spans="62:66" x14ac:dyDescent="0.55000000000000004">
      <c r="BJ225" s="11"/>
      <c r="BK225" s="11"/>
      <c r="BL225" s="11"/>
      <c r="BM225" s="11"/>
      <c r="BN225" s="11"/>
    </row>
    <row r="226" spans="62:66" x14ac:dyDescent="0.55000000000000004">
      <c r="BJ226" s="11"/>
      <c r="BK226" s="11"/>
      <c r="BL226" s="11"/>
      <c r="BM226" s="11"/>
      <c r="BN226" s="11"/>
    </row>
    <row r="227" spans="62:66" x14ac:dyDescent="0.55000000000000004">
      <c r="BJ227" s="11"/>
      <c r="BK227" s="11"/>
      <c r="BL227" s="11"/>
      <c r="BM227" s="11"/>
      <c r="BN227" s="11"/>
    </row>
    <row r="228" spans="62:66" x14ac:dyDescent="0.55000000000000004">
      <c r="BJ228" s="11"/>
      <c r="BK228" s="11"/>
      <c r="BL228" s="11"/>
      <c r="BM228" s="11"/>
      <c r="BN228" s="11"/>
    </row>
    <row r="229" spans="62:66" x14ac:dyDescent="0.55000000000000004">
      <c r="BJ229" s="11"/>
      <c r="BK229" s="11"/>
      <c r="BL229" s="11"/>
      <c r="BM229" s="11"/>
      <c r="BN229" s="11"/>
    </row>
    <row r="230" spans="62:66" x14ac:dyDescent="0.55000000000000004">
      <c r="BJ230" s="11"/>
      <c r="BK230" s="11"/>
      <c r="BL230" s="11"/>
      <c r="BM230" s="11"/>
      <c r="BN230" s="11"/>
    </row>
    <row r="231" spans="62:66" x14ac:dyDescent="0.55000000000000004">
      <c r="BJ231" s="11"/>
      <c r="BK231" s="11"/>
      <c r="BL231" s="11"/>
      <c r="BM231" s="11"/>
      <c r="BN231" s="11"/>
    </row>
    <row r="232" spans="62:66" x14ac:dyDescent="0.55000000000000004">
      <c r="BJ232" s="11"/>
      <c r="BK232" s="11"/>
      <c r="BL232" s="11"/>
      <c r="BM232" s="11"/>
      <c r="BN232" s="11"/>
    </row>
    <row r="233" spans="62:66" x14ac:dyDescent="0.55000000000000004">
      <c r="BJ233" s="11"/>
      <c r="BK233" s="11"/>
      <c r="BL233" s="11"/>
      <c r="BM233" s="11"/>
      <c r="BN233" s="11"/>
    </row>
    <row r="234" spans="62:66" x14ac:dyDescent="0.55000000000000004">
      <c r="BJ234" s="11"/>
      <c r="BK234" s="11"/>
      <c r="BL234" s="11"/>
      <c r="BM234" s="11"/>
      <c r="BN234" s="11"/>
    </row>
    <row r="235" spans="62:66" x14ac:dyDescent="0.55000000000000004">
      <c r="BJ235" s="11"/>
      <c r="BK235" s="11"/>
      <c r="BL235" s="11"/>
      <c r="BM235" s="11"/>
      <c r="BN235" s="11"/>
    </row>
    <row r="236" spans="62:66" x14ac:dyDescent="0.55000000000000004">
      <c r="BJ236" s="11"/>
      <c r="BK236" s="11"/>
      <c r="BL236" s="11"/>
      <c r="BM236" s="11"/>
      <c r="BN236" s="11"/>
    </row>
    <row r="237" spans="62:66" x14ac:dyDescent="0.55000000000000004">
      <c r="BJ237" s="11"/>
      <c r="BK237" s="11"/>
      <c r="BL237" s="11"/>
      <c r="BM237" s="11"/>
      <c r="BN237" s="11"/>
    </row>
    <row r="238" spans="62:66" x14ac:dyDescent="0.55000000000000004">
      <c r="BJ238" s="11"/>
      <c r="BK238" s="11"/>
      <c r="BL238" s="11"/>
      <c r="BM238" s="11"/>
      <c r="BN238" s="11"/>
    </row>
    <row r="239" spans="62:66" x14ac:dyDescent="0.55000000000000004">
      <c r="BJ239" s="11"/>
      <c r="BK239" s="11"/>
      <c r="BL239" s="11"/>
      <c r="BM239" s="11"/>
      <c r="BN239" s="11"/>
    </row>
    <row r="240" spans="62:66" x14ac:dyDescent="0.55000000000000004">
      <c r="BJ240" s="11"/>
      <c r="BK240" s="11"/>
      <c r="BL240" s="11"/>
      <c r="BM240" s="11"/>
      <c r="BN240" s="11"/>
    </row>
    <row r="241" spans="62:66" x14ac:dyDescent="0.55000000000000004">
      <c r="BJ241" s="11"/>
      <c r="BK241" s="11"/>
      <c r="BL241" s="11"/>
      <c r="BM241" s="11"/>
      <c r="BN241" s="11"/>
    </row>
    <row r="242" spans="62:66" x14ac:dyDescent="0.55000000000000004">
      <c r="BJ242" s="11"/>
      <c r="BK242" s="11"/>
      <c r="BL242" s="11"/>
      <c r="BM242" s="11"/>
      <c r="BN242" s="11"/>
    </row>
    <row r="243" spans="62:66" x14ac:dyDescent="0.55000000000000004">
      <c r="BJ243" s="11"/>
      <c r="BK243" s="11"/>
      <c r="BL243" s="11"/>
      <c r="BM243" s="11"/>
      <c r="BN243" s="11"/>
    </row>
    <row r="244" spans="62:66" x14ac:dyDescent="0.55000000000000004">
      <c r="BJ244" s="11"/>
      <c r="BK244" s="11"/>
      <c r="BL244" s="11"/>
      <c r="BM244" s="11"/>
      <c r="BN244" s="11"/>
    </row>
    <row r="245" spans="62:66" x14ac:dyDescent="0.55000000000000004">
      <c r="BJ245" s="11"/>
      <c r="BK245" s="11"/>
      <c r="BL245" s="11"/>
      <c r="BM245" s="11"/>
      <c r="BN245" s="11"/>
    </row>
    <row r="246" spans="62:66" x14ac:dyDescent="0.55000000000000004">
      <c r="BJ246" s="11"/>
      <c r="BK246" s="11"/>
      <c r="BL246" s="11"/>
      <c r="BM246" s="11"/>
      <c r="BN246" s="11"/>
    </row>
    <row r="247" spans="62:66" x14ac:dyDescent="0.55000000000000004">
      <c r="BJ247" s="11"/>
      <c r="BK247" s="11"/>
      <c r="BL247" s="11"/>
      <c r="BM247" s="11"/>
      <c r="BN247" s="11"/>
    </row>
    <row r="248" spans="62:66" x14ac:dyDescent="0.55000000000000004">
      <c r="BJ248" s="11"/>
      <c r="BK248" s="11"/>
      <c r="BL248" s="11"/>
      <c r="BM248" s="11"/>
      <c r="BN248" s="11"/>
    </row>
    <row r="249" spans="62:66" x14ac:dyDescent="0.55000000000000004">
      <c r="BJ249" s="11"/>
      <c r="BK249" s="11"/>
      <c r="BL249" s="11"/>
      <c r="BM249" s="11"/>
      <c r="BN249" s="11"/>
    </row>
    <row r="250" spans="62:66" x14ac:dyDescent="0.55000000000000004">
      <c r="BJ250" s="11"/>
      <c r="BK250" s="11"/>
      <c r="BL250" s="11"/>
      <c r="BM250" s="11"/>
      <c r="BN250" s="11"/>
    </row>
    <row r="251" spans="62:66" x14ac:dyDescent="0.55000000000000004">
      <c r="BJ251" s="11"/>
      <c r="BK251" s="11"/>
      <c r="BL251" s="11"/>
      <c r="BM251" s="11"/>
      <c r="BN251" s="11"/>
    </row>
    <row r="252" spans="62:66" x14ac:dyDescent="0.55000000000000004">
      <c r="BJ252" s="11"/>
      <c r="BK252" s="11"/>
      <c r="BL252" s="11"/>
      <c r="BM252" s="11"/>
      <c r="BN252" s="11"/>
    </row>
    <row r="253" spans="62:66" x14ac:dyDescent="0.55000000000000004">
      <c r="BJ253" s="11"/>
      <c r="BK253" s="11"/>
      <c r="BL253" s="11"/>
      <c r="BM253" s="11"/>
      <c r="BN253" s="11"/>
    </row>
    <row r="254" spans="62:66" x14ac:dyDescent="0.55000000000000004">
      <c r="BJ254" s="11"/>
      <c r="BK254" s="11"/>
      <c r="BL254" s="11"/>
      <c r="BM254" s="11"/>
      <c r="BN254" s="11"/>
    </row>
    <row r="255" spans="62:66" x14ac:dyDescent="0.55000000000000004">
      <c r="BJ255" s="11"/>
      <c r="BK255" s="11"/>
      <c r="BL255" s="11"/>
      <c r="BM255" s="11"/>
      <c r="BN255" s="11"/>
    </row>
    <row r="256" spans="62:66" x14ac:dyDescent="0.55000000000000004">
      <c r="BJ256" s="11"/>
      <c r="BK256" s="11"/>
      <c r="BL256" s="11"/>
      <c r="BM256" s="11"/>
      <c r="BN256" s="11"/>
    </row>
    <row r="257" spans="62:66" x14ac:dyDescent="0.55000000000000004">
      <c r="BJ257" s="11"/>
      <c r="BK257" s="11"/>
      <c r="BL257" s="11"/>
      <c r="BM257" s="11"/>
      <c r="BN257" s="11"/>
    </row>
    <row r="258" spans="62:66" x14ac:dyDescent="0.55000000000000004">
      <c r="BJ258" s="11"/>
      <c r="BK258" s="11"/>
      <c r="BL258" s="11"/>
      <c r="BM258" s="11"/>
      <c r="BN258" s="11"/>
    </row>
    <row r="259" spans="62:66" x14ac:dyDescent="0.55000000000000004">
      <c r="BJ259" s="11"/>
      <c r="BK259" s="11"/>
      <c r="BL259" s="11"/>
      <c r="BM259" s="11"/>
      <c r="BN259" s="11"/>
    </row>
    <row r="260" spans="62:66" x14ac:dyDescent="0.55000000000000004">
      <c r="BJ260" s="11"/>
      <c r="BK260" s="11"/>
      <c r="BL260" s="11"/>
      <c r="BM260" s="11"/>
      <c r="BN260" s="11"/>
    </row>
    <row r="261" spans="62:66" x14ac:dyDescent="0.55000000000000004">
      <c r="BJ261" s="11"/>
      <c r="BK261" s="11"/>
      <c r="BL261" s="11"/>
      <c r="BM261" s="11"/>
      <c r="BN261" s="11"/>
    </row>
    <row r="262" spans="62:66" x14ac:dyDescent="0.55000000000000004">
      <c r="BJ262" s="11"/>
      <c r="BK262" s="11"/>
      <c r="BL262" s="11"/>
      <c r="BM262" s="11"/>
      <c r="BN262" s="11"/>
    </row>
    <row r="263" spans="62:66" x14ac:dyDescent="0.55000000000000004">
      <c r="BJ263" s="11"/>
      <c r="BK263" s="11"/>
      <c r="BL263" s="11"/>
      <c r="BM263" s="11"/>
      <c r="BN263" s="11"/>
    </row>
    <row r="264" spans="62:66" x14ac:dyDescent="0.55000000000000004">
      <c r="BJ264" s="11"/>
      <c r="BK264" s="11"/>
      <c r="BL264" s="11"/>
      <c r="BM264" s="11"/>
      <c r="BN264" s="11"/>
    </row>
    <row r="265" spans="62:66" x14ac:dyDescent="0.55000000000000004">
      <c r="BJ265" s="11"/>
      <c r="BK265" s="11"/>
      <c r="BL265" s="11"/>
      <c r="BM265" s="11"/>
      <c r="BN265" s="11"/>
    </row>
    <row r="266" spans="62:66" x14ac:dyDescent="0.55000000000000004">
      <c r="BJ266" s="11"/>
      <c r="BK266" s="11"/>
      <c r="BL266" s="11"/>
      <c r="BM266" s="11"/>
      <c r="BN266" s="11"/>
    </row>
    <row r="267" spans="62:66" x14ac:dyDescent="0.55000000000000004">
      <c r="BJ267" s="11"/>
      <c r="BK267" s="11"/>
      <c r="BL267" s="11"/>
      <c r="BM267" s="11"/>
      <c r="BN267" s="11"/>
    </row>
    <row r="268" spans="62:66" x14ac:dyDescent="0.55000000000000004">
      <c r="BJ268" s="11"/>
      <c r="BK268" s="11"/>
      <c r="BL268" s="11"/>
      <c r="BM268" s="11"/>
      <c r="BN268" s="11"/>
    </row>
    <row r="269" spans="62:66" x14ac:dyDescent="0.55000000000000004">
      <c r="BJ269" s="11"/>
      <c r="BK269" s="11"/>
      <c r="BL269" s="11"/>
      <c r="BM269" s="11"/>
      <c r="BN269" s="11"/>
    </row>
    <row r="270" spans="62:66" x14ac:dyDescent="0.55000000000000004">
      <c r="BJ270" s="11"/>
      <c r="BK270" s="11"/>
      <c r="BL270" s="11"/>
      <c r="BM270" s="11"/>
      <c r="BN270" s="11"/>
    </row>
    <row r="271" spans="62:66" x14ac:dyDescent="0.55000000000000004">
      <c r="BJ271" s="11"/>
      <c r="BK271" s="11"/>
      <c r="BL271" s="11"/>
      <c r="BM271" s="11"/>
      <c r="BN271" s="11"/>
    </row>
    <row r="272" spans="62:66" x14ac:dyDescent="0.55000000000000004">
      <c r="BJ272" s="11"/>
      <c r="BK272" s="11"/>
      <c r="BL272" s="11"/>
      <c r="BM272" s="11"/>
      <c r="BN272" s="11"/>
    </row>
    <row r="273" spans="62:66" x14ac:dyDescent="0.55000000000000004">
      <c r="BJ273" s="11"/>
      <c r="BK273" s="11"/>
      <c r="BL273" s="11"/>
      <c r="BM273" s="11"/>
      <c r="BN273" s="11"/>
    </row>
    <row r="274" spans="62:66" x14ac:dyDescent="0.55000000000000004">
      <c r="BJ274" s="11"/>
      <c r="BK274" s="11"/>
      <c r="BL274" s="11"/>
      <c r="BM274" s="11"/>
      <c r="BN274" s="11"/>
    </row>
    <row r="275" spans="62:66" x14ac:dyDescent="0.55000000000000004">
      <c r="BJ275" s="11"/>
      <c r="BK275" s="11"/>
      <c r="BL275" s="11"/>
      <c r="BM275" s="11"/>
      <c r="BN275" s="11"/>
    </row>
    <row r="276" spans="62:66" x14ac:dyDescent="0.55000000000000004">
      <c r="BJ276" s="11"/>
      <c r="BK276" s="11"/>
      <c r="BL276" s="11"/>
      <c r="BM276" s="11"/>
      <c r="BN276" s="11"/>
    </row>
    <row r="277" spans="62:66" x14ac:dyDescent="0.55000000000000004">
      <c r="BJ277" s="11"/>
      <c r="BK277" s="11"/>
      <c r="BL277" s="11"/>
      <c r="BM277" s="11"/>
      <c r="BN277" s="11"/>
    </row>
    <row r="278" spans="62:66" x14ac:dyDescent="0.55000000000000004">
      <c r="BJ278" s="11"/>
      <c r="BK278" s="11"/>
      <c r="BL278" s="11"/>
      <c r="BM278" s="11"/>
      <c r="BN278" s="11"/>
    </row>
    <row r="279" spans="62:66" x14ac:dyDescent="0.55000000000000004">
      <c r="BJ279" s="11"/>
      <c r="BK279" s="11"/>
      <c r="BL279" s="11"/>
      <c r="BM279" s="11"/>
      <c r="BN279" s="11"/>
    </row>
    <row r="280" spans="62:66" x14ac:dyDescent="0.55000000000000004">
      <c r="BJ280" s="11"/>
      <c r="BK280" s="11"/>
      <c r="BL280" s="11"/>
      <c r="BM280" s="11"/>
      <c r="BN280" s="11"/>
    </row>
    <row r="281" spans="62:66" x14ac:dyDescent="0.55000000000000004">
      <c r="BJ281" s="11"/>
      <c r="BK281" s="11"/>
      <c r="BL281" s="11"/>
      <c r="BM281" s="11"/>
      <c r="BN281" s="11"/>
    </row>
    <row r="282" spans="62:66" x14ac:dyDescent="0.55000000000000004">
      <c r="BJ282" s="11"/>
      <c r="BK282" s="11"/>
      <c r="BL282" s="11"/>
      <c r="BM282" s="11"/>
      <c r="BN282" s="11"/>
    </row>
    <row r="283" spans="62:66" x14ac:dyDescent="0.55000000000000004">
      <c r="BJ283" s="11"/>
      <c r="BK283" s="11"/>
      <c r="BL283" s="11"/>
      <c r="BM283" s="11"/>
      <c r="BN283" s="11"/>
    </row>
    <row r="284" spans="62:66" x14ac:dyDescent="0.55000000000000004">
      <c r="BJ284" s="11"/>
      <c r="BK284" s="11"/>
      <c r="BL284" s="11"/>
      <c r="BM284" s="11"/>
      <c r="BN284" s="11"/>
    </row>
    <row r="285" spans="62:66" x14ac:dyDescent="0.55000000000000004">
      <c r="BJ285" s="11"/>
      <c r="BK285" s="11"/>
      <c r="BL285" s="11"/>
      <c r="BM285" s="11"/>
      <c r="BN285" s="11"/>
    </row>
    <row r="286" spans="62:66" x14ac:dyDescent="0.55000000000000004">
      <c r="BJ286" s="11"/>
      <c r="BK286" s="11"/>
      <c r="BL286" s="11"/>
      <c r="BM286" s="11"/>
      <c r="BN286" s="11"/>
    </row>
    <row r="287" spans="62:66" x14ac:dyDescent="0.55000000000000004">
      <c r="BJ287" s="11"/>
      <c r="BK287" s="11"/>
      <c r="BL287" s="11"/>
      <c r="BM287" s="11"/>
      <c r="BN287" s="11"/>
    </row>
    <row r="288" spans="62:66" x14ac:dyDescent="0.55000000000000004">
      <c r="BJ288" s="11"/>
      <c r="BK288" s="11"/>
      <c r="BL288" s="11"/>
      <c r="BM288" s="11"/>
      <c r="BN288" s="11"/>
    </row>
    <row r="289" spans="62:66" x14ac:dyDescent="0.55000000000000004">
      <c r="BJ289" s="11"/>
      <c r="BK289" s="11"/>
      <c r="BL289" s="11"/>
      <c r="BM289" s="11"/>
      <c r="BN289" s="11"/>
    </row>
    <row r="290" spans="62:66" x14ac:dyDescent="0.55000000000000004">
      <c r="BJ290" s="11"/>
      <c r="BK290" s="11"/>
      <c r="BL290" s="11"/>
      <c r="BM290" s="11"/>
      <c r="BN290" s="11"/>
    </row>
    <row r="291" spans="62:66" x14ac:dyDescent="0.55000000000000004">
      <c r="BJ291" s="11"/>
      <c r="BK291" s="11"/>
      <c r="BL291" s="11"/>
      <c r="BM291" s="11"/>
      <c r="BN291" s="11"/>
    </row>
    <row r="292" spans="62:66" x14ac:dyDescent="0.55000000000000004">
      <c r="BJ292" s="11"/>
      <c r="BK292" s="11"/>
      <c r="BL292" s="11"/>
      <c r="BM292" s="11"/>
      <c r="BN292" s="11"/>
    </row>
    <row r="293" spans="62:66" x14ac:dyDescent="0.55000000000000004">
      <c r="BJ293" s="11"/>
      <c r="BK293" s="11"/>
      <c r="BL293" s="11"/>
      <c r="BM293" s="11"/>
      <c r="BN293" s="11"/>
    </row>
    <row r="294" spans="62:66" x14ac:dyDescent="0.55000000000000004">
      <c r="BJ294" s="11"/>
      <c r="BK294" s="11"/>
      <c r="BL294" s="11"/>
      <c r="BM294" s="11"/>
      <c r="BN294" s="11"/>
    </row>
    <row r="295" spans="62:66" x14ac:dyDescent="0.55000000000000004">
      <c r="BJ295" s="11"/>
      <c r="BK295" s="11"/>
      <c r="BL295" s="11"/>
      <c r="BM295" s="11"/>
      <c r="BN295" s="11"/>
    </row>
    <row r="296" spans="62:66" x14ac:dyDescent="0.55000000000000004">
      <c r="BJ296" s="11"/>
      <c r="BK296" s="11"/>
      <c r="BL296" s="11"/>
      <c r="BM296" s="11"/>
      <c r="BN296" s="11"/>
    </row>
    <row r="297" spans="62:66" x14ac:dyDescent="0.55000000000000004">
      <c r="BJ297" s="11"/>
      <c r="BK297" s="11"/>
      <c r="BL297" s="11"/>
      <c r="BM297" s="11"/>
      <c r="BN297" s="11"/>
    </row>
    <row r="298" spans="62:66" x14ac:dyDescent="0.55000000000000004">
      <c r="BJ298" s="11"/>
      <c r="BK298" s="11"/>
      <c r="BL298" s="11"/>
      <c r="BM298" s="11"/>
      <c r="BN298" s="11"/>
    </row>
    <row r="299" spans="62:66" x14ac:dyDescent="0.55000000000000004">
      <c r="BJ299" s="11"/>
      <c r="BK299" s="11"/>
      <c r="BL299" s="11"/>
      <c r="BM299" s="11"/>
      <c r="BN299" s="11"/>
    </row>
    <row r="300" spans="62:66" x14ac:dyDescent="0.55000000000000004">
      <c r="BJ300" s="11"/>
      <c r="BK300" s="11"/>
      <c r="BL300" s="11"/>
      <c r="BM300" s="11"/>
      <c r="BN300" s="11"/>
    </row>
    <row r="301" spans="62:66" x14ac:dyDescent="0.55000000000000004">
      <c r="BJ301" s="11"/>
      <c r="BK301" s="11"/>
      <c r="BL301" s="11"/>
      <c r="BM301" s="11"/>
      <c r="BN301" s="11"/>
    </row>
    <row r="302" spans="62:66" x14ac:dyDescent="0.55000000000000004">
      <c r="BJ302" s="11"/>
      <c r="BK302" s="11"/>
      <c r="BL302" s="11"/>
      <c r="BM302" s="11"/>
      <c r="BN302" s="11"/>
    </row>
    <row r="303" spans="62:66" x14ac:dyDescent="0.55000000000000004">
      <c r="BJ303" s="11"/>
      <c r="BK303" s="11"/>
      <c r="BL303" s="11"/>
      <c r="BM303" s="11"/>
      <c r="BN303" s="11"/>
    </row>
    <row r="304" spans="62:66" x14ac:dyDescent="0.55000000000000004">
      <c r="BJ304" s="11"/>
      <c r="BK304" s="11"/>
      <c r="BL304" s="11"/>
      <c r="BM304" s="11"/>
      <c r="BN304" s="11"/>
    </row>
    <row r="305" spans="62:66" x14ac:dyDescent="0.55000000000000004">
      <c r="BJ305" s="11"/>
      <c r="BK305" s="11"/>
      <c r="BL305" s="11"/>
      <c r="BM305" s="11"/>
      <c r="BN305" s="11"/>
    </row>
    <row r="306" spans="62:66" x14ac:dyDescent="0.55000000000000004">
      <c r="BJ306" s="11"/>
      <c r="BK306" s="11"/>
      <c r="BL306" s="11"/>
      <c r="BM306" s="11"/>
      <c r="BN306" s="11"/>
    </row>
    <row r="307" spans="62:66" x14ac:dyDescent="0.55000000000000004">
      <c r="BJ307" s="11"/>
      <c r="BK307" s="11"/>
      <c r="BL307" s="11"/>
      <c r="BM307" s="11"/>
      <c r="BN307" s="11"/>
    </row>
    <row r="308" spans="62:66" x14ac:dyDescent="0.55000000000000004">
      <c r="BJ308" s="11"/>
      <c r="BK308" s="11"/>
      <c r="BL308" s="11"/>
      <c r="BM308" s="11"/>
      <c r="BN308" s="11"/>
    </row>
    <row r="309" spans="62:66" x14ac:dyDescent="0.55000000000000004">
      <c r="BJ309" s="11"/>
      <c r="BK309" s="11"/>
      <c r="BL309" s="11"/>
      <c r="BM309" s="11"/>
      <c r="BN309" s="11"/>
    </row>
    <row r="310" spans="62:66" x14ac:dyDescent="0.55000000000000004">
      <c r="BJ310" s="11"/>
      <c r="BK310" s="11"/>
      <c r="BL310" s="11"/>
      <c r="BM310" s="11"/>
      <c r="BN310" s="11"/>
    </row>
    <row r="311" spans="62:66" x14ac:dyDescent="0.55000000000000004">
      <c r="BJ311" s="11"/>
      <c r="BK311" s="11"/>
      <c r="BL311" s="11"/>
      <c r="BM311" s="11"/>
      <c r="BN311" s="11"/>
    </row>
    <row r="312" spans="62:66" x14ac:dyDescent="0.55000000000000004">
      <c r="BJ312" s="11"/>
      <c r="BK312" s="11"/>
      <c r="BL312" s="11"/>
      <c r="BM312" s="11"/>
      <c r="BN312" s="11"/>
    </row>
    <row r="313" spans="62:66" x14ac:dyDescent="0.55000000000000004">
      <c r="BJ313" s="11"/>
      <c r="BK313" s="11"/>
      <c r="BL313" s="11"/>
      <c r="BM313" s="11"/>
      <c r="BN313" s="11"/>
    </row>
    <row r="314" spans="62:66" x14ac:dyDescent="0.55000000000000004">
      <c r="BJ314" s="11"/>
      <c r="BK314" s="11"/>
      <c r="BL314" s="11"/>
      <c r="BM314" s="11"/>
      <c r="BN314" s="11"/>
    </row>
    <row r="315" spans="62:66" x14ac:dyDescent="0.55000000000000004">
      <c r="BJ315" s="11"/>
      <c r="BK315" s="11"/>
      <c r="BL315" s="11"/>
      <c r="BM315" s="11"/>
      <c r="BN315" s="11"/>
    </row>
    <row r="316" spans="62:66" x14ac:dyDescent="0.55000000000000004">
      <c r="BJ316" s="11"/>
      <c r="BK316" s="11"/>
      <c r="BL316" s="11"/>
      <c r="BM316" s="11"/>
      <c r="BN316" s="11"/>
    </row>
    <row r="317" spans="62:66" x14ac:dyDescent="0.55000000000000004">
      <c r="BJ317" s="11"/>
      <c r="BK317" s="11"/>
      <c r="BL317" s="11"/>
      <c r="BM317" s="11"/>
      <c r="BN317" s="11"/>
    </row>
    <row r="318" spans="62:66" x14ac:dyDescent="0.55000000000000004">
      <c r="BJ318" s="11"/>
      <c r="BK318" s="11"/>
      <c r="BL318" s="11"/>
      <c r="BM318" s="11"/>
      <c r="BN318" s="11"/>
    </row>
    <row r="319" spans="62:66" x14ac:dyDescent="0.55000000000000004">
      <c r="BJ319" s="11"/>
      <c r="BK319" s="11"/>
      <c r="BL319" s="11"/>
      <c r="BM319" s="11"/>
      <c r="BN319" s="11"/>
    </row>
    <row r="320" spans="62:66" x14ac:dyDescent="0.55000000000000004">
      <c r="BJ320" s="11"/>
      <c r="BK320" s="11"/>
      <c r="BL320" s="11"/>
      <c r="BM320" s="11"/>
      <c r="BN320" s="11"/>
    </row>
    <row r="321" spans="62:66" x14ac:dyDescent="0.55000000000000004">
      <c r="BJ321" s="11"/>
      <c r="BK321" s="11"/>
      <c r="BL321" s="11"/>
      <c r="BM321" s="11"/>
      <c r="BN321" s="11"/>
    </row>
    <row r="322" spans="62:66" x14ac:dyDescent="0.55000000000000004">
      <c r="BJ322" s="11"/>
      <c r="BK322" s="11"/>
      <c r="BL322" s="11"/>
      <c r="BM322" s="11"/>
      <c r="BN322" s="11"/>
    </row>
    <row r="323" spans="62:66" x14ac:dyDescent="0.55000000000000004">
      <c r="BJ323" s="11"/>
      <c r="BK323" s="11"/>
      <c r="BL323" s="11"/>
      <c r="BM323" s="11"/>
      <c r="BN323" s="11"/>
    </row>
    <row r="324" spans="62:66" x14ac:dyDescent="0.55000000000000004">
      <c r="BJ324" s="11"/>
      <c r="BK324" s="11"/>
      <c r="BL324" s="11"/>
      <c r="BM324" s="11"/>
      <c r="BN324" s="11"/>
    </row>
    <row r="325" spans="62:66" x14ac:dyDescent="0.55000000000000004">
      <c r="BJ325" s="11"/>
      <c r="BK325" s="11"/>
      <c r="BL325" s="11"/>
      <c r="BM325" s="11"/>
      <c r="BN325" s="11"/>
    </row>
    <row r="326" spans="62:66" x14ac:dyDescent="0.55000000000000004">
      <c r="BJ326" s="11"/>
      <c r="BK326" s="11"/>
      <c r="BL326" s="11"/>
      <c r="BM326" s="11"/>
      <c r="BN326" s="11"/>
    </row>
    <row r="327" spans="62:66" x14ac:dyDescent="0.55000000000000004">
      <c r="BJ327" s="11"/>
      <c r="BK327" s="11"/>
      <c r="BL327" s="11"/>
      <c r="BM327" s="11"/>
      <c r="BN327" s="11"/>
    </row>
    <row r="328" spans="62:66" x14ac:dyDescent="0.55000000000000004">
      <c r="BJ328" s="11"/>
      <c r="BK328" s="11"/>
      <c r="BL328" s="11"/>
      <c r="BM328" s="11"/>
      <c r="BN328" s="11"/>
    </row>
    <row r="329" spans="62:66" x14ac:dyDescent="0.55000000000000004">
      <c r="BJ329" s="11"/>
      <c r="BK329" s="11"/>
      <c r="BL329" s="11"/>
      <c r="BM329" s="11"/>
      <c r="BN329" s="11"/>
    </row>
    <row r="330" spans="62:66" x14ac:dyDescent="0.55000000000000004">
      <c r="BJ330" s="11"/>
      <c r="BK330" s="11"/>
      <c r="BL330" s="11"/>
      <c r="BM330" s="11"/>
      <c r="BN330" s="11"/>
    </row>
    <row r="331" spans="62:66" x14ac:dyDescent="0.55000000000000004">
      <c r="BJ331" s="11"/>
      <c r="BK331" s="11"/>
      <c r="BL331" s="11"/>
      <c r="BM331" s="11"/>
      <c r="BN331" s="11"/>
    </row>
    <row r="332" spans="62:66" x14ac:dyDescent="0.55000000000000004">
      <c r="BJ332" s="11"/>
      <c r="BK332" s="11"/>
      <c r="BL332" s="11"/>
      <c r="BM332" s="11"/>
      <c r="BN332" s="11"/>
    </row>
    <row r="333" spans="62:66" x14ac:dyDescent="0.55000000000000004">
      <c r="BJ333" s="11"/>
      <c r="BK333" s="11"/>
      <c r="BL333" s="11"/>
      <c r="BM333" s="11"/>
      <c r="BN333" s="11"/>
    </row>
    <row r="334" spans="62:66" x14ac:dyDescent="0.55000000000000004">
      <c r="BJ334" s="11"/>
      <c r="BK334" s="11"/>
      <c r="BL334" s="11"/>
      <c r="BM334" s="11"/>
      <c r="BN334" s="11"/>
    </row>
    <row r="335" spans="62:66" x14ac:dyDescent="0.55000000000000004">
      <c r="BJ335" s="11"/>
      <c r="BK335" s="11"/>
      <c r="BL335" s="11"/>
      <c r="BM335" s="11"/>
      <c r="BN335" s="11"/>
    </row>
    <row r="336" spans="62:66" x14ac:dyDescent="0.55000000000000004">
      <c r="BJ336" s="11"/>
      <c r="BK336" s="11"/>
      <c r="BL336" s="11"/>
      <c r="BM336" s="11"/>
      <c r="BN336" s="11"/>
    </row>
    <row r="337" spans="62:66" x14ac:dyDescent="0.55000000000000004">
      <c r="BJ337" s="11"/>
      <c r="BK337" s="11"/>
      <c r="BL337" s="11"/>
      <c r="BM337" s="11"/>
      <c r="BN337" s="11"/>
    </row>
    <row r="338" spans="62:66" x14ac:dyDescent="0.55000000000000004">
      <c r="BJ338" s="11"/>
      <c r="BK338" s="11"/>
      <c r="BL338" s="11"/>
      <c r="BM338" s="11"/>
      <c r="BN338" s="11"/>
    </row>
    <row r="339" spans="62:66" x14ac:dyDescent="0.55000000000000004">
      <c r="BJ339" s="11"/>
      <c r="BK339" s="11"/>
      <c r="BL339" s="11"/>
      <c r="BM339" s="11"/>
      <c r="BN339" s="11"/>
    </row>
    <row r="340" spans="62:66" x14ac:dyDescent="0.55000000000000004">
      <c r="BJ340" s="11"/>
      <c r="BK340" s="11"/>
      <c r="BL340" s="11"/>
      <c r="BM340" s="11"/>
      <c r="BN340" s="11"/>
    </row>
    <row r="341" spans="62:66" x14ac:dyDescent="0.55000000000000004">
      <c r="BJ341" s="11"/>
      <c r="BK341" s="11"/>
      <c r="BL341" s="11"/>
      <c r="BM341" s="11"/>
      <c r="BN341" s="11"/>
    </row>
    <row r="342" spans="62:66" x14ac:dyDescent="0.55000000000000004">
      <c r="BJ342" s="11"/>
      <c r="BK342" s="11"/>
      <c r="BL342" s="11"/>
      <c r="BM342" s="11"/>
      <c r="BN342" s="11"/>
    </row>
    <row r="343" spans="62:66" x14ac:dyDescent="0.55000000000000004">
      <c r="BJ343" s="11"/>
      <c r="BK343" s="11"/>
      <c r="BL343" s="11"/>
      <c r="BM343" s="11"/>
      <c r="BN343" s="11"/>
    </row>
    <row r="344" spans="62:66" x14ac:dyDescent="0.55000000000000004">
      <c r="BJ344" s="11"/>
      <c r="BK344" s="11"/>
      <c r="BL344" s="11"/>
      <c r="BM344" s="11"/>
      <c r="BN344" s="11"/>
    </row>
    <row r="345" spans="62:66" x14ac:dyDescent="0.55000000000000004">
      <c r="BJ345" s="11"/>
      <c r="BK345" s="11"/>
      <c r="BL345" s="11"/>
      <c r="BM345" s="11"/>
      <c r="BN345" s="11"/>
    </row>
    <row r="346" spans="62:66" x14ac:dyDescent="0.55000000000000004">
      <c r="BJ346" s="11"/>
      <c r="BK346" s="11"/>
      <c r="BL346" s="11"/>
      <c r="BM346" s="11"/>
      <c r="BN346" s="11"/>
    </row>
    <row r="347" spans="62:66" x14ac:dyDescent="0.55000000000000004">
      <c r="BJ347" s="11"/>
      <c r="BK347" s="11"/>
      <c r="BL347" s="11"/>
      <c r="BM347" s="11"/>
      <c r="BN347" s="11"/>
    </row>
    <row r="348" spans="62:66" x14ac:dyDescent="0.55000000000000004">
      <c r="BJ348" s="11"/>
      <c r="BK348" s="11"/>
      <c r="BL348" s="11"/>
      <c r="BM348" s="11"/>
      <c r="BN348" s="11"/>
    </row>
    <row r="349" spans="62:66" x14ac:dyDescent="0.55000000000000004">
      <c r="BJ349" s="11"/>
      <c r="BK349" s="11"/>
      <c r="BL349" s="11"/>
      <c r="BM349" s="11"/>
      <c r="BN349" s="11"/>
    </row>
    <row r="350" spans="62:66" x14ac:dyDescent="0.55000000000000004">
      <c r="BJ350" s="11"/>
      <c r="BK350" s="11"/>
      <c r="BL350" s="11"/>
      <c r="BM350" s="11"/>
      <c r="BN350" s="11"/>
    </row>
    <row r="351" spans="62:66" x14ac:dyDescent="0.55000000000000004">
      <c r="BJ351" s="11"/>
      <c r="BK351" s="11"/>
      <c r="BL351" s="11"/>
      <c r="BM351" s="11"/>
      <c r="BN351" s="11"/>
    </row>
    <row r="352" spans="62:66" x14ac:dyDescent="0.55000000000000004">
      <c r="BJ352" s="11"/>
      <c r="BK352" s="11"/>
      <c r="BL352" s="11"/>
      <c r="BM352" s="11"/>
      <c r="BN352" s="11"/>
    </row>
    <row r="353" spans="62:66" x14ac:dyDescent="0.55000000000000004">
      <c r="BJ353" s="11"/>
      <c r="BK353" s="11"/>
      <c r="BL353" s="11"/>
      <c r="BM353" s="11"/>
      <c r="BN353" s="11"/>
    </row>
    <row r="354" spans="62:66" x14ac:dyDescent="0.55000000000000004">
      <c r="BJ354" s="11"/>
      <c r="BK354" s="11"/>
      <c r="BL354" s="11"/>
      <c r="BM354" s="11"/>
      <c r="BN354" s="11"/>
    </row>
    <row r="355" spans="62:66" x14ac:dyDescent="0.55000000000000004">
      <c r="BJ355" s="11"/>
      <c r="BK355" s="11"/>
      <c r="BL355" s="11"/>
      <c r="BM355" s="11"/>
      <c r="BN355" s="11"/>
    </row>
    <row r="356" spans="62:66" x14ac:dyDescent="0.55000000000000004">
      <c r="BJ356" s="11"/>
      <c r="BK356" s="11"/>
      <c r="BL356" s="11"/>
      <c r="BM356" s="11"/>
      <c r="BN356" s="11"/>
    </row>
    <row r="357" spans="62:66" x14ac:dyDescent="0.55000000000000004">
      <c r="BJ357" s="11"/>
      <c r="BK357" s="11"/>
      <c r="BL357" s="11"/>
      <c r="BM357" s="11"/>
      <c r="BN357" s="11"/>
    </row>
    <row r="358" spans="62:66" x14ac:dyDescent="0.55000000000000004">
      <c r="BJ358" s="11"/>
      <c r="BK358" s="11"/>
      <c r="BL358" s="11"/>
      <c r="BM358" s="11"/>
      <c r="BN358" s="11"/>
    </row>
    <row r="359" spans="62:66" x14ac:dyDescent="0.55000000000000004">
      <c r="BJ359" s="11"/>
      <c r="BK359" s="11"/>
      <c r="BL359" s="11"/>
      <c r="BM359" s="11"/>
      <c r="BN359" s="11"/>
    </row>
    <row r="360" spans="62:66" x14ac:dyDescent="0.55000000000000004">
      <c r="BJ360" s="11"/>
      <c r="BK360" s="11"/>
      <c r="BL360" s="11"/>
      <c r="BM360" s="11"/>
      <c r="BN360" s="11"/>
    </row>
    <row r="361" spans="62:66" x14ac:dyDescent="0.55000000000000004">
      <c r="BJ361" s="11"/>
      <c r="BK361" s="11"/>
      <c r="BL361" s="11"/>
      <c r="BM361" s="11"/>
      <c r="BN361" s="11"/>
    </row>
    <row r="362" spans="62:66" x14ac:dyDescent="0.55000000000000004">
      <c r="BJ362" s="11"/>
      <c r="BK362" s="11"/>
      <c r="BL362" s="11"/>
      <c r="BM362" s="11"/>
      <c r="BN362" s="11"/>
    </row>
    <row r="363" spans="62:66" x14ac:dyDescent="0.55000000000000004">
      <c r="BJ363" s="11"/>
      <c r="BK363" s="11"/>
      <c r="BL363" s="11"/>
      <c r="BM363" s="11"/>
      <c r="BN363" s="11"/>
    </row>
    <row r="364" spans="62:66" x14ac:dyDescent="0.55000000000000004">
      <c r="BJ364" s="11"/>
      <c r="BK364" s="11"/>
      <c r="BL364" s="11"/>
      <c r="BM364" s="11"/>
      <c r="BN364" s="11"/>
    </row>
    <row r="365" spans="62:66" x14ac:dyDescent="0.55000000000000004">
      <c r="BJ365" s="11"/>
      <c r="BK365" s="11"/>
      <c r="BL365" s="11"/>
      <c r="BM365" s="11"/>
      <c r="BN365" s="11"/>
    </row>
    <row r="366" spans="62:66" x14ac:dyDescent="0.55000000000000004">
      <c r="BJ366" s="11"/>
      <c r="BK366" s="11"/>
      <c r="BL366" s="11"/>
      <c r="BM366" s="11"/>
      <c r="BN366" s="11"/>
    </row>
    <row r="367" spans="62:66" x14ac:dyDescent="0.55000000000000004">
      <c r="BJ367" s="11"/>
      <c r="BK367" s="11"/>
      <c r="BL367" s="11"/>
      <c r="BM367" s="11"/>
      <c r="BN367" s="11"/>
    </row>
    <row r="368" spans="62:66" x14ac:dyDescent="0.55000000000000004">
      <c r="BJ368" s="11"/>
      <c r="BK368" s="11"/>
      <c r="BL368" s="11"/>
      <c r="BM368" s="11"/>
      <c r="BN368" s="11"/>
    </row>
    <row r="369" spans="62:66" x14ac:dyDescent="0.55000000000000004">
      <c r="BJ369" s="11"/>
      <c r="BK369" s="11"/>
      <c r="BL369" s="11"/>
      <c r="BM369" s="11"/>
      <c r="BN369" s="11"/>
    </row>
    <row r="370" spans="62:66" x14ac:dyDescent="0.55000000000000004">
      <c r="BJ370" s="11"/>
      <c r="BK370" s="11"/>
      <c r="BL370" s="11"/>
      <c r="BM370" s="11"/>
      <c r="BN370" s="11"/>
    </row>
    <row r="371" spans="62:66" x14ac:dyDescent="0.55000000000000004">
      <c r="BJ371" s="11"/>
      <c r="BK371" s="11"/>
      <c r="BL371" s="11"/>
      <c r="BM371" s="11"/>
      <c r="BN371" s="11"/>
    </row>
    <row r="372" spans="62:66" x14ac:dyDescent="0.55000000000000004">
      <c r="BJ372" s="11"/>
      <c r="BK372" s="11"/>
      <c r="BL372" s="11"/>
      <c r="BM372" s="11"/>
      <c r="BN372" s="11"/>
    </row>
    <row r="373" spans="62:66" x14ac:dyDescent="0.55000000000000004">
      <c r="BJ373" s="11"/>
      <c r="BK373" s="11"/>
      <c r="BL373" s="11"/>
      <c r="BM373" s="11"/>
      <c r="BN373" s="11"/>
    </row>
    <row r="374" spans="62:66" x14ac:dyDescent="0.55000000000000004">
      <c r="BJ374" s="11"/>
      <c r="BK374" s="11"/>
      <c r="BL374" s="11"/>
      <c r="BM374" s="11"/>
      <c r="BN374" s="11"/>
    </row>
    <row r="375" spans="62:66" x14ac:dyDescent="0.55000000000000004">
      <c r="BJ375" s="11"/>
      <c r="BK375" s="11"/>
      <c r="BL375" s="11"/>
      <c r="BM375" s="11"/>
      <c r="BN375" s="11"/>
    </row>
    <row r="376" spans="62:66" x14ac:dyDescent="0.55000000000000004">
      <c r="BJ376" s="11"/>
      <c r="BK376" s="11"/>
      <c r="BL376" s="11"/>
      <c r="BM376" s="11"/>
      <c r="BN376" s="11"/>
    </row>
    <row r="377" spans="62:66" x14ac:dyDescent="0.55000000000000004">
      <c r="BJ377" s="11"/>
      <c r="BK377" s="11"/>
      <c r="BL377" s="11"/>
      <c r="BM377" s="11"/>
      <c r="BN377" s="11"/>
    </row>
    <row r="378" spans="62:66" x14ac:dyDescent="0.55000000000000004">
      <c r="BJ378" s="11"/>
      <c r="BK378" s="11"/>
      <c r="BL378" s="11"/>
      <c r="BM378" s="11"/>
      <c r="BN378" s="11"/>
    </row>
    <row r="379" spans="62:66" x14ac:dyDescent="0.55000000000000004">
      <c r="BJ379" s="11"/>
      <c r="BK379" s="11"/>
      <c r="BL379" s="11"/>
      <c r="BM379" s="11"/>
      <c r="BN379" s="11"/>
    </row>
    <row r="380" spans="62:66" x14ac:dyDescent="0.55000000000000004">
      <c r="BJ380" s="11"/>
      <c r="BK380" s="11"/>
      <c r="BL380" s="11"/>
      <c r="BM380" s="11"/>
      <c r="BN380" s="11"/>
    </row>
    <row r="381" spans="62:66" x14ac:dyDescent="0.55000000000000004">
      <c r="BJ381" s="11"/>
      <c r="BK381" s="11"/>
      <c r="BL381" s="11"/>
      <c r="BM381" s="11"/>
      <c r="BN381" s="11"/>
    </row>
    <row r="382" spans="62:66" x14ac:dyDescent="0.55000000000000004">
      <c r="BJ382" s="11"/>
      <c r="BK382" s="11"/>
      <c r="BL382" s="11"/>
      <c r="BM382" s="11"/>
      <c r="BN382" s="11"/>
    </row>
    <row r="383" spans="62:66" x14ac:dyDescent="0.55000000000000004">
      <c r="BJ383" s="11"/>
      <c r="BK383" s="11"/>
      <c r="BL383" s="11"/>
      <c r="BM383" s="11"/>
      <c r="BN383" s="11"/>
    </row>
    <row r="384" spans="62:66" x14ac:dyDescent="0.55000000000000004">
      <c r="BJ384" s="11"/>
      <c r="BK384" s="11"/>
      <c r="BL384" s="11"/>
      <c r="BM384" s="11"/>
      <c r="BN384" s="11"/>
    </row>
    <row r="385" spans="62:66" x14ac:dyDescent="0.55000000000000004">
      <c r="BJ385" s="11"/>
      <c r="BK385" s="11"/>
      <c r="BL385" s="11"/>
      <c r="BM385" s="11"/>
      <c r="BN385" s="11"/>
    </row>
    <row r="386" spans="62:66" x14ac:dyDescent="0.55000000000000004">
      <c r="BJ386" s="11"/>
      <c r="BK386" s="11"/>
      <c r="BL386" s="11"/>
      <c r="BM386" s="11"/>
      <c r="BN386" s="11"/>
    </row>
    <row r="387" spans="62:66" x14ac:dyDescent="0.55000000000000004">
      <c r="BJ387" s="11"/>
      <c r="BK387" s="11"/>
      <c r="BL387" s="11"/>
      <c r="BM387" s="11"/>
      <c r="BN387" s="11"/>
    </row>
    <row r="388" spans="62:66" x14ac:dyDescent="0.55000000000000004">
      <c r="BJ388" s="11"/>
      <c r="BK388" s="11"/>
      <c r="BL388" s="11"/>
      <c r="BM388" s="11"/>
      <c r="BN388" s="11"/>
    </row>
    <row r="389" spans="62:66" x14ac:dyDescent="0.55000000000000004">
      <c r="BJ389" s="11"/>
      <c r="BK389" s="11"/>
      <c r="BL389" s="11"/>
      <c r="BM389" s="11"/>
      <c r="BN389" s="11"/>
    </row>
    <row r="390" spans="62:66" x14ac:dyDescent="0.55000000000000004">
      <c r="BJ390" s="11"/>
      <c r="BK390" s="11"/>
      <c r="BL390" s="11"/>
      <c r="BM390" s="11"/>
      <c r="BN390" s="11"/>
    </row>
    <row r="391" spans="62:66" x14ac:dyDescent="0.55000000000000004">
      <c r="BJ391" s="11"/>
      <c r="BK391" s="11"/>
      <c r="BL391" s="11"/>
      <c r="BM391" s="11"/>
      <c r="BN391" s="11"/>
    </row>
    <row r="392" spans="62:66" x14ac:dyDescent="0.55000000000000004">
      <c r="BJ392" s="11"/>
      <c r="BK392" s="11"/>
      <c r="BL392" s="11"/>
      <c r="BM392" s="11"/>
      <c r="BN392" s="11"/>
    </row>
    <row r="393" spans="62:66" x14ac:dyDescent="0.55000000000000004">
      <c r="BJ393" s="11"/>
      <c r="BK393" s="11"/>
      <c r="BL393" s="11"/>
      <c r="BM393" s="11"/>
      <c r="BN393" s="11"/>
    </row>
    <row r="394" spans="62:66" x14ac:dyDescent="0.55000000000000004">
      <c r="BJ394" s="11"/>
      <c r="BK394" s="11"/>
      <c r="BL394" s="11"/>
      <c r="BM394" s="11"/>
      <c r="BN394" s="11"/>
    </row>
    <row r="395" spans="62:66" x14ac:dyDescent="0.55000000000000004">
      <c r="BJ395" s="11"/>
      <c r="BK395" s="11"/>
      <c r="BL395" s="11"/>
      <c r="BM395" s="11"/>
      <c r="BN395" s="11"/>
    </row>
    <row r="396" spans="62:66" x14ac:dyDescent="0.55000000000000004">
      <c r="BJ396" s="11"/>
      <c r="BK396" s="11"/>
      <c r="BL396" s="11"/>
      <c r="BM396" s="11"/>
      <c r="BN396" s="11"/>
    </row>
    <row r="397" spans="62:66" x14ac:dyDescent="0.55000000000000004">
      <c r="BJ397" s="11"/>
      <c r="BK397" s="11"/>
      <c r="BL397" s="11"/>
      <c r="BM397" s="11"/>
      <c r="BN397" s="11"/>
    </row>
    <row r="398" spans="62:66" x14ac:dyDescent="0.55000000000000004">
      <c r="BJ398" s="11"/>
      <c r="BK398" s="11"/>
      <c r="BL398" s="11"/>
      <c r="BM398" s="11"/>
      <c r="BN398" s="11"/>
    </row>
    <row r="399" spans="62:66" x14ac:dyDescent="0.55000000000000004">
      <c r="BJ399" s="11"/>
      <c r="BK399" s="11"/>
      <c r="BL399" s="11"/>
      <c r="BM399" s="11"/>
      <c r="BN399" s="11"/>
    </row>
    <row r="400" spans="62:66" x14ac:dyDescent="0.55000000000000004">
      <c r="BJ400" s="11"/>
      <c r="BK400" s="11"/>
      <c r="BL400" s="11"/>
      <c r="BM400" s="11"/>
      <c r="BN400" s="11"/>
    </row>
    <row r="401" spans="62:66" x14ac:dyDescent="0.55000000000000004">
      <c r="BJ401" s="11"/>
      <c r="BK401" s="11"/>
      <c r="BL401" s="11"/>
      <c r="BM401" s="11"/>
      <c r="BN401" s="11"/>
    </row>
  </sheetData>
  <phoneticPr fontId="2"/>
  <conditionalFormatting sqref="G12:R2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8">
    <dataValidation type="whole" allowBlank="1" showInputMessage="1" showErrorMessage="1" prompt="復元に使う主成分の本数" sqref="B11" xr:uid="{2A1C2779-5E5E-4100-8228-DC5BAB6F0EC3}">
      <formula1>1</formula1>
      <formula2>50</formula2>
    </dataValidation>
    <dataValidation type="list" allowBlank="1" showInputMessage="1" showErrorMessage="1" sqref="B15:B30 D15:D26" xr:uid="{805B1E78-A7C6-468C-B156-598800734A53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B2EB3CCC-E169-4510-AC05-0BC173E104C0}"/>
    <dataValidation allowBlank="1" showInputMessage="1" showErrorMessage="1" prompt="サンプル数。選択銘柄が1本でも欠けた日は除外し、さらに過去へさかのぼる" sqref="B5" xr:uid="{EC40024D-C645-4557-8797-77A79149E40E}"/>
    <dataValidation allowBlank="1" showInputMessage="1" showErrorMessage="1" prompt="復元・差分を見る日。空欄=今日(RealTimeのライブの値)。日付=DBのその日の引け値。Window endと独立に選べる" sqref="B10" xr:uid="{646C0420-BC5D-4CD5-BBAB-FBA5BD18158B}"/>
    <dataValidation type="list" allowBlank="1" showInputMessage="1" showErrorMessage="1" sqref="B1" xr:uid="{925A9DF6-D002-46B4-AE74-13A02ACF4839}">
      <formula1>"Live,Fixed"</formula1>
    </dataValidation>
    <dataValidation type="list" allowBlank="1" showInputMessage="1" showErrorMessage="1" prompt="Level=水準のPCA / Change=前営業日からの変化のPCA" sqref="B6" xr:uid="{C5CF4F13-3B4B-4DCA-ACF3-21CE36C9858D}">
      <formula1>"Level,Change"</formula1>
    </dataValidation>
    <dataValidation type="list" allowBlank="1" showInputMessage="1" showErrorMessage="1" prompt="No=分散共分散(bp)のPCA / Yes=z-score(相関行列)のPCA" sqref="B7" xr:uid="{4678EF58-67AC-4A61-AE62-7E2075D5FC8F}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65898-6DE7-455B-AF25-28B406D911CD}">
  <sheetPr codeName="Sheet1"/>
  <dimension ref="A1:BL467"/>
  <sheetViews>
    <sheetView zoomScale="75" workbookViewId="0">
      <selection activeCell="N5" sqref="N5"/>
    </sheetView>
  </sheetViews>
  <sheetFormatPr defaultRowHeight="18.5" outlineLevelCol="1" x14ac:dyDescent="0.55000000000000004"/>
  <cols>
    <col min="1" max="1" width="17.58203125" customWidth="1"/>
    <col min="2" max="2" width="11.58203125" customWidth="1"/>
    <col min="3" max="3" width="8.58203125" customWidth="1"/>
    <col min="4" max="4" width="11.58203125" customWidth="1"/>
    <col min="5" max="5" width="3.1640625" customWidth="1"/>
    <col min="6" max="6" width="16.58203125" customWidth="1"/>
    <col min="7" max="10" width="11.58203125" customWidth="1"/>
    <col min="27" max="37" width="0" hidden="1" customWidth="1" outlineLevel="1"/>
    <col min="38" max="38" width="0" style="7" hidden="1" customWidth="1" outlineLevel="1"/>
    <col min="39" max="52" width="0" style="14" hidden="1" customWidth="1" outlineLevel="1"/>
    <col min="53" max="57" width="0" hidden="1" customWidth="1" outlineLevel="1"/>
    <col min="58" max="58" width="0" style="7" hidden="1" customWidth="1" outlineLevel="1"/>
    <col min="59" max="63" width="0" style="14" hidden="1" customWidth="1" outlineLevel="1"/>
    <col min="64" max="64" width="8.6640625" collapsed="1"/>
  </cols>
  <sheetData>
    <row r="1" spans="1:63" x14ac:dyDescent="0.55000000000000004">
      <c r="A1" s="4" t="s">
        <v>58</v>
      </c>
      <c r="B1" s="2" t="s">
        <v>53</v>
      </c>
      <c r="C1" t="s">
        <v>59</v>
      </c>
      <c r="D1" s="19" cm="1">
        <f t="array" aca="1" ref="D1" ca="1">LiveInfo("vol",_xlfn.ANCHORARRAY($BB$3))</f>
      </c>
      <c r="E1" t="s">
        <v>60</v>
      </c>
    </row>
    <row r="2" spans="1:63" ht="20" x14ac:dyDescent="0.55000000000000004">
      <c r="A2" s="20" t="s">
        <v>61</v>
      </c>
      <c r="AB2" s="4" t="s">
        <v>74</v>
      </c>
      <c r="AL2" s="23"/>
      <c r="AV2" s="24" t="s">
        <v>90</v>
      </c>
      <c r="BB2" s="4" t="s">
        <v>91</v>
      </c>
      <c r="BF2" s="23" t="s">
        <v>92</v>
      </c>
      <c r="BG2" s="24"/>
      <c r="BH2" s="24"/>
      <c r="BI2" s="24"/>
      <c r="BJ2" s="24"/>
      <c r="BK2" s="24"/>
    </row>
    <row r="3" spans="1:63" x14ac:dyDescent="0.55000000000000004">
      <c r="A3" s="4" t="s">
        <v>62</v>
      </c>
      <c r="F3" s="4" t="s">
        <v>93</v>
      </c>
      <c r="AB3" cm="1">
        <f t="array" aca="1" ref="AB3:AH467" ca="1">VolHistory($B$5:$B$7)</f>
      </c>
      <c r="AC3">
        <f ca="1"/>
      </c>
      <c r="AD3">
        <f ca="1"/>
      </c>
      <c r="AE3">
        <f ca="1"/>
      </c>
      <c r="AF3">
        <f ca="1"/>
      </c>
      <c r="AG3">
        <f ca="1"/>
      </c>
      <c r="AH3">
        <f ca="1"/>
      </c>
      <c r="AL3" s="23" t="s">
        <v>75</v>
      </c>
      <c r="AM3" s="24" t="s">
        <v>76</v>
      </c>
      <c r="AN3" s="24" t="s">
        <v>77</v>
      </c>
      <c r="AO3" s="24" t="s">
        <v>78</v>
      </c>
      <c r="AP3" s="24" t="s">
        <v>79</v>
      </c>
      <c r="AQ3" s="24" t="s">
        <v>80</v>
      </c>
      <c r="AR3" s="24" t="s">
        <v>81</v>
      </c>
      <c r="AS3" s="24" t="s">
        <v>82</v>
      </c>
      <c r="AT3" s="24" t="s">
        <v>83</v>
      </c>
      <c r="AU3" s="24" t="s">
        <v>84</v>
      </c>
      <c r="AV3" s="24" t="s">
        <v>85</v>
      </c>
      <c r="AW3" s="24" t="s">
        <v>86</v>
      </c>
      <c r="AX3" s="24" t="s">
        <v>87</v>
      </c>
      <c r="AY3" s="24" t="s">
        <v>88</v>
      </c>
      <c r="AZ3" s="24" t="s">
        <v>89</v>
      </c>
      <c r="BB3" cm="1">
        <f t="array" aca="1" ref="BB3:BD194" ca="1">IF($B$1="Fixed",LiveSnapshot("vol"),LiveQuotes("vol"))</f>
      </c>
      <c r="BC3">
        <f ca="1"/>
      </c>
      <c r="BD3">
        <f ca="1"/>
      </c>
      <c r="BF3" s="23" t="s">
        <v>75</v>
      </c>
      <c r="BG3" s="24" t="s">
        <v>85</v>
      </c>
      <c r="BH3" s="24" t="s">
        <v>86</v>
      </c>
      <c r="BI3" s="24" t="s">
        <v>87</v>
      </c>
      <c r="BJ3" s="24" t="s">
        <v>88</v>
      </c>
      <c r="BK3" s="24" t="s">
        <v>89</v>
      </c>
    </row>
    <row r="4" spans="1:63" x14ac:dyDescent="0.55000000000000004">
      <c r="A4" s="4" t="s">
        <v>63</v>
      </c>
      <c r="B4" s="4" t="s">
        <v>64</v>
      </c>
      <c r="C4" s="4" t="s">
        <v>65</v>
      </c>
      <c r="D4" s="4" t="s">
        <v>66</v>
      </c>
      <c r="F4" s="25"/>
      <c r="G4" s="26" t="s">
        <v>94</v>
      </c>
      <c r="H4" s="26" t="s">
        <v>95</v>
      </c>
      <c r="I4" s="26" t="s">
        <v>96</v>
      </c>
      <c r="J4" s="26" t="s">
        <v>97</v>
      </c>
      <c r="AB4">
        <f ca="1"/>
      </c>
      <c r="AC4">
        <f ca="1"/>
      </c>
      <c r="AD4">
        <f ca="1"/>
      </c>
      <c r="AE4">
        <f ca="1"/>
      </c>
      <c r="AF4">
        <f ca="1"/>
      </c>
      <c r="AG4">
        <f ca="1"/>
      </c>
      <c r="AH4">
        <f ca="1"/>
      </c>
      <c r="AL4" s="7" cm="1">
        <f t="array" aca="1" ref="AL4:AL467" ca="1">_xlfn.DROP(_xlfn.TAKE(VHV_Data,,1),1)</f>
      </c>
      <c r="AM4" s="14" cm="1">
        <f t="array" aca="1" ref="AM4:AM467" ca="1">IF($B$5="",NA(),_xlfn.LET(_xlpm.h,_xlfn.TAKE(VHV_Data,1),_xlpm.v,_xlfn.DROP(_xlfn.CHOOSECOLS(VHV_Data,_xlfn.XMATCH($B$5&amp;" IV",_xlpm.h)),1),IF(_xlpm.v="",NA(),_xlpm.v)))</f>
      </c>
      <c r="AN4" s="14" cm="1">
        <f t="array" aca="1" ref="AN4:AN467" ca="1">IF($B$5="",NA(),_xlfn.LET(_xlpm.n,$D$5,_xlpm.h,_xlfn.TAKE(VHV_Data,1),_xlpm.x,_xlfn.DROP(_xlfn.CHOOSECOLS(VHV_Data,_xlfn.XMATCH($B$5&amp;"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O4" s="14" cm="1">
        <f t="array" aca="1" ref="AO4:AO467" ca="1">IF($B$5="",NA(),_xlfn.LET(_xlpm.n,$B$11,_xlpm.h,_xlfn.TAKE(VHV_Data,1),_xlpm.x,_xlfn.DROP(_xlfn.CHOOSECOLS(VHV_Data,_xlfn.XMATCH($B$5&amp;"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P4" s="14" cm="1">
        <f t="array" aca="1" ref="AP4:AP467" ca="1">IF($B$6="",NA(),_xlfn.LET(_xlpm.h,_xlfn.TAKE(VHV_Data,1),_xlpm.v,_xlfn.DROP(_xlfn.CHOOSECOLS(VHV_Data,_xlfn.XMATCH($B$6&amp;" IV",_xlpm.h)),1),IF(_xlpm.v="",NA(),_xlpm.v)))</f>
      </c>
      <c r="AQ4" s="14" cm="1">
        <f t="array" aca="1" ref="AQ4:AQ467" ca="1">IF($B$6="",NA(),_xlfn.LET(_xlpm.n,$D$6,_xlpm.h,_xlfn.TAKE(VHV_Data,1),_xlpm.x,_xlfn.DROP(_xlfn.CHOOSECOLS(VHV_Data,_xlfn.XMATCH($B$6&amp;"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R4" s="14" cm="1">
        <f t="array" aca="1" ref="AR4:AR467" ca="1">IF($B$6="",NA(),_xlfn.LET(_xlpm.n,$B$11,_xlpm.h,_xlfn.TAKE(VHV_Data,1),_xlpm.x,_xlfn.DROP(_xlfn.CHOOSECOLS(VHV_Data,_xlfn.XMATCH($B$6&amp;"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S4" s="14" cm="1">
        <f t="array" aca="1" ref="AS4" ca="1">IF($B$7="",NA(),_xlfn.LET(_xlpm.h,_xlfn.TAKE(VHV_Data,1),_xlpm.v,_xlfn.DROP(_xlfn.CHOOSECOLS(VHV_Data,_xlfn.XMATCH($B$7&amp;" IV",_xlpm.h)),1),IF(_xlpm.v="",NA(),_xlpm.v)))</f>
      </c>
      <c r="AT4" s="14" cm="1">
        <f t="array" aca="1" ref="AT4" ca="1">IF($B$7="",NA(),_xlfn.LET(_xlpm.n,$D$7,_xlpm.h,_xlfn.TAKE(VHV_Data,1),_xlpm.x,_xlfn.DROP(_xlfn.CHOOSECOLS(VHV_Data,_xlfn.XMATCH($B$7&amp;"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U4" s="14" cm="1">
        <f t="array" aca="1" ref="AU4" ca="1">IF($B$7="",NA(),_xlfn.LET(_xlpm.n,$B$11,_xlpm.h,_xlfn.TAKE(VHV_Data,1),_xlpm.x,_xlfn.DROP(_xlfn.CHOOSECOLS(VHV_Data,_xlfn.XMATCH($B$7&amp;"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V4" s="14" cm="1">
        <f t="array" aca="1" ref="AV4:AV467" ca="1">IF($B$5="",0,$C$5*_xlfn.ANCHORARRAY(AM4))+IF($B$6="",0,$C$6*_xlfn.ANCHORARRAY(AP4))+IF($B$7="",0,$C$7*_xlfn.ANCHORARRAY(AS4))</f>
      </c>
      <c r="AW4" s="14" cm="1">
        <f t="array" aca="1" ref="AW4:AW467" ca="1">IF($B$5="",0,$C$5*_xlfn.ANCHORARRAY(AN4))+IF($B$6="",0,$C$6*_xlfn.ANCHORARRAY(AQ4))+IF($B$7="",0,$C$7*_xlfn.ANCHORARRAY(AT4))</f>
      </c>
      <c r="AX4" s="14" cm="1">
        <f t="array" aca="1" ref="AX4:AX467" ca="1">IF($B$5="",0,$C$5*_xlfn.ANCHORARRAY(AO4))+IF($B$6="",0,$C$6*_xlfn.ANCHORARRAY(AR4))+IF($B$7="",0,$C$7*_xlfn.ANCHORARRAY(AU4))</f>
      </c>
      <c r="AY4" s="14" cm="1">
        <f t="array" aca="1" ref="AY4:AY467" ca="1">_xlfn.ANCHORARRAY(AV4)-_xlfn.ANCHORARRAY(AW4)</f>
      </c>
      <c r="AZ4" s="14" cm="1">
        <f t="array" aca="1" ref="AZ4:AZ467" ca="1">_xlfn.ANCHORARRAY(AV4)-_xlfn.ANCHORARRAY(AX4)</f>
      </c>
      <c r="BB4">
        <f ca="1"/>
      </c>
      <c r="BC4">
        <f ca="1"/>
      </c>
      <c r="BD4">
        <f ca="1"/>
      </c>
      <c r="BF4" s="7" cm="1">
        <f t="array" aca="1" ref="BF4:BF467" ca="1">_xlfn._xlws.FILTER(_xlfn.ANCHORARRAY(AL4),_xlfn.ANCHORARRAY(AL4)&gt;=IF(VHV_From="",0,VHV_From))</f>
      </c>
      <c r="BG4" s="14" cm="1">
        <f t="array" aca="1" ref="BG4:BG467" ca="1">_xlfn._xlws.FILTER(_xlfn.ANCHORARRAY(AV4),_xlfn.ANCHORARRAY(AL4)&gt;=IF(VHV_From="",0,VHV_From))</f>
      </c>
      <c r="BH4" s="14" cm="1">
        <f t="array" aca="1" ref="BH4:BH467" ca="1">_xlfn._xlws.FILTER(_xlfn.ANCHORARRAY(AW4),_xlfn.ANCHORARRAY(AL4)&gt;=IF(VHV_From="",0,VHV_From))</f>
      </c>
      <c r="BI4" s="14" cm="1">
        <f t="array" aca="1" ref="BI4:BI467" ca="1">_xlfn._xlws.FILTER(_xlfn.ANCHORARRAY(AX4),_xlfn.ANCHORARRAY(AL4)&gt;=IF(VHV_From="",0,VHV_From))</f>
      </c>
      <c r="BJ4" s="14" cm="1">
        <f t="array" aca="1" ref="BJ4:BJ467" ca="1">_xlfn._xlws.FILTER(_xlfn.ANCHORARRAY(AY4),_xlfn.ANCHORARRAY(AL4)&gt;=IF(VHV_From="",0,VHV_From))</f>
      </c>
      <c r="BK4" s="14" cm="1">
        <f t="array" aca="1" ref="BK4:BK467" ca="1">_xlfn._xlws.FILTER(_xlfn.ANCHORARRAY(AZ4),_xlfn.ANCHORARRAY(AL4)&gt;=IF(VHV_From="",0,VHV_From))</f>
      </c>
    </row>
    <row r="5" spans="1:63" x14ac:dyDescent="0.55000000000000004">
      <c r="A5" s="21">
        <v>1</v>
      </c>
      <c r="B5" s="2" t="s">
        <v>107</v>
      </c>
      <c r="C5" s="2">
        <v>1</v>
      </c>
      <c r="D5">
        <f>IF(B5="","",IF($B$9="Match",_xlfn.LET(_xlpm.e,UPPER(_xlfn.TEXTBEFORE(UPPER(B5),"X")),MIN($B$10,VALUE(LEFT(_xlpm.e,LEN(_xlpm.e)-1))*IF(RIGHT(_xlpm.e)="Y",12,1)*21)),$B$9))</f>
      </c>
      <c r="F5" s="25" t="s">
        <v>64</v>
      </c>
      <c r="G5" s="27">
        <f>IF($B$5="","",$B$5)</f>
      </c>
      <c r="H5" s="27">
        <f>IF($B$6="","",$B$6)</f>
      </c>
      <c r="I5" s="27">
        <f>IF($B$7="","",$B$7)</f>
      </c>
      <c r="J5" s="27" t="s">
        <v>106</v>
      </c>
      <c r="AB5">
        <f ca="1"/>
      </c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L5" s="7">
        <f ca="1"/>
      </c>
      <c r="AM5" s="14">
        <f ca="1"/>
      </c>
      <c r="AN5" s="14">
        <f ca="1"/>
      </c>
      <c r="AO5" s="14">
        <f ca="1"/>
      </c>
      <c r="AP5" s="14">
        <f ca="1"/>
      </c>
      <c r="AQ5" s="14">
        <f ca="1"/>
      </c>
      <c r="AR5" s="14">
        <f ca="1"/>
      </c>
      <c r="AV5" s="14">
        <f ca="1"/>
      </c>
      <c r="AW5" s="14">
        <f ca="1"/>
      </c>
      <c r="AX5" s="14">
        <f ca="1"/>
      </c>
      <c r="AY5" s="14">
        <f ca="1"/>
      </c>
      <c r="AZ5" s="14">
        <f ca="1"/>
      </c>
      <c r="BB5">
        <f ca="1"/>
      </c>
      <c r="BC5">
        <f ca="1"/>
      </c>
      <c r="BD5">
        <f ca="1"/>
      </c>
      <c r="BF5" s="7">
        <f ca="1"/>
      </c>
      <c r="BG5" s="14">
        <f ca="1"/>
      </c>
      <c r="BH5" s="14">
        <f ca="1"/>
      </c>
      <c r="BI5" s="14">
        <f ca="1"/>
      </c>
      <c r="BJ5" s="14">
        <f ca="1"/>
      </c>
      <c r="BK5" s="14">
        <f ca="1"/>
      </c>
    </row>
    <row r="6" spans="1:63" x14ac:dyDescent="0.55000000000000004">
      <c r="A6" s="21">
        <v>2</v>
      </c>
      <c r="B6" s="2" t="s">
        <v>108</v>
      </c>
      <c r="C6" s="2">
        <v>-1</v>
      </c>
      <c r="D6">
        <f>IF(B6="","",IF($B$9="Match",_xlfn.LET(_xlpm.e,UPPER(_xlfn.TEXTBEFORE(UPPER(B6),"X")),MIN($B$10,VALUE(LEFT(_xlpm.e,LEN(_xlpm.e)-1))*IF(RIGHT(_xlpm.e)="Y",12,1)*21)),$B$9))</f>
      </c>
      <c r="F6" s="25" t="s">
        <v>98</v>
      </c>
      <c r="G6" s="28">
        <f ca="1">IF($B$5="","",MAX(VHV_Date))</f>
      </c>
      <c r="H6" s="28">
        <f ca="1">IF($B$6="","",MAX(VHV_Date))</f>
      </c>
      <c r="I6" s="28">
        <f ca="1">IF($B$7="","",MAX(VHV_Date))</f>
      </c>
      <c r="J6" s="28">
        <f ca="1">MAX(VHV_Date)</f>
      </c>
      <c r="AB6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L6" s="7">
        <f ca="1"/>
      </c>
      <c r="AM6" s="14">
        <f ca="1"/>
      </c>
      <c r="AN6" s="14">
        <f ca="1"/>
      </c>
      <c r="AO6" s="14">
        <f ca="1"/>
      </c>
      <c r="AP6" s="14">
        <f ca="1"/>
      </c>
      <c r="AQ6" s="14">
        <f ca="1"/>
      </c>
      <c r="AR6" s="14">
        <f ca="1"/>
      </c>
      <c r="AV6" s="14">
        <f ca="1"/>
      </c>
      <c r="AW6" s="14">
        <f ca="1"/>
      </c>
      <c r="AX6" s="14">
        <f ca="1"/>
      </c>
      <c r="AY6" s="14">
        <f ca="1"/>
      </c>
      <c r="AZ6" s="14">
        <f ca="1"/>
      </c>
      <c r="BB6">
        <f ca="1"/>
      </c>
      <c r="BC6">
        <f ca="1"/>
      </c>
      <c r="BD6">
        <f ca="1"/>
      </c>
      <c r="BF6" s="7">
        <f ca="1"/>
      </c>
      <c r="BG6" s="14">
        <f ca="1"/>
      </c>
      <c r="BH6" s="14">
        <f ca="1"/>
      </c>
      <c r="BI6" s="14">
        <f ca="1"/>
      </c>
      <c r="BJ6" s="14">
        <f ca="1"/>
      </c>
      <c r="BK6" s="14">
        <f ca="1"/>
      </c>
    </row>
    <row r="7" spans="1:63" x14ac:dyDescent="0.55000000000000004">
      <c r="A7" s="21">
        <v>3</v>
      </c>
      <c r="B7" s="2"/>
      <c r="C7" s="2"/>
      <c r="D7">
        <f>IF(B7="","",IF($B$9="Match",_xlfn.LET(_xlpm.e,UPPER(_xlfn.TEXTBEFORE(UPPER(B7),"X")),MIN($B$10,VALUE(LEFT(_xlpm.e,LEN(_xlpm.e)-1))*IF(RIGHT(_xlpm.e)="Y",12,1)*21)),$B$9))</f>
      </c>
      <c r="F7" s="25" t="s">
        <v>99</v>
      </c>
      <c r="G7" s="29" cm="1">
        <f t="array" aca="1" ref="G7" ca="1">IF($B$5="","",_xlfn.TAKE(_xlfn.ANCHORARRAY(AM4),-1))</f>
      </c>
      <c r="H7" s="29" cm="1">
        <f t="array" aca="1" ref="H7" ca="1">IF($B$6="","",_xlfn.TAKE(_xlfn.ANCHORARRAY(AP4),-1))</f>
      </c>
      <c r="I7" s="29" cm="1">
        <f t="array" aca="1" ref="I7" ca="1">IF($B$7="","",_xlfn.TAKE(_xlfn.ANCHORARRAY(AS4),-1))</f>
      </c>
      <c r="J7" s="29" cm="1">
        <f t="array" aca="1" ref="J7" ca="1">_xlfn.TAKE(_xlfn.ANCHORARRAY(AV4),-1)</f>
      </c>
      <c r="AB7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L7" s="7">
        <f ca="1"/>
      </c>
      <c r="AM7" s="14">
        <f ca="1"/>
      </c>
      <c r="AN7" s="14">
        <f ca="1"/>
      </c>
      <c r="AO7" s="14">
        <f ca="1"/>
      </c>
      <c r="AP7" s="14">
        <f ca="1"/>
      </c>
      <c r="AQ7" s="14">
        <f ca="1"/>
      </c>
      <c r="AR7" s="14">
        <f ca="1"/>
      </c>
      <c r="AV7" s="14">
        <f ca="1"/>
      </c>
      <c r="AW7" s="14">
        <f ca="1"/>
      </c>
      <c r="AX7" s="14">
        <f ca="1"/>
      </c>
      <c r="AY7" s="14">
        <f ca="1"/>
      </c>
      <c r="AZ7" s="14">
        <f ca="1"/>
      </c>
      <c r="BB7">
        <f ca="1"/>
      </c>
      <c r="BC7">
        <f ca="1"/>
      </c>
      <c r="BD7">
        <f ca="1"/>
      </c>
      <c r="BF7" s="7">
        <f ca="1"/>
      </c>
      <c r="BG7" s="14">
        <f ca="1"/>
      </c>
      <c r="BH7" s="14">
        <f ca="1"/>
      </c>
      <c r="BI7" s="14">
        <f ca="1"/>
      </c>
      <c r="BJ7" s="14">
        <f ca="1"/>
      </c>
      <c r="BK7" s="14">
        <f ca="1"/>
      </c>
    </row>
    <row r="8" spans="1:63" x14ac:dyDescent="0.55000000000000004">
      <c r="F8" s="25" t="s">
        <v>100</v>
      </c>
      <c r="G8" s="29" cm="1">
        <f t="array" aca="1" ref="G8" ca="1">IF($B$5="","",_xlfn.XLOOKUP($B$5,INDEX(_xlfn.ANCHORARRAY($BB$3),,1),INDEX(_xlfn.ANCHORARRAY($BB$3),,3),NA()))</f>
      </c>
      <c r="H8" s="29" cm="1">
        <f t="array" aca="1" ref="H8" ca="1">IF($B$6="","",_xlfn.XLOOKUP($B$6,INDEX(_xlfn.ANCHORARRAY($BB$3),,1),INDEX(_xlfn.ANCHORARRAY($BB$3),,3),NA()))</f>
      </c>
      <c r="I8" s="29" cm="1">
        <f t="array" aca="1" ref="I8" ca="1">IF($B$7="","",_xlfn.XLOOKUP($B$7,INDEX(_xlfn.ANCHORARRAY($BB$3),,1),INDEX(_xlfn.ANCHORARRAY($BB$3),,3),NA()))</f>
      </c>
      <c r="J8" s="29" cm="1">
        <f t="array" aca="1" ref="J8" ca="1">SUM(IF($B$5:$B$7="",0,$C$5:$C$7*IF($B$5:$B$7="",0,G8:I8)))</f>
      </c>
      <c r="AB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L8" s="7">
        <f ca="1"/>
      </c>
      <c r="AM8" s="14">
        <f ca="1"/>
      </c>
      <c r="AN8" s="14">
        <f ca="1"/>
      </c>
      <c r="AO8" s="14">
        <f ca="1"/>
      </c>
      <c r="AP8" s="14">
        <f ca="1"/>
      </c>
      <c r="AQ8" s="14">
        <f ca="1"/>
      </c>
      <c r="AR8" s="14">
        <f ca="1"/>
      </c>
      <c r="AV8" s="14">
        <f ca="1"/>
      </c>
      <c r="AW8" s="14">
        <f ca="1"/>
      </c>
      <c r="AX8" s="14">
        <f ca="1"/>
      </c>
      <c r="AY8" s="14">
        <f ca="1"/>
      </c>
      <c r="AZ8" s="14">
        <f ca="1"/>
      </c>
      <c r="BB8">
        <f ca="1"/>
      </c>
      <c r="BC8">
        <f ca="1"/>
      </c>
      <c r="BD8">
        <f ca="1"/>
      </c>
      <c r="BF8" s="7">
        <f ca="1"/>
      </c>
      <c r="BG8" s="14">
        <f ca="1"/>
      </c>
      <c r="BH8" s="14">
        <f ca="1"/>
      </c>
      <c r="BI8" s="14">
        <f ca="1"/>
      </c>
      <c r="BJ8" s="14">
        <f ca="1"/>
      </c>
      <c r="BK8" s="14">
        <f ca="1"/>
      </c>
    </row>
    <row r="9" spans="1:63" x14ac:dyDescent="0.55000000000000004">
      <c r="A9" t="s">
        <v>66</v>
      </c>
      <c r="B9" s="2" t="s">
        <v>67</v>
      </c>
      <c r="F9" s="25" t="s">
        <v>101</v>
      </c>
      <c r="G9" s="29" cm="1">
        <f t="array" aca="1" ref="G9" ca="1">IF($B$5="","",_xlfn.TAKE(_xlfn.ANCHORARRAY(AN4),-1))</f>
      </c>
      <c r="H9" s="29" cm="1">
        <f t="array" aca="1" ref="H9" ca="1">IF($B$6="","",_xlfn.TAKE(_xlfn.ANCHORARRAY(AQ4),-1))</f>
      </c>
      <c r="I9" s="29" cm="1">
        <f t="array" aca="1" ref="I9" ca="1">IF($B$7="","",_xlfn.TAKE(_xlfn.ANCHORARRAY(AT4),-1))</f>
      </c>
      <c r="J9" s="29" cm="1">
        <f t="array" aca="1" ref="J9" ca="1">_xlfn.TAKE(_xlfn.ANCHORARRAY(AW4),-1)</f>
      </c>
      <c r="AB9">
        <f ca="1"/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L9" s="7">
        <f ca="1"/>
      </c>
      <c r="AM9" s="14">
        <f ca="1"/>
      </c>
      <c r="AN9" s="14">
        <f ca="1"/>
      </c>
      <c r="AO9" s="14">
        <f ca="1"/>
      </c>
      <c r="AP9" s="14">
        <f ca="1"/>
      </c>
      <c r="AQ9" s="14">
        <f ca="1"/>
      </c>
      <c r="AR9" s="14">
        <f ca="1"/>
      </c>
      <c r="AV9" s="14">
        <f ca="1"/>
      </c>
      <c r="AW9" s="14">
        <f ca="1"/>
      </c>
      <c r="AX9" s="14">
        <f ca="1"/>
      </c>
      <c r="AY9" s="14">
        <f ca="1"/>
      </c>
      <c r="AZ9" s="14">
        <f ca="1"/>
      </c>
      <c r="BB9">
        <f ca="1"/>
      </c>
      <c r="BC9">
        <f ca="1"/>
      </c>
      <c r="BD9">
        <f ca="1"/>
      </c>
      <c r="BF9" s="7">
        <f ca="1"/>
      </c>
      <c r="BG9" s="14">
        <f ca="1"/>
      </c>
      <c r="BH9" s="14">
        <f ca="1"/>
      </c>
      <c r="BI9" s="14">
        <f ca="1"/>
      </c>
      <c r="BJ9" s="14">
        <f ca="1"/>
      </c>
      <c r="BK9" s="14">
        <f ca="1"/>
      </c>
    </row>
    <row r="10" spans="1:63" x14ac:dyDescent="0.55000000000000004">
      <c r="A10" t="s">
        <v>68</v>
      </c>
      <c r="B10" s="2">
        <v>126</v>
      </c>
      <c r="F10" s="25" t="s">
        <v>102</v>
      </c>
      <c r="G10" s="29" cm="1">
        <f t="array" aca="1" ref="G10" ca="1">IF($B$5="","",_xlfn.TAKE(_xlfn.ANCHORARRAY(AO4),-1))</f>
      </c>
      <c r="H10" s="29" cm="1">
        <f t="array" aca="1" ref="H10" ca="1">IF($B$6="","",_xlfn.TAKE(_xlfn.ANCHORARRAY(AR4),-1))</f>
      </c>
      <c r="I10" s="29" cm="1">
        <f t="array" aca="1" ref="I10" ca="1">IF($B$7="","",_xlfn.TAKE(_xlfn.ANCHORARRAY(AU4),-1))</f>
      </c>
      <c r="J10" s="29" cm="1">
        <f t="array" aca="1" ref="J10" ca="1">_xlfn.TAKE(_xlfn.ANCHORARRAY(AX4),-1)</f>
      </c>
      <c r="AB10">
        <f ca="1"/>
      </c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L10" s="7">
        <f ca="1"/>
      </c>
      <c r="AM10" s="14">
        <f ca="1"/>
      </c>
      <c r="AN10" s="14">
        <f ca="1"/>
      </c>
      <c r="AO10" s="14">
        <f ca="1"/>
      </c>
      <c r="AP10" s="14">
        <f ca="1"/>
      </c>
      <c r="AQ10" s="14">
        <f ca="1"/>
      </c>
      <c r="AR10" s="14">
        <f ca="1"/>
      </c>
      <c r="AV10" s="14">
        <f ca="1"/>
      </c>
      <c r="AW10" s="14">
        <f ca="1"/>
      </c>
      <c r="AX10" s="14">
        <f ca="1"/>
      </c>
      <c r="AY10" s="14">
        <f ca="1"/>
      </c>
      <c r="AZ10" s="14">
        <f ca="1"/>
      </c>
      <c r="BB10">
        <f ca="1"/>
      </c>
      <c r="BC10">
        <f ca="1"/>
      </c>
      <c r="BD10">
        <f ca="1"/>
      </c>
      <c r="BF10" s="7">
        <f ca="1"/>
      </c>
      <c r="BG10" s="14">
        <f ca="1"/>
      </c>
      <c r="BH10" s="14">
        <f ca="1"/>
      </c>
      <c r="BI10" s="14">
        <f ca="1"/>
      </c>
      <c r="BJ10" s="14">
        <f ca="1"/>
      </c>
      <c r="BK10" s="14">
        <f ca="1"/>
      </c>
    </row>
    <row r="11" spans="1:63" x14ac:dyDescent="0.55000000000000004">
      <c r="A11" t="s">
        <v>69</v>
      </c>
      <c r="B11" s="2">
        <v>20</v>
      </c>
      <c r="F11" s="25" t="s">
        <v>88</v>
      </c>
      <c r="G11" s="29">
        <f ca="1">IF($B$5="","",G7-G9)</f>
      </c>
      <c r="H11" s="29">
        <f ca="1">IF($B$6="","",H7-H9)</f>
      </c>
      <c r="I11" s="29">
        <f ca="1">IF($B$7="","",I7-I9)</f>
      </c>
      <c r="J11" s="29">
        <f ca="1">J7-J9</f>
      </c>
      <c r="AB11">
        <f ca="1"/>
      </c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L11" s="7">
        <f ca="1"/>
      </c>
      <c r="AM11" s="14">
        <f ca="1"/>
      </c>
      <c r="AN11" s="14">
        <f ca="1"/>
      </c>
      <c r="AO11" s="14">
        <f ca="1"/>
      </c>
      <c r="AP11" s="14">
        <f ca="1"/>
      </c>
      <c r="AQ11" s="14">
        <f ca="1"/>
      </c>
      <c r="AR11" s="14">
        <f ca="1"/>
      </c>
      <c r="AV11" s="14">
        <f ca="1"/>
      </c>
      <c r="AW11" s="14">
        <f ca="1"/>
      </c>
      <c r="AX11" s="14">
        <f ca="1"/>
      </c>
      <c r="AY11" s="14">
        <f ca="1"/>
      </c>
      <c r="AZ11" s="14">
        <f ca="1"/>
      </c>
      <c r="BB11">
        <f ca="1"/>
      </c>
      <c r="BC11">
        <f ca="1"/>
      </c>
      <c r="BD11">
        <f ca="1"/>
      </c>
      <c r="BF11" s="7">
        <f ca="1"/>
      </c>
      <c r="BG11" s="14">
        <f ca="1"/>
      </c>
      <c r="BH11" s="14">
        <f ca="1"/>
      </c>
      <c r="BI11" s="14">
        <f ca="1"/>
      </c>
      <c r="BJ11" s="14">
        <f ca="1"/>
      </c>
      <c r="BK11" s="14">
        <f ca="1"/>
      </c>
    </row>
    <row r="12" spans="1:63" x14ac:dyDescent="0.55000000000000004">
      <c r="A12" t="s">
        <v>70</v>
      </c>
      <c r="B12" s="2">
        <v>252</v>
      </c>
      <c r="F12" s="25" t="s">
        <v>103</v>
      </c>
      <c r="G12" s="29">
        <f ca="1">IF($B$5="","",G8-G9)</f>
      </c>
      <c r="H12" s="29">
        <f ca="1">IF($B$6="","",H8-H9)</f>
      </c>
      <c r="I12" s="29">
        <f ca="1">IF($B$7="","",I8-I9)</f>
      </c>
      <c r="J12" s="29">
        <f ca="1">J8-J9</f>
      </c>
      <c r="AB12">
        <f ca="1"/>
      </c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L12" s="7">
        <f ca="1"/>
      </c>
      <c r="AM12" s="14">
        <f ca="1"/>
      </c>
      <c r="AN12" s="14">
        <f ca="1"/>
      </c>
      <c r="AO12" s="14">
        <f ca="1"/>
      </c>
      <c r="AP12" s="14">
        <f ca="1"/>
      </c>
      <c r="AQ12" s="14">
        <f ca="1"/>
      </c>
      <c r="AR12" s="14">
        <f ca="1"/>
      </c>
      <c r="AV12" s="14">
        <f ca="1"/>
      </c>
      <c r="AW12" s="14">
        <f ca="1"/>
      </c>
      <c r="AX12" s="14">
        <f ca="1"/>
      </c>
      <c r="AY12" s="14">
        <f ca="1"/>
      </c>
      <c r="AZ12" s="14">
        <f ca="1"/>
      </c>
      <c r="BB12">
        <f ca="1"/>
      </c>
      <c r="BC12">
        <f ca="1"/>
      </c>
      <c r="BD12">
        <f ca="1"/>
      </c>
      <c r="BF12" s="7">
        <f ca="1"/>
      </c>
      <c r="BG12" s="14">
        <f ca="1"/>
      </c>
      <c r="BH12" s="14">
        <f ca="1"/>
      </c>
      <c r="BI12" s="14">
        <f ca="1"/>
      </c>
      <c r="BJ12" s="14">
        <f ca="1"/>
      </c>
      <c r="BK12" s="14">
        <f ca="1"/>
      </c>
    </row>
    <row r="13" spans="1:63" x14ac:dyDescent="0.55000000000000004">
      <c r="A13" t="s">
        <v>71</v>
      </c>
      <c r="B13" s="3"/>
      <c r="F13" s="25" t="s">
        <v>89</v>
      </c>
      <c r="G13" s="29">
        <f ca="1">IF($B$5="","",G7-G10)</f>
      </c>
      <c r="H13" s="29">
        <f ca="1">IF($B$6="","",H7-H10)</f>
      </c>
      <c r="I13" s="29">
        <f ca="1">IF($B$7="","",I7-I10)</f>
      </c>
      <c r="J13" s="29">
        <f ca="1">J7-J10</f>
      </c>
      <c r="AB13">
        <f ca="1"/>
      </c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L13" s="7">
        <f ca="1"/>
      </c>
      <c r="AM13" s="14">
        <f ca="1"/>
      </c>
      <c r="AN13" s="14">
        <f ca="1"/>
      </c>
      <c r="AO13" s="14">
        <f ca="1"/>
      </c>
      <c r="AP13" s="14">
        <f ca="1"/>
      </c>
      <c r="AQ13" s="14">
        <f ca="1"/>
      </c>
      <c r="AR13" s="14">
        <f ca="1"/>
      </c>
      <c r="AV13" s="14">
        <f ca="1"/>
      </c>
      <c r="AW13" s="14">
        <f ca="1"/>
      </c>
      <c r="AX13" s="14">
        <f ca="1"/>
      </c>
      <c r="AY13" s="14">
        <f ca="1"/>
      </c>
      <c r="AZ13" s="14">
        <f ca="1"/>
      </c>
      <c r="BB13">
        <f ca="1"/>
      </c>
      <c r="BC13">
        <f ca="1"/>
      </c>
      <c r="BD13">
        <f ca="1"/>
      </c>
      <c r="BF13" s="7">
        <f ca="1"/>
      </c>
      <c r="BG13" s="14">
        <f ca="1"/>
      </c>
      <c r="BH13" s="14">
        <f ca="1"/>
      </c>
      <c r="BI13" s="14">
        <f ca="1"/>
      </c>
      <c r="BJ13" s="14">
        <f ca="1"/>
      </c>
      <c r="BK13" s="14">
        <f ca="1"/>
      </c>
    </row>
    <row r="14" spans="1:63" x14ac:dyDescent="0.55000000000000004">
      <c r="F14" s="25" t="s">
        <v>104</v>
      </c>
      <c r="G14" s="30" cm="1">
        <f t="array" aca="1" ref="G14" ca="1">IF($B$5="","",_xlfn.LET(_xlpm.g,_xlfn.ANCHORARRAY(AM4)-_xlfn.ANCHORARRAY(AN4),_xlpm.s,_xlfn._xlws.FILTER(_xlpm.g,ISNUMBER(_xlpm.g)*(VHV_Date&gt;=IF(VHV_From="",0,VHV_From))),SUM(--(_xlpm.s&lt;=G11))/ROWS(_xlpm.s)))</f>
      </c>
      <c r="H14" s="30" cm="1">
        <f t="array" aca="1" ref="H14" ca="1">IF($B$6="","",_xlfn.LET(_xlpm.g,_xlfn.ANCHORARRAY(AP4)-_xlfn.ANCHORARRAY(AQ4),_xlpm.s,_xlfn._xlws.FILTER(_xlpm.g,ISNUMBER(_xlpm.g)*(VHV_Date&gt;=IF(VHV_From="",0,VHV_From))),SUM(--(_xlpm.s&lt;=H11))/ROWS(_xlpm.s)))</f>
      </c>
      <c r="I14" s="30" cm="1">
        <f t="array" aca="1" ref="I14" ca="1">IF($B$7="","",_xlfn.LET(_xlpm.g,_xlfn.ANCHORARRAY(AS4)-_xlfn.ANCHORARRAY(AT4),_xlpm.s,_xlfn._xlws.FILTER(_xlpm.g,ISNUMBER(_xlpm.g)*(VHV_Date&gt;=IF(VHV_From="",0,VHV_From))),SUM(--(_xlpm.s&lt;=I11))/ROWS(_xlpm.s)))</f>
      </c>
      <c r="J14" s="30" cm="1">
        <f t="array" aca="1" ref="J14" ca="1">_xlfn.LET(_xlpm.s,_xlfn._xlws.FILTER(VHV_ChGap,ISNUMBER(VHV_ChGap)),SUM(--(_xlpm.s&lt;=J11))/ROWS(_xlpm.s))</f>
      </c>
      <c r="AB14">
        <f ca="1"/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L14" s="7">
        <f ca="1"/>
      </c>
      <c r="AM14" s="14">
        <f ca="1"/>
      </c>
      <c r="AN14" s="14">
        <f ca="1"/>
      </c>
      <c r="AO14" s="14">
        <f ca="1"/>
      </c>
      <c r="AP14" s="14">
        <f ca="1"/>
      </c>
      <c r="AQ14" s="14">
        <f ca="1"/>
      </c>
      <c r="AR14" s="14">
        <f ca="1"/>
      </c>
      <c r="AV14" s="14">
        <f ca="1"/>
      </c>
      <c r="AW14" s="14">
        <f ca="1"/>
      </c>
      <c r="AX14" s="14">
        <f ca="1"/>
      </c>
      <c r="AY14" s="14">
        <f ca="1"/>
      </c>
      <c r="AZ14" s="14">
        <f ca="1"/>
      </c>
      <c r="BB14">
        <f ca="1"/>
      </c>
      <c r="BC14">
        <f ca="1"/>
      </c>
      <c r="BD14">
        <f ca="1"/>
      </c>
      <c r="BF14" s="7">
        <f ca="1"/>
      </c>
      <c r="BG14" s="14">
        <f ca="1"/>
      </c>
      <c r="BH14" s="14">
        <f ca="1"/>
      </c>
      <c r="BI14" s="14">
        <f ca="1"/>
      </c>
      <c r="BJ14" s="14">
        <f ca="1"/>
      </c>
      <c r="BK14" s="14">
        <f ca="1"/>
      </c>
    </row>
    <row r="15" spans="1:63" x14ac:dyDescent="0.55000000000000004">
      <c r="A15" s="22" t="s">
        <v>72</v>
      </c>
      <c r="F15" s="25" t="s">
        <v>105</v>
      </c>
      <c r="G15" s="30" cm="1">
        <f t="array" aca="1" ref="G15" ca="1">IF($B$5="","",_xlfn.LET(_xlpm.g,_xlfn.ANCHORARRAY(AM4),_xlpm.s,_xlfn._xlws.FILTER(_xlpm.g,ISNUMBER(_xlpm.g)*(VHV_Date&gt;=IF(VHV_From="",0,VHV_From))),SUM(--(_xlpm.s&lt;=G7))/ROWS(_xlpm.s)))</f>
      </c>
      <c r="H15" s="30" cm="1">
        <f t="array" aca="1" ref="H15" ca="1">IF($B$6="","",_xlfn.LET(_xlpm.g,_xlfn.ANCHORARRAY(AP4),_xlpm.s,_xlfn._xlws.FILTER(_xlpm.g,ISNUMBER(_xlpm.g)*(VHV_Date&gt;=IF(VHV_From="",0,VHV_From))),SUM(--(_xlpm.s&lt;=H7))/ROWS(_xlpm.s)))</f>
      </c>
      <c r="I15" s="30" cm="1">
        <f t="array" aca="1" ref="I15" ca="1">IF($B$7="","",_xlfn.LET(_xlpm.g,_xlfn.ANCHORARRAY(AS4),_xlpm.s,_xlfn._xlws.FILTER(_xlpm.g,ISNUMBER(_xlpm.g)*(VHV_Date&gt;=IF(VHV_From="",0,VHV_From))),SUM(--(_xlpm.s&lt;=I7))/ROWS(_xlpm.s)))</f>
      </c>
      <c r="J15" s="30" cm="1">
        <f t="array" aca="1" ref="J15" ca="1">_xlfn.LET(_xlpm.s,_xlfn._xlws.FILTER(VHV_ChIV,ISNUMBER(VHV_ChIV)),SUM(--(_xlpm.s&lt;=J7))/ROWS(_xlpm.s))</f>
      </c>
      <c r="AB15">
        <f ca="1"/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L15" s="7">
        <f ca="1"/>
      </c>
      <c r="AM15" s="14">
        <f ca="1"/>
      </c>
      <c r="AN15" s="14">
        <f ca="1"/>
      </c>
      <c r="AO15" s="14">
        <f ca="1"/>
      </c>
      <c r="AP15" s="14">
        <f ca="1"/>
      </c>
      <c r="AQ15" s="14">
        <f ca="1"/>
      </c>
      <c r="AR15" s="14">
        <f ca="1"/>
      </c>
      <c r="AV15" s="14">
        <f ca="1"/>
      </c>
      <c r="AW15" s="14">
        <f ca="1"/>
      </c>
      <c r="AX15" s="14">
        <f ca="1"/>
      </c>
      <c r="AY15" s="14">
        <f ca="1"/>
      </c>
      <c r="AZ15" s="14">
        <f ca="1"/>
      </c>
      <c r="BB15">
        <f ca="1"/>
      </c>
      <c r="BC15">
        <f ca="1"/>
      </c>
      <c r="BD15">
        <f ca="1"/>
      </c>
      <c r="BF15" s="7">
        <f ca="1"/>
      </c>
      <c r="BG15" s="14">
        <f ca="1"/>
      </c>
      <c r="BH15" s="14">
        <f ca="1"/>
      </c>
      <c r="BI15" s="14">
        <f ca="1"/>
      </c>
      <c r="BJ15" s="14">
        <f ca="1"/>
      </c>
      <c r="BK15" s="14">
        <f ca="1"/>
      </c>
    </row>
    <row r="16" spans="1:63" x14ac:dyDescent="0.55000000000000004">
      <c r="A16" s="22" t="s">
        <v>73</v>
      </c>
      <c r="F16" s="25" t="s">
        <v>66</v>
      </c>
      <c r="G16" s="31">
        <f>IF($B$5="","",$D$5)</f>
      </c>
      <c r="H16" s="31">
        <f>IF($B$6="","",$D$6)</f>
      </c>
      <c r="I16" s="31">
        <f>IF($B$7="","",$D$7)</f>
      </c>
      <c r="J16" s="31"/>
      <c r="AB16">
        <f ca="1"/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L16" s="7">
        <f ca="1"/>
      </c>
      <c r="AM16" s="14">
        <f ca="1"/>
      </c>
      <c r="AN16" s="14">
        <f ca="1"/>
      </c>
      <c r="AO16" s="14">
        <f ca="1"/>
      </c>
      <c r="AP16" s="14">
        <f ca="1"/>
      </c>
      <c r="AQ16" s="14">
        <f ca="1"/>
      </c>
      <c r="AR16" s="14">
        <f ca="1"/>
      </c>
      <c r="AV16" s="14">
        <f ca="1"/>
      </c>
      <c r="AW16" s="14">
        <f ca="1"/>
      </c>
      <c r="AX16" s="14">
        <f ca="1"/>
      </c>
      <c r="AY16" s="14">
        <f ca="1"/>
      </c>
      <c r="AZ16" s="14">
        <f ca="1"/>
      </c>
      <c r="BB16">
        <f ca="1"/>
      </c>
      <c r="BC16">
        <f ca="1"/>
      </c>
      <c r="BD16">
        <f ca="1"/>
      </c>
      <c r="BF16" s="7">
        <f ca="1"/>
      </c>
      <c r="BG16" s="14">
        <f ca="1"/>
      </c>
      <c r="BH16" s="14">
        <f ca="1"/>
      </c>
      <c r="BI16" s="14">
        <f ca="1"/>
      </c>
      <c r="BJ16" s="14">
        <f ca="1"/>
      </c>
      <c r="BK16" s="14">
        <f ca="1"/>
      </c>
    </row>
    <row r="17" spans="28:63" x14ac:dyDescent="0.55000000000000004">
      <c r="AB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L17" s="7">
        <f ca="1"/>
      </c>
      <c r="AM17" s="14">
        <f ca="1"/>
      </c>
      <c r="AN17" s="14">
        <f ca="1"/>
      </c>
      <c r="AO17" s="14">
        <f ca="1"/>
      </c>
      <c r="AP17" s="14">
        <f ca="1"/>
      </c>
      <c r="AQ17" s="14">
        <f ca="1"/>
      </c>
      <c r="AR17" s="14">
        <f ca="1"/>
      </c>
      <c r="AV17" s="14">
        <f ca="1"/>
      </c>
      <c r="AW17" s="14">
        <f ca="1"/>
      </c>
      <c r="AX17" s="14">
        <f ca="1"/>
      </c>
      <c r="AY17" s="14">
        <f ca="1"/>
      </c>
      <c r="AZ17" s="14">
        <f ca="1"/>
      </c>
      <c r="BB17">
        <f ca="1"/>
      </c>
      <c r="BC17">
        <f ca="1"/>
      </c>
      <c r="BD17">
        <f ca="1"/>
      </c>
      <c r="BF17" s="7">
        <f ca="1"/>
      </c>
      <c r="BG17" s="14">
        <f ca="1"/>
      </c>
      <c r="BH17" s="14">
        <f ca="1"/>
      </c>
      <c r="BI17" s="14">
        <f ca="1"/>
      </c>
      <c r="BJ17" s="14">
        <f ca="1"/>
      </c>
      <c r="BK17" s="14">
        <f ca="1"/>
      </c>
    </row>
    <row r="18" spans="28:63" x14ac:dyDescent="0.55000000000000004">
      <c r="AB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L18" s="7">
        <f ca="1"/>
      </c>
      <c r="AM18" s="14">
        <f ca="1"/>
      </c>
      <c r="AN18" s="14">
        <f ca="1"/>
      </c>
      <c r="AO18" s="14">
        <f ca="1"/>
      </c>
      <c r="AP18" s="14">
        <f ca="1"/>
      </c>
      <c r="AQ18" s="14">
        <f ca="1"/>
      </c>
      <c r="AR18" s="14">
        <f ca="1"/>
      </c>
      <c r="AV18" s="14">
        <f ca="1"/>
      </c>
      <c r="AW18" s="14">
        <f ca="1"/>
      </c>
      <c r="AX18" s="14">
        <f ca="1"/>
      </c>
      <c r="AY18" s="14">
        <f ca="1"/>
      </c>
      <c r="AZ18" s="14">
        <f ca="1"/>
      </c>
      <c r="BB18">
        <f ca="1"/>
      </c>
      <c r="BC18">
        <f ca="1"/>
      </c>
      <c r="BD18">
        <f ca="1"/>
      </c>
      <c r="BF18" s="7">
        <f ca="1"/>
      </c>
      <c r="BG18" s="14">
        <f ca="1"/>
      </c>
      <c r="BH18" s="14">
        <f ca="1"/>
      </c>
      <c r="BI18" s="14">
        <f ca="1"/>
      </c>
      <c r="BJ18" s="14">
        <f ca="1"/>
      </c>
      <c r="BK18" s="14">
        <f ca="1"/>
      </c>
    </row>
    <row r="19" spans="28:63" x14ac:dyDescent="0.55000000000000004">
      <c r="AB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L19" s="7">
        <f ca="1"/>
      </c>
      <c r="AM19" s="14">
        <f ca="1"/>
      </c>
      <c r="AN19" s="14">
        <f ca="1"/>
      </c>
      <c r="AO19" s="14">
        <f ca="1"/>
      </c>
      <c r="AP19" s="14">
        <f ca="1"/>
      </c>
      <c r="AQ19" s="14">
        <f ca="1"/>
      </c>
      <c r="AR19" s="14">
        <f ca="1"/>
      </c>
      <c r="AV19" s="14">
        <f ca="1"/>
      </c>
      <c r="AW19" s="14">
        <f ca="1"/>
      </c>
      <c r="AX19" s="14">
        <f ca="1"/>
      </c>
      <c r="AY19" s="14">
        <f ca="1"/>
      </c>
      <c r="AZ19" s="14">
        <f ca="1"/>
      </c>
      <c r="BB19">
        <f ca="1"/>
      </c>
      <c r="BC19">
        <f ca="1"/>
      </c>
      <c r="BD19">
        <f ca="1"/>
      </c>
      <c r="BF19" s="7">
        <f ca="1"/>
      </c>
      <c r="BG19" s="14">
        <f ca="1"/>
      </c>
      <c r="BH19" s="14">
        <f ca="1"/>
      </c>
      <c r="BI19" s="14">
        <f ca="1"/>
      </c>
      <c r="BJ19" s="14">
        <f ca="1"/>
      </c>
      <c r="BK19" s="14">
        <f ca="1"/>
      </c>
    </row>
    <row r="20" spans="28:63" x14ac:dyDescent="0.55000000000000004">
      <c r="AB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L20" s="7">
        <f ca="1"/>
      </c>
      <c r="AM20" s="14">
        <f ca="1"/>
      </c>
      <c r="AN20" s="14">
        <f ca="1"/>
      </c>
      <c r="AO20" s="14">
        <f ca="1"/>
      </c>
      <c r="AP20" s="14">
        <f ca="1"/>
      </c>
      <c r="AQ20" s="14">
        <f ca="1"/>
      </c>
      <c r="AR20" s="14">
        <f ca="1"/>
      </c>
      <c r="AV20" s="14">
        <f ca="1"/>
      </c>
      <c r="AW20" s="14">
        <f ca="1"/>
      </c>
      <c r="AX20" s="14">
        <f ca="1"/>
      </c>
      <c r="AY20" s="14">
        <f ca="1"/>
      </c>
      <c r="AZ20" s="14">
        <f ca="1"/>
      </c>
      <c r="BB20">
        <f ca="1"/>
      </c>
      <c r="BC20">
        <f ca="1"/>
      </c>
      <c r="BD20">
        <f ca="1"/>
      </c>
      <c r="BF20" s="7">
        <f ca="1"/>
      </c>
      <c r="BG20" s="14">
        <f ca="1"/>
      </c>
      <c r="BH20" s="14">
        <f ca="1"/>
      </c>
      <c r="BI20" s="14">
        <f ca="1"/>
      </c>
      <c r="BJ20" s="14">
        <f ca="1"/>
      </c>
      <c r="BK20" s="14">
        <f ca="1"/>
      </c>
    </row>
    <row r="21" spans="28:63" x14ac:dyDescent="0.55000000000000004">
      <c r="AB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L21" s="7">
        <f ca="1"/>
      </c>
      <c r="AM21" s="14">
        <f ca="1"/>
      </c>
      <c r="AN21" s="14">
        <f ca="1"/>
      </c>
      <c r="AO21" s="14">
        <f ca="1"/>
      </c>
      <c r="AP21" s="14">
        <f ca="1"/>
      </c>
      <c r="AQ21" s="14">
        <f ca="1"/>
      </c>
      <c r="AR21" s="14">
        <f ca="1"/>
      </c>
      <c r="AV21" s="14">
        <f ca="1"/>
      </c>
      <c r="AW21" s="14">
        <f ca="1"/>
      </c>
      <c r="AX21" s="14">
        <f ca="1"/>
      </c>
      <c r="AY21" s="14">
        <f ca="1"/>
      </c>
      <c r="AZ21" s="14">
        <f ca="1"/>
      </c>
      <c r="BB21">
        <f ca="1"/>
      </c>
      <c r="BC21">
        <f ca="1"/>
      </c>
      <c r="BD21">
        <f ca="1"/>
      </c>
      <c r="BF21" s="7">
        <f ca="1"/>
      </c>
      <c r="BG21" s="14">
        <f ca="1"/>
      </c>
      <c r="BH21" s="14">
        <f ca="1"/>
      </c>
      <c r="BI21" s="14">
        <f ca="1"/>
      </c>
      <c r="BJ21" s="14">
        <f ca="1"/>
      </c>
      <c r="BK21" s="14">
        <f ca="1"/>
      </c>
    </row>
    <row r="22" spans="28:63" x14ac:dyDescent="0.55000000000000004">
      <c r="AB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L22" s="7">
        <f ca="1"/>
      </c>
      <c r="AM22" s="14">
        <f ca="1"/>
      </c>
      <c r="AN22" s="14">
        <f ca="1"/>
      </c>
      <c r="AO22" s="14">
        <f ca="1"/>
      </c>
      <c r="AP22" s="14">
        <f ca="1"/>
      </c>
      <c r="AQ22" s="14">
        <f ca="1"/>
      </c>
      <c r="AR22" s="14">
        <f ca="1"/>
      </c>
      <c r="AV22" s="14">
        <f ca="1"/>
      </c>
      <c r="AW22" s="14">
        <f ca="1"/>
      </c>
      <c r="AX22" s="14">
        <f ca="1"/>
      </c>
      <c r="AY22" s="14">
        <f ca="1"/>
      </c>
      <c r="AZ22" s="14">
        <f ca="1"/>
      </c>
      <c r="BB22">
        <f ca="1"/>
      </c>
      <c r="BC22">
        <f ca="1"/>
      </c>
      <c r="BD22">
        <f ca="1"/>
      </c>
      <c r="BF22" s="7">
        <f ca="1"/>
      </c>
      <c r="BG22" s="14">
        <f ca="1"/>
      </c>
      <c r="BH22" s="14">
        <f ca="1"/>
      </c>
      <c r="BI22" s="14">
        <f ca="1"/>
      </c>
      <c r="BJ22" s="14">
        <f ca="1"/>
      </c>
      <c r="BK22" s="14">
        <f ca="1"/>
      </c>
    </row>
    <row r="23" spans="28:63" x14ac:dyDescent="0.55000000000000004">
      <c r="AB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L23" s="7">
        <f ca="1"/>
      </c>
      <c r="AM23" s="14">
        <f ca="1"/>
      </c>
      <c r="AN23" s="14">
        <f ca="1"/>
      </c>
      <c r="AO23" s="14">
        <f ca="1"/>
      </c>
      <c r="AP23" s="14">
        <f ca="1"/>
      </c>
      <c r="AQ23" s="14">
        <f ca="1"/>
      </c>
      <c r="AR23" s="14">
        <f ca="1"/>
      </c>
      <c r="AV23" s="14">
        <f ca="1"/>
      </c>
      <c r="AW23" s="14">
        <f ca="1"/>
      </c>
      <c r="AX23" s="14">
        <f ca="1"/>
      </c>
      <c r="AY23" s="14">
        <f ca="1"/>
      </c>
      <c r="AZ23" s="14">
        <f ca="1"/>
      </c>
      <c r="BB23">
        <f ca="1"/>
      </c>
      <c r="BC23">
        <f ca="1"/>
      </c>
      <c r="BD23">
        <f ca="1"/>
      </c>
      <c r="BF23" s="7">
        <f ca="1"/>
      </c>
      <c r="BG23" s="14">
        <f ca="1"/>
      </c>
      <c r="BH23" s="14">
        <f ca="1"/>
      </c>
      <c r="BI23" s="14">
        <f ca="1"/>
      </c>
      <c r="BJ23" s="14">
        <f ca="1"/>
      </c>
      <c r="BK23" s="14">
        <f ca="1"/>
      </c>
    </row>
    <row r="24" spans="28:63" x14ac:dyDescent="0.55000000000000004">
      <c r="AB24">
        <f ca="1"/>
      </c>
      <c r="AC24">
        <f ca="1"/>
      </c>
      <c r="AD24">
        <f ca="1"/>
      </c>
      <c r="AE24">
        <f ca="1"/>
      </c>
      <c r="AF24">
        <f ca="1"/>
      </c>
      <c r="AG24">
        <f ca="1"/>
      </c>
      <c r="AH24">
        <f ca="1"/>
      </c>
      <c r="AL24" s="7">
        <f ca="1"/>
      </c>
      <c r="AM24" s="14">
        <f ca="1"/>
      </c>
      <c r="AN24" s="14">
        <f ca="1"/>
      </c>
      <c r="AO24" s="14">
        <f ca="1"/>
      </c>
      <c r="AP24" s="14">
        <f ca="1"/>
      </c>
      <c r="AQ24" s="14">
        <f ca="1"/>
      </c>
      <c r="AR24" s="14">
        <f ca="1"/>
      </c>
      <c r="AV24" s="14">
        <f ca="1"/>
      </c>
      <c r="AW24" s="14">
        <f ca="1"/>
      </c>
      <c r="AX24" s="14">
        <f ca="1"/>
      </c>
      <c r="AY24" s="14">
        <f ca="1"/>
      </c>
      <c r="AZ24" s="14">
        <f ca="1"/>
      </c>
      <c r="BB24">
        <f ca="1"/>
      </c>
      <c r="BC24">
        <f ca="1"/>
      </c>
      <c r="BD24">
        <f ca="1"/>
      </c>
      <c r="BF24" s="7">
        <f ca="1"/>
      </c>
      <c r="BG24" s="14">
        <f ca="1"/>
      </c>
      <c r="BH24" s="14">
        <f ca="1"/>
      </c>
      <c r="BI24" s="14">
        <f ca="1"/>
      </c>
      <c r="BJ24" s="14">
        <f ca="1"/>
      </c>
      <c r="BK24" s="14">
        <f ca="1"/>
      </c>
    </row>
    <row r="25" spans="28:63" x14ac:dyDescent="0.55000000000000004">
      <c r="AB25">
        <f ca="1"/>
      </c>
      <c r="AC25">
        <f ca="1"/>
      </c>
      <c r="AD25">
        <f ca="1"/>
      </c>
      <c r="AE25">
        <f ca="1"/>
      </c>
      <c r="AF25">
        <f ca="1"/>
      </c>
      <c r="AG25">
        <f ca="1"/>
      </c>
      <c r="AH25">
        <f ca="1"/>
      </c>
      <c r="AL25" s="7">
        <f ca="1"/>
      </c>
      <c r="AM25" s="14">
        <f ca="1"/>
      </c>
      <c r="AN25" s="14">
        <f ca="1"/>
      </c>
      <c r="AO25" s="14">
        <f ca="1"/>
      </c>
      <c r="AP25" s="14">
        <f ca="1"/>
      </c>
      <c r="AQ25" s="14">
        <f ca="1"/>
      </c>
      <c r="AR25" s="14">
        <f ca="1"/>
      </c>
      <c r="AV25" s="14">
        <f ca="1"/>
      </c>
      <c r="AW25" s="14">
        <f ca="1"/>
      </c>
      <c r="AX25" s="14">
        <f ca="1"/>
      </c>
      <c r="AY25" s="14">
        <f ca="1"/>
      </c>
      <c r="AZ25" s="14">
        <f ca="1"/>
      </c>
      <c r="BB25">
        <f ca="1"/>
      </c>
      <c r="BC25">
        <f ca="1"/>
      </c>
      <c r="BD25">
        <f ca="1"/>
      </c>
      <c r="BF25" s="7">
        <f ca="1"/>
      </c>
      <c r="BG25" s="14">
        <f ca="1"/>
      </c>
      <c r="BH25" s="14">
        <f ca="1"/>
      </c>
      <c r="BI25" s="14">
        <f ca="1"/>
      </c>
      <c r="BJ25" s="14">
        <f ca="1"/>
      </c>
      <c r="BK25" s="14">
        <f ca="1"/>
      </c>
    </row>
    <row r="26" spans="28:63" x14ac:dyDescent="0.55000000000000004">
      <c r="AB26">
        <f ca="1"/>
      </c>
      <c r="AC26">
        <f ca="1"/>
      </c>
      <c r="AD26">
        <f ca="1"/>
      </c>
      <c r="AE26">
        <f ca="1"/>
      </c>
      <c r="AF26">
        <f ca="1"/>
      </c>
      <c r="AG26">
        <f ca="1"/>
      </c>
      <c r="AH26">
        <f ca="1"/>
      </c>
      <c r="AL26" s="7">
        <f ca="1"/>
      </c>
      <c r="AM26" s="14">
        <f ca="1"/>
      </c>
      <c r="AN26" s="14">
        <f ca="1"/>
      </c>
      <c r="AO26" s="14">
        <f ca="1"/>
      </c>
      <c r="AP26" s="14">
        <f ca="1"/>
      </c>
      <c r="AQ26" s="14">
        <f ca="1"/>
      </c>
      <c r="AR26" s="14">
        <f ca="1"/>
      </c>
      <c r="AV26" s="14">
        <f ca="1"/>
      </c>
      <c r="AW26" s="14">
        <f ca="1"/>
      </c>
      <c r="AX26" s="14">
        <f ca="1"/>
      </c>
      <c r="AY26" s="14">
        <f ca="1"/>
      </c>
      <c r="AZ26" s="14">
        <f ca="1"/>
      </c>
      <c r="BB26">
        <f ca="1"/>
      </c>
      <c r="BC26">
        <f ca="1"/>
      </c>
      <c r="BD26">
        <f ca="1"/>
      </c>
      <c r="BF26" s="7">
        <f ca="1"/>
      </c>
      <c r="BG26" s="14">
        <f ca="1"/>
      </c>
      <c r="BH26" s="14">
        <f ca="1"/>
      </c>
      <c r="BI26" s="14">
        <f ca="1"/>
      </c>
      <c r="BJ26" s="14">
        <f ca="1"/>
      </c>
      <c r="BK26" s="14">
        <f ca="1"/>
      </c>
    </row>
    <row r="27" spans="28:63" x14ac:dyDescent="0.55000000000000004">
      <c r="AB27">
        <f ca="1"/>
      </c>
      <c r="AC27">
        <f ca="1"/>
      </c>
      <c r="AD27">
        <f ca="1"/>
      </c>
      <c r="AE27">
        <f ca="1"/>
      </c>
      <c r="AF27">
        <f ca="1"/>
      </c>
      <c r="AG27">
        <f ca="1"/>
      </c>
      <c r="AH27">
        <f ca="1"/>
      </c>
      <c r="AL27" s="7">
        <f ca="1"/>
      </c>
      <c r="AM27" s="14">
        <f ca="1"/>
      </c>
      <c r="AN27" s="14">
        <f ca="1"/>
      </c>
      <c r="AO27" s="14">
        <f ca="1"/>
      </c>
      <c r="AP27" s="14">
        <f ca="1"/>
      </c>
      <c r="AQ27" s="14">
        <f ca="1"/>
      </c>
      <c r="AR27" s="14">
        <f ca="1"/>
      </c>
      <c r="AV27" s="14">
        <f ca="1"/>
      </c>
      <c r="AW27" s="14">
        <f ca="1"/>
      </c>
      <c r="AX27" s="14">
        <f ca="1"/>
      </c>
      <c r="AY27" s="14">
        <f ca="1"/>
      </c>
      <c r="AZ27" s="14">
        <f ca="1"/>
      </c>
      <c r="BB27">
        <f ca="1"/>
      </c>
      <c r="BC27">
        <f ca="1"/>
      </c>
      <c r="BD27">
        <f ca="1"/>
      </c>
      <c r="BF27" s="7">
        <f ca="1"/>
      </c>
      <c r="BG27" s="14">
        <f ca="1"/>
      </c>
      <c r="BH27" s="14">
        <f ca="1"/>
      </c>
      <c r="BI27" s="14">
        <f ca="1"/>
      </c>
      <c r="BJ27" s="14">
        <f ca="1"/>
      </c>
      <c r="BK27" s="14">
        <f ca="1"/>
      </c>
    </row>
    <row r="28" spans="28:63" x14ac:dyDescent="0.55000000000000004">
      <c r="AB28">
        <f ca="1"/>
      </c>
      <c r="AC28">
        <f ca="1"/>
      </c>
      <c r="AD28">
        <f ca="1"/>
      </c>
      <c r="AE28">
        <f ca="1"/>
      </c>
      <c r="AF28">
        <f ca="1"/>
      </c>
      <c r="AG28">
        <f ca="1"/>
      </c>
      <c r="AH28">
        <f ca="1"/>
      </c>
      <c r="AL28" s="7">
        <f ca="1"/>
      </c>
      <c r="AM28" s="14">
        <f ca="1"/>
      </c>
      <c r="AN28" s="14">
        <f ca="1"/>
      </c>
      <c r="AO28" s="14">
        <f ca="1"/>
      </c>
      <c r="AP28" s="14">
        <f ca="1"/>
      </c>
      <c r="AQ28" s="14">
        <f ca="1"/>
      </c>
      <c r="AR28" s="14">
        <f ca="1"/>
      </c>
      <c r="AV28" s="14">
        <f ca="1"/>
      </c>
      <c r="AW28" s="14">
        <f ca="1"/>
      </c>
      <c r="AX28" s="14">
        <f ca="1"/>
      </c>
      <c r="AY28" s="14">
        <f ca="1"/>
      </c>
      <c r="AZ28" s="14">
        <f ca="1"/>
      </c>
      <c r="BB28">
        <f ca="1"/>
      </c>
      <c r="BC28">
        <f ca="1"/>
      </c>
      <c r="BD28">
        <f ca="1"/>
      </c>
      <c r="BF28" s="7">
        <f ca="1"/>
      </c>
      <c r="BG28" s="14">
        <f ca="1"/>
      </c>
      <c r="BH28" s="14">
        <f ca="1"/>
      </c>
      <c r="BI28" s="14">
        <f ca="1"/>
      </c>
      <c r="BJ28" s="14">
        <f ca="1"/>
      </c>
      <c r="BK28" s="14">
        <f ca="1"/>
      </c>
    </row>
    <row r="29" spans="28:63" x14ac:dyDescent="0.55000000000000004">
      <c r="AB29">
        <f ca="1"/>
      </c>
      <c r="AC29">
        <f ca="1"/>
      </c>
      <c r="AD29">
        <f ca="1"/>
      </c>
      <c r="AE29">
        <f ca="1"/>
      </c>
      <c r="AF29">
        <f ca="1"/>
      </c>
      <c r="AG29">
        <f ca="1"/>
      </c>
      <c r="AH29">
        <f ca="1"/>
      </c>
      <c r="AL29" s="7">
        <f ca="1"/>
      </c>
      <c r="AM29" s="14">
        <f ca="1"/>
      </c>
      <c r="AN29" s="14">
        <f ca="1"/>
      </c>
      <c r="AO29" s="14">
        <f ca="1"/>
      </c>
      <c r="AP29" s="14">
        <f ca="1"/>
      </c>
      <c r="AQ29" s="14">
        <f ca="1"/>
      </c>
      <c r="AR29" s="14">
        <f ca="1"/>
      </c>
      <c r="AV29" s="14">
        <f ca="1"/>
      </c>
      <c r="AW29" s="14">
        <f ca="1"/>
      </c>
      <c r="AX29" s="14">
        <f ca="1"/>
      </c>
      <c r="AY29" s="14">
        <f ca="1"/>
      </c>
      <c r="AZ29" s="14">
        <f ca="1"/>
      </c>
      <c r="BB29">
        <f ca="1"/>
      </c>
      <c r="BC29">
        <f ca="1"/>
      </c>
      <c r="BD29">
        <f ca="1"/>
      </c>
      <c r="BF29" s="7">
        <f ca="1"/>
      </c>
      <c r="BG29" s="14">
        <f ca="1"/>
      </c>
      <c r="BH29" s="14">
        <f ca="1"/>
      </c>
      <c r="BI29" s="14">
        <f ca="1"/>
      </c>
      <c r="BJ29" s="14">
        <f ca="1"/>
      </c>
      <c r="BK29" s="14">
        <f ca="1"/>
      </c>
    </row>
    <row r="30" spans="28:63" x14ac:dyDescent="0.55000000000000004">
      <c r="AB30">
        <f ca="1"/>
      </c>
      <c r="AC30">
        <f ca="1"/>
      </c>
      <c r="AD30">
        <f ca="1"/>
      </c>
      <c r="AE30">
        <f ca="1"/>
      </c>
      <c r="AF30">
        <f ca="1"/>
      </c>
      <c r="AG30">
        <f ca="1"/>
      </c>
      <c r="AH30">
        <f ca="1"/>
      </c>
      <c r="AL30" s="7">
        <f ca="1"/>
      </c>
      <c r="AM30" s="14">
        <f ca="1"/>
      </c>
      <c r="AN30" s="14">
        <f ca="1"/>
      </c>
      <c r="AO30" s="14">
        <f ca="1"/>
      </c>
      <c r="AP30" s="14">
        <f ca="1"/>
      </c>
      <c r="AQ30" s="14">
        <f ca="1"/>
      </c>
      <c r="AR30" s="14">
        <f ca="1"/>
      </c>
      <c r="AV30" s="14">
        <f ca="1"/>
      </c>
      <c r="AW30" s="14">
        <f ca="1"/>
      </c>
      <c r="AX30" s="14">
        <f ca="1"/>
      </c>
      <c r="AY30" s="14">
        <f ca="1"/>
      </c>
      <c r="AZ30" s="14">
        <f ca="1"/>
      </c>
      <c r="BB30">
        <f ca="1"/>
      </c>
      <c r="BC30">
        <f ca="1"/>
      </c>
      <c r="BD30">
        <f ca="1"/>
      </c>
      <c r="BF30" s="7">
        <f ca="1"/>
      </c>
      <c r="BG30" s="14">
        <f ca="1"/>
      </c>
      <c r="BH30" s="14">
        <f ca="1"/>
      </c>
      <c r="BI30" s="14">
        <f ca="1"/>
      </c>
      <c r="BJ30" s="14">
        <f ca="1"/>
      </c>
      <c r="BK30" s="14">
        <f ca="1"/>
      </c>
    </row>
    <row r="31" spans="28:63" x14ac:dyDescent="0.55000000000000004">
      <c r="AB31">
        <f ca="1"/>
      </c>
      <c r="AC31">
        <f ca="1"/>
      </c>
      <c r="AD31">
        <f ca="1"/>
      </c>
      <c r="AE31">
        <f ca="1"/>
      </c>
      <c r="AF31">
        <f ca="1"/>
      </c>
      <c r="AG31">
        <f ca="1"/>
      </c>
      <c r="AH31">
        <f ca="1"/>
      </c>
      <c r="AL31" s="7">
        <f ca="1"/>
      </c>
      <c r="AM31" s="14">
        <f ca="1"/>
      </c>
      <c r="AN31" s="14">
        <f ca="1"/>
      </c>
      <c r="AO31" s="14">
        <f ca="1"/>
      </c>
      <c r="AP31" s="14">
        <f ca="1"/>
      </c>
      <c r="AQ31" s="14">
        <f ca="1"/>
      </c>
      <c r="AR31" s="14">
        <f ca="1"/>
      </c>
      <c r="AV31" s="14">
        <f ca="1"/>
      </c>
      <c r="AW31" s="14">
        <f ca="1"/>
      </c>
      <c r="AX31" s="14">
        <f ca="1"/>
      </c>
      <c r="AY31" s="14">
        <f ca="1"/>
      </c>
      <c r="AZ31" s="14">
        <f ca="1"/>
      </c>
      <c r="BB31">
        <f ca="1"/>
      </c>
      <c r="BC31">
        <f ca="1"/>
      </c>
      <c r="BD31">
        <f ca="1"/>
      </c>
      <c r="BF31" s="7">
        <f ca="1"/>
      </c>
      <c r="BG31" s="14">
        <f ca="1"/>
      </c>
      <c r="BH31" s="14">
        <f ca="1"/>
      </c>
      <c r="BI31" s="14">
        <f ca="1"/>
      </c>
      <c r="BJ31" s="14">
        <f ca="1"/>
      </c>
      <c r="BK31" s="14">
        <f ca="1"/>
      </c>
    </row>
    <row r="32" spans="28:63" x14ac:dyDescent="0.55000000000000004">
      <c r="AB32">
        <f ca="1"/>
      </c>
      <c r="AC32">
        <f ca="1"/>
      </c>
      <c r="AD32">
        <f ca="1"/>
      </c>
      <c r="AE32">
        <f ca="1"/>
      </c>
      <c r="AF32">
        <f ca="1"/>
      </c>
      <c r="AG32">
        <f ca="1"/>
      </c>
      <c r="AH32">
        <f ca="1"/>
      </c>
      <c r="AL32" s="7">
        <f ca="1"/>
      </c>
      <c r="AM32" s="14">
        <f ca="1"/>
      </c>
      <c r="AN32" s="14">
        <f ca="1"/>
      </c>
      <c r="AO32" s="14">
        <f ca="1"/>
      </c>
      <c r="AP32" s="14">
        <f ca="1"/>
      </c>
      <c r="AQ32" s="14">
        <f ca="1"/>
      </c>
      <c r="AR32" s="14">
        <f ca="1"/>
      </c>
      <c r="AV32" s="14">
        <f ca="1"/>
      </c>
      <c r="AW32" s="14">
        <f ca="1"/>
      </c>
      <c r="AX32" s="14">
        <f ca="1"/>
      </c>
      <c r="AY32" s="14">
        <f ca="1"/>
      </c>
      <c r="AZ32" s="14">
        <f ca="1"/>
      </c>
      <c r="BB32">
        <f ca="1"/>
      </c>
      <c r="BC32">
        <f ca="1"/>
      </c>
      <c r="BD32">
        <f ca="1"/>
      </c>
      <c r="BF32" s="7">
        <f ca="1"/>
      </c>
      <c r="BG32" s="14">
        <f ca="1"/>
      </c>
      <c r="BH32" s="14">
        <f ca="1"/>
      </c>
      <c r="BI32" s="14">
        <f ca="1"/>
      </c>
      <c r="BJ32" s="14">
        <f ca="1"/>
      </c>
      <c r="BK32" s="14">
        <f ca="1"/>
      </c>
    </row>
    <row r="33" spans="28:63" x14ac:dyDescent="0.55000000000000004">
      <c r="AB33">
        <f ca="1"/>
      </c>
      <c r="AC33">
        <f ca="1"/>
      </c>
      <c r="AD33">
        <f ca="1"/>
      </c>
      <c r="AE33">
        <f ca="1"/>
      </c>
      <c r="AF33">
        <f ca="1"/>
      </c>
      <c r="AG33">
        <f ca="1"/>
      </c>
      <c r="AH33">
        <f ca="1"/>
      </c>
      <c r="AL33" s="7">
        <f ca="1"/>
      </c>
      <c r="AM33" s="14">
        <f ca="1"/>
      </c>
      <c r="AN33" s="14">
        <f ca="1"/>
      </c>
      <c r="AO33" s="14">
        <f ca="1"/>
      </c>
      <c r="AP33" s="14">
        <f ca="1"/>
      </c>
      <c r="AQ33" s="14">
        <f ca="1"/>
      </c>
      <c r="AR33" s="14">
        <f ca="1"/>
      </c>
      <c r="AV33" s="14">
        <f ca="1"/>
      </c>
      <c r="AW33" s="14">
        <f ca="1"/>
      </c>
      <c r="AX33" s="14">
        <f ca="1"/>
      </c>
      <c r="AY33" s="14">
        <f ca="1"/>
      </c>
      <c r="AZ33" s="14">
        <f ca="1"/>
      </c>
      <c r="BB33">
        <f ca="1"/>
      </c>
      <c r="BC33">
        <f ca="1"/>
      </c>
      <c r="BD33">
        <f ca="1"/>
      </c>
      <c r="BF33" s="7">
        <f ca="1"/>
      </c>
      <c r="BG33" s="14">
        <f ca="1"/>
      </c>
      <c r="BH33" s="14">
        <f ca="1"/>
      </c>
      <c r="BI33" s="14">
        <f ca="1"/>
      </c>
      <c r="BJ33" s="14">
        <f ca="1"/>
      </c>
      <c r="BK33" s="14">
        <f ca="1"/>
      </c>
    </row>
    <row r="34" spans="28:63" x14ac:dyDescent="0.55000000000000004">
      <c r="AB34">
        <f ca="1"/>
      </c>
      <c r="AC34">
        <f ca="1"/>
      </c>
      <c r="AD34">
        <f ca="1"/>
      </c>
      <c r="AE34">
        <f ca="1"/>
      </c>
      <c r="AF34">
        <f ca="1"/>
      </c>
      <c r="AG34">
        <f ca="1"/>
      </c>
      <c r="AH34">
        <f ca="1"/>
      </c>
      <c r="AL34" s="7">
        <f ca="1"/>
      </c>
      <c r="AM34" s="14">
        <f ca="1"/>
      </c>
      <c r="AN34" s="14">
        <f ca="1"/>
      </c>
      <c r="AO34" s="14">
        <f ca="1"/>
      </c>
      <c r="AP34" s="14">
        <f ca="1"/>
      </c>
      <c r="AQ34" s="14">
        <f ca="1"/>
      </c>
      <c r="AR34" s="14">
        <f ca="1"/>
      </c>
      <c r="AV34" s="14">
        <f ca="1"/>
      </c>
      <c r="AW34" s="14">
        <f ca="1"/>
      </c>
      <c r="AX34" s="14">
        <f ca="1"/>
      </c>
      <c r="AY34" s="14">
        <f ca="1"/>
      </c>
      <c r="AZ34" s="14">
        <f ca="1"/>
      </c>
      <c r="BB34">
        <f ca="1"/>
      </c>
      <c r="BC34">
        <f ca="1"/>
      </c>
      <c r="BD34">
        <f ca="1"/>
      </c>
      <c r="BF34" s="7">
        <f ca="1"/>
      </c>
      <c r="BG34" s="14">
        <f ca="1"/>
      </c>
      <c r="BH34" s="14">
        <f ca="1"/>
      </c>
      <c r="BI34" s="14">
        <f ca="1"/>
      </c>
      <c r="BJ34" s="14">
        <f ca="1"/>
      </c>
      <c r="BK34" s="14">
        <f ca="1"/>
      </c>
    </row>
    <row r="35" spans="28:63" x14ac:dyDescent="0.55000000000000004">
      <c r="AB35">
        <f ca="1"/>
      </c>
      <c r="AC35">
        <f ca="1"/>
      </c>
      <c r="AD35">
        <f ca="1"/>
      </c>
      <c r="AE35">
        <f ca="1"/>
      </c>
      <c r="AF35">
        <f ca="1"/>
      </c>
      <c r="AG35">
        <f ca="1"/>
      </c>
      <c r="AH35">
        <f ca="1"/>
      </c>
      <c r="AL35" s="7">
        <f ca="1"/>
      </c>
      <c r="AM35" s="14">
        <f ca="1"/>
      </c>
      <c r="AN35" s="14">
        <f ca="1"/>
      </c>
      <c r="AO35" s="14">
        <f ca="1"/>
      </c>
      <c r="AP35" s="14">
        <f ca="1"/>
      </c>
      <c r="AQ35" s="14">
        <f ca="1"/>
      </c>
      <c r="AR35" s="14">
        <f ca="1"/>
      </c>
      <c r="AV35" s="14">
        <f ca="1"/>
      </c>
      <c r="AW35" s="14">
        <f ca="1"/>
      </c>
      <c r="AX35" s="14">
        <f ca="1"/>
      </c>
      <c r="AY35" s="14">
        <f ca="1"/>
      </c>
      <c r="AZ35" s="14">
        <f ca="1"/>
      </c>
      <c r="BB35">
        <f ca="1"/>
      </c>
      <c r="BC35">
        <f ca="1"/>
      </c>
      <c r="BD35">
        <f ca="1"/>
      </c>
      <c r="BF35" s="7">
        <f ca="1"/>
      </c>
      <c r="BG35" s="14">
        <f ca="1"/>
      </c>
      <c r="BH35" s="14">
        <f ca="1"/>
      </c>
      <c r="BI35" s="14">
        <f ca="1"/>
      </c>
      <c r="BJ35" s="14">
        <f ca="1"/>
      </c>
      <c r="BK35" s="14">
        <f ca="1"/>
      </c>
    </row>
    <row r="36" spans="28:63" x14ac:dyDescent="0.55000000000000004">
      <c r="AB36">
        <f ca="1"/>
      </c>
      <c r="AC36">
        <f ca="1"/>
      </c>
      <c r="AD36">
        <f ca="1"/>
      </c>
      <c r="AE36">
        <f ca="1"/>
      </c>
      <c r="AF36">
        <f ca="1"/>
      </c>
      <c r="AG36">
        <f ca="1"/>
      </c>
      <c r="AH36">
        <f ca="1"/>
      </c>
      <c r="AL36" s="7">
        <f ca="1"/>
      </c>
      <c r="AM36" s="14">
        <f ca="1"/>
      </c>
      <c r="AN36" s="14">
        <f ca="1"/>
      </c>
      <c r="AO36" s="14">
        <f ca="1"/>
      </c>
      <c r="AP36" s="14">
        <f ca="1"/>
      </c>
      <c r="AQ36" s="14">
        <f ca="1"/>
      </c>
      <c r="AR36" s="14">
        <f ca="1"/>
      </c>
      <c r="AV36" s="14">
        <f ca="1"/>
      </c>
      <c r="AW36" s="14">
        <f ca="1"/>
      </c>
      <c r="AX36" s="14">
        <f ca="1"/>
      </c>
      <c r="AY36" s="14">
        <f ca="1"/>
      </c>
      <c r="AZ36" s="14">
        <f ca="1"/>
      </c>
      <c r="BB36">
        <f ca="1"/>
      </c>
      <c r="BC36">
        <f ca="1"/>
      </c>
      <c r="BD36">
        <f ca="1"/>
      </c>
      <c r="BF36" s="7">
        <f ca="1"/>
      </c>
      <c r="BG36" s="14">
        <f ca="1"/>
      </c>
      <c r="BH36" s="14">
        <f ca="1"/>
      </c>
      <c r="BI36" s="14">
        <f ca="1"/>
      </c>
      <c r="BJ36" s="14">
        <f ca="1"/>
      </c>
      <c r="BK36" s="14">
        <f ca="1"/>
      </c>
    </row>
    <row r="37" spans="28:63" x14ac:dyDescent="0.55000000000000004">
      <c r="AB37">
        <f ca="1"/>
      </c>
      <c r="AC37">
        <f ca="1"/>
      </c>
      <c r="AD37">
        <f ca="1"/>
      </c>
      <c r="AE37">
        <f ca="1"/>
      </c>
      <c r="AF37">
        <f ca="1"/>
      </c>
      <c r="AG37">
        <f ca="1"/>
      </c>
      <c r="AH37">
        <f ca="1"/>
      </c>
      <c r="AL37" s="7">
        <f ca="1"/>
      </c>
      <c r="AM37" s="14">
        <f ca="1"/>
      </c>
      <c r="AN37" s="14">
        <f ca="1"/>
      </c>
      <c r="AO37" s="14">
        <f ca="1"/>
      </c>
      <c r="AP37" s="14">
        <f ca="1"/>
      </c>
      <c r="AQ37" s="14">
        <f ca="1"/>
      </c>
      <c r="AR37" s="14">
        <f ca="1"/>
      </c>
      <c r="AV37" s="14">
        <f ca="1"/>
      </c>
      <c r="AW37" s="14">
        <f ca="1"/>
      </c>
      <c r="AX37" s="14">
        <f ca="1"/>
      </c>
      <c r="AY37" s="14">
        <f ca="1"/>
      </c>
      <c r="AZ37" s="14">
        <f ca="1"/>
      </c>
      <c r="BB37">
        <f ca="1"/>
      </c>
      <c r="BC37">
        <f ca="1"/>
      </c>
      <c r="BD37">
        <f ca="1"/>
      </c>
      <c r="BF37" s="7">
        <f ca="1"/>
      </c>
      <c r="BG37" s="14">
        <f ca="1"/>
      </c>
      <c r="BH37" s="14">
        <f ca="1"/>
      </c>
      <c r="BI37" s="14">
        <f ca="1"/>
      </c>
      <c r="BJ37" s="14">
        <f ca="1"/>
      </c>
      <c r="BK37" s="14">
        <f ca="1"/>
      </c>
    </row>
    <row r="38" spans="28:63" x14ac:dyDescent="0.55000000000000004">
      <c r="AB38">
        <f ca="1"/>
      </c>
      <c r="AC38">
        <f ca="1"/>
      </c>
      <c r="AD38">
        <f ca="1"/>
      </c>
      <c r="AE38">
        <f ca="1"/>
      </c>
      <c r="AF38">
        <f ca="1"/>
      </c>
      <c r="AG38">
        <f ca="1"/>
      </c>
      <c r="AH38">
        <f ca="1"/>
      </c>
      <c r="AL38" s="7">
        <f ca="1"/>
      </c>
      <c r="AM38" s="14">
        <f ca="1"/>
      </c>
      <c r="AN38" s="14">
        <f ca="1"/>
      </c>
      <c r="AO38" s="14">
        <f ca="1"/>
      </c>
      <c r="AP38" s="14">
        <f ca="1"/>
      </c>
      <c r="AQ38" s="14">
        <f ca="1"/>
      </c>
      <c r="AR38" s="14">
        <f ca="1"/>
      </c>
      <c r="AV38" s="14">
        <f ca="1"/>
      </c>
      <c r="AW38" s="14">
        <f ca="1"/>
      </c>
      <c r="AX38" s="14">
        <f ca="1"/>
      </c>
      <c r="AY38" s="14">
        <f ca="1"/>
      </c>
      <c r="AZ38" s="14">
        <f ca="1"/>
      </c>
      <c r="BB38">
        <f ca="1"/>
      </c>
      <c r="BC38">
        <f ca="1"/>
      </c>
      <c r="BD38">
        <f ca="1"/>
      </c>
      <c r="BF38" s="7">
        <f ca="1"/>
      </c>
      <c r="BG38" s="14">
        <f ca="1"/>
      </c>
      <c r="BH38" s="14">
        <f ca="1"/>
      </c>
      <c r="BI38" s="14">
        <f ca="1"/>
      </c>
      <c r="BJ38" s="14">
        <f ca="1"/>
      </c>
      <c r="BK38" s="14">
        <f ca="1"/>
      </c>
    </row>
    <row r="39" spans="28:63" x14ac:dyDescent="0.55000000000000004">
      <c r="AB39">
        <f ca="1"/>
      </c>
      <c r="AC39">
        <f ca="1"/>
      </c>
      <c r="AD39">
        <f ca="1"/>
      </c>
      <c r="AE39">
        <f ca="1"/>
      </c>
      <c r="AF39">
        <f ca="1"/>
      </c>
      <c r="AG39">
        <f ca="1"/>
      </c>
      <c r="AH39">
        <f ca="1"/>
      </c>
      <c r="AL39" s="7">
        <f ca="1"/>
      </c>
      <c r="AM39" s="14">
        <f ca="1"/>
      </c>
      <c r="AN39" s="14">
        <f ca="1"/>
      </c>
      <c r="AO39" s="14">
        <f ca="1"/>
      </c>
      <c r="AP39" s="14">
        <f ca="1"/>
      </c>
      <c r="AQ39" s="14">
        <f ca="1"/>
      </c>
      <c r="AR39" s="14">
        <f ca="1"/>
      </c>
      <c r="AV39" s="14">
        <f ca="1"/>
      </c>
      <c r="AW39" s="14">
        <f ca="1"/>
      </c>
      <c r="AX39" s="14">
        <f ca="1"/>
      </c>
      <c r="AY39" s="14">
        <f ca="1"/>
      </c>
      <c r="AZ39" s="14">
        <f ca="1"/>
      </c>
      <c r="BB39">
        <f ca="1"/>
      </c>
      <c r="BC39">
        <f ca="1"/>
      </c>
      <c r="BD39">
        <f ca="1"/>
      </c>
      <c r="BF39" s="7">
        <f ca="1"/>
      </c>
      <c r="BG39" s="14">
        <f ca="1"/>
      </c>
      <c r="BH39" s="14">
        <f ca="1"/>
      </c>
      <c r="BI39" s="14">
        <f ca="1"/>
      </c>
      <c r="BJ39" s="14">
        <f ca="1"/>
      </c>
      <c r="BK39" s="14">
        <f ca="1"/>
      </c>
    </row>
    <row r="40" spans="28:63" x14ac:dyDescent="0.55000000000000004">
      <c r="AB40">
        <f ca="1"/>
      </c>
      <c r="AC40">
        <f ca="1"/>
      </c>
      <c r="AD40">
        <f ca="1"/>
      </c>
      <c r="AE40">
        <f ca="1"/>
      </c>
      <c r="AF40">
        <f ca="1"/>
      </c>
      <c r="AG40">
        <f ca="1"/>
      </c>
      <c r="AH40">
        <f ca="1"/>
      </c>
      <c r="AL40" s="7">
        <f ca="1"/>
      </c>
      <c r="AM40" s="14">
        <f ca="1"/>
      </c>
      <c r="AN40" s="14">
        <f ca="1"/>
      </c>
      <c r="AO40" s="14">
        <f ca="1"/>
      </c>
      <c r="AP40" s="14">
        <f ca="1"/>
      </c>
      <c r="AQ40" s="14">
        <f ca="1"/>
      </c>
      <c r="AR40" s="14">
        <f ca="1"/>
      </c>
      <c r="AV40" s="14">
        <f ca="1"/>
      </c>
      <c r="AW40" s="14">
        <f ca="1"/>
      </c>
      <c r="AX40" s="14">
        <f ca="1"/>
      </c>
      <c r="AY40" s="14">
        <f ca="1"/>
      </c>
      <c r="AZ40" s="14">
        <f ca="1"/>
      </c>
      <c r="BB40">
        <f ca="1"/>
      </c>
      <c r="BC40">
        <f ca="1"/>
      </c>
      <c r="BD40">
        <f ca="1"/>
      </c>
      <c r="BF40" s="7">
        <f ca="1"/>
      </c>
      <c r="BG40" s="14">
        <f ca="1"/>
      </c>
      <c r="BH40" s="14">
        <f ca="1"/>
      </c>
      <c r="BI40" s="14">
        <f ca="1"/>
      </c>
      <c r="BJ40" s="14">
        <f ca="1"/>
      </c>
      <c r="BK40" s="14">
        <f ca="1"/>
      </c>
    </row>
    <row r="41" spans="28:63" x14ac:dyDescent="0.55000000000000004">
      <c r="AB41">
        <f ca="1"/>
      </c>
      <c r="AC41">
        <f ca="1"/>
      </c>
      <c r="AD41">
        <f ca="1"/>
      </c>
      <c r="AE41">
        <f ca="1"/>
      </c>
      <c r="AF41">
        <f ca="1"/>
      </c>
      <c r="AG41">
        <f ca="1"/>
      </c>
      <c r="AH41">
        <f ca="1"/>
      </c>
      <c r="AL41" s="7">
        <f ca="1"/>
      </c>
      <c r="AM41" s="14">
        <f ca="1"/>
      </c>
      <c r="AN41" s="14">
        <f ca="1"/>
      </c>
      <c r="AO41" s="14">
        <f ca="1"/>
      </c>
      <c r="AP41" s="14">
        <f ca="1"/>
      </c>
      <c r="AQ41" s="14">
        <f ca="1"/>
      </c>
      <c r="AR41" s="14">
        <f ca="1"/>
      </c>
      <c r="AV41" s="14">
        <f ca="1"/>
      </c>
      <c r="AW41" s="14">
        <f ca="1"/>
      </c>
      <c r="AX41" s="14">
        <f ca="1"/>
      </c>
      <c r="AY41" s="14">
        <f ca="1"/>
      </c>
      <c r="AZ41" s="14">
        <f ca="1"/>
      </c>
      <c r="BB41">
        <f ca="1"/>
      </c>
      <c r="BC41">
        <f ca="1"/>
      </c>
      <c r="BD41">
        <f ca="1"/>
      </c>
      <c r="BF41" s="7">
        <f ca="1"/>
      </c>
      <c r="BG41" s="14">
        <f ca="1"/>
      </c>
      <c r="BH41" s="14">
        <f ca="1"/>
      </c>
      <c r="BI41" s="14">
        <f ca="1"/>
      </c>
      <c r="BJ41" s="14">
        <f ca="1"/>
      </c>
      <c r="BK41" s="14">
        <f ca="1"/>
      </c>
    </row>
    <row r="42" spans="28:63" x14ac:dyDescent="0.55000000000000004">
      <c r="AB42">
        <f ca="1"/>
      </c>
      <c r="AC42">
        <f ca="1"/>
      </c>
      <c r="AD42">
        <f ca="1"/>
      </c>
      <c r="AE42">
        <f ca="1"/>
      </c>
      <c r="AF42">
        <f ca="1"/>
      </c>
      <c r="AG42">
        <f ca="1"/>
      </c>
      <c r="AH42">
        <f ca="1"/>
      </c>
      <c r="AL42" s="7">
        <f ca="1"/>
      </c>
      <c r="AM42" s="14">
        <f ca="1"/>
      </c>
      <c r="AN42" s="14">
        <f ca="1"/>
      </c>
      <c r="AO42" s="14">
        <f ca="1"/>
      </c>
      <c r="AP42" s="14">
        <f ca="1"/>
      </c>
      <c r="AQ42" s="14">
        <f ca="1"/>
      </c>
      <c r="AR42" s="14">
        <f ca="1"/>
      </c>
      <c r="AV42" s="14">
        <f ca="1"/>
      </c>
      <c r="AW42" s="14">
        <f ca="1"/>
      </c>
      <c r="AX42" s="14">
        <f ca="1"/>
      </c>
      <c r="AY42" s="14">
        <f ca="1"/>
      </c>
      <c r="AZ42" s="14">
        <f ca="1"/>
      </c>
      <c r="BB42">
        <f ca="1"/>
      </c>
      <c r="BC42">
        <f ca="1"/>
      </c>
      <c r="BD42">
        <f ca="1"/>
      </c>
      <c r="BF42" s="7">
        <f ca="1"/>
      </c>
      <c r="BG42" s="14">
        <f ca="1"/>
      </c>
      <c r="BH42" s="14">
        <f ca="1"/>
      </c>
      <c r="BI42" s="14">
        <f ca="1"/>
      </c>
      <c r="BJ42" s="14">
        <f ca="1"/>
      </c>
      <c r="BK42" s="14">
        <f ca="1"/>
      </c>
    </row>
    <row r="43" spans="28:63" x14ac:dyDescent="0.55000000000000004">
      <c r="AB43">
        <f ca="1"/>
      </c>
      <c r="AC43">
        <f ca="1"/>
      </c>
      <c r="AD43">
        <f ca="1"/>
      </c>
      <c r="AE43">
        <f ca="1"/>
      </c>
      <c r="AF43">
        <f ca="1"/>
      </c>
      <c r="AG43">
        <f ca="1"/>
      </c>
      <c r="AH43">
        <f ca="1"/>
      </c>
      <c r="AL43" s="7">
        <f ca="1"/>
      </c>
      <c r="AM43" s="14">
        <f ca="1"/>
      </c>
      <c r="AN43" s="14">
        <f ca="1"/>
      </c>
      <c r="AO43" s="14">
        <f ca="1"/>
      </c>
      <c r="AP43" s="14">
        <f ca="1"/>
      </c>
      <c r="AQ43" s="14">
        <f ca="1"/>
      </c>
      <c r="AR43" s="14">
        <f ca="1"/>
      </c>
      <c r="AV43" s="14">
        <f ca="1"/>
      </c>
      <c r="AW43" s="14">
        <f ca="1"/>
      </c>
      <c r="AX43" s="14">
        <f ca="1"/>
      </c>
      <c r="AY43" s="14">
        <f ca="1"/>
      </c>
      <c r="AZ43" s="14">
        <f ca="1"/>
      </c>
      <c r="BB43">
        <f ca="1"/>
      </c>
      <c r="BC43">
        <f ca="1"/>
      </c>
      <c r="BD43">
        <f ca="1"/>
      </c>
      <c r="BF43" s="7">
        <f ca="1"/>
      </c>
      <c r="BG43" s="14">
        <f ca="1"/>
      </c>
      <c r="BH43" s="14">
        <f ca="1"/>
      </c>
      <c r="BI43" s="14">
        <f ca="1"/>
      </c>
      <c r="BJ43" s="14">
        <f ca="1"/>
      </c>
      <c r="BK43" s="14">
        <f ca="1"/>
      </c>
    </row>
    <row r="44" spans="28:63" x14ac:dyDescent="0.55000000000000004">
      <c r="AB44">
        <f ca="1"/>
      </c>
      <c r="AC44">
        <f ca="1"/>
      </c>
      <c r="AD44">
        <f ca="1"/>
      </c>
      <c r="AE44">
        <f ca="1"/>
      </c>
      <c r="AF44">
        <f ca="1"/>
      </c>
      <c r="AG44">
        <f ca="1"/>
      </c>
      <c r="AH44">
        <f ca="1"/>
      </c>
      <c r="AL44" s="7">
        <f ca="1"/>
      </c>
      <c r="AM44" s="14">
        <f ca="1"/>
      </c>
      <c r="AN44" s="14">
        <f ca="1"/>
      </c>
      <c r="AO44" s="14">
        <f ca="1"/>
      </c>
      <c r="AP44" s="14">
        <f ca="1"/>
      </c>
      <c r="AQ44" s="14">
        <f ca="1"/>
      </c>
      <c r="AR44" s="14">
        <f ca="1"/>
      </c>
      <c r="AV44" s="14">
        <f ca="1"/>
      </c>
      <c r="AW44" s="14">
        <f ca="1"/>
      </c>
      <c r="AX44" s="14">
        <f ca="1"/>
      </c>
      <c r="AY44" s="14">
        <f ca="1"/>
      </c>
      <c r="AZ44" s="14">
        <f ca="1"/>
      </c>
      <c r="BB44">
        <f ca="1"/>
      </c>
      <c r="BC44">
        <f ca="1"/>
      </c>
      <c r="BD44">
        <f ca="1"/>
      </c>
      <c r="BF44" s="7">
        <f ca="1"/>
      </c>
      <c r="BG44" s="14">
        <f ca="1"/>
      </c>
      <c r="BH44" s="14">
        <f ca="1"/>
      </c>
      <c r="BI44" s="14">
        <f ca="1"/>
      </c>
      <c r="BJ44" s="14">
        <f ca="1"/>
      </c>
      <c r="BK44" s="14">
        <f ca="1"/>
      </c>
    </row>
    <row r="45" spans="28:63" x14ac:dyDescent="0.55000000000000004">
      <c r="AB45">
        <f ca="1"/>
      </c>
      <c r="AC45">
        <f ca="1"/>
      </c>
      <c r="AD45">
        <f ca="1"/>
      </c>
      <c r="AE45">
        <f ca="1"/>
      </c>
      <c r="AF45">
        <f ca="1"/>
      </c>
      <c r="AG45">
        <f ca="1"/>
      </c>
      <c r="AH45">
        <f ca="1"/>
      </c>
      <c r="AL45" s="7">
        <f ca="1"/>
      </c>
      <c r="AM45" s="14">
        <f ca="1"/>
      </c>
      <c r="AN45" s="14">
        <f ca="1"/>
      </c>
      <c r="AO45" s="14">
        <f ca="1"/>
      </c>
      <c r="AP45" s="14">
        <f ca="1"/>
      </c>
      <c r="AQ45" s="14">
        <f ca="1"/>
      </c>
      <c r="AR45" s="14">
        <f ca="1"/>
      </c>
      <c r="AV45" s="14">
        <f ca="1"/>
      </c>
      <c r="AW45" s="14">
        <f ca="1"/>
      </c>
      <c r="AX45" s="14">
        <f ca="1"/>
      </c>
      <c r="AY45" s="14">
        <f ca="1"/>
      </c>
      <c r="AZ45" s="14">
        <f ca="1"/>
      </c>
      <c r="BB45">
        <f ca="1"/>
      </c>
      <c r="BC45">
        <f ca="1"/>
      </c>
      <c r="BD45">
        <f ca="1"/>
      </c>
      <c r="BF45" s="7">
        <f ca="1"/>
      </c>
      <c r="BG45" s="14">
        <f ca="1"/>
      </c>
      <c r="BH45" s="14">
        <f ca="1"/>
      </c>
      <c r="BI45" s="14">
        <f ca="1"/>
      </c>
      <c r="BJ45" s="14">
        <f ca="1"/>
      </c>
      <c r="BK45" s="14">
        <f ca="1"/>
      </c>
    </row>
    <row r="46" spans="28:63" x14ac:dyDescent="0.55000000000000004">
      <c r="AB46">
        <f ca="1"/>
      </c>
      <c r="AC46">
        <f ca="1"/>
      </c>
      <c r="AD46">
        <f ca="1"/>
      </c>
      <c r="AE46">
        <f ca="1"/>
      </c>
      <c r="AF46">
        <f ca="1"/>
      </c>
      <c r="AG46">
        <f ca="1"/>
      </c>
      <c r="AH46">
        <f ca="1"/>
      </c>
      <c r="AL46" s="7">
        <f ca="1"/>
      </c>
      <c r="AM46" s="14">
        <f ca="1"/>
      </c>
      <c r="AN46" s="14">
        <f ca="1"/>
      </c>
      <c r="AO46" s="14">
        <f ca="1"/>
      </c>
      <c r="AP46" s="14">
        <f ca="1"/>
      </c>
      <c r="AQ46" s="14">
        <f ca="1"/>
      </c>
      <c r="AR46" s="14">
        <f ca="1"/>
      </c>
      <c r="AV46" s="14">
        <f ca="1"/>
      </c>
      <c r="AW46" s="14">
        <f ca="1"/>
      </c>
      <c r="AX46" s="14">
        <f ca="1"/>
      </c>
      <c r="AY46" s="14">
        <f ca="1"/>
      </c>
      <c r="AZ46" s="14">
        <f ca="1"/>
      </c>
      <c r="BB46">
        <f ca="1"/>
      </c>
      <c r="BC46">
        <f ca="1"/>
      </c>
      <c r="BD46">
        <f ca="1"/>
      </c>
      <c r="BF46" s="7">
        <f ca="1"/>
      </c>
      <c r="BG46" s="14">
        <f ca="1"/>
      </c>
      <c r="BH46" s="14">
        <f ca="1"/>
      </c>
      <c r="BI46" s="14">
        <f ca="1"/>
      </c>
      <c r="BJ46" s="14">
        <f ca="1"/>
      </c>
      <c r="BK46" s="14">
        <f ca="1"/>
      </c>
    </row>
    <row r="47" spans="28:63" x14ac:dyDescent="0.55000000000000004">
      <c r="AB47">
        <f ca="1"/>
      </c>
      <c r="AC47">
        <f ca="1"/>
      </c>
      <c r="AD47">
        <f ca="1"/>
      </c>
      <c r="AE47">
        <f ca="1"/>
      </c>
      <c r="AF47">
        <f ca="1"/>
      </c>
      <c r="AG47">
        <f ca="1"/>
      </c>
      <c r="AH47">
        <f ca="1"/>
      </c>
      <c r="AL47" s="7">
        <f ca="1"/>
      </c>
      <c r="AM47" s="14">
        <f ca="1"/>
      </c>
      <c r="AN47" s="14">
        <f ca="1"/>
      </c>
      <c r="AO47" s="14">
        <f ca="1"/>
      </c>
      <c r="AP47" s="14">
        <f ca="1"/>
      </c>
      <c r="AQ47" s="14">
        <f ca="1"/>
      </c>
      <c r="AR47" s="14">
        <f ca="1"/>
      </c>
      <c r="AV47" s="14">
        <f ca="1"/>
      </c>
      <c r="AW47" s="14">
        <f ca="1"/>
      </c>
      <c r="AX47" s="14">
        <f ca="1"/>
      </c>
      <c r="AY47" s="14">
        <f ca="1"/>
      </c>
      <c r="AZ47" s="14">
        <f ca="1"/>
      </c>
      <c r="BB47">
        <f ca="1"/>
      </c>
      <c r="BC47">
        <f ca="1"/>
      </c>
      <c r="BD47">
        <f ca="1"/>
      </c>
      <c r="BF47" s="7">
        <f ca="1"/>
      </c>
      <c r="BG47" s="14">
        <f ca="1"/>
      </c>
      <c r="BH47" s="14">
        <f ca="1"/>
      </c>
      <c r="BI47" s="14">
        <f ca="1"/>
      </c>
      <c r="BJ47" s="14">
        <f ca="1"/>
      </c>
      <c r="BK47" s="14">
        <f ca="1"/>
      </c>
    </row>
    <row r="48" spans="28:63" x14ac:dyDescent="0.55000000000000004">
      <c r="AB48">
        <f ca="1"/>
      </c>
      <c r="AC48">
        <f ca="1"/>
      </c>
      <c r="AD48">
        <f ca="1"/>
      </c>
      <c r="AE48">
        <f ca="1"/>
      </c>
      <c r="AF48">
        <f ca="1"/>
      </c>
      <c r="AG48">
        <f ca="1"/>
      </c>
      <c r="AH48">
        <f ca="1"/>
      </c>
      <c r="AL48" s="7">
        <f ca="1"/>
      </c>
      <c r="AM48" s="14">
        <f ca="1"/>
      </c>
      <c r="AN48" s="14">
        <f ca="1"/>
      </c>
      <c r="AO48" s="14">
        <f ca="1"/>
      </c>
      <c r="AP48" s="14">
        <f ca="1"/>
      </c>
      <c r="AQ48" s="14">
        <f ca="1"/>
      </c>
      <c r="AR48" s="14">
        <f ca="1"/>
      </c>
      <c r="AV48" s="14">
        <f ca="1"/>
      </c>
      <c r="AW48" s="14">
        <f ca="1"/>
      </c>
      <c r="AX48" s="14">
        <f ca="1"/>
      </c>
      <c r="AY48" s="14">
        <f ca="1"/>
      </c>
      <c r="AZ48" s="14">
        <f ca="1"/>
      </c>
      <c r="BB48">
        <f ca="1"/>
      </c>
      <c r="BC48">
        <f ca="1"/>
      </c>
      <c r="BD48">
        <f ca="1"/>
      </c>
      <c r="BF48" s="7">
        <f ca="1"/>
      </c>
      <c r="BG48" s="14">
        <f ca="1"/>
      </c>
      <c r="BH48" s="14">
        <f ca="1"/>
      </c>
      <c r="BI48" s="14">
        <f ca="1"/>
      </c>
      <c r="BJ48" s="14">
        <f ca="1"/>
      </c>
      <c r="BK48" s="14">
        <f ca="1"/>
      </c>
    </row>
    <row r="49" spans="28:63" x14ac:dyDescent="0.55000000000000004">
      <c r="AB49">
        <f ca="1"/>
      </c>
      <c r="AC49">
        <f ca="1"/>
      </c>
      <c r="AD49">
        <f ca="1"/>
      </c>
      <c r="AE49">
        <f ca="1"/>
      </c>
      <c r="AF49">
        <f ca="1"/>
      </c>
      <c r="AG49">
        <f ca="1"/>
      </c>
      <c r="AH49">
        <f ca="1"/>
      </c>
      <c r="AL49" s="7">
        <f ca="1"/>
      </c>
      <c r="AM49" s="14">
        <f ca="1"/>
      </c>
      <c r="AN49" s="14">
        <f ca="1"/>
      </c>
      <c r="AO49" s="14">
        <f ca="1"/>
      </c>
      <c r="AP49" s="14">
        <f ca="1"/>
      </c>
      <c r="AQ49" s="14">
        <f ca="1"/>
      </c>
      <c r="AR49" s="14">
        <f ca="1"/>
      </c>
      <c r="AV49" s="14">
        <f ca="1"/>
      </c>
      <c r="AW49" s="14">
        <f ca="1"/>
      </c>
      <c r="AX49" s="14">
        <f ca="1"/>
      </c>
      <c r="AY49" s="14">
        <f ca="1"/>
      </c>
      <c r="AZ49" s="14">
        <f ca="1"/>
      </c>
      <c r="BB49">
        <f ca="1"/>
      </c>
      <c r="BC49">
        <f ca="1"/>
      </c>
      <c r="BD49">
        <f ca="1"/>
      </c>
      <c r="BF49" s="7">
        <f ca="1"/>
      </c>
      <c r="BG49" s="14">
        <f ca="1"/>
      </c>
      <c r="BH49" s="14">
        <f ca="1"/>
      </c>
      <c r="BI49" s="14">
        <f ca="1"/>
      </c>
      <c r="BJ49" s="14">
        <f ca="1"/>
      </c>
      <c r="BK49" s="14">
        <f ca="1"/>
      </c>
    </row>
    <row r="50" spans="28:63" x14ac:dyDescent="0.55000000000000004">
      <c r="AB50">
        <f ca="1"/>
      </c>
      <c r="AC50">
        <f ca="1"/>
      </c>
      <c r="AD50">
        <f ca="1"/>
      </c>
      <c r="AE50">
        <f ca="1"/>
      </c>
      <c r="AF50">
        <f ca="1"/>
      </c>
      <c r="AG50">
        <f ca="1"/>
      </c>
      <c r="AH50">
        <f ca="1"/>
      </c>
      <c r="AL50" s="7">
        <f ca="1"/>
      </c>
      <c r="AM50" s="14">
        <f ca="1"/>
      </c>
      <c r="AN50" s="14">
        <f ca="1"/>
      </c>
      <c r="AO50" s="14">
        <f ca="1"/>
      </c>
      <c r="AP50" s="14">
        <f ca="1"/>
      </c>
      <c r="AQ50" s="14">
        <f ca="1"/>
      </c>
      <c r="AR50" s="14">
        <f ca="1"/>
      </c>
      <c r="AV50" s="14">
        <f ca="1"/>
      </c>
      <c r="AW50" s="14">
        <f ca="1"/>
      </c>
      <c r="AX50" s="14">
        <f ca="1"/>
      </c>
      <c r="AY50" s="14">
        <f ca="1"/>
      </c>
      <c r="AZ50" s="14">
        <f ca="1"/>
      </c>
      <c r="BB50">
        <f ca="1"/>
      </c>
      <c r="BC50">
        <f ca="1"/>
      </c>
      <c r="BD50">
        <f ca="1"/>
      </c>
      <c r="BF50" s="7">
        <f ca="1"/>
      </c>
      <c r="BG50" s="14">
        <f ca="1"/>
      </c>
      <c r="BH50" s="14">
        <f ca="1"/>
      </c>
      <c r="BI50" s="14">
        <f ca="1"/>
      </c>
      <c r="BJ50" s="14">
        <f ca="1"/>
      </c>
      <c r="BK50" s="14">
        <f ca="1"/>
      </c>
    </row>
    <row r="51" spans="28:63" x14ac:dyDescent="0.55000000000000004">
      <c r="AB51">
        <f ca="1"/>
      </c>
      <c r="AC51">
        <f ca="1"/>
      </c>
      <c r="AD51">
        <f ca="1"/>
      </c>
      <c r="AE51">
        <f ca="1"/>
      </c>
      <c r="AF51">
        <f ca="1"/>
      </c>
      <c r="AG51">
        <f ca="1"/>
      </c>
      <c r="AH51">
        <f ca="1"/>
      </c>
      <c r="AL51" s="7">
        <f ca="1"/>
      </c>
      <c r="AM51" s="14">
        <f ca="1"/>
      </c>
      <c r="AN51" s="14">
        <f ca="1"/>
      </c>
      <c r="AO51" s="14">
        <f ca="1"/>
      </c>
      <c r="AP51" s="14">
        <f ca="1"/>
      </c>
      <c r="AQ51" s="14">
        <f ca="1"/>
      </c>
      <c r="AR51" s="14">
        <f ca="1"/>
      </c>
      <c r="AV51" s="14">
        <f ca="1"/>
      </c>
      <c r="AW51" s="14">
        <f ca="1"/>
      </c>
      <c r="AX51" s="14">
        <f ca="1"/>
      </c>
      <c r="AY51" s="14">
        <f ca="1"/>
      </c>
      <c r="AZ51" s="14">
        <f ca="1"/>
      </c>
      <c r="BB51">
        <f ca="1"/>
      </c>
      <c r="BC51">
        <f ca="1"/>
      </c>
      <c r="BD51">
        <f ca="1"/>
      </c>
      <c r="BF51" s="7">
        <f ca="1"/>
      </c>
      <c r="BG51" s="14">
        <f ca="1"/>
      </c>
      <c r="BH51" s="14">
        <f ca="1"/>
      </c>
      <c r="BI51" s="14">
        <f ca="1"/>
      </c>
      <c r="BJ51" s="14">
        <f ca="1"/>
      </c>
      <c r="BK51" s="14">
        <f ca="1"/>
      </c>
    </row>
    <row r="52" spans="28:63" x14ac:dyDescent="0.55000000000000004">
      <c r="AB52">
        <f ca="1"/>
      </c>
      <c r="AC52">
        <f ca="1"/>
      </c>
      <c r="AD52">
        <f ca="1"/>
      </c>
      <c r="AE52">
        <f ca="1"/>
      </c>
      <c r="AF52">
        <f ca="1"/>
      </c>
      <c r="AG52">
        <f ca="1"/>
      </c>
      <c r="AH52">
        <f ca="1"/>
      </c>
      <c r="AL52" s="7">
        <f ca="1"/>
      </c>
      <c r="AM52" s="14">
        <f ca="1"/>
      </c>
      <c r="AN52" s="14">
        <f ca="1"/>
      </c>
      <c r="AO52" s="14">
        <f ca="1"/>
      </c>
      <c r="AP52" s="14">
        <f ca="1"/>
      </c>
      <c r="AQ52" s="14">
        <f ca="1"/>
      </c>
      <c r="AR52" s="14">
        <f ca="1"/>
      </c>
      <c r="AV52" s="14">
        <f ca="1"/>
      </c>
      <c r="AW52" s="14">
        <f ca="1"/>
      </c>
      <c r="AX52" s="14">
        <f ca="1"/>
      </c>
      <c r="AY52" s="14">
        <f ca="1"/>
      </c>
      <c r="AZ52" s="14">
        <f ca="1"/>
      </c>
      <c r="BB52">
        <f ca="1"/>
      </c>
      <c r="BC52">
        <f ca="1"/>
      </c>
      <c r="BD52">
        <f ca="1"/>
      </c>
      <c r="BF52" s="7">
        <f ca="1"/>
      </c>
      <c r="BG52" s="14">
        <f ca="1"/>
      </c>
      <c r="BH52" s="14">
        <f ca="1"/>
      </c>
      <c r="BI52" s="14">
        <f ca="1"/>
      </c>
      <c r="BJ52" s="14">
        <f ca="1"/>
      </c>
      <c r="BK52" s="14">
        <f ca="1"/>
      </c>
    </row>
    <row r="53" spans="28:63" x14ac:dyDescent="0.55000000000000004">
      <c r="AB53">
        <f ca="1"/>
      </c>
      <c r="AC53">
        <f ca="1"/>
      </c>
      <c r="AD53">
        <f ca="1"/>
      </c>
      <c r="AE53">
        <f ca="1"/>
      </c>
      <c r="AF53">
        <f ca="1"/>
      </c>
      <c r="AG53">
        <f ca="1"/>
      </c>
      <c r="AH53">
        <f ca="1"/>
      </c>
      <c r="AL53" s="7">
        <f ca="1"/>
      </c>
      <c r="AM53" s="14">
        <f ca="1"/>
      </c>
      <c r="AN53" s="14">
        <f ca="1"/>
      </c>
      <c r="AO53" s="14">
        <f ca="1"/>
      </c>
      <c r="AP53" s="14">
        <f ca="1"/>
      </c>
      <c r="AQ53" s="14">
        <f ca="1"/>
      </c>
      <c r="AR53" s="14">
        <f ca="1"/>
      </c>
      <c r="AV53" s="14">
        <f ca="1"/>
      </c>
      <c r="AW53" s="14">
        <f ca="1"/>
      </c>
      <c r="AX53" s="14">
        <f ca="1"/>
      </c>
      <c r="AY53" s="14">
        <f ca="1"/>
      </c>
      <c r="AZ53" s="14">
        <f ca="1"/>
      </c>
      <c r="BB53">
        <f ca="1"/>
      </c>
      <c r="BC53">
        <f ca="1"/>
      </c>
      <c r="BD53">
        <f ca="1"/>
      </c>
      <c r="BF53" s="7">
        <f ca="1"/>
      </c>
      <c r="BG53" s="14">
        <f ca="1"/>
      </c>
      <c r="BH53" s="14">
        <f ca="1"/>
      </c>
      <c r="BI53" s="14">
        <f ca="1"/>
      </c>
      <c r="BJ53" s="14">
        <f ca="1"/>
      </c>
      <c r="BK53" s="14">
        <f ca="1"/>
      </c>
    </row>
    <row r="54" spans="28:63" x14ac:dyDescent="0.55000000000000004">
      <c r="AB54">
        <f ca="1"/>
      </c>
      <c r="AC54">
        <f ca="1"/>
      </c>
      <c r="AD54">
        <f ca="1"/>
      </c>
      <c r="AE54">
        <f ca="1"/>
      </c>
      <c r="AF54">
        <f ca="1"/>
      </c>
      <c r="AG54">
        <f ca="1"/>
      </c>
      <c r="AH54">
        <f ca="1"/>
      </c>
      <c r="AL54" s="7">
        <f ca="1"/>
      </c>
      <c r="AM54" s="14">
        <f ca="1"/>
      </c>
      <c r="AN54" s="14">
        <f ca="1"/>
      </c>
      <c r="AO54" s="14">
        <f ca="1"/>
      </c>
      <c r="AP54" s="14">
        <f ca="1"/>
      </c>
      <c r="AQ54" s="14">
        <f ca="1"/>
      </c>
      <c r="AR54" s="14">
        <f ca="1"/>
      </c>
      <c r="AV54" s="14">
        <f ca="1"/>
      </c>
      <c r="AW54" s="14">
        <f ca="1"/>
      </c>
      <c r="AX54" s="14">
        <f ca="1"/>
      </c>
      <c r="AY54" s="14">
        <f ca="1"/>
      </c>
      <c r="AZ54" s="14">
        <f ca="1"/>
      </c>
      <c r="BB54">
        <f ca="1"/>
      </c>
      <c r="BC54">
        <f ca="1"/>
      </c>
      <c r="BD54">
        <f ca="1"/>
      </c>
      <c r="BF54" s="7">
        <f ca="1"/>
      </c>
      <c r="BG54" s="14">
        <f ca="1"/>
      </c>
      <c r="BH54" s="14">
        <f ca="1"/>
      </c>
      <c r="BI54" s="14">
        <f ca="1"/>
      </c>
      <c r="BJ54" s="14">
        <f ca="1"/>
      </c>
      <c r="BK54" s="14">
        <f ca="1"/>
      </c>
    </row>
    <row r="55" spans="28:63" x14ac:dyDescent="0.55000000000000004">
      <c r="AB55">
        <f ca="1"/>
      </c>
      <c r="AC55">
        <f ca="1"/>
      </c>
      <c r="AD55">
        <f ca="1"/>
      </c>
      <c r="AE55">
        <f ca="1"/>
      </c>
      <c r="AF55">
        <f ca="1"/>
      </c>
      <c r="AG55">
        <f ca="1"/>
      </c>
      <c r="AH55">
        <f ca="1"/>
      </c>
      <c r="AL55" s="7">
        <f ca="1"/>
      </c>
      <c r="AM55" s="14">
        <f ca="1"/>
      </c>
      <c r="AN55" s="14">
        <f ca="1"/>
      </c>
      <c r="AO55" s="14">
        <f ca="1"/>
      </c>
      <c r="AP55" s="14">
        <f ca="1"/>
      </c>
      <c r="AQ55" s="14">
        <f ca="1"/>
      </c>
      <c r="AR55" s="14">
        <f ca="1"/>
      </c>
      <c r="AV55" s="14">
        <f ca="1"/>
      </c>
      <c r="AW55" s="14">
        <f ca="1"/>
      </c>
      <c r="AX55" s="14">
        <f ca="1"/>
      </c>
      <c r="AY55" s="14">
        <f ca="1"/>
      </c>
      <c r="AZ55" s="14">
        <f ca="1"/>
      </c>
      <c r="BB55">
        <f ca="1"/>
      </c>
      <c r="BC55">
        <f ca="1"/>
      </c>
      <c r="BD55">
        <f ca="1"/>
      </c>
      <c r="BF55" s="7">
        <f ca="1"/>
      </c>
      <c r="BG55" s="14">
        <f ca="1"/>
      </c>
      <c r="BH55" s="14">
        <f ca="1"/>
      </c>
      <c r="BI55" s="14">
        <f ca="1"/>
      </c>
      <c r="BJ55" s="14">
        <f ca="1"/>
      </c>
      <c r="BK55" s="14">
        <f ca="1"/>
      </c>
    </row>
    <row r="56" spans="28:63" x14ac:dyDescent="0.55000000000000004">
      <c r="AB56">
        <f ca="1"/>
      </c>
      <c r="AC56">
        <f ca="1"/>
      </c>
      <c r="AD56">
        <f ca="1"/>
      </c>
      <c r="AE56">
        <f ca="1"/>
      </c>
      <c r="AF56">
        <f ca="1"/>
      </c>
      <c r="AG56">
        <f ca="1"/>
      </c>
      <c r="AH56">
        <f ca="1"/>
      </c>
      <c r="AL56" s="7">
        <f ca="1"/>
      </c>
      <c r="AM56" s="14">
        <f ca="1"/>
      </c>
      <c r="AN56" s="14">
        <f ca="1"/>
      </c>
      <c r="AO56" s="14">
        <f ca="1"/>
      </c>
      <c r="AP56" s="14">
        <f ca="1"/>
      </c>
      <c r="AQ56" s="14">
        <f ca="1"/>
      </c>
      <c r="AR56" s="14">
        <f ca="1"/>
      </c>
      <c r="AV56" s="14">
        <f ca="1"/>
      </c>
      <c r="AW56" s="14">
        <f ca="1"/>
      </c>
      <c r="AX56" s="14">
        <f ca="1"/>
      </c>
      <c r="AY56" s="14">
        <f ca="1"/>
      </c>
      <c r="AZ56" s="14">
        <f ca="1"/>
      </c>
      <c r="BB56">
        <f ca="1"/>
      </c>
      <c r="BC56">
        <f ca="1"/>
      </c>
      <c r="BD56">
        <f ca="1"/>
      </c>
      <c r="BF56" s="7">
        <f ca="1"/>
      </c>
      <c r="BG56" s="14">
        <f ca="1"/>
      </c>
      <c r="BH56" s="14">
        <f ca="1"/>
      </c>
      <c r="BI56" s="14">
        <f ca="1"/>
      </c>
      <c r="BJ56" s="14">
        <f ca="1"/>
      </c>
      <c r="BK56" s="14">
        <f ca="1"/>
      </c>
    </row>
    <row r="57" spans="28:63" x14ac:dyDescent="0.55000000000000004">
      <c r="AB57">
        <f ca="1"/>
      </c>
      <c r="AC57">
        <f ca="1"/>
      </c>
      <c r="AD57">
        <f ca="1"/>
      </c>
      <c r="AE57">
        <f ca="1"/>
      </c>
      <c r="AF57">
        <f ca="1"/>
      </c>
      <c r="AG57">
        <f ca="1"/>
      </c>
      <c r="AH57">
        <f ca="1"/>
      </c>
      <c r="AL57" s="7">
        <f ca="1"/>
      </c>
      <c r="AM57" s="14">
        <f ca="1"/>
      </c>
      <c r="AN57" s="14">
        <f ca="1"/>
      </c>
      <c r="AO57" s="14">
        <f ca="1"/>
      </c>
      <c r="AP57" s="14">
        <f ca="1"/>
      </c>
      <c r="AQ57" s="14">
        <f ca="1"/>
      </c>
      <c r="AR57" s="14">
        <f ca="1"/>
      </c>
      <c r="AV57" s="14">
        <f ca="1"/>
      </c>
      <c r="AW57" s="14">
        <f ca="1"/>
      </c>
      <c r="AX57" s="14">
        <f ca="1"/>
      </c>
      <c r="AY57" s="14">
        <f ca="1"/>
      </c>
      <c r="AZ57" s="14">
        <f ca="1"/>
      </c>
      <c r="BB57">
        <f ca="1"/>
      </c>
      <c r="BC57">
        <f ca="1"/>
      </c>
      <c r="BD57">
        <f ca="1"/>
      </c>
      <c r="BF57" s="7">
        <f ca="1"/>
      </c>
      <c r="BG57" s="14">
        <f ca="1"/>
      </c>
      <c r="BH57" s="14">
        <f ca="1"/>
      </c>
      <c r="BI57" s="14">
        <f ca="1"/>
      </c>
      <c r="BJ57" s="14">
        <f ca="1"/>
      </c>
      <c r="BK57" s="14">
        <f ca="1"/>
      </c>
    </row>
    <row r="58" spans="28:63" x14ac:dyDescent="0.55000000000000004">
      <c r="AB58">
        <f ca="1"/>
      </c>
      <c r="AC58">
        <f ca="1"/>
      </c>
      <c r="AD58">
        <f ca="1"/>
      </c>
      <c r="AE58">
        <f ca="1"/>
      </c>
      <c r="AF58">
        <f ca="1"/>
      </c>
      <c r="AG58">
        <f ca="1"/>
      </c>
      <c r="AH58">
        <f ca="1"/>
      </c>
      <c r="AL58" s="7">
        <f ca="1"/>
      </c>
      <c r="AM58" s="14">
        <f ca="1"/>
      </c>
      <c r="AN58" s="14">
        <f ca="1"/>
      </c>
      <c r="AO58" s="14">
        <f ca="1"/>
      </c>
      <c r="AP58" s="14">
        <f ca="1"/>
      </c>
      <c r="AQ58" s="14">
        <f ca="1"/>
      </c>
      <c r="AR58" s="14">
        <f ca="1"/>
      </c>
      <c r="AV58" s="14">
        <f ca="1"/>
      </c>
      <c r="AW58" s="14">
        <f ca="1"/>
      </c>
      <c r="AX58" s="14">
        <f ca="1"/>
      </c>
      <c r="AY58" s="14">
        <f ca="1"/>
      </c>
      <c r="AZ58" s="14">
        <f ca="1"/>
      </c>
      <c r="BB58">
        <f ca="1"/>
      </c>
      <c r="BC58">
        <f ca="1"/>
      </c>
      <c r="BD58">
        <f ca="1"/>
      </c>
      <c r="BF58" s="7">
        <f ca="1"/>
      </c>
      <c r="BG58" s="14">
        <f ca="1"/>
      </c>
      <c r="BH58" s="14">
        <f ca="1"/>
      </c>
      <c r="BI58" s="14">
        <f ca="1"/>
      </c>
      <c r="BJ58" s="14">
        <f ca="1"/>
      </c>
      <c r="BK58" s="14">
        <f ca="1"/>
      </c>
    </row>
    <row r="59" spans="28:63" x14ac:dyDescent="0.55000000000000004">
      <c r="AB59">
        <f ca="1"/>
      </c>
      <c r="AC59">
        <f ca="1"/>
      </c>
      <c r="AD59">
        <f ca="1"/>
      </c>
      <c r="AE59">
        <f ca="1"/>
      </c>
      <c r="AF59">
        <f ca="1"/>
      </c>
      <c r="AG59">
        <f ca="1"/>
      </c>
      <c r="AH59">
        <f ca="1"/>
      </c>
      <c r="AL59" s="7">
        <f ca="1"/>
      </c>
      <c r="AM59" s="14">
        <f ca="1"/>
      </c>
      <c r="AN59" s="14">
        <f ca="1"/>
      </c>
      <c r="AO59" s="14">
        <f ca="1"/>
      </c>
      <c r="AP59" s="14">
        <f ca="1"/>
      </c>
      <c r="AQ59" s="14">
        <f ca="1"/>
      </c>
      <c r="AR59" s="14">
        <f ca="1"/>
      </c>
      <c r="AV59" s="14">
        <f ca="1"/>
      </c>
      <c r="AW59" s="14">
        <f ca="1"/>
      </c>
      <c r="AX59" s="14">
        <f ca="1"/>
      </c>
      <c r="AY59" s="14">
        <f ca="1"/>
      </c>
      <c r="AZ59" s="14">
        <f ca="1"/>
      </c>
      <c r="BB59">
        <f ca="1"/>
      </c>
      <c r="BC59">
        <f ca="1"/>
      </c>
      <c r="BD59">
        <f ca="1"/>
      </c>
      <c r="BF59" s="7">
        <f ca="1"/>
      </c>
      <c r="BG59" s="14">
        <f ca="1"/>
      </c>
      <c r="BH59" s="14">
        <f ca="1"/>
      </c>
      <c r="BI59" s="14">
        <f ca="1"/>
      </c>
      <c r="BJ59" s="14">
        <f ca="1"/>
      </c>
      <c r="BK59" s="14">
        <f ca="1"/>
      </c>
    </row>
    <row r="60" spans="28:63" x14ac:dyDescent="0.55000000000000004">
      <c r="AB60">
        <f ca="1"/>
      </c>
      <c r="AC60">
        <f ca="1"/>
      </c>
      <c r="AD60">
        <f ca="1"/>
      </c>
      <c r="AE60">
        <f ca="1"/>
      </c>
      <c r="AF60">
        <f ca="1"/>
      </c>
      <c r="AG60">
        <f ca="1"/>
      </c>
      <c r="AH60">
        <f ca="1"/>
      </c>
      <c r="AL60" s="7">
        <f ca="1"/>
      </c>
      <c r="AM60" s="14">
        <f ca="1"/>
      </c>
      <c r="AN60" s="14">
        <f ca="1"/>
      </c>
      <c r="AO60" s="14">
        <f ca="1"/>
      </c>
      <c r="AP60" s="14">
        <f ca="1"/>
      </c>
      <c r="AQ60" s="14">
        <f ca="1"/>
      </c>
      <c r="AR60" s="14">
        <f ca="1"/>
      </c>
      <c r="AV60" s="14">
        <f ca="1"/>
      </c>
      <c r="AW60" s="14">
        <f ca="1"/>
      </c>
      <c r="AX60" s="14">
        <f ca="1"/>
      </c>
      <c r="AY60" s="14">
        <f ca="1"/>
      </c>
      <c r="AZ60" s="14">
        <f ca="1"/>
      </c>
      <c r="BB60">
        <f ca="1"/>
      </c>
      <c r="BC60">
        <f ca="1"/>
      </c>
      <c r="BD60">
        <f ca="1"/>
      </c>
      <c r="BF60" s="7">
        <f ca="1"/>
      </c>
      <c r="BG60" s="14">
        <f ca="1"/>
      </c>
      <c r="BH60" s="14">
        <f ca="1"/>
      </c>
      <c r="BI60" s="14">
        <f ca="1"/>
      </c>
      <c r="BJ60" s="14">
        <f ca="1"/>
      </c>
      <c r="BK60" s="14">
        <f ca="1"/>
      </c>
    </row>
    <row r="61" spans="28:63" x14ac:dyDescent="0.55000000000000004">
      <c r="AB61">
        <f ca="1"/>
      </c>
      <c r="AC61">
        <f ca="1"/>
      </c>
      <c r="AD61">
        <f ca="1"/>
      </c>
      <c r="AE61">
        <f ca="1"/>
      </c>
      <c r="AF61">
        <f ca="1"/>
      </c>
      <c r="AG61">
        <f ca="1"/>
      </c>
      <c r="AH61">
        <f ca="1"/>
      </c>
      <c r="AL61" s="7">
        <f ca="1"/>
      </c>
      <c r="AM61" s="14">
        <f ca="1"/>
      </c>
      <c r="AN61" s="14">
        <f ca="1"/>
      </c>
      <c r="AO61" s="14">
        <f ca="1"/>
      </c>
      <c r="AP61" s="14">
        <f ca="1"/>
      </c>
      <c r="AQ61" s="14">
        <f ca="1"/>
      </c>
      <c r="AR61" s="14">
        <f ca="1"/>
      </c>
      <c r="AV61" s="14">
        <f ca="1"/>
      </c>
      <c r="AW61" s="14">
        <f ca="1"/>
      </c>
      <c r="AX61" s="14">
        <f ca="1"/>
      </c>
      <c r="AY61" s="14">
        <f ca="1"/>
      </c>
      <c r="AZ61" s="14">
        <f ca="1"/>
      </c>
      <c r="BB61">
        <f ca="1"/>
      </c>
      <c r="BC61">
        <f ca="1"/>
      </c>
      <c r="BD61">
        <f ca="1"/>
      </c>
      <c r="BF61" s="7">
        <f ca="1"/>
      </c>
      <c r="BG61" s="14">
        <f ca="1"/>
      </c>
      <c r="BH61" s="14">
        <f ca="1"/>
      </c>
      <c r="BI61" s="14">
        <f ca="1"/>
      </c>
      <c r="BJ61" s="14">
        <f ca="1"/>
      </c>
      <c r="BK61" s="14">
        <f ca="1"/>
      </c>
    </row>
    <row r="62" spans="28:63" x14ac:dyDescent="0.55000000000000004">
      <c r="AB62">
        <f ca="1"/>
      </c>
      <c r="AC62">
        <f ca="1"/>
      </c>
      <c r="AD62">
        <f ca="1"/>
      </c>
      <c r="AE62">
        <f ca="1"/>
      </c>
      <c r="AF62">
        <f ca="1"/>
      </c>
      <c r="AG62">
        <f ca="1"/>
      </c>
      <c r="AH62">
        <f ca="1"/>
      </c>
      <c r="AL62" s="7">
        <f ca="1"/>
      </c>
      <c r="AM62" s="14">
        <f ca="1"/>
      </c>
      <c r="AN62" s="14">
        <f ca="1"/>
      </c>
      <c r="AO62" s="14">
        <f ca="1"/>
      </c>
      <c r="AP62" s="14">
        <f ca="1"/>
      </c>
      <c r="AQ62" s="14">
        <f ca="1"/>
      </c>
      <c r="AR62" s="14">
        <f ca="1"/>
      </c>
      <c r="AV62" s="14">
        <f ca="1"/>
      </c>
      <c r="AW62" s="14">
        <f ca="1"/>
      </c>
      <c r="AX62" s="14">
        <f ca="1"/>
      </c>
      <c r="AY62" s="14">
        <f ca="1"/>
      </c>
      <c r="AZ62" s="14">
        <f ca="1"/>
      </c>
      <c r="BB62">
        <f ca="1"/>
      </c>
      <c r="BC62">
        <f ca="1"/>
      </c>
      <c r="BD62">
        <f ca="1"/>
      </c>
      <c r="BF62" s="7">
        <f ca="1"/>
      </c>
      <c r="BG62" s="14">
        <f ca="1"/>
      </c>
      <c r="BH62" s="14">
        <f ca="1"/>
      </c>
      <c r="BI62" s="14">
        <f ca="1"/>
      </c>
      <c r="BJ62" s="14">
        <f ca="1"/>
      </c>
      <c r="BK62" s="14">
        <f ca="1"/>
      </c>
    </row>
    <row r="63" spans="28:63" x14ac:dyDescent="0.55000000000000004">
      <c r="AB63">
        <f ca="1"/>
      </c>
      <c r="AC63">
        <f ca="1"/>
      </c>
      <c r="AD63">
        <f ca="1"/>
      </c>
      <c r="AE63">
        <f ca="1"/>
      </c>
      <c r="AF63">
        <f ca="1"/>
      </c>
      <c r="AG63">
        <f ca="1"/>
      </c>
      <c r="AH63">
        <f ca="1"/>
      </c>
      <c r="AL63" s="7">
        <f ca="1"/>
      </c>
      <c r="AM63" s="14">
        <f ca="1"/>
      </c>
      <c r="AN63" s="14">
        <f ca="1"/>
      </c>
      <c r="AO63" s="14">
        <f ca="1"/>
      </c>
      <c r="AP63" s="14">
        <f ca="1"/>
      </c>
      <c r="AQ63" s="14">
        <f ca="1"/>
      </c>
      <c r="AR63" s="14">
        <f ca="1"/>
      </c>
      <c r="AV63" s="14">
        <f ca="1"/>
      </c>
      <c r="AW63" s="14">
        <f ca="1"/>
      </c>
      <c r="AX63" s="14">
        <f ca="1"/>
      </c>
      <c r="AY63" s="14">
        <f ca="1"/>
      </c>
      <c r="AZ63" s="14">
        <f ca="1"/>
      </c>
      <c r="BB63">
        <f ca="1"/>
      </c>
      <c r="BC63">
        <f ca="1"/>
      </c>
      <c r="BD63">
        <f ca="1"/>
      </c>
      <c r="BF63" s="7">
        <f ca="1"/>
      </c>
      <c r="BG63" s="14">
        <f ca="1"/>
      </c>
      <c r="BH63" s="14">
        <f ca="1"/>
      </c>
      <c r="BI63" s="14">
        <f ca="1"/>
      </c>
      <c r="BJ63" s="14">
        <f ca="1"/>
      </c>
      <c r="BK63" s="14">
        <f ca="1"/>
      </c>
    </row>
    <row r="64" spans="28:63" x14ac:dyDescent="0.55000000000000004">
      <c r="AB64">
        <f ca="1"/>
      </c>
      <c r="AC64">
        <f ca="1"/>
      </c>
      <c r="AD64">
        <f ca="1"/>
      </c>
      <c r="AE64">
        <f ca="1"/>
      </c>
      <c r="AF64">
        <f ca="1"/>
      </c>
      <c r="AG64">
        <f ca="1"/>
      </c>
      <c r="AH64">
        <f ca="1"/>
      </c>
      <c r="AL64" s="7">
        <f ca="1"/>
      </c>
      <c r="AM64" s="14">
        <f ca="1"/>
      </c>
      <c r="AN64" s="14">
        <f ca="1"/>
      </c>
      <c r="AO64" s="14">
        <f ca="1"/>
      </c>
      <c r="AP64" s="14">
        <f ca="1"/>
      </c>
      <c r="AQ64" s="14">
        <f ca="1"/>
      </c>
      <c r="AR64" s="14">
        <f ca="1"/>
      </c>
      <c r="AV64" s="14">
        <f ca="1"/>
      </c>
      <c r="AW64" s="14">
        <f ca="1"/>
      </c>
      <c r="AX64" s="14">
        <f ca="1"/>
      </c>
      <c r="AY64" s="14">
        <f ca="1"/>
      </c>
      <c r="AZ64" s="14">
        <f ca="1"/>
      </c>
      <c r="BB64">
        <f ca="1"/>
      </c>
      <c r="BC64">
        <f ca="1"/>
      </c>
      <c r="BD64">
        <f ca="1"/>
      </c>
      <c r="BF64" s="7">
        <f ca="1"/>
      </c>
      <c r="BG64" s="14">
        <f ca="1"/>
      </c>
      <c r="BH64" s="14">
        <f ca="1"/>
      </c>
      <c r="BI64" s="14">
        <f ca="1"/>
      </c>
      <c r="BJ64" s="14">
        <f ca="1"/>
      </c>
      <c r="BK64" s="14">
        <f ca="1"/>
      </c>
    </row>
    <row r="65" spans="28:63" x14ac:dyDescent="0.55000000000000004">
      <c r="AB65">
        <f ca="1"/>
      </c>
      <c r="AC65">
        <f ca="1"/>
      </c>
      <c r="AD65">
        <f ca="1"/>
      </c>
      <c r="AE65">
        <f ca="1"/>
      </c>
      <c r="AF65">
        <f ca="1"/>
      </c>
      <c r="AG65">
        <f ca="1"/>
      </c>
      <c r="AH65">
        <f ca="1"/>
      </c>
      <c r="AL65" s="7">
        <f ca="1"/>
      </c>
      <c r="AM65" s="14">
        <f ca="1"/>
      </c>
      <c r="AN65" s="14">
        <f ca="1"/>
      </c>
      <c r="AO65" s="14">
        <f ca="1"/>
      </c>
      <c r="AP65" s="14">
        <f ca="1"/>
      </c>
      <c r="AQ65" s="14">
        <f ca="1"/>
      </c>
      <c r="AR65" s="14">
        <f ca="1"/>
      </c>
      <c r="AV65" s="14">
        <f ca="1"/>
      </c>
      <c r="AW65" s="14">
        <f ca="1"/>
      </c>
      <c r="AX65" s="14">
        <f ca="1"/>
      </c>
      <c r="AY65" s="14">
        <f ca="1"/>
      </c>
      <c r="AZ65" s="14">
        <f ca="1"/>
      </c>
      <c r="BB65">
        <f ca="1"/>
      </c>
      <c r="BC65">
        <f ca="1"/>
      </c>
      <c r="BD65">
        <f ca="1"/>
      </c>
      <c r="BF65" s="7">
        <f ca="1"/>
      </c>
      <c r="BG65" s="14">
        <f ca="1"/>
      </c>
      <c r="BH65" s="14">
        <f ca="1"/>
      </c>
      <c r="BI65" s="14">
        <f ca="1"/>
      </c>
      <c r="BJ65" s="14">
        <f ca="1"/>
      </c>
      <c r="BK65" s="14">
        <f ca="1"/>
      </c>
    </row>
    <row r="66" spans="28:63" x14ac:dyDescent="0.55000000000000004">
      <c r="AB66">
        <f ca="1"/>
      </c>
      <c r="AC66">
        <f ca="1"/>
      </c>
      <c r="AD66">
        <f ca="1"/>
      </c>
      <c r="AE66">
        <f ca="1"/>
      </c>
      <c r="AF66">
        <f ca="1"/>
      </c>
      <c r="AG66">
        <f ca="1"/>
      </c>
      <c r="AH66">
        <f ca="1"/>
      </c>
      <c r="AL66" s="7">
        <f ca="1"/>
      </c>
      <c r="AM66" s="14">
        <f ca="1"/>
      </c>
      <c r="AN66" s="14">
        <f ca="1"/>
      </c>
      <c r="AO66" s="14">
        <f ca="1"/>
      </c>
      <c r="AP66" s="14">
        <f ca="1"/>
      </c>
      <c r="AQ66" s="14">
        <f ca="1"/>
      </c>
      <c r="AR66" s="14">
        <f ca="1"/>
      </c>
      <c r="AV66" s="14">
        <f ca="1"/>
      </c>
      <c r="AW66" s="14">
        <f ca="1"/>
      </c>
      <c r="AX66" s="14">
        <f ca="1"/>
      </c>
      <c r="AY66" s="14">
        <f ca="1"/>
      </c>
      <c r="AZ66" s="14">
        <f ca="1"/>
      </c>
      <c r="BB66">
        <f ca="1"/>
      </c>
      <c r="BC66">
        <f ca="1"/>
      </c>
      <c r="BD66">
        <f ca="1"/>
      </c>
      <c r="BF66" s="7">
        <f ca="1"/>
      </c>
      <c r="BG66" s="14">
        <f ca="1"/>
      </c>
      <c r="BH66" s="14">
        <f ca="1"/>
      </c>
      <c r="BI66" s="14">
        <f ca="1"/>
      </c>
      <c r="BJ66" s="14">
        <f ca="1"/>
      </c>
      <c r="BK66" s="14">
        <f ca="1"/>
      </c>
    </row>
    <row r="67" spans="28:63" x14ac:dyDescent="0.55000000000000004">
      <c r="AB67">
        <f ca="1"/>
      </c>
      <c r="AC67">
        <f ca="1"/>
      </c>
      <c r="AD67">
        <f ca="1"/>
      </c>
      <c r="AE67">
        <f ca="1"/>
      </c>
      <c r="AF67">
        <f ca="1"/>
      </c>
      <c r="AG67">
        <f ca="1"/>
      </c>
      <c r="AH67">
        <f ca="1"/>
      </c>
      <c r="AL67" s="7">
        <f ca="1"/>
      </c>
      <c r="AM67" s="14">
        <f ca="1"/>
      </c>
      <c r="AN67" s="14">
        <f ca="1"/>
      </c>
      <c r="AO67" s="14">
        <f ca="1"/>
      </c>
      <c r="AP67" s="14">
        <f ca="1"/>
      </c>
      <c r="AQ67" s="14">
        <f ca="1"/>
      </c>
      <c r="AR67" s="14">
        <f ca="1"/>
      </c>
      <c r="AV67" s="14">
        <f ca="1"/>
      </c>
      <c r="AW67" s="14">
        <f ca="1"/>
      </c>
      <c r="AX67" s="14">
        <f ca="1"/>
      </c>
      <c r="AY67" s="14">
        <f ca="1"/>
      </c>
      <c r="AZ67" s="14">
        <f ca="1"/>
      </c>
      <c r="BB67">
        <f ca="1"/>
      </c>
      <c r="BC67">
        <f ca="1"/>
      </c>
      <c r="BD67">
        <f ca="1"/>
      </c>
      <c r="BF67" s="7">
        <f ca="1"/>
      </c>
      <c r="BG67" s="14">
        <f ca="1"/>
      </c>
      <c r="BH67" s="14">
        <f ca="1"/>
      </c>
      <c r="BI67" s="14">
        <f ca="1"/>
      </c>
      <c r="BJ67" s="14">
        <f ca="1"/>
      </c>
      <c r="BK67" s="14">
        <f ca="1"/>
      </c>
    </row>
    <row r="68" spans="28:63" x14ac:dyDescent="0.55000000000000004">
      <c r="AB68">
        <f ca="1"/>
      </c>
      <c r="AC68">
        <f ca="1"/>
      </c>
      <c r="AD68">
        <f ca="1"/>
      </c>
      <c r="AE68">
        <f ca="1"/>
      </c>
      <c r="AF68">
        <f ca="1"/>
      </c>
      <c r="AG68">
        <f ca="1"/>
      </c>
      <c r="AH68">
        <f ca="1"/>
      </c>
      <c r="AL68" s="7">
        <f ca="1"/>
      </c>
      <c r="AM68" s="14">
        <f ca="1"/>
      </c>
      <c r="AN68" s="14">
        <f ca="1"/>
      </c>
      <c r="AO68" s="14">
        <f ca="1"/>
      </c>
      <c r="AP68" s="14">
        <f ca="1"/>
      </c>
      <c r="AQ68" s="14">
        <f ca="1"/>
      </c>
      <c r="AR68" s="14">
        <f ca="1"/>
      </c>
      <c r="AV68" s="14">
        <f ca="1"/>
      </c>
      <c r="AW68" s="14">
        <f ca="1"/>
      </c>
      <c r="AX68" s="14">
        <f ca="1"/>
      </c>
      <c r="AY68" s="14">
        <f ca="1"/>
      </c>
      <c r="AZ68" s="14">
        <f ca="1"/>
      </c>
      <c r="BB68">
        <f ca="1"/>
      </c>
      <c r="BC68">
        <f ca="1"/>
      </c>
      <c r="BD68">
        <f ca="1"/>
      </c>
      <c r="BF68" s="7">
        <f ca="1"/>
      </c>
      <c r="BG68" s="14">
        <f ca="1"/>
      </c>
      <c r="BH68" s="14">
        <f ca="1"/>
      </c>
      <c r="BI68" s="14">
        <f ca="1"/>
      </c>
      <c r="BJ68" s="14">
        <f ca="1"/>
      </c>
      <c r="BK68" s="14">
        <f ca="1"/>
      </c>
    </row>
    <row r="69" spans="28:63" x14ac:dyDescent="0.55000000000000004">
      <c r="AB69">
        <f ca="1"/>
      </c>
      <c r="AC69">
        <f ca="1"/>
      </c>
      <c r="AD69">
        <f ca="1"/>
      </c>
      <c r="AE69">
        <f ca="1"/>
      </c>
      <c r="AF69">
        <f ca="1"/>
      </c>
      <c r="AG69">
        <f ca="1"/>
      </c>
      <c r="AH69">
        <f ca="1"/>
      </c>
      <c r="AL69" s="7">
        <f ca="1"/>
      </c>
      <c r="AM69" s="14">
        <f ca="1"/>
      </c>
      <c r="AN69" s="14">
        <f ca="1"/>
      </c>
      <c r="AO69" s="14">
        <f ca="1"/>
      </c>
      <c r="AP69" s="14">
        <f ca="1"/>
      </c>
      <c r="AQ69" s="14">
        <f ca="1"/>
      </c>
      <c r="AR69" s="14">
        <f ca="1"/>
      </c>
      <c r="AV69" s="14">
        <f ca="1"/>
      </c>
      <c r="AW69" s="14">
        <f ca="1"/>
      </c>
      <c r="AX69" s="14">
        <f ca="1"/>
      </c>
      <c r="AY69" s="14">
        <f ca="1"/>
      </c>
      <c r="AZ69" s="14">
        <f ca="1"/>
      </c>
      <c r="BB69">
        <f ca="1"/>
      </c>
      <c r="BC69">
        <f ca="1"/>
      </c>
      <c r="BD69">
        <f ca="1"/>
      </c>
      <c r="BF69" s="7">
        <f ca="1"/>
      </c>
      <c r="BG69" s="14">
        <f ca="1"/>
      </c>
      <c r="BH69" s="14">
        <f ca="1"/>
      </c>
      <c r="BI69" s="14">
        <f ca="1"/>
      </c>
      <c r="BJ69" s="14">
        <f ca="1"/>
      </c>
      <c r="BK69" s="14">
        <f ca="1"/>
      </c>
    </row>
    <row r="70" spans="28:63" x14ac:dyDescent="0.55000000000000004">
      <c r="AB70">
        <f ca="1"/>
      </c>
      <c r="AC70">
        <f ca="1"/>
      </c>
      <c r="AD70">
        <f ca="1"/>
      </c>
      <c r="AE70">
        <f ca="1"/>
      </c>
      <c r="AF70">
        <f ca="1"/>
      </c>
      <c r="AG70">
        <f ca="1"/>
      </c>
      <c r="AH70">
        <f ca="1"/>
      </c>
      <c r="AL70" s="7">
        <f ca="1"/>
      </c>
      <c r="AM70" s="14">
        <f ca="1"/>
      </c>
      <c r="AN70" s="14">
        <f ca="1"/>
      </c>
      <c r="AO70" s="14">
        <f ca="1"/>
      </c>
      <c r="AP70" s="14">
        <f ca="1"/>
      </c>
      <c r="AQ70" s="14">
        <f ca="1"/>
      </c>
      <c r="AR70" s="14">
        <f ca="1"/>
      </c>
      <c r="AV70" s="14">
        <f ca="1"/>
      </c>
      <c r="AW70" s="14">
        <f ca="1"/>
      </c>
      <c r="AX70" s="14">
        <f ca="1"/>
      </c>
      <c r="AY70" s="14">
        <f ca="1"/>
      </c>
      <c r="AZ70" s="14">
        <f ca="1"/>
      </c>
      <c r="BB70">
        <f ca="1"/>
      </c>
      <c r="BC70">
        <f ca="1"/>
      </c>
      <c r="BD70">
        <f ca="1"/>
      </c>
      <c r="BF70" s="7">
        <f ca="1"/>
      </c>
      <c r="BG70" s="14">
        <f ca="1"/>
      </c>
      <c r="BH70" s="14">
        <f ca="1"/>
      </c>
      <c r="BI70" s="14">
        <f ca="1"/>
      </c>
      <c r="BJ70" s="14">
        <f ca="1"/>
      </c>
      <c r="BK70" s="14">
        <f ca="1"/>
      </c>
    </row>
    <row r="71" spans="28:63" x14ac:dyDescent="0.55000000000000004">
      <c r="AB71">
        <f ca="1"/>
      </c>
      <c r="AC71">
        <f ca="1"/>
      </c>
      <c r="AD71">
        <f ca="1"/>
      </c>
      <c r="AE71">
        <f ca="1"/>
      </c>
      <c r="AF71">
        <f ca="1"/>
      </c>
      <c r="AG71">
        <f ca="1"/>
      </c>
      <c r="AH71">
        <f ca="1"/>
      </c>
      <c r="AL71" s="7">
        <f ca="1"/>
      </c>
      <c r="AM71" s="14">
        <f ca="1"/>
      </c>
      <c r="AN71" s="14">
        <f ca="1"/>
      </c>
      <c r="AO71" s="14">
        <f ca="1"/>
      </c>
      <c r="AP71" s="14">
        <f ca="1"/>
      </c>
      <c r="AQ71" s="14">
        <f ca="1"/>
      </c>
      <c r="AR71" s="14">
        <f ca="1"/>
      </c>
      <c r="AV71" s="14">
        <f ca="1"/>
      </c>
      <c r="AW71" s="14">
        <f ca="1"/>
      </c>
      <c r="AX71" s="14">
        <f ca="1"/>
      </c>
      <c r="AY71" s="14">
        <f ca="1"/>
      </c>
      <c r="AZ71" s="14">
        <f ca="1"/>
      </c>
      <c r="BB71">
        <f ca="1"/>
      </c>
      <c r="BC71">
        <f ca="1"/>
      </c>
      <c r="BD71">
        <f ca="1"/>
      </c>
      <c r="BF71" s="7">
        <f ca="1"/>
      </c>
      <c r="BG71" s="14">
        <f ca="1"/>
      </c>
      <c r="BH71" s="14">
        <f ca="1"/>
      </c>
      <c r="BI71" s="14">
        <f ca="1"/>
      </c>
      <c r="BJ71" s="14">
        <f ca="1"/>
      </c>
      <c r="BK71" s="14">
        <f ca="1"/>
      </c>
    </row>
    <row r="72" spans="28:63" x14ac:dyDescent="0.55000000000000004">
      <c r="AB72">
        <f ca="1"/>
      </c>
      <c r="AC72">
        <f ca="1"/>
      </c>
      <c r="AD72">
        <f ca="1"/>
      </c>
      <c r="AE72">
        <f ca="1"/>
      </c>
      <c r="AF72">
        <f ca="1"/>
      </c>
      <c r="AG72">
        <f ca="1"/>
      </c>
      <c r="AH72">
        <f ca="1"/>
      </c>
      <c r="AL72" s="7">
        <f ca="1"/>
      </c>
      <c r="AM72" s="14">
        <f ca="1"/>
      </c>
      <c r="AN72" s="14">
        <f ca="1"/>
      </c>
      <c r="AO72" s="14">
        <f ca="1"/>
      </c>
      <c r="AP72" s="14">
        <f ca="1"/>
      </c>
      <c r="AQ72" s="14">
        <f ca="1"/>
      </c>
      <c r="AR72" s="14">
        <f ca="1"/>
      </c>
      <c r="AV72" s="14">
        <f ca="1"/>
      </c>
      <c r="AW72" s="14">
        <f ca="1"/>
      </c>
      <c r="AX72" s="14">
        <f ca="1"/>
      </c>
      <c r="AY72" s="14">
        <f ca="1"/>
      </c>
      <c r="AZ72" s="14">
        <f ca="1"/>
      </c>
      <c r="BB72">
        <f ca="1"/>
      </c>
      <c r="BC72">
        <f ca="1"/>
      </c>
      <c r="BD72">
        <f ca="1"/>
      </c>
      <c r="BF72" s="7">
        <f ca="1"/>
      </c>
      <c r="BG72" s="14">
        <f ca="1"/>
      </c>
      <c r="BH72" s="14">
        <f ca="1"/>
      </c>
      <c r="BI72" s="14">
        <f ca="1"/>
      </c>
      <c r="BJ72" s="14">
        <f ca="1"/>
      </c>
      <c r="BK72" s="14">
        <f ca="1"/>
      </c>
    </row>
    <row r="73" spans="28:63" x14ac:dyDescent="0.55000000000000004">
      <c r="AB73">
        <f ca="1"/>
      </c>
      <c r="AC73">
        <f ca="1"/>
      </c>
      <c r="AD73">
        <f ca="1"/>
      </c>
      <c r="AE73">
        <f ca="1"/>
      </c>
      <c r="AF73">
        <f ca="1"/>
      </c>
      <c r="AG73">
        <f ca="1"/>
      </c>
      <c r="AH73">
        <f ca="1"/>
      </c>
      <c r="AL73" s="7">
        <f ca="1"/>
      </c>
      <c r="AM73" s="14">
        <f ca="1"/>
      </c>
      <c r="AN73" s="14">
        <f ca="1"/>
      </c>
      <c r="AO73" s="14">
        <f ca="1"/>
      </c>
      <c r="AP73" s="14">
        <f ca="1"/>
      </c>
      <c r="AQ73" s="14">
        <f ca="1"/>
      </c>
      <c r="AR73" s="14">
        <f ca="1"/>
      </c>
      <c r="AV73" s="14">
        <f ca="1"/>
      </c>
      <c r="AW73" s="14">
        <f ca="1"/>
      </c>
      <c r="AX73" s="14">
        <f ca="1"/>
      </c>
      <c r="AY73" s="14">
        <f ca="1"/>
      </c>
      <c r="AZ73" s="14">
        <f ca="1"/>
      </c>
      <c r="BB73">
        <f ca="1"/>
      </c>
      <c r="BC73">
        <f ca="1"/>
      </c>
      <c r="BD73">
        <f ca="1"/>
      </c>
      <c r="BF73" s="7">
        <f ca="1"/>
      </c>
      <c r="BG73" s="14">
        <f ca="1"/>
      </c>
      <c r="BH73" s="14">
        <f ca="1"/>
      </c>
      <c r="BI73" s="14">
        <f ca="1"/>
      </c>
      <c r="BJ73" s="14">
        <f ca="1"/>
      </c>
      <c r="BK73" s="14">
        <f ca="1"/>
      </c>
    </row>
    <row r="74" spans="28:63" x14ac:dyDescent="0.55000000000000004">
      <c r="AB74">
        <f ca="1"/>
      </c>
      <c r="AC74">
        <f ca="1"/>
      </c>
      <c r="AD74">
        <f ca="1"/>
      </c>
      <c r="AE74">
        <f ca="1"/>
      </c>
      <c r="AF74">
        <f ca="1"/>
      </c>
      <c r="AG74">
        <f ca="1"/>
      </c>
      <c r="AH74">
        <f ca="1"/>
      </c>
      <c r="AL74" s="7">
        <f ca="1"/>
      </c>
      <c r="AM74" s="14">
        <f ca="1"/>
      </c>
      <c r="AN74" s="14">
        <f ca="1"/>
      </c>
      <c r="AO74" s="14">
        <f ca="1"/>
      </c>
      <c r="AP74" s="14">
        <f ca="1"/>
      </c>
      <c r="AQ74" s="14">
        <f ca="1"/>
      </c>
      <c r="AR74" s="14">
        <f ca="1"/>
      </c>
      <c r="AV74" s="14">
        <f ca="1"/>
      </c>
      <c r="AW74" s="14">
        <f ca="1"/>
      </c>
      <c r="AX74" s="14">
        <f ca="1"/>
      </c>
      <c r="AY74" s="14">
        <f ca="1"/>
      </c>
      <c r="AZ74" s="14">
        <f ca="1"/>
      </c>
      <c r="BB74">
        <f ca="1"/>
      </c>
      <c r="BC74">
        <f ca="1"/>
      </c>
      <c r="BD74">
        <f ca="1"/>
      </c>
      <c r="BF74" s="7">
        <f ca="1"/>
      </c>
      <c r="BG74" s="14">
        <f ca="1"/>
      </c>
      <c r="BH74" s="14">
        <f ca="1"/>
      </c>
      <c r="BI74" s="14">
        <f ca="1"/>
      </c>
      <c r="BJ74" s="14">
        <f ca="1"/>
      </c>
      <c r="BK74" s="14">
        <f ca="1"/>
      </c>
    </row>
    <row r="75" spans="28:63" x14ac:dyDescent="0.55000000000000004">
      <c r="AB75">
        <f ca="1"/>
      </c>
      <c r="AC75">
        <f ca="1"/>
      </c>
      <c r="AD75">
        <f ca="1"/>
      </c>
      <c r="AE75">
        <f ca="1"/>
      </c>
      <c r="AF75">
        <f ca="1"/>
      </c>
      <c r="AG75">
        <f ca="1"/>
      </c>
      <c r="AH75">
        <f ca="1"/>
      </c>
      <c r="AL75" s="7">
        <f ca="1"/>
      </c>
      <c r="AM75" s="14">
        <f ca="1"/>
      </c>
      <c r="AN75" s="14">
        <f ca="1"/>
      </c>
      <c r="AO75" s="14">
        <f ca="1"/>
      </c>
      <c r="AP75" s="14">
        <f ca="1"/>
      </c>
      <c r="AQ75" s="14">
        <f ca="1"/>
      </c>
      <c r="AR75" s="14">
        <f ca="1"/>
      </c>
      <c r="AV75" s="14">
        <f ca="1"/>
      </c>
      <c r="AW75" s="14">
        <f ca="1"/>
      </c>
      <c r="AX75" s="14">
        <f ca="1"/>
      </c>
      <c r="AY75" s="14">
        <f ca="1"/>
      </c>
      <c r="AZ75" s="14">
        <f ca="1"/>
      </c>
      <c r="BB75">
        <f ca="1"/>
      </c>
      <c r="BC75">
        <f ca="1"/>
      </c>
      <c r="BD75">
        <f ca="1"/>
      </c>
      <c r="BF75" s="7">
        <f ca="1"/>
      </c>
      <c r="BG75" s="14">
        <f ca="1"/>
      </c>
      <c r="BH75" s="14">
        <f ca="1"/>
      </c>
      <c r="BI75" s="14">
        <f ca="1"/>
      </c>
      <c r="BJ75" s="14">
        <f ca="1"/>
      </c>
      <c r="BK75" s="14">
        <f ca="1"/>
      </c>
    </row>
    <row r="76" spans="28:63" x14ac:dyDescent="0.55000000000000004">
      <c r="AB76">
        <f ca="1"/>
      </c>
      <c r="AC76">
        <f ca="1"/>
      </c>
      <c r="AD76">
        <f ca="1"/>
      </c>
      <c r="AE76">
        <f ca="1"/>
      </c>
      <c r="AF76">
        <f ca="1"/>
      </c>
      <c r="AG76">
        <f ca="1"/>
      </c>
      <c r="AH76">
        <f ca="1"/>
      </c>
      <c r="AL76" s="7">
        <f ca="1"/>
      </c>
      <c r="AM76" s="14">
        <f ca="1"/>
      </c>
      <c r="AN76" s="14">
        <f ca="1"/>
      </c>
      <c r="AO76" s="14">
        <f ca="1"/>
      </c>
      <c r="AP76" s="14">
        <f ca="1"/>
      </c>
      <c r="AQ76" s="14">
        <f ca="1"/>
      </c>
      <c r="AR76" s="14">
        <f ca="1"/>
      </c>
      <c r="AV76" s="14">
        <f ca="1"/>
      </c>
      <c r="AW76" s="14">
        <f ca="1"/>
      </c>
      <c r="AX76" s="14">
        <f ca="1"/>
      </c>
      <c r="AY76" s="14">
        <f ca="1"/>
      </c>
      <c r="AZ76" s="14">
        <f ca="1"/>
      </c>
      <c r="BB76">
        <f ca="1"/>
      </c>
      <c r="BC76">
        <f ca="1"/>
      </c>
      <c r="BD76">
        <f ca="1"/>
      </c>
      <c r="BF76" s="7">
        <f ca="1"/>
      </c>
      <c r="BG76" s="14">
        <f ca="1"/>
      </c>
      <c r="BH76" s="14">
        <f ca="1"/>
      </c>
      <c r="BI76" s="14">
        <f ca="1"/>
      </c>
      <c r="BJ76" s="14">
        <f ca="1"/>
      </c>
      <c r="BK76" s="14">
        <f ca="1"/>
      </c>
    </row>
    <row r="77" spans="28:63" x14ac:dyDescent="0.55000000000000004">
      <c r="AB77">
        <f ca="1"/>
      </c>
      <c r="AC77">
        <f ca="1"/>
      </c>
      <c r="AD77">
        <f ca="1"/>
      </c>
      <c r="AE77">
        <f ca="1"/>
      </c>
      <c r="AF77">
        <f ca="1"/>
      </c>
      <c r="AG77">
        <f ca="1"/>
      </c>
      <c r="AH77">
        <f ca="1"/>
      </c>
      <c r="AL77" s="7">
        <f ca="1"/>
      </c>
      <c r="AM77" s="14">
        <f ca="1"/>
      </c>
      <c r="AN77" s="14">
        <f ca="1"/>
      </c>
      <c r="AO77" s="14">
        <f ca="1"/>
      </c>
      <c r="AP77" s="14">
        <f ca="1"/>
      </c>
      <c r="AQ77" s="14">
        <f ca="1"/>
      </c>
      <c r="AR77" s="14">
        <f ca="1"/>
      </c>
      <c r="AV77" s="14">
        <f ca="1"/>
      </c>
      <c r="AW77" s="14">
        <f ca="1"/>
      </c>
      <c r="AX77" s="14">
        <f ca="1"/>
      </c>
      <c r="AY77" s="14">
        <f ca="1"/>
      </c>
      <c r="AZ77" s="14">
        <f ca="1"/>
      </c>
      <c r="BB77">
        <f ca="1"/>
      </c>
      <c r="BC77">
        <f ca="1"/>
      </c>
      <c r="BD77">
        <f ca="1"/>
      </c>
      <c r="BF77" s="7">
        <f ca="1"/>
      </c>
      <c r="BG77" s="14">
        <f ca="1"/>
      </c>
      <c r="BH77" s="14">
        <f ca="1"/>
      </c>
      <c r="BI77" s="14">
        <f ca="1"/>
      </c>
      <c r="BJ77" s="14">
        <f ca="1"/>
      </c>
      <c r="BK77" s="14">
        <f ca="1"/>
      </c>
    </row>
    <row r="78" spans="28:63" x14ac:dyDescent="0.55000000000000004">
      <c r="AB78">
        <f ca="1"/>
      </c>
      <c r="AC78">
        <f ca="1"/>
      </c>
      <c r="AD78">
        <f ca="1"/>
      </c>
      <c r="AE78">
        <f ca="1"/>
      </c>
      <c r="AF78">
        <f ca="1"/>
      </c>
      <c r="AG78">
        <f ca="1"/>
      </c>
      <c r="AH78">
        <f ca="1"/>
      </c>
      <c r="AL78" s="7">
        <f ca="1"/>
      </c>
      <c r="AM78" s="14">
        <f ca="1"/>
      </c>
      <c r="AN78" s="14">
        <f ca="1"/>
      </c>
      <c r="AO78" s="14">
        <f ca="1"/>
      </c>
      <c r="AP78" s="14">
        <f ca="1"/>
      </c>
      <c r="AQ78" s="14">
        <f ca="1"/>
      </c>
      <c r="AR78" s="14">
        <f ca="1"/>
      </c>
      <c r="AV78" s="14">
        <f ca="1"/>
      </c>
      <c r="AW78" s="14">
        <f ca="1"/>
      </c>
      <c r="AX78" s="14">
        <f ca="1"/>
      </c>
      <c r="AY78" s="14">
        <f ca="1"/>
      </c>
      <c r="AZ78" s="14">
        <f ca="1"/>
      </c>
      <c r="BB78">
        <f ca="1"/>
      </c>
      <c r="BC78">
        <f ca="1"/>
      </c>
      <c r="BD78">
        <f ca="1"/>
      </c>
      <c r="BF78" s="7">
        <f ca="1"/>
      </c>
      <c r="BG78" s="14">
        <f ca="1"/>
      </c>
      <c r="BH78" s="14">
        <f ca="1"/>
      </c>
      <c r="BI78" s="14">
        <f ca="1"/>
      </c>
      <c r="BJ78" s="14">
        <f ca="1"/>
      </c>
      <c r="BK78" s="14">
        <f ca="1"/>
      </c>
    </row>
    <row r="79" spans="28:63" x14ac:dyDescent="0.55000000000000004">
      <c r="AB79">
        <f ca="1"/>
      </c>
      <c r="AC79">
        <f ca="1"/>
      </c>
      <c r="AD79">
        <f ca="1"/>
      </c>
      <c r="AE79">
        <f ca="1"/>
      </c>
      <c r="AF79">
        <f ca="1"/>
      </c>
      <c r="AG79">
        <f ca="1"/>
      </c>
      <c r="AH79">
        <f ca="1"/>
      </c>
      <c r="AL79" s="7">
        <f ca="1"/>
      </c>
      <c r="AM79" s="14">
        <f ca="1"/>
      </c>
      <c r="AN79" s="14">
        <f ca="1"/>
      </c>
      <c r="AO79" s="14">
        <f ca="1"/>
      </c>
      <c r="AP79" s="14">
        <f ca="1"/>
      </c>
      <c r="AQ79" s="14">
        <f ca="1"/>
      </c>
      <c r="AR79" s="14">
        <f ca="1"/>
      </c>
      <c r="AV79" s="14">
        <f ca="1"/>
      </c>
      <c r="AW79" s="14">
        <f ca="1"/>
      </c>
      <c r="AX79" s="14">
        <f ca="1"/>
      </c>
      <c r="AY79" s="14">
        <f ca="1"/>
      </c>
      <c r="AZ79" s="14">
        <f ca="1"/>
      </c>
      <c r="BB79">
        <f ca="1"/>
      </c>
      <c r="BC79">
        <f ca="1"/>
      </c>
      <c r="BD79">
        <f ca="1"/>
      </c>
      <c r="BF79" s="7">
        <f ca="1"/>
      </c>
      <c r="BG79" s="14">
        <f ca="1"/>
      </c>
      <c r="BH79" s="14">
        <f ca="1"/>
      </c>
      <c r="BI79" s="14">
        <f ca="1"/>
      </c>
      <c r="BJ79" s="14">
        <f ca="1"/>
      </c>
      <c r="BK79" s="14">
        <f ca="1"/>
      </c>
    </row>
    <row r="80" spans="28:63" x14ac:dyDescent="0.55000000000000004">
      <c r="AB80">
        <f ca="1"/>
      </c>
      <c r="AC80">
        <f ca="1"/>
      </c>
      <c r="AD80">
        <f ca="1"/>
      </c>
      <c r="AE80">
        <f ca="1"/>
      </c>
      <c r="AF80">
        <f ca="1"/>
      </c>
      <c r="AG80">
        <f ca="1"/>
      </c>
      <c r="AH80">
        <f ca="1"/>
      </c>
      <c r="AL80" s="7">
        <f ca="1"/>
      </c>
      <c r="AM80" s="14">
        <f ca="1"/>
      </c>
      <c r="AN80" s="14">
        <f ca="1"/>
      </c>
      <c r="AO80" s="14">
        <f ca="1"/>
      </c>
      <c r="AP80" s="14">
        <f ca="1"/>
      </c>
      <c r="AQ80" s="14">
        <f ca="1"/>
      </c>
      <c r="AR80" s="14">
        <f ca="1"/>
      </c>
      <c r="AV80" s="14">
        <f ca="1"/>
      </c>
      <c r="AW80" s="14">
        <f ca="1"/>
      </c>
      <c r="AX80" s="14">
        <f ca="1"/>
      </c>
      <c r="AY80" s="14">
        <f ca="1"/>
      </c>
      <c r="AZ80" s="14">
        <f ca="1"/>
      </c>
      <c r="BB80">
        <f ca="1"/>
      </c>
      <c r="BC80">
        <f ca="1"/>
      </c>
      <c r="BD80">
        <f ca="1"/>
      </c>
      <c r="BF80" s="7">
        <f ca="1"/>
      </c>
      <c r="BG80" s="14">
        <f ca="1"/>
      </c>
      <c r="BH80" s="14">
        <f ca="1"/>
      </c>
      <c r="BI80" s="14">
        <f ca="1"/>
      </c>
      <c r="BJ80" s="14">
        <f ca="1"/>
      </c>
      <c r="BK80" s="14">
        <f ca="1"/>
      </c>
    </row>
    <row r="81" spans="28:63" x14ac:dyDescent="0.55000000000000004">
      <c r="AB81">
        <f ca="1"/>
      </c>
      <c r="AC81">
        <f ca="1"/>
      </c>
      <c r="AD81">
        <f ca="1"/>
      </c>
      <c r="AE81">
        <f ca="1"/>
      </c>
      <c r="AF81">
        <f ca="1"/>
      </c>
      <c r="AG81">
        <f ca="1"/>
      </c>
      <c r="AH81">
        <f ca="1"/>
      </c>
      <c r="AL81" s="7">
        <f ca="1"/>
      </c>
      <c r="AM81" s="14">
        <f ca="1"/>
      </c>
      <c r="AN81" s="14">
        <f ca="1"/>
      </c>
      <c r="AO81" s="14">
        <f ca="1"/>
      </c>
      <c r="AP81" s="14">
        <f ca="1"/>
      </c>
      <c r="AQ81" s="14">
        <f ca="1"/>
      </c>
      <c r="AR81" s="14">
        <f ca="1"/>
      </c>
      <c r="AV81" s="14">
        <f ca="1"/>
      </c>
      <c r="AW81" s="14">
        <f ca="1"/>
      </c>
      <c r="AX81" s="14">
        <f ca="1"/>
      </c>
      <c r="AY81" s="14">
        <f ca="1"/>
      </c>
      <c r="AZ81" s="14">
        <f ca="1"/>
      </c>
      <c r="BB81">
        <f ca="1"/>
      </c>
      <c r="BC81">
        <f ca="1"/>
      </c>
      <c r="BD81">
        <f ca="1"/>
      </c>
      <c r="BF81" s="7">
        <f ca="1"/>
      </c>
      <c r="BG81" s="14">
        <f ca="1"/>
      </c>
      <c r="BH81" s="14">
        <f ca="1"/>
      </c>
      <c r="BI81" s="14">
        <f ca="1"/>
      </c>
      <c r="BJ81" s="14">
        <f ca="1"/>
      </c>
      <c r="BK81" s="14">
        <f ca="1"/>
      </c>
    </row>
    <row r="82" spans="28:63" x14ac:dyDescent="0.55000000000000004">
      <c r="AB82">
        <f ca="1"/>
      </c>
      <c r="AC82">
        <f ca="1"/>
      </c>
      <c r="AD82">
        <f ca="1"/>
      </c>
      <c r="AE82">
        <f ca="1"/>
      </c>
      <c r="AF82">
        <f ca="1"/>
      </c>
      <c r="AG82">
        <f ca="1"/>
      </c>
      <c r="AH82">
        <f ca="1"/>
      </c>
      <c r="AL82" s="7">
        <f ca="1"/>
      </c>
      <c r="AM82" s="14">
        <f ca="1"/>
      </c>
      <c r="AN82" s="14">
        <f ca="1"/>
      </c>
      <c r="AO82" s="14">
        <f ca="1"/>
      </c>
      <c r="AP82" s="14">
        <f ca="1"/>
      </c>
      <c r="AQ82" s="14">
        <f ca="1"/>
      </c>
      <c r="AR82" s="14">
        <f ca="1"/>
      </c>
      <c r="AV82" s="14">
        <f ca="1"/>
      </c>
      <c r="AW82" s="14">
        <f ca="1"/>
      </c>
      <c r="AX82" s="14">
        <f ca="1"/>
      </c>
      <c r="AY82" s="14">
        <f ca="1"/>
      </c>
      <c r="AZ82" s="14">
        <f ca="1"/>
      </c>
      <c r="BB82">
        <f ca="1"/>
      </c>
      <c r="BC82">
        <f ca="1"/>
      </c>
      <c r="BD82">
        <f ca="1"/>
      </c>
      <c r="BF82" s="7">
        <f ca="1"/>
      </c>
      <c r="BG82" s="14">
        <f ca="1"/>
      </c>
      <c r="BH82" s="14">
        <f ca="1"/>
      </c>
      <c r="BI82" s="14">
        <f ca="1"/>
      </c>
      <c r="BJ82" s="14">
        <f ca="1"/>
      </c>
      <c r="BK82" s="14">
        <f ca="1"/>
      </c>
    </row>
    <row r="83" spans="28:63" x14ac:dyDescent="0.55000000000000004">
      <c r="AB83">
        <f ca="1"/>
      </c>
      <c r="AC83">
        <f ca="1"/>
      </c>
      <c r="AD83">
        <f ca="1"/>
      </c>
      <c r="AE83">
        <f ca="1"/>
      </c>
      <c r="AF83">
        <f ca="1"/>
      </c>
      <c r="AG83">
        <f ca="1"/>
      </c>
      <c r="AH83">
        <f ca="1"/>
      </c>
      <c r="AL83" s="7">
        <f ca="1"/>
      </c>
      <c r="AM83" s="14">
        <f ca="1"/>
      </c>
      <c r="AN83" s="14">
        <f ca="1"/>
      </c>
      <c r="AO83" s="14">
        <f ca="1"/>
      </c>
      <c r="AP83" s="14">
        <f ca="1"/>
      </c>
      <c r="AQ83" s="14">
        <f ca="1"/>
      </c>
      <c r="AR83" s="14">
        <f ca="1"/>
      </c>
      <c r="AV83" s="14">
        <f ca="1"/>
      </c>
      <c r="AW83" s="14">
        <f ca="1"/>
      </c>
      <c r="AX83" s="14">
        <f ca="1"/>
      </c>
      <c r="AY83" s="14">
        <f ca="1"/>
      </c>
      <c r="AZ83" s="14">
        <f ca="1"/>
      </c>
      <c r="BB83">
        <f ca="1"/>
      </c>
      <c r="BC83">
        <f ca="1"/>
      </c>
      <c r="BD83">
        <f ca="1"/>
      </c>
      <c r="BF83" s="7">
        <f ca="1"/>
      </c>
      <c r="BG83" s="14">
        <f ca="1"/>
      </c>
      <c r="BH83" s="14">
        <f ca="1"/>
      </c>
      <c r="BI83" s="14">
        <f ca="1"/>
      </c>
      <c r="BJ83" s="14">
        <f ca="1"/>
      </c>
      <c r="BK83" s="14">
        <f ca="1"/>
      </c>
    </row>
    <row r="84" spans="28:63" x14ac:dyDescent="0.55000000000000004">
      <c r="AB84">
        <f ca="1"/>
      </c>
      <c r="AC84">
        <f ca="1"/>
      </c>
      <c r="AD84">
        <f ca="1"/>
      </c>
      <c r="AE84">
        <f ca="1"/>
      </c>
      <c r="AF84">
        <f ca="1"/>
      </c>
      <c r="AG84">
        <f ca="1"/>
      </c>
      <c r="AH84">
        <f ca="1"/>
      </c>
      <c r="AL84" s="7">
        <f ca="1"/>
      </c>
      <c r="AM84" s="14">
        <f ca="1"/>
      </c>
      <c r="AN84" s="14">
        <f ca="1"/>
      </c>
      <c r="AO84" s="14">
        <f ca="1"/>
      </c>
      <c r="AP84" s="14">
        <f ca="1"/>
      </c>
      <c r="AQ84" s="14">
        <f ca="1"/>
      </c>
      <c r="AR84" s="14">
        <f ca="1"/>
      </c>
      <c r="AV84" s="14">
        <f ca="1"/>
      </c>
      <c r="AW84" s="14">
        <f ca="1"/>
      </c>
      <c r="AX84" s="14">
        <f ca="1"/>
      </c>
      <c r="AY84" s="14">
        <f ca="1"/>
      </c>
      <c r="AZ84" s="14">
        <f ca="1"/>
      </c>
      <c r="BB84">
        <f ca="1"/>
      </c>
      <c r="BC84">
        <f ca="1"/>
      </c>
      <c r="BD84">
        <f ca="1"/>
      </c>
      <c r="BF84" s="7">
        <f ca="1"/>
      </c>
      <c r="BG84" s="14">
        <f ca="1"/>
      </c>
      <c r="BH84" s="14">
        <f ca="1"/>
      </c>
      <c r="BI84" s="14">
        <f ca="1"/>
      </c>
      <c r="BJ84" s="14">
        <f ca="1"/>
      </c>
      <c r="BK84" s="14">
        <f ca="1"/>
      </c>
    </row>
    <row r="85" spans="28:63" x14ac:dyDescent="0.55000000000000004">
      <c r="AB85">
        <f ca="1"/>
      </c>
      <c r="AC85">
        <f ca="1"/>
      </c>
      <c r="AD85">
        <f ca="1"/>
      </c>
      <c r="AE85">
        <f ca="1"/>
      </c>
      <c r="AF85">
        <f ca="1"/>
      </c>
      <c r="AG85">
        <f ca="1"/>
      </c>
      <c r="AH85">
        <f ca="1"/>
      </c>
      <c r="AL85" s="7">
        <f ca="1"/>
      </c>
      <c r="AM85" s="14">
        <f ca="1"/>
      </c>
      <c r="AN85" s="14">
        <f ca="1"/>
      </c>
      <c r="AO85" s="14">
        <f ca="1"/>
      </c>
      <c r="AP85" s="14">
        <f ca="1"/>
      </c>
      <c r="AQ85" s="14">
        <f ca="1"/>
      </c>
      <c r="AR85" s="14">
        <f ca="1"/>
      </c>
      <c r="AV85" s="14">
        <f ca="1"/>
      </c>
      <c r="AW85" s="14">
        <f ca="1"/>
      </c>
      <c r="AX85" s="14">
        <f ca="1"/>
      </c>
      <c r="AY85" s="14">
        <f ca="1"/>
      </c>
      <c r="AZ85" s="14">
        <f ca="1"/>
      </c>
      <c r="BB85">
        <f ca="1"/>
      </c>
      <c r="BC85">
        <f ca="1"/>
      </c>
      <c r="BD85">
        <f ca="1"/>
      </c>
      <c r="BF85" s="7">
        <f ca="1"/>
      </c>
      <c r="BG85" s="14">
        <f ca="1"/>
      </c>
      <c r="BH85" s="14">
        <f ca="1"/>
      </c>
      <c r="BI85" s="14">
        <f ca="1"/>
      </c>
      <c r="BJ85" s="14">
        <f ca="1"/>
      </c>
      <c r="BK85" s="14">
        <f ca="1"/>
      </c>
    </row>
    <row r="86" spans="28:63" x14ac:dyDescent="0.55000000000000004">
      <c r="AB86">
        <f ca="1"/>
      </c>
      <c r="AC86">
        <f ca="1"/>
      </c>
      <c r="AD86">
        <f ca="1"/>
      </c>
      <c r="AE86">
        <f ca="1"/>
      </c>
      <c r="AF86">
        <f ca="1"/>
      </c>
      <c r="AG86">
        <f ca="1"/>
      </c>
      <c r="AH86">
        <f ca="1"/>
      </c>
      <c r="AL86" s="7">
        <f ca="1"/>
      </c>
      <c r="AM86" s="14">
        <f ca="1"/>
      </c>
      <c r="AN86" s="14">
        <f ca="1"/>
      </c>
      <c r="AO86" s="14">
        <f ca="1"/>
      </c>
      <c r="AP86" s="14">
        <f ca="1"/>
      </c>
      <c r="AQ86" s="14">
        <f ca="1"/>
      </c>
      <c r="AR86" s="14">
        <f ca="1"/>
      </c>
      <c r="AV86" s="14">
        <f ca="1"/>
      </c>
      <c r="AW86" s="14">
        <f ca="1"/>
      </c>
      <c r="AX86" s="14">
        <f ca="1"/>
      </c>
      <c r="AY86" s="14">
        <f ca="1"/>
      </c>
      <c r="AZ86" s="14">
        <f ca="1"/>
      </c>
      <c r="BB86">
        <f ca="1"/>
      </c>
      <c r="BC86">
        <f ca="1"/>
      </c>
      <c r="BD86">
        <f ca="1"/>
      </c>
      <c r="BF86" s="7">
        <f ca="1"/>
      </c>
      <c r="BG86" s="14">
        <f ca="1"/>
      </c>
      <c r="BH86" s="14">
        <f ca="1"/>
      </c>
      <c r="BI86" s="14">
        <f ca="1"/>
      </c>
      <c r="BJ86" s="14">
        <f ca="1"/>
      </c>
      <c r="BK86" s="14">
        <f ca="1"/>
      </c>
    </row>
    <row r="87" spans="28:63" x14ac:dyDescent="0.55000000000000004">
      <c r="AB87">
        <f ca="1"/>
      </c>
      <c r="AC87">
        <f ca="1"/>
      </c>
      <c r="AD87">
        <f ca="1"/>
      </c>
      <c r="AE87">
        <f ca="1"/>
      </c>
      <c r="AF87">
        <f ca="1"/>
      </c>
      <c r="AG87">
        <f ca="1"/>
      </c>
      <c r="AH87">
        <f ca="1"/>
      </c>
      <c r="AL87" s="7">
        <f ca="1"/>
      </c>
      <c r="AM87" s="14">
        <f ca="1"/>
      </c>
      <c r="AN87" s="14">
        <f ca="1"/>
      </c>
      <c r="AO87" s="14">
        <f ca="1"/>
      </c>
      <c r="AP87" s="14">
        <f ca="1"/>
      </c>
      <c r="AQ87" s="14">
        <f ca="1"/>
      </c>
      <c r="AR87" s="14">
        <f ca="1"/>
      </c>
      <c r="AV87" s="14">
        <f ca="1"/>
      </c>
      <c r="AW87" s="14">
        <f ca="1"/>
      </c>
      <c r="AX87" s="14">
        <f ca="1"/>
      </c>
      <c r="AY87" s="14">
        <f ca="1"/>
      </c>
      <c r="AZ87" s="14">
        <f ca="1"/>
      </c>
      <c r="BB87">
        <f ca="1"/>
      </c>
      <c r="BC87">
        <f ca="1"/>
      </c>
      <c r="BD87">
        <f ca="1"/>
      </c>
      <c r="BF87" s="7">
        <f ca="1"/>
      </c>
      <c r="BG87" s="14">
        <f ca="1"/>
      </c>
      <c r="BH87" s="14">
        <f ca="1"/>
      </c>
      <c r="BI87" s="14">
        <f ca="1"/>
      </c>
      <c r="BJ87" s="14">
        <f ca="1"/>
      </c>
      <c r="BK87" s="14">
        <f ca="1"/>
      </c>
    </row>
    <row r="88" spans="28:63" x14ac:dyDescent="0.55000000000000004">
      <c r="AB88">
        <f ca="1"/>
      </c>
      <c r="AC88">
        <f ca="1"/>
      </c>
      <c r="AD88">
        <f ca="1"/>
      </c>
      <c r="AE88">
        <f ca="1"/>
      </c>
      <c r="AF88">
        <f ca="1"/>
      </c>
      <c r="AG88">
        <f ca="1"/>
      </c>
      <c r="AH88">
        <f ca="1"/>
      </c>
      <c r="AL88" s="7">
        <f ca="1"/>
      </c>
      <c r="AM88" s="14">
        <f ca="1"/>
      </c>
      <c r="AN88" s="14">
        <f ca="1"/>
      </c>
      <c r="AO88" s="14">
        <f ca="1"/>
      </c>
      <c r="AP88" s="14">
        <f ca="1"/>
      </c>
      <c r="AQ88" s="14">
        <f ca="1"/>
      </c>
      <c r="AR88" s="14">
        <f ca="1"/>
      </c>
      <c r="AV88" s="14">
        <f ca="1"/>
      </c>
      <c r="AW88" s="14">
        <f ca="1"/>
      </c>
      <c r="AX88" s="14">
        <f ca="1"/>
      </c>
      <c r="AY88" s="14">
        <f ca="1"/>
      </c>
      <c r="AZ88" s="14">
        <f ca="1"/>
      </c>
      <c r="BB88">
        <f ca="1"/>
      </c>
      <c r="BC88">
        <f ca="1"/>
      </c>
      <c r="BD88">
        <f ca="1"/>
      </c>
      <c r="BF88" s="7">
        <f ca="1"/>
      </c>
      <c r="BG88" s="14">
        <f ca="1"/>
      </c>
      <c r="BH88" s="14">
        <f ca="1"/>
      </c>
      <c r="BI88" s="14">
        <f ca="1"/>
      </c>
      <c r="BJ88" s="14">
        <f ca="1"/>
      </c>
      <c r="BK88" s="14">
        <f ca="1"/>
      </c>
    </row>
    <row r="89" spans="28:63" x14ac:dyDescent="0.55000000000000004">
      <c r="AB89">
        <f ca="1"/>
      </c>
      <c r="AC89">
        <f ca="1"/>
      </c>
      <c r="AD89">
        <f ca="1"/>
      </c>
      <c r="AE89">
        <f ca="1"/>
      </c>
      <c r="AF89">
        <f ca="1"/>
      </c>
      <c r="AG89">
        <f ca="1"/>
      </c>
      <c r="AH89">
        <f ca="1"/>
      </c>
      <c r="AL89" s="7">
        <f ca="1"/>
      </c>
      <c r="AM89" s="14">
        <f ca="1"/>
      </c>
      <c r="AN89" s="14">
        <f ca="1"/>
      </c>
      <c r="AO89" s="14">
        <f ca="1"/>
      </c>
      <c r="AP89" s="14">
        <f ca="1"/>
      </c>
      <c r="AQ89" s="14">
        <f ca="1"/>
      </c>
      <c r="AR89" s="14">
        <f ca="1"/>
      </c>
      <c r="AV89" s="14">
        <f ca="1"/>
      </c>
      <c r="AW89" s="14">
        <f ca="1"/>
      </c>
      <c r="AX89" s="14">
        <f ca="1"/>
      </c>
      <c r="AY89" s="14">
        <f ca="1"/>
      </c>
      <c r="AZ89" s="14">
        <f ca="1"/>
      </c>
      <c r="BB89">
        <f ca="1"/>
      </c>
      <c r="BC89">
        <f ca="1"/>
      </c>
      <c r="BD89">
        <f ca="1"/>
      </c>
      <c r="BF89" s="7">
        <f ca="1"/>
      </c>
      <c r="BG89" s="14">
        <f ca="1"/>
      </c>
      <c r="BH89" s="14">
        <f ca="1"/>
      </c>
      <c r="BI89" s="14">
        <f ca="1"/>
      </c>
      <c r="BJ89" s="14">
        <f ca="1"/>
      </c>
      <c r="BK89" s="14">
        <f ca="1"/>
      </c>
    </row>
    <row r="90" spans="28:63" x14ac:dyDescent="0.55000000000000004">
      <c r="AB90">
        <f ca="1"/>
      </c>
      <c r="AC90">
        <f ca="1"/>
      </c>
      <c r="AD90">
        <f ca="1"/>
      </c>
      <c r="AE90">
        <f ca="1"/>
      </c>
      <c r="AF90">
        <f ca="1"/>
      </c>
      <c r="AG90">
        <f ca="1"/>
      </c>
      <c r="AH90">
        <f ca="1"/>
      </c>
      <c r="AL90" s="7">
        <f ca="1"/>
      </c>
      <c r="AM90" s="14">
        <f ca="1"/>
      </c>
      <c r="AN90" s="14">
        <f ca="1"/>
      </c>
      <c r="AO90" s="14">
        <f ca="1"/>
      </c>
      <c r="AP90" s="14">
        <f ca="1"/>
      </c>
      <c r="AQ90" s="14">
        <f ca="1"/>
      </c>
      <c r="AR90" s="14">
        <f ca="1"/>
      </c>
      <c r="AV90" s="14">
        <f ca="1"/>
      </c>
      <c r="AW90" s="14">
        <f ca="1"/>
      </c>
      <c r="AX90" s="14">
        <f ca="1"/>
      </c>
      <c r="AY90" s="14">
        <f ca="1"/>
      </c>
      <c r="AZ90" s="14">
        <f ca="1"/>
      </c>
      <c r="BB90">
        <f ca="1"/>
      </c>
      <c r="BC90">
        <f ca="1"/>
      </c>
      <c r="BD90">
        <f ca="1"/>
      </c>
      <c r="BF90" s="7">
        <f ca="1"/>
      </c>
      <c r="BG90" s="14">
        <f ca="1"/>
      </c>
      <c r="BH90" s="14">
        <f ca="1"/>
      </c>
      <c r="BI90" s="14">
        <f ca="1"/>
      </c>
      <c r="BJ90" s="14">
        <f ca="1"/>
      </c>
      <c r="BK90" s="14">
        <f ca="1"/>
      </c>
    </row>
    <row r="91" spans="28:63" x14ac:dyDescent="0.55000000000000004">
      <c r="AB91">
        <f ca="1"/>
      </c>
      <c r="AC91">
        <f ca="1"/>
      </c>
      <c r="AD91">
        <f ca="1"/>
      </c>
      <c r="AE91">
        <f ca="1"/>
      </c>
      <c r="AF91">
        <f ca="1"/>
      </c>
      <c r="AG91">
        <f ca="1"/>
      </c>
      <c r="AH91">
        <f ca="1"/>
      </c>
      <c r="AL91" s="7">
        <f ca="1"/>
      </c>
      <c r="AM91" s="14">
        <f ca="1"/>
      </c>
      <c r="AN91" s="14">
        <f ca="1"/>
      </c>
      <c r="AO91" s="14">
        <f ca="1"/>
      </c>
      <c r="AP91" s="14">
        <f ca="1"/>
      </c>
      <c r="AQ91" s="14">
        <f ca="1"/>
      </c>
      <c r="AR91" s="14">
        <f ca="1"/>
      </c>
      <c r="AV91" s="14">
        <f ca="1"/>
      </c>
      <c r="AW91" s="14">
        <f ca="1"/>
      </c>
      <c r="AX91" s="14">
        <f ca="1"/>
      </c>
      <c r="AY91" s="14">
        <f ca="1"/>
      </c>
      <c r="AZ91" s="14">
        <f ca="1"/>
      </c>
      <c r="BB91">
        <f ca="1"/>
      </c>
      <c r="BC91">
        <f ca="1"/>
      </c>
      <c r="BD91">
        <f ca="1"/>
      </c>
      <c r="BF91" s="7">
        <f ca="1"/>
      </c>
      <c r="BG91" s="14">
        <f ca="1"/>
      </c>
      <c r="BH91" s="14">
        <f ca="1"/>
      </c>
      <c r="BI91" s="14">
        <f ca="1"/>
      </c>
      <c r="BJ91" s="14">
        <f ca="1"/>
      </c>
      <c r="BK91" s="14">
        <f ca="1"/>
      </c>
    </row>
    <row r="92" spans="28:63" x14ac:dyDescent="0.55000000000000004">
      <c r="AB92">
        <f ca="1"/>
      </c>
      <c r="AC92">
        <f ca="1"/>
      </c>
      <c r="AD92">
        <f ca="1"/>
      </c>
      <c r="AE92">
        <f ca="1"/>
      </c>
      <c r="AF92">
        <f ca="1"/>
      </c>
      <c r="AG92">
        <f ca="1"/>
      </c>
      <c r="AH92">
        <f ca="1"/>
      </c>
      <c r="AL92" s="7">
        <f ca="1"/>
      </c>
      <c r="AM92" s="14">
        <f ca="1"/>
      </c>
      <c r="AN92" s="14">
        <f ca="1"/>
      </c>
      <c r="AO92" s="14">
        <f ca="1"/>
      </c>
      <c r="AP92" s="14">
        <f ca="1"/>
      </c>
      <c r="AQ92" s="14">
        <f ca="1"/>
      </c>
      <c r="AR92" s="14">
        <f ca="1"/>
      </c>
      <c r="AV92" s="14">
        <f ca="1"/>
      </c>
      <c r="AW92" s="14">
        <f ca="1"/>
      </c>
      <c r="AX92" s="14">
        <f ca="1"/>
      </c>
      <c r="AY92" s="14">
        <f ca="1"/>
      </c>
      <c r="AZ92" s="14">
        <f ca="1"/>
      </c>
      <c r="BB92">
        <f ca="1"/>
      </c>
      <c r="BC92">
        <f ca="1"/>
      </c>
      <c r="BD92">
        <f ca="1"/>
      </c>
      <c r="BF92" s="7">
        <f ca="1"/>
      </c>
      <c r="BG92" s="14">
        <f ca="1"/>
      </c>
      <c r="BH92" s="14">
        <f ca="1"/>
      </c>
      <c r="BI92" s="14">
        <f ca="1"/>
      </c>
      <c r="BJ92" s="14">
        <f ca="1"/>
      </c>
      <c r="BK92" s="14">
        <f ca="1"/>
      </c>
    </row>
    <row r="93" spans="28:63" x14ac:dyDescent="0.55000000000000004">
      <c r="AB93">
        <f ca="1"/>
      </c>
      <c r="AC93">
        <f ca="1"/>
      </c>
      <c r="AD93">
        <f ca="1"/>
      </c>
      <c r="AE93">
        <f ca="1"/>
      </c>
      <c r="AF93">
        <f ca="1"/>
      </c>
      <c r="AG93">
        <f ca="1"/>
      </c>
      <c r="AH93">
        <f ca="1"/>
      </c>
      <c r="AL93" s="7">
        <f ca="1"/>
      </c>
      <c r="AM93" s="14">
        <f ca="1"/>
      </c>
      <c r="AN93" s="14">
        <f ca="1"/>
      </c>
      <c r="AO93" s="14">
        <f ca="1"/>
      </c>
      <c r="AP93" s="14">
        <f ca="1"/>
      </c>
      <c r="AQ93" s="14">
        <f ca="1"/>
      </c>
      <c r="AR93" s="14">
        <f ca="1"/>
      </c>
      <c r="AV93" s="14">
        <f ca="1"/>
      </c>
      <c r="AW93" s="14">
        <f ca="1"/>
      </c>
      <c r="AX93" s="14">
        <f ca="1"/>
      </c>
      <c r="AY93" s="14">
        <f ca="1"/>
      </c>
      <c r="AZ93" s="14">
        <f ca="1"/>
      </c>
      <c r="BB93">
        <f ca="1"/>
      </c>
      <c r="BC93">
        <f ca="1"/>
      </c>
      <c r="BD93">
        <f ca="1"/>
      </c>
      <c r="BF93" s="7">
        <f ca="1"/>
      </c>
      <c r="BG93" s="14">
        <f ca="1"/>
      </c>
      <c r="BH93" s="14">
        <f ca="1"/>
      </c>
      <c r="BI93" s="14">
        <f ca="1"/>
      </c>
      <c r="BJ93" s="14">
        <f ca="1"/>
      </c>
      <c r="BK93" s="14">
        <f ca="1"/>
      </c>
    </row>
    <row r="94" spans="28:63" x14ac:dyDescent="0.55000000000000004">
      <c r="AB94">
        <f ca="1"/>
      </c>
      <c r="AC94">
        <f ca="1"/>
      </c>
      <c r="AD94">
        <f ca="1"/>
      </c>
      <c r="AE94">
        <f ca="1"/>
      </c>
      <c r="AF94">
        <f ca="1"/>
      </c>
      <c r="AG94">
        <f ca="1"/>
      </c>
      <c r="AH94">
        <f ca="1"/>
      </c>
      <c r="AL94" s="7">
        <f ca="1"/>
      </c>
      <c r="AM94" s="14">
        <f ca="1"/>
      </c>
      <c r="AN94" s="14">
        <f ca="1"/>
      </c>
      <c r="AO94" s="14">
        <f ca="1"/>
      </c>
      <c r="AP94" s="14">
        <f ca="1"/>
      </c>
      <c r="AQ94" s="14">
        <f ca="1"/>
      </c>
      <c r="AR94" s="14">
        <f ca="1"/>
      </c>
      <c r="AV94" s="14">
        <f ca="1"/>
      </c>
      <c r="AW94" s="14">
        <f ca="1"/>
      </c>
      <c r="AX94" s="14">
        <f ca="1"/>
      </c>
      <c r="AY94" s="14">
        <f ca="1"/>
      </c>
      <c r="AZ94" s="14">
        <f ca="1"/>
      </c>
      <c r="BB94">
        <f ca="1"/>
      </c>
      <c r="BC94">
        <f ca="1"/>
      </c>
      <c r="BD94">
        <f ca="1"/>
      </c>
      <c r="BF94" s="7">
        <f ca="1"/>
      </c>
      <c r="BG94" s="14">
        <f ca="1"/>
      </c>
      <c r="BH94" s="14">
        <f ca="1"/>
      </c>
      <c r="BI94" s="14">
        <f ca="1"/>
      </c>
      <c r="BJ94" s="14">
        <f ca="1"/>
      </c>
      <c r="BK94" s="14">
        <f ca="1"/>
      </c>
    </row>
    <row r="95" spans="28:63" x14ac:dyDescent="0.55000000000000004">
      <c r="AB95">
        <f ca="1"/>
      </c>
      <c r="AC95">
        <f ca="1"/>
      </c>
      <c r="AD95">
        <f ca="1"/>
      </c>
      <c r="AE95">
        <f ca="1"/>
      </c>
      <c r="AF95">
        <f ca="1"/>
      </c>
      <c r="AG95">
        <f ca="1"/>
      </c>
      <c r="AH95">
        <f ca="1"/>
      </c>
      <c r="AL95" s="7">
        <f ca="1"/>
      </c>
      <c r="AM95" s="14">
        <f ca="1"/>
      </c>
      <c r="AN95" s="14">
        <f ca="1"/>
      </c>
      <c r="AO95" s="14">
        <f ca="1"/>
      </c>
      <c r="AP95" s="14">
        <f ca="1"/>
      </c>
      <c r="AQ95" s="14">
        <f ca="1"/>
      </c>
      <c r="AR95" s="14">
        <f ca="1"/>
      </c>
      <c r="AV95" s="14">
        <f ca="1"/>
      </c>
      <c r="AW95" s="14">
        <f ca="1"/>
      </c>
      <c r="AX95" s="14">
        <f ca="1"/>
      </c>
      <c r="AY95" s="14">
        <f ca="1"/>
      </c>
      <c r="AZ95" s="14">
        <f ca="1"/>
      </c>
      <c r="BB95">
        <f ca="1"/>
      </c>
      <c r="BC95">
        <f ca="1"/>
      </c>
      <c r="BD95">
        <f ca="1"/>
      </c>
      <c r="BF95" s="7">
        <f ca="1"/>
      </c>
      <c r="BG95" s="14">
        <f ca="1"/>
      </c>
      <c r="BH95" s="14">
        <f ca="1"/>
      </c>
      <c r="BI95" s="14">
        <f ca="1"/>
      </c>
      <c r="BJ95" s="14">
        <f ca="1"/>
      </c>
      <c r="BK95" s="14">
        <f ca="1"/>
      </c>
    </row>
    <row r="96" spans="28:63" x14ac:dyDescent="0.55000000000000004">
      <c r="AB96">
        <f ca="1"/>
      </c>
      <c r="AC96">
        <f ca="1"/>
      </c>
      <c r="AD96">
        <f ca="1"/>
      </c>
      <c r="AE96">
        <f ca="1"/>
      </c>
      <c r="AF96">
        <f ca="1"/>
      </c>
      <c r="AG96">
        <f ca="1"/>
      </c>
      <c r="AH96">
        <f ca="1"/>
      </c>
      <c r="AL96" s="7">
        <f ca="1"/>
      </c>
      <c r="AM96" s="14">
        <f ca="1"/>
      </c>
      <c r="AN96" s="14">
        <f ca="1"/>
      </c>
      <c r="AO96" s="14">
        <f ca="1"/>
      </c>
      <c r="AP96" s="14">
        <f ca="1"/>
      </c>
      <c r="AQ96" s="14">
        <f ca="1"/>
      </c>
      <c r="AR96" s="14">
        <f ca="1"/>
      </c>
      <c r="AV96" s="14">
        <f ca="1"/>
      </c>
      <c r="AW96" s="14">
        <f ca="1"/>
      </c>
      <c r="AX96" s="14">
        <f ca="1"/>
      </c>
      <c r="AY96" s="14">
        <f ca="1"/>
      </c>
      <c r="AZ96" s="14">
        <f ca="1"/>
      </c>
      <c r="BB96">
        <f ca="1"/>
      </c>
      <c r="BC96">
        <f ca="1"/>
      </c>
      <c r="BD96">
        <f ca="1"/>
      </c>
      <c r="BF96" s="7">
        <f ca="1"/>
      </c>
      <c r="BG96" s="14">
        <f ca="1"/>
      </c>
      <c r="BH96" s="14">
        <f ca="1"/>
      </c>
      <c r="BI96" s="14">
        <f ca="1"/>
      </c>
      <c r="BJ96" s="14">
        <f ca="1"/>
      </c>
      <c r="BK96" s="14">
        <f ca="1"/>
      </c>
    </row>
    <row r="97" spans="28:63" x14ac:dyDescent="0.55000000000000004">
      <c r="AB97">
        <f ca="1"/>
      </c>
      <c r="AC97">
        <f ca="1"/>
      </c>
      <c r="AD97">
        <f ca="1"/>
      </c>
      <c r="AE97">
        <f ca="1"/>
      </c>
      <c r="AF97">
        <f ca="1"/>
      </c>
      <c r="AG97">
        <f ca="1"/>
      </c>
      <c r="AH97">
        <f ca="1"/>
      </c>
      <c r="AL97" s="7">
        <f ca="1"/>
      </c>
      <c r="AM97" s="14">
        <f ca="1"/>
      </c>
      <c r="AN97" s="14">
        <f ca="1"/>
      </c>
      <c r="AO97" s="14">
        <f ca="1"/>
      </c>
      <c r="AP97" s="14">
        <f ca="1"/>
      </c>
      <c r="AQ97" s="14">
        <f ca="1"/>
      </c>
      <c r="AR97" s="14">
        <f ca="1"/>
      </c>
      <c r="AV97" s="14">
        <f ca="1"/>
      </c>
      <c r="AW97" s="14">
        <f ca="1"/>
      </c>
      <c r="AX97" s="14">
        <f ca="1"/>
      </c>
      <c r="AY97" s="14">
        <f ca="1"/>
      </c>
      <c r="AZ97" s="14">
        <f ca="1"/>
      </c>
      <c r="BB97">
        <f ca="1"/>
      </c>
      <c r="BC97">
        <f ca="1"/>
      </c>
      <c r="BD97">
        <f ca="1"/>
      </c>
      <c r="BF97" s="7">
        <f ca="1"/>
      </c>
      <c r="BG97" s="14">
        <f ca="1"/>
      </c>
      <c r="BH97" s="14">
        <f ca="1"/>
      </c>
      <c r="BI97" s="14">
        <f ca="1"/>
      </c>
      <c r="BJ97" s="14">
        <f ca="1"/>
      </c>
      <c r="BK97" s="14">
        <f ca="1"/>
      </c>
    </row>
    <row r="98" spans="28:63" x14ac:dyDescent="0.55000000000000004">
      <c r="AB98">
        <f ca="1"/>
      </c>
      <c r="AC98">
        <f ca="1"/>
      </c>
      <c r="AD98">
        <f ca="1"/>
      </c>
      <c r="AE98">
        <f ca="1"/>
      </c>
      <c r="AF98">
        <f ca="1"/>
      </c>
      <c r="AG98">
        <f ca="1"/>
      </c>
      <c r="AH98">
        <f ca="1"/>
      </c>
      <c r="AL98" s="7">
        <f ca="1"/>
      </c>
      <c r="AM98" s="14">
        <f ca="1"/>
      </c>
      <c r="AN98" s="14">
        <f ca="1"/>
      </c>
      <c r="AO98" s="14">
        <f ca="1"/>
      </c>
      <c r="AP98" s="14">
        <f ca="1"/>
      </c>
      <c r="AQ98" s="14">
        <f ca="1"/>
      </c>
      <c r="AR98" s="14">
        <f ca="1"/>
      </c>
      <c r="AV98" s="14">
        <f ca="1"/>
      </c>
      <c r="AW98" s="14">
        <f ca="1"/>
      </c>
      <c r="AX98" s="14">
        <f ca="1"/>
      </c>
      <c r="AY98" s="14">
        <f ca="1"/>
      </c>
      <c r="AZ98" s="14">
        <f ca="1"/>
      </c>
      <c r="BB98">
        <f ca="1"/>
      </c>
      <c r="BC98">
        <f ca="1"/>
      </c>
      <c r="BD98">
        <f ca="1"/>
      </c>
      <c r="BF98" s="7">
        <f ca="1"/>
      </c>
      <c r="BG98" s="14">
        <f ca="1"/>
      </c>
      <c r="BH98" s="14">
        <f ca="1"/>
      </c>
      <c r="BI98" s="14">
        <f ca="1"/>
      </c>
      <c r="BJ98" s="14">
        <f ca="1"/>
      </c>
      <c r="BK98" s="14">
        <f ca="1"/>
      </c>
    </row>
    <row r="99" spans="28:63" x14ac:dyDescent="0.55000000000000004">
      <c r="AB99">
        <f ca="1"/>
      </c>
      <c r="AC99">
        <f ca="1"/>
      </c>
      <c r="AD99">
        <f ca="1"/>
      </c>
      <c r="AE99">
        <f ca="1"/>
      </c>
      <c r="AF99">
        <f ca="1"/>
      </c>
      <c r="AG99">
        <f ca="1"/>
      </c>
      <c r="AH99">
        <f ca="1"/>
      </c>
      <c r="AL99" s="7">
        <f ca="1"/>
      </c>
      <c r="AM99" s="14">
        <f ca="1"/>
      </c>
      <c r="AN99" s="14">
        <f ca="1"/>
      </c>
      <c r="AO99" s="14">
        <f ca="1"/>
      </c>
      <c r="AP99" s="14">
        <f ca="1"/>
      </c>
      <c r="AQ99" s="14">
        <f ca="1"/>
      </c>
      <c r="AR99" s="14">
        <f ca="1"/>
      </c>
      <c r="AV99" s="14">
        <f ca="1"/>
      </c>
      <c r="AW99" s="14">
        <f ca="1"/>
      </c>
      <c r="AX99" s="14">
        <f ca="1"/>
      </c>
      <c r="AY99" s="14">
        <f ca="1"/>
      </c>
      <c r="AZ99" s="14">
        <f ca="1"/>
      </c>
      <c r="BB99">
        <f ca="1"/>
      </c>
      <c r="BC99">
        <f ca="1"/>
      </c>
      <c r="BD99">
        <f ca="1"/>
      </c>
      <c r="BF99" s="7">
        <f ca="1"/>
      </c>
      <c r="BG99" s="14">
        <f ca="1"/>
      </c>
      <c r="BH99" s="14">
        <f ca="1"/>
      </c>
      <c r="BI99" s="14">
        <f ca="1"/>
      </c>
      <c r="BJ99" s="14">
        <f ca="1"/>
      </c>
      <c r="BK99" s="14">
        <f ca="1"/>
      </c>
    </row>
    <row r="100" spans="28:63" x14ac:dyDescent="0.55000000000000004">
      <c r="AB100">
        <f ca="1"/>
      </c>
      <c r="AC100">
        <f ca="1"/>
      </c>
      <c r="AD100">
        <f ca="1"/>
      </c>
      <c r="AE100">
        <f ca="1"/>
      </c>
      <c r="AF100">
        <f ca="1"/>
      </c>
      <c r="AG100">
        <f ca="1"/>
      </c>
      <c r="AH100">
        <f ca="1"/>
      </c>
      <c r="AL100" s="7">
        <f ca="1"/>
      </c>
      <c r="AM100" s="14">
        <f ca="1"/>
      </c>
      <c r="AN100" s="14">
        <f ca="1"/>
      </c>
      <c r="AO100" s="14">
        <f ca="1"/>
      </c>
      <c r="AP100" s="14">
        <f ca="1"/>
      </c>
      <c r="AQ100" s="14">
        <f ca="1"/>
      </c>
      <c r="AR100" s="14">
        <f ca="1"/>
      </c>
      <c r="AV100" s="14">
        <f ca="1"/>
      </c>
      <c r="AW100" s="14">
        <f ca="1"/>
      </c>
      <c r="AX100" s="14">
        <f ca="1"/>
      </c>
      <c r="AY100" s="14">
        <f ca="1"/>
      </c>
      <c r="AZ100" s="14">
        <f ca="1"/>
      </c>
      <c r="BB100">
        <f ca="1"/>
      </c>
      <c r="BC100">
        <f ca="1"/>
      </c>
      <c r="BD100">
        <f ca="1"/>
      </c>
      <c r="BF100" s="7">
        <f ca="1"/>
      </c>
      <c r="BG100" s="14">
        <f ca="1"/>
      </c>
      <c r="BH100" s="14">
        <f ca="1"/>
      </c>
      <c r="BI100" s="14">
        <f ca="1"/>
      </c>
      <c r="BJ100" s="14">
        <f ca="1"/>
      </c>
      <c r="BK100" s="14">
        <f ca="1"/>
      </c>
    </row>
    <row r="101" spans="28:63" x14ac:dyDescent="0.55000000000000004">
      <c r="AB101">
        <f ca="1"/>
      </c>
      <c r="AC101">
        <f ca="1"/>
      </c>
      <c r="AD101">
        <f ca="1"/>
      </c>
      <c r="AE101">
        <f ca="1"/>
      </c>
      <c r="AF101">
        <f ca="1"/>
      </c>
      <c r="AG101">
        <f ca="1"/>
      </c>
      <c r="AH101">
        <f ca="1"/>
      </c>
      <c r="AL101" s="7">
        <f ca="1"/>
      </c>
      <c r="AM101" s="14">
        <f ca="1"/>
      </c>
      <c r="AN101" s="14">
        <f ca="1"/>
      </c>
      <c r="AO101" s="14">
        <f ca="1"/>
      </c>
      <c r="AP101" s="14">
        <f ca="1"/>
      </c>
      <c r="AQ101" s="14">
        <f ca="1"/>
      </c>
      <c r="AR101" s="14">
        <f ca="1"/>
      </c>
      <c r="AV101" s="14">
        <f ca="1"/>
      </c>
      <c r="AW101" s="14">
        <f ca="1"/>
      </c>
      <c r="AX101" s="14">
        <f ca="1"/>
      </c>
      <c r="AY101" s="14">
        <f ca="1"/>
      </c>
      <c r="AZ101" s="14">
        <f ca="1"/>
      </c>
      <c r="BB101">
        <f ca="1"/>
      </c>
      <c r="BC101">
        <f ca="1"/>
      </c>
      <c r="BD101">
        <f ca="1"/>
      </c>
      <c r="BF101" s="7">
        <f ca="1"/>
      </c>
      <c r="BG101" s="14">
        <f ca="1"/>
      </c>
      <c r="BH101" s="14">
        <f ca="1"/>
      </c>
      <c r="BI101" s="14">
        <f ca="1"/>
      </c>
      <c r="BJ101" s="14">
        <f ca="1"/>
      </c>
      <c r="BK101" s="14">
        <f ca="1"/>
      </c>
    </row>
    <row r="102" spans="28:63" x14ac:dyDescent="0.55000000000000004">
      <c r="AB102">
        <f ca="1"/>
      </c>
      <c r="AC102">
        <f ca="1"/>
      </c>
      <c r="AD102">
        <f ca="1"/>
      </c>
      <c r="AE102">
        <f ca="1"/>
      </c>
      <c r="AF102">
        <f ca="1"/>
      </c>
      <c r="AG102">
        <f ca="1"/>
      </c>
      <c r="AH102">
        <f ca="1"/>
      </c>
      <c r="AL102" s="7">
        <f ca="1"/>
      </c>
      <c r="AM102" s="14">
        <f ca="1"/>
      </c>
      <c r="AN102" s="14">
        <f ca="1"/>
      </c>
      <c r="AO102" s="14">
        <f ca="1"/>
      </c>
      <c r="AP102" s="14">
        <f ca="1"/>
      </c>
      <c r="AQ102" s="14">
        <f ca="1"/>
      </c>
      <c r="AR102" s="14">
        <f ca="1"/>
      </c>
      <c r="AV102" s="14">
        <f ca="1"/>
      </c>
      <c r="AW102" s="14">
        <f ca="1"/>
      </c>
      <c r="AX102" s="14">
        <f ca="1"/>
      </c>
      <c r="AY102" s="14">
        <f ca="1"/>
      </c>
      <c r="AZ102" s="14">
        <f ca="1"/>
      </c>
      <c r="BB102">
        <f ca="1"/>
      </c>
      <c r="BC102">
        <f ca="1"/>
      </c>
      <c r="BD102">
        <f ca="1"/>
      </c>
      <c r="BF102" s="7">
        <f ca="1"/>
      </c>
      <c r="BG102" s="14">
        <f ca="1"/>
      </c>
      <c r="BH102" s="14">
        <f ca="1"/>
      </c>
      <c r="BI102" s="14">
        <f ca="1"/>
      </c>
      <c r="BJ102" s="14">
        <f ca="1"/>
      </c>
      <c r="BK102" s="14">
        <f ca="1"/>
      </c>
    </row>
    <row r="103" spans="28:63" x14ac:dyDescent="0.55000000000000004">
      <c r="AB103">
        <f ca="1"/>
      </c>
      <c r="AC103">
        <f ca="1"/>
      </c>
      <c r="AD103">
        <f ca="1"/>
      </c>
      <c r="AE103">
        <f ca="1"/>
      </c>
      <c r="AF103">
        <f ca="1"/>
      </c>
      <c r="AG103">
        <f ca="1"/>
      </c>
      <c r="AH103">
        <f ca="1"/>
      </c>
      <c r="AL103" s="7">
        <f ca="1"/>
      </c>
      <c r="AM103" s="14">
        <f ca="1"/>
      </c>
      <c r="AN103" s="14">
        <f ca="1"/>
      </c>
      <c r="AO103" s="14">
        <f ca="1"/>
      </c>
      <c r="AP103" s="14">
        <f ca="1"/>
      </c>
      <c r="AQ103" s="14">
        <f ca="1"/>
      </c>
      <c r="AR103" s="14">
        <f ca="1"/>
      </c>
      <c r="AV103" s="14">
        <f ca="1"/>
      </c>
      <c r="AW103" s="14">
        <f ca="1"/>
      </c>
      <c r="AX103" s="14">
        <f ca="1"/>
      </c>
      <c r="AY103" s="14">
        <f ca="1"/>
      </c>
      <c r="AZ103" s="14">
        <f ca="1"/>
      </c>
      <c r="BB103">
        <f ca="1"/>
      </c>
      <c r="BC103">
        <f ca="1"/>
      </c>
      <c r="BD103">
        <f ca="1"/>
      </c>
      <c r="BF103" s="7">
        <f ca="1"/>
      </c>
      <c r="BG103" s="14">
        <f ca="1"/>
      </c>
      <c r="BH103" s="14">
        <f ca="1"/>
      </c>
      <c r="BI103" s="14">
        <f ca="1"/>
      </c>
      <c r="BJ103" s="14">
        <f ca="1"/>
      </c>
      <c r="BK103" s="14">
        <f ca="1"/>
      </c>
    </row>
    <row r="104" spans="28:63" x14ac:dyDescent="0.55000000000000004">
      <c r="AB104">
        <f ca="1"/>
      </c>
      <c r="AC104">
        <f ca="1"/>
      </c>
      <c r="AD104">
        <f ca="1"/>
      </c>
      <c r="AE104">
        <f ca="1"/>
      </c>
      <c r="AF104">
        <f ca="1"/>
      </c>
      <c r="AG104">
        <f ca="1"/>
      </c>
      <c r="AH104">
        <f ca="1"/>
      </c>
      <c r="AL104" s="7">
        <f ca="1"/>
      </c>
      <c r="AM104" s="14">
        <f ca="1"/>
      </c>
      <c r="AN104" s="14">
        <f ca="1"/>
      </c>
      <c r="AO104" s="14">
        <f ca="1"/>
      </c>
      <c r="AP104" s="14">
        <f ca="1"/>
      </c>
      <c r="AQ104" s="14">
        <f ca="1"/>
      </c>
      <c r="AR104" s="14">
        <f ca="1"/>
      </c>
      <c r="AV104" s="14">
        <f ca="1"/>
      </c>
      <c r="AW104" s="14">
        <f ca="1"/>
      </c>
      <c r="AX104" s="14">
        <f ca="1"/>
      </c>
      <c r="AY104" s="14">
        <f ca="1"/>
      </c>
      <c r="AZ104" s="14">
        <f ca="1"/>
      </c>
      <c r="BB104">
        <f ca="1"/>
      </c>
      <c r="BC104">
        <f ca="1"/>
      </c>
      <c r="BD104">
        <f ca="1"/>
      </c>
      <c r="BF104" s="7">
        <f ca="1"/>
      </c>
      <c r="BG104" s="14">
        <f ca="1"/>
      </c>
      <c r="BH104" s="14">
        <f ca="1"/>
      </c>
      <c r="BI104" s="14">
        <f ca="1"/>
      </c>
      <c r="BJ104" s="14">
        <f ca="1"/>
      </c>
      <c r="BK104" s="14">
        <f ca="1"/>
      </c>
    </row>
    <row r="105" spans="28:63" x14ac:dyDescent="0.55000000000000004">
      <c r="AB105">
        <f ca="1"/>
      </c>
      <c r="AC105">
        <f ca="1"/>
      </c>
      <c r="AD105">
        <f ca="1"/>
      </c>
      <c r="AE105">
        <f ca="1"/>
      </c>
      <c r="AF105">
        <f ca="1"/>
      </c>
      <c r="AG105">
        <f ca="1"/>
      </c>
      <c r="AH105">
        <f ca="1"/>
      </c>
      <c r="AL105" s="7">
        <f ca="1"/>
      </c>
      <c r="AM105" s="14">
        <f ca="1"/>
      </c>
      <c r="AN105" s="14">
        <f ca="1"/>
      </c>
      <c r="AO105" s="14">
        <f ca="1"/>
      </c>
      <c r="AP105" s="14">
        <f ca="1"/>
      </c>
      <c r="AQ105" s="14">
        <f ca="1"/>
      </c>
      <c r="AR105" s="14">
        <f ca="1"/>
      </c>
      <c r="AV105" s="14">
        <f ca="1"/>
      </c>
      <c r="AW105" s="14">
        <f ca="1"/>
      </c>
      <c r="AX105" s="14">
        <f ca="1"/>
      </c>
      <c r="AY105" s="14">
        <f ca="1"/>
      </c>
      <c r="AZ105" s="14">
        <f ca="1"/>
      </c>
      <c r="BB105">
        <f ca="1"/>
      </c>
      <c r="BC105">
        <f ca="1"/>
      </c>
      <c r="BD105">
        <f ca="1"/>
      </c>
      <c r="BF105" s="7">
        <f ca="1"/>
      </c>
      <c r="BG105" s="14">
        <f ca="1"/>
      </c>
      <c r="BH105" s="14">
        <f ca="1"/>
      </c>
      <c r="BI105" s="14">
        <f ca="1"/>
      </c>
      <c r="BJ105" s="14">
        <f ca="1"/>
      </c>
      <c r="BK105" s="14">
        <f ca="1"/>
      </c>
    </row>
    <row r="106" spans="28:63" x14ac:dyDescent="0.55000000000000004">
      <c r="AB106">
        <f ca="1"/>
      </c>
      <c r="AC106">
        <f ca="1"/>
      </c>
      <c r="AD106">
        <f ca="1"/>
      </c>
      <c r="AE106">
        <f ca="1"/>
      </c>
      <c r="AF106">
        <f ca="1"/>
      </c>
      <c r="AG106">
        <f ca="1"/>
      </c>
      <c r="AH106">
        <f ca="1"/>
      </c>
      <c r="AL106" s="7">
        <f ca="1"/>
      </c>
      <c r="AM106" s="14">
        <f ca="1"/>
      </c>
      <c r="AN106" s="14">
        <f ca="1"/>
      </c>
      <c r="AO106" s="14">
        <f ca="1"/>
      </c>
      <c r="AP106" s="14">
        <f ca="1"/>
      </c>
      <c r="AQ106" s="14">
        <f ca="1"/>
      </c>
      <c r="AR106" s="14">
        <f ca="1"/>
      </c>
      <c r="AV106" s="14">
        <f ca="1"/>
      </c>
      <c r="AW106" s="14">
        <f ca="1"/>
      </c>
      <c r="AX106" s="14">
        <f ca="1"/>
      </c>
      <c r="AY106" s="14">
        <f ca="1"/>
      </c>
      <c r="AZ106" s="14">
        <f ca="1"/>
      </c>
      <c r="BB106">
        <f ca="1"/>
      </c>
      <c r="BC106">
        <f ca="1"/>
      </c>
      <c r="BD106">
        <f ca="1"/>
      </c>
      <c r="BF106" s="7">
        <f ca="1"/>
      </c>
      <c r="BG106" s="14">
        <f ca="1"/>
      </c>
      <c r="BH106" s="14">
        <f ca="1"/>
      </c>
      <c r="BI106" s="14">
        <f ca="1"/>
      </c>
      <c r="BJ106" s="14">
        <f ca="1"/>
      </c>
      <c r="BK106" s="14">
        <f ca="1"/>
      </c>
    </row>
    <row r="107" spans="28:63" x14ac:dyDescent="0.55000000000000004">
      <c r="AB107">
        <f ca="1"/>
      </c>
      <c r="AC107">
        <f ca="1"/>
      </c>
      <c r="AD107">
        <f ca="1"/>
      </c>
      <c r="AE107">
        <f ca="1"/>
      </c>
      <c r="AF107">
        <f ca="1"/>
      </c>
      <c r="AG107">
        <f ca="1"/>
      </c>
      <c r="AH107">
        <f ca="1"/>
      </c>
      <c r="AL107" s="7">
        <f ca="1"/>
      </c>
      <c r="AM107" s="14">
        <f ca="1"/>
      </c>
      <c r="AN107" s="14">
        <f ca="1"/>
      </c>
      <c r="AO107" s="14">
        <f ca="1"/>
      </c>
      <c r="AP107" s="14">
        <f ca="1"/>
      </c>
      <c r="AQ107" s="14">
        <f ca="1"/>
      </c>
      <c r="AR107" s="14">
        <f ca="1"/>
      </c>
      <c r="AV107" s="14">
        <f ca="1"/>
      </c>
      <c r="AW107" s="14">
        <f ca="1"/>
      </c>
      <c r="AX107" s="14">
        <f ca="1"/>
      </c>
      <c r="AY107" s="14">
        <f ca="1"/>
      </c>
      <c r="AZ107" s="14">
        <f ca="1"/>
      </c>
      <c r="BB107">
        <f ca="1"/>
      </c>
      <c r="BC107">
        <f ca="1"/>
      </c>
      <c r="BD107">
        <f ca="1"/>
      </c>
      <c r="BF107" s="7">
        <f ca="1"/>
      </c>
      <c r="BG107" s="14">
        <f ca="1"/>
      </c>
      <c r="BH107" s="14">
        <f ca="1"/>
      </c>
      <c r="BI107" s="14">
        <f ca="1"/>
      </c>
      <c r="BJ107" s="14">
        <f ca="1"/>
      </c>
      <c r="BK107" s="14">
        <f ca="1"/>
      </c>
    </row>
    <row r="108" spans="28:63" x14ac:dyDescent="0.55000000000000004">
      <c r="AB108">
        <f ca="1"/>
      </c>
      <c r="AC108">
        <f ca="1"/>
      </c>
      <c r="AD108">
        <f ca="1"/>
      </c>
      <c r="AE108">
        <f ca="1"/>
      </c>
      <c r="AF108">
        <f ca="1"/>
      </c>
      <c r="AG108">
        <f ca="1"/>
      </c>
      <c r="AH108">
        <f ca="1"/>
      </c>
      <c r="AL108" s="7">
        <f ca="1"/>
      </c>
      <c r="AM108" s="14">
        <f ca="1"/>
      </c>
      <c r="AN108" s="14">
        <f ca="1"/>
      </c>
      <c r="AO108" s="14">
        <f ca="1"/>
      </c>
      <c r="AP108" s="14">
        <f ca="1"/>
      </c>
      <c r="AQ108" s="14">
        <f ca="1"/>
      </c>
      <c r="AR108" s="14">
        <f ca="1"/>
      </c>
      <c r="AV108" s="14">
        <f ca="1"/>
      </c>
      <c r="AW108" s="14">
        <f ca="1"/>
      </c>
      <c r="AX108" s="14">
        <f ca="1"/>
      </c>
      <c r="AY108" s="14">
        <f ca="1"/>
      </c>
      <c r="AZ108" s="14">
        <f ca="1"/>
      </c>
      <c r="BB108">
        <f ca="1"/>
      </c>
      <c r="BC108">
        <f ca="1"/>
      </c>
      <c r="BD108">
        <f ca="1"/>
      </c>
      <c r="BF108" s="7">
        <f ca="1"/>
      </c>
      <c r="BG108" s="14">
        <f ca="1"/>
      </c>
      <c r="BH108" s="14">
        <f ca="1"/>
      </c>
      <c r="BI108" s="14">
        <f ca="1"/>
      </c>
      <c r="BJ108" s="14">
        <f ca="1"/>
      </c>
      <c r="BK108" s="14">
        <f ca="1"/>
      </c>
    </row>
    <row r="109" spans="28:63" x14ac:dyDescent="0.55000000000000004">
      <c r="AB109">
        <f ca="1"/>
      </c>
      <c r="AC109">
        <f ca="1"/>
      </c>
      <c r="AD109">
        <f ca="1"/>
      </c>
      <c r="AE109">
        <f ca="1"/>
      </c>
      <c r="AF109">
        <f ca="1"/>
      </c>
      <c r="AG109">
        <f ca="1"/>
      </c>
      <c r="AH109">
        <f ca="1"/>
      </c>
      <c r="AL109" s="7">
        <f ca="1"/>
      </c>
      <c r="AM109" s="14">
        <f ca="1"/>
      </c>
      <c r="AN109" s="14">
        <f ca="1"/>
      </c>
      <c r="AO109" s="14">
        <f ca="1"/>
      </c>
      <c r="AP109" s="14">
        <f ca="1"/>
      </c>
      <c r="AQ109" s="14">
        <f ca="1"/>
      </c>
      <c r="AR109" s="14">
        <f ca="1"/>
      </c>
      <c r="AV109" s="14">
        <f ca="1"/>
      </c>
      <c r="AW109" s="14">
        <f ca="1"/>
      </c>
      <c r="AX109" s="14">
        <f ca="1"/>
      </c>
      <c r="AY109" s="14">
        <f ca="1"/>
      </c>
      <c r="AZ109" s="14">
        <f ca="1"/>
      </c>
      <c r="BB109">
        <f ca="1"/>
      </c>
      <c r="BC109">
        <f ca="1"/>
      </c>
      <c r="BD109">
        <f ca="1"/>
      </c>
      <c r="BF109" s="7">
        <f ca="1"/>
      </c>
      <c r="BG109" s="14">
        <f ca="1"/>
      </c>
      <c r="BH109" s="14">
        <f ca="1"/>
      </c>
      <c r="BI109" s="14">
        <f ca="1"/>
      </c>
      <c r="BJ109" s="14">
        <f ca="1"/>
      </c>
      <c r="BK109" s="14">
        <f ca="1"/>
      </c>
    </row>
    <row r="110" spans="28:63" x14ac:dyDescent="0.55000000000000004">
      <c r="AB110">
        <f ca="1"/>
      </c>
      <c r="AC110">
        <f ca="1"/>
      </c>
      <c r="AD110">
        <f ca="1"/>
      </c>
      <c r="AE110">
        <f ca="1"/>
      </c>
      <c r="AF110">
        <f ca="1"/>
      </c>
      <c r="AG110">
        <f ca="1"/>
      </c>
      <c r="AH110">
        <f ca="1"/>
      </c>
      <c r="AL110" s="7">
        <f ca="1"/>
      </c>
      <c r="AM110" s="14">
        <f ca="1"/>
      </c>
      <c r="AN110" s="14">
        <f ca="1"/>
      </c>
      <c r="AO110" s="14">
        <f ca="1"/>
      </c>
      <c r="AP110" s="14">
        <f ca="1"/>
      </c>
      <c r="AQ110" s="14">
        <f ca="1"/>
      </c>
      <c r="AR110" s="14">
        <f ca="1"/>
      </c>
      <c r="AV110" s="14">
        <f ca="1"/>
      </c>
      <c r="AW110" s="14">
        <f ca="1"/>
      </c>
      <c r="AX110" s="14">
        <f ca="1"/>
      </c>
      <c r="AY110" s="14">
        <f ca="1"/>
      </c>
      <c r="AZ110" s="14">
        <f ca="1"/>
      </c>
      <c r="BB110">
        <f ca="1"/>
      </c>
      <c r="BC110">
        <f ca="1"/>
      </c>
      <c r="BD110">
        <f ca="1"/>
      </c>
      <c r="BF110" s="7">
        <f ca="1"/>
      </c>
      <c r="BG110" s="14">
        <f ca="1"/>
      </c>
      <c r="BH110" s="14">
        <f ca="1"/>
      </c>
      <c r="BI110" s="14">
        <f ca="1"/>
      </c>
      <c r="BJ110" s="14">
        <f ca="1"/>
      </c>
      <c r="BK110" s="14">
        <f ca="1"/>
      </c>
    </row>
    <row r="111" spans="28:63" x14ac:dyDescent="0.55000000000000004">
      <c r="AB111">
        <f ca="1"/>
      </c>
      <c r="AC111">
        <f ca="1"/>
      </c>
      <c r="AD111">
        <f ca="1"/>
      </c>
      <c r="AE111">
        <f ca="1"/>
      </c>
      <c r="AF111">
        <f ca="1"/>
      </c>
      <c r="AG111">
        <f ca="1"/>
      </c>
      <c r="AH111">
        <f ca="1"/>
      </c>
      <c r="AL111" s="7">
        <f ca="1"/>
      </c>
      <c r="AM111" s="14">
        <f ca="1"/>
      </c>
      <c r="AN111" s="14">
        <f ca="1"/>
      </c>
      <c r="AO111" s="14">
        <f ca="1"/>
      </c>
      <c r="AP111" s="14">
        <f ca="1"/>
      </c>
      <c r="AQ111" s="14">
        <f ca="1"/>
      </c>
      <c r="AR111" s="14">
        <f ca="1"/>
      </c>
      <c r="AV111" s="14">
        <f ca="1"/>
      </c>
      <c r="AW111" s="14">
        <f ca="1"/>
      </c>
      <c r="AX111" s="14">
        <f ca="1"/>
      </c>
      <c r="AY111" s="14">
        <f ca="1"/>
      </c>
      <c r="AZ111" s="14">
        <f ca="1"/>
      </c>
      <c r="BB111">
        <f ca="1"/>
      </c>
      <c r="BC111">
        <f ca="1"/>
      </c>
      <c r="BD111">
        <f ca="1"/>
      </c>
      <c r="BF111" s="7">
        <f ca="1"/>
      </c>
      <c r="BG111" s="14">
        <f ca="1"/>
      </c>
      <c r="BH111" s="14">
        <f ca="1"/>
      </c>
      <c r="BI111" s="14">
        <f ca="1"/>
      </c>
      <c r="BJ111" s="14">
        <f ca="1"/>
      </c>
      <c r="BK111" s="14">
        <f ca="1"/>
      </c>
    </row>
    <row r="112" spans="28:63" x14ac:dyDescent="0.55000000000000004">
      <c r="AB112">
        <f ca="1"/>
      </c>
      <c r="AC112">
        <f ca="1"/>
      </c>
      <c r="AD112">
        <f ca="1"/>
      </c>
      <c r="AE112">
        <f ca="1"/>
      </c>
      <c r="AF112">
        <f ca="1"/>
      </c>
      <c r="AG112">
        <f ca="1"/>
      </c>
      <c r="AH112">
        <f ca="1"/>
      </c>
      <c r="AL112" s="7">
        <f ca="1"/>
      </c>
      <c r="AM112" s="14">
        <f ca="1"/>
      </c>
      <c r="AN112" s="14">
        <f ca="1"/>
      </c>
      <c r="AO112" s="14">
        <f ca="1"/>
      </c>
      <c r="AP112" s="14">
        <f ca="1"/>
      </c>
      <c r="AQ112" s="14">
        <f ca="1"/>
      </c>
      <c r="AR112" s="14">
        <f ca="1"/>
      </c>
      <c r="AV112" s="14">
        <f ca="1"/>
      </c>
      <c r="AW112" s="14">
        <f ca="1"/>
      </c>
      <c r="AX112" s="14">
        <f ca="1"/>
      </c>
      <c r="AY112" s="14">
        <f ca="1"/>
      </c>
      <c r="AZ112" s="14">
        <f ca="1"/>
      </c>
      <c r="BB112">
        <f ca="1"/>
      </c>
      <c r="BC112">
        <f ca="1"/>
      </c>
      <c r="BD112">
        <f ca="1"/>
      </c>
      <c r="BF112" s="7">
        <f ca="1"/>
      </c>
      <c r="BG112" s="14">
        <f ca="1"/>
      </c>
      <c r="BH112" s="14">
        <f ca="1"/>
      </c>
      <c r="BI112" s="14">
        <f ca="1"/>
      </c>
      <c r="BJ112" s="14">
        <f ca="1"/>
      </c>
      <c r="BK112" s="14">
        <f ca="1"/>
      </c>
    </row>
    <row r="113" spans="28:63" x14ac:dyDescent="0.55000000000000004">
      <c r="AB113">
        <f ca="1"/>
      </c>
      <c r="AC113">
        <f ca="1"/>
      </c>
      <c r="AD113">
        <f ca="1"/>
      </c>
      <c r="AE113">
        <f ca="1"/>
      </c>
      <c r="AF113">
        <f ca="1"/>
      </c>
      <c r="AG113">
        <f ca="1"/>
      </c>
      <c r="AH113">
        <f ca="1"/>
      </c>
      <c r="AL113" s="7">
        <f ca="1"/>
      </c>
      <c r="AM113" s="14">
        <f ca="1"/>
      </c>
      <c r="AN113" s="14">
        <f ca="1"/>
      </c>
      <c r="AO113" s="14">
        <f ca="1"/>
      </c>
      <c r="AP113" s="14">
        <f ca="1"/>
      </c>
      <c r="AQ113" s="14">
        <f ca="1"/>
      </c>
      <c r="AR113" s="14">
        <f ca="1"/>
      </c>
      <c r="AV113" s="14">
        <f ca="1"/>
      </c>
      <c r="AW113" s="14">
        <f ca="1"/>
      </c>
      <c r="AX113" s="14">
        <f ca="1"/>
      </c>
      <c r="AY113" s="14">
        <f ca="1"/>
      </c>
      <c r="AZ113" s="14">
        <f ca="1"/>
      </c>
      <c r="BB113">
        <f ca="1"/>
      </c>
      <c r="BC113">
        <f ca="1"/>
      </c>
      <c r="BD113">
        <f ca="1"/>
      </c>
      <c r="BF113" s="7">
        <f ca="1"/>
      </c>
      <c r="BG113" s="14">
        <f ca="1"/>
      </c>
      <c r="BH113" s="14">
        <f ca="1"/>
      </c>
      <c r="BI113" s="14">
        <f ca="1"/>
      </c>
      <c r="BJ113" s="14">
        <f ca="1"/>
      </c>
      <c r="BK113" s="14">
        <f ca="1"/>
      </c>
    </row>
    <row r="114" spans="28:63" x14ac:dyDescent="0.55000000000000004">
      <c r="AB114">
        <f ca="1"/>
      </c>
      <c r="AC114">
        <f ca="1"/>
      </c>
      <c r="AD114">
        <f ca="1"/>
      </c>
      <c r="AE114">
        <f ca="1"/>
      </c>
      <c r="AF114">
        <f ca="1"/>
      </c>
      <c r="AG114">
        <f ca="1"/>
      </c>
      <c r="AH114">
        <f ca="1"/>
      </c>
      <c r="AL114" s="7">
        <f ca="1"/>
      </c>
      <c r="AM114" s="14">
        <f ca="1"/>
      </c>
      <c r="AN114" s="14">
        <f ca="1"/>
      </c>
      <c r="AO114" s="14">
        <f ca="1"/>
      </c>
      <c r="AP114" s="14">
        <f ca="1"/>
      </c>
      <c r="AQ114" s="14">
        <f ca="1"/>
      </c>
      <c r="AR114" s="14">
        <f ca="1"/>
      </c>
      <c r="AV114" s="14">
        <f ca="1"/>
      </c>
      <c r="AW114" s="14">
        <f ca="1"/>
      </c>
      <c r="AX114" s="14">
        <f ca="1"/>
      </c>
      <c r="AY114" s="14">
        <f ca="1"/>
      </c>
      <c r="AZ114" s="14">
        <f ca="1"/>
      </c>
      <c r="BB114">
        <f ca="1"/>
      </c>
      <c r="BC114">
        <f ca="1"/>
      </c>
      <c r="BD114">
        <f ca="1"/>
      </c>
      <c r="BF114" s="7">
        <f ca="1"/>
      </c>
      <c r="BG114" s="14">
        <f ca="1"/>
      </c>
      <c r="BH114" s="14">
        <f ca="1"/>
      </c>
      <c r="BI114" s="14">
        <f ca="1"/>
      </c>
      <c r="BJ114" s="14">
        <f ca="1"/>
      </c>
      <c r="BK114" s="14">
        <f ca="1"/>
      </c>
    </row>
    <row r="115" spans="28:63" x14ac:dyDescent="0.55000000000000004">
      <c r="AB115">
        <f ca="1"/>
      </c>
      <c r="AC115">
        <f ca="1"/>
      </c>
      <c r="AD115">
        <f ca="1"/>
      </c>
      <c r="AE115">
        <f ca="1"/>
      </c>
      <c r="AF115">
        <f ca="1"/>
      </c>
      <c r="AG115">
        <f ca="1"/>
      </c>
      <c r="AH115">
        <f ca="1"/>
      </c>
      <c r="AL115" s="7">
        <f ca="1"/>
      </c>
      <c r="AM115" s="14">
        <f ca="1"/>
      </c>
      <c r="AN115" s="14">
        <f ca="1"/>
      </c>
      <c r="AO115" s="14">
        <f ca="1"/>
      </c>
      <c r="AP115" s="14">
        <f ca="1"/>
      </c>
      <c r="AQ115" s="14">
        <f ca="1"/>
      </c>
      <c r="AR115" s="14">
        <f ca="1"/>
      </c>
      <c r="AV115" s="14">
        <f ca="1"/>
      </c>
      <c r="AW115" s="14">
        <f ca="1"/>
      </c>
      <c r="AX115" s="14">
        <f ca="1"/>
      </c>
      <c r="AY115" s="14">
        <f ca="1"/>
      </c>
      <c r="AZ115" s="14">
        <f ca="1"/>
      </c>
      <c r="BB115">
        <f ca="1"/>
      </c>
      <c r="BC115">
        <f ca="1"/>
      </c>
      <c r="BD115">
        <f ca="1"/>
      </c>
      <c r="BF115" s="7">
        <f ca="1"/>
      </c>
      <c r="BG115" s="14">
        <f ca="1"/>
      </c>
      <c r="BH115" s="14">
        <f ca="1"/>
      </c>
      <c r="BI115" s="14">
        <f ca="1"/>
      </c>
      <c r="BJ115" s="14">
        <f ca="1"/>
      </c>
      <c r="BK115" s="14">
        <f ca="1"/>
      </c>
    </row>
    <row r="116" spans="28:63" x14ac:dyDescent="0.55000000000000004">
      <c r="AB116">
        <f ca="1"/>
      </c>
      <c r="AC116">
        <f ca="1"/>
      </c>
      <c r="AD116">
        <f ca="1"/>
      </c>
      <c r="AE116">
        <f ca="1"/>
      </c>
      <c r="AF116">
        <f ca="1"/>
      </c>
      <c r="AG116">
        <f ca="1"/>
      </c>
      <c r="AH116">
        <f ca="1"/>
      </c>
      <c r="AL116" s="7">
        <f ca="1"/>
      </c>
      <c r="AM116" s="14">
        <f ca="1"/>
      </c>
      <c r="AN116" s="14">
        <f ca="1"/>
      </c>
      <c r="AO116" s="14">
        <f ca="1"/>
      </c>
      <c r="AP116" s="14">
        <f ca="1"/>
      </c>
      <c r="AQ116" s="14">
        <f ca="1"/>
      </c>
      <c r="AR116" s="14">
        <f ca="1"/>
      </c>
      <c r="AV116" s="14">
        <f ca="1"/>
      </c>
      <c r="AW116" s="14">
        <f ca="1"/>
      </c>
      <c r="AX116" s="14">
        <f ca="1"/>
      </c>
      <c r="AY116" s="14">
        <f ca="1"/>
      </c>
      <c r="AZ116" s="14">
        <f ca="1"/>
      </c>
      <c r="BB116">
        <f ca="1"/>
      </c>
      <c r="BC116">
        <f ca="1"/>
      </c>
      <c r="BD116">
        <f ca="1"/>
      </c>
      <c r="BF116" s="7">
        <f ca="1"/>
      </c>
      <c r="BG116" s="14">
        <f ca="1"/>
      </c>
      <c r="BH116" s="14">
        <f ca="1"/>
      </c>
      <c r="BI116" s="14">
        <f ca="1"/>
      </c>
      <c r="BJ116" s="14">
        <f ca="1"/>
      </c>
      <c r="BK116" s="14">
        <f ca="1"/>
      </c>
    </row>
    <row r="117" spans="28:63" x14ac:dyDescent="0.55000000000000004">
      <c r="AB117">
        <f ca="1"/>
      </c>
      <c r="AC117">
        <f ca="1"/>
      </c>
      <c r="AD117">
        <f ca="1"/>
      </c>
      <c r="AE117">
        <f ca="1"/>
      </c>
      <c r="AF117">
        <f ca="1"/>
      </c>
      <c r="AG117">
        <f ca="1"/>
      </c>
      <c r="AH117">
        <f ca="1"/>
      </c>
      <c r="AL117" s="7">
        <f ca="1"/>
      </c>
      <c r="AM117" s="14">
        <f ca="1"/>
      </c>
      <c r="AN117" s="14">
        <f ca="1"/>
      </c>
      <c r="AO117" s="14">
        <f ca="1"/>
      </c>
      <c r="AP117" s="14">
        <f ca="1"/>
      </c>
      <c r="AQ117" s="14">
        <f ca="1"/>
      </c>
      <c r="AR117" s="14">
        <f ca="1"/>
      </c>
      <c r="AV117" s="14">
        <f ca="1"/>
      </c>
      <c r="AW117" s="14">
        <f ca="1"/>
      </c>
      <c r="AX117" s="14">
        <f ca="1"/>
      </c>
      <c r="AY117" s="14">
        <f ca="1"/>
      </c>
      <c r="AZ117" s="14">
        <f ca="1"/>
      </c>
      <c r="BB117">
        <f ca="1"/>
      </c>
      <c r="BC117">
        <f ca="1"/>
      </c>
      <c r="BD117">
        <f ca="1"/>
      </c>
      <c r="BF117" s="7">
        <f ca="1"/>
      </c>
      <c r="BG117" s="14">
        <f ca="1"/>
      </c>
      <c r="BH117" s="14">
        <f ca="1"/>
      </c>
      <c r="BI117" s="14">
        <f ca="1"/>
      </c>
      <c r="BJ117" s="14">
        <f ca="1"/>
      </c>
      <c r="BK117" s="14">
        <f ca="1"/>
      </c>
    </row>
    <row r="118" spans="28:63" x14ac:dyDescent="0.55000000000000004">
      <c r="AB118">
        <f ca="1"/>
      </c>
      <c r="AC118">
        <f ca="1"/>
      </c>
      <c r="AD118">
        <f ca="1"/>
      </c>
      <c r="AE118">
        <f ca="1"/>
      </c>
      <c r="AF118">
        <f ca="1"/>
      </c>
      <c r="AG118">
        <f ca="1"/>
      </c>
      <c r="AH118">
        <f ca="1"/>
      </c>
      <c r="AL118" s="7">
        <f ca="1"/>
      </c>
      <c r="AM118" s="14">
        <f ca="1"/>
      </c>
      <c r="AN118" s="14">
        <f ca="1"/>
      </c>
      <c r="AO118" s="14">
        <f ca="1"/>
      </c>
      <c r="AP118" s="14">
        <f ca="1"/>
      </c>
      <c r="AQ118" s="14">
        <f ca="1"/>
      </c>
      <c r="AR118" s="14">
        <f ca="1"/>
      </c>
      <c r="AV118" s="14">
        <f ca="1"/>
      </c>
      <c r="AW118" s="14">
        <f ca="1"/>
      </c>
      <c r="AX118" s="14">
        <f ca="1"/>
      </c>
      <c r="AY118" s="14">
        <f ca="1"/>
      </c>
      <c r="AZ118" s="14">
        <f ca="1"/>
      </c>
      <c r="BB118">
        <f ca="1"/>
      </c>
      <c r="BC118">
        <f ca="1"/>
      </c>
      <c r="BD118">
        <f ca="1"/>
      </c>
      <c r="BF118" s="7">
        <f ca="1"/>
      </c>
      <c r="BG118" s="14">
        <f ca="1"/>
      </c>
      <c r="BH118" s="14">
        <f ca="1"/>
      </c>
      <c r="BI118" s="14">
        <f ca="1"/>
      </c>
      <c r="BJ118" s="14">
        <f ca="1"/>
      </c>
      <c r="BK118" s="14">
        <f ca="1"/>
      </c>
    </row>
    <row r="119" spans="28:63" x14ac:dyDescent="0.55000000000000004">
      <c r="AB119">
        <f ca="1"/>
      </c>
      <c r="AC119">
        <f ca="1"/>
      </c>
      <c r="AD119">
        <f ca="1"/>
      </c>
      <c r="AE119">
        <f ca="1"/>
      </c>
      <c r="AF119">
        <f ca="1"/>
      </c>
      <c r="AG119">
        <f ca="1"/>
      </c>
      <c r="AH119">
        <f ca="1"/>
      </c>
      <c r="AL119" s="7">
        <f ca="1"/>
      </c>
      <c r="AM119" s="14">
        <f ca="1"/>
      </c>
      <c r="AN119" s="14">
        <f ca="1"/>
      </c>
      <c r="AO119" s="14">
        <f ca="1"/>
      </c>
      <c r="AP119" s="14">
        <f ca="1"/>
      </c>
      <c r="AQ119" s="14">
        <f ca="1"/>
      </c>
      <c r="AR119" s="14">
        <f ca="1"/>
      </c>
      <c r="AV119" s="14">
        <f ca="1"/>
      </c>
      <c r="AW119" s="14">
        <f ca="1"/>
      </c>
      <c r="AX119" s="14">
        <f ca="1"/>
      </c>
      <c r="AY119" s="14">
        <f ca="1"/>
      </c>
      <c r="AZ119" s="14">
        <f ca="1"/>
      </c>
      <c r="BB119">
        <f ca="1"/>
      </c>
      <c r="BC119">
        <f ca="1"/>
      </c>
      <c r="BD119">
        <f ca="1"/>
      </c>
      <c r="BF119" s="7">
        <f ca="1"/>
      </c>
      <c r="BG119" s="14">
        <f ca="1"/>
      </c>
      <c r="BH119" s="14">
        <f ca="1"/>
      </c>
      <c r="BI119" s="14">
        <f ca="1"/>
      </c>
      <c r="BJ119" s="14">
        <f ca="1"/>
      </c>
      <c r="BK119" s="14">
        <f ca="1"/>
      </c>
    </row>
    <row r="120" spans="28:63" x14ac:dyDescent="0.55000000000000004">
      <c r="AB120">
        <f ca="1"/>
      </c>
      <c r="AC120">
        <f ca="1"/>
      </c>
      <c r="AD120">
        <f ca="1"/>
      </c>
      <c r="AE120">
        <f ca="1"/>
      </c>
      <c r="AF120">
        <f ca="1"/>
      </c>
      <c r="AG120">
        <f ca="1"/>
      </c>
      <c r="AH120">
        <f ca="1"/>
      </c>
      <c r="AL120" s="7">
        <f ca="1"/>
      </c>
      <c r="AM120" s="14">
        <f ca="1"/>
      </c>
      <c r="AN120" s="14">
        <f ca="1"/>
      </c>
      <c r="AO120" s="14">
        <f ca="1"/>
      </c>
      <c r="AP120" s="14">
        <f ca="1"/>
      </c>
      <c r="AQ120" s="14">
        <f ca="1"/>
      </c>
      <c r="AR120" s="14">
        <f ca="1"/>
      </c>
      <c r="AV120" s="14">
        <f ca="1"/>
      </c>
      <c r="AW120" s="14">
        <f ca="1"/>
      </c>
      <c r="AX120" s="14">
        <f ca="1"/>
      </c>
      <c r="AY120" s="14">
        <f ca="1"/>
      </c>
      <c r="AZ120" s="14">
        <f ca="1"/>
      </c>
      <c r="BB120">
        <f ca="1"/>
      </c>
      <c r="BC120">
        <f ca="1"/>
      </c>
      <c r="BD120">
        <f ca="1"/>
      </c>
      <c r="BF120" s="7">
        <f ca="1"/>
      </c>
      <c r="BG120" s="14">
        <f ca="1"/>
      </c>
      <c r="BH120" s="14">
        <f ca="1"/>
      </c>
      <c r="BI120" s="14">
        <f ca="1"/>
      </c>
      <c r="BJ120" s="14">
        <f ca="1"/>
      </c>
      <c r="BK120" s="14">
        <f ca="1"/>
      </c>
    </row>
    <row r="121" spans="28:63" x14ac:dyDescent="0.55000000000000004">
      <c r="AB121">
        <f ca="1"/>
      </c>
      <c r="AC121">
        <f ca="1"/>
      </c>
      <c r="AD121">
        <f ca="1"/>
      </c>
      <c r="AE121">
        <f ca="1"/>
      </c>
      <c r="AF121">
        <f ca="1"/>
      </c>
      <c r="AG121">
        <f ca="1"/>
      </c>
      <c r="AH121">
        <f ca="1"/>
      </c>
      <c r="AL121" s="7">
        <f ca="1"/>
      </c>
      <c r="AM121" s="14">
        <f ca="1"/>
      </c>
      <c r="AN121" s="14">
        <f ca="1"/>
      </c>
      <c r="AO121" s="14">
        <f ca="1"/>
      </c>
      <c r="AP121" s="14">
        <f ca="1"/>
      </c>
      <c r="AQ121" s="14">
        <f ca="1"/>
      </c>
      <c r="AR121" s="14">
        <f ca="1"/>
      </c>
      <c r="AV121" s="14">
        <f ca="1"/>
      </c>
      <c r="AW121" s="14">
        <f ca="1"/>
      </c>
      <c r="AX121" s="14">
        <f ca="1"/>
      </c>
      <c r="AY121" s="14">
        <f ca="1"/>
      </c>
      <c r="AZ121" s="14">
        <f ca="1"/>
      </c>
      <c r="BB121">
        <f ca="1"/>
      </c>
      <c r="BC121">
        <f ca="1"/>
      </c>
      <c r="BD121">
        <f ca="1"/>
      </c>
      <c r="BF121" s="7">
        <f ca="1"/>
      </c>
      <c r="BG121" s="14">
        <f ca="1"/>
      </c>
      <c r="BH121" s="14">
        <f ca="1"/>
      </c>
      <c r="BI121" s="14">
        <f ca="1"/>
      </c>
      <c r="BJ121" s="14">
        <f ca="1"/>
      </c>
      <c r="BK121" s="14">
        <f ca="1"/>
      </c>
    </row>
    <row r="122" spans="28:63" x14ac:dyDescent="0.55000000000000004">
      <c r="AB122">
        <f ca="1"/>
      </c>
      <c r="AC122">
        <f ca="1"/>
      </c>
      <c r="AD122">
        <f ca="1"/>
      </c>
      <c r="AE122">
        <f ca="1"/>
      </c>
      <c r="AF122">
        <f ca="1"/>
      </c>
      <c r="AG122">
        <f ca="1"/>
      </c>
      <c r="AH122">
        <f ca="1"/>
      </c>
      <c r="AL122" s="7">
        <f ca="1"/>
      </c>
      <c r="AM122" s="14">
        <f ca="1"/>
      </c>
      <c r="AN122" s="14">
        <f ca="1"/>
      </c>
      <c r="AO122" s="14">
        <f ca="1"/>
      </c>
      <c r="AP122" s="14">
        <f ca="1"/>
      </c>
      <c r="AQ122" s="14">
        <f ca="1"/>
      </c>
      <c r="AR122" s="14">
        <f ca="1"/>
      </c>
      <c r="AV122" s="14">
        <f ca="1"/>
      </c>
      <c r="AW122" s="14">
        <f ca="1"/>
      </c>
      <c r="AX122" s="14">
        <f ca="1"/>
      </c>
      <c r="AY122" s="14">
        <f ca="1"/>
      </c>
      <c r="AZ122" s="14">
        <f ca="1"/>
      </c>
      <c r="BB122">
        <f ca="1"/>
      </c>
      <c r="BC122">
        <f ca="1"/>
      </c>
      <c r="BD122">
        <f ca="1"/>
      </c>
      <c r="BF122" s="7">
        <f ca="1"/>
      </c>
      <c r="BG122" s="14">
        <f ca="1"/>
      </c>
      <c r="BH122" s="14">
        <f ca="1"/>
      </c>
      <c r="BI122" s="14">
        <f ca="1"/>
      </c>
      <c r="BJ122" s="14">
        <f ca="1"/>
      </c>
      <c r="BK122" s="14">
        <f ca="1"/>
      </c>
    </row>
    <row r="123" spans="28:63" x14ac:dyDescent="0.55000000000000004">
      <c r="AB123">
        <f ca="1"/>
      </c>
      <c r="AC123">
        <f ca="1"/>
      </c>
      <c r="AD123">
        <f ca="1"/>
      </c>
      <c r="AE123">
        <f ca="1"/>
      </c>
      <c r="AF123">
        <f ca="1"/>
      </c>
      <c r="AG123">
        <f ca="1"/>
      </c>
      <c r="AH123">
        <f ca="1"/>
      </c>
      <c r="AL123" s="7">
        <f ca="1"/>
      </c>
      <c r="AM123" s="14">
        <f ca="1"/>
      </c>
      <c r="AN123" s="14">
        <f ca="1"/>
      </c>
      <c r="AO123" s="14">
        <f ca="1"/>
      </c>
      <c r="AP123" s="14">
        <f ca="1"/>
      </c>
      <c r="AQ123" s="14">
        <f ca="1"/>
      </c>
      <c r="AR123" s="14">
        <f ca="1"/>
      </c>
      <c r="AV123" s="14">
        <f ca="1"/>
      </c>
      <c r="AW123" s="14">
        <f ca="1"/>
      </c>
      <c r="AX123" s="14">
        <f ca="1"/>
      </c>
      <c r="AY123" s="14">
        <f ca="1"/>
      </c>
      <c r="AZ123" s="14">
        <f ca="1"/>
      </c>
      <c r="BB123">
        <f ca="1"/>
      </c>
      <c r="BC123">
        <f ca="1"/>
      </c>
      <c r="BD123">
        <f ca="1"/>
      </c>
      <c r="BF123" s="7">
        <f ca="1"/>
      </c>
      <c r="BG123" s="14">
        <f ca="1"/>
      </c>
      <c r="BH123" s="14">
        <f ca="1"/>
      </c>
      <c r="BI123" s="14">
        <f ca="1"/>
      </c>
      <c r="BJ123" s="14">
        <f ca="1"/>
      </c>
      <c r="BK123" s="14">
        <f ca="1"/>
      </c>
    </row>
    <row r="124" spans="28:63" x14ac:dyDescent="0.55000000000000004">
      <c r="AB124">
        <f ca="1"/>
      </c>
      <c r="AC124">
        <f ca="1"/>
      </c>
      <c r="AD124">
        <f ca="1"/>
      </c>
      <c r="AE124">
        <f ca="1"/>
      </c>
      <c r="AF124">
        <f ca="1"/>
      </c>
      <c r="AG124">
        <f ca="1"/>
      </c>
      <c r="AH124">
        <f ca="1"/>
      </c>
      <c r="AL124" s="7">
        <f ca="1"/>
      </c>
      <c r="AM124" s="14">
        <f ca="1"/>
      </c>
      <c r="AN124" s="14">
        <f ca="1"/>
      </c>
      <c r="AO124" s="14">
        <f ca="1"/>
      </c>
      <c r="AP124" s="14">
        <f ca="1"/>
      </c>
      <c r="AQ124" s="14">
        <f ca="1"/>
      </c>
      <c r="AR124" s="14">
        <f ca="1"/>
      </c>
      <c r="AV124" s="14">
        <f ca="1"/>
      </c>
      <c r="AW124" s="14">
        <f ca="1"/>
      </c>
      <c r="AX124" s="14">
        <f ca="1"/>
      </c>
      <c r="AY124" s="14">
        <f ca="1"/>
      </c>
      <c r="AZ124" s="14">
        <f ca="1"/>
      </c>
      <c r="BB124">
        <f ca="1"/>
      </c>
      <c r="BC124">
        <f ca="1"/>
      </c>
      <c r="BD124">
        <f ca="1"/>
      </c>
      <c r="BF124" s="7">
        <f ca="1"/>
      </c>
      <c r="BG124" s="14">
        <f ca="1"/>
      </c>
      <c r="BH124" s="14">
        <f ca="1"/>
      </c>
      <c r="BI124" s="14">
        <f ca="1"/>
      </c>
      <c r="BJ124" s="14">
        <f ca="1"/>
      </c>
      <c r="BK124" s="14">
        <f ca="1"/>
      </c>
    </row>
    <row r="125" spans="28:63" x14ac:dyDescent="0.55000000000000004">
      <c r="AB125">
        <f ca="1"/>
      </c>
      <c r="AC125">
        <f ca="1"/>
      </c>
      <c r="AD125">
        <f ca="1"/>
      </c>
      <c r="AE125">
        <f ca="1"/>
      </c>
      <c r="AF125">
        <f ca="1"/>
      </c>
      <c r="AG125">
        <f ca="1"/>
      </c>
      <c r="AH125">
        <f ca="1"/>
      </c>
      <c r="AL125" s="7">
        <f ca="1"/>
      </c>
      <c r="AM125" s="14">
        <f ca="1"/>
      </c>
      <c r="AN125" s="14">
        <f ca="1"/>
      </c>
      <c r="AO125" s="14">
        <f ca="1"/>
      </c>
      <c r="AP125" s="14">
        <f ca="1"/>
      </c>
      <c r="AQ125" s="14">
        <f ca="1"/>
      </c>
      <c r="AR125" s="14">
        <f ca="1"/>
      </c>
      <c r="AV125" s="14">
        <f ca="1"/>
      </c>
      <c r="AW125" s="14">
        <f ca="1"/>
      </c>
      <c r="AX125" s="14">
        <f ca="1"/>
      </c>
      <c r="AY125" s="14">
        <f ca="1"/>
      </c>
      <c r="AZ125" s="14">
        <f ca="1"/>
      </c>
      <c r="BB125">
        <f ca="1"/>
      </c>
      <c r="BC125">
        <f ca="1"/>
      </c>
      <c r="BD125">
        <f ca="1"/>
      </c>
      <c r="BF125" s="7">
        <f ca="1"/>
      </c>
      <c r="BG125" s="14">
        <f ca="1"/>
      </c>
      <c r="BH125" s="14">
        <f ca="1"/>
      </c>
      <c r="BI125" s="14">
        <f ca="1"/>
      </c>
      <c r="BJ125" s="14">
        <f ca="1"/>
      </c>
      <c r="BK125" s="14">
        <f ca="1"/>
      </c>
    </row>
    <row r="126" spans="28:63" x14ac:dyDescent="0.55000000000000004">
      <c r="AB126">
        <f ca="1"/>
      </c>
      <c r="AC126">
        <f ca="1"/>
      </c>
      <c r="AD126">
        <f ca="1"/>
      </c>
      <c r="AE126">
        <f ca="1"/>
      </c>
      <c r="AF126">
        <f ca="1"/>
      </c>
      <c r="AG126">
        <f ca="1"/>
      </c>
      <c r="AH126">
        <f ca="1"/>
      </c>
      <c r="AL126" s="7">
        <f ca="1"/>
      </c>
      <c r="AM126" s="14">
        <f ca="1"/>
      </c>
      <c r="AN126" s="14">
        <f ca="1"/>
      </c>
      <c r="AO126" s="14">
        <f ca="1"/>
      </c>
      <c r="AP126" s="14">
        <f ca="1"/>
      </c>
      <c r="AQ126" s="14">
        <f ca="1"/>
      </c>
      <c r="AR126" s="14">
        <f ca="1"/>
      </c>
      <c r="AV126" s="14">
        <f ca="1"/>
      </c>
      <c r="AW126" s="14">
        <f ca="1"/>
      </c>
      <c r="AX126" s="14">
        <f ca="1"/>
      </c>
      <c r="AY126" s="14">
        <f ca="1"/>
      </c>
      <c r="AZ126" s="14">
        <f ca="1"/>
      </c>
      <c r="BB126">
        <f ca="1"/>
      </c>
      <c r="BC126">
        <f ca="1"/>
      </c>
      <c r="BD126">
        <f ca="1"/>
      </c>
      <c r="BF126" s="7">
        <f ca="1"/>
      </c>
      <c r="BG126" s="14">
        <f ca="1"/>
      </c>
      <c r="BH126" s="14">
        <f ca="1"/>
      </c>
      <c r="BI126" s="14">
        <f ca="1"/>
      </c>
      <c r="BJ126" s="14">
        <f ca="1"/>
      </c>
      <c r="BK126" s="14">
        <f ca="1"/>
      </c>
    </row>
    <row r="127" spans="28:63" x14ac:dyDescent="0.55000000000000004">
      <c r="AB127">
        <f ca="1"/>
      </c>
      <c r="AC127">
        <f ca="1"/>
      </c>
      <c r="AD127">
        <f ca="1"/>
      </c>
      <c r="AE127">
        <f ca="1"/>
      </c>
      <c r="AF127">
        <f ca="1"/>
      </c>
      <c r="AG127">
        <f ca="1"/>
      </c>
      <c r="AH127">
        <f ca="1"/>
      </c>
      <c r="AL127" s="7">
        <f ca="1"/>
      </c>
      <c r="AM127" s="14">
        <f ca="1"/>
      </c>
      <c r="AN127" s="14">
        <f ca="1"/>
      </c>
      <c r="AO127" s="14">
        <f ca="1"/>
      </c>
      <c r="AP127" s="14">
        <f ca="1"/>
      </c>
      <c r="AQ127" s="14">
        <f ca="1"/>
      </c>
      <c r="AR127" s="14">
        <f ca="1"/>
      </c>
      <c r="AV127" s="14">
        <f ca="1"/>
      </c>
      <c r="AW127" s="14">
        <f ca="1"/>
      </c>
      <c r="AX127" s="14">
        <f ca="1"/>
      </c>
      <c r="AY127" s="14">
        <f ca="1"/>
      </c>
      <c r="AZ127" s="14">
        <f ca="1"/>
      </c>
      <c r="BB127">
        <f ca="1"/>
      </c>
      <c r="BC127">
        <f ca="1"/>
      </c>
      <c r="BD127">
        <f ca="1"/>
      </c>
      <c r="BF127" s="7">
        <f ca="1"/>
      </c>
      <c r="BG127" s="14">
        <f ca="1"/>
      </c>
      <c r="BH127" s="14">
        <f ca="1"/>
      </c>
      <c r="BI127" s="14">
        <f ca="1"/>
      </c>
      <c r="BJ127" s="14">
        <f ca="1"/>
      </c>
      <c r="BK127" s="14">
        <f ca="1"/>
      </c>
    </row>
    <row r="128" spans="28:63" x14ac:dyDescent="0.55000000000000004">
      <c r="AB128">
        <f ca="1"/>
      </c>
      <c r="AC128">
        <f ca="1"/>
      </c>
      <c r="AD128">
        <f ca="1"/>
      </c>
      <c r="AE128">
        <f ca="1"/>
      </c>
      <c r="AF128">
        <f ca="1"/>
      </c>
      <c r="AG128">
        <f ca="1"/>
      </c>
      <c r="AH128">
        <f ca="1"/>
      </c>
      <c r="AL128" s="7">
        <f ca="1"/>
      </c>
      <c r="AM128" s="14">
        <f ca="1"/>
      </c>
      <c r="AN128" s="14">
        <f ca="1"/>
      </c>
      <c r="AO128" s="14">
        <f ca="1"/>
      </c>
      <c r="AP128" s="14">
        <f ca="1"/>
      </c>
      <c r="AQ128" s="14">
        <f ca="1"/>
      </c>
      <c r="AR128" s="14">
        <f ca="1"/>
      </c>
      <c r="AV128" s="14">
        <f ca="1"/>
      </c>
      <c r="AW128" s="14">
        <f ca="1"/>
      </c>
      <c r="AX128" s="14">
        <f ca="1"/>
      </c>
      <c r="AY128" s="14">
        <f ca="1"/>
      </c>
      <c r="AZ128" s="14">
        <f ca="1"/>
      </c>
      <c r="BB128">
        <f ca="1"/>
      </c>
      <c r="BC128">
        <f ca="1"/>
      </c>
      <c r="BD128">
        <f ca="1"/>
      </c>
      <c r="BF128" s="7">
        <f ca="1"/>
      </c>
      <c r="BG128" s="14">
        <f ca="1"/>
      </c>
      <c r="BH128" s="14">
        <f ca="1"/>
      </c>
      <c r="BI128" s="14">
        <f ca="1"/>
      </c>
      <c r="BJ128" s="14">
        <f ca="1"/>
      </c>
      <c r="BK128" s="14">
        <f ca="1"/>
      </c>
    </row>
    <row r="129" spans="28:63" x14ac:dyDescent="0.55000000000000004">
      <c r="AB129">
        <f ca="1"/>
      </c>
      <c r="AC129">
        <f ca="1"/>
      </c>
      <c r="AD129">
        <f ca="1"/>
      </c>
      <c r="AE129">
        <f ca="1"/>
      </c>
      <c r="AF129">
        <f ca="1"/>
      </c>
      <c r="AG129">
        <f ca="1"/>
      </c>
      <c r="AH129">
        <f ca="1"/>
      </c>
      <c r="AL129" s="7">
        <f ca="1"/>
      </c>
      <c r="AM129" s="14">
        <f ca="1"/>
      </c>
      <c r="AN129" s="14">
        <f ca="1"/>
      </c>
      <c r="AO129" s="14">
        <f ca="1"/>
      </c>
      <c r="AP129" s="14">
        <f ca="1"/>
      </c>
      <c r="AQ129" s="14">
        <f ca="1"/>
      </c>
      <c r="AR129" s="14">
        <f ca="1"/>
      </c>
      <c r="AV129" s="14">
        <f ca="1"/>
      </c>
      <c r="AW129" s="14">
        <f ca="1"/>
      </c>
      <c r="AX129" s="14">
        <f ca="1"/>
      </c>
      <c r="AY129" s="14">
        <f ca="1"/>
      </c>
      <c r="AZ129" s="14">
        <f ca="1"/>
      </c>
      <c r="BB129">
        <f ca="1"/>
      </c>
      <c r="BC129">
        <f ca="1"/>
      </c>
      <c r="BD129">
        <f ca="1"/>
      </c>
      <c r="BF129" s="7">
        <f ca="1"/>
      </c>
      <c r="BG129" s="14">
        <f ca="1"/>
      </c>
      <c r="BH129" s="14">
        <f ca="1"/>
      </c>
      <c r="BI129" s="14">
        <f ca="1"/>
      </c>
      <c r="BJ129" s="14">
        <f ca="1"/>
      </c>
      <c r="BK129" s="14">
        <f ca="1"/>
      </c>
    </row>
    <row r="130" spans="28:63" x14ac:dyDescent="0.55000000000000004">
      <c r="AB130">
        <f ca="1"/>
      </c>
      <c r="AC130">
        <f ca="1"/>
      </c>
      <c r="AD130">
        <f ca="1"/>
      </c>
      <c r="AE130">
        <f ca="1"/>
      </c>
      <c r="AF130">
        <f ca="1"/>
      </c>
      <c r="AG130">
        <f ca="1"/>
      </c>
      <c r="AH130">
        <f ca="1"/>
      </c>
      <c r="AL130" s="7">
        <f ca="1"/>
      </c>
      <c r="AM130" s="14">
        <f ca="1"/>
      </c>
      <c r="AN130" s="14">
        <f ca="1"/>
      </c>
      <c r="AO130" s="14">
        <f ca="1"/>
      </c>
      <c r="AP130" s="14">
        <f ca="1"/>
      </c>
      <c r="AQ130" s="14">
        <f ca="1"/>
      </c>
      <c r="AR130" s="14">
        <f ca="1"/>
      </c>
      <c r="AV130" s="14">
        <f ca="1"/>
      </c>
      <c r="AW130" s="14">
        <f ca="1"/>
      </c>
      <c r="AX130" s="14">
        <f ca="1"/>
      </c>
      <c r="AY130" s="14">
        <f ca="1"/>
      </c>
      <c r="AZ130" s="14">
        <f ca="1"/>
      </c>
      <c r="BB130">
        <f ca="1"/>
      </c>
      <c r="BC130">
        <f ca="1"/>
      </c>
      <c r="BD130">
        <f ca="1"/>
      </c>
      <c r="BF130" s="7">
        <f ca="1"/>
      </c>
      <c r="BG130" s="14">
        <f ca="1"/>
      </c>
      <c r="BH130" s="14">
        <f ca="1"/>
      </c>
      <c r="BI130" s="14">
        <f ca="1"/>
      </c>
      <c r="BJ130" s="14">
        <f ca="1"/>
      </c>
      <c r="BK130" s="14">
        <f ca="1"/>
      </c>
    </row>
    <row r="131" spans="28:63" x14ac:dyDescent="0.55000000000000004">
      <c r="AB131">
        <f ca="1"/>
      </c>
      <c r="AC131">
        <f ca="1"/>
      </c>
      <c r="AD131">
        <f ca="1"/>
      </c>
      <c r="AE131">
        <f ca="1"/>
      </c>
      <c r="AF131">
        <f ca="1"/>
      </c>
      <c r="AG131">
        <f ca="1"/>
      </c>
      <c r="AH131">
        <f ca="1"/>
      </c>
      <c r="AL131" s="7">
        <f ca="1"/>
      </c>
      <c r="AM131" s="14">
        <f ca="1"/>
      </c>
      <c r="AN131" s="14">
        <f ca="1"/>
      </c>
      <c r="AO131" s="14">
        <f ca="1"/>
      </c>
      <c r="AP131" s="14">
        <f ca="1"/>
      </c>
      <c r="AQ131" s="14">
        <f ca="1"/>
      </c>
      <c r="AR131" s="14">
        <f ca="1"/>
      </c>
      <c r="AV131" s="14">
        <f ca="1"/>
      </c>
      <c r="AW131" s="14">
        <f ca="1"/>
      </c>
      <c r="AX131" s="14">
        <f ca="1"/>
      </c>
      <c r="AY131" s="14">
        <f ca="1"/>
      </c>
      <c r="AZ131" s="14">
        <f ca="1"/>
      </c>
      <c r="BB131">
        <f ca="1"/>
      </c>
      <c r="BC131">
        <f ca="1"/>
      </c>
      <c r="BD131">
        <f ca="1"/>
      </c>
      <c r="BF131" s="7">
        <f ca="1"/>
      </c>
      <c r="BG131" s="14">
        <f ca="1"/>
      </c>
      <c r="BH131" s="14">
        <f ca="1"/>
      </c>
      <c r="BI131" s="14">
        <f ca="1"/>
      </c>
      <c r="BJ131" s="14">
        <f ca="1"/>
      </c>
      <c r="BK131" s="14">
        <f ca="1"/>
      </c>
    </row>
    <row r="132" spans="28:63" x14ac:dyDescent="0.55000000000000004">
      <c r="AB132">
        <f ca="1"/>
      </c>
      <c r="AC132">
        <f ca="1"/>
      </c>
      <c r="AD132">
        <f ca="1"/>
      </c>
      <c r="AE132">
        <f ca="1"/>
      </c>
      <c r="AF132">
        <f ca="1"/>
      </c>
      <c r="AG132">
        <f ca="1"/>
      </c>
      <c r="AH132">
        <f ca="1"/>
      </c>
      <c r="AL132" s="7">
        <f ca="1"/>
      </c>
      <c r="AM132" s="14">
        <f ca="1"/>
      </c>
      <c r="AN132" s="14">
        <f ca="1"/>
      </c>
      <c r="AO132" s="14">
        <f ca="1"/>
      </c>
      <c r="AP132" s="14">
        <f ca="1"/>
      </c>
      <c r="AQ132" s="14">
        <f ca="1"/>
      </c>
      <c r="AR132" s="14">
        <f ca="1"/>
      </c>
      <c r="AV132" s="14">
        <f ca="1"/>
      </c>
      <c r="AW132" s="14">
        <f ca="1"/>
      </c>
      <c r="AX132" s="14">
        <f ca="1"/>
      </c>
      <c r="AY132" s="14">
        <f ca="1"/>
      </c>
      <c r="AZ132" s="14">
        <f ca="1"/>
      </c>
      <c r="BB132">
        <f ca="1"/>
      </c>
      <c r="BC132">
        <f ca="1"/>
      </c>
      <c r="BD132">
        <f ca="1"/>
      </c>
      <c r="BF132" s="7">
        <f ca="1"/>
      </c>
      <c r="BG132" s="14">
        <f ca="1"/>
      </c>
      <c r="BH132" s="14">
        <f ca="1"/>
      </c>
      <c r="BI132" s="14">
        <f ca="1"/>
      </c>
      <c r="BJ132" s="14">
        <f ca="1"/>
      </c>
      <c r="BK132" s="14">
        <f ca="1"/>
      </c>
    </row>
    <row r="133" spans="28:63" x14ac:dyDescent="0.55000000000000004">
      <c r="AB133">
        <f ca="1"/>
      </c>
      <c r="AC133">
        <f ca="1"/>
      </c>
      <c r="AD133">
        <f ca="1"/>
      </c>
      <c r="AE133">
        <f ca="1"/>
      </c>
      <c r="AF133">
        <f ca="1"/>
      </c>
      <c r="AG133">
        <f ca="1"/>
      </c>
      <c r="AH133">
        <f ca="1"/>
      </c>
      <c r="AL133" s="7">
        <f ca="1"/>
      </c>
      <c r="AM133" s="14">
        <f ca="1"/>
      </c>
      <c r="AN133" s="14">
        <f ca="1"/>
      </c>
      <c r="AO133" s="14">
        <f ca="1"/>
      </c>
      <c r="AP133" s="14">
        <f ca="1"/>
      </c>
      <c r="AQ133" s="14">
        <f ca="1"/>
      </c>
      <c r="AR133" s="14">
        <f ca="1"/>
      </c>
      <c r="AV133" s="14">
        <f ca="1"/>
      </c>
      <c r="AW133" s="14">
        <f ca="1"/>
      </c>
      <c r="AX133" s="14">
        <f ca="1"/>
      </c>
      <c r="AY133" s="14">
        <f ca="1"/>
      </c>
      <c r="AZ133" s="14">
        <f ca="1"/>
      </c>
      <c r="BB133">
        <f ca="1"/>
      </c>
      <c r="BC133">
        <f ca="1"/>
      </c>
      <c r="BD133">
        <f ca="1"/>
      </c>
      <c r="BF133" s="7">
        <f ca="1"/>
      </c>
      <c r="BG133" s="14">
        <f ca="1"/>
      </c>
      <c r="BH133" s="14">
        <f ca="1"/>
      </c>
      <c r="BI133" s="14">
        <f ca="1"/>
      </c>
      <c r="BJ133" s="14">
        <f ca="1"/>
      </c>
      <c r="BK133" s="14">
        <f ca="1"/>
      </c>
    </row>
    <row r="134" spans="28:63" x14ac:dyDescent="0.55000000000000004">
      <c r="AB134">
        <f ca="1"/>
      </c>
      <c r="AC134">
        <f ca="1"/>
      </c>
      <c r="AD134">
        <f ca="1"/>
      </c>
      <c r="AE134">
        <f ca="1"/>
      </c>
      <c r="AF134">
        <f ca="1"/>
      </c>
      <c r="AG134">
        <f ca="1"/>
      </c>
      <c r="AH134">
        <f ca="1"/>
      </c>
      <c r="AL134" s="7">
        <f ca="1"/>
      </c>
      <c r="AM134" s="14">
        <f ca="1"/>
      </c>
      <c r="AN134" s="14">
        <f ca="1"/>
      </c>
      <c r="AO134" s="14">
        <f ca="1"/>
      </c>
      <c r="AP134" s="14">
        <f ca="1"/>
      </c>
      <c r="AQ134" s="14">
        <f ca="1"/>
      </c>
      <c r="AR134" s="14">
        <f ca="1"/>
      </c>
      <c r="AV134" s="14">
        <f ca="1"/>
      </c>
      <c r="AW134" s="14">
        <f ca="1"/>
      </c>
      <c r="AX134" s="14">
        <f ca="1"/>
      </c>
      <c r="AY134" s="14">
        <f ca="1"/>
      </c>
      <c r="AZ134" s="14">
        <f ca="1"/>
      </c>
      <c r="BB134">
        <f ca="1"/>
      </c>
      <c r="BC134">
        <f ca="1"/>
      </c>
      <c r="BD134">
        <f ca="1"/>
      </c>
      <c r="BF134" s="7">
        <f ca="1"/>
      </c>
      <c r="BG134" s="14">
        <f ca="1"/>
      </c>
      <c r="BH134" s="14">
        <f ca="1"/>
      </c>
      <c r="BI134" s="14">
        <f ca="1"/>
      </c>
      <c r="BJ134" s="14">
        <f ca="1"/>
      </c>
      <c r="BK134" s="14">
        <f ca="1"/>
      </c>
    </row>
    <row r="135" spans="28:63" x14ac:dyDescent="0.55000000000000004">
      <c r="AB135">
        <f ca="1"/>
      </c>
      <c r="AC135">
        <f ca="1"/>
      </c>
      <c r="AD135">
        <f ca="1"/>
      </c>
      <c r="AE135">
        <f ca="1"/>
      </c>
      <c r="AF135">
        <f ca="1"/>
      </c>
      <c r="AG135">
        <f ca="1"/>
      </c>
      <c r="AH135">
        <f ca="1"/>
      </c>
      <c r="AL135" s="7">
        <f ca="1"/>
      </c>
      <c r="AM135" s="14">
        <f ca="1"/>
      </c>
      <c r="AN135" s="14">
        <f ca="1"/>
      </c>
      <c r="AO135" s="14">
        <f ca="1"/>
      </c>
      <c r="AP135" s="14">
        <f ca="1"/>
      </c>
      <c r="AQ135" s="14">
        <f ca="1"/>
      </c>
      <c r="AR135" s="14">
        <f ca="1"/>
      </c>
      <c r="AV135" s="14">
        <f ca="1"/>
      </c>
      <c r="AW135" s="14">
        <f ca="1"/>
      </c>
      <c r="AX135" s="14">
        <f ca="1"/>
      </c>
      <c r="AY135" s="14">
        <f ca="1"/>
      </c>
      <c r="AZ135" s="14">
        <f ca="1"/>
      </c>
      <c r="BB135">
        <f ca="1"/>
      </c>
      <c r="BC135">
        <f ca="1"/>
      </c>
      <c r="BD135">
        <f ca="1"/>
      </c>
      <c r="BF135" s="7">
        <f ca="1"/>
      </c>
      <c r="BG135" s="14">
        <f ca="1"/>
      </c>
      <c r="BH135" s="14">
        <f ca="1"/>
      </c>
      <c r="BI135" s="14">
        <f ca="1"/>
      </c>
      <c r="BJ135" s="14">
        <f ca="1"/>
      </c>
      <c r="BK135" s="14">
        <f ca="1"/>
      </c>
    </row>
    <row r="136" spans="28:63" x14ac:dyDescent="0.55000000000000004">
      <c r="AB136">
        <f ca="1"/>
      </c>
      <c r="AC136">
        <f ca="1"/>
      </c>
      <c r="AD136">
        <f ca="1"/>
      </c>
      <c r="AE136">
        <f ca="1"/>
      </c>
      <c r="AF136">
        <f ca="1"/>
      </c>
      <c r="AG136">
        <f ca="1"/>
      </c>
      <c r="AH136">
        <f ca="1"/>
      </c>
      <c r="AL136" s="7">
        <f ca="1"/>
      </c>
      <c r="AM136" s="14">
        <f ca="1"/>
      </c>
      <c r="AN136" s="14">
        <f ca="1"/>
      </c>
      <c r="AO136" s="14">
        <f ca="1"/>
      </c>
      <c r="AP136" s="14">
        <f ca="1"/>
      </c>
      <c r="AQ136" s="14">
        <f ca="1"/>
      </c>
      <c r="AR136" s="14">
        <f ca="1"/>
      </c>
      <c r="AV136" s="14">
        <f ca="1"/>
      </c>
      <c r="AW136" s="14">
        <f ca="1"/>
      </c>
      <c r="AX136" s="14">
        <f ca="1"/>
      </c>
      <c r="AY136" s="14">
        <f ca="1"/>
      </c>
      <c r="AZ136" s="14">
        <f ca="1"/>
      </c>
      <c r="BB136">
        <f ca="1"/>
      </c>
      <c r="BC136">
        <f ca="1"/>
      </c>
      <c r="BD136">
        <f ca="1"/>
      </c>
      <c r="BF136" s="7">
        <f ca="1"/>
      </c>
      <c r="BG136" s="14">
        <f ca="1"/>
      </c>
      <c r="BH136" s="14">
        <f ca="1"/>
      </c>
      <c r="BI136" s="14">
        <f ca="1"/>
      </c>
      <c r="BJ136" s="14">
        <f ca="1"/>
      </c>
      <c r="BK136" s="14">
        <f ca="1"/>
      </c>
    </row>
    <row r="137" spans="28:63" x14ac:dyDescent="0.55000000000000004">
      <c r="AB137">
        <f ca="1"/>
      </c>
      <c r="AC137">
        <f ca="1"/>
      </c>
      <c r="AD137">
        <f ca="1"/>
      </c>
      <c r="AE137">
        <f ca="1"/>
      </c>
      <c r="AF137">
        <f ca="1"/>
      </c>
      <c r="AG137">
        <f ca="1"/>
      </c>
      <c r="AH137">
        <f ca="1"/>
      </c>
      <c r="AL137" s="7">
        <f ca="1"/>
      </c>
      <c r="AM137" s="14">
        <f ca="1"/>
      </c>
      <c r="AN137" s="14">
        <f ca="1"/>
      </c>
      <c r="AO137" s="14">
        <f ca="1"/>
      </c>
      <c r="AP137" s="14">
        <f ca="1"/>
      </c>
      <c r="AQ137" s="14">
        <f ca="1"/>
      </c>
      <c r="AR137" s="14">
        <f ca="1"/>
      </c>
      <c r="AV137" s="14">
        <f ca="1"/>
      </c>
      <c r="AW137" s="14">
        <f ca="1"/>
      </c>
      <c r="AX137" s="14">
        <f ca="1"/>
      </c>
      <c r="AY137" s="14">
        <f ca="1"/>
      </c>
      <c r="AZ137" s="14">
        <f ca="1"/>
      </c>
      <c r="BB137">
        <f ca="1"/>
      </c>
      <c r="BC137">
        <f ca="1"/>
      </c>
      <c r="BD137">
        <f ca="1"/>
      </c>
      <c r="BF137" s="7">
        <f ca="1"/>
      </c>
      <c r="BG137" s="14">
        <f ca="1"/>
      </c>
      <c r="BH137" s="14">
        <f ca="1"/>
      </c>
      <c r="BI137" s="14">
        <f ca="1"/>
      </c>
      <c r="BJ137" s="14">
        <f ca="1"/>
      </c>
      <c r="BK137" s="14">
        <f ca="1"/>
      </c>
    </row>
    <row r="138" spans="28:63" x14ac:dyDescent="0.55000000000000004">
      <c r="AB138">
        <f ca="1"/>
      </c>
      <c r="AC138">
        <f ca="1"/>
      </c>
      <c r="AD138">
        <f ca="1"/>
      </c>
      <c r="AE138">
        <f ca="1"/>
      </c>
      <c r="AF138">
        <f ca="1"/>
      </c>
      <c r="AG138">
        <f ca="1"/>
      </c>
      <c r="AH138">
        <f ca="1"/>
      </c>
      <c r="AL138" s="7">
        <f ca="1"/>
      </c>
      <c r="AM138" s="14">
        <f ca="1"/>
      </c>
      <c r="AN138" s="14">
        <f ca="1"/>
      </c>
      <c r="AO138" s="14">
        <f ca="1"/>
      </c>
      <c r="AP138" s="14">
        <f ca="1"/>
      </c>
      <c r="AQ138" s="14">
        <f ca="1"/>
      </c>
      <c r="AR138" s="14">
        <f ca="1"/>
      </c>
      <c r="AV138" s="14">
        <f ca="1"/>
      </c>
      <c r="AW138" s="14">
        <f ca="1"/>
      </c>
      <c r="AX138" s="14">
        <f ca="1"/>
      </c>
      <c r="AY138" s="14">
        <f ca="1"/>
      </c>
      <c r="AZ138" s="14">
        <f ca="1"/>
      </c>
      <c r="BB138">
        <f ca="1"/>
      </c>
      <c r="BC138">
        <f ca="1"/>
      </c>
      <c r="BD138">
        <f ca="1"/>
      </c>
      <c r="BF138" s="7">
        <f ca="1"/>
      </c>
      <c r="BG138" s="14">
        <f ca="1"/>
      </c>
      <c r="BH138" s="14">
        <f ca="1"/>
      </c>
      <c r="BI138" s="14">
        <f ca="1"/>
      </c>
      <c r="BJ138" s="14">
        <f ca="1"/>
      </c>
      <c r="BK138" s="14">
        <f ca="1"/>
      </c>
    </row>
    <row r="139" spans="28:63" x14ac:dyDescent="0.55000000000000004">
      <c r="AB139">
        <f ca="1"/>
      </c>
      <c r="AC139">
        <f ca="1"/>
      </c>
      <c r="AD139">
        <f ca="1"/>
      </c>
      <c r="AE139">
        <f ca="1"/>
      </c>
      <c r="AF139">
        <f ca="1"/>
      </c>
      <c r="AG139">
        <f ca="1"/>
      </c>
      <c r="AH139">
        <f ca="1"/>
      </c>
      <c r="AL139" s="7">
        <f ca="1"/>
      </c>
      <c r="AM139" s="14">
        <f ca="1"/>
      </c>
      <c r="AN139" s="14">
        <f ca="1"/>
      </c>
      <c r="AO139" s="14">
        <f ca="1"/>
      </c>
      <c r="AP139" s="14">
        <f ca="1"/>
      </c>
      <c r="AQ139" s="14">
        <f ca="1"/>
      </c>
      <c r="AR139" s="14">
        <f ca="1"/>
      </c>
      <c r="AV139" s="14">
        <f ca="1"/>
      </c>
      <c r="AW139" s="14">
        <f ca="1"/>
      </c>
      <c r="AX139" s="14">
        <f ca="1"/>
      </c>
      <c r="AY139" s="14">
        <f ca="1"/>
      </c>
      <c r="AZ139" s="14">
        <f ca="1"/>
      </c>
      <c r="BB139">
        <f ca="1"/>
      </c>
      <c r="BC139">
        <f ca="1"/>
      </c>
      <c r="BD139">
        <f ca="1"/>
      </c>
      <c r="BF139" s="7">
        <f ca="1"/>
      </c>
      <c r="BG139" s="14">
        <f ca="1"/>
      </c>
      <c r="BH139" s="14">
        <f ca="1"/>
      </c>
      <c r="BI139" s="14">
        <f ca="1"/>
      </c>
      <c r="BJ139" s="14">
        <f ca="1"/>
      </c>
      <c r="BK139" s="14">
        <f ca="1"/>
      </c>
    </row>
    <row r="140" spans="28:63" x14ac:dyDescent="0.55000000000000004">
      <c r="AB140">
        <f ca="1"/>
      </c>
      <c r="AC140">
        <f ca="1"/>
      </c>
      <c r="AD140">
        <f ca="1"/>
      </c>
      <c r="AE140">
        <f ca="1"/>
      </c>
      <c r="AF140">
        <f ca="1"/>
      </c>
      <c r="AG140">
        <f ca="1"/>
      </c>
      <c r="AH140">
        <f ca="1"/>
      </c>
      <c r="AL140" s="7">
        <f ca="1"/>
      </c>
      <c r="AM140" s="14">
        <f ca="1"/>
      </c>
      <c r="AN140" s="14">
        <f ca="1"/>
      </c>
      <c r="AO140" s="14">
        <f ca="1"/>
      </c>
      <c r="AP140" s="14">
        <f ca="1"/>
      </c>
      <c r="AQ140" s="14">
        <f ca="1"/>
      </c>
      <c r="AR140" s="14">
        <f ca="1"/>
      </c>
      <c r="AV140" s="14">
        <f ca="1"/>
      </c>
      <c r="AW140" s="14">
        <f ca="1"/>
      </c>
      <c r="AX140" s="14">
        <f ca="1"/>
      </c>
      <c r="AY140" s="14">
        <f ca="1"/>
      </c>
      <c r="AZ140" s="14">
        <f ca="1"/>
      </c>
      <c r="BB140">
        <f ca="1"/>
      </c>
      <c r="BC140">
        <f ca="1"/>
      </c>
      <c r="BD140">
        <f ca="1"/>
      </c>
      <c r="BF140" s="7">
        <f ca="1"/>
      </c>
      <c r="BG140" s="14">
        <f ca="1"/>
      </c>
      <c r="BH140" s="14">
        <f ca="1"/>
      </c>
      <c r="BI140" s="14">
        <f ca="1"/>
      </c>
      <c r="BJ140" s="14">
        <f ca="1"/>
      </c>
      <c r="BK140" s="14">
        <f ca="1"/>
      </c>
    </row>
    <row r="141" spans="28:63" x14ac:dyDescent="0.55000000000000004">
      <c r="AB141">
        <f ca="1"/>
      </c>
      <c r="AC141">
        <f ca="1"/>
      </c>
      <c r="AD141">
        <f ca="1"/>
      </c>
      <c r="AE141">
        <f ca="1"/>
      </c>
      <c r="AF141">
        <f ca="1"/>
      </c>
      <c r="AG141">
        <f ca="1"/>
      </c>
      <c r="AH141">
        <f ca="1"/>
      </c>
      <c r="AL141" s="7">
        <f ca="1"/>
      </c>
      <c r="AM141" s="14">
        <f ca="1"/>
      </c>
      <c r="AN141" s="14">
        <f ca="1"/>
      </c>
      <c r="AO141" s="14">
        <f ca="1"/>
      </c>
      <c r="AP141" s="14">
        <f ca="1"/>
      </c>
      <c r="AQ141" s="14">
        <f ca="1"/>
      </c>
      <c r="AR141" s="14">
        <f ca="1"/>
      </c>
      <c r="AV141" s="14">
        <f ca="1"/>
      </c>
      <c r="AW141" s="14">
        <f ca="1"/>
      </c>
      <c r="AX141" s="14">
        <f ca="1"/>
      </c>
      <c r="AY141" s="14">
        <f ca="1"/>
      </c>
      <c r="AZ141" s="14">
        <f ca="1"/>
      </c>
      <c r="BB141">
        <f ca="1"/>
      </c>
      <c r="BC141">
        <f ca="1"/>
      </c>
      <c r="BD141">
        <f ca="1"/>
      </c>
      <c r="BF141" s="7">
        <f ca="1"/>
      </c>
      <c r="BG141" s="14">
        <f ca="1"/>
      </c>
      <c r="BH141" s="14">
        <f ca="1"/>
      </c>
      <c r="BI141" s="14">
        <f ca="1"/>
      </c>
      <c r="BJ141" s="14">
        <f ca="1"/>
      </c>
      <c r="BK141" s="14">
        <f ca="1"/>
      </c>
    </row>
    <row r="142" spans="28:63" x14ac:dyDescent="0.55000000000000004">
      <c r="AB142">
        <f ca="1"/>
      </c>
      <c r="AC142">
        <f ca="1"/>
      </c>
      <c r="AD142">
        <f ca="1"/>
      </c>
      <c r="AE142">
        <f ca="1"/>
      </c>
      <c r="AF142">
        <f ca="1"/>
      </c>
      <c r="AG142">
        <f ca="1"/>
      </c>
      <c r="AH142">
        <f ca="1"/>
      </c>
      <c r="AL142" s="7">
        <f ca="1"/>
      </c>
      <c r="AM142" s="14">
        <f ca="1"/>
      </c>
      <c r="AN142" s="14">
        <f ca="1"/>
      </c>
      <c r="AO142" s="14">
        <f ca="1"/>
      </c>
      <c r="AP142" s="14">
        <f ca="1"/>
      </c>
      <c r="AQ142" s="14">
        <f ca="1"/>
      </c>
      <c r="AR142" s="14">
        <f ca="1"/>
      </c>
      <c r="AV142" s="14">
        <f ca="1"/>
      </c>
      <c r="AW142" s="14">
        <f ca="1"/>
      </c>
      <c r="AX142" s="14">
        <f ca="1"/>
      </c>
      <c r="AY142" s="14">
        <f ca="1"/>
      </c>
      <c r="AZ142" s="14">
        <f ca="1"/>
      </c>
      <c r="BB142">
        <f ca="1"/>
      </c>
      <c r="BC142">
        <f ca="1"/>
      </c>
      <c r="BD142">
        <f ca="1"/>
      </c>
      <c r="BF142" s="7">
        <f ca="1"/>
      </c>
      <c r="BG142" s="14">
        <f ca="1"/>
      </c>
      <c r="BH142" s="14">
        <f ca="1"/>
      </c>
      <c r="BI142" s="14">
        <f ca="1"/>
      </c>
      <c r="BJ142" s="14">
        <f ca="1"/>
      </c>
      <c r="BK142" s="14">
        <f ca="1"/>
      </c>
    </row>
    <row r="143" spans="28:63" x14ac:dyDescent="0.55000000000000004">
      <c r="AB143">
        <f ca="1"/>
      </c>
      <c r="AC143">
        <f ca="1"/>
      </c>
      <c r="AD143">
        <f ca="1"/>
      </c>
      <c r="AE143">
        <f ca="1"/>
      </c>
      <c r="AF143">
        <f ca="1"/>
      </c>
      <c r="AG143">
        <f ca="1"/>
      </c>
      <c r="AH143">
        <f ca="1"/>
      </c>
      <c r="AL143" s="7">
        <f ca="1"/>
      </c>
      <c r="AM143" s="14">
        <f ca="1"/>
      </c>
      <c r="AN143" s="14">
        <f ca="1"/>
      </c>
      <c r="AO143" s="14">
        <f ca="1"/>
      </c>
      <c r="AP143" s="14">
        <f ca="1"/>
      </c>
      <c r="AQ143" s="14">
        <f ca="1"/>
      </c>
      <c r="AR143" s="14">
        <f ca="1"/>
      </c>
      <c r="AV143" s="14">
        <f ca="1"/>
      </c>
      <c r="AW143" s="14">
        <f ca="1"/>
      </c>
      <c r="AX143" s="14">
        <f ca="1"/>
      </c>
      <c r="AY143" s="14">
        <f ca="1"/>
      </c>
      <c r="AZ143" s="14">
        <f ca="1"/>
      </c>
      <c r="BB143">
        <f ca="1"/>
      </c>
      <c r="BC143">
        <f ca="1"/>
      </c>
      <c r="BD143">
        <f ca="1"/>
      </c>
      <c r="BF143" s="7">
        <f ca="1"/>
      </c>
      <c r="BG143" s="14">
        <f ca="1"/>
      </c>
      <c r="BH143" s="14">
        <f ca="1"/>
      </c>
      <c r="BI143" s="14">
        <f ca="1"/>
      </c>
      <c r="BJ143" s="14">
        <f ca="1"/>
      </c>
      <c r="BK143" s="14">
        <f ca="1"/>
      </c>
    </row>
    <row r="144" spans="28:63" x14ac:dyDescent="0.55000000000000004">
      <c r="AB144">
        <f ca="1"/>
      </c>
      <c r="AC144">
        <f ca="1"/>
      </c>
      <c r="AD144">
        <f ca="1"/>
      </c>
      <c r="AE144">
        <f ca="1"/>
      </c>
      <c r="AF144">
        <f ca="1"/>
      </c>
      <c r="AG144">
        <f ca="1"/>
      </c>
      <c r="AH144">
        <f ca="1"/>
      </c>
      <c r="AL144" s="7">
        <f ca="1"/>
      </c>
      <c r="AM144" s="14">
        <f ca="1"/>
      </c>
      <c r="AN144" s="14">
        <f ca="1"/>
      </c>
      <c r="AO144" s="14">
        <f ca="1"/>
      </c>
      <c r="AP144" s="14">
        <f ca="1"/>
      </c>
      <c r="AQ144" s="14">
        <f ca="1"/>
      </c>
      <c r="AR144" s="14">
        <f ca="1"/>
      </c>
      <c r="AV144" s="14">
        <f ca="1"/>
      </c>
      <c r="AW144" s="14">
        <f ca="1"/>
      </c>
      <c r="AX144" s="14">
        <f ca="1"/>
      </c>
      <c r="AY144" s="14">
        <f ca="1"/>
      </c>
      <c r="AZ144" s="14">
        <f ca="1"/>
      </c>
      <c r="BB144">
        <f ca="1"/>
      </c>
      <c r="BC144">
        <f ca="1"/>
      </c>
      <c r="BD144">
        <f ca="1"/>
      </c>
      <c r="BF144" s="7">
        <f ca="1"/>
      </c>
      <c r="BG144" s="14">
        <f ca="1"/>
      </c>
      <c r="BH144" s="14">
        <f ca="1"/>
      </c>
      <c r="BI144" s="14">
        <f ca="1"/>
      </c>
      <c r="BJ144" s="14">
        <f ca="1"/>
      </c>
      <c r="BK144" s="14">
        <f ca="1"/>
      </c>
    </row>
    <row r="145" spans="28:63" x14ac:dyDescent="0.55000000000000004">
      <c r="AB145">
        <f ca="1"/>
      </c>
      <c r="AC145">
        <f ca="1"/>
      </c>
      <c r="AD145">
        <f ca="1"/>
      </c>
      <c r="AE145">
        <f ca="1"/>
      </c>
      <c r="AF145">
        <f ca="1"/>
      </c>
      <c r="AG145">
        <f ca="1"/>
      </c>
      <c r="AH145">
        <f ca="1"/>
      </c>
      <c r="AL145" s="7">
        <f ca="1"/>
      </c>
      <c r="AM145" s="14">
        <f ca="1"/>
      </c>
      <c r="AN145" s="14">
        <f ca="1"/>
      </c>
      <c r="AO145" s="14">
        <f ca="1"/>
      </c>
      <c r="AP145" s="14">
        <f ca="1"/>
      </c>
      <c r="AQ145" s="14">
        <f ca="1"/>
      </c>
      <c r="AR145" s="14">
        <f ca="1"/>
      </c>
      <c r="AV145" s="14">
        <f ca="1"/>
      </c>
      <c r="AW145" s="14">
        <f ca="1"/>
      </c>
      <c r="AX145" s="14">
        <f ca="1"/>
      </c>
      <c r="AY145" s="14">
        <f ca="1"/>
      </c>
      <c r="AZ145" s="14">
        <f ca="1"/>
      </c>
      <c r="BB145">
        <f ca="1"/>
      </c>
      <c r="BC145">
        <f ca="1"/>
      </c>
      <c r="BD145">
        <f ca="1"/>
      </c>
      <c r="BF145" s="7">
        <f ca="1"/>
      </c>
      <c r="BG145" s="14">
        <f ca="1"/>
      </c>
      <c r="BH145" s="14">
        <f ca="1"/>
      </c>
      <c r="BI145" s="14">
        <f ca="1"/>
      </c>
      <c r="BJ145" s="14">
        <f ca="1"/>
      </c>
      <c r="BK145" s="14">
        <f ca="1"/>
      </c>
    </row>
    <row r="146" spans="28:63" x14ac:dyDescent="0.55000000000000004">
      <c r="AB146">
        <f ca="1"/>
      </c>
      <c r="AC146">
        <f ca="1"/>
      </c>
      <c r="AD146">
        <f ca="1"/>
      </c>
      <c r="AE146">
        <f ca="1"/>
      </c>
      <c r="AF146">
        <f ca="1"/>
      </c>
      <c r="AG146">
        <f ca="1"/>
      </c>
      <c r="AH146">
        <f ca="1"/>
      </c>
      <c r="AL146" s="7">
        <f ca="1"/>
      </c>
      <c r="AM146" s="14">
        <f ca="1"/>
      </c>
      <c r="AN146" s="14">
        <f ca="1"/>
      </c>
      <c r="AO146" s="14">
        <f ca="1"/>
      </c>
      <c r="AP146" s="14">
        <f ca="1"/>
      </c>
      <c r="AQ146" s="14">
        <f ca="1"/>
      </c>
      <c r="AR146" s="14">
        <f ca="1"/>
      </c>
      <c r="AV146" s="14">
        <f ca="1"/>
      </c>
      <c r="AW146" s="14">
        <f ca="1"/>
      </c>
      <c r="AX146" s="14">
        <f ca="1"/>
      </c>
      <c r="AY146" s="14">
        <f ca="1"/>
      </c>
      <c r="AZ146" s="14">
        <f ca="1"/>
      </c>
      <c r="BB146">
        <f ca="1"/>
      </c>
      <c r="BC146">
        <f ca="1"/>
      </c>
      <c r="BD146">
        <f ca="1"/>
      </c>
      <c r="BF146" s="7">
        <f ca="1"/>
      </c>
      <c r="BG146" s="14">
        <f ca="1"/>
      </c>
      <c r="BH146" s="14">
        <f ca="1"/>
      </c>
      <c r="BI146" s="14">
        <f ca="1"/>
      </c>
      <c r="BJ146" s="14">
        <f ca="1"/>
      </c>
      <c r="BK146" s="14">
        <f ca="1"/>
      </c>
    </row>
    <row r="147" spans="28:63" x14ac:dyDescent="0.55000000000000004">
      <c r="AB147">
        <f ca="1"/>
      </c>
      <c r="AC147">
        <f ca="1"/>
      </c>
      <c r="AD147">
        <f ca="1"/>
      </c>
      <c r="AE147">
        <f ca="1"/>
      </c>
      <c r="AF147">
        <f ca="1"/>
      </c>
      <c r="AG147">
        <f ca="1"/>
      </c>
      <c r="AH147">
        <f ca="1"/>
      </c>
      <c r="AL147" s="7">
        <f ca="1"/>
      </c>
      <c r="AM147" s="14">
        <f ca="1"/>
      </c>
      <c r="AN147" s="14">
        <f ca="1"/>
      </c>
      <c r="AO147" s="14">
        <f ca="1"/>
      </c>
      <c r="AP147" s="14">
        <f ca="1"/>
      </c>
      <c r="AQ147" s="14">
        <f ca="1"/>
      </c>
      <c r="AR147" s="14">
        <f ca="1"/>
      </c>
      <c r="AV147" s="14">
        <f ca="1"/>
      </c>
      <c r="AW147" s="14">
        <f ca="1"/>
      </c>
      <c r="AX147" s="14">
        <f ca="1"/>
      </c>
      <c r="AY147" s="14">
        <f ca="1"/>
      </c>
      <c r="AZ147" s="14">
        <f ca="1"/>
      </c>
      <c r="BB147">
        <f ca="1"/>
      </c>
      <c r="BC147">
        <f ca="1"/>
      </c>
      <c r="BD147">
        <f ca="1"/>
      </c>
      <c r="BF147" s="7">
        <f ca="1"/>
      </c>
      <c r="BG147" s="14">
        <f ca="1"/>
      </c>
      <c r="BH147" s="14">
        <f ca="1"/>
      </c>
      <c r="BI147" s="14">
        <f ca="1"/>
      </c>
      <c r="BJ147" s="14">
        <f ca="1"/>
      </c>
      <c r="BK147" s="14">
        <f ca="1"/>
      </c>
    </row>
    <row r="148" spans="28:63" x14ac:dyDescent="0.55000000000000004">
      <c r="AB148">
        <f ca="1"/>
      </c>
      <c r="AC148">
        <f ca="1"/>
      </c>
      <c r="AD148">
        <f ca="1"/>
      </c>
      <c r="AE148">
        <f ca="1"/>
      </c>
      <c r="AF148">
        <f ca="1"/>
      </c>
      <c r="AG148">
        <f ca="1"/>
      </c>
      <c r="AH148">
        <f ca="1"/>
      </c>
      <c r="AL148" s="7">
        <f ca="1"/>
      </c>
      <c r="AM148" s="14">
        <f ca="1"/>
      </c>
      <c r="AN148" s="14">
        <f ca="1"/>
      </c>
      <c r="AO148" s="14">
        <f ca="1"/>
      </c>
      <c r="AP148" s="14">
        <f ca="1"/>
      </c>
      <c r="AQ148" s="14">
        <f ca="1"/>
      </c>
      <c r="AR148" s="14">
        <f ca="1"/>
      </c>
      <c r="AV148" s="14">
        <f ca="1"/>
      </c>
      <c r="AW148" s="14">
        <f ca="1"/>
      </c>
      <c r="AX148" s="14">
        <f ca="1"/>
      </c>
      <c r="AY148" s="14">
        <f ca="1"/>
      </c>
      <c r="AZ148" s="14">
        <f ca="1"/>
      </c>
      <c r="BB148">
        <f ca="1"/>
      </c>
      <c r="BC148">
        <f ca="1"/>
      </c>
      <c r="BD148">
        <f ca="1"/>
      </c>
      <c r="BF148" s="7">
        <f ca="1"/>
      </c>
      <c r="BG148" s="14">
        <f ca="1"/>
      </c>
      <c r="BH148" s="14">
        <f ca="1"/>
      </c>
      <c r="BI148" s="14">
        <f ca="1"/>
      </c>
      <c r="BJ148" s="14">
        <f ca="1"/>
      </c>
      <c r="BK148" s="14">
        <f ca="1"/>
      </c>
    </row>
    <row r="149" spans="28:63" x14ac:dyDescent="0.55000000000000004">
      <c r="AB149">
        <f ca="1"/>
      </c>
      <c r="AC149">
        <f ca="1"/>
      </c>
      <c r="AD149">
        <f ca="1"/>
      </c>
      <c r="AE149">
        <f ca="1"/>
      </c>
      <c r="AF149">
        <f ca="1"/>
      </c>
      <c r="AG149">
        <f ca="1"/>
      </c>
      <c r="AH149">
        <f ca="1"/>
      </c>
      <c r="AL149" s="7">
        <f ca="1"/>
      </c>
      <c r="AM149" s="14">
        <f ca="1"/>
      </c>
      <c r="AN149" s="14">
        <f ca="1"/>
      </c>
      <c r="AO149" s="14">
        <f ca="1"/>
      </c>
      <c r="AP149" s="14">
        <f ca="1"/>
      </c>
      <c r="AQ149" s="14">
        <f ca="1"/>
      </c>
      <c r="AR149" s="14">
        <f ca="1"/>
      </c>
      <c r="AV149" s="14">
        <f ca="1"/>
      </c>
      <c r="AW149" s="14">
        <f ca="1"/>
      </c>
      <c r="AX149" s="14">
        <f ca="1"/>
      </c>
      <c r="AY149" s="14">
        <f ca="1"/>
      </c>
      <c r="AZ149" s="14">
        <f ca="1"/>
      </c>
      <c r="BB149">
        <f ca="1"/>
      </c>
      <c r="BC149">
        <f ca="1"/>
      </c>
      <c r="BD149">
        <f ca="1"/>
      </c>
      <c r="BF149" s="7">
        <f ca="1"/>
      </c>
      <c r="BG149" s="14">
        <f ca="1"/>
      </c>
      <c r="BH149" s="14">
        <f ca="1"/>
      </c>
      <c r="BI149" s="14">
        <f ca="1"/>
      </c>
      <c r="BJ149" s="14">
        <f ca="1"/>
      </c>
      <c r="BK149" s="14">
        <f ca="1"/>
      </c>
    </row>
    <row r="150" spans="28:63" x14ac:dyDescent="0.55000000000000004">
      <c r="AB150">
        <f ca="1"/>
      </c>
      <c r="AC150">
        <f ca="1"/>
      </c>
      <c r="AD150">
        <f ca="1"/>
      </c>
      <c r="AE150">
        <f ca="1"/>
      </c>
      <c r="AF150">
        <f ca="1"/>
      </c>
      <c r="AG150">
        <f ca="1"/>
      </c>
      <c r="AH150">
        <f ca="1"/>
      </c>
      <c r="AL150" s="7">
        <f ca="1"/>
      </c>
      <c r="AM150" s="14">
        <f ca="1"/>
      </c>
      <c r="AN150" s="14">
        <f ca="1"/>
      </c>
      <c r="AO150" s="14">
        <f ca="1"/>
      </c>
      <c r="AP150" s="14">
        <f ca="1"/>
      </c>
      <c r="AQ150" s="14">
        <f ca="1"/>
      </c>
      <c r="AR150" s="14">
        <f ca="1"/>
      </c>
      <c r="AV150" s="14">
        <f ca="1"/>
      </c>
      <c r="AW150" s="14">
        <f ca="1"/>
      </c>
      <c r="AX150" s="14">
        <f ca="1"/>
      </c>
      <c r="AY150" s="14">
        <f ca="1"/>
      </c>
      <c r="AZ150" s="14">
        <f ca="1"/>
      </c>
      <c r="BB150">
        <f ca="1"/>
      </c>
      <c r="BC150">
        <f ca="1"/>
      </c>
      <c r="BD150">
        <f ca="1"/>
      </c>
      <c r="BF150" s="7">
        <f ca="1"/>
      </c>
      <c r="BG150" s="14">
        <f ca="1"/>
      </c>
      <c r="BH150" s="14">
        <f ca="1"/>
      </c>
      <c r="BI150" s="14">
        <f ca="1"/>
      </c>
      <c r="BJ150" s="14">
        <f ca="1"/>
      </c>
      <c r="BK150" s="14">
        <f ca="1"/>
      </c>
    </row>
    <row r="151" spans="28:63" x14ac:dyDescent="0.55000000000000004">
      <c r="AB151">
        <f ca="1"/>
      </c>
      <c r="AC151">
        <f ca="1"/>
      </c>
      <c r="AD151">
        <f ca="1"/>
      </c>
      <c r="AE151">
        <f ca="1"/>
      </c>
      <c r="AF151">
        <f ca="1"/>
      </c>
      <c r="AG151">
        <f ca="1"/>
      </c>
      <c r="AH151">
        <f ca="1"/>
      </c>
      <c r="AL151" s="7">
        <f ca="1"/>
      </c>
      <c r="AM151" s="14">
        <f ca="1"/>
      </c>
      <c r="AN151" s="14">
        <f ca="1"/>
      </c>
      <c r="AO151" s="14">
        <f ca="1"/>
      </c>
      <c r="AP151" s="14">
        <f ca="1"/>
      </c>
      <c r="AQ151" s="14">
        <f ca="1"/>
      </c>
      <c r="AR151" s="14">
        <f ca="1"/>
      </c>
      <c r="AV151" s="14">
        <f ca="1"/>
      </c>
      <c r="AW151" s="14">
        <f ca="1"/>
      </c>
      <c r="AX151" s="14">
        <f ca="1"/>
      </c>
      <c r="AY151" s="14">
        <f ca="1"/>
      </c>
      <c r="AZ151" s="14">
        <f ca="1"/>
      </c>
      <c r="BB151">
        <f ca="1"/>
      </c>
      <c r="BC151">
        <f ca="1"/>
      </c>
      <c r="BD151">
        <f ca="1"/>
      </c>
      <c r="BF151" s="7">
        <f ca="1"/>
      </c>
      <c r="BG151" s="14">
        <f ca="1"/>
      </c>
      <c r="BH151" s="14">
        <f ca="1"/>
      </c>
      <c r="BI151" s="14">
        <f ca="1"/>
      </c>
      <c r="BJ151" s="14">
        <f ca="1"/>
      </c>
      <c r="BK151" s="14">
        <f ca="1"/>
      </c>
    </row>
    <row r="152" spans="28:63" x14ac:dyDescent="0.55000000000000004">
      <c r="AB152">
        <f ca="1"/>
      </c>
      <c r="AC152">
        <f ca="1"/>
      </c>
      <c r="AD152">
        <f ca="1"/>
      </c>
      <c r="AE152">
        <f ca="1"/>
      </c>
      <c r="AF152">
        <f ca="1"/>
      </c>
      <c r="AG152">
        <f ca="1"/>
      </c>
      <c r="AH152">
        <f ca="1"/>
      </c>
      <c r="AL152" s="7">
        <f ca="1"/>
      </c>
      <c r="AM152" s="14">
        <f ca="1"/>
      </c>
      <c r="AN152" s="14">
        <f ca="1"/>
      </c>
      <c r="AO152" s="14">
        <f ca="1"/>
      </c>
      <c r="AP152" s="14">
        <f ca="1"/>
      </c>
      <c r="AQ152" s="14">
        <f ca="1"/>
      </c>
      <c r="AR152" s="14">
        <f ca="1"/>
      </c>
      <c r="AV152" s="14">
        <f ca="1"/>
      </c>
      <c r="AW152" s="14">
        <f ca="1"/>
      </c>
      <c r="AX152" s="14">
        <f ca="1"/>
      </c>
      <c r="AY152" s="14">
        <f ca="1"/>
      </c>
      <c r="AZ152" s="14">
        <f ca="1"/>
      </c>
      <c r="BB152">
        <f ca="1"/>
      </c>
      <c r="BC152">
        <f ca="1"/>
      </c>
      <c r="BD152">
        <f ca="1"/>
      </c>
      <c r="BF152" s="7">
        <f ca="1"/>
      </c>
      <c r="BG152" s="14">
        <f ca="1"/>
      </c>
      <c r="BH152" s="14">
        <f ca="1"/>
      </c>
      <c r="BI152" s="14">
        <f ca="1"/>
      </c>
      <c r="BJ152" s="14">
        <f ca="1"/>
      </c>
      <c r="BK152" s="14">
        <f ca="1"/>
      </c>
    </row>
    <row r="153" spans="28:63" x14ac:dyDescent="0.55000000000000004">
      <c r="AB153">
        <f ca="1"/>
      </c>
      <c r="AC153">
        <f ca="1"/>
      </c>
      <c r="AD153">
        <f ca="1"/>
      </c>
      <c r="AE153">
        <f ca="1"/>
      </c>
      <c r="AF153">
        <f ca="1"/>
      </c>
      <c r="AG153">
        <f ca="1"/>
      </c>
      <c r="AH153">
        <f ca="1"/>
      </c>
      <c r="AL153" s="7">
        <f ca="1"/>
      </c>
      <c r="AM153" s="14">
        <f ca="1"/>
      </c>
      <c r="AN153" s="14">
        <f ca="1"/>
      </c>
      <c r="AO153" s="14">
        <f ca="1"/>
      </c>
      <c r="AP153" s="14">
        <f ca="1"/>
      </c>
      <c r="AQ153" s="14">
        <f ca="1"/>
      </c>
      <c r="AR153" s="14">
        <f ca="1"/>
      </c>
      <c r="AV153" s="14">
        <f ca="1"/>
      </c>
      <c r="AW153" s="14">
        <f ca="1"/>
      </c>
      <c r="AX153" s="14">
        <f ca="1"/>
      </c>
      <c r="AY153" s="14">
        <f ca="1"/>
      </c>
      <c r="AZ153" s="14">
        <f ca="1"/>
      </c>
      <c r="BB153">
        <f ca="1"/>
      </c>
      <c r="BC153">
        <f ca="1"/>
      </c>
      <c r="BD153">
        <f ca="1"/>
      </c>
      <c r="BF153" s="7">
        <f ca="1"/>
      </c>
      <c r="BG153" s="14">
        <f ca="1"/>
      </c>
      <c r="BH153" s="14">
        <f ca="1"/>
      </c>
      <c r="BI153" s="14">
        <f ca="1"/>
      </c>
      <c r="BJ153" s="14">
        <f ca="1"/>
      </c>
      <c r="BK153" s="14">
        <f ca="1"/>
      </c>
    </row>
    <row r="154" spans="28:63" x14ac:dyDescent="0.55000000000000004">
      <c r="AB154">
        <f ca="1"/>
      </c>
      <c r="AC154">
        <f ca="1"/>
      </c>
      <c r="AD154">
        <f ca="1"/>
      </c>
      <c r="AE154">
        <f ca="1"/>
      </c>
      <c r="AF154">
        <f ca="1"/>
      </c>
      <c r="AG154">
        <f ca="1"/>
      </c>
      <c r="AH154">
        <f ca="1"/>
      </c>
      <c r="AL154" s="7">
        <f ca="1"/>
      </c>
      <c r="AM154" s="14">
        <f ca="1"/>
      </c>
      <c r="AN154" s="14">
        <f ca="1"/>
      </c>
      <c r="AO154" s="14">
        <f ca="1"/>
      </c>
      <c r="AP154" s="14">
        <f ca="1"/>
      </c>
      <c r="AQ154" s="14">
        <f ca="1"/>
      </c>
      <c r="AR154" s="14">
        <f ca="1"/>
      </c>
      <c r="AV154" s="14">
        <f ca="1"/>
      </c>
      <c r="AW154" s="14">
        <f ca="1"/>
      </c>
      <c r="AX154" s="14">
        <f ca="1"/>
      </c>
      <c r="AY154" s="14">
        <f ca="1"/>
      </c>
      <c r="AZ154" s="14">
        <f ca="1"/>
      </c>
      <c r="BB154">
        <f ca="1"/>
      </c>
      <c r="BC154">
        <f ca="1"/>
      </c>
      <c r="BD154">
        <f ca="1"/>
      </c>
      <c r="BF154" s="7">
        <f ca="1"/>
      </c>
      <c r="BG154" s="14">
        <f ca="1"/>
      </c>
      <c r="BH154" s="14">
        <f ca="1"/>
      </c>
      <c r="BI154" s="14">
        <f ca="1"/>
      </c>
      <c r="BJ154" s="14">
        <f ca="1"/>
      </c>
      <c r="BK154" s="14">
        <f ca="1"/>
      </c>
    </row>
    <row r="155" spans="28:63" x14ac:dyDescent="0.55000000000000004">
      <c r="AB155">
        <f ca="1"/>
      </c>
      <c r="AC155">
        <f ca="1"/>
      </c>
      <c r="AD155">
        <f ca="1"/>
      </c>
      <c r="AE155">
        <f ca="1"/>
      </c>
      <c r="AF155">
        <f ca="1"/>
      </c>
      <c r="AG155">
        <f ca="1"/>
      </c>
      <c r="AH155">
        <f ca="1"/>
      </c>
      <c r="AL155" s="7">
        <f ca="1"/>
      </c>
      <c r="AM155" s="14">
        <f ca="1"/>
      </c>
      <c r="AN155" s="14">
        <f ca="1"/>
      </c>
      <c r="AO155" s="14">
        <f ca="1"/>
      </c>
      <c r="AP155" s="14">
        <f ca="1"/>
      </c>
      <c r="AQ155" s="14">
        <f ca="1"/>
      </c>
      <c r="AR155" s="14">
        <f ca="1"/>
      </c>
      <c r="AV155" s="14">
        <f ca="1"/>
      </c>
      <c r="AW155" s="14">
        <f ca="1"/>
      </c>
      <c r="AX155" s="14">
        <f ca="1"/>
      </c>
      <c r="AY155" s="14">
        <f ca="1"/>
      </c>
      <c r="AZ155" s="14">
        <f ca="1"/>
      </c>
      <c r="BB155">
        <f ca="1"/>
      </c>
      <c r="BC155">
        <f ca="1"/>
      </c>
      <c r="BD155">
        <f ca="1"/>
      </c>
      <c r="BF155" s="7">
        <f ca="1"/>
      </c>
      <c r="BG155" s="14">
        <f ca="1"/>
      </c>
      <c r="BH155" s="14">
        <f ca="1"/>
      </c>
      <c r="BI155" s="14">
        <f ca="1"/>
      </c>
      <c r="BJ155" s="14">
        <f ca="1"/>
      </c>
      <c r="BK155" s="14">
        <f ca="1"/>
      </c>
    </row>
    <row r="156" spans="28:63" x14ac:dyDescent="0.55000000000000004">
      <c r="AB156">
        <f ca="1"/>
      </c>
      <c r="AC156">
        <f ca="1"/>
      </c>
      <c r="AD156">
        <f ca="1"/>
      </c>
      <c r="AE156">
        <f ca="1"/>
      </c>
      <c r="AF156">
        <f ca="1"/>
      </c>
      <c r="AG156">
        <f ca="1"/>
      </c>
      <c r="AH156">
        <f ca="1"/>
      </c>
      <c r="AL156" s="7">
        <f ca="1"/>
      </c>
      <c r="AM156" s="14">
        <f ca="1"/>
      </c>
      <c r="AN156" s="14">
        <f ca="1"/>
      </c>
      <c r="AO156" s="14">
        <f ca="1"/>
      </c>
      <c r="AP156" s="14">
        <f ca="1"/>
      </c>
      <c r="AQ156" s="14">
        <f ca="1"/>
      </c>
      <c r="AR156" s="14">
        <f ca="1"/>
      </c>
      <c r="AV156" s="14">
        <f ca="1"/>
      </c>
      <c r="AW156" s="14">
        <f ca="1"/>
      </c>
      <c r="AX156" s="14">
        <f ca="1"/>
      </c>
      <c r="AY156" s="14">
        <f ca="1"/>
      </c>
      <c r="AZ156" s="14">
        <f ca="1"/>
      </c>
      <c r="BB156">
        <f ca="1"/>
      </c>
      <c r="BC156">
        <f ca="1"/>
      </c>
      <c r="BD156">
        <f ca="1"/>
      </c>
      <c r="BF156" s="7">
        <f ca="1"/>
      </c>
      <c r="BG156" s="14">
        <f ca="1"/>
      </c>
      <c r="BH156" s="14">
        <f ca="1"/>
      </c>
      <c r="BI156" s="14">
        <f ca="1"/>
      </c>
      <c r="BJ156" s="14">
        <f ca="1"/>
      </c>
      <c r="BK156" s="14">
        <f ca="1"/>
      </c>
    </row>
    <row r="157" spans="28:63" x14ac:dyDescent="0.55000000000000004">
      <c r="AB157">
        <f ca="1"/>
      </c>
      <c r="AC157">
        <f ca="1"/>
      </c>
      <c r="AD157">
        <f ca="1"/>
      </c>
      <c r="AE157">
        <f ca="1"/>
      </c>
      <c r="AF157">
        <f ca="1"/>
      </c>
      <c r="AG157">
        <f ca="1"/>
      </c>
      <c r="AH157">
        <f ca="1"/>
      </c>
      <c r="AL157" s="7">
        <f ca="1"/>
      </c>
      <c r="AM157" s="14">
        <f ca="1"/>
      </c>
      <c r="AN157" s="14">
        <f ca="1"/>
      </c>
      <c r="AO157" s="14">
        <f ca="1"/>
      </c>
      <c r="AP157" s="14">
        <f ca="1"/>
      </c>
      <c r="AQ157" s="14">
        <f ca="1"/>
      </c>
      <c r="AR157" s="14">
        <f ca="1"/>
      </c>
      <c r="AV157" s="14">
        <f ca="1"/>
      </c>
      <c r="AW157" s="14">
        <f ca="1"/>
      </c>
      <c r="AX157" s="14">
        <f ca="1"/>
      </c>
      <c r="AY157" s="14">
        <f ca="1"/>
      </c>
      <c r="AZ157" s="14">
        <f ca="1"/>
      </c>
      <c r="BB157">
        <f ca="1"/>
      </c>
      <c r="BC157">
        <f ca="1"/>
      </c>
      <c r="BD157">
        <f ca="1"/>
      </c>
      <c r="BF157" s="7">
        <f ca="1"/>
      </c>
      <c r="BG157" s="14">
        <f ca="1"/>
      </c>
      <c r="BH157" s="14">
        <f ca="1"/>
      </c>
      <c r="BI157" s="14">
        <f ca="1"/>
      </c>
      <c r="BJ157" s="14">
        <f ca="1"/>
      </c>
      <c r="BK157" s="14">
        <f ca="1"/>
      </c>
    </row>
    <row r="158" spans="28:63" x14ac:dyDescent="0.55000000000000004">
      <c r="AB158">
        <f ca="1"/>
      </c>
      <c r="AC158">
        <f ca="1"/>
      </c>
      <c r="AD158">
        <f ca="1"/>
      </c>
      <c r="AE158">
        <f ca="1"/>
      </c>
      <c r="AF158">
        <f ca="1"/>
      </c>
      <c r="AG158">
        <f ca="1"/>
      </c>
      <c r="AH158">
        <f ca="1"/>
      </c>
      <c r="AL158" s="7">
        <f ca="1"/>
      </c>
      <c r="AM158" s="14">
        <f ca="1"/>
      </c>
      <c r="AN158" s="14">
        <f ca="1"/>
      </c>
      <c r="AO158" s="14">
        <f ca="1"/>
      </c>
      <c r="AP158" s="14">
        <f ca="1"/>
      </c>
      <c r="AQ158" s="14">
        <f ca="1"/>
      </c>
      <c r="AR158" s="14">
        <f ca="1"/>
      </c>
      <c r="AV158" s="14">
        <f ca="1"/>
      </c>
      <c r="AW158" s="14">
        <f ca="1"/>
      </c>
      <c r="AX158" s="14">
        <f ca="1"/>
      </c>
      <c r="AY158" s="14">
        <f ca="1"/>
      </c>
      <c r="AZ158" s="14">
        <f ca="1"/>
      </c>
      <c r="BB158">
        <f ca="1"/>
      </c>
      <c r="BC158">
        <f ca="1"/>
      </c>
      <c r="BD158">
        <f ca="1"/>
      </c>
      <c r="BF158" s="7">
        <f ca="1"/>
      </c>
      <c r="BG158" s="14">
        <f ca="1"/>
      </c>
      <c r="BH158" s="14">
        <f ca="1"/>
      </c>
      <c r="BI158" s="14">
        <f ca="1"/>
      </c>
      <c r="BJ158" s="14">
        <f ca="1"/>
      </c>
      <c r="BK158" s="14">
        <f ca="1"/>
      </c>
    </row>
    <row r="159" spans="28:63" x14ac:dyDescent="0.55000000000000004">
      <c r="AB159">
        <f ca="1"/>
      </c>
      <c r="AC159">
        <f ca="1"/>
      </c>
      <c r="AD159">
        <f ca="1"/>
      </c>
      <c r="AE159">
        <f ca="1"/>
      </c>
      <c r="AF159">
        <f ca="1"/>
      </c>
      <c r="AG159">
        <f ca="1"/>
      </c>
      <c r="AH159">
        <f ca="1"/>
      </c>
      <c r="AL159" s="7">
        <f ca="1"/>
      </c>
      <c r="AM159" s="14">
        <f ca="1"/>
      </c>
      <c r="AN159" s="14">
        <f ca="1"/>
      </c>
      <c r="AO159" s="14">
        <f ca="1"/>
      </c>
      <c r="AP159" s="14">
        <f ca="1"/>
      </c>
      <c r="AQ159" s="14">
        <f ca="1"/>
      </c>
      <c r="AR159" s="14">
        <f ca="1"/>
      </c>
      <c r="AV159" s="14">
        <f ca="1"/>
      </c>
      <c r="AW159" s="14">
        <f ca="1"/>
      </c>
      <c r="AX159" s="14">
        <f ca="1"/>
      </c>
      <c r="AY159" s="14">
        <f ca="1"/>
      </c>
      <c r="AZ159" s="14">
        <f ca="1"/>
      </c>
      <c r="BB159">
        <f ca="1"/>
      </c>
      <c r="BC159">
        <f ca="1"/>
      </c>
      <c r="BD159">
        <f ca="1"/>
      </c>
      <c r="BF159" s="7">
        <f ca="1"/>
      </c>
      <c r="BG159" s="14">
        <f ca="1"/>
      </c>
      <c r="BH159" s="14">
        <f ca="1"/>
      </c>
      <c r="BI159" s="14">
        <f ca="1"/>
      </c>
      <c r="BJ159" s="14">
        <f ca="1"/>
      </c>
      <c r="BK159" s="14">
        <f ca="1"/>
      </c>
    </row>
    <row r="160" spans="28:63" x14ac:dyDescent="0.55000000000000004">
      <c r="AB160">
        <f ca="1"/>
      </c>
      <c r="AC160">
        <f ca="1"/>
      </c>
      <c r="AD160">
        <f ca="1"/>
      </c>
      <c r="AE160">
        <f ca="1"/>
      </c>
      <c r="AF160">
        <f ca="1"/>
      </c>
      <c r="AG160">
        <f ca="1"/>
      </c>
      <c r="AH160">
        <f ca="1"/>
      </c>
      <c r="AL160" s="7">
        <f ca="1"/>
      </c>
      <c r="AM160" s="14">
        <f ca="1"/>
      </c>
      <c r="AN160" s="14">
        <f ca="1"/>
      </c>
      <c r="AO160" s="14">
        <f ca="1"/>
      </c>
      <c r="AP160" s="14">
        <f ca="1"/>
      </c>
      <c r="AQ160" s="14">
        <f ca="1"/>
      </c>
      <c r="AR160" s="14">
        <f ca="1"/>
      </c>
      <c r="AV160" s="14">
        <f ca="1"/>
      </c>
      <c r="AW160" s="14">
        <f ca="1"/>
      </c>
      <c r="AX160" s="14">
        <f ca="1"/>
      </c>
      <c r="AY160" s="14">
        <f ca="1"/>
      </c>
      <c r="AZ160" s="14">
        <f ca="1"/>
      </c>
      <c r="BB160">
        <f ca="1"/>
      </c>
      <c r="BC160">
        <f ca="1"/>
      </c>
      <c r="BD160">
        <f ca="1"/>
      </c>
      <c r="BF160" s="7">
        <f ca="1"/>
      </c>
      <c r="BG160" s="14">
        <f ca="1"/>
      </c>
      <c r="BH160" s="14">
        <f ca="1"/>
      </c>
      <c r="BI160" s="14">
        <f ca="1"/>
      </c>
      <c r="BJ160" s="14">
        <f ca="1"/>
      </c>
      <c r="BK160" s="14">
        <f ca="1"/>
      </c>
    </row>
    <row r="161" spans="28:63" x14ac:dyDescent="0.55000000000000004">
      <c r="AB161">
        <f ca="1"/>
      </c>
      <c r="AC161">
        <f ca="1"/>
      </c>
      <c r="AD161">
        <f ca="1"/>
      </c>
      <c r="AE161">
        <f ca="1"/>
      </c>
      <c r="AF161">
        <f ca="1"/>
      </c>
      <c r="AG161">
        <f ca="1"/>
      </c>
      <c r="AH161">
        <f ca="1"/>
      </c>
      <c r="AL161" s="7">
        <f ca="1"/>
      </c>
      <c r="AM161" s="14">
        <f ca="1"/>
      </c>
      <c r="AN161" s="14">
        <f ca="1"/>
      </c>
      <c r="AO161" s="14">
        <f ca="1"/>
      </c>
      <c r="AP161" s="14">
        <f ca="1"/>
      </c>
      <c r="AQ161" s="14">
        <f ca="1"/>
      </c>
      <c r="AR161" s="14">
        <f ca="1"/>
      </c>
      <c r="AV161" s="14">
        <f ca="1"/>
      </c>
      <c r="AW161" s="14">
        <f ca="1"/>
      </c>
      <c r="AX161" s="14">
        <f ca="1"/>
      </c>
      <c r="AY161" s="14">
        <f ca="1"/>
      </c>
      <c r="AZ161" s="14">
        <f ca="1"/>
      </c>
      <c r="BB161">
        <f ca="1"/>
      </c>
      <c r="BC161">
        <f ca="1"/>
      </c>
      <c r="BD161">
        <f ca="1"/>
      </c>
      <c r="BF161" s="7">
        <f ca="1"/>
      </c>
      <c r="BG161" s="14">
        <f ca="1"/>
      </c>
      <c r="BH161" s="14">
        <f ca="1"/>
      </c>
      <c r="BI161" s="14">
        <f ca="1"/>
      </c>
      <c r="BJ161" s="14">
        <f ca="1"/>
      </c>
      <c r="BK161" s="14">
        <f ca="1"/>
      </c>
    </row>
    <row r="162" spans="28:63" x14ac:dyDescent="0.55000000000000004">
      <c r="AB162">
        <f ca="1"/>
      </c>
      <c r="AC162">
        <f ca="1"/>
      </c>
      <c r="AD162">
        <f ca="1"/>
      </c>
      <c r="AE162">
        <f ca="1"/>
      </c>
      <c r="AF162">
        <f ca="1"/>
      </c>
      <c r="AG162">
        <f ca="1"/>
      </c>
      <c r="AH162">
        <f ca="1"/>
      </c>
      <c r="AL162" s="7">
        <f ca="1"/>
      </c>
      <c r="AM162" s="14">
        <f ca="1"/>
      </c>
      <c r="AN162" s="14">
        <f ca="1"/>
      </c>
      <c r="AO162" s="14">
        <f ca="1"/>
      </c>
      <c r="AP162" s="14">
        <f ca="1"/>
      </c>
      <c r="AQ162" s="14">
        <f ca="1"/>
      </c>
      <c r="AR162" s="14">
        <f ca="1"/>
      </c>
      <c r="AV162" s="14">
        <f ca="1"/>
      </c>
      <c r="AW162" s="14">
        <f ca="1"/>
      </c>
      <c r="AX162" s="14">
        <f ca="1"/>
      </c>
      <c r="AY162" s="14">
        <f ca="1"/>
      </c>
      <c r="AZ162" s="14">
        <f ca="1"/>
      </c>
      <c r="BB162">
        <f ca="1"/>
      </c>
      <c r="BC162">
        <f ca="1"/>
      </c>
      <c r="BD162">
        <f ca="1"/>
      </c>
      <c r="BF162" s="7">
        <f ca="1"/>
      </c>
      <c r="BG162" s="14">
        <f ca="1"/>
      </c>
      <c r="BH162" s="14">
        <f ca="1"/>
      </c>
      <c r="BI162" s="14">
        <f ca="1"/>
      </c>
      <c r="BJ162" s="14">
        <f ca="1"/>
      </c>
      <c r="BK162" s="14">
        <f ca="1"/>
      </c>
    </row>
    <row r="163" spans="28:63" x14ac:dyDescent="0.55000000000000004">
      <c r="AB163">
        <f ca="1"/>
      </c>
      <c r="AC163">
        <f ca="1"/>
      </c>
      <c r="AD163">
        <f ca="1"/>
      </c>
      <c r="AE163">
        <f ca="1"/>
      </c>
      <c r="AF163">
        <f ca="1"/>
      </c>
      <c r="AG163">
        <f ca="1"/>
      </c>
      <c r="AH163">
        <f ca="1"/>
      </c>
      <c r="AL163" s="7">
        <f ca="1"/>
      </c>
      <c r="AM163" s="14">
        <f ca="1"/>
      </c>
      <c r="AN163" s="14">
        <f ca="1"/>
      </c>
      <c r="AO163" s="14">
        <f ca="1"/>
      </c>
      <c r="AP163" s="14">
        <f ca="1"/>
      </c>
      <c r="AQ163" s="14">
        <f ca="1"/>
      </c>
      <c r="AR163" s="14">
        <f ca="1"/>
      </c>
      <c r="AV163" s="14">
        <f ca="1"/>
      </c>
      <c r="AW163" s="14">
        <f ca="1"/>
      </c>
      <c r="AX163" s="14">
        <f ca="1"/>
      </c>
      <c r="AY163" s="14">
        <f ca="1"/>
      </c>
      <c r="AZ163" s="14">
        <f ca="1"/>
      </c>
      <c r="BB163">
        <f ca="1"/>
      </c>
      <c r="BC163">
        <f ca="1"/>
      </c>
      <c r="BD163">
        <f ca="1"/>
      </c>
      <c r="BF163" s="7">
        <f ca="1"/>
      </c>
      <c r="BG163" s="14">
        <f ca="1"/>
      </c>
      <c r="BH163" s="14">
        <f ca="1"/>
      </c>
      <c r="BI163" s="14">
        <f ca="1"/>
      </c>
      <c r="BJ163" s="14">
        <f ca="1"/>
      </c>
      <c r="BK163" s="14">
        <f ca="1"/>
      </c>
    </row>
    <row r="164" spans="28:63" x14ac:dyDescent="0.55000000000000004">
      <c r="AB164">
        <f ca="1"/>
      </c>
      <c r="AC164">
        <f ca="1"/>
      </c>
      <c r="AD164">
        <f ca="1"/>
      </c>
      <c r="AE164">
        <f ca="1"/>
      </c>
      <c r="AF164">
        <f ca="1"/>
      </c>
      <c r="AG164">
        <f ca="1"/>
      </c>
      <c r="AH164">
        <f ca="1"/>
      </c>
      <c r="AL164" s="7">
        <f ca="1"/>
      </c>
      <c r="AM164" s="14">
        <f ca="1"/>
      </c>
      <c r="AN164" s="14">
        <f ca="1"/>
      </c>
      <c r="AO164" s="14">
        <f ca="1"/>
      </c>
      <c r="AP164" s="14">
        <f ca="1"/>
      </c>
      <c r="AQ164" s="14">
        <f ca="1"/>
      </c>
      <c r="AR164" s="14">
        <f ca="1"/>
      </c>
      <c r="AV164" s="14">
        <f ca="1"/>
      </c>
      <c r="AW164" s="14">
        <f ca="1"/>
      </c>
      <c r="AX164" s="14">
        <f ca="1"/>
      </c>
      <c r="AY164" s="14">
        <f ca="1"/>
      </c>
      <c r="AZ164" s="14">
        <f ca="1"/>
      </c>
      <c r="BB164">
        <f ca="1"/>
      </c>
      <c r="BC164">
        <f ca="1"/>
      </c>
      <c r="BD164">
        <f ca="1"/>
      </c>
      <c r="BF164" s="7">
        <f ca="1"/>
      </c>
      <c r="BG164" s="14">
        <f ca="1"/>
      </c>
      <c r="BH164" s="14">
        <f ca="1"/>
      </c>
      <c r="BI164" s="14">
        <f ca="1"/>
      </c>
      <c r="BJ164" s="14">
        <f ca="1"/>
      </c>
      <c r="BK164" s="14">
        <f ca="1"/>
      </c>
    </row>
    <row r="165" spans="28:63" x14ac:dyDescent="0.55000000000000004">
      <c r="AB165">
        <f ca="1"/>
      </c>
      <c r="AC165">
        <f ca="1"/>
      </c>
      <c r="AD165">
        <f ca="1"/>
      </c>
      <c r="AE165">
        <f ca="1"/>
      </c>
      <c r="AF165">
        <f ca="1"/>
      </c>
      <c r="AG165">
        <f ca="1"/>
      </c>
      <c r="AH165">
        <f ca="1"/>
      </c>
      <c r="AL165" s="7">
        <f ca="1"/>
      </c>
      <c r="AM165" s="14">
        <f ca="1"/>
      </c>
      <c r="AN165" s="14">
        <f ca="1"/>
      </c>
      <c r="AO165" s="14">
        <f ca="1"/>
      </c>
      <c r="AP165" s="14">
        <f ca="1"/>
      </c>
      <c r="AQ165" s="14">
        <f ca="1"/>
      </c>
      <c r="AR165" s="14">
        <f ca="1"/>
      </c>
      <c r="AV165" s="14">
        <f ca="1"/>
      </c>
      <c r="AW165" s="14">
        <f ca="1"/>
      </c>
      <c r="AX165" s="14">
        <f ca="1"/>
      </c>
      <c r="AY165" s="14">
        <f ca="1"/>
      </c>
      <c r="AZ165" s="14">
        <f ca="1"/>
      </c>
      <c r="BB165">
        <f ca="1"/>
      </c>
      <c r="BC165">
        <f ca="1"/>
      </c>
      <c r="BD165">
        <f ca="1"/>
      </c>
      <c r="BF165" s="7">
        <f ca="1"/>
      </c>
      <c r="BG165" s="14">
        <f ca="1"/>
      </c>
      <c r="BH165" s="14">
        <f ca="1"/>
      </c>
      <c r="BI165" s="14">
        <f ca="1"/>
      </c>
      <c r="BJ165" s="14">
        <f ca="1"/>
      </c>
      <c r="BK165" s="14">
        <f ca="1"/>
      </c>
    </row>
    <row r="166" spans="28:63" x14ac:dyDescent="0.55000000000000004">
      <c r="AB166">
        <f ca="1"/>
      </c>
      <c r="AC166">
        <f ca="1"/>
      </c>
      <c r="AD166">
        <f ca="1"/>
      </c>
      <c r="AE166">
        <f ca="1"/>
      </c>
      <c r="AF166">
        <f ca="1"/>
      </c>
      <c r="AG166">
        <f ca="1"/>
      </c>
      <c r="AH166">
        <f ca="1"/>
      </c>
      <c r="AL166" s="7">
        <f ca="1"/>
      </c>
      <c r="AM166" s="14">
        <f ca="1"/>
      </c>
      <c r="AN166" s="14">
        <f ca="1"/>
      </c>
      <c r="AO166" s="14">
        <f ca="1"/>
      </c>
      <c r="AP166" s="14">
        <f ca="1"/>
      </c>
      <c r="AQ166" s="14">
        <f ca="1"/>
      </c>
      <c r="AR166" s="14">
        <f ca="1"/>
      </c>
      <c r="AV166" s="14">
        <f ca="1"/>
      </c>
      <c r="AW166" s="14">
        <f ca="1"/>
      </c>
      <c r="AX166" s="14">
        <f ca="1"/>
      </c>
      <c r="AY166" s="14">
        <f ca="1"/>
      </c>
      <c r="AZ166" s="14">
        <f ca="1"/>
      </c>
      <c r="BB166">
        <f ca="1"/>
      </c>
      <c r="BC166">
        <f ca="1"/>
      </c>
      <c r="BD166">
        <f ca="1"/>
      </c>
      <c r="BF166" s="7">
        <f ca="1"/>
      </c>
      <c r="BG166" s="14">
        <f ca="1"/>
      </c>
      <c r="BH166" s="14">
        <f ca="1"/>
      </c>
      <c r="BI166" s="14">
        <f ca="1"/>
      </c>
      <c r="BJ166" s="14">
        <f ca="1"/>
      </c>
      <c r="BK166" s="14">
        <f ca="1"/>
      </c>
    </row>
    <row r="167" spans="28:63" x14ac:dyDescent="0.55000000000000004">
      <c r="AB167">
        <f ca="1"/>
      </c>
      <c r="AC167">
        <f ca="1"/>
      </c>
      <c r="AD167">
        <f ca="1"/>
      </c>
      <c r="AE167">
        <f ca="1"/>
      </c>
      <c r="AF167">
        <f ca="1"/>
      </c>
      <c r="AG167">
        <f ca="1"/>
      </c>
      <c r="AH167">
        <f ca="1"/>
      </c>
      <c r="AL167" s="7">
        <f ca="1"/>
      </c>
      <c r="AM167" s="14">
        <f ca="1"/>
      </c>
      <c r="AN167" s="14">
        <f ca="1"/>
      </c>
      <c r="AO167" s="14">
        <f ca="1"/>
      </c>
      <c r="AP167" s="14">
        <f ca="1"/>
      </c>
      <c r="AQ167" s="14">
        <f ca="1"/>
      </c>
      <c r="AR167" s="14">
        <f ca="1"/>
      </c>
      <c r="AV167" s="14">
        <f ca="1"/>
      </c>
      <c r="AW167" s="14">
        <f ca="1"/>
      </c>
      <c r="AX167" s="14">
        <f ca="1"/>
      </c>
      <c r="AY167" s="14">
        <f ca="1"/>
      </c>
      <c r="AZ167" s="14">
        <f ca="1"/>
      </c>
      <c r="BB167">
        <f ca="1"/>
      </c>
      <c r="BC167">
        <f ca="1"/>
      </c>
      <c r="BD167">
        <f ca="1"/>
      </c>
      <c r="BF167" s="7">
        <f ca="1"/>
      </c>
      <c r="BG167" s="14">
        <f ca="1"/>
      </c>
      <c r="BH167" s="14">
        <f ca="1"/>
      </c>
      <c r="BI167" s="14">
        <f ca="1"/>
      </c>
      <c r="BJ167" s="14">
        <f ca="1"/>
      </c>
      <c r="BK167" s="14">
        <f ca="1"/>
      </c>
    </row>
    <row r="168" spans="28:63" x14ac:dyDescent="0.55000000000000004">
      <c r="AB168">
        <f ca="1"/>
      </c>
      <c r="AC168">
        <f ca="1"/>
      </c>
      <c r="AD168">
        <f ca="1"/>
      </c>
      <c r="AE168">
        <f ca="1"/>
      </c>
      <c r="AF168">
        <f ca="1"/>
      </c>
      <c r="AG168">
        <f ca="1"/>
      </c>
      <c r="AH168">
        <f ca="1"/>
      </c>
      <c r="AL168" s="7">
        <f ca="1"/>
      </c>
      <c r="AM168" s="14">
        <f ca="1"/>
      </c>
      <c r="AN168" s="14">
        <f ca="1"/>
      </c>
      <c r="AO168" s="14">
        <f ca="1"/>
      </c>
      <c r="AP168" s="14">
        <f ca="1"/>
      </c>
      <c r="AQ168" s="14">
        <f ca="1"/>
      </c>
      <c r="AR168" s="14">
        <f ca="1"/>
      </c>
      <c r="AV168" s="14">
        <f ca="1"/>
      </c>
      <c r="AW168" s="14">
        <f ca="1"/>
      </c>
      <c r="AX168" s="14">
        <f ca="1"/>
      </c>
      <c r="AY168" s="14">
        <f ca="1"/>
      </c>
      <c r="AZ168" s="14">
        <f ca="1"/>
      </c>
      <c r="BB168">
        <f ca="1"/>
      </c>
      <c r="BC168">
        <f ca="1"/>
      </c>
      <c r="BD168">
        <f ca="1"/>
      </c>
      <c r="BF168" s="7">
        <f ca="1"/>
      </c>
      <c r="BG168" s="14">
        <f ca="1"/>
      </c>
      <c r="BH168" s="14">
        <f ca="1"/>
      </c>
      <c r="BI168" s="14">
        <f ca="1"/>
      </c>
      <c r="BJ168" s="14">
        <f ca="1"/>
      </c>
      <c r="BK168" s="14">
        <f ca="1"/>
      </c>
    </row>
    <row r="169" spans="28:63" x14ac:dyDescent="0.55000000000000004">
      <c r="AB169">
        <f ca="1"/>
      </c>
      <c r="AC169">
        <f ca="1"/>
      </c>
      <c r="AD169">
        <f ca="1"/>
      </c>
      <c r="AE169">
        <f ca="1"/>
      </c>
      <c r="AF169">
        <f ca="1"/>
      </c>
      <c r="AG169">
        <f ca="1"/>
      </c>
      <c r="AH169">
        <f ca="1"/>
      </c>
      <c r="AL169" s="7">
        <f ca="1"/>
      </c>
      <c r="AM169" s="14">
        <f ca="1"/>
      </c>
      <c r="AN169" s="14">
        <f ca="1"/>
      </c>
      <c r="AO169" s="14">
        <f ca="1"/>
      </c>
      <c r="AP169" s="14">
        <f ca="1"/>
      </c>
      <c r="AQ169" s="14">
        <f ca="1"/>
      </c>
      <c r="AR169" s="14">
        <f ca="1"/>
      </c>
      <c r="AV169" s="14">
        <f ca="1"/>
      </c>
      <c r="AW169" s="14">
        <f ca="1"/>
      </c>
      <c r="AX169" s="14">
        <f ca="1"/>
      </c>
      <c r="AY169" s="14">
        <f ca="1"/>
      </c>
      <c r="AZ169" s="14">
        <f ca="1"/>
      </c>
      <c r="BB169">
        <f ca="1"/>
      </c>
      <c r="BC169">
        <f ca="1"/>
      </c>
      <c r="BD169">
        <f ca="1"/>
      </c>
      <c r="BF169" s="7">
        <f ca="1"/>
      </c>
      <c r="BG169" s="14">
        <f ca="1"/>
      </c>
      <c r="BH169" s="14">
        <f ca="1"/>
      </c>
      <c r="BI169" s="14">
        <f ca="1"/>
      </c>
      <c r="BJ169" s="14">
        <f ca="1"/>
      </c>
      <c r="BK169" s="14">
        <f ca="1"/>
      </c>
    </row>
    <row r="170" spans="28:63" x14ac:dyDescent="0.55000000000000004">
      <c r="AB170">
        <f ca="1"/>
      </c>
      <c r="AC170">
        <f ca="1"/>
      </c>
      <c r="AD170">
        <f ca="1"/>
      </c>
      <c r="AE170">
        <f ca="1"/>
      </c>
      <c r="AF170">
        <f ca="1"/>
      </c>
      <c r="AG170">
        <f ca="1"/>
      </c>
      <c r="AH170">
        <f ca="1"/>
      </c>
      <c r="AL170" s="7">
        <f ca="1"/>
      </c>
      <c r="AM170" s="14">
        <f ca="1"/>
      </c>
      <c r="AN170" s="14">
        <f ca="1"/>
      </c>
      <c r="AO170" s="14">
        <f ca="1"/>
      </c>
      <c r="AP170" s="14">
        <f ca="1"/>
      </c>
      <c r="AQ170" s="14">
        <f ca="1"/>
      </c>
      <c r="AR170" s="14">
        <f ca="1"/>
      </c>
      <c r="AV170" s="14">
        <f ca="1"/>
      </c>
      <c r="AW170" s="14">
        <f ca="1"/>
      </c>
      <c r="AX170" s="14">
        <f ca="1"/>
      </c>
      <c r="AY170" s="14">
        <f ca="1"/>
      </c>
      <c r="AZ170" s="14">
        <f ca="1"/>
      </c>
      <c r="BB170">
        <f ca="1"/>
      </c>
      <c r="BC170">
        <f ca="1"/>
      </c>
      <c r="BD170">
        <f ca="1"/>
      </c>
      <c r="BF170" s="7">
        <f ca="1"/>
      </c>
      <c r="BG170" s="14">
        <f ca="1"/>
      </c>
      <c r="BH170" s="14">
        <f ca="1"/>
      </c>
      <c r="BI170" s="14">
        <f ca="1"/>
      </c>
      <c r="BJ170" s="14">
        <f ca="1"/>
      </c>
      <c r="BK170" s="14">
        <f ca="1"/>
      </c>
    </row>
    <row r="171" spans="28:63" x14ac:dyDescent="0.55000000000000004">
      <c r="AB171">
        <f ca="1"/>
      </c>
      <c r="AC171">
        <f ca="1"/>
      </c>
      <c r="AD171">
        <f ca="1"/>
      </c>
      <c r="AE171">
        <f ca="1"/>
      </c>
      <c r="AF171">
        <f ca="1"/>
      </c>
      <c r="AG171">
        <f ca="1"/>
      </c>
      <c r="AH171">
        <f ca="1"/>
      </c>
      <c r="AL171" s="7">
        <f ca="1"/>
      </c>
      <c r="AM171" s="14">
        <f ca="1"/>
      </c>
      <c r="AN171" s="14">
        <f ca="1"/>
      </c>
      <c r="AO171" s="14">
        <f ca="1"/>
      </c>
      <c r="AP171" s="14">
        <f ca="1"/>
      </c>
      <c r="AQ171" s="14">
        <f ca="1"/>
      </c>
      <c r="AR171" s="14">
        <f ca="1"/>
      </c>
      <c r="AV171" s="14">
        <f ca="1"/>
      </c>
      <c r="AW171" s="14">
        <f ca="1"/>
      </c>
      <c r="AX171" s="14">
        <f ca="1"/>
      </c>
      <c r="AY171" s="14">
        <f ca="1"/>
      </c>
      <c r="AZ171" s="14">
        <f ca="1"/>
      </c>
      <c r="BB171">
        <f ca="1"/>
      </c>
      <c r="BC171">
        <f ca="1"/>
      </c>
      <c r="BD171">
        <f ca="1"/>
      </c>
      <c r="BF171" s="7">
        <f ca="1"/>
      </c>
      <c r="BG171" s="14">
        <f ca="1"/>
      </c>
      <c r="BH171" s="14">
        <f ca="1"/>
      </c>
      <c r="BI171" s="14">
        <f ca="1"/>
      </c>
      <c r="BJ171" s="14">
        <f ca="1"/>
      </c>
      <c r="BK171" s="14">
        <f ca="1"/>
      </c>
    </row>
    <row r="172" spans="28:63" x14ac:dyDescent="0.55000000000000004">
      <c r="AB172">
        <f ca="1"/>
      </c>
      <c r="AC172">
        <f ca="1"/>
      </c>
      <c r="AD172">
        <f ca="1"/>
      </c>
      <c r="AE172">
        <f ca="1"/>
      </c>
      <c r="AF172">
        <f ca="1"/>
      </c>
      <c r="AG172">
        <f ca="1"/>
      </c>
      <c r="AH172">
        <f ca="1"/>
      </c>
      <c r="AL172" s="7">
        <f ca="1"/>
      </c>
      <c r="AM172" s="14">
        <f ca="1"/>
      </c>
      <c r="AN172" s="14">
        <f ca="1"/>
      </c>
      <c r="AO172" s="14">
        <f ca="1"/>
      </c>
      <c r="AP172" s="14">
        <f ca="1"/>
      </c>
      <c r="AQ172" s="14">
        <f ca="1"/>
      </c>
      <c r="AR172" s="14">
        <f ca="1"/>
      </c>
      <c r="AV172" s="14">
        <f ca="1"/>
      </c>
      <c r="AW172" s="14">
        <f ca="1"/>
      </c>
      <c r="AX172" s="14">
        <f ca="1"/>
      </c>
      <c r="AY172" s="14">
        <f ca="1"/>
      </c>
      <c r="AZ172" s="14">
        <f ca="1"/>
      </c>
      <c r="BB172">
        <f ca="1"/>
      </c>
      <c r="BC172">
        <f ca="1"/>
      </c>
      <c r="BD172">
        <f ca="1"/>
      </c>
      <c r="BF172" s="7">
        <f ca="1"/>
      </c>
      <c r="BG172" s="14">
        <f ca="1"/>
      </c>
      <c r="BH172" s="14">
        <f ca="1"/>
      </c>
      <c r="BI172" s="14">
        <f ca="1"/>
      </c>
      <c r="BJ172" s="14">
        <f ca="1"/>
      </c>
      <c r="BK172" s="14">
        <f ca="1"/>
      </c>
    </row>
    <row r="173" spans="28:63" x14ac:dyDescent="0.55000000000000004">
      <c r="AB173">
        <f ca="1"/>
      </c>
      <c r="AC173">
        <f ca="1"/>
      </c>
      <c r="AD173">
        <f ca="1"/>
      </c>
      <c r="AE173">
        <f ca="1"/>
      </c>
      <c r="AF173">
        <f ca="1"/>
      </c>
      <c r="AG173">
        <f ca="1"/>
      </c>
      <c r="AH173">
        <f ca="1"/>
      </c>
      <c r="AL173" s="7">
        <f ca="1"/>
      </c>
      <c r="AM173" s="14">
        <f ca="1"/>
      </c>
      <c r="AN173" s="14">
        <f ca="1"/>
      </c>
      <c r="AO173" s="14">
        <f ca="1"/>
      </c>
      <c r="AP173" s="14">
        <f ca="1"/>
      </c>
      <c r="AQ173" s="14">
        <f ca="1"/>
      </c>
      <c r="AR173" s="14">
        <f ca="1"/>
      </c>
      <c r="AV173" s="14">
        <f ca="1"/>
      </c>
      <c r="AW173" s="14">
        <f ca="1"/>
      </c>
      <c r="AX173" s="14">
        <f ca="1"/>
      </c>
      <c r="AY173" s="14">
        <f ca="1"/>
      </c>
      <c r="AZ173" s="14">
        <f ca="1"/>
      </c>
      <c r="BB173">
        <f ca="1"/>
      </c>
      <c r="BC173">
        <f ca="1"/>
      </c>
      <c r="BD173">
        <f ca="1"/>
      </c>
      <c r="BF173" s="7">
        <f ca="1"/>
      </c>
      <c r="BG173" s="14">
        <f ca="1"/>
      </c>
      <c r="BH173" s="14">
        <f ca="1"/>
      </c>
      <c r="BI173" s="14">
        <f ca="1"/>
      </c>
      <c r="BJ173" s="14">
        <f ca="1"/>
      </c>
      <c r="BK173" s="14">
        <f ca="1"/>
      </c>
    </row>
    <row r="174" spans="28:63" x14ac:dyDescent="0.55000000000000004">
      <c r="AB174">
        <f ca="1"/>
      </c>
      <c r="AC174">
        <f ca="1"/>
      </c>
      <c r="AD174">
        <f ca="1"/>
      </c>
      <c r="AE174">
        <f ca="1"/>
      </c>
      <c r="AF174">
        <f ca="1"/>
      </c>
      <c r="AG174">
        <f ca="1"/>
      </c>
      <c r="AH174">
        <f ca="1"/>
      </c>
      <c r="AL174" s="7">
        <f ca="1"/>
      </c>
      <c r="AM174" s="14">
        <f ca="1"/>
      </c>
      <c r="AN174" s="14">
        <f ca="1"/>
      </c>
      <c r="AO174" s="14">
        <f ca="1"/>
      </c>
      <c r="AP174" s="14">
        <f ca="1"/>
      </c>
      <c r="AQ174" s="14">
        <f ca="1"/>
      </c>
      <c r="AR174" s="14">
        <f ca="1"/>
      </c>
      <c r="AV174" s="14">
        <f ca="1"/>
      </c>
      <c r="AW174" s="14">
        <f ca="1"/>
      </c>
      <c r="AX174" s="14">
        <f ca="1"/>
      </c>
      <c r="AY174" s="14">
        <f ca="1"/>
      </c>
      <c r="AZ174" s="14">
        <f ca="1"/>
      </c>
      <c r="BB174">
        <f ca="1"/>
      </c>
      <c r="BC174">
        <f ca="1"/>
      </c>
      <c r="BD174">
        <f ca="1"/>
      </c>
      <c r="BF174" s="7">
        <f ca="1"/>
      </c>
      <c r="BG174" s="14">
        <f ca="1"/>
      </c>
      <c r="BH174" s="14">
        <f ca="1"/>
      </c>
      <c r="BI174" s="14">
        <f ca="1"/>
      </c>
      <c r="BJ174" s="14">
        <f ca="1"/>
      </c>
      <c r="BK174" s="14">
        <f ca="1"/>
      </c>
    </row>
    <row r="175" spans="28:63" x14ac:dyDescent="0.55000000000000004">
      <c r="AB175">
        <f ca="1"/>
      </c>
      <c r="AC175">
        <f ca="1"/>
      </c>
      <c r="AD175">
        <f ca="1"/>
      </c>
      <c r="AE175">
        <f ca="1"/>
      </c>
      <c r="AF175">
        <f ca="1"/>
      </c>
      <c r="AG175">
        <f ca="1"/>
      </c>
      <c r="AH175">
        <f ca="1"/>
      </c>
      <c r="AL175" s="7">
        <f ca="1"/>
      </c>
      <c r="AM175" s="14">
        <f ca="1"/>
      </c>
      <c r="AN175" s="14">
        <f ca="1"/>
      </c>
      <c r="AO175" s="14">
        <f ca="1"/>
      </c>
      <c r="AP175" s="14">
        <f ca="1"/>
      </c>
      <c r="AQ175" s="14">
        <f ca="1"/>
      </c>
      <c r="AR175" s="14">
        <f ca="1"/>
      </c>
      <c r="AV175" s="14">
        <f ca="1"/>
      </c>
      <c r="AW175" s="14">
        <f ca="1"/>
      </c>
      <c r="AX175" s="14">
        <f ca="1"/>
      </c>
      <c r="AY175" s="14">
        <f ca="1"/>
      </c>
      <c r="AZ175" s="14">
        <f ca="1"/>
      </c>
      <c r="BB175">
        <f ca="1"/>
      </c>
      <c r="BC175">
        <f ca="1"/>
      </c>
      <c r="BD175">
        <f ca="1"/>
      </c>
      <c r="BF175" s="7">
        <f ca="1"/>
      </c>
      <c r="BG175" s="14">
        <f ca="1"/>
      </c>
      <c r="BH175" s="14">
        <f ca="1"/>
      </c>
      <c r="BI175" s="14">
        <f ca="1"/>
      </c>
      <c r="BJ175" s="14">
        <f ca="1"/>
      </c>
      <c r="BK175" s="14">
        <f ca="1"/>
      </c>
    </row>
    <row r="176" spans="28:63" x14ac:dyDescent="0.55000000000000004">
      <c r="AB176">
        <f ca="1"/>
      </c>
      <c r="AC176">
        <f ca="1"/>
      </c>
      <c r="AD176">
        <f ca="1"/>
      </c>
      <c r="AE176">
        <f ca="1"/>
      </c>
      <c r="AF176">
        <f ca="1"/>
      </c>
      <c r="AG176">
        <f ca="1"/>
      </c>
      <c r="AH176">
        <f ca="1"/>
      </c>
      <c r="AL176" s="7">
        <f ca="1"/>
      </c>
      <c r="AM176" s="14">
        <f ca="1"/>
      </c>
      <c r="AN176" s="14">
        <f ca="1"/>
      </c>
      <c r="AO176" s="14">
        <f ca="1"/>
      </c>
      <c r="AP176" s="14">
        <f ca="1"/>
      </c>
      <c r="AQ176" s="14">
        <f ca="1"/>
      </c>
      <c r="AR176" s="14">
        <f ca="1"/>
      </c>
      <c r="AV176" s="14">
        <f ca="1"/>
      </c>
      <c r="AW176" s="14">
        <f ca="1"/>
      </c>
      <c r="AX176" s="14">
        <f ca="1"/>
      </c>
      <c r="AY176" s="14">
        <f ca="1"/>
      </c>
      <c r="AZ176" s="14">
        <f ca="1"/>
      </c>
      <c r="BB176">
        <f ca="1"/>
      </c>
      <c r="BC176">
        <f ca="1"/>
      </c>
      <c r="BD176">
        <f ca="1"/>
      </c>
      <c r="BF176" s="7">
        <f ca="1"/>
      </c>
      <c r="BG176" s="14">
        <f ca="1"/>
      </c>
      <c r="BH176" s="14">
        <f ca="1"/>
      </c>
      <c r="BI176" s="14">
        <f ca="1"/>
      </c>
      <c r="BJ176" s="14">
        <f ca="1"/>
      </c>
      <c r="BK176" s="14">
        <f ca="1"/>
      </c>
    </row>
    <row r="177" spans="28:63" x14ac:dyDescent="0.55000000000000004">
      <c r="AB177">
        <f ca="1"/>
      </c>
      <c r="AC177">
        <f ca="1"/>
      </c>
      <c r="AD177">
        <f ca="1"/>
      </c>
      <c r="AE177">
        <f ca="1"/>
      </c>
      <c r="AF177">
        <f ca="1"/>
      </c>
      <c r="AG177">
        <f ca="1"/>
      </c>
      <c r="AH177">
        <f ca="1"/>
      </c>
      <c r="AL177" s="7">
        <f ca="1"/>
      </c>
      <c r="AM177" s="14">
        <f ca="1"/>
      </c>
      <c r="AN177" s="14">
        <f ca="1"/>
      </c>
      <c r="AO177" s="14">
        <f ca="1"/>
      </c>
      <c r="AP177" s="14">
        <f ca="1"/>
      </c>
      <c r="AQ177" s="14">
        <f ca="1"/>
      </c>
      <c r="AR177" s="14">
        <f ca="1"/>
      </c>
      <c r="AV177" s="14">
        <f ca="1"/>
      </c>
      <c r="AW177" s="14">
        <f ca="1"/>
      </c>
      <c r="AX177" s="14">
        <f ca="1"/>
      </c>
      <c r="AY177" s="14">
        <f ca="1"/>
      </c>
      <c r="AZ177" s="14">
        <f ca="1"/>
      </c>
      <c r="BB177">
        <f ca="1"/>
      </c>
      <c r="BC177">
        <f ca="1"/>
      </c>
      <c r="BD177">
        <f ca="1"/>
      </c>
      <c r="BF177" s="7">
        <f ca="1"/>
      </c>
      <c r="BG177" s="14">
        <f ca="1"/>
      </c>
      <c r="BH177" s="14">
        <f ca="1"/>
      </c>
      <c r="BI177" s="14">
        <f ca="1"/>
      </c>
      <c r="BJ177" s="14">
        <f ca="1"/>
      </c>
      <c r="BK177" s="14">
        <f ca="1"/>
      </c>
    </row>
    <row r="178" spans="28:63" x14ac:dyDescent="0.55000000000000004">
      <c r="AB178">
        <f ca="1"/>
      </c>
      <c r="AC178">
        <f ca="1"/>
      </c>
      <c r="AD178">
        <f ca="1"/>
      </c>
      <c r="AE178">
        <f ca="1"/>
      </c>
      <c r="AF178">
        <f ca="1"/>
      </c>
      <c r="AG178">
        <f ca="1"/>
      </c>
      <c r="AH178">
        <f ca="1"/>
      </c>
      <c r="AL178" s="7">
        <f ca="1"/>
      </c>
      <c r="AM178" s="14">
        <f ca="1"/>
      </c>
      <c r="AN178" s="14">
        <f ca="1"/>
      </c>
      <c r="AO178" s="14">
        <f ca="1"/>
      </c>
      <c r="AP178" s="14">
        <f ca="1"/>
      </c>
      <c r="AQ178" s="14">
        <f ca="1"/>
      </c>
      <c r="AR178" s="14">
        <f ca="1"/>
      </c>
      <c r="AV178" s="14">
        <f ca="1"/>
      </c>
      <c r="AW178" s="14">
        <f ca="1"/>
      </c>
      <c r="AX178" s="14">
        <f ca="1"/>
      </c>
      <c r="AY178" s="14">
        <f ca="1"/>
      </c>
      <c r="AZ178" s="14">
        <f ca="1"/>
      </c>
      <c r="BB178">
        <f ca="1"/>
      </c>
      <c r="BC178">
        <f ca="1"/>
      </c>
      <c r="BD178">
        <f ca="1"/>
      </c>
      <c r="BF178" s="7">
        <f ca="1"/>
      </c>
      <c r="BG178" s="14">
        <f ca="1"/>
      </c>
      <c r="BH178" s="14">
        <f ca="1"/>
      </c>
      <c r="BI178" s="14">
        <f ca="1"/>
      </c>
      <c r="BJ178" s="14">
        <f ca="1"/>
      </c>
      <c r="BK178" s="14">
        <f ca="1"/>
      </c>
    </row>
    <row r="179" spans="28:63" x14ac:dyDescent="0.55000000000000004">
      <c r="AB179">
        <f ca="1"/>
      </c>
      <c r="AC179">
        <f ca="1"/>
      </c>
      <c r="AD179">
        <f ca="1"/>
      </c>
      <c r="AE179">
        <f ca="1"/>
      </c>
      <c r="AF179">
        <f ca="1"/>
      </c>
      <c r="AG179">
        <f ca="1"/>
      </c>
      <c r="AH179">
        <f ca="1"/>
      </c>
      <c r="AL179" s="7">
        <f ca="1"/>
      </c>
      <c r="AM179" s="14">
        <f ca="1"/>
      </c>
      <c r="AN179" s="14">
        <f ca="1"/>
      </c>
      <c r="AO179" s="14">
        <f ca="1"/>
      </c>
      <c r="AP179" s="14">
        <f ca="1"/>
      </c>
      <c r="AQ179" s="14">
        <f ca="1"/>
      </c>
      <c r="AR179" s="14">
        <f ca="1"/>
      </c>
      <c r="AV179" s="14">
        <f ca="1"/>
      </c>
      <c r="AW179" s="14">
        <f ca="1"/>
      </c>
      <c r="AX179" s="14">
        <f ca="1"/>
      </c>
      <c r="AY179" s="14">
        <f ca="1"/>
      </c>
      <c r="AZ179" s="14">
        <f ca="1"/>
      </c>
      <c r="BB179">
        <f ca="1"/>
      </c>
      <c r="BC179">
        <f ca="1"/>
      </c>
      <c r="BD179">
        <f ca="1"/>
      </c>
      <c r="BF179" s="7">
        <f ca="1"/>
      </c>
      <c r="BG179" s="14">
        <f ca="1"/>
      </c>
      <c r="BH179" s="14">
        <f ca="1"/>
      </c>
      <c r="BI179" s="14">
        <f ca="1"/>
      </c>
      <c r="BJ179" s="14">
        <f ca="1"/>
      </c>
      <c r="BK179" s="14">
        <f ca="1"/>
      </c>
    </row>
    <row r="180" spans="28:63" x14ac:dyDescent="0.55000000000000004">
      <c r="AB180">
        <f ca="1"/>
      </c>
      <c r="AC180">
        <f ca="1"/>
      </c>
      <c r="AD180">
        <f ca="1"/>
      </c>
      <c r="AE180">
        <f ca="1"/>
      </c>
      <c r="AF180">
        <f ca="1"/>
      </c>
      <c r="AG180">
        <f ca="1"/>
      </c>
      <c r="AH180">
        <f ca="1"/>
      </c>
      <c r="AL180" s="7">
        <f ca="1"/>
      </c>
      <c r="AM180" s="14">
        <f ca="1"/>
      </c>
      <c r="AN180" s="14">
        <f ca="1"/>
      </c>
      <c r="AO180" s="14">
        <f ca="1"/>
      </c>
      <c r="AP180" s="14">
        <f ca="1"/>
      </c>
      <c r="AQ180" s="14">
        <f ca="1"/>
      </c>
      <c r="AR180" s="14">
        <f ca="1"/>
      </c>
      <c r="AV180" s="14">
        <f ca="1"/>
      </c>
      <c r="AW180" s="14">
        <f ca="1"/>
      </c>
      <c r="AX180" s="14">
        <f ca="1"/>
      </c>
      <c r="AY180" s="14">
        <f ca="1"/>
      </c>
      <c r="AZ180" s="14">
        <f ca="1"/>
      </c>
      <c r="BB180">
        <f ca="1"/>
      </c>
      <c r="BC180">
        <f ca="1"/>
      </c>
      <c r="BD180">
        <f ca="1"/>
      </c>
      <c r="BF180" s="7">
        <f ca="1"/>
      </c>
      <c r="BG180" s="14">
        <f ca="1"/>
      </c>
      <c r="BH180" s="14">
        <f ca="1"/>
      </c>
      <c r="BI180" s="14">
        <f ca="1"/>
      </c>
      <c r="BJ180" s="14">
        <f ca="1"/>
      </c>
      <c r="BK180" s="14">
        <f ca="1"/>
      </c>
    </row>
    <row r="181" spans="28:63" x14ac:dyDescent="0.55000000000000004">
      <c r="AB181">
        <f ca="1"/>
      </c>
      <c r="AC181">
        <f ca="1"/>
      </c>
      <c r="AD181">
        <f ca="1"/>
      </c>
      <c r="AE181">
        <f ca="1"/>
      </c>
      <c r="AF181">
        <f ca="1"/>
      </c>
      <c r="AG181">
        <f ca="1"/>
      </c>
      <c r="AH181">
        <f ca="1"/>
      </c>
      <c r="AL181" s="7">
        <f ca="1"/>
      </c>
      <c r="AM181" s="14">
        <f ca="1"/>
      </c>
      <c r="AN181" s="14">
        <f ca="1"/>
      </c>
      <c r="AO181" s="14">
        <f ca="1"/>
      </c>
      <c r="AP181" s="14">
        <f ca="1"/>
      </c>
      <c r="AQ181" s="14">
        <f ca="1"/>
      </c>
      <c r="AR181" s="14">
        <f ca="1"/>
      </c>
      <c r="AV181" s="14">
        <f ca="1"/>
      </c>
      <c r="AW181" s="14">
        <f ca="1"/>
      </c>
      <c r="AX181" s="14">
        <f ca="1"/>
      </c>
      <c r="AY181" s="14">
        <f ca="1"/>
      </c>
      <c r="AZ181" s="14">
        <f ca="1"/>
      </c>
      <c r="BB181">
        <f ca="1"/>
      </c>
      <c r="BC181">
        <f ca="1"/>
      </c>
      <c r="BD181">
        <f ca="1"/>
      </c>
      <c r="BF181" s="7">
        <f ca="1"/>
      </c>
      <c r="BG181" s="14">
        <f ca="1"/>
      </c>
      <c r="BH181" s="14">
        <f ca="1"/>
      </c>
      <c r="BI181" s="14">
        <f ca="1"/>
      </c>
      <c r="BJ181" s="14">
        <f ca="1"/>
      </c>
      <c r="BK181" s="14">
        <f ca="1"/>
      </c>
    </row>
    <row r="182" spans="28:63" x14ac:dyDescent="0.55000000000000004">
      <c r="AB182">
        <f ca="1"/>
      </c>
      <c r="AC182">
        <f ca="1"/>
      </c>
      <c r="AD182">
        <f ca="1"/>
      </c>
      <c r="AE182">
        <f ca="1"/>
      </c>
      <c r="AF182">
        <f ca="1"/>
      </c>
      <c r="AG182">
        <f ca="1"/>
      </c>
      <c r="AH182">
        <f ca="1"/>
      </c>
      <c r="AL182" s="7">
        <f ca="1"/>
      </c>
      <c r="AM182" s="14">
        <f ca="1"/>
      </c>
      <c r="AN182" s="14">
        <f ca="1"/>
      </c>
      <c r="AO182" s="14">
        <f ca="1"/>
      </c>
      <c r="AP182" s="14">
        <f ca="1"/>
      </c>
      <c r="AQ182" s="14">
        <f ca="1"/>
      </c>
      <c r="AR182" s="14">
        <f ca="1"/>
      </c>
      <c r="AV182" s="14">
        <f ca="1"/>
      </c>
      <c r="AW182" s="14">
        <f ca="1"/>
      </c>
      <c r="AX182" s="14">
        <f ca="1"/>
      </c>
      <c r="AY182" s="14">
        <f ca="1"/>
      </c>
      <c r="AZ182" s="14">
        <f ca="1"/>
      </c>
      <c r="BB182">
        <f ca="1"/>
      </c>
      <c r="BC182">
        <f ca="1"/>
      </c>
      <c r="BD182">
        <f ca="1"/>
      </c>
      <c r="BF182" s="7">
        <f ca="1"/>
      </c>
      <c r="BG182" s="14">
        <f ca="1"/>
      </c>
      <c r="BH182" s="14">
        <f ca="1"/>
      </c>
      <c r="BI182" s="14">
        <f ca="1"/>
      </c>
      <c r="BJ182" s="14">
        <f ca="1"/>
      </c>
      <c r="BK182" s="14">
        <f ca="1"/>
      </c>
    </row>
    <row r="183" spans="28:63" x14ac:dyDescent="0.55000000000000004">
      <c r="AB183">
        <f ca="1"/>
      </c>
      <c r="AC183">
        <f ca="1"/>
      </c>
      <c r="AD183">
        <f ca="1"/>
      </c>
      <c r="AE183">
        <f ca="1"/>
      </c>
      <c r="AF183">
        <f ca="1"/>
      </c>
      <c r="AG183">
        <f ca="1"/>
      </c>
      <c r="AH183">
        <f ca="1"/>
      </c>
      <c r="AL183" s="7">
        <f ca="1"/>
      </c>
      <c r="AM183" s="14">
        <f ca="1"/>
      </c>
      <c r="AN183" s="14">
        <f ca="1"/>
      </c>
      <c r="AO183" s="14">
        <f ca="1"/>
      </c>
      <c r="AP183" s="14">
        <f ca="1"/>
      </c>
      <c r="AQ183" s="14">
        <f ca="1"/>
      </c>
      <c r="AR183" s="14">
        <f ca="1"/>
      </c>
      <c r="AV183" s="14">
        <f ca="1"/>
      </c>
      <c r="AW183" s="14">
        <f ca="1"/>
      </c>
      <c r="AX183" s="14">
        <f ca="1"/>
      </c>
      <c r="AY183" s="14">
        <f ca="1"/>
      </c>
      <c r="AZ183" s="14">
        <f ca="1"/>
      </c>
      <c r="BB183">
        <f ca="1"/>
      </c>
      <c r="BC183">
        <f ca="1"/>
      </c>
      <c r="BD183">
        <f ca="1"/>
      </c>
      <c r="BF183" s="7">
        <f ca="1"/>
      </c>
      <c r="BG183" s="14">
        <f ca="1"/>
      </c>
      <c r="BH183" s="14">
        <f ca="1"/>
      </c>
      <c r="BI183" s="14">
        <f ca="1"/>
      </c>
      <c r="BJ183" s="14">
        <f ca="1"/>
      </c>
      <c r="BK183" s="14">
        <f ca="1"/>
      </c>
    </row>
    <row r="184" spans="28:63" x14ac:dyDescent="0.55000000000000004">
      <c r="AB184">
        <f ca="1"/>
      </c>
      <c r="AC184">
        <f ca="1"/>
      </c>
      <c r="AD184">
        <f ca="1"/>
      </c>
      <c r="AE184">
        <f ca="1"/>
      </c>
      <c r="AF184">
        <f ca="1"/>
      </c>
      <c r="AG184">
        <f ca="1"/>
      </c>
      <c r="AH184">
        <f ca="1"/>
      </c>
      <c r="AL184" s="7">
        <f ca="1"/>
      </c>
      <c r="AM184" s="14">
        <f ca="1"/>
      </c>
      <c r="AN184" s="14">
        <f ca="1"/>
      </c>
      <c r="AO184" s="14">
        <f ca="1"/>
      </c>
      <c r="AP184" s="14">
        <f ca="1"/>
      </c>
      <c r="AQ184" s="14">
        <f ca="1"/>
      </c>
      <c r="AR184" s="14">
        <f ca="1"/>
      </c>
      <c r="AV184" s="14">
        <f ca="1"/>
      </c>
      <c r="AW184" s="14">
        <f ca="1"/>
      </c>
      <c r="AX184" s="14">
        <f ca="1"/>
      </c>
      <c r="AY184" s="14">
        <f ca="1"/>
      </c>
      <c r="AZ184" s="14">
        <f ca="1"/>
      </c>
      <c r="BB184">
        <f ca="1"/>
      </c>
      <c r="BC184">
        <f ca="1"/>
      </c>
      <c r="BD184">
        <f ca="1"/>
      </c>
      <c r="BF184" s="7">
        <f ca="1"/>
      </c>
      <c r="BG184" s="14">
        <f ca="1"/>
      </c>
      <c r="BH184" s="14">
        <f ca="1"/>
      </c>
      <c r="BI184" s="14">
        <f ca="1"/>
      </c>
      <c r="BJ184" s="14">
        <f ca="1"/>
      </c>
      <c r="BK184" s="14">
        <f ca="1"/>
      </c>
    </row>
    <row r="185" spans="28:63" x14ac:dyDescent="0.55000000000000004">
      <c r="AB185">
        <f ca="1"/>
      </c>
      <c r="AC185">
        <f ca="1"/>
      </c>
      <c r="AD185">
        <f ca="1"/>
      </c>
      <c r="AE185">
        <f ca="1"/>
      </c>
      <c r="AF185">
        <f ca="1"/>
      </c>
      <c r="AG185">
        <f ca="1"/>
      </c>
      <c r="AH185">
        <f ca="1"/>
      </c>
      <c r="AL185" s="7">
        <f ca="1"/>
      </c>
      <c r="AM185" s="14">
        <f ca="1"/>
      </c>
      <c r="AN185" s="14">
        <f ca="1"/>
      </c>
      <c r="AO185" s="14">
        <f ca="1"/>
      </c>
      <c r="AP185" s="14">
        <f ca="1"/>
      </c>
      <c r="AQ185" s="14">
        <f ca="1"/>
      </c>
      <c r="AR185" s="14">
        <f ca="1"/>
      </c>
      <c r="AV185" s="14">
        <f ca="1"/>
      </c>
      <c r="AW185" s="14">
        <f ca="1"/>
      </c>
      <c r="AX185" s="14">
        <f ca="1"/>
      </c>
      <c r="AY185" s="14">
        <f ca="1"/>
      </c>
      <c r="AZ185" s="14">
        <f ca="1"/>
      </c>
      <c r="BB185">
        <f ca="1"/>
      </c>
      <c r="BC185">
        <f ca="1"/>
      </c>
      <c r="BD185">
        <f ca="1"/>
      </c>
      <c r="BF185" s="7">
        <f ca="1"/>
      </c>
      <c r="BG185" s="14">
        <f ca="1"/>
      </c>
      <c r="BH185" s="14">
        <f ca="1"/>
      </c>
      <c r="BI185" s="14">
        <f ca="1"/>
      </c>
      <c r="BJ185" s="14">
        <f ca="1"/>
      </c>
      <c r="BK185" s="14">
        <f ca="1"/>
      </c>
    </row>
    <row r="186" spans="28:63" x14ac:dyDescent="0.55000000000000004">
      <c r="AB186">
        <f ca="1"/>
      </c>
      <c r="AC186">
        <f ca="1"/>
      </c>
      <c r="AD186">
        <f ca="1"/>
      </c>
      <c r="AE186">
        <f ca="1"/>
      </c>
      <c r="AF186">
        <f ca="1"/>
      </c>
      <c r="AG186">
        <f ca="1"/>
      </c>
      <c r="AH186">
        <f ca="1"/>
      </c>
      <c r="AL186" s="7">
        <f ca="1"/>
      </c>
      <c r="AM186" s="14">
        <f ca="1"/>
      </c>
      <c r="AN186" s="14">
        <f ca="1"/>
      </c>
      <c r="AO186" s="14">
        <f ca="1"/>
      </c>
      <c r="AP186" s="14">
        <f ca="1"/>
      </c>
      <c r="AQ186" s="14">
        <f ca="1"/>
      </c>
      <c r="AR186" s="14">
        <f ca="1"/>
      </c>
      <c r="AV186" s="14">
        <f ca="1"/>
      </c>
      <c r="AW186" s="14">
        <f ca="1"/>
      </c>
      <c r="AX186" s="14">
        <f ca="1"/>
      </c>
      <c r="AY186" s="14">
        <f ca="1"/>
      </c>
      <c r="AZ186" s="14">
        <f ca="1"/>
      </c>
      <c r="BB186">
        <f ca="1"/>
      </c>
      <c r="BC186">
        <f ca="1"/>
      </c>
      <c r="BD186">
        <f ca="1"/>
      </c>
      <c r="BF186" s="7">
        <f ca="1"/>
      </c>
      <c r="BG186" s="14">
        <f ca="1"/>
      </c>
      <c r="BH186" s="14">
        <f ca="1"/>
      </c>
      <c r="BI186" s="14">
        <f ca="1"/>
      </c>
      <c r="BJ186" s="14">
        <f ca="1"/>
      </c>
      <c r="BK186" s="14">
        <f ca="1"/>
      </c>
    </row>
    <row r="187" spans="28:63" x14ac:dyDescent="0.55000000000000004">
      <c r="AB187">
        <f ca="1"/>
      </c>
      <c r="AC187">
        <f ca="1"/>
      </c>
      <c r="AD187">
        <f ca="1"/>
      </c>
      <c r="AE187">
        <f ca="1"/>
      </c>
      <c r="AF187">
        <f ca="1"/>
      </c>
      <c r="AG187">
        <f ca="1"/>
      </c>
      <c r="AH187">
        <f ca="1"/>
      </c>
      <c r="AL187" s="7">
        <f ca="1"/>
      </c>
      <c r="AM187" s="14">
        <f ca="1"/>
      </c>
      <c r="AN187" s="14">
        <f ca="1"/>
      </c>
      <c r="AO187" s="14">
        <f ca="1"/>
      </c>
      <c r="AP187" s="14">
        <f ca="1"/>
      </c>
      <c r="AQ187" s="14">
        <f ca="1"/>
      </c>
      <c r="AR187" s="14">
        <f ca="1"/>
      </c>
      <c r="AV187" s="14">
        <f ca="1"/>
      </c>
      <c r="AW187" s="14">
        <f ca="1"/>
      </c>
      <c r="AX187" s="14">
        <f ca="1"/>
      </c>
      <c r="AY187" s="14">
        <f ca="1"/>
      </c>
      <c r="AZ187" s="14">
        <f ca="1"/>
      </c>
      <c r="BB187">
        <f ca="1"/>
      </c>
      <c r="BC187">
        <f ca="1"/>
      </c>
      <c r="BD187">
        <f ca="1"/>
      </c>
      <c r="BF187" s="7">
        <f ca="1"/>
      </c>
      <c r="BG187" s="14">
        <f ca="1"/>
      </c>
      <c r="BH187" s="14">
        <f ca="1"/>
      </c>
      <c r="BI187" s="14">
        <f ca="1"/>
      </c>
      <c r="BJ187" s="14">
        <f ca="1"/>
      </c>
      <c r="BK187" s="14">
        <f ca="1"/>
      </c>
    </row>
    <row r="188" spans="28:63" x14ac:dyDescent="0.55000000000000004">
      <c r="AB188">
        <f ca="1"/>
      </c>
      <c r="AC188">
        <f ca="1"/>
      </c>
      <c r="AD188">
        <f ca="1"/>
      </c>
      <c r="AE188">
        <f ca="1"/>
      </c>
      <c r="AF188">
        <f ca="1"/>
      </c>
      <c r="AG188">
        <f ca="1"/>
      </c>
      <c r="AH188">
        <f ca="1"/>
      </c>
      <c r="AL188" s="7">
        <f ca="1"/>
      </c>
      <c r="AM188" s="14">
        <f ca="1"/>
      </c>
      <c r="AN188" s="14">
        <f ca="1"/>
      </c>
      <c r="AO188" s="14">
        <f ca="1"/>
      </c>
      <c r="AP188" s="14">
        <f ca="1"/>
      </c>
      <c r="AQ188" s="14">
        <f ca="1"/>
      </c>
      <c r="AR188" s="14">
        <f ca="1"/>
      </c>
      <c r="AV188" s="14">
        <f ca="1"/>
      </c>
      <c r="AW188" s="14">
        <f ca="1"/>
      </c>
      <c r="AX188" s="14">
        <f ca="1"/>
      </c>
      <c r="AY188" s="14">
        <f ca="1"/>
      </c>
      <c r="AZ188" s="14">
        <f ca="1"/>
      </c>
      <c r="BB188">
        <f ca="1"/>
      </c>
      <c r="BC188">
        <f ca="1"/>
      </c>
      <c r="BD188">
        <f ca="1"/>
      </c>
      <c r="BF188" s="7">
        <f ca="1"/>
      </c>
      <c r="BG188" s="14">
        <f ca="1"/>
      </c>
      <c r="BH188" s="14">
        <f ca="1"/>
      </c>
      <c r="BI188" s="14">
        <f ca="1"/>
      </c>
      <c r="BJ188" s="14">
        <f ca="1"/>
      </c>
      <c r="BK188" s="14">
        <f ca="1"/>
      </c>
    </row>
    <row r="189" spans="28:63" x14ac:dyDescent="0.55000000000000004">
      <c r="AB189">
        <f ca="1"/>
      </c>
      <c r="AC189">
        <f ca="1"/>
      </c>
      <c r="AD189">
        <f ca="1"/>
      </c>
      <c r="AE189">
        <f ca="1"/>
      </c>
      <c r="AF189">
        <f ca="1"/>
      </c>
      <c r="AG189">
        <f ca="1"/>
      </c>
      <c r="AH189">
        <f ca="1"/>
      </c>
      <c r="AL189" s="7">
        <f ca="1"/>
      </c>
      <c r="AM189" s="14">
        <f ca="1"/>
      </c>
      <c r="AN189" s="14">
        <f ca="1"/>
      </c>
      <c r="AO189" s="14">
        <f ca="1"/>
      </c>
      <c r="AP189" s="14">
        <f ca="1"/>
      </c>
      <c r="AQ189" s="14">
        <f ca="1"/>
      </c>
      <c r="AR189" s="14">
        <f ca="1"/>
      </c>
      <c r="AV189" s="14">
        <f ca="1"/>
      </c>
      <c r="AW189" s="14">
        <f ca="1"/>
      </c>
      <c r="AX189" s="14">
        <f ca="1"/>
      </c>
      <c r="AY189" s="14">
        <f ca="1"/>
      </c>
      <c r="AZ189" s="14">
        <f ca="1"/>
      </c>
      <c r="BB189">
        <f ca="1"/>
      </c>
      <c r="BC189">
        <f ca="1"/>
      </c>
      <c r="BD189">
        <f ca="1"/>
      </c>
      <c r="BF189" s="7">
        <f ca="1"/>
      </c>
      <c r="BG189" s="14">
        <f ca="1"/>
      </c>
      <c r="BH189" s="14">
        <f ca="1"/>
      </c>
      <c r="BI189" s="14">
        <f ca="1"/>
      </c>
      <c r="BJ189" s="14">
        <f ca="1"/>
      </c>
      <c r="BK189" s="14">
        <f ca="1"/>
      </c>
    </row>
    <row r="190" spans="28:63" x14ac:dyDescent="0.55000000000000004">
      <c r="AB190">
        <f ca="1"/>
      </c>
      <c r="AC190">
        <f ca="1"/>
      </c>
      <c r="AD190">
        <f ca="1"/>
      </c>
      <c r="AE190">
        <f ca="1"/>
      </c>
      <c r="AF190">
        <f ca="1"/>
      </c>
      <c r="AG190">
        <f ca="1"/>
      </c>
      <c r="AH190">
        <f ca="1"/>
      </c>
      <c r="AL190" s="7">
        <f ca="1"/>
      </c>
      <c r="AM190" s="14">
        <f ca="1"/>
      </c>
      <c r="AN190" s="14">
        <f ca="1"/>
      </c>
      <c r="AO190" s="14">
        <f ca="1"/>
      </c>
      <c r="AP190" s="14">
        <f ca="1"/>
      </c>
      <c r="AQ190" s="14">
        <f ca="1"/>
      </c>
      <c r="AR190" s="14">
        <f ca="1"/>
      </c>
      <c r="AV190" s="14">
        <f ca="1"/>
      </c>
      <c r="AW190" s="14">
        <f ca="1"/>
      </c>
      <c r="AX190" s="14">
        <f ca="1"/>
      </c>
      <c r="AY190" s="14">
        <f ca="1"/>
      </c>
      <c r="AZ190" s="14">
        <f ca="1"/>
      </c>
      <c r="BB190">
        <f ca="1"/>
      </c>
      <c r="BC190">
        <f ca="1"/>
      </c>
      <c r="BD190">
        <f ca="1"/>
      </c>
      <c r="BF190" s="7">
        <f ca="1"/>
      </c>
      <c r="BG190" s="14">
        <f ca="1"/>
      </c>
      <c r="BH190" s="14">
        <f ca="1"/>
      </c>
      <c r="BI190" s="14">
        <f ca="1"/>
      </c>
      <c r="BJ190" s="14">
        <f ca="1"/>
      </c>
      <c r="BK190" s="14">
        <f ca="1"/>
      </c>
    </row>
    <row r="191" spans="28:63" x14ac:dyDescent="0.55000000000000004">
      <c r="AB191">
        <f ca="1"/>
      </c>
      <c r="AC191">
        <f ca="1"/>
      </c>
      <c r="AD191">
        <f ca="1"/>
      </c>
      <c r="AE191">
        <f ca="1"/>
      </c>
      <c r="AF191">
        <f ca="1"/>
      </c>
      <c r="AG191">
        <f ca="1"/>
      </c>
      <c r="AH191">
        <f ca="1"/>
      </c>
      <c r="AL191" s="7">
        <f ca="1"/>
      </c>
      <c r="AM191" s="14">
        <f ca="1"/>
      </c>
      <c r="AN191" s="14">
        <f ca="1"/>
      </c>
      <c r="AO191" s="14">
        <f ca="1"/>
      </c>
      <c r="AP191" s="14">
        <f ca="1"/>
      </c>
      <c r="AQ191" s="14">
        <f ca="1"/>
      </c>
      <c r="AR191" s="14">
        <f ca="1"/>
      </c>
      <c r="AV191" s="14">
        <f ca="1"/>
      </c>
      <c r="AW191" s="14">
        <f ca="1"/>
      </c>
      <c r="AX191" s="14">
        <f ca="1"/>
      </c>
      <c r="AY191" s="14">
        <f ca="1"/>
      </c>
      <c r="AZ191" s="14">
        <f ca="1"/>
      </c>
      <c r="BB191">
        <f ca="1"/>
      </c>
      <c r="BC191">
        <f ca="1"/>
      </c>
      <c r="BD191">
        <f ca="1"/>
      </c>
      <c r="BF191" s="7">
        <f ca="1"/>
      </c>
      <c r="BG191" s="14">
        <f ca="1"/>
      </c>
      <c r="BH191" s="14">
        <f ca="1"/>
      </c>
      <c r="BI191" s="14">
        <f ca="1"/>
      </c>
      <c r="BJ191" s="14">
        <f ca="1"/>
      </c>
      <c r="BK191" s="14">
        <f ca="1"/>
      </c>
    </row>
    <row r="192" spans="28:63" x14ac:dyDescent="0.55000000000000004">
      <c r="AB192">
        <f ca="1"/>
      </c>
      <c r="AC192">
        <f ca="1"/>
      </c>
      <c r="AD192">
        <f ca="1"/>
      </c>
      <c r="AE192">
        <f ca="1"/>
      </c>
      <c r="AF192">
        <f ca="1"/>
      </c>
      <c r="AG192">
        <f ca="1"/>
      </c>
      <c r="AH192">
        <f ca="1"/>
      </c>
      <c r="AL192" s="7">
        <f ca="1"/>
      </c>
      <c r="AM192" s="14">
        <f ca="1"/>
      </c>
      <c r="AN192" s="14">
        <f ca="1"/>
      </c>
      <c r="AO192" s="14">
        <f ca="1"/>
      </c>
      <c r="AP192" s="14">
        <f ca="1"/>
      </c>
      <c r="AQ192" s="14">
        <f ca="1"/>
      </c>
      <c r="AR192" s="14">
        <f ca="1"/>
      </c>
      <c r="AV192" s="14">
        <f ca="1"/>
      </c>
      <c r="AW192" s="14">
        <f ca="1"/>
      </c>
      <c r="AX192" s="14">
        <f ca="1"/>
      </c>
      <c r="AY192" s="14">
        <f ca="1"/>
      </c>
      <c r="AZ192" s="14">
        <f ca="1"/>
      </c>
      <c r="BB192">
        <f ca="1"/>
      </c>
      <c r="BC192">
        <f ca="1"/>
      </c>
      <c r="BD192">
        <f ca="1"/>
      </c>
      <c r="BF192" s="7">
        <f ca="1"/>
      </c>
      <c r="BG192" s="14">
        <f ca="1"/>
      </c>
      <c r="BH192" s="14">
        <f ca="1"/>
      </c>
      <c r="BI192" s="14">
        <f ca="1"/>
      </c>
      <c r="BJ192" s="14">
        <f ca="1"/>
      </c>
      <c r="BK192" s="14">
        <f ca="1"/>
      </c>
    </row>
    <row r="193" spans="28:63" x14ac:dyDescent="0.55000000000000004">
      <c r="AB193">
        <f ca="1"/>
      </c>
      <c r="AC193">
        <f ca="1"/>
      </c>
      <c r="AD193">
        <f ca="1"/>
      </c>
      <c r="AE193">
        <f ca="1"/>
      </c>
      <c r="AF193">
        <f ca="1"/>
      </c>
      <c r="AG193">
        <f ca="1"/>
      </c>
      <c r="AH193">
        <f ca="1"/>
      </c>
      <c r="AL193" s="7">
        <f ca="1"/>
      </c>
      <c r="AM193" s="14">
        <f ca="1"/>
      </c>
      <c r="AN193" s="14">
        <f ca="1"/>
      </c>
      <c r="AO193" s="14">
        <f ca="1"/>
      </c>
      <c r="AP193" s="14">
        <f ca="1"/>
      </c>
      <c r="AQ193" s="14">
        <f ca="1"/>
      </c>
      <c r="AR193" s="14">
        <f ca="1"/>
      </c>
      <c r="AV193" s="14">
        <f ca="1"/>
      </c>
      <c r="AW193" s="14">
        <f ca="1"/>
      </c>
      <c r="AX193" s="14">
        <f ca="1"/>
      </c>
      <c r="AY193" s="14">
        <f ca="1"/>
      </c>
      <c r="AZ193" s="14">
        <f ca="1"/>
      </c>
      <c r="BB193">
        <f ca="1"/>
      </c>
      <c r="BC193">
        <f ca="1"/>
      </c>
      <c r="BD193">
        <f ca="1"/>
      </c>
      <c r="BF193" s="7">
        <f ca="1"/>
      </c>
      <c r="BG193" s="14">
        <f ca="1"/>
      </c>
      <c r="BH193" s="14">
        <f ca="1"/>
      </c>
      <c r="BI193" s="14">
        <f ca="1"/>
      </c>
      <c r="BJ193" s="14">
        <f ca="1"/>
      </c>
      <c r="BK193" s="14">
        <f ca="1"/>
      </c>
    </row>
    <row r="194" spans="28:63" x14ac:dyDescent="0.55000000000000004">
      <c r="AB194">
        <f ca="1"/>
      </c>
      <c r="AC194">
        <f ca="1"/>
      </c>
      <c r="AD194">
        <f ca="1"/>
      </c>
      <c r="AE194">
        <f ca="1"/>
      </c>
      <c r="AF194">
        <f ca="1"/>
      </c>
      <c r="AG194">
        <f ca="1"/>
      </c>
      <c r="AH194">
        <f ca="1"/>
      </c>
      <c r="AL194" s="7">
        <f ca="1"/>
      </c>
      <c r="AM194" s="14">
        <f ca="1"/>
      </c>
      <c r="AN194" s="14">
        <f ca="1"/>
      </c>
      <c r="AO194" s="14">
        <f ca="1"/>
      </c>
      <c r="AP194" s="14">
        <f ca="1"/>
      </c>
      <c r="AQ194" s="14">
        <f ca="1"/>
      </c>
      <c r="AR194" s="14">
        <f ca="1"/>
      </c>
      <c r="AV194" s="14">
        <f ca="1"/>
      </c>
      <c r="AW194" s="14">
        <f ca="1"/>
      </c>
      <c r="AX194" s="14">
        <f ca="1"/>
      </c>
      <c r="AY194" s="14">
        <f ca="1"/>
      </c>
      <c r="AZ194" s="14">
        <f ca="1"/>
      </c>
      <c r="BB194">
        <f ca="1"/>
      </c>
      <c r="BC194">
        <f ca="1"/>
      </c>
      <c r="BD194">
        <f ca="1"/>
      </c>
      <c r="BF194" s="7">
        <f ca="1"/>
      </c>
      <c r="BG194" s="14">
        <f ca="1"/>
      </c>
      <c r="BH194" s="14">
        <f ca="1"/>
      </c>
      <c r="BI194" s="14">
        <f ca="1"/>
      </c>
      <c r="BJ194" s="14">
        <f ca="1"/>
      </c>
      <c r="BK194" s="14">
        <f ca="1"/>
      </c>
    </row>
    <row r="195" spans="28:63" x14ac:dyDescent="0.55000000000000004">
      <c r="AB195">
        <f ca="1"/>
      </c>
      <c r="AC195">
        <f ca="1"/>
      </c>
      <c r="AD195">
        <f ca="1"/>
      </c>
      <c r="AE195">
        <f ca="1"/>
      </c>
      <c r="AF195">
        <f ca="1"/>
      </c>
      <c r="AG195">
        <f ca="1"/>
      </c>
      <c r="AH195">
        <f ca="1"/>
      </c>
      <c r="AL195" s="7">
        <f ca="1"/>
      </c>
      <c r="AM195" s="14">
        <f ca="1"/>
      </c>
      <c r="AN195" s="14">
        <f ca="1"/>
      </c>
      <c r="AO195" s="14">
        <f ca="1"/>
      </c>
      <c r="AP195" s="14">
        <f ca="1"/>
      </c>
      <c r="AQ195" s="14">
        <f ca="1"/>
      </c>
      <c r="AR195" s="14">
        <f ca="1"/>
      </c>
      <c r="AV195" s="14">
        <f ca="1"/>
      </c>
      <c r="AW195" s="14">
        <f ca="1"/>
      </c>
      <c r="AX195" s="14">
        <f ca="1"/>
      </c>
      <c r="AY195" s="14">
        <f ca="1"/>
      </c>
      <c r="AZ195" s="14">
        <f ca="1"/>
      </c>
      <c r="BF195" s="7">
        <f ca="1"/>
      </c>
      <c r="BG195" s="14">
        <f ca="1"/>
      </c>
      <c r="BH195" s="14">
        <f ca="1"/>
      </c>
      <c r="BI195" s="14">
        <f ca="1"/>
      </c>
      <c r="BJ195" s="14">
        <f ca="1"/>
      </c>
      <c r="BK195" s="14">
        <f ca="1"/>
      </c>
    </row>
    <row r="196" spans="28:63" x14ac:dyDescent="0.55000000000000004">
      <c r="AB196">
        <f ca="1"/>
      </c>
      <c r="AC196">
        <f ca="1"/>
      </c>
      <c r="AD196">
        <f ca="1"/>
      </c>
      <c r="AE196">
        <f ca="1"/>
      </c>
      <c r="AF196">
        <f ca="1"/>
      </c>
      <c r="AG196">
        <f ca="1"/>
      </c>
      <c r="AH196">
        <f ca="1"/>
      </c>
      <c r="AL196" s="7">
        <f ca="1"/>
      </c>
      <c r="AM196" s="14">
        <f ca="1"/>
      </c>
      <c r="AN196" s="14">
        <f ca="1"/>
      </c>
      <c r="AO196" s="14">
        <f ca="1"/>
      </c>
      <c r="AP196" s="14">
        <f ca="1"/>
      </c>
      <c r="AQ196" s="14">
        <f ca="1"/>
      </c>
      <c r="AR196" s="14">
        <f ca="1"/>
      </c>
      <c r="AV196" s="14">
        <f ca="1"/>
      </c>
      <c r="AW196" s="14">
        <f ca="1"/>
      </c>
      <c r="AX196" s="14">
        <f ca="1"/>
      </c>
      <c r="AY196" s="14">
        <f ca="1"/>
      </c>
      <c r="AZ196" s="14">
        <f ca="1"/>
      </c>
      <c r="BF196" s="7">
        <f ca="1"/>
      </c>
      <c r="BG196" s="14">
        <f ca="1"/>
      </c>
      <c r="BH196" s="14">
        <f ca="1"/>
      </c>
      <c r="BI196" s="14">
        <f ca="1"/>
      </c>
      <c r="BJ196" s="14">
        <f ca="1"/>
      </c>
      <c r="BK196" s="14">
        <f ca="1"/>
      </c>
    </row>
    <row r="197" spans="28:63" x14ac:dyDescent="0.55000000000000004">
      <c r="AB197">
        <f ca="1"/>
      </c>
      <c r="AC197">
        <f ca="1"/>
      </c>
      <c r="AD197">
        <f ca="1"/>
      </c>
      <c r="AE197">
        <f ca="1"/>
      </c>
      <c r="AF197">
        <f ca="1"/>
      </c>
      <c r="AG197">
        <f ca="1"/>
      </c>
      <c r="AH197">
        <f ca="1"/>
      </c>
      <c r="AL197" s="7">
        <f ca="1"/>
      </c>
      <c r="AM197" s="14">
        <f ca="1"/>
      </c>
      <c r="AN197" s="14">
        <f ca="1"/>
      </c>
      <c r="AO197" s="14">
        <f ca="1"/>
      </c>
      <c r="AP197" s="14">
        <f ca="1"/>
      </c>
      <c r="AQ197" s="14">
        <f ca="1"/>
      </c>
      <c r="AR197" s="14">
        <f ca="1"/>
      </c>
      <c r="AV197" s="14">
        <f ca="1"/>
      </c>
      <c r="AW197" s="14">
        <f ca="1"/>
      </c>
      <c r="AX197" s="14">
        <f ca="1"/>
      </c>
      <c r="AY197" s="14">
        <f ca="1"/>
      </c>
      <c r="AZ197" s="14">
        <f ca="1"/>
      </c>
      <c r="BF197" s="7">
        <f ca="1"/>
      </c>
      <c r="BG197" s="14">
        <f ca="1"/>
      </c>
      <c r="BH197" s="14">
        <f ca="1"/>
      </c>
      <c r="BI197" s="14">
        <f ca="1"/>
      </c>
      <c r="BJ197" s="14">
        <f ca="1"/>
      </c>
      <c r="BK197" s="14">
        <f ca="1"/>
      </c>
    </row>
    <row r="198" spans="28:63" x14ac:dyDescent="0.55000000000000004">
      <c r="AB198">
        <f ca="1"/>
      </c>
      <c r="AC198">
        <f ca="1"/>
      </c>
      <c r="AD198">
        <f ca="1"/>
      </c>
      <c r="AE198">
        <f ca="1"/>
      </c>
      <c r="AF198">
        <f ca="1"/>
      </c>
      <c r="AG198">
        <f ca="1"/>
      </c>
      <c r="AH198">
        <f ca="1"/>
      </c>
      <c r="AL198" s="7">
        <f ca="1"/>
      </c>
      <c r="AM198" s="14">
        <f ca="1"/>
      </c>
      <c r="AN198" s="14">
        <f ca="1"/>
      </c>
      <c r="AO198" s="14">
        <f ca="1"/>
      </c>
      <c r="AP198" s="14">
        <f ca="1"/>
      </c>
      <c r="AQ198" s="14">
        <f ca="1"/>
      </c>
      <c r="AR198" s="14">
        <f ca="1"/>
      </c>
      <c r="AV198" s="14">
        <f ca="1"/>
      </c>
      <c r="AW198" s="14">
        <f ca="1"/>
      </c>
      <c r="AX198" s="14">
        <f ca="1"/>
      </c>
      <c r="AY198" s="14">
        <f ca="1"/>
      </c>
      <c r="AZ198" s="14">
        <f ca="1"/>
      </c>
      <c r="BF198" s="7">
        <f ca="1"/>
      </c>
      <c r="BG198" s="14">
        <f ca="1"/>
      </c>
      <c r="BH198" s="14">
        <f ca="1"/>
      </c>
      <c r="BI198" s="14">
        <f ca="1"/>
      </c>
      <c r="BJ198" s="14">
        <f ca="1"/>
      </c>
      <c r="BK198" s="14">
        <f ca="1"/>
      </c>
    </row>
    <row r="199" spans="28:63" x14ac:dyDescent="0.55000000000000004">
      <c r="AB199">
        <f ca="1"/>
      </c>
      <c r="AC199">
        <f ca="1"/>
      </c>
      <c r="AD199">
        <f ca="1"/>
      </c>
      <c r="AE199">
        <f ca="1"/>
      </c>
      <c r="AF199">
        <f ca="1"/>
      </c>
      <c r="AG199">
        <f ca="1"/>
      </c>
      <c r="AH199">
        <f ca="1"/>
      </c>
      <c r="AL199" s="7">
        <f ca="1"/>
      </c>
      <c r="AM199" s="14">
        <f ca="1"/>
      </c>
      <c r="AN199" s="14">
        <f ca="1"/>
      </c>
      <c r="AO199" s="14">
        <f ca="1"/>
      </c>
      <c r="AP199" s="14">
        <f ca="1"/>
      </c>
      <c r="AQ199" s="14">
        <f ca="1"/>
      </c>
      <c r="AR199" s="14">
        <f ca="1"/>
      </c>
      <c r="AV199" s="14">
        <f ca="1"/>
      </c>
      <c r="AW199" s="14">
        <f ca="1"/>
      </c>
      <c r="AX199" s="14">
        <f ca="1"/>
      </c>
      <c r="AY199" s="14">
        <f ca="1"/>
      </c>
      <c r="AZ199" s="14">
        <f ca="1"/>
      </c>
      <c r="BF199" s="7">
        <f ca="1"/>
      </c>
      <c r="BG199" s="14">
        <f ca="1"/>
      </c>
      <c r="BH199" s="14">
        <f ca="1"/>
      </c>
      <c r="BI199" s="14">
        <f ca="1"/>
      </c>
      <c r="BJ199" s="14">
        <f ca="1"/>
      </c>
      <c r="BK199" s="14">
        <f ca="1"/>
      </c>
    </row>
    <row r="200" spans="28:63" x14ac:dyDescent="0.55000000000000004">
      <c r="AB200">
        <f ca="1"/>
      </c>
      <c r="AC200">
        <f ca="1"/>
      </c>
      <c r="AD200">
        <f ca="1"/>
      </c>
      <c r="AE200">
        <f ca="1"/>
      </c>
      <c r="AF200">
        <f ca="1"/>
      </c>
      <c r="AG200">
        <f ca="1"/>
      </c>
      <c r="AH200">
        <f ca="1"/>
      </c>
      <c r="AL200" s="7">
        <f ca="1"/>
      </c>
      <c r="AM200" s="14">
        <f ca="1"/>
      </c>
      <c r="AN200" s="14">
        <f ca="1"/>
      </c>
      <c r="AO200" s="14">
        <f ca="1"/>
      </c>
      <c r="AP200" s="14">
        <f ca="1"/>
      </c>
      <c r="AQ200" s="14">
        <f ca="1"/>
      </c>
      <c r="AR200" s="14">
        <f ca="1"/>
      </c>
      <c r="AV200" s="14">
        <f ca="1"/>
      </c>
      <c r="AW200" s="14">
        <f ca="1"/>
      </c>
      <c r="AX200" s="14">
        <f ca="1"/>
      </c>
      <c r="AY200" s="14">
        <f ca="1"/>
      </c>
      <c r="AZ200" s="14">
        <f ca="1"/>
      </c>
      <c r="BF200" s="7">
        <f ca="1"/>
      </c>
      <c r="BG200" s="14">
        <f ca="1"/>
      </c>
      <c r="BH200" s="14">
        <f ca="1"/>
      </c>
      <c r="BI200" s="14">
        <f ca="1"/>
      </c>
      <c r="BJ200" s="14">
        <f ca="1"/>
      </c>
      <c r="BK200" s="14">
        <f ca="1"/>
      </c>
    </row>
    <row r="201" spans="28:63" x14ac:dyDescent="0.55000000000000004">
      <c r="AB201">
        <f ca="1"/>
      </c>
      <c r="AC201">
        <f ca="1"/>
      </c>
      <c r="AD201">
        <f ca="1"/>
      </c>
      <c r="AE201">
        <f ca="1"/>
      </c>
      <c r="AF201">
        <f ca="1"/>
      </c>
      <c r="AG201">
        <f ca="1"/>
      </c>
      <c r="AH201">
        <f ca="1"/>
      </c>
      <c r="AL201" s="7">
        <f ca="1"/>
      </c>
      <c r="AM201" s="14">
        <f ca="1"/>
      </c>
      <c r="AN201" s="14">
        <f ca="1"/>
      </c>
      <c r="AO201" s="14">
        <f ca="1"/>
      </c>
      <c r="AP201" s="14">
        <f ca="1"/>
      </c>
      <c r="AQ201" s="14">
        <f ca="1"/>
      </c>
      <c r="AR201" s="14">
        <f ca="1"/>
      </c>
      <c r="AV201" s="14">
        <f ca="1"/>
      </c>
      <c r="AW201" s="14">
        <f ca="1"/>
      </c>
      <c r="AX201" s="14">
        <f ca="1"/>
      </c>
      <c r="AY201" s="14">
        <f ca="1"/>
      </c>
      <c r="AZ201" s="14">
        <f ca="1"/>
      </c>
      <c r="BF201" s="7">
        <f ca="1"/>
      </c>
      <c r="BG201" s="14">
        <f ca="1"/>
      </c>
      <c r="BH201" s="14">
        <f ca="1"/>
      </c>
      <c r="BI201" s="14">
        <f ca="1"/>
      </c>
      <c r="BJ201" s="14">
        <f ca="1"/>
      </c>
      <c r="BK201" s="14">
        <f ca="1"/>
      </c>
    </row>
    <row r="202" spans="28:63" x14ac:dyDescent="0.55000000000000004">
      <c r="AB202">
        <f ca="1"/>
      </c>
      <c r="AC202">
        <f ca="1"/>
      </c>
      <c r="AD202">
        <f ca="1"/>
      </c>
      <c r="AE202">
        <f ca="1"/>
      </c>
      <c r="AF202">
        <f ca="1"/>
      </c>
      <c r="AG202">
        <f ca="1"/>
      </c>
      <c r="AH202">
        <f ca="1"/>
      </c>
      <c r="AL202" s="7">
        <f ca="1"/>
      </c>
      <c r="AM202" s="14">
        <f ca="1"/>
      </c>
      <c r="AN202" s="14">
        <f ca="1"/>
      </c>
      <c r="AO202" s="14">
        <f ca="1"/>
      </c>
      <c r="AP202" s="14">
        <f ca="1"/>
      </c>
      <c r="AQ202" s="14">
        <f ca="1"/>
      </c>
      <c r="AR202" s="14">
        <f ca="1"/>
      </c>
      <c r="AV202" s="14">
        <f ca="1"/>
      </c>
      <c r="AW202" s="14">
        <f ca="1"/>
      </c>
      <c r="AX202" s="14">
        <f ca="1"/>
      </c>
      <c r="AY202" s="14">
        <f ca="1"/>
      </c>
      <c r="AZ202" s="14">
        <f ca="1"/>
      </c>
      <c r="BF202" s="7">
        <f ca="1"/>
      </c>
      <c r="BG202" s="14">
        <f ca="1"/>
      </c>
      <c r="BH202" s="14">
        <f ca="1"/>
      </c>
      <c r="BI202" s="14">
        <f ca="1"/>
      </c>
      <c r="BJ202" s="14">
        <f ca="1"/>
      </c>
      <c r="BK202" s="14">
        <f ca="1"/>
      </c>
    </row>
    <row r="203" spans="28:63" x14ac:dyDescent="0.55000000000000004">
      <c r="AB203">
        <f ca="1"/>
      </c>
      <c r="AC203">
        <f ca="1"/>
      </c>
      <c r="AD203">
        <f ca="1"/>
      </c>
      <c r="AE203">
        <f ca="1"/>
      </c>
      <c r="AF203">
        <f ca="1"/>
      </c>
      <c r="AG203">
        <f ca="1"/>
      </c>
      <c r="AH203">
        <f ca="1"/>
      </c>
      <c r="AL203" s="7">
        <f ca="1"/>
      </c>
      <c r="AM203" s="14">
        <f ca="1"/>
      </c>
      <c r="AN203" s="14">
        <f ca="1"/>
      </c>
      <c r="AO203" s="14">
        <f ca="1"/>
      </c>
      <c r="AP203" s="14">
        <f ca="1"/>
      </c>
      <c r="AQ203" s="14">
        <f ca="1"/>
      </c>
      <c r="AR203" s="14">
        <f ca="1"/>
      </c>
      <c r="AV203" s="14">
        <f ca="1"/>
      </c>
      <c r="AW203" s="14">
        <f ca="1"/>
      </c>
      <c r="AX203" s="14">
        <f ca="1"/>
      </c>
      <c r="AY203" s="14">
        <f ca="1"/>
      </c>
      <c r="AZ203" s="14">
        <f ca="1"/>
      </c>
      <c r="BF203" s="7">
        <f ca="1"/>
      </c>
      <c r="BG203" s="14">
        <f ca="1"/>
      </c>
      <c r="BH203" s="14">
        <f ca="1"/>
      </c>
      <c r="BI203" s="14">
        <f ca="1"/>
      </c>
      <c r="BJ203" s="14">
        <f ca="1"/>
      </c>
      <c r="BK203" s="14">
        <f ca="1"/>
      </c>
    </row>
    <row r="204" spans="28:63" x14ac:dyDescent="0.55000000000000004">
      <c r="AB204">
        <f ca="1"/>
      </c>
      <c r="AC204">
        <f ca="1"/>
      </c>
      <c r="AD204">
        <f ca="1"/>
      </c>
      <c r="AE204">
        <f ca="1"/>
      </c>
      <c r="AF204">
        <f ca="1"/>
      </c>
      <c r="AG204">
        <f ca="1"/>
      </c>
      <c r="AH204">
        <f ca="1"/>
      </c>
      <c r="AL204" s="7">
        <f ca="1"/>
      </c>
      <c r="AM204" s="14">
        <f ca="1"/>
      </c>
      <c r="AN204" s="14">
        <f ca="1"/>
      </c>
      <c r="AO204" s="14">
        <f ca="1"/>
      </c>
      <c r="AP204" s="14">
        <f ca="1"/>
      </c>
      <c r="AQ204" s="14">
        <f ca="1"/>
      </c>
      <c r="AR204" s="14">
        <f ca="1"/>
      </c>
      <c r="AV204" s="14">
        <f ca="1"/>
      </c>
      <c r="AW204" s="14">
        <f ca="1"/>
      </c>
      <c r="AX204" s="14">
        <f ca="1"/>
      </c>
      <c r="AY204" s="14">
        <f ca="1"/>
      </c>
      <c r="AZ204" s="14">
        <f ca="1"/>
      </c>
      <c r="BF204" s="7">
        <f ca="1"/>
      </c>
      <c r="BG204" s="14">
        <f ca="1"/>
      </c>
      <c r="BH204" s="14">
        <f ca="1"/>
      </c>
      <c r="BI204" s="14">
        <f ca="1"/>
      </c>
      <c r="BJ204" s="14">
        <f ca="1"/>
      </c>
      <c r="BK204" s="14">
        <f ca="1"/>
      </c>
    </row>
    <row r="205" spans="28:63" x14ac:dyDescent="0.55000000000000004">
      <c r="AB205">
        <f ca="1"/>
      </c>
      <c r="AC205">
        <f ca="1"/>
      </c>
      <c r="AD205">
        <f ca="1"/>
      </c>
      <c r="AE205">
        <f ca="1"/>
      </c>
      <c r="AF205">
        <f ca="1"/>
      </c>
      <c r="AG205">
        <f ca="1"/>
      </c>
      <c r="AH205">
        <f ca="1"/>
      </c>
      <c r="AL205" s="7">
        <f ca="1"/>
      </c>
      <c r="AM205" s="14">
        <f ca="1"/>
      </c>
      <c r="AN205" s="14">
        <f ca="1"/>
      </c>
      <c r="AO205" s="14">
        <f ca="1"/>
      </c>
      <c r="AP205" s="14">
        <f ca="1"/>
      </c>
      <c r="AQ205" s="14">
        <f ca="1"/>
      </c>
      <c r="AR205" s="14">
        <f ca="1"/>
      </c>
      <c r="AV205" s="14">
        <f ca="1"/>
      </c>
      <c r="AW205" s="14">
        <f ca="1"/>
      </c>
      <c r="AX205" s="14">
        <f ca="1"/>
      </c>
      <c r="AY205" s="14">
        <f ca="1"/>
      </c>
      <c r="AZ205" s="14">
        <f ca="1"/>
      </c>
      <c r="BF205" s="7">
        <f ca="1"/>
      </c>
      <c r="BG205" s="14">
        <f ca="1"/>
      </c>
      <c r="BH205" s="14">
        <f ca="1"/>
      </c>
      <c r="BI205" s="14">
        <f ca="1"/>
      </c>
      <c r="BJ205" s="14">
        <f ca="1"/>
      </c>
      <c r="BK205" s="14">
        <f ca="1"/>
      </c>
    </row>
    <row r="206" spans="28:63" x14ac:dyDescent="0.55000000000000004">
      <c r="AB206">
        <f ca="1"/>
      </c>
      <c r="AC206">
        <f ca="1"/>
      </c>
      <c r="AD206">
        <f ca="1"/>
      </c>
      <c r="AE206">
        <f ca="1"/>
      </c>
      <c r="AF206">
        <f ca="1"/>
      </c>
      <c r="AG206">
        <f ca="1"/>
      </c>
      <c r="AH206">
        <f ca="1"/>
      </c>
      <c r="AL206" s="7">
        <f ca="1"/>
      </c>
      <c r="AM206" s="14">
        <f ca="1"/>
      </c>
      <c r="AN206" s="14">
        <f ca="1"/>
      </c>
      <c r="AO206" s="14">
        <f ca="1"/>
      </c>
      <c r="AP206" s="14">
        <f ca="1"/>
      </c>
      <c r="AQ206" s="14">
        <f ca="1"/>
      </c>
      <c r="AR206" s="14">
        <f ca="1"/>
      </c>
      <c r="AV206" s="14">
        <f ca="1"/>
      </c>
      <c r="AW206" s="14">
        <f ca="1"/>
      </c>
      <c r="AX206" s="14">
        <f ca="1"/>
      </c>
      <c r="AY206" s="14">
        <f ca="1"/>
      </c>
      <c r="AZ206" s="14">
        <f ca="1"/>
      </c>
      <c r="BF206" s="7">
        <f ca="1"/>
      </c>
      <c r="BG206" s="14">
        <f ca="1"/>
      </c>
      <c r="BH206" s="14">
        <f ca="1"/>
      </c>
      <c r="BI206" s="14">
        <f ca="1"/>
      </c>
      <c r="BJ206" s="14">
        <f ca="1"/>
      </c>
      <c r="BK206" s="14">
        <f ca="1"/>
      </c>
    </row>
    <row r="207" spans="28:63" x14ac:dyDescent="0.55000000000000004">
      <c r="AB207">
        <f ca="1"/>
      </c>
      <c r="AC207">
        <f ca="1"/>
      </c>
      <c r="AD207">
        <f ca="1"/>
      </c>
      <c r="AE207">
        <f ca="1"/>
      </c>
      <c r="AF207">
        <f ca="1"/>
      </c>
      <c r="AG207">
        <f ca="1"/>
      </c>
      <c r="AH207">
        <f ca="1"/>
      </c>
      <c r="AL207" s="7">
        <f ca="1"/>
      </c>
      <c r="AM207" s="14">
        <f ca="1"/>
      </c>
      <c r="AN207" s="14">
        <f ca="1"/>
      </c>
      <c r="AO207" s="14">
        <f ca="1"/>
      </c>
      <c r="AP207" s="14">
        <f ca="1"/>
      </c>
      <c r="AQ207" s="14">
        <f ca="1"/>
      </c>
      <c r="AR207" s="14">
        <f ca="1"/>
      </c>
      <c r="AV207" s="14">
        <f ca="1"/>
      </c>
      <c r="AW207" s="14">
        <f ca="1"/>
      </c>
      <c r="AX207" s="14">
        <f ca="1"/>
      </c>
      <c r="AY207" s="14">
        <f ca="1"/>
      </c>
      <c r="AZ207" s="14">
        <f ca="1"/>
      </c>
      <c r="BF207" s="7">
        <f ca="1"/>
      </c>
      <c r="BG207" s="14">
        <f ca="1"/>
      </c>
      <c r="BH207" s="14">
        <f ca="1"/>
      </c>
      <c r="BI207" s="14">
        <f ca="1"/>
      </c>
      <c r="BJ207" s="14">
        <f ca="1"/>
      </c>
      <c r="BK207" s="14">
        <f ca="1"/>
      </c>
    </row>
    <row r="208" spans="28:63" x14ac:dyDescent="0.55000000000000004">
      <c r="AB208">
        <f ca="1"/>
      </c>
      <c r="AC208">
        <f ca="1"/>
      </c>
      <c r="AD208">
        <f ca="1"/>
      </c>
      <c r="AE208">
        <f ca="1"/>
      </c>
      <c r="AF208">
        <f ca="1"/>
      </c>
      <c r="AG208">
        <f ca="1"/>
      </c>
      <c r="AH208">
        <f ca="1"/>
      </c>
      <c r="AL208" s="7">
        <f ca="1"/>
      </c>
      <c r="AM208" s="14">
        <f ca="1"/>
      </c>
      <c r="AN208" s="14">
        <f ca="1"/>
      </c>
      <c r="AO208" s="14">
        <f ca="1"/>
      </c>
      <c r="AP208" s="14">
        <f ca="1"/>
      </c>
      <c r="AQ208" s="14">
        <f ca="1"/>
      </c>
      <c r="AR208" s="14">
        <f ca="1"/>
      </c>
      <c r="AV208" s="14">
        <f ca="1"/>
      </c>
      <c r="AW208" s="14">
        <f ca="1"/>
      </c>
      <c r="AX208" s="14">
        <f ca="1"/>
      </c>
      <c r="AY208" s="14">
        <f ca="1"/>
      </c>
      <c r="AZ208" s="14">
        <f ca="1"/>
      </c>
      <c r="BF208" s="7">
        <f ca="1"/>
      </c>
      <c r="BG208" s="14">
        <f ca="1"/>
      </c>
      <c r="BH208" s="14">
        <f ca="1"/>
      </c>
      <c r="BI208" s="14">
        <f ca="1"/>
      </c>
      <c r="BJ208" s="14">
        <f ca="1"/>
      </c>
      <c r="BK208" s="14">
        <f ca="1"/>
      </c>
    </row>
    <row r="209" spans="28:63" x14ac:dyDescent="0.55000000000000004">
      <c r="AB209">
        <f ca="1"/>
      </c>
      <c r="AC209">
        <f ca="1"/>
      </c>
      <c r="AD209">
        <f ca="1"/>
      </c>
      <c r="AE209">
        <f ca="1"/>
      </c>
      <c r="AF209">
        <f ca="1"/>
      </c>
      <c r="AG209">
        <f ca="1"/>
      </c>
      <c r="AH209">
        <f ca="1"/>
      </c>
      <c r="AL209" s="7">
        <f ca="1"/>
      </c>
      <c r="AM209" s="14">
        <f ca="1"/>
      </c>
      <c r="AN209" s="14">
        <f ca="1"/>
      </c>
      <c r="AO209" s="14">
        <f ca="1"/>
      </c>
      <c r="AP209" s="14">
        <f ca="1"/>
      </c>
      <c r="AQ209" s="14">
        <f ca="1"/>
      </c>
      <c r="AR209" s="14">
        <f ca="1"/>
      </c>
      <c r="AV209" s="14">
        <f ca="1"/>
      </c>
      <c r="AW209" s="14">
        <f ca="1"/>
      </c>
      <c r="AX209" s="14">
        <f ca="1"/>
      </c>
      <c r="AY209" s="14">
        <f ca="1"/>
      </c>
      <c r="AZ209" s="14">
        <f ca="1"/>
      </c>
      <c r="BF209" s="7">
        <f ca="1"/>
      </c>
      <c r="BG209" s="14">
        <f ca="1"/>
      </c>
      <c r="BH209" s="14">
        <f ca="1"/>
      </c>
      <c r="BI209" s="14">
        <f ca="1"/>
      </c>
      <c r="BJ209" s="14">
        <f ca="1"/>
      </c>
      <c r="BK209" s="14">
        <f ca="1"/>
      </c>
    </row>
    <row r="210" spans="28:63" x14ac:dyDescent="0.55000000000000004">
      <c r="AB210">
        <f ca="1"/>
      </c>
      <c r="AC210">
        <f ca="1"/>
      </c>
      <c r="AD210">
        <f ca="1"/>
      </c>
      <c r="AE210">
        <f ca="1"/>
      </c>
      <c r="AF210">
        <f ca="1"/>
      </c>
      <c r="AG210">
        <f ca="1"/>
      </c>
      <c r="AH210">
        <f ca="1"/>
      </c>
      <c r="AL210" s="7">
        <f ca="1"/>
      </c>
      <c r="AM210" s="14">
        <f ca="1"/>
      </c>
      <c r="AN210" s="14">
        <f ca="1"/>
      </c>
      <c r="AO210" s="14">
        <f ca="1"/>
      </c>
      <c r="AP210" s="14">
        <f ca="1"/>
      </c>
      <c r="AQ210" s="14">
        <f ca="1"/>
      </c>
      <c r="AR210" s="14">
        <f ca="1"/>
      </c>
      <c r="AV210" s="14">
        <f ca="1"/>
      </c>
      <c r="AW210" s="14">
        <f ca="1"/>
      </c>
      <c r="AX210" s="14">
        <f ca="1"/>
      </c>
      <c r="AY210" s="14">
        <f ca="1"/>
      </c>
      <c r="AZ210" s="14">
        <f ca="1"/>
      </c>
      <c r="BF210" s="7">
        <f ca="1"/>
      </c>
      <c r="BG210" s="14">
        <f ca="1"/>
      </c>
      <c r="BH210" s="14">
        <f ca="1"/>
      </c>
      <c r="BI210" s="14">
        <f ca="1"/>
      </c>
      <c r="BJ210" s="14">
        <f ca="1"/>
      </c>
      <c r="BK210" s="14">
        <f ca="1"/>
      </c>
    </row>
    <row r="211" spans="28:63" x14ac:dyDescent="0.55000000000000004">
      <c r="AB211">
        <f ca="1"/>
      </c>
      <c r="AC211">
        <f ca="1"/>
      </c>
      <c r="AD211">
        <f ca="1"/>
      </c>
      <c r="AE211">
        <f ca="1"/>
      </c>
      <c r="AF211">
        <f ca="1"/>
      </c>
      <c r="AG211">
        <f ca="1"/>
      </c>
      <c r="AH211">
        <f ca="1"/>
      </c>
      <c r="AL211" s="7">
        <f ca="1"/>
      </c>
      <c r="AM211" s="14">
        <f ca="1"/>
      </c>
      <c r="AN211" s="14">
        <f ca="1"/>
      </c>
      <c r="AO211" s="14">
        <f ca="1"/>
      </c>
      <c r="AP211" s="14">
        <f ca="1"/>
      </c>
      <c r="AQ211" s="14">
        <f ca="1"/>
      </c>
      <c r="AR211" s="14">
        <f ca="1"/>
      </c>
      <c r="AV211" s="14">
        <f ca="1"/>
      </c>
      <c r="AW211" s="14">
        <f ca="1"/>
      </c>
      <c r="AX211" s="14">
        <f ca="1"/>
      </c>
      <c r="AY211" s="14">
        <f ca="1"/>
      </c>
      <c r="AZ211" s="14">
        <f ca="1"/>
      </c>
      <c r="BF211" s="7">
        <f ca="1"/>
      </c>
      <c r="BG211" s="14">
        <f ca="1"/>
      </c>
      <c r="BH211" s="14">
        <f ca="1"/>
      </c>
      <c r="BI211" s="14">
        <f ca="1"/>
      </c>
      <c r="BJ211" s="14">
        <f ca="1"/>
      </c>
      <c r="BK211" s="14">
        <f ca="1"/>
      </c>
    </row>
    <row r="212" spans="28:63" x14ac:dyDescent="0.55000000000000004">
      <c r="AB212">
        <f ca="1"/>
      </c>
      <c r="AC212">
        <f ca="1"/>
      </c>
      <c r="AD212">
        <f ca="1"/>
      </c>
      <c r="AE212">
        <f ca="1"/>
      </c>
      <c r="AF212">
        <f ca="1"/>
      </c>
      <c r="AG212">
        <f ca="1"/>
      </c>
      <c r="AH212">
        <f ca="1"/>
      </c>
      <c r="AL212" s="7">
        <f ca="1"/>
      </c>
      <c r="AM212" s="14">
        <f ca="1"/>
      </c>
      <c r="AN212" s="14">
        <f ca="1"/>
      </c>
      <c r="AO212" s="14">
        <f ca="1"/>
      </c>
      <c r="AP212" s="14">
        <f ca="1"/>
      </c>
      <c r="AQ212" s="14">
        <f ca="1"/>
      </c>
      <c r="AR212" s="14">
        <f ca="1"/>
      </c>
      <c r="AV212" s="14">
        <f ca="1"/>
      </c>
      <c r="AW212" s="14">
        <f ca="1"/>
      </c>
      <c r="AX212" s="14">
        <f ca="1"/>
      </c>
      <c r="AY212" s="14">
        <f ca="1"/>
      </c>
      <c r="AZ212" s="14">
        <f ca="1"/>
      </c>
      <c r="BF212" s="7">
        <f ca="1"/>
      </c>
      <c r="BG212" s="14">
        <f ca="1"/>
      </c>
      <c r="BH212" s="14">
        <f ca="1"/>
      </c>
      <c r="BI212" s="14">
        <f ca="1"/>
      </c>
      <c r="BJ212" s="14">
        <f ca="1"/>
      </c>
      <c r="BK212" s="14">
        <f ca="1"/>
      </c>
    </row>
    <row r="213" spans="28:63" x14ac:dyDescent="0.55000000000000004">
      <c r="AB213">
        <f ca="1"/>
      </c>
      <c r="AC213">
        <f ca="1"/>
      </c>
      <c r="AD213">
        <f ca="1"/>
      </c>
      <c r="AE213">
        <f ca="1"/>
      </c>
      <c r="AF213">
        <f ca="1"/>
      </c>
      <c r="AG213">
        <f ca="1"/>
      </c>
      <c r="AH213">
        <f ca="1"/>
      </c>
      <c r="AL213" s="7">
        <f ca="1"/>
      </c>
      <c r="AM213" s="14">
        <f ca="1"/>
      </c>
      <c r="AN213" s="14">
        <f ca="1"/>
      </c>
      <c r="AO213" s="14">
        <f ca="1"/>
      </c>
      <c r="AP213" s="14">
        <f ca="1"/>
      </c>
      <c r="AQ213" s="14">
        <f ca="1"/>
      </c>
      <c r="AR213" s="14">
        <f ca="1"/>
      </c>
      <c r="AV213" s="14">
        <f ca="1"/>
      </c>
      <c r="AW213" s="14">
        <f ca="1"/>
      </c>
      <c r="AX213" s="14">
        <f ca="1"/>
      </c>
      <c r="AY213" s="14">
        <f ca="1"/>
      </c>
      <c r="AZ213" s="14">
        <f ca="1"/>
      </c>
      <c r="BF213" s="7">
        <f ca="1"/>
      </c>
      <c r="BG213" s="14">
        <f ca="1"/>
      </c>
      <c r="BH213" s="14">
        <f ca="1"/>
      </c>
      <c r="BI213" s="14">
        <f ca="1"/>
      </c>
      <c r="BJ213" s="14">
        <f ca="1"/>
      </c>
      <c r="BK213" s="14">
        <f ca="1"/>
      </c>
    </row>
    <row r="214" spans="28:63" x14ac:dyDescent="0.55000000000000004">
      <c r="AB214">
        <f ca="1"/>
      </c>
      <c r="AC214">
        <f ca="1"/>
      </c>
      <c r="AD214">
        <f ca="1"/>
      </c>
      <c r="AE214">
        <f ca="1"/>
      </c>
      <c r="AF214">
        <f ca="1"/>
      </c>
      <c r="AG214">
        <f ca="1"/>
      </c>
      <c r="AH214">
        <f ca="1"/>
      </c>
      <c r="AL214" s="7">
        <f ca="1"/>
      </c>
      <c r="AM214" s="14">
        <f ca="1"/>
      </c>
      <c r="AN214" s="14">
        <f ca="1"/>
      </c>
      <c r="AO214" s="14">
        <f ca="1"/>
      </c>
      <c r="AP214" s="14">
        <f ca="1"/>
      </c>
      <c r="AQ214" s="14">
        <f ca="1"/>
      </c>
      <c r="AR214" s="14">
        <f ca="1"/>
      </c>
      <c r="AV214" s="14">
        <f ca="1"/>
      </c>
      <c r="AW214" s="14">
        <f ca="1"/>
      </c>
      <c r="AX214" s="14">
        <f ca="1"/>
      </c>
      <c r="AY214" s="14">
        <f ca="1"/>
      </c>
      <c r="AZ214" s="14">
        <f ca="1"/>
      </c>
      <c r="BF214" s="7">
        <f ca="1"/>
      </c>
      <c r="BG214" s="14">
        <f ca="1"/>
      </c>
      <c r="BH214" s="14">
        <f ca="1"/>
      </c>
      <c r="BI214" s="14">
        <f ca="1"/>
      </c>
      <c r="BJ214" s="14">
        <f ca="1"/>
      </c>
      <c r="BK214" s="14">
        <f ca="1"/>
      </c>
    </row>
    <row r="215" spans="28:63" x14ac:dyDescent="0.55000000000000004">
      <c r="AB215">
        <f ca="1"/>
      </c>
      <c r="AC215">
        <f ca="1"/>
      </c>
      <c r="AD215">
        <f ca="1"/>
      </c>
      <c r="AE215">
        <f ca="1"/>
      </c>
      <c r="AF215">
        <f ca="1"/>
      </c>
      <c r="AG215">
        <f ca="1"/>
      </c>
      <c r="AH215">
        <f ca="1"/>
      </c>
      <c r="AL215" s="7">
        <f ca="1"/>
      </c>
      <c r="AM215" s="14">
        <f ca="1"/>
      </c>
      <c r="AN215" s="14">
        <f ca="1"/>
      </c>
      <c r="AO215" s="14">
        <f ca="1"/>
      </c>
      <c r="AP215" s="14">
        <f ca="1"/>
      </c>
      <c r="AQ215" s="14">
        <f ca="1"/>
      </c>
      <c r="AR215" s="14">
        <f ca="1"/>
      </c>
      <c r="AV215" s="14">
        <f ca="1"/>
      </c>
      <c r="AW215" s="14">
        <f ca="1"/>
      </c>
      <c r="AX215" s="14">
        <f ca="1"/>
      </c>
      <c r="AY215" s="14">
        <f ca="1"/>
      </c>
      <c r="AZ215" s="14">
        <f ca="1"/>
      </c>
      <c r="BF215" s="7">
        <f ca="1"/>
      </c>
      <c r="BG215" s="14">
        <f ca="1"/>
      </c>
      <c r="BH215" s="14">
        <f ca="1"/>
      </c>
      <c r="BI215" s="14">
        <f ca="1"/>
      </c>
      <c r="BJ215" s="14">
        <f ca="1"/>
      </c>
      <c r="BK215" s="14">
        <f ca="1"/>
      </c>
    </row>
    <row r="216" spans="28:63" x14ac:dyDescent="0.55000000000000004">
      <c r="AB216">
        <f ca="1"/>
      </c>
      <c r="AC216">
        <f ca="1"/>
      </c>
      <c r="AD216">
        <f ca="1"/>
      </c>
      <c r="AE216">
        <f ca="1"/>
      </c>
      <c r="AF216">
        <f ca="1"/>
      </c>
      <c r="AG216">
        <f ca="1"/>
      </c>
      <c r="AH216">
        <f ca="1"/>
      </c>
      <c r="AL216" s="7">
        <f ca="1"/>
      </c>
      <c r="AM216" s="14">
        <f ca="1"/>
      </c>
      <c r="AN216" s="14">
        <f ca="1"/>
      </c>
      <c r="AO216" s="14">
        <f ca="1"/>
      </c>
      <c r="AP216" s="14">
        <f ca="1"/>
      </c>
      <c r="AQ216" s="14">
        <f ca="1"/>
      </c>
      <c r="AR216" s="14">
        <f ca="1"/>
      </c>
      <c r="AV216" s="14">
        <f ca="1"/>
      </c>
      <c r="AW216" s="14">
        <f ca="1"/>
      </c>
      <c r="AX216" s="14">
        <f ca="1"/>
      </c>
      <c r="AY216" s="14">
        <f ca="1"/>
      </c>
      <c r="AZ216" s="14">
        <f ca="1"/>
      </c>
      <c r="BF216" s="7">
        <f ca="1"/>
      </c>
      <c r="BG216" s="14">
        <f ca="1"/>
      </c>
      <c r="BH216" s="14">
        <f ca="1"/>
      </c>
      <c r="BI216" s="14">
        <f ca="1"/>
      </c>
      <c r="BJ216" s="14">
        <f ca="1"/>
      </c>
      <c r="BK216" s="14">
        <f ca="1"/>
      </c>
    </row>
    <row r="217" spans="28:63" x14ac:dyDescent="0.55000000000000004">
      <c r="AB217">
        <f ca="1"/>
      </c>
      <c r="AC217">
        <f ca="1"/>
      </c>
      <c r="AD217">
        <f ca="1"/>
      </c>
      <c r="AE217">
        <f ca="1"/>
      </c>
      <c r="AF217">
        <f ca="1"/>
      </c>
      <c r="AG217">
        <f ca="1"/>
      </c>
      <c r="AH217">
        <f ca="1"/>
      </c>
      <c r="AL217" s="7">
        <f ca="1"/>
      </c>
      <c r="AM217" s="14">
        <f ca="1"/>
      </c>
      <c r="AN217" s="14">
        <f ca="1"/>
      </c>
      <c r="AO217" s="14">
        <f ca="1"/>
      </c>
      <c r="AP217" s="14">
        <f ca="1"/>
      </c>
      <c r="AQ217" s="14">
        <f ca="1"/>
      </c>
      <c r="AR217" s="14">
        <f ca="1"/>
      </c>
      <c r="AV217" s="14">
        <f ca="1"/>
      </c>
      <c r="AW217" s="14">
        <f ca="1"/>
      </c>
      <c r="AX217" s="14">
        <f ca="1"/>
      </c>
      <c r="AY217" s="14">
        <f ca="1"/>
      </c>
      <c r="AZ217" s="14">
        <f ca="1"/>
      </c>
      <c r="BF217" s="7">
        <f ca="1"/>
      </c>
      <c r="BG217" s="14">
        <f ca="1"/>
      </c>
      <c r="BH217" s="14">
        <f ca="1"/>
      </c>
      <c r="BI217" s="14">
        <f ca="1"/>
      </c>
      <c r="BJ217" s="14">
        <f ca="1"/>
      </c>
      <c r="BK217" s="14">
        <f ca="1"/>
      </c>
    </row>
    <row r="218" spans="28:63" x14ac:dyDescent="0.55000000000000004">
      <c r="AB218">
        <f ca="1"/>
      </c>
      <c r="AC218">
        <f ca="1"/>
      </c>
      <c r="AD218">
        <f ca="1"/>
      </c>
      <c r="AE218">
        <f ca="1"/>
      </c>
      <c r="AF218">
        <f ca="1"/>
      </c>
      <c r="AG218">
        <f ca="1"/>
      </c>
      <c r="AH218">
        <f ca="1"/>
      </c>
      <c r="AL218" s="7">
        <f ca="1"/>
      </c>
      <c r="AM218" s="14">
        <f ca="1"/>
      </c>
      <c r="AN218" s="14">
        <f ca="1"/>
      </c>
      <c r="AO218" s="14">
        <f ca="1"/>
      </c>
      <c r="AP218" s="14">
        <f ca="1"/>
      </c>
      <c r="AQ218" s="14">
        <f ca="1"/>
      </c>
      <c r="AR218" s="14">
        <f ca="1"/>
      </c>
      <c r="AV218" s="14">
        <f ca="1"/>
      </c>
      <c r="AW218" s="14">
        <f ca="1"/>
      </c>
      <c r="AX218" s="14">
        <f ca="1"/>
      </c>
      <c r="AY218" s="14">
        <f ca="1"/>
      </c>
      <c r="AZ218" s="14">
        <f ca="1"/>
      </c>
      <c r="BF218" s="7">
        <f ca="1"/>
      </c>
      <c r="BG218" s="14">
        <f ca="1"/>
      </c>
      <c r="BH218" s="14">
        <f ca="1"/>
      </c>
      <c r="BI218" s="14">
        <f ca="1"/>
      </c>
      <c r="BJ218" s="14">
        <f ca="1"/>
      </c>
      <c r="BK218" s="14">
        <f ca="1"/>
      </c>
    </row>
    <row r="219" spans="28:63" x14ac:dyDescent="0.55000000000000004">
      <c r="AB219">
        <f ca="1"/>
      </c>
      <c r="AC219">
        <f ca="1"/>
      </c>
      <c r="AD219">
        <f ca="1"/>
      </c>
      <c r="AE219">
        <f ca="1"/>
      </c>
      <c r="AF219">
        <f ca="1"/>
      </c>
      <c r="AG219">
        <f ca="1"/>
      </c>
      <c r="AH219">
        <f ca="1"/>
      </c>
      <c r="AL219" s="7">
        <f ca="1"/>
      </c>
      <c r="AM219" s="14">
        <f ca="1"/>
      </c>
      <c r="AN219" s="14">
        <f ca="1"/>
      </c>
      <c r="AO219" s="14">
        <f ca="1"/>
      </c>
      <c r="AP219" s="14">
        <f ca="1"/>
      </c>
      <c r="AQ219" s="14">
        <f ca="1"/>
      </c>
      <c r="AR219" s="14">
        <f ca="1"/>
      </c>
      <c r="AV219" s="14">
        <f ca="1"/>
      </c>
      <c r="AW219" s="14">
        <f ca="1"/>
      </c>
      <c r="AX219" s="14">
        <f ca="1"/>
      </c>
      <c r="AY219" s="14">
        <f ca="1"/>
      </c>
      <c r="AZ219" s="14">
        <f ca="1"/>
      </c>
      <c r="BF219" s="7">
        <f ca="1"/>
      </c>
      <c r="BG219" s="14">
        <f ca="1"/>
      </c>
      <c r="BH219" s="14">
        <f ca="1"/>
      </c>
      <c r="BI219" s="14">
        <f ca="1"/>
      </c>
      <c r="BJ219" s="14">
        <f ca="1"/>
      </c>
      <c r="BK219" s="14">
        <f ca="1"/>
      </c>
    </row>
    <row r="220" spans="28:63" x14ac:dyDescent="0.55000000000000004">
      <c r="AB220">
        <f ca="1"/>
      </c>
      <c r="AC220">
        <f ca="1"/>
      </c>
      <c r="AD220">
        <f ca="1"/>
      </c>
      <c r="AE220">
        <f ca="1"/>
      </c>
      <c r="AF220">
        <f ca="1"/>
      </c>
      <c r="AG220">
        <f ca="1"/>
      </c>
      <c r="AH220">
        <f ca="1"/>
      </c>
      <c r="AL220" s="7">
        <f ca="1"/>
      </c>
      <c r="AM220" s="14">
        <f ca="1"/>
      </c>
      <c r="AN220" s="14">
        <f ca="1"/>
      </c>
      <c r="AO220" s="14">
        <f ca="1"/>
      </c>
      <c r="AP220" s="14">
        <f ca="1"/>
      </c>
      <c r="AQ220" s="14">
        <f ca="1"/>
      </c>
      <c r="AR220" s="14">
        <f ca="1"/>
      </c>
      <c r="AV220" s="14">
        <f ca="1"/>
      </c>
      <c r="AW220" s="14">
        <f ca="1"/>
      </c>
      <c r="AX220" s="14">
        <f ca="1"/>
      </c>
      <c r="AY220" s="14">
        <f ca="1"/>
      </c>
      <c r="AZ220" s="14">
        <f ca="1"/>
      </c>
      <c r="BF220" s="7">
        <f ca="1"/>
      </c>
      <c r="BG220" s="14">
        <f ca="1"/>
      </c>
      <c r="BH220" s="14">
        <f ca="1"/>
      </c>
      <c r="BI220" s="14">
        <f ca="1"/>
      </c>
      <c r="BJ220" s="14">
        <f ca="1"/>
      </c>
      <c r="BK220" s="14">
        <f ca="1"/>
      </c>
    </row>
    <row r="221" spans="28:63" x14ac:dyDescent="0.55000000000000004">
      <c r="AB221">
        <f ca="1"/>
      </c>
      <c r="AC221">
        <f ca="1"/>
      </c>
      <c r="AD221">
        <f ca="1"/>
      </c>
      <c r="AE221">
        <f ca="1"/>
      </c>
      <c r="AF221">
        <f ca="1"/>
      </c>
      <c r="AG221">
        <f ca="1"/>
      </c>
      <c r="AH221">
        <f ca="1"/>
      </c>
      <c r="AL221" s="7">
        <f ca="1"/>
      </c>
      <c r="AM221" s="14">
        <f ca="1"/>
      </c>
      <c r="AN221" s="14">
        <f ca="1"/>
      </c>
      <c r="AO221" s="14">
        <f ca="1"/>
      </c>
      <c r="AP221" s="14">
        <f ca="1"/>
      </c>
      <c r="AQ221" s="14">
        <f ca="1"/>
      </c>
      <c r="AR221" s="14">
        <f ca="1"/>
      </c>
      <c r="AV221" s="14">
        <f ca="1"/>
      </c>
      <c r="AW221" s="14">
        <f ca="1"/>
      </c>
      <c r="AX221" s="14">
        <f ca="1"/>
      </c>
      <c r="AY221" s="14">
        <f ca="1"/>
      </c>
      <c r="AZ221" s="14">
        <f ca="1"/>
      </c>
      <c r="BF221" s="7">
        <f ca="1"/>
      </c>
      <c r="BG221" s="14">
        <f ca="1"/>
      </c>
      <c r="BH221" s="14">
        <f ca="1"/>
      </c>
      <c r="BI221" s="14">
        <f ca="1"/>
      </c>
      <c r="BJ221" s="14">
        <f ca="1"/>
      </c>
      <c r="BK221" s="14">
        <f ca="1"/>
      </c>
    </row>
    <row r="222" spans="28:63" x14ac:dyDescent="0.55000000000000004">
      <c r="AB222">
        <f ca="1"/>
      </c>
      <c r="AC222">
        <f ca="1"/>
      </c>
      <c r="AD222">
        <f ca="1"/>
      </c>
      <c r="AE222">
        <f ca="1"/>
      </c>
      <c r="AF222">
        <f ca="1"/>
      </c>
      <c r="AG222">
        <f ca="1"/>
      </c>
      <c r="AH222">
        <f ca="1"/>
      </c>
      <c r="AL222" s="7">
        <f ca="1"/>
      </c>
      <c r="AM222" s="14">
        <f ca="1"/>
      </c>
      <c r="AN222" s="14">
        <f ca="1"/>
      </c>
      <c r="AO222" s="14">
        <f ca="1"/>
      </c>
      <c r="AP222" s="14">
        <f ca="1"/>
      </c>
      <c r="AQ222" s="14">
        <f ca="1"/>
      </c>
      <c r="AR222" s="14">
        <f ca="1"/>
      </c>
      <c r="AV222" s="14">
        <f ca="1"/>
      </c>
      <c r="AW222" s="14">
        <f ca="1"/>
      </c>
      <c r="AX222" s="14">
        <f ca="1"/>
      </c>
      <c r="AY222" s="14">
        <f ca="1"/>
      </c>
      <c r="AZ222" s="14">
        <f ca="1"/>
      </c>
      <c r="BF222" s="7">
        <f ca="1"/>
      </c>
      <c r="BG222" s="14">
        <f ca="1"/>
      </c>
      <c r="BH222" s="14">
        <f ca="1"/>
      </c>
      <c r="BI222" s="14">
        <f ca="1"/>
      </c>
      <c r="BJ222" s="14">
        <f ca="1"/>
      </c>
      <c r="BK222" s="14">
        <f ca="1"/>
      </c>
    </row>
    <row r="223" spans="28:63" x14ac:dyDescent="0.55000000000000004">
      <c r="AB223">
        <f ca="1"/>
      </c>
      <c r="AC223">
        <f ca="1"/>
      </c>
      <c r="AD223">
        <f ca="1"/>
      </c>
      <c r="AE223">
        <f ca="1"/>
      </c>
      <c r="AF223">
        <f ca="1"/>
      </c>
      <c r="AG223">
        <f ca="1"/>
      </c>
      <c r="AH223">
        <f ca="1"/>
      </c>
      <c r="AL223" s="7">
        <f ca="1"/>
      </c>
      <c r="AM223" s="14">
        <f ca="1"/>
      </c>
      <c r="AN223" s="14">
        <f ca="1"/>
      </c>
      <c r="AO223" s="14">
        <f ca="1"/>
      </c>
      <c r="AP223" s="14">
        <f ca="1"/>
      </c>
      <c r="AQ223" s="14">
        <f ca="1"/>
      </c>
      <c r="AR223" s="14">
        <f ca="1"/>
      </c>
      <c r="AV223" s="14">
        <f ca="1"/>
      </c>
      <c r="AW223" s="14">
        <f ca="1"/>
      </c>
      <c r="AX223" s="14">
        <f ca="1"/>
      </c>
      <c r="AY223" s="14">
        <f ca="1"/>
      </c>
      <c r="AZ223" s="14">
        <f ca="1"/>
      </c>
      <c r="BF223" s="7">
        <f ca="1"/>
      </c>
      <c r="BG223" s="14">
        <f ca="1"/>
      </c>
      <c r="BH223" s="14">
        <f ca="1"/>
      </c>
      <c r="BI223" s="14">
        <f ca="1"/>
      </c>
      <c r="BJ223" s="14">
        <f ca="1"/>
      </c>
      <c r="BK223" s="14">
        <f ca="1"/>
      </c>
    </row>
    <row r="224" spans="28:63" x14ac:dyDescent="0.55000000000000004">
      <c r="AB224">
        <f ca="1"/>
      </c>
      <c r="AC224">
        <f ca="1"/>
      </c>
      <c r="AD224">
        <f ca="1"/>
      </c>
      <c r="AE224">
        <f ca="1"/>
      </c>
      <c r="AF224">
        <f ca="1"/>
      </c>
      <c r="AG224">
        <f ca="1"/>
      </c>
      <c r="AH224">
        <f ca="1"/>
      </c>
      <c r="AL224" s="7">
        <f ca="1"/>
      </c>
      <c r="AM224" s="14">
        <f ca="1"/>
      </c>
      <c r="AN224" s="14">
        <f ca="1"/>
      </c>
      <c r="AO224" s="14">
        <f ca="1"/>
      </c>
      <c r="AP224" s="14">
        <f ca="1"/>
      </c>
      <c r="AQ224" s="14">
        <f ca="1"/>
      </c>
      <c r="AR224" s="14">
        <f ca="1"/>
      </c>
      <c r="AV224" s="14">
        <f ca="1"/>
      </c>
      <c r="AW224" s="14">
        <f ca="1"/>
      </c>
      <c r="AX224" s="14">
        <f ca="1"/>
      </c>
      <c r="AY224" s="14">
        <f ca="1"/>
      </c>
      <c r="AZ224" s="14">
        <f ca="1"/>
      </c>
      <c r="BF224" s="7">
        <f ca="1"/>
      </c>
      <c r="BG224" s="14">
        <f ca="1"/>
      </c>
      <c r="BH224" s="14">
        <f ca="1"/>
      </c>
      <c r="BI224" s="14">
        <f ca="1"/>
      </c>
      <c r="BJ224" s="14">
        <f ca="1"/>
      </c>
      <c r="BK224" s="14">
        <f ca="1"/>
      </c>
    </row>
    <row r="225" spans="28:63" x14ac:dyDescent="0.55000000000000004">
      <c r="AB225">
        <f ca="1"/>
      </c>
      <c r="AC225">
        <f ca="1"/>
      </c>
      <c r="AD225">
        <f ca="1"/>
      </c>
      <c r="AE225">
        <f ca="1"/>
      </c>
      <c r="AF225">
        <f ca="1"/>
      </c>
      <c r="AG225">
        <f ca="1"/>
      </c>
      <c r="AH225">
        <f ca="1"/>
      </c>
      <c r="AL225" s="7">
        <f ca="1"/>
      </c>
      <c r="AM225" s="14">
        <f ca="1"/>
      </c>
      <c r="AN225" s="14">
        <f ca="1"/>
      </c>
      <c r="AO225" s="14">
        <f ca="1"/>
      </c>
      <c r="AP225" s="14">
        <f ca="1"/>
      </c>
      <c r="AQ225" s="14">
        <f ca="1"/>
      </c>
      <c r="AR225" s="14">
        <f ca="1"/>
      </c>
      <c r="AV225" s="14">
        <f ca="1"/>
      </c>
      <c r="AW225" s="14">
        <f ca="1"/>
      </c>
      <c r="AX225" s="14">
        <f ca="1"/>
      </c>
      <c r="AY225" s="14">
        <f ca="1"/>
      </c>
      <c r="AZ225" s="14">
        <f ca="1"/>
      </c>
      <c r="BF225" s="7">
        <f ca="1"/>
      </c>
      <c r="BG225" s="14">
        <f ca="1"/>
      </c>
      <c r="BH225" s="14">
        <f ca="1"/>
      </c>
      <c r="BI225" s="14">
        <f ca="1"/>
      </c>
      <c r="BJ225" s="14">
        <f ca="1"/>
      </c>
      <c r="BK225" s="14">
        <f ca="1"/>
      </c>
    </row>
    <row r="226" spans="28:63" x14ac:dyDescent="0.55000000000000004">
      <c r="AB226">
        <f ca="1"/>
      </c>
      <c r="AC226">
        <f ca="1"/>
      </c>
      <c r="AD226">
        <f ca="1"/>
      </c>
      <c r="AE226">
        <f ca="1"/>
      </c>
      <c r="AF226">
        <f ca="1"/>
      </c>
      <c r="AG226">
        <f ca="1"/>
      </c>
      <c r="AH226">
        <f ca="1"/>
      </c>
      <c r="AL226" s="7">
        <f ca="1"/>
      </c>
      <c r="AM226" s="14">
        <f ca="1"/>
      </c>
      <c r="AN226" s="14">
        <f ca="1"/>
      </c>
      <c r="AO226" s="14">
        <f ca="1"/>
      </c>
      <c r="AP226" s="14">
        <f ca="1"/>
      </c>
      <c r="AQ226" s="14">
        <f ca="1"/>
      </c>
      <c r="AR226" s="14">
        <f ca="1"/>
      </c>
      <c r="AV226" s="14">
        <f ca="1"/>
      </c>
      <c r="AW226" s="14">
        <f ca="1"/>
      </c>
      <c r="AX226" s="14">
        <f ca="1"/>
      </c>
      <c r="AY226" s="14">
        <f ca="1"/>
      </c>
      <c r="AZ226" s="14">
        <f ca="1"/>
      </c>
      <c r="BF226" s="7">
        <f ca="1"/>
      </c>
      <c r="BG226" s="14">
        <f ca="1"/>
      </c>
      <c r="BH226" s="14">
        <f ca="1"/>
      </c>
      <c r="BI226" s="14">
        <f ca="1"/>
      </c>
      <c r="BJ226" s="14">
        <f ca="1"/>
      </c>
      <c r="BK226" s="14">
        <f ca="1"/>
      </c>
    </row>
    <row r="227" spans="28:63" x14ac:dyDescent="0.55000000000000004">
      <c r="AB227">
        <f ca="1"/>
      </c>
      <c r="AC227">
        <f ca="1"/>
      </c>
      <c r="AD227">
        <f ca="1"/>
      </c>
      <c r="AE227">
        <f ca="1"/>
      </c>
      <c r="AF227">
        <f ca="1"/>
      </c>
      <c r="AG227">
        <f ca="1"/>
      </c>
      <c r="AH227">
        <f ca="1"/>
      </c>
      <c r="AL227" s="7">
        <f ca="1"/>
      </c>
      <c r="AM227" s="14">
        <f ca="1"/>
      </c>
      <c r="AN227" s="14">
        <f ca="1"/>
      </c>
      <c r="AO227" s="14">
        <f ca="1"/>
      </c>
      <c r="AP227" s="14">
        <f ca="1"/>
      </c>
      <c r="AQ227" s="14">
        <f ca="1"/>
      </c>
      <c r="AR227" s="14">
        <f ca="1"/>
      </c>
      <c r="AV227" s="14">
        <f ca="1"/>
      </c>
      <c r="AW227" s="14">
        <f ca="1"/>
      </c>
      <c r="AX227" s="14">
        <f ca="1"/>
      </c>
      <c r="AY227" s="14">
        <f ca="1"/>
      </c>
      <c r="AZ227" s="14">
        <f ca="1"/>
      </c>
      <c r="BF227" s="7">
        <f ca="1"/>
      </c>
      <c r="BG227" s="14">
        <f ca="1"/>
      </c>
      <c r="BH227" s="14">
        <f ca="1"/>
      </c>
      <c r="BI227" s="14">
        <f ca="1"/>
      </c>
      <c r="BJ227" s="14">
        <f ca="1"/>
      </c>
      <c r="BK227" s="14">
        <f ca="1"/>
      </c>
    </row>
    <row r="228" spans="28:63" x14ac:dyDescent="0.55000000000000004">
      <c r="AB228">
        <f ca="1"/>
      </c>
      <c r="AC228">
        <f ca="1"/>
      </c>
      <c r="AD228">
        <f ca="1"/>
      </c>
      <c r="AE228">
        <f ca="1"/>
      </c>
      <c r="AF228">
        <f ca="1"/>
      </c>
      <c r="AG228">
        <f ca="1"/>
      </c>
      <c r="AH228">
        <f ca="1"/>
      </c>
      <c r="AL228" s="7">
        <f ca="1"/>
      </c>
      <c r="AM228" s="14">
        <f ca="1"/>
      </c>
      <c r="AN228" s="14">
        <f ca="1"/>
      </c>
      <c r="AO228" s="14">
        <f ca="1"/>
      </c>
      <c r="AP228" s="14">
        <f ca="1"/>
      </c>
      <c r="AQ228" s="14">
        <f ca="1"/>
      </c>
      <c r="AR228" s="14">
        <f ca="1"/>
      </c>
      <c r="AV228" s="14">
        <f ca="1"/>
      </c>
      <c r="AW228" s="14">
        <f ca="1"/>
      </c>
      <c r="AX228" s="14">
        <f ca="1"/>
      </c>
      <c r="AY228" s="14">
        <f ca="1"/>
      </c>
      <c r="AZ228" s="14">
        <f ca="1"/>
      </c>
      <c r="BF228" s="7">
        <f ca="1"/>
      </c>
      <c r="BG228" s="14">
        <f ca="1"/>
      </c>
      <c r="BH228" s="14">
        <f ca="1"/>
      </c>
      <c r="BI228" s="14">
        <f ca="1"/>
      </c>
      <c r="BJ228" s="14">
        <f ca="1"/>
      </c>
      <c r="BK228" s="14">
        <f ca="1"/>
      </c>
    </row>
    <row r="229" spans="28:63" x14ac:dyDescent="0.55000000000000004">
      <c r="AB229">
        <f ca="1"/>
      </c>
      <c r="AC229">
        <f ca="1"/>
      </c>
      <c r="AD229">
        <f ca="1"/>
      </c>
      <c r="AE229">
        <f ca="1"/>
      </c>
      <c r="AF229">
        <f ca="1"/>
      </c>
      <c r="AG229">
        <f ca="1"/>
      </c>
      <c r="AH229">
        <f ca="1"/>
      </c>
      <c r="AL229" s="7">
        <f ca="1"/>
      </c>
      <c r="AM229" s="14">
        <f ca="1"/>
      </c>
      <c r="AN229" s="14">
        <f ca="1"/>
      </c>
      <c r="AO229" s="14">
        <f ca="1"/>
      </c>
      <c r="AP229" s="14">
        <f ca="1"/>
      </c>
      <c r="AQ229" s="14">
        <f ca="1"/>
      </c>
      <c r="AR229" s="14">
        <f ca="1"/>
      </c>
      <c r="AV229" s="14">
        <f ca="1"/>
      </c>
      <c r="AW229" s="14">
        <f ca="1"/>
      </c>
      <c r="AX229" s="14">
        <f ca="1"/>
      </c>
      <c r="AY229" s="14">
        <f ca="1"/>
      </c>
      <c r="AZ229" s="14">
        <f ca="1"/>
      </c>
      <c r="BF229" s="7">
        <f ca="1"/>
      </c>
      <c r="BG229" s="14">
        <f ca="1"/>
      </c>
      <c r="BH229" s="14">
        <f ca="1"/>
      </c>
      <c r="BI229" s="14">
        <f ca="1"/>
      </c>
      <c r="BJ229" s="14">
        <f ca="1"/>
      </c>
      <c r="BK229" s="14">
        <f ca="1"/>
      </c>
    </row>
    <row r="230" spans="28:63" x14ac:dyDescent="0.55000000000000004">
      <c r="AB230">
        <f ca="1"/>
      </c>
      <c r="AC230">
        <f ca="1"/>
      </c>
      <c r="AD230">
        <f ca="1"/>
      </c>
      <c r="AE230">
        <f ca="1"/>
      </c>
      <c r="AF230">
        <f ca="1"/>
      </c>
      <c r="AG230">
        <f ca="1"/>
      </c>
      <c r="AH230">
        <f ca="1"/>
      </c>
      <c r="AL230" s="7">
        <f ca="1"/>
      </c>
      <c r="AM230" s="14">
        <f ca="1"/>
      </c>
      <c r="AN230" s="14">
        <f ca="1"/>
      </c>
      <c r="AO230" s="14">
        <f ca="1"/>
      </c>
      <c r="AP230" s="14">
        <f ca="1"/>
      </c>
      <c r="AQ230" s="14">
        <f ca="1"/>
      </c>
      <c r="AR230" s="14">
        <f ca="1"/>
      </c>
      <c r="AV230" s="14">
        <f ca="1"/>
      </c>
      <c r="AW230" s="14">
        <f ca="1"/>
      </c>
      <c r="AX230" s="14">
        <f ca="1"/>
      </c>
      <c r="AY230" s="14">
        <f ca="1"/>
      </c>
      <c r="AZ230" s="14">
        <f ca="1"/>
      </c>
      <c r="BF230" s="7">
        <f ca="1"/>
      </c>
      <c r="BG230" s="14">
        <f ca="1"/>
      </c>
      <c r="BH230" s="14">
        <f ca="1"/>
      </c>
      <c r="BI230" s="14">
        <f ca="1"/>
      </c>
      <c r="BJ230" s="14">
        <f ca="1"/>
      </c>
      <c r="BK230" s="14">
        <f ca="1"/>
      </c>
    </row>
    <row r="231" spans="28:63" x14ac:dyDescent="0.55000000000000004">
      <c r="AB231">
        <f ca="1"/>
      </c>
      <c r="AC231">
        <f ca="1"/>
      </c>
      <c r="AD231">
        <f ca="1"/>
      </c>
      <c r="AE231">
        <f ca="1"/>
      </c>
      <c r="AF231">
        <f ca="1"/>
      </c>
      <c r="AG231">
        <f ca="1"/>
      </c>
      <c r="AH231">
        <f ca="1"/>
      </c>
      <c r="AL231" s="7">
        <f ca="1"/>
      </c>
      <c r="AM231" s="14">
        <f ca="1"/>
      </c>
      <c r="AN231" s="14">
        <f ca="1"/>
      </c>
      <c r="AO231" s="14">
        <f ca="1"/>
      </c>
      <c r="AP231" s="14">
        <f ca="1"/>
      </c>
      <c r="AQ231" s="14">
        <f ca="1"/>
      </c>
      <c r="AR231" s="14">
        <f ca="1"/>
      </c>
      <c r="AV231" s="14">
        <f ca="1"/>
      </c>
      <c r="AW231" s="14">
        <f ca="1"/>
      </c>
      <c r="AX231" s="14">
        <f ca="1"/>
      </c>
      <c r="AY231" s="14">
        <f ca="1"/>
      </c>
      <c r="AZ231" s="14">
        <f ca="1"/>
      </c>
      <c r="BF231" s="7">
        <f ca="1"/>
      </c>
      <c r="BG231" s="14">
        <f ca="1"/>
      </c>
      <c r="BH231" s="14">
        <f ca="1"/>
      </c>
      <c r="BI231" s="14">
        <f ca="1"/>
      </c>
      <c r="BJ231" s="14">
        <f ca="1"/>
      </c>
      <c r="BK231" s="14">
        <f ca="1"/>
      </c>
    </row>
    <row r="232" spans="28:63" x14ac:dyDescent="0.55000000000000004">
      <c r="AB232">
        <f ca="1"/>
      </c>
      <c r="AC232">
        <f ca="1"/>
      </c>
      <c r="AD232">
        <f ca="1"/>
      </c>
      <c r="AE232">
        <f ca="1"/>
      </c>
      <c r="AF232">
        <f ca="1"/>
      </c>
      <c r="AG232">
        <f ca="1"/>
      </c>
      <c r="AH232">
        <f ca="1"/>
      </c>
      <c r="AL232" s="7">
        <f ca="1"/>
      </c>
      <c r="AM232" s="14">
        <f ca="1"/>
      </c>
      <c r="AN232" s="14">
        <f ca="1"/>
      </c>
      <c r="AO232" s="14">
        <f ca="1"/>
      </c>
      <c r="AP232" s="14">
        <f ca="1"/>
      </c>
      <c r="AQ232" s="14">
        <f ca="1"/>
      </c>
      <c r="AR232" s="14">
        <f ca="1"/>
      </c>
      <c r="AV232" s="14">
        <f ca="1"/>
      </c>
      <c r="AW232" s="14">
        <f ca="1"/>
      </c>
      <c r="AX232" s="14">
        <f ca="1"/>
      </c>
      <c r="AY232" s="14">
        <f ca="1"/>
      </c>
      <c r="AZ232" s="14">
        <f ca="1"/>
      </c>
      <c r="BF232" s="7">
        <f ca="1"/>
      </c>
      <c r="BG232" s="14">
        <f ca="1"/>
      </c>
      <c r="BH232" s="14">
        <f ca="1"/>
      </c>
      <c r="BI232" s="14">
        <f ca="1"/>
      </c>
      <c r="BJ232" s="14">
        <f ca="1"/>
      </c>
      <c r="BK232" s="14">
        <f ca="1"/>
      </c>
    </row>
    <row r="233" spans="28:63" x14ac:dyDescent="0.55000000000000004">
      <c r="AB233">
        <f ca="1"/>
      </c>
      <c r="AC233">
        <f ca="1"/>
      </c>
      <c r="AD233">
        <f ca="1"/>
      </c>
      <c r="AE233">
        <f ca="1"/>
      </c>
      <c r="AF233">
        <f ca="1"/>
      </c>
      <c r="AG233">
        <f ca="1"/>
      </c>
      <c r="AH233">
        <f ca="1"/>
      </c>
      <c r="AL233" s="7">
        <f ca="1"/>
      </c>
      <c r="AM233" s="14">
        <f ca="1"/>
      </c>
      <c r="AN233" s="14">
        <f ca="1"/>
      </c>
      <c r="AO233" s="14">
        <f ca="1"/>
      </c>
      <c r="AP233" s="14">
        <f ca="1"/>
      </c>
      <c r="AQ233" s="14">
        <f ca="1"/>
      </c>
      <c r="AR233" s="14">
        <f ca="1"/>
      </c>
      <c r="AV233" s="14">
        <f ca="1"/>
      </c>
      <c r="AW233" s="14">
        <f ca="1"/>
      </c>
      <c r="AX233" s="14">
        <f ca="1"/>
      </c>
      <c r="AY233" s="14">
        <f ca="1"/>
      </c>
      <c r="AZ233" s="14">
        <f ca="1"/>
      </c>
      <c r="BF233" s="7">
        <f ca="1"/>
      </c>
      <c r="BG233" s="14">
        <f ca="1"/>
      </c>
      <c r="BH233" s="14">
        <f ca="1"/>
      </c>
      <c r="BI233" s="14">
        <f ca="1"/>
      </c>
      <c r="BJ233" s="14">
        <f ca="1"/>
      </c>
      <c r="BK233" s="14">
        <f ca="1"/>
      </c>
    </row>
    <row r="234" spans="28:63" x14ac:dyDescent="0.55000000000000004">
      <c r="AB234">
        <f ca="1"/>
      </c>
      <c r="AC234">
        <f ca="1"/>
      </c>
      <c r="AD234">
        <f ca="1"/>
      </c>
      <c r="AE234">
        <f ca="1"/>
      </c>
      <c r="AF234">
        <f ca="1"/>
      </c>
      <c r="AG234">
        <f ca="1"/>
      </c>
      <c r="AH234">
        <f ca="1"/>
      </c>
      <c r="AL234" s="7">
        <f ca="1"/>
      </c>
      <c r="AM234" s="14">
        <f ca="1"/>
      </c>
      <c r="AN234" s="14">
        <f ca="1"/>
      </c>
      <c r="AO234" s="14">
        <f ca="1"/>
      </c>
      <c r="AP234" s="14">
        <f ca="1"/>
      </c>
      <c r="AQ234" s="14">
        <f ca="1"/>
      </c>
      <c r="AR234" s="14">
        <f ca="1"/>
      </c>
      <c r="AV234" s="14">
        <f ca="1"/>
      </c>
      <c r="AW234" s="14">
        <f ca="1"/>
      </c>
      <c r="AX234" s="14">
        <f ca="1"/>
      </c>
      <c r="AY234" s="14">
        <f ca="1"/>
      </c>
      <c r="AZ234" s="14">
        <f ca="1"/>
      </c>
      <c r="BF234" s="7">
        <f ca="1"/>
      </c>
      <c r="BG234" s="14">
        <f ca="1"/>
      </c>
      <c r="BH234" s="14">
        <f ca="1"/>
      </c>
      <c r="BI234" s="14">
        <f ca="1"/>
      </c>
      <c r="BJ234" s="14">
        <f ca="1"/>
      </c>
      <c r="BK234" s="14">
        <f ca="1"/>
      </c>
    </row>
    <row r="235" spans="28:63" x14ac:dyDescent="0.55000000000000004">
      <c r="AB235">
        <f ca="1"/>
      </c>
      <c r="AC235">
        <f ca="1"/>
      </c>
      <c r="AD235">
        <f ca="1"/>
      </c>
      <c r="AE235">
        <f ca="1"/>
      </c>
      <c r="AF235">
        <f ca="1"/>
      </c>
      <c r="AG235">
        <f ca="1"/>
      </c>
      <c r="AH235">
        <f ca="1"/>
      </c>
      <c r="AL235" s="7">
        <f ca="1"/>
      </c>
      <c r="AM235" s="14">
        <f ca="1"/>
      </c>
      <c r="AN235" s="14">
        <f ca="1"/>
      </c>
      <c r="AO235" s="14">
        <f ca="1"/>
      </c>
      <c r="AP235" s="14">
        <f ca="1"/>
      </c>
      <c r="AQ235" s="14">
        <f ca="1"/>
      </c>
      <c r="AR235" s="14">
        <f ca="1"/>
      </c>
      <c r="AV235" s="14">
        <f ca="1"/>
      </c>
      <c r="AW235" s="14">
        <f ca="1"/>
      </c>
      <c r="AX235" s="14">
        <f ca="1"/>
      </c>
      <c r="AY235" s="14">
        <f ca="1"/>
      </c>
      <c r="AZ235" s="14">
        <f ca="1"/>
      </c>
      <c r="BF235" s="7">
        <f ca="1"/>
      </c>
      <c r="BG235" s="14">
        <f ca="1"/>
      </c>
      <c r="BH235" s="14">
        <f ca="1"/>
      </c>
      <c r="BI235" s="14">
        <f ca="1"/>
      </c>
      <c r="BJ235" s="14">
        <f ca="1"/>
      </c>
      <c r="BK235" s="14">
        <f ca="1"/>
      </c>
    </row>
    <row r="236" spans="28:63" x14ac:dyDescent="0.55000000000000004">
      <c r="AB236">
        <f ca="1"/>
      </c>
      <c r="AC236">
        <f ca="1"/>
      </c>
      <c r="AD236">
        <f ca="1"/>
      </c>
      <c r="AE236">
        <f ca="1"/>
      </c>
      <c r="AF236">
        <f ca="1"/>
      </c>
      <c r="AG236">
        <f ca="1"/>
      </c>
      <c r="AH236">
        <f ca="1"/>
      </c>
      <c r="AL236" s="7">
        <f ca="1"/>
      </c>
      <c r="AM236" s="14">
        <f ca="1"/>
      </c>
      <c r="AN236" s="14">
        <f ca="1"/>
      </c>
      <c r="AO236" s="14">
        <f ca="1"/>
      </c>
      <c r="AP236" s="14">
        <f ca="1"/>
      </c>
      <c r="AQ236" s="14">
        <f ca="1"/>
      </c>
      <c r="AR236" s="14">
        <f ca="1"/>
      </c>
      <c r="AV236" s="14">
        <f ca="1"/>
      </c>
      <c r="AW236" s="14">
        <f ca="1"/>
      </c>
      <c r="AX236" s="14">
        <f ca="1"/>
      </c>
      <c r="AY236" s="14">
        <f ca="1"/>
      </c>
      <c r="AZ236" s="14">
        <f ca="1"/>
      </c>
      <c r="BF236" s="7">
        <f ca="1"/>
      </c>
      <c r="BG236" s="14">
        <f ca="1"/>
      </c>
      <c r="BH236" s="14">
        <f ca="1"/>
      </c>
      <c r="BI236" s="14">
        <f ca="1"/>
      </c>
      <c r="BJ236" s="14">
        <f ca="1"/>
      </c>
      <c r="BK236" s="14">
        <f ca="1"/>
      </c>
    </row>
    <row r="237" spans="28:63" x14ac:dyDescent="0.55000000000000004">
      <c r="AB237">
        <f ca="1"/>
      </c>
      <c r="AC237">
        <f ca="1"/>
      </c>
      <c r="AD237">
        <f ca="1"/>
      </c>
      <c r="AE237">
        <f ca="1"/>
      </c>
      <c r="AF237">
        <f ca="1"/>
      </c>
      <c r="AG237">
        <f ca="1"/>
      </c>
      <c r="AH237">
        <f ca="1"/>
      </c>
      <c r="AL237" s="7">
        <f ca="1"/>
      </c>
      <c r="AM237" s="14">
        <f ca="1"/>
      </c>
      <c r="AN237" s="14">
        <f ca="1"/>
      </c>
      <c r="AO237" s="14">
        <f ca="1"/>
      </c>
      <c r="AP237" s="14">
        <f ca="1"/>
      </c>
      <c r="AQ237" s="14">
        <f ca="1"/>
      </c>
      <c r="AR237" s="14">
        <f ca="1"/>
      </c>
      <c r="AV237" s="14">
        <f ca="1"/>
      </c>
      <c r="AW237" s="14">
        <f ca="1"/>
      </c>
      <c r="AX237" s="14">
        <f ca="1"/>
      </c>
      <c r="AY237" s="14">
        <f ca="1"/>
      </c>
      <c r="AZ237" s="14">
        <f ca="1"/>
      </c>
      <c r="BF237" s="7">
        <f ca="1"/>
      </c>
      <c r="BG237" s="14">
        <f ca="1"/>
      </c>
      <c r="BH237" s="14">
        <f ca="1"/>
      </c>
      <c r="BI237" s="14">
        <f ca="1"/>
      </c>
      <c r="BJ237" s="14">
        <f ca="1"/>
      </c>
      <c r="BK237" s="14">
        <f ca="1"/>
      </c>
    </row>
    <row r="238" spans="28:63" x14ac:dyDescent="0.55000000000000004">
      <c r="AB238">
        <f ca="1"/>
      </c>
      <c r="AC238">
        <f ca="1"/>
      </c>
      <c r="AD238">
        <f ca="1"/>
      </c>
      <c r="AE238">
        <f ca="1"/>
      </c>
      <c r="AF238">
        <f ca="1"/>
      </c>
      <c r="AG238">
        <f ca="1"/>
      </c>
      <c r="AH238">
        <f ca="1"/>
      </c>
      <c r="AL238" s="7">
        <f ca="1"/>
      </c>
      <c r="AM238" s="14">
        <f ca="1"/>
      </c>
      <c r="AN238" s="14">
        <f ca="1"/>
      </c>
      <c r="AO238" s="14">
        <f ca="1"/>
      </c>
      <c r="AP238" s="14">
        <f ca="1"/>
      </c>
      <c r="AQ238" s="14">
        <f ca="1"/>
      </c>
      <c r="AR238" s="14">
        <f ca="1"/>
      </c>
      <c r="AV238" s="14">
        <f ca="1"/>
      </c>
      <c r="AW238" s="14">
        <f ca="1"/>
      </c>
      <c r="AX238" s="14">
        <f ca="1"/>
      </c>
      <c r="AY238" s="14">
        <f ca="1"/>
      </c>
      <c r="AZ238" s="14">
        <f ca="1"/>
      </c>
      <c r="BF238" s="7">
        <f ca="1"/>
      </c>
      <c r="BG238" s="14">
        <f ca="1"/>
      </c>
      <c r="BH238" s="14">
        <f ca="1"/>
      </c>
      <c r="BI238" s="14">
        <f ca="1"/>
      </c>
      <c r="BJ238" s="14">
        <f ca="1"/>
      </c>
      <c r="BK238" s="14">
        <f ca="1"/>
      </c>
    </row>
    <row r="239" spans="28:63" x14ac:dyDescent="0.55000000000000004">
      <c r="AB239">
        <f ca="1"/>
      </c>
      <c r="AC239">
        <f ca="1"/>
      </c>
      <c r="AD239">
        <f ca="1"/>
      </c>
      <c r="AE239">
        <f ca="1"/>
      </c>
      <c r="AF239">
        <f ca="1"/>
      </c>
      <c r="AG239">
        <f ca="1"/>
      </c>
      <c r="AH239">
        <f ca="1"/>
      </c>
      <c r="AL239" s="7">
        <f ca="1"/>
      </c>
      <c r="AM239" s="14">
        <f ca="1"/>
      </c>
      <c r="AN239" s="14">
        <f ca="1"/>
      </c>
      <c r="AO239" s="14">
        <f ca="1"/>
      </c>
      <c r="AP239" s="14">
        <f ca="1"/>
      </c>
      <c r="AQ239" s="14">
        <f ca="1"/>
      </c>
      <c r="AR239" s="14">
        <f ca="1"/>
      </c>
      <c r="AV239" s="14">
        <f ca="1"/>
      </c>
      <c r="AW239" s="14">
        <f ca="1"/>
      </c>
      <c r="AX239" s="14">
        <f ca="1"/>
      </c>
      <c r="AY239" s="14">
        <f ca="1"/>
      </c>
      <c r="AZ239" s="14">
        <f ca="1"/>
      </c>
      <c r="BF239" s="7">
        <f ca="1"/>
      </c>
      <c r="BG239" s="14">
        <f ca="1"/>
      </c>
      <c r="BH239" s="14">
        <f ca="1"/>
      </c>
      <c r="BI239" s="14">
        <f ca="1"/>
      </c>
      <c r="BJ239" s="14">
        <f ca="1"/>
      </c>
      <c r="BK239" s="14">
        <f ca="1"/>
      </c>
    </row>
    <row r="240" spans="28:63" x14ac:dyDescent="0.55000000000000004">
      <c r="AB240">
        <f ca="1"/>
      </c>
      <c r="AC240">
        <f ca="1"/>
      </c>
      <c r="AD240">
        <f ca="1"/>
      </c>
      <c r="AE240">
        <f ca="1"/>
      </c>
      <c r="AF240">
        <f ca="1"/>
      </c>
      <c r="AG240">
        <f ca="1"/>
      </c>
      <c r="AH240">
        <f ca="1"/>
      </c>
      <c r="AL240" s="7">
        <f ca="1"/>
      </c>
      <c r="AM240" s="14">
        <f ca="1"/>
      </c>
      <c r="AN240" s="14">
        <f ca="1"/>
      </c>
      <c r="AO240" s="14">
        <f ca="1"/>
      </c>
      <c r="AP240" s="14">
        <f ca="1"/>
      </c>
      <c r="AQ240" s="14">
        <f ca="1"/>
      </c>
      <c r="AR240" s="14">
        <f ca="1"/>
      </c>
      <c r="AV240" s="14">
        <f ca="1"/>
      </c>
      <c r="AW240" s="14">
        <f ca="1"/>
      </c>
      <c r="AX240" s="14">
        <f ca="1"/>
      </c>
      <c r="AY240" s="14">
        <f ca="1"/>
      </c>
      <c r="AZ240" s="14">
        <f ca="1"/>
      </c>
      <c r="BF240" s="7">
        <f ca="1"/>
      </c>
      <c r="BG240" s="14">
        <f ca="1"/>
      </c>
      <c r="BH240" s="14">
        <f ca="1"/>
      </c>
      <c r="BI240" s="14">
        <f ca="1"/>
      </c>
      <c r="BJ240" s="14">
        <f ca="1"/>
      </c>
      <c r="BK240" s="14">
        <f ca="1"/>
      </c>
    </row>
    <row r="241" spans="28:63" x14ac:dyDescent="0.55000000000000004">
      <c r="AB241">
        <f ca="1"/>
      </c>
      <c r="AC241">
        <f ca="1"/>
      </c>
      <c r="AD241">
        <f ca="1"/>
      </c>
      <c r="AE241">
        <f ca="1"/>
      </c>
      <c r="AF241">
        <f ca="1"/>
      </c>
      <c r="AG241">
        <f ca="1"/>
      </c>
      <c r="AH241">
        <f ca="1"/>
      </c>
      <c r="AL241" s="7">
        <f ca="1"/>
      </c>
      <c r="AM241" s="14">
        <f ca="1"/>
      </c>
      <c r="AN241" s="14">
        <f ca="1"/>
      </c>
      <c r="AO241" s="14">
        <f ca="1"/>
      </c>
      <c r="AP241" s="14">
        <f ca="1"/>
      </c>
      <c r="AQ241" s="14">
        <f ca="1"/>
      </c>
      <c r="AR241" s="14">
        <f ca="1"/>
      </c>
      <c r="AV241" s="14">
        <f ca="1"/>
      </c>
      <c r="AW241" s="14">
        <f ca="1"/>
      </c>
      <c r="AX241" s="14">
        <f ca="1"/>
      </c>
      <c r="AY241" s="14">
        <f ca="1"/>
      </c>
      <c r="AZ241" s="14">
        <f ca="1"/>
      </c>
      <c r="BF241" s="7">
        <f ca="1"/>
      </c>
      <c r="BG241" s="14">
        <f ca="1"/>
      </c>
      <c r="BH241" s="14">
        <f ca="1"/>
      </c>
      <c r="BI241" s="14">
        <f ca="1"/>
      </c>
      <c r="BJ241" s="14">
        <f ca="1"/>
      </c>
      <c r="BK241" s="14">
        <f ca="1"/>
      </c>
    </row>
    <row r="242" spans="28:63" x14ac:dyDescent="0.55000000000000004">
      <c r="AB242">
        <f ca="1"/>
      </c>
      <c r="AC242">
        <f ca="1"/>
      </c>
      <c r="AD242">
        <f ca="1"/>
      </c>
      <c r="AE242">
        <f ca="1"/>
      </c>
      <c r="AF242">
        <f ca="1"/>
      </c>
      <c r="AG242">
        <f ca="1"/>
      </c>
      <c r="AH242">
        <f ca="1"/>
      </c>
      <c r="AL242" s="7">
        <f ca="1"/>
      </c>
      <c r="AM242" s="14">
        <f ca="1"/>
      </c>
      <c r="AN242" s="14">
        <f ca="1"/>
      </c>
      <c r="AO242" s="14">
        <f ca="1"/>
      </c>
      <c r="AP242" s="14">
        <f ca="1"/>
      </c>
      <c r="AQ242" s="14">
        <f ca="1"/>
      </c>
      <c r="AR242" s="14">
        <f ca="1"/>
      </c>
      <c r="AV242" s="14">
        <f ca="1"/>
      </c>
      <c r="AW242" s="14">
        <f ca="1"/>
      </c>
      <c r="AX242" s="14">
        <f ca="1"/>
      </c>
      <c r="AY242" s="14">
        <f ca="1"/>
      </c>
      <c r="AZ242" s="14">
        <f ca="1"/>
      </c>
      <c r="BF242" s="7">
        <f ca="1"/>
      </c>
      <c r="BG242" s="14">
        <f ca="1"/>
      </c>
      <c r="BH242" s="14">
        <f ca="1"/>
      </c>
      <c r="BI242" s="14">
        <f ca="1"/>
      </c>
      <c r="BJ242" s="14">
        <f ca="1"/>
      </c>
      <c r="BK242" s="14">
        <f ca="1"/>
      </c>
    </row>
    <row r="243" spans="28:63" x14ac:dyDescent="0.55000000000000004">
      <c r="AB243">
        <f ca="1"/>
      </c>
      <c r="AC243">
        <f ca="1"/>
      </c>
      <c r="AD243">
        <f ca="1"/>
      </c>
      <c r="AE243">
        <f ca="1"/>
      </c>
      <c r="AF243">
        <f ca="1"/>
      </c>
      <c r="AG243">
        <f ca="1"/>
      </c>
      <c r="AH243">
        <f ca="1"/>
      </c>
      <c r="AL243" s="7">
        <f ca="1"/>
      </c>
      <c r="AM243" s="14">
        <f ca="1"/>
      </c>
      <c r="AN243" s="14">
        <f ca="1"/>
      </c>
      <c r="AO243" s="14">
        <f ca="1"/>
      </c>
      <c r="AP243" s="14">
        <f ca="1"/>
      </c>
      <c r="AQ243" s="14">
        <f ca="1"/>
      </c>
      <c r="AR243" s="14">
        <f ca="1"/>
      </c>
      <c r="AV243" s="14">
        <f ca="1"/>
      </c>
      <c r="AW243" s="14">
        <f ca="1"/>
      </c>
      <c r="AX243" s="14">
        <f ca="1"/>
      </c>
      <c r="AY243" s="14">
        <f ca="1"/>
      </c>
      <c r="AZ243" s="14">
        <f ca="1"/>
      </c>
      <c r="BF243" s="7">
        <f ca="1"/>
      </c>
      <c r="BG243" s="14">
        <f ca="1"/>
      </c>
      <c r="BH243" s="14">
        <f ca="1"/>
      </c>
      <c r="BI243" s="14">
        <f ca="1"/>
      </c>
      <c r="BJ243" s="14">
        <f ca="1"/>
      </c>
      <c r="BK243" s="14">
        <f ca="1"/>
      </c>
    </row>
    <row r="244" spans="28:63" x14ac:dyDescent="0.55000000000000004">
      <c r="AB244">
        <f ca="1"/>
      </c>
      <c r="AC244">
        <f ca="1"/>
      </c>
      <c r="AD244">
        <f ca="1"/>
      </c>
      <c r="AE244">
        <f ca="1"/>
      </c>
      <c r="AF244">
        <f ca="1"/>
      </c>
      <c r="AG244">
        <f ca="1"/>
      </c>
      <c r="AH244">
        <f ca="1"/>
      </c>
      <c r="AL244" s="7">
        <f ca="1"/>
      </c>
      <c r="AM244" s="14">
        <f ca="1"/>
      </c>
      <c r="AN244" s="14">
        <f ca="1"/>
      </c>
      <c r="AO244" s="14">
        <f ca="1"/>
      </c>
      <c r="AP244" s="14">
        <f ca="1"/>
      </c>
      <c r="AQ244" s="14">
        <f ca="1"/>
      </c>
      <c r="AR244" s="14">
        <f ca="1"/>
      </c>
      <c r="AV244" s="14">
        <f ca="1"/>
      </c>
      <c r="AW244" s="14">
        <f ca="1"/>
      </c>
      <c r="AX244" s="14">
        <f ca="1"/>
      </c>
      <c r="AY244" s="14">
        <f ca="1"/>
      </c>
      <c r="AZ244" s="14">
        <f ca="1"/>
      </c>
      <c r="BF244" s="7">
        <f ca="1"/>
      </c>
      <c r="BG244" s="14">
        <f ca="1"/>
      </c>
      <c r="BH244" s="14">
        <f ca="1"/>
      </c>
      <c r="BI244" s="14">
        <f ca="1"/>
      </c>
      <c r="BJ244" s="14">
        <f ca="1"/>
      </c>
      <c r="BK244" s="14">
        <f ca="1"/>
      </c>
    </row>
    <row r="245" spans="28:63" x14ac:dyDescent="0.55000000000000004">
      <c r="AB245">
        <f ca="1"/>
      </c>
      <c r="AC245">
        <f ca="1"/>
      </c>
      <c r="AD245">
        <f ca="1"/>
      </c>
      <c r="AE245">
        <f ca="1"/>
      </c>
      <c r="AF245">
        <f ca="1"/>
      </c>
      <c r="AG245">
        <f ca="1"/>
      </c>
      <c r="AH245">
        <f ca="1"/>
      </c>
      <c r="AL245" s="7">
        <f ca="1"/>
      </c>
      <c r="AM245" s="14">
        <f ca="1"/>
      </c>
      <c r="AN245" s="14">
        <f ca="1"/>
      </c>
      <c r="AO245" s="14">
        <f ca="1"/>
      </c>
      <c r="AP245" s="14">
        <f ca="1"/>
      </c>
      <c r="AQ245" s="14">
        <f ca="1"/>
      </c>
      <c r="AR245" s="14">
        <f ca="1"/>
      </c>
      <c r="AV245" s="14">
        <f ca="1"/>
      </c>
      <c r="AW245" s="14">
        <f ca="1"/>
      </c>
      <c r="AX245" s="14">
        <f ca="1"/>
      </c>
      <c r="AY245" s="14">
        <f ca="1"/>
      </c>
      <c r="AZ245" s="14">
        <f ca="1"/>
      </c>
      <c r="BF245" s="7">
        <f ca="1"/>
      </c>
      <c r="BG245" s="14">
        <f ca="1"/>
      </c>
      <c r="BH245" s="14">
        <f ca="1"/>
      </c>
      <c r="BI245" s="14">
        <f ca="1"/>
      </c>
      <c r="BJ245" s="14">
        <f ca="1"/>
      </c>
      <c r="BK245" s="14">
        <f ca="1"/>
      </c>
    </row>
    <row r="246" spans="28:63" x14ac:dyDescent="0.55000000000000004">
      <c r="AB246">
        <f ca="1"/>
      </c>
      <c r="AC246">
        <f ca="1"/>
      </c>
      <c r="AD246">
        <f ca="1"/>
      </c>
      <c r="AE246">
        <f ca="1"/>
      </c>
      <c r="AF246">
        <f ca="1"/>
      </c>
      <c r="AG246">
        <f ca="1"/>
      </c>
      <c r="AH246">
        <f ca="1"/>
      </c>
      <c r="AL246" s="7">
        <f ca="1"/>
      </c>
      <c r="AM246" s="14">
        <f ca="1"/>
      </c>
      <c r="AN246" s="14">
        <f ca="1"/>
      </c>
      <c r="AO246" s="14">
        <f ca="1"/>
      </c>
      <c r="AP246" s="14">
        <f ca="1"/>
      </c>
      <c r="AQ246" s="14">
        <f ca="1"/>
      </c>
      <c r="AR246" s="14">
        <f ca="1"/>
      </c>
      <c r="AV246" s="14">
        <f ca="1"/>
      </c>
      <c r="AW246" s="14">
        <f ca="1"/>
      </c>
      <c r="AX246" s="14">
        <f ca="1"/>
      </c>
      <c r="AY246" s="14">
        <f ca="1"/>
      </c>
      <c r="AZ246" s="14">
        <f ca="1"/>
      </c>
      <c r="BF246" s="7">
        <f ca="1"/>
      </c>
      <c r="BG246" s="14">
        <f ca="1"/>
      </c>
      <c r="BH246" s="14">
        <f ca="1"/>
      </c>
      <c r="BI246" s="14">
        <f ca="1"/>
      </c>
      <c r="BJ246" s="14">
        <f ca="1"/>
      </c>
      <c r="BK246" s="14">
        <f ca="1"/>
      </c>
    </row>
    <row r="247" spans="28:63" x14ac:dyDescent="0.55000000000000004">
      <c r="AB247">
        <f ca="1"/>
      </c>
      <c r="AC247">
        <f ca="1"/>
      </c>
      <c r="AD247">
        <f ca="1"/>
      </c>
      <c r="AE247">
        <f ca="1"/>
      </c>
      <c r="AF247">
        <f ca="1"/>
      </c>
      <c r="AG247">
        <f ca="1"/>
      </c>
      <c r="AH247">
        <f ca="1"/>
      </c>
      <c r="AL247" s="7">
        <f ca="1"/>
      </c>
      <c r="AM247" s="14">
        <f ca="1"/>
      </c>
      <c r="AN247" s="14">
        <f ca="1"/>
      </c>
      <c r="AO247" s="14">
        <f ca="1"/>
      </c>
      <c r="AP247" s="14">
        <f ca="1"/>
      </c>
      <c r="AQ247" s="14">
        <f ca="1"/>
      </c>
      <c r="AR247" s="14">
        <f ca="1"/>
      </c>
      <c r="AV247" s="14">
        <f ca="1"/>
      </c>
      <c r="AW247" s="14">
        <f ca="1"/>
      </c>
      <c r="AX247" s="14">
        <f ca="1"/>
      </c>
      <c r="AY247" s="14">
        <f ca="1"/>
      </c>
      <c r="AZ247" s="14">
        <f ca="1"/>
      </c>
      <c r="BF247" s="7">
        <f ca="1"/>
      </c>
      <c r="BG247" s="14">
        <f ca="1"/>
      </c>
      <c r="BH247" s="14">
        <f ca="1"/>
      </c>
      <c r="BI247" s="14">
        <f ca="1"/>
      </c>
      <c r="BJ247" s="14">
        <f ca="1"/>
      </c>
      <c r="BK247" s="14">
        <f ca="1"/>
      </c>
    </row>
    <row r="248" spans="28:63" x14ac:dyDescent="0.55000000000000004">
      <c r="AB248">
        <f ca="1"/>
      </c>
      <c r="AC248">
        <f ca="1"/>
      </c>
      <c r="AD248">
        <f ca="1"/>
      </c>
      <c r="AE248">
        <f ca="1"/>
      </c>
      <c r="AF248">
        <f ca="1"/>
      </c>
      <c r="AG248">
        <f ca="1"/>
      </c>
      <c r="AH248">
        <f ca="1"/>
      </c>
      <c r="AL248" s="7">
        <f ca="1"/>
      </c>
      <c r="AM248" s="14">
        <f ca="1"/>
      </c>
      <c r="AN248" s="14">
        <f ca="1"/>
      </c>
      <c r="AO248" s="14">
        <f ca="1"/>
      </c>
      <c r="AP248" s="14">
        <f ca="1"/>
      </c>
      <c r="AQ248" s="14">
        <f ca="1"/>
      </c>
      <c r="AR248" s="14">
        <f ca="1"/>
      </c>
      <c r="AV248" s="14">
        <f ca="1"/>
      </c>
      <c r="AW248" s="14">
        <f ca="1"/>
      </c>
      <c r="AX248" s="14">
        <f ca="1"/>
      </c>
      <c r="AY248" s="14">
        <f ca="1"/>
      </c>
      <c r="AZ248" s="14">
        <f ca="1"/>
      </c>
      <c r="BF248" s="7">
        <f ca="1"/>
      </c>
      <c r="BG248" s="14">
        <f ca="1"/>
      </c>
      <c r="BH248" s="14">
        <f ca="1"/>
      </c>
      <c r="BI248" s="14">
        <f ca="1"/>
      </c>
      <c r="BJ248" s="14">
        <f ca="1"/>
      </c>
      <c r="BK248" s="14">
        <f ca="1"/>
      </c>
    </row>
    <row r="249" spans="28:63" x14ac:dyDescent="0.55000000000000004">
      <c r="AB249">
        <f ca="1"/>
      </c>
      <c r="AC249">
        <f ca="1"/>
      </c>
      <c r="AD249">
        <f ca="1"/>
      </c>
      <c r="AE249">
        <f ca="1"/>
      </c>
      <c r="AF249">
        <f ca="1"/>
      </c>
      <c r="AG249">
        <f ca="1"/>
      </c>
      <c r="AH249">
        <f ca="1"/>
      </c>
      <c r="AL249" s="7">
        <f ca="1"/>
      </c>
      <c r="AM249" s="14">
        <f ca="1"/>
      </c>
      <c r="AN249" s="14">
        <f ca="1"/>
      </c>
      <c r="AO249" s="14">
        <f ca="1"/>
      </c>
      <c r="AP249" s="14">
        <f ca="1"/>
      </c>
      <c r="AQ249" s="14">
        <f ca="1"/>
      </c>
      <c r="AR249" s="14">
        <f ca="1"/>
      </c>
      <c r="AV249" s="14">
        <f ca="1"/>
      </c>
      <c r="AW249" s="14">
        <f ca="1"/>
      </c>
      <c r="AX249" s="14">
        <f ca="1"/>
      </c>
      <c r="AY249" s="14">
        <f ca="1"/>
      </c>
      <c r="AZ249" s="14">
        <f ca="1"/>
      </c>
      <c r="BF249" s="7">
        <f ca="1"/>
      </c>
      <c r="BG249" s="14">
        <f ca="1"/>
      </c>
      <c r="BH249" s="14">
        <f ca="1"/>
      </c>
      <c r="BI249" s="14">
        <f ca="1"/>
      </c>
      <c r="BJ249" s="14">
        <f ca="1"/>
      </c>
      <c r="BK249" s="14">
        <f ca="1"/>
      </c>
    </row>
    <row r="250" spans="28:63" x14ac:dyDescent="0.55000000000000004">
      <c r="AB250">
        <f ca="1"/>
      </c>
      <c r="AC250">
        <f ca="1"/>
      </c>
      <c r="AD250">
        <f ca="1"/>
      </c>
      <c r="AE250">
        <f ca="1"/>
      </c>
      <c r="AF250">
        <f ca="1"/>
      </c>
      <c r="AG250">
        <f ca="1"/>
      </c>
      <c r="AH250">
        <f ca="1"/>
      </c>
      <c r="AL250" s="7">
        <f ca="1"/>
      </c>
      <c r="AM250" s="14">
        <f ca="1"/>
      </c>
      <c r="AN250" s="14">
        <f ca="1"/>
      </c>
      <c r="AO250" s="14">
        <f ca="1"/>
      </c>
      <c r="AP250" s="14">
        <f ca="1"/>
      </c>
      <c r="AQ250" s="14">
        <f ca="1"/>
      </c>
      <c r="AR250" s="14">
        <f ca="1"/>
      </c>
      <c r="AV250" s="14">
        <f ca="1"/>
      </c>
      <c r="AW250" s="14">
        <f ca="1"/>
      </c>
      <c r="AX250" s="14">
        <f ca="1"/>
      </c>
      <c r="AY250" s="14">
        <f ca="1"/>
      </c>
      <c r="AZ250" s="14">
        <f ca="1"/>
      </c>
      <c r="BF250" s="7">
        <f ca="1"/>
      </c>
      <c r="BG250" s="14">
        <f ca="1"/>
      </c>
      <c r="BH250" s="14">
        <f ca="1"/>
      </c>
      <c r="BI250" s="14">
        <f ca="1"/>
      </c>
      <c r="BJ250" s="14">
        <f ca="1"/>
      </c>
      <c r="BK250" s="14">
        <f ca="1"/>
      </c>
    </row>
    <row r="251" spans="28:63" x14ac:dyDescent="0.55000000000000004">
      <c r="AB251">
        <f ca="1"/>
      </c>
      <c r="AC251">
        <f ca="1"/>
      </c>
      <c r="AD251">
        <f ca="1"/>
      </c>
      <c r="AE251">
        <f ca="1"/>
      </c>
      <c r="AF251">
        <f ca="1"/>
      </c>
      <c r="AG251">
        <f ca="1"/>
      </c>
      <c r="AH251">
        <f ca="1"/>
      </c>
      <c r="AL251" s="7">
        <f ca="1"/>
      </c>
      <c r="AM251" s="14">
        <f ca="1"/>
      </c>
      <c r="AN251" s="14">
        <f ca="1"/>
      </c>
      <c r="AO251" s="14">
        <f ca="1"/>
      </c>
      <c r="AP251" s="14">
        <f ca="1"/>
      </c>
      <c r="AQ251" s="14">
        <f ca="1"/>
      </c>
      <c r="AR251" s="14">
        <f ca="1"/>
      </c>
      <c r="AV251" s="14">
        <f ca="1"/>
      </c>
      <c r="AW251" s="14">
        <f ca="1"/>
      </c>
      <c r="AX251" s="14">
        <f ca="1"/>
      </c>
      <c r="AY251" s="14">
        <f ca="1"/>
      </c>
      <c r="AZ251" s="14">
        <f ca="1"/>
      </c>
      <c r="BF251" s="7">
        <f ca="1"/>
      </c>
      <c r="BG251" s="14">
        <f ca="1"/>
      </c>
      <c r="BH251" s="14">
        <f ca="1"/>
      </c>
      <c r="BI251" s="14">
        <f ca="1"/>
      </c>
      <c r="BJ251" s="14">
        <f ca="1"/>
      </c>
      <c r="BK251" s="14">
        <f ca="1"/>
      </c>
    </row>
    <row r="252" spans="28:63" x14ac:dyDescent="0.55000000000000004">
      <c r="AB252">
        <f ca="1"/>
      </c>
      <c r="AC252">
        <f ca="1"/>
      </c>
      <c r="AD252">
        <f ca="1"/>
      </c>
      <c r="AE252">
        <f ca="1"/>
      </c>
      <c r="AF252">
        <f ca="1"/>
      </c>
      <c r="AG252">
        <f ca="1"/>
      </c>
      <c r="AH252">
        <f ca="1"/>
      </c>
      <c r="AL252" s="7">
        <f ca="1"/>
      </c>
      <c r="AM252" s="14">
        <f ca="1"/>
      </c>
      <c r="AN252" s="14">
        <f ca="1"/>
      </c>
      <c r="AO252" s="14">
        <f ca="1"/>
      </c>
      <c r="AP252" s="14">
        <f ca="1"/>
      </c>
      <c r="AQ252" s="14">
        <f ca="1"/>
      </c>
      <c r="AR252" s="14">
        <f ca="1"/>
      </c>
      <c r="AV252" s="14">
        <f ca="1"/>
      </c>
      <c r="AW252" s="14">
        <f ca="1"/>
      </c>
      <c r="AX252" s="14">
        <f ca="1"/>
      </c>
      <c r="AY252" s="14">
        <f ca="1"/>
      </c>
      <c r="AZ252" s="14">
        <f ca="1"/>
      </c>
      <c r="BF252" s="7">
        <f ca="1"/>
      </c>
      <c r="BG252" s="14">
        <f ca="1"/>
      </c>
      <c r="BH252" s="14">
        <f ca="1"/>
      </c>
      <c r="BI252" s="14">
        <f ca="1"/>
      </c>
      <c r="BJ252" s="14">
        <f ca="1"/>
      </c>
      <c r="BK252" s="14">
        <f ca="1"/>
      </c>
    </row>
    <row r="253" spans="28:63" x14ac:dyDescent="0.55000000000000004">
      <c r="AB253">
        <f ca="1"/>
      </c>
      <c r="AC253">
        <f ca="1"/>
      </c>
      <c r="AD253">
        <f ca="1"/>
      </c>
      <c r="AE253">
        <f ca="1"/>
      </c>
      <c r="AF253">
        <f ca="1"/>
      </c>
      <c r="AG253">
        <f ca="1"/>
      </c>
      <c r="AH253">
        <f ca="1"/>
      </c>
      <c r="AL253" s="7">
        <f ca="1"/>
      </c>
      <c r="AM253" s="14">
        <f ca="1"/>
      </c>
      <c r="AN253" s="14">
        <f ca="1"/>
      </c>
      <c r="AO253" s="14">
        <f ca="1"/>
      </c>
      <c r="AP253" s="14">
        <f ca="1"/>
      </c>
      <c r="AQ253" s="14">
        <f ca="1"/>
      </c>
      <c r="AR253" s="14">
        <f ca="1"/>
      </c>
      <c r="AV253" s="14">
        <f ca="1"/>
      </c>
      <c r="AW253" s="14">
        <f ca="1"/>
      </c>
      <c r="AX253" s="14">
        <f ca="1"/>
      </c>
      <c r="AY253" s="14">
        <f ca="1"/>
      </c>
      <c r="AZ253" s="14">
        <f ca="1"/>
      </c>
      <c r="BF253" s="7">
        <f ca="1"/>
      </c>
      <c r="BG253" s="14">
        <f ca="1"/>
      </c>
      <c r="BH253" s="14">
        <f ca="1"/>
      </c>
      <c r="BI253" s="14">
        <f ca="1"/>
      </c>
      <c r="BJ253" s="14">
        <f ca="1"/>
      </c>
      <c r="BK253" s="14">
        <f ca="1"/>
      </c>
    </row>
    <row r="254" spans="28:63" x14ac:dyDescent="0.55000000000000004">
      <c r="AB254">
        <f ca="1"/>
      </c>
      <c r="AC254">
        <f ca="1"/>
      </c>
      <c r="AD254">
        <f ca="1"/>
      </c>
      <c r="AE254">
        <f ca="1"/>
      </c>
      <c r="AF254">
        <f ca="1"/>
      </c>
      <c r="AG254">
        <f ca="1"/>
      </c>
      <c r="AH254">
        <f ca="1"/>
      </c>
      <c r="AL254" s="7">
        <f ca="1"/>
      </c>
      <c r="AM254" s="14">
        <f ca="1"/>
      </c>
      <c r="AN254" s="14">
        <f ca="1"/>
      </c>
      <c r="AO254" s="14">
        <f ca="1"/>
      </c>
      <c r="AP254" s="14">
        <f ca="1"/>
      </c>
      <c r="AQ254" s="14">
        <f ca="1"/>
      </c>
      <c r="AR254" s="14">
        <f ca="1"/>
      </c>
      <c r="AV254" s="14">
        <f ca="1"/>
      </c>
      <c r="AW254" s="14">
        <f ca="1"/>
      </c>
      <c r="AX254" s="14">
        <f ca="1"/>
      </c>
      <c r="AY254" s="14">
        <f ca="1"/>
      </c>
      <c r="AZ254" s="14">
        <f ca="1"/>
      </c>
      <c r="BF254" s="7">
        <f ca="1"/>
      </c>
      <c r="BG254" s="14">
        <f ca="1"/>
      </c>
      <c r="BH254" s="14">
        <f ca="1"/>
      </c>
      <c r="BI254" s="14">
        <f ca="1"/>
      </c>
      <c r="BJ254" s="14">
        <f ca="1"/>
      </c>
      <c r="BK254" s="14">
        <f ca="1"/>
      </c>
    </row>
    <row r="255" spans="28:63" x14ac:dyDescent="0.55000000000000004">
      <c r="AB255">
        <f ca="1"/>
      </c>
      <c r="AC255">
        <f ca="1"/>
      </c>
      <c r="AD255">
        <f ca="1"/>
      </c>
      <c r="AE255">
        <f ca="1"/>
      </c>
      <c r="AF255">
        <f ca="1"/>
      </c>
      <c r="AG255">
        <f ca="1"/>
      </c>
      <c r="AH255">
        <f ca="1"/>
      </c>
      <c r="AL255" s="7">
        <f ca="1"/>
      </c>
      <c r="AM255" s="14">
        <f ca="1"/>
      </c>
      <c r="AN255" s="14">
        <f ca="1"/>
      </c>
      <c r="AO255" s="14">
        <f ca="1"/>
      </c>
      <c r="AP255" s="14">
        <f ca="1"/>
      </c>
      <c r="AQ255" s="14">
        <f ca="1"/>
      </c>
      <c r="AR255" s="14">
        <f ca="1"/>
      </c>
      <c r="AV255" s="14">
        <f ca="1"/>
      </c>
      <c r="AW255" s="14">
        <f ca="1"/>
      </c>
      <c r="AX255" s="14">
        <f ca="1"/>
      </c>
      <c r="AY255" s="14">
        <f ca="1"/>
      </c>
      <c r="AZ255" s="14">
        <f ca="1"/>
      </c>
      <c r="BF255" s="7">
        <f ca="1"/>
      </c>
      <c r="BG255" s="14">
        <f ca="1"/>
      </c>
      <c r="BH255" s="14">
        <f ca="1"/>
      </c>
      <c r="BI255" s="14">
        <f ca="1"/>
      </c>
      <c r="BJ255" s="14">
        <f ca="1"/>
      </c>
      <c r="BK255" s="14">
        <f ca="1"/>
      </c>
    </row>
    <row r="256" spans="28:63" x14ac:dyDescent="0.55000000000000004">
      <c r="AB256">
        <f ca="1"/>
      </c>
      <c r="AC256">
        <f ca="1"/>
      </c>
      <c r="AD256">
        <f ca="1"/>
      </c>
      <c r="AE256">
        <f ca="1"/>
      </c>
      <c r="AF256">
        <f ca="1"/>
      </c>
      <c r="AG256">
        <f ca="1"/>
      </c>
      <c r="AH256">
        <f ca="1"/>
      </c>
      <c r="AL256" s="7">
        <f ca="1"/>
      </c>
      <c r="AM256" s="14">
        <f ca="1"/>
      </c>
      <c r="AN256" s="14">
        <f ca="1"/>
      </c>
      <c r="AO256" s="14">
        <f ca="1"/>
      </c>
      <c r="AP256" s="14">
        <f ca="1"/>
      </c>
      <c r="AQ256" s="14">
        <f ca="1"/>
      </c>
      <c r="AR256" s="14">
        <f ca="1"/>
      </c>
      <c r="AV256" s="14">
        <f ca="1"/>
      </c>
      <c r="AW256" s="14">
        <f ca="1"/>
      </c>
      <c r="AX256" s="14">
        <f ca="1"/>
      </c>
      <c r="AY256" s="14">
        <f ca="1"/>
      </c>
      <c r="AZ256" s="14">
        <f ca="1"/>
      </c>
      <c r="BF256" s="7">
        <f ca="1"/>
      </c>
      <c r="BG256" s="14">
        <f ca="1"/>
      </c>
      <c r="BH256" s="14">
        <f ca="1"/>
      </c>
      <c r="BI256" s="14">
        <f ca="1"/>
      </c>
      <c r="BJ256" s="14">
        <f ca="1"/>
      </c>
      <c r="BK256" s="14">
        <f ca="1"/>
      </c>
    </row>
    <row r="257" spans="28:63" x14ac:dyDescent="0.55000000000000004">
      <c r="AB257">
        <f ca="1"/>
      </c>
      <c r="AC257">
        <f ca="1"/>
      </c>
      <c r="AD257">
        <f ca="1"/>
      </c>
      <c r="AE257">
        <f ca="1"/>
      </c>
      <c r="AF257">
        <f ca="1"/>
      </c>
      <c r="AG257">
        <f ca="1"/>
      </c>
      <c r="AH257">
        <f ca="1"/>
      </c>
      <c r="AL257" s="7">
        <f ca="1"/>
      </c>
      <c r="AM257" s="14">
        <f ca="1"/>
      </c>
      <c r="AN257" s="14">
        <f ca="1"/>
      </c>
      <c r="AO257" s="14">
        <f ca="1"/>
      </c>
      <c r="AP257" s="14">
        <f ca="1"/>
      </c>
      <c r="AQ257" s="14">
        <f ca="1"/>
      </c>
      <c r="AR257" s="14">
        <f ca="1"/>
      </c>
      <c r="AV257" s="14">
        <f ca="1"/>
      </c>
      <c r="AW257" s="14">
        <f ca="1"/>
      </c>
      <c r="AX257" s="14">
        <f ca="1"/>
      </c>
      <c r="AY257" s="14">
        <f ca="1"/>
      </c>
      <c r="AZ257" s="14">
        <f ca="1"/>
      </c>
      <c r="BF257" s="7">
        <f ca="1"/>
      </c>
      <c r="BG257" s="14">
        <f ca="1"/>
      </c>
      <c r="BH257" s="14">
        <f ca="1"/>
      </c>
      <c r="BI257" s="14">
        <f ca="1"/>
      </c>
      <c r="BJ257" s="14">
        <f ca="1"/>
      </c>
      <c r="BK257" s="14">
        <f ca="1"/>
      </c>
    </row>
    <row r="258" spans="28:63" x14ac:dyDescent="0.55000000000000004">
      <c r="AB258">
        <f ca="1"/>
      </c>
      <c r="AC258">
        <f ca="1"/>
      </c>
      <c r="AD258">
        <f ca="1"/>
      </c>
      <c r="AE258">
        <f ca="1"/>
      </c>
      <c r="AF258">
        <f ca="1"/>
      </c>
      <c r="AG258">
        <f ca="1"/>
      </c>
      <c r="AH258">
        <f ca="1"/>
      </c>
      <c r="AL258" s="7">
        <f ca="1"/>
      </c>
      <c r="AM258" s="14">
        <f ca="1"/>
      </c>
      <c r="AN258" s="14">
        <f ca="1"/>
      </c>
      <c r="AO258" s="14">
        <f ca="1"/>
      </c>
      <c r="AP258" s="14">
        <f ca="1"/>
      </c>
      <c r="AQ258" s="14">
        <f ca="1"/>
      </c>
      <c r="AR258" s="14">
        <f ca="1"/>
      </c>
      <c r="AV258" s="14">
        <f ca="1"/>
      </c>
      <c r="AW258" s="14">
        <f ca="1"/>
      </c>
      <c r="AX258" s="14">
        <f ca="1"/>
      </c>
      <c r="AY258" s="14">
        <f ca="1"/>
      </c>
      <c r="AZ258" s="14">
        <f ca="1"/>
      </c>
      <c r="BF258" s="7">
        <f ca="1"/>
      </c>
      <c r="BG258" s="14">
        <f ca="1"/>
      </c>
      <c r="BH258" s="14">
        <f ca="1"/>
      </c>
      <c r="BI258" s="14">
        <f ca="1"/>
      </c>
      <c r="BJ258" s="14">
        <f ca="1"/>
      </c>
      <c r="BK258" s="14">
        <f ca="1"/>
      </c>
    </row>
    <row r="259" spans="28:63" x14ac:dyDescent="0.55000000000000004">
      <c r="AB259">
        <f ca="1"/>
      </c>
      <c r="AC259">
        <f ca="1"/>
      </c>
      <c r="AD259">
        <f ca="1"/>
      </c>
      <c r="AE259">
        <f ca="1"/>
      </c>
      <c r="AF259">
        <f ca="1"/>
      </c>
      <c r="AG259">
        <f ca="1"/>
      </c>
      <c r="AH259">
        <f ca="1"/>
      </c>
      <c r="AL259" s="7">
        <f ca="1"/>
      </c>
      <c r="AM259" s="14">
        <f ca="1"/>
      </c>
      <c r="AN259" s="14">
        <f ca="1"/>
      </c>
      <c r="AO259" s="14">
        <f ca="1"/>
      </c>
      <c r="AP259" s="14">
        <f ca="1"/>
      </c>
      <c r="AQ259" s="14">
        <f ca="1"/>
      </c>
      <c r="AR259" s="14">
        <f ca="1"/>
      </c>
      <c r="AV259" s="14">
        <f ca="1"/>
      </c>
      <c r="AW259" s="14">
        <f ca="1"/>
      </c>
      <c r="AX259" s="14">
        <f ca="1"/>
      </c>
      <c r="AY259" s="14">
        <f ca="1"/>
      </c>
      <c r="AZ259" s="14">
        <f ca="1"/>
      </c>
      <c r="BF259" s="7">
        <f ca="1"/>
      </c>
      <c r="BG259" s="14">
        <f ca="1"/>
      </c>
      <c r="BH259" s="14">
        <f ca="1"/>
      </c>
      <c r="BI259" s="14">
        <f ca="1"/>
      </c>
      <c r="BJ259" s="14">
        <f ca="1"/>
      </c>
      <c r="BK259" s="14">
        <f ca="1"/>
      </c>
    </row>
    <row r="260" spans="28:63" x14ac:dyDescent="0.55000000000000004">
      <c r="AB260">
        <f ca="1"/>
      </c>
      <c r="AC260">
        <f ca="1"/>
      </c>
      <c r="AD260">
        <f ca="1"/>
      </c>
      <c r="AE260">
        <f ca="1"/>
      </c>
      <c r="AF260">
        <f ca="1"/>
      </c>
      <c r="AG260">
        <f ca="1"/>
      </c>
      <c r="AH260">
        <f ca="1"/>
      </c>
      <c r="AL260" s="7">
        <f ca="1"/>
      </c>
      <c r="AM260" s="14">
        <f ca="1"/>
      </c>
      <c r="AN260" s="14">
        <f ca="1"/>
      </c>
      <c r="AO260" s="14">
        <f ca="1"/>
      </c>
      <c r="AP260" s="14">
        <f ca="1"/>
      </c>
      <c r="AQ260" s="14">
        <f ca="1"/>
      </c>
      <c r="AR260" s="14">
        <f ca="1"/>
      </c>
      <c r="AV260" s="14">
        <f ca="1"/>
      </c>
      <c r="AW260" s="14">
        <f ca="1"/>
      </c>
      <c r="AX260" s="14">
        <f ca="1"/>
      </c>
      <c r="AY260" s="14">
        <f ca="1"/>
      </c>
      <c r="AZ260" s="14">
        <f ca="1"/>
      </c>
      <c r="BF260" s="7">
        <f ca="1"/>
      </c>
      <c r="BG260" s="14">
        <f ca="1"/>
      </c>
      <c r="BH260" s="14">
        <f ca="1"/>
      </c>
      <c r="BI260" s="14">
        <f ca="1"/>
      </c>
      <c r="BJ260" s="14">
        <f ca="1"/>
      </c>
      <c r="BK260" s="14">
        <f ca="1"/>
      </c>
    </row>
    <row r="261" spans="28:63" x14ac:dyDescent="0.55000000000000004">
      <c r="AB261">
        <f ca="1"/>
      </c>
      <c r="AC261">
        <f ca="1"/>
      </c>
      <c r="AD261">
        <f ca="1"/>
      </c>
      <c r="AE261">
        <f ca="1"/>
      </c>
      <c r="AF261">
        <f ca="1"/>
      </c>
      <c r="AG261">
        <f ca="1"/>
      </c>
      <c r="AH261">
        <f ca="1"/>
      </c>
      <c r="AL261" s="7">
        <f ca="1"/>
      </c>
      <c r="AM261" s="14">
        <f ca="1"/>
      </c>
      <c r="AN261" s="14">
        <f ca="1"/>
      </c>
      <c r="AO261" s="14">
        <f ca="1"/>
      </c>
      <c r="AP261" s="14">
        <f ca="1"/>
      </c>
      <c r="AQ261" s="14">
        <f ca="1"/>
      </c>
      <c r="AR261" s="14">
        <f ca="1"/>
      </c>
      <c r="AV261" s="14">
        <f ca="1"/>
      </c>
      <c r="AW261" s="14">
        <f ca="1"/>
      </c>
      <c r="AX261" s="14">
        <f ca="1"/>
      </c>
      <c r="AY261" s="14">
        <f ca="1"/>
      </c>
      <c r="AZ261" s="14">
        <f ca="1"/>
      </c>
      <c r="BF261" s="7">
        <f ca="1"/>
      </c>
      <c r="BG261" s="14">
        <f ca="1"/>
      </c>
      <c r="BH261" s="14">
        <f ca="1"/>
      </c>
      <c r="BI261" s="14">
        <f ca="1"/>
      </c>
      <c r="BJ261" s="14">
        <f ca="1"/>
      </c>
      <c r="BK261" s="14">
        <f ca="1"/>
      </c>
    </row>
    <row r="262" spans="28:63" x14ac:dyDescent="0.55000000000000004">
      <c r="AB262">
        <f ca="1"/>
      </c>
      <c r="AC262">
        <f ca="1"/>
      </c>
      <c r="AD262">
        <f ca="1"/>
      </c>
      <c r="AE262">
        <f ca="1"/>
      </c>
      <c r="AF262">
        <f ca="1"/>
      </c>
      <c r="AG262">
        <f ca="1"/>
      </c>
      <c r="AH262">
        <f ca="1"/>
      </c>
      <c r="AL262" s="7">
        <f ca="1"/>
      </c>
      <c r="AM262" s="14">
        <f ca="1"/>
      </c>
      <c r="AN262" s="14">
        <f ca="1"/>
      </c>
      <c r="AO262" s="14">
        <f ca="1"/>
      </c>
      <c r="AP262" s="14">
        <f ca="1"/>
      </c>
      <c r="AQ262" s="14">
        <f ca="1"/>
      </c>
      <c r="AR262" s="14">
        <f ca="1"/>
      </c>
      <c r="AV262" s="14">
        <f ca="1"/>
      </c>
      <c r="AW262" s="14">
        <f ca="1"/>
      </c>
      <c r="AX262" s="14">
        <f ca="1"/>
      </c>
      <c r="AY262" s="14">
        <f ca="1"/>
      </c>
      <c r="AZ262" s="14">
        <f ca="1"/>
      </c>
      <c r="BF262" s="7">
        <f ca="1"/>
      </c>
      <c r="BG262" s="14">
        <f ca="1"/>
      </c>
      <c r="BH262" s="14">
        <f ca="1"/>
      </c>
      <c r="BI262" s="14">
        <f ca="1"/>
      </c>
      <c r="BJ262" s="14">
        <f ca="1"/>
      </c>
      <c r="BK262" s="14">
        <f ca="1"/>
      </c>
    </row>
    <row r="263" spans="28:63" x14ac:dyDescent="0.55000000000000004">
      <c r="AB263">
        <f ca="1"/>
      </c>
      <c r="AC263">
        <f ca="1"/>
      </c>
      <c r="AD263">
        <f ca="1"/>
      </c>
      <c r="AE263">
        <f ca="1"/>
      </c>
      <c r="AF263">
        <f ca="1"/>
      </c>
      <c r="AG263">
        <f ca="1"/>
      </c>
      <c r="AH263">
        <f ca="1"/>
      </c>
      <c r="AL263" s="7">
        <f ca="1"/>
      </c>
      <c r="AM263" s="14">
        <f ca="1"/>
      </c>
      <c r="AN263" s="14">
        <f ca="1"/>
      </c>
      <c r="AO263" s="14">
        <f ca="1"/>
      </c>
      <c r="AP263" s="14">
        <f ca="1"/>
      </c>
      <c r="AQ263" s="14">
        <f ca="1"/>
      </c>
      <c r="AR263" s="14">
        <f ca="1"/>
      </c>
      <c r="AV263" s="14">
        <f ca="1"/>
      </c>
      <c r="AW263" s="14">
        <f ca="1"/>
      </c>
      <c r="AX263" s="14">
        <f ca="1"/>
      </c>
      <c r="AY263" s="14">
        <f ca="1"/>
      </c>
      <c r="AZ263" s="14">
        <f ca="1"/>
      </c>
      <c r="BF263" s="7">
        <f ca="1"/>
      </c>
      <c r="BG263" s="14">
        <f ca="1"/>
      </c>
      <c r="BH263" s="14">
        <f ca="1"/>
      </c>
      <c r="BI263" s="14">
        <f ca="1"/>
      </c>
      <c r="BJ263" s="14">
        <f ca="1"/>
      </c>
      <c r="BK263" s="14">
        <f ca="1"/>
      </c>
    </row>
    <row r="264" spans="28:63" x14ac:dyDescent="0.55000000000000004">
      <c r="AB264">
        <f ca="1"/>
      </c>
      <c r="AC264">
        <f ca="1"/>
      </c>
      <c r="AD264">
        <f ca="1"/>
      </c>
      <c r="AE264">
        <f ca="1"/>
      </c>
      <c r="AF264">
        <f ca="1"/>
      </c>
      <c r="AG264">
        <f ca="1"/>
      </c>
      <c r="AH264">
        <f ca="1"/>
      </c>
      <c r="AL264" s="7">
        <f ca="1"/>
      </c>
      <c r="AM264" s="14">
        <f ca="1"/>
      </c>
      <c r="AN264" s="14">
        <f ca="1"/>
      </c>
      <c r="AO264" s="14">
        <f ca="1"/>
      </c>
      <c r="AP264" s="14">
        <f ca="1"/>
      </c>
      <c r="AQ264" s="14">
        <f ca="1"/>
      </c>
      <c r="AR264" s="14">
        <f ca="1"/>
      </c>
      <c r="AV264" s="14">
        <f ca="1"/>
      </c>
      <c r="AW264" s="14">
        <f ca="1"/>
      </c>
      <c r="AX264" s="14">
        <f ca="1"/>
      </c>
      <c r="AY264" s="14">
        <f ca="1"/>
      </c>
      <c r="AZ264" s="14">
        <f ca="1"/>
      </c>
      <c r="BF264" s="7">
        <f ca="1"/>
      </c>
      <c r="BG264" s="14">
        <f ca="1"/>
      </c>
      <c r="BH264" s="14">
        <f ca="1"/>
      </c>
      <c r="BI264" s="14">
        <f ca="1"/>
      </c>
      <c r="BJ264" s="14">
        <f ca="1"/>
      </c>
      <c r="BK264" s="14">
        <f ca="1"/>
      </c>
    </row>
    <row r="265" spans="28:63" x14ac:dyDescent="0.55000000000000004">
      <c r="AB265">
        <f ca="1"/>
      </c>
      <c r="AC265">
        <f ca="1"/>
      </c>
      <c r="AD265">
        <f ca="1"/>
      </c>
      <c r="AE265">
        <f ca="1"/>
      </c>
      <c r="AF265">
        <f ca="1"/>
      </c>
      <c r="AG265">
        <f ca="1"/>
      </c>
      <c r="AH265">
        <f ca="1"/>
      </c>
      <c r="AL265" s="7">
        <f ca="1"/>
      </c>
      <c r="AM265" s="14">
        <f ca="1"/>
      </c>
      <c r="AN265" s="14">
        <f ca="1"/>
      </c>
      <c r="AO265" s="14">
        <f ca="1"/>
      </c>
      <c r="AP265" s="14">
        <f ca="1"/>
      </c>
      <c r="AQ265" s="14">
        <f ca="1"/>
      </c>
      <c r="AR265" s="14">
        <f ca="1"/>
      </c>
      <c r="AV265" s="14">
        <f ca="1"/>
      </c>
      <c r="AW265" s="14">
        <f ca="1"/>
      </c>
      <c r="AX265" s="14">
        <f ca="1"/>
      </c>
      <c r="AY265" s="14">
        <f ca="1"/>
      </c>
      <c r="AZ265" s="14">
        <f ca="1"/>
      </c>
      <c r="BF265" s="7">
        <f ca="1"/>
      </c>
      <c r="BG265" s="14">
        <f ca="1"/>
      </c>
      <c r="BH265" s="14">
        <f ca="1"/>
      </c>
      <c r="BI265" s="14">
        <f ca="1"/>
      </c>
      <c r="BJ265" s="14">
        <f ca="1"/>
      </c>
      <c r="BK265" s="14">
        <f ca="1"/>
      </c>
    </row>
    <row r="266" spans="28:63" x14ac:dyDescent="0.55000000000000004">
      <c r="AB266">
        <f ca="1"/>
      </c>
      <c r="AC266">
        <f ca="1"/>
      </c>
      <c r="AD266">
        <f ca="1"/>
      </c>
      <c r="AE266">
        <f ca="1"/>
      </c>
      <c r="AF266">
        <f ca="1"/>
      </c>
      <c r="AG266">
        <f ca="1"/>
      </c>
      <c r="AH266">
        <f ca="1"/>
      </c>
      <c r="AL266" s="7">
        <f ca="1"/>
      </c>
      <c r="AM266" s="14">
        <f ca="1"/>
      </c>
      <c r="AN266" s="14">
        <f ca="1"/>
      </c>
      <c r="AO266" s="14">
        <f ca="1"/>
      </c>
      <c r="AP266" s="14">
        <f ca="1"/>
      </c>
      <c r="AQ266" s="14">
        <f ca="1"/>
      </c>
      <c r="AR266" s="14">
        <f ca="1"/>
      </c>
      <c r="AV266" s="14">
        <f ca="1"/>
      </c>
      <c r="AW266" s="14">
        <f ca="1"/>
      </c>
      <c r="AX266" s="14">
        <f ca="1"/>
      </c>
      <c r="AY266" s="14">
        <f ca="1"/>
      </c>
      <c r="AZ266" s="14">
        <f ca="1"/>
      </c>
      <c r="BF266" s="7">
        <f ca="1"/>
      </c>
      <c r="BG266" s="14">
        <f ca="1"/>
      </c>
      <c r="BH266" s="14">
        <f ca="1"/>
      </c>
      <c r="BI266" s="14">
        <f ca="1"/>
      </c>
      <c r="BJ266" s="14">
        <f ca="1"/>
      </c>
      <c r="BK266" s="14">
        <f ca="1"/>
      </c>
    </row>
    <row r="267" spans="28:63" x14ac:dyDescent="0.55000000000000004">
      <c r="AB267">
        <f ca="1"/>
      </c>
      <c r="AC267">
        <f ca="1"/>
      </c>
      <c r="AD267">
        <f ca="1"/>
      </c>
      <c r="AE267">
        <f ca="1"/>
      </c>
      <c r="AF267">
        <f ca="1"/>
      </c>
      <c r="AG267">
        <f ca="1"/>
      </c>
      <c r="AH267">
        <f ca="1"/>
      </c>
      <c r="AL267" s="7">
        <f ca="1"/>
      </c>
      <c r="AM267" s="14">
        <f ca="1"/>
      </c>
      <c r="AN267" s="14">
        <f ca="1"/>
      </c>
      <c r="AO267" s="14">
        <f ca="1"/>
      </c>
      <c r="AP267" s="14">
        <f ca="1"/>
      </c>
      <c r="AQ267" s="14">
        <f ca="1"/>
      </c>
      <c r="AR267" s="14">
        <f ca="1"/>
      </c>
      <c r="AV267" s="14">
        <f ca="1"/>
      </c>
      <c r="AW267" s="14">
        <f ca="1"/>
      </c>
      <c r="AX267" s="14">
        <f ca="1"/>
      </c>
      <c r="AY267" s="14">
        <f ca="1"/>
      </c>
      <c r="AZ267" s="14">
        <f ca="1"/>
      </c>
      <c r="BF267" s="7">
        <f ca="1"/>
      </c>
      <c r="BG267" s="14">
        <f ca="1"/>
      </c>
      <c r="BH267" s="14">
        <f ca="1"/>
      </c>
      <c r="BI267" s="14">
        <f ca="1"/>
      </c>
      <c r="BJ267" s="14">
        <f ca="1"/>
      </c>
      <c r="BK267" s="14">
        <f ca="1"/>
      </c>
    </row>
    <row r="268" spans="28:63" x14ac:dyDescent="0.55000000000000004">
      <c r="AB268">
        <f ca="1"/>
      </c>
      <c r="AC268">
        <f ca="1"/>
      </c>
      <c r="AD268">
        <f ca="1"/>
      </c>
      <c r="AE268">
        <f ca="1"/>
      </c>
      <c r="AF268">
        <f ca="1"/>
      </c>
      <c r="AG268">
        <f ca="1"/>
      </c>
      <c r="AH268">
        <f ca="1"/>
      </c>
      <c r="AL268" s="7">
        <f ca="1"/>
      </c>
      <c r="AM268" s="14">
        <f ca="1"/>
      </c>
      <c r="AN268" s="14">
        <f ca="1"/>
      </c>
      <c r="AO268" s="14">
        <f ca="1"/>
      </c>
      <c r="AP268" s="14">
        <f ca="1"/>
      </c>
      <c r="AQ268" s="14">
        <f ca="1"/>
      </c>
      <c r="AR268" s="14">
        <f ca="1"/>
      </c>
      <c r="AV268" s="14">
        <f ca="1"/>
      </c>
      <c r="AW268" s="14">
        <f ca="1"/>
      </c>
      <c r="AX268" s="14">
        <f ca="1"/>
      </c>
      <c r="AY268" s="14">
        <f ca="1"/>
      </c>
      <c r="AZ268" s="14">
        <f ca="1"/>
      </c>
      <c r="BF268" s="7">
        <f ca="1"/>
      </c>
      <c r="BG268" s="14">
        <f ca="1"/>
      </c>
      <c r="BH268" s="14">
        <f ca="1"/>
      </c>
      <c r="BI268" s="14">
        <f ca="1"/>
      </c>
      <c r="BJ268" s="14">
        <f ca="1"/>
      </c>
      <c r="BK268" s="14">
        <f ca="1"/>
      </c>
    </row>
    <row r="269" spans="28:63" x14ac:dyDescent="0.55000000000000004">
      <c r="AB269">
        <f ca="1"/>
      </c>
      <c r="AC269">
        <f ca="1"/>
      </c>
      <c r="AD269">
        <f ca="1"/>
      </c>
      <c r="AE269">
        <f ca="1"/>
      </c>
      <c r="AF269">
        <f ca="1"/>
      </c>
      <c r="AG269">
        <f ca="1"/>
      </c>
      <c r="AH269">
        <f ca="1"/>
      </c>
      <c r="AL269" s="7">
        <f ca="1"/>
      </c>
      <c r="AM269" s="14">
        <f ca="1"/>
      </c>
      <c r="AN269" s="14">
        <f ca="1"/>
      </c>
      <c r="AO269" s="14">
        <f ca="1"/>
      </c>
      <c r="AP269" s="14">
        <f ca="1"/>
      </c>
      <c r="AQ269" s="14">
        <f ca="1"/>
      </c>
      <c r="AR269" s="14">
        <f ca="1"/>
      </c>
      <c r="AV269" s="14">
        <f ca="1"/>
      </c>
      <c r="AW269" s="14">
        <f ca="1"/>
      </c>
      <c r="AX269" s="14">
        <f ca="1"/>
      </c>
      <c r="AY269" s="14">
        <f ca="1"/>
      </c>
      <c r="AZ269" s="14">
        <f ca="1"/>
      </c>
      <c r="BF269" s="7">
        <f ca="1"/>
      </c>
      <c r="BG269" s="14">
        <f ca="1"/>
      </c>
      <c r="BH269" s="14">
        <f ca="1"/>
      </c>
      <c r="BI269" s="14">
        <f ca="1"/>
      </c>
      <c r="BJ269" s="14">
        <f ca="1"/>
      </c>
      <c r="BK269" s="14">
        <f ca="1"/>
      </c>
    </row>
    <row r="270" spans="28:63" x14ac:dyDescent="0.55000000000000004">
      <c r="AB270">
        <f ca="1"/>
      </c>
      <c r="AC270">
        <f ca="1"/>
      </c>
      <c r="AD270">
        <f ca="1"/>
      </c>
      <c r="AE270">
        <f ca="1"/>
      </c>
      <c r="AF270">
        <f ca="1"/>
      </c>
      <c r="AG270">
        <f ca="1"/>
      </c>
      <c r="AH270">
        <f ca="1"/>
      </c>
      <c r="AL270" s="7">
        <f ca="1"/>
      </c>
      <c r="AM270" s="14">
        <f ca="1"/>
      </c>
      <c r="AN270" s="14">
        <f ca="1"/>
      </c>
      <c r="AO270" s="14">
        <f ca="1"/>
      </c>
      <c r="AP270" s="14">
        <f ca="1"/>
      </c>
      <c r="AQ270" s="14">
        <f ca="1"/>
      </c>
      <c r="AR270" s="14">
        <f ca="1"/>
      </c>
      <c r="AV270" s="14">
        <f ca="1"/>
      </c>
      <c r="AW270" s="14">
        <f ca="1"/>
      </c>
      <c r="AX270" s="14">
        <f ca="1"/>
      </c>
      <c r="AY270" s="14">
        <f ca="1"/>
      </c>
      <c r="AZ270" s="14">
        <f ca="1"/>
      </c>
      <c r="BF270" s="7">
        <f ca="1"/>
      </c>
      <c r="BG270" s="14">
        <f ca="1"/>
      </c>
      <c r="BH270" s="14">
        <f ca="1"/>
      </c>
      <c r="BI270" s="14">
        <f ca="1"/>
      </c>
      <c r="BJ270" s="14">
        <f ca="1"/>
      </c>
      <c r="BK270" s="14">
        <f ca="1"/>
      </c>
    </row>
    <row r="271" spans="28:63" x14ac:dyDescent="0.55000000000000004">
      <c r="AB271">
        <f ca="1"/>
      </c>
      <c r="AC271">
        <f ca="1"/>
      </c>
      <c r="AD271">
        <f ca="1"/>
      </c>
      <c r="AE271">
        <f ca="1"/>
      </c>
      <c r="AF271">
        <f ca="1"/>
      </c>
      <c r="AG271">
        <f ca="1"/>
      </c>
      <c r="AH271">
        <f ca="1"/>
      </c>
      <c r="AL271" s="7">
        <f ca="1"/>
      </c>
      <c r="AM271" s="14">
        <f ca="1"/>
      </c>
      <c r="AN271" s="14">
        <f ca="1"/>
      </c>
      <c r="AO271" s="14">
        <f ca="1"/>
      </c>
      <c r="AP271" s="14">
        <f ca="1"/>
      </c>
      <c r="AQ271" s="14">
        <f ca="1"/>
      </c>
      <c r="AR271" s="14">
        <f ca="1"/>
      </c>
      <c r="AV271" s="14">
        <f ca="1"/>
      </c>
      <c r="AW271" s="14">
        <f ca="1"/>
      </c>
      <c r="AX271" s="14">
        <f ca="1"/>
      </c>
      <c r="AY271" s="14">
        <f ca="1"/>
      </c>
      <c r="AZ271" s="14">
        <f ca="1"/>
      </c>
      <c r="BF271" s="7">
        <f ca="1"/>
      </c>
      <c r="BG271" s="14">
        <f ca="1"/>
      </c>
      <c r="BH271" s="14">
        <f ca="1"/>
      </c>
      <c r="BI271" s="14">
        <f ca="1"/>
      </c>
      <c r="BJ271" s="14">
        <f ca="1"/>
      </c>
      <c r="BK271" s="14">
        <f ca="1"/>
      </c>
    </row>
    <row r="272" spans="28:63" x14ac:dyDescent="0.55000000000000004">
      <c r="AB272">
        <f ca="1"/>
      </c>
      <c r="AC272">
        <f ca="1"/>
      </c>
      <c r="AD272">
        <f ca="1"/>
      </c>
      <c r="AE272">
        <f ca="1"/>
      </c>
      <c r="AF272">
        <f ca="1"/>
      </c>
      <c r="AG272">
        <f ca="1"/>
      </c>
      <c r="AH272">
        <f ca="1"/>
      </c>
      <c r="AL272" s="7">
        <f ca="1"/>
      </c>
      <c r="AM272" s="14">
        <f ca="1"/>
      </c>
      <c r="AN272" s="14">
        <f ca="1"/>
      </c>
      <c r="AO272" s="14">
        <f ca="1"/>
      </c>
      <c r="AP272" s="14">
        <f ca="1"/>
      </c>
      <c r="AQ272" s="14">
        <f ca="1"/>
      </c>
      <c r="AR272" s="14">
        <f ca="1"/>
      </c>
      <c r="AV272" s="14">
        <f ca="1"/>
      </c>
      <c r="AW272" s="14">
        <f ca="1"/>
      </c>
      <c r="AX272" s="14">
        <f ca="1"/>
      </c>
      <c r="AY272" s="14">
        <f ca="1"/>
      </c>
      <c r="AZ272" s="14">
        <f ca="1"/>
      </c>
      <c r="BF272" s="7">
        <f ca="1"/>
      </c>
      <c r="BG272" s="14">
        <f ca="1"/>
      </c>
      <c r="BH272" s="14">
        <f ca="1"/>
      </c>
      <c r="BI272" s="14">
        <f ca="1"/>
      </c>
      <c r="BJ272" s="14">
        <f ca="1"/>
      </c>
      <c r="BK272" s="14">
        <f ca="1"/>
      </c>
    </row>
    <row r="273" spans="28:63" x14ac:dyDescent="0.55000000000000004">
      <c r="AB273">
        <f ca="1"/>
      </c>
      <c r="AC273">
        <f ca="1"/>
      </c>
      <c r="AD273">
        <f ca="1"/>
      </c>
      <c r="AE273">
        <f ca="1"/>
      </c>
      <c r="AF273">
        <f ca="1"/>
      </c>
      <c r="AG273">
        <f ca="1"/>
      </c>
      <c r="AH273">
        <f ca="1"/>
      </c>
      <c r="AL273" s="7">
        <f ca="1"/>
      </c>
      <c r="AM273" s="14">
        <f ca="1"/>
      </c>
      <c r="AN273" s="14">
        <f ca="1"/>
      </c>
      <c r="AO273" s="14">
        <f ca="1"/>
      </c>
      <c r="AP273" s="14">
        <f ca="1"/>
      </c>
      <c r="AQ273" s="14">
        <f ca="1"/>
      </c>
      <c r="AR273" s="14">
        <f ca="1"/>
      </c>
      <c r="AV273" s="14">
        <f ca="1"/>
      </c>
      <c r="AW273" s="14">
        <f ca="1"/>
      </c>
      <c r="AX273" s="14">
        <f ca="1"/>
      </c>
      <c r="AY273" s="14">
        <f ca="1"/>
      </c>
      <c r="AZ273" s="14">
        <f ca="1"/>
      </c>
      <c r="BF273" s="7">
        <f ca="1"/>
      </c>
      <c r="BG273" s="14">
        <f ca="1"/>
      </c>
      <c r="BH273" s="14">
        <f ca="1"/>
      </c>
      <c r="BI273" s="14">
        <f ca="1"/>
      </c>
      <c r="BJ273" s="14">
        <f ca="1"/>
      </c>
      <c r="BK273" s="14">
        <f ca="1"/>
      </c>
    </row>
    <row r="274" spans="28:63" x14ac:dyDescent="0.55000000000000004">
      <c r="AB274">
        <f ca="1"/>
      </c>
      <c r="AC274">
        <f ca="1"/>
      </c>
      <c r="AD274">
        <f ca="1"/>
      </c>
      <c r="AE274">
        <f ca="1"/>
      </c>
      <c r="AF274">
        <f ca="1"/>
      </c>
      <c r="AG274">
        <f ca="1"/>
      </c>
      <c r="AH274">
        <f ca="1"/>
      </c>
      <c r="AL274" s="7">
        <f ca="1"/>
      </c>
      <c r="AM274" s="14">
        <f ca="1"/>
      </c>
      <c r="AN274" s="14">
        <f ca="1"/>
      </c>
      <c r="AO274" s="14">
        <f ca="1"/>
      </c>
      <c r="AP274" s="14">
        <f ca="1"/>
      </c>
      <c r="AQ274" s="14">
        <f ca="1"/>
      </c>
      <c r="AR274" s="14">
        <f ca="1"/>
      </c>
      <c r="AV274" s="14">
        <f ca="1"/>
      </c>
      <c r="AW274" s="14">
        <f ca="1"/>
      </c>
      <c r="AX274" s="14">
        <f ca="1"/>
      </c>
      <c r="AY274" s="14">
        <f ca="1"/>
      </c>
      <c r="AZ274" s="14">
        <f ca="1"/>
      </c>
      <c r="BF274" s="7">
        <f ca="1"/>
      </c>
      <c r="BG274" s="14">
        <f ca="1"/>
      </c>
      <c r="BH274" s="14">
        <f ca="1"/>
      </c>
      <c r="BI274" s="14">
        <f ca="1"/>
      </c>
      <c r="BJ274" s="14">
        <f ca="1"/>
      </c>
      <c r="BK274" s="14">
        <f ca="1"/>
      </c>
    </row>
    <row r="275" spans="28:63" x14ac:dyDescent="0.55000000000000004">
      <c r="AB275">
        <f ca="1"/>
      </c>
      <c r="AC275">
        <f ca="1"/>
      </c>
      <c r="AD275">
        <f ca="1"/>
      </c>
      <c r="AE275">
        <f ca="1"/>
      </c>
      <c r="AF275">
        <f ca="1"/>
      </c>
      <c r="AG275">
        <f ca="1"/>
      </c>
      <c r="AH275">
        <f ca="1"/>
      </c>
      <c r="AL275" s="7">
        <f ca="1"/>
      </c>
      <c r="AM275" s="14">
        <f ca="1"/>
      </c>
      <c r="AN275" s="14">
        <f ca="1"/>
      </c>
      <c r="AO275" s="14">
        <f ca="1"/>
      </c>
      <c r="AP275" s="14">
        <f ca="1"/>
      </c>
      <c r="AQ275" s="14">
        <f ca="1"/>
      </c>
      <c r="AR275" s="14">
        <f ca="1"/>
      </c>
      <c r="AV275" s="14">
        <f ca="1"/>
      </c>
      <c r="AW275" s="14">
        <f ca="1"/>
      </c>
      <c r="AX275" s="14">
        <f ca="1"/>
      </c>
      <c r="AY275" s="14">
        <f ca="1"/>
      </c>
      <c r="AZ275" s="14">
        <f ca="1"/>
      </c>
      <c r="BF275" s="7">
        <f ca="1"/>
      </c>
      <c r="BG275" s="14">
        <f ca="1"/>
      </c>
      <c r="BH275" s="14">
        <f ca="1"/>
      </c>
      <c r="BI275" s="14">
        <f ca="1"/>
      </c>
      <c r="BJ275" s="14">
        <f ca="1"/>
      </c>
      <c r="BK275" s="14">
        <f ca="1"/>
      </c>
    </row>
    <row r="276" spans="28:63" x14ac:dyDescent="0.55000000000000004">
      <c r="AB276">
        <f ca="1"/>
      </c>
      <c r="AC276">
        <f ca="1"/>
      </c>
      <c r="AD276">
        <f ca="1"/>
      </c>
      <c r="AE276">
        <f ca="1"/>
      </c>
      <c r="AF276">
        <f ca="1"/>
      </c>
      <c r="AG276">
        <f ca="1"/>
      </c>
      <c r="AH276">
        <f ca="1"/>
      </c>
      <c r="AL276" s="7">
        <f ca="1"/>
      </c>
      <c r="AM276" s="14">
        <f ca="1"/>
      </c>
      <c r="AN276" s="14">
        <f ca="1"/>
      </c>
      <c r="AO276" s="14">
        <f ca="1"/>
      </c>
      <c r="AP276" s="14">
        <f ca="1"/>
      </c>
      <c r="AQ276" s="14">
        <f ca="1"/>
      </c>
      <c r="AR276" s="14">
        <f ca="1"/>
      </c>
      <c r="AV276" s="14">
        <f ca="1"/>
      </c>
      <c r="AW276" s="14">
        <f ca="1"/>
      </c>
      <c r="AX276" s="14">
        <f ca="1"/>
      </c>
      <c r="AY276" s="14">
        <f ca="1"/>
      </c>
      <c r="AZ276" s="14">
        <f ca="1"/>
      </c>
      <c r="BF276" s="7">
        <f ca="1"/>
      </c>
      <c r="BG276" s="14">
        <f ca="1"/>
      </c>
      <c r="BH276" s="14">
        <f ca="1"/>
      </c>
      <c r="BI276" s="14">
        <f ca="1"/>
      </c>
      <c r="BJ276" s="14">
        <f ca="1"/>
      </c>
      <c r="BK276" s="14">
        <f ca="1"/>
      </c>
    </row>
    <row r="277" spans="28:63" x14ac:dyDescent="0.55000000000000004">
      <c r="AB277">
        <f ca="1"/>
      </c>
      <c r="AC277">
        <f ca="1"/>
      </c>
      <c r="AD277">
        <f ca="1"/>
      </c>
      <c r="AE277">
        <f ca="1"/>
      </c>
      <c r="AF277">
        <f ca="1"/>
      </c>
      <c r="AG277">
        <f ca="1"/>
      </c>
      <c r="AH277">
        <f ca="1"/>
      </c>
      <c r="AL277" s="7">
        <f ca="1"/>
      </c>
      <c r="AM277" s="14">
        <f ca="1"/>
      </c>
      <c r="AN277" s="14">
        <f ca="1"/>
      </c>
      <c r="AO277" s="14">
        <f ca="1"/>
      </c>
      <c r="AP277" s="14">
        <f ca="1"/>
      </c>
      <c r="AQ277" s="14">
        <f ca="1"/>
      </c>
      <c r="AR277" s="14">
        <f ca="1"/>
      </c>
      <c r="AV277" s="14">
        <f ca="1"/>
      </c>
      <c r="AW277" s="14">
        <f ca="1"/>
      </c>
      <c r="AX277" s="14">
        <f ca="1"/>
      </c>
      <c r="AY277" s="14">
        <f ca="1"/>
      </c>
      <c r="AZ277" s="14">
        <f ca="1"/>
      </c>
      <c r="BF277" s="7">
        <f ca="1"/>
      </c>
      <c r="BG277" s="14">
        <f ca="1"/>
      </c>
      <c r="BH277" s="14">
        <f ca="1"/>
      </c>
      <c r="BI277" s="14">
        <f ca="1"/>
      </c>
      <c r="BJ277" s="14">
        <f ca="1"/>
      </c>
      <c r="BK277" s="14">
        <f ca="1"/>
      </c>
    </row>
    <row r="278" spans="28:63" x14ac:dyDescent="0.55000000000000004">
      <c r="AB278">
        <f ca="1"/>
      </c>
      <c r="AC278">
        <f ca="1"/>
      </c>
      <c r="AD278">
        <f ca="1"/>
      </c>
      <c r="AE278">
        <f ca="1"/>
      </c>
      <c r="AF278">
        <f ca="1"/>
      </c>
      <c r="AG278">
        <f ca="1"/>
      </c>
      <c r="AH278">
        <f ca="1"/>
      </c>
      <c r="AL278" s="7">
        <f ca="1"/>
      </c>
      <c r="AM278" s="14">
        <f ca="1"/>
      </c>
      <c r="AN278" s="14">
        <f ca="1"/>
      </c>
      <c r="AO278" s="14">
        <f ca="1"/>
      </c>
      <c r="AP278" s="14">
        <f ca="1"/>
      </c>
      <c r="AQ278" s="14">
        <f ca="1"/>
      </c>
      <c r="AR278" s="14">
        <f ca="1"/>
      </c>
      <c r="AV278" s="14">
        <f ca="1"/>
      </c>
      <c r="AW278" s="14">
        <f ca="1"/>
      </c>
      <c r="AX278" s="14">
        <f ca="1"/>
      </c>
      <c r="AY278" s="14">
        <f ca="1"/>
      </c>
      <c r="AZ278" s="14">
        <f ca="1"/>
      </c>
      <c r="BF278" s="7">
        <f ca="1"/>
      </c>
      <c r="BG278" s="14">
        <f ca="1"/>
      </c>
      <c r="BH278" s="14">
        <f ca="1"/>
      </c>
      <c r="BI278" s="14">
        <f ca="1"/>
      </c>
      <c r="BJ278" s="14">
        <f ca="1"/>
      </c>
      <c r="BK278" s="14">
        <f ca="1"/>
      </c>
    </row>
    <row r="279" spans="28:63" x14ac:dyDescent="0.55000000000000004">
      <c r="AB279">
        <f ca="1"/>
      </c>
      <c r="AC279">
        <f ca="1"/>
      </c>
      <c r="AD279">
        <f ca="1"/>
      </c>
      <c r="AE279">
        <f ca="1"/>
      </c>
      <c r="AF279">
        <f ca="1"/>
      </c>
      <c r="AG279">
        <f ca="1"/>
      </c>
      <c r="AH279">
        <f ca="1"/>
      </c>
      <c r="AL279" s="7">
        <f ca="1"/>
      </c>
      <c r="AM279" s="14">
        <f ca="1"/>
      </c>
      <c r="AN279" s="14">
        <f ca="1"/>
      </c>
      <c r="AO279" s="14">
        <f ca="1"/>
      </c>
      <c r="AP279" s="14">
        <f ca="1"/>
      </c>
      <c r="AQ279" s="14">
        <f ca="1"/>
      </c>
      <c r="AR279" s="14">
        <f ca="1"/>
      </c>
      <c r="AV279" s="14">
        <f ca="1"/>
      </c>
      <c r="AW279" s="14">
        <f ca="1"/>
      </c>
      <c r="AX279" s="14">
        <f ca="1"/>
      </c>
      <c r="AY279" s="14">
        <f ca="1"/>
      </c>
      <c r="AZ279" s="14">
        <f ca="1"/>
      </c>
      <c r="BF279" s="7">
        <f ca="1"/>
      </c>
      <c r="BG279" s="14">
        <f ca="1"/>
      </c>
      <c r="BH279" s="14">
        <f ca="1"/>
      </c>
      <c r="BI279" s="14">
        <f ca="1"/>
      </c>
      <c r="BJ279" s="14">
        <f ca="1"/>
      </c>
      <c r="BK279" s="14">
        <f ca="1"/>
      </c>
    </row>
    <row r="280" spans="28:63" x14ac:dyDescent="0.55000000000000004">
      <c r="AB280">
        <f ca="1"/>
      </c>
      <c r="AC280">
        <f ca="1"/>
      </c>
      <c r="AD280">
        <f ca="1"/>
      </c>
      <c r="AE280">
        <f ca="1"/>
      </c>
      <c r="AF280">
        <f ca="1"/>
      </c>
      <c r="AG280">
        <f ca="1"/>
      </c>
      <c r="AH280">
        <f ca="1"/>
      </c>
      <c r="AL280" s="7">
        <f ca="1"/>
      </c>
      <c r="AM280" s="14">
        <f ca="1"/>
      </c>
      <c r="AN280" s="14">
        <f ca="1"/>
      </c>
      <c r="AO280" s="14">
        <f ca="1"/>
      </c>
      <c r="AP280" s="14">
        <f ca="1"/>
      </c>
      <c r="AQ280" s="14">
        <f ca="1"/>
      </c>
      <c r="AR280" s="14">
        <f ca="1"/>
      </c>
      <c r="AV280" s="14">
        <f ca="1"/>
      </c>
      <c r="AW280" s="14">
        <f ca="1"/>
      </c>
      <c r="AX280" s="14">
        <f ca="1"/>
      </c>
      <c r="AY280" s="14">
        <f ca="1"/>
      </c>
      <c r="AZ280" s="14">
        <f ca="1"/>
      </c>
      <c r="BF280" s="7">
        <f ca="1"/>
      </c>
      <c r="BG280" s="14">
        <f ca="1"/>
      </c>
      <c r="BH280" s="14">
        <f ca="1"/>
      </c>
      <c r="BI280" s="14">
        <f ca="1"/>
      </c>
      <c r="BJ280" s="14">
        <f ca="1"/>
      </c>
      <c r="BK280" s="14">
        <f ca="1"/>
      </c>
    </row>
    <row r="281" spans="28:63" x14ac:dyDescent="0.55000000000000004">
      <c r="AB281">
        <f ca="1"/>
      </c>
      <c r="AC281">
        <f ca="1"/>
      </c>
      <c r="AD281">
        <f ca="1"/>
      </c>
      <c r="AE281">
        <f ca="1"/>
      </c>
      <c r="AF281">
        <f ca="1"/>
      </c>
      <c r="AG281">
        <f ca="1"/>
      </c>
      <c r="AH281">
        <f ca="1"/>
      </c>
      <c r="AL281" s="7">
        <f ca="1"/>
      </c>
      <c r="AM281" s="14">
        <f ca="1"/>
      </c>
      <c r="AN281" s="14">
        <f ca="1"/>
      </c>
      <c r="AO281" s="14">
        <f ca="1"/>
      </c>
      <c r="AP281" s="14">
        <f ca="1"/>
      </c>
      <c r="AQ281" s="14">
        <f ca="1"/>
      </c>
      <c r="AR281" s="14">
        <f ca="1"/>
      </c>
      <c r="AV281" s="14">
        <f ca="1"/>
      </c>
      <c r="AW281" s="14">
        <f ca="1"/>
      </c>
      <c r="AX281" s="14">
        <f ca="1"/>
      </c>
      <c r="AY281" s="14">
        <f ca="1"/>
      </c>
      <c r="AZ281" s="14">
        <f ca="1"/>
      </c>
      <c r="BF281" s="7">
        <f ca="1"/>
      </c>
      <c r="BG281" s="14">
        <f ca="1"/>
      </c>
      <c r="BH281" s="14">
        <f ca="1"/>
      </c>
      <c r="BI281" s="14">
        <f ca="1"/>
      </c>
      <c r="BJ281" s="14">
        <f ca="1"/>
      </c>
      <c r="BK281" s="14">
        <f ca="1"/>
      </c>
    </row>
    <row r="282" spans="28:63" x14ac:dyDescent="0.55000000000000004">
      <c r="AB282">
        <f ca="1"/>
      </c>
      <c r="AC282">
        <f ca="1"/>
      </c>
      <c r="AD282">
        <f ca="1"/>
      </c>
      <c r="AE282">
        <f ca="1"/>
      </c>
      <c r="AF282">
        <f ca="1"/>
      </c>
      <c r="AG282">
        <f ca="1"/>
      </c>
      <c r="AH282">
        <f ca="1"/>
      </c>
      <c r="AL282" s="7">
        <f ca="1"/>
      </c>
      <c r="AM282" s="14">
        <f ca="1"/>
      </c>
      <c r="AN282" s="14">
        <f ca="1"/>
      </c>
      <c r="AO282" s="14">
        <f ca="1"/>
      </c>
      <c r="AP282" s="14">
        <f ca="1"/>
      </c>
      <c r="AQ282" s="14">
        <f ca="1"/>
      </c>
      <c r="AR282" s="14">
        <f ca="1"/>
      </c>
      <c r="AV282" s="14">
        <f ca="1"/>
      </c>
      <c r="AW282" s="14">
        <f ca="1"/>
      </c>
      <c r="AX282" s="14">
        <f ca="1"/>
      </c>
      <c r="AY282" s="14">
        <f ca="1"/>
      </c>
      <c r="AZ282" s="14">
        <f ca="1"/>
      </c>
      <c r="BF282" s="7">
        <f ca="1"/>
      </c>
      <c r="BG282" s="14">
        <f ca="1"/>
      </c>
      <c r="BH282" s="14">
        <f ca="1"/>
      </c>
      <c r="BI282" s="14">
        <f ca="1"/>
      </c>
      <c r="BJ282" s="14">
        <f ca="1"/>
      </c>
      <c r="BK282" s="14">
        <f ca="1"/>
      </c>
    </row>
    <row r="283" spans="28:63" x14ac:dyDescent="0.55000000000000004">
      <c r="AB283">
        <f ca="1"/>
      </c>
      <c r="AC283">
        <f ca="1"/>
      </c>
      <c r="AD283">
        <f ca="1"/>
      </c>
      <c r="AE283">
        <f ca="1"/>
      </c>
      <c r="AF283">
        <f ca="1"/>
      </c>
      <c r="AG283">
        <f ca="1"/>
      </c>
      <c r="AH283">
        <f ca="1"/>
      </c>
      <c r="AL283" s="7">
        <f ca="1"/>
      </c>
      <c r="AM283" s="14">
        <f ca="1"/>
      </c>
      <c r="AN283" s="14">
        <f ca="1"/>
      </c>
      <c r="AO283" s="14">
        <f ca="1"/>
      </c>
      <c r="AP283" s="14">
        <f ca="1"/>
      </c>
      <c r="AQ283" s="14">
        <f ca="1"/>
      </c>
      <c r="AR283" s="14">
        <f ca="1"/>
      </c>
      <c r="AV283" s="14">
        <f ca="1"/>
      </c>
      <c r="AW283" s="14">
        <f ca="1"/>
      </c>
      <c r="AX283" s="14">
        <f ca="1"/>
      </c>
      <c r="AY283" s="14">
        <f ca="1"/>
      </c>
      <c r="AZ283" s="14">
        <f ca="1"/>
      </c>
      <c r="BF283" s="7">
        <f ca="1"/>
      </c>
      <c r="BG283" s="14">
        <f ca="1"/>
      </c>
      <c r="BH283" s="14">
        <f ca="1"/>
      </c>
      <c r="BI283" s="14">
        <f ca="1"/>
      </c>
      <c r="BJ283" s="14">
        <f ca="1"/>
      </c>
      <c r="BK283" s="14">
        <f ca="1"/>
      </c>
    </row>
    <row r="284" spans="28:63" x14ac:dyDescent="0.55000000000000004">
      <c r="AB284">
        <f ca="1"/>
      </c>
      <c r="AC284">
        <f ca="1"/>
      </c>
      <c r="AD284">
        <f ca="1"/>
      </c>
      <c r="AE284">
        <f ca="1"/>
      </c>
      <c r="AF284">
        <f ca="1"/>
      </c>
      <c r="AG284">
        <f ca="1"/>
      </c>
      <c r="AH284">
        <f ca="1"/>
      </c>
      <c r="AL284" s="7">
        <f ca="1"/>
      </c>
      <c r="AM284" s="14">
        <f ca="1"/>
      </c>
      <c r="AN284" s="14">
        <f ca="1"/>
      </c>
      <c r="AO284" s="14">
        <f ca="1"/>
      </c>
      <c r="AP284" s="14">
        <f ca="1"/>
      </c>
      <c r="AQ284" s="14">
        <f ca="1"/>
      </c>
      <c r="AR284" s="14">
        <f ca="1"/>
      </c>
      <c r="AV284" s="14">
        <f ca="1"/>
      </c>
      <c r="AW284" s="14">
        <f ca="1"/>
      </c>
      <c r="AX284" s="14">
        <f ca="1"/>
      </c>
      <c r="AY284" s="14">
        <f ca="1"/>
      </c>
      <c r="AZ284" s="14">
        <f ca="1"/>
      </c>
      <c r="BF284" s="7">
        <f ca="1"/>
      </c>
      <c r="BG284" s="14">
        <f ca="1"/>
      </c>
      <c r="BH284" s="14">
        <f ca="1"/>
      </c>
      <c r="BI284" s="14">
        <f ca="1"/>
      </c>
      <c r="BJ284" s="14">
        <f ca="1"/>
      </c>
      <c r="BK284" s="14">
        <f ca="1"/>
      </c>
    </row>
    <row r="285" spans="28:63" x14ac:dyDescent="0.55000000000000004">
      <c r="AB285">
        <f ca="1"/>
      </c>
      <c r="AC285">
        <f ca="1"/>
      </c>
      <c r="AD285">
        <f ca="1"/>
      </c>
      <c r="AE285">
        <f ca="1"/>
      </c>
      <c r="AF285">
        <f ca="1"/>
      </c>
      <c r="AG285">
        <f ca="1"/>
      </c>
      <c r="AH285">
        <f ca="1"/>
      </c>
      <c r="AL285" s="7">
        <f ca="1"/>
      </c>
      <c r="AM285" s="14">
        <f ca="1"/>
      </c>
      <c r="AN285" s="14">
        <f ca="1"/>
      </c>
      <c r="AO285" s="14">
        <f ca="1"/>
      </c>
      <c r="AP285" s="14">
        <f ca="1"/>
      </c>
      <c r="AQ285" s="14">
        <f ca="1"/>
      </c>
      <c r="AR285" s="14">
        <f ca="1"/>
      </c>
      <c r="AV285" s="14">
        <f ca="1"/>
      </c>
      <c r="AW285" s="14">
        <f ca="1"/>
      </c>
      <c r="AX285" s="14">
        <f ca="1"/>
      </c>
      <c r="AY285" s="14">
        <f ca="1"/>
      </c>
      <c r="AZ285" s="14">
        <f ca="1"/>
      </c>
      <c r="BF285" s="7">
        <f ca="1"/>
      </c>
      <c r="BG285" s="14">
        <f ca="1"/>
      </c>
      <c r="BH285" s="14">
        <f ca="1"/>
      </c>
      <c r="BI285" s="14">
        <f ca="1"/>
      </c>
      <c r="BJ285" s="14">
        <f ca="1"/>
      </c>
      <c r="BK285" s="14">
        <f ca="1"/>
      </c>
    </row>
    <row r="286" spans="28:63" x14ac:dyDescent="0.55000000000000004">
      <c r="AB286">
        <f ca="1"/>
      </c>
      <c r="AC286">
        <f ca="1"/>
      </c>
      <c r="AD286">
        <f ca="1"/>
      </c>
      <c r="AE286">
        <f ca="1"/>
      </c>
      <c r="AF286">
        <f ca="1"/>
      </c>
      <c r="AG286">
        <f ca="1"/>
      </c>
      <c r="AH286">
        <f ca="1"/>
      </c>
      <c r="AL286" s="7">
        <f ca="1"/>
      </c>
      <c r="AM286" s="14">
        <f ca="1"/>
      </c>
      <c r="AN286" s="14">
        <f ca="1"/>
      </c>
      <c r="AO286" s="14">
        <f ca="1"/>
      </c>
      <c r="AP286" s="14">
        <f ca="1"/>
      </c>
      <c r="AQ286" s="14">
        <f ca="1"/>
      </c>
      <c r="AR286" s="14">
        <f ca="1"/>
      </c>
      <c r="AV286" s="14">
        <f ca="1"/>
      </c>
      <c r="AW286" s="14">
        <f ca="1"/>
      </c>
      <c r="AX286" s="14">
        <f ca="1"/>
      </c>
      <c r="AY286" s="14">
        <f ca="1"/>
      </c>
      <c r="AZ286" s="14">
        <f ca="1"/>
      </c>
      <c r="BF286" s="7">
        <f ca="1"/>
      </c>
      <c r="BG286" s="14">
        <f ca="1"/>
      </c>
      <c r="BH286" s="14">
        <f ca="1"/>
      </c>
      <c r="BI286" s="14">
        <f ca="1"/>
      </c>
      <c r="BJ286" s="14">
        <f ca="1"/>
      </c>
      <c r="BK286" s="14">
        <f ca="1"/>
      </c>
    </row>
    <row r="287" spans="28:63" x14ac:dyDescent="0.55000000000000004">
      <c r="AB287">
        <f ca="1"/>
      </c>
      <c r="AC287">
        <f ca="1"/>
      </c>
      <c r="AD287">
        <f ca="1"/>
      </c>
      <c r="AE287">
        <f ca="1"/>
      </c>
      <c r="AF287">
        <f ca="1"/>
      </c>
      <c r="AG287">
        <f ca="1"/>
      </c>
      <c r="AH287">
        <f ca="1"/>
      </c>
      <c r="AL287" s="7">
        <f ca="1"/>
      </c>
      <c r="AM287" s="14">
        <f ca="1"/>
      </c>
      <c r="AN287" s="14">
        <f ca="1"/>
      </c>
      <c r="AO287" s="14">
        <f ca="1"/>
      </c>
      <c r="AP287" s="14">
        <f ca="1"/>
      </c>
      <c r="AQ287" s="14">
        <f ca="1"/>
      </c>
      <c r="AR287" s="14">
        <f ca="1"/>
      </c>
      <c r="AV287" s="14">
        <f ca="1"/>
      </c>
      <c r="AW287" s="14">
        <f ca="1"/>
      </c>
      <c r="AX287" s="14">
        <f ca="1"/>
      </c>
      <c r="AY287" s="14">
        <f ca="1"/>
      </c>
      <c r="AZ287" s="14">
        <f ca="1"/>
      </c>
      <c r="BF287" s="7">
        <f ca="1"/>
      </c>
      <c r="BG287" s="14">
        <f ca="1"/>
      </c>
      <c r="BH287" s="14">
        <f ca="1"/>
      </c>
      <c r="BI287" s="14">
        <f ca="1"/>
      </c>
      <c r="BJ287" s="14">
        <f ca="1"/>
      </c>
      <c r="BK287" s="14">
        <f ca="1"/>
      </c>
    </row>
    <row r="288" spans="28:63" x14ac:dyDescent="0.55000000000000004">
      <c r="AB288">
        <f ca="1"/>
      </c>
      <c r="AC288">
        <f ca="1"/>
      </c>
      <c r="AD288">
        <f ca="1"/>
      </c>
      <c r="AE288">
        <f ca="1"/>
      </c>
      <c r="AF288">
        <f ca="1"/>
      </c>
      <c r="AG288">
        <f ca="1"/>
      </c>
      <c r="AH288">
        <f ca="1"/>
      </c>
      <c r="AL288" s="7">
        <f ca="1"/>
      </c>
      <c r="AM288" s="14">
        <f ca="1"/>
      </c>
      <c r="AN288" s="14">
        <f ca="1"/>
      </c>
      <c r="AO288" s="14">
        <f ca="1"/>
      </c>
      <c r="AP288" s="14">
        <f ca="1"/>
      </c>
      <c r="AQ288" s="14">
        <f ca="1"/>
      </c>
      <c r="AR288" s="14">
        <f ca="1"/>
      </c>
      <c r="AV288" s="14">
        <f ca="1"/>
      </c>
      <c r="AW288" s="14">
        <f ca="1"/>
      </c>
      <c r="AX288" s="14">
        <f ca="1"/>
      </c>
      <c r="AY288" s="14">
        <f ca="1"/>
      </c>
      <c r="AZ288" s="14">
        <f ca="1"/>
      </c>
      <c r="BF288" s="7">
        <f ca="1"/>
      </c>
      <c r="BG288" s="14">
        <f ca="1"/>
      </c>
      <c r="BH288" s="14">
        <f ca="1"/>
      </c>
      <c r="BI288" s="14">
        <f ca="1"/>
      </c>
      <c r="BJ288" s="14">
        <f ca="1"/>
      </c>
      <c r="BK288" s="14">
        <f ca="1"/>
      </c>
    </row>
    <row r="289" spans="28:63" x14ac:dyDescent="0.55000000000000004">
      <c r="AB289">
        <f ca="1"/>
      </c>
      <c r="AC289">
        <f ca="1"/>
      </c>
      <c r="AD289">
        <f ca="1"/>
      </c>
      <c r="AE289">
        <f ca="1"/>
      </c>
      <c r="AF289">
        <f ca="1"/>
      </c>
      <c r="AG289">
        <f ca="1"/>
      </c>
      <c r="AH289">
        <f ca="1"/>
      </c>
      <c r="AL289" s="7">
        <f ca="1"/>
      </c>
      <c r="AM289" s="14">
        <f ca="1"/>
      </c>
      <c r="AN289" s="14">
        <f ca="1"/>
      </c>
      <c r="AO289" s="14">
        <f ca="1"/>
      </c>
      <c r="AP289" s="14">
        <f ca="1"/>
      </c>
      <c r="AQ289" s="14">
        <f ca="1"/>
      </c>
      <c r="AR289" s="14">
        <f ca="1"/>
      </c>
      <c r="AV289" s="14">
        <f ca="1"/>
      </c>
      <c r="AW289" s="14">
        <f ca="1"/>
      </c>
      <c r="AX289" s="14">
        <f ca="1"/>
      </c>
      <c r="AY289" s="14">
        <f ca="1"/>
      </c>
      <c r="AZ289" s="14">
        <f ca="1"/>
      </c>
      <c r="BF289" s="7">
        <f ca="1"/>
      </c>
      <c r="BG289" s="14">
        <f ca="1"/>
      </c>
      <c r="BH289" s="14">
        <f ca="1"/>
      </c>
      <c r="BI289" s="14">
        <f ca="1"/>
      </c>
      <c r="BJ289" s="14">
        <f ca="1"/>
      </c>
      <c r="BK289" s="14">
        <f ca="1"/>
      </c>
    </row>
    <row r="290" spans="28:63" x14ac:dyDescent="0.55000000000000004">
      <c r="AB290">
        <f ca="1"/>
      </c>
      <c r="AC290">
        <f ca="1"/>
      </c>
      <c r="AD290">
        <f ca="1"/>
      </c>
      <c r="AE290">
        <f ca="1"/>
      </c>
      <c r="AF290">
        <f ca="1"/>
      </c>
      <c r="AG290">
        <f ca="1"/>
      </c>
      <c r="AH290">
        <f ca="1"/>
      </c>
      <c r="AL290" s="7">
        <f ca="1"/>
      </c>
      <c r="AM290" s="14">
        <f ca="1"/>
      </c>
      <c r="AN290" s="14">
        <f ca="1"/>
      </c>
      <c r="AO290" s="14">
        <f ca="1"/>
      </c>
      <c r="AP290" s="14">
        <f ca="1"/>
      </c>
      <c r="AQ290" s="14">
        <f ca="1"/>
      </c>
      <c r="AR290" s="14">
        <f ca="1"/>
      </c>
      <c r="AV290" s="14">
        <f ca="1"/>
      </c>
      <c r="AW290" s="14">
        <f ca="1"/>
      </c>
      <c r="AX290" s="14">
        <f ca="1"/>
      </c>
      <c r="AY290" s="14">
        <f ca="1"/>
      </c>
      <c r="AZ290" s="14">
        <f ca="1"/>
      </c>
      <c r="BF290" s="7">
        <f ca="1"/>
      </c>
      <c r="BG290" s="14">
        <f ca="1"/>
      </c>
      <c r="BH290" s="14">
        <f ca="1"/>
      </c>
      <c r="BI290" s="14">
        <f ca="1"/>
      </c>
      <c r="BJ290" s="14">
        <f ca="1"/>
      </c>
      <c r="BK290" s="14">
        <f ca="1"/>
      </c>
    </row>
    <row r="291" spans="28:63" x14ac:dyDescent="0.55000000000000004">
      <c r="AB291">
        <f ca="1"/>
      </c>
      <c r="AC291">
        <f ca="1"/>
      </c>
      <c r="AD291">
        <f ca="1"/>
      </c>
      <c r="AE291">
        <f ca="1"/>
      </c>
      <c r="AF291">
        <f ca="1"/>
      </c>
      <c r="AG291">
        <f ca="1"/>
      </c>
      <c r="AH291">
        <f ca="1"/>
      </c>
      <c r="AL291" s="7">
        <f ca="1"/>
      </c>
      <c r="AM291" s="14">
        <f ca="1"/>
      </c>
      <c r="AN291" s="14">
        <f ca="1"/>
      </c>
      <c r="AO291" s="14">
        <f ca="1"/>
      </c>
      <c r="AP291" s="14">
        <f ca="1"/>
      </c>
      <c r="AQ291" s="14">
        <f ca="1"/>
      </c>
      <c r="AR291" s="14">
        <f ca="1"/>
      </c>
      <c r="AV291" s="14">
        <f ca="1"/>
      </c>
      <c r="AW291" s="14">
        <f ca="1"/>
      </c>
      <c r="AX291" s="14">
        <f ca="1"/>
      </c>
      <c r="AY291" s="14">
        <f ca="1"/>
      </c>
      <c r="AZ291" s="14">
        <f ca="1"/>
      </c>
      <c r="BF291" s="7">
        <f ca="1"/>
      </c>
      <c r="BG291" s="14">
        <f ca="1"/>
      </c>
      <c r="BH291" s="14">
        <f ca="1"/>
      </c>
      <c r="BI291" s="14">
        <f ca="1"/>
      </c>
      <c r="BJ291" s="14">
        <f ca="1"/>
      </c>
      <c r="BK291" s="14">
        <f ca="1"/>
      </c>
    </row>
    <row r="292" spans="28:63" x14ac:dyDescent="0.55000000000000004">
      <c r="AB292">
        <f ca="1"/>
      </c>
      <c r="AC292">
        <f ca="1"/>
      </c>
      <c r="AD292">
        <f ca="1"/>
      </c>
      <c r="AE292">
        <f ca="1"/>
      </c>
      <c r="AF292">
        <f ca="1"/>
      </c>
      <c r="AG292">
        <f ca="1"/>
      </c>
      <c r="AH292">
        <f ca="1"/>
      </c>
      <c r="AL292" s="7">
        <f ca="1"/>
      </c>
      <c r="AM292" s="14">
        <f ca="1"/>
      </c>
      <c r="AN292" s="14">
        <f ca="1"/>
      </c>
      <c r="AO292" s="14">
        <f ca="1"/>
      </c>
      <c r="AP292" s="14">
        <f ca="1"/>
      </c>
      <c r="AQ292" s="14">
        <f ca="1"/>
      </c>
      <c r="AR292" s="14">
        <f ca="1"/>
      </c>
      <c r="AV292" s="14">
        <f ca="1"/>
      </c>
      <c r="AW292" s="14">
        <f ca="1"/>
      </c>
      <c r="AX292" s="14">
        <f ca="1"/>
      </c>
      <c r="AY292" s="14">
        <f ca="1"/>
      </c>
      <c r="AZ292" s="14">
        <f ca="1"/>
      </c>
      <c r="BF292" s="7">
        <f ca="1"/>
      </c>
      <c r="BG292" s="14">
        <f ca="1"/>
      </c>
      <c r="BH292" s="14">
        <f ca="1"/>
      </c>
      <c r="BI292" s="14">
        <f ca="1"/>
      </c>
      <c r="BJ292" s="14">
        <f ca="1"/>
      </c>
      <c r="BK292" s="14">
        <f ca="1"/>
      </c>
    </row>
    <row r="293" spans="28:63" x14ac:dyDescent="0.55000000000000004">
      <c r="AB293">
        <f ca="1"/>
      </c>
      <c r="AC293">
        <f ca="1"/>
      </c>
      <c r="AD293">
        <f ca="1"/>
      </c>
      <c r="AE293">
        <f ca="1"/>
      </c>
      <c r="AF293">
        <f ca="1"/>
      </c>
      <c r="AG293">
        <f ca="1"/>
      </c>
      <c r="AH293">
        <f ca="1"/>
      </c>
      <c r="AL293" s="7">
        <f ca="1"/>
      </c>
      <c r="AM293" s="14">
        <f ca="1"/>
      </c>
      <c r="AN293" s="14">
        <f ca="1"/>
      </c>
      <c r="AO293" s="14">
        <f ca="1"/>
      </c>
      <c r="AP293" s="14">
        <f ca="1"/>
      </c>
      <c r="AQ293" s="14">
        <f ca="1"/>
      </c>
      <c r="AR293" s="14">
        <f ca="1"/>
      </c>
      <c r="AV293" s="14">
        <f ca="1"/>
      </c>
      <c r="AW293" s="14">
        <f ca="1"/>
      </c>
      <c r="AX293" s="14">
        <f ca="1"/>
      </c>
      <c r="AY293" s="14">
        <f ca="1"/>
      </c>
      <c r="AZ293" s="14">
        <f ca="1"/>
      </c>
      <c r="BF293" s="7">
        <f ca="1"/>
      </c>
      <c r="BG293" s="14">
        <f ca="1"/>
      </c>
      <c r="BH293" s="14">
        <f ca="1"/>
      </c>
      <c r="BI293" s="14">
        <f ca="1"/>
      </c>
      <c r="BJ293" s="14">
        <f ca="1"/>
      </c>
      <c r="BK293" s="14">
        <f ca="1"/>
      </c>
    </row>
    <row r="294" spans="28:63" x14ac:dyDescent="0.55000000000000004">
      <c r="AB294">
        <f ca="1"/>
      </c>
      <c r="AC294">
        <f ca="1"/>
      </c>
      <c r="AD294">
        <f ca="1"/>
      </c>
      <c r="AE294">
        <f ca="1"/>
      </c>
      <c r="AF294">
        <f ca="1"/>
      </c>
      <c r="AG294">
        <f ca="1"/>
      </c>
      <c r="AH294">
        <f ca="1"/>
      </c>
      <c r="AL294" s="7">
        <f ca="1"/>
      </c>
      <c r="AM294" s="14">
        <f ca="1"/>
      </c>
      <c r="AN294" s="14">
        <f ca="1"/>
      </c>
      <c r="AO294" s="14">
        <f ca="1"/>
      </c>
      <c r="AP294" s="14">
        <f ca="1"/>
      </c>
      <c r="AQ294" s="14">
        <f ca="1"/>
      </c>
      <c r="AR294" s="14">
        <f ca="1"/>
      </c>
      <c r="AV294" s="14">
        <f ca="1"/>
      </c>
      <c r="AW294" s="14">
        <f ca="1"/>
      </c>
      <c r="AX294" s="14">
        <f ca="1"/>
      </c>
      <c r="AY294" s="14">
        <f ca="1"/>
      </c>
      <c r="AZ294" s="14">
        <f ca="1"/>
      </c>
      <c r="BF294" s="7">
        <f ca="1"/>
      </c>
      <c r="BG294" s="14">
        <f ca="1"/>
      </c>
      <c r="BH294" s="14">
        <f ca="1"/>
      </c>
      <c r="BI294" s="14">
        <f ca="1"/>
      </c>
      <c r="BJ294" s="14">
        <f ca="1"/>
      </c>
      <c r="BK294" s="14">
        <f ca="1"/>
      </c>
    </row>
    <row r="295" spans="28:63" x14ac:dyDescent="0.55000000000000004">
      <c r="AB295">
        <f ca="1"/>
      </c>
      <c r="AC295">
        <f ca="1"/>
      </c>
      <c r="AD295">
        <f ca="1"/>
      </c>
      <c r="AE295">
        <f ca="1"/>
      </c>
      <c r="AF295">
        <f ca="1"/>
      </c>
      <c r="AG295">
        <f ca="1"/>
      </c>
      <c r="AH295">
        <f ca="1"/>
      </c>
      <c r="AL295" s="7">
        <f ca="1"/>
      </c>
      <c r="AM295" s="14">
        <f ca="1"/>
      </c>
      <c r="AN295" s="14">
        <f ca="1"/>
      </c>
      <c r="AO295" s="14">
        <f ca="1"/>
      </c>
      <c r="AP295" s="14">
        <f ca="1"/>
      </c>
      <c r="AQ295" s="14">
        <f ca="1"/>
      </c>
      <c r="AR295" s="14">
        <f ca="1"/>
      </c>
      <c r="AV295" s="14">
        <f ca="1"/>
      </c>
      <c r="AW295" s="14">
        <f ca="1"/>
      </c>
      <c r="AX295" s="14">
        <f ca="1"/>
      </c>
      <c r="AY295" s="14">
        <f ca="1"/>
      </c>
      <c r="AZ295" s="14">
        <f ca="1"/>
      </c>
      <c r="BF295" s="7">
        <f ca="1"/>
      </c>
      <c r="BG295" s="14">
        <f ca="1"/>
      </c>
      <c r="BH295" s="14">
        <f ca="1"/>
      </c>
      <c r="BI295" s="14">
        <f ca="1"/>
      </c>
      <c r="BJ295" s="14">
        <f ca="1"/>
      </c>
      <c r="BK295" s="14">
        <f ca="1"/>
      </c>
    </row>
    <row r="296" spans="28:63" x14ac:dyDescent="0.55000000000000004">
      <c r="AB296">
        <f ca="1"/>
      </c>
      <c r="AC296">
        <f ca="1"/>
      </c>
      <c r="AD296">
        <f ca="1"/>
      </c>
      <c r="AE296">
        <f ca="1"/>
      </c>
      <c r="AF296">
        <f ca="1"/>
      </c>
      <c r="AG296">
        <f ca="1"/>
      </c>
      <c r="AH296">
        <f ca="1"/>
      </c>
      <c r="AL296" s="7">
        <f ca="1"/>
      </c>
      <c r="AM296" s="14">
        <f ca="1"/>
      </c>
      <c r="AN296" s="14">
        <f ca="1"/>
      </c>
      <c r="AO296" s="14">
        <f ca="1"/>
      </c>
      <c r="AP296" s="14">
        <f ca="1"/>
      </c>
      <c r="AQ296" s="14">
        <f ca="1"/>
      </c>
      <c r="AR296" s="14">
        <f ca="1"/>
      </c>
      <c r="AV296" s="14">
        <f ca="1"/>
      </c>
      <c r="AW296" s="14">
        <f ca="1"/>
      </c>
      <c r="AX296" s="14">
        <f ca="1"/>
      </c>
      <c r="AY296" s="14">
        <f ca="1"/>
      </c>
      <c r="AZ296" s="14">
        <f ca="1"/>
      </c>
      <c r="BF296" s="7">
        <f ca="1"/>
      </c>
      <c r="BG296" s="14">
        <f ca="1"/>
      </c>
      <c r="BH296" s="14">
        <f ca="1"/>
      </c>
      <c r="BI296" s="14">
        <f ca="1"/>
      </c>
      <c r="BJ296" s="14">
        <f ca="1"/>
      </c>
      <c r="BK296" s="14">
        <f ca="1"/>
      </c>
    </row>
    <row r="297" spans="28:63" x14ac:dyDescent="0.55000000000000004">
      <c r="AB297">
        <f ca="1"/>
      </c>
      <c r="AC297">
        <f ca="1"/>
      </c>
      <c r="AD297">
        <f ca="1"/>
      </c>
      <c r="AE297">
        <f ca="1"/>
      </c>
      <c r="AF297">
        <f ca="1"/>
      </c>
      <c r="AG297">
        <f ca="1"/>
      </c>
      <c r="AH297">
        <f ca="1"/>
      </c>
      <c r="AL297" s="7">
        <f ca="1"/>
      </c>
      <c r="AM297" s="14">
        <f ca="1"/>
      </c>
      <c r="AN297" s="14">
        <f ca="1"/>
      </c>
      <c r="AO297" s="14">
        <f ca="1"/>
      </c>
      <c r="AP297" s="14">
        <f ca="1"/>
      </c>
      <c r="AQ297" s="14">
        <f ca="1"/>
      </c>
      <c r="AR297" s="14">
        <f ca="1"/>
      </c>
      <c r="AV297" s="14">
        <f ca="1"/>
      </c>
      <c r="AW297" s="14">
        <f ca="1"/>
      </c>
      <c r="AX297" s="14">
        <f ca="1"/>
      </c>
      <c r="AY297" s="14">
        <f ca="1"/>
      </c>
      <c r="AZ297" s="14">
        <f ca="1"/>
      </c>
      <c r="BF297" s="7">
        <f ca="1"/>
      </c>
      <c r="BG297" s="14">
        <f ca="1"/>
      </c>
      <c r="BH297" s="14">
        <f ca="1"/>
      </c>
      <c r="BI297" s="14">
        <f ca="1"/>
      </c>
      <c r="BJ297" s="14">
        <f ca="1"/>
      </c>
      <c r="BK297" s="14">
        <f ca="1"/>
      </c>
    </row>
    <row r="298" spans="28:63" x14ac:dyDescent="0.55000000000000004">
      <c r="AB298">
        <f ca="1"/>
      </c>
      <c r="AC298">
        <f ca="1"/>
      </c>
      <c r="AD298">
        <f ca="1"/>
      </c>
      <c r="AE298">
        <f ca="1"/>
      </c>
      <c r="AF298">
        <f ca="1"/>
      </c>
      <c r="AG298">
        <f ca="1"/>
      </c>
      <c r="AH298">
        <f ca="1"/>
      </c>
      <c r="AL298" s="7">
        <f ca="1"/>
      </c>
      <c r="AM298" s="14">
        <f ca="1"/>
      </c>
      <c r="AN298" s="14">
        <f ca="1"/>
      </c>
      <c r="AO298" s="14">
        <f ca="1"/>
      </c>
      <c r="AP298" s="14">
        <f ca="1"/>
      </c>
      <c r="AQ298" s="14">
        <f ca="1"/>
      </c>
      <c r="AR298" s="14">
        <f ca="1"/>
      </c>
      <c r="AV298" s="14">
        <f ca="1"/>
      </c>
      <c r="AW298" s="14">
        <f ca="1"/>
      </c>
      <c r="AX298" s="14">
        <f ca="1"/>
      </c>
      <c r="AY298" s="14">
        <f ca="1"/>
      </c>
      <c r="AZ298" s="14">
        <f ca="1"/>
      </c>
      <c r="BF298" s="7">
        <f ca="1"/>
      </c>
      <c r="BG298" s="14">
        <f ca="1"/>
      </c>
      <c r="BH298" s="14">
        <f ca="1"/>
      </c>
      <c r="BI298" s="14">
        <f ca="1"/>
      </c>
      <c r="BJ298" s="14">
        <f ca="1"/>
      </c>
      <c r="BK298" s="14">
        <f ca="1"/>
      </c>
    </row>
    <row r="299" spans="28:63" x14ac:dyDescent="0.55000000000000004">
      <c r="AB299">
        <f ca="1"/>
      </c>
      <c r="AC299">
        <f ca="1"/>
      </c>
      <c r="AD299">
        <f ca="1"/>
      </c>
      <c r="AE299">
        <f ca="1"/>
      </c>
      <c r="AF299">
        <f ca="1"/>
      </c>
      <c r="AG299">
        <f ca="1"/>
      </c>
      <c r="AH299">
        <f ca="1"/>
      </c>
      <c r="AL299" s="7">
        <f ca="1"/>
      </c>
      <c r="AM299" s="14">
        <f ca="1"/>
      </c>
      <c r="AN299" s="14">
        <f ca="1"/>
      </c>
      <c r="AO299" s="14">
        <f ca="1"/>
      </c>
      <c r="AP299" s="14">
        <f ca="1"/>
      </c>
      <c r="AQ299" s="14">
        <f ca="1"/>
      </c>
      <c r="AR299" s="14">
        <f ca="1"/>
      </c>
      <c r="AV299" s="14">
        <f ca="1"/>
      </c>
      <c r="AW299" s="14">
        <f ca="1"/>
      </c>
      <c r="AX299" s="14">
        <f ca="1"/>
      </c>
      <c r="AY299" s="14">
        <f ca="1"/>
      </c>
      <c r="AZ299" s="14">
        <f ca="1"/>
      </c>
      <c r="BF299" s="7">
        <f ca="1"/>
      </c>
      <c r="BG299" s="14">
        <f ca="1"/>
      </c>
      <c r="BH299" s="14">
        <f ca="1"/>
      </c>
      <c r="BI299" s="14">
        <f ca="1"/>
      </c>
      <c r="BJ299" s="14">
        <f ca="1"/>
      </c>
      <c r="BK299" s="14">
        <f ca="1"/>
      </c>
    </row>
    <row r="300" spans="28:63" x14ac:dyDescent="0.55000000000000004">
      <c r="AB300">
        <f ca="1"/>
      </c>
      <c r="AC300">
        <f ca="1"/>
      </c>
      <c r="AD300">
        <f ca="1"/>
      </c>
      <c r="AE300">
        <f ca="1"/>
      </c>
      <c r="AF300">
        <f ca="1"/>
      </c>
      <c r="AG300">
        <f ca="1"/>
      </c>
      <c r="AH300">
        <f ca="1"/>
      </c>
      <c r="AL300" s="7">
        <f ca="1"/>
      </c>
      <c r="AM300" s="14">
        <f ca="1"/>
      </c>
      <c r="AN300" s="14">
        <f ca="1"/>
      </c>
      <c r="AO300" s="14">
        <f ca="1"/>
      </c>
      <c r="AP300" s="14">
        <f ca="1"/>
      </c>
      <c r="AQ300" s="14">
        <f ca="1"/>
      </c>
      <c r="AR300" s="14">
        <f ca="1"/>
      </c>
      <c r="AV300" s="14">
        <f ca="1"/>
      </c>
      <c r="AW300" s="14">
        <f ca="1"/>
      </c>
      <c r="AX300" s="14">
        <f ca="1"/>
      </c>
      <c r="AY300" s="14">
        <f ca="1"/>
      </c>
      <c r="AZ300" s="14">
        <f ca="1"/>
      </c>
      <c r="BF300" s="7">
        <f ca="1"/>
      </c>
      <c r="BG300" s="14">
        <f ca="1"/>
      </c>
      <c r="BH300" s="14">
        <f ca="1"/>
      </c>
      <c r="BI300" s="14">
        <f ca="1"/>
      </c>
      <c r="BJ300" s="14">
        <f ca="1"/>
      </c>
      <c r="BK300" s="14">
        <f ca="1"/>
      </c>
    </row>
    <row r="301" spans="28:63" x14ac:dyDescent="0.55000000000000004">
      <c r="AB301">
        <f ca="1"/>
      </c>
      <c r="AC301">
        <f ca="1"/>
      </c>
      <c r="AD301">
        <f ca="1"/>
      </c>
      <c r="AE301">
        <f ca="1"/>
      </c>
      <c r="AF301">
        <f ca="1"/>
      </c>
      <c r="AG301">
        <f ca="1"/>
      </c>
      <c r="AH301">
        <f ca="1"/>
      </c>
      <c r="AL301" s="7">
        <f ca="1"/>
      </c>
      <c r="AM301" s="14">
        <f ca="1"/>
      </c>
      <c r="AN301" s="14">
        <f ca="1"/>
      </c>
      <c r="AO301" s="14">
        <f ca="1"/>
      </c>
      <c r="AP301" s="14">
        <f ca="1"/>
      </c>
      <c r="AQ301" s="14">
        <f ca="1"/>
      </c>
      <c r="AR301" s="14">
        <f ca="1"/>
      </c>
      <c r="AV301" s="14">
        <f ca="1"/>
      </c>
      <c r="AW301" s="14">
        <f ca="1"/>
      </c>
      <c r="AX301" s="14">
        <f ca="1"/>
      </c>
      <c r="AY301" s="14">
        <f ca="1"/>
      </c>
      <c r="AZ301" s="14">
        <f ca="1"/>
      </c>
      <c r="BF301" s="7">
        <f ca="1"/>
      </c>
      <c r="BG301" s="14">
        <f ca="1"/>
      </c>
      <c r="BH301" s="14">
        <f ca="1"/>
      </c>
      <c r="BI301" s="14">
        <f ca="1"/>
      </c>
      <c r="BJ301" s="14">
        <f ca="1"/>
      </c>
      <c r="BK301" s="14">
        <f ca="1"/>
      </c>
    </row>
    <row r="302" spans="28:63" x14ac:dyDescent="0.55000000000000004">
      <c r="AB302">
        <f ca="1"/>
      </c>
      <c r="AC302">
        <f ca="1"/>
      </c>
      <c r="AD302">
        <f ca="1"/>
      </c>
      <c r="AE302">
        <f ca="1"/>
      </c>
      <c r="AF302">
        <f ca="1"/>
      </c>
      <c r="AG302">
        <f ca="1"/>
      </c>
      <c r="AH302">
        <f ca="1"/>
      </c>
      <c r="AL302" s="7">
        <f ca="1"/>
      </c>
      <c r="AM302" s="14">
        <f ca="1"/>
      </c>
      <c r="AN302" s="14">
        <f ca="1"/>
      </c>
      <c r="AO302" s="14">
        <f ca="1"/>
      </c>
      <c r="AP302" s="14">
        <f ca="1"/>
      </c>
      <c r="AQ302" s="14">
        <f ca="1"/>
      </c>
      <c r="AR302" s="14">
        <f ca="1"/>
      </c>
      <c r="AV302" s="14">
        <f ca="1"/>
      </c>
      <c r="AW302" s="14">
        <f ca="1"/>
      </c>
      <c r="AX302" s="14">
        <f ca="1"/>
      </c>
      <c r="AY302" s="14">
        <f ca="1"/>
      </c>
      <c r="AZ302" s="14">
        <f ca="1"/>
      </c>
      <c r="BF302" s="7">
        <f ca="1"/>
      </c>
      <c r="BG302" s="14">
        <f ca="1"/>
      </c>
      <c r="BH302" s="14">
        <f ca="1"/>
      </c>
      <c r="BI302" s="14">
        <f ca="1"/>
      </c>
      <c r="BJ302" s="14">
        <f ca="1"/>
      </c>
      <c r="BK302" s="14">
        <f ca="1"/>
      </c>
    </row>
    <row r="303" spans="28:63" x14ac:dyDescent="0.55000000000000004">
      <c r="AB303">
        <f ca="1"/>
      </c>
      <c r="AC303">
        <f ca="1"/>
      </c>
      <c r="AD303">
        <f ca="1"/>
      </c>
      <c r="AE303">
        <f ca="1"/>
      </c>
      <c r="AF303">
        <f ca="1"/>
      </c>
      <c r="AG303">
        <f ca="1"/>
      </c>
      <c r="AH303">
        <f ca="1"/>
      </c>
      <c r="AL303" s="7">
        <f ca="1"/>
      </c>
      <c r="AM303" s="14">
        <f ca="1"/>
      </c>
      <c r="AN303" s="14">
        <f ca="1"/>
      </c>
      <c r="AO303" s="14">
        <f ca="1"/>
      </c>
      <c r="AP303" s="14">
        <f ca="1"/>
      </c>
      <c r="AQ303" s="14">
        <f ca="1"/>
      </c>
      <c r="AR303" s="14">
        <f ca="1"/>
      </c>
      <c r="AV303" s="14">
        <f ca="1"/>
      </c>
      <c r="AW303" s="14">
        <f ca="1"/>
      </c>
      <c r="AX303" s="14">
        <f ca="1"/>
      </c>
      <c r="AY303" s="14">
        <f ca="1"/>
      </c>
      <c r="AZ303" s="14">
        <f ca="1"/>
      </c>
      <c r="BF303" s="7">
        <f ca="1"/>
      </c>
      <c r="BG303" s="14">
        <f ca="1"/>
      </c>
      <c r="BH303" s="14">
        <f ca="1"/>
      </c>
      <c r="BI303" s="14">
        <f ca="1"/>
      </c>
      <c r="BJ303" s="14">
        <f ca="1"/>
      </c>
      <c r="BK303" s="14">
        <f ca="1"/>
      </c>
    </row>
    <row r="304" spans="28:63" x14ac:dyDescent="0.55000000000000004">
      <c r="AB304">
        <f ca="1"/>
      </c>
      <c r="AC304">
        <f ca="1"/>
      </c>
      <c r="AD304">
        <f ca="1"/>
      </c>
      <c r="AE304">
        <f ca="1"/>
      </c>
      <c r="AF304">
        <f ca="1"/>
      </c>
      <c r="AG304">
        <f ca="1"/>
      </c>
      <c r="AH304">
        <f ca="1"/>
      </c>
      <c r="AL304" s="7">
        <f ca="1"/>
      </c>
      <c r="AM304" s="14">
        <f ca="1"/>
      </c>
      <c r="AN304" s="14">
        <f ca="1"/>
      </c>
      <c r="AO304" s="14">
        <f ca="1"/>
      </c>
      <c r="AP304" s="14">
        <f ca="1"/>
      </c>
      <c r="AQ304" s="14">
        <f ca="1"/>
      </c>
      <c r="AR304" s="14">
        <f ca="1"/>
      </c>
      <c r="AV304" s="14">
        <f ca="1"/>
      </c>
      <c r="AW304" s="14">
        <f ca="1"/>
      </c>
      <c r="AX304" s="14">
        <f ca="1"/>
      </c>
      <c r="AY304" s="14">
        <f ca="1"/>
      </c>
      <c r="AZ304" s="14">
        <f ca="1"/>
      </c>
      <c r="BF304" s="7">
        <f ca="1"/>
      </c>
      <c r="BG304" s="14">
        <f ca="1"/>
      </c>
      <c r="BH304" s="14">
        <f ca="1"/>
      </c>
      <c r="BI304" s="14">
        <f ca="1"/>
      </c>
      <c r="BJ304" s="14">
        <f ca="1"/>
      </c>
      <c r="BK304" s="14">
        <f ca="1"/>
      </c>
    </row>
    <row r="305" spans="28:63" x14ac:dyDescent="0.55000000000000004">
      <c r="AB305">
        <f ca="1"/>
      </c>
      <c r="AC305">
        <f ca="1"/>
      </c>
      <c r="AD305">
        <f ca="1"/>
      </c>
      <c r="AE305">
        <f ca="1"/>
      </c>
      <c r="AF305">
        <f ca="1"/>
      </c>
      <c r="AG305">
        <f ca="1"/>
      </c>
      <c r="AH305">
        <f ca="1"/>
      </c>
      <c r="AL305" s="7">
        <f ca="1"/>
      </c>
      <c r="AM305" s="14">
        <f ca="1"/>
      </c>
      <c r="AN305" s="14">
        <f ca="1"/>
      </c>
      <c r="AO305" s="14">
        <f ca="1"/>
      </c>
      <c r="AP305" s="14">
        <f ca="1"/>
      </c>
      <c r="AQ305" s="14">
        <f ca="1"/>
      </c>
      <c r="AR305" s="14">
        <f ca="1"/>
      </c>
      <c r="AV305" s="14">
        <f ca="1"/>
      </c>
      <c r="AW305" s="14">
        <f ca="1"/>
      </c>
      <c r="AX305" s="14">
        <f ca="1"/>
      </c>
      <c r="AY305" s="14">
        <f ca="1"/>
      </c>
      <c r="AZ305" s="14">
        <f ca="1"/>
      </c>
      <c r="BF305" s="7">
        <f ca="1"/>
      </c>
      <c r="BG305" s="14">
        <f ca="1"/>
      </c>
      <c r="BH305" s="14">
        <f ca="1"/>
      </c>
      <c r="BI305" s="14">
        <f ca="1"/>
      </c>
      <c r="BJ305" s="14">
        <f ca="1"/>
      </c>
      <c r="BK305" s="14">
        <f ca="1"/>
      </c>
    </row>
    <row r="306" spans="28:63" x14ac:dyDescent="0.55000000000000004">
      <c r="AB306">
        <f ca="1"/>
      </c>
      <c r="AC306">
        <f ca="1"/>
      </c>
      <c r="AD306">
        <f ca="1"/>
      </c>
      <c r="AE306">
        <f ca="1"/>
      </c>
      <c r="AF306">
        <f ca="1"/>
      </c>
      <c r="AG306">
        <f ca="1"/>
      </c>
      <c r="AH306">
        <f ca="1"/>
      </c>
      <c r="AL306" s="7">
        <f ca="1"/>
      </c>
      <c r="AM306" s="14">
        <f ca="1"/>
      </c>
      <c r="AN306" s="14">
        <f ca="1"/>
      </c>
      <c r="AO306" s="14">
        <f ca="1"/>
      </c>
      <c r="AP306" s="14">
        <f ca="1"/>
      </c>
      <c r="AQ306" s="14">
        <f ca="1"/>
      </c>
      <c r="AR306" s="14">
        <f ca="1"/>
      </c>
      <c r="AV306" s="14">
        <f ca="1"/>
      </c>
      <c r="AW306" s="14">
        <f ca="1"/>
      </c>
      <c r="AX306" s="14">
        <f ca="1"/>
      </c>
      <c r="AY306" s="14">
        <f ca="1"/>
      </c>
      <c r="AZ306" s="14">
        <f ca="1"/>
      </c>
      <c r="BF306" s="7">
        <f ca="1"/>
      </c>
      <c r="BG306" s="14">
        <f ca="1"/>
      </c>
      <c r="BH306" s="14">
        <f ca="1"/>
      </c>
      <c r="BI306" s="14">
        <f ca="1"/>
      </c>
      <c r="BJ306" s="14">
        <f ca="1"/>
      </c>
      <c r="BK306" s="14">
        <f ca="1"/>
      </c>
    </row>
    <row r="307" spans="28:63" x14ac:dyDescent="0.55000000000000004">
      <c r="AB307">
        <f ca="1"/>
      </c>
      <c r="AC307">
        <f ca="1"/>
      </c>
      <c r="AD307">
        <f ca="1"/>
      </c>
      <c r="AE307">
        <f ca="1"/>
      </c>
      <c r="AF307">
        <f ca="1"/>
      </c>
      <c r="AG307">
        <f ca="1"/>
      </c>
      <c r="AH307">
        <f ca="1"/>
      </c>
      <c r="AL307" s="7">
        <f ca="1"/>
      </c>
      <c r="AM307" s="14">
        <f ca="1"/>
      </c>
      <c r="AN307" s="14">
        <f ca="1"/>
      </c>
      <c r="AO307" s="14">
        <f ca="1"/>
      </c>
      <c r="AP307" s="14">
        <f ca="1"/>
      </c>
      <c r="AQ307" s="14">
        <f ca="1"/>
      </c>
      <c r="AR307" s="14">
        <f ca="1"/>
      </c>
      <c r="AV307" s="14">
        <f ca="1"/>
      </c>
      <c r="AW307" s="14">
        <f ca="1"/>
      </c>
      <c r="AX307" s="14">
        <f ca="1"/>
      </c>
      <c r="AY307" s="14">
        <f ca="1"/>
      </c>
      <c r="AZ307" s="14">
        <f ca="1"/>
      </c>
      <c r="BF307" s="7">
        <f ca="1"/>
      </c>
      <c r="BG307" s="14">
        <f ca="1"/>
      </c>
      <c r="BH307" s="14">
        <f ca="1"/>
      </c>
      <c r="BI307" s="14">
        <f ca="1"/>
      </c>
      <c r="BJ307" s="14">
        <f ca="1"/>
      </c>
      <c r="BK307" s="14">
        <f ca="1"/>
      </c>
    </row>
    <row r="308" spans="28:63" x14ac:dyDescent="0.55000000000000004">
      <c r="AB308">
        <f ca="1"/>
      </c>
      <c r="AC308">
        <f ca="1"/>
      </c>
      <c r="AD308">
        <f ca="1"/>
      </c>
      <c r="AE308">
        <f ca="1"/>
      </c>
      <c r="AF308">
        <f ca="1"/>
      </c>
      <c r="AG308">
        <f ca="1"/>
      </c>
      <c r="AH308">
        <f ca="1"/>
      </c>
      <c r="AL308" s="7">
        <f ca="1"/>
      </c>
      <c r="AM308" s="14">
        <f ca="1"/>
      </c>
      <c r="AN308" s="14">
        <f ca="1"/>
      </c>
      <c r="AO308" s="14">
        <f ca="1"/>
      </c>
      <c r="AP308" s="14">
        <f ca="1"/>
      </c>
      <c r="AQ308" s="14">
        <f ca="1"/>
      </c>
      <c r="AR308" s="14">
        <f ca="1"/>
      </c>
      <c r="AV308" s="14">
        <f ca="1"/>
      </c>
      <c r="AW308" s="14">
        <f ca="1"/>
      </c>
      <c r="AX308" s="14">
        <f ca="1"/>
      </c>
      <c r="AY308" s="14">
        <f ca="1"/>
      </c>
      <c r="AZ308" s="14">
        <f ca="1"/>
      </c>
      <c r="BF308" s="7">
        <f ca="1"/>
      </c>
      <c r="BG308" s="14">
        <f ca="1"/>
      </c>
      <c r="BH308" s="14">
        <f ca="1"/>
      </c>
      <c r="BI308" s="14">
        <f ca="1"/>
      </c>
      <c r="BJ308" s="14">
        <f ca="1"/>
      </c>
      <c r="BK308" s="14">
        <f ca="1"/>
      </c>
    </row>
    <row r="309" spans="28:63" x14ac:dyDescent="0.55000000000000004">
      <c r="AB309">
        <f ca="1"/>
      </c>
      <c r="AC309">
        <f ca="1"/>
      </c>
      <c r="AD309">
        <f ca="1"/>
      </c>
      <c r="AE309">
        <f ca="1"/>
      </c>
      <c r="AF309">
        <f ca="1"/>
      </c>
      <c r="AG309">
        <f ca="1"/>
      </c>
      <c r="AH309">
        <f ca="1"/>
      </c>
      <c r="AL309" s="7">
        <f ca="1"/>
      </c>
      <c r="AM309" s="14">
        <f ca="1"/>
      </c>
      <c r="AN309" s="14">
        <f ca="1"/>
      </c>
      <c r="AO309" s="14">
        <f ca="1"/>
      </c>
      <c r="AP309" s="14">
        <f ca="1"/>
      </c>
      <c r="AQ309" s="14">
        <f ca="1"/>
      </c>
      <c r="AR309" s="14">
        <f ca="1"/>
      </c>
      <c r="AV309" s="14">
        <f ca="1"/>
      </c>
      <c r="AW309" s="14">
        <f ca="1"/>
      </c>
      <c r="AX309" s="14">
        <f ca="1"/>
      </c>
      <c r="AY309" s="14">
        <f ca="1"/>
      </c>
      <c r="AZ309" s="14">
        <f ca="1"/>
      </c>
      <c r="BF309" s="7">
        <f ca="1"/>
      </c>
      <c r="BG309" s="14">
        <f ca="1"/>
      </c>
      <c r="BH309" s="14">
        <f ca="1"/>
      </c>
      <c r="BI309" s="14">
        <f ca="1"/>
      </c>
      <c r="BJ309" s="14">
        <f ca="1"/>
      </c>
      <c r="BK309" s="14">
        <f ca="1"/>
      </c>
    </row>
    <row r="310" spans="28:63" x14ac:dyDescent="0.55000000000000004">
      <c r="AB310">
        <f ca="1"/>
      </c>
      <c r="AC310">
        <f ca="1"/>
      </c>
      <c r="AD310">
        <f ca="1"/>
      </c>
      <c r="AE310">
        <f ca="1"/>
      </c>
      <c r="AF310">
        <f ca="1"/>
      </c>
      <c r="AG310">
        <f ca="1"/>
      </c>
      <c r="AH310">
        <f ca="1"/>
      </c>
      <c r="AL310" s="7">
        <f ca="1"/>
      </c>
      <c r="AM310" s="14">
        <f ca="1"/>
      </c>
      <c r="AN310" s="14">
        <f ca="1"/>
      </c>
      <c r="AO310" s="14">
        <f ca="1"/>
      </c>
      <c r="AP310" s="14">
        <f ca="1"/>
      </c>
      <c r="AQ310" s="14">
        <f ca="1"/>
      </c>
      <c r="AR310" s="14">
        <f ca="1"/>
      </c>
      <c r="AV310" s="14">
        <f ca="1"/>
      </c>
      <c r="AW310" s="14">
        <f ca="1"/>
      </c>
      <c r="AX310" s="14">
        <f ca="1"/>
      </c>
      <c r="AY310" s="14">
        <f ca="1"/>
      </c>
      <c r="AZ310" s="14">
        <f ca="1"/>
      </c>
      <c r="BF310" s="7">
        <f ca="1"/>
      </c>
      <c r="BG310" s="14">
        <f ca="1"/>
      </c>
      <c r="BH310" s="14">
        <f ca="1"/>
      </c>
      <c r="BI310" s="14">
        <f ca="1"/>
      </c>
      <c r="BJ310" s="14">
        <f ca="1"/>
      </c>
      <c r="BK310" s="14">
        <f ca="1"/>
      </c>
    </row>
    <row r="311" spans="28:63" x14ac:dyDescent="0.55000000000000004">
      <c r="AB311">
        <f ca="1"/>
      </c>
      <c r="AC311">
        <f ca="1"/>
      </c>
      <c r="AD311">
        <f ca="1"/>
      </c>
      <c r="AE311">
        <f ca="1"/>
      </c>
      <c r="AF311">
        <f ca="1"/>
      </c>
      <c r="AG311">
        <f ca="1"/>
      </c>
      <c r="AH311">
        <f ca="1"/>
      </c>
      <c r="AL311" s="7">
        <f ca="1"/>
      </c>
      <c r="AM311" s="14">
        <f ca="1"/>
      </c>
      <c r="AN311" s="14">
        <f ca="1"/>
      </c>
      <c r="AO311" s="14">
        <f ca="1"/>
      </c>
      <c r="AP311" s="14">
        <f ca="1"/>
      </c>
      <c r="AQ311" s="14">
        <f ca="1"/>
      </c>
      <c r="AR311" s="14">
        <f ca="1"/>
      </c>
      <c r="AV311" s="14">
        <f ca="1"/>
      </c>
      <c r="AW311" s="14">
        <f ca="1"/>
      </c>
      <c r="AX311" s="14">
        <f ca="1"/>
      </c>
      <c r="AY311" s="14">
        <f ca="1"/>
      </c>
      <c r="AZ311" s="14">
        <f ca="1"/>
      </c>
      <c r="BF311" s="7">
        <f ca="1"/>
      </c>
      <c r="BG311" s="14">
        <f ca="1"/>
      </c>
      <c r="BH311" s="14">
        <f ca="1"/>
      </c>
      <c r="BI311" s="14">
        <f ca="1"/>
      </c>
      <c r="BJ311" s="14">
        <f ca="1"/>
      </c>
      <c r="BK311" s="14">
        <f ca="1"/>
      </c>
    </row>
    <row r="312" spans="28:63" x14ac:dyDescent="0.55000000000000004">
      <c r="AB312">
        <f ca="1"/>
      </c>
      <c r="AC312">
        <f ca="1"/>
      </c>
      <c r="AD312">
        <f ca="1"/>
      </c>
      <c r="AE312">
        <f ca="1"/>
      </c>
      <c r="AF312">
        <f ca="1"/>
      </c>
      <c r="AG312">
        <f ca="1"/>
      </c>
      <c r="AH312">
        <f ca="1"/>
      </c>
      <c r="AL312" s="7">
        <f ca="1"/>
      </c>
      <c r="AM312" s="14">
        <f ca="1"/>
      </c>
      <c r="AN312" s="14">
        <f ca="1"/>
      </c>
      <c r="AO312" s="14">
        <f ca="1"/>
      </c>
      <c r="AP312" s="14">
        <f ca="1"/>
      </c>
      <c r="AQ312" s="14">
        <f ca="1"/>
      </c>
      <c r="AR312" s="14">
        <f ca="1"/>
      </c>
      <c r="AV312" s="14">
        <f ca="1"/>
      </c>
      <c r="AW312" s="14">
        <f ca="1"/>
      </c>
      <c r="AX312" s="14">
        <f ca="1"/>
      </c>
      <c r="AY312" s="14">
        <f ca="1"/>
      </c>
      <c r="AZ312" s="14">
        <f ca="1"/>
      </c>
      <c r="BF312" s="7">
        <f ca="1"/>
      </c>
      <c r="BG312" s="14">
        <f ca="1"/>
      </c>
      <c r="BH312" s="14">
        <f ca="1"/>
      </c>
      <c r="BI312" s="14">
        <f ca="1"/>
      </c>
      <c r="BJ312" s="14">
        <f ca="1"/>
      </c>
      <c r="BK312" s="14">
        <f ca="1"/>
      </c>
    </row>
    <row r="313" spans="28:63" x14ac:dyDescent="0.55000000000000004">
      <c r="AB313">
        <f ca="1"/>
      </c>
      <c r="AC313">
        <f ca="1"/>
      </c>
      <c r="AD313">
        <f ca="1"/>
      </c>
      <c r="AE313">
        <f ca="1"/>
      </c>
      <c r="AF313">
        <f ca="1"/>
      </c>
      <c r="AG313">
        <f ca="1"/>
      </c>
      <c r="AH313">
        <f ca="1"/>
      </c>
      <c r="AL313" s="7">
        <f ca="1"/>
      </c>
      <c r="AM313" s="14">
        <f ca="1"/>
      </c>
      <c r="AN313" s="14">
        <f ca="1"/>
      </c>
      <c r="AO313" s="14">
        <f ca="1"/>
      </c>
      <c r="AP313" s="14">
        <f ca="1"/>
      </c>
      <c r="AQ313" s="14">
        <f ca="1"/>
      </c>
      <c r="AR313" s="14">
        <f ca="1"/>
      </c>
      <c r="AV313" s="14">
        <f ca="1"/>
      </c>
      <c r="AW313" s="14">
        <f ca="1"/>
      </c>
      <c r="AX313" s="14">
        <f ca="1"/>
      </c>
      <c r="AY313" s="14">
        <f ca="1"/>
      </c>
      <c r="AZ313" s="14">
        <f ca="1"/>
      </c>
      <c r="BF313" s="7">
        <f ca="1"/>
      </c>
      <c r="BG313" s="14">
        <f ca="1"/>
      </c>
      <c r="BH313" s="14">
        <f ca="1"/>
      </c>
      <c r="BI313" s="14">
        <f ca="1"/>
      </c>
      <c r="BJ313" s="14">
        <f ca="1"/>
      </c>
      <c r="BK313" s="14">
        <f ca="1"/>
      </c>
    </row>
    <row r="314" spans="28:63" x14ac:dyDescent="0.55000000000000004">
      <c r="AB314">
        <f ca="1"/>
      </c>
      <c r="AC314">
        <f ca="1"/>
      </c>
      <c r="AD314">
        <f ca="1"/>
      </c>
      <c r="AE314">
        <f ca="1"/>
      </c>
      <c r="AF314">
        <f ca="1"/>
      </c>
      <c r="AG314">
        <f ca="1"/>
      </c>
      <c r="AH314">
        <f ca="1"/>
      </c>
      <c r="AL314" s="7">
        <f ca="1"/>
      </c>
      <c r="AM314" s="14">
        <f ca="1"/>
      </c>
      <c r="AN314" s="14">
        <f ca="1"/>
      </c>
      <c r="AO314" s="14">
        <f ca="1"/>
      </c>
      <c r="AP314" s="14">
        <f ca="1"/>
      </c>
      <c r="AQ314" s="14">
        <f ca="1"/>
      </c>
      <c r="AR314" s="14">
        <f ca="1"/>
      </c>
      <c r="AV314" s="14">
        <f ca="1"/>
      </c>
      <c r="AW314" s="14">
        <f ca="1"/>
      </c>
      <c r="AX314" s="14">
        <f ca="1"/>
      </c>
      <c r="AY314" s="14">
        <f ca="1"/>
      </c>
      <c r="AZ314" s="14">
        <f ca="1"/>
      </c>
      <c r="BF314" s="7">
        <f ca="1"/>
      </c>
      <c r="BG314" s="14">
        <f ca="1"/>
      </c>
      <c r="BH314" s="14">
        <f ca="1"/>
      </c>
      <c r="BI314" s="14">
        <f ca="1"/>
      </c>
      <c r="BJ314" s="14">
        <f ca="1"/>
      </c>
      <c r="BK314" s="14">
        <f ca="1"/>
      </c>
    </row>
    <row r="315" spans="28:63" x14ac:dyDescent="0.55000000000000004">
      <c r="AB315">
        <f ca="1"/>
      </c>
      <c r="AC315">
        <f ca="1"/>
      </c>
      <c r="AD315">
        <f ca="1"/>
      </c>
      <c r="AE315">
        <f ca="1"/>
      </c>
      <c r="AF315">
        <f ca="1"/>
      </c>
      <c r="AG315">
        <f ca="1"/>
      </c>
      <c r="AH315">
        <f ca="1"/>
      </c>
      <c r="AL315" s="7">
        <f ca="1"/>
      </c>
      <c r="AM315" s="14">
        <f ca="1"/>
      </c>
      <c r="AN315" s="14">
        <f ca="1"/>
      </c>
      <c r="AO315" s="14">
        <f ca="1"/>
      </c>
      <c r="AP315" s="14">
        <f ca="1"/>
      </c>
      <c r="AQ315" s="14">
        <f ca="1"/>
      </c>
      <c r="AR315" s="14">
        <f ca="1"/>
      </c>
      <c r="AV315" s="14">
        <f ca="1"/>
      </c>
      <c r="AW315" s="14">
        <f ca="1"/>
      </c>
      <c r="AX315" s="14">
        <f ca="1"/>
      </c>
      <c r="AY315" s="14">
        <f ca="1"/>
      </c>
      <c r="AZ315" s="14">
        <f ca="1"/>
      </c>
      <c r="BF315" s="7">
        <f ca="1"/>
      </c>
      <c r="BG315" s="14">
        <f ca="1"/>
      </c>
      <c r="BH315" s="14">
        <f ca="1"/>
      </c>
      <c r="BI315" s="14">
        <f ca="1"/>
      </c>
      <c r="BJ315" s="14">
        <f ca="1"/>
      </c>
      <c r="BK315" s="14">
        <f ca="1"/>
      </c>
    </row>
    <row r="316" spans="28:63" x14ac:dyDescent="0.55000000000000004">
      <c r="AB316">
        <f ca="1"/>
      </c>
      <c r="AC316">
        <f ca="1"/>
      </c>
      <c r="AD316">
        <f ca="1"/>
      </c>
      <c r="AE316">
        <f ca="1"/>
      </c>
      <c r="AF316">
        <f ca="1"/>
      </c>
      <c r="AG316">
        <f ca="1"/>
      </c>
      <c r="AH316">
        <f ca="1"/>
      </c>
      <c r="AL316" s="7">
        <f ca="1"/>
      </c>
      <c r="AM316" s="14">
        <f ca="1"/>
      </c>
      <c r="AN316" s="14">
        <f ca="1"/>
      </c>
      <c r="AO316" s="14">
        <f ca="1"/>
      </c>
      <c r="AP316" s="14">
        <f ca="1"/>
      </c>
      <c r="AQ316" s="14">
        <f ca="1"/>
      </c>
      <c r="AR316" s="14">
        <f ca="1"/>
      </c>
      <c r="AV316" s="14">
        <f ca="1"/>
      </c>
      <c r="AW316" s="14">
        <f ca="1"/>
      </c>
      <c r="AX316" s="14">
        <f ca="1"/>
      </c>
      <c r="AY316" s="14">
        <f ca="1"/>
      </c>
      <c r="AZ316" s="14">
        <f ca="1"/>
      </c>
      <c r="BF316" s="7">
        <f ca="1"/>
      </c>
      <c r="BG316" s="14">
        <f ca="1"/>
      </c>
      <c r="BH316" s="14">
        <f ca="1"/>
      </c>
      <c r="BI316" s="14">
        <f ca="1"/>
      </c>
      <c r="BJ316" s="14">
        <f ca="1"/>
      </c>
      <c r="BK316" s="14">
        <f ca="1"/>
      </c>
    </row>
    <row r="317" spans="28:63" x14ac:dyDescent="0.55000000000000004">
      <c r="AB317">
        <f ca="1"/>
      </c>
      <c r="AC317">
        <f ca="1"/>
      </c>
      <c r="AD317">
        <f ca="1"/>
      </c>
      <c r="AE317">
        <f ca="1"/>
      </c>
      <c r="AF317">
        <f ca="1"/>
      </c>
      <c r="AG317">
        <f ca="1"/>
      </c>
      <c r="AH317">
        <f ca="1"/>
      </c>
      <c r="AL317" s="7">
        <f ca="1"/>
      </c>
      <c r="AM317" s="14">
        <f ca="1"/>
      </c>
      <c r="AN317" s="14">
        <f ca="1"/>
      </c>
      <c r="AO317" s="14">
        <f ca="1"/>
      </c>
      <c r="AP317" s="14">
        <f ca="1"/>
      </c>
      <c r="AQ317" s="14">
        <f ca="1"/>
      </c>
      <c r="AR317" s="14">
        <f ca="1"/>
      </c>
      <c r="AV317" s="14">
        <f ca="1"/>
      </c>
      <c r="AW317" s="14">
        <f ca="1"/>
      </c>
      <c r="AX317" s="14">
        <f ca="1"/>
      </c>
      <c r="AY317" s="14">
        <f ca="1"/>
      </c>
      <c r="AZ317" s="14">
        <f ca="1"/>
      </c>
      <c r="BF317" s="7">
        <f ca="1"/>
      </c>
      <c r="BG317" s="14">
        <f ca="1"/>
      </c>
      <c r="BH317" s="14">
        <f ca="1"/>
      </c>
      <c r="BI317" s="14">
        <f ca="1"/>
      </c>
      <c r="BJ317" s="14">
        <f ca="1"/>
      </c>
      <c r="BK317" s="14">
        <f ca="1"/>
      </c>
    </row>
    <row r="318" spans="28:63" x14ac:dyDescent="0.55000000000000004">
      <c r="AB318">
        <f ca="1"/>
      </c>
      <c r="AC318">
        <f ca="1"/>
      </c>
      <c r="AD318">
        <f ca="1"/>
      </c>
      <c r="AE318">
        <f ca="1"/>
      </c>
      <c r="AF318">
        <f ca="1"/>
      </c>
      <c r="AG318">
        <f ca="1"/>
      </c>
      <c r="AH318">
        <f ca="1"/>
      </c>
      <c r="AL318" s="7">
        <f ca="1"/>
      </c>
      <c r="AM318" s="14">
        <f ca="1"/>
      </c>
      <c r="AN318" s="14">
        <f ca="1"/>
      </c>
      <c r="AO318" s="14">
        <f ca="1"/>
      </c>
      <c r="AP318" s="14">
        <f ca="1"/>
      </c>
      <c r="AQ318" s="14">
        <f ca="1"/>
      </c>
      <c r="AR318" s="14">
        <f ca="1"/>
      </c>
      <c r="AV318" s="14">
        <f ca="1"/>
      </c>
      <c r="AW318" s="14">
        <f ca="1"/>
      </c>
      <c r="AX318" s="14">
        <f ca="1"/>
      </c>
      <c r="AY318" s="14">
        <f ca="1"/>
      </c>
      <c r="AZ318" s="14">
        <f ca="1"/>
      </c>
      <c r="BF318" s="7">
        <f ca="1"/>
      </c>
      <c r="BG318" s="14">
        <f ca="1"/>
      </c>
      <c r="BH318" s="14">
        <f ca="1"/>
      </c>
      <c r="BI318" s="14">
        <f ca="1"/>
      </c>
      <c r="BJ318" s="14">
        <f ca="1"/>
      </c>
      <c r="BK318" s="14">
        <f ca="1"/>
      </c>
    </row>
    <row r="319" spans="28:63" x14ac:dyDescent="0.55000000000000004">
      <c r="AB319">
        <f ca="1"/>
      </c>
      <c r="AC319">
        <f ca="1"/>
      </c>
      <c r="AD319">
        <f ca="1"/>
      </c>
      <c r="AE319">
        <f ca="1"/>
      </c>
      <c r="AF319">
        <f ca="1"/>
      </c>
      <c r="AG319">
        <f ca="1"/>
      </c>
      <c r="AH319">
        <f ca="1"/>
      </c>
      <c r="AL319" s="7">
        <f ca="1"/>
      </c>
      <c r="AM319" s="14">
        <f ca="1"/>
      </c>
      <c r="AN319" s="14">
        <f ca="1"/>
      </c>
      <c r="AO319" s="14">
        <f ca="1"/>
      </c>
      <c r="AP319" s="14">
        <f ca="1"/>
      </c>
      <c r="AQ319" s="14">
        <f ca="1"/>
      </c>
      <c r="AR319" s="14">
        <f ca="1"/>
      </c>
      <c r="AV319" s="14">
        <f ca="1"/>
      </c>
      <c r="AW319" s="14">
        <f ca="1"/>
      </c>
      <c r="AX319" s="14">
        <f ca="1"/>
      </c>
      <c r="AY319" s="14">
        <f ca="1"/>
      </c>
      <c r="AZ319" s="14">
        <f ca="1"/>
      </c>
      <c r="BF319" s="7">
        <f ca="1"/>
      </c>
      <c r="BG319" s="14">
        <f ca="1"/>
      </c>
      <c r="BH319" s="14">
        <f ca="1"/>
      </c>
      <c r="BI319" s="14">
        <f ca="1"/>
      </c>
      <c r="BJ319" s="14">
        <f ca="1"/>
      </c>
      <c r="BK319" s="14">
        <f ca="1"/>
      </c>
    </row>
    <row r="320" spans="28:63" x14ac:dyDescent="0.55000000000000004">
      <c r="AB320">
        <f ca="1"/>
      </c>
      <c r="AC320">
        <f ca="1"/>
      </c>
      <c r="AD320">
        <f ca="1"/>
      </c>
      <c r="AE320">
        <f ca="1"/>
      </c>
      <c r="AF320">
        <f ca="1"/>
      </c>
      <c r="AG320">
        <f ca="1"/>
      </c>
      <c r="AH320">
        <f ca="1"/>
      </c>
      <c r="AL320" s="7">
        <f ca="1"/>
      </c>
      <c r="AM320" s="14">
        <f ca="1"/>
      </c>
      <c r="AN320" s="14">
        <f ca="1"/>
      </c>
      <c r="AO320" s="14">
        <f ca="1"/>
      </c>
      <c r="AP320" s="14">
        <f ca="1"/>
      </c>
      <c r="AQ320" s="14">
        <f ca="1"/>
      </c>
      <c r="AR320" s="14">
        <f ca="1"/>
      </c>
      <c r="AV320" s="14">
        <f ca="1"/>
      </c>
      <c r="AW320" s="14">
        <f ca="1"/>
      </c>
      <c r="AX320" s="14">
        <f ca="1"/>
      </c>
      <c r="AY320" s="14">
        <f ca="1"/>
      </c>
      <c r="AZ320" s="14">
        <f ca="1"/>
      </c>
      <c r="BF320" s="7">
        <f ca="1"/>
      </c>
      <c r="BG320" s="14">
        <f ca="1"/>
      </c>
      <c r="BH320" s="14">
        <f ca="1"/>
      </c>
      <c r="BI320" s="14">
        <f ca="1"/>
      </c>
      <c r="BJ320" s="14">
        <f ca="1"/>
      </c>
      <c r="BK320" s="14">
        <f ca="1"/>
      </c>
    </row>
    <row r="321" spans="28:63" x14ac:dyDescent="0.55000000000000004">
      <c r="AB321">
        <f ca="1"/>
      </c>
      <c r="AC321">
        <f ca="1"/>
      </c>
      <c r="AD321">
        <f ca="1"/>
      </c>
      <c r="AE321">
        <f ca="1"/>
      </c>
      <c r="AF321">
        <f ca="1"/>
      </c>
      <c r="AG321">
        <f ca="1"/>
      </c>
      <c r="AH321">
        <f ca="1"/>
      </c>
      <c r="AL321" s="7">
        <f ca="1"/>
      </c>
      <c r="AM321" s="14">
        <f ca="1"/>
      </c>
      <c r="AN321" s="14">
        <f ca="1"/>
      </c>
      <c r="AO321" s="14">
        <f ca="1"/>
      </c>
      <c r="AP321" s="14">
        <f ca="1"/>
      </c>
      <c r="AQ321" s="14">
        <f ca="1"/>
      </c>
      <c r="AR321" s="14">
        <f ca="1"/>
      </c>
      <c r="AV321" s="14">
        <f ca="1"/>
      </c>
      <c r="AW321" s="14">
        <f ca="1"/>
      </c>
      <c r="AX321" s="14">
        <f ca="1"/>
      </c>
      <c r="AY321" s="14">
        <f ca="1"/>
      </c>
      <c r="AZ321" s="14">
        <f ca="1"/>
      </c>
      <c r="BF321" s="7">
        <f ca="1"/>
      </c>
      <c r="BG321" s="14">
        <f ca="1"/>
      </c>
      <c r="BH321" s="14">
        <f ca="1"/>
      </c>
      <c r="BI321" s="14">
        <f ca="1"/>
      </c>
      <c r="BJ321" s="14">
        <f ca="1"/>
      </c>
      <c r="BK321" s="14">
        <f ca="1"/>
      </c>
    </row>
    <row r="322" spans="28:63" x14ac:dyDescent="0.55000000000000004">
      <c r="AB322">
        <f ca="1"/>
      </c>
      <c r="AC322">
        <f ca="1"/>
      </c>
      <c r="AD322">
        <f ca="1"/>
      </c>
      <c r="AE322">
        <f ca="1"/>
      </c>
      <c r="AF322">
        <f ca="1"/>
      </c>
      <c r="AG322">
        <f ca="1"/>
      </c>
      <c r="AH322">
        <f ca="1"/>
      </c>
      <c r="AL322" s="7">
        <f ca="1"/>
      </c>
      <c r="AM322" s="14">
        <f ca="1"/>
      </c>
      <c r="AN322" s="14">
        <f ca="1"/>
      </c>
      <c r="AO322" s="14">
        <f ca="1"/>
      </c>
      <c r="AP322" s="14">
        <f ca="1"/>
      </c>
      <c r="AQ322" s="14">
        <f ca="1"/>
      </c>
      <c r="AR322" s="14">
        <f ca="1"/>
      </c>
      <c r="AV322" s="14">
        <f ca="1"/>
      </c>
      <c r="AW322" s="14">
        <f ca="1"/>
      </c>
      <c r="AX322" s="14">
        <f ca="1"/>
      </c>
      <c r="AY322" s="14">
        <f ca="1"/>
      </c>
      <c r="AZ322" s="14">
        <f ca="1"/>
      </c>
      <c r="BF322" s="7">
        <f ca="1"/>
      </c>
      <c r="BG322" s="14">
        <f ca="1"/>
      </c>
      <c r="BH322" s="14">
        <f ca="1"/>
      </c>
      <c r="BI322" s="14">
        <f ca="1"/>
      </c>
      <c r="BJ322" s="14">
        <f ca="1"/>
      </c>
      <c r="BK322" s="14">
        <f ca="1"/>
      </c>
    </row>
    <row r="323" spans="28:63" x14ac:dyDescent="0.55000000000000004">
      <c r="AB323">
        <f ca="1"/>
      </c>
      <c r="AC323">
        <f ca="1"/>
      </c>
      <c r="AD323">
        <f ca="1"/>
      </c>
      <c r="AE323">
        <f ca="1"/>
      </c>
      <c r="AF323">
        <f ca="1"/>
      </c>
      <c r="AG323">
        <f ca="1"/>
      </c>
      <c r="AH323">
        <f ca="1"/>
      </c>
      <c r="AL323" s="7">
        <f ca="1"/>
      </c>
      <c r="AM323" s="14">
        <f ca="1"/>
      </c>
      <c r="AN323" s="14">
        <f ca="1"/>
      </c>
      <c r="AO323" s="14">
        <f ca="1"/>
      </c>
      <c r="AP323" s="14">
        <f ca="1"/>
      </c>
      <c r="AQ323" s="14">
        <f ca="1"/>
      </c>
      <c r="AR323" s="14">
        <f ca="1"/>
      </c>
      <c r="AV323" s="14">
        <f ca="1"/>
      </c>
      <c r="AW323" s="14">
        <f ca="1"/>
      </c>
      <c r="AX323" s="14">
        <f ca="1"/>
      </c>
      <c r="AY323" s="14">
        <f ca="1"/>
      </c>
      <c r="AZ323" s="14">
        <f ca="1"/>
      </c>
      <c r="BF323" s="7">
        <f ca="1"/>
      </c>
      <c r="BG323" s="14">
        <f ca="1"/>
      </c>
      <c r="BH323" s="14">
        <f ca="1"/>
      </c>
      <c r="BI323" s="14">
        <f ca="1"/>
      </c>
      <c r="BJ323" s="14">
        <f ca="1"/>
      </c>
      <c r="BK323" s="14">
        <f ca="1"/>
      </c>
    </row>
    <row r="324" spans="28:63" x14ac:dyDescent="0.55000000000000004">
      <c r="AB324">
        <f ca="1"/>
      </c>
      <c r="AC324">
        <f ca="1"/>
      </c>
      <c r="AD324">
        <f ca="1"/>
      </c>
      <c r="AE324">
        <f ca="1"/>
      </c>
      <c r="AF324">
        <f ca="1"/>
      </c>
      <c r="AG324">
        <f ca="1"/>
      </c>
      <c r="AH324">
        <f ca="1"/>
      </c>
      <c r="AL324" s="7">
        <f ca="1"/>
      </c>
      <c r="AM324" s="14">
        <f ca="1"/>
      </c>
      <c r="AN324" s="14">
        <f ca="1"/>
      </c>
      <c r="AO324" s="14">
        <f ca="1"/>
      </c>
      <c r="AP324" s="14">
        <f ca="1"/>
      </c>
      <c r="AQ324" s="14">
        <f ca="1"/>
      </c>
      <c r="AR324" s="14">
        <f ca="1"/>
      </c>
      <c r="AV324" s="14">
        <f ca="1"/>
      </c>
      <c r="AW324" s="14">
        <f ca="1"/>
      </c>
      <c r="AX324" s="14">
        <f ca="1"/>
      </c>
      <c r="AY324" s="14">
        <f ca="1"/>
      </c>
      <c r="AZ324" s="14">
        <f ca="1"/>
      </c>
      <c r="BF324" s="7">
        <f ca="1"/>
      </c>
      <c r="BG324" s="14">
        <f ca="1"/>
      </c>
      <c r="BH324" s="14">
        <f ca="1"/>
      </c>
      <c r="BI324" s="14">
        <f ca="1"/>
      </c>
      <c r="BJ324" s="14">
        <f ca="1"/>
      </c>
      <c r="BK324" s="14">
        <f ca="1"/>
      </c>
    </row>
    <row r="325" spans="28:63" x14ac:dyDescent="0.55000000000000004">
      <c r="AB325">
        <f ca="1"/>
      </c>
      <c r="AC325">
        <f ca="1"/>
      </c>
      <c r="AD325">
        <f ca="1"/>
      </c>
      <c r="AE325">
        <f ca="1"/>
      </c>
      <c r="AF325">
        <f ca="1"/>
      </c>
      <c r="AG325">
        <f ca="1"/>
      </c>
      <c r="AH325">
        <f ca="1"/>
      </c>
      <c r="AL325" s="7">
        <f ca="1"/>
      </c>
      <c r="AM325" s="14">
        <f ca="1"/>
      </c>
      <c r="AN325" s="14">
        <f ca="1"/>
      </c>
      <c r="AO325" s="14">
        <f ca="1"/>
      </c>
      <c r="AP325" s="14">
        <f ca="1"/>
      </c>
      <c r="AQ325" s="14">
        <f ca="1"/>
      </c>
      <c r="AR325" s="14">
        <f ca="1"/>
      </c>
      <c r="AV325" s="14">
        <f ca="1"/>
      </c>
      <c r="AW325" s="14">
        <f ca="1"/>
      </c>
      <c r="AX325" s="14">
        <f ca="1"/>
      </c>
      <c r="AY325" s="14">
        <f ca="1"/>
      </c>
      <c r="AZ325" s="14">
        <f ca="1"/>
      </c>
      <c r="BF325" s="7">
        <f ca="1"/>
      </c>
      <c r="BG325" s="14">
        <f ca="1"/>
      </c>
      <c r="BH325" s="14">
        <f ca="1"/>
      </c>
      <c r="BI325" s="14">
        <f ca="1"/>
      </c>
      <c r="BJ325" s="14">
        <f ca="1"/>
      </c>
      <c r="BK325" s="14">
        <f ca="1"/>
      </c>
    </row>
    <row r="326" spans="28:63" x14ac:dyDescent="0.55000000000000004">
      <c r="AB326">
        <f ca="1"/>
      </c>
      <c r="AC326">
        <f ca="1"/>
      </c>
      <c r="AD326">
        <f ca="1"/>
      </c>
      <c r="AE326">
        <f ca="1"/>
      </c>
      <c r="AF326">
        <f ca="1"/>
      </c>
      <c r="AG326">
        <f ca="1"/>
      </c>
      <c r="AH326">
        <f ca="1"/>
      </c>
      <c r="AL326" s="7">
        <f ca="1"/>
      </c>
      <c r="AM326" s="14">
        <f ca="1"/>
      </c>
      <c r="AN326" s="14">
        <f ca="1"/>
      </c>
      <c r="AO326" s="14">
        <f ca="1"/>
      </c>
      <c r="AP326" s="14">
        <f ca="1"/>
      </c>
      <c r="AQ326" s="14">
        <f ca="1"/>
      </c>
      <c r="AR326" s="14">
        <f ca="1"/>
      </c>
      <c r="AV326" s="14">
        <f ca="1"/>
      </c>
      <c r="AW326" s="14">
        <f ca="1"/>
      </c>
      <c r="AX326" s="14">
        <f ca="1"/>
      </c>
      <c r="AY326" s="14">
        <f ca="1"/>
      </c>
      <c r="AZ326" s="14">
        <f ca="1"/>
      </c>
      <c r="BF326" s="7">
        <f ca="1"/>
      </c>
      <c r="BG326" s="14">
        <f ca="1"/>
      </c>
      <c r="BH326" s="14">
        <f ca="1"/>
      </c>
      <c r="BI326" s="14">
        <f ca="1"/>
      </c>
      <c r="BJ326" s="14">
        <f ca="1"/>
      </c>
      <c r="BK326" s="14">
        <f ca="1"/>
      </c>
    </row>
    <row r="327" spans="28:63" x14ac:dyDescent="0.55000000000000004">
      <c r="AB327">
        <f ca="1"/>
      </c>
      <c r="AC327">
        <f ca="1"/>
      </c>
      <c r="AD327">
        <f ca="1"/>
      </c>
      <c r="AE327">
        <f ca="1"/>
      </c>
      <c r="AF327">
        <f ca="1"/>
      </c>
      <c r="AG327">
        <f ca="1"/>
      </c>
      <c r="AH327">
        <f ca="1"/>
      </c>
      <c r="AL327" s="7">
        <f ca="1"/>
      </c>
      <c r="AM327" s="14">
        <f ca="1"/>
      </c>
      <c r="AN327" s="14">
        <f ca="1"/>
      </c>
      <c r="AO327" s="14">
        <f ca="1"/>
      </c>
      <c r="AP327" s="14">
        <f ca="1"/>
      </c>
      <c r="AQ327" s="14">
        <f ca="1"/>
      </c>
      <c r="AR327" s="14">
        <f ca="1"/>
      </c>
      <c r="AV327" s="14">
        <f ca="1"/>
      </c>
      <c r="AW327" s="14">
        <f ca="1"/>
      </c>
      <c r="AX327" s="14">
        <f ca="1"/>
      </c>
      <c r="AY327" s="14">
        <f ca="1"/>
      </c>
      <c r="AZ327" s="14">
        <f ca="1"/>
      </c>
      <c r="BF327" s="7">
        <f ca="1"/>
      </c>
      <c r="BG327" s="14">
        <f ca="1"/>
      </c>
      <c r="BH327" s="14">
        <f ca="1"/>
      </c>
      <c r="BI327" s="14">
        <f ca="1"/>
      </c>
      <c r="BJ327" s="14">
        <f ca="1"/>
      </c>
      <c r="BK327" s="14">
        <f ca="1"/>
      </c>
    </row>
    <row r="328" spans="28:63" x14ac:dyDescent="0.55000000000000004">
      <c r="AB328">
        <f ca="1"/>
      </c>
      <c r="AC328">
        <f ca="1"/>
      </c>
      <c r="AD328">
        <f ca="1"/>
      </c>
      <c r="AE328">
        <f ca="1"/>
      </c>
      <c r="AF328">
        <f ca="1"/>
      </c>
      <c r="AG328">
        <f ca="1"/>
      </c>
      <c r="AH328">
        <f ca="1"/>
      </c>
      <c r="AL328" s="7">
        <f ca="1"/>
      </c>
      <c r="AM328" s="14">
        <f ca="1"/>
      </c>
      <c r="AN328" s="14">
        <f ca="1"/>
      </c>
      <c r="AO328" s="14">
        <f ca="1"/>
      </c>
      <c r="AP328" s="14">
        <f ca="1"/>
      </c>
      <c r="AQ328" s="14">
        <f ca="1"/>
      </c>
      <c r="AR328" s="14">
        <f ca="1"/>
      </c>
      <c r="AV328" s="14">
        <f ca="1"/>
      </c>
      <c r="AW328" s="14">
        <f ca="1"/>
      </c>
      <c r="AX328" s="14">
        <f ca="1"/>
      </c>
      <c r="AY328" s="14">
        <f ca="1"/>
      </c>
      <c r="AZ328" s="14">
        <f ca="1"/>
      </c>
      <c r="BF328" s="7">
        <f ca="1"/>
      </c>
      <c r="BG328" s="14">
        <f ca="1"/>
      </c>
      <c r="BH328" s="14">
        <f ca="1"/>
      </c>
      <c r="BI328" s="14">
        <f ca="1"/>
      </c>
      <c r="BJ328" s="14">
        <f ca="1"/>
      </c>
      <c r="BK328" s="14">
        <f ca="1"/>
      </c>
    </row>
    <row r="329" spans="28:63" x14ac:dyDescent="0.55000000000000004">
      <c r="AB329">
        <f ca="1"/>
      </c>
      <c r="AC329">
        <f ca="1"/>
      </c>
      <c r="AD329">
        <f ca="1"/>
      </c>
      <c r="AE329">
        <f ca="1"/>
      </c>
      <c r="AF329">
        <f ca="1"/>
      </c>
      <c r="AG329">
        <f ca="1"/>
      </c>
      <c r="AH329">
        <f ca="1"/>
      </c>
      <c r="AL329" s="7">
        <f ca="1"/>
      </c>
      <c r="AM329" s="14">
        <f ca="1"/>
      </c>
      <c r="AN329" s="14">
        <f ca="1"/>
      </c>
      <c r="AO329" s="14">
        <f ca="1"/>
      </c>
      <c r="AP329" s="14">
        <f ca="1"/>
      </c>
      <c r="AQ329" s="14">
        <f ca="1"/>
      </c>
      <c r="AR329" s="14">
        <f ca="1"/>
      </c>
      <c r="AV329" s="14">
        <f ca="1"/>
      </c>
      <c r="AW329" s="14">
        <f ca="1"/>
      </c>
      <c r="AX329" s="14">
        <f ca="1"/>
      </c>
      <c r="AY329" s="14">
        <f ca="1"/>
      </c>
      <c r="AZ329" s="14">
        <f ca="1"/>
      </c>
      <c r="BF329" s="7">
        <f ca="1"/>
      </c>
      <c r="BG329" s="14">
        <f ca="1"/>
      </c>
      <c r="BH329" s="14">
        <f ca="1"/>
      </c>
      <c r="BI329" s="14">
        <f ca="1"/>
      </c>
      <c r="BJ329" s="14">
        <f ca="1"/>
      </c>
      <c r="BK329" s="14">
        <f ca="1"/>
      </c>
    </row>
    <row r="330" spans="28:63" x14ac:dyDescent="0.55000000000000004">
      <c r="AB330">
        <f ca="1"/>
      </c>
      <c r="AC330">
        <f ca="1"/>
      </c>
      <c r="AD330">
        <f ca="1"/>
      </c>
      <c r="AE330">
        <f ca="1"/>
      </c>
      <c r="AF330">
        <f ca="1"/>
      </c>
      <c r="AG330">
        <f ca="1"/>
      </c>
      <c r="AH330">
        <f ca="1"/>
      </c>
      <c r="AL330" s="7">
        <f ca="1"/>
      </c>
      <c r="AM330" s="14">
        <f ca="1"/>
      </c>
      <c r="AN330" s="14">
        <f ca="1"/>
      </c>
      <c r="AO330" s="14">
        <f ca="1"/>
      </c>
      <c r="AP330" s="14">
        <f ca="1"/>
      </c>
      <c r="AQ330" s="14">
        <f ca="1"/>
      </c>
      <c r="AR330" s="14">
        <f ca="1"/>
      </c>
      <c r="AV330" s="14">
        <f ca="1"/>
      </c>
      <c r="AW330" s="14">
        <f ca="1"/>
      </c>
      <c r="AX330" s="14">
        <f ca="1"/>
      </c>
      <c r="AY330" s="14">
        <f ca="1"/>
      </c>
      <c r="AZ330" s="14">
        <f ca="1"/>
      </c>
      <c r="BF330" s="7">
        <f ca="1"/>
      </c>
      <c r="BG330" s="14">
        <f ca="1"/>
      </c>
      <c r="BH330" s="14">
        <f ca="1"/>
      </c>
      <c r="BI330" s="14">
        <f ca="1"/>
      </c>
      <c r="BJ330" s="14">
        <f ca="1"/>
      </c>
      <c r="BK330" s="14">
        <f ca="1"/>
      </c>
    </row>
    <row r="331" spans="28:63" x14ac:dyDescent="0.55000000000000004">
      <c r="AB331">
        <f ca="1"/>
      </c>
      <c r="AC331">
        <f ca="1"/>
      </c>
      <c r="AD331">
        <f ca="1"/>
      </c>
      <c r="AE331">
        <f ca="1"/>
      </c>
      <c r="AF331">
        <f ca="1"/>
      </c>
      <c r="AG331">
        <f ca="1"/>
      </c>
      <c r="AH331">
        <f ca="1"/>
      </c>
      <c r="AL331" s="7">
        <f ca="1"/>
      </c>
      <c r="AM331" s="14">
        <f ca="1"/>
      </c>
      <c r="AN331" s="14">
        <f ca="1"/>
      </c>
      <c r="AO331" s="14">
        <f ca="1"/>
      </c>
      <c r="AP331" s="14">
        <f ca="1"/>
      </c>
      <c r="AQ331" s="14">
        <f ca="1"/>
      </c>
      <c r="AR331" s="14">
        <f ca="1"/>
      </c>
      <c r="AV331" s="14">
        <f ca="1"/>
      </c>
      <c r="AW331" s="14">
        <f ca="1"/>
      </c>
      <c r="AX331" s="14">
        <f ca="1"/>
      </c>
      <c r="AY331" s="14">
        <f ca="1"/>
      </c>
      <c r="AZ331" s="14">
        <f ca="1"/>
      </c>
      <c r="BF331" s="7">
        <f ca="1"/>
      </c>
      <c r="BG331" s="14">
        <f ca="1"/>
      </c>
      <c r="BH331" s="14">
        <f ca="1"/>
      </c>
      <c r="BI331" s="14">
        <f ca="1"/>
      </c>
      <c r="BJ331" s="14">
        <f ca="1"/>
      </c>
      <c r="BK331" s="14">
        <f ca="1"/>
      </c>
    </row>
    <row r="332" spans="28:63" x14ac:dyDescent="0.55000000000000004">
      <c r="AB332">
        <f ca="1"/>
      </c>
      <c r="AC332">
        <f ca="1"/>
      </c>
      <c r="AD332">
        <f ca="1"/>
      </c>
      <c r="AE332">
        <f ca="1"/>
      </c>
      <c r="AF332">
        <f ca="1"/>
      </c>
      <c r="AG332">
        <f ca="1"/>
      </c>
      <c r="AH332">
        <f ca="1"/>
      </c>
      <c r="AL332" s="7">
        <f ca="1"/>
      </c>
      <c r="AM332" s="14">
        <f ca="1"/>
      </c>
      <c r="AN332" s="14">
        <f ca="1"/>
      </c>
      <c r="AO332" s="14">
        <f ca="1"/>
      </c>
      <c r="AP332" s="14">
        <f ca="1"/>
      </c>
      <c r="AQ332" s="14">
        <f ca="1"/>
      </c>
      <c r="AR332" s="14">
        <f ca="1"/>
      </c>
      <c r="AV332" s="14">
        <f ca="1"/>
      </c>
      <c r="AW332" s="14">
        <f ca="1"/>
      </c>
      <c r="AX332" s="14">
        <f ca="1"/>
      </c>
      <c r="AY332" s="14">
        <f ca="1"/>
      </c>
      <c r="AZ332" s="14">
        <f ca="1"/>
      </c>
      <c r="BF332" s="7">
        <f ca="1"/>
      </c>
      <c r="BG332" s="14">
        <f ca="1"/>
      </c>
      <c r="BH332" s="14">
        <f ca="1"/>
      </c>
      <c r="BI332" s="14">
        <f ca="1"/>
      </c>
      <c r="BJ332" s="14">
        <f ca="1"/>
      </c>
      <c r="BK332" s="14">
        <f ca="1"/>
      </c>
    </row>
    <row r="333" spans="28:63" x14ac:dyDescent="0.55000000000000004">
      <c r="AB333">
        <f ca="1"/>
      </c>
      <c r="AC333">
        <f ca="1"/>
      </c>
      <c r="AD333">
        <f ca="1"/>
      </c>
      <c r="AE333">
        <f ca="1"/>
      </c>
      <c r="AF333">
        <f ca="1"/>
      </c>
      <c r="AG333">
        <f ca="1"/>
      </c>
      <c r="AH333">
        <f ca="1"/>
      </c>
      <c r="AL333" s="7">
        <f ca="1"/>
      </c>
      <c r="AM333" s="14">
        <f ca="1"/>
      </c>
      <c r="AN333" s="14">
        <f ca="1"/>
      </c>
      <c r="AO333" s="14">
        <f ca="1"/>
      </c>
      <c r="AP333" s="14">
        <f ca="1"/>
      </c>
      <c r="AQ333" s="14">
        <f ca="1"/>
      </c>
      <c r="AR333" s="14">
        <f ca="1"/>
      </c>
      <c r="AV333" s="14">
        <f ca="1"/>
      </c>
      <c r="AW333" s="14">
        <f ca="1"/>
      </c>
      <c r="AX333" s="14">
        <f ca="1"/>
      </c>
      <c r="AY333" s="14">
        <f ca="1"/>
      </c>
      <c r="AZ333" s="14">
        <f ca="1"/>
      </c>
      <c r="BF333" s="7">
        <f ca="1"/>
      </c>
      <c r="BG333" s="14">
        <f ca="1"/>
      </c>
      <c r="BH333" s="14">
        <f ca="1"/>
      </c>
      <c r="BI333" s="14">
        <f ca="1"/>
      </c>
      <c r="BJ333" s="14">
        <f ca="1"/>
      </c>
      <c r="BK333" s="14">
        <f ca="1"/>
      </c>
    </row>
    <row r="334" spans="28:63" x14ac:dyDescent="0.55000000000000004">
      <c r="AB334">
        <f ca="1"/>
      </c>
      <c r="AC334">
        <f ca="1"/>
      </c>
      <c r="AD334">
        <f ca="1"/>
      </c>
      <c r="AE334">
        <f ca="1"/>
      </c>
      <c r="AF334">
        <f ca="1"/>
      </c>
      <c r="AG334">
        <f ca="1"/>
      </c>
      <c r="AH334">
        <f ca="1"/>
      </c>
      <c r="AL334" s="7">
        <f ca="1"/>
      </c>
      <c r="AM334" s="14">
        <f ca="1"/>
      </c>
      <c r="AN334" s="14">
        <f ca="1"/>
      </c>
      <c r="AO334" s="14">
        <f ca="1"/>
      </c>
      <c r="AP334" s="14">
        <f ca="1"/>
      </c>
      <c r="AQ334" s="14">
        <f ca="1"/>
      </c>
      <c r="AR334" s="14">
        <f ca="1"/>
      </c>
      <c r="AV334" s="14">
        <f ca="1"/>
      </c>
      <c r="AW334" s="14">
        <f ca="1"/>
      </c>
      <c r="AX334" s="14">
        <f ca="1"/>
      </c>
      <c r="AY334" s="14">
        <f ca="1"/>
      </c>
      <c r="AZ334" s="14">
        <f ca="1"/>
      </c>
      <c r="BF334" s="7">
        <f ca="1"/>
      </c>
      <c r="BG334" s="14">
        <f ca="1"/>
      </c>
      <c r="BH334" s="14">
        <f ca="1"/>
      </c>
      <c r="BI334" s="14">
        <f ca="1"/>
      </c>
      <c r="BJ334" s="14">
        <f ca="1"/>
      </c>
      <c r="BK334" s="14">
        <f ca="1"/>
      </c>
    </row>
    <row r="335" spans="28:63" x14ac:dyDescent="0.55000000000000004">
      <c r="AB335">
        <f ca="1"/>
      </c>
      <c r="AC335">
        <f ca="1"/>
      </c>
      <c r="AD335">
        <f ca="1"/>
      </c>
      <c r="AE335">
        <f ca="1"/>
      </c>
      <c r="AF335">
        <f ca="1"/>
      </c>
      <c r="AG335">
        <f ca="1"/>
      </c>
      <c r="AH335">
        <f ca="1"/>
      </c>
      <c r="AL335" s="7">
        <f ca="1"/>
      </c>
      <c r="AM335" s="14">
        <f ca="1"/>
      </c>
      <c r="AN335" s="14">
        <f ca="1"/>
      </c>
      <c r="AO335" s="14">
        <f ca="1"/>
      </c>
      <c r="AP335" s="14">
        <f ca="1"/>
      </c>
      <c r="AQ335" s="14">
        <f ca="1"/>
      </c>
      <c r="AR335" s="14">
        <f ca="1"/>
      </c>
      <c r="AV335" s="14">
        <f ca="1"/>
      </c>
      <c r="AW335" s="14">
        <f ca="1"/>
      </c>
      <c r="AX335" s="14">
        <f ca="1"/>
      </c>
      <c r="AY335" s="14">
        <f ca="1"/>
      </c>
      <c r="AZ335" s="14">
        <f ca="1"/>
      </c>
      <c r="BF335" s="7">
        <f ca="1"/>
      </c>
      <c r="BG335" s="14">
        <f ca="1"/>
      </c>
      <c r="BH335" s="14">
        <f ca="1"/>
      </c>
      <c r="BI335" s="14">
        <f ca="1"/>
      </c>
      <c r="BJ335" s="14">
        <f ca="1"/>
      </c>
      <c r="BK335" s="14">
        <f ca="1"/>
      </c>
    </row>
    <row r="336" spans="28:63" x14ac:dyDescent="0.55000000000000004">
      <c r="AB336">
        <f ca="1"/>
      </c>
      <c r="AC336">
        <f ca="1"/>
      </c>
      <c r="AD336">
        <f ca="1"/>
      </c>
      <c r="AE336">
        <f ca="1"/>
      </c>
      <c r="AF336">
        <f ca="1"/>
      </c>
      <c r="AG336">
        <f ca="1"/>
      </c>
      <c r="AH336">
        <f ca="1"/>
      </c>
      <c r="AL336" s="7">
        <f ca="1"/>
      </c>
      <c r="AM336" s="14">
        <f ca="1"/>
      </c>
      <c r="AN336" s="14">
        <f ca="1"/>
      </c>
      <c r="AO336" s="14">
        <f ca="1"/>
      </c>
      <c r="AP336" s="14">
        <f ca="1"/>
      </c>
      <c r="AQ336" s="14">
        <f ca="1"/>
      </c>
      <c r="AR336" s="14">
        <f ca="1"/>
      </c>
      <c r="AV336" s="14">
        <f ca="1"/>
      </c>
      <c r="AW336" s="14">
        <f ca="1"/>
      </c>
      <c r="AX336" s="14">
        <f ca="1"/>
      </c>
      <c r="AY336" s="14">
        <f ca="1"/>
      </c>
      <c r="AZ336" s="14">
        <f ca="1"/>
      </c>
      <c r="BF336" s="7">
        <f ca="1"/>
      </c>
      <c r="BG336" s="14">
        <f ca="1"/>
      </c>
      <c r="BH336" s="14">
        <f ca="1"/>
      </c>
      <c r="BI336" s="14">
        <f ca="1"/>
      </c>
      <c r="BJ336" s="14">
        <f ca="1"/>
      </c>
      <c r="BK336" s="14">
        <f ca="1"/>
      </c>
    </row>
    <row r="337" spans="28:63" x14ac:dyDescent="0.55000000000000004">
      <c r="AB337">
        <f ca="1"/>
      </c>
      <c r="AC337">
        <f ca="1"/>
      </c>
      <c r="AD337">
        <f ca="1"/>
      </c>
      <c r="AE337">
        <f ca="1"/>
      </c>
      <c r="AF337">
        <f ca="1"/>
      </c>
      <c r="AG337">
        <f ca="1"/>
      </c>
      <c r="AH337">
        <f ca="1"/>
      </c>
      <c r="AL337" s="7">
        <f ca="1"/>
      </c>
      <c r="AM337" s="14">
        <f ca="1"/>
      </c>
      <c r="AN337" s="14">
        <f ca="1"/>
      </c>
      <c r="AO337" s="14">
        <f ca="1"/>
      </c>
      <c r="AP337" s="14">
        <f ca="1"/>
      </c>
      <c r="AQ337" s="14">
        <f ca="1"/>
      </c>
      <c r="AR337" s="14">
        <f ca="1"/>
      </c>
      <c r="AV337" s="14">
        <f ca="1"/>
      </c>
      <c r="AW337" s="14">
        <f ca="1"/>
      </c>
      <c r="AX337" s="14">
        <f ca="1"/>
      </c>
      <c r="AY337" s="14">
        <f ca="1"/>
      </c>
      <c r="AZ337" s="14">
        <f ca="1"/>
      </c>
      <c r="BF337" s="7">
        <f ca="1"/>
      </c>
      <c r="BG337" s="14">
        <f ca="1"/>
      </c>
      <c r="BH337" s="14">
        <f ca="1"/>
      </c>
      <c r="BI337" s="14">
        <f ca="1"/>
      </c>
      <c r="BJ337" s="14">
        <f ca="1"/>
      </c>
      <c r="BK337" s="14">
        <f ca="1"/>
      </c>
    </row>
    <row r="338" spans="28:63" x14ac:dyDescent="0.55000000000000004">
      <c r="AB338">
        <f ca="1"/>
      </c>
      <c r="AC338">
        <f ca="1"/>
      </c>
      <c r="AD338">
        <f ca="1"/>
      </c>
      <c r="AE338">
        <f ca="1"/>
      </c>
      <c r="AF338">
        <f ca="1"/>
      </c>
      <c r="AG338">
        <f ca="1"/>
      </c>
      <c r="AH338">
        <f ca="1"/>
      </c>
      <c r="AL338" s="7">
        <f ca="1"/>
      </c>
      <c r="AM338" s="14">
        <f ca="1"/>
      </c>
      <c r="AN338" s="14">
        <f ca="1"/>
      </c>
      <c r="AO338" s="14">
        <f ca="1"/>
      </c>
      <c r="AP338" s="14">
        <f ca="1"/>
      </c>
      <c r="AQ338" s="14">
        <f ca="1"/>
      </c>
      <c r="AR338" s="14">
        <f ca="1"/>
      </c>
      <c r="AV338" s="14">
        <f ca="1"/>
      </c>
      <c r="AW338" s="14">
        <f ca="1"/>
      </c>
      <c r="AX338" s="14">
        <f ca="1"/>
      </c>
      <c r="AY338" s="14">
        <f ca="1"/>
      </c>
      <c r="AZ338" s="14">
        <f ca="1"/>
      </c>
      <c r="BF338" s="7">
        <f ca="1"/>
      </c>
      <c r="BG338" s="14">
        <f ca="1"/>
      </c>
      <c r="BH338" s="14">
        <f ca="1"/>
      </c>
      <c r="BI338" s="14">
        <f ca="1"/>
      </c>
      <c r="BJ338" s="14">
        <f ca="1"/>
      </c>
      <c r="BK338" s="14">
        <f ca="1"/>
      </c>
    </row>
    <row r="339" spans="28:63" x14ac:dyDescent="0.55000000000000004">
      <c r="AB339">
        <f ca="1"/>
      </c>
      <c r="AC339">
        <f ca="1"/>
      </c>
      <c r="AD339">
        <f ca="1"/>
      </c>
      <c r="AE339">
        <f ca="1"/>
      </c>
      <c r="AF339">
        <f ca="1"/>
      </c>
      <c r="AG339">
        <f ca="1"/>
      </c>
      <c r="AH339">
        <f ca="1"/>
      </c>
      <c r="AL339" s="7">
        <f ca="1"/>
      </c>
      <c r="AM339" s="14">
        <f ca="1"/>
      </c>
      <c r="AN339" s="14">
        <f ca="1"/>
      </c>
      <c r="AO339" s="14">
        <f ca="1"/>
      </c>
      <c r="AP339" s="14">
        <f ca="1"/>
      </c>
      <c r="AQ339" s="14">
        <f ca="1"/>
      </c>
      <c r="AR339" s="14">
        <f ca="1"/>
      </c>
      <c r="AV339" s="14">
        <f ca="1"/>
      </c>
      <c r="AW339" s="14">
        <f ca="1"/>
      </c>
      <c r="AX339" s="14">
        <f ca="1"/>
      </c>
      <c r="AY339" s="14">
        <f ca="1"/>
      </c>
      <c r="AZ339" s="14">
        <f ca="1"/>
      </c>
      <c r="BF339" s="7">
        <f ca="1"/>
      </c>
      <c r="BG339" s="14">
        <f ca="1"/>
      </c>
      <c r="BH339" s="14">
        <f ca="1"/>
      </c>
      <c r="BI339" s="14">
        <f ca="1"/>
      </c>
      <c r="BJ339" s="14">
        <f ca="1"/>
      </c>
      <c r="BK339" s="14">
        <f ca="1"/>
      </c>
    </row>
    <row r="340" spans="28:63" x14ac:dyDescent="0.55000000000000004">
      <c r="AB340">
        <f ca="1"/>
      </c>
      <c r="AC340">
        <f ca="1"/>
      </c>
      <c r="AD340">
        <f ca="1"/>
      </c>
      <c r="AE340">
        <f ca="1"/>
      </c>
      <c r="AF340">
        <f ca="1"/>
      </c>
      <c r="AG340">
        <f ca="1"/>
      </c>
      <c r="AH340">
        <f ca="1"/>
      </c>
      <c r="AL340" s="7">
        <f ca="1"/>
      </c>
      <c r="AM340" s="14">
        <f ca="1"/>
      </c>
      <c r="AN340" s="14">
        <f ca="1"/>
      </c>
      <c r="AO340" s="14">
        <f ca="1"/>
      </c>
      <c r="AP340" s="14">
        <f ca="1"/>
      </c>
      <c r="AQ340" s="14">
        <f ca="1"/>
      </c>
      <c r="AR340" s="14">
        <f ca="1"/>
      </c>
      <c r="AV340" s="14">
        <f ca="1"/>
      </c>
      <c r="AW340" s="14">
        <f ca="1"/>
      </c>
      <c r="AX340" s="14">
        <f ca="1"/>
      </c>
      <c r="AY340" s="14">
        <f ca="1"/>
      </c>
      <c r="AZ340" s="14">
        <f ca="1"/>
      </c>
      <c r="BF340" s="7">
        <f ca="1"/>
      </c>
      <c r="BG340" s="14">
        <f ca="1"/>
      </c>
      <c r="BH340" s="14">
        <f ca="1"/>
      </c>
      <c r="BI340" s="14">
        <f ca="1"/>
      </c>
      <c r="BJ340" s="14">
        <f ca="1"/>
      </c>
      <c r="BK340" s="14">
        <f ca="1"/>
      </c>
    </row>
    <row r="341" spans="28:63" x14ac:dyDescent="0.55000000000000004">
      <c r="AB341">
        <f ca="1"/>
      </c>
      <c r="AC341">
        <f ca="1"/>
      </c>
      <c r="AD341">
        <f ca="1"/>
      </c>
      <c r="AE341">
        <f ca="1"/>
      </c>
      <c r="AF341">
        <f ca="1"/>
      </c>
      <c r="AG341">
        <f ca="1"/>
      </c>
      <c r="AH341">
        <f ca="1"/>
      </c>
      <c r="AL341" s="7">
        <f ca="1"/>
      </c>
      <c r="AM341" s="14">
        <f ca="1"/>
      </c>
      <c r="AN341" s="14">
        <f ca="1"/>
      </c>
      <c r="AO341" s="14">
        <f ca="1"/>
      </c>
      <c r="AP341" s="14">
        <f ca="1"/>
      </c>
      <c r="AQ341" s="14">
        <f ca="1"/>
      </c>
      <c r="AR341" s="14">
        <f ca="1"/>
      </c>
      <c r="AV341" s="14">
        <f ca="1"/>
      </c>
      <c r="AW341" s="14">
        <f ca="1"/>
      </c>
      <c r="AX341" s="14">
        <f ca="1"/>
      </c>
      <c r="AY341" s="14">
        <f ca="1"/>
      </c>
      <c r="AZ341" s="14">
        <f ca="1"/>
      </c>
      <c r="BF341" s="7">
        <f ca="1"/>
      </c>
      <c r="BG341" s="14">
        <f ca="1"/>
      </c>
      <c r="BH341" s="14">
        <f ca="1"/>
      </c>
      <c r="BI341" s="14">
        <f ca="1"/>
      </c>
      <c r="BJ341" s="14">
        <f ca="1"/>
      </c>
      <c r="BK341" s="14">
        <f ca="1"/>
      </c>
    </row>
    <row r="342" spans="28:63" x14ac:dyDescent="0.55000000000000004">
      <c r="AB342">
        <f ca="1"/>
      </c>
      <c r="AC342">
        <f ca="1"/>
      </c>
      <c r="AD342">
        <f ca="1"/>
      </c>
      <c r="AE342">
        <f ca="1"/>
      </c>
      <c r="AF342">
        <f ca="1"/>
      </c>
      <c r="AG342">
        <f ca="1"/>
      </c>
      <c r="AH342">
        <f ca="1"/>
      </c>
      <c r="AL342" s="7">
        <f ca="1"/>
      </c>
      <c r="AM342" s="14">
        <f ca="1"/>
      </c>
      <c r="AN342" s="14">
        <f ca="1"/>
      </c>
      <c r="AO342" s="14">
        <f ca="1"/>
      </c>
      <c r="AP342" s="14">
        <f ca="1"/>
      </c>
      <c r="AQ342" s="14">
        <f ca="1"/>
      </c>
      <c r="AR342" s="14">
        <f ca="1"/>
      </c>
      <c r="AV342" s="14">
        <f ca="1"/>
      </c>
      <c r="AW342" s="14">
        <f ca="1"/>
      </c>
      <c r="AX342" s="14">
        <f ca="1"/>
      </c>
      <c r="AY342" s="14">
        <f ca="1"/>
      </c>
      <c r="AZ342" s="14">
        <f ca="1"/>
      </c>
      <c r="BF342" s="7">
        <f ca="1"/>
      </c>
      <c r="BG342" s="14">
        <f ca="1"/>
      </c>
      <c r="BH342" s="14">
        <f ca="1"/>
      </c>
      <c r="BI342" s="14">
        <f ca="1"/>
      </c>
      <c r="BJ342" s="14">
        <f ca="1"/>
      </c>
      <c r="BK342" s="14">
        <f ca="1"/>
      </c>
    </row>
    <row r="343" spans="28:63" x14ac:dyDescent="0.55000000000000004">
      <c r="AB343">
        <f ca="1"/>
      </c>
      <c r="AC343">
        <f ca="1"/>
      </c>
      <c r="AD343">
        <f ca="1"/>
      </c>
      <c r="AE343">
        <f ca="1"/>
      </c>
      <c r="AF343">
        <f ca="1"/>
      </c>
      <c r="AG343">
        <f ca="1"/>
      </c>
      <c r="AH343">
        <f ca="1"/>
      </c>
      <c r="AL343" s="7">
        <f ca="1"/>
      </c>
      <c r="AM343" s="14">
        <f ca="1"/>
      </c>
      <c r="AN343" s="14">
        <f ca="1"/>
      </c>
      <c r="AO343" s="14">
        <f ca="1"/>
      </c>
      <c r="AP343" s="14">
        <f ca="1"/>
      </c>
      <c r="AQ343" s="14">
        <f ca="1"/>
      </c>
      <c r="AR343" s="14">
        <f ca="1"/>
      </c>
      <c r="AV343" s="14">
        <f ca="1"/>
      </c>
      <c r="AW343" s="14">
        <f ca="1"/>
      </c>
      <c r="AX343" s="14">
        <f ca="1"/>
      </c>
      <c r="AY343" s="14">
        <f ca="1"/>
      </c>
      <c r="AZ343" s="14">
        <f ca="1"/>
      </c>
      <c r="BF343" s="7">
        <f ca="1"/>
      </c>
      <c r="BG343" s="14">
        <f ca="1"/>
      </c>
      <c r="BH343" s="14">
        <f ca="1"/>
      </c>
      <c r="BI343" s="14">
        <f ca="1"/>
      </c>
      <c r="BJ343" s="14">
        <f ca="1"/>
      </c>
      <c r="BK343" s="14">
        <f ca="1"/>
      </c>
    </row>
    <row r="344" spans="28:63" x14ac:dyDescent="0.55000000000000004">
      <c r="AB344">
        <f ca="1"/>
      </c>
      <c r="AC344">
        <f ca="1"/>
      </c>
      <c r="AD344">
        <f ca="1"/>
      </c>
      <c r="AE344">
        <f ca="1"/>
      </c>
      <c r="AF344">
        <f ca="1"/>
      </c>
      <c r="AG344">
        <f ca="1"/>
      </c>
      <c r="AH344">
        <f ca="1"/>
      </c>
      <c r="AL344" s="7">
        <f ca="1"/>
      </c>
      <c r="AM344" s="14">
        <f ca="1"/>
      </c>
      <c r="AN344" s="14">
        <f ca="1"/>
      </c>
      <c r="AO344" s="14">
        <f ca="1"/>
      </c>
      <c r="AP344" s="14">
        <f ca="1"/>
      </c>
      <c r="AQ344" s="14">
        <f ca="1"/>
      </c>
      <c r="AR344" s="14">
        <f ca="1"/>
      </c>
      <c r="AV344" s="14">
        <f ca="1"/>
      </c>
      <c r="AW344" s="14">
        <f ca="1"/>
      </c>
      <c r="AX344" s="14">
        <f ca="1"/>
      </c>
      <c r="AY344" s="14">
        <f ca="1"/>
      </c>
      <c r="AZ344" s="14">
        <f ca="1"/>
      </c>
      <c r="BF344" s="7">
        <f ca="1"/>
      </c>
      <c r="BG344" s="14">
        <f ca="1"/>
      </c>
      <c r="BH344" s="14">
        <f ca="1"/>
      </c>
      <c r="BI344" s="14">
        <f ca="1"/>
      </c>
      <c r="BJ344" s="14">
        <f ca="1"/>
      </c>
      <c r="BK344" s="14">
        <f ca="1"/>
      </c>
    </row>
    <row r="345" spans="28:63" x14ac:dyDescent="0.55000000000000004">
      <c r="AB345">
        <f ca="1"/>
      </c>
      <c r="AC345">
        <f ca="1"/>
      </c>
      <c r="AD345">
        <f ca="1"/>
      </c>
      <c r="AE345">
        <f ca="1"/>
      </c>
      <c r="AF345">
        <f ca="1"/>
      </c>
      <c r="AG345">
        <f ca="1"/>
      </c>
      <c r="AH345">
        <f ca="1"/>
      </c>
      <c r="AL345" s="7">
        <f ca="1"/>
      </c>
      <c r="AM345" s="14">
        <f ca="1"/>
      </c>
      <c r="AN345" s="14">
        <f ca="1"/>
      </c>
      <c r="AO345" s="14">
        <f ca="1"/>
      </c>
      <c r="AP345" s="14">
        <f ca="1"/>
      </c>
      <c r="AQ345" s="14">
        <f ca="1"/>
      </c>
      <c r="AR345" s="14">
        <f ca="1"/>
      </c>
      <c r="AV345" s="14">
        <f ca="1"/>
      </c>
      <c r="AW345" s="14">
        <f ca="1"/>
      </c>
      <c r="AX345" s="14">
        <f ca="1"/>
      </c>
      <c r="AY345" s="14">
        <f ca="1"/>
      </c>
      <c r="AZ345" s="14">
        <f ca="1"/>
      </c>
      <c r="BF345" s="7">
        <f ca="1"/>
      </c>
      <c r="BG345" s="14">
        <f ca="1"/>
      </c>
      <c r="BH345" s="14">
        <f ca="1"/>
      </c>
      <c r="BI345" s="14">
        <f ca="1"/>
      </c>
      <c r="BJ345" s="14">
        <f ca="1"/>
      </c>
      <c r="BK345" s="14">
        <f ca="1"/>
      </c>
    </row>
    <row r="346" spans="28:63" x14ac:dyDescent="0.55000000000000004">
      <c r="AB346">
        <f ca="1"/>
      </c>
      <c r="AC346">
        <f ca="1"/>
      </c>
      <c r="AD346">
        <f ca="1"/>
      </c>
      <c r="AE346">
        <f ca="1"/>
      </c>
      <c r="AF346">
        <f ca="1"/>
      </c>
      <c r="AG346">
        <f ca="1"/>
      </c>
      <c r="AH346">
        <f ca="1"/>
      </c>
      <c r="AL346" s="7">
        <f ca="1"/>
      </c>
      <c r="AM346" s="14">
        <f ca="1"/>
      </c>
      <c r="AN346" s="14">
        <f ca="1"/>
      </c>
      <c r="AO346" s="14">
        <f ca="1"/>
      </c>
      <c r="AP346" s="14">
        <f ca="1"/>
      </c>
      <c r="AQ346" s="14">
        <f ca="1"/>
      </c>
      <c r="AR346" s="14">
        <f ca="1"/>
      </c>
      <c r="AV346" s="14">
        <f ca="1"/>
      </c>
      <c r="AW346" s="14">
        <f ca="1"/>
      </c>
      <c r="AX346" s="14">
        <f ca="1"/>
      </c>
      <c r="AY346" s="14">
        <f ca="1"/>
      </c>
      <c r="AZ346" s="14">
        <f ca="1"/>
      </c>
      <c r="BF346" s="7">
        <f ca="1"/>
      </c>
      <c r="BG346" s="14">
        <f ca="1"/>
      </c>
      <c r="BH346" s="14">
        <f ca="1"/>
      </c>
      <c r="BI346" s="14">
        <f ca="1"/>
      </c>
      <c r="BJ346" s="14">
        <f ca="1"/>
      </c>
      <c r="BK346" s="14">
        <f ca="1"/>
      </c>
    </row>
    <row r="347" spans="28:63" x14ac:dyDescent="0.55000000000000004">
      <c r="AB347">
        <f ca="1"/>
      </c>
      <c r="AC347">
        <f ca="1"/>
      </c>
      <c r="AD347">
        <f ca="1"/>
      </c>
      <c r="AE347">
        <f ca="1"/>
      </c>
      <c r="AF347">
        <f ca="1"/>
      </c>
      <c r="AG347">
        <f ca="1"/>
      </c>
      <c r="AH347">
        <f ca="1"/>
      </c>
      <c r="AL347" s="7">
        <f ca="1"/>
      </c>
      <c r="AM347" s="14">
        <f ca="1"/>
      </c>
      <c r="AN347" s="14">
        <f ca="1"/>
      </c>
      <c r="AO347" s="14">
        <f ca="1"/>
      </c>
      <c r="AP347" s="14">
        <f ca="1"/>
      </c>
      <c r="AQ347" s="14">
        <f ca="1"/>
      </c>
      <c r="AR347" s="14">
        <f ca="1"/>
      </c>
      <c r="AV347" s="14">
        <f ca="1"/>
      </c>
      <c r="AW347" s="14">
        <f ca="1"/>
      </c>
      <c r="AX347" s="14">
        <f ca="1"/>
      </c>
      <c r="AY347" s="14">
        <f ca="1"/>
      </c>
      <c r="AZ347" s="14">
        <f ca="1"/>
      </c>
      <c r="BF347" s="7">
        <f ca="1"/>
      </c>
      <c r="BG347" s="14">
        <f ca="1"/>
      </c>
      <c r="BH347" s="14">
        <f ca="1"/>
      </c>
      <c r="BI347" s="14">
        <f ca="1"/>
      </c>
      <c r="BJ347" s="14">
        <f ca="1"/>
      </c>
      <c r="BK347" s="14">
        <f ca="1"/>
      </c>
    </row>
    <row r="348" spans="28:63" x14ac:dyDescent="0.55000000000000004">
      <c r="AB348">
        <f ca="1"/>
      </c>
      <c r="AC348">
        <f ca="1"/>
      </c>
      <c r="AD348">
        <f ca="1"/>
      </c>
      <c r="AE348">
        <f ca="1"/>
      </c>
      <c r="AF348">
        <f ca="1"/>
      </c>
      <c r="AG348">
        <f ca="1"/>
      </c>
      <c r="AH348">
        <f ca="1"/>
      </c>
      <c r="AL348" s="7">
        <f ca="1"/>
      </c>
      <c r="AM348" s="14">
        <f ca="1"/>
      </c>
      <c r="AN348" s="14">
        <f ca="1"/>
      </c>
      <c r="AO348" s="14">
        <f ca="1"/>
      </c>
      <c r="AP348" s="14">
        <f ca="1"/>
      </c>
      <c r="AQ348" s="14">
        <f ca="1"/>
      </c>
      <c r="AR348" s="14">
        <f ca="1"/>
      </c>
      <c r="AV348" s="14">
        <f ca="1"/>
      </c>
      <c r="AW348" s="14">
        <f ca="1"/>
      </c>
      <c r="AX348" s="14">
        <f ca="1"/>
      </c>
      <c r="AY348" s="14">
        <f ca="1"/>
      </c>
      <c r="AZ348" s="14">
        <f ca="1"/>
      </c>
      <c r="BF348" s="7">
        <f ca="1"/>
      </c>
      <c r="BG348" s="14">
        <f ca="1"/>
      </c>
      <c r="BH348" s="14">
        <f ca="1"/>
      </c>
      <c r="BI348" s="14">
        <f ca="1"/>
      </c>
      <c r="BJ348" s="14">
        <f ca="1"/>
      </c>
      <c r="BK348" s="14">
        <f ca="1"/>
      </c>
    </row>
    <row r="349" spans="28:63" x14ac:dyDescent="0.55000000000000004">
      <c r="AB349">
        <f ca="1"/>
      </c>
      <c r="AC349">
        <f ca="1"/>
      </c>
      <c r="AD349">
        <f ca="1"/>
      </c>
      <c r="AE349">
        <f ca="1"/>
      </c>
      <c r="AF349">
        <f ca="1"/>
      </c>
      <c r="AG349">
        <f ca="1"/>
      </c>
      <c r="AH349">
        <f ca="1"/>
      </c>
      <c r="AL349" s="7">
        <f ca="1"/>
      </c>
      <c r="AM349" s="14">
        <f ca="1"/>
      </c>
      <c r="AN349" s="14">
        <f ca="1"/>
      </c>
      <c r="AO349" s="14">
        <f ca="1"/>
      </c>
      <c r="AP349" s="14">
        <f ca="1"/>
      </c>
      <c r="AQ349" s="14">
        <f ca="1"/>
      </c>
      <c r="AR349" s="14">
        <f ca="1"/>
      </c>
      <c r="AV349" s="14">
        <f ca="1"/>
      </c>
      <c r="AW349" s="14">
        <f ca="1"/>
      </c>
      <c r="AX349" s="14">
        <f ca="1"/>
      </c>
      <c r="AY349" s="14">
        <f ca="1"/>
      </c>
      <c r="AZ349" s="14">
        <f ca="1"/>
      </c>
      <c r="BF349" s="7">
        <f ca="1"/>
      </c>
      <c r="BG349" s="14">
        <f ca="1"/>
      </c>
      <c r="BH349" s="14">
        <f ca="1"/>
      </c>
      <c r="BI349" s="14">
        <f ca="1"/>
      </c>
      <c r="BJ349" s="14">
        <f ca="1"/>
      </c>
      <c r="BK349" s="14">
        <f ca="1"/>
      </c>
    </row>
    <row r="350" spans="28:63" x14ac:dyDescent="0.55000000000000004">
      <c r="AB350">
        <f ca="1"/>
      </c>
      <c r="AC350">
        <f ca="1"/>
      </c>
      <c r="AD350">
        <f ca="1"/>
      </c>
      <c r="AE350">
        <f ca="1"/>
      </c>
      <c r="AF350">
        <f ca="1"/>
      </c>
      <c r="AG350">
        <f ca="1"/>
      </c>
      <c r="AH350">
        <f ca="1"/>
      </c>
      <c r="AL350" s="7">
        <f ca="1"/>
      </c>
      <c r="AM350" s="14">
        <f ca="1"/>
      </c>
      <c r="AN350" s="14">
        <f ca="1"/>
      </c>
      <c r="AO350" s="14">
        <f ca="1"/>
      </c>
      <c r="AP350" s="14">
        <f ca="1"/>
      </c>
      <c r="AQ350" s="14">
        <f ca="1"/>
      </c>
      <c r="AR350" s="14">
        <f ca="1"/>
      </c>
      <c r="AV350" s="14">
        <f ca="1"/>
      </c>
      <c r="AW350" s="14">
        <f ca="1"/>
      </c>
      <c r="AX350" s="14">
        <f ca="1"/>
      </c>
      <c r="AY350" s="14">
        <f ca="1"/>
      </c>
      <c r="AZ350" s="14">
        <f ca="1"/>
      </c>
      <c r="BF350" s="7">
        <f ca="1"/>
      </c>
      <c r="BG350" s="14">
        <f ca="1"/>
      </c>
      <c r="BH350" s="14">
        <f ca="1"/>
      </c>
      <c r="BI350" s="14">
        <f ca="1"/>
      </c>
      <c r="BJ350" s="14">
        <f ca="1"/>
      </c>
      <c r="BK350" s="14">
        <f ca="1"/>
      </c>
    </row>
    <row r="351" spans="28:63" x14ac:dyDescent="0.55000000000000004">
      <c r="AB351">
        <f ca="1"/>
      </c>
      <c r="AC351">
        <f ca="1"/>
      </c>
      <c r="AD351">
        <f ca="1"/>
      </c>
      <c r="AE351">
        <f ca="1"/>
      </c>
      <c r="AF351">
        <f ca="1"/>
      </c>
      <c r="AG351">
        <f ca="1"/>
      </c>
      <c r="AH351">
        <f ca="1"/>
      </c>
      <c r="AL351" s="7">
        <f ca="1"/>
      </c>
      <c r="AM351" s="14">
        <f ca="1"/>
      </c>
      <c r="AN351" s="14">
        <f ca="1"/>
      </c>
      <c r="AO351" s="14">
        <f ca="1"/>
      </c>
      <c r="AP351" s="14">
        <f ca="1"/>
      </c>
      <c r="AQ351" s="14">
        <f ca="1"/>
      </c>
      <c r="AR351" s="14">
        <f ca="1"/>
      </c>
      <c r="AV351" s="14">
        <f ca="1"/>
      </c>
      <c r="AW351" s="14">
        <f ca="1"/>
      </c>
      <c r="AX351" s="14">
        <f ca="1"/>
      </c>
      <c r="AY351" s="14">
        <f ca="1"/>
      </c>
      <c r="AZ351" s="14">
        <f ca="1"/>
      </c>
      <c r="BF351" s="7">
        <f ca="1"/>
      </c>
      <c r="BG351" s="14">
        <f ca="1"/>
      </c>
      <c r="BH351" s="14">
        <f ca="1"/>
      </c>
      <c r="BI351" s="14">
        <f ca="1"/>
      </c>
      <c r="BJ351" s="14">
        <f ca="1"/>
      </c>
      <c r="BK351" s="14">
        <f ca="1"/>
      </c>
    </row>
    <row r="352" spans="28:63" x14ac:dyDescent="0.55000000000000004">
      <c r="AB352">
        <f ca="1"/>
      </c>
      <c r="AC352">
        <f ca="1"/>
      </c>
      <c r="AD352">
        <f ca="1"/>
      </c>
      <c r="AE352">
        <f ca="1"/>
      </c>
      <c r="AF352">
        <f ca="1"/>
      </c>
      <c r="AG352">
        <f ca="1"/>
      </c>
      <c r="AH352">
        <f ca="1"/>
      </c>
      <c r="AL352" s="7">
        <f ca="1"/>
      </c>
      <c r="AM352" s="14">
        <f ca="1"/>
      </c>
      <c r="AN352" s="14">
        <f ca="1"/>
      </c>
      <c r="AO352" s="14">
        <f ca="1"/>
      </c>
      <c r="AP352" s="14">
        <f ca="1"/>
      </c>
      <c r="AQ352" s="14">
        <f ca="1"/>
      </c>
      <c r="AR352" s="14">
        <f ca="1"/>
      </c>
      <c r="AV352" s="14">
        <f ca="1"/>
      </c>
      <c r="AW352" s="14">
        <f ca="1"/>
      </c>
      <c r="AX352" s="14">
        <f ca="1"/>
      </c>
      <c r="AY352" s="14">
        <f ca="1"/>
      </c>
      <c r="AZ352" s="14">
        <f ca="1"/>
      </c>
      <c r="BF352" s="7">
        <f ca="1"/>
      </c>
      <c r="BG352" s="14">
        <f ca="1"/>
      </c>
      <c r="BH352" s="14">
        <f ca="1"/>
      </c>
      <c r="BI352" s="14">
        <f ca="1"/>
      </c>
      <c r="BJ352" s="14">
        <f ca="1"/>
      </c>
      <c r="BK352" s="14">
        <f ca="1"/>
      </c>
    </row>
    <row r="353" spans="28:63" x14ac:dyDescent="0.55000000000000004">
      <c r="AB353">
        <f ca="1"/>
      </c>
      <c r="AC353">
        <f ca="1"/>
      </c>
      <c r="AD353">
        <f ca="1"/>
      </c>
      <c r="AE353">
        <f ca="1"/>
      </c>
      <c r="AF353">
        <f ca="1"/>
      </c>
      <c r="AG353">
        <f ca="1"/>
      </c>
      <c r="AH353">
        <f ca="1"/>
      </c>
      <c r="AL353" s="7">
        <f ca="1"/>
      </c>
      <c r="AM353" s="14">
        <f ca="1"/>
      </c>
      <c r="AN353" s="14">
        <f ca="1"/>
      </c>
      <c r="AO353" s="14">
        <f ca="1"/>
      </c>
      <c r="AP353" s="14">
        <f ca="1"/>
      </c>
      <c r="AQ353" s="14">
        <f ca="1"/>
      </c>
      <c r="AR353" s="14">
        <f ca="1"/>
      </c>
      <c r="AV353" s="14">
        <f ca="1"/>
      </c>
      <c r="AW353" s="14">
        <f ca="1"/>
      </c>
      <c r="AX353" s="14">
        <f ca="1"/>
      </c>
      <c r="AY353" s="14">
        <f ca="1"/>
      </c>
      <c r="AZ353" s="14">
        <f ca="1"/>
      </c>
      <c r="BF353" s="7">
        <f ca="1"/>
      </c>
      <c r="BG353" s="14">
        <f ca="1"/>
      </c>
      <c r="BH353" s="14">
        <f ca="1"/>
      </c>
      <c r="BI353" s="14">
        <f ca="1"/>
      </c>
      <c r="BJ353" s="14">
        <f ca="1"/>
      </c>
      <c r="BK353" s="14">
        <f ca="1"/>
      </c>
    </row>
    <row r="354" spans="28:63" x14ac:dyDescent="0.55000000000000004">
      <c r="AB354">
        <f ca="1"/>
      </c>
      <c r="AC354">
        <f ca="1"/>
      </c>
      <c r="AD354">
        <f ca="1"/>
      </c>
      <c r="AE354">
        <f ca="1"/>
      </c>
      <c r="AF354">
        <f ca="1"/>
      </c>
      <c r="AG354">
        <f ca="1"/>
      </c>
      <c r="AH354">
        <f ca="1"/>
      </c>
      <c r="AL354" s="7">
        <f ca="1"/>
      </c>
      <c r="AM354" s="14">
        <f ca="1"/>
      </c>
      <c r="AN354" s="14">
        <f ca="1"/>
      </c>
      <c r="AO354" s="14">
        <f ca="1"/>
      </c>
      <c r="AP354" s="14">
        <f ca="1"/>
      </c>
      <c r="AQ354" s="14">
        <f ca="1"/>
      </c>
      <c r="AR354" s="14">
        <f ca="1"/>
      </c>
      <c r="AV354" s="14">
        <f ca="1"/>
      </c>
      <c r="AW354" s="14">
        <f ca="1"/>
      </c>
      <c r="AX354" s="14">
        <f ca="1"/>
      </c>
      <c r="AY354" s="14">
        <f ca="1"/>
      </c>
      <c r="AZ354" s="14">
        <f ca="1"/>
      </c>
      <c r="BF354" s="7">
        <f ca="1"/>
      </c>
      <c r="BG354" s="14">
        <f ca="1"/>
      </c>
      <c r="BH354" s="14">
        <f ca="1"/>
      </c>
      <c r="BI354" s="14">
        <f ca="1"/>
      </c>
      <c r="BJ354" s="14">
        <f ca="1"/>
      </c>
      <c r="BK354" s="14">
        <f ca="1"/>
      </c>
    </row>
    <row r="355" spans="28:63" x14ac:dyDescent="0.55000000000000004">
      <c r="AB355">
        <f ca="1"/>
      </c>
      <c r="AC355">
        <f ca="1"/>
      </c>
      <c r="AD355">
        <f ca="1"/>
      </c>
      <c r="AE355">
        <f ca="1"/>
      </c>
      <c r="AF355">
        <f ca="1"/>
      </c>
      <c r="AG355">
        <f ca="1"/>
      </c>
      <c r="AH355">
        <f ca="1"/>
      </c>
      <c r="AL355" s="7">
        <f ca="1"/>
      </c>
      <c r="AM355" s="14">
        <f ca="1"/>
      </c>
      <c r="AN355" s="14">
        <f ca="1"/>
      </c>
      <c r="AO355" s="14">
        <f ca="1"/>
      </c>
      <c r="AP355" s="14">
        <f ca="1"/>
      </c>
      <c r="AQ355" s="14">
        <f ca="1"/>
      </c>
      <c r="AR355" s="14">
        <f ca="1"/>
      </c>
      <c r="AV355" s="14">
        <f ca="1"/>
      </c>
      <c r="AW355" s="14">
        <f ca="1"/>
      </c>
      <c r="AX355" s="14">
        <f ca="1"/>
      </c>
      <c r="AY355" s="14">
        <f ca="1"/>
      </c>
      <c r="AZ355" s="14">
        <f ca="1"/>
      </c>
      <c r="BF355" s="7">
        <f ca="1"/>
      </c>
      <c r="BG355" s="14">
        <f ca="1"/>
      </c>
      <c r="BH355" s="14">
        <f ca="1"/>
      </c>
      <c r="BI355" s="14">
        <f ca="1"/>
      </c>
      <c r="BJ355" s="14">
        <f ca="1"/>
      </c>
      <c r="BK355" s="14">
        <f ca="1"/>
      </c>
    </row>
    <row r="356" spans="28:63" x14ac:dyDescent="0.55000000000000004">
      <c r="AB356">
        <f ca="1"/>
      </c>
      <c r="AC356">
        <f ca="1"/>
      </c>
      <c r="AD356">
        <f ca="1"/>
      </c>
      <c r="AE356">
        <f ca="1"/>
      </c>
      <c r="AF356">
        <f ca="1"/>
      </c>
      <c r="AG356">
        <f ca="1"/>
      </c>
      <c r="AH356">
        <f ca="1"/>
      </c>
      <c r="AL356" s="7">
        <f ca="1"/>
      </c>
      <c r="AM356" s="14">
        <f ca="1"/>
      </c>
      <c r="AN356" s="14">
        <f ca="1"/>
      </c>
      <c r="AO356" s="14">
        <f ca="1"/>
      </c>
      <c r="AP356" s="14">
        <f ca="1"/>
      </c>
      <c r="AQ356" s="14">
        <f ca="1"/>
      </c>
      <c r="AR356" s="14">
        <f ca="1"/>
      </c>
      <c r="AV356" s="14">
        <f ca="1"/>
      </c>
      <c r="AW356" s="14">
        <f ca="1"/>
      </c>
      <c r="AX356" s="14">
        <f ca="1"/>
      </c>
      <c r="AY356" s="14">
        <f ca="1"/>
      </c>
      <c r="AZ356" s="14">
        <f ca="1"/>
      </c>
      <c r="BF356" s="7">
        <f ca="1"/>
      </c>
      <c r="BG356" s="14">
        <f ca="1"/>
      </c>
      <c r="BH356" s="14">
        <f ca="1"/>
      </c>
      <c r="BI356" s="14">
        <f ca="1"/>
      </c>
      <c r="BJ356" s="14">
        <f ca="1"/>
      </c>
      <c r="BK356" s="14">
        <f ca="1"/>
      </c>
    </row>
    <row r="357" spans="28:63" x14ac:dyDescent="0.55000000000000004">
      <c r="AB357">
        <f ca="1"/>
      </c>
      <c r="AC357">
        <f ca="1"/>
      </c>
      <c r="AD357">
        <f ca="1"/>
      </c>
      <c r="AE357">
        <f ca="1"/>
      </c>
      <c r="AF357">
        <f ca="1"/>
      </c>
      <c r="AG357">
        <f ca="1"/>
      </c>
      <c r="AH357">
        <f ca="1"/>
      </c>
      <c r="AL357" s="7">
        <f ca="1"/>
      </c>
      <c r="AM357" s="14">
        <f ca="1"/>
      </c>
      <c r="AN357" s="14">
        <f ca="1"/>
      </c>
      <c r="AO357" s="14">
        <f ca="1"/>
      </c>
      <c r="AP357" s="14">
        <f ca="1"/>
      </c>
      <c r="AQ357" s="14">
        <f ca="1"/>
      </c>
      <c r="AR357" s="14">
        <f ca="1"/>
      </c>
      <c r="AV357" s="14">
        <f ca="1"/>
      </c>
      <c r="AW357" s="14">
        <f ca="1"/>
      </c>
      <c r="AX357" s="14">
        <f ca="1"/>
      </c>
      <c r="AY357" s="14">
        <f ca="1"/>
      </c>
      <c r="AZ357" s="14">
        <f ca="1"/>
      </c>
      <c r="BF357" s="7">
        <f ca="1"/>
      </c>
      <c r="BG357" s="14">
        <f ca="1"/>
      </c>
      <c r="BH357" s="14">
        <f ca="1"/>
      </c>
      <c r="BI357" s="14">
        <f ca="1"/>
      </c>
      <c r="BJ357" s="14">
        <f ca="1"/>
      </c>
      <c r="BK357" s="14">
        <f ca="1"/>
      </c>
    </row>
    <row r="358" spans="28:63" x14ac:dyDescent="0.55000000000000004">
      <c r="AB358">
        <f ca="1"/>
      </c>
      <c r="AC358">
        <f ca="1"/>
      </c>
      <c r="AD358">
        <f ca="1"/>
      </c>
      <c r="AE358">
        <f ca="1"/>
      </c>
      <c r="AF358">
        <f ca="1"/>
      </c>
      <c r="AG358">
        <f ca="1"/>
      </c>
      <c r="AH358">
        <f ca="1"/>
      </c>
      <c r="AL358" s="7">
        <f ca="1"/>
      </c>
      <c r="AM358" s="14">
        <f ca="1"/>
      </c>
      <c r="AN358" s="14">
        <f ca="1"/>
      </c>
      <c r="AO358" s="14">
        <f ca="1"/>
      </c>
      <c r="AP358" s="14">
        <f ca="1"/>
      </c>
      <c r="AQ358" s="14">
        <f ca="1"/>
      </c>
      <c r="AR358" s="14">
        <f ca="1"/>
      </c>
      <c r="AV358" s="14">
        <f ca="1"/>
      </c>
      <c r="AW358" s="14">
        <f ca="1"/>
      </c>
      <c r="AX358" s="14">
        <f ca="1"/>
      </c>
      <c r="AY358" s="14">
        <f ca="1"/>
      </c>
      <c r="AZ358" s="14">
        <f ca="1"/>
      </c>
      <c r="BF358" s="7">
        <f ca="1"/>
      </c>
      <c r="BG358" s="14">
        <f ca="1"/>
      </c>
      <c r="BH358" s="14">
        <f ca="1"/>
      </c>
      <c r="BI358" s="14">
        <f ca="1"/>
      </c>
      <c r="BJ358" s="14">
        <f ca="1"/>
      </c>
      <c r="BK358" s="14">
        <f ca="1"/>
      </c>
    </row>
    <row r="359" spans="28:63" x14ac:dyDescent="0.55000000000000004">
      <c r="AB359">
        <f ca="1"/>
      </c>
      <c r="AC359">
        <f ca="1"/>
      </c>
      <c r="AD359">
        <f ca="1"/>
      </c>
      <c r="AE359">
        <f ca="1"/>
      </c>
      <c r="AF359">
        <f ca="1"/>
      </c>
      <c r="AG359">
        <f ca="1"/>
      </c>
      <c r="AH359">
        <f ca="1"/>
      </c>
      <c r="AL359" s="7">
        <f ca="1"/>
      </c>
      <c r="AM359" s="14">
        <f ca="1"/>
      </c>
      <c r="AN359" s="14">
        <f ca="1"/>
      </c>
      <c r="AO359" s="14">
        <f ca="1"/>
      </c>
      <c r="AP359" s="14">
        <f ca="1"/>
      </c>
      <c r="AQ359" s="14">
        <f ca="1"/>
      </c>
      <c r="AR359" s="14">
        <f ca="1"/>
      </c>
      <c r="AV359" s="14">
        <f ca="1"/>
      </c>
      <c r="AW359" s="14">
        <f ca="1"/>
      </c>
      <c r="AX359" s="14">
        <f ca="1"/>
      </c>
      <c r="AY359" s="14">
        <f ca="1"/>
      </c>
      <c r="AZ359" s="14">
        <f ca="1"/>
      </c>
      <c r="BF359" s="7">
        <f ca="1"/>
      </c>
      <c r="BG359" s="14">
        <f ca="1"/>
      </c>
      <c r="BH359" s="14">
        <f ca="1"/>
      </c>
      <c r="BI359" s="14">
        <f ca="1"/>
      </c>
      <c r="BJ359" s="14">
        <f ca="1"/>
      </c>
      <c r="BK359" s="14">
        <f ca="1"/>
      </c>
    </row>
    <row r="360" spans="28:63" x14ac:dyDescent="0.55000000000000004">
      <c r="AB360">
        <f ca="1"/>
      </c>
      <c r="AC360">
        <f ca="1"/>
      </c>
      <c r="AD360">
        <f ca="1"/>
      </c>
      <c r="AE360">
        <f ca="1"/>
      </c>
      <c r="AF360">
        <f ca="1"/>
      </c>
      <c r="AG360">
        <f ca="1"/>
      </c>
      <c r="AH360">
        <f ca="1"/>
      </c>
      <c r="AL360" s="7">
        <f ca="1"/>
      </c>
      <c r="AM360" s="14">
        <f ca="1"/>
      </c>
      <c r="AN360" s="14">
        <f ca="1"/>
      </c>
      <c r="AO360" s="14">
        <f ca="1"/>
      </c>
      <c r="AP360" s="14">
        <f ca="1"/>
      </c>
      <c r="AQ360" s="14">
        <f ca="1"/>
      </c>
      <c r="AR360" s="14">
        <f ca="1"/>
      </c>
      <c r="AV360" s="14">
        <f ca="1"/>
      </c>
      <c r="AW360" s="14">
        <f ca="1"/>
      </c>
      <c r="AX360" s="14">
        <f ca="1"/>
      </c>
      <c r="AY360" s="14">
        <f ca="1"/>
      </c>
      <c r="AZ360" s="14">
        <f ca="1"/>
      </c>
      <c r="BF360" s="7">
        <f ca="1"/>
      </c>
      <c r="BG360" s="14">
        <f ca="1"/>
      </c>
      <c r="BH360" s="14">
        <f ca="1"/>
      </c>
      <c r="BI360" s="14">
        <f ca="1"/>
      </c>
      <c r="BJ360" s="14">
        <f ca="1"/>
      </c>
      <c r="BK360" s="14">
        <f ca="1"/>
      </c>
    </row>
    <row r="361" spans="28:63" x14ac:dyDescent="0.55000000000000004">
      <c r="AB361">
        <f ca="1"/>
      </c>
      <c r="AC361">
        <f ca="1"/>
      </c>
      <c r="AD361">
        <f ca="1"/>
      </c>
      <c r="AE361">
        <f ca="1"/>
      </c>
      <c r="AF361">
        <f ca="1"/>
      </c>
      <c r="AG361">
        <f ca="1"/>
      </c>
      <c r="AH361">
        <f ca="1"/>
      </c>
      <c r="AL361" s="7">
        <f ca="1"/>
      </c>
      <c r="AM361" s="14">
        <f ca="1"/>
      </c>
      <c r="AN361" s="14">
        <f ca="1"/>
      </c>
      <c r="AO361" s="14">
        <f ca="1"/>
      </c>
      <c r="AP361" s="14">
        <f ca="1"/>
      </c>
      <c r="AQ361" s="14">
        <f ca="1"/>
      </c>
      <c r="AR361" s="14">
        <f ca="1"/>
      </c>
      <c r="AV361" s="14">
        <f ca="1"/>
      </c>
      <c r="AW361" s="14">
        <f ca="1"/>
      </c>
      <c r="AX361" s="14">
        <f ca="1"/>
      </c>
      <c r="AY361" s="14">
        <f ca="1"/>
      </c>
      <c r="AZ361" s="14">
        <f ca="1"/>
      </c>
      <c r="BF361" s="7">
        <f ca="1"/>
      </c>
      <c r="BG361" s="14">
        <f ca="1"/>
      </c>
      <c r="BH361" s="14">
        <f ca="1"/>
      </c>
      <c r="BI361" s="14">
        <f ca="1"/>
      </c>
      <c r="BJ361" s="14">
        <f ca="1"/>
      </c>
      <c r="BK361" s="14">
        <f ca="1"/>
      </c>
    </row>
    <row r="362" spans="28:63" x14ac:dyDescent="0.55000000000000004">
      <c r="AB362">
        <f ca="1"/>
      </c>
      <c r="AC362">
        <f ca="1"/>
      </c>
      <c r="AD362">
        <f ca="1"/>
      </c>
      <c r="AE362">
        <f ca="1"/>
      </c>
      <c r="AF362">
        <f ca="1"/>
      </c>
      <c r="AG362">
        <f ca="1"/>
      </c>
      <c r="AH362">
        <f ca="1"/>
      </c>
      <c r="AL362" s="7">
        <f ca="1"/>
      </c>
      <c r="AM362" s="14">
        <f ca="1"/>
      </c>
      <c r="AN362" s="14">
        <f ca="1"/>
      </c>
      <c r="AO362" s="14">
        <f ca="1"/>
      </c>
      <c r="AP362" s="14">
        <f ca="1"/>
      </c>
      <c r="AQ362" s="14">
        <f ca="1"/>
      </c>
      <c r="AR362" s="14">
        <f ca="1"/>
      </c>
      <c r="AV362" s="14">
        <f ca="1"/>
      </c>
      <c r="AW362" s="14">
        <f ca="1"/>
      </c>
      <c r="AX362" s="14">
        <f ca="1"/>
      </c>
      <c r="AY362" s="14">
        <f ca="1"/>
      </c>
      <c r="AZ362" s="14">
        <f ca="1"/>
      </c>
      <c r="BF362" s="7">
        <f ca="1"/>
      </c>
      <c r="BG362" s="14">
        <f ca="1"/>
      </c>
      <c r="BH362" s="14">
        <f ca="1"/>
      </c>
      <c r="BI362" s="14">
        <f ca="1"/>
      </c>
      <c r="BJ362" s="14">
        <f ca="1"/>
      </c>
      <c r="BK362" s="14">
        <f ca="1"/>
      </c>
    </row>
    <row r="363" spans="28:63" x14ac:dyDescent="0.55000000000000004">
      <c r="AB363">
        <f ca="1"/>
      </c>
      <c r="AC363">
        <f ca="1"/>
      </c>
      <c r="AD363">
        <f ca="1"/>
      </c>
      <c r="AE363">
        <f ca="1"/>
      </c>
      <c r="AF363">
        <f ca="1"/>
      </c>
      <c r="AG363">
        <f ca="1"/>
      </c>
      <c r="AH363">
        <f ca="1"/>
      </c>
      <c r="AL363" s="7">
        <f ca="1"/>
      </c>
      <c r="AM363" s="14">
        <f ca="1"/>
      </c>
      <c r="AN363" s="14">
        <f ca="1"/>
      </c>
      <c r="AO363" s="14">
        <f ca="1"/>
      </c>
      <c r="AP363" s="14">
        <f ca="1"/>
      </c>
      <c r="AQ363" s="14">
        <f ca="1"/>
      </c>
      <c r="AR363" s="14">
        <f ca="1"/>
      </c>
      <c r="AV363" s="14">
        <f ca="1"/>
      </c>
      <c r="AW363" s="14">
        <f ca="1"/>
      </c>
      <c r="AX363" s="14">
        <f ca="1"/>
      </c>
      <c r="AY363" s="14">
        <f ca="1"/>
      </c>
      <c r="AZ363" s="14">
        <f ca="1"/>
      </c>
      <c r="BF363" s="7">
        <f ca="1"/>
      </c>
      <c r="BG363" s="14">
        <f ca="1"/>
      </c>
      <c r="BH363" s="14">
        <f ca="1"/>
      </c>
      <c r="BI363" s="14">
        <f ca="1"/>
      </c>
      <c r="BJ363" s="14">
        <f ca="1"/>
      </c>
      <c r="BK363" s="14">
        <f ca="1"/>
      </c>
    </row>
    <row r="364" spans="28:63" x14ac:dyDescent="0.55000000000000004">
      <c r="AB364">
        <f ca="1"/>
      </c>
      <c r="AC364">
        <f ca="1"/>
      </c>
      <c r="AD364">
        <f ca="1"/>
      </c>
      <c r="AE364">
        <f ca="1"/>
      </c>
      <c r="AF364">
        <f ca="1"/>
      </c>
      <c r="AG364">
        <f ca="1"/>
      </c>
      <c r="AH364">
        <f ca="1"/>
      </c>
      <c r="AL364" s="7">
        <f ca="1"/>
      </c>
      <c r="AM364" s="14">
        <f ca="1"/>
      </c>
      <c r="AN364" s="14">
        <f ca="1"/>
      </c>
      <c r="AO364" s="14">
        <f ca="1"/>
      </c>
      <c r="AP364" s="14">
        <f ca="1"/>
      </c>
      <c r="AQ364" s="14">
        <f ca="1"/>
      </c>
      <c r="AR364" s="14">
        <f ca="1"/>
      </c>
      <c r="AV364" s="14">
        <f ca="1"/>
      </c>
      <c r="AW364" s="14">
        <f ca="1"/>
      </c>
      <c r="AX364" s="14">
        <f ca="1"/>
      </c>
      <c r="AY364" s="14">
        <f ca="1"/>
      </c>
      <c r="AZ364" s="14">
        <f ca="1"/>
      </c>
      <c r="BF364" s="7">
        <f ca="1"/>
      </c>
      <c r="BG364" s="14">
        <f ca="1"/>
      </c>
      <c r="BH364" s="14">
        <f ca="1"/>
      </c>
      <c r="BI364" s="14">
        <f ca="1"/>
      </c>
      <c r="BJ364" s="14">
        <f ca="1"/>
      </c>
      <c r="BK364" s="14">
        <f ca="1"/>
      </c>
    </row>
    <row r="365" spans="28:63" x14ac:dyDescent="0.55000000000000004">
      <c r="AB365">
        <f ca="1"/>
      </c>
      <c r="AC365">
        <f ca="1"/>
      </c>
      <c r="AD365">
        <f ca="1"/>
      </c>
      <c r="AE365">
        <f ca="1"/>
      </c>
      <c r="AF365">
        <f ca="1"/>
      </c>
      <c r="AG365">
        <f ca="1"/>
      </c>
      <c r="AH365">
        <f ca="1"/>
      </c>
      <c r="AL365" s="7">
        <f ca="1"/>
      </c>
      <c r="AM365" s="14">
        <f ca="1"/>
      </c>
      <c r="AN365" s="14">
        <f ca="1"/>
      </c>
      <c r="AO365" s="14">
        <f ca="1"/>
      </c>
      <c r="AP365" s="14">
        <f ca="1"/>
      </c>
      <c r="AQ365" s="14">
        <f ca="1"/>
      </c>
      <c r="AR365" s="14">
        <f ca="1"/>
      </c>
      <c r="AV365" s="14">
        <f ca="1"/>
      </c>
      <c r="AW365" s="14">
        <f ca="1"/>
      </c>
      <c r="AX365" s="14">
        <f ca="1"/>
      </c>
      <c r="AY365" s="14">
        <f ca="1"/>
      </c>
      <c r="AZ365" s="14">
        <f ca="1"/>
      </c>
      <c r="BF365" s="7">
        <f ca="1"/>
      </c>
      <c r="BG365" s="14">
        <f ca="1"/>
      </c>
      <c r="BH365" s="14">
        <f ca="1"/>
      </c>
      <c r="BI365" s="14">
        <f ca="1"/>
      </c>
      <c r="BJ365" s="14">
        <f ca="1"/>
      </c>
      <c r="BK365" s="14">
        <f ca="1"/>
      </c>
    </row>
    <row r="366" spans="28:63" x14ac:dyDescent="0.55000000000000004">
      <c r="AB366">
        <f ca="1"/>
      </c>
      <c r="AC366">
        <f ca="1"/>
      </c>
      <c r="AD366">
        <f ca="1"/>
      </c>
      <c r="AE366">
        <f ca="1"/>
      </c>
      <c r="AF366">
        <f ca="1"/>
      </c>
      <c r="AG366">
        <f ca="1"/>
      </c>
      <c r="AH366">
        <f ca="1"/>
      </c>
      <c r="AL366" s="7">
        <f ca="1"/>
      </c>
      <c r="AM366" s="14">
        <f ca="1"/>
      </c>
      <c r="AN366" s="14">
        <f ca="1"/>
      </c>
      <c r="AO366" s="14">
        <f ca="1"/>
      </c>
      <c r="AP366" s="14">
        <f ca="1"/>
      </c>
      <c r="AQ366" s="14">
        <f ca="1"/>
      </c>
      <c r="AR366" s="14">
        <f ca="1"/>
      </c>
      <c r="AV366" s="14">
        <f ca="1"/>
      </c>
      <c r="AW366" s="14">
        <f ca="1"/>
      </c>
      <c r="AX366" s="14">
        <f ca="1"/>
      </c>
      <c r="AY366" s="14">
        <f ca="1"/>
      </c>
      <c r="AZ366" s="14">
        <f ca="1"/>
      </c>
      <c r="BF366" s="7">
        <f ca="1"/>
      </c>
      <c r="BG366" s="14">
        <f ca="1"/>
      </c>
      <c r="BH366" s="14">
        <f ca="1"/>
      </c>
      <c r="BI366" s="14">
        <f ca="1"/>
      </c>
      <c r="BJ366" s="14">
        <f ca="1"/>
      </c>
      <c r="BK366" s="14">
        <f ca="1"/>
      </c>
    </row>
    <row r="367" spans="28:63" x14ac:dyDescent="0.55000000000000004">
      <c r="AB367">
        <f ca="1"/>
      </c>
      <c r="AC367">
        <f ca="1"/>
      </c>
      <c r="AD367">
        <f ca="1"/>
      </c>
      <c r="AE367">
        <f ca="1"/>
      </c>
      <c r="AF367">
        <f ca="1"/>
      </c>
      <c r="AG367">
        <f ca="1"/>
      </c>
      <c r="AH367">
        <f ca="1"/>
      </c>
      <c r="AL367" s="7">
        <f ca="1"/>
      </c>
      <c r="AM367" s="14">
        <f ca="1"/>
      </c>
      <c r="AN367" s="14">
        <f ca="1"/>
      </c>
      <c r="AO367" s="14">
        <f ca="1"/>
      </c>
      <c r="AP367" s="14">
        <f ca="1"/>
      </c>
      <c r="AQ367" s="14">
        <f ca="1"/>
      </c>
      <c r="AR367" s="14">
        <f ca="1"/>
      </c>
      <c r="AV367" s="14">
        <f ca="1"/>
      </c>
      <c r="AW367" s="14">
        <f ca="1"/>
      </c>
      <c r="AX367" s="14">
        <f ca="1"/>
      </c>
      <c r="AY367" s="14">
        <f ca="1"/>
      </c>
      <c r="AZ367" s="14">
        <f ca="1"/>
      </c>
      <c r="BF367" s="7">
        <f ca="1"/>
      </c>
      <c r="BG367" s="14">
        <f ca="1"/>
      </c>
      <c r="BH367" s="14">
        <f ca="1"/>
      </c>
      <c r="BI367" s="14">
        <f ca="1"/>
      </c>
      <c r="BJ367" s="14">
        <f ca="1"/>
      </c>
      <c r="BK367" s="14">
        <f ca="1"/>
      </c>
    </row>
    <row r="368" spans="28:63" x14ac:dyDescent="0.55000000000000004">
      <c r="AB368">
        <f ca="1"/>
      </c>
      <c r="AC368">
        <f ca="1"/>
      </c>
      <c r="AD368">
        <f ca="1"/>
      </c>
      <c r="AE368">
        <f ca="1"/>
      </c>
      <c r="AF368">
        <f ca="1"/>
      </c>
      <c r="AG368">
        <f ca="1"/>
      </c>
      <c r="AH368">
        <f ca="1"/>
      </c>
      <c r="AL368" s="7">
        <f ca="1"/>
      </c>
      <c r="AM368" s="14">
        <f ca="1"/>
      </c>
      <c r="AN368" s="14">
        <f ca="1"/>
      </c>
      <c r="AO368" s="14">
        <f ca="1"/>
      </c>
      <c r="AP368" s="14">
        <f ca="1"/>
      </c>
      <c r="AQ368" s="14">
        <f ca="1"/>
      </c>
      <c r="AR368" s="14">
        <f ca="1"/>
      </c>
      <c r="AV368" s="14">
        <f ca="1"/>
      </c>
      <c r="AW368" s="14">
        <f ca="1"/>
      </c>
      <c r="AX368" s="14">
        <f ca="1"/>
      </c>
      <c r="AY368" s="14">
        <f ca="1"/>
      </c>
      <c r="AZ368" s="14">
        <f ca="1"/>
      </c>
      <c r="BF368" s="7">
        <f ca="1"/>
      </c>
      <c r="BG368" s="14">
        <f ca="1"/>
      </c>
      <c r="BH368" s="14">
        <f ca="1"/>
      </c>
      <c r="BI368" s="14">
        <f ca="1"/>
      </c>
      <c r="BJ368" s="14">
        <f ca="1"/>
      </c>
      <c r="BK368" s="14">
        <f ca="1"/>
      </c>
    </row>
    <row r="369" spans="28:63" x14ac:dyDescent="0.55000000000000004">
      <c r="AB369">
        <f ca="1"/>
      </c>
      <c r="AC369">
        <f ca="1"/>
      </c>
      <c r="AD369">
        <f ca="1"/>
      </c>
      <c r="AE369">
        <f ca="1"/>
      </c>
      <c r="AF369">
        <f ca="1"/>
      </c>
      <c r="AG369">
        <f ca="1"/>
      </c>
      <c r="AH369">
        <f ca="1"/>
      </c>
      <c r="AL369" s="7">
        <f ca="1"/>
      </c>
      <c r="AM369" s="14">
        <f ca="1"/>
      </c>
      <c r="AN369" s="14">
        <f ca="1"/>
      </c>
      <c r="AO369" s="14">
        <f ca="1"/>
      </c>
      <c r="AP369" s="14">
        <f ca="1"/>
      </c>
      <c r="AQ369" s="14">
        <f ca="1"/>
      </c>
      <c r="AR369" s="14">
        <f ca="1"/>
      </c>
      <c r="AV369" s="14">
        <f ca="1"/>
      </c>
      <c r="AW369" s="14">
        <f ca="1"/>
      </c>
      <c r="AX369" s="14">
        <f ca="1"/>
      </c>
      <c r="AY369" s="14">
        <f ca="1"/>
      </c>
      <c r="AZ369" s="14">
        <f ca="1"/>
      </c>
      <c r="BF369" s="7">
        <f ca="1"/>
      </c>
      <c r="BG369" s="14">
        <f ca="1"/>
      </c>
      <c r="BH369" s="14">
        <f ca="1"/>
      </c>
      <c r="BI369" s="14">
        <f ca="1"/>
      </c>
      <c r="BJ369" s="14">
        <f ca="1"/>
      </c>
      <c r="BK369" s="14">
        <f ca="1"/>
      </c>
    </row>
    <row r="370" spans="28:63" x14ac:dyDescent="0.55000000000000004">
      <c r="AB370">
        <f ca="1"/>
      </c>
      <c r="AC370">
        <f ca="1"/>
      </c>
      <c r="AD370">
        <f ca="1"/>
      </c>
      <c r="AE370">
        <f ca="1"/>
      </c>
      <c r="AF370">
        <f ca="1"/>
      </c>
      <c r="AG370">
        <f ca="1"/>
      </c>
      <c r="AH370">
        <f ca="1"/>
      </c>
      <c r="AL370" s="7">
        <f ca="1"/>
      </c>
      <c r="AM370" s="14">
        <f ca="1"/>
      </c>
      <c r="AN370" s="14">
        <f ca="1"/>
      </c>
      <c r="AO370" s="14">
        <f ca="1"/>
      </c>
      <c r="AP370" s="14">
        <f ca="1"/>
      </c>
      <c r="AQ370" s="14">
        <f ca="1"/>
      </c>
      <c r="AR370" s="14">
        <f ca="1"/>
      </c>
      <c r="AV370" s="14">
        <f ca="1"/>
      </c>
      <c r="AW370" s="14">
        <f ca="1"/>
      </c>
      <c r="AX370" s="14">
        <f ca="1"/>
      </c>
      <c r="AY370" s="14">
        <f ca="1"/>
      </c>
      <c r="AZ370" s="14">
        <f ca="1"/>
      </c>
      <c r="BF370" s="7">
        <f ca="1"/>
      </c>
      <c r="BG370" s="14">
        <f ca="1"/>
      </c>
      <c r="BH370" s="14">
        <f ca="1"/>
      </c>
      <c r="BI370" s="14">
        <f ca="1"/>
      </c>
      <c r="BJ370" s="14">
        <f ca="1"/>
      </c>
      <c r="BK370" s="14">
        <f ca="1"/>
      </c>
    </row>
    <row r="371" spans="28:63" x14ac:dyDescent="0.55000000000000004">
      <c r="AB371">
        <f ca="1"/>
      </c>
      <c r="AC371">
        <f ca="1"/>
      </c>
      <c r="AD371">
        <f ca="1"/>
      </c>
      <c r="AE371">
        <f ca="1"/>
      </c>
      <c r="AF371">
        <f ca="1"/>
      </c>
      <c r="AG371">
        <f ca="1"/>
      </c>
      <c r="AH371">
        <f ca="1"/>
      </c>
      <c r="AL371" s="7">
        <f ca="1"/>
      </c>
      <c r="AM371" s="14">
        <f ca="1"/>
      </c>
      <c r="AN371" s="14">
        <f ca="1"/>
      </c>
      <c r="AO371" s="14">
        <f ca="1"/>
      </c>
      <c r="AP371" s="14">
        <f ca="1"/>
      </c>
      <c r="AQ371" s="14">
        <f ca="1"/>
      </c>
      <c r="AR371" s="14">
        <f ca="1"/>
      </c>
      <c r="AV371" s="14">
        <f ca="1"/>
      </c>
      <c r="AW371" s="14">
        <f ca="1"/>
      </c>
      <c r="AX371" s="14">
        <f ca="1"/>
      </c>
      <c r="AY371" s="14">
        <f ca="1"/>
      </c>
      <c r="AZ371" s="14">
        <f ca="1"/>
      </c>
      <c r="BF371" s="7">
        <f ca="1"/>
      </c>
      <c r="BG371" s="14">
        <f ca="1"/>
      </c>
      <c r="BH371" s="14">
        <f ca="1"/>
      </c>
      <c r="BI371" s="14">
        <f ca="1"/>
      </c>
      <c r="BJ371" s="14">
        <f ca="1"/>
      </c>
      <c r="BK371" s="14">
        <f ca="1"/>
      </c>
    </row>
    <row r="372" spans="28:63" x14ac:dyDescent="0.55000000000000004">
      <c r="AB372">
        <f ca="1"/>
      </c>
      <c r="AC372">
        <f ca="1"/>
      </c>
      <c r="AD372">
        <f ca="1"/>
      </c>
      <c r="AE372">
        <f ca="1"/>
      </c>
      <c r="AF372">
        <f ca="1"/>
      </c>
      <c r="AG372">
        <f ca="1"/>
      </c>
      <c r="AH372">
        <f ca="1"/>
      </c>
      <c r="AL372" s="7">
        <f ca="1"/>
      </c>
      <c r="AM372" s="14">
        <f ca="1"/>
      </c>
      <c r="AN372" s="14">
        <f ca="1"/>
      </c>
      <c r="AO372" s="14">
        <f ca="1"/>
      </c>
      <c r="AP372" s="14">
        <f ca="1"/>
      </c>
      <c r="AQ372" s="14">
        <f ca="1"/>
      </c>
      <c r="AR372" s="14">
        <f ca="1"/>
      </c>
      <c r="AV372" s="14">
        <f ca="1"/>
      </c>
      <c r="AW372" s="14">
        <f ca="1"/>
      </c>
      <c r="AX372" s="14">
        <f ca="1"/>
      </c>
      <c r="AY372" s="14">
        <f ca="1"/>
      </c>
      <c r="AZ372" s="14">
        <f ca="1"/>
      </c>
      <c r="BF372" s="7">
        <f ca="1"/>
      </c>
      <c r="BG372" s="14">
        <f ca="1"/>
      </c>
      <c r="BH372" s="14">
        <f ca="1"/>
      </c>
      <c r="BI372" s="14">
        <f ca="1"/>
      </c>
      <c r="BJ372" s="14">
        <f ca="1"/>
      </c>
      <c r="BK372" s="14">
        <f ca="1"/>
      </c>
    </row>
    <row r="373" spans="28:63" x14ac:dyDescent="0.55000000000000004">
      <c r="AB373">
        <f ca="1"/>
      </c>
      <c r="AC373">
        <f ca="1"/>
      </c>
      <c r="AD373">
        <f ca="1"/>
      </c>
      <c r="AE373">
        <f ca="1"/>
      </c>
      <c r="AF373">
        <f ca="1"/>
      </c>
      <c r="AG373">
        <f ca="1"/>
      </c>
      <c r="AH373">
        <f ca="1"/>
      </c>
      <c r="AL373" s="7">
        <f ca="1"/>
      </c>
      <c r="AM373" s="14">
        <f ca="1"/>
      </c>
      <c r="AN373" s="14">
        <f ca="1"/>
      </c>
      <c r="AO373" s="14">
        <f ca="1"/>
      </c>
      <c r="AP373" s="14">
        <f ca="1"/>
      </c>
      <c r="AQ373" s="14">
        <f ca="1"/>
      </c>
      <c r="AR373" s="14">
        <f ca="1"/>
      </c>
      <c r="AV373" s="14">
        <f ca="1"/>
      </c>
      <c r="AW373" s="14">
        <f ca="1"/>
      </c>
      <c r="AX373" s="14">
        <f ca="1"/>
      </c>
      <c r="AY373" s="14">
        <f ca="1"/>
      </c>
      <c r="AZ373" s="14">
        <f ca="1"/>
      </c>
      <c r="BF373" s="7">
        <f ca="1"/>
      </c>
      <c r="BG373" s="14">
        <f ca="1"/>
      </c>
      <c r="BH373" s="14">
        <f ca="1"/>
      </c>
      <c r="BI373" s="14">
        <f ca="1"/>
      </c>
      <c r="BJ373" s="14">
        <f ca="1"/>
      </c>
      <c r="BK373" s="14">
        <f ca="1"/>
      </c>
    </row>
    <row r="374" spans="28:63" x14ac:dyDescent="0.55000000000000004">
      <c r="AB374">
        <f ca="1"/>
      </c>
      <c r="AC374">
        <f ca="1"/>
      </c>
      <c r="AD374">
        <f ca="1"/>
      </c>
      <c r="AE374">
        <f ca="1"/>
      </c>
      <c r="AF374">
        <f ca="1"/>
      </c>
      <c r="AG374">
        <f ca="1"/>
      </c>
      <c r="AH374">
        <f ca="1"/>
      </c>
      <c r="AL374" s="7">
        <f ca="1"/>
      </c>
      <c r="AM374" s="14">
        <f ca="1"/>
      </c>
      <c r="AN374" s="14">
        <f ca="1"/>
      </c>
      <c r="AO374" s="14">
        <f ca="1"/>
      </c>
      <c r="AP374" s="14">
        <f ca="1"/>
      </c>
      <c r="AQ374" s="14">
        <f ca="1"/>
      </c>
      <c r="AR374" s="14">
        <f ca="1"/>
      </c>
      <c r="AV374" s="14">
        <f ca="1"/>
      </c>
      <c r="AW374" s="14">
        <f ca="1"/>
      </c>
      <c r="AX374" s="14">
        <f ca="1"/>
      </c>
      <c r="AY374" s="14">
        <f ca="1"/>
      </c>
      <c r="AZ374" s="14">
        <f ca="1"/>
      </c>
      <c r="BF374" s="7">
        <f ca="1"/>
      </c>
      <c r="BG374" s="14">
        <f ca="1"/>
      </c>
      <c r="BH374" s="14">
        <f ca="1"/>
      </c>
      <c r="BI374" s="14">
        <f ca="1"/>
      </c>
      <c r="BJ374" s="14">
        <f ca="1"/>
      </c>
      <c r="BK374" s="14">
        <f ca="1"/>
      </c>
    </row>
    <row r="375" spans="28:63" x14ac:dyDescent="0.55000000000000004">
      <c r="AB375">
        <f ca="1"/>
      </c>
      <c r="AC375">
        <f ca="1"/>
      </c>
      <c r="AD375">
        <f ca="1"/>
      </c>
      <c r="AE375">
        <f ca="1"/>
      </c>
      <c r="AF375">
        <f ca="1"/>
      </c>
      <c r="AG375">
        <f ca="1"/>
      </c>
      <c r="AH375">
        <f ca="1"/>
      </c>
      <c r="AL375" s="7">
        <f ca="1"/>
      </c>
      <c r="AM375" s="14">
        <f ca="1"/>
      </c>
      <c r="AN375" s="14">
        <f ca="1"/>
      </c>
      <c r="AO375" s="14">
        <f ca="1"/>
      </c>
      <c r="AP375" s="14">
        <f ca="1"/>
      </c>
      <c r="AQ375" s="14">
        <f ca="1"/>
      </c>
      <c r="AR375" s="14">
        <f ca="1"/>
      </c>
      <c r="AV375" s="14">
        <f ca="1"/>
      </c>
      <c r="AW375" s="14">
        <f ca="1"/>
      </c>
      <c r="AX375" s="14">
        <f ca="1"/>
      </c>
      <c r="AY375" s="14">
        <f ca="1"/>
      </c>
      <c r="AZ375" s="14">
        <f ca="1"/>
      </c>
      <c r="BF375" s="7">
        <f ca="1"/>
      </c>
      <c r="BG375" s="14">
        <f ca="1"/>
      </c>
      <c r="BH375" s="14">
        <f ca="1"/>
      </c>
      <c r="BI375" s="14">
        <f ca="1"/>
      </c>
      <c r="BJ375" s="14">
        <f ca="1"/>
      </c>
      <c r="BK375" s="14">
        <f ca="1"/>
      </c>
    </row>
    <row r="376" spans="28:63" x14ac:dyDescent="0.55000000000000004">
      <c r="AB376">
        <f ca="1"/>
      </c>
      <c r="AC376">
        <f ca="1"/>
      </c>
      <c r="AD376">
        <f ca="1"/>
      </c>
      <c r="AE376">
        <f ca="1"/>
      </c>
      <c r="AF376">
        <f ca="1"/>
      </c>
      <c r="AG376">
        <f ca="1"/>
      </c>
      <c r="AH376">
        <f ca="1"/>
      </c>
      <c r="AL376" s="7">
        <f ca="1"/>
      </c>
      <c r="AM376" s="14">
        <f ca="1"/>
      </c>
      <c r="AN376" s="14">
        <f ca="1"/>
      </c>
      <c r="AO376" s="14">
        <f ca="1"/>
      </c>
      <c r="AP376" s="14">
        <f ca="1"/>
      </c>
      <c r="AQ376" s="14">
        <f ca="1"/>
      </c>
      <c r="AR376" s="14">
        <f ca="1"/>
      </c>
      <c r="AV376" s="14">
        <f ca="1"/>
      </c>
      <c r="AW376" s="14">
        <f ca="1"/>
      </c>
      <c r="AX376" s="14">
        <f ca="1"/>
      </c>
      <c r="AY376" s="14">
        <f ca="1"/>
      </c>
      <c r="AZ376" s="14">
        <f ca="1"/>
      </c>
      <c r="BF376" s="7">
        <f ca="1"/>
      </c>
      <c r="BG376" s="14">
        <f ca="1"/>
      </c>
      <c r="BH376" s="14">
        <f ca="1"/>
      </c>
      <c r="BI376" s="14">
        <f ca="1"/>
      </c>
      <c r="BJ376" s="14">
        <f ca="1"/>
      </c>
      <c r="BK376" s="14">
        <f ca="1"/>
      </c>
    </row>
    <row r="377" spans="28:63" x14ac:dyDescent="0.55000000000000004">
      <c r="AB377">
        <f ca="1"/>
      </c>
      <c r="AC377">
        <f ca="1"/>
      </c>
      <c r="AD377">
        <f ca="1"/>
      </c>
      <c r="AE377">
        <f ca="1"/>
      </c>
      <c r="AF377">
        <f ca="1"/>
      </c>
      <c r="AG377">
        <f ca="1"/>
      </c>
      <c r="AH377">
        <f ca="1"/>
      </c>
      <c r="AL377" s="7">
        <f ca="1"/>
      </c>
      <c r="AM377" s="14">
        <f ca="1"/>
      </c>
      <c r="AN377" s="14">
        <f ca="1"/>
      </c>
      <c r="AO377" s="14">
        <f ca="1"/>
      </c>
      <c r="AP377" s="14">
        <f ca="1"/>
      </c>
      <c r="AQ377" s="14">
        <f ca="1"/>
      </c>
      <c r="AR377" s="14">
        <f ca="1"/>
      </c>
      <c r="AV377" s="14">
        <f ca="1"/>
      </c>
      <c r="AW377" s="14">
        <f ca="1"/>
      </c>
      <c r="AX377" s="14">
        <f ca="1"/>
      </c>
      <c r="AY377" s="14">
        <f ca="1"/>
      </c>
      <c r="AZ377" s="14">
        <f ca="1"/>
      </c>
      <c r="BF377" s="7">
        <f ca="1"/>
      </c>
      <c r="BG377" s="14">
        <f ca="1"/>
      </c>
      <c r="BH377" s="14">
        <f ca="1"/>
      </c>
      <c r="BI377" s="14">
        <f ca="1"/>
      </c>
      <c r="BJ377" s="14">
        <f ca="1"/>
      </c>
      <c r="BK377" s="14">
        <f ca="1"/>
      </c>
    </row>
    <row r="378" spans="28:63" x14ac:dyDescent="0.55000000000000004">
      <c r="AB378">
        <f ca="1"/>
      </c>
      <c r="AC378">
        <f ca="1"/>
      </c>
      <c r="AD378">
        <f ca="1"/>
      </c>
      <c r="AE378">
        <f ca="1"/>
      </c>
      <c r="AF378">
        <f ca="1"/>
      </c>
      <c r="AG378">
        <f ca="1"/>
      </c>
      <c r="AH378">
        <f ca="1"/>
      </c>
      <c r="AL378" s="7">
        <f ca="1"/>
      </c>
      <c r="AM378" s="14">
        <f ca="1"/>
      </c>
      <c r="AN378" s="14">
        <f ca="1"/>
      </c>
      <c r="AO378" s="14">
        <f ca="1"/>
      </c>
      <c r="AP378" s="14">
        <f ca="1"/>
      </c>
      <c r="AQ378" s="14">
        <f ca="1"/>
      </c>
      <c r="AR378" s="14">
        <f ca="1"/>
      </c>
      <c r="AV378" s="14">
        <f ca="1"/>
      </c>
      <c r="AW378" s="14">
        <f ca="1"/>
      </c>
      <c r="AX378" s="14">
        <f ca="1"/>
      </c>
      <c r="AY378" s="14">
        <f ca="1"/>
      </c>
      <c r="AZ378" s="14">
        <f ca="1"/>
      </c>
      <c r="BF378" s="7">
        <f ca="1"/>
      </c>
      <c r="BG378" s="14">
        <f ca="1"/>
      </c>
      <c r="BH378" s="14">
        <f ca="1"/>
      </c>
      <c r="BI378" s="14">
        <f ca="1"/>
      </c>
      <c r="BJ378" s="14">
        <f ca="1"/>
      </c>
      <c r="BK378" s="14">
        <f ca="1"/>
      </c>
    </row>
    <row r="379" spans="28:63" x14ac:dyDescent="0.55000000000000004">
      <c r="AB379">
        <f ca="1"/>
      </c>
      <c r="AC379">
        <f ca="1"/>
      </c>
      <c r="AD379">
        <f ca="1"/>
      </c>
      <c r="AE379">
        <f ca="1"/>
      </c>
      <c r="AF379">
        <f ca="1"/>
      </c>
      <c r="AG379">
        <f ca="1"/>
      </c>
      <c r="AH379">
        <f ca="1"/>
      </c>
      <c r="AL379" s="7">
        <f ca="1"/>
      </c>
      <c r="AM379" s="14">
        <f ca="1"/>
      </c>
      <c r="AN379" s="14">
        <f ca="1"/>
      </c>
      <c r="AO379" s="14">
        <f ca="1"/>
      </c>
      <c r="AP379" s="14">
        <f ca="1"/>
      </c>
      <c r="AQ379" s="14">
        <f ca="1"/>
      </c>
      <c r="AR379" s="14">
        <f ca="1"/>
      </c>
      <c r="AV379" s="14">
        <f ca="1"/>
      </c>
      <c r="AW379" s="14">
        <f ca="1"/>
      </c>
      <c r="AX379" s="14">
        <f ca="1"/>
      </c>
      <c r="AY379" s="14">
        <f ca="1"/>
      </c>
      <c r="AZ379" s="14">
        <f ca="1"/>
      </c>
      <c r="BF379" s="7">
        <f ca="1"/>
      </c>
      <c r="BG379" s="14">
        <f ca="1"/>
      </c>
      <c r="BH379" s="14">
        <f ca="1"/>
      </c>
      <c r="BI379" s="14">
        <f ca="1"/>
      </c>
      <c r="BJ379" s="14">
        <f ca="1"/>
      </c>
      <c r="BK379" s="14">
        <f ca="1"/>
      </c>
    </row>
    <row r="380" spans="28:63" x14ac:dyDescent="0.55000000000000004">
      <c r="AB380">
        <f ca="1"/>
      </c>
      <c r="AC380">
        <f ca="1"/>
      </c>
      <c r="AD380">
        <f ca="1"/>
      </c>
      <c r="AE380">
        <f ca="1"/>
      </c>
      <c r="AF380">
        <f ca="1"/>
      </c>
      <c r="AG380">
        <f ca="1"/>
      </c>
      <c r="AH380">
        <f ca="1"/>
      </c>
      <c r="AL380" s="7">
        <f ca="1"/>
      </c>
      <c r="AM380" s="14">
        <f ca="1"/>
      </c>
      <c r="AN380" s="14">
        <f ca="1"/>
      </c>
      <c r="AO380" s="14">
        <f ca="1"/>
      </c>
      <c r="AP380" s="14">
        <f ca="1"/>
      </c>
      <c r="AQ380" s="14">
        <f ca="1"/>
      </c>
      <c r="AR380" s="14">
        <f ca="1"/>
      </c>
      <c r="AV380" s="14">
        <f ca="1"/>
      </c>
      <c r="AW380" s="14">
        <f ca="1"/>
      </c>
      <c r="AX380" s="14">
        <f ca="1"/>
      </c>
      <c r="AY380" s="14">
        <f ca="1"/>
      </c>
      <c r="AZ380" s="14">
        <f ca="1"/>
      </c>
      <c r="BF380" s="7">
        <f ca="1"/>
      </c>
      <c r="BG380" s="14">
        <f ca="1"/>
      </c>
      <c r="BH380" s="14">
        <f ca="1"/>
      </c>
      <c r="BI380" s="14">
        <f ca="1"/>
      </c>
      <c r="BJ380" s="14">
        <f ca="1"/>
      </c>
      <c r="BK380" s="14">
        <f ca="1"/>
      </c>
    </row>
    <row r="381" spans="28:63" x14ac:dyDescent="0.55000000000000004">
      <c r="AB381">
        <f ca="1"/>
      </c>
      <c r="AC381">
        <f ca="1"/>
      </c>
      <c r="AD381">
        <f ca="1"/>
      </c>
      <c r="AE381">
        <f ca="1"/>
      </c>
      <c r="AF381">
        <f ca="1"/>
      </c>
      <c r="AG381">
        <f ca="1"/>
      </c>
      <c r="AH381">
        <f ca="1"/>
      </c>
      <c r="AL381" s="7">
        <f ca="1"/>
      </c>
      <c r="AM381" s="14">
        <f ca="1"/>
      </c>
      <c r="AN381" s="14">
        <f ca="1"/>
      </c>
      <c r="AO381" s="14">
        <f ca="1"/>
      </c>
      <c r="AP381" s="14">
        <f ca="1"/>
      </c>
      <c r="AQ381" s="14">
        <f ca="1"/>
      </c>
      <c r="AR381" s="14">
        <f ca="1"/>
      </c>
      <c r="AV381" s="14">
        <f ca="1"/>
      </c>
      <c r="AW381" s="14">
        <f ca="1"/>
      </c>
      <c r="AX381" s="14">
        <f ca="1"/>
      </c>
      <c r="AY381" s="14">
        <f ca="1"/>
      </c>
      <c r="AZ381" s="14">
        <f ca="1"/>
      </c>
      <c r="BF381" s="7">
        <f ca="1"/>
      </c>
      <c r="BG381" s="14">
        <f ca="1"/>
      </c>
      <c r="BH381" s="14">
        <f ca="1"/>
      </c>
      <c r="BI381" s="14">
        <f ca="1"/>
      </c>
      <c r="BJ381" s="14">
        <f ca="1"/>
      </c>
      <c r="BK381" s="14">
        <f ca="1"/>
      </c>
    </row>
    <row r="382" spans="28:63" x14ac:dyDescent="0.55000000000000004">
      <c r="AB382">
        <f ca="1"/>
      </c>
      <c r="AC382">
        <f ca="1"/>
      </c>
      <c r="AD382">
        <f ca="1"/>
      </c>
      <c r="AE382">
        <f ca="1"/>
      </c>
      <c r="AF382">
        <f ca="1"/>
      </c>
      <c r="AG382">
        <f ca="1"/>
      </c>
      <c r="AH382">
        <f ca="1"/>
      </c>
      <c r="AL382" s="7">
        <f ca="1"/>
      </c>
      <c r="AM382" s="14">
        <f ca="1"/>
      </c>
      <c r="AN382" s="14">
        <f ca="1"/>
      </c>
      <c r="AO382" s="14">
        <f ca="1"/>
      </c>
      <c r="AP382" s="14">
        <f ca="1"/>
      </c>
      <c r="AQ382" s="14">
        <f ca="1"/>
      </c>
      <c r="AR382" s="14">
        <f ca="1"/>
      </c>
      <c r="AV382" s="14">
        <f ca="1"/>
      </c>
      <c r="AW382" s="14">
        <f ca="1"/>
      </c>
      <c r="AX382" s="14">
        <f ca="1"/>
      </c>
      <c r="AY382" s="14">
        <f ca="1"/>
      </c>
      <c r="AZ382" s="14">
        <f ca="1"/>
      </c>
      <c r="BF382" s="7">
        <f ca="1"/>
      </c>
      <c r="BG382" s="14">
        <f ca="1"/>
      </c>
      <c r="BH382" s="14">
        <f ca="1"/>
      </c>
      <c r="BI382" s="14">
        <f ca="1"/>
      </c>
      <c r="BJ382" s="14">
        <f ca="1"/>
      </c>
      <c r="BK382" s="14">
        <f ca="1"/>
      </c>
    </row>
    <row r="383" spans="28:63" x14ac:dyDescent="0.55000000000000004">
      <c r="AB383">
        <f ca="1"/>
      </c>
      <c r="AC383">
        <f ca="1"/>
      </c>
      <c r="AD383">
        <f ca="1"/>
      </c>
      <c r="AE383">
        <f ca="1"/>
      </c>
      <c r="AF383">
        <f ca="1"/>
      </c>
      <c r="AG383">
        <f ca="1"/>
      </c>
      <c r="AH383">
        <f ca="1"/>
      </c>
      <c r="AL383" s="7">
        <f ca="1"/>
      </c>
      <c r="AM383" s="14">
        <f ca="1"/>
      </c>
      <c r="AN383" s="14">
        <f ca="1"/>
      </c>
      <c r="AO383" s="14">
        <f ca="1"/>
      </c>
      <c r="AP383" s="14">
        <f ca="1"/>
      </c>
      <c r="AQ383" s="14">
        <f ca="1"/>
      </c>
      <c r="AR383" s="14">
        <f ca="1"/>
      </c>
      <c r="AV383" s="14">
        <f ca="1"/>
      </c>
      <c r="AW383" s="14">
        <f ca="1"/>
      </c>
      <c r="AX383" s="14">
        <f ca="1"/>
      </c>
      <c r="AY383" s="14">
        <f ca="1"/>
      </c>
      <c r="AZ383" s="14">
        <f ca="1"/>
      </c>
      <c r="BF383" s="7">
        <f ca="1"/>
      </c>
      <c r="BG383" s="14">
        <f ca="1"/>
      </c>
      <c r="BH383" s="14">
        <f ca="1"/>
      </c>
      <c r="BI383" s="14">
        <f ca="1"/>
      </c>
      <c r="BJ383" s="14">
        <f ca="1"/>
      </c>
      <c r="BK383" s="14">
        <f ca="1"/>
      </c>
    </row>
    <row r="384" spans="28:63" x14ac:dyDescent="0.55000000000000004">
      <c r="AB384">
        <f ca="1"/>
      </c>
      <c r="AC384">
        <f ca="1"/>
      </c>
      <c r="AD384">
        <f ca="1"/>
      </c>
      <c r="AE384">
        <f ca="1"/>
      </c>
      <c r="AF384">
        <f ca="1"/>
      </c>
      <c r="AG384">
        <f ca="1"/>
      </c>
      <c r="AH384">
        <f ca="1"/>
      </c>
      <c r="AL384" s="7">
        <f ca="1"/>
      </c>
      <c r="AM384" s="14">
        <f ca="1"/>
      </c>
      <c r="AN384" s="14">
        <f ca="1"/>
      </c>
      <c r="AO384" s="14">
        <f ca="1"/>
      </c>
      <c r="AP384" s="14">
        <f ca="1"/>
      </c>
      <c r="AQ384" s="14">
        <f ca="1"/>
      </c>
      <c r="AR384" s="14">
        <f ca="1"/>
      </c>
      <c r="AV384" s="14">
        <f ca="1"/>
      </c>
      <c r="AW384" s="14">
        <f ca="1"/>
      </c>
      <c r="AX384" s="14">
        <f ca="1"/>
      </c>
      <c r="AY384" s="14">
        <f ca="1"/>
      </c>
      <c r="AZ384" s="14">
        <f ca="1"/>
      </c>
      <c r="BF384" s="7">
        <f ca="1"/>
      </c>
      <c r="BG384" s="14">
        <f ca="1"/>
      </c>
      <c r="BH384" s="14">
        <f ca="1"/>
      </c>
      <c r="BI384" s="14">
        <f ca="1"/>
      </c>
      <c r="BJ384" s="14">
        <f ca="1"/>
      </c>
      <c r="BK384" s="14">
        <f ca="1"/>
      </c>
    </row>
    <row r="385" spans="28:63" x14ac:dyDescent="0.55000000000000004">
      <c r="AB385">
        <f ca="1"/>
      </c>
      <c r="AC385">
        <f ca="1"/>
      </c>
      <c r="AD385">
        <f ca="1"/>
      </c>
      <c r="AE385">
        <f ca="1"/>
      </c>
      <c r="AF385">
        <f ca="1"/>
      </c>
      <c r="AG385">
        <f ca="1"/>
      </c>
      <c r="AH385">
        <f ca="1"/>
      </c>
      <c r="AL385" s="7">
        <f ca="1"/>
      </c>
      <c r="AM385" s="14">
        <f ca="1"/>
      </c>
      <c r="AN385" s="14">
        <f ca="1"/>
      </c>
      <c r="AO385" s="14">
        <f ca="1"/>
      </c>
      <c r="AP385" s="14">
        <f ca="1"/>
      </c>
      <c r="AQ385" s="14">
        <f ca="1"/>
      </c>
      <c r="AR385" s="14">
        <f ca="1"/>
      </c>
      <c r="AV385" s="14">
        <f ca="1"/>
      </c>
      <c r="AW385" s="14">
        <f ca="1"/>
      </c>
      <c r="AX385" s="14">
        <f ca="1"/>
      </c>
      <c r="AY385" s="14">
        <f ca="1"/>
      </c>
      <c r="AZ385" s="14">
        <f ca="1"/>
      </c>
      <c r="BF385" s="7">
        <f ca="1"/>
      </c>
      <c r="BG385" s="14">
        <f ca="1"/>
      </c>
      <c r="BH385" s="14">
        <f ca="1"/>
      </c>
      <c r="BI385" s="14">
        <f ca="1"/>
      </c>
      <c r="BJ385" s="14">
        <f ca="1"/>
      </c>
      <c r="BK385" s="14">
        <f ca="1"/>
      </c>
    </row>
    <row r="386" spans="28:63" x14ac:dyDescent="0.55000000000000004">
      <c r="AB386">
        <f ca="1"/>
      </c>
      <c r="AC386">
        <f ca="1"/>
      </c>
      <c r="AD386">
        <f ca="1"/>
      </c>
      <c r="AE386">
        <f ca="1"/>
      </c>
      <c r="AF386">
        <f ca="1"/>
      </c>
      <c r="AG386">
        <f ca="1"/>
      </c>
      <c r="AH386">
        <f ca="1"/>
      </c>
      <c r="AL386" s="7">
        <f ca="1"/>
      </c>
      <c r="AM386" s="14">
        <f ca="1"/>
      </c>
      <c r="AN386" s="14">
        <f ca="1"/>
      </c>
      <c r="AO386" s="14">
        <f ca="1"/>
      </c>
      <c r="AP386" s="14">
        <f ca="1"/>
      </c>
      <c r="AQ386" s="14">
        <f ca="1"/>
      </c>
      <c r="AR386" s="14">
        <f ca="1"/>
      </c>
      <c r="AV386" s="14">
        <f ca="1"/>
      </c>
      <c r="AW386" s="14">
        <f ca="1"/>
      </c>
      <c r="AX386" s="14">
        <f ca="1"/>
      </c>
      <c r="AY386" s="14">
        <f ca="1"/>
      </c>
      <c r="AZ386" s="14">
        <f ca="1"/>
      </c>
      <c r="BF386" s="7">
        <f ca="1"/>
      </c>
      <c r="BG386" s="14">
        <f ca="1"/>
      </c>
      <c r="BH386" s="14">
        <f ca="1"/>
      </c>
      <c r="BI386" s="14">
        <f ca="1"/>
      </c>
      <c r="BJ386" s="14">
        <f ca="1"/>
      </c>
      <c r="BK386" s="14">
        <f ca="1"/>
      </c>
    </row>
    <row r="387" spans="28:63" x14ac:dyDescent="0.55000000000000004">
      <c r="AB387">
        <f ca="1"/>
      </c>
      <c r="AC387">
        <f ca="1"/>
      </c>
      <c r="AD387">
        <f ca="1"/>
      </c>
      <c r="AE387">
        <f ca="1"/>
      </c>
      <c r="AF387">
        <f ca="1"/>
      </c>
      <c r="AG387">
        <f ca="1"/>
      </c>
      <c r="AH387">
        <f ca="1"/>
      </c>
      <c r="AL387" s="7">
        <f ca="1"/>
      </c>
      <c r="AM387" s="14">
        <f ca="1"/>
      </c>
      <c r="AN387" s="14">
        <f ca="1"/>
      </c>
      <c r="AO387" s="14">
        <f ca="1"/>
      </c>
      <c r="AP387" s="14">
        <f ca="1"/>
      </c>
      <c r="AQ387" s="14">
        <f ca="1"/>
      </c>
      <c r="AR387" s="14">
        <f ca="1"/>
      </c>
      <c r="AV387" s="14">
        <f ca="1"/>
      </c>
      <c r="AW387" s="14">
        <f ca="1"/>
      </c>
      <c r="AX387" s="14">
        <f ca="1"/>
      </c>
      <c r="AY387" s="14">
        <f ca="1"/>
      </c>
      <c r="AZ387" s="14">
        <f ca="1"/>
      </c>
      <c r="BF387" s="7">
        <f ca="1"/>
      </c>
      <c r="BG387" s="14">
        <f ca="1"/>
      </c>
      <c r="BH387" s="14">
        <f ca="1"/>
      </c>
      <c r="BI387" s="14">
        <f ca="1"/>
      </c>
      <c r="BJ387" s="14">
        <f ca="1"/>
      </c>
      <c r="BK387" s="14">
        <f ca="1"/>
      </c>
    </row>
    <row r="388" spans="28:63" x14ac:dyDescent="0.55000000000000004">
      <c r="AB388">
        <f ca="1"/>
      </c>
      <c r="AC388">
        <f ca="1"/>
      </c>
      <c r="AD388">
        <f ca="1"/>
      </c>
      <c r="AE388">
        <f ca="1"/>
      </c>
      <c r="AF388">
        <f ca="1"/>
      </c>
      <c r="AG388">
        <f ca="1"/>
      </c>
      <c r="AH388">
        <f ca="1"/>
      </c>
      <c r="AL388" s="7">
        <f ca="1"/>
      </c>
      <c r="AM388" s="14">
        <f ca="1"/>
      </c>
      <c r="AN388" s="14">
        <f ca="1"/>
      </c>
      <c r="AO388" s="14">
        <f ca="1"/>
      </c>
      <c r="AP388" s="14">
        <f ca="1"/>
      </c>
      <c r="AQ388" s="14">
        <f ca="1"/>
      </c>
      <c r="AR388" s="14">
        <f ca="1"/>
      </c>
      <c r="AV388" s="14">
        <f ca="1"/>
      </c>
      <c r="AW388" s="14">
        <f ca="1"/>
      </c>
      <c r="AX388" s="14">
        <f ca="1"/>
      </c>
      <c r="AY388" s="14">
        <f ca="1"/>
      </c>
      <c r="AZ388" s="14">
        <f ca="1"/>
      </c>
      <c r="BF388" s="7">
        <f ca="1"/>
      </c>
      <c r="BG388" s="14">
        <f ca="1"/>
      </c>
      <c r="BH388" s="14">
        <f ca="1"/>
      </c>
      <c r="BI388" s="14">
        <f ca="1"/>
      </c>
      <c r="BJ388" s="14">
        <f ca="1"/>
      </c>
      <c r="BK388" s="14">
        <f ca="1"/>
      </c>
    </row>
    <row r="389" spans="28:63" x14ac:dyDescent="0.55000000000000004">
      <c r="AB389">
        <f ca="1"/>
      </c>
      <c r="AC389">
        <f ca="1"/>
      </c>
      <c r="AD389">
        <f ca="1"/>
      </c>
      <c r="AE389">
        <f ca="1"/>
      </c>
      <c r="AF389">
        <f ca="1"/>
      </c>
      <c r="AG389">
        <f ca="1"/>
      </c>
      <c r="AH389">
        <f ca="1"/>
      </c>
      <c r="AL389" s="7">
        <f ca="1"/>
      </c>
      <c r="AM389" s="14">
        <f ca="1"/>
      </c>
      <c r="AN389" s="14">
        <f ca="1"/>
      </c>
      <c r="AO389" s="14">
        <f ca="1"/>
      </c>
      <c r="AP389" s="14">
        <f ca="1"/>
      </c>
      <c r="AQ389" s="14">
        <f ca="1"/>
      </c>
      <c r="AR389" s="14">
        <f ca="1"/>
      </c>
      <c r="AV389" s="14">
        <f ca="1"/>
      </c>
      <c r="AW389" s="14">
        <f ca="1"/>
      </c>
      <c r="AX389" s="14">
        <f ca="1"/>
      </c>
      <c r="AY389" s="14">
        <f ca="1"/>
      </c>
      <c r="AZ389" s="14">
        <f ca="1"/>
      </c>
      <c r="BF389" s="7">
        <f ca="1"/>
      </c>
      <c r="BG389" s="14">
        <f ca="1"/>
      </c>
      <c r="BH389" s="14">
        <f ca="1"/>
      </c>
      <c r="BI389" s="14">
        <f ca="1"/>
      </c>
      <c r="BJ389" s="14">
        <f ca="1"/>
      </c>
      <c r="BK389" s="14">
        <f ca="1"/>
      </c>
    </row>
    <row r="390" spans="28:63" x14ac:dyDescent="0.55000000000000004">
      <c r="AB390">
        <f ca="1"/>
      </c>
      <c r="AC390">
        <f ca="1"/>
      </c>
      <c r="AD390">
        <f ca="1"/>
      </c>
      <c r="AE390">
        <f ca="1"/>
      </c>
      <c r="AF390">
        <f ca="1"/>
      </c>
      <c r="AG390">
        <f ca="1"/>
      </c>
      <c r="AH390">
        <f ca="1"/>
      </c>
      <c r="AL390" s="7">
        <f ca="1"/>
      </c>
      <c r="AM390" s="14">
        <f ca="1"/>
      </c>
      <c r="AN390" s="14">
        <f ca="1"/>
      </c>
      <c r="AO390" s="14">
        <f ca="1"/>
      </c>
      <c r="AP390" s="14">
        <f ca="1"/>
      </c>
      <c r="AQ390" s="14">
        <f ca="1"/>
      </c>
      <c r="AR390" s="14">
        <f ca="1"/>
      </c>
      <c r="AV390" s="14">
        <f ca="1"/>
      </c>
      <c r="AW390" s="14">
        <f ca="1"/>
      </c>
      <c r="AX390" s="14">
        <f ca="1"/>
      </c>
      <c r="AY390" s="14">
        <f ca="1"/>
      </c>
      <c r="AZ390" s="14">
        <f ca="1"/>
      </c>
      <c r="BF390" s="7">
        <f ca="1"/>
      </c>
      <c r="BG390" s="14">
        <f ca="1"/>
      </c>
      <c r="BH390" s="14">
        <f ca="1"/>
      </c>
      <c r="BI390" s="14">
        <f ca="1"/>
      </c>
      <c r="BJ390" s="14">
        <f ca="1"/>
      </c>
      <c r="BK390" s="14">
        <f ca="1"/>
      </c>
    </row>
    <row r="391" spans="28:63" x14ac:dyDescent="0.55000000000000004">
      <c r="AB391">
        <f ca="1"/>
      </c>
      <c r="AC391">
        <f ca="1"/>
      </c>
      <c r="AD391">
        <f ca="1"/>
      </c>
      <c r="AE391">
        <f ca="1"/>
      </c>
      <c r="AF391">
        <f ca="1"/>
      </c>
      <c r="AG391">
        <f ca="1"/>
      </c>
      <c r="AH391">
        <f ca="1"/>
      </c>
      <c r="AL391" s="7">
        <f ca="1"/>
      </c>
      <c r="AM391" s="14">
        <f ca="1"/>
      </c>
      <c r="AN391" s="14">
        <f ca="1"/>
      </c>
      <c r="AO391" s="14">
        <f ca="1"/>
      </c>
      <c r="AP391" s="14">
        <f ca="1"/>
      </c>
      <c r="AQ391" s="14">
        <f ca="1"/>
      </c>
      <c r="AR391" s="14">
        <f ca="1"/>
      </c>
      <c r="AV391" s="14">
        <f ca="1"/>
      </c>
      <c r="AW391" s="14">
        <f ca="1"/>
      </c>
      <c r="AX391" s="14">
        <f ca="1"/>
      </c>
      <c r="AY391" s="14">
        <f ca="1"/>
      </c>
      <c r="AZ391" s="14">
        <f ca="1"/>
      </c>
      <c r="BF391" s="7">
        <f ca="1"/>
      </c>
      <c r="BG391" s="14">
        <f ca="1"/>
      </c>
      <c r="BH391" s="14">
        <f ca="1"/>
      </c>
      <c r="BI391" s="14">
        <f ca="1"/>
      </c>
      <c r="BJ391" s="14">
        <f ca="1"/>
      </c>
      <c r="BK391" s="14">
        <f ca="1"/>
      </c>
    </row>
    <row r="392" spans="28:63" x14ac:dyDescent="0.55000000000000004">
      <c r="AB392">
        <f ca="1"/>
      </c>
      <c r="AC392">
        <f ca="1"/>
      </c>
      <c r="AD392">
        <f ca="1"/>
      </c>
      <c r="AE392">
        <f ca="1"/>
      </c>
      <c r="AF392">
        <f ca="1"/>
      </c>
      <c r="AG392">
        <f ca="1"/>
      </c>
      <c r="AH392">
        <f ca="1"/>
      </c>
      <c r="AL392" s="7">
        <f ca="1"/>
      </c>
      <c r="AM392" s="14">
        <f ca="1"/>
      </c>
      <c r="AN392" s="14">
        <f ca="1"/>
      </c>
      <c r="AO392" s="14">
        <f ca="1"/>
      </c>
      <c r="AP392" s="14">
        <f ca="1"/>
      </c>
      <c r="AQ392" s="14">
        <f ca="1"/>
      </c>
      <c r="AR392" s="14">
        <f ca="1"/>
      </c>
      <c r="AV392" s="14">
        <f ca="1"/>
      </c>
      <c r="AW392" s="14">
        <f ca="1"/>
      </c>
      <c r="AX392" s="14">
        <f ca="1"/>
      </c>
      <c r="AY392" s="14">
        <f ca="1"/>
      </c>
      <c r="AZ392" s="14">
        <f ca="1"/>
      </c>
      <c r="BF392" s="7">
        <f ca="1"/>
      </c>
      <c r="BG392" s="14">
        <f ca="1"/>
      </c>
      <c r="BH392" s="14">
        <f ca="1"/>
      </c>
      <c r="BI392" s="14">
        <f ca="1"/>
      </c>
      <c r="BJ392" s="14">
        <f ca="1"/>
      </c>
      <c r="BK392" s="14">
        <f ca="1"/>
      </c>
    </row>
    <row r="393" spans="28:63" x14ac:dyDescent="0.55000000000000004">
      <c r="AB393">
        <f ca="1"/>
      </c>
      <c r="AC393">
        <f ca="1"/>
      </c>
      <c r="AD393">
        <f ca="1"/>
      </c>
      <c r="AE393">
        <f ca="1"/>
      </c>
      <c r="AF393">
        <f ca="1"/>
      </c>
      <c r="AG393">
        <f ca="1"/>
      </c>
      <c r="AH393">
        <f ca="1"/>
      </c>
      <c r="AL393" s="7">
        <f ca="1"/>
      </c>
      <c r="AM393" s="14">
        <f ca="1"/>
      </c>
      <c r="AN393" s="14">
        <f ca="1"/>
      </c>
      <c r="AO393" s="14">
        <f ca="1"/>
      </c>
      <c r="AP393" s="14">
        <f ca="1"/>
      </c>
      <c r="AQ393" s="14">
        <f ca="1"/>
      </c>
      <c r="AR393" s="14">
        <f ca="1"/>
      </c>
      <c r="AV393" s="14">
        <f ca="1"/>
      </c>
      <c r="AW393" s="14">
        <f ca="1"/>
      </c>
      <c r="AX393" s="14">
        <f ca="1"/>
      </c>
      <c r="AY393" s="14">
        <f ca="1"/>
      </c>
      <c r="AZ393" s="14">
        <f ca="1"/>
      </c>
      <c r="BF393" s="7">
        <f ca="1"/>
      </c>
      <c r="BG393" s="14">
        <f ca="1"/>
      </c>
      <c r="BH393" s="14">
        <f ca="1"/>
      </c>
      <c r="BI393" s="14">
        <f ca="1"/>
      </c>
      <c r="BJ393" s="14">
        <f ca="1"/>
      </c>
      <c r="BK393" s="14">
        <f ca="1"/>
      </c>
    </row>
    <row r="394" spans="28:63" x14ac:dyDescent="0.55000000000000004">
      <c r="AB394">
        <f ca="1"/>
      </c>
      <c r="AC394">
        <f ca="1"/>
      </c>
      <c r="AD394">
        <f ca="1"/>
      </c>
      <c r="AE394">
        <f ca="1"/>
      </c>
      <c r="AF394">
        <f ca="1"/>
      </c>
      <c r="AG394">
        <f ca="1"/>
      </c>
      <c r="AH394">
        <f ca="1"/>
      </c>
      <c r="AL394" s="7">
        <f ca="1"/>
      </c>
      <c r="AM394" s="14">
        <f ca="1"/>
      </c>
      <c r="AN394" s="14">
        <f ca="1"/>
      </c>
      <c r="AO394" s="14">
        <f ca="1"/>
      </c>
      <c r="AP394" s="14">
        <f ca="1"/>
      </c>
      <c r="AQ394" s="14">
        <f ca="1"/>
      </c>
      <c r="AR394" s="14">
        <f ca="1"/>
      </c>
      <c r="AV394" s="14">
        <f ca="1"/>
      </c>
      <c r="AW394" s="14">
        <f ca="1"/>
      </c>
      <c r="AX394" s="14">
        <f ca="1"/>
      </c>
      <c r="AY394" s="14">
        <f ca="1"/>
      </c>
      <c r="AZ394" s="14">
        <f ca="1"/>
      </c>
      <c r="BF394" s="7">
        <f ca="1"/>
      </c>
      <c r="BG394" s="14">
        <f ca="1"/>
      </c>
      <c r="BH394" s="14">
        <f ca="1"/>
      </c>
      <c r="BI394" s="14">
        <f ca="1"/>
      </c>
      <c r="BJ394" s="14">
        <f ca="1"/>
      </c>
      <c r="BK394" s="14">
        <f ca="1"/>
      </c>
    </row>
    <row r="395" spans="28:63" x14ac:dyDescent="0.55000000000000004">
      <c r="AB395">
        <f ca="1"/>
      </c>
      <c r="AC395">
        <f ca="1"/>
      </c>
      <c r="AD395">
        <f ca="1"/>
      </c>
      <c r="AE395">
        <f ca="1"/>
      </c>
      <c r="AF395">
        <f ca="1"/>
      </c>
      <c r="AG395">
        <f ca="1"/>
      </c>
      <c r="AH395">
        <f ca="1"/>
      </c>
      <c r="AL395" s="7">
        <f ca="1"/>
      </c>
      <c r="AM395" s="14">
        <f ca="1"/>
      </c>
      <c r="AN395" s="14">
        <f ca="1"/>
      </c>
      <c r="AO395" s="14">
        <f ca="1"/>
      </c>
      <c r="AP395" s="14">
        <f ca="1"/>
      </c>
      <c r="AQ395" s="14">
        <f ca="1"/>
      </c>
      <c r="AR395" s="14">
        <f ca="1"/>
      </c>
      <c r="AV395" s="14">
        <f ca="1"/>
      </c>
      <c r="AW395" s="14">
        <f ca="1"/>
      </c>
      <c r="AX395" s="14">
        <f ca="1"/>
      </c>
      <c r="AY395" s="14">
        <f ca="1"/>
      </c>
      <c r="AZ395" s="14">
        <f ca="1"/>
      </c>
      <c r="BF395" s="7">
        <f ca="1"/>
      </c>
      <c r="BG395" s="14">
        <f ca="1"/>
      </c>
      <c r="BH395" s="14">
        <f ca="1"/>
      </c>
      <c r="BI395" s="14">
        <f ca="1"/>
      </c>
      <c r="BJ395" s="14">
        <f ca="1"/>
      </c>
      <c r="BK395" s="14">
        <f ca="1"/>
      </c>
    </row>
    <row r="396" spans="28:63" x14ac:dyDescent="0.55000000000000004">
      <c r="AB396">
        <f ca="1"/>
      </c>
      <c r="AC396">
        <f ca="1"/>
      </c>
      <c r="AD396">
        <f ca="1"/>
      </c>
      <c r="AE396">
        <f ca="1"/>
      </c>
      <c r="AF396">
        <f ca="1"/>
      </c>
      <c r="AG396">
        <f ca="1"/>
      </c>
      <c r="AH396">
        <f ca="1"/>
      </c>
      <c r="AL396" s="7">
        <f ca="1"/>
      </c>
      <c r="AM396" s="14">
        <f ca="1"/>
      </c>
      <c r="AN396" s="14">
        <f ca="1"/>
      </c>
      <c r="AO396" s="14">
        <f ca="1"/>
      </c>
      <c r="AP396" s="14">
        <f ca="1"/>
      </c>
      <c r="AQ396" s="14">
        <f ca="1"/>
      </c>
      <c r="AR396" s="14">
        <f ca="1"/>
      </c>
      <c r="AV396" s="14">
        <f ca="1"/>
      </c>
      <c r="AW396" s="14">
        <f ca="1"/>
      </c>
      <c r="AX396" s="14">
        <f ca="1"/>
      </c>
      <c r="AY396" s="14">
        <f ca="1"/>
      </c>
      <c r="AZ396" s="14">
        <f ca="1"/>
      </c>
      <c r="BF396" s="7">
        <f ca="1"/>
      </c>
      <c r="BG396" s="14">
        <f ca="1"/>
      </c>
      <c r="BH396" s="14">
        <f ca="1"/>
      </c>
      <c r="BI396" s="14">
        <f ca="1"/>
      </c>
      <c r="BJ396" s="14">
        <f ca="1"/>
      </c>
      <c r="BK396" s="14">
        <f ca="1"/>
      </c>
    </row>
    <row r="397" spans="28:63" x14ac:dyDescent="0.55000000000000004">
      <c r="AB397">
        <f ca="1"/>
      </c>
      <c r="AC397">
        <f ca="1"/>
      </c>
      <c r="AD397">
        <f ca="1"/>
      </c>
      <c r="AE397">
        <f ca="1"/>
      </c>
      <c r="AF397">
        <f ca="1"/>
      </c>
      <c r="AG397">
        <f ca="1"/>
      </c>
      <c r="AH397">
        <f ca="1"/>
      </c>
      <c r="AL397" s="7">
        <f ca="1"/>
      </c>
      <c r="AM397" s="14">
        <f ca="1"/>
      </c>
      <c r="AN397" s="14">
        <f ca="1"/>
      </c>
      <c r="AO397" s="14">
        <f ca="1"/>
      </c>
      <c r="AP397" s="14">
        <f ca="1"/>
      </c>
      <c r="AQ397" s="14">
        <f ca="1"/>
      </c>
      <c r="AR397" s="14">
        <f ca="1"/>
      </c>
      <c r="AV397" s="14">
        <f ca="1"/>
      </c>
      <c r="AW397" s="14">
        <f ca="1"/>
      </c>
      <c r="AX397" s="14">
        <f ca="1"/>
      </c>
      <c r="AY397" s="14">
        <f ca="1"/>
      </c>
      <c r="AZ397" s="14">
        <f ca="1"/>
      </c>
      <c r="BF397" s="7">
        <f ca="1"/>
      </c>
      <c r="BG397" s="14">
        <f ca="1"/>
      </c>
      <c r="BH397" s="14">
        <f ca="1"/>
      </c>
      <c r="BI397" s="14">
        <f ca="1"/>
      </c>
      <c r="BJ397" s="14">
        <f ca="1"/>
      </c>
      <c r="BK397" s="14">
        <f ca="1"/>
      </c>
    </row>
    <row r="398" spans="28:63" x14ac:dyDescent="0.55000000000000004">
      <c r="AB398">
        <f ca="1"/>
      </c>
      <c r="AC398">
        <f ca="1"/>
      </c>
      <c r="AD398">
        <f ca="1"/>
      </c>
      <c r="AE398">
        <f ca="1"/>
      </c>
      <c r="AF398">
        <f ca="1"/>
      </c>
      <c r="AG398">
        <f ca="1"/>
      </c>
      <c r="AH398">
        <f ca="1"/>
      </c>
      <c r="AL398" s="7">
        <f ca="1"/>
      </c>
      <c r="AM398" s="14">
        <f ca="1"/>
      </c>
      <c r="AN398" s="14">
        <f ca="1"/>
      </c>
      <c r="AO398" s="14">
        <f ca="1"/>
      </c>
      <c r="AP398" s="14">
        <f ca="1"/>
      </c>
      <c r="AQ398" s="14">
        <f ca="1"/>
      </c>
      <c r="AR398" s="14">
        <f ca="1"/>
      </c>
      <c r="AV398" s="14">
        <f ca="1"/>
      </c>
      <c r="AW398" s="14">
        <f ca="1"/>
      </c>
      <c r="AX398" s="14">
        <f ca="1"/>
      </c>
      <c r="AY398" s="14">
        <f ca="1"/>
      </c>
      <c r="AZ398" s="14">
        <f ca="1"/>
      </c>
      <c r="BF398" s="7">
        <f ca="1"/>
      </c>
      <c r="BG398" s="14">
        <f ca="1"/>
      </c>
      <c r="BH398" s="14">
        <f ca="1"/>
      </c>
      <c r="BI398" s="14">
        <f ca="1"/>
      </c>
      <c r="BJ398" s="14">
        <f ca="1"/>
      </c>
      <c r="BK398" s="14">
        <f ca="1"/>
      </c>
    </row>
    <row r="399" spans="28:63" x14ac:dyDescent="0.55000000000000004">
      <c r="AB399">
        <f ca="1"/>
      </c>
      <c r="AC399">
        <f ca="1"/>
      </c>
      <c r="AD399">
        <f ca="1"/>
      </c>
      <c r="AE399">
        <f ca="1"/>
      </c>
      <c r="AF399">
        <f ca="1"/>
      </c>
      <c r="AG399">
        <f ca="1"/>
      </c>
      <c r="AH399">
        <f ca="1"/>
      </c>
      <c r="AL399" s="7">
        <f ca="1"/>
      </c>
      <c r="AM399" s="14">
        <f ca="1"/>
      </c>
      <c r="AN399" s="14">
        <f ca="1"/>
      </c>
      <c r="AO399" s="14">
        <f ca="1"/>
      </c>
      <c r="AP399" s="14">
        <f ca="1"/>
      </c>
      <c r="AQ399" s="14">
        <f ca="1"/>
      </c>
      <c r="AR399" s="14">
        <f ca="1"/>
      </c>
      <c r="AV399" s="14">
        <f ca="1"/>
      </c>
      <c r="AW399" s="14">
        <f ca="1"/>
      </c>
      <c r="AX399" s="14">
        <f ca="1"/>
      </c>
      <c r="AY399" s="14">
        <f ca="1"/>
      </c>
      <c r="AZ399" s="14">
        <f ca="1"/>
      </c>
      <c r="BF399" s="7">
        <f ca="1"/>
      </c>
      <c r="BG399" s="14">
        <f ca="1"/>
      </c>
      <c r="BH399" s="14">
        <f ca="1"/>
      </c>
      <c r="BI399" s="14">
        <f ca="1"/>
      </c>
      <c r="BJ399" s="14">
        <f ca="1"/>
      </c>
      <c r="BK399" s="14">
        <f ca="1"/>
      </c>
    </row>
    <row r="400" spans="28:63" x14ac:dyDescent="0.55000000000000004">
      <c r="AB400">
        <f ca="1"/>
      </c>
      <c r="AC400">
        <f ca="1"/>
      </c>
      <c r="AD400">
        <f ca="1"/>
      </c>
      <c r="AE400">
        <f ca="1"/>
      </c>
      <c r="AF400">
        <f ca="1"/>
      </c>
      <c r="AG400">
        <f ca="1"/>
      </c>
      <c r="AH400">
        <f ca="1"/>
      </c>
      <c r="AL400" s="7">
        <f ca="1"/>
      </c>
      <c r="AM400" s="14">
        <f ca="1"/>
      </c>
      <c r="AN400" s="14">
        <f ca="1"/>
      </c>
      <c r="AO400" s="14">
        <f ca="1"/>
      </c>
      <c r="AP400" s="14">
        <f ca="1"/>
      </c>
      <c r="AQ400" s="14">
        <f ca="1"/>
      </c>
      <c r="AR400" s="14">
        <f ca="1"/>
      </c>
      <c r="AV400" s="14">
        <f ca="1"/>
      </c>
      <c r="AW400" s="14">
        <f ca="1"/>
      </c>
      <c r="AX400" s="14">
        <f ca="1"/>
      </c>
      <c r="AY400" s="14">
        <f ca="1"/>
      </c>
      <c r="AZ400" s="14">
        <f ca="1"/>
      </c>
      <c r="BF400" s="7">
        <f ca="1"/>
      </c>
      <c r="BG400" s="14">
        <f ca="1"/>
      </c>
      <c r="BH400" s="14">
        <f ca="1"/>
      </c>
      <c r="BI400" s="14">
        <f ca="1"/>
      </c>
      <c r="BJ400" s="14">
        <f ca="1"/>
      </c>
      <c r="BK400" s="14">
        <f ca="1"/>
      </c>
    </row>
    <row r="401" spans="28:63" x14ac:dyDescent="0.55000000000000004">
      <c r="AB401">
        <f ca="1"/>
      </c>
      <c r="AC401">
        <f ca="1"/>
      </c>
      <c r="AD401">
        <f ca="1"/>
      </c>
      <c r="AE401">
        <f ca="1"/>
      </c>
      <c r="AF401">
        <f ca="1"/>
      </c>
      <c r="AG401">
        <f ca="1"/>
      </c>
      <c r="AH401">
        <f ca="1"/>
      </c>
      <c r="AL401" s="7">
        <f ca="1"/>
      </c>
      <c r="AM401" s="14">
        <f ca="1"/>
      </c>
      <c r="AN401" s="14">
        <f ca="1"/>
      </c>
      <c r="AO401" s="14">
        <f ca="1"/>
      </c>
      <c r="AP401" s="14">
        <f ca="1"/>
      </c>
      <c r="AQ401" s="14">
        <f ca="1"/>
      </c>
      <c r="AR401" s="14">
        <f ca="1"/>
      </c>
      <c r="AV401" s="14">
        <f ca="1"/>
      </c>
      <c r="AW401" s="14">
        <f ca="1"/>
      </c>
      <c r="AX401" s="14">
        <f ca="1"/>
      </c>
      <c r="AY401" s="14">
        <f ca="1"/>
      </c>
      <c r="AZ401" s="14">
        <f ca="1"/>
      </c>
      <c r="BF401" s="7">
        <f ca="1"/>
      </c>
      <c r="BG401" s="14">
        <f ca="1"/>
      </c>
      <c r="BH401" s="14">
        <f ca="1"/>
      </c>
      <c r="BI401" s="14">
        <f ca="1"/>
      </c>
      <c r="BJ401" s="14">
        <f ca="1"/>
      </c>
      <c r="BK401" s="14">
        <f ca="1"/>
      </c>
    </row>
    <row r="402" spans="28:63" x14ac:dyDescent="0.55000000000000004">
      <c r="AB402">
        <f ca="1"/>
      </c>
      <c r="AC402">
        <f ca="1"/>
      </c>
      <c r="AD402">
        <f ca="1"/>
      </c>
      <c r="AE402">
        <f ca="1"/>
      </c>
      <c r="AF402">
        <f ca="1"/>
      </c>
      <c r="AG402">
        <f ca="1"/>
      </c>
      <c r="AH402">
        <f ca="1"/>
      </c>
      <c r="AL402" s="7">
        <f ca="1"/>
      </c>
      <c r="AM402" s="14">
        <f ca="1"/>
      </c>
      <c r="AN402" s="14">
        <f ca="1"/>
      </c>
      <c r="AO402" s="14">
        <f ca="1"/>
      </c>
      <c r="AP402" s="14">
        <f ca="1"/>
      </c>
      <c r="AQ402" s="14">
        <f ca="1"/>
      </c>
      <c r="AR402" s="14">
        <f ca="1"/>
      </c>
      <c r="AV402" s="14">
        <f ca="1"/>
      </c>
      <c r="AW402" s="14">
        <f ca="1"/>
      </c>
      <c r="AX402" s="14">
        <f ca="1"/>
      </c>
      <c r="AY402" s="14">
        <f ca="1"/>
      </c>
      <c r="AZ402" s="14">
        <f ca="1"/>
      </c>
      <c r="BF402" s="7">
        <f ca="1"/>
      </c>
      <c r="BG402" s="14">
        <f ca="1"/>
      </c>
      <c r="BH402" s="14">
        <f ca="1"/>
      </c>
      <c r="BI402" s="14">
        <f ca="1"/>
      </c>
      <c r="BJ402" s="14">
        <f ca="1"/>
      </c>
      <c r="BK402" s="14">
        <f ca="1"/>
      </c>
    </row>
    <row r="403" spans="28:63" x14ac:dyDescent="0.55000000000000004">
      <c r="AB403">
        <f ca="1"/>
      </c>
      <c r="AC403">
        <f ca="1"/>
      </c>
      <c r="AD403">
        <f ca="1"/>
      </c>
      <c r="AE403">
        <f ca="1"/>
      </c>
      <c r="AF403">
        <f ca="1"/>
      </c>
      <c r="AG403">
        <f ca="1"/>
      </c>
      <c r="AH403">
        <f ca="1"/>
      </c>
      <c r="AL403" s="7">
        <f ca="1"/>
      </c>
      <c r="AM403" s="14">
        <f ca="1"/>
      </c>
      <c r="AN403" s="14">
        <f ca="1"/>
      </c>
      <c r="AO403" s="14">
        <f ca="1"/>
      </c>
      <c r="AP403" s="14">
        <f ca="1"/>
      </c>
      <c r="AQ403" s="14">
        <f ca="1"/>
      </c>
      <c r="AR403" s="14">
        <f ca="1"/>
      </c>
      <c r="AV403" s="14">
        <f ca="1"/>
      </c>
      <c r="AW403" s="14">
        <f ca="1"/>
      </c>
      <c r="AX403" s="14">
        <f ca="1"/>
      </c>
      <c r="AY403" s="14">
        <f ca="1"/>
      </c>
      <c r="AZ403" s="14">
        <f ca="1"/>
      </c>
      <c r="BF403" s="7">
        <f ca="1"/>
      </c>
      <c r="BG403" s="14">
        <f ca="1"/>
      </c>
      <c r="BH403" s="14">
        <f ca="1"/>
      </c>
      <c r="BI403" s="14">
        <f ca="1"/>
      </c>
      <c r="BJ403" s="14">
        <f ca="1"/>
      </c>
      <c r="BK403" s="14">
        <f ca="1"/>
      </c>
    </row>
    <row r="404" spans="28:63" x14ac:dyDescent="0.55000000000000004">
      <c r="AB404">
        <f ca="1"/>
      </c>
      <c r="AC404">
        <f ca="1"/>
      </c>
      <c r="AD404">
        <f ca="1"/>
      </c>
      <c r="AE404">
        <f ca="1"/>
      </c>
      <c r="AF404">
        <f ca="1"/>
      </c>
      <c r="AG404">
        <f ca="1"/>
      </c>
      <c r="AH404">
        <f ca="1"/>
      </c>
      <c r="AL404" s="7">
        <f ca="1"/>
      </c>
      <c r="AM404" s="14">
        <f ca="1"/>
      </c>
      <c r="AN404" s="14">
        <f ca="1"/>
      </c>
      <c r="AO404" s="14">
        <f ca="1"/>
      </c>
      <c r="AP404" s="14">
        <f ca="1"/>
      </c>
      <c r="AQ404" s="14">
        <f ca="1"/>
      </c>
      <c r="AR404" s="14">
        <f ca="1"/>
      </c>
      <c r="AV404" s="14">
        <f ca="1"/>
      </c>
      <c r="AW404" s="14">
        <f ca="1"/>
      </c>
      <c r="AX404" s="14">
        <f ca="1"/>
      </c>
      <c r="AY404" s="14">
        <f ca="1"/>
      </c>
      <c r="AZ404" s="14">
        <f ca="1"/>
      </c>
      <c r="BF404" s="7">
        <f ca="1"/>
      </c>
      <c r="BG404" s="14">
        <f ca="1"/>
      </c>
      <c r="BH404" s="14">
        <f ca="1"/>
      </c>
      <c r="BI404" s="14">
        <f ca="1"/>
      </c>
      <c r="BJ404" s="14">
        <f ca="1"/>
      </c>
      <c r="BK404" s="14">
        <f ca="1"/>
      </c>
    </row>
    <row r="405" spans="28:63" x14ac:dyDescent="0.55000000000000004">
      <c r="AB405">
        <f ca="1"/>
      </c>
      <c r="AC405">
        <f ca="1"/>
      </c>
      <c r="AD405">
        <f ca="1"/>
      </c>
      <c r="AE405">
        <f ca="1"/>
      </c>
      <c r="AF405">
        <f ca="1"/>
      </c>
      <c r="AG405">
        <f ca="1"/>
      </c>
      <c r="AH405">
        <f ca="1"/>
      </c>
      <c r="AL405" s="7">
        <f ca="1"/>
      </c>
      <c r="AM405" s="14">
        <f ca="1"/>
      </c>
      <c r="AN405" s="14">
        <f ca="1"/>
      </c>
      <c r="AO405" s="14">
        <f ca="1"/>
      </c>
      <c r="AP405" s="14">
        <f ca="1"/>
      </c>
      <c r="AQ405" s="14">
        <f ca="1"/>
      </c>
      <c r="AR405" s="14">
        <f ca="1"/>
      </c>
      <c r="AV405" s="14">
        <f ca="1"/>
      </c>
      <c r="AW405" s="14">
        <f ca="1"/>
      </c>
      <c r="AX405" s="14">
        <f ca="1"/>
      </c>
      <c r="AY405" s="14">
        <f ca="1"/>
      </c>
      <c r="AZ405" s="14">
        <f ca="1"/>
      </c>
      <c r="BF405" s="7">
        <f ca="1"/>
      </c>
      <c r="BG405" s="14">
        <f ca="1"/>
      </c>
      <c r="BH405" s="14">
        <f ca="1"/>
      </c>
      <c r="BI405" s="14">
        <f ca="1"/>
      </c>
      <c r="BJ405" s="14">
        <f ca="1"/>
      </c>
      <c r="BK405" s="14">
        <f ca="1"/>
      </c>
    </row>
    <row r="406" spans="28:63" x14ac:dyDescent="0.55000000000000004">
      <c r="AB406">
        <f ca="1"/>
      </c>
      <c r="AC406">
        <f ca="1"/>
      </c>
      <c r="AD406">
        <f ca="1"/>
      </c>
      <c r="AE406">
        <f ca="1"/>
      </c>
      <c r="AF406">
        <f ca="1"/>
      </c>
      <c r="AG406">
        <f ca="1"/>
      </c>
      <c r="AH406">
        <f ca="1"/>
      </c>
      <c r="AL406" s="7">
        <f ca="1"/>
      </c>
      <c r="AM406" s="14">
        <f ca="1"/>
      </c>
      <c r="AN406" s="14">
        <f ca="1"/>
      </c>
      <c r="AO406" s="14">
        <f ca="1"/>
      </c>
      <c r="AP406" s="14">
        <f ca="1"/>
      </c>
      <c r="AQ406" s="14">
        <f ca="1"/>
      </c>
      <c r="AR406" s="14">
        <f ca="1"/>
      </c>
      <c r="AV406" s="14">
        <f ca="1"/>
      </c>
      <c r="AW406" s="14">
        <f ca="1"/>
      </c>
      <c r="AX406" s="14">
        <f ca="1"/>
      </c>
      <c r="AY406" s="14">
        <f ca="1"/>
      </c>
      <c r="AZ406" s="14">
        <f ca="1"/>
      </c>
      <c r="BF406" s="7">
        <f ca="1"/>
      </c>
      <c r="BG406" s="14">
        <f ca="1"/>
      </c>
      <c r="BH406" s="14">
        <f ca="1"/>
      </c>
      <c r="BI406" s="14">
        <f ca="1"/>
      </c>
      <c r="BJ406" s="14">
        <f ca="1"/>
      </c>
      <c r="BK406" s="14">
        <f ca="1"/>
      </c>
    </row>
    <row r="407" spans="28:63" x14ac:dyDescent="0.55000000000000004">
      <c r="AB407">
        <f ca="1"/>
      </c>
      <c r="AC407">
        <f ca="1"/>
      </c>
      <c r="AD407">
        <f ca="1"/>
      </c>
      <c r="AE407">
        <f ca="1"/>
      </c>
      <c r="AF407">
        <f ca="1"/>
      </c>
      <c r="AG407">
        <f ca="1"/>
      </c>
      <c r="AH407">
        <f ca="1"/>
      </c>
      <c r="AL407" s="7">
        <f ca="1"/>
      </c>
      <c r="AM407" s="14">
        <f ca="1"/>
      </c>
      <c r="AN407" s="14">
        <f ca="1"/>
      </c>
      <c r="AO407" s="14">
        <f ca="1"/>
      </c>
      <c r="AP407" s="14">
        <f ca="1"/>
      </c>
      <c r="AQ407" s="14">
        <f ca="1"/>
      </c>
      <c r="AR407" s="14">
        <f ca="1"/>
      </c>
      <c r="AV407" s="14">
        <f ca="1"/>
      </c>
      <c r="AW407" s="14">
        <f ca="1"/>
      </c>
      <c r="AX407" s="14">
        <f ca="1"/>
      </c>
      <c r="AY407" s="14">
        <f ca="1"/>
      </c>
      <c r="AZ407" s="14">
        <f ca="1"/>
      </c>
      <c r="BF407" s="7">
        <f ca="1"/>
      </c>
      <c r="BG407" s="14">
        <f ca="1"/>
      </c>
      <c r="BH407" s="14">
        <f ca="1"/>
      </c>
      <c r="BI407" s="14">
        <f ca="1"/>
      </c>
      <c r="BJ407" s="14">
        <f ca="1"/>
      </c>
      <c r="BK407" s="14">
        <f ca="1"/>
      </c>
    </row>
    <row r="408" spans="28:63" x14ac:dyDescent="0.55000000000000004">
      <c r="AB408">
        <f ca="1"/>
      </c>
      <c r="AC408">
        <f ca="1"/>
      </c>
      <c r="AD408">
        <f ca="1"/>
      </c>
      <c r="AE408">
        <f ca="1"/>
      </c>
      <c r="AF408">
        <f ca="1"/>
      </c>
      <c r="AG408">
        <f ca="1"/>
      </c>
      <c r="AH408">
        <f ca="1"/>
      </c>
      <c r="AL408" s="7">
        <f ca="1"/>
      </c>
      <c r="AM408" s="14">
        <f ca="1"/>
      </c>
      <c r="AN408" s="14">
        <f ca="1"/>
      </c>
      <c r="AO408" s="14">
        <f ca="1"/>
      </c>
      <c r="AP408" s="14">
        <f ca="1"/>
      </c>
      <c r="AQ408" s="14">
        <f ca="1"/>
      </c>
      <c r="AR408" s="14">
        <f ca="1"/>
      </c>
      <c r="AV408" s="14">
        <f ca="1"/>
      </c>
      <c r="AW408" s="14">
        <f ca="1"/>
      </c>
      <c r="AX408" s="14">
        <f ca="1"/>
      </c>
      <c r="AY408" s="14">
        <f ca="1"/>
      </c>
      <c r="AZ408" s="14">
        <f ca="1"/>
      </c>
      <c r="BF408" s="7">
        <f ca="1"/>
      </c>
      <c r="BG408" s="14">
        <f ca="1"/>
      </c>
      <c r="BH408" s="14">
        <f ca="1"/>
      </c>
      <c r="BI408" s="14">
        <f ca="1"/>
      </c>
      <c r="BJ408" s="14">
        <f ca="1"/>
      </c>
      <c r="BK408" s="14">
        <f ca="1"/>
      </c>
    </row>
    <row r="409" spans="28:63" x14ac:dyDescent="0.55000000000000004">
      <c r="AB409">
        <f ca="1"/>
      </c>
      <c r="AC409">
        <f ca="1"/>
      </c>
      <c r="AD409">
        <f ca="1"/>
      </c>
      <c r="AE409">
        <f ca="1"/>
      </c>
      <c r="AF409">
        <f ca="1"/>
      </c>
      <c r="AG409">
        <f ca="1"/>
      </c>
      <c r="AH409">
        <f ca="1"/>
      </c>
      <c r="AL409" s="7">
        <f ca="1"/>
      </c>
      <c r="AM409" s="14">
        <f ca="1"/>
      </c>
      <c r="AN409" s="14">
        <f ca="1"/>
      </c>
      <c r="AO409" s="14">
        <f ca="1"/>
      </c>
      <c r="AP409" s="14">
        <f ca="1"/>
      </c>
      <c r="AQ409" s="14">
        <f ca="1"/>
      </c>
      <c r="AR409" s="14">
        <f ca="1"/>
      </c>
      <c r="AV409" s="14">
        <f ca="1"/>
      </c>
      <c r="AW409" s="14">
        <f ca="1"/>
      </c>
      <c r="AX409" s="14">
        <f ca="1"/>
      </c>
      <c r="AY409" s="14">
        <f ca="1"/>
      </c>
      <c r="AZ409" s="14">
        <f ca="1"/>
      </c>
      <c r="BF409" s="7">
        <f ca="1"/>
      </c>
      <c r="BG409" s="14">
        <f ca="1"/>
      </c>
      <c r="BH409" s="14">
        <f ca="1"/>
      </c>
      <c r="BI409" s="14">
        <f ca="1"/>
      </c>
      <c r="BJ409" s="14">
        <f ca="1"/>
      </c>
      <c r="BK409" s="14">
        <f ca="1"/>
      </c>
    </row>
    <row r="410" spans="28:63" x14ac:dyDescent="0.55000000000000004">
      <c r="AB410">
        <f ca="1"/>
      </c>
      <c r="AC410">
        <f ca="1"/>
      </c>
      <c r="AD410">
        <f ca="1"/>
      </c>
      <c r="AE410">
        <f ca="1"/>
      </c>
      <c r="AF410">
        <f ca="1"/>
      </c>
      <c r="AG410">
        <f ca="1"/>
      </c>
      <c r="AH410">
        <f ca="1"/>
      </c>
      <c r="AL410" s="7">
        <f ca="1"/>
      </c>
      <c r="AM410" s="14">
        <f ca="1"/>
      </c>
      <c r="AN410" s="14">
        <f ca="1"/>
      </c>
      <c r="AO410" s="14">
        <f ca="1"/>
      </c>
      <c r="AP410" s="14">
        <f ca="1"/>
      </c>
      <c r="AQ410" s="14">
        <f ca="1"/>
      </c>
      <c r="AR410" s="14">
        <f ca="1"/>
      </c>
      <c r="AV410" s="14">
        <f ca="1"/>
      </c>
      <c r="AW410" s="14">
        <f ca="1"/>
      </c>
      <c r="AX410" s="14">
        <f ca="1"/>
      </c>
      <c r="AY410" s="14">
        <f ca="1"/>
      </c>
      <c r="AZ410" s="14">
        <f ca="1"/>
      </c>
      <c r="BF410" s="7">
        <f ca="1"/>
      </c>
      <c r="BG410" s="14">
        <f ca="1"/>
      </c>
      <c r="BH410" s="14">
        <f ca="1"/>
      </c>
      <c r="BI410" s="14">
        <f ca="1"/>
      </c>
      <c r="BJ410" s="14">
        <f ca="1"/>
      </c>
      <c r="BK410" s="14">
        <f ca="1"/>
      </c>
    </row>
    <row r="411" spans="28:63" x14ac:dyDescent="0.55000000000000004">
      <c r="AB411">
        <f ca="1"/>
      </c>
      <c r="AC411">
        <f ca="1"/>
      </c>
      <c r="AD411">
        <f ca="1"/>
      </c>
      <c r="AE411">
        <f ca="1"/>
      </c>
      <c r="AF411">
        <f ca="1"/>
      </c>
      <c r="AG411">
        <f ca="1"/>
      </c>
      <c r="AH411">
        <f ca="1"/>
      </c>
      <c r="AL411" s="7">
        <f ca="1"/>
      </c>
      <c r="AM411" s="14">
        <f ca="1"/>
      </c>
      <c r="AN411" s="14">
        <f ca="1"/>
      </c>
      <c r="AO411" s="14">
        <f ca="1"/>
      </c>
      <c r="AP411" s="14">
        <f ca="1"/>
      </c>
      <c r="AQ411" s="14">
        <f ca="1"/>
      </c>
      <c r="AR411" s="14">
        <f ca="1"/>
      </c>
      <c r="AV411" s="14">
        <f ca="1"/>
      </c>
      <c r="AW411" s="14">
        <f ca="1"/>
      </c>
      <c r="AX411" s="14">
        <f ca="1"/>
      </c>
      <c r="AY411" s="14">
        <f ca="1"/>
      </c>
      <c r="AZ411" s="14">
        <f ca="1"/>
      </c>
      <c r="BF411" s="7">
        <f ca="1"/>
      </c>
      <c r="BG411" s="14">
        <f ca="1"/>
      </c>
      <c r="BH411" s="14">
        <f ca="1"/>
      </c>
      <c r="BI411" s="14">
        <f ca="1"/>
      </c>
      <c r="BJ411" s="14">
        <f ca="1"/>
      </c>
      <c r="BK411" s="14">
        <f ca="1"/>
      </c>
    </row>
    <row r="412" spans="28:63" x14ac:dyDescent="0.55000000000000004">
      <c r="AB412">
        <f ca="1"/>
      </c>
      <c r="AC412">
        <f ca="1"/>
      </c>
      <c r="AD412">
        <f ca="1"/>
      </c>
      <c r="AE412">
        <f ca="1"/>
      </c>
      <c r="AF412">
        <f ca="1"/>
      </c>
      <c r="AG412">
        <f ca="1"/>
      </c>
      <c r="AH412">
        <f ca="1"/>
      </c>
      <c r="AL412" s="7">
        <f ca="1"/>
      </c>
      <c r="AM412" s="14">
        <f ca="1"/>
      </c>
      <c r="AN412" s="14">
        <f ca="1"/>
      </c>
      <c r="AO412" s="14">
        <f ca="1"/>
      </c>
      <c r="AP412" s="14">
        <f ca="1"/>
      </c>
      <c r="AQ412" s="14">
        <f ca="1"/>
      </c>
      <c r="AR412" s="14">
        <f ca="1"/>
      </c>
      <c r="AV412" s="14">
        <f ca="1"/>
      </c>
      <c r="AW412" s="14">
        <f ca="1"/>
      </c>
      <c r="AX412" s="14">
        <f ca="1"/>
      </c>
      <c r="AY412" s="14">
        <f ca="1"/>
      </c>
      <c r="AZ412" s="14">
        <f ca="1"/>
      </c>
      <c r="BF412" s="7">
        <f ca="1"/>
      </c>
      <c r="BG412" s="14">
        <f ca="1"/>
      </c>
      <c r="BH412" s="14">
        <f ca="1"/>
      </c>
      <c r="BI412" s="14">
        <f ca="1"/>
      </c>
      <c r="BJ412" s="14">
        <f ca="1"/>
      </c>
      <c r="BK412" s="14">
        <f ca="1"/>
      </c>
    </row>
    <row r="413" spans="28:63" x14ac:dyDescent="0.55000000000000004">
      <c r="AB413">
        <f ca="1"/>
      </c>
      <c r="AC413">
        <f ca="1"/>
      </c>
      <c r="AD413">
        <f ca="1"/>
      </c>
      <c r="AE413">
        <f ca="1"/>
      </c>
      <c r="AF413">
        <f ca="1"/>
      </c>
      <c r="AG413">
        <f ca="1"/>
      </c>
      <c r="AH413">
        <f ca="1"/>
      </c>
      <c r="AL413" s="7">
        <f ca="1"/>
      </c>
      <c r="AM413" s="14">
        <f ca="1"/>
      </c>
      <c r="AN413" s="14">
        <f ca="1"/>
      </c>
      <c r="AO413" s="14">
        <f ca="1"/>
      </c>
      <c r="AP413" s="14">
        <f ca="1"/>
      </c>
      <c r="AQ413" s="14">
        <f ca="1"/>
      </c>
      <c r="AR413" s="14">
        <f ca="1"/>
      </c>
      <c r="AV413" s="14">
        <f ca="1"/>
      </c>
      <c r="AW413" s="14">
        <f ca="1"/>
      </c>
      <c r="AX413" s="14">
        <f ca="1"/>
      </c>
      <c r="AY413" s="14">
        <f ca="1"/>
      </c>
      <c r="AZ413" s="14">
        <f ca="1"/>
      </c>
      <c r="BF413" s="7">
        <f ca="1"/>
      </c>
      <c r="BG413" s="14">
        <f ca="1"/>
      </c>
      <c r="BH413" s="14">
        <f ca="1"/>
      </c>
      <c r="BI413" s="14">
        <f ca="1"/>
      </c>
      <c r="BJ413" s="14">
        <f ca="1"/>
      </c>
      <c r="BK413" s="14">
        <f ca="1"/>
      </c>
    </row>
    <row r="414" spans="28:63" x14ac:dyDescent="0.55000000000000004">
      <c r="AB414">
        <f ca="1"/>
      </c>
      <c r="AC414">
        <f ca="1"/>
      </c>
      <c r="AD414">
        <f ca="1"/>
      </c>
      <c r="AE414">
        <f ca="1"/>
      </c>
      <c r="AF414">
        <f ca="1"/>
      </c>
      <c r="AG414">
        <f ca="1"/>
      </c>
      <c r="AH414">
        <f ca="1"/>
      </c>
      <c r="AL414" s="7">
        <f ca="1"/>
      </c>
      <c r="AM414" s="14">
        <f ca="1"/>
      </c>
      <c r="AN414" s="14">
        <f ca="1"/>
      </c>
      <c r="AO414" s="14">
        <f ca="1"/>
      </c>
      <c r="AP414" s="14">
        <f ca="1"/>
      </c>
      <c r="AQ414" s="14">
        <f ca="1"/>
      </c>
      <c r="AR414" s="14">
        <f ca="1"/>
      </c>
      <c r="AV414" s="14">
        <f ca="1"/>
      </c>
      <c r="AW414" s="14">
        <f ca="1"/>
      </c>
      <c r="AX414" s="14">
        <f ca="1"/>
      </c>
      <c r="AY414" s="14">
        <f ca="1"/>
      </c>
      <c r="AZ414" s="14">
        <f ca="1"/>
      </c>
      <c r="BF414" s="7">
        <f ca="1"/>
      </c>
      <c r="BG414" s="14">
        <f ca="1"/>
      </c>
      <c r="BH414" s="14">
        <f ca="1"/>
      </c>
      <c r="BI414" s="14">
        <f ca="1"/>
      </c>
      <c r="BJ414" s="14">
        <f ca="1"/>
      </c>
      <c r="BK414" s="14">
        <f ca="1"/>
      </c>
    </row>
    <row r="415" spans="28:63" x14ac:dyDescent="0.55000000000000004">
      <c r="AB415">
        <f ca="1"/>
      </c>
      <c r="AC415">
        <f ca="1"/>
      </c>
      <c r="AD415">
        <f ca="1"/>
      </c>
      <c r="AE415">
        <f ca="1"/>
      </c>
      <c r="AF415">
        <f ca="1"/>
      </c>
      <c r="AG415">
        <f ca="1"/>
      </c>
      <c r="AH415">
        <f ca="1"/>
      </c>
      <c r="AL415" s="7">
        <f ca="1"/>
      </c>
      <c r="AM415" s="14">
        <f ca="1"/>
      </c>
      <c r="AN415" s="14">
        <f ca="1"/>
      </c>
      <c r="AO415" s="14">
        <f ca="1"/>
      </c>
      <c r="AP415" s="14">
        <f ca="1"/>
      </c>
      <c r="AQ415" s="14">
        <f ca="1"/>
      </c>
      <c r="AR415" s="14">
        <f ca="1"/>
      </c>
      <c r="AV415" s="14">
        <f ca="1"/>
      </c>
      <c r="AW415" s="14">
        <f ca="1"/>
      </c>
      <c r="AX415" s="14">
        <f ca="1"/>
      </c>
      <c r="AY415" s="14">
        <f ca="1"/>
      </c>
      <c r="AZ415" s="14">
        <f ca="1"/>
      </c>
      <c r="BF415" s="7">
        <f ca="1"/>
      </c>
      <c r="BG415" s="14">
        <f ca="1"/>
      </c>
      <c r="BH415" s="14">
        <f ca="1"/>
      </c>
      <c r="BI415" s="14">
        <f ca="1"/>
      </c>
      <c r="BJ415" s="14">
        <f ca="1"/>
      </c>
      <c r="BK415" s="14">
        <f ca="1"/>
      </c>
    </row>
    <row r="416" spans="28:63" x14ac:dyDescent="0.55000000000000004">
      <c r="AB416">
        <f ca="1"/>
      </c>
      <c r="AC416">
        <f ca="1"/>
      </c>
      <c r="AD416">
        <f ca="1"/>
      </c>
      <c r="AE416">
        <f ca="1"/>
      </c>
      <c r="AF416">
        <f ca="1"/>
      </c>
      <c r="AG416">
        <f ca="1"/>
      </c>
      <c r="AH416">
        <f ca="1"/>
      </c>
      <c r="AL416" s="7">
        <f ca="1"/>
      </c>
      <c r="AM416" s="14">
        <f ca="1"/>
      </c>
      <c r="AN416" s="14">
        <f ca="1"/>
      </c>
      <c r="AO416" s="14">
        <f ca="1"/>
      </c>
      <c r="AP416" s="14">
        <f ca="1"/>
      </c>
      <c r="AQ416" s="14">
        <f ca="1"/>
      </c>
      <c r="AR416" s="14">
        <f ca="1"/>
      </c>
      <c r="AV416" s="14">
        <f ca="1"/>
      </c>
      <c r="AW416" s="14">
        <f ca="1"/>
      </c>
      <c r="AX416" s="14">
        <f ca="1"/>
      </c>
      <c r="AY416" s="14">
        <f ca="1"/>
      </c>
      <c r="AZ416" s="14">
        <f ca="1"/>
      </c>
      <c r="BF416" s="7">
        <f ca="1"/>
      </c>
      <c r="BG416" s="14">
        <f ca="1"/>
      </c>
      <c r="BH416" s="14">
        <f ca="1"/>
      </c>
      <c r="BI416" s="14">
        <f ca="1"/>
      </c>
      <c r="BJ416" s="14">
        <f ca="1"/>
      </c>
      <c r="BK416" s="14">
        <f ca="1"/>
      </c>
    </row>
    <row r="417" spans="28:63" x14ac:dyDescent="0.55000000000000004">
      <c r="AB417">
        <f ca="1"/>
      </c>
      <c r="AC417">
        <f ca="1"/>
      </c>
      <c r="AD417">
        <f ca="1"/>
      </c>
      <c r="AE417">
        <f ca="1"/>
      </c>
      <c r="AF417">
        <f ca="1"/>
      </c>
      <c r="AG417">
        <f ca="1"/>
      </c>
      <c r="AH417">
        <f ca="1"/>
      </c>
      <c r="AL417" s="7">
        <f ca="1"/>
      </c>
      <c r="AM417" s="14">
        <f ca="1"/>
      </c>
      <c r="AN417" s="14">
        <f ca="1"/>
      </c>
      <c r="AO417" s="14">
        <f ca="1"/>
      </c>
      <c r="AP417" s="14">
        <f ca="1"/>
      </c>
      <c r="AQ417" s="14">
        <f ca="1"/>
      </c>
      <c r="AR417" s="14">
        <f ca="1"/>
      </c>
      <c r="AV417" s="14">
        <f ca="1"/>
      </c>
      <c r="AW417" s="14">
        <f ca="1"/>
      </c>
      <c r="AX417" s="14">
        <f ca="1"/>
      </c>
      <c r="AY417" s="14">
        <f ca="1"/>
      </c>
      <c r="AZ417" s="14">
        <f ca="1"/>
      </c>
      <c r="BF417" s="7">
        <f ca="1"/>
      </c>
      <c r="BG417" s="14">
        <f ca="1"/>
      </c>
      <c r="BH417" s="14">
        <f ca="1"/>
      </c>
      <c r="BI417" s="14">
        <f ca="1"/>
      </c>
      <c r="BJ417" s="14">
        <f ca="1"/>
      </c>
      <c r="BK417" s="14">
        <f ca="1"/>
      </c>
    </row>
    <row r="418" spans="28:63" x14ac:dyDescent="0.55000000000000004">
      <c r="AB418">
        <f ca="1"/>
      </c>
      <c r="AC418">
        <f ca="1"/>
      </c>
      <c r="AD418">
        <f ca="1"/>
      </c>
      <c r="AE418">
        <f ca="1"/>
      </c>
      <c r="AF418">
        <f ca="1"/>
      </c>
      <c r="AG418">
        <f ca="1"/>
      </c>
      <c r="AH418">
        <f ca="1"/>
      </c>
      <c r="AL418" s="7">
        <f ca="1"/>
      </c>
      <c r="AM418" s="14">
        <f ca="1"/>
      </c>
      <c r="AN418" s="14">
        <f ca="1"/>
      </c>
      <c r="AO418" s="14">
        <f ca="1"/>
      </c>
      <c r="AP418" s="14">
        <f ca="1"/>
      </c>
      <c r="AQ418" s="14">
        <f ca="1"/>
      </c>
      <c r="AR418" s="14">
        <f ca="1"/>
      </c>
      <c r="AV418" s="14">
        <f ca="1"/>
      </c>
      <c r="AW418" s="14">
        <f ca="1"/>
      </c>
      <c r="AX418" s="14">
        <f ca="1"/>
      </c>
      <c r="AY418" s="14">
        <f ca="1"/>
      </c>
      <c r="AZ418" s="14">
        <f ca="1"/>
      </c>
      <c r="BF418" s="7">
        <f ca="1"/>
      </c>
      <c r="BG418" s="14">
        <f ca="1"/>
      </c>
      <c r="BH418" s="14">
        <f ca="1"/>
      </c>
      <c r="BI418" s="14">
        <f ca="1"/>
      </c>
      <c r="BJ418" s="14">
        <f ca="1"/>
      </c>
      <c r="BK418" s="14">
        <f ca="1"/>
      </c>
    </row>
    <row r="419" spans="28:63" x14ac:dyDescent="0.55000000000000004">
      <c r="AB419">
        <f ca="1"/>
      </c>
      <c r="AC419">
        <f ca="1"/>
      </c>
      <c r="AD419">
        <f ca="1"/>
      </c>
      <c r="AE419">
        <f ca="1"/>
      </c>
      <c r="AF419">
        <f ca="1"/>
      </c>
      <c r="AG419">
        <f ca="1"/>
      </c>
      <c r="AH419">
        <f ca="1"/>
      </c>
      <c r="AL419" s="7">
        <f ca="1"/>
      </c>
      <c r="AM419" s="14">
        <f ca="1"/>
      </c>
      <c r="AN419" s="14">
        <f ca="1"/>
      </c>
      <c r="AO419" s="14">
        <f ca="1"/>
      </c>
      <c r="AP419" s="14">
        <f ca="1"/>
      </c>
      <c r="AQ419" s="14">
        <f ca="1"/>
      </c>
      <c r="AR419" s="14">
        <f ca="1"/>
      </c>
      <c r="AV419" s="14">
        <f ca="1"/>
      </c>
      <c r="AW419" s="14">
        <f ca="1"/>
      </c>
      <c r="AX419" s="14">
        <f ca="1"/>
      </c>
      <c r="AY419" s="14">
        <f ca="1"/>
      </c>
      <c r="AZ419" s="14">
        <f ca="1"/>
      </c>
      <c r="BF419" s="7">
        <f ca="1"/>
      </c>
      <c r="BG419" s="14">
        <f ca="1"/>
      </c>
      <c r="BH419" s="14">
        <f ca="1"/>
      </c>
      <c r="BI419" s="14">
        <f ca="1"/>
      </c>
      <c r="BJ419" s="14">
        <f ca="1"/>
      </c>
      <c r="BK419" s="14">
        <f ca="1"/>
      </c>
    </row>
    <row r="420" spans="28:63" x14ac:dyDescent="0.55000000000000004">
      <c r="AB420">
        <f ca="1"/>
      </c>
      <c r="AC420">
        <f ca="1"/>
      </c>
      <c r="AD420">
        <f ca="1"/>
      </c>
      <c r="AE420">
        <f ca="1"/>
      </c>
      <c r="AF420">
        <f ca="1"/>
      </c>
      <c r="AG420">
        <f ca="1"/>
      </c>
      <c r="AH420">
        <f ca="1"/>
      </c>
      <c r="AL420" s="7">
        <f ca="1"/>
      </c>
      <c r="AM420" s="14">
        <f ca="1"/>
      </c>
      <c r="AN420" s="14">
        <f ca="1"/>
      </c>
      <c r="AO420" s="14">
        <f ca="1"/>
      </c>
      <c r="AP420" s="14">
        <f ca="1"/>
      </c>
      <c r="AQ420" s="14">
        <f ca="1"/>
      </c>
      <c r="AR420" s="14">
        <f ca="1"/>
      </c>
      <c r="AV420" s="14">
        <f ca="1"/>
      </c>
      <c r="AW420" s="14">
        <f ca="1"/>
      </c>
      <c r="AX420" s="14">
        <f ca="1"/>
      </c>
      <c r="AY420" s="14">
        <f ca="1"/>
      </c>
      <c r="AZ420" s="14">
        <f ca="1"/>
      </c>
      <c r="BF420" s="7">
        <f ca="1"/>
      </c>
      <c r="BG420" s="14">
        <f ca="1"/>
      </c>
      <c r="BH420" s="14">
        <f ca="1"/>
      </c>
      <c r="BI420" s="14">
        <f ca="1"/>
      </c>
      <c r="BJ420" s="14">
        <f ca="1"/>
      </c>
      <c r="BK420" s="14">
        <f ca="1"/>
      </c>
    </row>
    <row r="421" spans="28:63" x14ac:dyDescent="0.55000000000000004">
      <c r="AB421">
        <f ca="1"/>
      </c>
      <c r="AC421">
        <f ca="1"/>
      </c>
      <c r="AD421">
        <f ca="1"/>
      </c>
      <c r="AE421">
        <f ca="1"/>
      </c>
      <c r="AF421">
        <f ca="1"/>
      </c>
      <c r="AG421">
        <f ca="1"/>
      </c>
      <c r="AH421">
        <f ca="1"/>
      </c>
      <c r="AL421" s="7">
        <f ca="1"/>
      </c>
      <c r="AM421" s="14">
        <f ca="1"/>
      </c>
      <c r="AN421" s="14">
        <f ca="1"/>
      </c>
      <c r="AO421" s="14">
        <f ca="1"/>
      </c>
      <c r="AP421" s="14">
        <f ca="1"/>
      </c>
      <c r="AQ421" s="14">
        <f ca="1"/>
      </c>
      <c r="AR421" s="14">
        <f ca="1"/>
      </c>
      <c r="AV421" s="14">
        <f ca="1"/>
      </c>
      <c r="AW421" s="14">
        <f ca="1"/>
      </c>
      <c r="AX421" s="14">
        <f ca="1"/>
      </c>
      <c r="AY421" s="14">
        <f ca="1"/>
      </c>
      <c r="AZ421" s="14">
        <f ca="1"/>
      </c>
      <c r="BF421" s="7">
        <f ca="1"/>
      </c>
      <c r="BG421" s="14">
        <f ca="1"/>
      </c>
      <c r="BH421" s="14">
        <f ca="1"/>
      </c>
      <c r="BI421" s="14">
        <f ca="1"/>
      </c>
      <c r="BJ421" s="14">
        <f ca="1"/>
      </c>
      <c r="BK421" s="14">
        <f ca="1"/>
      </c>
    </row>
    <row r="422" spans="28:63" x14ac:dyDescent="0.55000000000000004">
      <c r="AB422">
        <f ca="1"/>
      </c>
      <c r="AC422">
        <f ca="1"/>
      </c>
      <c r="AD422">
        <f ca="1"/>
      </c>
      <c r="AE422">
        <f ca="1"/>
      </c>
      <c r="AF422">
        <f ca="1"/>
      </c>
      <c r="AG422">
        <f ca="1"/>
      </c>
      <c r="AH422">
        <f ca="1"/>
      </c>
      <c r="AL422" s="7">
        <f ca="1"/>
      </c>
      <c r="AM422" s="14">
        <f ca="1"/>
      </c>
      <c r="AN422" s="14">
        <f ca="1"/>
      </c>
      <c r="AO422" s="14">
        <f ca="1"/>
      </c>
      <c r="AP422" s="14">
        <f ca="1"/>
      </c>
      <c r="AQ422" s="14">
        <f ca="1"/>
      </c>
      <c r="AR422" s="14">
        <f ca="1"/>
      </c>
      <c r="AV422" s="14">
        <f ca="1"/>
      </c>
      <c r="AW422" s="14">
        <f ca="1"/>
      </c>
      <c r="AX422" s="14">
        <f ca="1"/>
      </c>
      <c r="AY422" s="14">
        <f ca="1"/>
      </c>
      <c r="AZ422" s="14">
        <f ca="1"/>
      </c>
      <c r="BF422" s="7">
        <f ca="1"/>
      </c>
      <c r="BG422" s="14">
        <f ca="1"/>
      </c>
      <c r="BH422" s="14">
        <f ca="1"/>
      </c>
      <c r="BI422" s="14">
        <f ca="1"/>
      </c>
      <c r="BJ422" s="14">
        <f ca="1"/>
      </c>
      <c r="BK422" s="14">
        <f ca="1"/>
      </c>
    </row>
    <row r="423" spans="28:63" x14ac:dyDescent="0.55000000000000004">
      <c r="AB423">
        <f ca="1"/>
      </c>
      <c r="AC423">
        <f ca="1"/>
      </c>
      <c r="AD423">
        <f ca="1"/>
      </c>
      <c r="AE423">
        <f ca="1"/>
      </c>
      <c r="AF423">
        <f ca="1"/>
      </c>
      <c r="AG423">
        <f ca="1"/>
      </c>
      <c r="AH423">
        <f ca="1"/>
      </c>
      <c r="AL423" s="7">
        <f ca="1"/>
      </c>
      <c r="AM423" s="14">
        <f ca="1"/>
      </c>
      <c r="AN423" s="14">
        <f ca="1"/>
      </c>
      <c r="AO423" s="14">
        <f ca="1"/>
      </c>
      <c r="AP423" s="14">
        <f ca="1"/>
      </c>
      <c r="AQ423" s="14">
        <f ca="1"/>
      </c>
      <c r="AR423" s="14">
        <f ca="1"/>
      </c>
      <c r="AV423" s="14">
        <f ca="1"/>
      </c>
      <c r="AW423" s="14">
        <f ca="1"/>
      </c>
      <c r="AX423" s="14">
        <f ca="1"/>
      </c>
      <c r="AY423" s="14">
        <f ca="1"/>
      </c>
      <c r="AZ423" s="14">
        <f ca="1"/>
      </c>
      <c r="BF423" s="7">
        <f ca="1"/>
      </c>
      <c r="BG423" s="14">
        <f ca="1"/>
      </c>
      <c r="BH423" s="14">
        <f ca="1"/>
      </c>
      <c r="BI423" s="14">
        <f ca="1"/>
      </c>
      <c r="BJ423" s="14">
        <f ca="1"/>
      </c>
      <c r="BK423" s="14">
        <f ca="1"/>
      </c>
    </row>
    <row r="424" spans="28:63" x14ac:dyDescent="0.55000000000000004">
      <c r="AB424">
        <f ca="1"/>
      </c>
      <c r="AC424">
        <f ca="1"/>
      </c>
      <c r="AD424">
        <f ca="1"/>
      </c>
      <c r="AE424">
        <f ca="1"/>
      </c>
      <c r="AF424">
        <f ca="1"/>
      </c>
      <c r="AG424">
        <f ca="1"/>
      </c>
      <c r="AH424">
        <f ca="1"/>
      </c>
      <c r="AL424" s="7">
        <f ca="1"/>
      </c>
      <c r="AM424" s="14">
        <f ca="1"/>
      </c>
      <c r="AN424" s="14">
        <f ca="1"/>
      </c>
      <c r="AO424" s="14">
        <f ca="1"/>
      </c>
      <c r="AP424" s="14">
        <f ca="1"/>
      </c>
      <c r="AQ424" s="14">
        <f ca="1"/>
      </c>
      <c r="AR424" s="14">
        <f ca="1"/>
      </c>
      <c r="AV424" s="14">
        <f ca="1"/>
      </c>
      <c r="AW424" s="14">
        <f ca="1"/>
      </c>
      <c r="AX424" s="14">
        <f ca="1"/>
      </c>
      <c r="AY424" s="14">
        <f ca="1"/>
      </c>
      <c r="AZ424" s="14">
        <f ca="1"/>
      </c>
      <c r="BF424" s="7">
        <f ca="1"/>
      </c>
      <c r="BG424" s="14">
        <f ca="1"/>
      </c>
      <c r="BH424" s="14">
        <f ca="1"/>
      </c>
      <c r="BI424" s="14">
        <f ca="1"/>
      </c>
      <c r="BJ424" s="14">
        <f ca="1"/>
      </c>
      <c r="BK424" s="14">
        <f ca="1"/>
      </c>
    </row>
    <row r="425" spans="28:63" x14ac:dyDescent="0.55000000000000004">
      <c r="AB425">
        <f ca="1"/>
      </c>
      <c r="AC425">
        <f ca="1"/>
      </c>
      <c r="AD425">
        <f ca="1"/>
      </c>
      <c r="AE425">
        <f ca="1"/>
      </c>
      <c r="AF425">
        <f ca="1"/>
      </c>
      <c r="AG425">
        <f ca="1"/>
      </c>
      <c r="AH425">
        <f ca="1"/>
      </c>
      <c r="AL425" s="7">
        <f ca="1"/>
      </c>
      <c r="AM425" s="14">
        <f ca="1"/>
      </c>
      <c r="AN425" s="14">
        <f ca="1"/>
      </c>
      <c r="AO425" s="14">
        <f ca="1"/>
      </c>
      <c r="AP425" s="14">
        <f ca="1"/>
      </c>
      <c r="AQ425" s="14">
        <f ca="1"/>
      </c>
      <c r="AR425" s="14">
        <f ca="1"/>
      </c>
      <c r="AV425" s="14">
        <f ca="1"/>
      </c>
      <c r="AW425" s="14">
        <f ca="1"/>
      </c>
      <c r="AX425" s="14">
        <f ca="1"/>
      </c>
      <c r="AY425" s="14">
        <f ca="1"/>
      </c>
      <c r="AZ425" s="14">
        <f ca="1"/>
      </c>
      <c r="BF425" s="7">
        <f ca="1"/>
      </c>
      <c r="BG425" s="14">
        <f ca="1"/>
      </c>
      <c r="BH425" s="14">
        <f ca="1"/>
      </c>
      <c r="BI425" s="14">
        <f ca="1"/>
      </c>
      <c r="BJ425" s="14">
        <f ca="1"/>
      </c>
      <c r="BK425" s="14">
        <f ca="1"/>
      </c>
    </row>
    <row r="426" spans="28:63" x14ac:dyDescent="0.55000000000000004">
      <c r="AB426">
        <f ca="1"/>
      </c>
      <c r="AC426">
        <f ca="1"/>
      </c>
      <c r="AD426">
        <f ca="1"/>
      </c>
      <c r="AE426">
        <f ca="1"/>
      </c>
      <c r="AF426">
        <f ca="1"/>
      </c>
      <c r="AG426">
        <f ca="1"/>
      </c>
      <c r="AH426">
        <f ca="1"/>
      </c>
      <c r="AL426" s="7">
        <f ca="1"/>
      </c>
      <c r="AM426" s="14">
        <f ca="1"/>
      </c>
      <c r="AN426" s="14">
        <f ca="1"/>
      </c>
      <c r="AO426" s="14">
        <f ca="1"/>
      </c>
      <c r="AP426" s="14">
        <f ca="1"/>
      </c>
      <c r="AQ426" s="14">
        <f ca="1"/>
      </c>
      <c r="AR426" s="14">
        <f ca="1"/>
      </c>
      <c r="AV426" s="14">
        <f ca="1"/>
      </c>
      <c r="AW426" s="14">
        <f ca="1"/>
      </c>
      <c r="AX426" s="14">
        <f ca="1"/>
      </c>
      <c r="AY426" s="14">
        <f ca="1"/>
      </c>
      <c r="AZ426" s="14">
        <f ca="1"/>
      </c>
      <c r="BF426" s="7">
        <f ca="1"/>
      </c>
      <c r="BG426" s="14">
        <f ca="1"/>
      </c>
      <c r="BH426" s="14">
        <f ca="1"/>
      </c>
      <c r="BI426" s="14">
        <f ca="1"/>
      </c>
      <c r="BJ426" s="14">
        <f ca="1"/>
      </c>
      <c r="BK426" s="14">
        <f ca="1"/>
      </c>
    </row>
    <row r="427" spans="28:63" x14ac:dyDescent="0.55000000000000004">
      <c r="AB427">
        <f ca="1"/>
      </c>
      <c r="AC427">
        <f ca="1"/>
      </c>
      <c r="AD427">
        <f ca="1"/>
      </c>
      <c r="AE427">
        <f ca="1"/>
      </c>
      <c r="AF427">
        <f ca="1"/>
      </c>
      <c r="AG427">
        <f ca="1"/>
      </c>
      <c r="AH427">
        <f ca="1"/>
      </c>
      <c r="AL427" s="7">
        <f ca="1"/>
      </c>
      <c r="AM427" s="14">
        <f ca="1"/>
      </c>
      <c r="AN427" s="14">
        <f ca="1"/>
      </c>
      <c r="AO427" s="14">
        <f ca="1"/>
      </c>
      <c r="AP427" s="14">
        <f ca="1"/>
      </c>
      <c r="AQ427" s="14">
        <f ca="1"/>
      </c>
      <c r="AR427" s="14">
        <f ca="1"/>
      </c>
      <c r="AV427" s="14">
        <f ca="1"/>
      </c>
      <c r="AW427" s="14">
        <f ca="1"/>
      </c>
      <c r="AX427" s="14">
        <f ca="1"/>
      </c>
      <c r="AY427" s="14">
        <f ca="1"/>
      </c>
      <c r="AZ427" s="14">
        <f ca="1"/>
      </c>
      <c r="BF427" s="7">
        <f ca="1"/>
      </c>
      <c r="BG427" s="14">
        <f ca="1"/>
      </c>
      <c r="BH427" s="14">
        <f ca="1"/>
      </c>
      <c r="BI427" s="14">
        <f ca="1"/>
      </c>
      <c r="BJ427" s="14">
        <f ca="1"/>
      </c>
      <c r="BK427" s="14">
        <f ca="1"/>
      </c>
    </row>
    <row r="428" spans="28:63" x14ac:dyDescent="0.55000000000000004">
      <c r="AB428">
        <f ca="1"/>
      </c>
      <c r="AC428">
        <f ca="1"/>
      </c>
      <c r="AD428">
        <f ca="1"/>
      </c>
      <c r="AE428">
        <f ca="1"/>
      </c>
      <c r="AF428">
        <f ca="1"/>
      </c>
      <c r="AG428">
        <f ca="1"/>
      </c>
      <c r="AH428">
        <f ca="1"/>
      </c>
      <c r="AL428" s="7">
        <f ca="1"/>
      </c>
      <c r="AM428" s="14">
        <f ca="1"/>
      </c>
      <c r="AN428" s="14">
        <f ca="1"/>
      </c>
      <c r="AO428" s="14">
        <f ca="1"/>
      </c>
      <c r="AP428" s="14">
        <f ca="1"/>
      </c>
      <c r="AQ428" s="14">
        <f ca="1"/>
      </c>
      <c r="AR428" s="14">
        <f ca="1"/>
      </c>
      <c r="AV428" s="14">
        <f ca="1"/>
      </c>
      <c r="AW428" s="14">
        <f ca="1"/>
      </c>
      <c r="AX428" s="14">
        <f ca="1"/>
      </c>
      <c r="AY428" s="14">
        <f ca="1"/>
      </c>
      <c r="AZ428" s="14">
        <f ca="1"/>
      </c>
      <c r="BF428" s="7">
        <f ca="1"/>
      </c>
      <c r="BG428" s="14">
        <f ca="1"/>
      </c>
      <c r="BH428" s="14">
        <f ca="1"/>
      </c>
      <c r="BI428" s="14">
        <f ca="1"/>
      </c>
      <c r="BJ428" s="14">
        <f ca="1"/>
      </c>
      <c r="BK428" s="14">
        <f ca="1"/>
      </c>
    </row>
    <row r="429" spans="28:63" x14ac:dyDescent="0.55000000000000004">
      <c r="AB429">
        <f ca="1"/>
      </c>
      <c r="AC429">
        <f ca="1"/>
      </c>
      <c r="AD429">
        <f ca="1"/>
      </c>
      <c r="AE429">
        <f ca="1"/>
      </c>
      <c r="AF429">
        <f ca="1"/>
      </c>
      <c r="AG429">
        <f ca="1"/>
      </c>
      <c r="AH429">
        <f ca="1"/>
      </c>
      <c r="AL429" s="7">
        <f ca="1"/>
      </c>
      <c r="AM429" s="14">
        <f ca="1"/>
      </c>
      <c r="AN429" s="14">
        <f ca="1"/>
      </c>
      <c r="AO429" s="14">
        <f ca="1"/>
      </c>
      <c r="AP429" s="14">
        <f ca="1"/>
      </c>
      <c r="AQ429" s="14">
        <f ca="1"/>
      </c>
      <c r="AR429" s="14">
        <f ca="1"/>
      </c>
      <c r="AV429" s="14">
        <f ca="1"/>
      </c>
      <c r="AW429" s="14">
        <f ca="1"/>
      </c>
      <c r="AX429" s="14">
        <f ca="1"/>
      </c>
      <c r="AY429" s="14">
        <f ca="1"/>
      </c>
      <c r="AZ429" s="14">
        <f ca="1"/>
      </c>
      <c r="BF429" s="7">
        <f ca="1"/>
      </c>
      <c r="BG429" s="14">
        <f ca="1"/>
      </c>
      <c r="BH429" s="14">
        <f ca="1"/>
      </c>
      <c r="BI429" s="14">
        <f ca="1"/>
      </c>
      <c r="BJ429" s="14">
        <f ca="1"/>
      </c>
      <c r="BK429" s="14">
        <f ca="1"/>
      </c>
    </row>
    <row r="430" spans="28:63" x14ac:dyDescent="0.55000000000000004">
      <c r="AB430">
        <f ca="1"/>
      </c>
      <c r="AC430">
        <f ca="1"/>
      </c>
      <c r="AD430">
        <f ca="1"/>
      </c>
      <c r="AE430">
        <f ca="1"/>
      </c>
      <c r="AF430">
        <f ca="1"/>
      </c>
      <c r="AG430">
        <f ca="1"/>
      </c>
      <c r="AH430">
        <f ca="1"/>
      </c>
      <c r="AL430" s="7">
        <f ca="1"/>
      </c>
      <c r="AM430" s="14">
        <f ca="1"/>
      </c>
      <c r="AN430" s="14">
        <f ca="1"/>
      </c>
      <c r="AO430" s="14">
        <f ca="1"/>
      </c>
      <c r="AP430" s="14">
        <f ca="1"/>
      </c>
      <c r="AQ430" s="14">
        <f ca="1"/>
      </c>
      <c r="AR430" s="14">
        <f ca="1"/>
      </c>
      <c r="AV430" s="14">
        <f ca="1"/>
      </c>
      <c r="AW430" s="14">
        <f ca="1"/>
      </c>
      <c r="AX430" s="14">
        <f ca="1"/>
      </c>
      <c r="AY430" s="14">
        <f ca="1"/>
      </c>
      <c r="AZ430" s="14">
        <f ca="1"/>
      </c>
      <c r="BF430" s="7">
        <f ca="1"/>
      </c>
      <c r="BG430" s="14">
        <f ca="1"/>
      </c>
      <c r="BH430" s="14">
        <f ca="1"/>
      </c>
      <c r="BI430" s="14">
        <f ca="1"/>
      </c>
      <c r="BJ430" s="14">
        <f ca="1"/>
      </c>
      <c r="BK430" s="14">
        <f ca="1"/>
      </c>
    </row>
    <row r="431" spans="28:63" x14ac:dyDescent="0.55000000000000004">
      <c r="AB431">
        <f ca="1"/>
      </c>
      <c r="AC431">
        <f ca="1"/>
      </c>
      <c r="AD431">
        <f ca="1"/>
      </c>
      <c r="AE431">
        <f ca="1"/>
      </c>
      <c r="AF431">
        <f ca="1"/>
      </c>
      <c r="AG431">
        <f ca="1"/>
      </c>
      <c r="AH431">
        <f ca="1"/>
      </c>
      <c r="AL431" s="7">
        <f ca="1"/>
      </c>
      <c r="AM431" s="14">
        <f ca="1"/>
      </c>
      <c r="AN431" s="14">
        <f ca="1"/>
      </c>
      <c r="AO431" s="14">
        <f ca="1"/>
      </c>
      <c r="AP431" s="14">
        <f ca="1"/>
      </c>
      <c r="AQ431" s="14">
        <f ca="1"/>
      </c>
      <c r="AR431" s="14">
        <f ca="1"/>
      </c>
      <c r="AV431" s="14">
        <f ca="1"/>
      </c>
      <c r="AW431" s="14">
        <f ca="1"/>
      </c>
      <c r="AX431" s="14">
        <f ca="1"/>
      </c>
      <c r="AY431" s="14">
        <f ca="1"/>
      </c>
      <c r="AZ431" s="14">
        <f ca="1"/>
      </c>
      <c r="BF431" s="7">
        <f ca="1"/>
      </c>
      <c r="BG431" s="14">
        <f ca="1"/>
      </c>
      <c r="BH431" s="14">
        <f ca="1"/>
      </c>
      <c r="BI431" s="14">
        <f ca="1"/>
      </c>
      <c r="BJ431" s="14">
        <f ca="1"/>
      </c>
      <c r="BK431" s="14">
        <f ca="1"/>
      </c>
    </row>
    <row r="432" spans="28:63" x14ac:dyDescent="0.55000000000000004">
      <c r="AB432">
        <f ca="1"/>
      </c>
      <c r="AC432">
        <f ca="1"/>
      </c>
      <c r="AD432">
        <f ca="1"/>
      </c>
      <c r="AE432">
        <f ca="1"/>
      </c>
      <c r="AF432">
        <f ca="1"/>
      </c>
      <c r="AG432">
        <f ca="1"/>
      </c>
      <c r="AH432">
        <f ca="1"/>
      </c>
      <c r="AL432" s="7">
        <f ca="1"/>
      </c>
      <c r="AM432" s="14">
        <f ca="1"/>
      </c>
      <c r="AN432" s="14">
        <f ca="1"/>
      </c>
      <c r="AO432" s="14">
        <f ca="1"/>
      </c>
      <c r="AP432" s="14">
        <f ca="1"/>
      </c>
      <c r="AQ432" s="14">
        <f ca="1"/>
      </c>
      <c r="AR432" s="14">
        <f ca="1"/>
      </c>
      <c r="AV432" s="14">
        <f ca="1"/>
      </c>
      <c r="AW432" s="14">
        <f ca="1"/>
      </c>
      <c r="AX432" s="14">
        <f ca="1"/>
      </c>
      <c r="AY432" s="14">
        <f ca="1"/>
      </c>
      <c r="AZ432" s="14">
        <f ca="1"/>
      </c>
      <c r="BF432" s="7">
        <f ca="1"/>
      </c>
      <c r="BG432" s="14">
        <f ca="1"/>
      </c>
      <c r="BH432" s="14">
        <f ca="1"/>
      </c>
      <c r="BI432" s="14">
        <f ca="1"/>
      </c>
      <c r="BJ432" s="14">
        <f ca="1"/>
      </c>
      <c r="BK432" s="14">
        <f ca="1"/>
      </c>
    </row>
    <row r="433" spans="28:63" x14ac:dyDescent="0.55000000000000004">
      <c r="AB433">
        <f ca="1"/>
      </c>
      <c r="AC433">
        <f ca="1"/>
      </c>
      <c r="AD433">
        <f ca="1"/>
      </c>
      <c r="AE433">
        <f ca="1"/>
      </c>
      <c r="AF433">
        <f ca="1"/>
      </c>
      <c r="AG433">
        <f ca="1"/>
      </c>
      <c r="AH433">
        <f ca="1"/>
      </c>
      <c r="AL433" s="7">
        <f ca="1"/>
      </c>
      <c r="AM433" s="14">
        <f ca="1"/>
      </c>
      <c r="AN433" s="14">
        <f ca="1"/>
      </c>
      <c r="AO433" s="14">
        <f ca="1"/>
      </c>
      <c r="AP433" s="14">
        <f ca="1"/>
      </c>
      <c r="AQ433" s="14">
        <f ca="1"/>
      </c>
      <c r="AR433" s="14">
        <f ca="1"/>
      </c>
      <c r="AV433" s="14">
        <f ca="1"/>
      </c>
      <c r="AW433" s="14">
        <f ca="1"/>
      </c>
      <c r="AX433" s="14">
        <f ca="1"/>
      </c>
      <c r="AY433" s="14">
        <f ca="1"/>
      </c>
      <c r="AZ433" s="14">
        <f ca="1"/>
      </c>
      <c r="BF433" s="7">
        <f ca="1"/>
      </c>
      <c r="BG433" s="14">
        <f ca="1"/>
      </c>
      <c r="BH433" s="14">
        <f ca="1"/>
      </c>
      <c r="BI433" s="14">
        <f ca="1"/>
      </c>
      <c r="BJ433" s="14">
        <f ca="1"/>
      </c>
      <c r="BK433" s="14">
        <f ca="1"/>
      </c>
    </row>
    <row r="434" spans="28:63" x14ac:dyDescent="0.55000000000000004">
      <c r="AB434">
        <f ca="1"/>
      </c>
      <c r="AC434">
        <f ca="1"/>
      </c>
      <c r="AD434">
        <f ca="1"/>
      </c>
      <c r="AE434">
        <f ca="1"/>
      </c>
      <c r="AF434">
        <f ca="1"/>
      </c>
      <c r="AG434">
        <f ca="1"/>
      </c>
      <c r="AH434">
        <f ca="1"/>
      </c>
      <c r="AL434" s="7">
        <f ca="1"/>
      </c>
      <c r="AM434" s="14">
        <f ca="1"/>
      </c>
      <c r="AN434" s="14">
        <f ca="1"/>
      </c>
      <c r="AO434" s="14">
        <f ca="1"/>
      </c>
      <c r="AP434" s="14">
        <f ca="1"/>
      </c>
      <c r="AQ434" s="14">
        <f ca="1"/>
      </c>
      <c r="AR434" s="14">
        <f ca="1"/>
      </c>
      <c r="AV434" s="14">
        <f ca="1"/>
      </c>
      <c r="AW434" s="14">
        <f ca="1"/>
      </c>
      <c r="AX434" s="14">
        <f ca="1"/>
      </c>
      <c r="AY434" s="14">
        <f ca="1"/>
      </c>
      <c r="AZ434" s="14">
        <f ca="1"/>
      </c>
      <c r="BF434" s="7">
        <f ca="1"/>
      </c>
      <c r="BG434" s="14">
        <f ca="1"/>
      </c>
      <c r="BH434" s="14">
        <f ca="1"/>
      </c>
      <c r="BI434" s="14">
        <f ca="1"/>
      </c>
      <c r="BJ434" s="14">
        <f ca="1"/>
      </c>
      <c r="BK434" s="14">
        <f ca="1"/>
      </c>
    </row>
    <row r="435" spans="28:63" x14ac:dyDescent="0.55000000000000004">
      <c r="AB435">
        <f ca="1"/>
      </c>
      <c r="AC435">
        <f ca="1"/>
      </c>
      <c r="AD435">
        <f ca="1"/>
      </c>
      <c r="AE435">
        <f ca="1"/>
      </c>
      <c r="AF435">
        <f ca="1"/>
      </c>
      <c r="AG435">
        <f ca="1"/>
      </c>
      <c r="AH435">
        <f ca="1"/>
      </c>
      <c r="AL435" s="7">
        <f ca="1"/>
      </c>
      <c r="AM435" s="14">
        <f ca="1"/>
      </c>
      <c r="AN435" s="14">
        <f ca="1"/>
      </c>
      <c r="AO435" s="14">
        <f ca="1"/>
      </c>
      <c r="AP435" s="14">
        <f ca="1"/>
      </c>
      <c r="AQ435" s="14">
        <f ca="1"/>
      </c>
      <c r="AR435" s="14">
        <f ca="1"/>
      </c>
      <c r="AV435" s="14">
        <f ca="1"/>
      </c>
      <c r="AW435" s="14">
        <f ca="1"/>
      </c>
      <c r="AX435" s="14">
        <f ca="1"/>
      </c>
      <c r="AY435" s="14">
        <f ca="1"/>
      </c>
      <c r="AZ435" s="14">
        <f ca="1"/>
      </c>
      <c r="BF435" s="7">
        <f ca="1"/>
      </c>
      <c r="BG435" s="14">
        <f ca="1"/>
      </c>
      <c r="BH435" s="14">
        <f ca="1"/>
      </c>
      <c r="BI435" s="14">
        <f ca="1"/>
      </c>
      <c r="BJ435" s="14">
        <f ca="1"/>
      </c>
      <c r="BK435" s="14">
        <f ca="1"/>
      </c>
    </row>
    <row r="436" spans="28:63" x14ac:dyDescent="0.55000000000000004">
      <c r="AB436">
        <f ca="1"/>
      </c>
      <c r="AC436">
        <f ca="1"/>
      </c>
      <c r="AD436">
        <f ca="1"/>
      </c>
      <c r="AE436">
        <f ca="1"/>
      </c>
      <c r="AF436">
        <f ca="1"/>
      </c>
      <c r="AG436">
        <f ca="1"/>
      </c>
      <c r="AH436">
        <f ca="1"/>
      </c>
      <c r="AL436" s="7">
        <f ca="1"/>
      </c>
      <c r="AM436" s="14">
        <f ca="1"/>
      </c>
      <c r="AN436" s="14">
        <f ca="1"/>
      </c>
      <c r="AO436" s="14">
        <f ca="1"/>
      </c>
      <c r="AP436" s="14">
        <f ca="1"/>
      </c>
      <c r="AQ436" s="14">
        <f ca="1"/>
      </c>
      <c r="AR436" s="14">
        <f ca="1"/>
      </c>
      <c r="AV436" s="14">
        <f ca="1"/>
      </c>
      <c r="AW436" s="14">
        <f ca="1"/>
      </c>
      <c r="AX436" s="14">
        <f ca="1"/>
      </c>
      <c r="AY436" s="14">
        <f ca="1"/>
      </c>
      <c r="AZ436" s="14">
        <f ca="1"/>
      </c>
      <c r="BF436" s="7">
        <f ca="1"/>
      </c>
      <c r="BG436" s="14">
        <f ca="1"/>
      </c>
      <c r="BH436" s="14">
        <f ca="1"/>
      </c>
      <c r="BI436" s="14">
        <f ca="1"/>
      </c>
      <c r="BJ436" s="14">
        <f ca="1"/>
      </c>
      <c r="BK436" s="14">
        <f ca="1"/>
      </c>
    </row>
    <row r="437" spans="28:63" x14ac:dyDescent="0.55000000000000004">
      <c r="AB437">
        <f ca="1"/>
      </c>
      <c r="AC437">
        <f ca="1"/>
      </c>
      <c r="AD437">
        <f ca="1"/>
      </c>
      <c r="AE437">
        <f ca="1"/>
      </c>
      <c r="AF437">
        <f ca="1"/>
      </c>
      <c r="AG437">
        <f ca="1"/>
      </c>
      <c r="AH437">
        <f ca="1"/>
      </c>
      <c r="AL437" s="7">
        <f ca="1"/>
      </c>
      <c r="AM437" s="14">
        <f ca="1"/>
      </c>
      <c r="AN437" s="14">
        <f ca="1"/>
      </c>
      <c r="AO437" s="14">
        <f ca="1"/>
      </c>
      <c r="AP437" s="14">
        <f ca="1"/>
      </c>
      <c r="AQ437" s="14">
        <f ca="1"/>
      </c>
      <c r="AR437" s="14">
        <f ca="1"/>
      </c>
      <c r="AV437" s="14">
        <f ca="1"/>
      </c>
      <c r="AW437" s="14">
        <f ca="1"/>
      </c>
      <c r="AX437" s="14">
        <f ca="1"/>
      </c>
      <c r="AY437" s="14">
        <f ca="1"/>
      </c>
      <c r="AZ437" s="14">
        <f ca="1"/>
      </c>
      <c r="BF437" s="7">
        <f ca="1"/>
      </c>
      <c r="BG437" s="14">
        <f ca="1"/>
      </c>
      <c r="BH437" s="14">
        <f ca="1"/>
      </c>
      <c r="BI437" s="14">
        <f ca="1"/>
      </c>
      <c r="BJ437" s="14">
        <f ca="1"/>
      </c>
      <c r="BK437" s="14">
        <f ca="1"/>
      </c>
    </row>
    <row r="438" spans="28:63" x14ac:dyDescent="0.55000000000000004">
      <c r="AB438">
        <f ca="1"/>
      </c>
      <c r="AC438">
        <f ca="1"/>
      </c>
      <c r="AD438">
        <f ca="1"/>
      </c>
      <c r="AE438">
        <f ca="1"/>
      </c>
      <c r="AF438">
        <f ca="1"/>
      </c>
      <c r="AG438">
        <f ca="1"/>
      </c>
      <c r="AH438">
        <f ca="1"/>
      </c>
      <c r="AL438" s="7">
        <f ca="1"/>
      </c>
      <c r="AM438" s="14">
        <f ca="1"/>
      </c>
      <c r="AN438" s="14">
        <f ca="1"/>
      </c>
      <c r="AO438" s="14">
        <f ca="1"/>
      </c>
      <c r="AP438" s="14">
        <f ca="1"/>
      </c>
      <c r="AQ438" s="14">
        <f ca="1"/>
      </c>
      <c r="AR438" s="14">
        <f ca="1"/>
      </c>
      <c r="AV438" s="14">
        <f ca="1"/>
      </c>
      <c r="AW438" s="14">
        <f ca="1"/>
      </c>
      <c r="AX438" s="14">
        <f ca="1"/>
      </c>
      <c r="AY438" s="14">
        <f ca="1"/>
      </c>
      <c r="AZ438" s="14">
        <f ca="1"/>
      </c>
      <c r="BF438" s="7">
        <f ca="1"/>
      </c>
      <c r="BG438" s="14">
        <f ca="1"/>
      </c>
      <c r="BH438" s="14">
        <f ca="1"/>
      </c>
      <c r="BI438" s="14">
        <f ca="1"/>
      </c>
      <c r="BJ438" s="14">
        <f ca="1"/>
      </c>
      <c r="BK438" s="14">
        <f ca="1"/>
      </c>
    </row>
    <row r="439" spans="28:63" x14ac:dyDescent="0.55000000000000004">
      <c r="AB439">
        <f ca="1"/>
      </c>
      <c r="AC439">
        <f ca="1"/>
      </c>
      <c r="AD439">
        <f ca="1"/>
      </c>
      <c r="AE439">
        <f ca="1"/>
      </c>
      <c r="AF439">
        <f ca="1"/>
      </c>
      <c r="AG439">
        <f ca="1"/>
      </c>
      <c r="AH439">
        <f ca="1"/>
      </c>
      <c r="AL439" s="7">
        <f ca="1"/>
      </c>
      <c r="AM439" s="14">
        <f ca="1"/>
      </c>
      <c r="AN439" s="14">
        <f ca="1"/>
      </c>
      <c r="AO439" s="14">
        <f ca="1"/>
      </c>
      <c r="AP439" s="14">
        <f ca="1"/>
      </c>
      <c r="AQ439" s="14">
        <f ca="1"/>
      </c>
      <c r="AR439" s="14">
        <f ca="1"/>
      </c>
      <c r="AV439" s="14">
        <f ca="1"/>
      </c>
      <c r="AW439" s="14">
        <f ca="1"/>
      </c>
      <c r="AX439" s="14">
        <f ca="1"/>
      </c>
      <c r="AY439" s="14">
        <f ca="1"/>
      </c>
      <c r="AZ439" s="14">
        <f ca="1"/>
      </c>
      <c r="BF439" s="7">
        <f ca="1"/>
      </c>
      <c r="BG439" s="14">
        <f ca="1"/>
      </c>
      <c r="BH439" s="14">
        <f ca="1"/>
      </c>
      <c r="BI439" s="14">
        <f ca="1"/>
      </c>
      <c r="BJ439" s="14">
        <f ca="1"/>
      </c>
      <c r="BK439" s="14">
        <f ca="1"/>
      </c>
    </row>
    <row r="440" spans="28:63" x14ac:dyDescent="0.55000000000000004">
      <c r="AB440">
        <f ca="1"/>
      </c>
      <c r="AC440">
        <f ca="1"/>
      </c>
      <c r="AD440">
        <f ca="1"/>
      </c>
      <c r="AE440">
        <f ca="1"/>
      </c>
      <c r="AF440">
        <f ca="1"/>
      </c>
      <c r="AG440">
        <f ca="1"/>
      </c>
      <c r="AH440">
        <f ca="1"/>
      </c>
      <c r="AL440" s="7">
        <f ca="1"/>
      </c>
      <c r="AM440" s="14">
        <f ca="1"/>
      </c>
      <c r="AN440" s="14">
        <f ca="1"/>
      </c>
      <c r="AO440" s="14">
        <f ca="1"/>
      </c>
      <c r="AP440" s="14">
        <f ca="1"/>
      </c>
      <c r="AQ440" s="14">
        <f ca="1"/>
      </c>
      <c r="AR440" s="14">
        <f ca="1"/>
      </c>
      <c r="AV440" s="14">
        <f ca="1"/>
      </c>
      <c r="AW440" s="14">
        <f ca="1"/>
      </c>
      <c r="AX440" s="14">
        <f ca="1"/>
      </c>
      <c r="AY440" s="14">
        <f ca="1"/>
      </c>
      <c r="AZ440" s="14">
        <f ca="1"/>
      </c>
      <c r="BF440" s="7">
        <f ca="1"/>
      </c>
      <c r="BG440" s="14">
        <f ca="1"/>
      </c>
      <c r="BH440" s="14">
        <f ca="1"/>
      </c>
      <c r="BI440" s="14">
        <f ca="1"/>
      </c>
      <c r="BJ440" s="14">
        <f ca="1"/>
      </c>
      <c r="BK440" s="14">
        <f ca="1"/>
      </c>
    </row>
    <row r="441" spans="28:63" x14ac:dyDescent="0.55000000000000004">
      <c r="AB441">
        <f ca="1"/>
      </c>
      <c r="AC441">
        <f ca="1"/>
      </c>
      <c r="AD441">
        <f ca="1"/>
      </c>
      <c r="AE441">
        <f ca="1"/>
      </c>
      <c r="AF441">
        <f ca="1"/>
      </c>
      <c r="AG441">
        <f ca="1"/>
      </c>
      <c r="AH441">
        <f ca="1"/>
      </c>
      <c r="AL441" s="7">
        <f ca="1"/>
      </c>
      <c r="AM441" s="14">
        <f ca="1"/>
      </c>
      <c r="AN441" s="14">
        <f ca="1"/>
      </c>
      <c r="AO441" s="14">
        <f ca="1"/>
      </c>
      <c r="AP441" s="14">
        <f ca="1"/>
      </c>
      <c r="AQ441" s="14">
        <f ca="1"/>
      </c>
      <c r="AR441" s="14">
        <f ca="1"/>
      </c>
      <c r="AV441" s="14">
        <f ca="1"/>
      </c>
      <c r="AW441" s="14">
        <f ca="1"/>
      </c>
      <c r="AX441" s="14">
        <f ca="1"/>
      </c>
      <c r="AY441" s="14">
        <f ca="1"/>
      </c>
      <c r="AZ441" s="14">
        <f ca="1"/>
      </c>
      <c r="BF441" s="7">
        <f ca="1"/>
      </c>
      <c r="BG441" s="14">
        <f ca="1"/>
      </c>
      <c r="BH441" s="14">
        <f ca="1"/>
      </c>
      <c r="BI441" s="14">
        <f ca="1"/>
      </c>
      <c r="BJ441" s="14">
        <f ca="1"/>
      </c>
      <c r="BK441" s="14">
        <f ca="1"/>
      </c>
    </row>
    <row r="442" spans="28:63" x14ac:dyDescent="0.55000000000000004">
      <c r="AB442">
        <f ca="1"/>
      </c>
      <c r="AC442">
        <f ca="1"/>
      </c>
      <c r="AD442">
        <f ca="1"/>
      </c>
      <c r="AE442">
        <f ca="1"/>
      </c>
      <c r="AF442">
        <f ca="1"/>
      </c>
      <c r="AG442">
        <f ca="1"/>
      </c>
      <c r="AH442">
        <f ca="1"/>
      </c>
      <c r="AL442" s="7">
        <f ca="1"/>
      </c>
      <c r="AM442" s="14">
        <f ca="1"/>
      </c>
      <c r="AN442" s="14">
        <f ca="1"/>
      </c>
      <c r="AO442" s="14">
        <f ca="1"/>
      </c>
      <c r="AP442" s="14">
        <f ca="1"/>
      </c>
      <c r="AQ442" s="14">
        <f ca="1"/>
      </c>
      <c r="AR442" s="14">
        <f ca="1"/>
      </c>
      <c r="AV442" s="14">
        <f ca="1"/>
      </c>
      <c r="AW442" s="14">
        <f ca="1"/>
      </c>
      <c r="AX442" s="14">
        <f ca="1"/>
      </c>
      <c r="AY442" s="14">
        <f ca="1"/>
      </c>
      <c r="AZ442" s="14">
        <f ca="1"/>
      </c>
      <c r="BF442" s="7">
        <f ca="1"/>
      </c>
      <c r="BG442" s="14">
        <f ca="1"/>
      </c>
      <c r="BH442" s="14">
        <f ca="1"/>
      </c>
      <c r="BI442" s="14">
        <f ca="1"/>
      </c>
      <c r="BJ442" s="14">
        <f ca="1"/>
      </c>
      <c r="BK442" s="14">
        <f ca="1"/>
      </c>
    </row>
    <row r="443" spans="28:63" x14ac:dyDescent="0.55000000000000004">
      <c r="AB443">
        <f ca="1"/>
      </c>
      <c r="AC443">
        <f ca="1"/>
      </c>
      <c r="AD443">
        <f ca="1"/>
      </c>
      <c r="AE443">
        <f ca="1"/>
      </c>
      <c r="AF443">
        <f ca="1"/>
      </c>
      <c r="AG443">
        <f ca="1"/>
      </c>
      <c r="AH443">
        <f ca="1"/>
      </c>
      <c r="AL443" s="7">
        <f ca="1"/>
      </c>
      <c r="AM443" s="14">
        <f ca="1"/>
      </c>
      <c r="AN443" s="14">
        <f ca="1"/>
      </c>
      <c r="AO443" s="14">
        <f ca="1"/>
      </c>
      <c r="AP443" s="14">
        <f ca="1"/>
      </c>
      <c r="AQ443" s="14">
        <f ca="1"/>
      </c>
      <c r="AR443" s="14">
        <f ca="1"/>
      </c>
      <c r="AV443" s="14">
        <f ca="1"/>
      </c>
      <c r="AW443" s="14">
        <f ca="1"/>
      </c>
      <c r="AX443" s="14">
        <f ca="1"/>
      </c>
      <c r="AY443" s="14">
        <f ca="1"/>
      </c>
      <c r="AZ443" s="14">
        <f ca="1"/>
      </c>
      <c r="BF443" s="7">
        <f ca="1"/>
      </c>
      <c r="BG443" s="14">
        <f ca="1"/>
      </c>
      <c r="BH443" s="14">
        <f ca="1"/>
      </c>
      <c r="BI443" s="14">
        <f ca="1"/>
      </c>
      <c r="BJ443" s="14">
        <f ca="1"/>
      </c>
      <c r="BK443" s="14">
        <f ca="1"/>
      </c>
    </row>
    <row r="444" spans="28:63" x14ac:dyDescent="0.55000000000000004">
      <c r="AB444">
        <f ca="1"/>
      </c>
      <c r="AC444">
        <f ca="1"/>
      </c>
      <c r="AD444">
        <f ca="1"/>
      </c>
      <c r="AE444">
        <f ca="1"/>
      </c>
      <c r="AF444">
        <f ca="1"/>
      </c>
      <c r="AG444">
        <f ca="1"/>
      </c>
      <c r="AH444">
        <f ca="1"/>
      </c>
      <c r="AL444" s="7">
        <f ca="1"/>
      </c>
      <c r="AM444" s="14">
        <f ca="1"/>
      </c>
      <c r="AN444" s="14">
        <f ca="1"/>
      </c>
      <c r="AO444" s="14">
        <f ca="1"/>
      </c>
      <c r="AP444" s="14">
        <f ca="1"/>
      </c>
      <c r="AQ444" s="14">
        <f ca="1"/>
      </c>
      <c r="AR444" s="14">
        <f ca="1"/>
      </c>
      <c r="AV444" s="14">
        <f ca="1"/>
      </c>
      <c r="AW444" s="14">
        <f ca="1"/>
      </c>
      <c r="AX444" s="14">
        <f ca="1"/>
      </c>
      <c r="AY444" s="14">
        <f ca="1"/>
      </c>
      <c r="AZ444" s="14">
        <f ca="1"/>
      </c>
      <c r="BF444" s="7">
        <f ca="1"/>
      </c>
      <c r="BG444" s="14">
        <f ca="1"/>
      </c>
      <c r="BH444" s="14">
        <f ca="1"/>
      </c>
      <c r="BI444" s="14">
        <f ca="1"/>
      </c>
      <c r="BJ444" s="14">
        <f ca="1"/>
      </c>
      <c r="BK444" s="14">
        <f ca="1"/>
      </c>
    </row>
    <row r="445" spans="28:63" x14ac:dyDescent="0.55000000000000004">
      <c r="AB445">
        <f ca="1"/>
      </c>
      <c r="AC445">
        <f ca="1"/>
      </c>
      <c r="AD445">
        <f ca="1"/>
      </c>
      <c r="AE445">
        <f ca="1"/>
      </c>
      <c r="AF445">
        <f ca="1"/>
      </c>
      <c r="AG445">
        <f ca="1"/>
      </c>
      <c r="AH445">
        <f ca="1"/>
      </c>
      <c r="AL445" s="7">
        <f ca="1"/>
      </c>
      <c r="AM445" s="14">
        <f ca="1"/>
      </c>
      <c r="AN445" s="14">
        <f ca="1"/>
      </c>
      <c r="AO445" s="14">
        <f ca="1"/>
      </c>
      <c r="AP445" s="14">
        <f ca="1"/>
      </c>
      <c r="AQ445" s="14">
        <f ca="1"/>
      </c>
      <c r="AR445" s="14">
        <f ca="1"/>
      </c>
      <c r="AV445" s="14">
        <f ca="1"/>
      </c>
      <c r="AW445" s="14">
        <f ca="1"/>
      </c>
      <c r="AX445" s="14">
        <f ca="1"/>
      </c>
      <c r="AY445" s="14">
        <f ca="1"/>
      </c>
      <c r="AZ445" s="14">
        <f ca="1"/>
      </c>
      <c r="BF445" s="7">
        <f ca="1"/>
      </c>
      <c r="BG445" s="14">
        <f ca="1"/>
      </c>
      <c r="BH445" s="14">
        <f ca="1"/>
      </c>
      <c r="BI445" s="14">
        <f ca="1"/>
      </c>
      <c r="BJ445" s="14">
        <f ca="1"/>
      </c>
      <c r="BK445" s="14">
        <f ca="1"/>
      </c>
    </row>
    <row r="446" spans="28:63" x14ac:dyDescent="0.55000000000000004">
      <c r="AB446">
        <f ca="1"/>
      </c>
      <c r="AC446">
        <f ca="1"/>
      </c>
      <c r="AD446">
        <f ca="1"/>
      </c>
      <c r="AE446">
        <f ca="1"/>
      </c>
      <c r="AF446">
        <f ca="1"/>
      </c>
      <c r="AG446">
        <f ca="1"/>
      </c>
      <c r="AH446">
        <f ca="1"/>
      </c>
      <c r="AL446" s="7">
        <f ca="1"/>
      </c>
      <c r="AM446" s="14">
        <f ca="1"/>
      </c>
      <c r="AN446" s="14">
        <f ca="1"/>
      </c>
      <c r="AO446" s="14">
        <f ca="1"/>
      </c>
      <c r="AP446" s="14">
        <f ca="1"/>
      </c>
      <c r="AQ446" s="14">
        <f ca="1"/>
      </c>
      <c r="AR446" s="14">
        <f ca="1"/>
      </c>
      <c r="AV446" s="14">
        <f ca="1"/>
      </c>
      <c r="AW446" s="14">
        <f ca="1"/>
      </c>
      <c r="AX446" s="14">
        <f ca="1"/>
      </c>
      <c r="AY446" s="14">
        <f ca="1"/>
      </c>
      <c r="AZ446" s="14">
        <f ca="1"/>
      </c>
      <c r="BF446" s="7">
        <f ca="1"/>
      </c>
      <c r="BG446" s="14">
        <f ca="1"/>
      </c>
      <c r="BH446" s="14">
        <f ca="1"/>
      </c>
      <c r="BI446" s="14">
        <f ca="1"/>
      </c>
      <c r="BJ446" s="14">
        <f ca="1"/>
      </c>
      <c r="BK446" s="14">
        <f ca="1"/>
      </c>
    </row>
    <row r="447" spans="28:63" x14ac:dyDescent="0.55000000000000004">
      <c r="AB447">
        <f ca="1"/>
      </c>
      <c r="AC447">
        <f ca="1"/>
      </c>
      <c r="AD447">
        <f ca="1"/>
      </c>
      <c r="AE447">
        <f ca="1"/>
      </c>
      <c r="AF447">
        <f ca="1"/>
      </c>
      <c r="AG447">
        <f ca="1"/>
      </c>
      <c r="AH447">
        <f ca="1"/>
      </c>
      <c r="AL447" s="7">
        <f ca="1"/>
      </c>
      <c r="AM447" s="14">
        <f ca="1"/>
      </c>
      <c r="AN447" s="14">
        <f ca="1"/>
      </c>
      <c r="AO447" s="14">
        <f ca="1"/>
      </c>
      <c r="AP447" s="14">
        <f ca="1"/>
      </c>
      <c r="AQ447" s="14">
        <f ca="1"/>
      </c>
      <c r="AR447" s="14">
        <f ca="1"/>
      </c>
      <c r="AV447" s="14">
        <f ca="1"/>
      </c>
      <c r="AW447" s="14">
        <f ca="1"/>
      </c>
      <c r="AX447" s="14">
        <f ca="1"/>
      </c>
      <c r="AY447" s="14">
        <f ca="1"/>
      </c>
      <c r="AZ447" s="14">
        <f ca="1"/>
      </c>
      <c r="BF447" s="7">
        <f ca="1"/>
      </c>
      <c r="BG447" s="14">
        <f ca="1"/>
      </c>
      <c r="BH447" s="14">
        <f ca="1"/>
      </c>
      <c r="BI447" s="14">
        <f ca="1"/>
      </c>
      <c r="BJ447" s="14">
        <f ca="1"/>
      </c>
      <c r="BK447" s="14">
        <f ca="1"/>
      </c>
    </row>
    <row r="448" spans="28:63" x14ac:dyDescent="0.55000000000000004">
      <c r="AB448">
        <f ca="1"/>
      </c>
      <c r="AC448">
        <f ca="1"/>
      </c>
      <c r="AD448">
        <f ca="1"/>
      </c>
      <c r="AE448">
        <f ca="1"/>
      </c>
      <c r="AF448">
        <f ca="1"/>
      </c>
      <c r="AG448">
        <f ca="1"/>
      </c>
      <c r="AH448">
        <f ca="1"/>
      </c>
      <c r="AL448" s="7">
        <f ca="1"/>
      </c>
      <c r="AM448" s="14">
        <f ca="1"/>
      </c>
      <c r="AN448" s="14">
        <f ca="1"/>
      </c>
      <c r="AO448" s="14">
        <f ca="1"/>
      </c>
      <c r="AP448" s="14">
        <f ca="1"/>
      </c>
      <c r="AQ448" s="14">
        <f ca="1"/>
      </c>
      <c r="AR448" s="14">
        <f ca="1"/>
      </c>
      <c r="AV448" s="14">
        <f ca="1"/>
      </c>
      <c r="AW448" s="14">
        <f ca="1"/>
      </c>
      <c r="AX448" s="14">
        <f ca="1"/>
      </c>
      <c r="AY448" s="14">
        <f ca="1"/>
      </c>
      <c r="AZ448" s="14">
        <f ca="1"/>
      </c>
      <c r="BF448" s="7">
        <f ca="1"/>
      </c>
      <c r="BG448" s="14">
        <f ca="1"/>
      </c>
      <c r="BH448" s="14">
        <f ca="1"/>
      </c>
      <c r="BI448" s="14">
        <f ca="1"/>
      </c>
      <c r="BJ448" s="14">
        <f ca="1"/>
      </c>
      <c r="BK448" s="14">
        <f ca="1"/>
      </c>
    </row>
    <row r="449" spans="28:63" x14ac:dyDescent="0.55000000000000004">
      <c r="AB449">
        <f ca="1"/>
      </c>
      <c r="AC449">
        <f ca="1"/>
      </c>
      <c r="AD449">
        <f ca="1"/>
      </c>
      <c r="AE449">
        <f ca="1"/>
      </c>
      <c r="AF449">
        <f ca="1"/>
      </c>
      <c r="AG449">
        <f ca="1"/>
      </c>
      <c r="AH449">
        <f ca="1"/>
      </c>
      <c r="AL449" s="7">
        <f ca="1"/>
      </c>
      <c r="AM449" s="14">
        <f ca="1"/>
      </c>
      <c r="AN449" s="14">
        <f ca="1"/>
      </c>
      <c r="AO449" s="14">
        <f ca="1"/>
      </c>
      <c r="AP449" s="14">
        <f ca="1"/>
      </c>
      <c r="AQ449" s="14">
        <f ca="1"/>
      </c>
      <c r="AR449" s="14">
        <f ca="1"/>
      </c>
      <c r="AV449" s="14">
        <f ca="1"/>
      </c>
      <c r="AW449" s="14">
        <f ca="1"/>
      </c>
      <c r="AX449" s="14">
        <f ca="1"/>
      </c>
      <c r="AY449" s="14">
        <f ca="1"/>
      </c>
      <c r="AZ449" s="14">
        <f ca="1"/>
      </c>
      <c r="BF449" s="7">
        <f ca="1"/>
      </c>
      <c r="BG449" s="14">
        <f ca="1"/>
      </c>
      <c r="BH449" s="14">
        <f ca="1"/>
      </c>
      <c r="BI449" s="14">
        <f ca="1"/>
      </c>
      <c r="BJ449" s="14">
        <f ca="1"/>
      </c>
      <c r="BK449" s="14">
        <f ca="1"/>
      </c>
    </row>
    <row r="450" spans="28:63" x14ac:dyDescent="0.55000000000000004">
      <c r="AB450">
        <f ca="1"/>
      </c>
      <c r="AC450">
        <f ca="1"/>
      </c>
      <c r="AD450">
        <f ca="1"/>
      </c>
      <c r="AE450">
        <f ca="1"/>
      </c>
      <c r="AF450">
        <f ca="1"/>
      </c>
      <c r="AG450">
        <f ca="1"/>
      </c>
      <c r="AH450">
        <f ca="1"/>
      </c>
      <c r="AL450" s="7">
        <f ca="1"/>
      </c>
      <c r="AM450" s="14">
        <f ca="1"/>
      </c>
      <c r="AN450" s="14">
        <f ca="1"/>
      </c>
      <c r="AO450" s="14">
        <f ca="1"/>
      </c>
      <c r="AP450" s="14">
        <f ca="1"/>
      </c>
      <c r="AQ450" s="14">
        <f ca="1"/>
      </c>
      <c r="AR450" s="14">
        <f ca="1"/>
      </c>
      <c r="AV450" s="14">
        <f ca="1"/>
      </c>
      <c r="AW450" s="14">
        <f ca="1"/>
      </c>
      <c r="AX450" s="14">
        <f ca="1"/>
      </c>
      <c r="AY450" s="14">
        <f ca="1"/>
      </c>
      <c r="AZ450" s="14">
        <f ca="1"/>
      </c>
      <c r="BF450" s="7">
        <f ca="1"/>
      </c>
      <c r="BG450" s="14">
        <f ca="1"/>
      </c>
      <c r="BH450" s="14">
        <f ca="1"/>
      </c>
      <c r="BI450" s="14">
        <f ca="1"/>
      </c>
      <c r="BJ450" s="14">
        <f ca="1"/>
      </c>
      <c r="BK450" s="14">
        <f ca="1"/>
      </c>
    </row>
    <row r="451" spans="28:63" x14ac:dyDescent="0.55000000000000004">
      <c r="AB451">
        <f ca="1"/>
      </c>
      <c r="AC451">
        <f ca="1"/>
      </c>
      <c r="AD451">
        <f ca="1"/>
      </c>
      <c r="AE451">
        <f ca="1"/>
      </c>
      <c r="AF451">
        <f ca="1"/>
      </c>
      <c r="AG451">
        <f ca="1"/>
      </c>
      <c r="AH451">
        <f ca="1"/>
      </c>
      <c r="AL451" s="7">
        <f ca="1"/>
      </c>
      <c r="AM451" s="14">
        <f ca="1"/>
      </c>
      <c r="AN451" s="14">
        <f ca="1"/>
      </c>
      <c r="AO451" s="14">
        <f ca="1"/>
      </c>
      <c r="AP451" s="14">
        <f ca="1"/>
      </c>
      <c r="AQ451" s="14">
        <f ca="1"/>
      </c>
      <c r="AR451" s="14">
        <f ca="1"/>
      </c>
      <c r="AV451" s="14">
        <f ca="1"/>
      </c>
      <c r="AW451" s="14">
        <f ca="1"/>
      </c>
      <c r="AX451" s="14">
        <f ca="1"/>
      </c>
      <c r="AY451" s="14">
        <f ca="1"/>
      </c>
      <c r="AZ451" s="14">
        <f ca="1"/>
      </c>
      <c r="BF451" s="7">
        <f ca="1"/>
      </c>
      <c r="BG451" s="14">
        <f ca="1"/>
      </c>
      <c r="BH451" s="14">
        <f ca="1"/>
      </c>
      <c r="BI451" s="14">
        <f ca="1"/>
      </c>
      <c r="BJ451" s="14">
        <f ca="1"/>
      </c>
      <c r="BK451" s="14">
        <f ca="1"/>
      </c>
    </row>
    <row r="452" spans="28:63" x14ac:dyDescent="0.55000000000000004">
      <c r="AB452">
        <f ca="1"/>
      </c>
      <c r="AC452">
        <f ca="1"/>
      </c>
      <c r="AD452">
        <f ca="1"/>
      </c>
      <c r="AE452">
        <f ca="1"/>
      </c>
      <c r="AF452">
        <f ca="1"/>
      </c>
      <c r="AG452">
        <f ca="1"/>
      </c>
      <c r="AH452">
        <f ca="1"/>
      </c>
      <c r="AL452" s="7">
        <f ca="1"/>
      </c>
      <c r="AM452" s="14">
        <f ca="1"/>
      </c>
      <c r="AN452" s="14">
        <f ca="1"/>
      </c>
      <c r="AO452" s="14">
        <f ca="1"/>
      </c>
      <c r="AP452" s="14">
        <f ca="1"/>
      </c>
      <c r="AQ452" s="14">
        <f ca="1"/>
      </c>
      <c r="AR452" s="14">
        <f ca="1"/>
      </c>
      <c r="AV452" s="14">
        <f ca="1"/>
      </c>
      <c r="AW452" s="14">
        <f ca="1"/>
      </c>
      <c r="AX452" s="14">
        <f ca="1"/>
      </c>
      <c r="AY452" s="14">
        <f ca="1"/>
      </c>
      <c r="AZ452" s="14">
        <f ca="1"/>
      </c>
      <c r="BF452" s="7">
        <f ca="1"/>
      </c>
      <c r="BG452" s="14">
        <f ca="1"/>
      </c>
      <c r="BH452" s="14">
        <f ca="1"/>
      </c>
      <c r="BI452" s="14">
        <f ca="1"/>
      </c>
      <c r="BJ452" s="14">
        <f ca="1"/>
      </c>
      <c r="BK452" s="14">
        <f ca="1"/>
      </c>
    </row>
    <row r="453" spans="28:63" x14ac:dyDescent="0.55000000000000004">
      <c r="AB453">
        <f ca="1"/>
      </c>
      <c r="AC453">
        <f ca="1"/>
      </c>
      <c r="AD453">
        <f ca="1"/>
      </c>
      <c r="AE453">
        <f ca="1"/>
      </c>
      <c r="AF453">
        <f ca="1"/>
      </c>
      <c r="AG453">
        <f ca="1"/>
      </c>
      <c r="AH453">
        <f ca="1"/>
      </c>
      <c r="AL453" s="7">
        <f ca="1"/>
      </c>
      <c r="AM453" s="14">
        <f ca="1"/>
      </c>
      <c r="AN453" s="14">
        <f ca="1"/>
      </c>
      <c r="AO453" s="14">
        <f ca="1"/>
      </c>
      <c r="AP453" s="14">
        <f ca="1"/>
      </c>
      <c r="AQ453" s="14">
        <f ca="1"/>
      </c>
      <c r="AR453" s="14">
        <f ca="1"/>
      </c>
      <c r="AV453" s="14">
        <f ca="1"/>
      </c>
      <c r="AW453" s="14">
        <f ca="1"/>
      </c>
      <c r="AX453" s="14">
        <f ca="1"/>
      </c>
      <c r="AY453" s="14">
        <f ca="1"/>
      </c>
      <c r="AZ453" s="14">
        <f ca="1"/>
      </c>
      <c r="BF453" s="7">
        <f ca="1"/>
      </c>
      <c r="BG453" s="14">
        <f ca="1"/>
      </c>
      <c r="BH453" s="14">
        <f ca="1"/>
      </c>
      <c r="BI453" s="14">
        <f ca="1"/>
      </c>
      <c r="BJ453" s="14">
        <f ca="1"/>
      </c>
      <c r="BK453" s="14">
        <f ca="1"/>
      </c>
    </row>
    <row r="454" spans="28:63" x14ac:dyDescent="0.55000000000000004">
      <c r="AB454">
        <f ca="1"/>
      </c>
      <c r="AC454">
        <f ca="1"/>
      </c>
      <c r="AD454">
        <f ca="1"/>
      </c>
      <c r="AE454">
        <f ca="1"/>
      </c>
      <c r="AF454">
        <f ca="1"/>
      </c>
      <c r="AG454">
        <f ca="1"/>
      </c>
      <c r="AH454">
        <f ca="1"/>
      </c>
      <c r="AL454" s="7">
        <f ca="1"/>
      </c>
      <c r="AM454" s="14">
        <f ca="1"/>
      </c>
      <c r="AN454" s="14">
        <f ca="1"/>
      </c>
      <c r="AO454" s="14">
        <f ca="1"/>
      </c>
      <c r="AP454" s="14">
        <f ca="1"/>
      </c>
      <c r="AQ454" s="14">
        <f ca="1"/>
      </c>
      <c r="AR454" s="14">
        <f ca="1"/>
      </c>
      <c r="AV454" s="14">
        <f ca="1"/>
      </c>
      <c r="AW454" s="14">
        <f ca="1"/>
      </c>
      <c r="AX454" s="14">
        <f ca="1"/>
      </c>
      <c r="AY454" s="14">
        <f ca="1"/>
      </c>
      <c r="AZ454" s="14">
        <f ca="1"/>
      </c>
      <c r="BF454" s="7">
        <f ca="1"/>
      </c>
      <c r="BG454" s="14">
        <f ca="1"/>
      </c>
      <c r="BH454" s="14">
        <f ca="1"/>
      </c>
      <c r="BI454" s="14">
        <f ca="1"/>
      </c>
      <c r="BJ454" s="14">
        <f ca="1"/>
      </c>
      <c r="BK454" s="14">
        <f ca="1"/>
      </c>
    </row>
    <row r="455" spans="28:63" x14ac:dyDescent="0.55000000000000004">
      <c r="AB455">
        <f ca="1"/>
      </c>
      <c r="AC455">
        <f ca="1"/>
      </c>
      <c r="AD455">
        <f ca="1"/>
      </c>
      <c r="AE455">
        <f ca="1"/>
      </c>
      <c r="AF455">
        <f ca="1"/>
      </c>
      <c r="AG455">
        <f ca="1"/>
      </c>
      <c r="AH455">
        <f ca="1"/>
      </c>
      <c r="AL455" s="7">
        <f ca="1"/>
      </c>
      <c r="AM455" s="14">
        <f ca="1"/>
      </c>
      <c r="AN455" s="14">
        <f ca="1"/>
      </c>
      <c r="AO455" s="14">
        <f ca="1"/>
      </c>
      <c r="AP455" s="14">
        <f ca="1"/>
      </c>
      <c r="AQ455" s="14">
        <f ca="1"/>
      </c>
      <c r="AR455" s="14">
        <f ca="1"/>
      </c>
      <c r="AV455" s="14">
        <f ca="1"/>
      </c>
      <c r="AW455" s="14">
        <f ca="1"/>
      </c>
      <c r="AX455" s="14">
        <f ca="1"/>
      </c>
      <c r="AY455" s="14">
        <f ca="1"/>
      </c>
      <c r="AZ455" s="14">
        <f ca="1"/>
      </c>
      <c r="BF455" s="7">
        <f ca="1"/>
      </c>
      <c r="BG455" s="14">
        <f ca="1"/>
      </c>
      <c r="BH455" s="14">
        <f ca="1"/>
      </c>
      <c r="BI455" s="14">
        <f ca="1"/>
      </c>
      <c r="BJ455" s="14">
        <f ca="1"/>
      </c>
      <c r="BK455" s="14">
        <f ca="1"/>
      </c>
    </row>
    <row r="456" spans="28:63" x14ac:dyDescent="0.55000000000000004">
      <c r="AB456">
        <f ca="1"/>
      </c>
      <c r="AC456">
        <f ca="1"/>
      </c>
      <c r="AD456">
        <f ca="1"/>
      </c>
      <c r="AE456">
        <f ca="1"/>
      </c>
      <c r="AF456">
        <f ca="1"/>
      </c>
      <c r="AG456">
        <f ca="1"/>
      </c>
      <c r="AH456">
        <f ca="1"/>
      </c>
      <c r="AL456" s="7">
        <f ca="1"/>
      </c>
      <c r="AM456" s="14">
        <f ca="1"/>
      </c>
      <c r="AN456" s="14">
        <f ca="1"/>
      </c>
      <c r="AO456" s="14">
        <f ca="1"/>
      </c>
      <c r="AP456" s="14">
        <f ca="1"/>
      </c>
      <c r="AQ456" s="14">
        <f ca="1"/>
      </c>
      <c r="AR456" s="14">
        <f ca="1"/>
      </c>
      <c r="AV456" s="14">
        <f ca="1"/>
      </c>
      <c r="AW456" s="14">
        <f ca="1"/>
      </c>
      <c r="AX456" s="14">
        <f ca="1"/>
      </c>
      <c r="AY456" s="14">
        <f ca="1"/>
      </c>
      <c r="AZ456" s="14">
        <f ca="1"/>
      </c>
      <c r="BF456" s="7">
        <f ca="1"/>
      </c>
      <c r="BG456" s="14">
        <f ca="1"/>
      </c>
      <c r="BH456" s="14">
        <f ca="1"/>
      </c>
      <c r="BI456" s="14">
        <f ca="1"/>
      </c>
      <c r="BJ456" s="14">
        <f ca="1"/>
      </c>
      <c r="BK456" s="14">
        <f ca="1"/>
      </c>
    </row>
    <row r="457" spans="28:63" x14ac:dyDescent="0.55000000000000004">
      <c r="AB457">
        <f ca="1"/>
      </c>
      <c r="AC457">
        <f ca="1"/>
      </c>
      <c r="AD457">
        <f ca="1"/>
      </c>
      <c r="AE457">
        <f ca="1"/>
      </c>
      <c r="AF457">
        <f ca="1"/>
      </c>
      <c r="AG457">
        <f ca="1"/>
      </c>
      <c r="AH457">
        <f ca="1"/>
      </c>
      <c r="AL457" s="7">
        <f ca="1"/>
      </c>
      <c r="AM457" s="14">
        <f ca="1"/>
      </c>
      <c r="AN457" s="14">
        <f ca="1"/>
      </c>
      <c r="AO457" s="14">
        <f ca="1"/>
      </c>
      <c r="AP457" s="14">
        <f ca="1"/>
      </c>
      <c r="AQ457" s="14">
        <f ca="1"/>
      </c>
      <c r="AR457" s="14">
        <f ca="1"/>
      </c>
      <c r="AV457" s="14">
        <f ca="1"/>
      </c>
      <c r="AW457" s="14">
        <f ca="1"/>
      </c>
      <c r="AX457" s="14">
        <f ca="1"/>
      </c>
      <c r="AY457" s="14">
        <f ca="1"/>
      </c>
      <c r="AZ457" s="14">
        <f ca="1"/>
      </c>
      <c r="BF457" s="7">
        <f ca="1"/>
      </c>
      <c r="BG457" s="14">
        <f ca="1"/>
      </c>
      <c r="BH457" s="14">
        <f ca="1"/>
      </c>
      <c r="BI457" s="14">
        <f ca="1"/>
      </c>
      <c r="BJ457" s="14">
        <f ca="1"/>
      </c>
      <c r="BK457" s="14">
        <f ca="1"/>
      </c>
    </row>
    <row r="458" spans="28:63" x14ac:dyDescent="0.55000000000000004">
      <c r="AB458">
        <f ca="1"/>
      </c>
      <c r="AC458">
        <f ca="1"/>
      </c>
      <c r="AD458">
        <f ca="1"/>
      </c>
      <c r="AE458">
        <f ca="1"/>
      </c>
      <c r="AF458">
        <f ca="1"/>
      </c>
      <c r="AG458">
        <f ca="1"/>
      </c>
      <c r="AH458">
        <f ca="1"/>
      </c>
      <c r="AL458" s="7">
        <f ca="1"/>
      </c>
      <c r="AM458" s="14">
        <f ca="1"/>
      </c>
      <c r="AN458" s="14">
        <f ca="1"/>
      </c>
      <c r="AO458" s="14">
        <f ca="1"/>
      </c>
      <c r="AP458" s="14">
        <f ca="1"/>
      </c>
      <c r="AQ458" s="14">
        <f ca="1"/>
      </c>
      <c r="AR458" s="14">
        <f ca="1"/>
      </c>
      <c r="AV458" s="14">
        <f ca="1"/>
      </c>
      <c r="AW458" s="14">
        <f ca="1"/>
      </c>
      <c r="AX458" s="14">
        <f ca="1"/>
      </c>
      <c r="AY458" s="14">
        <f ca="1"/>
      </c>
      <c r="AZ458" s="14">
        <f ca="1"/>
      </c>
      <c r="BF458" s="7">
        <f ca="1"/>
      </c>
      <c r="BG458" s="14">
        <f ca="1"/>
      </c>
      <c r="BH458" s="14">
        <f ca="1"/>
      </c>
      <c r="BI458" s="14">
        <f ca="1"/>
      </c>
      <c r="BJ458" s="14">
        <f ca="1"/>
      </c>
      <c r="BK458" s="14">
        <f ca="1"/>
      </c>
    </row>
    <row r="459" spans="28:63" x14ac:dyDescent="0.55000000000000004">
      <c r="AB459">
        <f ca="1"/>
      </c>
      <c r="AC459">
        <f ca="1"/>
      </c>
      <c r="AD459">
        <f ca="1"/>
      </c>
      <c r="AE459">
        <f ca="1"/>
      </c>
      <c r="AF459">
        <f ca="1"/>
      </c>
      <c r="AG459">
        <f ca="1"/>
      </c>
      <c r="AH459">
        <f ca="1"/>
      </c>
      <c r="AL459" s="7">
        <f ca="1"/>
      </c>
      <c r="AM459" s="14">
        <f ca="1"/>
      </c>
      <c r="AN459" s="14">
        <f ca="1"/>
      </c>
      <c r="AO459" s="14">
        <f ca="1"/>
      </c>
      <c r="AP459" s="14">
        <f ca="1"/>
      </c>
      <c r="AQ459" s="14">
        <f ca="1"/>
      </c>
      <c r="AR459" s="14">
        <f ca="1"/>
      </c>
      <c r="AV459" s="14">
        <f ca="1"/>
      </c>
      <c r="AW459" s="14">
        <f ca="1"/>
      </c>
      <c r="AX459" s="14">
        <f ca="1"/>
      </c>
      <c r="AY459" s="14">
        <f ca="1"/>
      </c>
      <c r="AZ459" s="14">
        <f ca="1"/>
      </c>
      <c r="BF459" s="7">
        <f ca="1"/>
      </c>
      <c r="BG459" s="14">
        <f ca="1"/>
      </c>
      <c r="BH459" s="14">
        <f ca="1"/>
      </c>
      <c r="BI459" s="14">
        <f ca="1"/>
      </c>
      <c r="BJ459" s="14">
        <f ca="1"/>
      </c>
      <c r="BK459" s="14">
        <f ca="1"/>
      </c>
    </row>
    <row r="460" spans="28:63" x14ac:dyDescent="0.55000000000000004">
      <c r="AB460">
        <f ca="1"/>
      </c>
      <c r="AC460">
        <f ca="1"/>
      </c>
      <c r="AD460">
        <f ca="1"/>
      </c>
      <c r="AE460">
        <f ca="1"/>
      </c>
      <c r="AF460">
        <f ca="1"/>
      </c>
      <c r="AG460">
        <f ca="1"/>
      </c>
      <c r="AH460">
        <f ca="1"/>
      </c>
      <c r="AL460" s="7">
        <f ca="1"/>
      </c>
      <c r="AM460" s="14">
        <f ca="1"/>
      </c>
      <c r="AN460" s="14">
        <f ca="1"/>
      </c>
      <c r="AO460" s="14">
        <f ca="1"/>
      </c>
      <c r="AP460" s="14">
        <f ca="1"/>
      </c>
      <c r="AQ460" s="14">
        <f ca="1"/>
      </c>
      <c r="AR460" s="14">
        <f ca="1"/>
      </c>
      <c r="AV460" s="14">
        <f ca="1"/>
      </c>
      <c r="AW460" s="14">
        <f ca="1"/>
      </c>
      <c r="AX460" s="14">
        <f ca="1"/>
      </c>
      <c r="AY460" s="14">
        <f ca="1"/>
      </c>
      <c r="AZ460" s="14">
        <f ca="1"/>
      </c>
      <c r="BF460" s="7">
        <f ca="1"/>
      </c>
      <c r="BG460" s="14">
        <f ca="1"/>
      </c>
      <c r="BH460" s="14">
        <f ca="1"/>
      </c>
      <c r="BI460" s="14">
        <f ca="1"/>
      </c>
      <c r="BJ460" s="14">
        <f ca="1"/>
      </c>
      <c r="BK460" s="14">
        <f ca="1"/>
      </c>
    </row>
    <row r="461" spans="28:63" x14ac:dyDescent="0.55000000000000004">
      <c r="AB461">
        <f ca="1"/>
      </c>
      <c r="AC461">
        <f ca="1"/>
      </c>
      <c r="AD461">
        <f ca="1"/>
      </c>
      <c r="AE461">
        <f ca="1"/>
      </c>
      <c r="AF461">
        <f ca="1"/>
      </c>
      <c r="AG461">
        <f ca="1"/>
      </c>
      <c r="AH461">
        <f ca="1"/>
      </c>
      <c r="AL461" s="7">
        <f ca="1"/>
      </c>
      <c r="AM461" s="14">
        <f ca="1"/>
      </c>
      <c r="AN461" s="14">
        <f ca="1"/>
      </c>
      <c r="AO461" s="14">
        <f ca="1"/>
      </c>
      <c r="AP461" s="14">
        <f ca="1"/>
      </c>
      <c r="AQ461" s="14">
        <f ca="1"/>
      </c>
      <c r="AR461" s="14">
        <f ca="1"/>
      </c>
      <c r="AV461" s="14">
        <f ca="1"/>
      </c>
      <c r="AW461" s="14">
        <f ca="1"/>
      </c>
      <c r="AX461" s="14">
        <f ca="1"/>
      </c>
      <c r="AY461" s="14">
        <f ca="1"/>
      </c>
      <c r="AZ461" s="14">
        <f ca="1"/>
      </c>
      <c r="BF461" s="7">
        <f ca="1"/>
      </c>
      <c r="BG461" s="14">
        <f ca="1"/>
      </c>
      <c r="BH461" s="14">
        <f ca="1"/>
      </c>
      <c r="BI461" s="14">
        <f ca="1"/>
      </c>
      <c r="BJ461" s="14">
        <f ca="1"/>
      </c>
      <c r="BK461" s="14">
        <f ca="1"/>
      </c>
    </row>
    <row r="462" spans="28:63" x14ac:dyDescent="0.55000000000000004">
      <c r="AB462">
        <f ca="1"/>
      </c>
      <c r="AC462">
        <f ca="1"/>
      </c>
      <c r="AD462">
        <f ca="1"/>
      </c>
      <c r="AE462">
        <f ca="1"/>
      </c>
      <c r="AF462">
        <f ca="1"/>
      </c>
      <c r="AG462">
        <f ca="1"/>
      </c>
      <c r="AH462">
        <f ca="1"/>
      </c>
      <c r="AL462" s="7">
        <f ca="1"/>
      </c>
      <c r="AM462" s="14">
        <f ca="1"/>
      </c>
      <c r="AN462" s="14">
        <f ca="1"/>
      </c>
      <c r="AO462" s="14">
        <f ca="1"/>
      </c>
      <c r="AP462" s="14">
        <f ca="1"/>
      </c>
      <c r="AQ462" s="14">
        <f ca="1"/>
      </c>
      <c r="AR462" s="14">
        <f ca="1"/>
      </c>
      <c r="AV462" s="14">
        <f ca="1"/>
      </c>
      <c r="AW462" s="14">
        <f ca="1"/>
      </c>
      <c r="AX462" s="14">
        <f ca="1"/>
      </c>
      <c r="AY462" s="14">
        <f ca="1"/>
      </c>
      <c r="AZ462" s="14">
        <f ca="1"/>
      </c>
      <c r="BF462" s="7">
        <f ca="1"/>
      </c>
      <c r="BG462" s="14">
        <f ca="1"/>
      </c>
      <c r="BH462" s="14">
        <f ca="1"/>
      </c>
      <c r="BI462" s="14">
        <f ca="1"/>
      </c>
      <c r="BJ462" s="14">
        <f ca="1"/>
      </c>
      <c r="BK462" s="14">
        <f ca="1"/>
      </c>
    </row>
    <row r="463" spans="28:63" x14ac:dyDescent="0.55000000000000004">
      <c r="AB463">
        <f ca="1"/>
      </c>
      <c r="AC463">
        <f ca="1"/>
      </c>
      <c r="AD463">
        <f ca="1"/>
      </c>
      <c r="AE463">
        <f ca="1"/>
      </c>
      <c r="AF463">
        <f ca="1"/>
      </c>
      <c r="AG463">
        <f ca="1"/>
      </c>
      <c r="AH463">
        <f ca="1"/>
      </c>
      <c r="AL463" s="7">
        <f ca="1"/>
      </c>
      <c r="AM463" s="14">
        <f ca="1"/>
      </c>
      <c r="AN463" s="14">
        <f ca="1"/>
      </c>
      <c r="AO463" s="14">
        <f ca="1"/>
      </c>
      <c r="AP463" s="14">
        <f ca="1"/>
      </c>
      <c r="AQ463" s="14">
        <f ca="1"/>
      </c>
      <c r="AR463" s="14">
        <f ca="1"/>
      </c>
      <c r="AV463" s="14">
        <f ca="1"/>
      </c>
      <c r="AW463" s="14">
        <f ca="1"/>
      </c>
      <c r="AX463" s="14">
        <f ca="1"/>
      </c>
      <c r="AY463" s="14">
        <f ca="1"/>
      </c>
      <c r="AZ463" s="14">
        <f ca="1"/>
      </c>
      <c r="BF463" s="7">
        <f ca="1"/>
      </c>
      <c r="BG463" s="14">
        <f ca="1"/>
      </c>
      <c r="BH463" s="14">
        <f ca="1"/>
      </c>
      <c r="BI463" s="14">
        <f ca="1"/>
      </c>
      <c r="BJ463" s="14">
        <f ca="1"/>
      </c>
      <c r="BK463" s="14">
        <f ca="1"/>
      </c>
    </row>
    <row r="464" spans="28:63" x14ac:dyDescent="0.55000000000000004">
      <c r="AB464">
        <f ca="1"/>
      </c>
      <c r="AC464">
        <f ca="1"/>
      </c>
      <c r="AD464">
        <f ca="1"/>
      </c>
      <c r="AE464">
        <f ca="1"/>
      </c>
      <c r="AF464">
        <f ca="1"/>
      </c>
      <c r="AG464">
        <f ca="1"/>
      </c>
      <c r="AH464">
        <f ca="1"/>
      </c>
      <c r="AL464" s="7">
        <f ca="1"/>
      </c>
      <c r="AM464" s="14">
        <f ca="1"/>
      </c>
      <c r="AN464" s="14">
        <f ca="1"/>
      </c>
      <c r="AO464" s="14">
        <f ca="1"/>
      </c>
      <c r="AP464" s="14">
        <f ca="1"/>
      </c>
      <c r="AQ464" s="14">
        <f ca="1"/>
      </c>
      <c r="AR464" s="14">
        <f ca="1"/>
      </c>
      <c r="AV464" s="14">
        <f ca="1"/>
      </c>
      <c r="AW464" s="14">
        <f ca="1"/>
      </c>
      <c r="AX464" s="14">
        <f ca="1"/>
      </c>
      <c r="AY464" s="14">
        <f ca="1"/>
      </c>
      <c r="AZ464" s="14">
        <f ca="1"/>
      </c>
      <c r="BF464" s="7">
        <f ca="1"/>
      </c>
      <c r="BG464" s="14">
        <f ca="1"/>
      </c>
      <c r="BH464" s="14">
        <f ca="1"/>
      </c>
      <c r="BI464" s="14">
        <f ca="1"/>
      </c>
      <c r="BJ464" s="14">
        <f ca="1"/>
      </c>
      <c r="BK464" s="14">
        <f ca="1"/>
      </c>
    </row>
    <row r="465" spans="28:63" x14ac:dyDescent="0.55000000000000004">
      <c r="AB465">
        <f ca="1"/>
      </c>
      <c r="AC465">
        <f ca="1"/>
      </c>
      <c r="AD465">
        <f ca="1"/>
      </c>
      <c r="AE465">
        <f ca="1"/>
      </c>
      <c r="AF465">
        <f ca="1"/>
      </c>
      <c r="AG465">
        <f ca="1"/>
      </c>
      <c r="AH465">
        <f ca="1"/>
      </c>
      <c r="AL465" s="7">
        <f ca="1"/>
      </c>
      <c r="AM465" s="14">
        <f ca="1"/>
      </c>
      <c r="AN465" s="14">
        <f ca="1"/>
      </c>
      <c r="AO465" s="14">
        <f ca="1"/>
      </c>
      <c r="AP465" s="14">
        <f ca="1"/>
      </c>
      <c r="AQ465" s="14">
        <f ca="1"/>
      </c>
      <c r="AR465" s="14">
        <f ca="1"/>
      </c>
      <c r="AV465" s="14">
        <f ca="1"/>
      </c>
      <c r="AW465" s="14">
        <f ca="1"/>
      </c>
      <c r="AX465" s="14">
        <f ca="1"/>
      </c>
      <c r="AY465" s="14">
        <f ca="1"/>
      </c>
      <c r="AZ465" s="14">
        <f ca="1"/>
      </c>
      <c r="BF465" s="7">
        <f ca="1"/>
      </c>
      <c r="BG465" s="14">
        <f ca="1"/>
      </c>
      <c r="BH465" s="14">
        <f ca="1"/>
      </c>
      <c r="BI465" s="14">
        <f ca="1"/>
      </c>
      <c r="BJ465" s="14">
        <f ca="1"/>
      </c>
      <c r="BK465" s="14">
        <f ca="1"/>
      </c>
    </row>
    <row r="466" spans="28:63" x14ac:dyDescent="0.55000000000000004">
      <c r="AB466">
        <f ca="1"/>
      </c>
      <c r="AC466">
        <f ca="1"/>
      </c>
      <c r="AD466">
        <f ca="1"/>
      </c>
      <c r="AE466">
        <f ca="1"/>
      </c>
      <c r="AF466">
        <f ca="1"/>
      </c>
      <c r="AG466">
        <f ca="1"/>
      </c>
      <c r="AH466">
        <f ca="1"/>
      </c>
      <c r="AL466" s="7">
        <f ca="1"/>
      </c>
      <c r="AM466" s="14">
        <f ca="1"/>
      </c>
      <c r="AN466" s="14">
        <f ca="1"/>
      </c>
      <c r="AO466" s="14">
        <f ca="1"/>
      </c>
      <c r="AP466" s="14">
        <f ca="1"/>
      </c>
      <c r="AQ466" s="14">
        <f ca="1"/>
      </c>
      <c r="AR466" s="14">
        <f ca="1"/>
      </c>
      <c r="AV466" s="14">
        <f ca="1"/>
      </c>
      <c r="AW466" s="14">
        <f ca="1"/>
      </c>
      <c r="AX466" s="14">
        <f ca="1"/>
      </c>
      <c r="AY466" s="14">
        <f ca="1"/>
      </c>
      <c r="AZ466" s="14">
        <f ca="1"/>
      </c>
      <c r="BF466" s="7">
        <f ca="1"/>
      </c>
      <c r="BG466" s="14">
        <f ca="1"/>
      </c>
      <c r="BH466" s="14">
        <f ca="1"/>
      </c>
      <c r="BI466" s="14">
        <f ca="1"/>
      </c>
      <c r="BJ466" s="14">
        <f ca="1"/>
      </c>
      <c r="BK466" s="14">
        <f ca="1"/>
      </c>
    </row>
    <row r="467" spans="28:63" x14ac:dyDescent="0.55000000000000004">
      <c r="AB467">
        <f ca="1"/>
      </c>
      <c r="AC467">
        <f ca="1"/>
      </c>
      <c r="AD467">
        <f ca="1"/>
      </c>
      <c r="AE467">
        <f ca="1"/>
      </c>
      <c r="AF467">
        <f ca="1"/>
      </c>
      <c r="AG467">
        <f ca="1"/>
      </c>
      <c r="AH467">
        <f ca="1"/>
      </c>
      <c r="AL467" s="7">
        <f ca="1"/>
      </c>
      <c r="AM467" s="14">
        <f ca="1"/>
      </c>
      <c r="AN467" s="14">
        <f ca="1"/>
      </c>
      <c r="AO467" s="14">
        <f ca="1"/>
      </c>
      <c r="AP467" s="14">
        <f ca="1"/>
      </c>
      <c r="AQ467" s="14">
        <f ca="1"/>
      </c>
      <c r="AR467" s="14">
        <f ca="1"/>
      </c>
      <c r="AV467" s="14">
        <f ca="1"/>
      </c>
      <c r="AW467" s="14">
        <f ca="1"/>
      </c>
      <c r="AX467" s="14">
        <f ca="1"/>
      </c>
      <c r="AY467" s="14">
        <f ca="1"/>
      </c>
      <c r="AZ467" s="14">
        <f ca="1"/>
      </c>
      <c r="BF467" s="7">
        <f ca="1"/>
      </c>
      <c r="BG467" s="14">
        <f ca="1"/>
      </c>
      <c r="BH467" s="14">
        <f ca="1"/>
      </c>
      <c r="BI467" s="14">
        <f ca="1"/>
      </c>
      <c r="BJ467" s="14">
        <f ca="1"/>
      </c>
      <c r="BK467" s="14">
        <f ca="1"/>
      </c>
    </row>
  </sheetData>
  <phoneticPr fontId="2"/>
  <dataValidations count="11">
    <dataValidation type="list" allowBlank="1" showInputMessage="1" showErrorMessage="1" sqref="B1" xr:uid="{EE66928D-F862-401F-A3D3-A413E2C07177}">
      <formula1>"Live,Fixed"</formula1>
    </dataValidation>
    <dataValidation allowBlank="1" showInputMessage="1" showErrorMessage="1" promptTitle="Option" prompt="Expiry x tail, e.g. 1Yx10Y (grid of the vol DB). Leave blank to drop the leg." sqref="B5:B7" xr:uid="{74B9FA70-0AD8-4715-93E1-386B10EF83E9}"/>
    <dataValidation allowBlank="1" showInputMessage="1" showErrorMessage="1" promptTitle="Weight" prompt="Weights for the combined vol: 1 for an outright, 1/-1 for a curve (long the first, short the second), 1/-2/1 for a fly." sqref="C5:C7" xr:uid="{2F0362BC-F196-46A8-8CA3-872FAB893B0B}"/>
    <dataValidation allowBlank="1" showInputMessage="1" showErrorMessage="1" promptTitle="Window" prompt="Match = the option's expiry (1M = 21bd, 1Y = 252bd), capped by Max window. Or a number of business days for every leg." sqref="B9" xr:uid="{AAC1D7FF-CB9D-4495-B6A1-542F67F5053E}"/>
    <dataValidation allowBlank="1" showInputMessage="1" showErrorMessage="1" promptTitle="Max window" prompt="Cap for Match (126bd = 6M). Older moves are often a different regime." sqref="B10" xr:uid="{C125409A-C363-447B-A9FA-DCBE9BCC2D5B}"/>
    <dataValidation allowBlank="1" showInputMessage="1" showErrorMessage="1" promptTitle="Short window" prompt="Second, short window to see the current regime (e.g. 10-20bd)." sqref="B11" xr:uid="{2DF83743-4192-4676-AF32-D4D3ECC39AC5}"/>
    <dataValidation allowBlank="1" showInputMessage="1" showErrorMessage="1" promptTitle="Days per year" prompt="Annualisation of the daily moves: HV = sqrt(sum of dF^2 / n * days)." sqref="B12" xr:uid="{8DEC9C32-CF75-4DFC-8B27-49B4A9A97F4E}"/>
    <dataValidation allowBlank="1" showInputMessage="1" showErrorMessage="1" promptTitle="From" prompt="Start of the charts and percentiles. Blank = all dates in the DB." sqref="B13" xr:uid="{33650E5D-16C5-4CB3-A0E7-B5A5CD492D5D}"/>
    <dataValidation allowBlank="1" showInputMessage="1" showErrorMessage="1" promptTitle="Note" prompt="Live IV - HV: today's live IV against HV up to the latest DB date." sqref="F12" xr:uid="{F2539A6A-20C9-4EFD-916C-C5C863D85F43}"/>
    <dataValidation allowBlank="1" showInputMessage="1" showErrorMessage="1" promptTitle="Note" prompt="Share of days (From onwards) with IV - HV at or below the latest value. IV is usually above HV (risk premium), so compare with its own history." sqref="F14" xr:uid="{9BFC29DE-F28B-4637-88B0-8AD24CA26A9D}"/>
    <dataValidation allowBlank="1" showInputMessage="1" showErrorMessage="1" promptTitle="Note" prompt="Share of days (From onwards) with IV at or below the latest value." sqref="F15" xr:uid="{4EB46541-5238-4A7C-A651-620413BCB716}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29C9F-1441-4471-84FB-C85489BCE1A6}">
  <sheetPr codeName="Sheet2"/>
  <dimension ref="A1:X47"/>
  <sheetViews>
    <sheetView zoomScale="66" workbookViewId="0">
      <selection activeCell="J5" sqref="J5"/>
    </sheetView>
  </sheetViews>
  <sheetFormatPr defaultRowHeight="18.5" outlineLevelCol="1" x14ac:dyDescent="0.55000000000000004"/>
  <cols>
    <col min="1" max="1" width="10.5" customWidth="1"/>
    <col min="2" max="4" width="12.6640625" customWidth="1"/>
    <col min="5" max="5" width="13.75" customWidth="1"/>
    <col min="6" max="7" width="15.9140625" customWidth="1"/>
    <col min="8" max="8" width="14.83203125" customWidth="1"/>
    <col min="11" max="21" width="0" hidden="1" customWidth="1" outlineLevel="1"/>
    <col min="22" max="22" width="43.75" hidden="1" customWidth="1" outlineLevel="1"/>
    <col min="23" max="23" width="4.6640625" hidden="1" customWidth="1" outlineLevel="1"/>
    <col min="24" max="24" width="8.6640625" collapsed="1"/>
  </cols>
  <sheetData>
    <row r="1" spans="1:23" ht="20" customHeight="1" x14ac:dyDescent="0.6">
      <c r="A1" s="32" t="s">
        <v>58</v>
      </c>
      <c r="B1" s="33" t="s">
        <v>53</v>
      </c>
      <c r="C1" s="32" t="s">
        <v>59</v>
      </c>
      <c r="D1" s="34" cm="1">
        <f t="array" aca="1" ref="D1" ca="1">LiveInfo("swap",_xlfn.ANCHORARRAY($K$3))</f>
      </c>
      <c r="E1" s="35" t="s">
        <v>111</v>
      </c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3" ht="21" customHeight="1" x14ac:dyDescent="0.6">
      <c r="A2" s="37" t="s">
        <v>112</v>
      </c>
      <c r="B2" s="36"/>
      <c r="C2" s="36"/>
      <c r="D2" s="36"/>
      <c r="E2" s="36"/>
      <c r="F2" s="36"/>
      <c r="G2" s="36"/>
      <c r="H2" s="36"/>
      <c r="I2" s="36"/>
      <c r="J2" s="36"/>
      <c r="K2" s="36" t="s">
        <v>116</v>
      </c>
      <c r="L2" s="36"/>
      <c r="M2" s="36"/>
      <c r="N2" s="36"/>
      <c r="O2" s="36"/>
      <c r="P2" s="36" t="s">
        <v>117</v>
      </c>
      <c r="Q2" s="36"/>
      <c r="R2" s="36"/>
      <c r="S2" s="36"/>
      <c r="T2" s="36"/>
      <c r="V2" t="s">
        <v>118</v>
      </c>
    </row>
    <row r="3" spans="1:23" ht="20" customHeight="1" x14ac:dyDescent="0.55000000000000004">
      <c r="A3" s="36" t="s">
        <v>113</v>
      </c>
      <c r="B3" s="39" cm="1">
        <f t="array" aca="1" ref="B3" ca="1">_xlfn.XLOOKUP("O/N",INDEX(_xlfn.ANCHORARRAY($P$3),,2),INDEX(_xlfn.ANCHORARRAY($P$3),,3),"")</f>
      </c>
      <c r="C3" s="36"/>
      <c r="D3" s="36"/>
      <c r="E3" s="36"/>
      <c r="F3" s="36"/>
      <c r="G3" s="36"/>
      <c r="H3" s="36"/>
      <c r="I3" s="36"/>
      <c r="J3" s="36"/>
      <c r="K3" s="36" cm="1">
        <f t="array" aca="1" ref="K3" ca="1">IF($B$1="Fixed",LiveSnapshot("swap"),LiveQuotes("swap"))</f>
      </c>
      <c r="L3" s="36"/>
      <c r="M3" s="36"/>
      <c r="N3" s="36"/>
      <c r="O3" s="36"/>
      <c r="P3" s="36" cm="1">
        <f t="array" aca="1" ref="P3:T46" ca="1">_xlfn.LET(_xlpm.q,_xlfn.ANCHORARRAY($K$3),_xlpm.t,$V$4:$V$47,_xlfn.HSTACK($W$4:$W$47,_xlpm.t,INDEX(_xlpm.q,_xlfn.XMATCH(_xlpm.t,INDEX(_xlpm.q,,1)),{2,3,4})))</f>
      </c>
      <c r="Q3" s="36">
        <f ca="1"/>
      </c>
      <c r="R3" s="36">
        <f ca="1"/>
      </c>
      <c r="S3" s="36">
        <f ca="1"/>
      </c>
      <c r="T3" s="36">
        <f ca="1"/>
      </c>
      <c r="V3" t="s">
        <v>119</v>
      </c>
      <c r="W3" t="s">
        <v>120</v>
      </c>
    </row>
    <row r="4" spans="1:23" ht="20" customHeight="1" x14ac:dyDescent="0.55000000000000004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>
        <f ca="1"/>
      </c>
      <c r="Q4" s="36">
        <f ca="1"/>
      </c>
      <c r="R4" s="36">
        <f ca="1"/>
      </c>
      <c r="S4" s="36">
        <f ca="1"/>
      </c>
      <c r="T4" s="36">
        <f ca="1"/>
      </c>
      <c r="V4" t="s">
        <v>0</v>
      </c>
      <c r="W4" s="43"/>
    </row>
    <row r="5" spans="1:23" ht="20" customHeight="1" x14ac:dyDescent="0.55000000000000004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>
        <f ca="1"/>
      </c>
      <c r="Q5" s="36">
        <f ca="1"/>
      </c>
      <c r="R5" s="36">
        <f ca="1"/>
      </c>
      <c r="S5" s="36">
        <f ca="1"/>
      </c>
      <c r="T5" s="36">
        <f ca="1"/>
      </c>
      <c r="V5" t="s">
        <v>1</v>
      </c>
      <c r="W5" s="43">
        <v>1</v>
      </c>
    </row>
    <row r="6" spans="1:23" ht="20" customHeight="1" x14ac:dyDescent="0.6">
      <c r="A6" s="40" t="s">
        <v>114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>
        <f ca="1"/>
      </c>
      <c r="Q6" s="36">
        <f ca="1"/>
      </c>
      <c r="R6" s="36">
        <f ca="1"/>
      </c>
      <c r="S6" s="36">
        <f ca="1"/>
      </c>
      <c r="T6" s="36">
        <f ca="1"/>
      </c>
      <c r="V6" t="s">
        <v>2</v>
      </c>
      <c r="W6" s="43">
        <v>1</v>
      </c>
    </row>
    <row r="7" spans="1:23" ht="30" customHeight="1" x14ac:dyDescent="0.6">
      <c r="A7" s="41" t="s">
        <v>119</v>
      </c>
      <c r="B7" s="41" t="s">
        <v>128</v>
      </c>
      <c r="C7" s="41" t="s">
        <v>129</v>
      </c>
      <c r="D7" s="41" t="s">
        <v>130</v>
      </c>
      <c r="E7" s="41" t="s">
        <v>131</v>
      </c>
      <c r="F7" s="41" t="s">
        <v>132</v>
      </c>
      <c r="G7" s="41" t="s">
        <v>133</v>
      </c>
      <c r="H7" s="41" t="s">
        <v>134</v>
      </c>
      <c r="I7" s="36"/>
      <c r="J7" s="36"/>
      <c r="K7" s="36"/>
      <c r="L7" s="36"/>
      <c r="M7" s="36"/>
      <c r="N7" s="36"/>
      <c r="O7" s="36"/>
      <c r="P7" s="36">
        <f ca="1"/>
      </c>
      <c r="Q7" s="36">
        <f ca="1"/>
      </c>
      <c r="R7" s="36">
        <f ca="1"/>
      </c>
      <c r="S7" s="36">
        <f ca="1"/>
      </c>
      <c r="T7" s="36">
        <f ca="1"/>
      </c>
      <c r="V7" t="s">
        <v>3</v>
      </c>
      <c r="W7" s="43">
        <v>1</v>
      </c>
    </row>
    <row r="8" spans="1:23" ht="20" customHeight="1" x14ac:dyDescent="0.55000000000000004">
      <c r="A8" s="36" t="s">
        <v>109</v>
      </c>
      <c r="B8" s="38" cm="1">
        <f t="array" aca="1" ref="B8" ca="1">_xlfn.XLOOKUP($A8,INDEX(_xlfn.ANCHORARRAY($P$3),,2),INDEX(_xlfn.ANCHORARRAY($P$3),,4),"")</f>
      </c>
      <c r="C8" s="38" cm="1">
        <f t="array" aca="1" ref="C8" ca="1">_xlfn.XLOOKUP($A8,INDEX(_xlfn.ANCHORARRAY($P$3),,2),INDEX(_xlfn.ANCHORARRAY($P$3),,5),"")</f>
      </c>
      <c r="D8" s="36">
        <f t="shared" ref="D8:D17" ca="1" si="0">IF(AND(ISNUMBER(B8),ISNUMBER(C8)),C8-B8,"")</f>
      </c>
      <c r="E8" s="39" cm="1">
        <f t="array" aca="1" ref="E8" ca="1">_xlfn.XLOOKUP($A8,INDEX(_xlfn.ANCHORARRAY($P$3),,2),INDEX(_xlfn.ANCHORARRAY($P$3),,3),"")</f>
      </c>
      <c r="F8" s="39" cm="1">
        <f t="array" aca="1" ref="F8" ca="1">BojSpotForwards(B8:C17,_xlfn.TAKE(_xlfn.ANCHORARRAY($P$3),,3))</f>
      </c>
      <c r="G8" s="42">
        <f t="shared" ref="G8:G17" ca="1" si="1">IF(AND(ISNUMBER(E8),ISNUMBER(F8)),(E8-F8)*100,"")</f>
      </c>
      <c r="H8" s="42">
        <f ca="1">IF(AND(ISNUMBER(E8),ISNUMBER($B$3)),(E8-$B$3)*100,"")</f>
      </c>
      <c r="I8" s="36"/>
      <c r="J8" s="36"/>
      <c r="K8" s="36"/>
      <c r="L8" s="36"/>
      <c r="M8" s="36"/>
      <c r="N8" s="36"/>
      <c r="O8" s="36"/>
      <c r="P8" s="36">
        <f ca="1"/>
      </c>
      <c r="Q8" s="36">
        <f ca="1"/>
      </c>
      <c r="R8" s="36">
        <f ca="1"/>
      </c>
      <c r="S8" s="36">
        <f ca="1"/>
      </c>
      <c r="T8" s="36">
        <f ca="1"/>
      </c>
      <c r="V8" t="s">
        <v>4</v>
      </c>
      <c r="W8" s="43">
        <v>1</v>
      </c>
    </row>
    <row r="9" spans="1:23" ht="20" customHeight="1" x14ac:dyDescent="0.55000000000000004">
      <c r="A9" s="36" t="s">
        <v>33</v>
      </c>
      <c r="B9" s="38" cm="1">
        <f t="array" aca="1" ref="B9" ca="1">_xlfn.XLOOKUP($A9,INDEX(_xlfn.ANCHORARRAY($P$3),,2),INDEX(_xlfn.ANCHORARRAY($P$3),,4),"")</f>
      </c>
      <c r="C9" s="38" cm="1">
        <f t="array" aca="1" ref="C9" ca="1">_xlfn.XLOOKUP($A9,INDEX(_xlfn.ANCHORARRAY($P$3),,2),INDEX(_xlfn.ANCHORARRAY($P$3),,5),"")</f>
      </c>
      <c r="D9" s="36">
        <f t="shared" ca="1" si="0"/>
      </c>
      <c r="E9" s="39" cm="1">
        <f t="array" aca="1" ref="E9" ca="1">_xlfn.XLOOKUP($A9,INDEX(_xlfn.ANCHORARRAY($P$3),,2),INDEX(_xlfn.ANCHORARRAY($P$3),,3),"")</f>
      </c>
      <c r="F9" s="39"/>
      <c r="G9" s="42">
        <f t="shared" ca="1" si="1"/>
      </c>
      <c r="H9" s="42">
        <f t="shared" ref="H9:H17" ca="1" si="2">IF(AND(ISNUMBER(E9),ISNUMBER(E8)),(E9-E8)*100,"")</f>
      </c>
      <c r="I9" s="36"/>
      <c r="J9" s="36"/>
      <c r="K9" s="36"/>
      <c r="L9" s="36"/>
      <c r="M9" s="36"/>
      <c r="N9" s="36"/>
      <c r="O9" s="36"/>
      <c r="P9" s="36">
        <f ca="1"/>
      </c>
      <c r="Q9" s="36">
        <f ca="1"/>
      </c>
      <c r="R9" s="36">
        <f ca="1"/>
      </c>
      <c r="S9" s="36">
        <f ca="1"/>
      </c>
      <c r="T9" s="36">
        <f ca="1"/>
      </c>
      <c r="V9" t="s">
        <v>5</v>
      </c>
      <c r="W9" s="43">
        <v>1</v>
      </c>
    </row>
    <row r="10" spans="1:23" ht="20" customHeight="1" x14ac:dyDescent="0.55000000000000004">
      <c r="A10" s="36" t="s">
        <v>34</v>
      </c>
      <c r="B10" s="38" cm="1">
        <f t="array" aca="1" ref="B10" ca="1">_xlfn.XLOOKUP($A10,INDEX(_xlfn.ANCHORARRAY($P$3),,2),INDEX(_xlfn.ANCHORARRAY($P$3),,4),"")</f>
      </c>
      <c r="C10" s="38" cm="1">
        <f t="array" aca="1" ref="C10" ca="1">_xlfn.XLOOKUP($A10,INDEX(_xlfn.ANCHORARRAY($P$3),,2),INDEX(_xlfn.ANCHORARRAY($P$3),,5),"")</f>
      </c>
      <c r="D10" s="36">
        <f t="shared" ca="1" si="0"/>
      </c>
      <c r="E10" s="39" cm="1">
        <f t="array" aca="1" ref="E10" ca="1">_xlfn.XLOOKUP($A10,INDEX(_xlfn.ANCHORARRAY($P$3),,2),INDEX(_xlfn.ANCHORARRAY($P$3),,3),"")</f>
      </c>
      <c r="F10" s="39"/>
      <c r="G10" s="42">
        <f t="shared" ca="1" si="1"/>
      </c>
      <c r="H10" s="42">
        <f t="shared" ca="1" si="2"/>
      </c>
      <c r="I10" s="36"/>
      <c r="J10" s="36"/>
      <c r="K10" s="36"/>
      <c r="L10" s="36"/>
      <c r="M10" s="36"/>
      <c r="N10" s="36"/>
      <c r="O10" s="36"/>
      <c r="P10" s="36">
        <f ca="1"/>
      </c>
      <c r="Q10" s="36">
        <f ca="1"/>
      </c>
      <c r="R10" s="36">
        <f ca="1"/>
      </c>
      <c r="S10" s="36">
        <f ca="1"/>
      </c>
      <c r="T10" s="36">
        <f ca="1"/>
      </c>
      <c r="V10" t="s">
        <v>6</v>
      </c>
      <c r="W10" s="43">
        <v>1</v>
      </c>
    </row>
    <row r="11" spans="1:23" ht="20" customHeight="1" x14ac:dyDescent="0.55000000000000004">
      <c r="A11" s="36" t="s">
        <v>35</v>
      </c>
      <c r="B11" s="38" cm="1">
        <f t="array" aca="1" ref="B11" ca="1">_xlfn.XLOOKUP($A11,INDEX(_xlfn.ANCHORARRAY($P$3),,2),INDEX(_xlfn.ANCHORARRAY($P$3),,4),"")</f>
      </c>
      <c r="C11" s="38" cm="1">
        <f t="array" aca="1" ref="C11" ca="1">_xlfn.XLOOKUP($A11,INDEX(_xlfn.ANCHORARRAY($P$3),,2),INDEX(_xlfn.ANCHORARRAY($P$3),,5),"")</f>
      </c>
      <c r="D11" s="36">
        <f t="shared" ca="1" si="0"/>
      </c>
      <c r="E11" s="39" cm="1">
        <f t="array" aca="1" ref="E11" ca="1">_xlfn.XLOOKUP($A11,INDEX(_xlfn.ANCHORARRAY($P$3),,2),INDEX(_xlfn.ANCHORARRAY($P$3),,3),"")</f>
      </c>
      <c r="F11" s="39"/>
      <c r="G11" s="42">
        <f t="shared" ca="1" si="1"/>
      </c>
      <c r="H11" s="42">
        <f t="shared" ca="1" si="2"/>
      </c>
      <c r="I11" s="36"/>
      <c r="J11" s="36"/>
      <c r="K11" s="36"/>
      <c r="L11" s="36"/>
      <c r="M11" s="36"/>
      <c r="N11" s="36"/>
      <c r="O11" s="36"/>
      <c r="P11" s="36">
        <f ca="1"/>
      </c>
      <c r="Q11" s="36">
        <f ca="1"/>
      </c>
      <c r="R11" s="36">
        <f ca="1"/>
      </c>
      <c r="S11" s="36">
        <f ca="1"/>
      </c>
      <c r="T11" s="36">
        <f ca="1"/>
      </c>
      <c r="V11" t="s">
        <v>7</v>
      </c>
      <c r="W11" s="43">
        <v>1</v>
      </c>
    </row>
    <row r="12" spans="1:23" ht="20" customHeight="1" x14ac:dyDescent="0.55000000000000004">
      <c r="A12" s="36" t="s">
        <v>36</v>
      </c>
      <c r="B12" s="38" cm="1">
        <f t="array" aca="1" ref="B12" ca="1">_xlfn.XLOOKUP($A12,INDEX(_xlfn.ANCHORARRAY($P$3),,2),INDEX(_xlfn.ANCHORARRAY($P$3),,4),"")</f>
      </c>
      <c r="C12" s="38" cm="1">
        <f t="array" aca="1" ref="C12" ca="1">_xlfn.XLOOKUP($A12,INDEX(_xlfn.ANCHORARRAY($P$3),,2),INDEX(_xlfn.ANCHORARRAY($P$3),,5),"")</f>
      </c>
      <c r="D12" s="36">
        <f t="shared" ca="1" si="0"/>
      </c>
      <c r="E12" s="39" cm="1">
        <f t="array" aca="1" ref="E12" ca="1">_xlfn.XLOOKUP($A12,INDEX(_xlfn.ANCHORARRAY($P$3),,2),INDEX(_xlfn.ANCHORARRAY($P$3),,3),"")</f>
      </c>
      <c r="F12" s="39"/>
      <c r="G12" s="42">
        <f t="shared" ca="1" si="1"/>
      </c>
      <c r="H12" s="42">
        <f t="shared" ca="1" si="2"/>
      </c>
      <c r="I12" s="36"/>
      <c r="J12" s="36"/>
      <c r="K12" s="36"/>
      <c r="L12" s="36"/>
      <c r="M12" s="36"/>
      <c r="N12" s="36"/>
      <c r="O12" s="36"/>
      <c r="P12" s="36">
        <f ca="1"/>
      </c>
      <c r="Q12" s="36">
        <f ca="1"/>
      </c>
      <c r="R12" s="36">
        <f ca="1"/>
      </c>
      <c r="S12" s="36">
        <f ca="1"/>
      </c>
      <c r="T12" s="36">
        <f ca="1"/>
      </c>
      <c r="V12" t="s">
        <v>8</v>
      </c>
      <c r="W12" s="43">
        <v>1</v>
      </c>
    </row>
    <row r="13" spans="1:23" ht="20" customHeight="1" x14ac:dyDescent="0.55000000000000004">
      <c r="A13" s="36" t="s">
        <v>37</v>
      </c>
      <c r="B13" s="38" cm="1">
        <f t="array" aca="1" ref="B13" ca="1">_xlfn.XLOOKUP($A13,INDEX(_xlfn.ANCHORARRAY($P$3),,2),INDEX(_xlfn.ANCHORARRAY($P$3),,4),"")</f>
      </c>
      <c r="C13" s="38" cm="1">
        <f t="array" aca="1" ref="C13" ca="1">_xlfn.XLOOKUP($A13,INDEX(_xlfn.ANCHORARRAY($P$3),,2),INDEX(_xlfn.ANCHORARRAY($P$3),,5),"")</f>
      </c>
      <c r="D13" s="36">
        <f t="shared" ca="1" si="0"/>
      </c>
      <c r="E13" s="39" cm="1">
        <f t="array" aca="1" ref="E13" ca="1">_xlfn.XLOOKUP($A13,INDEX(_xlfn.ANCHORARRAY($P$3),,2),INDEX(_xlfn.ANCHORARRAY($P$3),,3),"")</f>
      </c>
      <c r="F13" s="39"/>
      <c r="G13" s="42">
        <f t="shared" ca="1" si="1"/>
      </c>
      <c r="H13" s="42">
        <f t="shared" ca="1" si="2"/>
      </c>
      <c r="I13" s="36"/>
      <c r="J13" s="36"/>
      <c r="K13" s="36"/>
      <c r="L13" s="36"/>
      <c r="M13" s="36"/>
      <c r="N13" s="36"/>
      <c r="O13" s="36"/>
      <c r="P13" s="36">
        <f ca="1"/>
      </c>
      <c r="Q13" s="36">
        <f ca="1"/>
      </c>
      <c r="R13" s="36">
        <f ca="1"/>
      </c>
      <c r="S13" s="36">
        <f ca="1"/>
      </c>
      <c r="T13" s="36">
        <f ca="1"/>
      </c>
      <c r="V13" t="s">
        <v>9</v>
      </c>
      <c r="W13" s="43">
        <v>1</v>
      </c>
    </row>
    <row r="14" spans="1:23" ht="20" customHeight="1" x14ac:dyDescent="0.55000000000000004">
      <c r="A14" s="36" t="s">
        <v>38</v>
      </c>
      <c r="B14" s="38" cm="1">
        <f t="array" aca="1" ref="B14" ca="1">_xlfn.XLOOKUP($A14,INDEX(_xlfn.ANCHORARRAY($P$3),,2),INDEX(_xlfn.ANCHORARRAY($P$3),,4),"")</f>
      </c>
      <c r="C14" s="38" cm="1">
        <f t="array" aca="1" ref="C14" ca="1">_xlfn.XLOOKUP($A14,INDEX(_xlfn.ANCHORARRAY($P$3),,2),INDEX(_xlfn.ANCHORARRAY($P$3),,5),"")</f>
      </c>
      <c r="D14" s="36">
        <f t="shared" ca="1" si="0"/>
      </c>
      <c r="E14" s="39" cm="1">
        <f t="array" aca="1" ref="E14" ca="1">_xlfn.XLOOKUP($A14,INDEX(_xlfn.ANCHORARRAY($P$3),,2),INDEX(_xlfn.ANCHORARRAY($P$3),,3),"")</f>
      </c>
      <c r="F14" s="39"/>
      <c r="G14" s="42">
        <f t="shared" ca="1" si="1"/>
      </c>
      <c r="H14" s="42">
        <f t="shared" ca="1" si="2"/>
      </c>
      <c r="I14" s="36"/>
      <c r="J14" s="36"/>
      <c r="K14" s="36"/>
      <c r="L14" s="36"/>
      <c r="M14" s="36"/>
      <c r="N14" s="36"/>
      <c r="O14" s="36"/>
      <c r="P14" s="36">
        <f ca="1"/>
      </c>
      <c r="Q14" s="36">
        <f ca="1"/>
      </c>
      <c r="R14" s="36">
        <f ca="1"/>
      </c>
      <c r="S14" s="36">
        <f ca="1"/>
      </c>
      <c r="T14" s="36">
        <f ca="1"/>
      </c>
      <c r="V14" t="s">
        <v>10</v>
      </c>
      <c r="W14" s="43">
        <v>1</v>
      </c>
    </row>
    <row r="15" spans="1:23" ht="20" customHeight="1" x14ac:dyDescent="0.55000000000000004">
      <c r="A15" s="36" t="s">
        <v>39</v>
      </c>
      <c r="B15" s="38" cm="1">
        <f t="array" aca="1" ref="B15" ca="1">_xlfn.XLOOKUP($A15,INDEX(_xlfn.ANCHORARRAY($P$3),,2),INDEX(_xlfn.ANCHORARRAY($P$3),,4),"")</f>
      </c>
      <c r="C15" s="38" cm="1">
        <f t="array" aca="1" ref="C15" ca="1">_xlfn.XLOOKUP($A15,INDEX(_xlfn.ANCHORARRAY($P$3),,2),INDEX(_xlfn.ANCHORARRAY($P$3),,5),"")</f>
      </c>
      <c r="D15" s="36">
        <f t="shared" ca="1" si="0"/>
      </c>
      <c r="E15" s="39" cm="1">
        <f t="array" aca="1" ref="E15" ca="1">_xlfn.XLOOKUP($A15,INDEX(_xlfn.ANCHORARRAY($P$3),,2),INDEX(_xlfn.ANCHORARRAY($P$3),,3),"")</f>
      </c>
      <c r="F15" s="39"/>
      <c r="G15" s="42">
        <f t="shared" ca="1" si="1"/>
      </c>
      <c r="H15" s="42">
        <f t="shared" ca="1" si="2"/>
      </c>
      <c r="I15" s="36"/>
      <c r="J15" s="36"/>
      <c r="K15" s="36"/>
      <c r="L15" s="36"/>
      <c r="M15" s="36"/>
      <c r="N15" s="36"/>
      <c r="O15" s="36"/>
      <c r="P15" s="36">
        <f ca="1"/>
      </c>
      <c r="Q15" s="36">
        <f ca="1"/>
      </c>
      <c r="R15" s="36">
        <f ca="1"/>
      </c>
      <c r="S15" s="36">
        <f ca="1"/>
      </c>
      <c r="T15" s="36">
        <f ca="1"/>
      </c>
      <c r="V15" t="s">
        <v>11</v>
      </c>
      <c r="W15" s="43">
        <v>1</v>
      </c>
    </row>
    <row r="16" spans="1:23" ht="20" customHeight="1" x14ac:dyDescent="0.55000000000000004">
      <c r="A16" s="36" t="s">
        <v>40</v>
      </c>
      <c r="B16" s="38" cm="1">
        <f t="array" aca="1" ref="B16" ca="1">_xlfn.XLOOKUP($A16,INDEX(_xlfn.ANCHORARRAY($P$3),,2),INDEX(_xlfn.ANCHORARRAY($P$3),,4),"")</f>
      </c>
      <c r="C16" s="38" cm="1">
        <f t="array" aca="1" ref="C16" ca="1">_xlfn.XLOOKUP($A16,INDEX(_xlfn.ANCHORARRAY($P$3),,2),INDEX(_xlfn.ANCHORARRAY($P$3),,5),"")</f>
      </c>
      <c r="D16" s="36">
        <f t="shared" ca="1" si="0"/>
      </c>
      <c r="E16" s="39" cm="1">
        <f t="array" aca="1" ref="E16" ca="1">_xlfn.XLOOKUP($A16,INDEX(_xlfn.ANCHORARRAY($P$3),,2),INDEX(_xlfn.ANCHORARRAY($P$3),,3),"")</f>
      </c>
      <c r="F16" s="39"/>
      <c r="G16" s="42">
        <f t="shared" ca="1" si="1"/>
      </c>
      <c r="H16" s="42">
        <f t="shared" ca="1" si="2"/>
      </c>
      <c r="I16" s="36"/>
      <c r="J16" s="36"/>
      <c r="K16" s="36"/>
      <c r="L16" s="36"/>
      <c r="M16" s="36"/>
      <c r="N16" s="36"/>
      <c r="O16" s="36"/>
      <c r="P16" s="36">
        <f ca="1"/>
      </c>
      <c r="Q16" s="36">
        <f ca="1"/>
      </c>
      <c r="R16" s="36">
        <f ca="1"/>
      </c>
      <c r="S16" s="36">
        <f ca="1"/>
      </c>
      <c r="T16" s="36">
        <f ca="1"/>
      </c>
      <c r="V16" t="s">
        <v>12</v>
      </c>
      <c r="W16" s="43">
        <v>1</v>
      </c>
    </row>
    <row r="17" spans="1:23" ht="20" customHeight="1" x14ac:dyDescent="0.55000000000000004">
      <c r="A17" s="36" t="s">
        <v>110</v>
      </c>
      <c r="B17" s="38" cm="1">
        <f t="array" aca="1" ref="B17" ca="1">_xlfn.XLOOKUP($A17,INDEX(_xlfn.ANCHORARRAY($P$3),,2),INDEX(_xlfn.ANCHORARRAY($P$3),,4),"")</f>
      </c>
      <c r="C17" s="38" cm="1">
        <f t="array" aca="1" ref="C17" ca="1">_xlfn.XLOOKUP($A17,INDEX(_xlfn.ANCHORARRAY($P$3),,2),INDEX(_xlfn.ANCHORARRAY($P$3),,5),"")</f>
      </c>
      <c r="D17" s="36">
        <f t="shared" ca="1" si="0"/>
      </c>
      <c r="E17" s="39" cm="1">
        <f t="array" aca="1" ref="E17" ca="1">_xlfn.XLOOKUP($A17,INDEX(_xlfn.ANCHORARRAY($P$3),,2),INDEX(_xlfn.ANCHORARRAY($P$3),,3),"")</f>
      </c>
      <c r="F17" s="39"/>
      <c r="G17" s="42">
        <f t="shared" ca="1" si="1"/>
      </c>
      <c r="H17" s="42">
        <f t="shared" ca="1" si="2"/>
      </c>
      <c r="I17" s="36"/>
      <c r="J17" s="36"/>
      <c r="K17" s="36"/>
      <c r="L17" s="36"/>
      <c r="M17" s="36"/>
      <c r="N17" s="36"/>
      <c r="O17" s="36"/>
      <c r="P17" s="36">
        <f ca="1"/>
      </c>
      <c r="Q17" s="36">
        <f ca="1"/>
      </c>
      <c r="R17" s="36">
        <f ca="1"/>
      </c>
      <c r="S17" s="36">
        <f ca="1"/>
      </c>
      <c r="T17" s="36">
        <f ca="1"/>
      </c>
      <c r="V17" t="s">
        <v>41</v>
      </c>
      <c r="W17" s="43">
        <v>1</v>
      </c>
    </row>
    <row r="18" spans="1:23" ht="20" customHeight="1" x14ac:dyDescent="0.55000000000000004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>
        <f ca="1"/>
      </c>
      <c r="Q18" s="36">
        <f ca="1"/>
      </c>
      <c r="R18" s="36">
        <f ca="1"/>
      </c>
      <c r="S18" s="36">
        <f ca="1"/>
      </c>
      <c r="T18" s="36">
        <f ca="1"/>
      </c>
      <c r="V18" t="s">
        <v>13</v>
      </c>
      <c r="W18" s="43">
        <v>1</v>
      </c>
    </row>
    <row r="19" spans="1:23" ht="20" customHeight="1" x14ac:dyDescent="0.55000000000000004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>
        <f ca="1"/>
      </c>
      <c r="Q19" s="36">
        <f ca="1"/>
      </c>
      <c r="R19" s="36">
        <f ca="1"/>
      </c>
      <c r="S19" s="36">
        <f ca="1"/>
      </c>
      <c r="T19" s="36">
        <f ca="1"/>
      </c>
      <c r="V19" t="s">
        <v>14</v>
      </c>
      <c r="W19" s="43">
        <v>1</v>
      </c>
    </row>
    <row r="20" spans="1:23" ht="20" customHeight="1" x14ac:dyDescent="0.6">
      <c r="A20" s="40" t="s">
        <v>115</v>
      </c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>
        <f ca="1"/>
      </c>
      <c r="Q20" s="36">
        <f ca="1"/>
      </c>
      <c r="R20" s="36">
        <f ca="1"/>
      </c>
      <c r="S20" s="36">
        <f ca="1"/>
      </c>
      <c r="T20" s="36">
        <f ca="1"/>
      </c>
      <c r="V20" t="s">
        <v>15</v>
      </c>
      <c r="W20" s="43">
        <v>1</v>
      </c>
    </row>
    <row r="21" spans="1:23" ht="30" customHeight="1" x14ac:dyDescent="0.6">
      <c r="A21" s="41" t="s">
        <v>135</v>
      </c>
      <c r="B21" s="41" t="s">
        <v>136</v>
      </c>
      <c r="C21" s="41" t="s">
        <v>137</v>
      </c>
      <c r="D21" s="41" t="s">
        <v>138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>
        <f ca="1"/>
      </c>
      <c r="Q21" s="36">
        <f ca="1"/>
      </c>
      <c r="R21" s="36">
        <f ca="1"/>
      </c>
      <c r="S21" s="36">
        <f ca="1"/>
      </c>
      <c r="T21" s="36">
        <f ca="1"/>
      </c>
      <c r="V21" t="s">
        <v>16</v>
      </c>
      <c r="W21" s="43">
        <v>1</v>
      </c>
    </row>
    <row r="22" spans="1:23" ht="20" customHeight="1" x14ac:dyDescent="0.55000000000000004">
      <c r="A22" s="36" t="s">
        <v>1</v>
      </c>
      <c r="B22" s="39" cm="1">
        <f t="array" aca="1" ref="B22" ca="1">_xlfn.XLOOKUP($A22,INDEX(_xlfn.ANCHORARRAY($P$3),,2),INDEX(_xlfn.ANCHORARRAY($P$3),,3),"")</f>
      </c>
      <c r="C22" s="39" cm="1">
        <f t="array" aca="1" ref="C22" ca="1">BojImpliedRates(A22:A34,_xlfn.TAKE(_xlfn.ANCHORARRAY($P$3),,3),_xlfn.HSTACK(A8:A17,E8:E17,B8:C17))</f>
      </c>
      <c r="D22" s="42">
        <f t="shared" ref="D22:D34" ca="1" si="3">IF(AND(ISNUMBER(B22),ISNUMBER(C22)),(B22-C22)*100,"")</f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>
        <f ca="1"/>
      </c>
      <c r="Q22" s="36">
        <f ca="1"/>
      </c>
      <c r="R22" s="36">
        <f ca="1"/>
      </c>
      <c r="S22" s="36">
        <f ca="1"/>
      </c>
      <c r="T22" s="36">
        <f ca="1"/>
      </c>
      <c r="V22" t="s">
        <v>17</v>
      </c>
      <c r="W22" s="43">
        <v>1</v>
      </c>
    </row>
    <row r="23" spans="1:23" ht="20" customHeight="1" x14ac:dyDescent="0.55000000000000004">
      <c r="A23" s="36" t="s">
        <v>2</v>
      </c>
      <c r="B23" s="39" cm="1">
        <f t="array" aca="1" ref="B23" ca="1">_xlfn.XLOOKUP($A23,INDEX(_xlfn.ANCHORARRAY($P$3),,2),INDEX(_xlfn.ANCHORARRAY($P$3),,3),"")</f>
      </c>
      <c r="C23" s="39"/>
      <c r="D23" s="42">
        <f t="shared" ca="1" si="3"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>
        <f ca="1"/>
      </c>
      <c r="Q23" s="36">
        <f ca="1"/>
      </c>
      <c r="R23" s="36">
        <f ca="1"/>
      </c>
      <c r="S23" s="36">
        <f ca="1"/>
      </c>
      <c r="T23" s="36">
        <f ca="1"/>
      </c>
      <c r="V23" t="s">
        <v>18</v>
      </c>
      <c r="W23" s="43">
        <v>1</v>
      </c>
    </row>
    <row r="24" spans="1:23" ht="20" customHeight="1" x14ac:dyDescent="0.55000000000000004">
      <c r="A24" s="36" t="s">
        <v>3</v>
      </c>
      <c r="B24" s="39" cm="1">
        <f t="array" aca="1" ref="B24" ca="1">_xlfn.XLOOKUP($A24,INDEX(_xlfn.ANCHORARRAY($P$3),,2),INDEX(_xlfn.ANCHORARRAY($P$3),,3),"")</f>
      </c>
      <c r="C24" s="39"/>
      <c r="D24" s="42">
        <f t="shared" ca="1" si="3"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>
        <f ca="1"/>
      </c>
      <c r="Q24" s="36">
        <f ca="1"/>
      </c>
      <c r="R24" s="36">
        <f ca="1"/>
      </c>
      <c r="S24" s="36">
        <f ca="1"/>
      </c>
      <c r="T24" s="36">
        <f ca="1"/>
      </c>
      <c r="V24" t="s">
        <v>19</v>
      </c>
      <c r="W24" s="43">
        <v>1</v>
      </c>
    </row>
    <row r="25" spans="1:23" ht="20" customHeight="1" x14ac:dyDescent="0.55000000000000004">
      <c r="A25" s="36" t="s">
        <v>4</v>
      </c>
      <c r="B25" s="39" cm="1">
        <f t="array" aca="1" ref="B25" ca="1">_xlfn.XLOOKUP($A25,INDEX(_xlfn.ANCHORARRAY($P$3),,2),INDEX(_xlfn.ANCHORARRAY($P$3),,3),"")</f>
      </c>
      <c r="C25" s="39"/>
      <c r="D25" s="42">
        <f t="shared" ca="1" si="3"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>
        <f ca="1"/>
      </c>
      <c r="Q25" s="36">
        <f ca="1"/>
      </c>
      <c r="R25" s="36">
        <f ca="1"/>
      </c>
      <c r="S25" s="36">
        <f ca="1"/>
      </c>
      <c r="T25" s="36">
        <f ca="1"/>
      </c>
      <c r="V25" t="s">
        <v>20</v>
      </c>
      <c r="W25" s="43">
        <v>1</v>
      </c>
    </row>
    <row r="26" spans="1:23" ht="20" customHeight="1" x14ac:dyDescent="0.55000000000000004">
      <c r="A26" s="36" t="s">
        <v>5</v>
      </c>
      <c r="B26" s="39" cm="1">
        <f t="array" aca="1" ref="B26" ca="1">_xlfn.XLOOKUP($A26,INDEX(_xlfn.ANCHORARRAY($P$3),,2),INDEX(_xlfn.ANCHORARRAY($P$3),,3),"")</f>
      </c>
      <c r="C26" s="39"/>
      <c r="D26" s="42">
        <f t="shared" ca="1" si="3"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>
        <f ca="1"/>
      </c>
      <c r="Q26" s="36">
        <f ca="1"/>
      </c>
      <c r="R26" s="36">
        <f ca="1"/>
      </c>
      <c r="S26" s="36">
        <f ca="1"/>
      </c>
      <c r="T26" s="36">
        <f ca="1"/>
      </c>
      <c r="V26" t="s">
        <v>21</v>
      </c>
      <c r="W26" s="43">
        <v>1</v>
      </c>
    </row>
    <row r="27" spans="1:23" ht="20" customHeight="1" x14ac:dyDescent="0.55000000000000004">
      <c r="A27" s="36" t="s">
        <v>6</v>
      </c>
      <c r="B27" s="39" cm="1">
        <f t="array" aca="1" ref="B27" ca="1">_xlfn.XLOOKUP($A27,INDEX(_xlfn.ANCHORARRAY($P$3),,2),INDEX(_xlfn.ANCHORARRAY($P$3),,3),"")</f>
      </c>
      <c r="C27" s="39"/>
      <c r="D27" s="42">
        <f t="shared" ca="1" si="3"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>
        <f ca="1"/>
      </c>
      <c r="Q27" s="36">
        <f ca="1"/>
      </c>
      <c r="R27" s="36">
        <f ca="1"/>
      </c>
      <c r="S27" s="36">
        <f ca="1"/>
      </c>
      <c r="T27" s="36">
        <f ca="1"/>
      </c>
      <c r="V27" t="s">
        <v>22</v>
      </c>
      <c r="W27" s="43">
        <v>1</v>
      </c>
    </row>
    <row r="28" spans="1:23" ht="20" customHeight="1" x14ac:dyDescent="0.55000000000000004">
      <c r="A28" s="36" t="s">
        <v>7</v>
      </c>
      <c r="B28" s="39" cm="1">
        <f t="array" aca="1" ref="B28" ca="1">_xlfn.XLOOKUP($A28,INDEX(_xlfn.ANCHORARRAY($P$3),,2),INDEX(_xlfn.ANCHORARRAY($P$3),,3),"")</f>
      </c>
      <c r="C28" s="39"/>
      <c r="D28" s="42">
        <f t="shared" ca="1" si="3"/>
      </c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>
        <f ca="1"/>
      </c>
      <c r="Q28" s="36">
        <f ca="1"/>
      </c>
      <c r="R28" s="36">
        <f ca="1"/>
      </c>
      <c r="S28" s="36">
        <f ca="1"/>
      </c>
      <c r="T28" s="36">
        <f ca="1"/>
      </c>
      <c r="V28" t="s">
        <v>23</v>
      </c>
      <c r="W28" s="43">
        <v>1</v>
      </c>
    </row>
    <row r="29" spans="1:23" ht="20" customHeight="1" x14ac:dyDescent="0.55000000000000004">
      <c r="A29" s="36" t="s">
        <v>8</v>
      </c>
      <c r="B29" s="39" cm="1">
        <f t="array" aca="1" ref="B29" ca="1">_xlfn.XLOOKUP($A29,INDEX(_xlfn.ANCHORARRAY($P$3),,2),INDEX(_xlfn.ANCHORARRAY($P$3),,3),"")</f>
      </c>
      <c r="C29" s="39"/>
      <c r="D29" s="42">
        <f t="shared" ca="1" si="3"/>
      </c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>
        <f ca="1"/>
      </c>
      <c r="Q29" s="36">
        <f ca="1"/>
      </c>
      <c r="R29" s="36">
        <f ca="1"/>
      </c>
      <c r="S29" s="36">
        <f ca="1"/>
      </c>
      <c r="T29" s="36">
        <f ca="1"/>
      </c>
      <c r="V29" t="s">
        <v>24</v>
      </c>
      <c r="W29" s="43">
        <v>1</v>
      </c>
    </row>
    <row r="30" spans="1:23" ht="20" customHeight="1" x14ac:dyDescent="0.55000000000000004">
      <c r="A30" s="36" t="s">
        <v>9</v>
      </c>
      <c r="B30" s="39" cm="1">
        <f t="array" aca="1" ref="B30" ca="1">_xlfn.XLOOKUP($A30,INDEX(_xlfn.ANCHORARRAY($P$3),,2),INDEX(_xlfn.ANCHORARRAY($P$3),,3),"")</f>
      </c>
      <c r="C30" s="39"/>
      <c r="D30" s="42">
        <f t="shared" ca="1" si="3"/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>
        <f ca="1"/>
      </c>
      <c r="Q30" s="36">
        <f ca="1"/>
      </c>
      <c r="R30" s="36">
        <f ca="1"/>
      </c>
      <c r="S30" s="36">
        <f ca="1"/>
      </c>
      <c r="T30" s="36">
        <f ca="1"/>
      </c>
      <c r="V30" t="s">
        <v>25</v>
      </c>
      <c r="W30" s="43">
        <v>1</v>
      </c>
    </row>
    <row r="31" spans="1:23" ht="20" customHeight="1" x14ac:dyDescent="0.55000000000000004">
      <c r="A31" s="36" t="s">
        <v>10</v>
      </c>
      <c r="B31" s="39" cm="1">
        <f t="array" aca="1" ref="B31" ca="1">_xlfn.XLOOKUP($A31,INDEX(_xlfn.ANCHORARRAY($P$3),,2),INDEX(_xlfn.ANCHORARRAY($P$3),,3),"")</f>
      </c>
      <c r="C31" s="39"/>
      <c r="D31" s="42">
        <f t="shared" ca="1" si="3"/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>
        <f ca="1"/>
      </c>
      <c r="Q31" s="36">
        <f ca="1"/>
      </c>
      <c r="R31" s="36">
        <f ca="1"/>
      </c>
      <c r="S31" s="36">
        <f ca="1"/>
      </c>
      <c r="T31" s="36">
        <f ca="1"/>
      </c>
      <c r="V31" t="s">
        <v>26</v>
      </c>
      <c r="W31" s="43">
        <v>1</v>
      </c>
    </row>
    <row r="32" spans="1:23" ht="20" customHeight="1" x14ac:dyDescent="0.55000000000000004">
      <c r="A32" s="36" t="s">
        <v>11</v>
      </c>
      <c r="B32" s="39" cm="1">
        <f t="array" aca="1" ref="B32" ca="1">_xlfn.XLOOKUP($A32,INDEX(_xlfn.ANCHORARRAY($P$3),,2),INDEX(_xlfn.ANCHORARRAY($P$3),,3),"")</f>
      </c>
      <c r="C32" s="39"/>
      <c r="D32" s="42">
        <f t="shared" ca="1" si="3"/>
      </c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>
        <f ca="1"/>
      </c>
      <c r="Q32" s="36">
        <f ca="1"/>
      </c>
      <c r="R32" s="36">
        <f ca="1"/>
      </c>
      <c r="S32" s="36">
        <f ca="1"/>
      </c>
      <c r="T32" s="36">
        <f ca="1"/>
      </c>
      <c r="V32" t="s">
        <v>27</v>
      </c>
      <c r="W32" s="43">
        <v>1</v>
      </c>
    </row>
    <row r="33" spans="1:23" ht="20" customHeight="1" x14ac:dyDescent="0.55000000000000004">
      <c r="A33" s="36" t="s">
        <v>12</v>
      </c>
      <c r="B33" s="39" cm="1">
        <f t="array" aca="1" ref="B33" ca="1">_xlfn.XLOOKUP($A33,INDEX(_xlfn.ANCHORARRAY($P$3),,2),INDEX(_xlfn.ANCHORARRAY($P$3),,3),"")</f>
      </c>
      <c r="C33" s="39"/>
      <c r="D33" s="42">
        <f t="shared" ca="1" si="3"/>
      </c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>
        <f ca="1"/>
      </c>
      <c r="Q33" s="36">
        <f ca="1"/>
      </c>
      <c r="R33" s="36">
        <f ca="1"/>
      </c>
      <c r="S33" s="36">
        <f ca="1"/>
      </c>
      <c r="T33" s="36">
        <f ca="1"/>
      </c>
      <c r="V33" t="s">
        <v>28</v>
      </c>
      <c r="W33" s="43">
        <v>1</v>
      </c>
    </row>
    <row r="34" spans="1:23" ht="20" customHeight="1" x14ac:dyDescent="0.55000000000000004">
      <c r="A34" s="36" t="s">
        <v>41</v>
      </c>
      <c r="B34" s="39" cm="1">
        <f t="array" aca="1" ref="B34" ca="1">_xlfn.XLOOKUP($A34,INDEX(_xlfn.ANCHORARRAY($P$3),,2),INDEX(_xlfn.ANCHORARRAY($P$3),,3),"")</f>
      </c>
      <c r="C34" s="39"/>
      <c r="D34" s="42">
        <f t="shared" ca="1" si="3"/>
      </c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>
        <f ca="1"/>
      </c>
      <c r="Q34" s="36">
        <f ca="1"/>
      </c>
      <c r="R34" s="36">
        <f ca="1"/>
      </c>
      <c r="S34" s="36">
        <f ca="1"/>
      </c>
      <c r="T34" s="36">
        <f ca="1"/>
      </c>
      <c r="V34" t="s">
        <v>29</v>
      </c>
      <c r="W34" s="43">
        <v>1</v>
      </c>
    </row>
    <row r="35" spans="1:23" ht="20" customHeight="1" x14ac:dyDescent="0.55000000000000004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>
        <f ca="1"/>
      </c>
      <c r="Q35" s="36">
        <f ca="1"/>
      </c>
      <c r="R35" s="36">
        <f ca="1"/>
      </c>
      <c r="S35" s="36">
        <f ca="1"/>
      </c>
      <c r="T35" s="36">
        <f ca="1"/>
      </c>
      <c r="V35" t="s">
        <v>30</v>
      </c>
      <c r="W35" s="43">
        <v>1</v>
      </c>
    </row>
    <row r="36" spans="1:23" ht="20" customHeight="1" x14ac:dyDescent="0.55000000000000004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>
        <f ca="1"/>
      </c>
      <c r="Q36" s="36">
        <f ca="1"/>
      </c>
      <c r="R36" s="36">
        <f ca="1"/>
      </c>
      <c r="S36" s="36">
        <f ca="1"/>
      </c>
      <c r="T36" s="36">
        <f ca="1"/>
      </c>
      <c r="V36" t="s">
        <v>31</v>
      </c>
      <c r="W36" s="43">
        <v>1</v>
      </c>
    </row>
    <row r="37" spans="1:23" ht="20" customHeight="1" x14ac:dyDescent="0.6">
      <c r="A37" s="40" t="s">
        <v>121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>
        <f ca="1"/>
      </c>
      <c r="Q37" s="36">
        <f ca="1"/>
      </c>
      <c r="R37" s="36">
        <f ca="1"/>
      </c>
      <c r="S37" s="36">
        <f ca="1"/>
      </c>
      <c r="T37" s="36">
        <f ca="1"/>
      </c>
      <c r="V37" t="s">
        <v>32</v>
      </c>
      <c r="W37" s="43">
        <v>1</v>
      </c>
    </row>
    <row r="38" spans="1:23" ht="20" customHeight="1" x14ac:dyDescent="0.55000000000000004">
      <c r="A38" s="36" t="s">
        <v>122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>
        <f ca="1"/>
      </c>
      <c r="Q38" s="36">
        <f ca="1"/>
      </c>
      <c r="R38" s="36">
        <f ca="1"/>
      </c>
      <c r="S38" s="36">
        <f ca="1"/>
      </c>
      <c r="T38" s="36">
        <f ca="1"/>
      </c>
      <c r="V38" t="s">
        <v>109</v>
      </c>
      <c r="W38" s="43">
        <v>0</v>
      </c>
    </row>
    <row r="39" spans="1:23" ht="20" customHeight="1" x14ac:dyDescent="0.55000000000000004">
      <c r="A39" s="36" t="s">
        <v>123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>
        <f ca="1"/>
      </c>
      <c r="Q39" s="36">
        <f ca="1"/>
      </c>
      <c r="R39" s="36">
        <f ca="1"/>
      </c>
      <c r="S39" s="36">
        <f ca="1"/>
      </c>
      <c r="T39" s="36">
        <f ca="1"/>
      </c>
      <c r="V39" t="s">
        <v>33</v>
      </c>
      <c r="W39" s="43">
        <v>0</v>
      </c>
    </row>
    <row r="40" spans="1:23" ht="20" customHeight="1" x14ac:dyDescent="0.55000000000000004">
      <c r="A40" s="36" t="s">
        <v>124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>
        <f ca="1"/>
      </c>
      <c r="Q40" s="36">
        <f ca="1"/>
      </c>
      <c r="R40" s="36">
        <f ca="1"/>
      </c>
      <c r="S40" s="36">
        <f ca="1"/>
      </c>
      <c r="T40" s="36">
        <f ca="1"/>
      </c>
      <c r="V40" t="s">
        <v>34</v>
      </c>
      <c r="W40" s="43">
        <v>0</v>
      </c>
    </row>
    <row r="41" spans="1:23" ht="20" customHeight="1" x14ac:dyDescent="0.55000000000000004">
      <c r="A41" s="36" t="s">
        <v>125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>
        <f ca="1"/>
      </c>
      <c r="Q41" s="36">
        <f ca="1"/>
      </c>
      <c r="R41" s="36">
        <f ca="1"/>
      </c>
      <c r="S41" s="36">
        <f ca="1"/>
      </c>
      <c r="T41" s="36">
        <f ca="1"/>
      </c>
      <c r="V41" t="s">
        <v>35</v>
      </c>
      <c r="W41" s="43">
        <v>0</v>
      </c>
    </row>
    <row r="42" spans="1:23" ht="20" customHeight="1" x14ac:dyDescent="0.55000000000000004">
      <c r="A42" s="36" t="s">
        <v>126</v>
      </c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>
        <f ca="1"/>
      </c>
      <c r="Q42" s="36">
        <f ca="1"/>
      </c>
      <c r="R42" s="36">
        <f ca="1"/>
      </c>
      <c r="S42" s="36">
        <f ca="1"/>
      </c>
      <c r="T42" s="36">
        <f ca="1"/>
      </c>
      <c r="V42" t="s">
        <v>36</v>
      </c>
      <c r="W42" s="43">
        <v>0</v>
      </c>
    </row>
    <row r="43" spans="1:23" ht="20" customHeight="1" x14ac:dyDescent="0.55000000000000004">
      <c r="A43" s="36" t="s">
        <v>127</v>
      </c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>
        <f ca="1"/>
      </c>
      <c r="Q43" s="36">
        <f ca="1"/>
      </c>
      <c r="R43" s="36">
        <f ca="1"/>
      </c>
      <c r="S43" s="36">
        <f ca="1"/>
      </c>
      <c r="T43" s="36">
        <f ca="1"/>
      </c>
      <c r="V43" t="s">
        <v>37</v>
      </c>
      <c r="W43" s="43">
        <v>0</v>
      </c>
    </row>
    <row r="44" spans="1:23" ht="20" customHeight="1" x14ac:dyDescent="0.55000000000000004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>
        <f ca="1"/>
      </c>
      <c r="Q44" s="36">
        <f ca="1"/>
      </c>
      <c r="R44" s="36">
        <f ca="1"/>
      </c>
      <c r="S44" s="36">
        <f ca="1"/>
      </c>
      <c r="T44" s="36">
        <f ca="1"/>
      </c>
      <c r="V44" t="s">
        <v>38</v>
      </c>
      <c r="W44" s="43">
        <v>0</v>
      </c>
    </row>
    <row r="45" spans="1:23" ht="20" customHeight="1" x14ac:dyDescent="0.55000000000000004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>
        <f ca="1"/>
      </c>
      <c r="Q45" s="36">
        <f ca="1"/>
      </c>
      <c r="R45" s="36">
        <f ca="1"/>
      </c>
      <c r="S45" s="36">
        <f ca="1"/>
      </c>
      <c r="T45" s="36">
        <f ca="1"/>
      </c>
      <c r="V45" t="s">
        <v>39</v>
      </c>
      <c r="W45" s="43">
        <v>0</v>
      </c>
    </row>
    <row r="46" spans="1:23" x14ac:dyDescent="0.55000000000000004">
      <c r="P46">
        <f ca="1"/>
      </c>
      <c r="Q46">
        <f ca="1"/>
      </c>
      <c r="R46">
        <f ca="1"/>
      </c>
      <c r="S46">
        <f ca="1"/>
      </c>
      <c r="T46">
        <f ca="1"/>
      </c>
      <c r="V46" t="s">
        <v>40</v>
      </c>
      <c r="W46" s="43">
        <v>0</v>
      </c>
    </row>
    <row r="47" spans="1:23" x14ac:dyDescent="0.55000000000000004">
      <c r="V47" t="s">
        <v>110</v>
      </c>
      <c r="W47" s="43">
        <v>0</v>
      </c>
    </row>
  </sheetData>
  <phoneticPr fontId="9"/>
  <conditionalFormatting sqref="G8:G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{33D7CCF2-9D92-4820-8BC6-DF6F6AE8C0C1}</x14:id>
        </ext>
      </extLst>
    </cfRule>
  </conditionalFormatting>
  <conditionalFormatting sqref="D22:D3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{D02CFC7F-EC5C-41E8-A85E-520B14D6F151}</x14:id>
        </ext>
      </extLst>
    </cfRule>
  </conditionalFormatting>
  <dataValidations count="1">
    <dataValidation type="list" allowBlank="1" showInputMessage="1" showErrorMessage="1" sqref="B1" xr:uid="{63CDC566-08F5-4229-9377-48A46B17A15B}">
      <formula1>"Live,Fixed"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D7CCF2-9D92-4820-8BC6-DF6F6AE8C0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D02CFC7F-EC5C-41E8-A85E-520B14D6F1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D22:D34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E5F55-1C47-4FBD-A466-5C07F736E95B}">
  <sheetPr codeName="Sheet5"/>
  <dimension ref="A1:GU800"/>
  <sheetViews>
    <sheetView zoomScale="56" workbookViewId="0">
      <selection activeCell="K8" sqref="K8"/>
    </sheetView>
  </sheetViews>
  <sheetFormatPr defaultRowHeight="18.5" outlineLevelCol="1" x14ac:dyDescent="0.55000000000000004"/>
  <cols>
    <col min="1" max="1" width="18.58203125" customWidth="1"/>
    <col min="2" max="10" width="11.58203125" customWidth="1"/>
    <col min="11" max="11" width="13.58203125" customWidth="1"/>
    <col min="12" max="15" width="11.58203125" customWidth="1"/>
    <col min="27" max="199" width="8.6640625" hidden="1" customWidth="1" outlineLevel="1"/>
    <col min="200" max="202" width="0" hidden="1" customWidth="1" outlineLevel="1"/>
    <col min="203" max="203" width="8.6640625" collapsed="1"/>
  </cols>
  <sheetData>
    <row r="1" spans="1:202" x14ac:dyDescent="0.55000000000000004">
      <c r="A1" s="4" t="s">
        <v>58</v>
      </c>
      <c r="B1" s="2" t="s">
        <v>53</v>
      </c>
      <c r="C1" t="s">
        <v>59</v>
      </c>
      <c r="D1" cm="1">
        <f t="array" aca="1" ref="D1" ca="1">LiveInfo("swap",_xlfn.ANCHORARRAY($AA$3))</f>
      </c>
      <c r="E1" t="s">
        <v>255</v>
      </c>
    </row>
    <row r="2" spans="1:202" ht="20" x14ac:dyDescent="0.55000000000000004">
      <c r="A2" s="20" t="s">
        <v>256</v>
      </c>
      <c r="AA2" s="4" t="s">
        <v>116</v>
      </c>
      <c r="AB2" s="4"/>
      <c r="AC2" s="4"/>
      <c r="AD2" s="4"/>
      <c r="AE2" s="4"/>
      <c r="AF2" s="4" t="s">
        <v>117</v>
      </c>
      <c r="AG2" s="4"/>
      <c r="AH2" s="4"/>
      <c r="AI2" s="4"/>
      <c r="AJ2" s="4"/>
      <c r="AK2" s="4"/>
      <c r="AL2" s="4" t="s">
        <v>118</v>
      </c>
      <c r="AM2" s="4"/>
      <c r="AN2" s="4"/>
      <c r="AO2" s="4" t="s">
        <v>268</v>
      </c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 t="s">
        <v>269</v>
      </c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 t="s">
        <v>270</v>
      </c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 t="s">
        <v>319</v>
      </c>
      <c r="GD2" s="4"/>
      <c r="GE2" s="4"/>
      <c r="GF2" s="4"/>
      <c r="GG2" s="4"/>
      <c r="GH2" s="4" t="s">
        <v>322</v>
      </c>
      <c r="GI2" s="4"/>
      <c r="GJ2" s="4"/>
      <c r="GK2" s="4"/>
      <c r="GL2" s="4"/>
      <c r="GM2" s="4" t="s">
        <v>323</v>
      </c>
      <c r="GN2" s="4"/>
      <c r="GO2" s="4"/>
      <c r="GP2" s="4"/>
      <c r="GQ2" s="4"/>
      <c r="GS2" s="4" t="s">
        <v>325</v>
      </c>
      <c r="GT2" s="4"/>
    </row>
    <row r="3" spans="1:202" x14ac:dyDescent="0.55000000000000004">
      <c r="A3" s="4" t="s">
        <v>257</v>
      </c>
      <c r="AA3" s="4" cm="1">
        <f t="array" aca="1" ref="AA3:AD46" ca="1">IF($B$1="Fixed",LiveSnapshot("swap"),LiveQuotes("swap"))</f>
      </c>
      <c r="AB3" s="4">
        <f ca="1"/>
      </c>
      <c r="AC3" s="4">
        <f ca="1"/>
      </c>
      <c r="AD3" s="4">
        <f ca="1"/>
      </c>
      <c r="AE3" s="4"/>
      <c r="AF3" s="4" cm="1">
        <f t="array" aca="1" ref="AF3:AJ46" ca="1">_xlfn.LET(_xlpm.q,_xlfn.ANCHORARRAY($AA$3),_xlpm.t,$AL$4:$AL$47,_xlfn.HSTACK($AM$4:$AM$47,_xlpm.t,INDEX(_xlpm.q,_xlfn.XMATCH(_xlpm.t,INDEX(_xlpm.q,,1)),{2,3,4})))</f>
      </c>
      <c r="AG3" s="4">
        <f ca="1"/>
      </c>
      <c r="AH3" s="4">
        <f ca="1"/>
      </c>
      <c r="AI3" s="4">
        <f ca="1"/>
      </c>
      <c r="AJ3" s="4">
        <f ca="1"/>
      </c>
      <c r="AK3" s="4"/>
      <c r="AL3" s="4" t="s">
        <v>119</v>
      </c>
      <c r="AM3" s="4" t="s">
        <v>120</v>
      </c>
      <c r="AN3" s="4"/>
      <c r="AO3" s="4" cm="1">
        <f t="array" aca="1" ref="AO3:CI486" ca="1">FwdHistory($A$12:$A$35,"CMT",FWM_Base)</f>
      </c>
      <c r="AP3" s="4">
        <f ca="1"/>
      </c>
      <c r="AQ3" s="4">
        <f ca="1"/>
      </c>
      <c r="AR3" s="4">
        <f ca="1"/>
      </c>
      <c r="AS3" s="4">
        <f ca="1"/>
      </c>
      <c r="AT3" s="4">
        <f ca="1"/>
      </c>
      <c r="AU3" s="4">
        <f ca="1"/>
      </c>
      <c r="AV3" s="4">
        <f ca="1"/>
      </c>
      <c r="AW3" s="4">
        <f ca="1"/>
      </c>
      <c r="AX3" s="4">
        <f ca="1"/>
      </c>
      <c r="AY3" s="4">
        <f ca="1"/>
      </c>
      <c r="AZ3" s="4">
        <f ca="1"/>
      </c>
      <c r="BA3" s="4">
        <f ca="1"/>
      </c>
      <c r="BB3" s="4">
        <f ca="1"/>
      </c>
      <c r="BC3" s="4">
        <f ca="1"/>
      </c>
      <c r="BD3" s="4">
        <f ca="1"/>
      </c>
      <c r="BE3" s="4">
        <f ca="1"/>
      </c>
      <c r="BF3" s="4">
        <f ca="1"/>
      </c>
      <c r="BG3" s="4">
        <f ca="1"/>
      </c>
      <c r="BH3" s="4">
        <f ca="1"/>
      </c>
      <c r="BI3" s="4">
        <f ca="1"/>
      </c>
      <c r="BJ3" s="4">
        <f ca="1"/>
      </c>
      <c r="BK3" s="4">
        <f ca="1"/>
      </c>
      <c r="BL3" s="4">
        <f ca="1"/>
      </c>
      <c r="BM3" s="4">
        <f ca="1"/>
      </c>
      <c r="BN3" s="4">
        <f ca="1"/>
      </c>
      <c r="BO3" s="4">
        <f ca="1"/>
      </c>
      <c r="BP3" s="4">
        <f ca="1"/>
      </c>
      <c r="BQ3" s="4">
        <f ca="1"/>
      </c>
      <c r="BR3" s="4">
        <f ca="1"/>
      </c>
      <c r="BS3" s="4">
        <f ca="1"/>
      </c>
      <c r="BT3" s="4">
        <f ca="1"/>
      </c>
      <c r="BU3" s="4">
        <f ca="1"/>
      </c>
      <c r="BV3" s="4">
        <f ca="1"/>
      </c>
      <c r="BW3" s="4">
        <f ca="1"/>
      </c>
      <c r="BX3" s="4">
        <f ca="1"/>
      </c>
      <c r="BY3" s="4">
        <f ca="1"/>
      </c>
      <c r="BZ3" s="4">
        <f ca="1"/>
      </c>
      <c r="CA3" s="4">
        <f ca="1"/>
      </c>
      <c r="CB3" s="4">
        <f ca="1"/>
      </c>
      <c r="CC3" s="4">
        <f ca="1"/>
      </c>
      <c r="CD3" s="4">
        <f ca="1"/>
      </c>
      <c r="CE3" s="4">
        <f ca="1"/>
      </c>
      <c r="CF3" s="4">
        <f ca="1"/>
      </c>
      <c r="CG3" s="4">
        <f ca="1"/>
      </c>
      <c r="CH3" s="4">
        <f ca="1"/>
      </c>
      <c r="CI3" s="4">
        <f ca="1"/>
      </c>
      <c r="CJ3" s="4"/>
      <c r="CK3" s="4" cm="1">
        <f t="array" aca="1" ref="CK3:EE486" ca="1">FwdHistory($A$12:$A$35,"FIXED",FWM_Base)</f>
      </c>
      <c r="CL3" s="4">
        <f ca="1"/>
      </c>
      <c r="CM3" s="4">
        <f ca="1"/>
      </c>
      <c r="CN3" s="4">
        <f ca="1"/>
      </c>
      <c r="CO3" s="4">
        <f ca="1"/>
      </c>
      <c r="CP3" s="4">
        <f ca="1"/>
      </c>
      <c r="CQ3" s="4">
        <f ca="1"/>
      </c>
      <c r="CR3" s="4">
        <f ca="1"/>
      </c>
      <c r="CS3" s="4">
        <f ca="1"/>
      </c>
      <c r="CT3" s="4">
        <f ca="1"/>
      </c>
      <c r="CU3" s="4">
        <f ca="1"/>
      </c>
      <c r="CV3" s="4">
        <f ca="1"/>
      </c>
      <c r="CW3" s="4">
        <f ca="1"/>
      </c>
      <c r="CX3" s="4">
        <f ca="1"/>
      </c>
      <c r="CY3" s="4">
        <f ca="1"/>
      </c>
      <c r="CZ3" s="4">
        <f ca="1"/>
      </c>
      <c r="DA3" s="4">
        <f ca="1"/>
      </c>
      <c r="DB3" s="4">
        <f ca="1"/>
      </c>
      <c r="DC3" s="4">
        <f ca="1"/>
      </c>
      <c r="DD3" s="4">
        <f ca="1"/>
      </c>
      <c r="DE3" s="4">
        <f ca="1"/>
      </c>
      <c r="DF3" s="4">
        <f ca="1"/>
      </c>
      <c r="DG3" s="4">
        <f ca="1"/>
      </c>
      <c r="DH3" s="4">
        <f ca="1"/>
      </c>
      <c r="DI3" s="4">
        <f ca="1"/>
      </c>
      <c r="DJ3" s="4">
        <f ca="1"/>
      </c>
      <c r="DK3" s="4">
        <f ca="1"/>
      </c>
      <c r="DL3" s="4">
        <f ca="1"/>
      </c>
      <c r="DM3" s="4">
        <f ca="1"/>
      </c>
      <c r="DN3" s="4">
        <f ca="1"/>
      </c>
      <c r="DO3" s="4">
        <f ca="1"/>
      </c>
      <c r="DP3" s="4">
        <f ca="1"/>
      </c>
      <c r="DQ3" s="4">
        <f ca="1"/>
      </c>
      <c r="DR3" s="4">
        <f ca="1"/>
      </c>
      <c r="DS3" s="4">
        <f ca="1"/>
      </c>
      <c r="DT3" s="4">
        <f ca="1"/>
      </c>
      <c r="DU3" s="4">
        <f ca="1"/>
      </c>
      <c r="DV3" s="4">
        <f ca="1"/>
      </c>
      <c r="DW3" s="4">
        <f ca="1"/>
      </c>
      <c r="DX3" s="4">
        <f ca="1"/>
      </c>
      <c r="DY3" s="4">
        <f ca="1"/>
      </c>
      <c r="DZ3" s="4">
        <f ca="1"/>
      </c>
      <c r="EA3" s="4">
        <f ca="1"/>
      </c>
      <c r="EB3" s="4">
        <f ca="1"/>
      </c>
      <c r="EC3" s="4">
        <f ca="1"/>
      </c>
      <c r="ED3" s="4">
        <f ca="1"/>
      </c>
      <c r="EE3" s="4">
        <f ca="1"/>
      </c>
      <c r="EF3" s="4"/>
      <c r="EG3" s="4" cm="1">
        <f t="array" aca="1" ref="EG3:GA486" ca="1">FwdHistory($A$12:$A$35,"ROLLING",FWM_Base)</f>
      </c>
      <c r="EH3" s="4">
        <f ca="1"/>
      </c>
      <c r="EI3" s="4">
        <f ca="1"/>
      </c>
      <c r="EJ3" s="4">
        <f ca="1"/>
      </c>
      <c r="EK3" s="4">
        <f ca="1"/>
      </c>
      <c r="EL3" s="4">
        <f ca="1"/>
      </c>
      <c r="EM3" s="4">
        <f ca="1"/>
      </c>
      <c r="EN3" s="4">
        <f ca="1"/>
      </c>
      <c r="EO3" s="4">
        <f ca="1"/>
      </c>
      <c r="EP3" s="4">
        <f ca="1"/>
      </c>
      <c r="EQ3" s="4">
        <f ca="1"/>
      </c>
      <c r="ER3" s="4">
        <f ca="1"/>
      </c>
      <c r="ES3" s="4">
        <f ca="1"/>
      </c>
      <c r="ET3" s="4">
        <f ca="1"/>
      </c>
      <c r="EU3" s="4">
        <f ca="1"/>
      </c>
      <c r="EV3" s="4">
        <f ca="1"/>
      </c>
      <c r="EW3" s="4">
        <f ca="1"/>
      </c>
      <c r="EX3" s="4">
        <f ca="1"/>
      </c>
      <c r="EY3" s="4">
        <f ca="1"/>
      </c>
      <c r="EZ3" s="4">
        <f ca="1"/>
      </c>
      <c r="FA3" s="4">
        <f ca="1"/>
      </c>
      <c r="FB3" s="4">
        <f ca="1"/>
      </c>
      <c r="FC3" s="4">
        <f ca="1"/>
      </c>
      <c r="FD3" s="4">
        <f ca="1"/>
      </c>
      <c r="FE3" s="4">
        <f ca="1"/>
      </c>
      <c r="FF3" s="4">
        <f ca="1"/>
      </c>
      <c r="FG3" s="4">
        <f ca="1"/>
      </c>
      <c r="FH3" s="4">
        <f ca="1"/>
      </c>
      <c r="FI3" s="4">
        <f ca="1"/>
      </c>
      <c r="FJ3" s="4">
        <f ca="1"/>
      </c>
      <c r="FK3" s="4">
        <f ca="1"/>
      </c>
      <c r="FL3" s="4">
        <f ca="1"/>
      </c>
      <c r="FM3" s="4">
        <f ca="1"/>
      </c>
      <c r="FN3" s="4">
        <f ca="1"/>
      </c>
      <c r="FO3" s="4">
        <f ca="1"/>
      </c>
      <c r="FP3" s="4">
        <f ca="1"/>
      </c>
      <c r="FQ3" s="4">
        <f ca="1"/>
      </c>
      <c r="FR3" s="4">
        <f ca="1"/>
      </c>
      <c r="FS3" s="4">
        <f ca="1"/>
      </c>
      <c r="FT3" s="4">
        <f ca="1"/>
      </c>
      <c r="FU3" s="4">
        <f ca="1"/>
      </c>
      <c r="FV3" s="4">
        <f ca="1"/>
      </c>
      <c r="FW3" s="4">
        <f ca="1"/>
      </c>
      <c r="FX3" s="4">
        <f ca="1"/>
      </c>
      <c r="FY3" s="4">
        <f ca="1"/>
      </c>
      <c r="FZ3" s="4">
        <f ca="1"/>
      </c>
      <c r="GA3" s="4">
        <f ca="1"/>
      </c>
      <c r="GB3" s="4"/>
      <c r="GC3" s="4" t="s">
        <v>320</v>
      </c>
      <c r="GD3" s="4" t="s">
        <v>53</v>
      </c>
      <c r="GE3" s="4">
        <f>"Compare "&amp;TEXT(FWM_Cmp,"yyyy-mm-dd")</f>
      </c>
      <c r="GF3" s="4" t="s">
        <v>321</v>
      </c>
      <c r="GG3" s="4"/>
      <c r="GH3" s="4" t="s">
        <v>320</v>
      </c>
      <c r="GI3" s="4" t="s">
        <v>53</v>
      </c>
      <c r="GJ3" s="4">
        <f>GE3</f>
      </c>
      <c r="GK3" s="4" t="s">
        <v>321</v>
      </c>
      <c r="GL3" s="4"/>
      <c r="GM3" s="4" t="s">
        <v>75</v>
      </c>
      <c r="GN3" s="4" cm="1">
        <f t="array" aca="1" ref="GN3" ca="1">_xlfn.LET(_xlpm.r,IFERROR(SMALL(IF((FWM_TShow="Yes")*(FWM_TL1&lt;&gt;""),_xlfn.SEQUENCE(10)),1),0),IF(_xlpm.r=0,"",INDEX(FWM_TName,_xlpm.r)&amp;" ("&amp;INDEX(FWM_TMode,_xlpm.r)&amp;")"))</f>
      </c>
      <c r="GO3" s="4" cm="1">
        <f t="array" aca="1" ref="GO3" ca="1">_xlfn.LET(_xlpm.r,IFERROR(SMALL(IF((FWM_TShow="Yes")*(FWM_TL1&lt;&gt;""),_xlfn.SEQUENCE(10)),2),0),IF(_xlpm.r=0,"",INDEX(FWM_TName,_xlpm.r)&amp;" ("&amp;INDEX(FWM_TMode,_xlpm.r)&amp;")"))</f>
      </c>
      <c r="GP3" s="4" cm="1">
        <f t="array" aca="1" ref="GP3" ca="1">_xlfn.LET(_xlpm.r,IFERROR(SMALL(IF((FWM_TShow="Yes")*(FWM_TL1&lt;&gt;""),_xlfn.SEQUENCE(10)),3),0),IF(_xlpm.r=0,"",INDEX(FWM_TName,_xlpm.r)&amp;" ("&amp;INDEX(FWM_TMode,_xlpm.r)&amp;")"))</f>
      </c>
      <c r="GQ3" s="4" cm="1">
        <f t="array" aca="1" ref="GQ3" ca="1">_xlfn.LET(_xlpm.r,IFERROR(SMALL(IF((FWM_TShow="Yes")*(FWM_TL1&lt;&gt;""),_xlfn.SEQUENCE(10)),4),0),IF(_xlpm.r=0,"",INDEX(FWM_TName,_xlpm.r)&amp;" ("&amp;INDEX(FWM_TMode,_xlpm.r)&amp;")"))</f>
      </c>
      <c r="GS3" s="4" t="s">
        <v>272</v>
      </c>
      <c r="GT3" s="4" t="s">
        <v>273</v>
      </c>
    </row>
    <row r="4" spans="1:202" x14ac:dyDescent="0.55000000000000004">
      <c r="A4" s="4" t="s">
        <v>258</v>
      </c>
      <c r="B4" s="3"/>
      <c r="C4" t="s">
        <v>259</v>
      </c>
      <c r="AA4">
        <f ca="1"/>
      </c>
      <c r="AB4">
        <f ca="1"/>
      </c>
      <c r="AC4">
        <f ca="1"/>
      </c>
      <c r="AD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L4" t="s">
        <v>0</v>
      </c>
      <c r="AO4">
        <f ca="1"/>
      </c>
      <c r="AP4">
        <f ca="1"/>
      </c>
      <c r="AQ4">
        <f ca="1"/>
      </c>
      <c r="AR4">
        <f ca="1"/>
      </c>
      <c r="AS4">
        <f ca="1"/>
      </c>
      <c r="AT4">
        <f ca="1"/>
      </c>
      <c r="AU4">
        <f ca="1"/>
      </c>
      <c r="AV4">
        <f ca="1"/>
      </c>
      <c r="AW4">
        <f ca="1"/>
      </c>
      <c r="AX4">
        <f ca="1"/>
      </c>
      <c r="AY4">
        <f ca="1"/>
      </c>
      <c r="AZ4">
        <f ca="1"/>
      </c>
      <c r="BA4">
        <f ca="1"/>
      </c>
      <c r="BB4">
        <f ca="1"/>
      </c>
      <c r="BC4">
        <f ca="1"/>
      </c>
      <c r="BD4">
        <f ca="1"/>
      </c>
      <c r="BE4">
        <f ca="1"/>
      </c>
      <c r="BF4">
        <f ca="1"/>
      </c>
      <c r="BG4">
        <f ca="1"/>
      </c>
      <c r="BH4">
        <f ca="1"/>
      </c>
      <c r="BI4">
        <f ca="1"/>
      </c>
      <c r="BJ4">
        <f ca="1"/>
      </c>
      <c r="BK4">
        <f ca="1"/>
      </c>
      <c r="BL4">
        <f ca="1"/>
      </c>
      <c r="BM4">
        <f ca="1"/>
      </c>
      <c r="BN4">
        <f ca="1"/>
      </c>
      <c r="BO4">
        <f ca="1"/>
      </c>
      <c r="BP4">
        <f ca="1"/>
      </c>
      <c r="BQ4">
        <f ca="1"/>
      </c>
      <c r="BR4">
        <f ca="1"/>
      </c>
      <c r="BS4">
        <f ca="1"/>
      </c>
      <c r="BT4">
        <f ca="1"/>
      </c>
      <c r="BU4">
        <f ca="1"/>
      </c>
      <c r="BV4">
        <f ca="1"/>
      </c>
      <c r="BW4">
        <f ca="1"/>
      </c>
      <c r="BX4">
        <f ca="1"/>
      </c>
      <c r="BY4">
        <f ca="1"/>
      </c>
      <c r="BZ4">
        <f ca="1"/>
      </c>
      <c r="CA4">
        <f ca="1"/>
      </c>
      <c r="CB4">
        <f ca="1"/>
      </c>
      <c r="CC4">
        <f ca="1"/>
      </c>
      <c r="CD4">
        <f ca="1"/>
      </c>
      <c r="CE4">
        <f ca="1"/>
      </c>
      <c r="CF4">
        <f ca="1"/>
      </c>
      <c r="CG4">
        <f ca="1"/>
      </c>
      <c r="CH4">
        <f ca="1"/>
      </c>
      <c r="CI4">
        <f ca="1"/>
      </c>
      <c r="CK4">
        <f ca="1"/>
      </c>
      <c r="CL4">
        <f ca="1"/>
      </c>
      <c r="CM4">
        <f ca="1"/>
      </c>
      <c r="CN4">
        <f ca="1"/>
      </c>
      <c r="CO4">
        <f ca="1"/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DQ4">
        <f ca="1"/>
      </c>
      <c r="DR4">
        <f ca="1"/>
      </c>
      <c r="DS4">
        <f ca="1"/>
      </c>
      <c r="DT4">
        <f ca="1"/>
      </c>
      <c r="DU4">
        <f ca="1"/>
      </c>
      <c r="DV4">
        <f ca="1"/>
      </c>
      <c r="DW4">
        <f ca="1"/>
      </c>
      <c r="DX4">
        <f ca="1"/>
      </c>
      <c r="DY4">
        <f ca="1"/>
      </c>
      <c r="DZ4">
        <f ca="1"/>
      </c>
      <c r="EA4">
        <f ca="1"/>
      </c>
      <c r="EB4">
        <f ca="1"/>
      </c>
      <c r="EC4">
        <f ca="1"/>
      </c>
      <c r="ED4">
        <f ca="1"/>
      </c>
      <c r="EE4">
        <f ca="1"/>
      </c>
      <c r="EG4">
        <f ca="1"/>
      </c>
      <c r="EH4">
        <f ca="1"/>
      </c>
      <c r="EI4">
        <f ca="1"/>
      </c>
      <c r="EJ4">
        <f ca="1"/>
      </c>
      <c r="EK4">
        <f ca="1"/>
      </c>
      <c r="EL4">
        <f ca="1"/>
      </c>
      <c r="EM4">
        <f ca="1"/>
      </c>
      <c r="EN4">
        <f ca="1"/>
      </c>
      <c r="EO4">
        <f ca="1"/>
      </c>
      <c r="EP4">
        <f ca="1"/>
      </c>
      <c r="EQ4">
        <f ca="1"/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FS4">
        <f ca="1"/>
      </c>
      <c r="FT4">
        <f ca="1"/>
      </c>
      <c r="FU4">
        <f ca="1"/>
      </c>
      <c r="FV4">
        <f ca="1"/>
      </c>
      <c r="FW4">
        <f ca="1"/>
      </c>
      <c r="FX4">
        <f ca="1"/>
      </c>
      <c r="FY4">
        <f ca="1"/>
      </c>
      <c r="FZ4">
        <f ca="1"/>
      </c>
      <c r="GA4">
        <f ca="1"/>
      </c>
      <c r="GC4">
        <f>VALUE(_xlfn.TEXTBEFORE($A$12,"y"))</f>
      </c>
      <c r="GD4">
        <f ca="1">$B$12</f>
      </c>
      <c r="GE4">
        <f ca="1">IFERROR($B$12-$G$12/100,NA())</f>
      </c>
      <c r="GF4">
        <f ca="1">$G$12</f>
      </c>
      <c r="GH4">
        <f>VALUE(_xlfn.TEXTBEFORE($A$29,"y"))</f>
      </c>
      <c r="GI4">
        <f ca="1">$B$29</f>
      </c>
      <c r="GJ4">
        <f ca="1">IFERROR($B$29-$G$29/100,NA())</f>
      </c>
      <c r="GK4">
        <f ca="1">$G$29</f>
      </c>
      <c r="GM4" s="7" cm="1">
        <f t="array" aca="1" ref="GM4:GM244" ca="1">_xlfn._xlws.FILTER(FWM_Dates,FWM_Dates&gt;=N(FWM_From))</f>
      </c>
      <c r="GN4" cm="1">
        <f t="array" aca="1" ref="GN4:GN244" ca="1">_xlfn.LET(_xlpm.r,IFERROR(SMALL(IF((FWM_TShow="Yes")*(FWM_TL1&lt;&gt;""),_xlfn.SEQUENCE(10)),1)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O4" cm="1">
        <f t="array" aca="1" ref="GO4:GO244" ca="1">_xlfn.LET(_xlpm.r,IFERROR(SMALL(IF((FWM_TShow="Yes")*(FWM_TL1&lt;&gt;""),_xlfn.SEQUENCE(10)),2)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P4" cm="1">
        <f t="array" aca="1" ref="GP4:GP244" ca="1">_xlfn.LET(_xlpm.r,IFERROR(SMALL(IF((FWM_TShow="Yes")*(FWM_TL1&lt;&gt;""),_xlfn.SEQUENCE(10)),3)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Q4" cm="1">
        <f t="array" aca="1" ref="GQ4:GQ244" ca="1">_xlfn.LET(_xlpm.r,IFERROR(SMALL(IF((FWM_TShow="Yes")*(FWM_TL1&lt;&gt;""),_xlfn.SEQUENCE(10)),4)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S4" cm="1">
        <f t="array" ref="GS4:GS26">_xlfn._xlws.FILTER($A$12:$A$35,$A$12:$A$35&lt;&gt;"")</f>
      </c>
      <c r="GT4" cm="1">
        <f t="array" aca="1" ref="GT4:GT26" ca="1">FwdLive(_xlfn.ANCHORARRAY($GS$4),_xlfn.TAKE(_xlfn.ANCHORARRAY($AF$3),,3))</f>
      </c>
    </row>
    <row r="5" spans="1:202" x14ac:dyDescent="0.55000000000000004">
      <c r="A5" s="4" t="s">
        <v>260</v>
      </c>
      <c r="B5" s="3">
        <v>46290</v>
      </c>
      <c r="C5" t="s">
        <v>261</v>
      </c>
      <c r="AA5">
        <f ca="1"/>
      </c>
      <c r="AB5">
        <f ca="1"/>
      </c>
      <c r="AC5">
        <f ca="1"/>
      </c>
      <c r="AD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L5" t="s">
        <v>1</v>
      </c>
      <c r="AM5">
        <v>1</v>
      </c>
      <c r="AO5">
        <f ca="1"/>
      </c>
      <c r="AP5">
        <f ca="1"/>
      </c>
      <c r="AQ5">
        <f ca="1"/>
      </c>
      <c r="AR5">
        <f ca="1"/>
      </c>
      <c r="AS5">
        <f ca="1"/>
      </c>
      <c r="AT5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AZ5">
        <f ca="1"/>
      </c>
      <c r="BA5">
        <f ca="1"/>
      </c>
      <c r="BB5">
        <f ca="1"/>
      </c>
      <c r="BC5">
        <f ca="1"/>
      </c>
      <c r="BD5">
        <f ca="1"/>
      </c>
      <c r="BE5">
        <f ca="1"/>
      </c>
      <c r="BF5">
        <f ca="1"/>
      </c>
      <c r="BG5">
        <f ca="1"/>
      </c>
      <c r="BH5">
        <f ca="1"/>
      </c>
      <c r="BI5">
        <f ca="1"/>
      </c>
      <c r="BJ5">
        <f ca="1"/>
      </c>
      <c r="BK5">
        <f ca="1"/>
      </c>
      <c r="BL5">
        <f ca="1"/>
      </c>
      <c r="BM5">
        <f ca="1"/>
      </c>
      <c r="BN5">
        <f ca="1"/>
      </c>
      <c r="BO5">
        <f ca="1"/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  <c r="BV5">
        <f ca="1"/>
      </c>
      <c r="BW5">
        <f ca="1"/>
      </c>
      <c r="BX5">
        <f ca="1"/>
      </c>
      <c r="BY5">
        <f ca="1"/>
      </c>
      <c r="BZ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  <c r="CG5">
        <f ca="1"/>
      </c>
      <c r="CH5">
        <f ca="1"/>
      </c>
      <c r="CI5">
        <f ca="1"/>
      </c>
      <c r="CK5">
        <f ca="1"/>
      </c>
      <c r="CL5">
        <f ca="1"/>
      </c>
      <c r="CM5">
        <f ca="1"/>
      </c>
      <c r="CN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DQ5">
        <f ca="1"/>
      </c>
      <c r="DR5">
        <f ca="1"/>
      </c>
      <c r="DS5">
        <f ca="1"/>
      </c>
      <c r="DT5">
        <f ca="1"/>
      </c>
      <c r="DU5">
        <f ca="1"/>
      </c>
      <c r="DV5">
        <f ca="1"/>
      </c>
      <c r="DW5">
        <f ca="1"/>
      </c>
      <c r="DX5">
        <f ca="1"/>
      </c>
      <c r="DY5">
        <f ca="1"/>
      </c>
      <c r="DZ5">
        <f ca="1"/>
      </c>
      <c r="EA5">
        <f ca="1"/>
      </c>
      <c r="EB5">
        <f ca="1"/>
      </c>
      <c r="EC5">
        <f ca="1"/>
      </c>
      <c r="ED5">
        <f ca="1"/>
      </c>
      <c r="EE5">
        <f ca="1"/>
      </c>
      <c r="EG5">
        <f ca="1"/>
      </c>
      <c r="EH5">
        <f ca="1"/>
      </c>
      <c r="EI5">
        <f ca="1"/>
      </c>
      <c r="EJ5">
        <f ca="1"/>
      </c>
      <c r="EK5">
        <f ca="1"/>
      </c>
      <c r="EL5">
        <f ca="1"/>
      </c>
      <c r="EM5">
        <f ca="1"/>
      </c>
      <c r="EN5">
        <f ca="1"/>
      </c>
      <c r="EO5">
        <f ca="1"/>
      </c>
      <c r="E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FS5">
        <f ca="1"/>
      </c>
      <c r="FT5">
        <f ca="1"/>
      </c>
      <c r="FU5">
        <f ca="1"/>
      </c>
      <c r="FV5">
        <f ca="1"/>
      </c>
      <c r="FW5">
        <f ca="1"/>
      </c>
      <c r="FX5">
        <f ca="1"/>
      </c>
      <c r="FY5">
        <f ca="1"/>
      </c>
      <c r="FZ5">
        <f ca="1"/>
      </c>
      <c r="GA5">
        <f ca="1"/>
      </c>
      <c r="GC5">
        <f>VALUE(_xlfn.TEXTBEFORE($A$13,"y"))</f>
      </c>
      <c r="GD5">
        <f ca="1">$B$13</f>
      </c>
      <c r="GE5">
        <f ca="1">IFERROR($B$13-$G$13/100,NA())</f>
      </c>
      <c r="GF5">
        <f ca="1">$G$13</f>
      </c>
      <c r="GH5">
        <f>VALUE(_xlfn.TEXTBEFORE($A$30,"y"))</f>
      </c>
      <c r="GI5">
        <f ca="1">$B$30</f>
      </c>
      <c r="GJ5">
        <f ca="1">IFERROR($B$30-$G$30/100,NA())</f>
      </c>
      <c r="GK5">
        <f ca="1">$G$30</f>
      </c>
      <c r="GM5" s="7">
        <f ca="1"/>
      </c>
      <c r="GN5">
        <f ca="1"/>
      </c>
      <c r="GO5">
        <f ca="1"/>
      </c>
      <c r="GP5">
        <f ca="1"/>
      </c>
      <c r="GQ5">
        <f ca="1"/>
      </c>
      <c r="GT5">
        <f ca="1"/>
      </c>
    </row>
    <row r="6" spans="1:202" x14ac:dyDescent="0.55000000000000004">
      <c r="A6" s="4" t="s">
        <v>262</v>
      </c>
      <c r="B6" s="2">
        <v>63</v>
      </c>
      <c r="C6" t="s">
        <v>263</v>
      </c>
      <c r="AA6">
        <f ca="1"/>
      </c>
      <c r="AB6">
        <f ca="1"/>
      </c>
      <c r="AC6">
        <f ca="1"/>
      </c>
      <c r="AD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L6" t="s">
        <v>2</v>
      </c>
      <c r="AM6">
        <v>1</v>
      </c>
      <c r="AO6">
        <f ca="1"/>
      </c>
      <c r="AP6">
        <f ca="1"/>
      </c>
      <c r="AQ6">
        <f ca="1"/>
      </c>
      <c r="AR6">
        <f ca="1"/>
      </c>
      <c r="AS6">
        <f ca="1"/>
      </c>
      <c r="AT6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AZ6">
        <f ca="1"/>
      </c>
      <c r="BA6">
        <f ca="1"/>
      </c>
      <c r="BB6">
        <f ca="1"/>
      </c>
      <c r="BC6">
        <f ca="1"/>
      </c>
      <c r="BD6">
        <f ca="1"/>
      </c>
      <c r="BE6">
        <f ca="1"/>
      </c>
      <c r="BF6">
        <f ca="1"/>
      </c>
      <c r="BG6">
        <f ca="1"/>
      </c>
      <c r="BH6">
        <f ca="1"/>
      </c>
      <c r="BI6">
        <f ca="1"/>
      </c>
      <c r="BJ6">
        <f ca="1"/>
      </c>
      <c r="BK6">
        <f ca="1"/>
      </c>
      <c r="BL6">
        <f ca="1"/>
      </c>
      <c r="BM6">
        <f ca="1"/>
      </c>
      <c r="BN6">
        <f ca="1"/>
      </c>
      <c r="BO6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  <c r="BV6">
        <f ca="1"/>
      </c>
      <c r="BW6">
        <f ca="1"/>
      </c>
      <c r="BX6">
        <f ca="1"/>
      </c>
      <c r="BY6">
        <f ca="1"/>
      </c>
      <c r="BZ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  <c r="CG6">
        <f ca="1"/>
      </c>
      <c r="CH6">
        <f ca="1"/>
      </c>
      <c r="CI6">
        <f ca="1"/>
      </c>
      <c r="CK6">
        <f ca="1"/>
      </c>
      <c r="CL6">
        <f ca="1"/>
      </c>
      <c r="CM6">
        <f ca="1"/>
      </c>
      <c r="CN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DQ6">
        <f ca="1"/>
      </c>
      <c r="DR6">
        <f ca="1"/>
      </c>
      <c r="DS6">
        <f ca="1"/>
      </c>
      <c r="DT6">
        <f ca="1"/>
      </c>
      <c r="DU6">
        <f ca="1"/>
      </c>
      <c r="DV6">
        <f ca="1"/>
      </c>
      <c r="DW6">
        <f ca="1"/>
      </c>
      <c r="DX6">
        <f ca="1"/>
      </c>
      <c r="DY6">
        <f ca="1"/>
      </c>
      <c r="DZ6">
        <f ca="1"/>
      </c>
      <c r="EA6">
        <f ca="1"/>
      </c>
      <c r="EB6">
        <f ca="1"/>
      </c>
      <c r="EC6">
        <f ca="1"/>
      </c>
      <c r="ED6">
        <f ca="1"/>
      </c>
      <c r="EE6">
        <f ca="1"/>
      </c>
      <c r="EG6">
        <f ca="1"/>
      </c>
      <c r="EH6">
        <f ca="1"/>
      </c>
      <c r="EI6">
        <f ca="1"/>
      </c>
      <c r="EJ6">
        <f ca="1"/>
      </c>
      <c r="EK6">
        <f ca="1"/>
      </c>
      <c r="EL6">
        <f ca="1"/>
      </c>
      <c r="EM6">
        <f ca="1"/>
      </c>
      <c r="EN6">
        <f ca="1"/>
      </c>
      <c r="EO6">
        <f ca="1"/>
      </c>
      <c r="E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FS6">
        <f ca="1"/>
      </c>
      <c r="FT6">
        <f ca="1"/>
      </c>
      <c r="FU6">
        <f ca="1"/>
      </c>
      <c r="FV6">
        <f ca="1"/>
      </c>
      <c r="FW6">
        <f ca="1"/>
      </c>
      <c r="FX6">
        <f ca="1"/>
      </c>
      <c r="FY6">
        <f ca="1"/>
      </c>
      <c r="FZ6">
        <f ca="1"/>
      </c>
      <c r="GA6">
        <f ca="1"/>
      </c>
      <c r="GC6">
        <f>VALUE(_xlfn.TEXTBEFORE($A$14,"y"))</f>
      </c>
      <c r="GD6">
        <f ca="1">$B$14</f>
      </c>
      <c r="GE6">
        <f ca="1">IFERROR($B$14-$G$14/100,NA())</f>
      </c>
      <c r="GF6">
        <f ca="1">$G$14</f>
      </c>
      <c r="GH6">
        <f>VALUE(_xlfn.TEXTBEFORE($A$31,"y"))</f>
      </c>
      <c r="GI6">
        <f ca="1">$B$31</f>
      </c>
      <c r="GJ6">
        <f ca="1">IFERROR($B$31-$G$31/100,NA())</f>
      </c>
      <c r="GK6">
        <f ca="1">$G$31</f>
      </c>
      <c r="GM6" s="7">
        <f ca="1"/>
      </c>
      <c r="GN6">
        <f ca="1"/>
      </c>
      <c r="GO6">
        <f ca="1"/>
      </c>
      <c r="GP6">
        <f ca="1"/>
      </c>
      <c r="GQ6">
        <f ca="1"/>
      </c>
      <c r="GT6">
        <f ca="1"/>
      </c>
    </row>
    <row r="7" spans="1:202" x14ac:dyDescent="0.55000000000000004">
      <c r="A7" s="4" t="s">
        <v>264</v>
      </c>
      <c r="B7" s="3">
        <v>45955</v>
      </c>
      <c r="C7" t="s">
        <v>265</v>
      </c>
      <c r="AA7">
        <f ca="1"/>
      </c>
      <c r="AB7">
        <f ca="1"/>
      </c>
      <c r="AC7">
        <f ca="1"/>
      </c>
      <c r="AD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L7" t="s">
        <v>3</v>
      </c>
      <c r="AM7">
        <v>1</v>
      </c>
      <c r="AO7">
        <f ca="1"/>
      </c>
      <c r="AP7">
        <f ca="1"/>
      </c>
      <c r="AQ7">
        <f ca="1"/>
      </c>
      <c r="AR7">
        <f ca="1"/>
      </c>
      <c r="AS7">
        <f ca="1"/>
      </c>
      <c r="AT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AZ7">
        <f ca="1"/>
      </c>
      <c r="BA7">
        <f ca="1"/>
      </c>
      <c r="BB7">
        <f ca="1"/>
      </c>
      <c r="BC7">
        <f ca="1"/>
      </c>
      <c r="BD7">
        <f ca="1"/>
      </c>
      <c r="BE7">
        <f ca="1"/>
      </c>
      <c r="BF7">
        <f ca="1"/>
      </c>
      <c r="BG7">
        <f ca="1"/>
      </c>
      <c r="BH7">
        <f ca="1"/>
      </c>
      <c r="BI7">
        <f ca="1"/>
      </c>
      <c r="BJ7">
        <f ca="1"/>
      </c>
      <c r="BK7">
        <f ca="1"/>
      </c>
      <c r="BL7">
        <f ca="1"/>
      </c>
      <c r="BM7">
        <f ca="1"/>
      </c>
      <c r="BN7">
        <f ca="1"/>
      </c>
      <c r="BO7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  <c r="BV7">
        <f ca="1"/>
      </c>
      <c r="BW7">
        <f ca="1"/>
      </c>
      <c r="BX7">
        <f ca="1"/>
      </c>
      <c r="BY7">
        <f ca="1"/>
      </c>
      <c r="BZ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  <c r="CG7">
        <f ca="1"/>
      </c>
      <c r="CH7">
        <f ca="1"/>
      </c>
      <c r="CI7">
        <f ca="1"/>
      </c>
      <c r="CK7">
        <f ca="1"/>
      </c>
      <c r="CL7">
        <f ca="1"/>
      </c>
      <c r="CM7">
        <f ca="1"/>
      </c>
      <c r="CN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DQ7">
        <f ca="1"/>
      </c>
      <c r="DR7">
        <f ca="1"/>
      </c>
      <c r="DS7">
        <f ca="1"/>
      </c>
      <c r="DT7">
        <f ca="1"/>
      </c>
      <c r="DU7">
        <f ca="1"/>
      </c>
      <c r="DV7">
        <f ca="1"/>
      </c>
      <c r="DW7">
        <f ca="1"/>
      </c>
      <c r="DX7">
        <f ca="1"/>
      </c>
      <c r="DY7">
        <f ca="1"/>
      </c>
      <c r="DZ7">
        <f ca="1"/>
      </c>
      <c r="EA7">
        <f ca="1"/>
      </c>
      <c r="EB7">
        <f ca="1"/>
      </c>
      <c r="EC7">
        <f ca="1"/>
      </c>
      <c r="ED7">
        <f ca="1"/>
      </c>
      <c r="EE7">
        <f ca="1"/>
      </c>
      <c r="EG7">
        <f ca="1"/>
      </c>
      <c r="EH7">
        <f ca="1"/>
      </c>
      <c r="EI7">
        <f ca="1"/>
      </c>
      <c r="EJ7">
        <f ca="1"/>
      </c>
      <c r="EK7">
        <f ca="1"/>
      </c>
      <c r="EL7">
        <f ca="1"/>
      </c>
      <c r="EM7">
        <f ca="1"/>
      </c>
      <c r="EN7">
        <f ca="1"/>
      </c>
      <c r="EO7">
        <f ca="1"/>
      </c>
      <c r="E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FS7">
        <f ca="1"/>
      </c>
      <c r="FT7">
        <f ca="1"/>
      </c>
      <c r="FU7">
        <f ca="1"/>
      </c>
      <c r="FV7">
        <f ca="1"/>
      </c>
      <c r="FW7">
        <f ca="1"/>
      </c>
      <c r="FX7">
        <f ca="1"/>
      </c>
      <c r="FY7">
        <f ca="1"/>
      </c>
      <c r="FZ7">
        <f ca="1"/>
      </c>
      <c r="GA7">
        <f ca="1"/>
      </c>
      <c r="GC7">
        <f>VALUE(_xlfn.TEXTBEFORE($A$15,"y"))</f>
      </c>
      <c r="GD7">
        <f ca="1">$B$15</f>
      </c>
      <c r="GE7">
        <f ca="1">IFERROR($B$15-$G$15/100,NA())</f>
      </c>
      <c r="GF7">
        <f ca="1">$G$15</f>
      </c>
      <c r="GH7">
        <f>VALUE(_xlfn.TEXTBEFORE($A$32,"y"))</f>
      </c>
      <c r="GI7">
        <f ca="1">$B$32</f>
      </c>
      <c r="GJ7">
        <f ca="1">IFERROR($B$32-$G$32/100,NA())</f>
      </c>
      <c r="GK7">
        <f ca="1">$G$32</f>
      </c>
      <c r="GM7" s="7">
        <f ca="1"/>
      </c>
      <c r="GN7">
        <f ca="1"/>
      </c>
      <c r="GO7">
        <f ca="1"/>
      </c>
      <c r="GP7">
        <f ca="1"/>
      </c>
      <c r="GQ7">
        <f ca="1"/>
      </c>
      <c r="GT7">
        <f ca="1"/>
      </c>
    </row>
    <row r="8" spans="1:202" x14ac:dyDescent="0.55000000000000004">
      <c r="A8" s="4" t="s">
        <v>266</v>
      </c>
      <c r="B8" s="2" t="s">
        <v>151</v>
      </c>
      <c r="C8" t="s">
        <v>267</v>
      </c>
      <c r="AA8">
        <f ca="1"/>
      </c>
      <c r="AB8">
        <f ca="1"/>
      </c>
      <c r="AC8">
        <f ca="1"/>
      </c>
      <c r="AD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L8" t="s">
        <v>4</v>
      </c>
      <c r="AM8">
        <v>1</v>
      </c>
      <c r="AO8">
        <f ca="1"/>
      </c>
      <c r="AP8">
        <f ca="1"/>
      </c>
      <c r="AQ8">
        <f ca="1"/>
      </c>
      <c r="AR8">
        <f ca="1"/>
      </c>
      <c r="AS8">
        <f ca="1"/>
      </c>
      <c r="AT8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AZ8">
        <f ca="1"/>
      </c>
      <c r="BA8">
        <f ca="1"/>
      </c>
      <c r="BB8">
        <f ca="1"/>
      </c>
      <c r="BC8">
        <f ca="1"/>
      </c>
      <c r="BD8">
        <f ca="1"/>
      </c>
      <c r="BE8">
        <f ca="1"/>
      </c>
      <c r="BF8">
        <f ca="1"/>
      </c>
      <c r="BG8">
        <f ca="1"/>
      </c>
      <c r="BH8">
        <f ca="1"/>
      </c>
      <c r="BI8">
        <f ca="1"/>
      </c>
      <c r="BJ8">
        <f ca="1"/>
      </c>
      <c r="BK8">
        <f ca="1"/>
      </c>
      <c r="BL8">
        <f ca="1"/>
      </c>
      <c r="BM8">
        <f ca="1"/>
      </c>
      <c r="BN8">
        <f ca="1"/>
      </c>
      <c r="BO8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  <c r="BV8">
        <f ca="1"/>
      </c>
      <c r="BW8">
        <f ca="1"/>
      </c>
      <c r="BX8">
        <f ca="1"/>
      </c>
      <c r="BY8">
        <f ca="1"/>
      </c>
      <c r="BZ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  <c r="CG8">
        <f ca="1"/>
      </c>
      <c r="CH8">
        <f ca="1"/>
      </c>
      <c r="CI8">
        <f ca="1"/>
      </c>
      <c r="CK8">
        <f ca="1"/>
      </c>
      <c r="CL8">
        <f ca="1"/>
      </c>
      <c r="CM8">
        <f ca="1"/>
      </c>
      <c r="CN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DQ8">
        <f ca="1"/>
      </c>
      <c r="DR8">
        <f ca="1"/>
      </c>
      <c r="DS8">
        <f ca="1"/>
      </c>
      <c r="DT8">
        <f ca="1"/>
      </c>
      <c r="DU8">
        <f ca="1"/>
      </c>
      <c r="DV8">
        <f ca="1"/>
      </c>
      <c r="DW8">
        <f ca="1"/>
      </c>
      <c r="DX8">
        <f ca="1"/>
      </c>
      <c r="DY8">
        <f ca="1"/>
      </c>
      <c r="DZ8">
        <f ca="1"/>
      </c>
      <c r="EA8">
        <f ca="1"/>
      </c>
      <c r="EB8">
        <f ca="1"/>
      </c>
      <c r="EC8">
        <f ca="1"/>
      </c>
      <c r="ED8">
        <f ca="1"/>
      </c>
      <c r="EE8">
        <f ca="1"/>
      </c>
      <c r="EG8">
        <f ca="1"/>
      </c>
      <c r="EH8">
        <f ca="1"/>
      </c>
      <c r="EI8">
        <f ca="1"/>
      </c>
      <c r="EJ8">
        <f ca="1"/>
      </c>
      <c r="EK8">
        <f ca="1"/>
      </c>
      <c r="EL8">
        <f ca="1"/>
      </c>
      <c r="EM8">
        <f ca="1"/>
      </c>
      <c r="EN8">
        <f ca="1"/>
      </c>
      <c r="EO8">
        <f ca="1"/>
      </c>
      <c r="E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FS8">
        <f ca="1"/>
      </c>
      <c r="FT8">
        <f ca="1"/>
      </c>
      <c r="FU8">
        <f ca="1"/>
      </c>
      <c r="FV8">
        <f ca="1"/>
      </c>
      <c r="FW8">
        <f ca="1"/>
      </c>
      <c r="FX8">
        <f ca="1"/>
      </c>
      <c r="FY8">
        <f ca="1"/>
      </c>
      <c r="FZ8">
        <f ca="1"/>
      </c>
      <c r="GA8">
        <f ca="1"/>
      </c>
      <c r="GC8">
        <f>VALUE(_xlfn.TEXTBEFORE($A$16,"y"))</f>
      </c>
      <c r="GD8">
        <f ca="1">$B$16</f>
      </c>
      <c r="GE8">
        <f ca="1">IFERROR($B$16-$G$16/100,NA())</f>
      </c>
      <c r="GF8">
        <f ca="1">$G$16</f>
      </c>
      <c r="GH8">
        <f>VALUE(_xlfn.TEXTBEFORE($A$33,"y"))</f>
      </c>
      <c r="GI8">
        <f ca="1">$B$33</f>
      </c>
      <c r="GJ8">
        <f ca="1">IFERROR($B$33-$G$33/100,NA())</f>
      </c>
      <c r="GK8">
        <f ca="1">$G$33</f>
      </c>
      <c r="GM8" s="7">
        <f ca="1"/>
      </c>
      <c r="GN8">
        <f ca="1"/>
      </c>
      <c r="GO8">
        <f ca="1"/>
      </c>
      <c r="GP8">
        <f ca="1"/>
      </c>
      <c r="GQ8">
        <f ca="1"/>
      </c>
      <c r="GT8">
        <f ca="1"/>
      </c>
    </row>
    <row r="9" spans="1:202" x14ac:dyDescent="0.55000000000000004">
      <c r="AA9">
        <f ca="1"/>
      </c>
      <c r="AB9">
        <f ca="1"/>
      </c>
      <c r="AC9">
        <f ca="1"/>
      </c>
      <c r="AD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L9" t="s">
        <v>5</v>
      </c>
      <c r="AM9">
        <v>1</v>
      </c>
      <c r="AO9">
        <f ca="1"/>
      </c>
      <c r="AP9">
        <f ca="1"/>
      </c>
      <c r="AQ9">
        <f ca="1"/>
      </c>
      <c r="AR9">
        <f ca="1"/>
      </c>
      <c r="AS9">
        <f ca="1"/>
      </c>
      <c r="AT9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AZ9">
        <f ca="1"/>
      </c>
      <c r="BA9">
        <f ca="1"/>
      </c>
      <c r="BB9">
        <f ca="1"/>
      </c>
      <c r="BC9">
        <f ca="1"/>
      </c>
      <c r="BD9">
        <f ca="1"/>
      </c>
      <c r="BE9">
        <f ca="1"/>
      </c>
      <c r="BF9">
        <f ca="1"/>
      </c>
      <c r="BG9">
        <f ca="1"/>
      </c>
      <c r="BH9">
        <f ca="1"/>
      </c>
      <c r="BI9">
        <f ca="1"/>
      </c>
      <c r="BJ9">
        <f ca="1"/>
      </c>
      <c r="BK9">
        <f ca="1"/>
      </c>
      <c r="BL9">
        <f ca="1"/>
      </c>
      <c r="BM9">
        <f ca="1"/>
      </c>
      <c r="BN9">
        <f ca="1"/>
      </c>
      <c r="BO9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  <c r="BV9">
        <f ca="1"/>
      </c>
      <c r="BW9">
        <f ca="1"/>
      </c>
      <c r="BX9">
        <f ca="1"/>
      </c>
      <c r="BY9">
        <f ca="1"/>
      </c>
      <c r="BZ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  <c r="CG9">
        <f ca="1"/>
      </c>
      <c r="CH9">
        <f ca="1"/>
      </c>
      <c r="CI9">
        <f ca="1"/>
      </c>
      <c r="CK9">
        <f ca="1"/>
      </c>
      <c r="CL9">
        <f ca="1"/>
      </c>
      <c r="CM9">
        <f ca="1"/>
      </c>
      <c r="CN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DQ9">
        <f ca="1"/>
      </c>
      <c r="DR9">
        <f ca="1"/>
      </c>
      <c r="DS9">
        <f ca="1"/>
      </c>
      <c r="DT9">
        <f ca="1"/>
      </c>
      <c r="DU9">
        <f ca="1"/>
      </c>
      <c r="DV9">
        <f ca="1"/>
      </c>
      <c r="DW9">
        <f ca="1"/>
      </c>
      <c r="DX9">
        <f ca="1"/>
      </c>
      <c r="DY9">
        <f ca="1"/>
      </c>
      <c r="DZ9">
        <f ca="1"/>
      </c>
      <c r="EA9">
        <f ca="1"/>
      </c>
      <c r="EB9">
        <f ca="1"/>
      </c>
      <c r="EC9">
        <f ca="1"/>
      </c>
      <c r="ED9">
        <f ca="1"/>
      </c>
      <c r="EE9">
        <f ca="1"/>
      </c>
      <c r="EG9">
        <f ca="1"/>
      </c>
      <c r="EH9">
        <f ca="1"/>
      </c>
      <c r="EI9">
        <f ca="1"/>
      </c>
      <c r="EJ9">
        <f ca="1"/>
      </c>
      <c r="EK9">
        <f ca="1"/>
      </c>
      <c r="EL9">
        <f ca="1"/>
      </c>
      <c r="EM9">
        <f ca="1"/>
      </c>
      <c r="EN9">
        <f ca="1"/>
      </c>
      <c r="EO9">
        <f ca="1"/>
      </c>
      <c r="E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FS9">
        <f ca="1"/>
      </c>
      <c r="FT9">
        <f ca="1"/>
      </c>
      <c r="FU9">
        <f ca="1"/>
      </c>
      <c r="FV9">
        <f ca="1"/>
      </c>
      <c r="FW9">
        <f ca="1"/>
      </c>
      <c r="FX9">
        <f ca="1"/>
      </c>
      <c r="FY9">
        <f ca="1"/>
      </c>
      <c r="FZ9">
        <f ca="1"/>
      </c>
      <c r="GA9">
        <f ca="1"/>
      </c>
      <c r="GC9">
        <f>VALUE(_xlfn.TEXTBEFORE($A$17,"y"))</f>
      </c>
      <c r="GD9">
        <f ca="1">$B$17</f>
      </c>
      <c r="GE9">
        <f ca="1">IFERROR($B$17-$G$17/100,NA())</f>
      </c>
      <c r="GF9">
        <f ca="1">$G$17</f>
      </c>
      <c r="GH9">
        <f>VALUE(_xlfn.TEXTBEFORE($A$34,"y"))</f>
      </c>
      <c r="GI9">
        <f ca="1">$B$34</f>
      </c>
      <c r="GJ9">
        <f ca="1">IFERROR($B$34-$G$34/100,NA())</f>
      </c>
      <c r="GK9">
        <f ca="1">$G$34</f>
      </c>
      <c r="GM9" s="7">
        <f ca="1"/>
      </c>
      <c r="GN9">
        <f ca="1"/>
      </c>
      <c r="GO9">
        <f ca="1"/>
      </c>
      <c r="GP9">
        <f ca="1"/>
      </c>
      <c r="GQ9">
        <f ca="1"/>
      </c>
      <c r="GT9">
        <f ca="1"/>
      </c>
    </row>
    <row r="10" spans="1:202" x14ac:dyDescent="0.55000000000000004">
      <c r="A10" s="4" t="s">
        <v>271</v>
      </c>
      <c r="AA10">
        <f ca="1"/>
      </c>
      <c r="AB10">
        <f ca="1"/>
      </c>
      <c r="AC10">
        <f ca="1"/>
      </c>
      <c r="AD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L10" t="s">
        <v>6</v>
      </c>
      <c r="AM10">
        <v>1</v>
      </c>
      <c r="AO10">
        <f ca="1"/>
      </c>
      <c r="AP10">
        <f ca="1"/>
      </c>
      <c r="AQ10">
        <f ca="1"/>
      </c>
      <c r="AR10">
        <f ca="1"/>
      </c>
      <c r="AS10">
        <f ca="1"/>
      </c>
      <c r="AT10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AZ10">
        <f ca="1"/>
      </c>
      <c r="BA10">
        <f ca="1"/>
      </c>
      <c r="BB10">
        <f ca="1"/>
      </c>
      <c r="BC10">
        <f ca="1"/>
      </c>
      <c r="BD10">
        <f ca="1"/>
      </c>
      <c r="BE10">
        <f ca="1"/>
      </c>
      <c r="BF10">
        <f ca="1"/>
      </c>
      <c r="BG10">
        <f ca="1"/>
      </c>
      <c r="BH10">
        <f ca="1"/>
      </c>
      <c r="BI10">
        <f ca="1"/>
      </c>
      <c r="BJ10">
        <f ca="1"/>
      </c>
      <c r="BK10">
        <f ca="1"/>
      </c>
      <c r="BL10">
        <f ca="1"/>
      </c>
      <c r="BM10">
        <f ca="1"/>
      </c>
      <c r="BN10">
        <f ca="1"/>
      </c>
      <c r="BO10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  <c r="BV10">
        <f ca="1"/>
      </c>
      <c r="BW10">
        <f ca="1"/>
      </c>
      <c r="BX10">
        <f ca="1"/>
      </c>
      <c r="BY10">
        <f ca="1"/>
      </c>
      <c r="BZ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  <c r="CG10">
        <f ca="1"/>
      </c>
      <c r="CH10">
        <f ca="1"/>
      </c>
      <c r="CI10">
        <f ca="1"/>
      </c>
      <c r="CK10">
        <f ca="1"/>
      </c>
      <c r="CL10">
        <f ca="1"/>
      </c>
      <c r="CM10">
        <f ca="1"/>
      </c>
      <c r="CN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DQ10">
        <f ca="1"/>
      </c>
      <c r="DR10">
        <f ca="1"/>
      </c>
      <c r="DS10">
        <f ca="1"/>
      </c>
      <c r="DT10">
        <f ca="1"/>
      </c>
      <c r="DU10">
        <f ca="1"/>
      </c>
      <c r="DV10">
        <f ca="1"/>
      </c>
      <c r="DW10">
        <f ca="1"/>
      </c>
      <c r="DX10">
        <f ca="1"/>
      </c>
      <c r="DY10">
        <f ca="1"/>
      </c>
      <c r="DZ10">
        <f ca="1"/>
      </c>
      <c r="EA10">
        <f ca="1"/>
      </c>
      <c r="EB10">
        <f ca="1"/>
      </c>
      <c r="EC10">
        <f ca="1"/>
      </c>
      <c r="ED10">
        <f ca="1"/>
      </c>
      <c r="EE10">
        <f ca="1"/>
      </c>
      <c r="EG10">
        <f ca="1"/>
      </c>
      <c r="EH10">
        <f ca="1"/>
      </c>
      <c r="EI10">
        <f ca="1"/>
      </c>
      <c r="EJ10">
        <f ca="1"/>
      </c>
      <c r="EK10">
        <f ca="1"/>
      </c>
      <c r="EL10">
        <f ca="1"/>
      </c>
      <c r="EM10">
        <f ca="1"/>
      </c>
      <c r="EN10">
        <f ca="1"/>
      </c>
      <c r="EO10">
        <f ca="1"/>
      </c>
      <c r="E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FS10">
        <f ca="1"/>
      </c>
      <c r="FT10">
        <f ca="1"/>
      </c>
      <c r="FU10">
        <f ca="1"/>
      </c>
      <c r="FV10">
        <f ca="1"/>
      </c>
      <c r="FW10">
        <f ca="1"/>
      </c>
      <c r="FX10">
        <f ca="1"/>
      </c>
      <c r="FY10">
        <f ca="1"/>
      </c>
      <c r="FZ10">
        <f ca="1"/>
      </c>
      <c r="GA10">
        <f ca="1"/>
      </c>
      <c r="GC10">
        <f>VALUE(_xlfn.TEXTBEFORE($A$18,"y"))</f>
      </c>
      <c r="GD10">
        <f ca="1">$B$18</f>
      </c>
      <c r="GE10">
        <f ca="1">IFERROR($B$18-$G$18/100,NA())</f>
      </c>
      <c r="GF10">
        <f ca="1">$G$18</f>
      </c>
      <c r="GH10">
        <f>VALUE(_xlfn.TEXTBEFORE($A$35,"y"))</f>
      </c>
      <c r="GI10">
        <f ca="1">$B$35</f>
      </c>
      <c r="GJ10">
        <f ca="1">IFERROR($B$35-$G$35/100,NA())</f>
      </c>
      <c r="GK10">
        <f ca="1">$G$35</f>
      </c>
      <c r="GM10" s="7">
        <f ca="1"/>
      </c>
      <c r="GN10">
        <f ca="1"/>
      </c>
      <c r="GO10">
        <f ca="1"/>
      </c>
      <c r="GP10">
        <f ca="1"/>
      </c>
      <c r="GQ10">
        <f ca="1"/>
      </c>
      <c r="GT10">
        <f ca="1"/>
      </c>
    </row>
    <row r="11" spans="1:202" x14ac:dyDescent="0.55000000000000004">
      <c r="A11" s="4" t="s">
        <v>272</v>
      </c>
      <c r="B11" s="4" t="s">
        <v>273</v>
      </c>
      <c r="C11" s="4" t="s">
        <v>274</v>
      </c>
      <c r="D11" s="4" t="s">
        <v>275</v>
      </c>
      <c r="E11" s="4" t="s">
        <v>276</v>
      </c>
      <c r="F11" s="4" t="s">
        <v>277</v>
      </c>
      <c r="G11" s="4" t="s">
        <v>278</v>
      </c>
      <c r="H11" s="4" t="s">
        <v>279</v>
      </c>
      <c r="I11" s="4" t="s">
        <v>280</v>
      </c>
      <c r="J11" s="4" t="s">
        <v>281</v>
      </c>
      <c r="K11" s="4" t="s">
        <v>324</v>
      </c>
      <c r="AA11">
        <f ca="1"/>
      </c>
      <c r="AB11">
        <f ca="1"/>
      </c>
      <c r="AC11">
        <f ca="1"/>
      </c>
      <c r="AD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L11" t="s">
        <v>7</v>
      </c>
      <c r="AM11">
        <v>1</v>
      </c>
      <c r="AO11">
        <f ca="1"/>
      </c>
      <c r="AP11">
        <f ca="1"/>
      </c>
      <c r="AQ11">
        <f ca="1"/>
      </c>
      <c r="AR11">
        <f ca="1"/>
      </c>
      <c r="AS11">
        <f ca="1"/>
      </c>
      <c r="AT11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AZ11">
        <f ca="1"/>
      </c>
      <c r="BA11">
        <f ca="1"/>
      </c>
      <c r="BB11">
        <f ca="1"/>
      </c>
      <c r="BC11">
        <f ca="1"/>
      </c>
      <c r="BD11">
        <f ca="1"/>
      </c>
      <c r="BE11">
        <f ca="1"/>
      </c>
      <c r="BF11">
        <f ca="1"/>
      </c>
      <c r="BG11">
        <f ca="1"/>
      </c>
      <c r="BH11">
        <f ca="1"/>
      </c>
      <c r="BI11">
        <f ca="1"/>
      </c>
      <c r="BJ11">
        <f ca="1"/>
      </c>
      <c r="BK11">
        <f ca="1"/>
      </c>
      <c r="BL11">
        <f ca="1"/>
      </c>
      <c r="BM11">
        <f ca="1"/>
      </c>
      <c r="BN11">
        <f ca="1"/>
      </c>
      <c r="BO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  <c r="BV11">
        <f ca="1"/>
      </c>
      <c r="BW11">
        <f ca="1"/>
      </c>
      <c r="BX11">
        <f ca="1"/>
      </c>
      <c r="BY11">
        <f ca="1"/>
      </c>
      <c r="BZ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  <c r="CG11">
        <f ca="1"/>
      </c>
      <c r="CH11">
        <f ca="1"/>
      </c>
      <c r="CI11">
        <f ca="1"/>
      </c>
      <c r="CK11">
        <f ca="1"/>
      </c>
      <c r="CL11">
        <f ca="1"/>
      </c>
      <c r="CM11">
        <f ca="1"/>
      </c>
      <c r="CN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DQ11">
        <f ca="1"/>
      </c>
      <c r="DR11">
        <f ca="1"/>
      </c>
      <c r="DS11">
        <f ca="1"/>
      </c>
      <c r="DT11">
        <f ca="1"/>
      </c>
      <c r="DU11">
        <f ca="1"/>
      </c>
      <c r="DV11">
        <f ca="1"/>
      </c>
      <c r="DW11">
        <f ca="1"/>
      </c>
      <c r="DX11">
        <f ca="1"/>
      </c>
      <c r="DY11">
        <f ca="1"/>
      </c>
      <c r="DZ11">
        <f ca="1"/>
      </c>
      <c r="EA11">
        <f ca="1"/>
      </c>
      <c r="EB11">
        <f ca="1"/>
      </c>
      <c r="EC11">
        <f ca="1"/>
      </c>
      <c r="ED11">
        <f ca="1"/>
      </c>
      <c r="EE11">
        <f ca="1"/>
      </c>
      <c r="EG11">
        <f ca="1"/>
      </c>
      <c r="EH11">
        <f ca="1"/>
      </c>
      <c r="EI11">
        <f ca="1"/>
      </c>
      <c r="EJ11">
        <f ca="1"/>
      </c>
      <c r="EK11">
        <f ca="1"/>
      </c>
      <c r="EL11">
        <f ca="1"/>
      </c>
      <c r="EM11">
        <f ca="1"/>
      </c>
      <c r="EN11">
        <f ca="1"/>
      </c>
      <c r="EO11">
        <f ca="1"/>
      </c>
      <c r="E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FS11">
        <f ca="1"/>
      </c>
      <c r="FT11">
        <f ca="1"/>
      </c>
      <c r="FU11">
        <f ca="1"/>
      </c>
      <c r="FV11">
        <f ca="1"/>
      </c>
      <c r="FW11">
        <f ca="1"/>
      </c>
      <c r="FX11">
        <f ca="1"/>
      </c>
      <c r="FY11">
        <f ca="1"/>
      </c>
      <c r="FZ11">
        <f ca="1"/>
      </c>
      <c r="GA11">
        <f ca="1"/>
      </c>
      <c r="GC11">
        <f>VALUE(_xlfn.TEXTBEFORE($A$19,"y"))</f>
      </c>
      <c r="GD11">
        <f ca="1">$B$19</f>
      </c>
      <c r="GE11">
        <f ca="1">IFERROR($B$19-$G$19/100,NA())</f>
      </c>
      <c r="GF11">
        <f ca="1">$G$19</f>
      </c>
      <c r="GM11" s="7">
        <f ca="1"/>
      </c>
      <c r="GN11">
        <f ca="1"/>
      </c>
      <c r="GO11">
        <f ca="1"/>
      </c>
      <c r="GP11">
        <f ca="1"/>
      </c>
      <c r="GQ11">
        <f ca="1"/>
      </c>
      <c r="GT11">
        <f ca="1"/>
      </c>
    </row>
    <row r="12" spans="1:202" x14ac:dyDescent="0.55000000000000004">
      <c r="A12" t="s">
        <v>282</v>
      </c>
      <c r="B12" s="13" cm="1">
        <f t="array" aca="1" ref="B12" ca="1">_xlfn.XLOOKUP($A12,_xlfn.ANCHORARRAY($GS$4),_xlfn.ANCHORARRAY($GT$4),"")</f>
      </c>
      <c r="C12" s="13" cm="1">
        <f t="array" aca="1" ref="C12" ca="1">_xlfn.LET(_xlpm.h,FWM_HC,_xlpm.c,_xlfn.XMATCH($A12,_xlfn.TAKE(_xlpm.h,1)),INDEX(_xlpm.h,ROWS(_xlpm.h),_xlpm.c))</f>
      </c>
      <c r="D12" s="44">
        <f t="shared" ref="D12:D35" ca="1" si="0">(B12-C12)*100</f>
      </c>
      <c r="E12" s="44" cm="1">
        <f t="array" aca="1" ref="E12" ca="1">_xlfn.LET(_xlpm.h,FWM_HC,_xlpm.c,_xlfn.XMATCH($A12,_xlfn.TAKE(_xlpm.h,1)),(B12-INDEX(_xlpm.h,ROWS(_xlpm.h)-4,_xlpm.c))*100)</f>
      </c>
      <c r="F12" s="44" cm="1">
        <f t="array" aca="1" ref="F12" ca="1">_xlfn.LET(_xlpm.h,FWM_HC,_xlpm.c,_xlfn.XMATCH($A12,_xlfn.TAKE(_xlpm.h,1)),(B12-INDEX(_xlpm.h,ROWS(_xlpm.h)-20,_xlpm.c))*100)</f>
      </c>
      <c r="G12" s="44" cm="1">
        <f t="array" aca="1" ref="G12" ca="1">_xlfn.LET(_xlpm.h,FWM_HC,_xlpm.c,_xlfn.XMATCH($A12,_xlfn.TAKE(_xlpm.h,1)),(B12-_xlfn.XLOOKUP(FWM_Cmp,_xlfn.DROP(INDEX(_xlpm.h,,1),1),_xlfn.DROP(INDEX(_xlpm.h,,_xlpm.c),1),"",-1))*100)</f>
      </c>
      <c r="H12" s="11" cm="1">
        <f t="array" aca="1" ref="H12" ca="1">_xlfn.LET(_xlpm.h,FWM_HC,FWM_Sigma(_xlfn.DROP(INDEX(_xlpm.h,,_xlfn.XMATCH($A12&amp;" dF",_xlfn.TAKE(_xlpm.h,1))),1)))</f>
      </c>
      <c r="I12" s="45">
        <f t="shared" ref="I12:I35" ca="1" si="1">D12/H12</f>
      </c>
      <c r="J12" s="45">
        <f t="shared" ref="J12:J35" ca="1" si="2">E12/(H12*SQRT(5))</f>
      </c>
      <c r="K12" s="44">
        <f t="shared" ref="K12:K27" si="3">IF(ISNUMBER(B11),(B12-B11)*100,"")</f>
      </c>
      <c r="AA12">
        <f ca="1"/>
      </c>
      <c r="AB12">
        <f ca="1"/>
      </c>
      <c r="AC12">
        <f ca="1"/>
      </c>
      <c r="AD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L12" t="s">
        <v>8</v>
      </c>
      <c r="AM12">
        <v>1</v>
      </c>
      <c r="AO12">
        <f ca="1"/>
      </c>
      <c r="AP12">
        <f ca="1"/>
      </c>
      <c r="AQ12">
        <f ca="1"/>
      </c>
      <c r="AR12">
        <f ca="1"/>
      </c>
      <c r="AS12">
        <f ca="1"/>
      </c>
      <c r="AT12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AZ12">
        <f ca="1"/>
      </c>
      <c r="BA12">
        <f ca="1"/>
      </c>
      <c r="BB12">
        <f ca="1"/>
      </c>
      <c r="BC12">
        <f ca="1"/>
      </c>
      <c r="BD12">
        <f ca="1"/>
      </c>
      <c r="BE12">
        <f ca="1"/>
      </c>
      <c r="BF12">
        <f ca="1"/>
      </c>
      <c r="BG12">
        <f ca="1"/>
      </c>
      <c r="BH12">
        <f ca="1"/>
      </c>
      <c r="BI12">
        <f ca="1"/>
      </c>
      <c r="BJ12">
        <f ca="1"/>
      </c>
      <c r="BK12">
        <f ca="1"/>
      </c>
      <c r="BL12">
        <f ca="1"/>
      </c>
      <c r="BM12">
        <f ca="1"/>
      </c>
      <c r="BN12">
        <f ca="1"/>
      </c>
      <c r="BO12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  <c r="BV12">
        <f ca="1"/>
      </c>
      <c r="BW12">
        <f ca="1"/>
      </c>
      <c r="BX12">
        <f ca="1"/>
      </c>
      <c r="BY12">
        <f ca="1"/>
      </c>
      <c r="BZ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  <c r="CG12">
        <f ca="1"/>
      </c>
      <c r="CH12">
        <f ca="1"/>
      </c>
      <c r="CI12">
        <f ca="1"/>
      </c>
      <c r="CK12">
        <f ca="1"/>
      </c>
      <c r="CL12">
        <f ca="1"/>
      </c>
      <c r="CM12">
        <f ca="1"/>
      </c>
      <c r="CN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DQ12">
        <f ca="1"/>
      </c>
      <c r="DR12">
        <f ca="1"/>
      </c>
      <c r="DS12">
        <f ca="1"/>
      </c>
      <c r="DT12">
        <f ca="1"/>
      </c>
      <c r="DU12">
        <f ca="1"/>
      </c>
      <c r="DV12">
        <f ca="1"/>
      </c>
      <c r="DW12">
        <f ca="1"/>
      </c>
      <c r="DX12">
        <f ca="1"/>
      </c>
      <c r="DY12">
        <f ca="1"/>
      </c>
      <c r="DZ12">
        <f ca="1"/>
      </c>
      <c r="EA12">
        <f ca="1"/>
      </c>
      <c r="EB12">
        <f ca="1"/>
      </c>
      <c r="EC12">
        <f ca="1"/>
      </c>
      <c r="ED12">
        <f ca="1"/>
      </c>
      <c r="EE12">
        <f ca="1"/>
      </c>
      <c r="EG12">
        <f ca="1"/>
      </c>
      <c r="EH12">
        <f ca="1"/>
      </c>
      <c r="EI12">
        <f ca="1"/>
      </c>
      <c r="EJ12">
        <f ca="1"/>
      </c>
      <c r="EK12">
        <f ca="1"/>
      </c>
      <c r="EL12">
        <f ca="1"/>
      </c>
      <c r="EM12">
        <f ca="1"/>
      </c>
      <c r="EN12">
        <f ca="1"/>
      </c>
      <c r="EO12">
        <f ca="1"/>
      </c>
      <c r="E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FS12">
        <f ca="1"/>
      </c>
      <c r="FT12">
        <f ca="1"/>
      </c>
      <c r="FU12">
        <f ca="1"/>
      </c>
      <c r="FV12">
        <f ca="1"/>
      </c>
      <c r="FW12">
        <f ca="1"/>
      </c>
      <c r="FX12">
        <f ca="1"/>
      </c>
      <c r="FY12">
        <f ca="1"/>
      </c>
      <c r="FZ12">
        <f ca="1"/>
      </c>
      <c r="GA12">
        <f ca="1"/>
      </c>
      <c r="GC12">
        <f>VALUE(_xlfn.TEXTBEFORE($A$20,"y"))</f>
      </c>
      <c r="GD12">
        <f ca="1">$B$20</f>
      </c>
      <c r="GE12">
        <f ca="1">IFERROR($B$20-$G$20/100,NA())</f>
      </c>
      <c r="GF12">
        <f ca="1">$G$20</f>
      </c>
      <c r="GM12" s="7">
        <f ca="1"/>
      </c>
      <c r="GN12">
        <f ca="1"/>
      </c>
      <c r="GO12">
        <f ca="1"/>
      </c>
      <c r="GP12">
        <f ca="1"/>
      </c>
      <c r="GQ12">
        <f ca="1"/>
      </c>
      <c r="GT12">
        <f ca="1"/>
      </c>
    </row>
    <row r="13" spans="1:202" x14ac:dyDescent="0.55000000000000004">
      <c r="A13" t="s">
        <v>283</v>
      </c>
      <c r="B13" s="13" cm="1">
        <f t="array" aca="1" ref="B13" ca="1">_xlfn.XLOOKUP($A13,_xlfn.ANCHORARRAY($GS$4),_xlfn.ANCHORARRAY($GT$4),"")</f>
      </c>
      <c r="C13" s="13" cm="1">
        <f t="array" aca="1" ref="C13" ca="1">_xlfn.LET(_xlpm.h,FWM_HC,_xlpm.c,_xlfn.XMATCH($A13,_xlfn.TAKE(_xlpm.h,1)),INDEX(_xlpm.h,ROWS(_xlpm.h),_xlpm.c))</f>
      </c>
      <c r="D13" s="44">
        <f t="shared" ca="1" si="0"/>
      </c>
      <c r="E13" s="44" cm="1">
        <f t="array" aca="1" ref="E13" ca="1">_xlfn.LET(_xlpm.h,FWM_HC,_xlpm.c,_xlfn.XMATCH($A13,_xlfn.TAKE(_xlpm.h,1)),(B13-INDEX(_xlpm.h,ROWS(_xlpm.h)-4,_xlpm.c))*100)</f>
      </c>
      <c r="F13" s="44" cm="1">
        <f t="array" aca="1" ref="F13" ca="1">_xlfn.LET(_xlpm.h,FWM_HC,_xlpm.c,_xlfn.XMATCH($A13,_xlfn.TAKE(_xlpm.h,1)),(B13-INDEX(_xlpm.h,ROWS(_xlpm.h)-20,_xlpm.c))*100)</f>
      </c>
      <c r="G13" s="44" cm="1">
        <f t="array" aca="1" ref="G13" ca="1">_xlfn.LET(_xlpm.h,FWM_HC,_xlpm.c,_xlfn.XMATCH($A13,_xlfn.TAKE(_xlpm.h,1)),(B13-_xlfn.XLOOKUP(FWM_Cmp,_xlfn.DROP(INDEX(_xlpm.h,,1),1),_xlfn.DROP(INDEX(_xlpm.h,,_xlpm.c),1),"",-1))*100)</f>
      </c>
      <c r="H13" s="11" cm="1">
        <f t="array" aca="1" ref="H13" ca="1">_xlfn.LET(_xlpm.h,FWM_HC,FWM_Sigma(_xlfn.DROP(INDEX(_xlpm.h,,_xlfn.XMATCH($A13&amp;" dF",_xlfn.TAKE(_xlpm.h,1))),1)))</f>
      </c>
      <c r="I13" s="45">
        <f t="shared" ca="1" si="1"/>
      </c>
      <c r="J13" s="45">
        <f t="shared" ca="1" si="2"/>
      </c>
      <c r="K13" s="44">
        <f t="shared" ca="1" si="3"/>
      </c>
      <c r="AA13">
        <f ca="1"/>
      </c>
      <c r="AB13">
        <f ca="1"/>
      </c>
      <c r="AC13">
        <f ca="1"/>
      </c>
      <c r="AD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L13" t="s">
        <v>9</v>
      </c>
      <c r="AM13">
        <v>1</v>
      </c>
      <c r="AO13">
        <f ca="1"/>
      </c>
      <c r="AP13">
        <f ca="1"/>
      </c>
      <c r="AQ13">
        <f ca="1"/>
      </c>
      <c r="AR13">
        <f ca="1"/>
      </c>
      <c r="AS13">
        <f ca="1"/>
      </c>
      <c r="AT13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AZ13">
        <f ca="1"/>
      </c>
      <c r="BA13">
        <f ca="1"/>
      </c>
      <c r="BB13">
        <f ca="1"/>
      </c>
      <c r="BC13">
        <f ca="1"/>
      </c>
      <c r="BD13">
        <f ca="1"/>
      </c>
      <c r="BE13">
        <f ca="1"/>
      </c>
      <c r="BF13">
        <f ca="1"/>
      </c>
      <c r="BG13">
        <f ca="1"/>
      </c>
      <c r="BH13">
        <f ca="1"/>
      </c>
      <c r="BI13">
        <f ca="1"/>
      </c>
      <c r="BJ13">
        <f ca="1"/>
      </c>
      <c r="BK13">
        <f ca="1"/>
      </c>
      <c r="BL13">
        <f ca="1"/>
      </c>
      <c r="BM13">
        <f ca="1"/>
      </c>
      <c r="BN13">
        <f ca="1"/>
      </c>
      <c r="BO13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  <c r="BV13">
        <f ca="1"/>
      </c>
      <c r="BW13">
        <f ca="1"/>
      </c>
      <c r="BX13">
        <f ca="1"/>
      </c>
      <c r="BY13">
        <f ca="1"/>
      </c>
      <c r="BZ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  <c r="CG13">
        <f ca="1"/>
      </c>
      <c r="CH13">
        <f ca="1"/>
      </c>
      <c r="CI13">
        <f ca="1"/>
      </c>
      <c r="CK13">
        <f ca="1"/>
      </c>
      <c r="CL13">
        <f ca="1"/>
      </c>
      <c r="CM13">
        <f ca="1"/>
      </c>
      <c r="CN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DQ13">
        <f ca="1"/>
      </c>
      <c r="DR13">
        <f ca="1"/>
      </c>
      <c r="DS13">
        <f ca="1"/>
      </c>
      <c r="DT13">
        <f ca="1"/>
      </c>
      <c r="DU13">
        <f ca="1"/>
      </c>
      <c r="DV13">
        <f ca="1"/>
      </c>
      <c r="DW13">
        <f ca="1"/>
      </c>
      <c r="DX13">
        <f ca="1"/>
      </c>
      <c r="DY13">
        <f ca="1"/>
      </c>
      <c r="DZ13">
        <f ca="1"/>
      </c>
      <c r="EA13">
        <f ca="1"/>
      </c>
      <c r="EB13">
        <f ca="1"/>
      </c>
      <c r="EC13">
        <f ca="1"/>
      </c>
      <c r="ED13">
        <f ca="1"/>
      </c>
      <c r="EE13">
        <f ca="1"/>
      </c>
      <c r="EG13">
        <f ca="1"/>
      </c>
      <c r="EH13">
        <f ca="1"/>
      </c>
      <c r="EI13">
        <f ca="1"/>
      </c>
      <c r="EJ13">
        <f ca="1"/>
      </c>
      <c r="EK13">
        <f ca="1"/>
      </c>
      <c r="EL13">
        <f ca="1"/>
      </c>
      <c r="EM13">
        <f ca="1"/>
      </c>
      <c r="EN13">
        <f ca="1"/>
      </c>
      <c r="EO13">
        <f ca="1"/>
      </c>
      <c r="E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FS13">
        <f ca="1"/>
      </c>
      <c r="FT13">
        <f ca="1"/>
      </c>
      <c r="FU13">
        <f ca="1"/>
      </c>
      <c r="FV13">
        <f ca="1"/>
      </c>
      <c r="FW13">
        <f ca="1"/>
      </c>
      <c r="FX13">
        <f ca="1"/>
      </c>
      <c r="FY13">
        <f ca="1"/>
      </c>
      <c r="FZ13">
        <f ca="1"/>
      </c>
      <c r="GA13">
        <f ca="1"/>
      </c>
      <c r="GC13">
        <f>VALUE(_xlfn.TEXTBEFORE($A$21,"y"))</f>
      </c>
      <c r="GD13">
        <f ca="1">$B$21</f>
      </c>
      <c r="GE13">
        <f ca="1">IFERROR($B$21-$G$21/100,NA())</f>
      </c>
      <c r="GF13">
        <f ca="1">$G$21</f>
      </c>
      <c r="GM13" s="7">
        <f ca="1"/>
      </c>
      <c r="GN13">
        <f ca="1"/>
      </c>
      <c r="GO13">
        <f ca="1"/>
      </c>
      <c r="GP13">
        <f ca="1"/>
      </c>
      <c r="GQ13">
        <f ca="1"/>
      </c>
      <c r="GT13">
        <f ca="1"/>
      </c>
    </row>
    <row r="14" spans="1:202" x14ac:dyDescent="0.55000000000000004">
      <c r="A14" t="s">
        <v>284</v>
      </c>
      <c r="B14" s="13" cm="1">
        <f t="array" aca="1" ref="B14" ca="1">_xlfn.XLOOKUP($A14,_xlfn.ANCHORARRAY($GS$4),_xlfn.ANCHORARRAY($GT$4),"")</f>
      </c>
      <c r="C14" s="13" cm="1">
        <f t="array" aca="1" ref="C14" ca="1">_xlfn.LET(_xlpm.h,FWM_HC,_xlpm.c,_xlfn.XMATCH($A14,_xlfn.TAKE(_xlpm.h,1)),INDEX(_xlpm.h,ROWS(_xlpm.h),_xlpm.c))</f>
      </c>
      <c r="D14" s="44">
        <f t="shared" ca="1" si="0"/>
      </c>
      <c r="E14" s="44" cm="1">
        <f t="array" aca="1" ref="E14" ca="1">_xlfn.LET(_xlpm.h,FWM_HC,_xlpm.c,_xlfn.XMATCH($A14,_xlfn.TAKE(_xlpm.h,1)),(B14-INDEX(_xlpm.h,ROWS(_xlpm.h)-4,_xlpm.c))*100)</f>
      </c>
      <c r="F14" s="44" cm="1">
        <f t="array" aca="1" ref="F14" ca="1">_xlfn.LET(_xlpm.h,FWM_HC,_xlpm.c,_xlfn.XMATCH($A14,_xlfn.TAKE(_xlpm.h,1)),(B14-INDEX(_xlpm.h,ROWS(_xlpm.h)-20,_xlpm.c))*100)</f>
      </c>
      <c r="G14" s="44" cm="1">
        <f t="array" aca="1" ref="G14" ca="1">_xlfn.LET(_xlpm.h,FWM_HC,_xlpm.c,_xlfn.XMATCH($A14,_xlfn.TAKE(_xlpm.h,1)),(B14-_xlfn.XLOOKUP(FWM_Cmp,_xlfn.DROP(INDEX(_xlpm.h,,1),1),_xlfn.DROP(INDEX(_xlpm.h,,_xlpm.c),1),"",-1))*100)</f>
      </c>
      <c r="H14" s="11" cm="1">
        <f t="array" aca="1" ref="H14" ca="1">_xlfn.LET(_xlpm.h,FWM_HC,FWM_Sigma(_xlfn.DROP(INDEX(_xlpm.h,,_xlfn.XMATCH($A14&amp;" dF",_xlfn.TAKE(_xlpm.h,1))),1)))</f>
      </c>
      <c r="I14" s="45">
        <f t="shared" ca="1" si="1"/>
      </c>
      <c r="J14" s="45">
        <f t="shared" ca="1" si="2"/>
      </c>
      <c r="K14" s="44">
        <f t="shared" ca="1" si="3"/>
      </c>
      <c r="AA14">
        <f ca="1"/>
      </c>
      <c r="AB14">
        <f ca="1"/>
      </c>
      <c r="AC14">
        <f ca="1"/>
      </c>
      <c r="AD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L14" t="s">
        <v>10</v>
      </c>
      <c r="AM14">
        <v>1</v>
      </c>
      <c r="AO14">
        <f ca="1"/>
      </c>
      <c r="AP14">
        <f ca="1"/>
      </c>
      <c r="AQ14">
        <f ca="1"/>
      </c>
      <c r="AR14">
        <f ca="1"/>
      </c>
      <c r="AS14">
        <f ca="1"/>
      </c>
      <c r="AT14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AZ14">
        <f ca="1"/>
      </c>
      <c r="BA14">
        <f ca="1"/>
      </c>
      <c r="BB14">
        <f ca="1"/>
      </c>
      <c r="BC14">
        <f ca="1"/>
      </c>
      <c r="BD14">
        <f ca="1"/>
      </c>
      <c r="BE14">
        <f ca="1"/>
      </c>
      <c r="BF14">
        <f ca="1"/>
      </c>
      <c r="BG14">
        <f ca="1"/>
      </c>
      <c r="BH14">
        <f ca="1"/>
      </c>
      <c r="BI14">
        <f ca="1"/>
      </c>
      <c r="BJ14">
        <f ca="1"/>
      </c>
      <c r="BK14">
        <f ca="1"/>
      </c>
      <c r="BL14">
        <f ca="1"/>
      </c>
      <c r="BM14">
        <f ca="1"/>
      </c>
      <c r="BN14">
        <f ca="1"/>
      </c>
      <c r="BO14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  <c r="BV14">
        <f ca="1"/>
      </c>
      <c r="BW14">
        <f ca="1"/>
      </c>
      <c r="BX14">
        <f ca="1"/>
      </c>
      <c r="BY14">
        <f ca="1"/>
      </c>
      <c r="BZ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  <c r="CG14">
        <f ca="1"/>
      </c>
      <c r="CH14">
        <f ca="1"/>
      </c>
      <c r="CI14">
        <f ca="1"/>
      </c>
      <c r="CK14">
        <f ca="1"/>
      </c>
      <c r="CL14">
        <f ca="1"/>
      </c>
      <c r="CM14">
        <f ca="1"/>
      </c>
      <c r="CN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DQ14">
        <f ca="1"/>
      </c>
      <c r="DR14">
        <f ca="1"/>
      </c>
      <c r="DS14">
        <f ca="1"/>
      </c>
      <c r="DT14">
        <f ca="1"/>
      </c>
      <c r="DU14">
        <f ca="1"/>
      </c>
      <c r="DV14">
        <f ca="1"/>
      </c>
      <c r="DW14">
        <f ca="1"/>
      </c>
      <c r="DX14">
        <f ca="1"/>
      </c>
      <c r="DY14">
        <f ca="1"/>
      </c>
      <c r="DZ14">
        <f ca="1"/>
      </c>
      <c r="EA14">
        <f ca="1"/>
      </c>
      <c r="EB14">
        <f ca="1"/>
      </c>
      <c r="EC14">
        <f ca="1"/>
      </c>
      <c r="ED14">
        <f ca="1"/>
      </c>
      <c r="EE14">
        <f ca="1"/>
      </c>
      <c r="EG14">
        <f ca="1"/>
      </c>
      <c r="EH14">
        <f ca="1"/>
      </c>
      <c r="EI14">
        <f ca="1"/>
      </c>
      <c r="EJ14">
        <f ca="1"/>
      </c>
      <c r="EK14">
        <f ca="1"/>
      </c>
      <c r="EL14">
        <f ca="1"/>
      </c>
      <c r="EM14">
        <f ca="1"/>
      </c>
      <c r="EN14">
        <f ca="1"/>
      </c>
      <c r="EO14">
        <f ca="1"/>
      </c>
      <c r="E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FS14">
        <f ca="1"/>
      </c>
      <c r="FT14">
        <f ca="1"/>
      </c>
      <c r="FU14">
        <f ca="1"/>
      </c>
      <c r="FV14">
        <f ca="1"/>
      </c>
      <c r="FW14">
        <f ca="1"/>
      </c>
      <c r="FX14">
        <f ca="1"/>
      </c>
      <c r="FY14">
        <f ca="1"/>
      </c>
      <c r="FZ14">
        <f ca="1"/>
      </c>
      <c r="GA14">
        <f ca="1"/>
      </c>
      <c r="GC14">
        <f>VALUE(_xlfn.TEXTBEFORE($A$22,"y"))</f>
      </c>
      <c r="GD14">
        <f ca="1">$B$22</f>
      </c>
      <c r="GE14">
        <f ca="1">IFERROR($B$22-$G$22/100,NA())</f>
      </c>
      <c r="GF14">
        <f ca="1">$G$22</f>
      </c>
      <c r="GM14" s="7">
        <f ca="1"/>
      </c>
      <c r="GN14">
        <f ca="1"/>
      </c>
      <c r="GO14">
        <f ca="1"/>
      </c>
      <c r="GP14">
        <f ca="1"/>
      </c>
      <c r="GQ14">
        <f ca="1"/>
      </c>
      <c r="GT14">
        <f ca="1"/>
      </c>
    </row>
    <row r="15" spans="1:202" x14ac:dyDescent="0.55000000000000004">
      <c r="A15" t="s">
        <v>285</v>
      </c>
      <c r="B15" s="13" cm="1">
        <f t="array" aca="1" ref="B15" ca="1">_xlfn.XLOOKUP($A15,_xlfn.ANCHORARRAY($GS$4),_xlfn.ANCHORARRAY($GT$4),"")</f>
      </c>
      <c r="C15" s="13" cm="1">
        <f t="array" aca="1" ref="C15" ca="1">_xlfn.LET(_xlpm.h,FWM_HC,_xlpm.c,_xlfn.XMATCH($A15,_xlfn.TAKE(_xlpm.h,1)),INDEX(_xlpm.h,ROWS(_xlpm.h),_xlpm.c))</f>
      </c>
      <c r="D15" s="44">
        <f t="shared" ca="1" si="0"/>
      </c>
      <c r="E15" s="44" cm="1">
        <f t="array" aca="1" ref="E15" ca="1">_xlfn.LET(_xlpm.h,FWM_HC,_xlpm.c,_xlfn.XMATCH($A15,_xlfn.TAKE(_xlpm.h,1)),(B15-INDEX(_xlpm.h,ROWS(_xlpm.h)-4,_xlpm.c))*100)</f>
      </c>
      <c r="F15" s="44" cm="1">
        <f t="array" aca="1" ref="F15" ca="1">_xlfn.LET(_xlpm.h,FWM_HC,_xlpm.c,_xlfn.XMATCH($A15,_xlfn.TAKE(_xlpm.h,1)),(B15-INDEX(_xlpm.h,ROWS(_xlpm.h)-20,_xlpm.c))*100)</f>
      </c>
      <c r="G15" s="44" cm="1">
        <f t="array" aca="1" ref="G15" ca="1">_xlfn.LET(_xlpm.h,FWM_HC,_xlpm.c,_xlfn.XMATCH($A15,_xlfn.TAKE(_xlpm.h,1)),(B15-_xlfn.XLOOKUP(FWM_Cmp,_xlfn.DROP(INDEX(_xlpm.h,,1),1),_xlfn.DROP(INDEX(_xlpm.h,,_xlpm.c),1),"",-1))*100)</f>
      </c>
      <c r="H15" s="11" cm="1">
        <f t="array" aca="1" ref="H15" ca="1">_xlfn.LET(_xlpm.h,FWM_HC,FWM_Sigma(_xlfn.DROP(INDEX(_xlpm.h,,_xlfn.XMATCH($A15&amp;" dF",_xlfn.TAKE(_xlpm.h,1))),1)))</f>
      </c>
      <c r="I15" s="45">
        <f t="shared" ca="1" si="1"/>
      </c>
      <c r="J15" s="45">
        <f t="shared" ca="1" si="2"/>
      </c>
      <c r="K15" s="44">
        <f t="shared" ca="1" si="3"/>
      </c>
      <c r="AA15">
        <f ca="1"/>
      </c>
      <c r="AB15">
        <f ca="1"/>
      </c>
      <c r="AC15">
        <f ca="1"/>
      </c>
      <c r="AD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L15" t="s">
        <v>11</v>
      </c>
      <c r="AM15">
        <v>1</v>
      </c>
      <c r="AO15">
        <f ca="1"/>
      </c>
      <c r="AP15">
        <f ca="1"/>
      </c>
      <c r="AQ15">
        <f ca="1"/>
      </c>
      <c r="AR15">
        <f ca="1"/>
      </c>
      <c r="AS15">
        <f ca="1"/>
      </c>
      <c r="AT15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AZ15">
        <f ca="1"/>
      </c>
      <c r="BA15">
        <f ca="1"/>
      </c>
      <c r="BB15">
        <f ca="1"/>
      </c>
      <c r="BC15">
        <f ca="1"/>
      </c>
      <c r="BD15">
        <f ca="1"/>
      </c>
      <c r="BE15">
        <f ca="1"/>
      </c>
      <c r="BF15">
        <f ca="1"/>
      </c>
      <c r="BG15">
        <f ca="1"/>
      </c>
      <c r="BH15">
        <f ca="1"/>
      </c>
      <c r="BI15">
        <f ca="1"/>
      </c>
      <c r="BJ15">
        <f ca="1"/>
      </c>
      <c r="BK15">
        <f ca="1"/>
      </c>
      <c r="BL15">
        <f ca="1"/>
      </c>
      <c r="BM15">
        <f ca="1"/>
      </c>
      <c r="BN15">
        <f ca="1"/>
      </c>
      <c r="BO15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  <c r="BV15">
        <f ca="1"/>
      </c>
      <c r="BW15">
        <f ca="1"/>
      </c>
      <c r="BX15">
        <f ca="1"/>
      </c>
      <c r="BY15">
        <f ca="1"/>
      </c>
      <c r="BZ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  <c r="CG15">
        <f ca="1"/>
      </c>
      <c r="CH15">
        <f ca="1"/>
      </c>
      <c r="CI15">
        <f ca="1"/>
      </c>
      <c r="CK15">
        <f ca="1"/>
      </c>
      <c r="CL15">
        <f ca="1"/>
      </c>
      <c r="CM15">
        <f ca="1"/>
      </c>
      <c r="CN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DQ15">
        <f ca="1"/>
      </c>
      <c r="DR15">
        <f ca="1"/>
      </c>
      <c r="DS15">
        <f ca="1"/>
      </c>
      <c r="DT15">
        <f ca="1"/>
      </c>
      <c r="DU15">
        <f ca="1"/>
      </c>
      <c r="DV15">
        <f ca="1"/>
      </c>
      <c r="DW15">
        <f ca="1"/>
      </c>
      <c r="DX15">
        <f ca="1"/>
      </c>
      <c r="DY15">
        <f ca="1"/>
      </c>
      <c r="DZ15">
        <f ca="1"/>
      </c>
      <c r="EA15">
        <f ca="1"/>
      </c>
      <c r="EB15">
        <f ca="1"/>
      </c>
      <c r="EC15">
        <f ca="1"/>
      </c>
      <c r="ED15">
        <f ca="1"/>
      </c>
      <c r="EE15">
        <f ca="1"/>
      </c>
      <c r="EG15">
        <f ca="1"/>
      </c>
      <c r="EH15">
        <f ca="1"/>
      </c>
      <c r="EI15">
        <f ca="1"/>
      </c>
      <c r="EJ15">
        <f ca="1"/>
      </c>
      <c r="EK15">
        <f ca="1"/>
      </c>
      <c r="EL15">
        <f ca="1"/>
      </c>
      <c r="EM15">
        <f ca="1"/>
      </c>
      <c r="EN15">
        <f ca="1"/>
      </c>
      <c r="EO15">
        <f ca="1"/>
      </c>
      <c r="E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FS15">
        <f ca="1"/>
      </c>
      <c r="FT15">
        <f ca="1"/>
      </c>
      <c r="FU15">
        <f ca="1"/>
      </c>
      <c r="FV15">
        <f ca="1"/>
      </c>
      <c r="FW15">
        <f ca="1"/>
      </c>
      <c r="FX15">
        <f ca="1"/>
      </c>
      <c r="FY15">
        <f ca="1"/>
      </c>
      <c r="FZ15">
        <f ca="1"/>
      </c>
      <c r="GA15">
        <f ca="1"/>
      </c>
      <c r="GC15">
        <f>VALUE(_xlfn.TEXTBEFORE($A$23,"y"))</f>
      </c>
      <c r="GD15">
        <f ca="1">$B$23</f>
      </c>
      <c r="GE15">
        <f ca="1">IFERROR($B$23-$G$23/100,NA())</f>
      </c>
      <c r="GF15">
        <f ca="1">$G$23</f>
      </c>
      <c r="GM15" s="7">
        <f ca="1"/>
      </c>
      <c r="GN15">
        <f ca="1"/>
      </c>
      <c r="GO15">
        <f ca="1"/>
      </c>
      <c r="GP15">
        <f ca="1"/>
      </c>
      <c r="GQ15">
        <f ca="1"/>
      </c>
      <c r="GT15">
        <f ca="1"/>
      </c>
    </row>
    <row r="16" spans="1:202" x14ac:dyDescent="0.55000000000000004">
      <c r="A16" t="s">
        <v>286</v>
      </c>
      <c r="B16" s="13" cm="1">
        <f t="array" aca="1" ref="B16" ca="1">_xlfn.XLOOKUP($A16,_xlfn.ANCHORARRAY($GS$4),_xlfn.ANCHORARRAY($GT$4),"")</f>
      </c>
      <c r="C16" s="13" cm="1">
        <f t="array" aca="1" ref="C16" ca="1">_xlfn.LET(_xlpm.h,FWM_HC,_xlpm.c,_xlfn.XMATCH($A16,_xlfn.TAKE(_xlpm.h,1)),INDEX(_xlpm.h,ROWS(_xlpm.h),_xlpm.c))</f>
      </c>
      <c r="D16" s="44">
        <f t="shared" ca="1" si="0"/>
      </c>
      <c r="E16" s="44" cm="1">
        <f t="array" aca="1" ref="E16" ca="1">_xlfn.LET(_xlpm.h,FWM_HC,_xlpm.c,_xlfn.XMATCH($A16,_xlfn.TAKE(_xlpm.h,1)),(B16-INDEX(_xlpm.h,ROWS(_xlpm.h)-4,_xlpm.c))*100)</f>
      </c>
      <c r="F16" s="44" cm="1">
        <f t="array" aca="1" ref="F16" ca="1">_xlfn.LET(_xlpm.h,FWM_HC,_xlpm.c,_xlfn.XMATCH($A16,_xlfn.TAKE(_xlpm.h,1)),(B16-INDEX(_xlpm.h,ROWS(_xlpm.h)-20,_xlpm.c))*100)</f>
      </c>
      <c r="G16" s="44" cm="1">
        <f t="array" aca="1" ref="G16" ca="1">_xlfn.LET(_xlpm.h,FWM_HC,_xlpm.c,_xlfn.XMATCH($A16,_xlfn.TAKE(_xlpm.h,1)),(B16-_xlfn.XLOOKUP(FWM_Cmp,_xlfn.DROP(INDEX(_xlpm.h,,1),1),_xlfn.DROP(INDEX(_xlpm.h,,_xlpm.c),1),"",-1))*100)</f>
      </c>
      <c r="H16" s="11" cm="1">
        <f t="array" aca="1" ref="H16" ca="1">_xlfn.LET(_xlpm.h,FWM_HC,FWM_Sigma(_xlfn.DROP(INDEX(_xlpm.h,,_xlfn.XMATCH($A16&amp;" dF",_xlfn.TAKE(_xlpm.h,1))),1)))</f>
      </c>
      <c r="I16" s="45">
        <f t="shared" ca="1" si="1"/>
      </c>
      <c r="J16" s="45">
        <f t="shared" ca="1" si="2"/>
      </c>
      <c r="K16" s="44">
        <f t="shared" ca="1" si="3"/>
      </c>
      <c r="AA16">
        <f ca="1"/>
      </c>
      <c r="AB16">
        <f ca="1"/>
      </c>
      <c r="AC16">
        <f ca="1"/>
      </c>
      <c r="AD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L16" t="s">
        <v>12</v>
      </c>
      <c r="AM16">
        <v>1</v>
      </c>
      <c r="AO16">
        <f ca="1"/>
      </c>
      <c r="AP16">
        <f ca="1"/>
      </c>
      <c r="AQ16">
        <f ca="1"/>
      </c>
      <c r="AR16">
        <f ca="1"/>
      </c>
      <c r="AS16">
        <f ca="1"/>
      </c>
      <c r="AT16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AZ16">
        <f ca="1"/>
      </c>
      <c r="BA16">
        <f ca="1"/>
      </c>
      <c r="BB16">
        <f ca="1"/>
      </c>
      <c r="BC16">
        <f ca="1"/>
      </c>
      <c r="BD16">
        <f ca="1"/>
      </c>
      <c r="BE16">
        <f ca="1"/>
      </c>
      <c r="BF16">
        <f ca="1"/>
      </c>
      <c r="BG16">
        <f ca="1"/>
      </c>
      <c r="BH16">
        <f ca="1"/>
      </c>
      <c r="BI16">
        <f ca="1"/>
      </c>
      <c r="BJ16">
        <f ca="1"/>
      </c>
      <c r="BK16">
        <f ca="1"/>
      </c>
      <c r="BL16">
        <f ca="1"/>
      </c>
      <c r="BM16">
        <f ca="1"/>
      </c>
      <c r="BN16">
        <f ca="1"/>
      </c>
      <c r="BO16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  <c r="BV16">
        <f ca="1"/>
      </c>
      <c r="BW16">
        <f ca="1"/>
      </c>
      <c r="BX16">
        <f ca="1"/>
      </c>
      <c r="BY16">
        <f ca="1"/>
      </c>
      <c r="BZ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  <c r="CG16">
        <f ca="1"/>
      </c>
      <c r="CH16">
        <f ca="1"/>
      </c>
      <c r="CI16">
        <f ca="1"/>
      </c>
      <c r="CK16">
        <f ca="1"/>
      </c>
      <c r="CL16">
        <f ca="1"/>
      </c>
      <c r="CM16">
        <f ca="1"/>
      </c>
      <c r="CN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DQ16">
        <f ca="1"/>
      </c>
      <c r="DR16">
        <f ca="1"/>
      </c>
      <c r="DS16">
        <f ca="1"/>
      </c>
      <c r="DT16">
        <f ca="1"/>
      </c>
      <c r="DU16">
        <f ca="1"/>
      </c>
      <c r="DV16">
        <f ca="1"/>
      </c>
      <c r="DW16">
        <f ca="1"/>
      </c>
      <c r="DX16">
        <f ca="1"/>
      </c>
      <c r="DY16">
        <f ca="1"/>
      </c>
      <c r="DZ16">
        <f ca="1"/>
      </c>
      <c r="EA16">
        <f ca="1"/>
      </c>
      <c r="EB16">
        <f ca="1"/>
      </c>
      <c r="EC16">
        <f ca="1"/>
      </c>
      <c r="ED16">
        <f ca="1"/>
      </c>
      <c r="EE16">
        <f ca="1"/>
      </c>
      <c r="EG16">
        <f ca="1"/>
      </c>
      <c r="EH16">
        <f ca="1"/>
      </c>
      <c r="EI16">
        <f ca="1"/>
      </c>
      <c r="EJ16">
        <f ca="1"/>
      </c>
      <c r="EK16">
        <f ca="1"/>
      </c>
      <c r="EL16">
        <f ca="1"/>
      </c>
      <c r="EM16">
        <f ca="1"/>
      </c>
      <c r="EN16">
        <f ca="1"/>
      </c>
      <c r="EO16">
        <f ca="1"/>
      </c>
      <c r="E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FS16">
        <f ca="1"/>
      </c>
      <c r="FT16">
        <f ca="1"/>
      </c>
      <c r="FU16">
        <f ca="1"/>
      </c>
      <c r="FV16">
        <f ca="1"/>
      </c>
      <c r="FW16">
        <f ca="1"/>
      </c>
      <c r="FX16">
        <f ca="1"/>
      </c>
      <c r="FY16">
        <f ca="1"/>
      </c>
      <c r="FZ16">
        <f ca="1"/>
      </c>
      <c r="GA16">
        <f ca="1"/>
      </c>
      <c r="GC16">
        <f>VALUE(_xlfn.TEXTBEFORE($A$24,"y"))</f>
      </c>
      <c r="GD16">
        <f ca="1">$B$24</f>
      </c>
      <c r="GE16">
        <f ca="1">IFERROR($B$24-$G$24/100,NA())</f>
      </c>
      <c r="GF16">
        <f ca="1">$G$24</f>
      </c>
      <c r="GM16" s="7">
        <f ca="1"/>
      </c>
      <c r="GN16">
        <f ca="1"/>
      </c>
      <c r="GO16">
        <f ca="1"/>
      </c>
      <c r="GP16">
        <f ca="1"/>
      </c>
      <c r="GQ16">
        <f ca="1"/>
      </c>
      <c r="GT16">
        <f ca="1"/>
      </c>
    </row>
    <row r="17" spans="1:202" x14ac:dyDescent="0.55000000000000004">
      <c r="A17" t="s">
        <v>287</v>
      </c>
      <c r="B17" s="13" cm="1">
        <f t="array" aca="1" ref="B17" ca="1">_xlfn.XLOOKUP($A17,_xlfn.ANCHORARRAY($GS$4),_xlfn.ANCHORARRAY($GT$4),"")</f>
      </c>
      <c r="C17" s="13" cm="1">
        <f t="array" aca="1" ref="C17" ca="1">_xlfn.LET(_xlpm.h,FWM_HC,_xlpm.c,_xlfn.XMATCH($A17,_xlfn.TAKE(_xlpm.h,1)),INDEX(_xlpm.h,ROWS(_xlpm.h),_xlpm.c))</f>
      </c>
      <c r="D17" s="44">
        <f t="shared" ca="1" si="0"/>
      </c>
      <c r="E17" s="44" cm="1">
        <f t="array" aca="1" ref="E17" ca="1">_xlfn.LET(_xlpm.h,FWM_HC,_xlpm.c,_xlfn.XMATCH($A17,_xlfn.TAKE(_xlpm.h,1)),(B17-INDEX(_xlpm.h,ROWS(_xlpm.h)-4,_xlpm.c))*100)</f>
      </c>
      <c r="F17" s="44" cm="1">
        <f t="array" aca="1" ref="F17" ca="1">_xlfn.LET(_xlpm.h,FWM_HC,_xlpm.c,_xlfn.XMATCH($A17,_xlfn.TAKE(_xlpm.h,1)),(B17-INDEX(_xlpm.h,ROWS(_xlpm.h)-20,_xlpm.c))*100)</f>
      </c>
      <c r="G17" s="44" cm="1">
        <f t="array" aca="1" ref="G17" ca="1">_xlfn.LET(_xlpm.h,FWM_HC,_xlpm.c,_xlfn.XMATCH($A17,_xlfn.TAKE(_xlpm.h,1)),(B17-_xlfn.XLOOKUP(FWM_Cmp,_xlfn.DROP(INDEX(_xlpm.h,,1),1),_xlfn.DROP(INDEX(_xlpm.h,,_xlpm.c),1),"",-1))*100)</f>
      </c>
      <c r="H17" s="11" cm="1">
        <f t="array" aca="1" ref="H17" ca="1">_xlfn.LET(_xlpm.h,FWM_HC,FWM_Sigma(_xlfn.DROP(INDEX(_xlpm.h,,_xlfn.XMATCH($A17&amp;" dF",_xlfn.TAKE(_xlpm.h,1))),1)))</f>
      </c>
      <c r="I17" s="45">
        <f t="shared" ca="1" si="1"/>
      </c>
      <c r="J17" s="45">
        <f t="shared" ca="1" si="2"/>
      </c>
      <c r="K17" s="44">
        <f t="shared" ca="1" si="3"/>
      </c>
      <c r="AA17">
        <f ca="1"/>
      </c>
      <c r="AB17">
        <f ca="1"/>
      </c>
      <c r="AC17">
        <f ca="1"/>
      </c>
      <c r="AD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L17" t="s">
        <v>41</v>
      </c>
      <c r="AM17">
        <v>1</v>
      </c>
      <c r="AO17">
        <f ca="1"/>
      </c>
      <c r="AP17">
        <f ca="1"/>
      </c>
      <c r="AQ17">
        <f ca="1"/>
      </c>
      <c r="AR17">
        <f ca="1"/>
      </c>
      <c r="AS17">
        <f ca="1"/>
      </c>
      <c r="AT1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AZ17">
        <f ca="1"/>
      </c>
      <c r="BA17">
        <f ca="1"/>
      </c>
      <c r="BB17">
        <f ca="1"/>
      </c>
      <c r="BC17">
        <f ca="1"/>
      </c>
      <c r="BD17">
        <f ca="1"/>
      </c>
      <c r="BE17">
        <f ca="1"/>
      </c>
      <c r="BF17">
        <f ca="1"/>
      </c>
      <c r="BG17">
        <f ca="1"/>
      </c>
      <c r="BH17">
        <f ca="1"/>
      </c>
      <c r="BI17">
        <f ca="1"/>
      </c>
      <c r="BJ17">
        <f ca="1"/>
      </c>
      <c r="BK17">
        <f ca="1"/>
      </c>
      <c r="BL17">
        <f ca="1"/>
      </c>
      <c r="BM17">
        <f ca="1"/>
      </c>
      <c r="BN17">
        <f ca="1"/>
      </c>
      <c r="BO17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  <c r="BV17">
        <f ca="1"/>
      </c>
      <c r="BW17">
        <f ca="1"/>
      </c>
      <c r="BX17">
        <f ca="1"/>
      </c>
      <c r="BY17">
        <f ca="1"/>
      </c>
      <c r="BZ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  <c r="CG17">
        <f ca="1"/>
      </c>
      <c r="CH17">
        <f ca="1"/>
      </c>
      <c r="CI17">
        <f ca="1"/>
      </c>
      <c r="CK17">
        <f ca="1"/>
      </c>
      <c r="CL17">
        <f ca="1"/>
      </c>
      <c r="CM17">
        <f ca="1"/>
      </c>
      <c r="CN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DQ17">
        <f ca="1"/>
      </c>
      <c r="DR17">
        <f ca="1"/>
      </c>
      <c r="DS17">
        <f ca="1"/>
      </c>
      <c r="DT17">
        <f ca="1"/>
      </c>
      <c r="DU17">
        <f ca="1"/>
      </c>
      <c r="DV17">
        <f ca="1"/>
      </c>
      <c r="DW17">
        <f ca="1"/>
      </c>
      <c r="DX17">
        <f ca="1"/>
      </c>
      <c r="DY17">
        <f ca="1"/>
      </c>
      <c r="DZ17">
        <f ca="1"/>
      </c>
      <c r="EA17">
        <f ca="1"/>
      </c>
      <c r="EB17">
        <f ca="1"/>
      </c>
      <c r="EC17">
        <f ca="1"/>
      </c>
      <c r="ED17">
        <f ca="1"/>
      </c>
      <c r="EE17">
        <f ca="1"/>
      </c>
      <c r="EG17">
        <f ca="1"/>
      </c>
      <c r="EH17">
        <f ca="1"/>
      </c>
      <c r="EI17">
        <f ca="1"/>
      </c>
      <c r="EJ17">
        <f ca="1"/>
      </c>
      <c r="EK17">
        <f ca="1"/>
      </c>
      <c r="EL17">
        <f ca="1"/>
      </c>
      <c r="EM17">
        <f ca="1"/>
      </c>
      <c r="EN17">
        <f ca="1"/>
      </c>
      <c r="EO17">
        <f ca="1"/>
      </c>
      <c r="E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FS17">
        <f ca="1"/>
      </c>
      <c r="FT17">
        <f ca="1"/>
      </c>
      <c r="FU17">
        <f ca="1"/>
      </c>
      <c r="FV17">
        <f ca="1"/>
      </c>
      <c r="FW17">
        <f ca="1"/>
      </c>
      <c r="FX17">
        <f ca="1"/>
      </c>
      <c r="FY17">
        <f ca="1"/>
      </c>
      <c r="FZ17">
        <f ca="1"/>
      </c>
      <c r="GA17">
        <f ca="1"/>
      </c>
      <c r="GC17">
        <f>VALUE(_xlfn.TEXTBEFORE($A$25,"y"))</f>
      </c>
      <c r="GD17">
        <f ca="1">$B$25</f>
      </c>
      <c r="GE17">
        <f ca="1">IFERROR($B$25-$G$25/100,NA())</f>
      </c>
      <c r="GF17">
        <f ca="1">$G$25</f>
      </c>
      <c r="GM17" s="7">
        <f ca="1"/>
      </c>
      <c r="GN17">
        <f ca="1"/>
      </c>
      <c r="GO17">
        <f ca="1"/>
      </c>
      <c r="GP17">
        <f ca="1"/>
      </c>
      <c r="GQ17">
        <f ca="1"/>
      </c>
      <c r="GT17">
        <f ca="1"/>
      </c>
    </row>
    <row r="18" spans="1:202" x14ac:dyDescent="0.55000000000000004">
      <c r="A18" t="s">
        <v>288</v>
      </c>
      <c r="B18" s="13" cm="1">
        <f t="array" aca="1" ref="B18" ca="1">_xlfn.XLOOKUP($A18,_xlfn.ANCHORARRAY($GS$4),_xlfn.ANCHORARRAY($GT$4),"")</f>
      </c>
      <c r="C18" s="13" cm="1">
        <f t="array" aca="1" ref="C18" ca="1">_xlfn.LET(_xlpm.h,FWM_HC,_xlpm.c,_xlfn.XMATCH($A18,_xlfn.TAKE(_xlpm.h,1)),INDEX(_xlpm.h,ROWS(_xlpm.h),_xlpm.c))</f>
      </c>
      <c r="D18" s="44">
        <f t="shared" ca="1" si="0"/>
      </c>
      <c r="E18" s="44" cm="1">
        <f t="array" aca="1" ref="E18" ca="1">_xlfn.LET(_xlpm.h,FWM_HC,_xlpm.c,_xlfn.XMATCH($A18,_xlfn.TAKE(_xlpm.h,1)),(B18-INDEX(_xlpm.h,ROWS(_xlpm.h)-4,_xlpm.c))*100)</f>
      </c>
      <c r="F18" s="44" cm="1">
        <f t="array" aca="1" ref="F18" ca="1">_xlfn.LET(_xlpm.h,FWM_HC,_xlpm.c,_xlfn.XMATCH($A18,_xlfn.TAKE(_xlpm.h,1)),(B18-INDEX(_xlpm.h,ROWS(_xlpm.h)-20,_xlpm.c))*100)</f>
      </c>
      <c r="G18" s="44" cm="1">
        <f t="array" aca="1" ref="G18" ca="1">_xlfn.LET(_xlpm.h,FWM_HC,_xlpm.c,_xlfn.XMATCH($A18,_xlfn.TAKE(_xlpm.h,1)),(B18-_xlfn.XLOOKUP(FWM_Cmp,_xlfn.DROP(INDEX(_xlpm.h,,1),1),_xlfn.DROP(INDEX(_xlpm.h,,_xlpm.c),1),"",-1))*100)</f>
      </c>
      <c r="H18" s="11" cm="1">
        <f t="array" aca="1" ref="H18" ca="1">_xlfn.LET(_xlpm.h,FWM_HC,FWM_Sigma(_xlfn.DROP(INDEX(_xlpm.h,,_xlfn.XMATCH($A18&amp;" dF",_xlfn.TAKE(_xlpm.h,1))),1)))</f>
      </c>
      <c r="I18" s="45">
        <f t="shared" ca="1" si="1"/>
      </c>
      <c r="J18" s="45">
        <f t="shared" ca="1" si="2"/>
      </c>
      <c r="K18" s="44">
        <f t="shared" ca="1" si="3"/>
      </c>
      <c r="AA18">
        <f ca="1"/>
      </c>
      <c r="AB18">
        <f ca="1"/>
      </c>
      <c r="AC18">
        <f ca="1"/>
      </c>
      <c r="AD18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L18" t="s">
        <v>13</v>
      </c>
      <c r="AM18">
        <v>1</v>
      </c>
      <c r="AO18">
        <f ca="1"/>
      </c>
      <c r="AP18">
        <f ca="1"/>
      </c>
      <c r="AQ18">
        <f ca="1"/>
      </c>
      <c r="AR18">
        <f ca="1"/>
      </c>
      <c r="AS18">
        <f ca="1"/>
      </c>
      <c r="AT18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AZ18">
        <f ca="1"/>
      </c>
      <c r="BA18">
        <f ca="1"/>
      </c>
      <c r="BB18">
        <f ca="1"/>
      </c>
      <c r="BC18">
        <f ca="1"/>
      </c>
      <c r="BD18">
        <f ca="1"/>
      </c>
      <c r="BE18">
        <f ca="1"/>
      </c>
      <c r="BF18">
        <f ca="1"/>
      </c>
      <c r="BG18">
        <f ca="1"/>
      </c>
      <c r="BH18">
        <f ca="1"/>
      </c>
      <c r="BI18">
        <f ca="1"/>
      </c>
      <c r="BJ18">
        <f ca="1"/>
      </c>
      <c r="BK18">
        <f ca="1"/>
      </c>
      <c r="BL18">
        <f ca="1"/>
      </c>
      <c r="BM18">
        <f ca="1"/>
      </c>
      <c r="BN18">
        <f ca="1"/>
      </c>
      <c r="BO18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  <c r="BV18">
        <f ca="1"/>
      </c>
      <c r="BW18">
        <f ca="1"/>
      </c>
      <c r="BX18">
        <f ca="1"/>
      </c>
      <c r="BY18">
        <f ca="1"/>
      </c>
      <c r="BZ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  <c r="CG18">
        <f ca="1"/>
      </c>
      <c r="CH18">
        <f ca="1"/>
      </c>
      <c r="CI18">
        <f ca="1"/>
      </c>
      <c r="CK18">
        <f ca="1"/>
      </c>
      <c r="CL18">
        <f ca="1"/>
      </c>
      <c r="CM18">
        <f ca="1"/>
      </c>
      <c r="CN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DQ18">
        <f ca="1"/>
      </c>
      <c r="DR18">
        <f ca="1"/>
      </c>
      <c r="DS18">
        <f ca="1"/>
      </c>
      <c r="DT18">
        <f ca="1"/>
      </c>
      <c r="DU18">
        <f ca="1"/>
      </c>
      <c r="DV18">
        <f ca="1"/>
      </c>
      <c r="DW18">
        <f ca="1"/>
      </c>
      <c r="DX18">
        <f ca="1"/>
      </c>
      <c r="DY18">
        <f ca="1"/>
      </c>
      <c r="DZ18">
        <f ca="1"/>
      </c>
      <c r="EA18">
        <f ca="1"/>
      </c>
      <c r="EB18">
        <f ca="1"/>
      </c>
      <c r="EC18">
        <f ca="1"/>
      </c>
      <c r="ED18">
        <f ca="1"/>
      </c>
      <c r="EE18">
        <f ca="1"/>
      </c>
      <c r="EG18">
        <f ca="1"/>
      </c>
      <c r="EH18">
        <f ca="1"/>
      </c>
      <c r="EI18">
        <f ca="1"/>
      </c>
      <c r="EJ18">
        <f ca="1"/>
      </c>
      <c r="EK18">
        <f ca="1"/>
      </c>
      <c r="EL18">
        <f ca="1"/>
      </c>
      <c r="EM18">
        <f ca="1"/>
      </c>
      <c r="EN18">
        <f ca="1"/>
      </c>
      <c r="EO18">
        <f ca="1"/>
      </c>
      <c r="E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FS18">
        <f ca="1"/>
      </c>
      <c r="FT18">
        <f ca="1"/>
      </c>
      <c r="FU18">
        <f ca="1"/>
      </c>
      <c r="FV18">
        <f ca="1"/>
      </c>
      <c r="FW18">
        <f ca="1"/>
      </c>
      <c r="FX18">
        <f ca="1"/>
      </c>
      <c r="FY18">
        <f ca="1"/>
      </c>
      <c r="FZ18">
        <f ca="1"/>
      </c>
      <c r="GA18">
        <f ca="1"/>
      </c>
      <c r="GC18">
        <f>VALUE(_xlfn.TEXTBEFORE($A$26,"y"))</f>
      </c>
      <c r="GD18">
        <f ca="1">$B$26</f>
      </c>
      <c r="GE18">
        <f ca="1">IFERROR($B$26-$G$26/100,NA())</f>
      </c>
      <c r="GF18">
        <f ca="1">$G$26</f>
      </c>
      <c r="GM18" s="7">
        <f ca="1"/>
      </c>
      <c r="GN18">
        <f ca="1"/>
      </c>
      <c r="GO18">
        <f ca="1"/>
      </c>
      <c r="GP18">
        <f ca="1"/>
      </c>
      <c r="GQ18">
        <f ca="1"/>
      </c>
      <c r="GT18">
        <f ca="1"/>
      </c>
    </row>
    <row r="19" spans="1:202" x14ac:dyDescent="0.55000000000000004">
      <c r="A19" t="s">
        <v>289</v>
      </c>
      <c r="B19" s="13" cm="1">
        <f t="array" aca="1" ref="B19" ca="1">_xlfn.XLOOKUP($A19,_xlfn.ANCHORARRAY($GS$4),_xlfn.ANCHORARRAY($GT$4),"")</f>
      </c>
      <c r="C19" s="13" cm="1">
        <f t="array" aca="1" ref="C19" ca="1">_xlfn.LET(_xlpm.h,FWM_HC,_xlpm.c,_xlfn.XMATCH($A19,_xlfn.TAKE(_xlpm.h,1)),INDEX(_xlpm.h,ROWS(_xlpm.h),_xlpm.c))</f>
      </c>
      <c r="D19" s="44">
        <f t="shared" ca="1" si="0"/>
      </c>
      <c r="E19" s="44" cm="1">
        <f t="array" aca="1" ref="E19" ca="1">_xlfn.LET(_xlpm.h,FWM_HC,_xlpm.c,_xlfn.XMATCH($A19,_xlfn.TAKE(_xlpm.h,1)),(B19-INDEX(_xlpm.h,ROWS(_xlpm.h)-4,_xlpm.c))*100)</f>
      </c>
      <c r="F19" s="44" cm="1">
        <f t="array" aca="1" ref="F19" ca="1">_xlfn.LET(_xlpm.h,FWM_HC,_xlpm.c,_xlfn.XMATCH($A19,_xlfn.TAKE(_xlpm.h,1)),(B19-INDEX(_xlpm.h,ROWS(_xlpm.h)-20,_xlpm.c))*100)</f>
      </c>
      <c r="G19" s="44" cm="1">
        <f t="array" aca="1" ref="G19" ca="1">_xlfn.LET(_xlpm.h,FWM_HC,_xlpm.c,_xlfn.XMATCH($A19,_xlfn.TAKE(_xlpm.h,1)),(B19-_xlfn.XLOOKUP(FWM_Cmp,_xlfn.DROP(INDEX(_xlpm.h,,1),1),_xlfn.DROP(INDEX(_xlpm.h,,_xlpm.c),1),"",-1))*100)</f>
      </c>
      <c r="H19" s="11" cm="1">
        <f t="array" aca="1" ref="H19" ca="1">_xlfn.LET(_xlpm.h,FWM_HC,FWM_Sigma(_xlfn.DROP(INDEX(_xlpm.h,,_xlfn.XMATCH($A19&amp;" dF",_xlfn.TAKE(_xlpm.h,1))),1)))</f>
      </c>
      <c r="I19" s="45">
        <f t="shared" ca="1" si="1"/>
      </c>
      <c r="J19" s="45">
        <f t="shared" ca="1" si="2"/>
      </c>
      <c r="K19" s="44">
        <f t="shared" ca="1" si="3"/>
      </c>
      <c r="AA19">
        <f ca="1"/>
      </c>
      <c r="AB19">
        <f ca="1"/>
      </c>
      <c r="AC19">
        <f ca="1"/>
      </c>
      <c r="AD19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L19" t="s">
        <v>14</v>
      </c>
      <c r="AM19">
        <v>1</v>
      </c>
      <c r="AO19">
        <f ca="1"/>
      </c>
      <c r="AP19">
        <f ca="1"/>
      </c>
      <c r="AQ19">
        <f ca="1"/>
      </c>
      <c r="AR19">
        <f ca="1"/>
      </c>
      <c r="AS19">
        <f ca="1"/>
      </c>
      <c r="AT19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AZ19">
        <f ca="1"/>
      </c>
      <c r="BA19">
        <f ca="1"/>
      </c>
      <c r="BB19">
        <f ca="1"/>
      </c>
      <c r="BC19">
        <f ca="1"/>
      </c>
      <c r="BD19">
        <f ca="1"/>
      </c>
      <c r="BE19">
        <f ca="1"/>
      </c>
      <c r="BF19">
        <f ca="1"/>
      </c>
      <c r="BG19">
        <f ca="1"/>
      </c>
      <c r="BH19">
        <f ca="1"/>
      </c>
      <c r="BI19">
        <f ca="1"/>
      </c>
      <c r="BJ19">
        <f ca="1"/>
      </c>
      <c r="BK19">
        <f ca="1"/>
      </c>
      <c r="BL19">
        <f ca="1"/>
      </c>
      <c r="BM19">
        <f ca="1"/>
      </c>
      <c r="BN19">
        <f ca="1"/>
      </c>
      <c r="BO19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  <c r="BV19">
        <f ca="1"/>
      </c>
      <c r="BW19">
        <f ca="1"/>
      </c>
      <c r="BX19">
        <f ca="1"/>
      </c>
      <c r="BY19">
        <f ca="1"/>
      </c>
      <c r="BZ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  <c r="CG19">
        <f ca="1"/>
      </c>
      <c r="CH19">
        <f ca="1"/>
      </c>
      <c r="CI19">
        <f ca="1"/>
      </c>
      <c r="CK19">
        <f ca="1"/>
      </c>
      <c r="CL19">
        <f ca="1"/>
      </c>
      <c r="CM19">
        <f ca="1"/>
      </c>
      <c r="CN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DQ19">
        <f ca="1"/>
      </c>
      <c r="DR19">
        <f ca="1"/>
      </c>
      <c r="DS19">
        <f ca="1"/>
      </c>
      <c r="DT19">
        <f ca="1"/>
      </c>
      <c r="DU19">
        <f ca="1"/>
      </c>
      <c r="DV19">
        <f ca="1"/>
      </c>
      <c r="DW19">
        <f ca="1"/>
      </c>
      <c r="DX19">
        <f ca="1"/>
      </c>
      <c r="DY19">
        <f ca="1"/>
      </c>
      <c r="DZ19">
        <f ca="1"/>
      </c>
      <c r="EA19">
        <f ca="1"/>
      </c>
      <c r="EB19">
        <f ca="1"/>
      </c>
      <c r="EC19">
        <f ca="1"/>
      </c>
      <c r="ED19">
        <f ca="1"/>
      </c>
      <c r="EE19">
        <f ca="1"/>
      </c>
      <c r="EG19">
        <f ca="1"/>
      </c>
      <c r="EH19">
        <f ca="1"/>
      </c>
      <c r="EI19">
        <f ca="1"/>
      </c>
      <c r="EJ19">
        <f ca="1"/>
      </c>
      <c r="EK19">
        <f ca="1"/>
      </c>
      <c r="EL19">
        <f ca="1"/>
      </c>
      <c r="EM19">
        <f ca="1"/>
      </c>
      <c r="EN19">
        <f ca="1"/>
      </c>
      <c r="EO19">
        <f ca="1"/>
      </c>
      <c r="E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FS19">
        <f ca="1"/>
      </c>
      <c r="FT19">
        <f ca="1"/>
      </c>
      <c r="FU19">
        <f ca="1"/>
      </c>
      <c r="FV19">
        <f ca="1"/>
      </c>
      <c r="FW19">
        <f ca="1"/>
      </c>
      <c r="FX19">
        <f ca="1"/>
      </c>
      <c r="FY19">
        <f ca="1"/>
      </c>
      <c r="FZ19">
        <f ca="1"/>
      </c>
      <c r="GA19">
        <f ca="1"/>
      </c>
      <c r="GC19">
        <f>VALUE(_xlfn.TEXTBEFORE($A$27,"y"))</f>
      </c>
      <c r="GD19">
        <f ca="1">$B$27</f>
      </c>
      <c r="GE19">
        <f ca="1">IFERROR($B$27-$G$27/100,NA())</f>
      </c>
      <c r="GF19">
        <f ca="1">$G$27</f>
      </c>
      <c r="GM19" s="7">
        <f ca="1"/>
      </c>
      <c r="GN19">
        <f ca="1"/>
      </c>
      <c r="GO19">
        <f ca="1"/>
      </c>
      <c r="GP19">
        <f ca="1"/>
      </c>
      <c r="GQ19">
        <f ca="1"/>
      </c>
      <c r="GT19">
        <f ca="1"/>
      </c>
    </row>
    <row r="20" spans="1:202" x14ac:dyDescent="0.55000000000000004">
      <c r="A20" t="s">
        <v>290</v>
      </c>
      <c r="B20" s="13" cm="1">
        <f t="array" aca="1" ref="B20" ca="1">_xlfn.XLOOKUP($A20,_xlfn.ANCHORARRAY($GS$4),_xlfn.ANCHORARRAY($GT$4),"")</f>
      </c>
      <c r="C20" s="13" cm="1">
        <f t="array" aca="1" ref="C20" ca="1">_xlfn.LET(_xlpm.h,FWM_HC,_xlpm.c,_xlfn.XMATCH($A20,_xlfn.TAKE(_xlpm.h,1)),INDEX(_xlpm.h,ROWS(_xlpm.h),_xlpm.c))</f>
      </c>
      <c r="D20" s="44">
        <f t="shared" ca="1" si="0"/>
      </c>
      <c r="E20" s="44" cm="1">
        <f t="array" aca="1" ref="E20" ca="1">_xlfn.LET(_xlpm.h,FWM_HC,_xlpm.c,_xlfn.XMATCH($A20,_xlfn.TAKE(_xlpm.h,1)),(B20-INDEX(_xlpm.h,ROWS(_xlpm.h)-4,_xlpm.c))*100)</f>
      </c>
      <c r="F20" s="44" cm="1">
        <f t="array" aca="1" ref="F20" ca="1">_xlfn.LET(_xlpm.h,FWM_HC,_xlpm.c,_xlfn.XMATCH($A20,_xlfn.TAKE(_xlpm.h,1)),(B20-INDEX(_xlpm.h,ROWS(_xlpm.h)-20,_xlpm.c))*100)</f>
      </c>
      <c r="G20" s="44" cm="1">
        <f t="array" aca="1" ref="G20" ca="1">_xlfn.LET(_xlpm.h,FWM_HC,_xlpm.c,_xlfn.XMATCH($A20,_xlfn.TAKE(_xlpm.h,1)),(B20-_xlfn.XLOOKUP(FWM_Cmp,_xlfn.DROP(INDEX(_xlpm.h,,1),1),_xlfn.DROP(INDEX(_xlpm.h,,_xlpm.c),1),"",-1))*100)</f>
      </c>
      <c r="H20" s="11" cm="1">
        <f t="array" aca="1" ref="H20" ca="1">_xlfn.LET(_xlpm.h,FWM_HC,FWM_Sigma(_xlfn.DROP(INDEX(_xlpm.h,,_xlfn.XMATCH($A20&amp;" dF",_xlfn.TAKE(_xlpm.h,1))),1)))</f>
      </c>
      <c r="I20" s="45">
        <f t="shared" ca="1" si="1"/>
      </c>
      <c r="J20" s="45">
        <f t="shared" ca="1" si="2"/>
      </c>
      <c r="K20" s="44">
        <f t="shared" ca="1" si="3"/>
      </c>
      <c r="AA20">
        <f ca="1"/>
      </c>
      <c r="AB20">
        <f ca="1"/>
      </c>
      <c r="AC20">
        <f ca="1"/>
      </c>
      <c r="AD20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L20" t="s">
        <v>15</v>
      </c>
      <c r="AM20">
        <v>1</v>
      </c>
      <c r="AO20">
        <f ca="1"/>
      </c>
      <c r="AP20">
        <f ca="1"/>
      </c>
      <c r="AQ20">
        <f ca="1"/>
      </c>
      <c r="AR20">
        <f ca="1"/>
      </c>
      <c r="AS20">
        <f ca="1"/>
      </c>
      <c r="AT20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AZ20">
        <f ca="1"/>
      </c>
      <c r="BA20">
        <f ca="1"/>
      </c>
      <c r="BB20">
        <f ca="1"/>
      </c>
      <c r="BC20">
        <f ca="1"/>
      </c>
      <c r="BD20">
        <f ca="1"/>
      </c>
      <c r="BE20">
        <f ca="1"/>
      </c>
      <c r="BF20">
        <f ca="1"/>
      </c>
      <c r="BG20">
        <f ca="1"/>
      </c>
      <c r="BH20">
        <f ca="1"/>
      </c>
      <c r="BI20">
        <f ca="1"/>
      </c>
      <c r="BJ20">
        <f ca="1"/>
      </c>
      <c r="BK20">
        <f ca="1"/>
      </c>
      <c r="BL20">
        <f ca="1"/>
      </c>
      <c r="BM20">
        <f ca="1"/>
      </c>
      <c r="BN20">
        <f ca="1"/>
      </c>
      <c r="BO20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  <c r="BV20">
        <f ca="1"/>
      </c>
      <c r="BW20">
        <f ca="1"/>
      </c>
      <c r="BX20">
        <f ca="1"/>
      </c>
      <c r="BY20">
        <f ca="1"/>
      </c>
      <c r="BZ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  <c r="CG20">
        <f ca="1"/>
      </c>
      <c r="CH20">
        <f ca="1"/>
      </c>
      <c r="CI20">
        <f ca="1"/>
      </c>
      <c r="CK20">
        <f ca="1"/>
      </c>
      <c r="CL20">
        <f ca="1"/>
      </c>
      <c r="CM20">
        <f ca="1"/>
      </c>
      <c r="CN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DQ20">
        <f ca="1"/>
      </c>
      <c r="DR20">
        <f ca="1"/>
      </c>
      <c r="DS20">
        <f ca="1"/>
      </c>
      <c r="DT20">
        <f ca="1"/>
      </c>
      <c r="DU20">
        <f ca="1"/>
      </c>
      <c r="DV20">
        <f ca="1"/>
      </c>
      <c r="DW20">
        <f ca="1"/>
      </c>
      <c r="DX20">
        <f ca="1"/>
      </c>
      <c r="DY20">
        <f ca="1"/>
      </c>
      <c r="DZ20">
        <f ca="1"/>
      </c>
      <c r="EA20">
        <f ca="1"/>
      </c>
      <c r="EB20">
        <f ca="1"/>
      </c>
      <c r="EC20">
        <f ca="1"/>
      </c>
      <c r="ED20">
        <f ca="1"/>
      </c>
      <c r="EE20">
        <f ca="1"/>
      </c>
      <c r="EG20">
        <f ca="1"/>
      </c>
      <c r="EH20">
        <f ca="1"/>
      </c>
      <c r="EI20">
        <f ca="1"/>
      </c>
      <c r="EJ20">
        <f ca="1"/>
      </c>
      <c r="EK20">
        <f ca="1"/>
      </c>
      <c r="EL20">
        <f ca="1"/>
      </c>
      <c r="EM20">
        <f ca="1"/>
      </c>
      <c r="EN20">
        <f ca="1"/>
      </c>
      <c r="EO20">
        <f ca="1"/>
      </c>
      <c r="E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FS20">
        <f ca="1"/>
      </c>
      <c r="FT20">
        <f ca="1"/>
      </c>
      <c r="FU20">
        <f ca="1"/>
      </c>
      <c r="FV20">
        <f ca="1"/>
      </c>
      <c r="FW20">
        <f ca="1"/>
      </c>
      <c r="FX20">
        <f ca="1"/>
      </c>
      <c r="FY20">
        <f ca="1"/>
      </c>
      <c r="FZ20">
        <f ca="1"/>
      </c>
      <c r="GA20">
        <f ca="1"/>
      </c>
      <c r="GM20" s="7">
        <f ca="1"/>
      </c>
      <c r="GN20">
        <f ca="1"/>
      </c>
      <c r="GO20">
        <f ca="1"/>
      </c>
      <c r="GP20">
        <f ca="1"/>
      </c>
      <c r="GQ20">
        <f ca="1"/>
      </c>
      <c r="GT20">
        <f ca="1"/>
      </c>
    </row>
    <row r="21" spans="1:202" x14ac:dyDescent="0.55000000000000004">
      <c r="A21" t="s">
        <v>291</v>
      </c>
      <c r="B21" s="13" cm="1">
        <f t="array" aca="1" ref="B21" ca="1">_xlfn.XLOOKUP($A21,_xlfn.ANCHORARRAY($GS$4),_xlfn.ANCHORARRAY($GT$4),"")</f>
      </c>
      <c r="C21" s="13" cm="1">
        <f t="array" aca="1" ref="C21" ca="1">_xlfn.LET(_xlpm.h,FWM_HC,_xlpm.c,_xlfn.XMATCH($A21,_xlfn.TAKE(_xlpm.h,1)),INDEX(_xlpm.h,ROWS(_xlpm.h),_xlpm.c))</f>
      </c>
      <c r="D21" s="44">
        <f t="shared" ca="1" si="0"/>
      </c>
      <c r="E21" s="44" cm="1">
        <f t="array" aca="1" ref="E21" ca="1">_xlfn.LET(_xlpm.h,FWM_HC,_xlpm.c,_xlfn.XMATCH($A21,_xlfn.TAKE(_xlpm.h,1)),(B21-INDEX(_xlpm.h,ROWS(_xlpm.h)-4,_xlpm.c))*100)</f>
      </c>
      <c r="F21" s="44" cm="1">
        <f t="array" aca="1" ref="F21" ca="1">_xlfn.LET(_xlpm.h,FWM_HC,_xlpm.c,_xlfn.XMATCH($A21,_xlfn.TAKE(_xlpm.h,1)),(B21-INDEX(_xlpm.h,ROWS(_xlpm.h)-20,_xlpm.c))*100)</f>
      </c>
      <c r="G21" s="44" cm="1">
        <f t="array" aca="1" ref="G21" ca="1">_xlfn.LET(_xlpm.h,FWM_HC,_xlpm.c,_xlfn.XMATCH($A21,_xlfn.TAKE(_xlpm.h,1)),(B21-_xlfn.XLOOKUP(FWM_Cmp,_xlfn.DROP(INDEX(_xlpm.h,,1),1),_xlfn.DROP(INDEX(_xlpm.h,,_xlpm.c),1),"",-1))*100)</f>
      </c>
      <c r="H21" s="11" cm="1">
        <f t="array" aca="1" ref="H21" ca="1">_xlfn.LET(_xlpm.h,FWM_HC,FWM_Sigma(_xlfn.DROP(INDEX(_xlpm.h,,_xlfn.XMATCH($A21&amp;" dF",_xlfn.TAKE(_xlpm.h,1))),1)))</f>
      </c>
      <c r="I21" s="45">
        <f t="shared" ca="1" si="1"/>
      </c>
      <c r="J21" s="45">
        <f t="shared" ca="1" si="2"/>
      </c>
      <c r="K21" s="44">
        <f t="shared" ca="1" si="3"/>
      </c>
      <c r="AA21">
        <f ca="1"/>
      </c>
      <c r="AB21">
        <f ca="1"/>
      </c>
      <c r="AC21">
        <f ca="1"/>
      </c>
      <c r="AD21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L21" t="s">
        <v>16</v>
      </c>
      <c r="AM21">
        <v>1</v>
      </c>
      <c r="AO21">
        <f ca="1"/>
      </c>
      <c r="AP21">
        <f ca="1"/>
      </c>
      <c r="AQ21">
        <f ca="1"/>
      </c>
      <c r="AR21">
        <f ca="1"/>
      </c>
      <c r="AS21">
        <f ca="1"/>
      </c>
      <c r="AT21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AZ21">
        <f ca="1"/>
      </c>
      <c r="BA21">
        <f ca="1"/>
      </c>
      <c r="BB21">
        <f ca="1"/>
      </c>
      <c r="BC21">
        <f ca="1"/>
      </c>
      <c r="BD21">
        <f ca="1"/>
      </c>
      <c r="BE21">
        <f ca="1"/>
      </c>
      <c r="BF21">
        <f ca="1"/>
      </c>
      <c r="BG21">
        <f ca="1"/>
      </c>
      <c r="BH21">
        <f ca="1"/>
      </c>
      <c r="BI21">
        <f ca="1"/>
      </c>
      <c r="BJ21">
        <f ca="1"/>
      </c>
      <c r="BK21">
        <f ca="1"/>
      </c>
      <c r="BL21">
        <f ca="1"/>
      </c>
      <c r="BM21">
        <f ca="1"/>
      </c>
      <c r="BN21">
        <f ca="1"/>
      </c>
      <c r="BO2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  <c r="BV21">
        <f ca="1"/>
      </c>
      <c r="BW21">
        <f ca="1"/>
      </c>
      <c r="BX21">
        <f ca="1"/>
      </c>
      <c r="BY21">
        <f ca="1"/>
      </c>
      <c r="BZ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  <c r="CG21">
        <f ca="1"/>
      </c>
      <c r="CH21">
        <f ca="1"/>
      </c>
      <c r="CI21">
        <f ca="1"/>
      </c>
      <c r="CK21">
        <f ca="1"/>
      </c>
      <c r="CL21">
        <f ca="1"/>
      </c>
      <c r="CM21">
        <f ca="1"/>
      </c>
      <c r="CN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DQ21">
        <f ca="1"/>
      </c>
      <c r="DR21">
        <f ca="1"/>
      </c>
      <c r="DS21">
        <f ca="1"/>
      </c>
      <c r="DT21">
        <f ca="1"/>
      </c>
      <c r="DU21">
        <f ca="1"/>
      </c>
      <c r="DV21">
        <f ca="1"/>
      </c>
      <c r="DW21">
        <f ca="1"/>
      </c>
      <c r="DX21">
        <f ca="1"/>
      </c>
      <c r="DY21">
        <f ca="1"/>
      </c>
      <c r="DZ21">
        <f ca="1"/>
      </c>
      <c r="EA21">
        <f ca="1"/>
      </c>
      <c r="EB21">
        <f ca="1"/>
      </c>
      <c r="EC21">
        <f ca="1"/>
      </c>
      <c r="ED21">
        <f ca="1"/>
      </c>
      <c r="EE21">
        <f ca="1"/>
      </c>
      <c r="EG21">
        <f ca="1"/>
      </c>
      <c r="EH21">
        <f ca="1"/>
      </c>
      <c r="EI21">
        <f ca="1"/>
      </c>
      <c r="EJ21">
        <f ca="1"/>
      </c>
      <c r="EK21">
        <f ca="1"/>
      </c>
      <c r="EL21">
        <f ca="1"/>
      </c>
      <c r="EM21">
        <f ca="1"/>
      </c>
      <c r="EN21">
        <f ca="1"/>
      </c>
      <c r="EO21">
        <f ca="1"/>
      </c>
      <c r="E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FS21">
        <f ca="1"/>
      </c>
      <c r="FT21">
        <f ca="1"/>
      </c>
      <c r="FU21">
        <f ca="1"/>
      </c>
      <c r="FV21">
        <f ca="1"/>
      </c>
      <c r="FW21">
        <f ca="1"/>
      </c>
      <c r="FX21">
        <f ca="1"/>
      </c>
      <c r="FY21">
        <f ca="1"/>
      </c>
      <c r="FZ21">
        <f ca="1"/>
      </c>
      <c r="GA21">
        <f ca="1"/>
      </c>
      <c r="GM21" s="7">
        <f ca="1"/>
      </c>
      <c r="GN21">
        <f ca="1"/>
      </c>
      <c r="GO21">
        <f ca="1"/>
      </c>
      <c r="GP21">
        <f ca="1"/>
      </c>
      <c r="GQ21">
        <f ca="1"/>
      </c>
      <c r="GT21">
        <f ca="1"/>
      </c>
    </row>
    <row r="22" spans="1:202" x14ac:dyDescent="0.55000000000000004">
      <c r="A22" t="s">
        <v>292</v>
      </c>
      <c r="B22" s="13" cm="1">
        <f t="array" aca="1" ref="B22" ca="1">_xlfn.XLOOKUP($A22,_xlfn.ANCHORARRAY($GS$4),_xlfn.ANCHORARRAY($GT$4),"")</f>
      </c>
      <c r="C22" s="13" cm="1">
        <f t="array" aca="1" ref="C22" ca="1">_xlfn.LET(_xlpm.h,FWM_HC,_xlpm.c,_xlfn.XMATCH($A22,_xlfn.TAKE(_xlpm.h,1)),INDEX(_xlpm.h,ROWS(_xlpm.h),_xlpm.c))</f>
      </c>
      <c r="D22" s="44">
        <f t="shared" ca="1" si="0"/>
      </c>
      <c r="E22" s="44" cm="1">
        <f t="array" aca="1" ref="E22" ca="1">_xlfn.LET(_xlpm.h,FWM_HC,_xlpm.c,_xlfn.XMATCH($A22,_xlfn.TAKE(_xlpm.h,1)),(B22-INDEX(_xlpm.h,ROWS(_xlpm.h)-4,_xlpm.c))*100)</f>
      </c>
      <c r="F22" s="44" cm="1">
        <f t="array" aca="1" ref="F22" ca="1">_xlfn.LET(_xlpm.h,FWM_HC,_xlpm.c,_xlfn.XMATCH($A22,_xlfn.TAKE(_xlpm.h,1)),(B22-INDEX(_xlpm.h,ROWS(_xlpm.h)-20,_xlpm.c))*100)</f>
      </c>
      <c r="G22" s="44" cm="1">
        <f t="array" aca="1" ref="G22" ca="1">_xlfn.LET(_xlpm.h,FWM_HC,_xlpm.c,_xlfn.XMATCH($A22,_xlfn.TAKE(_xlpm.h,1)),(B22-_xlfn.XLOOKUP(FWM_Cmp,_xlfn.DROP(INDEX(_xlpm.h,,1),1),_xlfn.DROP(INDEX(_xlpm.h,,_xlpm.c),1),"",-1))*100)</f>
      </c>
      <c r="H22" s="11" cm="1">
        <f t="array" aca="1" ref="H22" ca="1">_xlfn.LET(_xlpm.h,FWM_HC,FWM_Sigma(_xlfn.DROP(INDEX(_xlpm.h,,_xlfn.XMATCH($A22&amp;" dF",_xlfn.TAKE(_xlpm.h,1))),1)))</f>
      </c>
      <c r="I22" s="45">
        <f t="shared" ca="1" si="1"/>
      </c>
      <c r="J22" s="45">
        <f t="shared" ca="1" si="2"/>
      </c>
      <c r="K22" s="44">
        <f t="shared" ca="1" si="3"/>
      </c>
      <c r="AA22">
        <f ca="1"/>
      </c>
      <c r="AB22">
        <f ca="1"/>
      </c>
      <c r="AC22">
        <f ca="1"/>
      </c>
      <c r="AD22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L22" t="s">
        <v>17</v>
      </c>
      <c r="AM22">
        <v>1</v>
      </c>
      <c r="AO22">
        <f ca="1"/>
      </c>
      <c r="AP22">
        <f ca="1"/>
      </c>
      <c r="AQ22">
        <f ca="1"/>
      </c>
      <c r="AR22">
        <f ca="1"/>
      </c>
      <c r="AS22">
        <f ca="1"/>
      </c>
      <c r="AT22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AZ22">
        <f ca="1"/>
      </c>
      <c r="BA22">
        <f ca="1"/>
      </c>
      <c r="BB22">
        <f ca="1"/>
      </c>
      <c r="BC22">
        <f ca="1"/>
      </c>
      <c r="BD22">
        <f ca="1"/>
      </c>
      <c r="BE22">
        <f ca="1"/>
      </c>
      <c r="BF22">
        <f ca="1"/>
      </c>
      <c r="BG22">
        <f ca="1"/>
      </c>
      <c r="BH22">
        <f ca="1"/>
      </c>
      <c r="BI22">
        <f ca="1"/>
      </c>
      <c r="BJ22">
        <f ca="1"/>
      </c>
      <c r="BK22">
        <f ca="1"/>
      </c>
      <c r="BL22">
        <f ca="1"/>
      </c>
      <c r="BM22">
        <f ca="1"/>
      </c>
      <c r="BN22">
        <f ca="1"/>
      </c>
      <c r="BO22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  <c r="BV22">
        <f ca="1"/>
      </c>
      <c r="BW22">
        <f ca="1"/>
      </c>
      <c r="BX22">
        <f ca="1"/>
      </c>
      <c r="BY22">
        <f ca="1"/>
      </c>
      <c r="BZ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  <c r="CG22">
        <f ca="1"/>
      </c>
      <c r="CH22">
        <f ca="1"/>
      </c>
      <c r="CI22">
        <f ca="1"/>
      </c>
      <c r="CK22">
        <f ca="1"/>
      </c>
      <c r="CL22">
        <f ca="1"/>
      </c>
      <c r="CM22">
        <f ca="1"/>
      </c>
      <c r="CN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DQ22">
        <f ca="1"/>
      </c>
      <c r="DR22">
        <f ca="1"/>
      </c>
      <c r="DS22">
        <f ca="1"/>
      </c>
      <c r="DT22">
        <f ca="1"/>
      </c>
      <c r="DU22">
        <f ca="1"/>
      </c>
      <c r="DV22">
        <f ca="1"/>
      </c>
      <c r="DW22">
        <f ca="1"/>
      </c>
      <c r="DX22">
        <f ca="1"/>
      </c>
      <c r="DY22">
        <f ca="1"/>
      </c>
      <c r="DZ22">
        <f ca="1"/>
      </c>
      <c r="EA22">
        <f ca="1"/>
      </c>
      <c r="EB22">
        <f ca="1"/>
      </c>
      <c r="EC22">
        <f ca="1"/>
      </c>
      <c r="ED22">
        <f ca="1"/>
      </c>
      <c r="EE22">
        <f ca="1"/>
      </c>
      <c r="EG22">
        <f ca="1"/>
      </c>
      <c r="EH22">
        <f ca="1"/>
      </c>
      <c r="EI22">
        <f ca="1"/>
      </c>
      <c r="EJ22">
        <f ca="1"/>
      </c>
      <c r="EK22">
        <f ca="1"/>
      </c>
      <c r="EL22">
        <f ca="1"/>
      </c>
      <c r="EM22">
        <f ca="1"/>
      </c>
      <c r="EN22">
        <f ca="1"/>
      </c>
      <c r="EO22">
        <f ca="1"/>
      </c>
      <c r="EP22">
        <f ca="1"/>
      </c>
      <c r="EQ22">
        <f ca="1"/>
      </c>
      <c r="ER22">
        <f ca="1"/>
      </c>
      <c r="ES22">
        <f ca="1"/>
      </c>
      <c r="ET22">
        <f ca="1"/>
      </c>
      <c r="EU22">
        <f ca="1"/>
      </c>
      <c r="EV22">
        <f ca="1"/>
      </c>
      <c r="EW22">
        <f ca="1"/>
      </c>
      <c r="EX22">
        <f ca="1"/>
      </c>
      <c r="EY22">
        <f ca="1"/>
      </c>
      <c r="EZ22">
        <f ca="1"/>
      </c>
      <c r="FA22">
        <f ca="1"/>
      </c>
      <c r="FB22">
        <f ca="1"/>
      </c>
      <c r="FC22">
        <f ca="1"/>
      </c>
      <c r="FD22">
        <f ca="1"/>
      </c>
      <c r="FE22">
        <f ca="1"/>
      </c>
      <c r="FF22">
        <f ca="1"/>
      </c>
      <c r="FG22">
        <f ca="1"/>
      </c>
      <c r="FH22">
        <f ca="1"/>
      </c>
      <c r="FI22">
        <f ca="1"/>
      </c>
      <c r="FJ22">
        <f ca="1"/>
      </c>
      <c r="FK22">
        <f ca="1"/>
      </c>
      <c r="FL22">
        <f ca="1"/>
      </c>
      <c r="FM22">
        <f ca="1"/>
      </c>
      <c r="FN22">
        <f ca="1"/>
      </c>
      <c r="FO22">
        <f ca="1"/>
      </c>
      <c r="FP22">
        <f ca="1"/>
      </c>
      <c r="FQ22">
        <f ca="1"/>
      </c>
      <c r="FR22">
        <f ca="1"/>
      </c>
      <c r="FS22">
        <f ca="1"/>
      </c>
      <c r="FT22">
        <f ca="1"/>
      </c>
      <c r="FU22">
        <f ca="1"/>
      </c>
      <c r="FV22">
        <f ca="1"/>
      </c>
      <c r="FW22">
        <f ca="1"/>
      </c>
      <c r="FX22">
        <f ca="1"/>
      </c>
      <c r="FY22">
        <f ca="1"/>
      </c>
      <c r="FZ22">
        <f ca="1"/>
      </c>
      <c r="GA22">
        <f ca="1"/>
      </c>
      <c r="GM22" s="7">
        <f ca="1"/>
      </c>
      <c r="GN22">
        <f ca="1"/>
      </c>
      <c r="GO22">
        <f ca="1"/>
      </c>
      <c r="GP22">
        <f ca="1"/>
      </c>
      <c r="GQ22">
        <f ca="1"/>
      </c>
      <c r="GT22">
        <f ca="1"/>
      </c>
    </row>
    <row r="23" spans="1:202" x14ac:dyDescent="0.55000000000000004">
      <c r="A23" t="s">
        <v>293</v>
      </c>
      <c r="B23" s="13" cm="1">
        <f t="array" aca="1" ref="B23" ca="1">_xlfn.XLOOKUP($A23,_xlfn.ANCHORARRAY($GS$4),_xlfn.ANCHORARRAY($GT$4),"")</f>
      </c>
      <c r="C23" s="13" cm="1">
        <f t="array" aca="1" ref="C23" ca="1">_xlfn.LET(_xlpm.h,FWM_HC,_xlpm.c,_xlfn.XMATCH($A23,_xlfn.TAKE(_xlpm.h,1)),INDEX(_xlpm.h,ROWS(_xlpm.h),_xlpm.c))</f>
      </c>
      <c r="D23" s="44">
        <f t="shared" ca="1" si="0"/>
      </c>
      <c r="E23" s="44" cm="1">
        <f t="array" aca="1" ref="E23" ca="1">_xlfn.LET(_xlpm.h,FWM_HC,_xlpm.c,_xlfn.XMATCH($A23,_xlfn.TAKE(_xlpm.h,1)),(B23-INDEX(_xlpm.h,ROWS(_xlpm.h)-4,_xlpm.c))*100)</f>
      </c>
      <c r="F23" s="44" cm="1">
        <f t="array" aca="1" ref="F23" ca="1">_xlfn.LET(_xlpm.h,FWM_HC,_xlpm.c,_xlfn.XMATCH($A23,_xlfn.TAKE(_xlpm.h,1)),(B23-INDEX(_xlpm.h,ROWS(_xlpm.h)-20,_xlpm.c))*100)</f>
      </c>
      <c r="G23" s="44" cm="1">
        <f t="array" aca="1" ref="G23" ca="1">_xlfn.LET(_xlpm.h,FWM_HC,_xlpm.c,_xlfn.XMATCH($A23,_xlfn.TAKE(_xlpm.h,1)),(B23-_xlfn.XLOOKUP(FWM_Cmp,_xlfn.DROP(INDEX(_xlpm.h,,1),1),_xlfn.DROP(INDEX(_xlpm.h,,_xlpm.c),1),"",-1))*100)</f>
      </c>
      <c r="H23" s="11" cm="1">
        <f t="array" aca="1" ref="H23" ca="1">_xlfn.LET(_xlpm.h,FWM_HC,FWM_Sigma(_xlfn.DROP(INDEX(_xlpm.h,,_xlfn.XMATCH($A23&amp;" dF",_xlfn.TAKE(_xlpm.h,1))),1)))</f>
      </c>
      <c r="I23" s="45">
        <f t="shared" ca="1" si="1"/>
      </c>
      <c r="J23" s="45">
        <f t="shared" ca="1" si="2"/>
      </c>
      <c r="K23" s="44">
        <f t="shared" ca="1" si="3"/>
      </c>
      <c r="AA23">
        <f ca="1"/>
      </c>
      <c r="AB23">
        <f ca="1"/>
      </c>
      <c r="AC23">
        <f ca="1"/>
      </c>
      <c r="AD23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L23" t="s">
        <v>18</v>
      </c>
      <c r="AM23">
        <v>1</v>
      </c>
      <c r="AO23">
        <f ca="1"/>
      </c>
      <c r="AP23">
        <f ca="1"/>
      </c>
      <c r="AQ23">
        <f ca="1"/>
      </c>
      <c r="AR23">
        <f ca="1"/>
      </c>
      <c r="AS23">
        <f ca="1"/>
      </c>
      <c r="AT23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AZ23">
        <f ca="1"/>
      </c>
      <c r="BA23">
        <f ca="1"/>
      </c>
      <c r="BB23">
        <f ca="1"/>
      </c>
      <c r="BC23">
        <f ca="1"/>
      </c>
      <c r="BD23">
        <f ca="1"/>
      </c>
      <c r="BE23">
        <f ca="1"/>
      </c>
      <c r="BF23">
        <f ca="1"/>
      </c>
      <c r="BG23">
        <f ca="1"/>
      </c>
      <c r="BH23">
        <f ca="1"/>
      </c>
      <c r="BI23">
        <f ca="1"/>
      </c>
      <c r="BJ23">
        <f ca="1"/>
      </c>
      <c r="BK23">
        <f ca="1"/>
      </c>
      <c r="BL23">
        <f ca="1"/>
      </c>
      <c r="BM23">
        <f ca="1"/>
      </c>
      <c r="BN23">
        <f ca="1"/>
      </c>
      <c r="BO23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  <c r="BV23">
        <f ca="1"/>
      </c>
      <c r="BW23">
        <f ca="1"/>
      </c>
      <c r="BX23">
        <f ca="1"/>
      </c>
      <c r="BY23">
        <f ca="1"/>
      </c>
      <c r="BZ23">
        <f ca="1"/>
      </c>
      <c r="CA23">
        <f ca="1"/>
      </c>
      <c r="CB23">
        <f ca="1"/>
      </c>
      <c r="CC23">
        <f ca="1"/>
      </c>
      <c r="CD23">
        <f ca="1"/>
      </c>
      <c r="CE23">
        <f ca="1"/>
      </c>
      <c r="CF23">
        <f ca="1"/>
      </c>
      <c r="CG23">
        <f ca="1"/>
      </c>
      <c r="CH23">
        <f ca="1"/>
      </c>
      <c r="CI23">
        <f ca="1"/>
      </c>
      <c r="CK23">
        <f ca="1"/>
      </c>
      <c r="CL23">
        <f ca="1"/>
      </c>
      <c r="CM23">
        <f ca="1"/>
      </c>
      <c r="CN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DQ23">
        <f ca="1"/>
      </c>
      <c r="DR23">
        <f ca="1"/>
      </c>
      <c r="DS23">
        <f ca="1"/>
      </c>
      <c r="DT23">
        <f ca="1"/>
      </c>
      <c r="DU23">
        <f ca="1"/>
      </c>
      <c r="DV23">
        <f ca="1"/>
      </c>
      <c r="DW23">
        <f ca="1"/>
      </c>
      <c r="DX23">
        <f ca="1"/>
      </c>
      <c r="DY23">
        <f ca="1"/>
      </c>
      <c r="DZ23">
        <f ca="1"/>
      </c>
      <c r="EA23">
        <f ca="1"/>
      </c>
      <c r="EB23">
        <f ca="1"/>
      </c>
      <c r="EC23">
        <f ca="1"/>
      </c>
      <c r="ED23">
        <f ca="1"/>
      </c>
      <c r="EE23">
        <f ca="1"/>
      </c>
      <c r="EG23">
        <f ca="1"/>
      </c>
      <c r="EH23">
        <f ca="1"/>
      </c>
      <c r="EI23">
        <f ca="1"/>
      </c>
      <c r="EJ23">
        <f ca="1"/>
      </c>
      <c r="EK23">
        <f ca="1"/>
      </c>
      <c r="EL23">
        <f ca="1"/>
      </c>
      <c r="EM23">
        <f ca="1"/>
      </c>
      <c r="EN23">
        <f ca="1"/>
      </c>
      <c r="EO23">
        <f ca="1"/>
      </c>
      <c r="EP23">
        <f ca="1"/>
      </c>
      <c r="EQ23">
        <f ca="1"/>
      </c>
      <c r="ER23">
        <f ca="1"/>
      </c>
      <c r="ES23">
        <f ca="1"/>
      </c>
      <c r="ET23">
        <f ca="1"/>
      </c>
      <c r="EU23">
        <f ca="1"/>
      </c>
      <c r="EV23">
        <f ca="1"/>
      </c>
      <c r="EW23">
        <f ca="1"/>
      </c>
      <c r="EX23">
        <f ca="1"/>
      </c>
      <c r="EY23">
        <f ca="1"/>
      </c>
      <c r="EZ23">
        <f ca="1"/>
      </c>
      <c r="FA23">
        <f ca="1"/>
      </c>
      <c r="FB23">
        <f ca="1"/>
      </c>
      <c r="FC23">
        <f ca="1"/>
      </c>
      <c r="FD23">
        <f ca="1"/>
      </c>
      <c r="FE23">
        <f ca="1"/>
      </c>
      <c r="FF23">
        <f ca="1"/>
      </c>
      <c r="FG23">
        <f ca="1"/>
      </c>
      <c r="FH23">
        <f ca="1"/>
      </c>
      <c r="FI23">
        <f ca="1"/>
      </c>
      <c r="FJ23">
        <f ca="1"/>
      </c>
      <c r="FK23">
        <f ca="1"/>
      </c>
      <c r="FL23">
        <f ca="1"/>
      </c>
      <c r="FM23">
        <f ca="1"/>
      </c>
      <c r="FN23">
        <f ca="1"/>
      </c>
      <c r="FO23">
        <f ca="1"/>
      </c>
      <c r="FP23">
        <f ca="1"/>
      </c>
      <c r="FQ23">
        <f ca="1"/>
      </c>
      <c r="FR23">
        <f ca="1"/>
      </c>
      <c r="FS23">
        <f ca="1"/>
      </c>
      <c r="FT23">
        <f ca="1"/>
      </c>
      <c r="FU23">
        <f ca="1"/>
      </c>
      <c r="FV23">
        <f ca="1"/>
      </c>
      <c r="FW23">
        <f ca="1"/>
      </c>
      <c r="FX23">
        <f ca="1"/>
      </c>
      <c r="FY23">
        <f ca="1"/>
      </c>
      <c r="FZ23">
        <f ca="1"/>
      </c>
      <c r="GA23">
        <f ca="1"/>
      </c>
      <c r="GM23" s="7">
        <f ca="1"/>
      </c>
      <c r="GN23">
        <f ca="1"/>
      </c>
      <c r="GO23">
        <f ca="1"/>
      </c>
      <c r="GP23">
        <f ca="1"/>
      </c>
      <c r="GQ23">
        <f ca="1"/>
      </c>
      <c r="GT23">
        <f ca="1"/>
      </c>
    </row>
    <row r="24" spans="1:202" x14ac:dyDescent="0.55000000000000004">
      <c r="A24" t="s">
        <v>294</v>
      </c>
      <c r="B24" s="13" cm="1">
        <f t="array" aca="1" ref="B24" ca="1">_xlfn.XLOOKUP($A24,_xlfn.ANCHORARRAY($GS$4),_xlfn.ANCHORARRAY($GT$4),"")</f>
      </c>
      <c r="C24" s="13" cm="1">
        <f t="array" aca="1" ref="C24" ca="1">_xlfn.LET(_xlpm.h,FWM_HC,_xlpm.c,_xlfn.XMATCH($A24,_xlfn.TAKE(_xlpm.h,1)),INDEX(_xlpm.h,ROWS(_xlpm.h),_xlpm.c))</f>
      </c>
      <c r="D24" s="44">
        <f t="shared" ca="1" si="0"/>
      </c>
      <c r="E24" s="44" cm="1">
        <f t="array" aca="1" ref="E24" ca="1">_xlfn.LET(_xlpm.h,FWM_HC,_xlpm.c,_xlfn.XMATCH($A24,_xlfn.TAKE(_xlpm.h,1)),(B24-INDEX(_xlpm.h,ROWS(_xlpm.h)-4,_xlpm.c))*100)</f>
      </c>
      <c r="F24" s="44" cm="1">
        <f t="array" aca="1" ref="F24" ca="1">_xlfn.LET(_xlpm.h,FWM_HC,_xlpm.c,_xlfn.XMATCH($A24,_xlfn.TAKE(_xlpm.h,1)),(B24-INDEX(_xlpm.h,ROWS(_xlpm.h)-20,_xlpm.c))*100)</f>
      </c>
      <c r="G24" s="44" cm="1">
        <f t="array" aca="1" ref="G24" ca="1">_xlfn.LET(_xlpm.h,FWM_HC,_xlpm.c,_xlfn.XMATCH($A24,_xlfn.TAKE(_xlpm.h,1)),(B24-_xlfn.XLOOKUP(FWM_Cmp,_xlfn.DROP(INDEX(_xlpm.h,,1),1),_xlfn.DROP(INDEX(_xlpm.h,,_xlpm.c),1),"",-1))*100)</f>
      </c>
      <c r="H24" s="11" cm="1">
        <f t="array" aca="1" ref="H24" ca="1">_xlfn.LET(_xlpm.h,FWM_HC,FWM_Sigma(_xlfn.DROP(INDEX(_xlpm.h,,_xlfn.XMATCH($A24&amp;" dF",_xlfn.TAKE(_xlpm.h,1))),1)))</f>
      </c>
      <c r="I24" s="45">
        <f t="shared" ca="1" si="1"/>
      </c>
      <c r="J24" s="45">
        <f t="shared" ca="1" si="2"/>
      </c>
      <c r="K24" s="44">
        <f t="shared" ca="1" si="3"/>
      </c>
      <c r="AA24">
        <f ca="1"/>
      </c>
      <c r="AB24">
        <f ca="1"/>
      </c>
      <c r="AC24">
        <f ca="1"/>
      </c>
      <c r="AD24">
        <f ca="1"/>
      </c>
      <c r="AF24">
        <f ca="1"/>
      </c>
      <c r="AG24">
        <f ca="1"/>
      </c>
      <c r="AH24">
        <f ca="1"/>
      </c>
      <c r="AI24">
        <f ca="1"/>
      </c>
      <c r="AJ24">
        <f ca="1"/>
      </c>
      <c r="AL24" t="s">
        <v>19</v>
      </c>
      <c r="AM24">
        <v>1</v>
      </c>
      <c r="AO24">
        <f ca="1"/>
      </c>
      <c r="AP24">
        <f ca="1"/>
      </c>
      <c r="AQ24">
        <f ca="1"/>
      </c>
      <c r="AR24">
        <f ca="1"/>
      </c>
      <c r="AS24">
        <f ca="1"/>
      </c>
      <c r="AT24">
        <f ca="1"/>
      </c>
      <c r="AU24">
        <f ca="1"/>
      </c>
      <c r="AV24">
        <f ca="1"/>
      </c>
      <c r="AW24">
        <f ca="1"/>
      </c>
      <c r="AX24">
        <f ca="1"/>
      </c>
      <c r="AY24">
        <f ca="1"/>
      </c>
      <c r="AZ24">
        <f ca="1"/>
      </c>
      <c r="BA24">
        <f ca="1"/>
      </c>
      <c r="BB24">
        <f ca="1"/>
      </c>
      <c r="BC24">
        <f ca="1"/>
      </c>
      <c r="BD24">
        <f ca="1"/>
      </c>
      <c r="BE24">
        <f ca="1"/>
      </c>
      <c r="BF24">
        <f ca="1"/>
      </c>
      <c r="BG24">
        <f ca="1"/>
      </c>
      <c r="BH24">
        <f ca="1"/>
      </c>
      <c r="BI24">
        <f ca="1"/>
      </c>
      <c r="BJ24">
        <f ca="1"/>
      </c>
      <c r="BK24">
        <f ca="1"/>
      </c>
      <c r="BL24">
        <f ca="1"/>
      </c>
      <c r="BM24">
        <f ca="1"/>
      </c>
      <c r="BN24">
        <f ca="1"/>
      </c>
      <c r="BO24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  <c r="BV24">
        <f ca="1"/>
      </c>
      <c r="BW24">
        <f ca="1"/>
      </c>
      <c r="BX24">
        <f ca="1"/>
      </c>
      <c r="BY24">
        <f ca="1"/>
      </c>
      <c r="BZ24">
        <f ca="1"/>
      </c>
      <c r="CA24">
        <f ca="1"/>
      </c>
      <c r="CB24">
        <f ca="1"/>
      </c>
      <c r="CC24">
        <f ca="1"/>
      </c>
      <c r="CD24">
        <f ca="1"/>
      </c>
      <c r="CE24">
        <f ca="1"/>
      </c>
      <c r="CF24">
        <f ca="1"/>
      </c>
      <c r="CG24">
        <f ca="1"/>
      </c>
      <c r="CH24">
        <f ca="1"/>
      </c>
      <c r="CI24">
        <f ca="1"/>
      </c>
      <c r="CK24">
        <f ca="1"/>
      </c>
      <c r="CL24">
        <f ca="1"/>
      </c>
      <c r="CM24">
        <f ca="1"/>
      </c>
      <c r="CN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DQ24">
        <f ca="1"/>
      </c>
      <c r="DR24">
        <f ca="1"/>
      </c>
      <c r="DS24">
        <f ca="1"/>
      </c>
      <c r="DT24">
        <f ca="1"/>
      </c>
      <c r="DU24">
        <f ca="1"/>
      </c>
      <c r="DV24">
        <f ca="1"/>
      </c>
      <c r="DW24">
        <f ca="1"/>
      </c>
      <c r="DX24">
        <f ca="1"/>
      </c>
      <c r="DY24">
        <f ca="1"/>
      </c>
      <c r="DZ24">
        <f ca="1"/>
      </c>
      <c r="EA24">
        <f ca="1"/>
      </c>
      <c r="EB24">
        <f ca="1"/>
      </c>
      <c r="EC24">
        <f ca="1"/>
      </c>
      <c r="ED24">
        <f ca="1"/>
      </c>
      <c r="EE24">
        <f ca="1"/>
      </c>
      <c r="EG24">
        <f ca="1"/>
      </c>
      <c r="EH24">
        <f ca="1"/>
      </c>
      <c r="EI24">
        <f ca="1"/>
      </c>
      <c r="EJ24">
        <f ca="1"/>
      </c>
      <c r="EK24">
        <f ca="1"/>
      </c>
      <c r="EL24">
        <f ca="1"/>
      </c>
      <c r="EM24">
        <f ca="1"/>
      </c>
      <c r="EN24">
        <f ca="1"/>
      </c>
      <c r="EO24">
        <f ca="1"/>
      </c>
      <c r="EP24">
        <f ca="1"/>
      </c>
      <c r="EQ24">
        <f ca="1"/>
      </c>
      <c r="ER24">
        <f ca="1"/>
      </c>
      <c r="ES24">
        <f ca="1"/>
      </c>
      <c r="ET24">
        <f ca="1"/>
      </c>
      <c r="EU24">
        <f ca="1"/>
      </c>
      <c r="EV24">
        <f ca="1"/>
      </c>
      <c r="EW24">
        <f ca="1"/>
      </c>
      <c r="EX24">
        <f ca="1"/>
      </c>
      <c r="EY24">
        <f ca="1"/>
      </c>
      <c r="EZ24">
        <f ca="1"/>
      </c>
      <c r="FA24">
        <f ca="1"/>
      </c>
      <c r="FB24">
        <f ca="1"/>
      </c>
      <c r="FC24">
        <f ca="1"/>
      </c>
      <c r="FD24">
        <f ca="1"/>
      </c>
      <c r="FE24">
        <f ca="1"/>
      </c>
      <c r="FF24">
        <f ca="1"/>
      </c>
      <c r="FG24">
        <f ca="1"/>
      </c>
      <c r="FH24">
        <f ca="1"/>
      </c>
      <c r="FI24">
        <f ca="1"/>
      </c>
      <c r="FJ24">
        <f ca="1"/>
      </c>
      <c r="FK24">
        <f ca="1"/>
      </c>
      <c r="FL24">
        <f ca="1"/>
      </c>
      <c r="FM24">
        <f ca="1"/>
      </c>
      <c r="FN24">
        <f ca="1"/>
      </c>
      <c r="FO24">
        <f ca="1"/>
      </c>
      <c r="FP24">
        <f ca="1"/>
      </c>
      <c r="FQ24">
        <f ca="1"/>
      </c>
      <c r="FR24">
        <f ca="1"/>
      </c>
      <c r="FS24">
        <f ca="1"/>
      </c>
      <c r="FT24">
        <f ca="1"/>
      </c>
      <c r="FU24">
        <f ca="1"/>
      </c>
      <c r="FV24">
        <f ca="1"/>
      </c>
      <c r="FW24">
        <f ca="1"/>
      </c>
      <c r="FX24">
        <f ca="1"/>
      </c>
      <c r="FY24">
        <f ca="1"/>
      </c>
      <c r="FZ24">
        <f ca="1"/>
      </c>
      <c r="GA24">
        <f ca="1"/>
      </c>
      <c r="GM24" s="7">
        <f ca="1"/>
      </c>
      <c r="GN24">
        <f ca="1"/>
      </c>
      <c r="GO24">
        <f ca="1"/>
      </c>
      <c r="GP24">
        <f ca="1"/>
      </c>
      <c r="GQ24">
        <f ca="1"/>
      </c>
      <c r="GT24">
        <f ca="1"/>
      </c>
    </row>
    <row r="25" spans="1:202" x14ac:dyDescent="0.55000000000000004">
      <c r="A25" t="s">
        <v>295</v>
      </c>
      <c r="B25" s="13" cm="1">
        <f t="array" aca="1" ref="B25" ca="1">_xlfn.XLOOKUP($A25,_xlfn.ANCHORARRAY($GS$4),_xlfn.ANCHORARRAY($GT$4),"")</f>
      </c>
      <c r="C25" s="13" cm="1">
        <f t="array" aca="1" ref="C25" ca="1">_xlfn.LET(_xlpm.h,FWM_HC,_xlpm.c,_xlfn.XMATCH($A25,_xlfn.TAKE(_xlpm.h,1)),INDEX(_xlpm.h,ROWS(_xlpm.h),_xlpm.c))</f>
      </c>
      <c r="D25" s="44">
        <f t="shared" ca="1" si="0"/>
      </c>
      <c r="E25" s="44" cm="1">
        <f t="array" aca="1" ref="E25" ca="1">_xlfn.LET(_xlpm.h,FWM_HC,_xlpm.c,_xlfn.XMATCH($A25,_xlfn.TAKE(_xlpm.h,1)),(B25-INDEX(_xlpm.h,ROWS(_xlpm.h)-4,_xlpm.c))*100)</f>
      </c>
      <c r="F25" s="44" cm="1">
        <f t="array" aca="1" ref="F25" ca="1">_xlfn.LET(_xlpm.h,FWM_HC,_xlpm.c,_xlfn.XMATCH($A25,_xlfn.TAKE(_xlpm.h,1)),(B25-INDEX(_xlpm.h,ROWS(_xlpm.h)-20,_xlpm.c))*100)</f>
      </c>
      <c r="G25" s="44" cm="1">
        <f t="array" aca="1" ref="G25" ca="1">_xlfn.LET(_xlpm.h,FWM_HC,_xlpm.c,_xlfn.XMATCH($A25,_xlfn.TAKE(_xlpm.h,1)),(B25-_xlfn.XLOOKUP(FWM_Cmp,_xlfn.DROP(INDEX(_xlpm.h,,1),1),_xlfn.DROP(INDEX(_xlpm.h,,_xlpm.c),1),"",-1))*100)</f>
      </c>
      <c r="H25" s="11" cm="1">
        <f t="array" aca="1" ref="H25" ca="1">_xlfn.LET(_xlpm.h,FWM_HC,FWM_Sigma(_xlfn.DROP(INDEX(_xlpm.h,,_xlfn.XMATCH($A25&amp;" dF",_xlfn.TAKE(_xlpm.h,1))),1)))</f>
      </c>
      <c r="I25" s="45">
        <f t="shared" ca="1" si="1"/>
      </c>
      <c r="J25" s="45">
        <f t="shared" ca="1" si="2"/>
      </c>
      <c r="K25" s="44">
        <f t="shared" ca="1" si="3"/>
      </c>
      <c r="AA25">
        <f ca="1"/>
      </c>
      <c r="AB25">
        <f ca="1"/>
      </c>
      <c r="AC25">
        <f ca="1"/>
      </c>
      <c r="AD25">
        <f ca="1"/>
      </c>
      <c r="AF25">
        <f ca="1"/>
      </c>
      <c r="AG25">
        <f ca="1"/>
      </c>
      <c r="AH25">
        <f ca="1"/>
      </c>
      <c r="AI25">
        <f ca="1"/>
      </c>
      <c r="AJ25">
        <f ca="1"/>
      </c>
      <c r="AL25" t="s">
        <v>20</v>
      </c>
      <c r="AM25">
        <v>1</v>
      </c>
      <c r="AO25">
        <f ca="1"/>
      </c>
      <c r="AP25">
        <f ca="1"/>
      </c>
      <c r="AQ25">
        <f ca="1"/>
      </c>
      <c r="AR25">
        <f ca="1"/>
      </c>
      <c r="AS25">
        <f ca="1"/>
      </c>
      <c r="AT25">
        <f ca="1"/>
      </c>
      <c r="AU25">
        <f ca="1"/>
      </c>
      <c r="AV25">
        <f ca="1"/>
      </c>
      <c r="AW25">
        <f ca="1"/>
      </c>
      <c r="AX25">
        <f ca="1"/>
      </c>
      <c r="AY25">
        <f ca="1"/>
      </c>
      <c r="AZ25">
        <f ca="1"/>
      </c>
      <c r="BA25">
        <f ca="1"/>
      </c>
      <c r="BB25">
        <f ca="1"/>
      </c>
      <c r="BC25">
        <f ca="1"/>
      </c>
      <c r="BD25">
        <f ca="1"/>
      </c>
      <c r="BE25">
        <f ca="1"/>
      </c>
      <c r="BF25">
        <f ca="1"/>
      </c>
      <c r="BG25">
        <f ca="1"/>
      </c>
      <c r="BH25">
        <f ca="1"/>
      </c>
      <c r="BI25">
        <f ca="1"/>
      </c>
      <c r="BJ25">
        <f ca="1"/>
      </c>
      <c r="BK25">
        <f ca="1"/>
      </c>
      <c r="BL25">
        <f ca="1"/>
      </c>
      <c r="BM25">
        <f ca="1"/>
      </c>
      <c r="BN25">
        <f ca="1"/>
      </c>
      <c r="BO25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  <c r="BV25">
        <f ca="1"/>
      </c>
      <c r="BW25">
        <f ca="1"/>
      </c>
      <c r="BX25">
        <f ca="1"/>
      </c>
      <c r="BY25">
        <f ca="1"/>
      </c>
      <c r="BZ25">
        <f ca="1"/>
      </c>
      <c r="CA25">
        <f ca="1"/>
      </c>
      <c r="CB25">
        <f ca="1"/>
      </c>
      <c r="CC25">
        <f ca="1"/>
      </c>
      <c r="CD25">
        <f ca="1"/>
      </c>
      <c r="CE25">
        <f ca="1"/>
      </c>
      <c r="CF25">
        <f ca="1"/>
      </c>
      <c r="CG25">
        <f ca="1"/>
      </c>
      <c r="CH25">
        <f ca="1"/>
      </c>
      <c r="CI25">
        <f ca="1"/>
      </c>
      <c r="CK25">
        <f ca="1"/>
      </c>
      <c r="CL25">
        <f ca="1"/>
      </c>
      <c r="CM25">
        <f ca="1"/>
      </c>
      <c r="CN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DQ25">
        <f ca="1"/>
      </c>
      <c r="DR25">
        <f ca="1"/>
      </c>
      <c r="DS25">
        <f ca="1"/>
      </c>
      <c r="DT25">
        <f ca="1"/>
      </c>
      <c r="DU25">
        <f ca="1"/>
      </c>
      <c r="DV25">
        <f ca="1"/>
      </c>
      <c r="DW25">
        <f ca="1"/>
      </c>
      <c r="DX25">
        <f ca="1"/>
      </c>
      <c r="DY25">
        <f ca="1"/>
      </c>
      <c r="DZ25">
        <f ca="1"/>
      </c>
      <c r="EA25">
        <f ca="1"/>
      </c>
      <c r="EB25">
        <f ca="1"/>
      </c>
      <c r="EC25">
        <f ca="1"/>
      </c>
      <c r="ED25">
        <f ca="1"/>
      </c>
      <c r="EE25">
        <f ca="1"/>
      </c>
      <c r="EG25">
        <f ca="1"/>
      </c>
      <c r="EH25">
        <f ca="1"/>
      </c>
      <c r="EI25">
        <f ca="1"/>
      </c>
      <c r="EJ25">
        <f ca="1"/>
      </c>
      <c r="EK25">
        <f ca="1"/>
      </c>
      <c r="EL25">
        <f ca="1"/>
      </c>
      <c r="EM25">
        <f ca="1"/>
      </c>
      <c r="EN25">
        <f ca="1"/>
      </c>
      <c r="EO25">
        <f ca="1"/>
      </c>
      <c r="EP25">
        <f ca="1"/>
      </c>
      <c r="EQ25">
        <f ca="1"/>
      </c>
      <c r="ER25">
        <f ca="1"/>
      </c>
      <c r="ES25">
        <f ca="1"/>
      </c>
      <c r="ET25">
        <f ca="1"/>
      </c>
      <c r="EU25">
        <f ca="1"/>
      </c>
      <c r="EV25">
        <f ca="1"/>
      </c>
      <c r="EW25">
        <f ca="1"/>
      </c>
      <c r="EX25">
        <f ca="1"/>
      </c>
      <c r="EY25">
        <f ca="1"/>
      </c>
      <c r="EZ25">
        <f ca="1"/>
      </c>
      <c r="FA25">
        <f ca="1"/>
      </c>
      <c r="FB25">
        <f ca="1"/>
      </c>
      <c r="FC25">
        <f ca="1"/>
      </c>
      <c r="FD25">
        <f ca="1"/>
      </c>
      <c r="FE25">
        <f ca="1"/>
      </c>
      <c r="FF25">
        <f ca="1"/>
      </c>
      <c r="FG25">
        <f ca="1"/>
      </c>
      <c r="FH25">
        <f ca="1"/>
      </c>
      <c r="FI25">
        <f ca="1"/>
      </c>
      <c r="FJ25">
        <f ca="1"/>
      </c>
      <c r="FK25">
        <f ca="1"/>
      </c>
      <c r="FL25">
        <f ca="1"/>
      </c>
      <c r="FM25">
        <f ca="1"/>
      </c>
      <c r="FN25">
        <f ca="1"/>
      </c>
      <c r="FO25">
        <f ca="1"/>
      </c>
      <c r="FP25">
        <f ca="1"/>
      </c>
      <c r="FQ25">
        <f ca="1"/>
      </c>
      <c r="FR25">
        <f ca="1"/>
      </c>
      <c r="FS25">
        <f ca="1"/>
      </c>
      <c r="FT25">
        <f ca="1"/>
      </c>
      <c r="FU25">
        <f ca="1"/>
      </c>
      <c r="FV25">
        <f ca="1"/>
      </c>
      <c r="FW25">
        <f ca="1"/>
      </c>
      <c r="FX25">
        <f ca="1"/>
      </c>
      <c r="FY25">
        <f ca="1"/>
      </c>
      <c r="FZ25">
        <f ca="1"/>
      </c>
      <c r="GA25">
        <f ca="1"/>
      </c>
      <c r="GM25" s="7">
        <f ca="1"/>
      </c>
      <c r="GN25">
        <f ca="1"/>
      </c>
      <c r="GO25">
        <f ca="1"/>
      </c>
      <c r="GP25">
        <f ca="1"/>
      </c>
      <c r="GQ25">
        <f ca="1"/>
      </c>
      <c r="GT25">
        <f ca="1"/>
      </c>
    </row>
    <row r="26" spans="1:202" x14ac:dyDescent="0.55000000000000004">
      <c r="A26" t="s">
        <v>296</v>
      </c>
      <c r="B26" s="13" cm="1">
        <f t="array" aca="1" ref="B26" ca="1">_xlfn.XLOOKUP($A26,_xlfn.ANCHORARRAY($GS$4),_xlfn.ANCHORARRAY($GT$4),"")</f>
      </c>
      <c r="C26" s="13" cm="1">
        <f t="array" aca="1" ref="C26" ca="1">_xlfn.LET(_xlpm.h,FWM_HC,_xlpm.c,_xlfn.XMATCH($A26,_xlfn.TAKE(_xlpm.h,1)),INDEX(_xlpm.h,ROWS(_xlpm.h),_xlpm.c))</f>
      </c>
      <c r="D26" s="44">
        <f t="shared" ca="1" si="0"/>
      </c>
      <c r="E26" s="44" cm="1">
        <f t="array" aca="1" ref="E26" ca="1">_xlfn.LET(_xlpm.h,FWM_HC,_xlpm.c,_xlfn.XMATCH($A26,_xlfn.TAKE(_xlpm.h,1)),(B26-INDEX(_xlpm.h,ROWS(_xlpm.h)-4,_xlpm.c))*100)</f>
      </c>
      <c r="F26" s="44" cm="1">
        <f t="array" aca="1" ref="F26" ca="1">_xlfn.LET(_xlpm.h,FWM_HC,_xlpm.c,_xlfn.XMATCH($A26,_xlfn.TAKE(_xlpm.h,1)),(B26-INDEX(_xlpm.h,ROWS(_xlpm.h)-20,_xlpm.c))*100)</f>
      </c>
      <c r="G26" s="44" cm="1">
        <f t="array" aca="1" ref="G26" ca="1">_xlfn.LET(_xlpm.h,FWM_HC,_xlpm.c,_xlfn.XMATCH($A26,_xlfn.TAKE(_xlpm.h,1)),(B26-_xlfn.XLOOKUP(FWM_Cmp,_xlfn.DROP(INDEX(_xlpm.h,,1),1),_xlfn.DROP(INDEX(_xlpm.h,,_xlpm.c),1),"",-1))*100)</f>
      </c>
      <c r="H26" s="11" cm="1">
        <f t="array" aca="1" ref="H26" ca="1">_xlfn.LET(_xlpm.h,FWM_HC,FWM_Sigma(_xlfn.DROP(INDEX(_xlpm.h,,_xlfn.XMATCH($A26&amp;" dF",_xlfn.TAKE(_xlpm.h,1))),1)))</f>
      </c>
      <c r="I26" s="45">
        <f t="shared" ca="1" si="1"/>
      </c>
      <c r="J26" s="45">
        <f t="shared" ca="1" si="2"/>
      </c>
      <c r="K26" s="44">
        <f t="shared" ca="1" si="3"/>
      </c>
      <c r="AA26">
        <f ca="1"/>
      </c>
      <c r="AB26">
        <f ca="1"/>
      </c>
      <c r="AC26">
        <f ca="1"/>
      </c>
      <c r="AD26">
        <f ca="1"/>
      </c>
      <c r="AF26">
        <f ca="1"/>
      </c>
      <c r="AG26">
        <f ca="1"/>
      </c>
      <c r="AH26">
        <f ca="1"/>
      </c>
      <c r="AI26">
        <f ca="1"/>
      </c>
      <c r="AJ26">
        <f ca="1"/>
      </c>
      <c r="AL26" t="s">
        <v>21</v>
      </c>
      <c r="AM26">
        <v>1</v>
      </c>
      <c r="AO26">
        <f ca="1"/>
      </c>
      <c r="AP26">
        <f ca="1"/>
      </c>
      <c r="AQ26">
        <f ca="1"/>
      </c>
      <c r="AR26">
        <f ca="1"/>
      </c>
      <c r="AS26">
        <f ca="1"/>
      </c>
      <c r="AT26">
        <f ca="1"/>
      </c>
      <c r="AU26">
        <f ca="1"/>
      </c>
      <c r="AV26">
        <f ca="1"/>
      </c>
      <c r="AW26">
        <f ca="1"/>
      </c>
      <c r="AX26">
        <f ca="1"/>
      </c>
      <c r="AY26">
        <f ca="1"/>
      </c>
      <c r="AZ26">
        <f ca="1"/>
      </c>
      <c r="BA26">
        <f ca="1"/>
      </c>
      <c r="BB26">
        <f ca="1"/>
      </c>
      <c r="BC26">
        <f ca="1"/>
      </c>
      <c r="BD26">
        <f ca="1"/>
      </c>
      <c r="BE26">
        <f ca="1"/>
      </c>
      <c r="BF26">
        <f ca="1"/>
      </c>
      <c r="BG26">
        <f ca="1"/>
      </c>
      <c r="BH26">
        <f ca="1"/>
      </c>
      <c r="BI26">
        <f ca="1"/>
      </c>
      <c r="BJ26">
        <f ca="1"/>
      </c>
      <c r="BK26">
        <f ca="1"/>
      </c>
      <c r="BL26">
        <f ca="1"/>
      </c>
      <c r="BM26">
        <f ca="1"/>
      </c>
      <c r="BN26">
        <f ca="1"/>
      </c>
      <c r="BO26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  <c r="BV26">
        <f ca="1"/>
      </c>
      <c r="BW26">
        <f ca="1"/>
      </c>
      <c r="BX26">
        <f ca="1"/>
      </c>
      <c r="BY26">
        <f ca="1"/>
      </c>
      <c r="BZ26">
        <f ca="1"/>
      </c>
      <c r="CA26">
        <f ca="1"/>
      </c>
      <c r="CB26">
        <f ca="1"/>
      </c>
      <c r="CC26">
        <f ca="1"/>
      </c>
      <c r="CD26">
        <f ca="1"/>
      </c>
      <c r="CE26">
        <f ca="1"/>
      </c>
      <c r="CF26">
        <f ca="1"/>
      </c>
      <c r="CG26">
        <f ca="1"/>
      </c>
      <c r="CH26">
        <f ca="1"/>
      </c>
      <c r="CI26">
        <f ca="1"/>
      </c>
      <c r="CK26">
        <f ca="1"/>
      </c>
      <c r="CL26">
        <f ca="1"/>
      </c>
      <c r="CM26">
        <f ca="1"/>
      </c>
      <c r="CN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DQ26">
        <f ca="1"/>
      </c>
      <c r="DR26">
        <f ca="1"/>
      </c>
      <c r="DS26">
        <f ca="1"/>
      </c>
      <c r="DT26">
        <f ca="1"/>
      </c>
      <c r="DU26">
        <f ca="1"/>
      </c>
      <c r="DV26">
        <f ca="1"/>
      </c>
      <c r="DW26">
        <f ca="1"/>
      </c>
      <c r="DX26">
        <f ca="1"/>
      </c>
      <c r="DY26">
        <f ca="1"/>
      </c>
      <c r="DZ26">
        <f ca="1"/>
      </c>
      <c r="EA26">
        <f ca="1"/>
      </c>
      <c r="EB26">
        <f ca="1"/>
      </c>
      <c r="EC26">
        <f ca="1"/>
      </c>
      <c r="ED26">
        <f ca="1"/>
      </c>
      <c r="EE26">
        <f ca="1"/>
      </c>
      <c r="EG26">
        <f ca="1"/>
      </c>
      <c r="EH26">
        <f ca="1"/>
      </c>
      <c r="EI26">
        <f ca="1"/>
      </c>
      <c r="EJ26">
        <f ca="1"/>
      </c>
      <c r="EK26">
        <f ca="1"/>
      </c>
      <c r="EL26">
        <f ca="1"/>
      </c>
      <c r="EM26">
        <f ca="1"/>
      </c>
      <c r="EN26">
        <f ca="1"/>
      </c>
      <c r="EO26">
        <f ca="1"/>
      </c>
      <c r="EP26">
        <f ca="1"/>
      </c>
      <c r="EQ26">
        <f ca="1"/>
      </c>
      <c r="ER26">
        <f ca="1"/>
      </c>
      <c r="ES26">
        <f ca="1"/>
      </c>
      <c r="ET26">
        <f ca="1"/>
      </c>
      <c r="EU26">
        <f ca="1"/>
      </c>
      <c r="EV26">
        <f ca="1"/>
      </c>
      <c r="EW26">
        <f ca="1"/>
      </c>
      <c r="EX26">
        <f ca="1"/>
      </c>
      <c r="EY26">
        <f ca="1"/>
      </c>
      <c r="EZ26">
        <f ca="1"/>
      </c>
      <c r="FA26">
        <f ca="1"/>
      </c>
      <c r="FB26">
        <f ca="1"/>
      </c>
      <c r="FC26">
        <f ca="1"/>
      </c>
      <c r="FD26">
        <f ca="1"/>
      </c>
      <c r="FE26">
        <f ca="1"/>
      </c>
      <c r="FF26">
        <f ca="1"/>
      </c>
      <c r="FG26">
        <f ca="1"/>
      </c>
      <c r="FH26">
        <f ca="1"/>
      </c>
      <c r="FI26">
        <f ca="1"/>
      </c>
      <c r="FJ26">
        <f ca="1"/>
      </c>
      <c r="FK26">
        <f ca="1"/>
      </c>
      <c r="FL26">
        <f ca="1"/>
      </c>
      <c r="FM26">
        <f ca="1"/>
      </c>
      <c r="FN26">
        <f ca="1"/>
      </c>
      <c r="FO26">
        <f ca="1"/>
      </c>
      <c r="FP26">
        <f ca="1"/>
      </c>
      <c r="FQ26">
        <f ca="1"/>
      </c>
      <c r="FR26">
        <f ca="1"/>
      </c>
      <c r="FS26">
        <f ca="1"/>
      </c>
      <c r="FT26">
        <f ca="1"/>
      </c>
      <c r="FU26">
        <f ca="1"/>
      </c>
      <c r="FV26">
        <f ca="1"/>
      </c>
      <c r="FW26">
        <f ca="1"/>
      </c>
      <c r="FX26">
        <f ca="1"/>
      </c>
      <c r="FY26">
        <f ca="1"/>
      </c>
      <c r="FZ26">
        <f ca="1"/>
      </c>
      <c r="GA26">
        <f ca="1"/>
      </c>
      <c r="GM26" s="7">
        <f ca="1"/>
      </c>
      <c r="GN26">
        <f ca="1"/>
      </c>
      <c r="GO26">
        <f ca="1"/>
      </c>
      <c r="GP26">
        <f ca="1"/>
      </c>
      <c r="GQ26">
        <f ca="1"/>
      </c>
      <c r="GT26">
        <f ca="1"/>
      </c>
    </row>
    <row r="27" spans="1:202" x14ac:dyDescent="0.55000000000000004">
      <c r="A27" t="s">
        <v>297</v>
      </c>
      <c r="B27" s="13" cm="1">
        <f t="array" aca="1" ref="B27" ca="1">_xlfn.XLOOKUP($A27,_xlfn.ANCHORARRAY($GS$4),_xlfn.ANCHORARRAY($GT$4),"")</f>
      </c>
      <c r="C27" s="13" cm="1">
        <f t="array" aca="1" ref="C27" ca="1">_xlfn.LET(_xlpm.h,FWM_HC,_xlpm.c,_xlfn.XMATCH($A27,_xlfn.TAKE(_xlpm.h,1)),INDEX(_xlpm.h,ROWS(_xlpm.h),_xlpm.c))</f>
      </c>
      <c r="D27" s="44">
        <f t="shared" ca="1" si="0"/>
      </c>
      <c r="E27" s="44" cm="1">
        <f t="array" aca="1" ref="E27" ca="1">_xlfn.LET(_xlpm.h,FWM_HC,_xlpm.c,_xlfn.XMATCH($A27,_xlfn.TAKE(_xlpm.h,1)),(B27-INDEX(_xlpm.h,ROWS(_xlpm.h)-4,_xlpm.c))*100)</f>
      </c>
      <c r="F27" s="44" cm="1">
        <f t="array" aca="1" ref="F27" ca="1">_xlfn.LET(_xlpm.h,FWM_HC,_xlpm.c,_xlfn.XMATCH($A27,_xlfn.TAKE(_xlpm.h,1)),(B27-INDEX(_xlpm.h,ROWS(_xlpm.h)-20,_xlpm.c))*100)</f>
      </c>
      <c r="G27" s="44" cm="1">
        <f t="array" aca="1" ref="G27" ca="1">_xlfn.LET(_xlpm.h,FWM_HC,_xlpm.c,_xlfn.XMATCH($A27,_xlfn.TAKE(_xlpm.h,1)),(B27-_xlfn.XLOOKUP(FWM_Cmp,_xlfn.DROP(INDEX(_xlpm.h,,1),1),_xlfn.DROP(INDEX(_xlpm.h,,_xlpm.c),1),"",-1))*100)</f>
      </c>
      <c r="H27" s="11" cm="1">
        <f t="array" aca="1" ref="H27" ca="1">_xlfn.LET(_xlpm.h,FWM_HC,FWM_Sigma(_xlfn.DROP(INDEX(_xlpm.h,,_xlfn.XMATCH($A27&amp;" dF",_xlfn.TAKE(_xlpm.h,1))),1)))</f>
      </c>
      <c r="I27" s="45">
        <f t="shared" ca="1" si="1"/>
      </c>
      <c r="J27" s="45">
        <f t="shared" ca="1" si="2"/>
      </c>
      <c r="K27" s="44">
        <f t="shared" ca="1" si="3"/>
      </c>
      <c r="AA27">
        <f ca="1"/>
      </c>
      <c r="AB27">
        <f ca="1"/>
      </c>
      <c r="AC27">
        <f ca="1"/>
      </c>
      <c r="AD27">
        <f ca="1"/>
      </c>
      <c r="AF27">
        <f ca="1"/>
      </c>
      <c r="AG27">
        <f ca="1"/>
      </c>
      <c r="AH27">
        <f ca="1"/>
      </c>
      <c r="AI27">
        <f ca="1"/>
      </c>
      <c r="AJ27">
        <f ca="1"/>
      </c>
      <c r="AL27" t="s">
        <v>22</v>
      </c>
      <c r="AM27">
        <v>1</v>
      </c>
      <c r="AO27">
        <f ca="1"/>
      </c>
      <c r="AP27">
        <f ca="1"/>
      </c>
      <c r="AQ27">
        <f ca="1"/>
      </c>
      <c r="AR27">
        <f ca="1"/>
      </c>
      <c r="AS27">
        <f ca="1"/>
      </c>
      <c r="AT27">
        <f ca="1"/>
      </c>
      <c r="AU27">
        <f ca="1"/>
      </c>
      <c r="AV27">
        <f ca="1"/>
      </c>
      <c r="AW27">
        <f ca="1"/>
      </c>
      <c r="AX27">
        <f ca="1"/>
      </c>
      <c r="AY27">
        <f ca="1"/>
      </c>
      <c r="AZ27">
        <f ca="1"/>
      </c>
      <c r="BA27">
        <f ca="1"/>
      </c>
      <c r="BB27">
        <f ca="1"/>
      </c>
      <c r="BC27">
        <f ca="1"/>
      </c>
      <c r="BD27">
        <f ca="1"/>
      </c>
      <c r="BE27">
        <f ca="1"/>
      </c>
      <c r="BF27">
        <f ca="1"/>
      </c>
      <c r="BG27">
        <f ca="1"/>
      </c>
      <c r="BH27">
        <f ca="1"/>
      </c>
      <c r="BI27">
        <f ca="1"/>
      </c>
      <c r="BJ27">
        <f ca="1"/>
      </c>
      <c r="BK27">
        <f ca="1"/>
      </c>
      <c r="BL27">
        <f ca="1"/>
      </c>
      <c r="BM27">
        <f ca="1"/>
      </c>
      <c r="BN27">
        <f ca="1"/>
      </c>
      <c r="BO27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  <c r="BV27">
        <f ca="1"/>
      </c>
      <c r="BW27">
        <f ca="1"/>
      </c>
      <c r="BX27">
        <f ca="1"/>
      </c>
      <c r="BY27">
        <f ca="1"/>
      </c>
      <c r="BZ27">
        <f ca="1"/>
      </c>
      <c r="CA27">
        <f ca="1"/>
      </c>
      <c r="CB27">
        <f ca="1"/>
      </c>
      <c r="CC27">
        <f ca="1"/>
      </c>
      <c r="CD27">
        <f ca="1"/>
      </c>
      <c r="CE27">
        <f ca="1"/>
      </c>
      <c r="CF27">
        <f ca="1"/>
      </c>
      <c r="CG27">
        <f ca="1"/>
      </c>
      <c r="CH27">
        <f ca="1"/>
      </c>
      <c r="CI27">
        <f ca="1"/>
      </c>
      <c r="CK27">
        <f ca="1"/>
      </c>
      <c r="CL27">
        <f ca="1"/>
      </c>
      <c r="CM27">
        <f ca="1"/>
      </c>
      <c r="CN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DQ27">
        <f ca="1"/>
      </c>
      <c r="DR27">
        <f ca="1"/>
      </c>
      <c r="DS27">
        <f ca="1"/>
      </c>
      <c r="DT27">
        <f ca="1"/>
      </c>
      <c r="DU27">
        <f ca="1"/>
      </c>
      <c r="DV27">
        <f ca="1"/>
      </c>
      <c r="DW27">
        <f ca="1"/>
      </c>
      <c r="DX27">
        <f ca="1"/>
      </c>
      <c r="DY27">
        <f ca="1"/>
      </c>
      <c r="DZ27">
        <f ca="1"/>
      </c>
      <c r="EA27">
        <f ca="1"/>
      </c>
      <c r="EB27">
        <f ca="1"/>
      </c>
      <c r="EC27">
        <f ca="1"/>
      </c>
      <c r="ED27">
        <f ca="1"/>
      </c>
      <c r="EE27">
        <f ca="1"/>
      </c>
      <c r="EG27">
        <f ca="1"/>
      </c>
      <c r="EH27">
        <f ca="1"/>
      </c>
      <c r="EI27">
        <f ca="1"/>
      </c>
      <c r="EJ27">
        <f ca="1"/>
      </c>
      <c r="EK27">
        <f ca="1"/>
      </c>
      <c r="EL27">
        <f ca="1"/>
      </c>
      <c r="EM27">
        <f ca="1"/>
      </c>
      <c r="EN27">
        <f ca="1"/>
      </c>
      <c r="EO27">
        <f ca="1"/>
      </c>
      <c r="EP27">
        <f ca="1"/>
      </c>
      <c r="EQ27">
        <f ca="1"/>
      </c>
      <c r="ER27">
        <f ca="1"/>
      </c>
      <c r="ES27">
        <f ca="1"/>
      </c>
      <c r="ET27">
        <f ca="1"/>
      </c>
      <c r="EU27">
        <f ca="1"/>
      </c>
      <c r="EV27">
        <f ca="1"/>
      </c>
      <c r="EW27">
        <f ca="1"/>
      </c>
      <c r="EX27">
        <f ca="1"/>
      </c>
      <c r="EY27">
        <f ca="1"/>
      </c>
      <c r="EZ27">
        <f ca="1"/>
      </c>
      <c r="FA27">
        <f ca="1"/>
      </c>
      <c r="FB27">
        <f ca="1"/>
      </c>
      <c r="FC27">
        <f ca="1"/>
      </c>
      <c r="FD27">
        <f ca="1"/>
      </c>
      <c r="FE27">
        <f ca="1"/>
      </c>
      <c r="FF27">
        <f ca="1"/>
      </c>
      <c r="FG27">
        <f ca="1"/>
      </c>
      <c r="FH27">
        <f ca="1"/>
      </c>
      <c r="FI27">
        <f ca="1"/>
      </c>
      <c r="FJ27">
        <f ca="1"/>
      </c>
      <c r="FK27">
        <f ca="1"/>
      </c>
      <c r="FL27">
        <f ca="1"/>
      </c>
      <c r="FM27">
        <f ca="1"/>
      </c>
      <c r="FN27">
        <f ca="1"/>
      </c>
      <c r="FO27">
        <f ca="1"/>
      </c>
      <c r="FP27">
        <f ca="1"/>
      </c>
      <c r="FQ27">
        <f ca="1"/>
      </c>
      <c r="FR27">
        <f ca="1"/>
      </c>
      <c r="FS27">
        <f ca="1"/>
      </c>
      <c r="FT27">
        <f ca="1"/>
      </c>
      <c r="FU27">
        <f ca="1"/>
      </c>
      <c r="FV27">
        <f ca="1"/>
      </c>
      <c r="FW27">
        <f ca="1"/>
      </c>
      <c r="FX27">
        <f ca="1"/>
      </c>
      <c r="FY27">
        <f ca="1"/>
      </c>
      <c r="FZ27">
        <f ca="1"/>
      </c>
      <c r="GA27">
        <f ca="1"/>
      </c>
      <c r="GM27" s="7">
        <f ca="1"/>
      </c>
      <c r="GN27">
        <f ca="1"/>
      </c>
      <c r="GO27">
        <f ca="1"/>
      </c>
      <c r="GP27">
        <f ca="1"/>
      </c>
      <c r="GQ27">
        <f ca="1"/>
      </c>
    </row>
    <row r="28" spans="1:202" x14ac:dyDescent="0.55000000000000004">
      <c r="B28" s="13"/>
      <c r="C28" s="13"/>
      <c r="D28" s="44"/>
      <c r="E28" s="44"/>
      <c r="F28" s="44"/>
      <c r="G28" s="44"/>
      <c r="H28" s="11"/>
      <c r="I28" s="45"/>
      <c r="J28" s="45"/>
      <c r="K28" s="44"/>
      <c r="AA28">
        <f ca="1"/>
      </c>
      <c r="AB28">
        <f ca="1"/>
      </c>
      <c r="AC28">
        <f ca="1"/>
      </c>
      <c r="AD28">
        <f ca="1"/>
      </c>
      <c r="AF28">
        <f ca="1"/>
      </c>
      <c r="AG28">
        <f ca="1"/>
      </c>
      <c r="AH28">
        <f ca="1"/>
      </c>
      <c r="AI28">
        <f ca="1"/>
      </c>
      <c r="AJ28">
        <f ca="1"/>
      </c>
      <c r="AL28" t="s">
        <v>23</v>
      </c>
      <c r="AM28">
        <v>1</v>
      </c>
      <c r="AO28">
        <f ca="1"/>
      </c>
      <c r="AP28">
        <f ca="1"/>
      </c>
      <c r="AQ28">
        <f ca="1"/>
      </c>
      <c r="AR28">
        <f ca="1"/>
      </c>
      <c r="AS28">
        <f ca="1"/>
      </c>
      <c r="AT28">
        <f ca="1"/>
      </c>
      <c r="AU28">
        <f ca="1"/>
      </c>
      <c r="AV28">
        <f ca="1"/>
      </c>
      <c r="AW28">
        <f ca="1"/>
      </c>
      <c r="AX28">
        <f ca="1"/>
      </c>
      <c r="AY28">
        <f ca="1"/>
      </c>
      <c r="AZ28">
        <f ca="1"/>
      </c>
      <c r="BA28">
        <f ca="1"/>
      </c>
      <c r="BB28">
        <f ca="1"/>
      </c>
      <c r="BC28">
        <f ca="1"/>
      </c>
      <c r="BD28">
        <f ca="1"/>
      </c>
      <c r="BE28">
        <f ca="1"/>
      </c>
      <c r="BF28">
        <f ca="1"/>
      </c>
      <c r="BG28">
        <f ca="1"/>
      </c>
      <c r="BH28">
        <f ca="1"/>
      </c>
      <c r="BI28">
        <f ca="1"/>
      </c>
      <c r="BJ28">
        <f ca="1"/>
      </c>
      <c r="BK28">
        <f ca="1"/>
      </c>
      <c r="BL28">
        <f ca="1"/>
      </c>
      <c r="BM28">
        <f ca="1"/>
      </c>
      <c r="BN28">
        <f ca="1"/>
      </c>
      <c r="BO28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  <c r="BV28">
        <f ca="1"/>
      </c>
      <c r="BW28">
        <f ca="1"/>
      </c>
      <c r="BX28">
        <f ca="1"/>
      </c>
      <c r="BY28">
        <f ca="1"/>
      </c>
      <c r="BZ28">
        <f ca="1"/>
      </c>
      <c r="CA28">
        <f ca="1"/>
      </c>
      <c r="CB28">
        <f ca="1"/>
      </c>
      <c r="CC28">
        <f ca="1"/>
      </c>
      <c r="CD28">
        <f ca="1"/>
      </c>
      <c r="CE28">
        <f ca="1"/>
      </c>
      <c r="CF28">
        <f ca="1"/>
      </c>
      <c r="CG28">
        <f ca="1"/>
      </c>
      <c r="CH28">
        <f ca="1"/>
      </c>
      <c r="CI28">
        <f ca="1"/>
      </c>
      <c r="CK28">
        <f ca="1"/>
      </c>
      <c r="CL28">
        <f ca="1"/>
      </c>
      <c r="CM28">
        <f ca="1"/>
      </c>
      <c r="CN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DQ28">
        <f ca="1"/>
      </c>
      <c r="DR28">
        <f ca="1"/>
      </c>
      <c r="DS28">
        <f ca="1"/>
      </c>
      <c r="DT28">
        <f ca="1"/>
      </c>
      <c r="DU28">
        <f ca="1"/>
      </c>
      <c r="DV28">
        <f ca="1"/>
      </c>
      <c r="DW28">
        <f ca="1"/>
      </c>
      <c r="DX28">
        <f ca="1"/>
      </c>
      <c r="DY28">
        <f ca="1"/>
      </c>
      <c r="DZ28">
        <f ca="1"/>
      </c>
      <c r="EA28">
        <f ca="1"/>
      </c>
      <c r="EB28">
        <f ca="1"/>
      </c>
      <c r="EC28">
        <f ca="1"/>
      </c>
      <c r="ED28">
        <f ca="1"/>
      </c>
      <c r="EE28">
        <f ca="1"/>
      </c>
      <c r="EG28">
        <f ca="1"/>
      </c>
      <c r="EH28">
        <f ca="1"/>
      </c>
      <c r="EI28">
        <f ca="1"/>
      </c>
      <c r="EJ28">
        <f ca="1"/>
      </c>
      <c r="EK28">
        <f ca="1"/>
      </c>
      <c r="EL28">
        <f ca="1"/>
      </c>
      <c r="EM28">
        <f ca="1"/>
      </c>
      <c r="EN28">
        <f ca="1"/>
      </c>
      <c r="EO28">
        <f ca="1"/>
      </c>
      <c r="EP28">
        <f ca="1"/>
      </c>
      <c r="EQ28">
        <f ca="1"/>
      </c>
      <c r="ER28">
        <f ca="1"/>
      </c>
      <c r="ES28">
        <f ca="1"/>
      </c>
      <c r="ET28">
        <f ca="1"/>
      </c>
      <c r="EU28">
        <f ca="1"/>
      </c>
      <c r="EV28">
        <f ca="1"/>
      </c>
      <c r="EW28">
        <f ca="1"/>
      </c>
      <c r="EX28">
        <f ca="1"/>
      </c>
      <c r="EY28">
        <f ca="1"/>
      </c>
      <c r="EZ28">
        <f ca="1"/>
      </c>
      <c r="FA28">
        <f ca="1"/>
      </c>
      <c r="FB28">
        <f ca="1"/>
      </c>
      <c r="FC28">
        <f ca="1"/>
      </c>
      <c r="FD28">
        <f ca="1"/>
      </c>
      <c r="FE28">
        <f ca="1"/>
      </c>
      <c r="FF28">
        <f ca="1"/>
      </c>
      <c r="FG28">
        <f ca="1"/>
      </c>
      <c r="FH28">
        <f ca="1"/>
      </c>
      <c r="FI28">
        <f ca="1"/>
      </c>
      <c r="FJ28">
        <f ca="1"/>
      </c>
      <c r="FK28">
        <f ca="1"/>
      </c>
      <c r="FL28">
        <f ca="1"/>
      </c>
      <c r="FM28">
        <f ca="1"/>
      </c>
      <c r="FN28">
        <f ca="1"/>
      </c>
      <c r="FO28">
        <f ca="1"/>
      </c>
      <c r="FP28">
        <f ca="1"/>
      </c>
      <c r="FQ28">
        <f ca="1"/>
      </c>
      <c r="FR28">
        <f ca="1"/>
      </c>
      <c r="FS28">
        <f ca="1"/>
      </c>
      <c r="FT28">
        <f ca="1"/>
      </c>
      <c r="FU28">
        <f ca="1"/>
      </c>
      <c r="FV28">
        <f ca="1"/>
      </c>
      <c r="FW28">
        <f ca="1"/>
      </c>
      <c r="FX28">
        <f ca="1"/>
      </c>
      <c r="FY28">
        <f ca="1"/>
      </c>
      <c r="FZ28">
        <f ca="1"/>
      </c>
      <c r="GA28">
        <f ca="1"/>
      </c>
      <c r="GM28" s="7">
        <f ca="1"/>
      </c>
      <c r="GN28">
        <f ca="1"/>
      </c>
      <c r="GO28">
        <f ca="1"/>
      </c>
      <c r="GP28">
        <f ca="1"/>
      </c>
      <c r="GQ28">
        <f ca="1"/>
      </c>
    </row>
    <row r="29" spans="1:202" x14ac:dyDescent="0.55000000000000004">
      <c r="A29" t="s">
        <v>298</v>
      </c>
      <c r="B29" s="13" cm="1">
        <f t="array" aca="1" ref="B29" ca="1">_xlfn.XLOOKUP($A29,_xlfn.ANCHORARRAY($GS$4),_xlfn.ANCHORARRAY($GT$4),"")</f>
      </c>
      <c r="C29" s="13" cm="1">
        <f t="array" aca="1" ref="C29" ca="1">_xlfn.LET(_xlpm.h,FWM_HC,_xlpm.c,_xlfn.XMATCH($A29,_xlfn.TAKE(_xlpm.h,1)),INDEX(_xlpm.h,ROWS(_xlpm.h),_xlpm.c))</f>
      </c>
      <c r="D29" s="44">
        <f t="shared" ca="1" si="0"/>
      </c>
      <c r="E29" s="44" cm="1">
        <f t="array" aca="1" ref="E29" ca="1">_xlfn.LET(_xlpm.h,FWM_HC,_xlpm.c,_xlfn.XMATCH($A29,_xlfn.TAKE(_xlpm.h,1)),(B29-INDEX(_xlpm.h,ROWS(_xlpm.h)-4,_xlpm.c))*100)</f>
      </c>
      <c r="F29" s="44" cm="1">
        <f t="array" aca="1" ref="F29" ca="1">_xlfn.LET(_xlpm.h,FWM_HC,_xlpm.c,_xlfn.XMATCH($A29,_xlfn.TAKE(_xlpm.h,1)),(B29-INDEX(_xlpm.h,ROWS(_xlpm.h)-20,_xlpm.c))*100)</f>
      </c>
      <c r="G29" s="44" cm="1">
        <f t="array" aca="1" ref="G29" ca="1">_xlfn.LET(_xlpm.h,FWM_HC,_xlpm.c,_xlfn.XMATCH($A29,_xlfn.TAKE(_xlpm.h,1)),(B29-_xlfn.XLOOKUP(FWM_Cmp,_xlfn.DROP(INDEX(_xlpm.h,,1),1),_xlfn.DROP(INDEX(_xlpm.h,,_xlpm.c),1),"",-1))*100)</f>
      </c>
      <c r="H29" s="11" cm="1">
        <f t="array" aca="1" ref="H29" ca="1">_xlfn.LET(_xlpm.h,FWM_HC,FWM_Sigma(_xlfn.DROP(INDEX(_xlpm.h,,_xlfn.XMATCH($A29&amp;" dF",_xlfn.TAKE(_xlpm.h,1))),1)))</f>
      </c>
      <c r="I29" s="45">
        <f t="shared" ca="1" si="1"/>
      </c>
      <c r="J29" s="45">
        <f t="shared" ca="1" si="2"/>
      </c>
      <c r="K29" s="44">
        <f t="shared" ref="K29:K35" si="4">IF(ISNUMBER(B28),(B29-B28)*100,"")</f>
      </c>
      <c r="AA29">
        <f ca="1"/>
      </c>
      <c r="AB29">
        <f ca="1"/>
      </c>
      <c r="AC29">
        <f ca="1"/>
      </c>
      <c r="AD29">
        <f ca="1"/>
      </c>
      <c r="AF29">
        <f ca="1"/>
      </c>
      <c r="AG29">
        <f ca="1"/>
      </c>
      <c r="AH29">
        <f ca="1"/>
      </c>
      <c r="AI29">
        <f ca="1"/>
      </c>
      <c r="AJ29">
        <f ca="1"/>
      </c>
      <c r="AL29" t="s">
        <v>24</v>
      </c>
      <c r="AM29">
        <v>1</v>
      </c>
      <c r="AO29">
        <f ca="1"/>
      </c>
      <c r="AP29">
        <f ca="1"/>
      </c>
      <c r="AQ29">
        <f ca="1"/>
      </c>
      <c r="AR29">
        <f ca="1"/>
      </c>
      <c r="AS29">
        <f ca="1"/>
      </c>
      <c r="AT29">
        <f ca="1"/>
      </c>
      <c r="AU29">
        <f ca="1"/>
      </c>
      <c r="AV29">
        <f ca="1"/>
      </c>
      <c r="AW29">
        <f ca="1"/>
      </c>
      <c r="AX29">
        <f ca="1"/>
      </c>
      <c r="AY29">
        <f ca="1"/>
      </c>
      <c r="AZ29">
        <f ca="1"/>
      </c>
      <c r="BA29">
        <f ca="1"/>
      </c>
      <c r="BB29">
        <f ca="1"/>
      </c>
      <c r="BC29">
        <f ca="1"/>
      </c>
      <c r="BD29">
        <f ca="1"/>
      </c>
      <c r="BE29">
        <f ca="1"/>
      </c>
      <c r="BF29">
        <f ca="1"/>
      </c>
      <c r="BG29">
        <f ca="1"/>
      </c>
      <c r="BH29">
        <f ca="1"/>
      </c>
      <c r="BI29">
        <f ca="1"/>
      </c>
      <c r="BJ29">
        <f ca="1"/>
      </c>
      <c r="BK29">
        <f ca="1"/>
      </c>
      <c r="BL29">
        <f ca="1"/>
      </c>
      <c r="BM29">
        <f ca="1"/>
      </c>
      <c r="BN29">
        <f ca="1"/>
      </c>
      <c r="BO29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  <c r="BV29">
        <f ca="1"/>
      </c>
      <c r="BW29">
        <f ca="1"/>
      </c>
      <c r="BX29">
        <f ca="1"/>
      </c>
      <c r="BY29">
        <f ca="1"/>
      </c>
      <c r="BZ29">
        <f ca="1"/>
      </c>
      <c r="CA29">
        <f ca="1"/>
      </c>
      <c r="CB29">
        <f ca="1"/>
      </c>
      <c r="CC29">
        <f ca="1"/>
      </c>
      <c r="CD29">
        <f ca="1"/>
      </c>
      <c r="CE29">
        <f ca="1"/>
      </c>
      <c r="CF29">
        <f ca="1"/>
      </c>
      <c r="CG29">
        <f ca="1"/>
      </c>
      <c r="CH29">
        <f ca="1"/>
      </c>
      <c r="CI29">
        <f ca="1"/>
      </c>
      <c r="CK29">
        <f ca="1"/>
      </c>
      <c r="CL29">
        <f ca="1"/>
      </c>
      <c r="CM29">
        <f ca="1"/>
      </c>
      <c r="CN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DQ29">
        <f ca="1"/>
      </c>
      <c r="DR29">
        <f ca="1"/>
      </c>
      <c r="DS29">
        <f ca="1"/>
      </c>
      <c r="DT29">
        <f ca="1"/>
      </c>
      <c r="DU29">
        <f ca="1"/>
      </c>
      <c r="DV29">
        <f ca="1"/>
      </c>
      <c r="DW29">
        <f ca="1"/>
      </c>
      <c r="DX29">
        <f ca="1"/>
      </c>
      <c r="DY29">
        <f ca="1"/>
      </c>
      <c r="DZ29">
        <f ca="1"/>
      </c>
      <c r="EA29">
        <f ca="1"/>
      </c>
      <c r="EB29">
        <f ca="1"/>
      </c>
      <c r="EC29">
        <f ca="1"/>
      </c>
      <c r="ED29">
        <f ca="1"/>
      </c>
      <c r="EE29">
        <f ca="1"/>
      </c>
      <c r="EG29">
        <f ca="1"/>
      </c>
      <c r="EH29">
        <f ca="1"/>
      </c>
      <c r="EI29">
        <f ca="1"/>
      </c>
      <c r="EJ29">
        <f ca="1"/>
      </c>
      <c r="EK29">
        <f ca="1"/>
      </c>
      <c r="EL29">
        <f ca="1"/>
      </c>
      <c r="EM29">
        <f ca="1"/>
      </c>
      <c r="EN29">
        <f ca="1"/>
      </c>
      <c r="EO29">
        <f ca="1"/>
      </c>
      <c r="EP29">
        <f ca="1"/>
      </c>
      <c r="EQ29">
        <f ca="1"/>
      </c>
      <c r="ER29">
        <f ca="1"/>
      </c>
      <c r="ES29">
        <f ca="1"/>
      </c>
      <c r="ET29">
        <f ca="1"/>
      </c>
      <c r="EU29">
        <f ca="1"/>
      </c>
      <c r="EV29">
        <f ca="1"/>
      </c>
      <c r="EW29">
        <f ca="1"/>
      </c>
      <c r="EX29">
        <f ca="1"/>
      </c>
      <c r="EY29">
        <f ca="1"/>
      </c>
      <c r="EZ29">
        <f ca="1"/>
      </c>
      <c r="FA29">
        <f ca="1"/>
      </c>
      <c r="FB29">
        <f ca="1"/>
      </c>
      <c r="FC29">
        <f ca="1"/>
      </c>
      <c r="FD29">
        <f ca="1"/>
      </c>
      <c r="FE29">
        <f ca="1"/>
      </c>
      <c r="FF29">
        <f ca="1"/>
      </c>
      <c r="FG29">
        <f ca="1"/>
      </c>
      <c r="FH29">
        <f ca="1"/>
      </c>
      <c r="FI29">
        <f ca="1"/>
      </c>
      <c r="FJ29">
        <f ca="1"/>
      </c>
      <c r="FK29">
        <f ca="1"/>
      </c>
      <c r="FL29">
        <f ca="1"/>
      </c>
      <c r="FM29">
        <f ca="1"/>
      </c>
      <c r="FN29">
        <f ca="1"/>
      </c>
      <c r="FO29">
        <f ca="1"/>
      </c>
      <c r="FP29">
        <f ca="1"/>
      </c>
      <c r="FQ29">
        <f ca="1"/>
      </c>
      <c r="FR29">
        <f ca="1"/>
      </c>
      <c r="FS29">
        <f ca="1"/>
      </c>
      <c r="FT29">
        <f ca="1"/>
      </c>
      <c r="FU29">
        <f ca="1"/>
      </c>
      <c r="FV29">
        <f ca="1"/>
      </c>
      <c r="FW29">
        <f ca="1"/>
      </c>
      <c r="FX29">
        <f ca="1"/>
      </c>
      <c r="FY29">
        <f ca="1"/>
      </c>
      <c r="FZ29">
        <f ca="1"/>
      </c>
      <c r="GA29">
        <f ca="1"/>
      </c>
      <c r="GM29" s="7">
        <f ca="1"/>
      </c>
      <c r="GN29">
        <f ca="1"/>
      </c>
      <c r="GO29">
        <f ca="1"/>
      </c>
      <c r="GP29">
        <f ca="1"/>
      </c>
      <c r="GQ29">
        <f ca="1"/>
      </c>
    </row>
    <row r="30" spans="1:202" x14ac:dyDescent="0.55000000000000004">
      <c r="A30" t="s">
        <v>299</v>
      </c>
      <c r="B30" s="13" cm="1">
        <f t="array" aca="1" ref="B30" ca="1">_xlfn.XLOOKUP($A30,_xlfn.ANCHORARRAY($GS$4),_xlfn.ANCHORARRAY($GT$4),"")</f>
      </c>
      <c r="C30" s="13" cm="1">
        <f t="array" aca="1" ref="C30" ca="1">_xlfn.LET(_xlpm.h,FWM_HC,_xlpm.c,_xlfn.XMATCH($A30,_xlfn.TAKE(_xlpm.h,1)),INDEX(_xlpm.h,ROWS(_xlpm.h),_xlpm.c))</f>
      </c>
      <c r="D30" s="44">
        <f t="shared" ca="1" si="0"/>
      </c>
      <c r="E30" s="44" cm="1">
        <f t="array" aca="1" ref="E30" ca="1">_xlfn.LET(_xlpm.h,FWM_HC,_xlpm.c,_xlfn.XMATCH($A30,_xlfn.TAKE(_xlpm.h,1)),(B30-INDEX(_xlpm.h,ROWS(_xlpm.h)-4,_xlpm.c))*100)</f>
      </c>
      <c r="F30" s="44" cm="1">
        <f t="array" aca="1" ref="F30" ca="1">_xlfn.LET(_xlpm.h,FWM_HC,_xlpm.c,_xlfn.XMATCH($A30,_xlfn.TAKE(_xlpm.h,1)),(B30-INDEX(_xlpm.h,ROWS(_xlpm.h)-20,_xlpm.c))*100)</f>
      </c>
      <c r="G30" s="44" cm="1">
        <f t="array" aca="1" ref="G30" ca="1">_xlfn.LET(_xlpm.h,FWM_HC,_xlpm.c,_xlfn.XMATCH($A30,_xlfn.TAKE(_xlpm.h,1)),(B30-_xlfn.XLOOKUP(FWM_Cmp,_xlfn.DROP(INDEX(_xlpm.h,,1),1),_xlfn.DROP(INDEX(_xlpm.h,,_xlpm.c),1),"",-1))*100)</f>
      </c>
      <c r="H30" s="11" cm="1">
        <f t="array" aca="1" ref="H30" ca="1">_xlfn.LET(_xlpm.h,FWM_HC,FWM_Sigma(_xlfn.DROP(INDEX(_xlpm.h,,_xlfn.XMATCH($A30&amp;" dF",_xlfn.TAKE(_xlpm.h,1))),1)))</f>
      </c>
      <c r="I30" s="45">
        <f t="shared" ca="1" si="1"/>
      </c>
      <c r="J30" s="45">
        <f t="shared" ca="1" si="2"/>
      </c>
      <c r="K30" s="44">
        <f t="shared" ca="1" si="4"/>
      </c>
      <c r="AA30">
        <f ca="1"/>
      </c>
      <c r="AB30">
        <f ca="1"/>
      </c>
      <c r="AC30">
        <f ca="1"/>
      </c>
      <c r="AD30">
        <f ca="1"/>
      </c>
      <c r="AF30">
        <f ca="1"/>
      </c>
      <c r="AG30">
        <f ca="1"/>
      </c>
      <c r="AH30">
        <f ca="1"/>
      </c>
      <c r="AI30">
        <f ca="1"/>
      </c>
      <c r="AJ30">
        <f ca="1"/>
      </c>
      <c r="AL30" t="s">
        <v>25</v>
      </c>
      <c r="AM30">
        <v>1</v>
      </c>
      <c r="AO30">
        <f ca="1"/>
      </c>
      <c r="AP30">
        <f ca="1"/>
      </c>
      <c r="AQ30">
        <f ca="1"/>
      </c>
      <c r="AR30">
        <f ca="1"/>
      </c>
      <c r="AS30">
        <f ca="1"/>
      </c>
      <c r="AT30">
        <f ca="1"/>
      </c>
      <c r="AU30">
        <f ca="1"/>
      </c>
      <c r="AV30">
        <f ca="1"/>
      </c>
      <c r="AW30">
        <f ca="1"/>
      </c>
      <c r="AX30">
        <f ca="1"/>
      </c>
      <c r="AY30">
        <f ca="1"/>
      </c>
      <c r="AZ30">
        <f ca="1"/>
      </c>
      <c r="BA30">
        <f ca="1"/>
      </c>
      <c r="BB30">
        <f ca="1"/>
      </c>
      <c r="BC30">
        <f ca="1"/>
      </c>
      <c r="BD30">
        <f ca="1"/>
      </c>
      <c r="BE30">
        <f ca="1"/>
      </c>
      <c r="BF30">
        <f ca="1"/>
      </c>
      <c r="BG30">
        <f ca="1"/>
      </c>
      <c r="BH30">
        <f ca="1"/>
      </c>
      <c r="BI30">
        <f ca="1"/>
      </c>
      <c r="BJ30">
        <f ca="1"/>
      </c>
      <c r="BK30">
        <f ca="1"/>
      </c>
      <c r="BL30">
        <f ca="1"/>
      </c>
      <c r="BM30">
        <f ca="1"/>
      </c>
      <c r="BN30">
        <f ca="1"/>
      </c>
      <c r="BO30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  <c r="BV30">
        <f ca="1"/>
      </c>
      <c r="BW30">
        <f ca="1"/>
      </c>
      <c r="BX30">
        <f ca="1"/>
      </c>
      <c r="BY30">
        <f ca="1"/>
      </c>
      <c r="BZ30">
        <f ca="1"/>
      </c>
      <c r="CA30">
        <f ca="1"/>
      </c>
      <c r="CB30">
        <f ca="1"/>
      </c>
      <c r="CC30">
        <f ca="1"/>
      </c>
      <c r="CD30">
        <f ca="1"/>
      </c>
      <c r="CE30">
        <f ca="1"/>
      </c>
      <c r="CF30">
        <f ca="1"/>
      </c>
      <c r="CG30">
        <f ca="1"/>
      </c>
      <c r="CH30">
        <f ca="1"/>
      </c>
      <c r="CI30">
        <f ca="1"/>
      </c>
      <c r="CK30">
        <f ca="1"/>
      </c>
      <c r="CL30">
        <f ca="1"/>
      </c>
      <c r="CM30">
        <f ca="1"/>
      </c>
      <c r="CN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DQ30">
        <f ca="1"/>
      </c>
      <c r="DR30">
        <f ca="1"/>
      </c>
      <c r="DS30">
        <f ca="1"/>
      </c>
      <c r="DT30">
        <f ca="1"/>
      </c>
      <c r="DU30">
        <f ca="1"/>
      </c>
      <c r="DV30">
        <f ca="1"/>
      </c>
      <c r="DW30">
        <f ca="1"/>
      </c>
      <c r="DX30">
        <f ca="1"/>
      </c>
      <c r="DY30">
        <f ca="1"/>
      </c>
      <c r="DZ30">
        <f ca="1"/>
      </c>
      <c r="EA30">
        <f ca="1"/>
      </c>
      <c r="EB30">
        <f ca="1"/>
      </c>
      <c r="EC30">
        <f ca="1"/>
      </c>
      <c r="ED30">
        <f ca="1"/>
      </c>
      <c r="EE30">
        <f ca="1"/>
      </c>
      <c r="EG30">
        <f ca="1"/>
      </c>
      <c r="EH30">
        <f ca="1"/>
      </c>
      <c r="EI30">
        <f ca="1"/>
      </c>
      <c r="EJ30">
        <f ca="1"/>
      </c>
      <c r="EK30">
        <f ca="1"/>
      </c>
      <c r="EL30">
        <f ca="1"/>
      </c>
      <c r="EM30">
        <f ca="1"/>
      </c>
      <c r="EN30">
        <f ca="1"/>
      </c>
      <c r="EO30">
        <f ca="1"/>
      </c>
      <c r="EP30">
        <f ca="1"/>
      </c>
      <c r="EQ30">
        <f ca="1"/>
      </c>
      <c r="ER30">
        <f ca="1"/>
      </c>
      <c r="ES30">
        <f ca="1"/>
      </c>
      <c r="ET30">
        <f ca="1"/>
      </c>
      <c r="EU30">
        <f ca="1"/>
      </c>
      <c r="EV30">
        <f ca="1"/>
      </c>
      <c r="EW30">
        <f ca="1"/>
      </c>
      <c r="EX30">
        <f ca="1"/>
      </c>
      <c r="EY30">
        <f ca="1"/>
      </c>
      <c r="EZ30">
        <f ca="1"/>
      </c>
      <c r="FA30">
        <f ca="1"/>
      </c>
      <c r="FB30">
        <f ca="1"/>
      </c>
      <c r="FC30">
        <f ca="1"/>
      </c>
      <c r="FD30">
        <f ca="1"/>
      </c>
      <c r="FE30">
        <f ca="1"/>
      </c>
      <c r="FF30">
        <f ca="1"/>
      </c>
      <c r="FG30">
        <f ca="1"/>
      </c>
      <c r="FH30">
        <f ca="1"/>
      </c>
      <c r="FI30">
        <f ca="1"/>
      </c>
      <c r="FJ30">
        <f ca="1"/>
      </c>
      <c r="FK30">
        <f ca="1"/>
      </c>
      <c r="FL30">
        <f ca="1"/>
      </c>
      <c r="FM30">
        <f ca="1"/>
      </c>
      <c r="FN30">
        <f ca="1"/>
      </c>
      <c r="FO30">
        <f ca="1"/>
      </c>
      <c r="FP30">
        <f ca="1"/>
      </c>
      <c r="FQ30">
        <f ca="1"/>
      </c>
      <c r="FR30">
        <f ca="1"/>
      </c>
      <c r="FS30">
        <f ca="1"/>
      </c>
      <c r="FT30">
        <f ca="1"/>
      </c>
      <c r="FU30">
        <f ca="1"/>
      </c>
      <c r="FV30">
        <f ca="1"/>
      </c>
      <c r="FW30">
        <f ca="1"/>
      </c>
      <c r="FX30">
        <f ca="1"/>
      </c>
      <c r="FY30">
        <f ca="1"/>
      </c>
      <c r="FZ30">
        <f ca="1"/>
      </c>
      <c r="GA30">
        <f ca="1"/>
      </c>
      <c r="GM30" s="7">
        <f ca="1"/>
      </c>
      <c r="GN30">
        <f ca="1"/>
      </c>
      <c r="GO30">
        <f ca="1"/>
      </c>
      <c r="GP30">
        <f ca="1"/>
      </c>
      <c r="GQ30">
        <f ca="1"/>
      </c>
    </row>
    <row r="31" spans="1:202" x14ac:dyDescent="0.55000000000000004">
      <c r="A31" t="s">
        <v>300</v>
      </c>
      <c r="B31" s="13" cm="1">
        <f t="array" aca="1" ref="B31" ca="1">_xlfn.XLOOKUP($A31,_xlfn.ANCHORARRAY($GS$4),_xlfn.ANCHORARRAY($GT$4),"")</f>
      </c>
      <c r="C31" s="13" cm="1">
        <f t="array" aca="1" ref="C31" ca="1">_xlfn.LET(_xlpm.h,FWM_HC,_xlpm.c,_xlfn.XMATCH($A31,_xlfn.TAKE(_xlpm.h,1)),INDEX(_xlpm.h,ROWS(_xlpm.h),_xlpm.c))</f>
      </c>
      <c r="D31" s="44">
        <f t="shared" ca="1" si="0"/>
      </c>
      <c r="E31" s="44" cm="1">
        <f t="array" aca="1" ref="E31" ca="1">_xlfn.LET(_xlpm.h,FWM_HC,_xlpm.c,_xlfn.XMATCH($A31,_xlfn.TAKE(_xlpm.h,1)),(B31-INDEX(_xlpm.h,ROWS(_xlpm.h)-4,_xlpm.c))*100)</f>
      </c>
      <c r="F31" s="44" cm="1">
        <f t="array" aca="1" ref="F31" ca="1">_xlfn.LET(_xlpm.h,FWM_HC,_xlpm.c,_xlfn.XMATCH($A31,_xlfn.TAKE(_xlpm.h,1)),(B31-INDEX(_xlpm.h,ROWS(_xlpm.h)-20,_xlpm.c))*100)</f>
      </c>
      <c r="G31" s="44" cm="1">
        <f t="array" aca="1" ref="G31" ca="1">_xlfn.LET(_xlpm.h,FWM_HC,_xlpm.c,_xlfn.XMATCH($A31,_xlfn.TAKE(_xlpm.h,1)),(B31-_xlfn.XLOOKUP(FWM_Cmp,_xlfn.DROP(INDEX(_xlpm.h,,1),1),_xlfn.DROP(INDEX(_xlpm.h,,_xlpm.c),1),"",-1))*100)</f>
      </c>
      <c r="H31" s="11" cm="1">
        <f t="array" aca="1" ref="H31" ca="1">_xlfn.LET(_xlpm.h,FWM_HC,FWM_Sigma(_xlfn.DROP(INDEX(_xlpm.h,,_xlfn.XMATCH($A31&amp;" dF",_xlfn.TAKE(_xlpm.h,1))),1)))</f>
      </c>
      <c r="I31" s="45">
        <f t="shared" ca="1" si="1"/>
      </c>
      <c r="J31" s="45">
        <f t="shared" ca="1" si="2"/>
      </c>
      <c r="K31" s="44">
        <f t="shared" ca="1" si="4"/>
      </c>
      <c r="AA31">
        <f ca="1"/>
      </c>
      <c r="AB31">
        <f ca="1"/>
      </c>
      <c r="AC31">
        <f ca="1"/>
      </c>
      <c r="AD31">
        <f ca="1"/>
      </c>
      <c r="AF31">
        <f ca="1"/>
      </c>
      <c r="AG31">
        <f ca="1"/>
      </c>
      <c r="AH31">
        <f ca="1"/>
      </c>
      <c r="AI31">
        <f ca="1"/>
      </c>
      <c r="AJ31">
        <f ca="1"/>
      </c>
      <c r="AL31" t="s">
        <v>26</v>
      </c>
      <c r="AM31">
        <v>1</v>
      </c>
      <c r="AO31">
        <f ca="1"/>
      </c>
      <c r="AP31">
        <f ca="1"/>
      </c>
      <c r="AQ31">
        <f ca="1"/>
      </c>
      <c r="AR31">
        <f ca="1"/>
      </c>
      <c r="AS31">
        <f ca="1"/>
      </c>
      <c r="AT31">
        <f ca="1"/>
      </c>
      <c r="AU31">
        <f ca="1"/>
      </c>
      <c r="AV31">
        <f ca="1"/>
      </c>
      <c r="AW31">
        <f ca="1"/>
      </c>
      <c r="AX31">
        <f ca="1"/>
      </c>
      <c r="AY31">
        <f ca="1"/>
      </c>
      <c r="AZ31">
        <f ca="1"/>
      </c>
      <c r="BA31">
        <f ca="1"/>
      </c>
      <c r="BB31">
        <f ca="1"/>
      </c>
      <c r="BC31">
        <f ca="1"/>
      </c>
      <c r="BD31">
        <f ca="1"/>
      </c>
      <c r="BE31">
        <f ca="1"/>
      </c>
      <c r="BF31">
        <f ca="1"/>
      </c>
      <c r="BG31">
        <f ca="1"/>
      </c>
      <c r="BH31">
        <f ca="1"/>
      </c>
      <c r="BI31">
        <f ca="1"/>
      </c>
      <c r="BJ31">
        <f ca="1"/>
      </c>
      <c r="BK31">
        <f ca="1"/>
      </c>
      <c r="BL31">
        <f ca="1"/>
      </c>
      <c r="BM31">
        <f ca="1"/>
      </c>
      <c r="BN31">
        <f ca="1"/>
      </c>
      <c r="BO3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  <c r="BV31">
        <f ca="1"/>
      </c>
      <c r="BW31">
        <f ca="1"/>
      </c>
      <c r="BX31">
        <f ca="1"/>
      </c>
      <c r="BY31">
        <f ca="1"/>
      </c>
      <c r="BZ31">
        <f ca="1"/>
      </c>
      <c r="CA31">
        <f ca="1"/>
      </c>
      <c r="CB31">
        <f ca="1"/>
      </c>
      <c r="CC31">
        <f ca="1"/>
      </c>
      <c r="CD31">
        <f ca="1"/>
      </c>
      <c r="CE31">
        <f ca="1"/>
      </c>
      <c r="CF31">
        <f ca="1"/>
      </c>
      <c r="CG31">
        <f ca="1"/>
      </c>
      <c r="CH31">
        <f ca="1"/>
      </c>
      <c r="CI31">
        <f ca="1"/>
      </c>
      <c r="CK31">
        <f ca="1"/>
      </c>
      <c r="CL31">
        <f ca="1"/>
      </c>
      <c r="CM31">
        <f ca="1"/>
      </c>
      <c r="CN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DQ31">
        <f ca="1"/>
      </c>
      <c r="DR31">
        <f ca="1"/>
      </c>
      <c r="DS31">
        <f ca="1"/>
      </c>
      <c r="DT31">
        <f ca="1"/>
      </c>
      <c r="DU31">
        <f ca="1"/>
      </c>
      <c r="DV31">
        <f ca="1"/>
      </c>
      <c r="DW31">
        <f ca="1"/>
      </c>
      <c r="DX31">
        <f ca="1"/>
      </c>
      <c r="DY31">
        <f ca="1"/>
      </c>
      <c r="DZ31">
        <f ca="1"/>
      </c>
      <c r="EA31">
        <f ca="1"/>
      </c>
      <c r="EB31">
        <f ca="1"/>
      </c>
      <c r="EC31">
        <f ca="1"/>
      </c>
      <c r="ED31">
        <f ca="1"/>
      </c>
      <c r="EE31">
        <f ca="1"/>
      </c>
      <c r="EG31">
        <f ca="1"/>
      </c>
      <c r="EH31">
        <f ca="1"/>
      </c>
      <c r="EI31">
        <f ca="1"/>
      </c>
      <c r="EJ31">
        <f ca="1"/>
      </c>
      <c r="EK31">
        <f ca="1"/>
      </c>
      <c r="EL31">
        <f ca="1"/>
      </c>
      <c r="EM31">
        <f ca="1"/>
      </c>
      <c r="EN31">
        <f ca="1"/>
      </c>
      <c r="EO31">
        <f ca="1"/>
      </c>
      <c r="EP31">
        <f ca="1"/>
      </c>
      <c r="EQ31">
        <f ca="1"/>
      </c>
      <c r="ER31">
        <f ca="1"/>
      </c>
      <c r="ES31">
        <f ca="1"/>
      </c>
      <c r="ET31">
        <f ca="1"/>
      </c>
      <c r="EU31">
        <f ca="1"/>
      </c>
      <c r="EV31">
        <f ca="1"/>
      </c>
      <c r="EW31">
        <f ca="1"/>
      </c>
      <c r="EX31">
        <f ca="1"/>
      </c>
      <c r="EY31">
        <f ca="1"/>
      </c>
      <c r="EZ31">
        <f ca="1"/>
      </c>
      <c r="FA31">
        <f ca="1"/>
      </c>
      <c r="FB31">
        <f ca="1"/>
      </c>
      <c r="FC31">
        <f ca="1"/>
      </c>
      <c r="FD31">
        <f ca="1"/>
      </c>
      <c r="FE31">
        <f ca="1"/>
      </c>
      <c r="FF31">
        <f ca="1"/>
      </c>
      <c r="FG31">
        <f ca="1"/>
      </c>
      <c r="FH31">
        <f ca="1"/>
      </c>
      <c r="FI31">
        <f ca="1"/>
      </c>
      <c r="FJ31">
        <f ca="1"/>
      </c>
      <c r="FK31">
        <f ca="1"/>
      </c>
      <c r="FL31">
        <f ca="1"/>
      </c>
      <c r="FM31">
        <f ca="1"/>
      </c>
      <c r="FN31">
        <f ca="1"/>
      </c>
      <c r="FO31">
        <f ca="1"/>
      </c>
      <c r="FP31">
        <f ca="1"/>
      </c>
      <c r="FQ31">
        <f ca="1"/>
      </c>
      <c r="FR31">
        <f ca="1"/>
      </c>
      <c r="FS31">
        <f ca="1"/>
      </c>
      <c r="FT31">
        <f ca="1"/>
      </c>
      <c r="FU31">
        <f ca="1"/>
      </c>
      <c r="FV31">
        <f ca="1"/>
      </c>
      <c r="FW31">
        <f ca="1"/>
      </c>
      <c r="FX31">
        <f ca="1"/>
      </c>
      <c r="FY31">
        <f ca="1"/>
      </c>
      <c r="FZ31">
        <f ca="1"/>
      </c>
      <c r="GA31">
        <f ca="1"/>
      </c>
      <c r="GM31" s="7">
        <f ca="1"/>
      </c>
      <c r="GN31">
        <f ca="1"/>
      </c>
      <c r="GO31">
        <f ca="1"/>
      </c>
      <c r="GP31">
        <f ca="1"/>
      </c>
      <c r="GQ31">
        <f ca="1"/>
      </c>
    </row>
    <row r="32" spans="1:202" x14ac:dyDescent="0.55000000000000004">
      <c r="A32" t="s">
        <v>301</v>
      </c>
      <c r="B32" s="13" cm="1">
        <f t="array" aca="1" ref="B32" ca="1">_xlfn.XLOOKUP($A32,_xlfn.ANCHORARRAY($GS$4),_xlfn.ANCHORARRAY($GT$4),"")</f>
      </c>
      <c r="C32" s="13" cm="1">
        <f t="array" aca="1" ref="C32" ca="1">_xlfn.LET(_xlpm.h,FWM_HC,_xlpm.c,_xlfn.XMATCH($A32,_xlfn.TAKE(_xlpm.h,1)),INDEX(_xlpm.h,ROWS(_xlpm.h),_xlpm.c))</f>
      </c>
      <c r="D32" s="44">
        <f t="shared" ca="1" si="0"/>
      </c>
      <c r="E32" s="44" cm="1">
        <f t="array" aca="1" ref="E32" ca="1">_xlfn.LET(_xlpm.h,FWM_HC,_xlpm.c,_xlfn.XMATCH($A32,_xlfn.TAKE(_xlpm.h,1)),(B32-INDEX(_xlpm.h,ROWS(_xlpm.h)-4,_xlpm.c))*100)</f>
      </c>
      <c r="F32" s="44" cm="1">
        <f t="array" aca="1" ref="F32" ca="1">_xlfn.LET(_xlpm.h,FWM_HC,_xlpm.c,_xlfn.XMATCH($A32,_xlfn.TAKE(_xlpm.h,1)),(B32-INDEX(_xlpm.h,ROWS(_xlpm.h)-20,_xlpm.c))*100)</f>
      </c>
      <c r="G32" s="44" cm="1">
        <f t="array" aca="1" ref="G32" ca="1">_xlfn.LET(_xlpm.h,FWM_HC,_xlpm.c,_xlfn.XMATCH($A32,_xlfn.TAKE(_xlpm.h,1)),(B32-_xlfn.XLOOKUP(FWM_Cmp,_xlfn.DROP(INDEX(_xlpm.h,,1),1),_xlfn.DROP(INDEX(_xlpm.h,,_xlpm.c),1),"",-1))*100)</f>
      </c>
      <c r="H32" s="11" cm="1">
        <f t="array" aca="1" ref="H32" ca="1">_xlfn.LET(_xlpm.h,FWM_HC,FWM_Sigma(_xlfn.DROP(INDEX(_xlpm.h,,_xlfn.XMATCH($A32&amp;" dF",_xlfn.TAKE(_xlpm.h,1))),1)))</f>
      </c>
      <c r="I32" s="45">
        <f t="shared" ca="1" si="1"/>
      </c>
      <c r="J32" s="45">
        <f t="shared" ca="1" si="2"/>
      </c>
      <c r="K32" s="44">
        <f t="shared" ca="1" si="4"/>
      </c>
      <c r="AA32">
        <f ca="1"/>
      </c>
      <c r="AB32">
        <f ca="1"/>
      </c>
      <c r="AC32">
        <f ca="1"/>
      </c>
      <c r="AD32">
        <f ca="1"/>
      </c>
      <c r="AF32">
        <f ca="1"/>
      </c>
      <c r="AG32">
        <f ca="1"/>
      </c>
      <c r="AH32">
        <f ca="1"/>
      </c>
      <c r="AI32">
        <f ca="1"/>
      </c>
      <c r="AJ32">
        <f ca="1"/>
      </c>
      <c r="AL32" t="s">
        <v>27</v>
      </c>
      <c r="AM32">
        <v>1</v>
      </c>
      <c r="AO32">
        <f ca="1"/>
      </c>
      <c r="AP32">
        <f ca="1"/>
      </c>
      <c r="AQ32">
        <f ca="1"/>
      </c>
      <c r="AR32">
        <f ca="1"/>
      </c>
      <c r="AS32">
        <f ca="1"/>
      </c>
      <c r="AT32">
        <f ca="1"/>
      </c>
      <c r="AU32">
        <f ca="1"/>
      </c>
      <c r="AV32">
        <f ca="1"/>
      </c>
      <c r="AW32">
        <f ca="1"/>
      </c>
      <c r="AX32">
        <f ca="1"/>
      </c>
      <c r="AY32">
        <f ca="1"/>
      </c>
      <c r="AZ32">
        <f ca="1"/>
      </c>
      <c r="BA32">
        <f ca="1"/>
      </c>
      <c r="BB32">
        <f ca="1"/>
      </c>
      <c r="BC32">
        <f ca="1"/>
      </c>
      <c r="BD32">
        <f ca="1"/>
      </c>
      <c r="BE32">
        <f ca="1"/>
      </c>
      <c r="BF32">
        <f ca="1"/>
      </c>
      <c r="BG32">
        <f ca="1"/>
      </c>
      <c r="BH32">
        <f ca="1"/>
      </c>
      <c r="BI32">
        <f ca="1"/>
      </c>
      <c r="BJ32">
        <f ca="1"/>
      </c>
      <c r="BK32">
        <f ca="1"/>
      </c>
      <c r="BL32">
        <f ca="1"/>
      </c>
      <c r="BM32">
        <f ca="1"/>
      </c>
      <c r="BN32">
        <f ca="1"/>
      </c>
      <c r="BO32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  <c r="BV32">
        <f ca="1"/>
      </c>
      <c r="BW32">
        <f ca="1"/>
      </c>
      <c r="BX32">
        <f ca="1"/>
      </c>
      <c r="BY32">
        <f ca="1"/>
      </c>
      <c r="BZ32">
        <f ca="1"/>
      </c>
      <c r="CA32">
        <f ca="1"/>
      </c>
      <c r="CB32">
        <f ca="1"/>
      </c>
      <c r="CC32">
        <f ca="1"/>
      </c>
      <c r="CD32">
        <f ca="1"/>
      </c>
      <c r="CE32">
        <f ca="1"/>
      </c>
      <c r="CF32">
        <f ca="1"/>
      </c>
      <c r="CG32">
        <f ca="1"/>
      </c>
      <c r="CH32">
        <f ca="1"/>
      </c>
      <c r="CI32">
        <f ca="1"/>
      </c>
      <c r="CK32">
        <f ca="1"/>
      </c>
      <c r="CL32">
        <f ca="1"/>
      </c>
      <c r="CM32">
        <f ca="1"/>
      </c>
      <c r="CN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DQ32">
        <f ca="1"/>
      </c>
      <c r="DR32">
        <f ca="1"/>
      </c>
      <c r="DS32">
        <f ca="1"/>
      </c>
      <c r="DT32">
        <f ca="1"/>
      </c>
      <c r="DU32">
        <f ca="1"/>
      </c>
      <c r="DV32">
        <f ca="1"/>
      </c>
      <c r="DW32">
        <f ca="1"/>
      </c>
      <c r="DX32">
        <f ca="1"/>
      </c>
      <c r="DY32">
        <f ca="1"/>
      </c>
      <c r="DZ32">
        <f ca="1"/>
      </c>
      <c r="EA32">
        <f ca="1"/>
      </c>
      <c r="EB32">
        <f ca="1"/>
      </c>
      <c r="EC32">
        <f ca="1"/>
      </c>
      <c r="ED32">
        <f ca="1"/>
      </c>
      <c r="EE32">
        <f ca="1"/>
      </c>
      <c r="EG32">
        <f ca="1"/>
      </c>
      <c r="EH32">
        <f ca="1"/>
      </c>
      <c r="EI32">
        <f ca="1"/>
      </c>
      <c r="EJ32">
        <f ca="1"/>
      </c>
      <c r="EK32">
        <f ca="1"/>
      </c>
      <c r="EL32">
        <f ca="1"/>
      </c>
      <c r="EM32">
        <f ca="1"/>
      </c>
      <c r="EN32">
        <f ca="1"/>
      </c>
      <c r="EO32">
        <f ca="1"/>
      </c>
      <c r="EP32">
        <f ca="1"/>
      </c>
      <c r="EQ32">
        <f ca="1"/>
      </c>
      <c r="ER32">
        <f ca="1"/>
      </c>
      <c r="ES32">
        <f ca="1"/>
      </c>
      <c r="ET32">
        <f ca="1"/>
      </c>
      <c r="EU32">
        <f ca="1"/>
      </c>
      <c r="EV32">
        <f ca="1"/>
      </c>
      <c r="EW32">
        <f ca="1"/>
      </c>
      <c r="EX32">
        <f ca="1"/>
      </c>
      <c r="EY32">
        <f ca="1"/>
      </c>
      <c r="EZ32">
        <f ca="1"/>
      </c>
      <c r="FA32">
        <f ca="1"/>
      </c>
      <c r="FB32">
        <f ca="1"/>
      </c>
      <c r="FC32">
        <f ca="1"/>
      </c>
      <c r="FD32">
        <f ca="1"/>
      </c>
      <c r="FE32">
        <f ca="1"/>
      </c>
      <c r="FF32">
        <f ca="1"/>
      </c>
      <c r="FG32">
        <f ca="1"/>
      </c>
      <c r="FH32">
        <f ca="1"/>
      </c>
      <c r="FI32">
        <f ca="1"/>
      </c>
      <c r="FJ32">
        <f ca="1"/>
      </c>
      <c r="FK32">
        <f ca="1"/>
      </c>
      <c r="FL32">
        <f ca="1"/>
      </c>
      <c r="FM32">
        <f ca="1"/>
      </c>
      <c r="FN32">
        <f ca="1"/>
      </c>
      <c r="FO32">
        <f ca="1"/>
      </c>
      <c r="FP32">
        <f ca="1"/>
      </c>
      <c r="FQ32">
        <f ca="1"/>
      </c>
      <c r="FR32">
        <f ca="1"/>
      </c>
      <c r="FS32">
        <f ca="1"/>
      </c>
      <c r="FT32">
        <f ca="1"/>
      </c>
      <c r="FU32">
        <f ca="1"/>
      </c>
      <c r="FV32">
        <f ca="1"/>
      </c>
      <c r="FW32">
        <f ca="1"/>
      </c>
      <c r="FX32">
        <f ca="1"/>
      </c>
      <c r="FY32">
        <f ca="1"/>
      </c>
      <c r="FZ32">
        <f ca="1"/>
      </c>
      <c r="GA32">
        <f ca="1"/>
      </c>
      <c r="GM32" s="7">
        <f ca="1"/>
      </c>
      <c r="GN32">
        <f ca="1"/>
      </c>
      <c r="GO32">
        <f ca="1"/>
      </c>
      <c r="GP32">
        <f ca="1"/>
      </c>
      <c r="GQ32">
        <f ca="1"/>
      </c>
    </row>
    <row r="33" spans="1:199" x14ac:dyDescent="0.55000000000000004">
      <c r="A33" t="s">
        <v>302</v>
      </c>
      <c r="B33" s="13" cm="1">
        <f t="array" aca="1" ref="B33" ca="1">_xlfn.XLOOKUP($A33,_xlfn.ANCHORARRAY($GS$4),_xlfn.ANCHORARRAY($GT$4),"")</f>
      </c>
      <c r="C33" s="13" cm="1">
        <f t="array" aca="1" ref="C33" ca="1">_xlfn.LET(_xlpm.h,FWM_HC,_xlpm.c,_xlfn.XMATCH($A33,_xlfn.TAKE(_xlpm.h,1)),INDEX(_xlpm.h,ROWS(_xlpm.h),_xlpm.c))</f>
      </c>
      <c r="D33" s="44">
        <f t="shared" ca="1" si="0"/>
      </c>
      <c r="E33" s="44" cm="1">
        <f t="array" aca="1" ref="E33" ca="1">_xlfn.LET(_xlpm.h,FWM_HC,_xlpm.c,_xlfn.XMATCH($A33,_xlfn.TAKE(_xlpm.h,1)),(B33-INDEX(_xlpm.h,ROWS(_xlpm.h)-4,_xlpm.c))*100)</f>
      </c>
      <c r="F33" s="44" cm="1">
        <f t="array" aca="1" ref="F33" ca="1">_xlfn.LET(_xlpm.h,FWM_HC,_xlpm.c,_xlfn.XMATCH($A33,_xlfn.TAKE(_xlpm.h,1)),(B33-INDEX(_xlpm.h,ROWS(_xlpm.h)-20,_xlpm.c))*100)</f>
      </c>
      <c r="G33" s="44" cm="1">
        <f t="array" aca="1" ref="G33" ca="1">_xlfn.LET(_xlpm.h,FWM_HC,_xlpm.c,_xlfn.XMATCH($A33,_xlfn.TAKE(_xlpm.h,1)),(B33-_xlfn.XLOOKUP(FWM_Cmp,_xlfn.DROP(INDEX(_xlpm.h,,1),1),_xlfn.DROP(INDEX(_xlpm.h,,_xlpm.c),1),"",-1))*100)</f>
      </c>
      <c r="H33" s="11" cm="1">
        <f t="array" aca="1" ref="H33" ca="1">_xlfn.LET(_xlpm.h,FWM_HC,FWM_Sigma(_xlfn.DROP(INDEX(_xlpm.h,,_xlfn.XMATCH($A33&amp;" dF",_xlfn.TAKE(_xlpm.h,1))),1)))</f>
      </c>
      <c r="I33" s="45">
        <f t="shared" ca="1" si="1"/>
      </c>
      <c r="J33" s="45">
        <f t="shared" ca="1" si="2"/>
      </c>
      <c r="K33" s="44">
        <f t="shared" ca="1" si="4"/>
      </c>
      <c r="AA33">
        <f ca="1"/>
      </c>
      <c r="AB33">
        <f ca="1"/>
      </c>
      <c r="AC33">
        <f ca="1"/>
      </c>
      <c r="AD33">
        <f ca="1"/>
      </c>
      <c r="AF33">
        <f ca="1"/>
      </c>
      <c r="AG33">
        <f ca="1"/>
      </c>
      <c r="AH33">
        <f ca="1"/>
      </c>
      <c r="AI33">
        <f ca="1"/>
      </c>
      <c r="AJ33">
        <f ca="1"/>
      </c>
      <c r="AL33" t="s">
        <v>28</v>
      </c>
      <c r="AM33">
        <v>1</v>
      </c>
      <c r="AO33">
        <f ca="1"/>
      </c>
      <c r="AP33">
        <f ca="1"/>
      </c>
      <c r="AQ33">
        <f ca="1"/>
      </c>
      <c r="AR33">
        <f ca="1"/>
      </c>
      <c r="AS33">
        <f ca="1"/>
      </c>
      <c r="AT33">
        <f ca="1"/>
      </c>
      <c r="AU33">
        <f ca="1"/>
      </c>
      <c r="AV33">
        <f ca="1"/>
      </c>
      <c r="AW33">
        <f ca="1"/>
      </c>
      <c r="AX33">
        <f ca="1"/>
      </c>
      <c r="AY33">
        <f ca="1"/>
      </c>
      <c r="AZ33">
        <f ca="1"/>
      </c>
      <c r="BA33">
        <f ca="1"/>
      </c>
      <c r="BB33">
        <f ca="1"/>
      </c>
      <c r="BC33">
        <f ca="1"/>
      </c>
      <c r="BD33">
        <f ca="1"/>
      </c>
      <c r="BE33">
        <f ca="1"/>
      </c>
      <c r="BF33">
        <f ca="1"/>
      </c>
      <c r="BG33">
        <f ca="1"/>
      </c>
      <c r="BH33">
        <f ca="1"/>
      </c>
      <c r="BI33">
        <f ca="1"/>
      </c>
      <c r="BJ33">
        <f ca="1"/>
      </c>
      <c r="BK33">
        <f ca="1"/>
      </c>
      <c r="BL33">
        <f ca="1"/>
      </c>
      <c r="BM33">
        <f ca="1"/>
      </c>
      <c r="BN33">
        <f ca="1"/>
      </c>
      <c r="BO33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  <c r="BV33">
        <f ca="1"/>
      </c>
      <c r="BW33">
        <f ca="1"/>
      </c>
      <c r="BX33">
        <f ca="1"/>
      </c>
      <c r="BY33">
        <f ca="1"/>
      </c>
      <c r="BZ33">
        <f ca="1"/>
      </c>
      <c r="CA33">
        <f ca="1"/>
      </c>
      <c r="CB33">
        <f ca="1"/>
      </c>
      <c r="CC33">
        <f ca="1"/>
      </c>
      <c r="CD33">
        <f ca="1"/>
      </c>
      <c r="CE33">
        <f ca="1"/>
      </c>
      <c r="CF33">
        <f ca="1"/>
      </c>
      <c r="CG33">
        <f ca="1"/>
      </c>
      <c r="CH33">
        <f ca="1"/>
      </c>
      <c r="CI33">
        <f ca="1"/>
      </c>
      <c r="CK33">
        <f ca="1"/>
      </c>
      <c r="CL33">
        <f ca="1"/>
      </c>
      <c r="CM33">
        <f ca="1"/>
      </c>
      <c r="CN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DQ33">
        <f ca="1"/>
      </c>
      <c r="DR33">
        <f ca="1"/>
      </c>
      <c r="DS33">
        <f ca="1"/>
      </c>
      <c r="DT33">
        <f ca="1"/>
      </c>
      <c r="DU33">
        <f ca="1"/>
      </c>
      <c r="DV33">
        <f ca="1"/>
      </c>
      <c r="DW33">
        <f ca="1"/>
      </c>
      <c r="DX33">
        <f ca="1"/>
      </c>
      <c r="DY33">
        <f ca="1"/>
      </c>
      <c r="DZ33">
        <f ca="1"/>
      </c>
      <c r="EA33">
        <f ca="1"/>
      </c>
      <c r="EB33">
        <f ca="1"/>
      </c>
      <c r="EC33">
        <f ca="1"/>
      </c>
      <c r="ED33">
        <f ca="1"/>
      </c>
      <c r="EE33">
        <f ca="1"/>
      </c>
      <c r="EG33">
        <f ca="1"/>
      </c>
      <c r="EH33">
        <f ca="1"/>
      </c>
      <c r="EI33">
        <f ca="1"/>
      </c>
      <c r="EJ33">
        <f ca="1"/>
      </c>
      <c r="EK33">
        <f ca="1"/>
      </c>
      <c r="EL33">
        <f ca="1"/>
      </c>
      <c r="EM33">
        <f ca="1"/>
      </c>
      <c r="EN33">
        <f ca="1"/>
      </c>
      <c r="EO33">
        <f ca="1"/>
      </c>
      <c r="EP33">
        <f ca="1"/>
      </c>
      <c r="EQ33">
        <f ca="1"/>
      </c>
      <c r="ER33">
        <f ca="1"/>
      </c>
      <c r="ES33">
        <f ca="1"/>
      </c>
      <c r="ET33">
        <f ca="1"/>
      </c>
      <c r="EU33">
        <f ca="1"/>
      </c>
      <c r="EV33">
        <f ca="1"/>
      </c>
      <c r="EW33">
        <f ca="1"/>
      </c>
      <c r="EX33">
        <f ca="1"/>
      </c>
      <c r="EY33">
        <f ca="1"/>
      </c>
      <c r="EZ33">
        <f ca="1"/>
      </c>
      <c r="FA33">
        <f ca="1"/>
      </c>
      <c r="FB33">
        <f ca="1"/>
      </c>
      <c r="FC33">
        <f ca="1"/>
      </c>
      <c r="FD33">
        <f ca="1"/>
      </c>
      <c r="FE33">
        <f ca="1"/>
      </c>
      <c r="FF33">
        <f ca="1"/>
      </c>
      <c r="FG33">
        <f ca="1"/>
      </c>
      <c r="FH33">
        <f ca="1"/>
      </c>
      <c r="FI33">
        <f ca="1"/>
      </c>
      <c r="FJ33">
        <f ca="1"/>
      </c>
      <c r="FK33">
        <f ca="1"/>
      </c>
      <c r="FL33">
        <f ca="1"/>
      </c>
      <c r="FM33">
        <f ca="1"/>
      </c>
      <c r="FN33">
        <f ca="1"/>
      </c>
      <c r="FO33">
        <f ca="1"/>
      </c>
      <c r="FP33">
        <f ca="1"/>
      </c>
      <c r="FQ33">
        <f ca="1"/>
      </c>
      <c r="FR33">
        <f ca="1"/>
      </c>
      <c r="FS33">
        <f ca="1"/>
      </c>
      <c r="FT33">
        <f ca="1"/>
      </c>
      <c r="FU33">
        <f ca="1"/>
      </c>
      <c r="FV33">
        <f ca="1"/>
      </c>
      <c r="FW33">
        <f ca="1"/>
      </c>
      <c r="FX33">
        <f ca="1"/>
      </c>
      <c r="FY33">
        <f ca="1"/>
      </c>
      <c r="FZ33">
        <f ca="1"/>
      </c>
      <c r="GA33">
        <f ca="1"/>
      </c>
      <c r="GM33" s="7">
        <f ca="1"/>
      </c>
      <c r="GN33">
        <f ca="1"/>
      </c>
      <c r="GO33">
        <f ca="1"/>
      </c>
      <c r="GP33">
        <f ca="1"/>
      </c>
      <c r="GQ33">
        <f ca="1"/>
      </c>
    </row>
    <row r="34" spans="1:199" x14ac:dyDescent="0.55000000000000004">
      <c r="A34" t="s">
        <v>303</v>
      </c>
      <c r="B34" s="13" cm="1">
        <f t="array" aca="1" ref="B34" ca="1">_xlfn.XLOOKUP($A34,_xlfn.ANCHORARRAY($GS$4),_xlfn.ANCHORARRAY($GT$4),"")</f>
      </c>
      <c r="C34" s="13" cm="1">
        <f t="array" aca="1" ref="C34" ca="1">_xlfn.LET(_xlpm.h,FWM_HC,_xlpm.c,_xlfn.XMATCH($A34,_xlfn.TAKE(_xlpm.h,1)),INDEX(_xlpm.h,ROWS(_xlpm.h),_xlpm.c))</f>
      </c>
      <c r="D34" s="44">
        <f t="shared" ca="1" si="0"/>
      </c>
      <c r="E34" s="44" cm="1">
        <f t="array" aca="1" ref="E34" ca="1">_xlfn.LET(_xlpm.h,FWM_HC,_xlpm.c,_xlfn.XMATCH($A34,_xlfn.TAKE(_xlpm.h,1)),(B34-INDEX(_xlpm.h,ROWS(_xlpm.h)-4,_xlpm.c))*100)</f>
      </c>
      <c r="F34" s="44" cm="1">
        <f t="array" aca="1" ref="F34" ca="1">_xlfn.LET(_xlpm.h,FWM_HC,_xlpm.c,_xlfn.XMATCH($A34,_xlfn.TAKE(_xlpm.h,1)),(B34-INDEX(_xlpm.h,ROWS(_xlpm.h)-20,_xlpm.c))*100)</f>
      </c>
      <c r="G34" s="44" cm="1">
        <f t="array" aca="1" ref="G34" ca="1">_xlfn.LET(_xlpm.h,FWM_HC,_xlpm.c,_xlfn.XMATCH($A34,_xlfn.TAKE(_xlpm.h,1)),(B34-_xlfn.XLOOKUP(FWM_Cmp,_xlfn.DROP(INDEX(_xlpm.h,,1),1),_xlfn.DROP(INDEX(_xlpm.h,,_xlpm.c),1),"",-1))*100)</f>
      </c>
      <c r="H34" s="11" cm="1">
        <f t="array" aca="1" ref="H34" ca="1">_xlfn.LET(_xlpm.h,FWM_HC,FWM_Sigma(_xlfn.DROP(INDEX(_xlpm.h,,_xlfn.XMATCH($A34&amp;" dF",_xlfn.TAKE(_xlpm.h,1))),1)))</f>
      </c>
      <c r="I34" s="45">
        <f t="shared" ca="1" si="1"/>
      </c>
      <c r="J34" s="45">
        <f t="shared" ca="1" si="2"/>
      </c>
      <c r="K34" s="44">
        <f t="shared" ca="1" si="4"/>
      </c>
      <c r="AA34">
        <f ca="1"/>
      </c>
      <c r="AB34">
        <f ca="1"/>
      </c>
      <c r="AC34">
        <f ca="1"/>
      </c>
      <c r="AD34">
        <f ca="1"/>
      </c>
      <c r="AF34">
        <f ca="1"/>
      </c>
      <c r="AG34">
        <f ca="1"/>
      </c>
      <c r="AH34">
        <f ca="1"/>
      </c>
      <c r="AI34">
        <f ca="1"/>
      </c>
      <c r="AJ34">
        <f ca="1"/>
      </c>
      <c r="AL34" t="s">
        <v>29</v>
      </c>
      <c r="AM34">
        <v>1</v>
      </c>
      <c r="AO34">
        <f ca="1"/>
      </c>
      <c r="AP34">
        <f ca="1"/>
      </c>
      <c r="AQ34">
        <f ca="1"/>
      </c>
      <c r="AR34">
        <f ca="1"/>
      </c>
      <c r="AS34">
        <f ca="1"/>
      </c>
      <c r="AT34">
        <f ca="1"/>
      </c>
      <c r="AU34">
        <f ca="1"/>
      </c>
      <c r="AV34">
        <f ca="1"/>
      </c>
      <c r="AW34">
        <f ca="1"/>
      </c>
      <c r="AX34">
        <f ca="1"/>
      </c>
      <c r="AY34">
        <f ca="1"/>
      </c>
      <c r="AZ34">
        <f ca="1"/>
      </c>
      <c r="BA34">
        <f ca="1"/>
      </c>
      <c r="BB34">
        <f ca="1"/>
      </c>
      <c r="BC34">
        <f ca="1"/>
      </c>
      <c r="BD34">
        <f ca="1"/>
      </c>
      <c r="BE34">
        <f ca="1"/>
      </c>
      <c r="BF34">
        <f ca="1"/>
      </c>
      <c r="BG34">
        <f ca="1"/>
      </c>
      <c r="BH34">
        <f ca="1"/>
      </c>
      <c r="BI34">
        <f ca="1"/>
      </c>
      <c r="BJ34">
        <f ca="1"/>
      </c>
      <c r="BK34">
        <f ca="1"/>
      </c>
      <c r="BL34">
        <f ca="1"/>
      </c>
      <c r="BM34">
        <f ca="1"/>
      </c>
      <c r="BN34">
        <f ca="1"/>
      </c>
      <c r="BO34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  <c r="BV34">
        <f ca="1"/>
      </c>
      <c r="BW34">
        <f ca="1"/>
      </c>
      <c r="BX34">
        <f ca="1"/>
      </c>
      <c r="BY34">
        <f ca="1"/>
      </c>
      <c r="BZ34">
        <f ca="1"/>
      </c>
      <c r="CA34">
        <f ca="1"/>
      </c>
      <c r="CB34">
        <f ca="1"/>
      </c>
      <c r="CC34">
        <f ca="1"/>
      </c>
      <c r="CD34">
        <f ca="1"/>
      </c>
      <c r="CE34">
        <f ca="1"/>
      </c>
      <c r="CF34">
        <f ca="1"/>
      </c>
      <c r="CG34">
        <f ca="1"/>
      </c>
      <c r="CH34">
        <f ca="1"/>
      </c>
      <c r="CI34">
        <f ca="1"/>
      </c>
      <c r="CK34">
        <f ca="1"/>
      </c>
      <c r="CL34">
        <f ca="1"/>
      </c>
      <c r="CM34">
        <f ca="1"/>
      </c>
      <c r="CN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DQ34">
        <f ca="1"/>
      </c>
      <c r="DR34">
        <f ca="1"/>
      </c>
      <c r="DS34">
        <f ca="1"/>
      </c>
      <c r="DT34">
        <f ca="1"/>
      </c>
      <c r="DU34">
        <f ca="1"/>
      </c>
      <c r="DV34">
        <f ca="1"/>
      </c>
      <c r="DW34">
        <f ca="1"/>
      </c>
      <c r="DX34">
        <f ca="1"/>
      </c>
      <c r="DY34">
        <f ca="1"/>
      </c>
      <c r="DZ34">
        <f ca="1"/>
      </c>
      <c r="EA34">
        <f ca="1"/>
      </c>
      <c r="EB34">
        <f ca="1"/>
      </c>
      <c r="EC34">
        <f ca="1"/>
      </c>
      <c r="ED34">
        <f ca="1"/>
      </c>
      <c r="EE34">
        <f ca="1"/>
      </c>
      <c r="EG34">
        <f ca="1"/>
      </c>
      <c r="EH34">
        <f ca="1"/>
      </c>
      <c r="EI34">
        <f ca="1"/>
      </c>
      <c r="EJ34">
        <f ca="1"/>
      </c>
      <c r="EK34">
        <f ca="1"/>
      </c>
      <c r="EL34">
        <f ca="1"/>
      </c>
      <c r="EM34">
        <f ca="1"/>
      </c>
      <c r="EN34">
        <f ca="1"/>
      </c>
      <c r="EO34">
        <f ca="1"/>
      </c>
      <c r="EP34">
        <f ca="1"/>
      </c>
      <c r="EQ34">
        <f ca="1"/>
      </c>
      <c r="ER34">
        <f ca="1"/>
      </c>
      <c r="ES34">
        <f ca="1"/>
      </c>
      <c r="ET34">
        <f ca="1"/>
      </c>
      <c r="EU34">
        <f ca="1"/>
      </c>
      <c r="EV34">
        <f ca="1"/>
      </c>
      <c r="EW34">
        <f ca="1"/>
      </c>
      <c r="EX34">
        <f ca="1"/>
      </c>
      <c r="EY34">
        <f ca="1"/>
      </c>
      <c r="EZ34">
        <f ca="1"/>
      </c>
      <c r="FA34">
        <f ca="1"/>
      </c>
      <c r="FB34">
        <f ca="1"/>
      </c>
      <c r="FC34">
        <f ca="1"/>
      </c>
      <c r="FD34">
        <f ca="1"/>
      </c>
      <c r="FE34">
        <f ca="1"/>
      </c>
      <c r="FF34">
        <f ca="1"/>
      </c>
      <c r="FG34">
        <f ca="1"/>
      </c>
      <c r="FH34">
        <f ca="1"/>
      </c>
      <c r="FI34">
        <f ca="1"/>
      </c>
      <c r="FJ34">
        <f ca="1"/>
      </c>
      <c r="FK34">
        <f ca="1"/>
      </c>
      <c r="FL34">
        <f ca="1"/>
      </c>
      <c r="FM34">
        <f ca="1"/>
      </c>
      <c r="FN34">
        <f ca="1"/>
      </c>
      <c r="FO34">
        <f ca="1"/>
      </c>
      <c r="FP34">
        <f ca="1"/>
      </c>
      <c r="FQ34">
        <f ca="1"/>
      </c>
      <c r="FR34">
        <f ca="1"/>
      </c>
      <c r="FS34">
        <f ca="1"/>
      </c>
      <c r="FT34">
        <f ca="1"/>
      </c>
      <c r="FU34">
        <f ca="1"/>
      </c>
      <c r="FV34">
        <f ca="1"/>
      </c>
      <c r="FW34">
        <f ca="1"/>
      </c>
      <c r="FX34">
        <f ca="1"/>
      </c>
      <c r="FY34">
        <f ca="1"/>
      </c>
      <c r="FZ34">
        <f ca="1"/>
      </c>
      <c r="GA34">
        <f ca="1"/>
      </c>
      <c r="GM34" s="7">
        <f ca="1"/>
      </c>
      <c r="GN34">
        <f ca="1"/>
      </c>
      <c r="GO34">
        <f ca="1"/>
      </c>
      <c r="GP34">
        <f ca="1"/>
      </c>
      <c r="GQ34">
        <f ca="1"/>
      </c>
    </row>
    <row r="35" spans="1:199" x14ac:dyDescent="0.55000000000000004">
      <c r="A35" t="s">
        <v>304</v>
      </c>
      <c r="B35" s="13" cm="1">
        <f t="array" aca="1" ref="B35" ca="1">_xlfn.XLOOKUP($A35,_xlfn.ANCHORARRAY($GS$4),_xlfn.ANCHORARRAY($GT$4),"")</f>
      </c>
      <c r="C35" s="13" cm="1">
        <f t="array" aca="1" ref="C35" ca="1">_xlfn.LET(_xlpm.h,FWM_HC,_xlpm.c,_xlfn.XMATCH($A35,_xlfn.TAKE(_xlpm.h,1)),INDEX(_xlpm.h,ROWS(_xlpm.h),_xlpm.c))</f>
      </c>
      <c r="D35" s="44">
        <f t="shared" ca="1" si="0"/>
      </c>
      <c r="E35" s="44" cm="1">
        <f t="array" aca="1" ref="E35" ca="1">_xlfn.LET(_xlpm.h,FWM_HC,_xlpm.c,_xlfn.XMATCH($A35,_xlfn.TAKE(_xlpm.h,1)),(B35-INDEX(_xlpm.h,ROWS(_xlpm.h)-4,_xlpm.c))*100)</f>
      </c>
      <c r="F35" s="44" cm="1">
        <f t="array" aca="1" ref="F35" ca="1">_xlfn.LET(_xlpm.h,FWM_HC,_xlpm.c,_xlfn.XMATCH($A35,_xlfn.TAKE(_xlpm.h,1)),(B35-INDEX(_xlpm.h,ROWS(_xlpm.h)-20,_xlpm.c))*100)</f>
      </c>
      <c r="G35" s="44" cm="1">
        <f t="array" aca="1" ref="G35" ca="1">_xlfn.LET(_xlpm.h,FWM_HC,_xlpm.c,_xlfn.XMATCH($A35,_xlfn.TAKE(_xlpm.h,1)),(B35-_xlfn.XLOOKUP(FWM_Cmp,_xlfn.DROP(INDEX(_xlpm.h,,1),1),_xlfn.DROP(INDEX(_xlpm.h,,_xlpm.c),1),"",-1))*100)</f>
      </c>
      <c r="H35" s="11" cm="1">
        <f t="array" aca="1" ref="H35" ca="1">_xlfn.LET(_xlpm.h,FWM_HC,FWM_Sigma(_xlfn.DROP(INDEX(_xlpm.h,,_xlfn.XMATCH($A35&amp;" dF",_xlfn.TAKE(_xlpm.h,1))),1)))</f>
      </c>
      <c r="I35" s="45">
        <f t="shared" ca="1" si="1"/>
      </c>
      <c r="J35" s="45">
        <f t="shared" ca="1" si="2"/>
      </c>
      <c r="K35" s="44">
        <f t="shared" ca="1" si="4"/>
      </c>
      <c r="AA35">
        <f ca="1"/>
      </c>
      <c r="AB35">
        <f ca="1"/>
      </c>
      <c r="AC35">
        <f ca="1"/>
      </c>
      <c r="AD35">
        <f ca="1"/>
      </c>
      <c r="AF35">
        <f ca="1"/>
      </c>
      <c r="AG35">
        <f ca="1"/>
      </c>
      <c r="AH35">
        <f ca="1"/>
      </c>
      <c r="AI35">
        <f ca="1"/>
      </c>
      <c r="AJ35">
        <f ca="1"/>
      </c>
      <c r="AL35" t="s">
        <v>30</v>
      </c>
      <c r="AM35">
        <v>1</v>
      </c>
      <c r="AO35">
        <f ca="1"/>
      </c>
      <c r="AP35">
        <f ca="1"/>
      </c>
      <c r="AQ35">
        <f ca="1"/>
      </c>
      <c r="AR35">
        <f ca="1"/>
      </c>
      <c r="AS35">
        <f ca="1"/>
      </c>
      <c r="AT35">
        <f ca="1"/>
      </c>
      <c r="AU35">
        <f ca="1"/>
      </c>
      <c r="AV35">
        <f ca="1"/>
      </c>
      <c r="AW35">
        <f ca="1"/>
      </c>
      <c r="AX35">
        <f ca="1"/>
      </c>
      <c r="AY35">
        <f ca="1"/>
      </c>
      <c r="AZ35">
        <f ca="1"/>
      </c>
      <c r="BA35">
        <f ca="1"/>
      </c>
      <c r="BB35">
        <f ca="1"/>
      </c>
      <c r="BC35">
        <f ca="1"/>
      </c>
      <c r="BD35">
        <f ca="1"/>
      </c>
      <c r="BE35">
        <f ca="1"/>
      </c>
      <c r="BF35">
        <f ca="1"/>
      </c>
      <c r="BG35">
        <f ca="1"/>
      </c>
      <c r="BH35">
        <f ca="1"/>
      </c>
      <c r="BI35">
        <f ca="1"/>
      </c>
      <c r="BJ35">
        <f ca="1"/>
      </c>
      <c r="BK35">
        <f ca="1"/>
      </c>
      <c r="BL35">
        <f ca="1"/>
      </c>
      <c r="BM35">
        <f ca="1"/>
      </c>
      <c r="BN35">
        <f ca="1"/>
      </c>
      <c r="BO35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  <c r="BV35">
        <f ca="1"/>
      </c>
      <c r="BW35">
        <f ca="1"/>
      </c>
      <c r="BX35">
        <f ca="1"/>
      </c>
      <c r="BY35">
        <f ca="1"/>
      </c>
      <c r="BZ35">
        <f ca="1"/>
      </c>
      <c r="CA35">
        <f ca="1"/>
      </c>
      <c r="CB35">
        <f ca="1"/>
      </c>
      <c r="CC35">
        <f ca="1"/>
      </c>
      <c r="CD35">
        <f ca="1"/>
      </c>
      <c r="CE35">
        <f ca="1"/>
      </c>
      <c r="CF35">
        <f ca="1"/>
      </c>
      <c r="CG35">
        <f ca="1"/>
      </c>
      <c r="CH35">
        <f ca="1"/>
      </c>
      <c r="CI35">
        <f ca="1"/>
      </c>
      <c r="CK35">
        <f ca="1"/>
      </c>
      <c r="CL35">
        <f ca="1"/>
      </c>
      <c r="CM35">
        <f ca="1"/>
      </c>
      <c r="CN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DQ35">
        <f ca="1"/>
      </c>
      <c r="DR35">
        <f ca="1"/>
      </c>
      <c r="DS35">
        <f ca="1"/>
      </c>
      <c r="DT35">
        <f ca="1"/>
      </c>
      <c r="DU35">
        <f ca="1"/>
      </c>
      <c r="DV35">
        <f ca="1"/>
      </c>
      <c r="DW35">
        <f ca="1"/>
      </c>
      <c r="DX35">
        <f ca="1"/>
      </c>
      <c r="DY35">
        <f ca="1"/>
      </c>
      <c r="DZ35">
        <f ca="1"/>
      </c>
      <c r="EA35">
        <f ca="1"/>
      </c>
      <c r="EB35">
        <f ca="1"/>
      </c>
      <c r="EC35">
        <f ca="1"/>
      </c>
      <c r="ED35">
        <f ca="1"/>
      </c>
      <c r="EE35">
        <f ca="1"/>
      </c>
      <c r="EG35">
        <f ca="1"/>
      </c>
      <c r="EH35">
        <f ca="1"/>
      </c>
      <c r="EI35">
        <f ca="1"/>
      </c>
      <c r="EJ35">
        <f ca="1"/>
      </c>
      <c r="EK35">
        <f ca="1"/>
      </c>
      <c r="EL35">
        <f ca="1"/>
      </c>
      <c r="EM35">
        <f ca="1"/>
      </c>
      <c r="EN35">
        <f ca="1"/>
      </c>
      <c r="EO35">
        <f ca="1"/>
      </c>
      <c r="EP35">
        <f ca="1"/>
      </c>
      <c r="EQ35">
        <f ca="1"/>
      </c>
      <c r="ER35">
        <f ca="1"/>
      </c>
      <c r="ES35">
        <f ca="1"/>
      </c>
      <c r="ET35">
        <f ca="1"/>
      </c>
      <c r="EU35">
        <f ca="1"/>
      </c>
      <c r="EV35">
        <f ca="1"/>
      </c>
      <c r="EW35">
        <f ca="1"/>
      </c>
      <c r="EX35">
        <f ca="1"/>
      </c>
      <c r="EY35">
        <f ca="1"/>
      </c>
      <c r="EZ35">
        <f ca="1"/>
      </c>
      <c r="FA35">
        <f ca="1"/>
      </c>
      <c r="FB35">
        <f ca="1"/>
      </c>
      <c r="FC35">
        <f ca="1"/>
      </c>
      <c r="FD35">
        <f ca="1"/>
      </c>
      <c r="FE35">
        <f ca="1"/>
      </c>
      <c r="FF35">
        <f ca="1"/>
      </c>
      <c r="FG35">
        <f ca="1"/>
      </c>
      <c r="FH35">
        <f ca="1"/>
      </c>
      <c r="FI35">
        <f ca="1"/>
      </c>
      <c r="FJ35">
        <f ca="1"/>
      </c>
      <c r="FK35">
        <f ca="1"/>
      </c>
      <c r="FL35">
        <f ca="1"/>
      </c>
      <c r="FM35">
        <f ca="1"/>
      </c>
      <c r="FN35">
        <f ca="1"/>
      </c>
      <c r="FO35">
        <f ca="1"/>
      </c>
      <c r="FP35">
        <f ca="1"/>
      </c>
      <c r="FQ35">
        <f ca="1"/>
      </c>
      <c r="FR35">
        <f ca="1"/>
      </c>
      <c r="FS35">
        <f ca="1"/>
      </c>
      <c r="FT35">
        <f ca="1"/>
      </c>
      <c r="FU35">
        <f ca="1"/>
      </c>
      <c r="FV35">
        <f ca="1"/>
      </c>
      <c r="FW35">
        <f ca="1"/>
      </c>
      <c r="FX35">
        <f ca="1"/>
      </c>
      <c r="FY35">
        <f ca="1"/>
      </c>
      <c r="FZ35">
        <f ca="1"/>
      </c>
      <c r="GA35">
        <f ca="1"/>
      </c>
      <c r="GM35" s="7">
        <f ca="1"/>
      </c>
      <c r="GN35">
        <f ca="1"/>
      </c>
      <c r="GO35">
        <f ca="1"/>
      </c>
      <c r="GP35">
        <f ca="1"/>
      </c>
      <c r="GQ35">
        <f ca="1"/>
      </c>
    </row>
    <row r="36" spans="1:199" x14ac:dyDescent="0.55000000000000004">
      <c r="A36" t="s">
        <v>305</v>
      </c>
      <c r="AA36">
        <f ca="1"/>
      </c>
      <c r="AB36">
        <f ca="1"/>
      </c>
      <c r="AC36">
        <f ca="1"/>
      </c>
      <c r="AD36">
        <f ca="1"/>
      </c>
      <c r="AF36">
        <f ca="1"/>
      </c>
      <c r="AG36">
        <f ca="1"/>
      </c>
      <c r="AH36">
        <f ca="1"/>
      </c>
      <c r="AI36">
        <f ca="1"/>
      </c>
      <c r="AJ36">
        <f ca="1"/>
      </c>
      <c r="AL36" t="s">
        <v>31</v>
      </c>
      <c r="AM36">
        <v>1</v>
      </c>
      <c r="AO36">
        <f ca="1"/>
      </c>
      <c r="AP36">
        <f ca="1"/>
      </c>
      <c r="AQ36">
        <f ca="1"/>
      </c>
      <c r="AR36">
        <f ca="1"/>
      </c>
      <c r="AS36">
        <f ca="1"/>
      </c>
      <c r="AT36">
        <f ca="1"/>
      </c>
      <c r="AU36">
        <f ca="1"/>
      </c>
      <c r="AV36">
        <f ca="1"/>
      </c>
      <c r="AW36">
        <f ca="1"/>
      </c>
      <c r="AX36">
        <f ca="1"/>
      </c>
      <c r="AY36">
        <f ca="1"/>
      </c>
      <c r="AZ36">
        <f ca="1"/>
      </c>
      <c r="BA36">
        <f ca="1"/>
      </c>
      <c r="BB36">
        <f ca="1"/>
      </c>
      <c r="BC36">
        <f ca="1"/>
      </c>
      <c r="BD36">
        <f ca="1"/>
      </c>
      <c r="BE36">
        <f ca="1"/>
      </c>
      <c r="BF36">
        <f ca="1"/>
      </c>
      <c r="BG36">
        <f ca="1"/>
      </c>
      <c r="BH36">
        <f ca="1"/>
      </c>
      <c r="BI36">
        <f ca="1"/>
      </c>
      <c r="BJ36">
        <f ca="1"/>
      </c>
      <c r="BK36">
        <f ca="1"/>
      </c>
      <c r="BL36">
        <f ca="1"/>
      </c>
      <c r="BM36">
        <f ca="1"/>
      </c>
      <c r="BN36">
        <f ca="1"/>
      </c>
      <c r="BO36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  <c r="BV36">
        <f ca="1"/>
      </c>
      <c r="BW36">
        <f ca="1"/>
      </c>
      <c r="BX36">
        <f ca="1"/>
      </c>
      <c r="BY36">
        <f ca="1"/>
      </c>
      <c r="BZ36">
        <f ca="1"/>
      </c>
      <c r="CA36">
        <f ca="1"/>
      </c>
      <c r="CB36">
        <f ca="1"/>
      </c>
      <c r="CC36">
        <f ca="1"/>
      </c>
      <c r="CD36">
        <f ca="1"/>
      </c>
      <c r="CE36">
        <f ca="1"/>
      </c>
      <c r="CF36">
        <f ca="1"/>
      </c>
      <c r="CG36">
        <f ca="1"/>
      </c>
      <c r="CH36">
        <f ca="1"/>
      </c>
      <c r="CI36">
        <f ca="1"/>
      </c>
      <c r="CK36">
        <f ca="1"/>
      </c>
      <c r="CL36">
        <f ca="1"/>
      </c>
      <c r="CM36">
        <f ca="1"/>
      </c>
      <c r="CN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DQ36">
        <f ca="1"/>
      </c>
      <c r="DR36">
        <f ca="1"/>
      </c>
      <c r="DS36">
        <f ca="1"/>
      </c>
      <c r="DT36">
        <f ca="1"/>
      </c>
      <c r="DU36">
        <f ca="1"/>
      </c>
      <c r="DV36">
        <f ca="1"/>
      </c>
      <c r="DW36">
        <f ca="1"/>
      </c>
      <c r="DX36">
        <f ca="1"/>
      </c>
      <c r="DY36">
        <f ca="1"/>
      </c>
      <c r="DZ36">
        <f ca="1"/>
      </c>
      <c r="EA36">
        <f ca="1"/>
      </c>
      <c r="EB36">
        <f ca="1"/>
      </c>
      <c r="EC36">
        <f ca="1"/>
      </c>
      <c r="ED36">
        <f ca="1"/>
      </c>
      <c r="EE36">
        <f ca="1"/>
      </c>
      <c r="EG36">
        <f ca="1"/>
      </c>
      <c r="EH36">
        <f ca="1"/>
      </c>
      <c r="EI36">
        <f ca="1"/>
      </c>
      <c r="EJ36">
        <f ca="1"/>
      </c>
      <c r="EK36">
        <f ca="1"/>
      </c>
      <c r="EL36">
        <f ca="1"/>
      </c>
      <c r="EM36">
        <f ca="1"/>
      </c>
      <c r="EN36">
        <f ca="1"/>
      </c>
      <c r="EO36">
        <f ca="1"/>
      </c>
      <c r="EP36">
        <f ca="1"/>
      </c>
      <c r="EQ36">
        <f ca="1"/>
      </c>
      <c r="ER36">
        <f ca="1"/>
      </c>
      <c r="ES36">
        <f ca="1"/>
      </c>
      <c r="ET36">
        <f ca="1"/>
      </c>
      <c r="EU36">
        <f ca="1"/>
      </c>
      <c r="EV36">
        <f ca="1"/>
      </c>
      <c r="EW36">
        <f ca="1"/>
      </c>
      <c r="EX36">
        <f ca="1"/>
      </c>
      <c r="EY36">
        <f ca="1"/>
      </c>
      <c r="EZ36">
        <f ca="1"/>
      </c>
      <c r="FA36">
        <f ca="1"/>
      </c>
      <c r="FB36">
        <f ca="1"/>
      </c>
      <c r="FC36">
        <f ca="1"/>
      </c>
      <c r="FD36">
        <f ca="1"/>
      </c>
      <c r="FE36">
        <f ca="1"/>
      </c>
      <c r="FF36">
        <f ca="1"/>
      </c>
      <c r="FG36">
        <f ca="1"/>
      </c>
      <c r="FH36">
        <f ca="1"/>
      </c>
      <c r="FI36">
        <f ca="1"/>
      </c>
      <c r="FJ36">
        <f ca="1"/>
      </c>
      <c r="FK36">
        <f ca="1"/>
      </c>
      <c r="FL36">
        <f ca="1"/>
      </c>
      <c r="FM36">
        <f ca="1"/>
      </c>
      <c r="FN36">
        <f ca="1"/>
      </c>
      <c r="FO36">
        <f ca="1"/>
      </c>
      <c r="FP36">
        <f ca="1"/>
      </c>
      <c r="FQ36">
        <f ca="1"/>
      </c>
      <c r="FR36">
        <f ca="1"/>
      </c>
      <c r="FS36">
        <f ca="1"/>
      </c>
      <c r="FT36">
        <f ca="1"/>
      </c>
      <c r="FU36">
        <f ca="1"/>
      </c>
      <c r="FV36">
        <f ca="1"/>
      </c>
      <c r="FW36">
        <f ca="1"/>
      </c>
      <c r="FX36">
        <f ca="1"/>
      </c>
      <c r="FY36">
        <f ca="1"/>
      </c>
      <c r="FZ36">
        <f ca="1"/>
      </c>
      <c r="GA36">
        <f ca="1"/>
      </c>
      <c r="GM36" s="7">
        <f ca="1"/>
      </c>
      <c r="GN36">
        <f ca="1"/>
      </c>
      <c r="GO36">
        <f ca="1"/>
      </c>
      <c r="GP36">
        <f ca="1"/>
      </c>
      <c r="GQ36">
        <f ca="1"/>
      </c>
    </row>
    <row r="37" spans="1:199" x14ac:dyDescent="0.55000000000000004">
      <c r="A37" s="4" t="s">
        <v>306</v>
      </c>
      <c r="AA37">
        <f ca="1"/>
      </c>
      <c r="AB37">
        <f ca="1"/>
      </c>
      <c r="AC37">
        <f ca="1"/>
      </c>
      <c r="AD37">
        <f ca="1"/>
      </c>
      <c r="AF37">
        <f ca="1"/>
      </c>
      <c r="AG37">
        <f ca="1"/>
      </c>
      <c r="AH37">
        <f ca="1"/>
      </c>
      <c r="AI37">
        <f ca="1"/>
      </c>
      <c r="AJ37">
        <f ca="1"/>
      </c>
      <c r="AL37" t="s">
        <v>32</v>
      </c>
      <c r="AM37">
        <v>1</v>
      </c>
      <c r="AO37">
        <f ca="1"/>
      </c>
      <c r="AP37">
        <f ca="1"/>
      </c>
      <c r="AQ37">
        <f ca="1"/>
      </c>
      <c r="AR37">
        <f ca="1"/>
      </c>
      <c r="AS37">
        <f ca="1"/>
      </c>
      <c r="AT37">
        <f ca="1"/>
      </c>
      <c r="AU37">
        <f ca="1"/>
      </c>
      <c r="AV37">
        <f ca="1"/>
      </c>
      <c r="AW37">
        <f ca="1"/>
      </c>
      <c r="AX37">
        <f ca="1"/>
      </c>
      <c r="AY37">
        <f ca="1"/>
      </c>
      <c r="AZ37">
        <f ca="1"/>
      </c>
      <c r="BA37">
        <f ca="1"/>
      </c>
      <c r="BB37">
        <f ca="1"/>
      </c>
      <c r="BC37">
        <f ca="1"/>
      </c>
      <c r="BD37">
        <f ca="1"/>
      </c>
      <c r="BE37">
        <f ca="1"/>
      </c>
      <c r="BF37">
        <f ca="1"/>
      </c>
      <c r="BG37">
        <f ca="1"/>
      </c>
      <c r="BH37">
        <f ca="1"/>
      </c>
      <c r="BI37">
        <f ca="1"/>
      </c>
      <c r="BJ37">
        <f ca="1"/>
      </c>
      <c r="BK37">
        <f ca="1"/>
      </c>
      <c r="BL37">
        <f ca="1"/>
      </c>
      <c r="BM37">
        <f ca="1"/>
      </c>
      <c r="BN37">
        <f ca="1"/>
      </c>
      <c r="BO37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  <c r="BV37">
        <f ca="1"/>
      </c>
      <c r="BW37">
        <f ca="1"/>
      </c>
      <c r="BX37">
        <f ca="1"/>
      </c>
      <c r="BY37">
        <f ca="1"/>
      </c>
      <c r="BZ37">
        <f ca="1"/>
      </c>
      <c r="CA37">
        <f ca="1"/>
      </c>
      <c r="CB37">
        <f ca="1"/>
      </c>
      <c r="CC37">
        <f ca="1"/>
      </c>
      <c r="CD37">
        <f ca="1"/>
      </c>
      <c r="CE37">
        <f ca="1"/>
      </c>
      <c r="CF37">
        <f ca="1"/>
      </c>
      <c r="CG37">
        <f ca="1"/>
      </c>
      <c r="CH37">
        <f ca="1"/>
      </c>
      <c r="CI37">
        <f ca="1"/>
      </c>
      <c r="CK37">
        <f ca="1"/>
      </c>
      <c r="CL37">
        <f ca="1"/>
      </c>
      <c r="CM37">
        <f ca="1"/>
      </c>
      <c r="CN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DQ37">
        <f ca="1"/>
      </c>
      <c r="DR37">
        <f ca="1"/>
      </c>
      <c r="DS37">
        <f ca="1"/>
      </c>
      <c r="DT37">
        <f ca="1"/>
      </c>
      <c r="DU37">
        <f ca="1"/>
      </c>
      <c r="DV37">
        <f ca="1"/>
      </c>
      <c r="DW37">
        <f ca="1"/>
      </c>
      <c r="DX37">
        <f ca="1"/>
      </c>
      <c r="DY37">
        <f ca="1"/>
      </c>
      <c r="DZ37">
        <f ca="1"/>
      </c>
      <c r="EA37">
        <f ca="1"/>
      </c>
      <c r="EB37">
        <f ca="1"/>
      </c>
      <c r="EC37">
        <f ca="1"/>
      </c>
      <c r="ED37">
        <f ca="1"/>
      </c>
      <c r="EE37">
        <f ca="1"/>
      </c>
      <c r="EG37">
        <f ca="1"/>
      </c>
      <c r="EH37">
        <f ca="1"/>
      </c>
      <c r="EI37">
        <f ca="1"/>
      </c>
      <c r="EJ37">
        <f ca="1"/>
      </c>
      <c r="EK37">
        <f ca="1"/>
      </c>
      <c r="EL37">
        <f ca="1"/>
      </c>
      <c r="EM37">
        <f ca="1"/>
      </c>
      <c r="EN37">
        <f ca="1"/>
      </c>
      <c r="EO37">
        <f ca="1"/>
      </c>
      <c r="EP37">
        <f ca="1"/>
      </c>
      <c r="EQ37">
        <f ca="1"/>
      </c>
      <c r="ER37">
        <f ca="1"/>
      </c>
      <c r="ES37">
        <f ca="1"/>
      </c>
      <c r="ET37">
        <f ca="1"/>
      </c>
      <c r="EU37">
        <f ca="1"/>
      </c>
      <c r="EV37">
        <f ca="1"/>
      </c>
      <c r="EW37">
        <f ca="1"/>
      </c>
      <c r="EX37">
        <f ca="1"/>
      </c>
      <c r="EY37">
        <f ca="1"/>
      </c>
      <c r="EZ37">
        <f ca="1"/>
      </c>
      <c r="FA37">
        <f ca="1"/>
      </c>
      <c r="FB37">
        <f ca="1"/>
      </c>
      <c r="FC37">
        <f ca="1"/>
      </c>
      <c r="FD37">
        <f ca="1"/>
      </c>
      <c r="FE37">
        <f ca="1"/>
      </c>
      <c r="FF37">
        <f ca="1"/>
      </c>
      <c r="FG37">
        <f ca="1"/>
      </c>
      <c r="FH37">
        <f ca="1"/>
      </c>
      <c r="FI37">
        <f ca="1"/>
      </c>
      <c r="FJ37">
        <f ca="1"/>
      </c>
      <c r="FK37">
        <f ca="1"/>
      </c>
      <c r="FL37">
        <f ca="1"/>
      </c>
      <c r="FM37">
        <f ca="1"/>
      </c>
      <c r="FN37">
        <f ca="1"/>
      </c>
      <c r="FO37">
        <f ca="1"/>
      </c>
      <c r="FP37">
        <f ca="1"/>
      </c>
      <c r="FQ37">
        <f ca="1"/>
      </c>
      <c r="FR37">
        <f ca="1"/>
      </c>
      <c r="FS37">
        <f ca="1"/>
      </c>
      <c r="FT37">
        <f ca="1"/>
      </c>
      <c r="FU37">
        <f ca="1"/>
      </c>
      <c r="FV37">
        <f ca="1"/>
      </c>
      <c r="FW37">
        <f ca="1"/>
      </c>
      <c r="FX37">
        <f ca="1"/>
      </c>
      <c r="FY37">
        <f ca="1"/>
      </c>
      <c r="FZ37">
        <f ca="1"/>
      </c>
      <c r="GA37">
        <f ca="1"/>
      </c>
      <c r="GM37" s="7">
        <f ca="1"/>
      </c>
      <c r="GN37">
        <f ca="1"/>
      </c>
      <c r="GO37">
        <f ca="1"/>
      </c>
      <c r="GP37">
        <f ca="1"/>
      </c>
      <c r="GQ37">
        <f ca="1"/>
      </c>
    </row>
    <row r="38" spans="1:199" x14ac:dyDescent="0.55000000000000004">
      <c r="A38" s="4" t="s">
        <v>307</v>
      </c>
      <c r="B38" s="4" t="s">
        <v>308</v>
      </c>
      <c r="C38" s="4" t="s">
        <v>146</v>
      </c>
      <c r="D38" s="4" t="s">
        <v>309</v>
      </c>
      <c r="E38" s="4" t="s">
        <v>310</v>
      </c>
      <c r="F38" s="4" t="s">
        <v>311</v>
      </c>
      <c r="G38" s="4" t="s">
        <v>312</v>
      </c>
      <c r="H38" s="4" t="s">
        <v>313</v>
      </c>
      <c r="I38" s="4" t="s">
        <v>314</v>
      </c>
      <c r="J38" s="4" t="s">
        <v>315</v>
      </c>
      <c r="K38" s="4" t="s">
        <v>275</v>
      </c>
      <c r="L38" s="4" t="s">
        <v>277</v>
      </c>
      <c r="M38" s="4" t="s">
        <v>279</v>
      </c>
      <c r="N38" s="4" t="s">
        <v>280</v>
      </c>
      <c r="O38" s="4" t="s">
        <v>281</v>
      </c>
      <c r="AA38">
        <f ca="1"/>
      </c>
      <c r="AB38">
        <f ca="1"/>
      </c>
      <c r="AC38">
        <f ca="1"/>
      </c>
      <c r="AD38">
        <f ca="1"/>
      </c>
      <c r="AF38">
        <f ca="1"/>
      </c>
      <c r="AG38">
        <f ca="1"/>
      </c>
      <c r="AH38">
        <f ca="1"/>
      </c>
      <c r="AI38">
        <f ca="1"/>
      </c>
      <c r="AJ38">
        <f ca="1"/>
      </c>
      <c r="AL38" t="s">
        <v>109</v>
      </c>
      <c r="AM38">
        <v>0</v>
      </c>
      <c r="AO38">
        <f ca="1"/>
      </c>
      <c r="AP38">
        <f ca="1"/>
      </c>
      <c r="AQ38">
        <f ca="1"/>
      </c>
      <c r="AR38">
        <f ca="1"/>
      </c>
      <c r="AS38">
        <f ca="1"/>
      </c>
      <c r="AT38">
        <f ca="1"/>
      </c>
      <c r="AU38">
        <f ca="1"/>
      </c>
      <c r="AV38">
        <f ca="1"/>
      </c>
      <c r="AW38">
        <f ca="1"/>
      </c>
      <c r="AX38">
        <f ca="1"/>
      </c>
      <c r="AY38">
        <f ca="1"/>
      </c>
      <c r="AZ38">
        <f ca="1"/>
      </c>
      <c r="BA38">
        <f ca="1"/>
      </c>
      <c r="BB38">
        <f ca="1"/>
      </c>
      <c r="BC38">
        <f ca="1"/>
      </c>
      <c r="BD38">
        <f ca="1"/>
      </c>
      <c r="BE38">
        <f ca="1"/>
      </c>
      <c r="BF38">
        <f ca="1"/>
      </c>
      <c r="BG38">
        <f ca="1"/>
      </c>
      <c r="BH38">
        <f ca="1"/>
      </c>
      <c r="BI38">
        <f ca="1"/>
      </c>
      <c r="BJ38">
        <f ca="1"/>
      </c>
      <c r="BK38">
        <f ca="1"/>
      </c>
      <c r="BL38">
        <f ca="1"/>
      </c>
      <c r="BM38">
        <f ca="1"/>
      </c>
      <c r="BN38">
        <f ca="1"/>
      </c>
      <c r="BO38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  <c r="BV38">
        <f ca="1"/>
      </c>
      <c r="BW38">
        <f ca="1"/>
      </c>
      <c r="BX38">
        <f ca="1"/>
      </c>
      <c r="BY38">
        <f ca="1"/>
      </c>
      <c r="BZ38">
        <f ca="1"/>
      </c>
      <c r="CA38">
        <f ca="1"/>
      </c>
      <c r="CB38">
        <f ca="1"/>
      </c>
      <c r="CC38">
        <f ca="1"/>
      </c>
      <c r="CD38">
        <f ca="1"/>
      </c>
      <c r="CE38">
        <f ca="1"/>
      </c>
      <c r="CF38">
        <f ca="1"/>
      </c>
      <c r="CG38">
        <f ca="1"/>
      </c>
      <c r="CH38">
        <f ca="1"/>
      </c>
      <c r="CI38">
        <f ca="1"/>
      </c>
      <c r="CK38">
        <f ca="1"/>
      </c>
      <c r="CL38">
        <f ca="1"/>
      </c>
      <c r="CM38">
        <f ca="1"/>
      </c>
      <c r="CN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DQ38">
        <f ca="1"/>
      </c>
      <c r="DR38">
        <f ca="1"/>
      </c>
      <c r="DS38">
        <f ca="1"/>
      </c>
      <c r="DT38">
        <f ca="1"/>
      </c>
      <c r="DU38">
        <f ca="1"/>
      </c>
      <c r="DV38">
        <f ca="1"/>
      </c>
      <c r="DW38">
        <f ca="1"/>
      </c>
      <c r="DX38">
        <f ca="1"/>
      </c>
      <c r="DY38">
        <f ca="1"/>
      </c>
      <c r="DZ38">
        <f ca="1"/>
      </c>
      <c r="EA38">
        <f ca="1"/>
      </c>
      <c r="EB38">
        <f ca="1"/>
      </c>
      <c r="EC38">
        <f ca="1"/>
      </c>
      <c r="ED38">
        <f ca="1"/>
      </c>
      <c r="EE38">
        <f ca="1"/>
      </c>
      <c r="EG38">
        <f ca="1"/>
      </c>
      <c r="EH38">
        <f ca="1"/>
      </c>
      <c r="EI38">
        <f ca="1"/>
      </c>
      <c r="EJ38">
        <f ca="1"/>
      </c>
      <c r="EK38">
        <f ca="1"/>
      </c>
      <c r="EL38">
        <f ca="1"/>
      </c>
      <c r="EM38">
        <f ca="1"/>
      </c>
      <c r="EN38">
        <f ca="1"/>
      </c>
      <c r="EO38">
        <f ca="1"/>
      </c>
      <c r="EP38">
        <f ca="1"/>
      </c>
      <c r="EQ38">
        <f ca="1"/>
      </c>
      <c r="ER38">
        <f ca="1"/>
      </c>
      <c r="ES38">
        <f ca="1"/>
      </c>
      <c r="ET38">
        <f ca="1"/>
      </c>
      <c r="EU38">
        <f ca="1"/>
      </c>
      <c r="EV38">
        <f ca="1"/>
      </c>
      <c r="EW38">
        <f ca="1"/>
      </c>
      <c r="EX38">
        <f ca="1"/>
      </c>
      <c r="EY38">
        <f ca="1"/>
      </c>
      <c r="EZ38">
        <f ca="1"/>
      </c>
      <c r="FA38">
        <f ca="1"/>
      </c>
      <c r="FB38">
        <f ca="1"/>
      </c>
      <c r="FC38">
        <f ca="1"/>
      </c>
      <c r="FD38">
        <f ca="1"/>
      </c>
      <c r="FE38">
        <f ca="1"/>
      </c>
      <c r="FF38">
        <f ca="1"/>
      </c>
      <c r="FG38">
        <f ca="1"/>
      </c>
      <c r="FH38">
        <f ca="1"/>
      </c>
      <c r="FI38">
        <f ca="1"/>
      </c>
      <c r="FJ38">
        <f ca="1"/>
      </c>
      <c r="FK38">
        <f ca="1"/>
      </c>
      <c r="FL38">
        <f ca="1"/>
      </c>
      <c r="FM38">
        <f ca="1"/>
      </c>
      <c r="FN38">
        <f ca="1"/>
      </c>
      <c r="FO38">
        <f ca="1"/>
      </c>
      <c r="FP38">
        <f ca="1"/>
      </c>
      <c r="FQ38">
        <f ca="1"/>
      </c>
      <c r="FR38">
        <f ca="1"/>
      </c>
      <c r="FS38">
        <f ca="1"/>
      </c>
      <c r="FT38">
        <f ca="1"/>
      </c>
      <c r="FU38">
        <f ca="1"/>
      </c>
      <c r="FV38">
        <f ca="1"/>
      </c>
      <c r="FW38">
        <f ca="1"/>
      </c>
      <c r="FX38">
        <f ca="1"/>
      </c>
      <c r="FY38">
        <f ca="1"/>
      </c>
      <c r="FZ38">
        <f ca="1"/>
      </c>
      <c r="GA38">
        <f ca="1"/>
      </c>
      <c r="GM38" s="7">
        <f ca="1"/>
      </c>
      <c r="GN38">
        <f ca="1"/>
      </c>
      <c r="GO38">
        <f ca="1"/>
      </c>
      <c r="GP38">
        <f ca="1"/>
      </c>
      <c r="GQ38">
        <f ca="1"/>
      </c>
    </row>
    <row r="39" spans="1:199" x14ac:dyDescent="0.55000000000000004">
      <c r="A39" s="2" t="s">
        <v>143</v>
      </c>
      <c r="B39">
        <f t="shared" ref="B39:B48" si="5">IF(D39="","",D39&amp;IF(F39="","","/"&amp;F39)&amp;IF(H39="","","/"&amp;H39))</f>
      </c>
      <c r="C39" s="2" t="s">
        <v>316</v>
      </c>
      <c r="D39" s="2" t="s">
        <v>298</v>
      </c>
      <c r="E39" s="2">
        <v>1</v>
      </c>
      <c r="F39" s="2"/>
      <c r="G39" s="2"/>
      <c r="H39" s="2"/>
      <c r="I39" s="2"/>
      <c r="J39" s="14" cm="1">
        <f t="array" aca="1" ref="J39" ca="1">IF(D39="","",100*(N(E39)*FWM_LiveOf(D39)+N(G39)*FWM_LiveOf(F39)+N(I39)*FWM_LiveOf(H39)))</f>
      </c>
      <c r="K39" s="44" cm="1">
        <f t="array" aca="1" ref="K39" ca="1">IF(D39="","",_xlfn.LET(_xlpm.x,FWM_Row(1,""),J39-INDEX(_xlpm.x,ROWS(_xlpm.x))))</f>
      </c>
      <c r="L39" s="44" cm="1">
        <f t="array" aca="1" ref="L39" ca="1">IF(D39="","",_xlfn.LET(_xlpm.x,FWM_Row(1,""),J39-INDEX(_xlpm.x,ROWS(_xlpm.x)-20)))</f>
      </c>
      <c r="M39" s="11" cm="1">
        <f t="array" aca="1" ref="M39" ca="1">IF(D39="","",FWM_Sigma(FWM_Row(1," dF")))</f>
      </c>
      <c r="N39" s="45">
        <f t="shared" ref="N39:N48" ca="1" si="6">IF(D39="","",K39/M39)</f>
      </c>
      <c r="O39" s="45" cm="1">
        <f t="array" aca="1" ref="O39" ca="1">IF(D39="","",_xlfn.LET(_xlpm.x,FWM_Row(1,""),(J39-INDEX(_xlpm.x,ROWS(_xlpm.x)-4))/(M39*SQRT(5))))</f>
      </c>
      <c r="AA39">
        <f ca="1"/>
      </c>
      <c r="AB39">
        <f ca="1"/>
      </c>
      <c r="AC39">
        <f ca="1"/>
      </c>
      <c r="AD39">
        <f ca="1"/>
      </c>
      <c r="AF39">
        <f ca="1"/>
      </c>
      <c r="AG39">
        <f ca="1"/>
      </c>
      <c r="AH39">
        <f ca="1"/>
      </c>
      <c r="AI39">
        <f ca="1"/>
      </c>
      <c r="AJ39">
        <f ca="1"/>
      </c>
      <c r="AL39" t="s">
        <v>33</v>
      </c>
      <c r="AM39">
        <v>0</v>
      </c>
      <c r="AO39">
        <f ca="1"/>
      </c>
      <c r="AP39">
        <f ca="1"/>
      </c>
      <c r="AQ39">
        <f ca="1"/>
      </c>
      <c r="AR39">
        <f ca="1"/>
      </c>
      <c r="AS39">
        <f ca="1"/>
      </c>
      <c r="AT39">
        <f ca="1"/>
      </c>
      <c r="AU39">
        <f ca="1"/>
      </c>
      <c r="AV39">
        <f ca="1"/>
      </c>
      <c r="AW39">
        <f ca="1"/>
      </c>
      <c r="AX39">
        <f ca="1"/>
      </c>
      <c r="AY39">
        <f ca="1"/>
      </c>
      <c r="AZ39">
        <f ca="1"/>
      </c>
      <c r="BA39">
        <f ca="1"/>
      </c>
      <c r="BB39">
        <f ca="1"/>
      </c>
      <c r="BC39">
        <f ca="1"/>
      </c>
      <c r="BD39">
        <f ca="1"/>
      </c>
      <c r="BE39">
        <f ca="1"/>
      </c>
      <c r="BF39">
        <f ca="1"/>
      </c>
      <c r="BG39">
        <f ca="1"/>
      </c>
      <c r="BH39">
        <f ca="1"/>
      </c>
      <c r="BI39">
        <f ca="1"/>
      </c>
      <c r="BJ39">
        <f ca="1"/>
      </c>
      <c r="BK39">
        <f ca="1"/>
      </c>
      <c r="BL39">
        <f ca="1"/>
      </c>
      <c r="BM39">
        <f ca="1"/>
      </c>
      <c r="BN39">
        <f ca="1"/>
      </c>
      <c r="BO39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  <c r="BV39">
        <f ca="1"/>
      </c>
      <c r="BW39">
        <f ca="1"/>
      </c>
      <c r="BX39">
        <f ca="1"/>
      </c>
      <c r="BY39">
        <f ca="1"/>
      </c>
      <c r="BZ39">
        <f ca="1"/>
      </c>
      <c r="CA39">
        <f ca="1"/>
      </c>
      <c r="CB39">
        <f ca="1"/>
      </c>
      <c r="CC39">
        <f ca="1"/>
      </c>
      <c r="CD39">
        <f ca="1"/>
      </c>
      <c r="CE39">
        <f ca="1"/>
      </c>
      <c r="CF39">
        <f ca="1"/>
      </c>
      <c r="CG39">
        <f ca="1"/>
      </c>
      <c r="CH39">
        <f ca="1"/>
      </c>
      <c r="CI39">
        <f ca="1"/>
      </c>
      <c r="CK39">
        <f ca="1"/>
      </c>
      <c r="CL39">
        <f ca="1"/>
      </c>
      <c r="CM39">
        <f ca="1"/>
      </c>
      <c r="CN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DQ39">
        <f ca="1"/>
      </c>
      <c r="DR39">
        <f ca="1"/>
      </c>
      <c r="DS39">
        <f ca="1"/>
      </c>
      <c r="DT39">
        <f ca="1"/>
      </c>
      <c r="DU39">
        <f ca="1"/>
      </c>
      <c r="DV39">
        <f ca="1"/>
      </c>
      <c r="DW39">
        <f ca="1"/>
      </c>
      <c r="DX39">
        <f ca="1"/>
      </c>
      <c r="DY39">
        <f ca="1"/>
      </c>
      <c r="DZ39">
        <f ca="1"/>
      </c>
      <c r="EA39">
        <f ca="1"/>
      </c>
      <c r="EB39">
        <f ca="1"/>
      </c>
      <c r="EC39">
        <f ca="1"/>
      </c>
      <c r="ED39">
        <f ca="1"/>
      </c>
      <c r="EE39">
        <f ca="1"/>
      </c>
      <c r="EG39">
        <f ca="1"/>
      </c>
      <c r="EH39">
        <f ca="1"/>
      </c>
      <c r="EI39">
        <f ca="1"/>
      </c>
      <c r="EJ39">
        <f ca="1"/>
      </c>
      <c r="EK39">
        <f ca="1"/>
      </c>
      <c r="EL39">
        <f ca="1"/>
      </c>
      <c r="EM39">
        <f ca="1"/>
      </c>
      <c r="EN39">
        <f ca="1"/>
      </c>
      <c r="EO39">
        <f ca="1"/>
      </c>
      <c r="EP39">
        <f ca="1"/>
      </c>
      <c r="EQ39">
        <f ca="1"/>
      </c>
      <c r="ER39">
        <f ca="1"/>
      </c>
      <c r="ES39">
        <f ca="1"/>
      </c>
      <c r="ET39">
        <f ca="1"/>
      </c>
      <c r="EU39">
        <f ca="1"/>
      </c>
      <c r="EV39">
        <f ca="1"/>
      </c>
      <c r="EW39">
        <f ca="1"/>
      </c>
      <c r="EX39">
        <f ca="1"/>
      </c>
      <c r="EY39">
        <f ca="1"/>
      </c>
      <c r="EZ39">
        <f ca="1"/>
      </c>
      <c r="FA39">
        <f ca="1"/>
      </c>
      <c r="FB39">
        <f ca="1"/>
      </c>
      <c r="FC39">
        <f ca="1"/>
      </c>
      <c r="FD39">
        <f ca="1"/>
      </c>
      <c r="FE39">
        <f ca="1"/>
      </c>
      <c r="FF39">
        <f ca="1"/>
      </c>
      <c r="FG39">
        <f ca="1"/>
      </c>
      <c r="FH39">
        <f ca="1"/>
      </c>
      <c r="FI39">
        <f ca="1"/>
      </c>
      <c r="FJ39">
        <f ca="1"/>
      </c>
      <c r="FK39">
        <f ca="1"/>
      </c>
      <c r="FL39">
        <f ca="1"/>
      </c>
      <c r="FM39">
        <f ca="1"/>
      </c>
      <c r="FN39">
        <f ca="1"/>
      </c>
      <c r="FO39">
        <f ca="1"/>
      </c>
      <c r="FP39">
        <f ca="1"/>
      </c>
      <c r="FQ39">
        <f ca="1"/>
      </c>
      <c r="FR39">
        <f ca="1"/>
      </c>
      <c r="FS39">
        <f ca="1"/>
      </c>
      <c r="FT39">
        <f ca="1"/>
      </c>
      <c r="FU39">
        <f ca="1"/>
      </c>
      <c r="FV39">
        <f ca="1"/>
      </c>
      <c r="FW39">
        <f ca="1"/>
      </c>
      <c r="FX39">
        <f ca="1"/>
      </c>
      <c r="FY39">
        <f ca="1"/>
      </c>
      <c r="FZ39">
        <f ca="1"/>
      </c>
      <c r="GA39">
        <f ca="1"/>
      </c>
      <c r="GM39" s="7">
        <f ca="1"/>
      </c>
      <c r="GN39">
        <f ca="1"/>
      </c>
      <c r="GO39">
        <f ca="1"/>
      </c>
      <c r="GP39">
        <f ca="1"/>
      </c>
      <c r="GQ39">
        <f ca="1"/>
      </c>
    </row>
    <row r="40" spans="1:199" x14ac:dyDescent="0.55000000000000004">
      <c r="A40" s="2" t="s">
        <v>143</v>
      </c>
      <c r="B40">
        <f t="shared" si="5"/>
      </c>
      <c r="C40" s="2" t="s">
        <v>317</v>
      </c>
      <c r="D40" s="2" t="s">
        <v>298</v>
      </c>
      <c r="E40" s="2">
        <v>1</v>
      </c>
      <c r="F40" s="2"/>
      <c r="G40" s="2"/>
      <c r="H40" s="2"/>
      <c r="I40" s="2"/>
      <c r="J40" s="14" cm="1">
        <f t="array" aca="1" ref="J40" ca="1">IF(D40="","",100*(N(E40)*FWM_LiveOf(D40)+N(G40)*FWM_LiveOf(F40)+N(I40)*FWM_LiveOf(H40)))</f>
      </c>
      <c r="K40" s="44" cm="1">
        <f t="array" aca="1" ref="K40" ca="1">IF(D40="","",_xlfn.LET(_xlpm.x,FWM_Row(2,""),J40-INDEX(_xlpm.x,ROWS(_xlpm.x))))</f>
      </c>
      <c r="L40" s="44" cm="1">
        <f t="array" aca="1" ref="L40" ca="1">IF(D40="","",_xlfn.LET(_xlpm.x,FWM_Row(2,""),J40-INDEX(_xlpm.x,ROWS(_xlpm.x)-20)))</f>
      </c>
      <c r="M40" s="11" cm="1">
        <f t="array" aca="1" ref="M40" ca="1">IF(D40="","",FWM_Sigma(FWM_Row(2," dF")))</f>
      </c>
      <c r="N40" s="45">
        <f t="shared" ca="1" si="6"/>
      </c>
      <c r="O40" s="45" cm="1">
        <f t="array" aca="1" ref="O40" ca="1">IF(D40="","",_xlfn.LET(_xlpm.x,FWM_Row(2,""),(J40-INDEX(_xlpm.x,ROWS(_xlpm.x)-4))/(M40*SQRT(5))))</f>
      </c>
      <c r="AA40">
        <f ca="1"/>
      </c>
      <c r="AB40">
        <f ca="1"/>
      </c>
      <c r="AC40">
        <f ca="1"/>
      </c>
      <c r="AD40">
        <f ca="1"/>
      </c>
      <c r="AF40">
        <f ca="1"/>
      </c>
      <c r="AG40">
        <f ca="1"/>
      </c>
      <c r="AH40">
        <f ca="1"/>
      </c>
      <c r="AI40">
        <f ca="1"/>
      </c>
      <c r="AJ40">
        <f ca="1"/>
      </c>
      <c r="AL40" t="s">
        <v>34</v>
      </c>
      <c r="AM40">
        <v>0</v>
      </c>
      <c r="AO40">
        <f ca="1"/>
      </c>
      <c r="AP40">
        <f ca="1"/>
      </c>
      <c r="AQ40">
        <f ca="1"/>
      </c>
      <c r="AR40">
        <f ca="1"/>
      </c>
      <c r="AS40">
        <f ca="1"/>
      </c>
      <c r="AT40">
        <f ca="1"/>
      </c>
      <c r="AU40">
        <f ca="1"/>
      </c>
      <c r="AV40">
        <f ca="1"/>
      </c>
      <c r="AW40">
        <f ca="1"/>
      </c>
      <c r="AX40">
        <f ca="1"/>
      </c>
      <c r="AY40">
        <f ca="1"/>
      </c>
      <c r="AZ40">
        <f ca="1"/>
      </c>
      <c r="BA40">
        <f ca="1"/>
      </c>
      <c r="BB40">
        <f ca="1"/>
      </c>
      <c r="BC40">
        <f ca="1"/>
      </c>
      <c r="BD40">
        <f ca="1"/>
      </c>
      <c r="BE40">
        <f ca="1"/>
      </c>
      <c r="BF40">
        <f ca="1"/>
      </c>
      <c r="BG40">
        <f ca="1"/>
      </c>
      <c r="BH40">
        <f ca="1"/>
      </c>
      <c r="BI40">
        <f ca="1"/>
      </c>
      <c r="BJ40">
        <f ca="1"/>
      </c>
      <c r="BK40">
        <f ca="1"/>
      </c>
      <c r="BL40">
        <f ca="1"/>
      </c>
      <c r="BM40">
        <f ca="1"/>
      </c>
      <c r="BN40">
        <f ca="1"/>
      </c>
      <c r="BO40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  <c r="BV40">
        <f ca="1"/>
      </c>
      <c r="BW40">
        <f ca="1"/>
      </c>
      <c r="BX40">
        <f ca="1"/>
      </c>
      <c r="BY40">
        <f ca="1"/>
      </c>
      <c r="BZ40">
        <f ca="1"/>
      </c>
      <c r="CA40">
        <f ca="1"/>
      </c>
      <c r="CB40">
        <f ca="1"/>
      </c>
      <c r="CC40">
        <f ca="1"/>
      </c>
      <c r="CD40">
        <f ca="1"/>
      </c>
      <c r="CE40">
        <f ca="1"/>
      </c>
      <c r="CF40">
        <f ca="1"/>
      </c>
      <c r="CG40">
        <f ca="1"/>
      </c>
      <c r="CH40">
        <f ca="1"/>
      </c>
      <c r="CI40">
        <f ca="1"/>
      </c>
      <c r="CK40">
        <f ca="1"/>
      </c>
      <c r="CL40">
        <f ca="1"/>
      </c>
      <c r="CM40">
        <f ca="1"/>
      </c>
      <c r="CN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DQ40">
        <f ca="1"/>
      </c>
      <c r="DR40">
        <f ca="1"/>
      </c>
      <c r="DS40">
        <f ca="1"/>
      </c>
      <c r="DT40">
        <f ca="1"/>
      </c>
      <c r="DU40">
        <f ca="1"/>
      </c>
      <c r="DV40">
        <f ca="1"/>
      </c>
      <c r="DW40">
        <f ca="1"/>
      </c>
      <c r="DX40">
        <f ca="1"/>
      </c>
      <c r="DY40">
        <f ca="1"/>
      </c>
      <c r="DZ40">
        <f ca="1"/>
      </c>
      <c r="EA40">
        <f ca="1"/>
      </c>
      <c r="EB40">
        <f ca="1"/>
      </c>
      <c r="EC40">
        <f ca="1"/>
      </c>
      <c r="ED40">
        <f ca="1"/>
      </c>
      <c r="EE40">
        <f ca="1"/>
      </c>
      <c r="EG40">
        <f ca="1"/>
      </c>
      <c r="EH40">
        <f ca="1"/>
      </c>
      <c r="EI40">
        <f ca="1"/>
      </c>
      <c r="EJ40">
        <f ca="1"/>
      </c>
      <c r="EK40">
        <f ca="1"/>
      </c>
      <c r="EL40">
        <f ca="1"/>
      </c>
      <c r="EM40">
        <f ca="1"/>
      </c>
      <c r="EN40">
        <f ca="1"/>
      </c>
      <c r="EO40">
        <f ca="1"/>
      </c>
      <c r="EP40">
        <f ca="1"/>
      </c>
      <c r="EQ40">
        <f ca="1"/>
      </c>
      <c r="ER40">
        <f ca="1"/>
      </c>
      <c r="ES40">
        <f ca="1"/>
      </c>
      <c r="ET40">
        <f ca="1"/>
      </c>
      <c r="EU40">
        <f ca="1"/>
      </c>
      <c r="EV40">
        <f ca="1"/>
      </c>
      <c r="EW40">
        <f ca="1"/>
      </c>
      <c r="EX40">
        <f ca="1"/>
      </c>
      <c r="EY40">
        <f ca="1"/>
      </c>
      <c r="EZ40">
        <f ca="1"/>
      </c>
      <c r="FA40">
        <f ca="1"/>
      </c>
      <c r="FB40">
        <f ca="1"/>
      </c>
      <c r="FC40">
        <f ca="1"/>
      </c>
      <c r="FD40">
        <f ca="1"/>
      </c>
      <c r="FE40">
        <f ca="1"/>
      </c>
      <c r="FF40">
        <f ca="1"/>
      </c>
      <c r="FG40">
        <f ca="1"/>
      </c>
      <c r="FH40">
        <f ca="1"/>
      </c>
      <c r="FI40">
        <f ca="1"/>
      </c>
      <c r="FJ40">
        <f ca="1"/>
      </c>
      <c r="FK40">
        <f ca="1"/>
      </c>
      <c r="FL40">
        <f ca="1"/>
      </c>
      <c r="FM40">
        <f ca="1"/>
      </c>
      <c r="FN40">
        <f ca="1"/>
      </c>
      <c r="FO40">
        <f ca="1"/>
      </c>
      <c r="FP40">
        <f ca="1"/>
      </c>
      <c r="FQ40">
        <f ca="1"/>
      </c>
      <c r="FR40">
        <f ca="1"/>
      </c>
      <c r="FS40">
        <f ca="1"/>
      </c>
      <c r="FT40">
        <f ca="1"/>
      </c>
      <c r="FU40">
        <f ca="1"/>
      </c>
      <c r="FV40">
        <f ca="1"/>
      </c>
      <c r="FW40">
        <f ca="1"/>
      </c>
      <c r="FX40">
        <f ca="1"/>
      </c>
      <c r="FY40">
        <f ca="1"/>
      </c>
      <c r="FZ40">
        <f ca="1"/>
      </c>
      <c r="GA40">
        <f ca="1"/>
      </c>
      <c r="GM40" s="7">
        <f ca="1"/>
      </c>
      <c r="GN40">
        <f ca="1"/>
      </c>
      <c r="GO40">
        <f ca="1"/>
      </c>
      <c r="GP40">
        <f ca="1"/>
      </c>
      <c r="GQ40">
        <f ca="1"/>
      </c>
    </row>
    <row r="41" spans="1:199" x14ac:dyDescent="0.55000000000000004">
      <c r="A41" s="2" t="s">
        <v>143</v>
      </c>
      <c r="B41">
        <f t="shared" si="5"/>
      </c>
      <c r="C41" s="2" t="s">
        <v>316</v>
      </c>
      <c r="D41" s="2" t="s">
        <v>298</v>
      </c>
      <c r="E41" s="2">
        <v>-1</v>
      </c>
      <c r="F41" s="2" t="s">
        <v>299</v>
      </c>
      <c r="G41" s="2">
        <v>1</v>
      </c>
      <c r="H41" s="2"/>
      <c r="I41" s="2"/>
      <c r="J41" s="14" cm="1">
        <f t="array" aca="1" ref="J41" ca="1">IF(D41="","",100*(N(E41)*FWM_LiveOf(D41)+N(G41)*FWM_LiveOf(F41)+N(I41)*FWM_LiveOf(H41)))</f>
      </c>
      <c r="K41" s="44" cm="1">
        <f t="array" aca="1" ref="K41" ca="1">IF(D41="","",_xlfn.LET(_xlpm.x,FWM_Row(3,""),J41-INDEX(_xlpm.x,ROWS(_xlpm.x))))</f>
      </c>
      <c r="L41" s="44" cm="1">
        <f t="array" aca="1" ref="L41" ca="1">IF(D41="","",_xlfn.LET(_xlpm.x,FWM_Row(3,""),J41-INDEX(_xlpm.x,ROWS(_xlpm.x)-20)))</f>
      </c>
      <c r="M41" s="11" cm="1">
        <f t="array" aca="1" ref="M41" ca="1">IF(D41="","",FWM_Sigma(FWM_Row(3," dF")))</f>
      </c>
      <c r="N41" s="45">
        <f t="shared" ca="1" si="6"/>
      </c>
      <c r="O41" s="45" cm="1">
        <f t="array" aca="1" ref="O41" ca="1">IF(D41="","",_xlfn.LET(_xlpm.x,FWM_Row(3,""),(J41-INDEX(_xlpm.x,ROWS(_xlpm.x)-4))/(M41*SQRT(5))))</f>
      </c>
      <c r="AA41">
        <f ca="1"/>
      </c>
      <c r="AB41">
        <f ca="1"/>
      </c>
      <c r="AC41">
        <f ca="1"/>
      </c>
      <c r="AD41">
        <f ca="1"/>
      </c>
      <c r="AF41">
        <f ca="1"/>
      </c>
      <c r="AG41">
        <f ca="1"/>
      </c>
      <c r="AH41">
        <f ca="1"/>
      </c>
      <c r="AI41">
        <f ca="1"/>
      </c>
      <c r="AJ41">
        <f ca="1"/>
      </c>
      <c r="AL41" t="s">
        <v>35</v>
      </c>
      <c r="AM41">
        <v>0</v>
      </c>
      <c r="AO41">
        <f ca="1"/>
      </c>
      <c r="AP41">
        <f ca="1"/>
      </c>
      <c r="AQ41">
        <f ca="1"/>
      </c>
      <c r="AR41">
        <f ca="1"/>
      </c>
      <c r="AS41">
        <f ca="1"/>
      </c>
      <c r="AT41">
        <f ca="1"/>
      </c>
      <c r="AU41">
        <f ca="1"/>
      </c>
      <c r="AV41">
        <f ca="1"/>
      </c>
      <c r="AW41">
        <f ca="1"/>
      </c>
      <c r="AX41">
        <f ca="1"/>
      </c>
      <c r="AY41">
        <f ca="1"/>
      </c>
      <c r="AZ41">
        <f ca="1"/>
      </c>
      <c r="BA41">
        <f ca="1"/>
      </c>
      <c r="BB41">
        <f ca="1"/>
      </c>
      <c r="BC41">
        <f ca="1"/>
      </c>
      <c r="BD41">
        <f ca="1"/>
      </c>
      <c r="BE41">
        <f ca="1"/>
      </c>
      <c r="BF41">
        <f ca="1"/>
      </c>
      <c r="BG41">
        <f ca="1"/>
      </c>
      <c r="BH41">
        <f ca="1"/>
      </c>
      <c r="BI41">
        <f ca="1"/>
      </c>
      <c r="BJ41">
        <f ca="1"/>
      </c>
      <c r="BK41">
        <f ca="1"/>
      </c>
      <c r="BL41">
        <f ca="1"/>
      </c>
      <c r="BM41">
        <f ca="1"/>
      </c>
      <c r="BN41">
        <f ca="1"/>
      </c>
      <c r="BO4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  <c r="BV41">
        <f ca="1"/>
      </c>
      <c r="BW41">
        <f ca="1"/>
      </c>
      <c r="BX41">
        <f ca="1"/>
      </c>
      <c r="BY41">
        <f ca="1"/>
      </c>
      <c r="BZ41">
        <f ca="1"/>
      </c>
      <c r="CA41">
        <f ca="1"/>
      </c>
      <c r="CB41">
        <f ca="1"/>
      </c>
      <c r="CC41">
        <f ca="1"/>
      </c>
      <c r="CD41">
        <f ca="1"/>
      </c>
      <c r="CE41">
        <f ca="1"/>
      </c>
      <c r="CF41">
        <f ca="1"/>
      </c>
      <c r="CG41">
        <f ca="1"/>
      </c>
      <c r="CH41">
        <f ca="1"/>
      </c>
      <c r="CI41">
        <f ca="1"/>
      </c>
      <c r="CK41">
        <f ca="1"/>
      </c>
      <c r="CL41">
        <f ca="1"/>
      </c>
      <c r="CM41">
        <f ca="1"/>
      </c>
      <c r="CN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DQ41">
        <f ca="1"/>
      </c>
      <c r="DR41">
        <f ca="1"/>
      </c>
      <c r="DS41">
        <f ca="1"/>
      </c>
      <c r="DT41">
        <f ca="1"/>
      </c>
      <c r="DU41">
        <f ca="1"/>
      </c>
      <c r="DV41">
        <f ca="1"/>
      </c>
      <c r="DW41">
        <f ca="1"/>
      </c>
      <c r="DX41">
        <f ca="1"/>
      </c>
      <c r="DY41">
        <f ca="1"/>
      </c>
      <c r="DZ41">
        <f ca="1"/>
      </c>
      <c r="EA41">
        <f ca="1"/>
      </c>
      <c r="EB41">
        <f ca="1"/>
      </c>
      <c r="EC41">
        <f ca="1"/>
      </c>
      <c r="ED41">
        <f ca="1"/>
      </c>
      <c r="EE41">
        <f ca="1"/>
      </c>
      <c r="EG41">
        <f ca="1"/>
      </c>
      <c r="EH41">
        <f ca="1"/>
      </c>
      <c r="EI41">
        <f ca="1"/>
      </c>
      <c r="EJ41">
        <f ca="1"/>
      </c>
      <c r="EK41">
        <f ca="1"/>
      </c>
      <c r="EL41">
        <f ca="1"/>
      </c>
      <c r="EM41">
        <f ca="1"/>
      </c>
      <c r="EN41">
        <f ca="1"/>
      </c>
      <c r="EO41">
        <f ca="1"/>
      </c>
      <c r="EP41">
        <f ca="1"/>
      </c>
      <c r="EQ41">
        <f ca="1"/>
      </c>
      <c r="ER41">
        <f ca="1"/>
      </c>
      <c r="ES41">
        <f ca="1"/>
      </c>
      <c r="ET41">
        <f ca="1"/>
      </c>
      <c r="EU41">
        <f ca="1"/>
      </c>
      <c r="EV41">
        <f ca="1"/>
      </c>
      <c r="EW41">
        <f ca="1"/>
      </c>
      <c r="EX41">
        <f ca="1"/>
      </c>
      <c r="EY41">
        <f ca="1"/>
      </c>
      <c r="EZ41">
        <f ca="1"/>
      </c>
      <c r="FA41">
        <f ca="1"/>
      </c>
      <c r="FB41">
        <f ca="1"/>
      </c>
      <c r="FC41">
        <f ca="1"/>
      </c>
      <c r="FD41">
        <f ca="1"/>
      </c>
      <c r="FE41">
        <f ca="1"/>
      </c>
      <c r="FF41">
        <f ca="1"/>
      </c>
      <c r="FG41">
        <f ca="1"/>
      </c>
      <c r="FH41">
        <f ca="1"/>
      </c>
      <c r="FI41">
        <f ca="1"/>
      </c>
      <c r="FJ41">
        <f ca="1"/>
      </c>
      <c r="FK41">
        <f ca="1"/>
      </c>
      <c r="FL41">
        <f ca="1"/>
      </c>
      <c r="FM41">
        <f ca="1"/>
      </c>
      <c r="FN41">
        <f ca="1"/>
      </c>
      <c r="FO41">
        <f ca="1"/>
      </c>
      <c r="FP41">
        <f ca="1"/>
      </c>
      <c r="FQ41">
        <f ca="1"/>
      </c>
      <c r="FR41">
        <f ca="1"/>
      </c>
      <c r="FS41">
        <f ca="1"/>
      </c>
      <c r="FT41">
        <f ca="1"/>
      </c>
      <c r="FU41">
        <f ca="1"/>
      </c>
      <c r="FV41">
        <f ca="1"/>
      </c>
      <c r="FW41">
        <f ca="1"/>
      </c>
      <c r="FX41">
        <f ca="1"/>
      </c>
      <c r="FY41">
        <f ca="1"/>
      </c>
      <c r="FZ41">
        <f ca="1"/>
      </c>
      <c r="GA41">
        <f ca="1"/>
      </c>
      <c r="GM41" s="7">
        <f ca="1"/>
      </c>
      <c r="GN41">
        <f ca="1"/>
      </c>
      <c r="GO41">
        <f ca="1"/>
      </c>
      <c r="GP41">
        <f ca="1"/>
      </c>
      <c r="GQ41">
        <f ca="1"/>
      </c>
    </row>
    <row r="42" spans="1:199" x14ac:dyDescent="0.55000000000000004">
      <c r="A42" s="2"/>
      <c r="B42">
        <f t="shared" si="5"/>
      </c>
      <c r="C42" s="2" t="s">
        <v>316</v>
      </c>
      <c r="D42" s="2" t="s">
        <v>286</v>
      </c>
      <c r="E42" s="2">
        <v>-1</v>
      </c>
      <c r="F42" s="2" t="s">
        <v>291</v>
      </c>
      <c r="G42" s="2">
        <v>2</v>
      </c>
      <c r="H42" s="2" t="s">
        <v>294</v>
      </c>
      <c r="I42" s="2">
        <v>-1</v>
      </c>
      <c r="J42" s="14" cm="1">
        <f t="array" aca="1" ref="J42" ca="1">IF(D42="","",100*(N(E42)*FWM_LiveOf(D42)+N(G42)*FWM_LiveOf(F42)+N(I42)*FWM_LiveOf(H42)))</f>
      </c>
      <c r="K42" s="44" cm="1">
        <f t="array" aca="1" ref="K42" ca="1">IF(D42="","",_xlfn.LET(_xlpm.x,FWM_Row(4,""),J42-INDEX(_xlpm.x,ROWS(_xlpm.x))))</f>
      </c>
      <c r="L42" s="44" cm="1">
        <f t="array" aca="1" ref="L42" ca="1">IF(D42="","",_xlfn.LET(_xlpm.x,FWM_Row(4,""),J42-INDEX(_xlpm.x,ROWS(_xlpm.x)-20)))</f>
      </c>
      <c r="M42" s="11" cm="1">
        <f t="array" aca="1" ref="M42" ca="1">IF(D42="","",FWM_Sigma(FWM_Row(4," dF")))</f>
      </c>
      <c r="N42" s="45">
        <f t="shared" ca="1" si="6"/>
      </c>
      <c r="O42" s="45" cm="1">
        <f t="array" aca="1" ref="O42" ca="1">IF(D42="","",_xlfn.LET(_xlpm.x,FWM_Row(4,""),(J42-INDEX(_xlpm.x,ROWS(_xlpm.x)-4))/(M42*SQRT(5))))</f>
      </c>
      <c r="AA42">
        <f ca="1"/>
      </c>
      <c r="AB42">
        <f ca="1"/>
      </c>
      <c r="AC42">
        <f ca="1"/>
      </c>
      <c r="AD42">
        <f ca="1"/>
      </c>
      <c r="AF42">
        <f ca="1"/>
      </c>
      <c r="AG42">
        <f ca="1"/>
      </c>
      <c r="AH42">
        <f ca="1"/>
      </c>
      <c r="AI42">
        <f ca="1"/>
      </c>
      <c r="AJ42">
        <f ca="1"/>
      </c>
      <c r="AL42" t="s">
        <v>36</v>
      </c>
      <c r="AM42">
        <v>0</v>
      </c>
      <c r="AO42">
        <f ca="1"/>
      </c>
      <c r="AP42">
        <f ca="1"/>
      </c>
      <c r="AQ42">
        <f ca="1"/>
      </c>
      <c r="AR42">
        <f ca="1"/>
      </c>
      <c r="AS42">
        <f ca="1"/>
      </c>
      <c r="AT42">
        <f ca="1"/>
      </c>
      <c r="AU42">
        <f ca="1"/>
      </c>
      <c r="AV42">
        <f ca="1"/>
      </c>
      <c r="AW42">
        <f ca="1"/>
      </c>
      <c r="AX42">
        <f ca="1"/>
      </c>
      <c r="AY42">
        <f ca="1"/>
      </c>
      <c r="AZ42">
        <f ca="1"/>
      </c>
      <c r="BA42">
        <f ca="1"/>
      </c>
      <c r="BB42">
        <f ca="1"/>
      </c>
      <c r="BC42">
        <f ca="1"/>
      </c>
      <c r="BD42">
        <f ca="1"/>
      </c>
      <c r="BE42">
        <f ca="1"/>
      </c>
      <c r="BF42">
        <f ca="1"/>
      </c>
      <c r="BG42">
        <f ca="1"/>
      </c>
      <c r="BH42">
        <f ca="1"/>
      </c>
      <c r="BI42">
        <f ca="1"/>
      </c>
      <c r="BJ42">
        <f ca="1"/>
      </c>
      <c r="BK42">
        <f ca="1"/>
      </c>
      <c r="BL42">
        <f ca="1"/>
      </c>
      <c r="BM42">
        <f ca="1"/>
      </c>
      <c r="BN42">
        <f ca="1"/>
      </c>
      <c r="BO42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  <c r="BV42">
        <f ca="1"/>
      </c>
      <c r="BW42">
        <f ca="1"/>
      </c>
      <c r="BX42">
        <f ca="1"/>
      </c>
      <c r="BY42">
        <f ca="1"/>
      </c>
      <c r="BZ42">
        <f ca="1"/>
      </c>
      <c r="CA42">
        <f ca="1"/>
      </c>
      <c r="CB42">
        <f ca="1"/>
      </c>
      <c r="CC42">
        <f ca="1"/>
      </c>
      <c r="CD42">
        <f ca="1"/>
      </c>
      <c r="CE42">
        <f ca="1"/>
      </c>
      <c r="CF42">
        <f ca="1"/>
      </c>
      <c r="CG42">
        <f ca="1"/>
      </c>
      <c r="CH42">
        <f ca="1"/>
      </c>
      <c r="CI42">
        <f ca="1"/>
      </c>
      <c r="CK42">
        <f ca="1"/>
      </c>
      <c r="CL42">
        <f ca="1"/>
      </c>
      <c r="CM42">
        <f ca="1"/>
      </c>
      <c r="CN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DQ42">
        <f ca="1"/>
      </c>
      <c r="DR42">
        <f ca="1"/>
      </c>
      <c r="DS42">
        <f ca="1"/>
      </c>
      <c r="DT42">
        <f ca="1"/>
      </c>
      <c r="DU42">
        <f ca="1"/>
      </c>
      <c r="DV42">
        <f ca="1"/>
      </c>
      <c r="DW42">
        <f ca="1"/>
      </c>
      <c r="DX42">
        <f ca="1"/>
      </c>
      <c r="DY42">
        <f ca="1"/>
      </c>
      <c r="DZ42">
        <f ca="1"/>
      </c>
      <c r="EA42">
        <f ca="1"/>
      </c>
      <c r="EB42">
        <f ca="1"/>
      </c>
      <c r="EC42">
        <f ca="1"/>
      </c>
      <c r="ED42">
        <f ca="1"/>
      </c>
      <c r="EE42">
        <f ca="1"/>
      </c>
      <c r="EG42">
        <f ca="1"/>
      </c>
      <c r="EH42">
        <f ca="1"/>
      </c>
      <c r="EI42">
        <f ca="1"/>
      </c>
      <c r="EJ42">
        <f ca="1"/>
      </c>
      <c r="EK42">
        <f ca="1"/>
      </c>
      <c r="EL42">
        <f ca="1"/>
      </c>
      <c r="EM42">
        <f ca="1"/>
      </c>
      <c r="EN42">
        <f ca="1"/>
      </c>
      <c r="EO42">
        <f ca="1"/>
      </c>
      <c r="EP42">
        <f ca="1"/>
      </c>
      <c r="EQ42">
        <f ca="1"/>
      </c>
      <c r="ER42">
        <f ca="1"/>
      </c>
      <c r="ES42">
        <f ca="1"/>
      </c>
      <c r="ET42">
        <f ca="1"/>
      </c>
      <c r="EU42">
        <f ca="1"/>
      </c>
      <c r="EV42">
        <f ca="1"/>
      </c>
      <c r="EW42">
        <f ca="1"/>
      </c>
      <c r="EX42">
        <f ca="1"/>
      </c>
      <c r="EY42">
        <f ca="1"/>
      </c>
      <c r="EZ42">
        <f ca="1"/>
      </c>
      <c r="FA42">
        <f ca="1"/>
      </c>
      <c r="FB42">
        <f ca="1"/>
      </c>
      <c r="FC42">
        <f ca="1"/>
      </c>
      <c r="FD42">
        <f ca="1"/>
      </c>
      <c r="FE42">
        <f ca="1"/>
      </c>
      <c r="FF42">
        <f ca="1"/>
      </c>
      <c r="FG42">
        <f ca="1"/>
      </c>
      <c r="FH42">
        <f ca="1"/>
      </c>
      <c r="FI42">
        <f ca="1"/>
      </c>
      <c r="FJ42">
        <f ca="1"/>
      </c>
      <c r="FK42">
        <f ca="1"/>
      </c>
      <c r="FL42">
        <f ca="1"/>
      </c>
      <c r="FM42">
        <f ca="1"/>
      </c>
      <c r="FN42">
        <f ca="1"/>
      </c>
      <c r="FO42">
        <f ca="1"/>
      </c>
      <c r="FP42">
        <f ca="1"/>
      </c>
      <c r="FQ42">
        <f ca="1"/>
      </c>
      <c r="FR42">
        <f ca="1"/>
      </c>
      <c r="FS42">
        <f ca="1"/>
      </c>
      <c r="FT42">
        <f ca="1"/>
      </c>
      <c r="FU42">
        <f ca="1"/>
      </c>
      <c r="FV42">
        <f ca="1"/>
      </c>
      <c r="FW42">
        <f ca="1"/>
      </c>
      <c r="FX42">
        <f ca="1"/>
      </c>
      <c r="FY42">
        <f ca="1"/>
      </c>
      <c r="FZ42">
        <f ca="1"/>
      </c>
      <c r="GA42">
        <f ca="1"/>
      </c>
      <c r="GM42" s="7">
        <f ca="1"/>
      </c>
      <c r="GN42">
        <f ca="1"/>
      </c>
      <c r="GO42">
        <f ca="1"/>
      </c>
      <c r="GP42">
        <f ca="1"/>
      </c>
      <c r="GQ42">
        <f ca="1"/>
      </c>
    </row>
    <row r="43" spans="1:199" x14ac:dyDescent="0.55000000000000004">
      <c r="A43" s="2"/>
      <c r="B43">
        <f t="shared" si="5"/>
      </c>
      <c r="C43" s="2" t="s">
        <v>316</v>
      </c>
      <c r="D43" s="2" t="s">
        <v>282</v>
      </c>
      <c r="E43" s="2">
        <v>-1</v>
      </c>
      <c r="F43" s="2" t="s">
        <v>283</v>
      </c>
      <c r="G43" s="2">
        <v>1</v>
      </c>
      <c r="H43" s="2"/>
      <c r="I43" s="2"/>
      <c r="J43" s="14" cm="1">
        <f t="array" aca="1" ref="J43" ca="1">IF(D43="","",100*(N(E43)*FWM_LiveOf(D43)+N(G43)*FWM_LiveOf(F43)+N(I43)*FWM_LiveOf(H43)))</f>
      </c>
      <c r="K43" s="44" cm="1">
        <f t="array" aca="1" ref="K43" ca="1">IF(D43="","",_xlfn.LET(_xlpm.x,FWM_Row(5,""),J43-INDEX(_xlpm.x,ROWS(_xlpm.x))))</f>
      </c>
      <c r="L43" s="44" cm="1">
        <f t="array" aca="1" ref="L43" ca="1">IF(D43="","",_xlfn.LET(_xlpm.x,FWM_Row(5,""),J43-INDEX(_xlpm.x,ROWS(_xlpm.x)-20)))</f>
      </c>
      <c r="M43" s="11" cm="1">
        <f t="array" aca="1" ref="M43" ca="1">IF(D43="","",FWM_Sigma(FWM_Row(5," dF")))</f>
      </c>
      <c r="N43" s="45">
        <f t="shared" ca="1" si="6"/>
      </c>
      <c r="O43" s="45" cm="1">
        <f t="array" aca="1" ref="O43" ca="1">IF(D43="","",_xlfn.LET(_xlpm.x,FWM_Row(5,""),(J43-INDEX(_xlpm.x,ROWS(_xlpm.x)-4))/(M43*SQRT(5))))</f>
      </c>
      <c r="AA43">
        <f ca="1"/>
      </c>
      <c r="AB43">
        <f ca="1"/>
      </c>
      <c r="AC43">
        <f ca="1"/>
      </c>
      <c r="AD43">
        <f ca="1"/>
      </c>
      <c r="AF43">
        <f ca="1"/>
      </c>
      <c r="AG43">
        <f ca="1"/>
      </c>
      <c r="AH43">
        <f ca="1"/>
      </c>
      <c r="AI43">
        <f ca="1"/>
      </c>
      <c r="AJ43">
        <f ca="1"/>
      </c>
      <c r="AL43" t="s">
        <v>37</v>
      </c>
      <c r="AM43">
        <v>0</v>
      </c>
      <c r="AO43">
        <f ca="1"/>
      </c>
      <c r="AP43">
        <f ca="1"/>
      </c>
      <c r="AQ43">
        <f ca="1"/>
      </c>
      <c r="AR43">
        <f ca="1"/>
      </c>
      <c r="AS43">
        <f ca="1"/>
      </c>
      <c r="AT43">
        <f ca="1"/>
      </c>
      <c r="AU43">
        <f ca="1"/>
      </c>
      <c r="AV43">
        <f ca="1"/>
      </c>
      <c r="AW43">
        <f ca="1"/>
      </c>
      <c r="AX43">
        <f ca="1"/>
      </c>
      <c r="AY43">
        <f ca="1"/>
      </c>
      <c r="AZ43">
        <f ca="1"/>
      </c>
      <c r="BA43">
        <f ca="1"/>
      </c>
      <c r="BB43">
        <f ca="1"/>
      </c>
      <c r="BC43">
        <f ca="1"/>
      </c>
      <c r="BD43">
        <f ca="1"/>
      </c>
      <c r="BE43">
        <f ca="1"/>
      </c>
      <c r="BF43">
        <f ca="1"/>
      </c>
      <c r="BG43">
        <f ca="1"/>
      </c>
      <c r="BH43">
        <f ca="1"/>
      </c>
      <c r="BI43">
        <f ca="1"/>
      </c>
      <c r="BJ43">
        <f ca="1"/>
      </c>
      <c r="BK43">
        <f ca="1"/>
      </c>
      <c r="BL43">
        <f ca="1"/>
      </c>
      <c r="BM43">
        <f ca="1"/>
      </c>
      <c r="BN43">
        <f ca="1"/>
      </c>
      <c r="BO43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  <c r="BV43">
        <f ca="1"/>
      </c>
      <c r="BW43">
        <f ca="1"/>
      </c>
      <c r="BX43">
        <f ca="1"/>
      </c>
      <c r="BY43">
        <f ca="1"/>
      </c>
      <c r="BZ43">
        <f ca="1"/>
      </c>
      <c r="CA43">
        <f ca="1"/>
      </c>
      <c r="CB43">
        <f ca="1"/>
      </c>
      <c r="CC43">
        <f ca="1"/>
      </c>
      <c r="CD43">
        <f ca="1"/>
      </c>
      <c r="CE43">
        <f ca="1"/>
      </c>
      <c r="CF43">
        <f ca="1"/>
      </c>
      <c r="CG43">
        <f ca="1"/>
      </c>
      <c r="CH43">
        <f ca="1"/>
      </c>
      <c r="CI43">
        <f ca="1"/>
      </c>
      <c r="CK43">
        <f ca="1"/>
      </c>
      <c r="CL43">
        <f ca="1"/>
      </c>
      <c r="CM43">
        <f ca="1"/>
      </c>
      <c r="CN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DQ43">
        <f ca="1"/>
      </c>
      <c r="DR43">
        <f ca="1"/>
      </c>
      <c r="DS43">
        <f ca="1"/>
      </c>
      <c r="DT43">
        <f ca="1"/>
      </c>
      <c r="DU43">
        <f ca="1"/>
      </c>
      <c r="DV43">
        <f ca="1"/>
      </c>
      <c r="DW43">
        <f ca="1"/>
      </c>
      <c r="DX43">
        <f ca="1"/>
      </c>
      <c r="DY43">
        <f ca="1"/>
      </c>
      <c r="DZ43">
        <f ca="1"/>
      </c>
      <c r="EA43">
        <f ca="1"/>
      </c>
      <c r="EB43">
        <f ca="1"/>
      </c>
      <c r="EC43">
        <f ca="1"/>
      </c>
      <c r="ED43">
        <f ca="1"/>
      </c>
      <c r="EE43">
        <f ca="1"/>
      </c>
      <c r="EG43">
        <f ca="1"/>
      </c>
      <c r="EH43">
        <f ca="1"/>
      </c>
      <c r="EI43">
        <f ca="1"/>
      </c>
      <c r="EJ43">
        <f ca="1"/>
      </c>
      <c r="EK43">
        <f ca="1"/>
      </c>
      <c r="EL43">
        <f ca="1"/>
      </c>
      <c r="EM43">
        <f ca="1"/>
      </c>
      <c r="EN43">
        <f ca="1"/>
      </c>
      <c r="EO43">
        <f ca="1"/>
      </c>
      <c r="EP43">
        <f ca="1"/>
      </c>
      <c r="EQ43">
        <f ca="1"/>
      </c>
      <c r="ER43">
        <f ca="1"/>
      </c>
      <c r="ES43">
        <f ca="1"/>
      </c>
      <c r="ET43">
        <f ca="1"/>
      </c>
      <c r="EU43">
        <f ca="1"/>
      </c>
      <c r="EV43">
        <f ca="1"/>
      </c>
      <c r="EW43">
        <f ca="1"/>
      </c>
      <c r="EX43">
        <f ca="1"/>
      </c>
      <c r="EY43">
        <f ca="1"/>
      </c>
      <c r="EZ43">
        <f ca="1"/>
      </c>
      <c r="FA43">
        <f ca="1"/>
      </c>
      <c r="FB43">
        <f ca="1"/>
      </c>
      <c r="FC43">
        <f ca="1"/>
      </c>
      <c r="FD43">
        <f ca="1"/>
      </c>
      <c r="FE43">
        <f ca="1"/>
      </c>
      <c r="FF43">
        <f ca="1"/>
      </c>
      <c r="FG43">
        <f ca="1"/>
      </c>
      <c r="FH43">
        <f ca="1"/>
      </c>
      <c r="FI43">
        <f ca="1"/>
      </c>
      <c r="FJ43">
        <f ca="1"/>
      </c>
      <c r="FK43">
        <f ca="1"/>
      </c>
      <c r="FL43">
        <f ca="1"/>
      </c>
      <c r="FM43">
        <f ca="1"/>
      </c>
      <c r="FN43">
        <f ca="1"/>
      </c>
      <c r="FO43">
        <f ca="1"/>
      </c>
      <c r="FP43">
        <f ca="1"/>
      </c>
      <c r="FQ43">
        <f ca="1"/>
      </c>
      <c r="FR43">
        <f ca="1"/>
      </c>
      <c r="FS43">
        <f ca="1"/>
      </c>
      <c r="FT43">
        <f ca="1"/>
      </c>
      <c r="FU43">
        <f ca="1"/>
      </c>
      <c r="FV43">
        <f ca="1"/>
      </c>
      <c r="FW43">
        <f ca="1"/>
      </c>
      <c r="FX43">
        <f ca="1"/>
      </c>
      <c r="FY43">
        <f ca="1"/>
      </c>
      <c r="FZ43">
        <f ca="1"/>
      </c>
      <c r="GA43">
        <f ca="1"/>
      </c>
      <c r="GM43" s="7">
        <f ca="1"/>
      </c>
      <c r="GN43">
        <f ca="1"/>
      </c>
      <c r="GO43">
        <f ca="1"/>
      </c>
      <c r="GP43">
        <f ca="1"/>
      </c>
      <c r="GQ43">
        <f ca="1"/>
      </c>
    </row>
    <row r="44" spans="1:199" x14ac:dyDescent="0.55000000000000004">
      <c r="A44" s="2"/>
      <c r="B44">
        <f t="shared" si="5"/>
      </c>
      <c r="C44" s="2" t="s">
        <v>316</v>
      </c>
      <c r="D44" s="2" t="s">
        <v>291</v>
      </c>
      <c r="E44" s="2">
        <v>-1</v>
      </c>
      <c r="F44" s="2" t="s">
        <v>296</v>
      </c>
      <c r="G44" s="2">
        <v>1</v>
      </c>
      <c r="H44" s="2"/>
      <c r="I44" s="2"/>
      <c r="J44" s="14" cm="1">
        <f t="array" aca="1" ref="J44" ca="1">IF(D44="","",100*(N(E44)*FWM_LiveOf(D44)+N(G44)*FWM_LiveOf(F44)+N(I44)*FWM_LiveOf(H44)))</f>
      </c>
      <c r="K44" s="44" cm="1">
        <f t="array" aca="1" ref="K44" ca="1">IF(D44="","",_xlfn.LET(_xlpm.x,FWM_Row(6,""),J44-INDEX(_xlpm.x,ROWS(_xlpm.x))))</f>
      </c>
      <c r="L44" s="44" cm="1">
        <f t="array" aca="1" ref="L44" ca="1">IF(D44="","",_xlfn.LET(_xlpm.x,FWM_Row(6,""),J44-INDEX(_xlpm.x,ROWS(_xlpm.x)-20)))</f>
      </c>
      <c r="M44" s="11" cm="1">
        <f t="array" aca="1" ref="M44" ca="1">IF(D44="","",FWM_Sigma(FWM_Row(6," dF")))</f>
      </c>
      <c r="N44" s="45">
        <f t="shared" ca="1" si="6"/>
      </c>
      <c r="O44" s="45" cm="1">
        <f t="array" aca="1" ref="O44" ca="1">IF(D44="","",_xlfn.LET(_xlpm.x,FWM_Row(6,""),(J44-INDEX(_xlpm.x,ROWS(_xlpm.x)-4))/(M44*SQRT(5))))</f>
      </c>
      <c r="AA44">
        <f ca="1"/>
      </c>
      <c r="AB44">
        <f ca="1"/>
      </c>
      <c r="AC44">
        <f ca="1"/>
      </c>
      <c r="AD44">
        <f ca="1"/>
      </c>
      <c r="AF44">
        <f ca="1"/>
      </c>
      <c r="AG44">
        <f ca="1"/>
      </c>
      <c r="AH44">
        <f ca="1"/>
      </c>
      <c r="AI44">
        <f ca="1"/>
      </c>
      <c r="AJ44">
        <f ca="1"/>
      </c>
      <c r="AL44" t="s">
        <v>38</v>
      </c>
      <c r="AM44">
        <v>0</v>
      </c>
      <c r="AO44">
        <f ca="1"/>
      </c>
      <c r="AP44">
        <f ca="1"/>
      </c>
      <c r="AQ44">
        <f ca="1"/>
      </c>
      <c r="AR44">
        <f ca="1"/>
      </c>
      <c r="AS44">
        <f ca="1"/>
      </c>
      <c r="AT44">
        <f ca="1"/>
      </c>
      <c r="AU44">
        <f ca="1"/>
      </c>
      <c r="AV44">
        <f ca="1"/>
      </c>
      <c r="AW44">
        <f ca="1"/>
      </c>
      <c r="AX44">
        <f ca="1"/>
      </c>
      <c r="AY44">
        <f ca="1"/>
      </c>
      <c r="AZ44">
        <f ca="1"/>
      </c>
      <c r="BA44">
        <f ca="1"/>
      </c>
      <c r="BB44">
        <f ca="1"/>
      </c>
      <c r="BC44">
        <f ca="1"/>
      </c>
      <c r="BD44">
        <f ca="1"/>
      </c>
      <c r="BE44">
        <f ca="1"/>
      </c>
      <c r="BF44">
        <f ca="1"/>
      </c>
      <c r="BG44">
        <f ca="1"/>
      </c>
      <c r="BH44">
        <f ca="1"/>
      </c>
      <c r="BI44">
        <f ca="1"/>
      </c>
      <c r="BJ44">
        <f ca="1"/>
      </c>
      <c r="BK44">
        <f ca="1"/>
      </c>
      <c r="BL44">
        <f ca="1"/>
      </c>
      <c r="BM44">
        <f ca="1"/>
      </c>
      <c r="BN44">
        <f ca="1"/>
      </c>
      <c r="BO44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  <c r="BV44">
        <f ca="1"/>
      </c>
      <c r="BW44">
        <f ca="1"/>
      </c>
      <c r="BX44">
        <f ca="1"/>
      </c>
      <c r="BY44">
        <f ca="1"/>
      </c>
      <c r="BZ44">
        <f ca="1"/>
      </c>
      <c r="CA44">
        <f ca="1"/>
      </c>
      <c r="CB44">
        <f ca="1"/>
      </c>
      <c r="CC44">
        <f ca="1"/>
      </c>
      <c r="CD44">
        <f ca="1"/>
      </c>
      <c r="CE44">
        <f ca="1"/>
      </c>
      <c r="CF44">
        <f ca="1"/>
      </c>
      <c r="CG44">
        <f ca="1"/>
      </c>
      <c r="CH44">
        <f ca="1"/>
      </c>
      <c r="CI44">
        <f ca="1"/>
      </c>
      <c r="CK44">
        <f ca="1"/>
      </c>
      <c r="CL44">
        <f ca="1"/>
      </c>
      <c r="CM44">
        <f ca="1"/>
      </c>
      <c r="CN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DQ44">
        <f ca="1"/>
      </c>
      <c r="DR44">
        <f ca="1"/>
      </c>
      <c r="DS44">
        <f ca="1"/>
      </c>
      <c r="DT44">
        <f ca="1"/>
      </c>
      <c r="DU44">
        <f ca="1"/>
      </c>
      <c r="DV44">
        <f ca="1"/>
      </c>
      <c r="DW44">
        <f ca="1"/>
      </c>
      <c r="DX44">
        <f ca="1"/>
      </c>
      <c r="DY44">
        <f ca="1"/>
      </c>
      <c r="DZ44">
        <f ca="1"/>
      </c>
      <c r="EA44">
        <f ca="1"/>
      </c>
      <c r="EB44">
        <f ca="1"/>
      </c>
      <c r="EC44">
        <f ca="1"/>
      </c>
      <c r="ED44">
        <f ca="1"/>
      </c>
      <c r="EE44">
        <f ca="1"/>
      </c>
      <c r="EG44">
        <f ca="1"/>
      </c>
      <c r="EH44">
        <f ca="1"/>
      </c>
      <c r="EI44">
        <f ca="1"/>
      </c>
      <c r="EJ44">
        <f ca="1"/>
      </c>
      <c r="EK44">
        <f ca="1"/>
      </c>
      <c r="EL44">
        <f ca="1"/>
      </c>
      <c r="EM44">
        <f ca="1"/>
      </c>
      <c r="EN44">
        <f ca="1"/>
      </c>
      <c r="EO44">
        <f ca="1"/>
      </c>
      <c r="EP44">
        <f ca="1"/>
      </c>
      <c r="EQ44">
        <f ca="1"/>
      </c>
      <c r="ER44">
        <f ca="1"/>
      </c>
      <c r="ES44">
        <f ca="1"/>
      </c>
      <c r="ET44">
        <f ca="1"/>
      </c>
      <c r="EU44">
        <f ca="1"/>
      </c>
      <c r="EV44">
        <f ca="1"/>
      </c>
      <c r="EW44">
        <f ca="1"/>
      </c>
      <c r="EX44">
        <f ca="1"/>
      </c>
      <c r="EY44">
        <f ca="1"/>
      </c>
      <c r="EZ44">
        <f ca="1"/>
      </c>
      <c r="FA44">
        <f ca="1"/>
      </c>
      <c r="FB44">
        <f ca="1"/>
      </c>
      <c r="FC44">
        <f ca="1"/>
      </c>
      <c r="FD44">
        <f ca="1"/>
      </c>
      <c r="FE44">
        <f ca="1"/>
      </c>
      <c r="FF44">
        <f ca="1"/>
      </c>
      <c r="FG44">
        <f ca="1"/>
      </c>
      <c r="FH44">
        <f ca="1"/>
      </c>
      <c r="FI44">
        <f ca="1"/>
      </c>
      <c r="FJ44">
        <f ca="1"/>
      </c>
      <c r="FK44">
        <f ca="1"/>
      </c>
      <c r="FL44">
        <f ca="1"/>
      </c>
      <c r="FM44">
        <f ca="1"/>
      </c>
      <c r="FN44">
        <f ca="1"/>
      </c>
      <c r="FO44">
        <f ca="1"/>
      </c>
      <c r="FP44">
        <f ca="1"/>
      </c>
      <c r="FQ44">
        <f ca="1"/>
      </c>
      <c r="FR44">
        <f ca="1"/>
      </c>
      <c r="FS44">
        <f ca="1"/>
      </c>
      <c r="FT44">
        <f ca="1"/>
      </c>
      <c r="FU44">
        <f ca="1"/>
      </c>
      <c r="FV44">
        <f ca="1"/>
      </c>
      <c r="FW44">
        <f ca="1"/>
      </c>
      <c r="FX44">
        <f ca="1"/>
      </c>
      <c r="FY44">
        <f ca="1"/>
      </c>
      <c r="FZ44">
        <f ca="1"/>
      </c>
      <c r="GA44">
        <f ca="1"/>
      </c>
      <c r="GM44" s="7">
        <f ca="1"/>
      </c>
      <c r="GN44">
        <f ca="1"/>
      </c>
      <c r="GO44">
        <f ca="1"/>
      </c>
      <c r="GP44">
        <f ca="1"/>
      </c>
      <c r="GQ44">
        <f ca="1"/>
      </c>
    </row>
    <row r="45" spans="1:199" x14ac:dyDescent="0.55000000000000004">
      <c r="A45" s="2"/>
      <c r="B45">
        <f t="shared" si="5"/>
      </c>
      <c r="C45" s="2" t="s">
        <v>316</v>
      </c>
      <c r="D45" s="2"/>
      <c r="E45" s="2"/>
      <c r="F45" s="2"/>
      <c r="G45" s="2"/>
      <c r="H45" s="2"/>
      <c r="I45" s="2"/>
      <c r="J45" s="14" cm="1">
        <f t="array" ref="J45">IF(D45="","",100*(N(E45)*FWM_LiveOf(D45)+N(G45)*FWM_LiveOf(F45)+N(I45)*FWM_LiveOf(H45)))</f>
      </c>
      <c r="K45" s="44" cm="1">
        <f t="array" aca="1" ref="K45" ca="1">IF(D45="","",_xlfn.LET(_xlpm.x,FWM_Row(7,""),J45-INDEX(_xlpm.x,ROWS(_xlpm.x))))</f>
      </c>
      <c r="L45" s="44" cm="1">
        <f t="array" aca="1" ref="L45" ca="1">IF(D45="","",_xlfn.LET(_xlpm.x,FWM_Row(7,""),J45-INDEX(_xlpm.x,ROWS(_xlpm.x)-20)))</f>
      </c>
      <c r="M45" s="11" cm="1">
        <f t="array" aca="1" ref="M45" ca="1">IF(D45="","",FWM_Sigma(FWM_Row(7," dF")))</f>
      </c>
      <c r="N45" s="45">
        <f t="shared" ca="1" si="6"/>
      </c>
      <c r="O45" s="45" cm="1">
        <f t="array" aca="1" ref="O45" ca="1">IF(D45="","",_xlfn.LET(_xlpm.x,FWM_Row(7,""),(J45-INDEX(_xlpm.x,ROWS(_xlpm.x)-4))/(M45*SQRT(5))))</f>
      </c>
      <c r="AA45">
        <f ca="1"/>
      </c>
      <c r="AB45">
        <f ca="1"/>
      </c>
      <c r="AC45">
        <f ca="1"/>
      </c>
      <c r="AD45">
        <f ca="1"/>
      </c>
      <c r="AF45">
        <f ca="1"/>
      </c>
      <c r="AG45">
        <f ca="1"/>
      </c>
      <c r="AH45">
        <f ca="1"/>
      </c>
      <c r="AI45">
        <f ca="1"/>
      </c>
      <c r="AJ45">
        <f ca="1"/>
      </c>
      <c r="AL45" t="s">
        <v>39</v>
      </c>
      <c r="AM45">
        <v>0</v>
      </c>
      <c r="AO45">
        <f ca="1"/>
      </c>
      <c r="AP45">
        <f ca="1"/>
      </c>
      <c r="AQ45">
        <f ca="1"/>
      </c>
      <c r="AR45">
        <f ca="1"/>
      </c>
      <c r="AS45">
        <f ca="1"/>
      </c>
      <c r="AT45">
        <f ca="1"/>
      </c>
      <c r="AU45">
        <f ca="1"/>
      </c>
      <c r="AV45">
        <f ca="1"/>
      </c>
      <c r="AW45">
        <f ca="1"/>
      </c>
      <c r="AX45">
        <f ca="1"/>
      </c>
      <c r="AY45">
        <f ca="1"/>
      </c>
      <c r="AZ45">
        <f ca="1"/>
      </c>
      <c r="BA45">
        <f ca="1"/>
      </c>
      <c r="BB45">
        <f ca="1"/>
      </c>
      <c r="BC45">
        <f ca="1"/>
      </c>
      <c r="BD45">
        <f ca="1"/>
      </c>
      <c r="BE45">
        <f ca="1"/>
      </c>
      <c r="BF45">
        <f ca="1"/>
      </c>
      <c r="BG45">
        <f ca="1"/>
      </c>
      <c r="BH45">
        <f ca="1"/>
      </c>
      <c r="BI45">
        <f ca="1"/>
      </c>
      <c r="BJ45">
        <f ca="1"/>
      </c>
      <c r="BK45">
        <f ca="1"/>
      </c>
      <c r="BL45">
        <f ca="1"/>
      </c>
      <c r="BM45">
        <f ca="1"/>
      </c>
      <c r="BN45">
        <f ca="1"/>
      </c>
      <c r="BO45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  <c r="BV45">
        <f ca="1"/>
      </c>
      <c r="BW45">
        <f ca="1"/>
      </c>
      <c r="BX45">
        <f ca="1"/>
      </c>
      <c r="BY45">
        <f ca="1"/>
      </c>
      <c r="BZ45">
        <f ca="1"/>
      </c>
      <c r="CA45">
        <f ca="1"/>
      </c>
      <c r="CB45">
        <f ca="1"/>
      </c>
      <c r="CC45">
        <f ca="1"/>
      </c>
      <c r="CD45">
        <f ca="1"/>
      </c>
      <c r="CE45">
        <f ca="1"/>
      </c>
      <c r="CF45">
        <f ca="1"/>
      </c>
      <c r="CG45">
        <f ca="1"/>
      </c>
      <c r="CH45">
        <f ca="1"/>
      </c>
      <c r="CI45">
        <f ca="1"/>
      </c>
      <c r="CK45">
        <f ca="1"/>
      </c>
      <c r="CL45">
        <f ca="1"/>
      </c>
      <c r="CM45">
        <f ca="1"/>
      </c>
      <c r="CN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DQ45">
        <f ca="1"/>
      </c>
      <c r="DR45">
        <f ca="1"/>
      </c>
      <c r="DS45">
        <f ca="1"/>
      </c>
      <c r="DT45">
        <f ca="1"/>
      </c>
      <c r="DU45">
        <f ca="1"/>
      </c>
      <c r="DV45">
        <f ca="1"/>
      </c>
      <c r="DW45">
        <f ca="1"/>
      </c>
      <c r="DX45">
        <f ca="1"/>
      </c>
      <c r="DY45">
        <f ca="1"/>
      </c>
      <c r="DZ45">
        <f ca="1"/>
      </c>
      <c r="EA45">
        <f ca="1"/>
      </c>
      <c r="EB45">
        <f ca="1"/>
      </c>
      <c r="EC45">
        <f ca="1"/>
      </c>
      <c r="ED45">
        <f ca="1"/>
      </c>
      <c r="EE45">
        <f ca="1"/>
      </c>
      <c r="EG45">
        <f ca="1"/>
      </c>
      <c r="EH45">
        <f ca="1"/>
      </c>
      <c r="EI45">
        <f ca="1"/>
      </c>
      <c r="EJ45">
        <f ca="1"/>
      </c>
      <c r="EK45">
        <f ca="1"/>
      </c>
      <c r="EL45">
        <f ca="1"/>
      </c>
      <c r="EM45">
        <f ca="1"/>
      </c>
      <c r="EN45">
        <f ca="1"/>
      </c>
      <c r="EO45">
        <f ca="1"/>
      </c>
      <c r="EP45">
        <f ca="1"/>
      </c>
      <c r="EQ45">
        <f ca="1"/>
      </c>
      <c r="ER45">
        <f ca="1"/>
      </c>
      <c r="ES45">
        <f ca="1"/>
      </c>
      <c r="ET45">
        <f ca="1"/>
      </c>
      <c r="EU45">
        <f ca="1"/>
      </c>
      <c r="EV45">
        <f ca="1"/>
      </c>
      <c r="EW45">
        <f ca="1"/>
      </c>
      <c r="EX45">
        <f ca="1"/>
      </c>
      <c r="EY45">
        <f ca="1"/>
      </c>
      <c r="EZ45">
        <f ca="1"/>
      </c>
      <c r="FA45">
        <f ca="1"/>
      </c>
      <c r="FB45">
        <f ca="1"/>
      </c>
      <c r="FC45">
        <f ca="1"/>
      </c>
      <c r="FD45">
        <f ca="1"/>
      </c>
      <c r="FE45">
        <f ca="1"/>
      </c>
      <c r="FF45">
        <f ca="1"/>
      </c>
      <c r="FG45">
        <f ca="1"/>
      </c>
      <c r="FH45">
        <f ca="1"/>
      </c>
      <c r="FI45">
        <f ca="1"/>
      </c>
      <c r="FJ45">
        <f ca="1"/>
      </c>
      <c r="FK45">
        <f ca="1"/>
      </c>
      <c r="FL45">
        <f ca="1"/>
      </c>
      <c r="FM45">
        <f ca="1"/>
      </c>
      <c r="FN45">
        <f ca="1"/>
      </c>
      <c r="FO45">
        <f ca="1"/>
      </c>
      <c r="FP45">
        <f ca="1"/>
      </c>
      <c r="FQ45">
        <f ca="1"/>
      </c>
      <c r="FR45">
        <f ca="1"/>
      </c>
      <c r="FS45">
        <f ca="1"/>
      </c>
      <c r="FT45">
        <f ca="1"/>
      </c>
      <c r="FU45">
        <f ca="1"/>
      </c>
      <c r="FV45">
        <f ca="1"/>
      </c>
      <c r="FW45">
        <f ca="1"/>
      </c>
      <c r="FX45">
        <f ca="1"/>
      </c>
      <c r="FY45">
        <f ca="1"/>
      </c>
      <c r="FZ45">
        <f ca="1"/>
      </c>
      <c r="GA45">
        <f ca="1"/>
      </c>
      <c r="GM45" s="7">
        <f ca="1"/>
      </c>
      <c r="GN45">
        <f ca="1"/>
      </c>
      <c r="GO45">
        <f ca="1"/>
      </c>
      <c r="GP45">
        <f ca="1"/>
      </c>
      <c r="GQ45">
        <f ca="1"/>
      </c>
    </row>
    <row r="46" spans="1:199" x14ac:dyDescent="0.55000000000000004">
      <c r="A46" s="2"/>
      <c r="B46">
        <f t="shared" si="5"/>
      </c>
      <c r="C46" s="2" t="s">
        <v>316</v>
      </c>
      <c r="D46" s="2"/>
      <c r="E46" s="2"/>
      <c r="F46" s="2"/>
      <c r="G46" s="2"/>
      <c r="H46" s="2"/>
      <c r="I46" s="2"/>
      <c r="J46" s="14" cm="1">
        <f t="array" ref="J46">IF(D46="","",100*(N(E46)*FWM_LiveOf(D46)+N(G46)*FWM_LiveOf(F46)+N(I46)*FWM_LiveOf(H46)))</f>
      </c>
      <c r="K46" s="44" cm="1">
        <f t="array" aca="1" ref="K46" ca="1">IF(D46="","",_xlfn.LET(_xlpm.x,FWM_Row(8,""),J46-INDEX(_xlpm.x,ROWS(_xlpm.x))))</f>
      </c>
      <c r="L46" s="44" cm="1">
        <f t="array" aca="1" ref="L46" ca="1">IF(D46="","",_xlfn.LET(_xlpm.x,FWM_Row(8,""),J46-INDEX(_xlpm.x,ROWS(_xlpm.x)-20)))</f>
      </c>
      <c r="M46" s="11" cm="1">
        <f t="array" aca="1" ref="M46" ca="1">IF(D46="","",FWM_Sigma(FWM_Row(8," dF")))</f>
      </c>
      <c r="N46" s="45">
        <f t="shared" ca="1" si="6"/>
      </c>
      <c r="O46" s="45" cm="1">
        <f t="array" aca="1" ref="O46" ca="1">IF(D46="","",_xlfn.LET(_xlpm.x,FWM_Row(8,""),(J46-INDEX(_xlpm.x,ROWS(_xlpm.x)-4))/(M46*SQRT(5))))</f>
      </c>
      <c r="AA46">
        <f ca="1"/>
      </c>
      <c r="AB46">
        <f ca="1"/>
      </c>
      <c r="AC46">
        <f ca="1"/>
      </c>
      <c r="AD46">
        <f ca="1"/>
      </c>
      <c r="AF46">
        <f ca="1"/>
      </c>
      <c r="AG46">
        <f ca="1"/>
      </c>
      <c r="AH46">
        <f ca="1"/>
      </c>
      <c r="AI46">
        <f ca="1"/>
      </c>
      <c r="AJ46">
        <f ca="1"/>
      </c>
      <c r="AL46" t="s">
        <v>40</v>
      </c>
      <c r="AM46">
        <v>0</v>
      </c>
      <c r="AO46">
        <f ca="1"/>
      </c>
      <c r="AP46">
        <f ca="1"/>
      </c>
      <c r="AQ46">
        <f ca="1"/>
      </c>
      <c r="AR46">
        <f ca="1"/>
      </c>
      <c r="AS46">
        <f ca="1"/>
      </c>
      <c r="AT46">
        <f ca="1"/>
      </c>
      <c r="AU46">
        <f ca="1"/>
      </c>
      <c r="AV46">
        <f ca="1"/>
      </c>
      <c r="AW46">
        <f ca="1"/>
      </c>
      <c r="AX46">
        <f ca="1"/>
      </c>
      <c r="AY46">
        <f ca="1"/>
      </c>
      <c r="AZ46">
        <f ca="1"/>
      </c>
      <c r="BA46">
        <f ca="1"/>
      </c>
      <c r="BB46">
        <f ca="1"/>
      </c>
      <c r="BC46">
        <f ca="1"/>
      </c>
      <c r="BD46">
        <f ca="1"/>
      </c>
      <c r="BE46">
        <f ca="1"/>
      </c>
      <c r="BF46">
        <f ca="1"/>
      </c>
      <c r="BG46">
        <f ca="1"/>
      </c>
      <c r="BH46">
        <f ca="1"/>
      </c>
      <c r="BI46">
        <f ca="1"/>
      </c>
      <c r="BJ46">
        <f ca="1"/>
      </c>
      <c r="BK46">
        <f ca="1"/>
      </c>
      <c r="BL46">
        <f ca="1"/>
      </c>
      <c r="BM46">
        <f ca="1"/>
      </c>
      <c r="BN46">
        <f ca="1"/>
      </c>
      <c r="BO46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  <c r="BV46">
        <f ca="1"/>
      </c>
      <c r="BW46">
        <f ca="1"/>
      </c>
      <c r="BX46">
        <f ca="1"/>
      </c>
      <c r="BY46">
        <f ca="1"/>
      </c>
      <c r="BZ46">
        <f ca="1"/>
      </c>
      <c r="CA46">
        <f ca="1"/>
      </c>
      <c r="CB46">
        <f ca="1"/>
      </c>
      <c r="CC46">
        <f ca="1"/>
      </c>
      <c r="CD46">
        <f ca="1"/>
      </c>
      <c r="CE46">
        <f ca="1"/>
      </c>
      <c r="CF46">
        <f ca="1"/>
      </c>
      <c r="CG46">
        <f ca="1"/>
      </c>
      <c r="CH46">
        <f ca="1"/>
      </c>
      <c r="CI46">
        <f ca="1"/>
      </c>
      <c r="CK46">
        <f ca="1"/>
      </c>
      <c r="CL46">
        <f ca="1"/>
      </c>
      <c r="CM46">
        <f ca="1"/>
      </c>
      <c r="CN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DQ46">
        <f ca="1"/>
      </c>
      <c r="DR46">
        <f ca="1"/>
      </c>
      <c r="DS46">
        <f ca="1"/>
      </c>
      <c r="DT46">
        <f ca="1"/>
      </c>
      <c r="DU46">
        <f ca="1"/>
      </c>
      <c r="DV46">
        <f ca="1"/>
      </c>
      <c r="DW46">
        <f ca="1"/>
      </c>
      <c r="DX46">
        <f ca="1"/>
      </c>
      <c r="DY46">
        <f ca="1"/>
      </c>
      <c r="DZ46">
        <f ca="1"/>
      </c>
      <c r="EA46">
        <f ca="1"/>
      </c>
      <c r="EB46">
        <f ca="1"/>
      </c>
      <c r="EC46">
        <f ca="1"/>
      </c>
      <c r="ED46">
        <f ca="1"/>
      </c>
      <c r="EE46">
        <f ca="1"/>
      </c>
      <c r="EG46">
        <f ca="1"/>
      </c>
      <c r="EH46">
        <f ca="1"/>
      </c>
      <c r="EI46">
        <f ca="1"/>
      </c>
      <c r="EJ46">
        <f ca="1"/>
      </c>
      <c r="EK46">
        <f ca="1"/>
      </c>
      <c r="EL46">
        <f ca="1"/>
      </c>
      <c r="EM46">
        <f ca="1"/>
      </c>
      <c r="EN46">
        <f ca="1"/>
      </c>
      <c r="EO46">
        <f ca="1"/>
      </c>
      <c r="EP46">
        <f ca="1"/>
      </c>
      <c r="EQ46">
        <f ca="1"/>
      </c>
      <c r="ER46">
        <f ca="1"/>
      </c>
      <c r="ES46">
        <f ca="1"/>
      </c>
      <c r="ET46">
        <f ca="1"/>
      </c>
      <c r="EU46">
        <f ca="1"/>
      </c>
      <c r="EV46">
        <f ca="1"/>
      </c>
      <c r="EW46">
        <f ca="1"/>
      </c>
      <c r="EX46">
        <f ca="1"/>
      </c>
      <c r="EY46">
        <f ca="1"/>
      </c>
      <c r="EZ46">
        <f ca="1"/>
      </c>
      <c r="FA46">
        <f ca="1"/>
      </c>
      <c r="FB46">
        <f ca="1"/>
      </c>
      <c r="FC46">
        <f ca="1"/>
      </c>
      <c r="FD46">
        <f ca="1"/>
      </c>
      <c r="FE46">
        <f ca="1"/>
      </c>
      <c r="FF46">
        <f ca="1"/>
      </c>
      <c r="FG46">
        <f ca="1"/>
      </c>
      <c r="FH46">
        <f ca="1"/>
      </c>
      <c r="FI46">
        <f ca="1"/>
      </c>
      <c r="FJ46">
        <f ca="1"/>
      </c>
      <c r="FK46">
        <f ca="1"/>
      </c>
      <c r="FL46">
        <f ca="1"/>
      </c>
      <c r="FM46">
        <f ca="1"/>
      </c>
      <c r="FN46">
        <f ca="1"/>
      </c>
      <c r="FO46">
        <f ca="1"/>
      </c>
      <c r="FP46">
        <f ca="1"/>
      </c>
      <c r="FQ46">
        <f ca="1"/>
      </c>
      <c r="FR46">
        <f ca="1"/>
      </c>
      <c r="FS46">
        <f ca="1"/>
      </c>
      <c r="FT46">
        <f ca="1"/>
      </c>
      <c r="FU46">
        <f ca="1"/>
      </c>
      <c r="FV46">
        <f ca="1"/>
      </c>
      <c r="FW46">
        <f ca="1"/>
      </c>
      <c r="FX46">
        <f ca="1"/>
      </c>
      <c r="FY46">
        <f ca="1"/>
      </c>
      <c r="FZ46">
        <f ca="1"/>
      </c>
      <c r="GA46">
        <f ca="1"/>
      </c>
      <c r="GM46" s="7">
        <f ca="1"/>
      </c>
      <c r="GN46">
        <f ca="1"/>
      </c>
      <c r="GO46">
        <f ca="1"/>
      </c>
      <c r="GP46">
        <f ca="1"/>
      </c>
      <c r="GQ46">
        <f ca="1"/>
      </c>
    </row>
    <row r="47" spans="1:199" x14ac:dyDescent="0.55000000000000004">
      <c r="A47" s="2"/>
      <c r="B47">
        <f t="shared" si="5"/>
      </c>
      <c r="C47" s="2" t="s">
        <v>316</v>
      </c>
      <c r="D47" s="2"/>
      <c r="E47" s="2"/>
      <c r="F47" s="2"/>
      <c r="G47" s="2"/>
      <c r="H47" s="2"/>
      <c r="I47" s="2"/>
      <c r="J47" s="14" cm="1">
        <f t="array" ref="J47">IF(D47="","",100*(N(E47)*FWM_LiveOf(D47)+N(G47)*FWM_LiveOf(F47)+N(I47)*FWM_LiveOf(H47)))</f>
      </c>
      <c r="K47" s="44" cm="1">
        <f t="array" aca="1" ref="K47" ca="1">IF(D47="","",_xlfn.LET(_xlpm.x,FWM_Row(9,""),J47-INDEX(_xlpm.x,ROWS(_xlpm.x))))</f>
      </c>
      <c r="L47" s="44" cm="1">
        <f t="array" aca="1" ref="L47" ca="1">IF(D47="","",_xlfn.LET(_xlpm.x,FWM_Row(9,""),J47-INDEX(_xlpm.x,ROWS(_xlpm.x)-20)))</f>
      </c>
      <c r="M47" s="11" cm="1">
        <f t="array" aca="1" ref="M47" ca="1">IF(D47="","",FWM_Sigma(FWM_Row(9," dF")))</f>
      </c>
      <c r="N47" s="45">
        <f t="shared" ca="1" si="6"/>
      </c>
      <c r="O47" s="45" cm="1">
        <f t="array" aca="1" ref="O47" ca="1">IF(D47="","",_xlfn.LET(_xlpm.x,FWM_Row(9,""),(J47-INDEX(_xlpm.x,ROWS(_xlpm.x)-4))/(M47*SQRT(5))))</f>
      </c>
      <c r="AL47" t="s">
        <v>110</v>
      </c>
      <c r="AM47">
        <v>0</v>
      </c>
      <c r="AO47">
        <f ca="1"/>
      </c>
      <c r="AP47">
        <f ca="1"/>
      </c>
      <c r="AQ47">
        <f ca="1"/>
      </c>
      <c r="AR47">
        <f ca="1"/>
      </c>
      <c r="AS47">
        <f ca="1"/>
      </c>
      <c r="AT47">
        <f ca="1"/>
      </c>
      <c r="AU47">
        <f ca="1"/>
      </c>
      <c r="AV47">
        <f ca="1"/>
      </c>
      <c r="AW47">
        <f ca="1"/>
      </c>
      <c r="AX47">
        <f ca="1"/>
      </c>
      <c r="AY47">
        <f ca="1"/>
      </c>
      <c r="AZ47">
        <f ca="1"/>
      </c>
      <c r="BA47">
        <f ca="1"/>
      </c>
      <c r="BB47">
        <f ca="1"/>
      </c>
      <c r="BC47">
        <f ca="1"/>
      </c>
      <c r="BD47">
        <f ca="1"/>
      </c>
      <c r="BE47">
        <f ca="1"/>
      </c>
      <c r="BF47">
        <f ca="1"/>
      </c>
      <c r="BG47">
        <f ca="1"/>
      </c>
      <c r="BH47">
        <f ca="1"/>
      </c>
      <c r="BI47">
        <f ca="1"/>
      </c>
      <c r="BJ47">
        <f ca="1"/>
      </c>
      <c r="BK47">
        <f ca="1"/>
      </c>
      <c r="BL47">
        <f ca="1"/>
      </c>
      <c r="BM47">
        <f ca="1"/>
      </c>
      <c r="BN47">
        <f ca="1"/>
      </c>
      <c r="BO47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  <c r="BV47">
        <f ca="1"/>
      </c>
      <c r="BW47">
        <f ca="1"/>
      </c>
      <c r="BX47">
        <f ca="1"/>
      </c>
      <c r="BY47">
        <f ca="1"/>
      </c>
      <c r="BZ47">
        <f ca="1"/>
      </c>
      <c r="CA47">
        <f ca="1"/>
      </c>
      <c r="CB47">
        <f ca="1"/>
      </c>
      <c r="CC47">
        <f ca="1"/>
      </c>
      <c r="CD47">
        <f ca="1"/>
      </c>
      <c r="CE47">
        <f ca="1"/>
      </c>
      <c r="CF47">
        <f ca="1"/>
      </c>
      <c r="CG47">
        <f ca="1"/>
      </c>
      <c r="CH47">
        <f ca="1"/>
      </c>
      <c r="CI47">
        <f ca="1"/>
      </c>
      <c r="CK47">
        <f ca="1"/>
      </c>
      <c r="CL47">
        <f ca="1"/>
      </c>
      <c r="CM47">
        <f ca="1"/>
      </c>
      <c r="CN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DQ47">
        <f ca="1"/>
      </c>
      <c r="DR47">
        <f ca="1"/>
      </c>
      <c r="DS47">
        <f ca="1"/>
      </c>
      <c r="DT47">
        <f ca="1"/>
      </c>
      <c r="DU47">
        <f ca="1"/>
      </c>
      <c r="DV47">
        <f ca="1"/>
      </c>
      <c r="DW47">
        <f ca="1"/>
      </c>
      <c r="DX47">
        <f ca="1"/>
      </c>
      <c r="DY47">
        <f ca="1"/>
      </c>
      <c r="DZ47">
        <f ca="1"/>
      </c>
      <c r="EA47">
        <f ca="1"/>
      </c>
      <c r="EB47">
        <f ca="1"/>
      </c>
      <c r="EC47">
        <f ca="1"/>
      </c>
      <c r="ED47">
        <f ca="1"/>
      </c>
      <c r="EE47">
        <f ca="1"/>
      </c>
      <c r="EG47">
        <f ca="1"/>
      </c>
      <c r="EH47">
        <f ca="1"/>
      </c>
      <c r="EI47">
        <f ca="1"/>
      </c>
      <c r="EJ47">
        <f ca="1"/>
      </c>
      <c r="EK47">
        <f ca="1"/>
      </c>
      <c r="EL47">
        <f ca="1"/>
      </c>
      <c r="EM47">
        <f ca="1"/>
      </c>
      <c r="EN47">
        <f ca="1"/>
      </c>
      <c r="EO47">
        <f ca="1"/>
      </c>
      <c r="EP47">
        <f ca="1"/>
      </c>
      <c r="EQ47">
        <f ca="1"/>
      </c>
      <c r="ER47">
        <f ca="1"/>
      </c>
      <c r="ES47">
        <f ca="1"/>
      </c>
      <c r="ET47">
        <f ca="1"/>
      </c>
      <c r="EU47">
        <f ca="1"/>
      </c>
      <c r="EV47">
        <f ca="1"/>
      </c>
      <c r="EW47">
        <f ca="1"/>
      </c>
      <c r="EX47">
        <f ca="1"/>
      </c>
      <c r="EY47">
        <f ca="1"/>
      </c>
      <c r="EZ47">
        <f ca="1"/>
      </c>
      <c r="FA47">
        <f ca="1"/>
      </c>
      <c r="FB47">
        <f ca="1"/>
      </c>
      <c r="FC47">
        <f ca="1"/>
      </c>
      <c r="FD47">
        <f ca="1"/>
      </c>
      <c r="FE47">
        <f ca="1"/>
      </c>
      <c r="FF47">
        <f ca="1"/>
      </c>
      <c r="FG47">
        <f ca="1"/>
      </c>
      <c r="FH47">
        <f ca="1"/>
      </c>
      <c r="FI47">
        <f ca="1"/>
      </c>
      <c r="FJ47">
        <f ca="1"/>
      </c>
      <c r="FK47">
        <f ca="1"/>
      </c>
      <c r="FL47">
        <f ca="1"/>
      </c>
      <c r="FM47">
        <f ca="1"/>
      </c>
      <c r="FN47">
        <f ca="1"/>
      </c>
      <c r="FO47">
        <f ca="1"/>
      </c>
      <c r="FP47">
        <f ca="1"/>
      </c>
      <c r="FQ47">
        <f ca="1"/>
      </c>
      <c r="FR47">
        <f ca="1"/>
      </c>
      <c r="FS47">
        <f ca="1"/>
      </c>
      <c r="FT47">
        <f ca="1"/>
      </c>
      <c r="FU47">
        <f ca="1"/>
      </c>
      <c r="FV47">
        <f ca="1"/>
      </c>
      <c r="FW47">
        <f ca="1"/>
      </c>
      <c r="FX47">
        <f ca="1"/>
      </c>
      <c r="FY47">
        <f ca="1"/>
      </c>
      <c r="FZ47">
        <f ca="1"/>
      </c>
      <c r="GA47">
        <f ca="1"/>
      </c>
      <c r="GM47" s="7">
        <f ca="1"/>
      </c>
      <c r="GN47">
        <f ca="1"/>
      </c>
      <c r="GO47">
        <f ca="1"/>
      </c>
      <c r="GP47">
        <f ca="1"/>
      </c>
      <c r="GQ47">
        <f ca="1"/>
      </c>
    </row>
    <row r="48" spans="1:199" x14ac:dyDescent="0.55000000000000004">
      <c r="A48" s="2"/>
      <c r="B48">
        <f t="shared" si="5"/>
      </c>
      <c r="C48" s="2" t="s">
        <v>316</v>
      </c>
      <c r="D48" s="2"/>
      <c r="E48" s="2"/>
      <c r="F48" s="2"/>
      <c r="G48" s="2"/>
      <c r="H48" s="2"/>
      <c r="I48" s="2"/>
      <c r="J48" s="14" cm="1">
        <f t="array" ref="J48">IF(D48="","",100*(N(E48)*FWM_LiveOf(D48)+N(G48)*FWM_LiveOf(F48)+N(I48)*FWM_LiveOf(H48)))</f>
      </c>
      <c r="K48" s="44" cm="1">
        <f t="array" aca="1" ref="K48" ca="1">IF(D48="","",_xlfn.LET(_xlpm.x,FWM_Row(10,""),J48-INDEX(_xlpm.x,ROWS(_xlpm.x))))</f>
      </c>
      <c r="L48" s="44" cm="1">
        <f t="array" aca="1" ref="L48" ca="1">IF(D48="","",_xlfn.LET(_xlpm.x,FWM_Row(10,""),J48-INDEX(_xlpm.x,ROWS(_xlpm.x)-20)))</f>
      </c>
      <c r="M48" s="11" cm="1">
        <f t="array" aca="1" ref="M48" ca="1">IF(D48="","",FWM_Sigma(FWM_Row(10," dF")))</f>
      </c>
      <c r="N48" s="45">
        <f t="shared" ca="1" si="6"/>
      </c>
      <c r="O48" s="45" cm="1">
        <f t="array" aca="1" ref="O48" ca="1">IF(D48="","",_xlfn.LET(_xlpm.x,FWM_Row(10,""),(J48-INDEX(_xlpm.x,ROWS(_xlpm.x)-4))/(M48*SQRT(5))))</f>
      </c>
      <c r="AO48">
        <f ca="1"/>
      </c>
      <c r="AP48">
        <f ca="1"/>
      </c>
      <c r="AQ48">
        <f ca="1"/>
      </c>
      <c r="AR48">
        <f ca="1"/>
      </c>
      <c r="AS48">
        <f ca="1"/>
      </c>
      <c r="AT48">
        <f ca="1"/>
      </c>
      <c r="AU48">
        <f ca="1"/>
      </c>
      <c r="AV48">
        <f ca="1"/>
      </c>
      <c r="AW48">
        <f ca="1"/>
      </c>
      <c r="AX48">
        <f ca="1"/>
      </c>
      <c r="AY48">
        <f ca="1"/>
      </c>
      <c r="AZ48">
        <f ca="1"/>
      </c>
      <c r="BA48">
        <f ca="1"/>
      </c>
      <c r="BB48">
        <f ca="1"/>
      </c>
      <c r="BC48">
        <f ca="1"/>
      </c>
      <c r="BD48">
        <f ca="1"/>
      </c>
      <c r="BE48">
        <f ca="1"/>
      </c>
      <c r="BF48">
        <f ca="1"/>
      </c>
      <c r="BG48">
        <f ca="1"/>
      </c>
      <c r="BH48">
        <f ca="1"/>
      </c>
      <c r="BI48">
        <f ca="1"/>
      </c>
      <c r="BJ48">
        <f ca="1"/>
      </c>
      <c r="BK48">
        <f ca="1"/>
      </c>
      <c r="BL48">
        <f ca="1"/>
      </c>
      <c r="BM48">
        <f ca="1"/>
      </c>
      <c r="BN48">
        <f ca="1"/>
      </c>
      <c r="BO48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  <c r="BV48">
        <f ca="1"/>
      </c>
      <c r="BW48">
        <f ca="1"/>
      </c>
      <c r="BX48">
        <f ca="1"/>
      </c>
      <c r="BY48">
        <f ca="1"/>
      </c>
      <c r="BZ48">
        <f ca="1"/>
      </c>
      <c r="CA48">
        <f ca="1"/>
      </c>
      <c r="CB48">
        <f ca="1"/>
      </c>
      <c r="CC48">
        <f ca="1"/>
      </c>
      <c r="CD48">
        <f ca="1"/>
      </c>
      <c r="CE48">
        <f ca="1"/>
      </c>
      <c r="CF48">
        <f ca="1"/>
      </c>
      <c r="CG48">
        <f ca="1"/>
      </c>
      <c r="CH48">
        <f ca="1"/>
      </c>
      <c r="CI48">
        <f ca="1"/>
      </c>
      <c r="CK48">
        <f ca="1"/>
      </c>
      <c r="CL48">
        <f ca="1"/>
      </c>
      <c r="CM48">
        <f ca="1"/>
      </c>
      <c r="CN48">
        <f ca="1"/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DQ48">
        <f ca="1"/>
      </c>
      <c r="DR48">
        <f ca="1"/>
      </c>
      <c r="DS48">
        <f ca="1"/>
      </c>
      <c r="DT48">
        <f ca="1"/>
      </c>
      <c r="DU48">
        <f ca="1"/>
      </c>
      <c r="DV48">
        <f ca="1"/>
      </c>
      <c r="DW48">
        <f ca="1"/>
      </c>
      <c r="DX48">
        <f ca="1"/>
      </c>
      <c r="DY48">
        <f ca="1"/>
      </c>
      <c r="DZ48">
        <f ca="1"/>
      </c>
      <c r="EA48">
        <f ca="1"/>
      </c>
      <c r="EB48">
        <f ca="1"/>
      </c>
      <c r="EC48">
        <f ca="1"/>
      </c>
      <c r="ED48">
        <f ca="1"/>
      </c>
      <c r="EE48">
        <f ca="1"/>
      </c>
      <c r="EG48">
        <f ca="1"/>
      </c>
      <c r="EH48">
        <f ca="1"/>
      </c>
      <c r="EI48">
        <f ca="1"/>
      </c>
      <c r="EJ48">
        <f ca="1"/>
      </c>
      <c r="EK48">
        <f ca="1"/>
      </c>
      <c r="EL48">
        <f ca="1"/>
      </c>
      <c r="EM48">
        <f ca="1"/>
      </c>
      <c r="EN48">
        <f ca="1"/>
      </c>
      <c r="EO48">
        <f ca="1"/>
      </c>
      <c r="EP48">
        <f ca="1"/>
      </c>
      <c r="EQ48">
        <f ca="1"/>
      </c>
      <c r="ER48">
        <f ca="1"/>
      </c>
      <c r="ES48">
        <f ca="1"/>
      </c>
      <c r="ET48">
        <f ca="1"/>
      </c>
      <c r="EU48">
        <f ca="1"/>
      </c>
      <c r="EV48">
        <f ca="1"/>
      </c>
      <c r="EW48">
        <f ca="1"/>
      </c>
      <c r="EX48">
        <f ca="1"/>
      </c>
      <c r="EY48">
        <f ca="1"/>
      </c>
      <c r="EZ48">
        <f ca="1"/>
      </c>
      <c r="FA48">
        <f ca="1"/>
      </c>
      <c r="FB48">
        <f ca="1"/>
      </c>
      <c r="FC48">
        <f ca="1"/>
      </c>
      <c r="FD48">
        <f ca="1"/>
      </c>
      <c r="FE48">
        <f ca="1"/>
      </c>
      <c r="FF48">
        <f ca="1"/>
      </c>
      <c r="FG48">
        <f ca="1"/>
      </c>
      <c r="FH48">
        <f ca="1"/>
      </c>
      <c r="FI48">
        <f ca="1"/>
      </c>
      <c r="FJ48">
        <f ca="1"/>
      </c>
      <c r="FK48">
        <f ca="1"/>
      </c>
      <c r="FL48">
        <f ca="1"/>
      </c>
      <c r="FM48">
        <f ca="1"/>
      </c>
      <c r="FN48">
        <f ca="1"/>
      </c>
      <c r="FO48">
        <f ca="1"/>
      </c>
      <c r="FP48">
        <f ca="1"/>
      </c>
      <c r="FQ48">
        <f ca="1"/>
      </c>
      <c r="FR48">
        <f ca="1"/>
      </c>
      <c r="FS48">
        <f ca="1"/>
      </c>
      <c r="FT48">
        <f ca="1"/>
      </c>
      <c r="FU48">
        <f ca="1"/>
      </c>
      <c r="FV48">
        <f ca="1"/>
      </c>
      <c r="FW48">
        <f ca="1"/>
      </c>
      <c r="FX48">
        <f ca="1"/>
      </c>
      <c r="FY48">
        <f ca="1"/>
      </c>
      <c r="FZ48">
        <f ca="1"/>
      </c>
      <c r="GA48">
        <f ca="1"/>
      </c>
      <c r="GM48" s="7">
        <f ca="1"/>
      </c>
      <c r="GN48">
        <f ca="1"/>
      </c>
      <c r="GO48">
        <f ca="1"/>
      </c>
      <c r="GP48">
        <f ca="1"/>
      </c>
      <c r="GQ48">
        <f ca="1"/>
      </c>
    </row>
    <row r="49" spans="1:199" x14ac:dyDescent="0.55000000000000004">
      <c r="A49" t="s">
        <v>318</v>
      </c>
      <c r="AO49">
        <f ca="1"/>
      </c>
      <c r="AP49">
        <f ca="1"/>
      </c>
      <c r="AQ49">
        <f ca="1"/>
      </c>
      <c r="AR49">
        <f ca="1"/>
      </c>
      <c r="AS49">
        <f ca="1"/>
      </c>
      <c r="AT49">
        <f ca="1"/>
      </c>
      <c r="AU49">
        <f ca="1"/>
      </c>
      <c r="AV49">
        <f ca="1"/>
      </c>
      <c r="AW49">
        <f ca="1"/>
      </c>
      <c r="AX49">
        <f ca="1"/>
      </c>
      <c r="AY49">
        <f ca="1"/>
      </c>
      <c r="AZ49">
        <f ca="1"/>
      </c>
      <c r="BA49">
        <f ca="1"/>
      </c>
      <c r="BB49">
        <f ca="1"/>
      </c>
      <c r="BC49">
        <f ca="1"/>
      </c>
      <c r="BD49">
        <f ca="1"/>
      </c>
      <c r="BE49">
        <f ca="1"/>
      </c>
      <c r="BF49">
        <f ca="1"/>
      </c>
      <c r="BG49">
        <f ca="1"/>
      </c>
      <c r="BH49">
        <f ca="1"/>
      </c>
      <c r="BI49">
        <f ca="1"/>
      </c>
      <c r="BJ49">
        <f ca="1"/>
      </c>
      <c r="BK49">
        <f ca="1"/>
      </c>
      <c r="BL49">
        <f ca="1"/>
      </c>
      <c r="BM49">
        <f ca="1"/>
      </c>
      <c r="BN49">
        <f ca="1"/>
      </c>
      <c r="BO49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  <c r="BV49">
        <f ca="1"/>
      </c>
      <c r="BW49">
        <f ca="1"/>
      </c>
      <c r="BX49">
        <f ca="1"/>
      </c>
      <c r="BY49">
        <f ca="1"/>
      </c>
      <c r="BZ49">
        <f ca="1"/>
      </c>
      <c r="CA49">
        <f ca="1"/>
      </c>
      <c r="CB49">
        <f ca="1"/>
      </c>
      <c r="CC49">
        <f ca="1"/>
      </c>
      <c r="CD49">
        <f ca="1"/>
      </c>
      <c r="CE49">
        <f ca="1"/>
      </c>
      <c r="CF49">
        <f ca="1"/>
      </c>
      <c r="CG49">
        <f ca="1"/>
      </c>
      <c r="CH49">
        <f ca="1"/>
      </c>
      <c r="CI49">
        <f ca="1"/>
      </c>
      <c r="CK49">
        <f ca="1"/>
      </c>
      <c r="CL49">
        <f ca="1"/>
      </c>
      <c r="CM49">
        <f ca="1"/>
      </c>
      <c r="CN49">
        <f ca="1"/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DQ49">
        <f ca="1"/>
      </c>
      <c r="DR49">
        <f ca="1"/>
      </c>
      <c r="DS49">
        <f ca="1"/>
      </c>
      <c r="DT49">
        <f ca="1"/>
      </c>
      <c r="DU49">
        <f ca="1"/>
      </c>
      <c r="DV49">
        <f ca="1"/>
      </c>
      <c r="DW49">
        <f ca="1"/>
      </c>
      <c r="DX49">
        <f ca="1"/>
      </c>
      <c r="DY49">
        <f ca="1"/>
      </c>
      <c r="DZ49">
        <f ca="1"/>
      </c>
      <c r="EA49">
        <f ca="1"/>
      </c>
      <c r="EB49">
        <f ca="1"/>
      </c>
      <c r="EC49">
        <f ca="1"/>
      </c>
      <c r="ED49">
        <f ca="1"/>
      </c>
      <c r="EE49">
        <f ca="1"/>
      </c>
      <c r="EG49">
        <f ca="1"/>
      </c>
      <c r="EH49">
        <f ca="1"/>
      </c>
      <c r="EI49">
        <f ca="1"/>
      </c>
      <c r="EJ49">
        <f ca="1"/>
      </c>
      <c r="EK49">
        <f ca="1"/>
      </c>
      <c r="EL49">
        <f ca="1"/>
      </c>
      <c r="EM49">
        <f ca="1"/>
      </c>
      <c r="EN49">
        <f ca="1"/>
      </c>
      <c r="EO49">
        <f ca="1"/>
      </c>
      <c r="EP49">
        <f ca="1"/>
      </c>
      <c r="EQ49">
        <f ca="1"/>
      </c>
      <c r="ER49">
        <f ca="1"/>
      </c>
      <c r="ES49">
        <f ca="1"/>
      </c>
      <c r="ET49">
        <f ca="1"/>
      </c>
      <c r="EU49">
        <f ca="1"/>
      </c>
      <c r="EV49">
        <f ca="1"/>
      </c>
      <c r="EW49">
        <f ca="1"/>
      </c>
      <c r="EX49">
        <f ca="1"/>
      </c>
      <c r="EY49">
        <f ca="1"/>
      </c>
      <c r="EZ49">
        <f ca="1"/>
      </c>
      <c r="FA49">
        <f ca="1"/>
      </c>
      <c r="FB49">
        <f ca="1"/>
      </c>
      <c r="FC49">
        <f ca="1"/>
      </c>
      <c r="FD49">
        <f ca="1"/>
      </c>
      <c r="FE49">
        <f ca="1"/>
      </c>
      <c r="FF49">
        <f ca="1"/>
      </c>
      <c r="FG49">
        <f ca="1"/>
      </c>
      <c r="FH49">
        <f ca="1"/>
      </c>
      <c r="FI49">
        <f ca="1"/>
      </c>
      <c r="FJ49">
        <f ca="1"/>
      </c>
      <c r="FK49">
        <f ca="1"/>
      </c>
      <c r="FL49">
        <f ca="1"/>
      </c>
      <c r="FM49">
        <f ca="1"/>
      </c>
      <c r="FN49">
        <f ca="1"/>
      </c>
      <c r="FO49">
        <f ca="1"/>
      </c>
      <c r="FP49">
        <f ca="1"/>
      </c>
      <c r="FQ49">
        <f ca="1"/>
      </c>
      <c r="FR49">
        <f ca="1"/>
      </c>
      <c r="FS49">
        <f ca="1"/>
      </c>
      <c r="FT49">
        <f ca="1"/>
      </c>
      <c r="FU49">
        <f ca="1"/>
      </c>
      <c r="FV49">
        <f ca="1"/>
      </c>
      <c r="FW49">
        <f ca="1"/>
      </c>
      <c r="FX49">
        <f ca="1"/>
      </c>
      <c r="FY49">
        <f ca="1"/>
      </c>
      <c r="FZ49">
        <f ca="1"/>
      </c>
      <c r="GA49">
        <f ca="1"/>
      </c>
      <c r="GM49" s="7">
        <f ca="1"/>
      </c>
      <c r="GN49">
        <f ca="1"/>
      </c>
      <c r="GO49">
        <f ca="1"/>
      </c>
      <c r="GP49">
        <f ca="1"/>
      </c>
      <c r="GQ49">
        <f ca="1"/>
      </c>
    </row>
    <row r="50" spans="1:199" x14ac:dyDescent="0.55000000000000004">
      <c r="AO50">
        <f ca="1"/>
      </c>
      <c r="AP50">
        <f ca="1"/>
      </c>
      <c r="AQ50">
        <f ca="1"/>
      </c>
      <c r="AR50">
        <f ca="1"/>
      </c>
      <c r="AS50">
        <f ca="1"/>
      </c>
      <c r="AT50">
        <f ca="1"/>
      </c>
      <c r="AU50">
        <f ca="1"/>
      </c>
      <c r="AV50">
        <f ca="1"/>
      </c>
      <c r="AW50">
        <f ca="1"/>
      </c>
      <c r="AX50">
        <f ca="1"/>
      </c>
      <c r="AY50">
        <f ca="1"/>
      </c>
      <c r="AZ50">
        <f ca="1"/>
      </c>
      <c r="BA50">
        <f ca="1"/>
      </c>
      <c r="BB50">
        <f ca="1"/>
      </c>
      <c r="BC50">
        <f ca="1"/>
      </c>
      <c r="BD50">
        <f ca="1"/>
      </c>
      <c r="BE50">
        <f ca="1"/>
      </c>
      <c r="BF50">
        <f ca="1"/>
      </c>
      <c r="BG50">
        <f ca="1"/>
      </c>
      <c r="BH50">
        <f ca="1"/>
      </c>
      <c r="BI50">
        <f ca="1"/>
      </c>
      <c r="BJ50">
        <f ca="1"/>
      </c>
      <c r="BK50">
        <f ca="1"/>
      </c>
      <c r="BL50">
        <f ca="1"/>
      </c>
      <c r="BM50">
        <f ca="1"/>
      </c>
      <c r="BN50">
        <f ca="1"/>
      </c>
      <c r="BO50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  <c r="BV50">
        <f ca="1"/>
      </c>
      <c r="BW50">
        <f ca="1"/>
      </c>
      <c r="BX50">
        <f ca="1"/>
      </c>
      <c r="BY50">
        <f ca="1"/>
      </c>
      <c r="BZ50">
        <f ca="1"/>
      </c>
      <c r="CA50">
        <f ca="1"/>
      </c>
      <c r="CB50">
        <f ca="1"/>
      </c>
      <c r="CC50">
        <f ca="1"/>
      </c>
      <c r="CD50">
        <f ca="1"/>
      </c>
      <c r="CE50">
        <f ca="1"/>
      </c>
      <c r="CF50">
        <f ca="1"/>
      </c>
      <c r="CG50">
        <f ca="1"/>
      </c>
      <c r="CH50">
        <f ca="1"/>
      </c>
      <c r="CI50">
        <f ca="1"/>
      </c>
      <c r="CK50">
        <f ca="1"/>
      </c>
      <c r="CL50">
        <f ca="1"/>
      </c>
      <c r="CM50">
        <f ca="1"/>
      </c>
      <c r="CN50">
        <f ca="1"/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DQ50">
        <f ca="1"/>
      </c>
      <c r="DR50">
        <f ca="1"/>
      </c>
      <c r="DS50">
        <f ca="1"/>
      </c>
      <c r="DT50">
        <f ca="1"/>
      </c>
      <c r="DU50">
        <f ca="1"/>
      </c>
      <c r="DV50">
        <f ca="1"/>
      </c>
      <c r="DW50">
        <f ca="1"/>
      </c>
      <c r="DX50">
        <f ca="1"/>
      </c>
      <c r="DY50">
        <f ca="1"/>
      </c>
      <c r="DZ50">
        <f ca="1"/>
      </c>
      <c r="EA50">
        <f ca="1"/>
      </c>
      <c r="EB50">
        <f ca="1"/>
      </c>
      <c r="EC50">
        <f ca="1"/>
      </c>
      <c r="ED50">
        <f ca="1"/>
      </c>
      <c r="EE50">
        <f ca="1"/>
      </c>
      <c r="EG50">
        <f ca="1"/>
      </c>
      <c r="EH50">
        <f ca="1"/>
      </c>
      <c r="EI50">
        <f ca="1"/>
      </c>
      <c r="EJ50">
        <f ca="1"/>
      </c>
      <c r="EK50">
        <f ca="1"/>
      </c>
      <c r="EL50">
        <f ca="1"/>
      </c>
      <c r="EM50">
        <f ca="1"/>
      </c>
      <c r="EN50">
        <f ca="1"/>
      </c>
      <c r="EO50">
        <f ca="1"/>
      </c>
      <c r="EP50">
        <f ca="1"/>
      </c>
      <c r="EQ50">
        <f ca="1"/>
      </c>
      <c r="ER50">
        <f ca="1"/>
      </c>
      <c r="ES50">
        <f ca="1"/>
      </c>
      <c r="ET50">
        <f ca="1"/>
      </c>
      <c r="EU50">
        <f ca="1"/>
      </c>
      <c r="EV50">
        <f ca="1"/>
      </c>
      <c r="EW50">
        <f ca="1"/>
      </c>
      <c r="EX50">
        <f ca="1"/>
      </c>
      <c r="EY50">
        <f ca="1"/>
      </c>
      <c r="EZ50">
        <f ca="1"/>
      </c>
      <c r="FA50">
        <f ca="1"/>
      </c>
      <c r="FB50">
        <f ca="1"/>
      </c>
      <c r="FC50">
        <f ca="1"/>
      </c>
      <c r="FD50">
        <f ca="1"/>
      </c>
      <c r="FE50">
        <f ca="1"/>
      </c>
      <c r="FF50">
        <f ca="1"/>
      </c>
      <c r="FG50">
        <f ca="1"/>
      </c>
      <c r="FH50">
        <f ca="1"/>
      </c>
      <c r="FI50">
        <f ca="1"/>
      </c>
      <c r="FJ50">
        <f ca="1"/>
      </c>
      <c r="FK50">
        <f ca="1"/>
      </c>
      <c r="FL50">
        <f ca="1"/>
      </c>
      <c r="FM50">
        <f ca="1"/>
      </c>
      <c r="FN50">
        <f ca="1"/>
      </c>
      <c r="FO50">
        <f ca="1"/>
      </c>
      <c r="FP50">
        <f ca="1"/>
      </c>
      <c r="FQ50">
        <f ca="1"/>
      </c>
      <c r="FR50">
        <f ca="1"/>
      </c>
      <c r="FS50">
        <f ca="1"/>
      </c>
      <c r="FT50">
        <f ca="1"/>
      </c>
      <c r="FU50">
        <f ca="1"/>
      </c>
      <c r="FV50">
        <f ca="1"/>
      </c>
      <c r="FW50">
        <f ca="1"/>
      </c>
      <c r="FX50">
        <f ca="1"/>
      </c>
      <c r="FY50">
        <f ca="1"/>
      </c>
      <c r="FZ50">
        <f ca="1"/>
      </c>
      <c r="GA50">
        <f ca="1"/>
      </c>
      <c r="GM50" s="7">
        <f ca="1"/>
      </c>
      <c r="GN50">
        <f ca="1"/>
      </c>
      <c r="GO50">
        <f ca="1"/>
      </c>
      <c r="GP50">
        <f ca="1"/>
      </c>
      <c r="GQ50">
        <f ca="1"/>
      </c>
    </row>
    <row r="51" spans="1:199" x14ac:dyDescent="0.55000000000000004">
      <c r="AO51">
        <f ca="1"/>
      </c>
      <c r="AP51">
        <f ca="1"/>
      </c>
      <c r="AQ51">
        <f ca="1"/>
      </c>
      <c r="AR51">
        <f ca="1"/>
      </c>
      <c r="AS51">
        <f ca="1"/>
      </c>
      <c r="AT51">
        <f ca="1"/>
      </c>
      <c r="AU51">
        <f ca="1"/>
      </c>
      <c r="AV51">
        <f ca="1"/>
      </c>
      <c r="AW51">
        <f ca="1"/>
      </c>
      <c r="AX51">
        <f ca="1"/>
      </c>
      <c r="AY51">
        <f ca="1"/>
      </c>
      <c r="AZ51">
        <f ca="1"/>
      </c>
      <c r="BA51">
        <f ca="1"/>
      </c>
      <c r="BB51">
        <f ca="1"/>
      </c>
      <c r="BC51">
        <f ca="1"/>
      </c>
      <c r="BD51">
        <f ca="1"/>
      </c>
      <c r="BE51">
        <f ca="1"/>
      </c>
      <c r="BF51">
        <f ca="1"/>
      </c>
      <c r="BG51">
        <f ca="1"/>
      </c>
      <c r="BH51">
        <f ca="1"/>
      </c>
      <c r="BI51">
        <f ca="1"/>
      </c>
      <c r="BJ51">
        <f ca="1"/>
      </c>
      <c r="BK51">
        <f ca="1"/>
      </c>
      <c r="BL51">
        <f ca="1"/>
      </c>
      <c r="BM51">
        <f ca="1"/>
      </c>
      <c r="BN51">
        <f ca="1"/>
      </c>
      <c r="BO5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  <c r="BV51">
        <f ca="1"/>
      </c>
      <c r="BW51">
        <f ca="1"/>
      </c>
      <c r="BX51">
        <f ca="1"/>
      </c>
      <c r="BY51">
        <f ca="1"/>
      </c>
      <c r="BZ51">
        <f ca="1"/>
      </c>
      <c r="CA51">
        <f ca="1"/>
      </c>
      <c r="CB51">
        <f ca="1"/>
      </c>
      <c r="CC51">
        <f ca="1"/>
      </c>
      <c r="CD51">
        <f ca="1"/>
      </c>
      <c r="CE51">
        <f ca="1"/>
      </c>
      <c r="CF51">
        <f ca="1"/>
      </c>
      <c r="CG51">
        <f ca="1"/>
      </c>
      <c r="CH51">
        <f ca="1"/>
      </c>
      <c r="CI51">
        <f ca="1"/>
      </c>
      <c r="CK51">
        <f ca="1"/>
      </c>
      <c r="CL51">
        <f ca="1"/>
      </c>
      <c r="CM51">
        <f ca="1"/>
      </c>
      <c r="CN51">
        <f ca="1"/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DQ51">
        <f ca="1"/>
      </c>
      <c r="DR51">
        <f ca="1"/>
      </c>
      <c r="DS51">
        <f ca="1"/>
      </c>
      <c r="DT51">
        <f ca="1"/>
      </c>
      <c r="DU51">
        <f ca="1"/>
      </c>
      <c r="DV51">
        <f ca="1"/>
      </c>
      <c r="DW51">
        <f ca="1"/>
      </c>
      <c r="DX51">
        <f ca="1"/>
      </c>
      <c r="DY51">
        <f ca="1"/>
      </c>
      <c r="DZ51">
        <f ca="1"/>
      </c>
      <c r="EA51">
        <f ca="1"/>
      </c>
      <c r="EB51">
        <f ca="1"/>
      </c>
      <c r="EC51">
        <f ca="1"/>
      </c>
      <c r="ED51">
        <f ca="1"/>
      </c>
      <c r="EE51">
        <f ca="1"/>
      </c>
      <c r="EG51">
        <f ca="1"/>
      </c>
      <c r="EH51">
        <f ca="1"/>
      </c>
      <c r="EI51">
        <f ca="1"/>
      </c>
      <c r="EJ51">
        <f ca="1"/>
      </c>
      <c r="EK51">
        <f ca="1"/>
      </c>
      <c r="EL51">
        <f ca="1"/>
      </c>
      <c r="EM51">
        <f ca="1"/>
      </c>
      <c r="EN51">
        <f ca="1"/>
      </c>
      <c r="EO51">
        <f ca="1"/>
      </c>
      <c r="EP51">
        <f ca="1"/>
      </c>
      <c r="EQ51">
        <f ca="1"/>
      </c>
      <c r="ER51">
        <f ca="1"/>
      </c>
      <c r="ES51">
        <f ca="1"/>
      </c>
      <c r="ET51">
        <f ca="1"/>
      </c>
      <c r="EU51">
        <f ca="1"/>
      </c>
      <c r="EV51">
        <f ca="1"/>
      </c>
      <c r="EW51">
        <f ca="1"/>
      </c>
      <c r="EX51">
        <f ca="1"/>
      </c>
      <c r="EY51">
        <f ca="1"/>
      </c>
      <c r="EZ51">
        <f ca="1"/>
      </c>
      <c r="FA51">
        <f ca="1"/>
      </c>
      <c r="FB51">
        <f ca="1"/>
      </c>
      <c r="FC51">
        <f ca="1"/>
      </c>
      <c r="FD51">
        <f ca="1"/>
      </c>
      <c r="FE51">
        <f ca="1"/>
      </c>
      <c r="FF51">
        <f ca="1"/>
      </c>
      <c r="FG51">
        <f ca="1"/>
      </c>
      <c r="FH51">
        <f ca="1"/>
      </c>
      <c r="FI51">
        <f ca="1"/>
      </c>
      <c r="FJ51">
        <f ca="1"/>
      </c>
      <c r="FK51">
        <f ca="1"/>
      </c>
      <c r="FL51">
        <f ca="1"/>
      </c>
      <c r="FM51">
        <f ca="1"/>
      </c>
      <c r="FN51">
        <f ca="1"/>
      </c>
      <c r="FO51">
        <f ca="1"/>
      </c>
      <c r="FP51">
        <f ca="1"/>
      </c>
      <c r="FQ51">
        <f ca="1"/>
      </c>
      <c r="FR51">
        <f ca="1"/>
      </c>
      <c r="FS51">
        <f ca="1"/>
      </c>
      <c r="FT51">
        <f ca="1"/>
      </c>
      <c r="FU51">
        <f ca="1"/>
      </c>
      <c r="FV51">
        <f ca="1"/>
      </c>
      <c r="FW51">
        <f ca="1"/>
      </c>
      <c r="FX51">
        <f ca="1"/>
      </c>
      <c r="FY51">
        <f ca="1"/>
      </c>
      <c r="FZ51">
        <f ca="1"/>
      </c>
      <c r="GA51">
        <f ca="1"/>
      </c>
      <c r="GM51" s="7">
        <f ca="1"/>
      </c>
      <c r="GN51">
        <f ca="1"/>
      </c>
      <c r="GO51">
        <f ca="1"/>
      </c>
      <c r="GP51">
        <f ca="1"/>
      </c>
      <c r="GQ51">
        <f ca="1"/>
      </c>
    </row>
    <row r="52" spans="1:199" x14ac:dyDescent="0.55000000000000004">
      <c r="AO52">
        <f ca="1"/>
      </c>
      <c r="AP52">
        <f ca="1"/>
      </c>
      <c r="AQ52">
        <f ca="1"/>
      </c>
      <c r="AR52">
        <f ca="1"/>
      </c>
      <c r="AS52">
        <f ca="1"/>
      </c>
      <c r="AT52">
        <f ca="1"/>
      </c>
      <c r="AU52">
        <f ca="1"/>
      </c>
      <c r="AV52">
        <f ca="1"/>
      </c>
      <c r="AW52">
        <f ca="1"/>
      </c>
      <c r="AX52">
        <f ca="1"/>
      </c>
      <c r="AY52">
        <f ca="1"/>
      </c>
      <c r="AZ52">
        <f ca="1"/>
      </c>
      <c r="BA52">
        <f ca="1"/>
      </c>
      <c r="BB52">
        <f ca="1"/>
      </c>
      <c r="BC52">
        <f ca="1"/>
      </c>
      <c r="BD52">
        <f ca="1"/>
      </c>
      <c r="BE52">
        <f ca="1"/>
      </c>
      <c r="BF52">
        <f ca="1"/>
      </c>
      <c r="BG52">
        <f ca="1"/>
      </c>
      <c r="BH52">
        <f ca="1"/>
      </c>
      <c r="BI52">
        <f ca="1"/>
      </c>
      <c r="BJ52">
        <f ca="1"/>
      </c>
      <c r="BK52">
        <f ca="1"/>
      </c>
      <c r="BL52">
        <f ca="1"/>
      </c>
      <c r="BM52">
        <f ca="1"/>
      </c>
      <c r="BN52">
        <f ca="1"/>
      </c>
      <c r="BO52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  <c r="BV52">
        <f ca="1"/>
      </c>
      <c r="BW52">
        <f ca="1"/>
      </c>
      <c r="BX52">
        <f ca="1"/>
      </c>
      <c r="BY52">
        <f ca="1"/>
      </c>
      <c r="BZ52">
        <f ca="1"/>
      </c>
      <c r="CA52">
        <f ca="1"/>
      </c>
      <c r="CB52">
        <f ca="1"/>
      </c>
      <c r="CC52">
        <f ca="1"/>
      </c>
      <c r="CD52">
        <f ca="1"/>
      </c>
      <c r="CE52">
        <f ca="1"/>
      </c>
      <c r="CF52">
        <f ca="1"/>
      </c>
      <c r="CG52">
        <f ca="1"/>
      </c>
      <c r="CH52">
        <f ca="1"/>
      </c>
      <c r="CI52">
        <f ca="1"/>
      </c>
      <c r="CK52">
        <f ca="1"/>
      </c>
      <c r="CL52">
        <f ca="1"/>
      </c>
      <c r="CM52">
        <f ca="1"/>
      </c>
      <c r="CN52">
        <f ca="1"/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DQ52">
        <f ca="1"/>
      </c>
      <c r="DR52">
        <f ca="1"/>
      </c>
      <c r="DS52">
        <f ca="1"/>
      </c>
      <c r="DT52">
        <f ca="1"/>
      </c>
      <c r="DU52">
        <f ca="1"/>
      </c>
      <c r="DV52">
        <f ca="1"/>
      </c>
      <c r="DW52">
        <f ca="1"/>
      </c>
      <c r="DX52">
        <f ca="1"/>
      </c>
      <c r="DY52">
        <f ca="1"/>
      </c>
      <c r="DZ52">
        <f ca="1"/>
      </c>
      <c r="EA52">
        <f ca="1"/>
      </c>
      <c r="EB52">
        <f ca="1"/>
      </c>
      <c r="EC52">
        <f ca="1"/>
      </c>
      <c r="ED52">
        <f ca="1"/>
      </c>
      <c r="EE52">
        <f ca="1"/>
      </c>
      <c r="EG52">
        <f ca="1"/>
      </c>
      <c r="EH52">
        <f ca="1"/>
      </c>
      <c r="EI52">
        <f ca="1"/>
      </c>
      <c r="EJ52">
        <f ca="1"/>
      </c>
      <c r="EK52">
        <f ca="1"/>
      </c>
      <c r="EL52">
        <f ca="1"/>
      </c>
      <c r="EM52">
        <f ca="1"/>
      </c>
      <c r="EN52">
        <f ca="1"/>
      </c>
      <c r="EO52">
        <f ca="1"/>
      </c>
      <c r="EP52">
        <f ca="1"/>
      </c>
      <c r="EQ52">
        <f ca="1"/>
      </c>
      <c r="ER52">
        <f ca="1"/>
      </c>
      <c r="ES52">
        <f ca="1"/>
      </c>
      <c r="ET52">
        <f ca="1"/>
      </c>
      <c r="EU52">
        <f ca="1"/>
      </c>
      <c r="EV52">
        <f ca="1"/>
      </c>
      <c r="EW52">
        <f ca="1"/>
      </c>
      <c r="EX52">
        <f ca="1"/>
      </c>
      <c r="EY52">
        <f ca="1"/>
      </c>
      <c r="EZ52">
        <f ca="1"/>
      </c>
      <c r="FA52">
        <f ca="1"/>
      </c>
      <c r="FB52">
        <f ca="1"/>
      </c>
      <c r="FC52">
        <f ca="1"/>
      </c>
      <c r="FD52">
        <f ca="1"/>
      </c>
      <c r="FE52">
        <f ca="1"/>
      </c>
      <c r="FF52">
        <f ca="1"/>
      </c>
      <c r="FG52">
        <f ca="1"/>
      </c>
      <c r="FH52">
        <f ca="1"/>
      </c>
      <c r="FI52">
        <f ca="1"/>
      </c>
      <c r="FJ52">
        <f ca="1"/>
      </c>
      <c r="FK52">
        <f ca="1"/>
      </c>
      <c r="FL52">
        <f ca="1"/>
      </c>
      <c r="FM52">
        <f ca="1"/>
      </c>
      <c r="FN52">
        <f ca="1"/>
      </c>
      <c r="FO52">
        <f ca="1"/>
      </c>
      <c r="FP52">
        <f ca="1"/>
      </c>
      <c r="FQ52">
        <f ca="1"/>
      </c>
      <c r="FR52">
        <f ca="1"/>
      </c>
      <c r="FS52">
        <f ca="1"/>
      </c>
      <c r="FT52">
        <f ca="1"/>
      </c>
      <c r="FU52">
        <f ca="1"/>
      </c>
      <c r="FV52">
        <f ca="1"/>
      </c>
      <c r="FW52">
        <f ca="1"/>
      </c>
      <c r="FX52">
        <f ca="1"/>
      </c>
      <c r="FY52">
        <f ca="1"/>
      </c>
      <c r="FZ52">
        <f ca="1"/>
      </c>
      <c r="GA52">
        <f ca="1"/>
      </c>
      <c r="GM52" s="7">
        <f ca="1"/>
      </c>
      <c r="GN52">
        <f ca="1"/>
      </c>
      <c r="GO52">
        <f ca="1"/>
      </c>
      <c r="GP52">
        <f ca="1"/>
      </c>
      <c r="GQ52">
        <f ca="1"/>
      </c>
    </row>
    <row r="53" spans="1:199" x14ac:dyDescent="0.55000000000000004">
      <c r="AO53">
        <f ca="1"/>
      </c>
      <c r="AP53">
        <f ca="1"/>
      </c>
      <c r="AQ53">
        <f ca="1"/>
      </c>
      <c r="AR53">
        <f ca="1"/>
      </c>
      <c r="AS53">
        <f ca="1"/>
      </c>
      <c r="AT53">
        <f ca="1"/>
      </c>
      <c r="AU53">
        <f ca="1"/>
      </c>
      <c r="AV53">
        <f ca="1"/>
      </c>
      <c r="AW53">
        <f ca="1"/>
      </c>
      <c r="AX53">
        <f ca="1"/>
      </c>
      <c r="AY53">
        <f ca="1"/>
      </c>
      <c r="AZ53">
        <f ca="1"/>
      </c>
      <c r="BA53">
        <f ca="1"/>
      </c>
      <c r="BB53">
        <f ca="1"/>
      </c>
      <c r="BC53">
        <f ca="1"/>
      </c>
      <c r="BD53">
        <f ca="1"/>
      </c>
      <c r="BE53">
        <f ca="1"/>
      </c>
      <c r="BF53">
        <f ca="1"/>
      </c>
      <c r="BG53">
        <f ca="1"/>
      </c>
      <c r="BH53">
        <f ca="1"/>
      </c>
      <c r="BI53">
        <f ca="1"/>
      </c>
      <c r="BJ53">
        <f ca="1"/>
      </c>
      <c r="BK53">
        <f ca="1"/>
      </c>
      <c r="BL53">
        <f ca="1"/>
      </c>
      <c r="BM53">
        <f ca="1"/>
      </c>
      <c r="BN53">
        <f ca="1"/>
      </c>
      <c r="BO53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  <c r="BV53">
        <f ca="1"/>
      </c>
      <c r="BW53">
        <f ca="1"/>
      </c>
      <c r="BX53">
        <f ca="1"/>
      </c>
      <c r="BY53">
        <f ca="1"/>
      </c>
      <c r="BZ53">
        <f ca="1"/>
      </c>
      <c r="CA53">
        <f ca="1"/>
      </c>
      <c r="CB53">
        <f ca="1"/>
      </c>
      <c r="CC53">
        <f ca="1"/>
      </c>
      <c r="CD53">
        <f ca="1"/>
      </c>
      <c r="CE53">
        <f ca="1"/>
      </c>
      <c r="CF53">
        <f ca="1"/>
      </c>
      <c r="CG53">
        <f ca="1"/>
      </c>
      <c r="CH53">
        <f ca="1"/>
      </c>
      <c r="CI53">
        <f ca="1"/>
      </c>
      <c r="CK53">
        <f ca="1"/>
      </c>
      <c r="CL53">
        <f ca="1"/>
      </c>
      <c r="CM53">
        <f ca="1"/>
      </c>
      <c r="CN53">
        <f ca="1"/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DQ53">
        <f ca="1"/>
      </c>
      <c r="DR53">
        <f ca="1"/>
      </c>
      <c r="DS53">
        <f ca="1"/>
      </c>
      <c r="DT53">
        <f ca="1"/>
      </c>
      <c r="DU53">
        <f ca="1"/>
      </c>
      <c r="DV53">
        <f ca="1"/>
      </c>
      <c r="DW53">
        <f ca="1"/>
      </c>
      <c r="DX53">
        <f ca="1"/>
      </c>
      <c r="DY53">
        <f ca="1"/>
      </c>
      <c r="DZ53">
        <f ca="1"/>
      </c>
      <c r="EA53">
        <f ca="1"/>
      </c>
      <c r="EB53">
        <f ca="1"/>
      </c>
      <c r="EC53">
        <f ca="1"/>
      </c>
      <c r="ED53">
        <f ca="1"/>
      </c>
      <c r="EE53">
        <f ca="1"/>
      </c>
      <c r="EG53">
        <f ca="1"/>
      </c>
      <c r="EH53">
        <f ca="1"/>
      </c>
      <c r="EI53">
        <f ca="1"/>
      </c>
      <c r="EJ53">
        <f ca="1"/>
      </c>
      <c r="EK53">
        <f ca="1"/>
      </c>
      <c r="EL53">
        <f ca="1"/>
      </c>
      <c r="EM53">
        <f ca="1"/>
      </c>
      <c r="EN53">
        <f ca="1"/>
      </c>
      <c r="EO53">
        <f ca="1"/>
      </c>
      <c r="EP53">
        <f ca="1"/>
      </c>
      <c r="EQ53">
        <f ca="1"/>
      </c>
      <c r="ER53">
        <f ca="1"/>
      </c>
      <c r="ES53">
        <f ca="1"/>
      </c>
      <c r="ET53">
        <f ca="1"/>
      </c>
      <c r="EU53">
        <f ca="1"/>
      </c>
      <c r="EV53">
        <f ca="1"/>
      </c>
      <c r="EW53">
        <f ca="1"/>
      </c>
      <c r="EX53">
        <f ca="1"/>
      </c>
      <c r="EY53">
        <f ca="1"/>
      </c>
      <c r="EZ53">
        <f ca="1"/>
      </c>
      <c r="FA53">
        <f ca="1"/>
      </c>
      <c r="FB53">
        <f ca="1"/>
      </c>
      <c r="FC53">
        <f ca="1"/>
      </c>
      <c r="FD53">
        <f ca="1"/>
      </c>
      <c r="FE53">
        <f ca="1"/>
      </c>
      <c r="FF53">
        <f ca="1"/>
      </c>
      <c r="FG53">
        <f ca="1"/>
      </c>
      <c r="FH53">
        <f ca="1"/>
      </c>
      <c r="FI53">
        <f ca="1"/>
      </c>
      <c r="FJ53">
        <f ca="1"/>
      </c>
      <c r="FK53">
        <f ca="1"/>
      </c>
      <c r="FL53">
        <f ca="1"/>
      </c>
      <c r="FM53">
        <f ca="1"/>
      </c>
      <c r="FN53">
        <f ca="1"/>
      </c>
      <c r="FO53">
        <f ca="1"/>
      </c>
      <c r="FP53">
        <f ca="1"/>
      </c>
      <c r="FQ53">
        <f ca="1"/>
      </c>
      <c r="FR53">
        <f ca="1"/>
      </c>
      <c r="FS53">
        <f ca="1"/>
      </c>
      <c r="FT53">
        <f ca="1"/>
      </c>
      <c r="FU53">
        <f ca="1"/>
      </c>
      <c r="FV53">
        <f ca="1"/>
      </c>
      <c r="FW53">
        <f ca="1"/>
      </c>
      <c r="FX53">
        <f ca="1"/>
      </c>
      <c r="FY53">
        <f ca="1"/>
      </c>
      <c r="FZ53">
        <f ca="1"/>
      </c>
      <c r="GA53">
        <f ca="1"/>
      </c>
      <c r="GM53" s="7">
        <f ca="1"/>
      </c>
      <c r="GN53">
        <f ca="1"/>
      </c>
      <c r="GO53">
        <f ca="1"/>
      </c>
      <c r="GP53">
        <f ca="1"/>
      </c>
      <c r="GQ53">
        <f ca="1"/>
      </c>
    </row>
    <row r="54" spans="1:199" x14ac:dyDescent="0.55000000000000004">
      <c r="AO54">
        <f ca="1"/>
      </c>
      <c r="AP54">
        <f ca="1"/>
      </c>
      <c r="AQ54">
        <f ca="1"/>
      </c>
      <c r="AR54">
        <f ca="1"/>
      </c>
      <c r="AS54">
        <f ca="1"/>
      </c>
      <c r="AT54">
        <f ca="1"/>
      </c>
      <c r="AU54">
        <f ca="1"/>
      </c>
      <c r="AV54">
        <f ca="1"/>
      </c>
      <c r="AW54">
        <f ca="1"/>
      </c>
      <c r="AX54">
        <f ca="1"/>
      </c>
      <c r="AY54">
        <f ca="1"/>
      </c>
      <c r="AZ54">
        <f ca="1"/>
      </c>
      <c r="BA54">
        <f ca="1"/>
      </c>
      <c r="BB54">
        <f ca="1"/>
      </c>
      <c r="BC54">
        <f ca="1"/>
      </c>
      <c r="BD54">
        <f ca="1"/>
      </c>
      <c r="BE54">
        <f ca="1"/>
      </c>
      <c r="BF54">
        <f ca="1"/>
      </c>
      <c r="BG54">
        <f ca="1"/>
      </c>
      <c r="BH54">
        <f ca="1"/>
      </c>
      <c r="BI54">
        <f ca="1"/>
      </c>
      <c r="BJ54">
        <f ca="1"/>
      </c>
      <c r="BK54">
        <f ca="1"/>
      </c>
      <c r="BL54">
        <f ca="1"/>
      </c>
      <c r="BM54">
        <f ca="1"/>
      </c>
      <c r="BN54">
        <f ca="1"/>
      </c>
      <c r="BO54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  <c r="BV54">
        <f ca="1"/>
      </c>
      <c r="BW54">
        <f ca="1"/>
      </c>
      <c r="BX54">
        <f ca="1"/>
      </c>
      <c r="BY54">
        <f ca="1"/>
      </c>
      <c r="BZ54">
        <f ca="1"/>
      </c>
      <c r="CA54">
        <f ca="1"/>
      </c>
      <c r="CB54">
        <f ca="1"/>
      </c>
      <c r="CC54">
        <f ca="1"/>
      </c>
      <c r="CD54">
        <f ca="1"/>
      </c>
      <c r="CE54">
        <f ca="1"/>
      </c>
      <c r="CF54">
        <f ca="1"/>
      </c>
      <c r="CG54">
        <f ca="1"/>
      </c>
      <c r="CH54">
        <f ca="1"/>
      </c>
      <c r="CI54">
        <f ca="1"/>
      </c>
      <c r="CK54">
        <f ca="1"/>
      </c>
      <c r="CL54">
        <f ca="1"/>
      </c>
      <c r="CM54">
        <f ca="1"/>
      </c>
      <c r="CN54">
        <f ca="1"/>
      </c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DQ54">
        <f ca="1"/>
      </c>
      <c r="DR54">
        <f ca="1"/>
      </c>
      <c r="DS54">
        <f ca="1"/>
      </c>
      <c r="DT54">
        <f ca="1"/>
      </c>
      <c r="DU54">
        <f ca="1"/>
      </c>
      <c r="DV54">
        <f ca="1"/>
      </c>
      <c r="DW54">
        <f ca="1"/>
      </c>
      <c r="DX54">
        <f ca="1"/>
      </c>
      <c r="DY54">
        <f ca="1"/>
      </c>
      <c r="DZ54">
        <f ca="1"/>
      </c>
      <c r="EA54">
        <f ca="1"/>
      </c>
      <c r="EB54">
        <f ca="1"/>
      </c>
      <c r="EC54">
        <f ca="1"/>
      </c>
      <c r="ED54">
        <f ca="1"/>
      </c>
      <c r="EE54">
        <f ca="1"/>
      </c>
      <c r="EG54">
        <f ca="1"/>
      </c>
      <c r="EH54">
        <f ca="1"/>
      </c>
      <c r="EI54">
        <f ca="1"/>
      </c>
      <c r="EJ54">
        <f ca="1"/>
      </c>
      <c r="EK54">
        <f ca="1"/>
      </c>
      <c r="EL54">
        <f ca="1"/>
      </c>
      <c r="EM54">
        <f ca="1"/>
      </c>
      <c r="EN54">
        <f ca="1"/>
      </c>
      <c r="EO54">
        <f ca="1"/>
      </c>
      <c r="EP54">
        <f ca="1"/>
      </c>
      <c r="EQ54">
        <f ca="1"/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FS54">
        <f ca="1"/>
      </c>
      <c r="FT54">
        <f ca="1"/>
      </c>
      <c r="FU54">
        <f ca="1"/>
      </c>
      <c r="FV54">
        <f ca="1"/>
      </c>
      <c r="FW54">
        <f ca="1"/>
      </c>
      <c r="FX54">
        <f ca="1"/>
      </c>
      <c r="FY54">
        <f ca="1"/>
      </c>
      <c r="FZ54">
        <f ca="1"/>
      </c>
      <c r="GA54">
        <f ca="1"/>
      </c>
      <c r="GM54" s="7">
        <f ca="1"/>
      </c>
      <c r="GN54">
        <f ca="1"/>
      </c>
      <c r="GO54">
        <f ca="1"/>
      </c>
      <c r="GP54">
        <f ca="1"/>
      </c>
      <c r="GQ54">
        <f ca="1"/>
      </c>
    </row>
    <row r="55" spans="1:199" x14ac:dyDescent="0.55000000000000004">
      <c r="AO55">
        <f ca="1"/>
      </c>
      <c r="AP55">
        <f ca="1"/>
      </c>
      <c r="AQ55">
        <f ca="1"/>
      </c>
      <c r="AR55">
        <f ca="1"/>
      </c>
      <c r="AS55">
        <f ca="1"/>
      </c>
      <c r="AT55">
        <f ca="1"/>
      </c>
      <c r="AU55">
        <f ca="1"/>
      </c>
      <c r="AV55">
        <f ca="1"/>
      </c>
      <c r="AW55">
        <f ca="1"/>
      </c>
      <c r="AX55">
        <f ca="1"/>
      </c>
      <c r="AY55">
        <f ca="1"/>
      </c>
      <c r="AZ55">
        <f ca="1"/>
      </c>
      <c r="BA55">
        <f ca="1"/>
      </c>
      <c r="BB55">
        <f ca="1"/>
      </c>
      <c r="BC55">
        <f ca="1"/>
      </c>
      <c r="BD55">
        <f ca="1"/>
      </c>
      <c r="BE55">
        <f ca="1"/>
      </c>
      <c r="BF55">
        <f ca="1"/>
      </c>
      <c r="BG55">
        <f ca="1"/>
      </c>
      <c r="BH55">
        <f ca="1"/>
      </c>
      <c r="BI55">
        <f ca="1"/>
      </c>
      <c r="BJ55">
        <f ca="1"/>
      </c>
      <c r="BK55">
        <f ca="1"/>
      </c>
      <c r="BL55">
        <f ca="1"/>
      </c>
      <c r="BM55">
        <f ca="1"/>
      </c>
      <c r="BN55">
        <f ca="1"/>
      </c>
      <c r="BO55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  <c r="BV55">
        <f ca="1"/>
      </c>
      <c r="BW55">
        <f ca="1"/>
      </c>
      <c r="BX55">
        <f ca="1"/>
      </c>
      <c r="BY55">
        <f ca="1"/>
      </c>
      <c r="BZ55">
        <f ca="1"/>
      </c>
      <c r="CA55">
        <f ca="1"/>
      </c>
      <c r="CB55">
        <f ca="1"/>
      </c>
      <c r="CC55">
        <f ca="1"/>
      </c>
      <c r="CD55">
        <f ca="1"/>
      </c>
      <c r="CE55">
        <f ca="1"/>
      </c>
      <c r="CF55">
        <f ca="1"/>
      </c>
      <c r="CG55">
        <f ca="1"/>
      </c>
      <c r="CH55">
        <f ca="1"/>
      </c>
      <c r="CI55">
        <f ca="1"/>
      </c>
      <c r="CK55">
        <f ca="1"/>
      </c>
      <c r="CL55">
        <f ca="1"/>
      </c>
      <c r="CM55">
        <f ca="1"/>
      </c>
      <c r="CN55">
        <f ca="1"/>
      </c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DQ55">
        <f ca="1"/>
      </c>
      <c r="DR55">
        <f ca="1"/>
      </c>
      <c r="DS55">
        <f ca="1"/>
      </c>
      <c r="DT55">
        <f ca="1"/>
      </c>
      <c r="DU55">
        <f ca="1"/>
      </c>
      <c r="DV55">
        <f ca="1"/>
      </c>
      <c r="DW55">
        <f ca="1"/>
      </c>
      <c r="DX55">
        <f ca="1"/>
      </c>
      <c r="DY55">
        <f ca="1"/>
      </c>
      <c r="DZ55">
        <f ca="1"/>
      </c>
      <c r="EA55">
        <f ca="1"/>
      </c>
      <c r="EB55">
        <f ca="1"/>
      </c>
      <c r="EC55">
        <f ca="1"/>
      </c>
      <c r="ED55">
        <f ca="1"/>
      </c>
      <c r="EE55">
        <f ca="1"/>
      </c>
      <c r="EG55">
        <f ca="1"/>
      </c>
      <c r="EH55">
        <f ca="1"/>
      </c>
      <c r="EI55">
        <f ca="1"/>
      </c>
      <c r="EJ55">
        <f ca="1"/>
      </c>
      <c r="EK55">
        <f ca="1"/>
      </c>
      <c r="EL55">
        <f ca="1"/>
      </c>
      <c r="EM55">
        <f ca="1"/>
      </c>
      <c r="EN55">
        <f ca="1"/>
      </c>
      <c r="EO55">
        <f ca="1"/>
      </c>
      <c r="E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FS55">
        <f ca="1"/>
      </c>
      <c r="FT55">
        <f ca="1"/>
      </c>
      <c r="FU55">
        <f ca="1"/>
      </c>
      <c r="FV55">
        <f ca="1"/>
      </c>
      <c r="FW55">
        <f ca="1"/>
      </c>
      <c r="FX55">
        <f ca="1"/>
      </c>
      <c r="FY55">
        <f ca="1"/>
      </c>
      <c r="FZ55">
        <f ca="1"/>
      </c>
      <c r="GA55">
        <f ca="1"/>
      </c>
      <c r="GM55" s="7">
        <f ca="1"/>
      </c>
      <c r="GN55">
        <f ca="1"/>
      </c>
      <c r="GO55">
        <f ca="1"/>
      </c>
      <c r="GP55">
        <f ca="1"/>
      </c>
      <c r="GQ55">
        <f ca="1"/>
      </c>
    </row>
    <row r="56" spans="1:199" x14ac:dyDescent="0.55000000000000004">
      <c r="AO56">
        <f ca="1"/>
      </c>
      <c r="AP56">
        <f ca="1"/>
      </c>
      <c r="AQ56">
        <f ca="1"/>
      </c>
      <c r="AR56">
        <f ca="1"/>
      </c>
      <c r="AS56">
        <f ca="1"/>
      </c>
      <c r="AT56">
        <f ca="1"/>
      </c>
      <c r="AU56">
        <f ca="1"/>
      </c>
      <c r="AV56">
        <f ca="1"/>
      </c>
      <c r="AW56">
        <f ca="1"/>
      </c>
      <c r="AX56">
        <f ca="1"/>
      </c>
      <c r="AY56">
        <f ca="1"/>
      </c>
      <c r="AZ56">
        <f ca="1"/>
      </c>
      <c r="BA56">
        <f ca="1"/>
      </c>
      <c r="BB56">
        <f ca="1"/>
      </c>
      <c r="BC56">
        <f ca="1"/>
      </c>
      <c r="BD56">
        <f ca="1"/>
      </c>
      <c r="BE56">
        <f ca="1"/>
      </c>
      <c r="BF56">
        <f ca="1"/>
      </c>
      <c r="BG56">
        <f ca="1"/>
      </c>
      <c r="BH56">
        <f ca="1"/>
      </c>
      <c r="BI56">
        <f ca="1"/>
      </c>
      <c r="BJ56">
        <f ca="1"/>
      </c>
      <c r="BK56">
        <f ca="1"/>
      </c>
      <c r="BL56">
        <f ca="1"/>
      </c>
      <c r="BM56">
        <f ca="1"/>
      </c>
      <c r="BN56">
        <f ca="1"/>
      </c>
      <c r="BO56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  <c r="BV56">
        <f ca="1"/>
      </c>
      <c r="BW56">
        <f ca="1"/>
      </c>
      <c r="BX56">
        <f ca="1"/>
      </c>
      <c r="BY56">
        <f ca="1"/>
      </c>
      <c r="BZ56">
        <f ca="1"/>
      </c>
      <c r="CA56">
        <f ca="1"/>
      </c>
      <c r="CB56">
        <f ca="1"/>
      </c>
      <c r="CC56">
        <f ca="1"/>
      </c>
      <c r="CD56">
        <f ca="1"/>
      </c>
      <c r="CE56">
        <f ca="1"/>
      </c>
      <c r="CF56">
        <f ca="1"/>
      </c>
      <c r="CG56">
        <f ca="1"/>
      </c>
      <c r="CH56">
        <f ca="1"/>
      </c>
      <c r="CI56">
        <f ca="1"/>
      </c>
      <c r="CK56">
        <f ca="1"/>
      </c>
      <c r="CL56">
        <f ca="1"/>
      </c>
      <c r="CM56">
        <f ca="1"/>
      </c>
      <c r="CN56">
        <f ca="1"/>
      </c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DQ56">
        <f ca="1"/>
      </c>
      <c r="DR56">
        <f ca="1"/>
      </c>
      <c r="DS56">
        <f ca="1"/>
      </c>
      <c r="DT56">
        <f ca="1"/>
      </c>
      <c r="DU56">
        <f ca="1"/>
      </c>
      <c r="DV56">
        <f ca="1"/>
      </c>
      <c r="DW56">
        <f ca="1"/>
      </c>
      <c r="DX56">
        <f ca="1"/>
      </c>
      <c r="DY56">
        <f ca="1"/>
      </c>
      <c r="DZ56">
        <f ca="1"/>
      </c>
      <c r="EA56">
        <f ca="1"/>
      </c>
      <c r="EB56">
        <f ca="1"/>
      </c>
      <c r="EC56">
        <f ca="1"/>
      </c>
      <c r="ED56">
        <f ca="1"/>
      </c>
      <c r="EE56">
        <f ca="1"/>
      </c>
      <c r="EG56">
        <f ca="1"/>
      </c>
      <c r="EH56">
        <f ca="1"/>
      </c>
      <c r="EI56">
        <f ca="1"/>
      </c>
      <c r="EJ56">
        <f ca="1"/>
      </c>
      <c r="EK56">
        <f ca="1"/>
      </c>
      <c r="EL56">
        <f ca="1"/>
      </c>
      <c r="EM56">
        <f ca="1"/>
      </c>
      <c r="EN56">
        <f ca="1"/>
      </c>
      <c r="EO56">
        <f ca="1"/>
      </c>
      <c r="E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FS56">
        <f ca="1"/>
      </c>
      <c r="FT56">
        <f ca="1"/>
      </c>
      <c r="FU56">
        <f ca="1"/>
      </c>
      <c r="FV56">
        <f ca="1"/>
      </c>
      <c r="FW56">
        <f ca="1"/>
      </c>
      <c r="FX56">
        <f ca="1"/>
      </c>
      <c r="FY56">
        <f ca="1"/>
      </c>
      <c r="FZ56">
        <f ca="1"/>
      </c>
      <c r="GA56">
        <f ca="1"/>
      </c>
      <c r="GM56" s="7">
        <f ca="1"/>
      </c>
      <c r="GN56">
        <f ca="1"/>
      </c>
      <c r="GO56">
        <f ca="1"/>
      </c>
      <c r="GP56">
        <f ca="1"/>
      </c>
      <c r="GQ56">
        <f ca="1"/>
      </c>
    </row>
    <row r="57" spans="1:199" x14ac:dyDescent="0.55000000000000004">
      <c r="AO57">
        <f ca="1"/>
      </c>
      <c r="AP57">
        <f ca="1"/>
      </c>
      <c r="AQ57">
        <f ca="1"/>
      </c>
      <c r="AR57">
        <f ca="1"/>
      </c>
      <c r="AS57">
        <f ca="1"/>
      </c>
      <c r="AT57">
        <f ca="1"/>
      </c>
      <c r="AU57">
        <f ca="1"/>
      </c>
      <c r="AV57">
        <f ca="1"/>
      </c>
      <c r="AW57">
        <f ca="1"/>
      </c>
      <c r="AX57">
        <f ca="1"/>
      </c>
      <c r="AY57">
        <f ca="1"/>
      </c>
      <c r="AZ57">
        <f ca="1"/>
      </c>
      <c r="BA57">
        <f ca="1"/>
      </c>
      <c r="BB57">
        <f ca="1"/>
      </c>
      <c r="BC57">
        <f ca="1"/>
      </c>
      <c r="BD57">
        <f ca="1"/>
      </c>
      <c r="BE57">
        <f ca="1"/>
      </c>
      <c r="BF57">
        <f ca="1"/>
      </c>
      <c r="BG57">
        <f ca="1"/>
      </c>
      <c r="BH57">
        <f ca="1"/>
      </c>
      <c r="BI57">
        <f ca="1"/>
      </c>
      <c r="BJ57">
        <f ca="1"/>
      </c>
      <c r="BK57">
        <f ca="1"/>
      </c>
      <c r="BL57">
        <f ca="1"/>
      </c>
      <c r="BM57">
        <f ca="1"/>
      </c>
      <c r="BN57">
        <f ca="1"/>
      </c>
      <c r="BO57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  <c r="BV57">
        <f ca="1"/>
      </c>
      <c r="BW57">
        <f ca="1"/>
      </c>
      <c r="BX57">
        <f ca="1"/>
      </c>
      <c r="BY57">
        <f ca="1"/>
      </c>
      <c r="BZ57">
        <f ca="1"/>
      </c>
      <c r="CA57">
        <f ca="1"/>
      </c>
      <c r="CB57">
        <f ca="1"/>
      </c>
      <c r="CC57">
        <f ca="1"/>
      </c>
      <c r="CD57">
        <f ca="1"/>
      </c>
      <c r="CE57">
        <f ca="1"/>
      </c>
      <c r="CF57">
        <f ca="1"/>
      </c>
      <c r="CG57">
        <f ca="1"/>
      </c>
      <c r="CH57">
        <f ca="1"/>
      </c>
      <c r="CI57">
        <f ca="1"/>
      </c>
      <c r="CK57">
        <f ca="1"/>
      </c>
      <c r="CL57">
        <f ca="1"/>
      </c>
      <c r="CM57">
        <f ca="1"/>
      </c>
      <c r="CN57">
        <f ca="1"/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DQ57">
        <f ca="1"/>
      </c>
      <c r="DR57">
        <f ca="1"/>
      </c>
      <c r="DS57">
        <f ca="1"/>
      </c>
      <c r="DT57">
        <f ca="1"/>
      </c>
      <c r="DU57">
        <f ca="1"/>
      </c>
      <c r="DV57">
        <f ca="1"/>
      </c>
      <c r="DW57">
        <f ca="1"/>
      </c>
      <c r="DX57">
        <f ca="1"/>
      </c>
      <c r="DY57">
        <f ca="1"/>
      </c>
      <c r="DZ57">
        <f ca="1"/>
      </c>
      <c r="EA57">
        <f ca="1"/>
      </c>
      <c r="EB57">
        <f ca="1"/>
      </c>
      <c r="EC57">
        <f ca="1"/>
      </c>
      <c r="ED57">
        <f ca="1"/>
      </c>
      <c r="EE57">
        <f ca="1"/>
      </c>
      <c r="EG57">
        <f ca="1"/>
      </c>
      <c r="EH57">
        <f ca="1"/>
      </c>
      <c r="EI57">
        <f ca="1"/>
      </c>
      <c r="EJ57">
        <f ca="1"/>
      </c>
      <c r="EK57">
        <f ca="1"/>
      </c>
      <c r="EL57">
        <f ca="1"/>
      </c>
      <c r="EM57">
        <f ca="1"/>
      </c>
      <c r="EN57">
        <f ca="1"/>
      </c>
      <c r="EO57">
        <f ca="1"/>
      </c>
      <c r="E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FS57">
        <f ca="1"/>
      </c>
      <c r="FT57">
        <f ca="1"/>
      </c>
      <c r="FU57">
        <f ca="1"/>
      </c>
      <c r="FV57">
        <f ca="1"/>
      </c>
      <c r="FW57">
        <f ca="1"/>
      </c>
      <c r="FX57">
        <f ca="1"/>
      </c>
      <c r="FY57">
        <f ca="1"/>
      </c>
      <c r="FZ57">
        <f ca="1"/>
      </c>
      <c r="GA57">
        <f ca="1"/>
      </c>
      <c r="GM57" s="7">
        <f ca="1"/>
      </c>
      <c r="GN57">
        <f ca="1"/>
      </c>
      <c r="GO57">
        <f ca="1"/>
      </c>
      <c r="GP57">
        <f ca="1"/>
      </c>
      <c r="GQ57">
        <f ca="1"/>
      </c>
    </row>
    <row r="58" spans="1:199" x14ac:dyDescent="0.55000000000000004">
      <c r="AO58">
        <f ca="1"/>
      </c>
      <c r="AP58">
        <f ca="1"/>
      </c>
      <c r="AQ58">
        <f ca="1"/>
      </c>
      <c r="AR58">
        <f ca="1"/>
      </c>
      <c r="AS58">
        <f ca="1"/>
      </c>
      <c r="AT58">
        <f ca="1"/>
      </c>
      <c r="AU58">
        <f ca="1"/>
      </c>
      <c r="AV58">
        <f ca="1"/>
      </c>
      <c r="AW58">
        <f ca="1"/>
      </c>
      <c r="AX58">
        <f ca="1"/>
      </c>
      <c r="AY58">
        <f ca="1"/>
      </c>
      <c r="AZ58">
        <f ca="1"/>
      </c>
      <c r="BA58">
        <f ca="1"/>
      </c>
      <c r="BB58">
        <f ca="1"/>
      </c>
      <c r="BC58">
        <f ca="1"/>
      </c>
      <c r="BD58">
        <f ca="1"/>
      </c>
      <c r="BE58">
        <f ca="1"/>
      </c>
      <c r="BF58">
        <f ca="1"/>
      </c>
      <c r="BG58">
        <f ca="1"/>
      </c>
      <c r="BH58">
        <f ca="1"/>
      </c>
      <c r="BI58">
        <f ca="1"/>
      </c>
      <c r="BJ58">
        <f ca="1"/>
      </c>
      <c r="BK58">
        <f ca="1"/>
      </c>
      <c r="BL58">
        <f ca="1"/>
      </c>
      <c r="BM58">
        <f ca="1"/>
      </c>
      <c r="BN58">
        <f ca="1"/>
      </c>
      <c r="BO58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  <c r="BV58">
        <f ca="1"/>
      </c>
      <c r="BW58">
        <f ca="1"/>
      </c>
      <c r="BX58">
        <f ca="1"/>
      </c>
      <c r="BY58">
        <f ca="1"/>
      </c>
      <c r="BZ58">
        <f ca="1"/>
      </c>
      <c r="CA58">
        <f ca="1"/>
      </c>
      <c r="CB58">
        <f ca="1"/>
      </c>
      <c r="CC58">
        <f ca="1"/>
      </c>
      <c r="CD58">
        <f ca="1"/>
      </c>
      <c r="CE58">
        <f ca="1"/>
      </c>
      <c r="CF58">
        <f ca="1"/>
      </c>
      <c r="CG58">
        <f ca="1"/>
      </c>
      <c r="CH58">
        <f ca="1"/>
      </c>
      <c r="CI58">
        <f ca="1"/>
      </c>
      <c r="CK58">
        <f ca="1"/>
      </c>
      <c r="CL58">
        <f ca="1"/>
      </c>
      <c r="CM58">
        <f ca="1"/>
      </c>
      <c r="CN58">
        <f ca="1"/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DQ58">
        <f ca="1"/>
      </c>
      <c r="DR58">
        <f ca="1"/>
      </c>
      <c r="DS58">
        <f ca="1"/>
      </c>
      <c r="DT58">
        <f ca="1"/>
      </c>
      <c r="DU58">
        <f ca="1"/>
      </c>
      <c r="DV58">
        <f ca="1"/>
      </c>
      <c r="DW58">
        <f ca="1"/>
      </c>
      <c r="DX58">
        <f ca="1"/>
      </c>
      <c r="DY58">
        <f ca="1"/>
      </c>
      <c r="DZ58">
        <f ca="1"/>
      </c>
      <c r="EA58">
        <f ca="1"/>
      </c>
      <c r="EB58">
        <f ca="1"/>
      </c>
      <c r="EC58">
        <f ca="1"/>
      </c>
      <c r="ED58">
        <f ca="1"/>
      </c>
      <c r="EE58">
        <f ca="1"/>
      </c>
      <c r="EG58">
        <f ca="1"/>
      </c>
      <c r="EH58">
        <f ca="1"/>
      </c>
      <c r="EI58">
        <f ca="1"/>
      </c>
      <c r="EJ58">
        <f ca="1"/>
      </c>
      <c r="EK58">
        <f ca="1"/>
      </c>
      <c r="EL58">
        <f ca="1"/>
      </c>
      <c r="EM58">
        <f ca="1"/>
      </c>
      <c r="EN58">
        <f ca="1"/>
      </c>
      <c r="EO58">
        <f ca="1"/>
      </c>
      <c r="E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FS58">
        <f ca="1"/>
      </c>
      <c r="FT58">
        <f ca="1"/>
      </c>
      <c r="FU58">
        <f ca="1"/>
      </c>
      <c r="FV58">
        <f ca="1"/>
      </c>
      <c r="FW58">
        <f ca="1"/>
      </c>
      <c r="FX58">
        <f ca="1"/>
      </c>
      <c r="FY58">
        <f ca="1"/>
      </c>
      <c r="FZ58">
        <f ca="1"/>
      </c>
      <c r="GA58">
        <f ca="1"/>
      </c>
      <c r="GM58" s="7">
        <f ca="1"/>
      </c>
      <c r="GN58">
        <f ca="1"/>
      </c>
      <c r="GO58">
        <f ca="1"/>
      </c>
      <c r="GP58">
        <f ca="1"/>
      </c>
      <c r="GQ58">
        <f ca="1"/>
      </c>
    </row>
    <row r="59" spans="1:199" x14ac:dyDescent="0.55000000000000004">
      <c r="AO59">
        <f ca="1"/>
      </c>
      <c r="AP59">
        <f ca="1"/>
      </c>
      <c r="AQ59">
        <f ca="1"/>
      </c>
      <c r="AR59">
        <f ca="1"/>
      </c>
      <c r="AS59">
        <f ca="1"/>
      </c>
      <c r="AT59">
        <f ca="1"/>
      </c>
      <c r="AU59">
        <f ca="1"/>
      </c>
      <c r="AV59">
        <f ca="1"/>
      </c>
      <c r="AW59">
        <f ca="1"/>
      </c>
      <c r="AX59">
        <f ca="1"/>
      </c>
      <c r="AY59">
        <f ca="1"/>
      </c>
      <c r="AZ59">
        <f ca="1"/>
      </c>
      <c r="BA59">
        <f ca="1"/>
      </c>
      <c r="BB59">
        <f ca="1"/>
      </c>
      <c r="BC59">
        <f ca="1"/>
      </c>
      <c r="BD59">
        <f ca="1"/>
      </c>
      <c r="BE59">
        <f ca="1"/>
      </c>
      <c r="BF59">
        <f ca="1"/>
      </c>
      <c r="BG59">
        <f ca="1"/>
      </c>
      <c r="BH59">
        <f ca="1"/>
      </c>
      <c r="BI59">
        <f ca="1"/>
      </c>
      <c r="BJ59">
        <f ca="1"/>
      </c>
      <c r="BK59">
        <f ca="1"/>
      </c>
      <c r="BL59">
        <f ca="1"/>
      </c>
      <c r="BM59">
        <f ca="1"/>
      </c>
      <c r="BN59">
        <f ca="1"/>
      </c>
      <c r="BO59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  <c r="BV59">
        <f ca="1"/>
      </c>
      <c r="BW59">
        <f ca="1"/>
      </c>
      <c r="BX59">
        <f ca="1"/>
      </c>
      <c r="BY59">
        <f ca="1"/>
      </c>
      <c r="BZ59">
        <f ca="1"/>
      </c>
      <c r="CA59">
        <f ca="1"/>
      </c>
      <c r="CB59">
        <f ca="1"/>
      </c>
      <c r="CC59">
        <f ca="1"/>
      </c>
      <c r="CD59">
        <f ca="1"/>
      </c>
      <c r="CE59">
        <f ca="1"/>
      </c>
      <c r="CF59">
        <f ca="1"/>
      </c>
      <c r="CG59">
        <f ca="1"/>
      </c>
      <c r="CH59">
        <f ca="1"/>
      </c>
      <c r="CI59">
        <f ca="1"/>
      </c>
      <c r="CK59">
        <f ca="1"/>
      </c>
      <c r="CL59">
        <f ca="1"/>
      </c>
      <c r="CM59">
        <f ca="1"/>
      </c>
      <c r="CN59">
        <f ca="1"/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DQ59">
        <f ca="1"/>
      </c>
      <c r="DR59">
        <f ca="1"/>
      </c>
      <c r="DS59">
        <f ca="1"/>
      </c>
      <c r="DT59">
        <f ca="1"/>
      </c>
      <c r="DU59">
        <f ca="1"/>
      </c>
      <c r="DV59">
        <f ca="1"/>
      </c>
      <c r="DW59">
        <f ca="1"/>
      </c>
      <c r="DX59">
        <f ca="1"/>
      </c>
      <c r="DY59">
        <f ca="1"/>
      </c>
      <c r="DZ59">
        <f ca="1"/>
      </c>
      <c r="EA59">
        <f ca="1"/>
      </c>
      <c r="EB59">
        <f ca="1"/>
      </c>
      <c r="EC59">
        <f ca="1"/>
      </c>
      <c r="ED59">
        <f ca="1"/>
      </c>
      <c r="EE59">
        <f ca="1"/>
      </c>
      <c r="EG59">
        <f ca="1"/>
      </c>
      <c r="EH59">
        <f ca="1"/>
      </c>
      <c r="EI59">
        <f ca="1"/>
      </c>
      <c r="EJ59">
        <f ca="1"/>
      </c>
      <c r="EK59">
        <f ca="1"/>
      </c>
      <c r="EL59">
        <f ca="1"/>
      </c>
      <c r="EM59">
        <f ca="1"/>
      </c>
      <c r="EN59">
        <f ca="1"/>
      </c>
      <c r="EO59">
        <f ca="1"/>
      </c>
      <c r="E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FS59">
        <f ca="1"/>
      </c>
      <c r="FT59">
        <f ca="1"/>
      </c>
      <c r="FU59">
        <f ca="1"/>
      </c>
      <c r="FV59">
        <f ca="1"/>
      </c>
      <c r="FW59">
        <f ca="1"/>
      </c>
      <c r="FX59">
        <f ca="1"/>
      </c>
      <c r="FY59">
        <f ca="1"/>
      </c>
      <c r="FZ59">
        <f ca="1"/>
      </c>
      <c r="GA59">
        <f ca="1"/>
      </c>
      <c r="GM59" s="7">
        <f ca="1"/>
      </c>
      <c r="GN59">
        <f ca="1"/>
      </c>
      <c r="GO59">
        <f ca="1"/>
      </c>
      <c r="GP59">
        <f ca="1"/>
      </c>
      <c r="GQ59">
        <f ca="1"/>
      </c>
    </row>
    <row r="60" spans="1:199" x14ac:dyDescent="0.55000000000000004">
      <c r="AO60">
        <f ca="1"/>
      </c>
      <c r="AP60">
        <f ca="1"/>
      </c>
      <c r="AQ60">
        <f ca="1"/>
      </c>
      <c r="AR60">
        <f ca="1"/>
      </c>
      <c r="AS60">
        <f ca="1"/>
      </c>
      <c r="AT60">
        <f ca="1"/>
      </c>
      <c r="AU60">
        <f ca="1"/>
      </c>
      <c r="AV60">
        <f ca="1"/>
      </c>
      <c r="AW60">
        <f ca="1"/>
      </c>
      <c r="AX60">
        <f ca="1"/>
      </c>
      <c r="AY60">
        <f ca="1"/>
      </c>
      <c r="AZ60">
        <f ca="1"/>
      </c>
      <c r="BA60">
        <f ca="1"/>
      </c>
      <c r="BB60">
        <f ca="1"/>
      </c>
      <c r="BC60">
        <f ca="1"/>
      </c>
      <c r="BD60">
        <f ca="1"/>
      </c>
      <c r="BE60">
        <f ca="1"/>
      </c>
      <c r="BF60">
        <f ca="1"/>
      </c>
      <c r="BG60">
        <f ca="1"/>
      </c>
      <c r="BH60">
        <f ca="1"/>
      </c>
      <c r="BI60">
        <f ca="1"/>
      </c>
      <c r="BJ60">
        <f ca="1"/>
      </c>
      <c r="BK60">
        <f ca="1"/>
      </c>
      <c r="BL60">
        <f ca="1"/>
      </c>
      <c r="BM60">
        <f ca="1"/>
      </c>
      <c r="BN60">
        <f ca="1"/>
      </c>
      <c r="BO60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  <c r="BV60">
        <f ca="1"/>
      </c>
      <c r="BW60">
        <f ca="1"/>
      </c>
      <c r="BX60">
        <f ca="1"/>
      </c>
      <c r="BY60">
        <f ca="1"/>
      </c>
      <c r="BZ60">
        <f ca="1"/>
      </c>
      <c r="CA60">
        <f ca="1"/>
      </c>
      <c r="CB60">
        <f ca="1"/>
      </c>
      <c r="CC60">
        <f ca="1"/>
      </c>
      <c r="CD60">
        <f ca="1"/>
      </c>
      <c r="CE60">
        <f ca="1"/>
      </c>
      <c r="CF60">
        <f ca="1"/>
      </c>
      <c r="CG60">
        <f ca="1"/>
      </c>
      <c r="CH60">
        <f ca="1"/>
      </c>
      <c r="CI60">
        <f ca="1"/>
      </c>
      <c r="CK60">
        <f ca="1"/>
      </c>
      <c r="CL60">
        <f ca="1"/>
      </c>
      <c r="CM60">
        <f ca="1"/>
      </c>
      <c r="CN60">
        <f ca="1"/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DQ60">
        <f ca="1"/>
      </c>
      <c r="DR60">
        <f ca="1"/>
      </c>
      <c r="DS60">
        <f ca="1"/>
      </c>
      <c r="DT60">
        <f ca="1"/>
      </c>
      <c r="DU60">
        <f ca="1"/>
      </c>
      <c r="DV60">
        <f ca="1"/>
      </c>
      <c r="DW60">
        <f ca="1"/>
      </c>
      <c r="DX60">
        <f ca="1"/>
      </c>
      <c r="DY60">
        <f ca="1"/>
      </c>
      <c r="DZ60">
        <f ca="1"/>
      </c>
      <c r="EA60">
        <f ca="1"/>
      </c>
      <c r="EB60">
        <f ca="1"/>
      </c>
      <c r="EC60">
        <f ca="1"/>
      </c>
      <c r="ED60">
        <f ca="1"/>
      </c>
      <c r="EE60">
        <f ca="1"/>
      </c>
      <c r="EG60">
        <f ca="1"/>
      </c>
      <c r="EH60">
        <f ca="1"/>
      </c>
      <c r="EI60">
        <f ca="1"/>
      </c>
      <c r="EJ60">
        <f ca="1"/>
      </c>
      <c r="EK60">
        <f ca="1"/>
      </c>
      <c r="EL60">
        <f ca="1"/>
      </c>
      <c r="EM60">
        <f ca="1"/>
      </c>
      <c r="EN60">
        <f ca="1"/>
      </c>
      <c r="EO60">
        <f ca="1"/>
      </c>
      <c r="E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FS60">
        <f ca="1"/>
      </c>
      <c r="FT60">
        <f ca="1"/>
      </c>
      <c r="FU60">
        <f ca="1"/>
      </c>
      <c r="FV60">
        <f ca="1"/>
      </c>
      <c r="FW60">
        <f ca="1"/>
      </c>
      <c r="FX60">
        <f ca="1"/>
      </c>
      <c r="FY60">
        <f ca="1"/>
      </c>
      <c r="FZ60">
        <f ca="1"/>
      </c>
      <c r="GA60">
        <f ca="1"/>
      </c>
      <c r="GM60" s="7">
        <f ca="1"/>
      </c>
      <c r="GN60">
        <f ca="1"/>
      </c>
      <c r="GO60">
        <f ca="1"/>
      </c>
      <c r="GP60">
        <f ca="1"/>
      </c>
      <c r="GQ60">
        <f ca="1"/>
      </c>
    </row>
    <row r="61" spans="1:199" x14ac:dyDescent="0.55000000000000004">
      <c r="AO61">
        <f ca="1"/>
      </c>
      <c r="AP61">
        <f ca="1"/>
      </c>
      <c r="AQ61">
        <f ca="1"/>
      </c>
      <c r="AR61">
        <f ca="1"/>
      </c>
      <c r="AS61">
        <f ca="1"/>
      </c>
      <c r="AT61">
        <f ca="1"/>
      </c>
      <c r="AU61">
        <f ca="1"/>
      </c>
      <c r="AV61">
        <f ca="1"/>
      </c>
      <c r="AW61">
        <f ca="1"/>
      </c>
      <c r="AX61">
        <f ca="1"/>
      </c>
      <c r="AY61">
        <f ca="1"/>
      </c>
      <c r="AZ61">
        <f ca="1"/>
      </c>
      <c r="BA61">
        <f ca="1"/>
      </c>
      <c r="BB61">
        <f ca="1"/>
      </c>
      <c r="BC61">
        <f ca="1"/>
      </c>
      <c r="BD61">
        <f ca="1"/>
      </c>
      <c r="BE61">
        <f ca="1"/>
      </c>
      <c r="BF61">
        <f ca="1"/>
      </c>
      <c r="BG61">
        <f ca="1"/>
      </c>
      <c r="BH61">
        <f ca="1"/>
      </c>
      <c r="BI61">
        <f ca="1"/>
      </c>
      <c r="BJ61">
        <f ca="1"/>
      </c>
      <c r="BK61">
        <f ca="1"/>
      </c>
      <c r="BL61">
        <f ca="1"/>
      </c>
      <c r="BM61">
        <f ca="1"/>
      </c>
      <c r="BN61">
        <f ca="1"/>
      </c>
      <c r="BO6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  <c r="BV61">
        <f ca="1"/>
      </c>
      <c r="BW61">
        <f ca="1"/>
      </c>
      <c r="BX61">
        <f ca="1"/>
      </c>
      <c r="BY61">
        <f ca="1"/>
      </c>
      <c r="BZ61">
        <f ca="1"/>
      </c>
      <c r="CA61">
        <f ca="1"/>
      </c>
      <c r="CB61">
        <f ca="1"/>
      </c>
      <c r="CC61">
        <f ca="1"/>
      </c>
      <c r="CD61">
        <f ca="1"/>
      </c>
      <c r="CE61">
        <f ca="1"/>
      </c>
      <c r="CF61">
        <f ca="1"/>
      </c>
      <c r="CG61">
        <f ca="1"/>
      </c>
      <c r="CH61">
        <f ca="1"/>
      </c>
      <c r="CI61">
        <f ca="1"/>
      </c>
      <c r="CK61">
        <f ca="1"/>
      </c>
      <c r="CL61">
        <f ca="1"/>
      </c>
      <c r="CM61">
        <f ca="1"/>
      </c>
      <c r="CN61">
        <f ca="1"/>
      </c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DQ61">
        <f ca="1"/>
      </c>
      <c r="DR61">
        <f ca="1"/>
      </c>
      <c r="DS61">
        <f ca="1"/>
      </c>
      <c r="DT61">
        <f ca="1"/>
      </c>
      <c r="DU61">
        <f ca="1"/>
      </c>
      <c r="DV61">
        <f ca="1"/>
      </c>
      <c r="DW61">
        <f ca="1"/>
      </c>
      <c r="DX61">
        <f ca="1"/>
      </c>
      <c r="DY61">
        <f ca="1"/>
      </c>
      <c r="DZ61">
        <f ca="1"/>
      </c>
      <c r="EA61">
        <f ca="1"/>
      </c>
      <c r="EB61">
        <f ca="1"/>
      </c>
      <c r="EC61">
        <f ca="1"/>
      </c>
      <c r="ED61">
        <f ca="1"/>
      </c>
      <c r="EE61">
        <f ca="1"/>
      </c>
      <c r="EG61">
        <f ca="1"/>
      </c>
      <c r="EH61">
        <f ca="1"/>
      </c>
      <c r="EI61">
        <f ca="1"/>
      </c>
      <c r="EJ61">
        <f ca="1"/>
      </c>
      <c r="EK61">
        <f ca="1"/>
      </c>
      <c r="EL61">
        <f ca="1"/>
      </c>
      <c r="EM61">
        <f ca="1"/>
      </c>
      <c r="EN61">
        <f ca="1"/>
      </c>
      <c r="EO61">
        <f ca="1"/>
      </c>
      <c r="E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FS61">
        <f ca="1"/>
      </c>
      <c r="FT61">
        <f ca="1"/>
      </c>
      <c r="FU61">
        <f ca="1"/>
      </c>
      <c r="FV61">
        <f ca="1"/>
      </c>
      <c r="FW61">
        <f ca="1"/>
      </c>
      <c r="FX61">
        <f ca="1"/>
      </c>
      <c r="FY61">
        <f ca="1"/>
      </c>
      <c r="FZ61">
        <f ca="1"/>
      </c>
      <c r="GA61">
        <f ca="1"/>
      </c>
      <c r="GM61" s="7">
        <f ca="1"/>
      </c>
      <c r="GN61">
        <f ca="1"/>
      </c>
      <c r="GO61">
        <f ca="1"/>
      </c>
      <c r="GP61">
        <f ca="1"/>
      </c>
      <c r="GQ61">
        <f ca="1"/>
      </c>
    </row>
    <row r="62" spans="1:199" x14ac:dyDescent="0.55000000000000004">
      <c r="AO62">
        <f ca="1"/>
      </c>
      <c r="AP62">
        <f ca="1"/>
      </c>
      <c r="AQ62">
        <f ca="1"/>
      </c>
      <c r="AR62">
        <f ca="1"/>
      </c>
      <c r="AS62">
        <f ca="1"/>
      </c>
      <c r="AT62">
        <f ca="1"/>
      </c>
      <c r="AU62">
        <f ca="1"/>
      </c>
      <c r="AV62">
        <f ca="1"/>
      </c>
      <c r="AW62">
        <f ca="1"/>
      </c>
      <c r="AX62">
        <f ca="1"/>
      </c>
      <c r="AY62">
        <f ca="1"/>
      </c>
      <c r="AZ62">
        <f ca="1"/>
      </c>
      <c r="BA62">
        <f ca="1"/>
      </c>
      <c r="BB62">
        <f ca="1"/>
      </c>
      <c r="BC62">
        <f ca="1"/>
      </c>
      <c r="BD62">
        <f ca="1"/>
      </c>
      <c r="BE62">
        <f ca="1"/>
      </c>
      <c r="BF62">
        <f ca="1"/>
      </c>
      <c r="BG62">
        <f ca="1"/>
      </c>
      <c r="BH62">
        <f ca="1"/>
      </c>
      <c r="BI62">
        <f ca="1"/>
      </c>
      <c r="BJ62">
        <f ca="1"/>
      </c>
      <c r="BK62">
        <f ca="1"/>
      </c>
      <c r="BL62">
        <f ca="1"/>
      </c>
      <c r="BM62">
        <f ca="1"/>
      </c>
      <c r="BN62">
        <f ca="1"/>
      </c>
      <c r="BO62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  <c r="BV62">
        <f ca="1"/>
      </c>
      <c r="BW62">
        <f ca="1"/>
      </c>
      <c r="BX62">
        <f ca="1"/>
      </c>
      <c r="BY62">
        <f ca="1"/>
      </c>
      <c r="BZ62">
        <f ca="1"/>
      </c>
      <c r="CA62">
        <f ca="1"/>
      </c>
      <c r="CB62">
        <f ca="1"/>
      </c>
      <c r="CC62">
        <f ca="1"/>
      </c>
      <c r="CD62">
        <f ca="1"/>
      </c>
      <c r="CE62">
        <f ca="1"/>
      </c>
      <c r="CF62">
        <f ca="1"/>
      </c>
      <c r="CG62">
        <f ca="1"/>
      </c>
      <c r="CH62">
        <f ca="1"/>
      </c>
      <c r="CI62">
        <f ca="1"/>
      </c>
      <c r="CK62">
        <f ca="1"/>
      </c>
      <c r="CL62">
        <f ca="1"/>
      </c>
      <c r="CM62">
        <f ca="1"/>
      </c>
      <c r="CN62">
        <f ca="1"/>
      </c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DQ62">
        <f ca="1"/>
      </c>
      <c r="DR62">
        <f ca="1"/>
      </c>
      <c r="DS62">
        <f ca="1"/>
      </c>
      <c r="DT62">
        <f ca="1"/>
      </c>
      <c r="DU62">
        <f ca="1"/>
      </c>
      <c r="DV62">
        <f ca="1"/>
      </c>
      <c r="DW62">
        <f ca="1"/>
      </c>
      <c r="DX62">
        <f ca="1"/>
      </c>
      <c r="DY62">
        <f ca="1"/>
      </c>
      <c r="DZ62">
        <f ca="1"/>
      </c>
      <c r="EA62">
        <f ca="1"/>
      </c>
      <c r="EB62">
        <f ca="1"/>
      </c>
      <c r="EC62">
        <f ca="1"/>
      </c>
      <c r="ED62">
        <f ca="1"/>
      </c>
      <c r="EE62">
        <f ca="1"/>
      </c>
      <c r="EG62">
        <f ca="1"/>
      </c>
      <c r="EH62">
        <f ca="1"/>
      </c>
      <c r="EI62">
        <f ca="1"/>
      </c>
      <c r="EJ62">
        <f ca="1"/>
      </c>
      <c r="EK62">
        <f ca="1"/>
      </c>
      <c r="EL62">
        <f ca="1"/>
      </c>
      <c r="EM62">
        <f ca="1"/>
      </c>
      <c r="EN62">
        <f ca="1"/>
      </c>
      <c r="EO62">
        <f ca="1"/>
      </c>
      <c r="E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FS62">
        <f ca="1"/>
      </c>
      <c r="FT62">
        <f ca="1"/>
      </c>
      <c r="FU62">
        <f ca="1"/>
      </c>
      <c r="FV62">
        <f ca="1"/>
      </c>
      <c r="FW62">
        <f ca="1"/>
      </c>
      <c r="FX62">
        <f ca="1"/>
      </c>
      <c r="FY62">
        <f ca="1"/>
      </c>
      <c r="FZ62">
        <f ca="1"/>
      </c>
      <c r="GA62">
        <f ca="1"/>
      </c>
      <c r="GM62" s="7">
        <f ca="1"/>
      </c>
      <c r="GN62">
        <f ca="1"/>
      </c>
      <c r="GO62">
        <f ca="1"/>
      </c>
      <c r="GP62">
        <f ca="1"/>
      </c>
      <c r="GQ62">
        <f ca="1"/>
      </c>
    </row>
    <row r="63" spans="1:199" x14ac:dyDescent="0.55000000000000004">
      <c r="AO63">
        <f ca="1"/>
      </c>
      <c r="AP63">
        <f ca="1"/>
      </c>
      <c r="AQ63">
        <f ca="1"/>
      </c>
      <c r="AR63">
        <f ca="1"/>
      </c>
      <c r="AS63">
        <f ca="1"/>
      </c>
      <c r="AT63">
        <f ca="1"/>
      </c>
      <c r="AU63">
        <f ca="1"/>
      </c>
      <c r="AV63">
        <f ca="1"/>
      </c>
      <c r="AW63">
        <f ca="1"/>
      </c>
      <c r="AX63">
        <f ca="1"/>
      </c>
      <c r="AY63">
        <f ca="1"/>
      </c>
      <c r="AZ63">
        <f ca="1"/>
      </c>
      <c r="BA63">
        <f ca="1"/>
      </c>
      <c r="BB63">
        <f ca="1"/>
      </c>
      <c r="BC63">
        <f ca="1"/>
      </c>
      <c r="BD63">
        <f ca="1"/>
      </c>
      <c r="BE63">
        <f ca="1"/>
      </c>
      <c r="BF63">
        <f ca="1"/>
      </c>
      <c r="BG63">
        <f ca="1"/>
      </c>
      <c r="BH63">
        <f ca="1"/>
      </c>
      <c r="BI63">
        <f ca="1"/>
      </c>
      <c r="BJ63">
        <f ca="1"/>
      </c>
      <c r="BK63">
        <f ca="1"/>
      </c>
      <c r="BL63">
        <f ca="1"/>
      </c>
      <c r="BM63">
        <f ca="1"/>
      </c>
      <c r="BN63">
        <f ca="1"/>
      </c>
      <c r="BO63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  <c r="BV63">
        <f ca="1"/>
      </c>
      <c r="BW63">
        <f ca="1"/>
      </c>
      <c r="BX63">
        <f ca="1"/>
      </c>
      <c r="BY63">
        <f ca="1"/>
      </c>
      <c r="BZ63">
        <f ca="1"/>
      </c>
      <c r="CA63">
        <f ca="1"/>
      </c>
      <c r="CB63">
        <f ca="1"/>
      </c>
      <c r="CC63">
        <f ca="1"/>
      </c>
      <c r="CD63">
        <f ca="1"/>
      </c>
      <c r="CE63">
        <f ca="1"/>
      </c>
      <c r="CF63">
        <f ca="1"/>
      </c>
      <c r="CG63">
        <f ca="1"/>
      </c>
      <c r="CH63">
        <f ca="1"/>
      </c>
      <c r="CI63">
        <f ca="1"/>
      </c>
      <c r="CK63">
        <f ca="1"/>
      </c>
      <c r="CL63">
        <f ca="1"/>
      </c>
      <c r="CM63">
        <f ca="1"/>
      </c>
      <c r="CN63">
        <f ca="1"/>
      </c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DQ63">
        <f ca="1"/>
      </c>
      <c r="DR63">
        <f ca="1"/>
      </c>
      <c r="DS63">
        <f ca="1"/>
      </c>
      <c r="DT63">
        <f ca="1"/>
      </c>
      <c r="DU63">
        <f ca="1"/>
      </c>
      <c r="DV63">
        <f ca="1"/>
      </c>
      <c r="DW63">
        <f ca="1"/>
      </c>
      <c r="DX63">
        <f ca="1"/>
      </c>
      <c r="DY63">
        <f ca="1"/>
      </c>
      <c r="DZ63">
        <f ca="1"/>
      </c>
      <c r="EA63">
        <f ca="1"/>
      </c>
      <c r="EB63">
        <f ca="1"/>
      </c>
      <c r="EC63">
        <f ca="1"/>
      </c>
      <c r="ED63">
        <f ca="1"/>
      </c>
      <c r="EE63">
        <f ca="1"/>
      </c>
      <c r="EG63">
        <f ca="1"/>
      </c>
      <c r="EH63">
        <f ca="1"/>
      </c>
      <c r="EI63">
        <f ca="1"/>
      </c>
      <c r="EJ63">
        <f ca="1"/>
      </c>
      <c r="EK63">
        <f ca="1"/>
      </c>
      <c r="EL63">
        <f ca="1"/>
      </c>
      <c r="EM63">
        <f ca="1"/>
      </c>
      <c r="EN63">
        <f ca="1"/>
      </c>
      <c r="EO63">
        <f ca="1"/>
      </c>
      <c r="E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FS63">
        <f ca="1"/>
      </c>
      <c r="FT63">
        <f ca="1"/>
      </c>
      <c r="FU63">
        <f ca="1"/>
      </c>
      <c r="FV63">
        <f ca="1"/>
      </c>
      <c r="FW63">
        <f ca="1"/>
      </c>
      <c r="FX63">
        <f ca="1"/>
      </c>
      <c r="FY63">
        <f ca="1"/>
      </c>
      <c r="FZ63">
        <f ca="1"/>
      </c>
      <c r="GA63">
        <f ca="1"/>
      </c>
      <c r="GM63" s="7">
        <f ca="1"/>
      </c>
      <c r="GN63">
        <f ca="1"/>
      </c>
      <c r="GO63">
        <f ca="1"/>
      </c>
      <c r="GP63">
        <f ca="1"/>
      </c>
      <c r="GQ63">
        <f ca="1"/>
      </c>
    </row>
    <row r="64" spans="1:199" x14ac:dyDescent="0.55000000000000004">
      <c r="AO64">
        <f ca="1"/>
      </c>
      <c r="AP64">
        <f ca="1"/>
      </c>
      <c r="AQ64">
        <f ca="1"/>
      </c>
      <c r="AR64">
        <f ca="1"/>
      </c>
      <c r="AS64">
        <f ca="1"/>
      </c>
      <c r="AT64">
        <f ca="1"/>
      </c>
      <c r="AU64">
        <f ca="1"/>
      </c>
      <c r="AV64">
        <f ca="1"/>
      </c>
      <c r="AW64">
        <f ca="1"/>
      </c>
      <c r="AX64">
        <f ca="1"/>
      </c>
      <c r="AY64">
        <f ca="1"/>
      </c>
      <c r="AZ64">
        <f ca="1"/>
      </c>
      <c r="BA64">
        <f ca="1"/>
      </c>
      <c r="BB64">
        <f ca="1"/>
      </c>
      <c r="BC64">
        <f ca="1"/>
      </c>
      <c r="BD64">
        <f ca="1"/>
      </c>
      <c r="BE64">
        <f ca="1"/>
      </c>
      <c r="BF64">
        <f ca="1"/>
      </c>
      <c r="BG64">
        <f ca="1"/>
      </c>
      <c r="BH64">
        <f ca="1"/>
      </c>
      <c r="BI64">
        <f ca="1"/>
      </c>
      <c r="BJ64">
        <f ca="1"/>
      </c>
      <c r="BK64">
        <f ca="1"/>
      </c>
      <c r="BL64">
        <f ca="1"/>
      </c>
      <c r="BM64">
        <f ca="1"/>
      </c>
      <c r="BN64">
        <f ca="1"/>
      </c>
      <c r="BO64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  <c r="BV64">
        <f ca="1"/>
      </c>
      <c r="BW64">
        <f ca="1"/>
      </c>
      <c r="BX64">
        <f ca="1"/>
      </c>
      <c r="BY64">
        <f ca="1"/>
      </c>
      <c r="BZ64">
        <f ca="1"/>
      </c>
      <c r="CA64">
        <f ca="1"/>
      </c>
      <c r="CB64">
        <f ca="1"/>
      </c>
      <c r="CC64">
        <f ca="1"/>
      </c>
      <c r="CD64">
        <f ca="1"/>
      </c>
      <c r="CE64">
        <f ca="1"/>
      </c>
      <c r="CF64">
        <f ca="1"/>
      </c>
      <c r="CG64">
        <f ca="1"/>
      </c>
      <c r="CH64">
        <f ca="1"/>
      </c>
      <c r="CI64">
        <f ca="1"/>
      </c>
      <c r="CK64">
        <f ca="1"/>
      </c>
      <c r="CL64">
        <f ca="1"/>
      </c>
      <c r="CM64">
        <f ca="1"/>
      </c>
      <c r="CN64">
        <f ca="1"/>
      </c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DQ64">
        <f ca="1"/>
      </c>
      <c r="DR64">
        <f ca="1"/>
      </c>
      <c r="DS64">
        <f ca="1"/>
      </c>
      <c r="DT64">
        <f ca="1"/>
      </c>
      <c r="DU64">
        <f ca="1"/>
      </c>
      <c r="DV64">
        <f ca="1"/>
      </c>
      <c r="DW64">
        <f ca="1"/>
      </c>
      <c r="DX64">
        <f ca="1"/>
      </c>
      <c r="DY64">
        <f ca="1"/>
      </c>
      <c r="DZ64">
        <f ca="1"/>
      </c>
      <c r="EA64">
        <f ca="1"/>
      </c>
      <c r="EB64">
        <f ca="1"/>
      </c>
      <c r="EC64">
        <f ca="1"/>
      </c>
      <c r="ED64">
        <f ca="1"/>
      </c>
      <c r="EE64">
        <f ca="1"/>
      </c>
      <c r="EG64">
        <f ca="1"/>
      </c>
      <c r="EH64">
        <f ca="1"/>
      </c>
      <c r="EI64">
        <f ca="1"/>
      </c>
      <c r="EJ64">
        <f ca="1"/>
      </c>
      <c r="EK64">
        <f ca="1"/>
      </c>
      <c r="EL64">
        <f ca="1"/>
      </c>
      <c r="EM64">
        <f ca="1"/>
      </c>
      <c r="EN64">
        <f ca="1"/>
      </c>
      <c r="EO64">
        <f ca="1"/>
      </c>
      <c r="E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FS64">
        <f ca="1"/>
      </c>
      <c r="FT64">
        <f ca="1"/>
      </c>
      <c r="FU64">
        <f ca="1"/>
      </c>
      <c r="FV64">
        <f ca="1"/>
      </c>
      <c r="FW64">
        <f ca="1"/>
      </c>
      <c r="FX64">
        <f ca="1"/>
      </c>
      <c r="FY64">
        <f ca="1"/>
      </c>
      <c r="FZ64">
        <f ca="1"/>
      </c>
      <c r="GA64">
        <f ca="1"/>
      </c>
      <c r="GM64" s="7">
        <f ca="1"/>
      </c>
      <c r="GN64">
        <f ca="1"/>
      </c>
      <c r="GO64">
        <f ca="1"/>
      </c>
      <c r="GP64">
        <f ca="1"/>
      </c>
      <c r="GQ64">
        <f ca="1"/>
      </c>
    </row>
    <row r="65" spans="41:199" x14ac:dyDescent="0.55000000000000004">
      <c r="AO65">
        <f ca="1"/>
      </c>
      <c r="AP65">
        <f ca="1"/>
      </c>
      <c r="AQ65">
        <f ca="1"/>
      </c>
      <c r="AR65">
        <f ca="1"/>
      </c>
      <c r="AS65">
        <f ca="1"/>
      </c>
      <c r="AT65">
        <f ca="1"/>
      </c>
      <c r="AU65">
        <f ca="1"/>
      </c>
      <c r="AV65">
        <f ca="1"/>
      </c>
      <c r="AW65">
        <f ca="1"/>
      </c>
      <c r="AX65">
        <f ca="1"/>
      </c>
      <c r="AY65">
        <f ca="1"/>
      </c>
      <c r="AZ65">
        <f ca="1"/>
      </c>
      <c r="BA65">
        <f ca="1"/>
      </c>
      <c r="BB65">
        <f ca="1"/>
      </c>
      <c r="BC65">
        <f ca="1"/>
      </c>
      <c r="BD65">
        <f ca="1"/>
      </c>
      <c r="BE65">
        <f ca="1"/>
      </c>
      <c r="BF65">
        <f ca="1"/>
      </c>
      <c r="BG65">
        <f ca="1"/>
      </c>
      <c r="BH65">
        <f ca="1"/>
      </c>
      <c r="BI65">
        <f ca="1"/>
      </c>
      <c r="BJ65">
        <f ca="1"/>
      </c>
      <c r="BK65">
        <f ca="1"/>
      </c>
      <c r="BL65">
        <f ca="1"/>
      </c>
      <c r="BM65">
        <f ca="1"/>
      </c>
      <c r="BN65">
        <f ca="1"/>
      </c>
      <c r="BO65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  <c r="BV65">
        <f ca="1"/>
      </c>
      <c r="BW65">
        <f ca="1"/>
      </c>
      <c r="BX65">
        <f ca="1"/>
      </c>
      <c r="BY65">
        <f ca="1"/>
      </c>
      <c r="BZ65">
        <f ca="1"/>
      </c>
      <c r="CA65">
        <f ca="1"/>
      </c>
      <c r="CB65">
        <f ca="1"/>
      </c>
      <c r="CC65">
        <f ca="1"/>
      </c>
      <c r="CD65">
        <f ca="1"/>
      </c>
      <c r="CE65">
        <f ca="1"/>
      </c>
      <c r="CF65">
        <f ca="1"/>
      </c>
      <c r="CG65">
        <f ca="1"/>
      </c>
      <c r="CH65">
        <f ca="1"/>
      </c>
      <c r="CI65">
        <f ca="1"/>
      </c>
      <c r="CK65">
        <f ca="1"/>
      </c>
      <c r="CL65">
        <f ca="1"/>
      </c>
      <c r="CM65">
        <f ca="1"/>
      </c>
      <c r="CN65">
        <f ca="1"/>
      </c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DQ65">
        <f ca="1"/>
      </c>
      <c r="DR65">
        <f ca="1"/>
      </c>
      <c r="DS65">
        <f ca="1"/>
      </c>
      <c r="DT65">
        <f ca="1"/>
      </c>
      <c r="DU65">
        <f ca="1"/>
      </c>
      <c r="DV65">
        <f ca="1"/>
      </c>
      <c r="DW65">
        <f ca="1"/>
      </c>
      <c r="DX65">
        <f ca="1"/>
      </c>
      <c r="DY65">
        <f ca="1"/>
      </c>
      <c r="DZ65">
        <f ca="1"/>
      </c>
      <c r="EA65">
        <f ca="1"/>
      </c>
      <c r="EB65">
        <f ca="1"/>
      </c>
      <c r="EC65">
        <f ca="1"/>
      </c>
      <c r="ED65">
        <f ca="1"/>
      </c>
      <c r="EE65">
        <f ca="1"/>
      </c>
      <c r="EG65">
        <f ca="1"/>
      </c>
      <c r="EH65">
        <f ca="1"/>
      </c>
      <c r="EI65">
        <f ca="1"/>
      </c>
      <c r="EJ65">
        <f ca="1"/>
      </c>
      <c r="EK65">
        <f ca="1"/>
      </c>
      <c r="EL65">
        <f ca="1"/>
      </c>
      <c r="EM65">
        <f ca="1"/>
      </c>
      <c r="EN65">
        <f ca="1"/>
      </c>
      <c r="EO65">
        <f ca="1"/>
      </c>
      <c r="E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FS65">
        <f ca="1"/>
      </c>
      <c r="FT65">
        <f ca="1"/>
      </c>
      <c r="FU65">
        <f ca="1"/>
      </c>
      <c r="FV65">
        <f ca="1"/>
      </c>
      <c r="FW65">
        <f ca="1"/>
      </c>
      <c r="FX65">
        <f ca="1"/>
      </c>
      <c r="FY65">
        <f ca="1"/>
      </c>
      <c r="FZ65">
        <f ca="1"/>
      </c>
      <c r="GA65">
        <f ca="1"/>
      </c>
      <c r="GM65" s="7">
        <f ca="1"/>
      </c>
      <c r="GN65">
        <f ca="1"/>
      </c>
      <c r="GO65">
        <f ca="1"/>
      </c>
      <c r="GP65">
        <f ca="1"/>
      </c>
      <c r="GQ65">
        <f ca="1"/>
      </c>
    </row>
    <row r="66" spans="41:199" x14ac:dyDescent="0.55000000000000004">
      <c r="AO66">
        <f ca="1"/>
      </c>
      <c r="AP66">
        <f ca="1"/>
      </c>
      <c r="AQ66">
        <f ca="1"/>
      </c>
      <c r="AR66">
        <f ca="1"/>
      </c>
      <c r="AS66">
        <f ca="1"/>
      </c>
      <c r="AT66">
        <f ca="1"/>
      </c>
      <c r="AU66">
        <f ca="1"/>
      </c>
      <c r="AV66">
        <f ca="1"/>
      </c>
      <c r="AW66">
        <f ca="1"/>
      </c>
      <c r="AX66">
        <f ca="1"/>
      </c>
      <c r="AY66">
        <f ca="1"/>
      </c>
      <c r="AZ66">
        <f ca="1"/>
      </c>
      <c r="BA66">
        <f ca="1"/>
      </c>
      <c r="BB66">
        <f ca="1"/>
      </c>
      <c r="BC66">
        <f ca="1"/>
      </c>
      <c r="BD66">
        <f ca="1"/>
      </c>
      <c r="BE66">
        <f ca="1"/>
      </c>
      <c r="BF66">
        <f ca="1"/>
      </c>
      <c r="BG66">
        <f ca="1"/>
      </c>
      <c r="BH66">
        <f ca="1"/>
      </c>
      <c r="BI66">
        <f ca="1"/>
      </c>
      <c r="BJ66">
        <f ca="1"/>
      </c>
      <c r="BK66">
        <f ca="1"/>
      </c>
      <c r="BL66">
        <f ca="1"/>
      </c>
      <c r="BM66">
        <f ca="1"/>
      </c>
      <c r="BN66">
        <f ca="1"/>
      </c>
      <c r="BO66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  <c r="BV66">
        <f ca="1"/>
      </c>
      <c r="BW66">
        <f ca="1"/>
      </c>
      <c r="BX66">
        <f ca="1"/>
      </c>
      <c r="BY66">
        <f ca="1"/>
      </c>
      <c r="BZ66">
        <f ca="1"/>
      </c>
      <c r="CA66">
        <f ca="1"/>
      </c>
      <c r="CB66">
        <f ca="1"/>
      </c>
      <c r="CC66">
        <f ca="1"/>
      </c>
      <c r="CD66">
        <f ca="1"/>
      </c>
      <c r="CE66">
        <f ca="1"/>
      </c>
      <c r="CF66">
        <f ca="1"/>
      </c>
      <c r="CG66">
        <f ca="1"/>
      </c>
      <c r="CH66">
        <f ca="1"/>
      </c>
      <c r="CI66">
        <f ca="1"/>
      </c>
      <c r="CK66">
        <f ca="1"/>
      </c>
      <c r="CL66">
        <f ca="1"/>
      </c>
      <c r="CM66">
        <f ca="1"/>
      </c>
      <c r="CN66">
        <f ca="1"/>
      </c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DQ66">
        <f ca="1"/>
      </c>
      <c r="DR66">
        <f ca="1"/>
      </c>
      <c r="DS66">
        <f ca="1"/>
      </c>
      <c r="DT66">
        <f ca="1"/>
      </c>
      <c r="DU66">
        <f ca="1"/>
      </c>
      <c r="DV66">
        <f ca="1"/>
      </c>
      <c r="DW66">
        <f ca="1"/>
      </c>
      <c r="DX66">
        <f ca="1"/>
      </c>
      <c r="DY66">
        <f ca="1"/>
      </c>
      <c r="DZ66">
        <f ca="1"/>
      </c>
      <c r="EA66">
        <f ca="1"/>
      </c>
      <c r="EB66">
        <f ca="1"/>
      </c>
      <c r="EC66">
        <f ca="1"/>
      </c>
      <c r="ED66">
        <f ca="1"/>
      </c>
      <c r="EE66">
        <f ca="1"/>
      </c>
      <c r="EG66">
        <f ca="1"/>
      </c>
      <c r="EH66">
        <f ca="1"/>
      </c>
      <c r="EI66">
        <f ca="1"/>
      </c>
      <c r="EJ66">
        <f ca="1"/>
      </c>
      <c r="EK66">
        <f ca="1"/>
      </c>
      <c r="EL66">
        <f ca="1"/>
      </c>
      <c r="EM66">
        <f ca="1"/>
      </c>
      <c r="EN66">
        <f ca="1"/>
      </c>
      <c r="EO66">
        <f ca="1"/>
      </c>
      <c r="E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FS66">
        <f ca="1"/>
      </c>
      <c r="FT66">
        <f ca="1"/>
      </c>
      <c r="FU66">
        <f ca="1"/>
      </c>
      <c r="FV66">
        <f ca="1"/>
      </c>
      <c r="FW66">
        <f ca="1"/>
      </c>
      <c r="FX66">
        <f ca="1"/>
      </c>
      <c r="FY66">
        <f ca="1"/>
      </c>
      <c r="FZ66">
        <f ca="1"/>
      </c>
      <c r="GA66">
        <f ca="1"/>
      </c>
      <c r="GM66" s="7">
        <f ca="1"/>
      </c>
      <c r="GN66">
        <f ca="1"/>
      </c>
      <c r="GO66">
        <f ca="1"/>
      </c>
      <c r="GP66">
        <f ca="1"/>
      </c>
      <c r="GQ66">
        <f ca="1"/>
      </c>
    </row>
    <row r="67" spans="41:199" x14ac:dyDescent="0.55000000000000004">
      <c r="AO67">
        <f ca="1"/>
      </c>
      <c r="AP67">
        <f ca="1"/>
      </c>
      <c r="AQ67">
        <f ca="1"/>
      </c>
      <c r="AR67">
        <f ca="1"/>
      </c>
      <c r="AS67">
        <f ca="1"/>
      </c>
      <c r="AT67">
        <f ca="1"/>
      </c>
      <c r="AU67">
        <f ca="1"/>
      </c>
      <c r="AV67">
        <f ca="1"/>
      </c>
      <c r="AW67">
        <f ca="1"/>
      </c>
      <c r="AX67">
        <f ca="1"/>
      </c>
      <c r="AY67">
        <f ca="1"/>
      </c>
      <c r="AZ67">
        <f ca="1"/>
      </c>
      <c r="BA67">
        <f ca="1"/>
      </c>
      <c r="BB67">
        <f ca="1"/>
      </c>
      <c r="BC67">
        <f ca="1"/>
      </c>
      <c r="BD67">
        <f ca="1"/>
      </c>
      <c r="BE67">
        <f ca="1"/>
      </c>
      <c r="BF67">
        <f ca="1"/>
      </c>
      <c r="BG67">
        <f ca="1"/>
      </c>
      <c r="BH67">
        <f ca="1"/>
      </c>
      <c r="BI67">
        <f ca="1"/>
      </c>
      <c r="BJ67">
        <f ca="1"/>
      </c>
      <c r="BK67">
        <f ca="1"/>
      </c>
      <c r="BL67">
        <f ca="1"/>
      </c>
      <c r="BM67">
        <f ca="1"/>
      </c>
      <c r="BN67">
        <f ca="1"/>
      </c>
      <c r="BO67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  <c r="BV67">
        <f ca="1"/>
      </c>
      <c r="BW67">
        <f ca="1"/>
      </c>
      <c r="BX67">
        <f ca="1"/>
      </c>
      <c r="BY67">
        <f ca="1"/>
      </c>
      <c r="BZ67">
        <f ca="1"/>
      </c>
      <c r="CA67">
        <f ca="1"/>
      </c>
      <c r="CB67">
        <f ca="1"/>
      </c>
      <c r="CC67">
        <f ca="1"/>
      </c>
      <c r="CD67">
        <f ca="1"/>
      </c>
      <c r="CE67">
        <f ca="1"/>
      </c>
      <c r="CF67">
        <f ca="1"/>
      </c>
      <c r="CG67">
        <f ca="1"/>
      </c>
      <c r="CH67">
        <f ca="1"/>
      </c>
      <c r="CI67">
        <f ca="1"/>
      </c>
      <c r="CK67">
        <f ca="1"/>
      </c>
      <c r="CL67">
        <f ca="1"/>
      </c>
      <c r="CM67">
        <f ca="1"/>
      </c>
      <c r="CN67">
        <f ca="1"/>
      </c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DQ67">
        <f ca="1"/>
      </c>
      <c r="DR67">
        <f ca="1"/>
      </c>
      <c r="DS67">
        <f ca="1"/>
      </c>
      <c r="DT67">
        <f ca="1"/>
      </c>
      <c r="DU67">
        <f ca="1"/>
      </c>
      <c r="DV67">
        <f ca="1"/>
      </c>
      <c r="DW67">
        <f ca="1"/>
      </c>
      <c r="DX67">
        <f ca="1"/>
      </c>
      <c r="DY67">
        <f ca="1"/>
      </c>
      <c r="DZ67">
        <f ca="1"/>
      </c>
      <c r="EA67">
        <f ca="1"/>
      </c>
      <c r="EB67">
        <f ca="1"/>
      </c>
      <c r="EC67">
        <f ca="1"/>
      </c>
      <c r="ED67">
        <f ca="1"/>
      </c>
      <c r="EE67">
        <f ca="1"/>
      </c>
      <c r="EG67">
        <f ca="1"/>
      </c>
      <c r="EH67">
        <f ca="1"/>
      </c>
      <c r="EI67">
        <f ca="1"/>
      </c>
      <c r="EJ67">
        <f ca="1"/>
      </c>
      <c r="EK67">
        <f ca="1"/>
      </c>
      <c r="EL67">
        <f ca="1"/>
      </c>
      <c r="EM67">
        <f ca="1"/>
      </c>
      <c r="EN67">
        <f ca="1"/>
      </c>
      <c r="EO67">
        <f ca="1"/>
      </c>
      <c r="E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FS67">
        <f ca="1"/>
      </c>
      <c r="FT67">
        <f ca="1"/>
      </c>
      <c r="FU67">
        <f ca="1"/>
      </c>
      <c r="FV67">
        <f ca="1"/>
      </c>
      <c r="FW67">
        <f ca="1"/>
      </c>
      <c r="FX67">
        <f ca="1"/>
      </c>
      <c r="FY67">
        <f ca="1"/>
      </c>
      <c r="FZ67">
        <f ca="1"/>
      </c>
      <c r="GA67">
        <f ca="1"/>
      </c>
      <c r="GM67" s="7">
        <f ca="1"/>
      </c>
      <c r="GN67">
        <f ca="1"/>
      </c>
      <c r="GO67">
        <f ca="1"/>
      </c>
      <c r="GP67">
        <f ca="1"/>
      </c>
      <c r="GQ67">
        <f ca="1"/>
      </c>
    </row>
    <row r="68" spans="41:199" x14ac:dyDescent="0.55000000000000004">
      <c r="AO68">
        <f ca="1"/>
      </c>
      <c r="AP68">
        <f ca="1"/>
      </c>
      <c r="AQ68">
        <f ca="1"/>
      </c>
      <c r="AR68">
        <f ca="1"/>
      </c>
      <c r="AS68">
        <f ca="1"/>
      </c>
      <c r="AT68">
        <f ca="1"/>
      </c>
      <c r="AU68">
        <f ca="1"/>
      </c>
      <c r="AV68">
        <f ca="1"/>
      </c>
      <c r="AW68">
        <f ca="1"/>
      </c>
      <c r="AX68">
        <f ca="1"/>
      </c>
      <c r="AY68">
        <f ca="1"/>
      </c>
      <c r="AZ68">
        <f ca="1"/>
      </c>
      <c r="BA68">
        <f ca="1"/>
      </c>
      <c r="BB68">
        <f ca="1"/>
      </c>
      <c r="BC68">
        <f ca="1"/>
      </c>
      <c r="BD68">
        <f ca="1"/>
      </c>
      <c r="BE68">
        <f ca="1"/>
      </c>
      <c r="BF68">
        <f ca="1"/>
      </c>
      <c r="BG68">
        <f ca="1"/>
      </c>
      <c r="BH68">
        <f ca="1"/>
      </c>
      <c r="BI68">
        <f ca="1"/>
      </c>
      <c r="BJ68">
        <f ca="1"/>
      </c>
      <c r="BK68">
        <f ca="1"/>
      </c>
      <c r="BL68">
        <f ca="1"/>
      </c>
      <c r="BM68">
        <f ca="1"/>
      </c>
      <c r="BN68">
        <f ca="1"/>
      </c>
      <c r="BO68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  <c r="BV68">
        <f ca="1"/>
      </c>
      <c r="BW68">
        <f ca="1"/>
      </c>
      <c r="BX68">
        <f ca="1"/>
      </c>
      <c r="BY68">
        <f ca="1"/>
      </c>
      <c r="BZ68">
        <f ca="1"/>
      </c>
      <c r="CA68">
        <f ca="1"/>
      </c>
      <c r="CB68">
        <f ca="1"/>
      </c>
      <c r="CC68">
        <f ca="1"/>
      </c>
      <c r="CD68">
        <f ca="1"/>
      </c>
      <c r="CE68">
        <f ca="1"/>
      </c>
      <c r="CF68">
        <f ca="1"/>
      </c>
      <c r="CG68">
        <f ca="1"/>
      </c>
      <c r="CH68">
        <f ca="1"/>
      </c>
      <c r="CI68">
        <f ca="1"/>
      </c>
      <c r="CK68">
        <f ca="1"/>
      </c>
      <c r="CL68">
        <f ca="1"/>
      </c>
      <c r="CM68">
        <f ca="1"/>
      </c>
      <c r="CN68">
        <f ca="1"/>
      </c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DQ68">
        <f ca="1"/>
      </c>
      <c r="DR68">
        <f ca="1"/>
      </c>
      <c r="DS68">
        <f ca="1"/>
      </c>
      <c r="DT68">
        <f ca="1"/>
      </c>
      <c r="DU68">
        <f ca="1"/>
      </c>
      <c r="DV68">
        <f ca="1"/>
      </c>
      <c r="DW68">
        <f ca="1"/>
      </c>
      <c r="DX68">
        <f ca="1"/>
      </c>
      <c r="DY68">
        <f ca="1"/>
      </c>
      <c r="DZ68">
        <f ca="1"/>
      </c>
      <c r="EA68">
        <f ca="1"/>
      </c>
      <c r="EB68">
        <f ca="1"/>
      </c>
      <c r="EC68">
        <f ca="1"/>
      </c>
      <c r="ED68">
        <f ca="1"/>
      </c>
      <c r="EE68">
        <f ca="1"/>
      </c>
      <c r="EG68">
        <f ca="1"/>
      </c>
      <c r="EH68">
        <f ca="1"/>
      </c>
      <c r="EI68">
        <f ca="1"/>
      </c>
      <c r="EJ68">
        <f ca="1"/>
      </c>
      <c r="EK68">
        <f ca="1"/>
      </c>
      <c r="EL68">
        <f ca="1"/>
      </c>
      <c r="EM68">
        <f ca="1"/>
      </c>
      <c r="EN68">
        <f ca="1"/>
      </c>
      <c r="EO68">
        <f ca="1"/>
      </c>
      <c r="E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FS68">
        <f ca="1"/>
      </c>
      <c r="FT68">
        <f ca="1"/>
      </c>
      <c r="FU68">
        <f ca="1"/>
      </c>
      <c r="FV68">
        <f ca="1"/>
      </c>
      <c r="FW68">
        <f ca="1"/>
      </c>
      <c r="FX68">
        <f ca="1"/>
      </c>
      <c r="FY68">
        <f ca="1"/>
      </c>
      <c r="FZ68">
        <f ca="1"/>
      </c>
      <c r="GA68">
        <f ca="1"/>
      </c>
      <c r="GM68" s="7">
        <f ca="1"/>
      </c>
      <c r="GN68">
        <f ca="1"/>
      </c>
      <c r="GO68">
        <f ca="1"/>
      </c>
      <c r="GP68">
        <f ca="1"/>
      </c>
      <c r="GQ68">
        <f ca="1"/>
      </c>
    </row>
    <row r="69" spans="41:199" x14ac:dyDescent="0.55000000000000004">
      <c r="AO69">
        <f ca="1"/>
      </c>
      <c r="AP69">
        <f ca="1"/>
      </c>
      <c r="AQ69">
        <f ca="1"/>
      </c>
      <c r="AR69">
        <f ca="1"/>
      </c>
      <c r="AS69">
        <f ca="1"/>
      </c>
      <c r="AT69">
        <f ca="1"/>
      </c>
      <c r="AU69">
        <f ca="1"/>
      </c>
      <c r="AV69">
        <f ca="1"/>
      </c>
      <c r="AW69">
        <f ca="1"/>
      </c>
      <c r="AX69">
        <f ca="1"/>
      </c>
      <c r="AY69">
        <f ca="1"/>
      </c>
      <c r="AZ69">
        <f ca="1"/>
      </c>
      <c r="BA69">
        <f ca="1"/>
      </c>
      <c r="BB69">
        <f ca="1"/>
      </c>
      <c r="BC69">
        <f ca="1"/>
      </c>
      <c r="BD69">
        <f ca="1"/>
      </c>
      <c r="BE69">
        <f ca="1"/>
      </c>
      <c r="BF69">
        <f ca="1"/>
      </c>
      <c r="BG69">
        <f ca="1"/>
      </c>
      <c r="BH69">
        <f ca="1"/>
      </c>
      <c r="BI69">
        <f ca="1"/>
      </c>
      <c r="BJ69">
        <f ca="1"/>
      </c>
      <c r="BK69">
        <f ca="1"/>
      </c>
      <c r="BL69">
        <f ca="1"/>
      </c>
      <c r="BM69">
        <f ca="1"/>
      </c>
      <c r="BN69">
        <f ca="1"/>
      </c>
      <c r="BO69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  <c r="BV69">
        <f ca="1"/>
      </c>
      <c r="BW69">
        <f ca="1"/>
      </c>
      <c r="BX69">
        <f ca="1"/>
      </c>
      <c r="BY69">
        <f ca="1"/>
      </c>
      <c r="BZ69">
        <f ca="1"/>
      </c>
      <c r="CA69">
        <f ca="1"/>
      </c>
      <c r="CB69">
        <f ca="1"/>
      </c>
      <c r="CC69">
        <f ca="1"/>
      </c>
      <c r="CD69">
        <f ca="1"/>
      </c>
      <c r="CE69">
        <f ca="1"/>
      </c>
      <c r="CF69">
        <f ca="1"/>
      </c>
      <c r="CG69">
        <f ca="1"/>
      </c>
      <c r="CH69">
        <f ca="1"/>
      </c>
      <c r="CI69">
        <f ca="1"/>
      </c>
      <c r="CK69">
        <f ca="1"/>
      </c>
      <c r="CL69">
        <f ca="1"/>
      </c>
      <c r="CM69">
        <f ca="1"/>
      </c>
      <c r="CN69">
        <f ca="1"/>
      </c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DQ69">
        <f ca="1"/>
      </c>
      <c r="DR69">
        <f ca="1"/>
      </c>
      <c r="DS69">
        <f ca="1"/>
      </c>
      <c r="DT69">
        <f ca="1"/>
      </c>
      <c r="DU69">
        <f ca="1"/>
      </c>
      <c r="DV69">
        <f ca="1"/>
      </c>
      <c r="DW69">
        <f ca="1"/>
      </c>
      <c r="DX69">
        <f ca="1"/>
      </c>
      <c r="DY69">
        <f ca="1"/>
      </c>
      <c r="DZ69">
        <f ca="1"/>
      </c>
      <c r="EA69">
        <f ca="1"/>
      </c>
      <c r="EB69">
        <f ca="1"/>
      </c>
      <c r="EC69">
        <f ca="1"/>
      </c>
      <c r="ED69">
        <f ca="1"/>
      </c>
      <c r="EE69">
        <f ca="1"/>
      </c>
      <c r="EG69">
        <f ca="1"/>
      </c>
      <c r="EH69">
        <f ca="1"/>
      </c>
      <c r="EI69">
        <f ca="1"/>
      </c>
      <c r="EJ69">
        <f ca="1"/>
      </c>
      <c r="EK69">
        <f ca="1"/>
      </c>
      <c r="EL69">
        <f ca="1"/>
      </c>
      <c r="EM69">
        <f ca="1"/>
      </c>
      <c r="EN69">
        <f ca="1"/>
      </c>
      <c r="EO69">
        <f ca="1"/>
      </c>
      <c r="E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FS69">
        <f ca="1"/>
      </c>
      <c r="FT69">
        <f ca="1"/>
      </c>
      <c r="FU69">
        <f ca="1"/>
      </c>
      <c r="FV69">
        <f ca="1"/>
      </c>
      <c r="FW69">
        <f ca="1"/>
      </c>
      <c r="FX69">
        <f ca="1"/>
      </c>
      <c r="FY69">
        <f ca="1"/>
      </c>
      <c r="FZ69">
        <f ca="1"/>
      </c>
      <c r="GA69">
        <f ca="1"/>
      </c>
      <c r="GM69" s="7">
        <f ca="1"/>
      </c>
      <c r="GN69">
        <f ca="1"/>
      </c>
      <c r="GO69">
        <f ca="1"/>
      </c>
      <c r="GP69">
        <f ca="1"/>
      </c>
      <c r="GQ69">
        <f ca="1"/>
      </c>
    </row>
    <row r="70" spans="41:199" x14ac:dyDescent="0.55000000000000004">
      <c r="AO70">
        <f ca="1"/>
      </c>
      <c r="AP70">
        <f ca="1"/>
      </c>
      <c r="AQ70">
        <f ca="1"/>
      </c>
      <c r="AR70">
        <f ca="1"/>
      </c>
      <c r="AS70">
        <f ca="1"/>
      </c>
      <c r="AT70">
        <f ca="1"/>
      </c>
      <c r="AU70">
        <f ca="1"/>
      </c>
      <c r="AV70">
        <f ca="1"/>
      </c>
      <c r="AW70">
        <f ca="1"/>
      </c>
      <c r="AX70">
        <f ca="1"/>
      </c>
      <c r="AY70">
        <f ca="1"/>
      </c>
      <c r="AZ70">
        <f ca="1"/>
      </c>
      <c r="BA70">
        <f ca="1"/>
      </c>
      <c r="BB70">
        <f ca="1"/>
      </c>
      <c r="BC70">
        <f ca="1"/>
      </c>
      <c r="BD70">
        <f ca="1"/>
      </c>
      <c r="BE70">
        <f ca="1"/>
      </c>
      <c r="BF70">
        <f ca="1"/>
      </c>
      <c r="BG70">
        <f ca="1"/>
      </c>
      <c r="BH70">
        <f ca="1"/>
      </c>
      <c r="BI70">
        <f ca="1"/>
      </c>
      <c r="BJ70">
        <f ca="1"/>
      </c>
      <c r="BK70">
        <f ca="1"/>
      </c>
      <c r="BL70">
        <f ca="1"/>
      </c>
      <c r="BM70">
        <f ca="1"/>
      </c>
      <c r="BN70">
        <f ca="1"/>
      </c>
      <c r="BO70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  <c r="BV70">
        <f ca="1"/>
      </c>
      <c r="BW70">
        <f ca="1"/>
      </c>
      <c r="BX70">
        <f ca="1"/>
      </c>
      <c r="BY70">
        <f ca="1"/>
      </c>
      <c r="BZ70">
        <f ca="1"/>
      </c>
      <c r="CA70">
        <f ca="1"/>
      </c>
      <c r="CB70">
        <f ca="1"/>
      </c>
      <c r="CC70">
        <f ca="1"/>
      </c>
      <c r="CD70">
        <f ca="1"/>
      </c>
      <c r="CE70">
        <f ca="1"/>
      </c>
      <c r="CF70">
        <f ca="1"/>
      </c>
      <c r="CG70">
        <f ca="1"/>
      </c>
      <c r="CH70">
        <f ca="1"/>
      </c>
      <c r="CI70">
        <f ca="1"/>
      </c>
      <c r="CK70">
        <f ca="1"/>
      </c>
      <c r="CL70">
        <f ca="1"/>
      </c>
      <c r="CM70">
        <f ca="1"/>
      </c>
      <c r="CN70">
        <f ca="1"/>
      </c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DQ70">
        <f ca="1"/>
      </c>
      <c r="DR70">
        <f ca="1"/>
      </c>
      <c r="DS70">
        <f ca="1"/>
      </c>
      <c r="DT70">
        <f ca="1"/>
      </c>
      <c r="DU70">
        <f ca="1"/>
      </c>
      <c r="DV70">
        <f ca="1"/>
      </c>
      <c r="DW70">
        <f ca="1"/>
      </c>
      <c r="DX70">
        <f ca="1"/>
      </c>
      <c r="DY70">
        <f ca="1"/>
      </c>
      <c r="DZ70">
        <f ca="1"/>
      </c>
      <c r="EA70">
        <f ca="1"/>
      </c>
      <c r="EB70">
        <f ca="1"/>
      </c>
      <c r="EC70">
        <f ca="1"/>
      </c>
      <c r="ED70">
        <f ca="1"/>
      </c>
      <c r="EE70">
        <f ca="1"/>
      </c>
      <c r="EG70">
        <f ca="1"/>
      </c>
      <c r="EH70">
        <f ca="1"/>
      </c>
      <c r="EI70">
        <f ca="1"/>
      </c>
      <c r="EJ70">
        <f ca="1"/>
      </c>
      <c r="EK70">
        <f ca="1"/>
      </c>
      <c r="EL70">
        <f ca="1"/>
      </c>
      <c r="EM70">
        <f ca="1"/>
      </c>
      <c r="EN70">
        <f ca="1"/>
      </c>
      <c r="EO70">
        <f ca="1"/>
      </c>
      <c r="E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FS70">
        <f ca="1"/>
      </c>
      <c r="FT70">
        <f ca="1"/>
      </c>
      <c r="FU70">
        <f ca="1"/>
      </c>
      <c r="FV70">
        <f ca="1"/>
      </c>
      <c r="FW70">
        <f ca="1"/>
      </c>
      <c r="FX70">
        <f ca="1"/>
      </c>
      <c r="FY70">
        <f ca="1"/>
      </c>
      <c r="FZ70">
        <f ca="1"/>
      </c>
      <c r="GA70">
        <f ca="1"/>
      </c>
      <c r="GM70" s="7">
        <f ca="1"/>
      </c>
      <c r="GN70">
        <f ca="1"/>
      </c>
      <c r="GO70">
        <f ca="1"/>
      </c>
      <c r="GP70">
        <f ca="1"/>
      </c>
      <c r="GQ70">
        <f ca="1"/>
      </c>
    </row>
    <row r="71" spans="41:199" x14ac:dyDescent="0.55000000000000004">
      <c r="AO71">
        <f ca="1"/>
      </c>
      <c r="AP71">
        <f ca="1"/>
      </c>
      <c r="AQ71">
        <f ca="1"/>
      </c>
      <c r="AR71">
        <f ca="1"/>
      </c>
      <c r="AS71">
        <f ca="1"/>
      </c>
      <c r="AT71">
        <f ca="1"/>
      </c>
      <c r="AU71">
        <f ca="1"/>
      </c>
      <c r="AV71">
        <f ca="1"/>
      </c>
      <c r="AW71">
        <f ca="1"/>
      </c>
      <c r="AX71">
        <f ca="1"/>
      </c>
      <c r="AY71">
        <f ca="1"/>
      </c>
      <c r="AZ71">
        <f ca="1"/>
      </c>
      <c r="BA71">
        <f ca="1"/>
      </c>
      <c r="BB71">
        <f ca="1"/>
      </c>
      <c r="BC71">
        <f ca="1"/>
      </c>
      <c r="BD71">
        <f ca="1"/>
      </c>
      <c r="BE71">
        <f ca="1"/>
      </c>
      <c r="BF71">
        <f ca="1"/>
      </c>
      <c r="BG71">
        <f ca="1"/>
      </c>
      <c r="BH71">
        <f ca="1"/>
      </c>
      <c r="BI71">
        <f ca="1"/>
      </c>
      <c r="BJ71">
        <f ca="1"/>
      </c>
      <c r="BK71">
        <f ca="1"/>
      </c>
      <c r="BL71">
        <f ca="1"/>
      </c>
      <c r="BM71">
        <f ca="1"/>
      </c>
      <c r="BN71">
        <f ca="1"/>
      </c>
      <c r="BO7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  <c r="BV71">
        <f ca="1"/>
      </c>
      <c r="BW71">
        <f ca="1"/>
      </c>
      <c r="BX71">
        <f ca="1"/>
      </c>
      <c r="BY71">
        <f ca="1"/>
      </c>
      <c r="BZ71">
        <f ca="1"/>
      </c>
      <c r="CA71">
        <f ca="1"/>
      </c>
      <c r="CB71">
        <f ca="1"/>
      </c>
      <c r="CC71">
        <f ca="1"/>
      </c>
      <c r="CD71">
        <f ca="1"/>
      </c>
      <c r="CE71">
        <f ca="1"/>
      </c>
      <c r="CF71">
        <f ca="1"/>
      </c>
      <c r="CG71">
        <f ca="1"/>
      </c>
      <c r="CH71">
        <f ca="1"/>
      </c>
      <c r="CI71">
        <f ca="1"/>
      </c>
      <c r="CK71">
        <f ca="1"/>
      </c>
      <c r="CL71">
        <f ca="1"/>
      </c>
      <c r="CM71">
        <f ca="1"/>
      </c>
      <c r="CN71">
        <f ca="1"/>
      </c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DQ71">
        <f ca="1"/>
      </c>
      <c r="DR71">
        <f ca="1"/>
      </c>
      <c r="DS71">
        <f ca="1"/>
      </c>
      <c r="DT71">
        <f ca="1"/>
      </c>
      <c r="DU71">
        <f ca="1"/>
      </c>
      <c r="DV71">
        <f ca="1"/>
      </c>
      <c r="DW71">
        <f ca="1"/>
      </c>
      <c r="DX71">
        <f ca="1"/>
      </c>
      <c r="DY71">
        <f ca="1"/>
      </c>
      <c r="DZ71">
        <f ca="1"/>
      </c>
      <c r="EA71">
        <f ca="1"/>
      </c>
      <c r="EB71">
        <f ca="1"/>
      </c>
      <c r="EC71">
        <f ca="1"/>
      </c>
      <c r="ED71">
        <f ca="1"/>
      </c>
      <c r="EE71">
        <f ca="1"/>
      </c>
      <c r="EG71">
        <f ca="1"/>
      </c>
      <c r="EH71">
        <f ca="1"/>
      </c>
      <c r="EI71">
        <f ca="1"/>
      </c>
      <c r="EJ71">
        <f ca="1"/>
      </c>
      <c r="EK71">
        <f ca="1"/>
      </c>
      <c r="EL71">
        <f ca="1"/>
      </c>
      <c r="EM71">
        <f ca="1"/>
      </c>
      <c r="EN71">
        <f ca="1"/>
      </c>
      <c r="EO71">
        <f ca="1"/>
      </c>
      <c r="E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FS71">
        <f ca="1"/>
      </c>
      <c r="FT71">
        <f ca="1"/>
      </c>
      <c r="FU71">
        <f ca="1"/>
      </c>
      <c r="FV71">
        <f ca="1"/>
      </c>
      <c r="FW71">
        <f ca="1"/>
      </c>
      <c r="FX71">
        <f ca="1"/>
      </c>
      <c r="FY71">
        <f ca="1"/>
      </c>
      <c r="FZ71">
        <f ca="1"/>
      </c>
      <c r="GA71">
        <f ca="1"/>
      </c>
      <c r="GM71" s="7">
        <f ca="1"/>
      </c>
      <c r="GN71">
        <f ca="1"/>
      </c>
      <c r="GO71">
        <f ca="1"/>
      </c>
      <c r="GP71">
        <f ca="1"/>
      </c>
      <c r="GQ71">
        <f ca="1"/>
      </c>
    </row>
    <row r="72" spans="41:199" x14ac:dyDescent="0.55000000000000004">
      <c r="AO72">
        <f ca="1"/>
      </c>
      <c r="AP72">
        <f ca="1"/>
      </c>
      <c r="AQ72">
        <f ca="1"/>
      </c>
      <c r="AR72">
        <f ca="1"/>
      </c>
      <c r="AS72">
        <f ca="1"/>
      </c>
      <c r="AT72">
        <f ca="1"/>
      </c>
      <c r="AU72">
        <f ca="1"/>
      </c>
      <c r="AV72">
        <f ca="1"/>
      </c>
      <c r="AW72">
        <f ca="1"/>
      </c>
      <c r="AX72">
        <f ca="1"/>
      </c>
      <c r="AY72">
        <f ca="1"/>
      </c>
      <c r="AZ72">
        <f ca="1"/>
      </c>
      <c r="BA72">
        <f ca="1"/>
      </c>
      <c r="BB72">
        <f ca="1"/>
      </c>
      <c r="BC72">
        <f ca="1"/>
      </c>
      <c r="BD72">
        <f ca="1"/>
      </c>
      <c r="BE72">
        <f ca="1"/>
      </c>
      <c r="BF72">
        <f ca="1"/>
      </c>
      <c r="BG72">
        <f ca="1"/>
      </c>
      <c r="BH72">
        <f ca="1"/>
      </c>
      <c r="BI72">
        <f ca="1"/>
      </c>
      <c r="BJ72">
        <f ca="1"/>
      </c>
      <c r="BK72">
        <f ca="1"/>
      </c>
      <c r="BL72">
        <f ca="1"/>
      </c>
      <c r="BM72">
        <f ca="1"/>
      </c>
      <c r="BN72">
        <f ca="1"/>
      </c>
      <c r="BO72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  <c r="BV72">
        <f ca="1"/>
      </c>
      <c r="BW72">
        <f ca="1"/>
      </c>
      <c r="BX72">
        <f ca="1"/>
      </c>
      <c r="BY72">
        <f ca="1"/>
      </c>
      <c r="BZ72">
        <f ca="1"/>
      </c>
      <c r="CA72">
        <f ca="1"/>
      </c>
      <c r="CB72">
        <f ca="1"/>
      </c>
      <c r="CC72">
        <f ca="1"/>
      </c>
      <c r="CD72">
        <f ca="1"/>
      </c>
      <c r="CE72">
        <f ca="1"/>
      </c>
      <c r="CF72">
        <f ca="1"/>
      </c>
      <c r="CG72">
        <f ca="1"/>
      </c>
      <c r="CH72">
        <f ca="1"/>
      </c>
      <c r="CI72">
        <f ca="1"/>
      </c>
      <c r="CK72">
        <f ca="1"/>
      </c>
      <c r="CL72">
        <f ca="1"/>
      </c>
      <c r="CM72">
        <f ca="1"/>
      </c>
      <c r="CN72">
        <f ca="1"/>
      </c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DQ72">
        <f ca="1"/>
      </c>
      <c r="DR72">
        <f ca="1"/>
      </c>
      <c r="DS72">
        <f ca="1"/>
      </c>
      <c r="DT72">
        <f ca="1"/>
      </c>
      <c r="DU72">
        <f ca="1"/>
      </c>
      <c r="DV72">
        <f ca="1"/>
      </c>
      <c r="DW72">
        <f ca="1"/>
      </c>
      <c r="DX72">
        <f ca="1"/>
      </c>
      <c r="DY72">
        <f ca="1"/>
      </c>
      <c r="DZ72">
        <f ca="1"/>
      </c>
      <c r="EA72">
        <f ca="1"/>
      </c>
      <c r="EB72">
        <f ca="1"/>
      </c>
      <c r="EC72">
        <f ca="1"/>
      </c>
      <c r="ED72">
        <f ca="1"/>
      </c>
      <c r="EE72">
        <f ca="1"/>
      </c>
      <c r="EG72">
        <f ca="1"/>
      </c>
      <c r="EH72">
        <f ca="1"/>
      </c>
      <c r="EI72">
        <f ca="1"/>
      </c>
      <c r="EJ72">
        <f ca="1"/>
      </c>
      <c r="EK72">
        <f ca="1"/>
      </c>
      <c r="EL72">
        <f ca="1"/>
      </c>
      <c r="EM72">
        <f ca="1"/>
      </c>
      <c r="EN72">
        <f ca="1"/>
      </c>
      <c r="EO72">
        <f ca="1"/>
      </c>
      <c r="EP72">
        <f ca="1"/>
      </c>
      <c r="EQ72">
        <f ca="1"/>
      </c>
      <c r="ER72">
        <f ca="1"/>
      </c>
      <c r="ES72">
        <f ca="1"/>
      </c>
      <c r="ET72">
        <f ca="1"/>
      </c>
      <c r="EU72">
        <f ca="1"/>
      </c>
      <c r="EV72">
        <f ca="1"/>
      </c>
      <c r="EW72">
        <f ca="1"/>
      </c>
      <c r="EX72">
        <f ca="1"/>
      </c>
      <c r="EY72">
        <f ca="1"/>
      </c>
      <c r="EZ72">
        <f ca="1"/>
      </c>
      <c r="FA72">
        <f ca="1"/>
      </c>
      <c r="FB72">
        <f ca="1"/>
      </c>
      <c r="FC72">
        <f ca="1"/>
      </c>
      <c r="FD72">
        <f ca="1"/>
      </c>
      <c r="FE72">
        <f ca="1"/>
      </c>
      <c r="FF72">
        <f ca="1"/>
      </c>
      <c r="FG72">
        <f ca="1"/>
      </c>
      <c r="FH72">
        <f ca="1"/>
      </c>
      <c r="FI72">
        <f ca="1"/>
      </c>
      <c r="FJ72">
        <f ca="1"/>
      </c>
      <c r="FK72">
        <f ca="1"/>
      </c>
      <c r="FL72">
        <f ca="1"/>
      </c>
      <c r="FM72">
        <f ca="1"/>
      </c>
      <c r="FN72">
        <f ca="1"/>
      </c>
      <c r="FO72">
        <f ca="1"/>
      </c>
      <c r="FP72">
        <f ca="1"/>
      </c>
      <c r="FQ72">
        <f ca="1"/>
      </c>
      <c r="FR72">
        <f ca="1"/>
      </c>
      <c r="FS72">
        <f ca="1"/>
      </c>
      <c r="FT72">
        <f ca="1"/>
      </c>
      <c r="FU72">
        <f ca="1"/>
      </c>
      <c r="FV72">
        <f ca="1"/>
      </c>
      <c r="FW72">
        <f ca="1"/>
      </c>
      <c r="FX72">
        <f ca="1"/>
      </c>
      <c r="FY72">
        <f ca="1"/>
      </c>
      <c r="FZ72">
        <f ca="1"/>
      </c>
      <c r="GA72">
        <f ca="1"/>
      </c>
      <c r="GM72" s="7">
        <f ca="1"/>
      </c>
      <c r="GN72">
        <f ca="1"/>
      </c>
      <c r="GO72">
        <f ca="1"/>
      </c>
      <c r="GP72">
        <f ca="1"/>
      </c>
      <c r="GQ72">
        <f ca="1"/>
      </c>
    </row>
    <row r="73" spans="41:199" x14ac:dyDescent="0.55000000000000004">
      <c r="AO73">
        <f ca="1"/>
      </c>
      <c r="AP73">
        <f ca="1"/>
      </c>
      <c r="AQ73">
        <f ca="1"/>
      </c>
      <c r="AR73">
        <f ca="1"/>
      </c>
      <c r="AS73">
        <f ca="1"/>
      </c>
      <c r="AT73">
        <f ca="1"/>
      </c>
      <c r="AU73">
        <f ca="1"/>
      </c>
      <c r="AV73">
        <f ca="1"/>
      </c>
      <c r="AW73">
        <f ca="1"/>
      </c>
      <c r="AX73">
        <f ca="1"/>
      </c>
      <c r="AY73">
        <f ca="1"/>
      </c>
      <c r="AZ73">
        <f ca="1"/>
      </c>
      <c r="BA73">
        <f ca="1"/>
      </c>
      <c r="BB73">
        <f ca="1"/>
      </c>
      <c r="BC73">
        <f ca="1"/>
      </c>
      <c r="BD73">
        <f ca="1"/>
      </c>
      <c r="BE73">
        <f ca="1"/>
      </c>
      <c r="BF73">
        <f ca="1"/>
      </c>
      <c r="BG73">
        <f ca="1"/>
      </c>
      <c r="BH73">
        <f ca="1"/>
      </c>
      <c r="BI73">
        <f ca="1"/>
      </c>
      <c r="BJ73">
        <f ca="1"/>
      </c>
      <c r="BK73">
        <f ca="1"/>
      </c>
      <c r="BL73">
        <f ca="1"/>
      </c>
      <c r="BM73">
        <f ca="1"/>
      </c>
      <c r="BN73">
        <f ca="1"/>
      </c>
      <c r="BO73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  <c r="BV73">
        <f ca="1"/>
      </c>
      <c r="BW73">
        <f ca="1"/>
      </c>
      <c r="BX73">
        <f ca="1"/>
      </c>
      <c r="BY73">
        <f ca="1"/>
      </c>
      <c r="BZ73">
        <f ca="1"/>
      </c>
      <c r="CA73">
        <f ca="1"/>
      </c>
      <c r="CB73">
        <f ca="1"/>
      </c>
      <c r="CC73">
        <f ca="1"/>
      </c>
      <c r="CD73">
        <f ca="1"/>
      </c>
      <c r="CE73">
        <f ca="1"/>
      </c>
      <c r="CF73">
        <f ca="1"/>
      </c>
      <c r="CG73">
        <f ca="1"/>
      </c>
      <c r="CH73">
        <f ca="1"/>
      </c>
      <c r="CI73">
        <f ca="1"/>
      </c>
      <c r="CK73">
        <f ca="1"/>
      </c>
      <c r="CL73">
        <f ca="1"/>
      </c>
      <c r="CM73">
        <f ca="1"/>
      </c>
      <c r="CN73">
        <f ca="1"/>
      </c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DQ73">
        <f ca="1"/>
      </c>
      <c r="DR73">
        <f ca="1"/>
      </c>
      <c r="DS73">
        <f ca="1"/>
      </c>
      <c r="DT73">
        <f ca="1"/>
      </c>
      <c r="DU73">
        <f ca="1"/>
      </c>
      <c r="DV73">
        <f ca="1"/>
      </c>
      <c r="DW73">
        <f ca="1"/>
      </c>
      <c r="DX73">
        <f ca="1"/>
      </c>
      <c r="DY73">
        <f ca="1"/>
      </c>
      <c r="DZ73">
        <f ca="1"/>
      </c>
      <c r="EA73">
        <f ca="1"/>
      </c>
      <c r="EB73">
        <f ca="1"/>
      </c>
      <c r="EC73">
        <f ca="1"/>
      </c>
      <c r="ED73">
        <f ca="1"/>
      </c>
      <c r="EE73">
        <f ca="1"/>
      </c>
      <c r="EG73">
        <f ca="1"/>
      </c>
      <c r="EH73">
        <f ca="1"/>
      </c>
      <c r="EI73">
        <f ca="1"/>
      </c>
      <c r="EJ73">
        <f ca="1"/>
      </c>
      <c r="EK73">
        <f ca="1"/>
      </c>
      <c r="EL73">
        <f ca="1"/>
      </c>
      <c r="EM73">
        <f ca="1"/>
      </c>
      <c r="EN73">
        <f ca="1"/>
      </c>
      <c r="EO73">
        <f ca="1"/>
      </c>
      <c r="EP73">
        <f ca="1"/>
      </c>
      <c r="EQ73">
        <f ca="1"/>
      </c>
      <c r="ER73">
        <f ca="1"/>
      </c>
      <c r="ES73">
        <f ca="1"/>
      </c>
      <c r="ET73">
        <f ca="1"/>
      </c>
      <c r="EU73">
        <f ca="1"/>
      </c>
      <c r="EV73">
        <f ca="1"/>
      </c>
      <c r="EW73">
        <f ca="1"/>
      </c>
      <c r="EX73">
        <f ca="1"/>
      </c>
      <c r="EY73">
        <f ca="1"/>
      </c>
      <c r="EZ73">
        <f ca="1"/>
      </c>
      <c r="FA73">
        <f ca="1"/>
      </c>
      <c r="FB73">
        <f ca="1"/>
      </c>
      <c r="FC73">
        <f ca="1"/>
      </c>
      <c r="FD73">
        <f ca="1"/>
      </c>
      <c r="FE73">
        <f ca="1"/>
      </c>
      <c r="FF73">
        <f ca="1"/>
      </c>
      <c r="FG73">
        <f ca="1"/>
      </c>
      <c r="FH73">
        <f ca="1"/>
      </c>
      <c r="FI73">
        <f ca="1"/>
      </c>
      <c r="FJ73">
        <f ca="1"/>
      </c>
      <c r="FK73">
        <f ca="1"/>
      </c>
      <c r="FL73">
        <f ca="1"/>
      </c>
      <c r="FM73">
        <f ca="1"/>
      </c>
      <c r="FN73">
        <f ca="1"/>
      </c>
      <c r="FO73">
        <f ca="1"/>
      </c>
      <c r="FP73">
        <f ca="1"/>
      </c>
      <c r="FQ73">
        <f ca="1"/>
      </c>
      <c r="FR73">
        <f ca="1"/>
      </c>
      <c r="FS73">
        <f ca="1"/>
      </c>
      <c r="FT73">
        <f ca="1"/>
      </c>
      <c r="FU73">
        <f ca="1"/>
      </c>
      <c r="FV73">
        <f ca="1"/>
      </c>
      <c r="FW73">
        <f ca="1"/>
      </c>
      <c r="FX73">
        <f ca="1"/>
      </c>
      <c r="FY73">
        <f ca="1"/>
      </c>
      <c r="FZ73">
        <f ca="1"/>
      </c>
      <c r="GA73">
        <f ca="1"/>
      </c>
      <c r="GM73" s="7">
        <f ca="1"/>
      </c>
      <c r="GN73">
        <f ca="1"/>
      </c>
      <c r="GO73">
        <f ca="1"/>
      </c>
      <c r="GP73">
        <f ca="1"/>
      </c>
      <c r="GQ73">
        <f ca="1"/>
      </c>
    </row>
    <row r="74" spans="41:199" x14ac:dyDescent="0.55000000000000004">
      <c r="AO74">
        <f ca="1"/>
      </c>
      <c r="AP74">
        <f ca="1"/>
      </c>
      <c r="AQ74">
        <f ca="1"/>
      </c>
      <c r="AR74">
        <f ca="1"/>
      </c>
      <c r="AS74">
        <f ca="1"/>
      </c>
      <c r="AT74">
        <f ca="1"/>
      </c>
      <c r="AU74">
        <f ca="1"/>
      </c>
      <c r="AV74">
        <f ca="1"/>
      </c>
      <c r="AW74">
        <f ca="1"/>
      </c>
      <c r="AX74">
        <f ca="1"/>
      </c>
      <c r="AY74">
        <f ca="1"/>
      </c>
      <c r="AZ74">
        <f ca="1"/>
      </c>
      <c r="BA74">
        <f ca="1"/>
      </c>
      <c r="BB74">
        <f ca="1"/>
      </c>
      <c r="BC74">
        <f ca="1"/>
      </c>
      <c r="BD74">
        <f ca="1"/>
      </c>
      <c r="BE74">
        <f ca="1"/>
      </c>
      <c r="BF74">
        <f ca="1"/>
      </c>
      <c r="BG74">
        <f ca="1"/>
      </c>
      <c r="BH74">
        <f ca="1"/>
      </c>
      <c r="BI74">
        <f ca="1"/>
      </c>
      <c r="BJ74">
        <f ca="1"/>
      </c>
      <c r="BK74">
        <f ca="1"/>
      </c>
      <c r="BL74">
        <f ca="1"/>
      </c>
      <c r="BM74">
        <f ca="1"/>
      </c>
      <c r="BN74">
        <f ca="1"/>
      </c>
      <c r="BO74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  <c r="BV74">
        <f ca="1"/>
      </c>
      <c r="BW74">
        <f ca="1"/>
      </c>
      <c r="BX74">
        <f ca="1"/>
      </c>
      <c r="BY74">
        <f ca="1"/>
      </c>
      <c r="BZ74">
        <f ca="1"/>
      </c>
      <c r="CA74">
        <f ca="1"/>
      </c>
      <c r="CB74">
        <f ca="1"/>
      </c>
      <c r="CC74">
        <f ca="1"/>
      </c>
      <c r="CD74">
        <f ca="1"/>
      </c>
      <c r="CE74">
        <f ca="1"/>
      </c>
      <c r="CF74">
        <f ca="1"/>
      </c>
      <c r="CG74">
        <f ca="1"/>
      </c>
      <c r="CH74">
        <f ca="1"/>
      </c>
      <c r="CI74">
        <f ca="1"/>
      </c>
      <c r="CK74">
        <f ca="1"/>
      </c>
      <c r="CL74">
        <f ca="1"/>
      </c>
      <c r="CM74">
        <f ca="1"/>
      </c>
      <c r="CN74">
        <f ca="1"/>
      </c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DQ74">
        <f ca="1"/>
      </c>
      <c r="DR74">
        <f ca="1"/>
      </c>
      <c r="DS74">
        <f ca="1"/>
      </c>
      <c r="DT74">
        <f ca="1"/>
      </c>
      <c r="DU74">
        <f ca="1"/>
      </c>
      <c r="DV74">
        <f ca="1"/>
      </c>
      <c r="DW74">
        <f ca="1"/>
      </c>
      <c r="DX74">
        <f ca="1"/>
      </c>
      <c r="DY74">
        <f ca="1"/>
      </c>
      <c r="DZ74">
        <f ca="1"/>
      </c>
      <c r="EA74">
        <f ca="1"/>
      </c>
      <c r="EB74">
        <f ca="1"/>
      </c>
      <c r="EC74">
        <f ca="1"/>
      </c>
      <c r="ED74">
        <f ca="1"/>
      </c>
      <c r="EE74">
        <f ca="1"/>
      </c>
      <c r="EG74">
        <f ca="1"/>
      </c>
      <c r="EH74">
        <f ca="1"/>
      </c>
      <c r="EI74">
        <f ca="1"/>
      </c>
      <c r="EJ74">
        <f ca="1"/>
      </c>
      <c r="EK74">
        <f ca="1"/>
      </c>
      <c r="EL74">
        <f ca="1"/>
      </c>
      <c r="EM74">
        <f ca="1"/>
      </c>
      <c r="EN74">
        <f ca="1"/>
      </c>
      <c r="EO74">
        <f ca="1"/>
      </c>
      <c r="EP74">
        <f ca="1"/>
      </c>
      <c r="EQ74">
        <f ca="1"/>
      </c>
      <c r="ER74">
        <f ca="1"/>
      </c>
      <c r="ES74">
        <f ca="1"/>
      </c>
      <c r="ET74">
        <f ca="1"/>
      </c>
      <c r="EU74">
        <f ca="1"/>
      </c>
      <c r="EV74">
        <f ca="1"/>
      </c>
      <c r="EW74">
        <f ca="1"/>
      </c>
      <c r="EX74">
        <f ca="1"/>
      </c>
      <c r="EY74">
        <f ca="1"/>
      </c>
      <c r="EZ74">
        <f ca="1"/>
      </c>
      <c r="FA74">
        <f ca="1"/>
      </c>
      <c r="FB74">
        <f ca="1"/>
      </c>
      <c r="FC74">
        <f ca="1"/>
      </c>
      <c r="FD74">
        <f ca="1"/>
      </c>
      <c r="FE74">
        <f ca="1"/>
      </c>
      <c r="FF74">
        <f ca="1"/>
      </c>
      <c r="FG74">
        <f ca="1"/>
      </c>
      <c r="FH74">
        <f ca="1"/>
      </c>
      <c r="FI74">
        <f ca="1"/>
      </c>
      <c r="FJ74">
        <f ca="1"/>
      </c>
      <c r="FK74">
        <f ca="1"/>
      </c>
      <c r="FL74">
        <f ca="1"/>
      </c>
      <c r="FM74">
        <f ca="1"/>
      </c>
      <c r="FN74">
        <f ca="1"/>
      </c>
      <c r="FO74">
        <f ca="1"/>
      </c>
      <c r="FP74">
        <f ca="1"/>
      </c>
      <c r="FQ74">
        <f ca="1"/>
      </c>
      <c r="FR74">
        <f ca="1"/>
      </c>
      <c r="FS74">
        <f ca="1"/>
      </c>
      <c r="FT74">
        <f ca="1"/>
      </c>
      <c r="FU74">
        <f ca="1"/>
      </c>
      <c r="FV74">
        <f ca="1"/>
      </c>
      <c r="FW74">
        <f ca="1"/>
      </c>
      <c r="FX74">
        <f ca="1"/>
      </c>
      <c r="FY74">
        <f ca="1"/>
      </c>
      <c r="FZ74">
        <f ca="1"/>
      </c>
      <c r="GA74">
        <f ca="1"/>
      </c>
      <c r="GM74" s="7">
        <f ca="1"/>
      </c>
      <c r="GN74">
        <f ca="1"/>
      </c>
      <c r="GO74">
        <f ca="1"/>
      </c>
      <c r="GP74">
        <f ca="1"/>
      </c>
      <c r="GQ74">
        <f ca="1"/>
      </c>
    </row>
    <row r="75" spans="41:199" x14ac:dyDescent="0.55000000000000004">
      <c r="AO75">
        <f ca="1"/>
      </c>
      <c r="AP75">
        <f ca="1"/>
      </c>
      <c r="AQ75">
        <f ca="1"/>
      </c>
      <c r="AR75">
        <f ca="1"/>
      </c>
      <c r="AS75">
        <f ca="1"/>
      </c>
      <c r="AT75">
        <f ca="1"/>
      </c>
      <c r="AU75">
        <f ca="1"/>
      </c>
      <c r="AV75">
        <f ca="1"/>
      </c>
      <c r="AW75">
        <f ca="1"/>
      </c>
      <c r="AX75">
        <f ca="1"/>
      </c>
      <c r="AY75">
        <f ca="1"/>
      </c>
      <c r="AZ75">
        <f ca="1"/>
      </c>
      <c r="BA75">
        <f ca="1"/>
      </c>
      <c r="BB75">
        <f ca="1"/>
      </c>
      <c r="BC75">
        <f ca="1"/>
      </c>
      <c r="BD75">
        <f ca="1"/>
      </c>
      <c r="BE75">
        <f ca="1"/>
      </c>
      <c r="BF75">
        <f ca="1"/>
      </c>
      <c r="BG75">
        <f ca="1"/>
      </c>
      <c r="BH75">
        <f ca="1"/>
      </c>
      <c r="BI75">
        <f ca="1"/>
      </c>
      <c r="BJ75">
        <f ca="1"/>
      </c>
      <c r="BK75">
        <f ca="1"/>
      </c>
      <c r="BL75">
        <f ca="1"/>
      </c>
      <c r="BM75">
        <f ca="1"/>
      </c>
      <c r="BN75">
        <f ca="1"/>
      </c>
      <c r="BO75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  <c r="BV75">
        <f ca="1"/>
      </c>
      <c r="BW75">
        <f ca="1"/>
      </c>
      <c r="BX75">
        <f ca="1"/>
      </c>
      <c r="BY75">
        <f ca="1"/>
      </c>
      <c r="BZ75">
        <f ca="1"/>
      </c>
      <c r="CA75">
        <f ca="1"/>
      </c>
      <c r="CB75">
        <f ca="1"/>
      </c>
      <c r="CC75">
        <f ca="1"/>
      </c>
      <c r="CD75">
        <f ca="1"/>
      </c>
      <c r="CE75">
        <f ca="1"/>
      </c>
      <c r="CF75">
        <f ca="1"/>
      </c>
      <c r="CG75">
        <f ca="1"/>
      </c>
      <c r="CH75">
        <f ca="1"/>
      </c>
      <c r="CI75">
        <f ca="1"/>
      </c>
      <c r="CK75">
        <f ca="1"/>
      </c>
      <c r="CL75">
        <f ca="1"/>
      </c>
      <c r="CM75">
        <f ca="1"/>
      </c>
      <c r="CN75">
        <f ca="1"/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DQ75">
        <f ca="1"/>
      </c>
      <c r="DR75">
        <f ca="1"/>
      </c>
      <c r="DS75">
        <f ca="1"/>
      </c>
      <c r="DT75">
        <f ca="1"/>
      </c>
      <c r="DU75">
        <f ca="1"/>
      </c>
      <c r="DV75">
        <f ca="1"/>
      </c>
      <c r="DW75">
        <f ca="1"/>
      </c>
      <c r="DX75">
        <f ca="1"/>
      </c>
      <c r="DY75">
        <f ca="1"/>
      </c>
      <c r="DZ75">
        <f ca="1"/>
      </c>
      <c r="EA75">
        <f ca="1"/>
      </c>
      <c r="EB75">
        <f ca="1"/>
      </c>
      <c r="EC75">
        <f ca="1"/>
      </c>
      <c r="ED75">
        <f ca="1"/>
      </c>
      <c r="EE75">
        <f ca="1"/>
      </c>
      <c r="EG75">
        <f ca="1"/>
      </c>
      <c r="EH75">
        <f ca="1"/>
      </c>
      <c r="EI75">
        <f ca="1"/>
      </c>
      <c r="EJ75">
        <f ca="1"/>
      </c>
      <c r="EK75">
        <f ca="1"/>
      </c>
      <c r="EL75">
        <f ca="1"/>
      </c>
      <c r="EM75">
        <f ca="1"/>
      </c>
      <c r="EN75">
        <f ca="1"/>
      </c>
      <c r="EO75">
        <f ca="1"/>
      </c>
      <c r="EP75">
        <f ca="1"/>
      </c>
      <c r="EQ75">
        <f ca="1"/>
      </c>
      <c r="ER75">
        <f ca="1"/>
      </c>
      <c r="ES75">
        <f ca="1"/>
      </c>
      <c r="ET75">
        <f ca="1"/>
      </c>
      <c r="EU75">
        <f ca="1"/>
      </c>
      <c r="EV75">
        <f ca="1"/>
      </c>
      <c r="EW75">
        <f ca="1"/>
      </c>
      <c r="EX75">
        <f ca="1"/>
      </c>
      <c r="EY75">
        <f ca="1"/>
      </c>
      <c r="EZ75">
        <f ca="1"/>
      </c>
      <c r="FA75">
        <f ca="1"/>
      </c>
      <c r="FB75">
        <f ca="1"/>
      </c>
      <c r="FC75">
        <f ca="1"/>
      </c>
      <c r="FD75">
        <f ca="1"/>
      </c>
      <c r="FE75">
        <f ca="1"/>
      </c>
      <c r="FF75">
        <f ca="1"/>
      </c>
      <c r="FG75">
        <f ca="1"/>
      </c>
      <c r="FH75">
        <f ca="1"/>
      </c>
      <c r="FI75">
        <f ca="1"/>
      </c>
      <c r="FJ75">
        <f ca="1"/>
      </c>
      <c r="FK75">
        <f ca="1"/>
      </c>
      <c r="FL75">
        <f ca="1"/>
      </c>
      <c r="FM75">
        <f ca="1"/>
      </c>
      <c r="FN75">
        <f ca="1"/>
      </c>
      <c r="FO75">
        <f ca="1"/>
      </c>
      <c r="FP75">
        <f ca="1"/>
      </c>
      <c r="FQ75">
        <f ca="1"/>
      </c>
      <c r="FR75">
        <f ca="1"/>
      </c>
      <c r="FS75">
        <f ca="1"/>
      </c>
      <c r="FT75">
        <f ca="1"/>
      </c>
      <c r="FU75">
        <f ca="1"/>
      </c>
      <c r="FV75">
        <f ca="1"/>
      </c>
      <c r="FW75">
        <f ca="1"/>
      </c>
      <c r="FX75">
        <f ca="1"/>
      </c>
      <c r="FY75">
        <f ca="1"/>
      </c>
      <c r="FZ75">
        <f ca="1"/>
      </c>
      <c r="GA75">
        <f ca="1"/>
      </c>
      <c r="GM75" s="7">
        <f ca="1"/>
      </c>
      <c r="GN75">
        <f ca="1"/>
      </c>
      <c r="GO75">
        <f ca="1"/>
      </c>
      <c r="GP75">
        <f ca="1"/>
      </c>
      <c r="GQ75">
        <f ca="1"/>
      </c>
    </row>
    <row r="76" spans="41:199" x14ac:dyDescent="0.55000000000000004">
      <c r="AO76">
        <f ca="1"/>
      </c>
      <c r="AP76">
        <f ca="1"/>
      </c>
      <c r="AQ76">
        <f ca="1"/>
      </c>
      <c r="AR76">
        <f ca="1"/>
      </c>
      <c r="AS76">
        <f ca="1"/>
      </c>
      <c r="AT76">
        <f ca="1"/>
      </c>
      <c r="AU76">
        <f ca="1"/>
      </c>
      <c r="AV76">
        <f ca="1"/>
      </c>
      <c r="AW76">
        <f ca="1"/>
      </c>
      <c r="AX76">
        <f ca="1"/>
      </c>
      <c r="AY76">
        <f ca="1"/>
      </c>
      <c r="AZ76">
        <f ca="1"/>
      </c>
      <c r="BA76">
        <f ca="1"/>
      </c>
      <c r="BB76">
        <f ca="1"/>
      </c>
      <c r="BC76">
        <f ca="1"/>
      </c>
      <c r="BD76">
        <f ca="1"/>
      </c>
      <c r="BE76">
        <f ca="1"/>
      </c>
      <c r="BF76">
        <f ca="1"/>
      </c>
      <c r="BG76">
        <f ca="1"/>
      </c>
      <c r="BH76">
        <f ca="1"/>
      </c>
      <c r="BI76">
        <f ca="1"/>
      </c>
      <c r="BJ76">
        <f ca="1"/>
      </c>
      <c r="BK76">
        <f ca="1"/>
      </c>
      <c r="BL76">
        <f ca="1"/>
      </c>
      <c r="BM76">
        <f ca="1"/>
      </c>
      <c r="BN76">
        <f ca="1"/>
      </c>
      <c r="BO76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  <c r="BV76">
        <f ca="1"/>
      </c>
      <c r="BW76">
        <f ca="1"/>
      </c>
      <c r="BX76">
        <f ca="1"/>
      </c>
      <c r="BY76">
        <f ca="1"/>
      </c>
      <c r="BZ76">
        <f ca="1"/>
      </c>
      <c r="CA76">
        <f ca="1"/>
      </c>
      <c r="CB76">
        <f ca="1"/>
      </c>
      <c r="CC76">
        <f ca="1"/>
      </c>
      <c r="CD76">
        <f ca="1"/>
      </c>
      <c r="CE76">
        <f ca="1"/>
      </c>
      <c r="CF76">
        <f ca="1"/>
      </c>
      <c r="CG76">
        <f ca="1"/>
      </c>
      <c r="CH76">
        <f ca="1"/>
      </c>
      <c r="CI76">
        <f ca="1"/>
      </c>
      <c r="CK76">
        <f ca="1"/>
      </c>
      <c r="CL76">
        <f ca="1"/>
      </c>
      <c r="CM76">
        <f ca="1"/>
      </c>
      <c r="CN76">
        <f ca="1"/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DQ76">
        <f ca="1"/>
      </c>
      <c r="DR76">
        <f ca="1"/>
      </c>
      <c r="DS76">
        <f ca="1"/>
      </c>
      <c r="DT76">
        <f ca="1"/>
      </c>
      <c r="DU76">
        <f ca="1"/>
      </c>
      <c r="DV76">
        <f ca="1"/>
      </c>
      <c r="DW76">
        <f ca="1"/>
      </c>
      <c r="DX76">
        <f ca="1"/>
      </c>
      <c r="DY76">
        <f ca="1"/>
      </c>
      <c r="DZ76">
        <f ca="1"/>
      </c>
      <c r="EA76">
        <f ca="1"/>
      </c>
      <c r="EB76">
        <f ca="1"/>
      </c>
      <c r="EC76">
        <f ca="1"/>
      </c>
      <c r="ED76">
        <f ca="1"/>
      </c>
      <c r="EE76">
        <f ca="1"/>
      </c>
      <c r="EG76">
        <f ca="1"/>
      </c>
      <c r="EH76">
        <f ca="1"/>
      </c>
      <c r="EI76">
        <f ca="1"/>
      </c>
      <c r="EJ76">
        <f ca="1"/>
      </c>
      <c r="EK76">
        <f ca="1"/>
      </c>
      <c r="EL76">
        <f ca="1"/>
      </c>
      <c r="EM76">
        <f ca="1"/>
      </c>
      <c r="EN76">
        <f ca="1"/>
      </c>
      <c r="EO76">
        <f ca="1"/>
      </c>
      <c r="EP76">
        <f ca="1"/>
      </c>
      <c r="EQ76">
        <f ca="1"/>
      </c>
      <c r="ER76">
        <f ca="1"/>
      </c>
      <c r="ES76">
        <f ca="1"/>
      </c>
      <c r="ET76">
        <f ca="1"/>
      </c>
      <c r="EU76">
        <f ca="1"/>
      </c>
      <c r="EV76">
        <f ca="1"/>
      </c>
      <c r="EW76">
        <f ca="1"/>
      </c>
      <c r="EX76">
        <f ca="1"/>
      </c>
      <c r="EY76">
        <f ca="1"/>
      </c>
      <c r="EZ76">
        <f ca="1"/>
      </c>
      <c r="FA76">
        <f ca="1"/>
      </c>
      <c r="FB76">
        <f ca="1"/>
      </c>
      <c r="FC76">
        <f ca="1"/>
      </c>
      <c r="FD76">
        <f ca="1"/>
      </c>
      <c r="FE76">
        <f ca="1"/>
      </c>
      <c r="FF76">
        <f ca="1"/>
      </c>
      <c r="FG76">
        <f ca="1"/>
      </c>
      <c r="FH76">
        <f ca="1"/>
      </c>
      <c r="FI76">
        <f ca="1"/>
      </c>
      <c r="FJ76">
        <f ca="1"/>
      </c>
      <c r="FK76">
        <f ca="1"/>
      </c>
      <c r="FL76">
        <f ca="1"/>
      </c>
      <c r="FM76">
        <f ca="1"/>
      </c>
      <c r="FN76">
        <f ca="1"/>
      </c>
      <c r="FO76">
        <f ca="1"/>
      </c>
      <c r="FP76">
        <f ca="1"/>
      </c>
      <c r="FQ76">
        <f ca="1"/>
      </c>
      <c r="FR76">
        <f ca="1"/>
      </c>
      <c r="FS76">
        <f ca="1"/>
      </c>
      <c r="FT76">
        <f ca="1"/>
      </c>
      <c r="FU76">
        <f ca="1"/>
      </c>
      <c r="FV76">
        <f ca="1"/>
      </c>
      <c r="FW76">
        <f ca="1"/>
      </c>
      <c r="FX76">
        <f ca="1"/>
      </c>
      <c r="FY76">
        <f ca="1"/>
      </c>
      <c r="FZ76">
        <f ca="1"/>
      </c>
      <c r="GA76">
        <f ca="1"/>
      </c>
      <c r="GM76" s="7">
        <f ca="1"/>
      </c>
      <c r="GN76">
        <f ca="1"/>
      </c>
      <c r="GO76">
        <f ca="1"/>
      </c>
      <c r="GP76">
        <f ca="1"/>
      </c>
      <c r="GQ76">
        <f ca="1"/>
      </c>
    </row>
    <row r="77" spans="41:199" x14ac:dyDescent="0.55000000000000004">
      <c r="AO77">
        <f ca="1"/>
      </c>
      <c r="AP77">
        <f ca="1"/>
      </c>
      <c r="AQ77">
        <f ca="1"/>
      </c>
      <c r="AR77">
        <f ca="1"/>
      </c>
      <c r="AS77">
        <f ca="1"/>
      </c>
      <c r="AT77">
        <f ca="1"/>
      </c>
      <c r="AU77">
        <f ca="1"/>
      </c>
      <c r="AV77">
        <f ca="1"/>
      </c>
      <c r="AW77">
        <f ca="1"/>
      </c>
      <c r="AX77">
        <f ca="1"/>
      </c>
      <c r="AY77">
        <f ca="1"/>
      </c>
      <c r="AZ77">
        <f ca="1"/>
      </c>
      <c r="BA77">
        <f ca="1"/>
      </c>
      <c r="BB77">
        <f ca="1"/>
      </c>
      <c r="BC77">
        <f ca="1"/>
      </c>
      <c r="BD77">
        <f ca="1"/>
      </c>
      <c r="BE77">
        <f ca="1"/>
      </c>
      <c r="BF77">
        <f ca="1"/>
      </c>
      <c r="BG77">
        <f ca="1"/>
      </c>
      <c r="BH77">
        <f ca="1"/>
      </c>
      <c r="BI77">
        <f ca="1"/>
      </c>
      <c r="BJ77">
        <f ca="1"/>
      </c>
      <c r="BK77">
        <f ca="1"/>
      </c>
      <c r="BL77">
        <f ca="1"/>
      </c>
      <c r="BM77">
        <f ca="1"/>
      </c>
      <c r="BN77">
        <f ca="1"/>
      </c>
      <c r="BO77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  <c r="BV77">
        <f ca="1"/>
      </c>
      <c r="BW77">
        <f ca="1"/>
      </c>
      <c r="BX77">
        <f ca="1"/>
      </c>
      <c r="BY77">
        <f ca="1"/>
      </c>
      <c r="BZ77">
        <f ca="1"/>
      </c>
      <c r="CA77">
        <f ca="1"/>
      </c>
      <c r="CB77">
        <f ca="1"/>
      </c>
      <c r="CC77">
        <f ca="1"/>
      </c>
      <c r="CD77">
        <f ca="1"/>
      </c>
      <c r="CE77">
        <f ca="1"/>
      </c>
      <c r="CF77">
        <f ca="1"/>
      </c>
      <c r="CG77">
        <f ca="1"/>
      </c>
      <c r="CH77">
        <f ca="1"/>
      </c>
      <c r="CI77">
        <f ca="1"/>
      </c>
      <c r="CK77">
        <f ca="1"/>
      </c>
      <c r="CL77">
        <f ca="1"/>
      </c>
      <c r="CM77">
        <f ca="1"/>
      </c>
      <c r="CN77">
        <f ca="1"/>
      </c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DQ77">
        <f ca="1"/>
      </c>
      <c r="DR77">
        <f ca="1"/>
      </c>
      <c r="DS77">
        <f ca="1"/>
      </c>
      <c r="DT77">
        <f ca="1"/>
      </c>
      <c r="DU77">
        <f ca="1"/>
      </c>
      <c r="DV77">
        <f ca="1"/>
      </c>
      <c r="DW77">
        <f ca="1"/>
      </c>
      <c r="DX77">
        <f ca="1"/>
      </c>
      <c r="DY77">
        <f ca="1"/>
      </c>
      <c r="DZ77">
        <f ca="1"/>
      </c>
      <c r="EA77">
        <f ca="1"/>
      </c>
      <c r="EB77">
        <f ca="1"/>
      </c>
      <c r="EC77">
        <f ca="1"/>
      </c>
      <c r="ED77">
        <f ca="1"/>
      </c>
      <c r="EE77">
        <f ca="1"/>
      </c>
      <c r="EG77">
        <f ca="1"/>
      </c>
      <c r="EH77">
        <f ca="1"/>
      </c>
      <c r="EI77">
        <f ca="1"/>
      </c>
      <c r="EJ77">
        <f ca="1"/>
      </c>
      <c r="EK77">
        <f ca="1"/>
      </c>
      <c r="EL77">
        <f ca="1"/>
      </c>
      <c r="EM77">
        <f ca="1"/>
      </c>
      <c r="EN77">
        <f ca="1"/>
      </c>
      <c r="EO77">
        <f ca="1"/>
      </c>
      <c r="EP77">
        <f ca="1"/>
      </c>
      <c r="EQ77">
        <f ca="1"/>
      </c>
      <c r="ER77">
        <f ca="1"/>
      </c>
      <c r="ES77">
        <f ca="1"/>
      </c>
      <c r="ET77">
        <f ca="1"/>
      </c>
      <c r="EU77">
        <f ca="1"/>
      </c>
      <c r="EV77">
        <f ca="1"/>
      </c>
      <c r="EW77">
        <f ca="1"/>
      </c>
      <c r="EX77">
        <f ca="1"/>
      </c>
      <c r="EY77">
        <f ca="1"/>
      </c>
      <c r="EZ77">
        <f ca="1"/>
      </c>
      <c r="FA77">
        <f ca="1"/>
      </c>
      <c r="FB77">
        <f ca="1"/>
      </c>
      <c r="FC77">
        <f ca="1"/>
      </c>
      <c r="FD77">
        <f ca="1"/>
      </c>
      <c r="FE77">
        <f ca="1"/>
      </c>
      <c r="FF77">
        <f ca="1"/>
      </c>
      <c r="FG77">
        <f ca="1"/>
      </c>
      <c r="FH77">
        <f ca="1"/>
      </c>
      <c r="FI77">
        <f ca="1"/>
      </c>
      <c r="FJ77">
        <f ca="1"/>
      </c>
      <c r="FK77">
        <f ca="1"/>
      </c>
      <c r="FL77">
        <f ca="1"/>
      </c>
      <c r="FM77">
        <f ca="1"/>
      </c>
      <c r="FN77">
        <f ca="1"/>
      </c>
      <c r="FO77">
        <f ca="1"/>
      </c>
      <c r="FP77">
        <f ca="1"/>
      </c>
      <c r="FQ77">
        <f ca="1"/>
      </c>
      <c r="FR77">
        <f ca="1"/>
      </c>
      <c r="FS77">
        <f ca="1"/>
      </c>
      <c r="FT77">
        <f ca="1"/>
      </c>
      <c r="FU77">
        <f ca="1"/>
      </c>
      <c r="FV77">
        <f ca="1"/>
      </c>
      <c r="FW77">
        <f ca="1"/>
      </c>
      <c r="FX77">
        <f ca="1"/>
      </c>
      <c r="FY77">
        <f ca="1"/>
      </c>
      <c r="FZ77">
        <f ca="1"/>
      </c>
      <c r="GA77">
        <f ca="1"/>
      </c>
      <c r="GM77" s="7">
        <f ca="1"/>
      </c>
      <c r="GN77">
        <f ca="1"/>
      </c>
      <c r="GO77">
        <f ca="1"/>
      </c>
      <c r="GP77">
        <f ca="1"/>
      </c>
      <c r="GQ77">
        <f ca="1"/>
      </c>
    </row>
    <row r="78" spans="41:199" x14ac:dyDescent="0.55000000000000004">
      <c r="AO78">
        <f ca="1"/>
      </c>
      <c r="AP78">
        <f ca="1"/>
      </c>
      <c r="AQ78">
        <f ca="1"/>
      </c>
      <c r="AR78">
        <f ca="1"/>
      </c>
      <c r="AS78">
        <f ca="1"/>
      </c>
      <c r="AT78">
        <f ca="1"/>
      </c>
      <c r="AU78">
        <f ca="1"/>
      </c>
      <c r="AV78">
        <f ca="1"/>
      </c>
      <c r="AW78">
        <f ca="1"/>
      </c>
      <c r="AX78">
        <f ca="1"/>
      </c>
      <c r="AY78">
        <f ca="1"/>
      </c>
      <c r="AZ78">
        <f ca="1"/>
      </c>
      <c r="BA78">
        <f ca="1"/>
      </c>
      <c r="BB78">
        <f ca="1"/>
      </c>
      <c r="BC78">
        <f ca="1"/>
      </c>
      <c r="BD78">
        <f ca="1"/>
      </c>
      <c r="BE78">
        <f ca="1"/>
      </c>
      <c r="BF78">
        <f ca="1"/>
      </c>
      <c r="BG78">
        <f ca="1"/>
      </c>
      <c r="BH78">
        <f ca="1"/>
      </c>
      <c r="BI78">
        <f ca="1"/>
      </c>
      <c r="BJ78">
        <f ca="1"/>
      </c>
      <c r="BK78">
        <f ca="1"/>
      </c>
      <c r="BL78">
        <f ca="1"/>
      </c>
      <c r="BM78">
        <f ca="1"/>
      </c>
      <c r="BN78">
        <f ca="1"/>
      </c>
      <c r="BO78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  <c r="BV78">
        <f ca="1"/>
      </c>
      <c r="BW78">
        <f ca="1"/>
      </c>
      <c r="BX78">
        <f ca="1"/>
      </c>
      <c r="BY78">
        <f ca="1"/>
      </c>
      <c r="BZ78">
        <f ca="1"/>
      </c>
      <c r="CA78">
        <f ca="1"/>
      </c>
      <c r="CB78">
        <f ca="1"/>
      </c>
      <c r="CC78">
        <f ca="1"/>
      </c>
      <c r="CD78">
        <f ca="1"/>
      </c>
      <c r="CE78">
        <f ca="1"/>
      </c>
      <c r="CF78">
        <f ca="1"/>
      </c>
      <c r="CG78">
        <f ca="1"/>
      </c>
      <c r="CH78">
        <f ca="1"/>
      </c>
      <c r="CI78">
        <f ca="1"/>
      </c>
      <c r="CK78">
        <f ca="1"/>
      </c>
      <c r="CL78">
        <f ca="1"/>
      </c>
      <c r="CM78">
        <f ca="1"/>
      </c>
      <c r="CN78">
        <f ca="1"/>
      </c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DQ78">
        <f ca="1"/>
      </c>
      <c r="DR78">
        <f ca="1"/>
      </c>
      <c r="DS78">
        <f ca="1"/>
      </c>
      <c r="DT78">
        <f ca="1"/>
      </c>
      <c r="DU78">
        <f ca="1"/>
      </c>
      <c r="DV78">
        <f ca="1"/>
      </c>
      <c r="DW78">
        <f ca="1"/>
      </c>
      <c r="DX78">
        <f ca="1"/>
      </c>
      <c r="DY78">
        <f ca="1"/>
      </c>
      <c r="DZ78">
        <f ca="1"/>
      </c>
      <c r="EA78">
        <f ca="1"/>
      </c>
      <c r="EB78">
        <f ca="1"/>
      </c>
      <c r="EC78">
        <f ca="1"/>
      </c>
      <c r="ED78">
        <f ca="1"/>
      </c>
      <c r="EE78">
        <f ca="1"/>
      </c>
      <c r="EG78">
        <f ca="1"/>
      </c>
      <c r="EH78">
        <f ca="1"/>
      </c>
      <c r="EI78">
        <f ca="1"/>
      </c>
      <c r="EJ78">
        <f ca="1"/>
      </c>
      <c r="EK78">
        <f ca="1"/>
      </c>
      <c r="EL78">
        <f ca="1"/>
      </c>
      <c r="EM78">
        <f ca="1"/>
      </c>
      <c r="EN78">
        <f ca="1"/>
      </c>
      <c r="EO78">
        <f ca="1"/>
      </c>
      <c r="EP78">
        <f ca="1"/>
      </c>
      <c r="EQ78">
        <f ca="1"/>
      </c>
      <c r="ER78">
        <f ca="1"/>
      </c>
      <c r="ES78">
        <f ca="1"/>
      </c>
      <c r="ET78">
        <f ca="1"/>
      </c>
      <c r="EU78">
        <f ca="1"/>
      </c>
      <c r="EV78">
        <f ca="1"/>
      </c>
      <c r="EW78">
        <f ca="1"/>
      </c>
      <c r="EX78">
        <f ca="1"/>
      </c>
      <c r="EY78">
        <f ca="1"/>
      </c>
      <c r="EZ78">
        <f ca="1"/>
      </c>
      <c r="FA78">
        <f ca="1"/>
      </c>
      <c r="FB78">
        <f ca="1"/>
      </c>
      <c r="FC78">
        <f ca="1"/>
      </c>
      <c r="FD78">
        <f ca="1"/>
      </c>
      <c r="FE78">
        <f ca="1"/>
      </c>
      <c r="FF78">
        <f ca="1"/>
      </c>
      <c r="FG78">
        <f ca="1"/>
      </c>
      <c r="FH78">
        <f ca="1"/>
      </c>
      <c r="FI78">
        <f ca="1"/>
      </c>
      <c r="FJ78">
        <f ca="1"/>
      </c>
      <c r="FK78">
        <f ca="1"/>
      </c>
      <c r="FL78">
        <f ca="1"/>
      </c>
      <c r="FM78">
        <f ca="1"/>
      </c>
      <c r="FN78">
        <f ca="1"/>
      </c>
      <c r="FO78">
        <f ca="1"/>
      </c>
      <c r="FP78">
        <f ca="1"/>
      </c>
      <c r="FQ78">
        <f ca="1"/>
      </c>
      <c r="FR78">
        <f ca="1"/>
      </c>
      <c r="FS78">
        <f ca="1"/>
      </c>
      <c r="FT78">
        <f ca="1"/>
      </c>
      <c r="FU78">
        <f ca="1"/>
      </c>
      <c r="FV78">
        <f ca="1"/>
      </c>
      <c r="FW78">
        <f ca="1"/>
      </c>
      <c r="FX78">
        <f ca="1"/>
      </c>
      <c r="FY78">
        <f ca="1"/>
      </c>
      <c r="FZ78">
        <f ca="1"/>
      </c>
      <c r="GA78">
        <f ca="1"/>
      </c>
      <c r="GM78" s="7">
        <f ca="1"/>
      </c>
      <c r="GN78">
        <f ca="1"/>
      </c>
      <c r="GO78">
        <f ca="1"/>
      </c>
      <c r="GP78">
        <f ca="1"/>
      </c>
      <c r="GQ78">
        <f ca="1"/>
      </c>
    </row>
    <row r="79" spans="41:199" x14ac:dyDescent="0.55000000000000004">
      <c r="AO79">
        <f ca="1"/>
      </c>
      <c r="AP79">
        <f ca="1"/>
      </c>
      <c r="AQ79">
        <f ca="1"/>
      </c>
      <c r="AR79">
        <f ca="1"/>
      </c>
      <c r="AS79">
        <f ca="1"/>
      </c>
      <c r="AT79">
        <f ca="1"/>
      </c>
      <c r="AU79">
        <f ca="1"/>
      </c>
      <c r="AV79">
        <f ca="1"/>
      </c>
      <c r="AW79">
        <f ca="1"/>
      </c>
      <c r="AX79">
        <f ca="1"/>
      </c>
      <c r="AY79">
        <f ca="1"/>
      </c>
      <c r="AZ79">
        <f ca="1"/>
      </c>
      <c r="BA79">
        <f ca="1"/>
      </c>
      <c r="BB79">
        <f ca="1"/>
      </c>
      <c r="BC79">
        <f ca="1"/>
      </c>
      <c r="BD79">
        <f ca="1"/>
      </c>
      <c r="BE79">
        <f ca="1"/>
      </c>
      <c r="BF79">
        <f ca="1"/>
      </c>
      <c r="BG79">
        <f ca="1"/>
      </c>
      <c r="BH79">
        <f ca="1"/>
      </c>
      <c r="BI79">
        <f ca="1"/>
      </c>
      <c r="BJ79">
        <f ca="1"/>
      </c>
      <c r="BK79">
        <f ca="1"/>
      </c>
      <c r="BL79">
        <f ca="1"/>
      </c>
      <c r="BM79">
        <f ca="1"/>
      </c>
      <c r="BN79">
        <f ca="1"/>
      </c>
      <c r="BO79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  <c r="BV79">
        <f ca="1"/>
      </c>
      <c r="BW79">
        <f ca="1"/>
      </c>
      <c r="BX79">
        <f ca="1"/>
      </c>
      <c r="BY79">
        <f ca="1"/>
      </c>
      <c r="BZ79">
        <f ca="1"/>
      </c>
      <c r="CA79">
        <f ca="1"/>
      </c>
      <c r="CB79">
        <f ca="1"/>
      </c>
      <c r="CC79">
        <f ca="1"/>
      </c>
      <c r="CD79">
        <f ca="1"/>
      </c>
      <c r="CE79">
        <f ca="1"/>
      </c>
      <c r="CF79">
        <f ca="1"/>
      </c>
      <c r="CG79">
        <f ca="1"/>
      </c>
      <c r="CH79">
        <f ca="1"/>
      </c>
      <c r="CI79">
        <f ca="1"/>
      </c>
      <c r="CK79">
        <f ca="1"/>
      </c>
      <c r="CL79">
        <f ca="1"/>
      </c>
      <c r="CM79">
        <f ca="1"/>
      </c>
      <c r="CN79">
        <f ca="1"/>
      </c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DQ79">
        <f ca="1"/>
      </c>
      <c r="DR79">
        <f ca="1"/>
      </c>
      <c r="DS79">
        <f ca="1"/>
      </c>
      <c r="DT79">
        <f ca="1"/>
      </c>
      <c r="DU79">
        <f ca="1"/>
      </c>
      <c r="DV79">
        <f ca="1"/>
      </c>
      <c r="DW79">
        <f ca="1"/>
      </c>
      <c r="DX79">
        <f ca="1"/>
      </c>
      <c r="DY79">
        <f ca="1"/>
      </c>
      <c r="DZ79">
        <f ca="1"/>
      </c>
      <c r="EA79">
        <f ca="1"/>
      </c>
      <c r="EB79">
        <f ca="1"/>
      </c>
      <c r="EC79">
        <f ca="1"/>
      </c>
      <c r="ED79">
        <f ca="1"/>
      </c>
      <c r="EE79">
        <f ca="1"/>
      </c>
      <c r="EG79">
        <f ca="1"/>
      </c>
      <c r="EH79">
        <f ca="1"/>
      </c>
      <c r="EI79">
        <f ca="1"/>
      </c>
      <c r="EJ79">
        <f ca="1"/>
      </c>
      <c r="EK79">
        <f ca="1"/>
      </c>
      <c r="EL79">
        <f ca="1"/>
      </c>
      <c r="EM79">
        <f ca="1"/>
      </c>
      <c r="EN79">
        <f ca="1"/>
      </c>
      <c r="EO79">
        <f ca="1"/>
      </c>
      <c r="EP79">
        <f ca="1"/>
      </c>
      <c r="EQ79">
        <f ca="1"/>
      </c>
      <c r="ER79">
        <f ca="1"/>
      </c>
      <c r="ES79">
        <f ca="1"/>
      </c>
      <c r="ET79">
        <f ca="1"/>
      </c>
      <c r="EU79">
        <f ca="1"/>
      </c>
      <c r="EV79">
        <f ca="1"/>
      </c>
      <c r="EW79">
        <f ca="1"/>
      </c>
      <c r="EX79">
        <f ca="1"/>
      </c>
      <c r="EY79">
        <f ca="1"/>
      </c>
      <c r="EZ79">
        <f ca="1"/>
      </c>
      <c r="FA79">
        <f ca="1"/>
      </c>
      <c r="FB79">
        <f ca="1"/>
      </c>
      <c r="FC79">
        <f ca="1"/>
      </c>
      <c r="FD79">
        <f ca="1"/>
      </c>
      <c r="FE79">
        <f ca="1"/>
      </c>
      <c r="FF79">
        <f ca="1"/>
      </c>
      <c r="FG79">
        <f ca="1"/>
      </c>
      <c r="FH79">
        <f ca="1"/>
      </c>
      <c r="FI79">
        <f ca="1"/>
      </c>
      <c r="FJ79">
        <f ca="1"/>
      </c>
      <c r="FK79">
        <f ca="1"/>
      </c>
      <c r="FL79">
        <f ca="1"/>
      </c>
      <c r="FM79">
        <f ca="1"/>
      </c>
      <c r="FN79">
        <f ca="1"/>
      </c>
      <c r="FO79">
        <f ca="1"/>
      </c>
      <c r="FP79">
        <f ca="1"/>
      </c>
      <c r="FQ79">
        <f ca="1"/>
      </c>
      <c r="FR79">
        <f ca="1"/>
      </c>
      <c r="FS79">
        <f ca="1"/>
      </c>
      <c r="FT79">
        <f ca="1"/>
      </c>
      <c r="FU79">
        <f ca="1"/>
      </c>
      <c r="FV79">
        <f ca="1"/>
      </c>
      <c r="FW79">
        <f ca="1"/>
      </c>
      <c r="FX79">
        <f ca="1"/>
      </c>
      <c r="FY79">
        <f ca="1"/>
      </c>
      <c r="FZ79">
        <f ca="1"/>
      </c>
      <c r="GA79">
        <f ca="1"/>
      </c>
      <c r="GM79" s="7">
        <f ca="1"/>
      </c>
      <c r="GN79">
        <f ca="1"/>
      </c>
      <c r="GO79">
        <f ca="1"/>
      </c>
      <c r="GP79">
        <f ca="1"/>
      </c>
      <c r="GQ79">
        <f ca="1"/>
      </c>
    </row>
    <row r="80" spans="41:199" x14ac:dyDescent="0.55000000000000004">
      <c r="AO80">
        <f ca="1"/>
      </c>
      <c r="AP80">
        <f ca="1"/>
      </c>
      <c r="AQ80">
        <f ca="1"/>
      </c>
      <c r="AR80">
        <f ca="1"/>
      </c>
      <c r="AS80">
        <f ca="1"/>
      </c>
      <c r="AT80">
        <f ca="1"/>
      </c>
      <c r="AU80">
        <f ca="1"/>
      </c>
      <c r="AV80">
        <f ca="1"/>
      </c>
      <c r="AW80">
        <f ca="1"/>
      </c>
      <c r="AX80">
        <f ca="1"/>
      </c>
      <c r="AY80">
        <f ca="1"/>
      </c>
      <c r="AZ80">
        <f ca="1"/>
      </c>
      <c r="BA80">
        <f ca="1"/>
      </c>
      <c r="BB80">
        <f ca="1"/>
      </c>
      <c r="BC80">
        <f ca="1"/>
      </c>
      <c r="BD80">
        <f ca="1"/>
      </c>
      <c r="BE80">
        <f ca="1"/>
      </c>
      <c r="BF80">
        <f ca="1"/>
      </c>
      <c r="BG80">
        <f ca="1"/>
      </c>
      <c r="BH80">
        <f ca="1"/>
      </c>
      <c r="BI80">
        <f ca="1"/>
      </c>
      <c r="BJ80">
        <f ca="1"/>
      </c>
      <c r="BK80">
        <f ca="1"/>
      </c>
      <c r="BL80">
        <f ca="1"/>
      </c>
      <c r="BM80">
        <f ca="1"/>
      </c>
      <c r="BN80">
        <f ca="1"/>
      </c>
      <c r="BO80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  <c r="BV80">
        <f ca="1"/>
      </c>
      <c r="BW80">
        <f ca="1"/>
      </c>
      <c r="BX80">
        <f ca="1"/>
      </c>
      <c r="BY80">
        <f ca="1"/>
      </c>
      <c r="BZ80">
        <f ca="1"/>
      </c>
      <c r="CA80">
        <f ca="1"/>
      </c>
      <c r="CB80">
        <f ca="1"/>
      </c>
      <c r="CC80">
        <f ca="1"/>
      </c>
      <c r="CD80">
        <f ca="1"/>
      </c>
      <c r="CE80">
        <f ca="1"/>
      </c>
      <c r="CF80">
        <f ca="1"/>
      </c>
      <c r="CG80">
        <f ca="1"/>
      </c>
      <c r="CH80">
        <f ca="1"/>
      </c>
      <c r="CI80">
        <f ca="1"/>
      </c>
      <c r="CK80">
        <f ca="1"/>
      </c>
      <c r="CL80">
        <f ca="1"/>
      </c>
      <c r="CM80">
        <f ca="1"/>
      </c>
      <c r="CN80">
        <f ca="1"/>
      </c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DQ80">
        <f ca="1"/>
      </c>
      <c r="DR80">
        <f ca="1"/>
      </c>
      <c r="DS80">
        <f ca="1"/>
      </c>
      <c r="DT80">
        <f ca="1"/>
      </c>
      <c r="DU80">
        <f ca="1"/>
      </c>
      <c r="DV80">
        <f ca="1"/>
      </c>
      <c r="DW80">
        <f ca="1"/>
      </c>
      <c r="DX80">
        <f ca="1"/>
      </c>
      <c r="DY80">
        <f ca="1"/>
      </c>
      <c r="DZ80">
        <f ca="1"/>
      </c>
      <c r="EA80">
        <f ca="1"/>
      </c>
      <c r="EB80">
        <f ca="1"/>
      </c>
      <c r="EC80">
        <f ca="1"/>
      </c>
      <c r="ED80">
        <f ca="1"/>
      </c>
      <c r="EE80">
        <f ca="1"/>
      </c>
      <c r="EG80">
        <f ca="1"/>
      </c>
      <c r="EH80">
        <f ca="1"/>
      </c>
      <c r="EI80">
        <f ca="1"/>
      </c>
      <c r="EJ80">
        <f ca="1"/>
      </c>
      <c r="EK80">
        <f ca="1"/>
      </c>
      <c r="EL80">
        <f ca="1"/>
      </c>
      <c r="EM80">
        <f ca="1"/>
      </c>
      <c r="EN80">
        <f ca="1"/>
      </c>
      <c r="EO80">
        <f ca="1"/>
      </c>
      <c r="EP80">
        <f ca="1"/>
      </c>
      <c r="EQ80">
        <f ca="1"/>
      </c>
      <c r="ER80">
        <f ca="1"/>
      </c>
      <c r="ES80">
        <f ca="1"/>
      </c>
      <c r="ET80">
        <f ca="1"/>
      </c>
      <c r="EU80">
        <f ca="1"/>
      </c>
      <c r="EV80">
        <f ca="1"/>
      </c>
      <c r="EW80">
        <f ca="1"/>
      </c>
      <c r="EX80">
        <f ca="1"/>
      </c>
      <c r="EY80">
        <f ca="1"/>
      </c>
      <c r="EZ80">
        <f ca="1"/>
      </c>
      <c r="FA80">
        <f ca="1"/>
      </c>
      <c r="FB80">
        <f ca="1"/>
      </c>
      <c r="FC80">
        <f ca="1"/>
      </c>
      <c r="FD80">
        <f ca="1"/>
      </c>
      <c r="FE80">
        <f ca="1"/>
      </c>
      <c r="FF80">
        <f ca="1"/>
      </c>
      <c r="FG80">
        <f ca="1"/>
      </c>
      <c r="FH80">
        <f ca="1"/>
      </c>
      <c r="FI80">
        <f ca="1"/>
      </c>
      <c r="FJ80">
        <f ca="1"/>
      </c>
      <c r="FK80">
        <f ca="1"/>
      </c>
      <c r="FL80">
        <f ca="1"/>
      </c>
      <c r="FM80">
        <f ca="1"/>
      </c>
      <c r="FN80">
        <f ca="1"/>
      </c>
      <c r="FO80">
        <f ca="1"/>
      </c>
      <c r="FP80">
        <f ca="1"/>
      </c>
      <c r="FQ80">
        <f ca="1"/>
      </c>
      <c r="FR80">
        <f ca="1"/>
      </c>
      <c r="FS80">
        <f ca="1"/>
      </c>
      <c r="FT80">
        <f ca="1"/>
      </c>
      <c r="FU80">
        <f ca="1"/>
      </c>
      <c r="FV80">
        <f ca="1"/>
      </c>
      <c r="FW80">
        <f ca="1"/>
      </c>
      <c r="FX80">
        <f ca="1"/>
      </c>
      <c r="FY80">
        <f ca="1"/>
      </c>
      <c r="FZ80">
        <f ca="1"/>
      </c>
      <c r="GA80">
        <f ca="1"/>
      </c>
      <c r="GM80" s="7">
        <f ca="1"/>
      </c>
      <c r="GN80">
        <f ca="1"/>
      </c>
      <c r="GO80">
        <f ca="1"/>
      </c>
      <c r="GP80">
        <f ca="1"/>
      </c>
      <c r="GQ80">
        <f ca="1"/>
      </c>
    </row>
    <row r="81" spans="41:199" x14ac:dyDescent="0.55000000000000004">
      <c r="AO81">
        <f ca="1"/>
      </c>
      <c r="AP81">
        <f ca="1"/>
      </c>
      <c r="AQ81">
        <f ca="1"/>
      </c>
      <c r="AR81">
        <f ca="1"/>
      </c>
      <c r="AS81">
        <f ca="1"/>
      </c>
      <c r="AT81">
        <f ca="1"/>
      </c>
      <c r="AU81">
        <f ca="1"/>
      </c>
      <c r="AV81">
        <f ca="1"/>
      </c>
      <c r="AW81">
        <f ca="1"/>
      </c>
      <c r="AX81">
        <f ca="1"/>
      </c>
      <c r="AY81">
        <f ca="1"/>
      </c>
      <c r="AZ81">
        <f ca="1"/>
      </c>
      <c r="BA81">
        <f ca="1"/>
      </c>
      <c r="BB81">
        <f ca="1"/>
      </c>
      <c r="BC81">
        <f ca="1"/>
      </c>
      <c r="BD81">
        <f ca="1"/>
      </c>
      <c r="BE81">
        <f ca="1"/>
      </c>
      <c r="BF81">
        <f ca="1"/>
      </c>
      <c r="BG81">
        <f ca="1"/>
      </c>
      <c r="BH81">
        <f ca="1"/>
      </c>
      <c r="BI81">
        <f ca="1"/>
      </c>
      <c r="BJ81">
        <f ca="1"/>
      </c>
      <c r="BK81">
        <f ca="1"/>
      </c>
      <c r="BL81">
        <f ca="1"/>
      </c>
      <c r="BM81">
        <f ca="1"/>
      </c>
      <c r="BN81">
        <f ca="1"/>
      </c>
      <c r="BO8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  <c r="BV81">
        <f ca="1"/>
      </c>
      <c r="BW81">
        <f ca="1"/>
      </c>
      <c r="BX81">
        <f ca="1"/>
      </c>
      <c r="BY81">
        <f ca="1"/>
      </c>
      <c r="BZ81">
        <f ca="1"/>
      </c>
      <c r="CA81">
        <f ca="1"/>
      </c>
      <c r="CB81">
        <f ca="1"/>
      </c>
      <c r="CC81">
        <f ca="1"/>
      </c>
      <c r="CD81">
        <f ca="1"/>
      </c>
      <c r="CE81">
        <f ca="1"/>
      </c>
      <c r="CF81">
        <f ca="1"/>
      </c>
      <c r="CG81">
        <f ca="1"/>
      </c>
      <c r="CH81">
        <f ca="1"/>
      </c>
      <c r="CI81">
        <f ca="1"/>
      </c>
      <c r="CK81">
        <f ca="1"/>
      </c>
      <c r="CL81">
        <f ca="1"/>
      </c>
      <c r="CM81">
        <f ca="1"/>
      </c>
      <c r="CN81">
        <f ca="1"/>
      </c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DQ81">
        <f ca="1"/>
      </c>
      <c r="DR81">
        <f ca="1"/>
      </c>
      <c r="DS81">
        <f ca="1"/>
      </c>
      <c r="DT81">
        <f ca="1"/>
      </c>
      <c r="DU81">
        <f ca="1"/>
      </c>
      <c r="DV81">
        <f ca="1"/>
      </c>
      <c r="DW81">
        <f ca="1"/>
      </c>
      <c r="DX81">
        <f ca="1"/>
      </c>
      <c r="DY81">
        <f ca="1"/>
      </c>
      <c r="DZ81">
        <f ca="1"/>
      </c>
      <c r="EA81">
        <f ca="1"/>
      </c>
      <c r="EB81">
        <f ca="1"/>
      </c>
      <c r="EC81">
        <f ca="1"/>
      </c>
      <c r="ED81">
        <f ca="1"/>
      </c>
      <c r="EE81">
        <f ca="1"/>
      </c>
      <c r="EG81">
        <f ca="1"/>
      </c>
      <c r="EH81">
        <f ca="1"/>
      </c>
      <c r="EI81">
        <f ca="1"/>
      </c>
      <c r="EJ81">
        <f ca="1"/>
      </c>
      <c r="EK81">
        <f ca="1"/>
      </c>
      <c r="EL81">
        <f ca="1"/>
      </c>
      <c r="EM81">
        <f ca="1"/>
      </c>
      <c r="EN81">
        <f ca="1"/>
      </c>
      <c r="EO81">
        <f ca="1"/>
      </c>
      <c r="EP81">
        <f ca="1"/>
      </c>
      <c r="EQ81">
        <f ca="1"/>
      </c>
      <c r="ER81">
        <f ca="1"/>
      </c>
      <c r="ES81">
        <f ca="1"/>
      </c>
      <c r="ET81">
        <f ca="1"/>
      </c>
      <c r="EU81">
        <f ca="1"/>
      </c>
      <c r="EV81">
        <f ca="1"/>
      </c>
      <c r="EW81">
        <f ca="1"/>
      </c>
      <c r="EX81">
        <f ca="1"/>
      </c>
      <c r="EY81">
        <f ca="1"/>
      </c>
      <c r="EZ81">
        <f ca="1"/>
      </c>
      <c r="FA81">
        <f ca="1"/>
      </c>
      <c r="FB81">
        <f ca="1"/>
      </c>
      <c r="FC81">
        <f ca="1"/>
      </c>
      <c r="FD81">
        <f ca="1"/>
      </c>
      <c r="FE81">
        <f ca="1"/>
      </c>
      <c r="FF81">
        <f ca="1"/>
      </c>
      <c r="FG81">
        <f ca="1"/>
      </c>
      <c r="FH81">
        <f ca="1"/>
      </c>
      <c r="FI81">
        <f ca="1"/>
      </c>
      <c r="FJ81">
        <f ca="1"/>
      </c>
      <c r="FK81">
        <f ca="1"/>
      </c>
      <c r="FL81">
        <f ca="1"/>
      </c>
      <c r="FM81">
        <f ca="1"/>
      </c>
      <c r="FN81">
        <f ca="1"/>
      </c>
      <c r="FO81">
        <f ca="1"/>
      </c>
      <c r="FP81">
        <f ca="1"/>
      </c>
      <c r="FQ81">
        <f ca="1"/>
      </c>
      <c r="FR81">
        <f ca="1"/>
      </c>
      <c r="FS81">
        <f ca="1"/>
      </c>
      <c r="FT81">
        <f ca="1"/>
      </c>
      <c r="FU81">
        <f ca="1"/>
      </c>
      <c r="FV81">
        <f ca="1"/>
      </c>
      <c r="FW81">
        <f ca="1"/>
      </c>
      <c r="FX81">
        <f ca="1"/>
      </c>
      <c r="FY81">
        <f ca="1"/>
      </c>
      <c r="FZ81">
        <f ca="1"/>
      </c>
      <c r="GA81">
        <f ca="1"/>
      </c>
      <c r="GM81" s="7">
        <f ca="1"/>
      </c>
      <c r="GN81">
        <f ca="1"/>
      </c>
      <c r="GO81">
        <f ca="1"/>
      </c>
      <c r="GP81">
        <f ca="1"/>
      </c>
      <c r="GQ81">
        <f ca="1"/>
      </c>
    </row>
    <row r="82" spans="41:199" x14ac:dyDescent="0.55000000000000004">
      <c r="AO82">
        <f ca="1"/>
      </c>
      <c r="AP82">
        <f ca="1"/>
      </c>
      <c r="AQ82">
        <f ca="1"/>
      </c>
      <c r="AR82">
        <f ca="1"/>
      </c>
      <c r="AS82">
        <f ca="1"/>
      </c>
      <c r="AT82">
        <f ca="1"/>
      </c>
      <c r="AU82">
        <f ca="1"/>
      </c>
      <c r="AV82">
        <f ca="1"/>
      </c>
      <c r="AW82">
        <f ca="1"/>
      </c>
      <c r="AX82">
        <f ca="1"/>
      </c>
      <c r="AY82">
        <f ca="1"/>
      </c>
      <c r="AZ82">
        <f ca="1"/>
      </c>
      <c r="BA82">
        <f ca="1"/>
      </c>
      <c r="BB82">
        <f ca="1"/>
      </c>
      <c r="BC82">
        <f ca="1"/>
      </c>
      <c r="BD82">
        <f ca="1"/>
      </c>
      <c r="BE82">
        <f ca="1"/>
      </c>
      <c r="BF82">
        <f ca="1"/>
      </c>
      <c r="BG82">
        <f ca="1"/>
      </c>
      <c r="BH82">
        <f ca="1"/>
      </c>
      <c r="BI82">
        <f ca="1"/>
      </c>
      <c r="BJ82">
        <f ca="1"/>
      </c>
      <c r="BK82">
        <f ca="1"/>
      </c>
      <c r="BL82">
        <f ca="1"/>
      </c>
      <c r="BM82">
        <f ca="1"/>
      </c>
      <c r="BN82">
        <f ca="1"/>
      </c>
      <c r="BO82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  <c r="BV82">
        <f ca="1"/>
      </c>
      <c r="BW82">
        <f ca="1"/>
      </c>
      <c r="BX82">
        <f ca="1"/>
      </c>
      <c r="BY82">
        <f ca="1"/>
      </c>
      <c r="BZ82">
        <f ca="1"/>
      </c>
      <c r="CA82">
        <f ca="1"/>
      </c>
      <c r="CB82">
        <f ca="1"/>
      </c>
      <c r="CC82">
        <f ca="1"/>
      </c>
      <c r="CD82">
        <f ca="1"/>
      </c>
      <c r="CE82">
        <f ca="1"/>
      </c>
      <c r="CF82">
        <f ca="1"/>
      </c>
      <c r="CG82">
        <f ca="1"/>
      </c>
      <c r="CH82">
        <f ca="1"/>
      </c>
      <c r="CI82">
        <f ca="1"/>
      </c>
      <c r="CK82">
        <f ca="1"/>
      </c>
      <c r="CL82">
        <f ca="1"/>
      </c>
      <c r="CM82">
        <f ca="1"/>
      </c>
      <c r="CN82">
        <f ca="1"/>
      </c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DQ82">
        <f ca="1"/>
      </c>
      <c r="DR82">
        <f ca="1"/>
      </c>
      <c r="DS82">
        <f ca="1"/>
      </c>
      <c r="DT82">
        <f ca="1"/>
      </c>
      <c r="DU82">
        <f ca="1"/>
      </c>
      <c r="DV82">
        <f ca="1"/>
      </c>
      <c r="DW82">
        <f ca="1"/>
      </c>
      <c r="DX82">
        <f ca="1"/>
      </c>
      <c r="DY82">
        <f ca="1"/>
      </c>
      <c r="DZ82">
        <f ca="1"/>
      </c>
      <c r="EA82">
        <f ca="1"/>
      </c>
      <c r="EB82">
        <f ca="1"/>
      </c>
      <c r="EC82">
        <f ca="1"/>
      </c>
      <c r="ED82">
        <f ca="1"/>
      </c>
      <c r="EE82">
        <f ca="1"/>
      </c>
      <c r="EG82">
        <f ca="1"/>
      </c>
      <c r="EH82">
        <f ca="1"/>
      </c>
      <c r="EI82">
        <f ca="1"/>
      </c>
      <c r="EJ82">
        <f ca="1"/>
      </c>
      <c r="EK82">
        <f ca="1"/>
      </c>
      <c r="EL82">
        <f ca="1"/>
      </c>
      <c r="EM82">
        <f ca="1"/>
      </c>
      <c r="EN82">
        <f ca="1"/>
      </c>
      <c r="EO82">
        <f ca="1"/>
      </c>
      <c r="EP82">
        <f ca="1"/>
      </c>
      <c r="EQ82">
        <f ca="1"/>
      </c>
      <c r="ER82">
        <f ca="1"/>
      </c>
      <c r="ES82">
        <f ca="1"/>
      </c>
      <c r="ET82">
        <f ca="1"/>
      </c>
      <c r="EU82">
        <f ca="1"/>
      </c>
      <c r="EV82">
        <f ca="1"/>
      </c>
      <c r="EW82">
        <f ca="1"/>
      </c>
      <c r="EX82">
        <f ca="1"/>
      </c>
      <c r="EY82">
        <f ca="1"/>
      </c>
      <c r="EZ82">
        <f ca="1"/>
      </c>
      <c r="FA82">
        <f ca="1"/>
      </c>
      <c r="FB82">
        <f ca="1"/>
      </c>
      <c r="FC82">
        <f ca="1"/>
      </c>
      <c r="FD82">
        <f ca="1"/>
      </c>
      <c r="FE82">
        <f ca="1"/>
      </c>
      <c r="FF82">
        <f ca="1"/>
      </c>
      <c r="FG82">
        <f ca="1"/>
      </c>
      <c r="FH82">
        <f ca="1"/>
      </c>
      <c r="FI82">
        <f ca="1"/>
      </c>
      <c r="FJ82">
        <f ca="1"/>
      </c>
      <c r="FK82">
        <f ca="1"/>
      </c>
      <c r="FL82">
        <f ca="1"/>
      </c>
      <c r="FM82">
        <f ca="1"/>
      </c>
      <c r="FN82">
        <f ca="1"/>
      </c>
      <c r="FO82">
        <f ca="1"/>
      </c>
      <c r="FP82">
        <f ca="1"/>
      </c>
      <c r="FQ82">
        <f ca="1"/>
      </c>
      <c r="FR82">
        <f ca="1"/>
      </c>
      <c r="FS82">
        <f ca="1"/>
      </c>
      <c r="FT82">
        <f ca="1"/>
      </c>
      <c r="FU82">
        <f ca="1"/>
      </c>
      <c r="FV82">
        <f ca="1"/>
      </c>
      <c r="FW82">
        <f ca="1"/>
      </c>
      <c r="FX82">
        <f ca="1"/>
      </c>
      <c r="FY82">
        <f ca="1"/>
      </c>
      <c r="FZ82">
        <f ca="1"/>
      </c>
      <c r="GA82">
        <f ca="1"/>
      </c>
      <c r="GM82" s="7">
        <f ca="1"/>
      </c>
      <c r="GN82">
        <f ca="1"/>
      </c>
      <c r="GO82">
        <f ca="1"/>
      </c>
      <c r="GP82">
        <f ca="1"/>
      </c>
      <c r="GQ82">
        <f ca="1"/>
      </c>
    </row>
    <row r="83" spans="41:199" x14ac:dyDescent="0.55000000000000004">
      <c r="AO83">
        <f ca="1"/>
      </c>
      <c r="AP83">
        <f ca="1"/>
      </c>
      <c r="AQ83">
        <f ca="1"/>
      </c>
      <c r="AR83">
        <f ca="1"/>
      </c>
      <c r="AS83">
        <f ca="1"/>
      </c>
      <c r="AT83">
        <f ca="1"/>
      </c>
      <c r="AU83">
        <f ca="1"/>
      </c>
      <c r="AV83">
        <f ca="1"/>
      </c>
      <c r="AW83">
        <f ca="1"/>
      </c>
      <c r="AX83">
        <f ca="1"/>
      </c>
      <c r="AY83">
        <f ca="1"/>
      </c>
      <c r="AZ83">
        <f ca="1"/>
      </c>
      <c r="BA83">
        <f ca="1"/>
      </c>
      <c r="BB83">
        <f ca="1"/>
      </c>
      <c r="BC83">
        <f ca="1"/>
      </c>
      <c r="BD83">
        <f ca="1"/>
      </c>
      <c r="BE83">
        <f ca="1"/>
      </c>
      <c r="BF83">
        <f ca="1"/>
      </c>
      <c r="BG83">
        <f ca="1"/>
      </c>
      <c r="BH83">
        <f ca="1"/>
      </c>
      <c r="BI83">
        <f ca="1"/>
      </c>
      <c r="BJ83">
        <f ca="1"/>
      </c>
      <c r="BK83">
        <f ca="1"/>
      </c>
      <c r="BL83">
        <f ca="1"/>
      </c>
      <c r="BM83">
        <f ca="1"/>
      </c>
      <c r="BN83">
        <f ca="1"/>
      </c>
      <c r="BO83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  <c r="BV83">
        <f ca="1"/>
      </c>
      <c r="BW83">
        <f ca="1"/>
      </c>
      <c r="BX83">
        <f ca="1"/>
      </c>
      <c r="BY83">
        <f ca="1"/>
      </c>
      <c r="BZ83">
        <f ca="1"/>
      </c>
      <c r="CA83">
        <f ca="1"/>
      </c>
      <c r="CB83">
        <f ca="1"/>
      </c>
      <c r="CC83">
        <f ca="1"/>
      </c>
      <c r="CD83">
        <f ca="1"/>
      </c>
      <c r="CE83">
        <f ca="1"/>
      </c>
      <c r="CF83">
        <f ca="1"/>
      </c>
      <c r="CG83">
        <f ca="1"/>
      </c>
      <c r="CH83">
        <f ca="1"/>
      </c>
      <c r="CI83">
        <f ca="1"/>
      </c>
      <c r="CK83">
        <f ca="1"/>
      </c>
      <c r="CL83">
        <f ca="1"/>
      </c>
      <c r="CM83">
        <f ca="1"/>
      </c>
      <c r="CN83">
        <f ca="1"/>
      </c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DQ83">
        <f ca="1"/>
      </c>
      <c r="DR83">
        <f ca="1"/>
      </c>
      <c r="DS83">
        <f ca="1"/>
      </c>
      <c r="DT83">
        <f ca="1"/>
      </c>
      <c r="DU83">
        <f ca="1"/>
      </c>
      <c r="DV83">
        <f ca="1"/>
      </c>
      <c r="DW83">
        <f ca="1"/>
      </c>
      <c r="DX83">
        <f ca="1"/>
      </c>
      <c r="DY83">
        <f ca="1"/>
      </c>
      <c r="DZ83">
        <f ca="1"/>
      </c>
      <c r="EA83">
        <f ca="1"/>
      </c>
      <c r="EB83">
        <f ca="1"/>
      </c>
      <c r="EC83">
        <f ca="1"/>
      </c>
      <c r="ED83">
        <f ca="1"/>
      </c>
      <c r="EE83">
        <f ca="1"/>
      </c>
      <c r="EG83">
        <f ca="1"/>
      </c>
      <c r="EH83">
        <f ca="1"/>
      </c>
      <c r="EI83">
        <f ca="1"/>
      </c>
      <c r="EJ83">
        <f ca="1"/>
      </c>
      <c r="EK83">
        <f ca="1"/>
      </c>
      <c r="EL83">
        <f ca="1"/>
      </c>
      <c r="EM83">
        <f ca="1"/>
      </c>
      <c r="EN83">
        <f ca="1"/>
      </c>
      <c r="EO83">
        <f ca="1"/>
      </c>
      <c r="EP83">
        <f ca="1"/>
      </c>
      <c r="EQ83">
        <f ca="1"/>
      </c>
      <c r="ER83">
        <f ca="1"/>
      </c>
      <c r="ES83">
        <f ca="1"/>
      </c>
      <c r="ET83">
        <f ca="1"/>
      </c>
      <c r="EU83">
        <f ca="1"/>
      </c>
      <c r="EV83">
        <f ca="1"/>
      </c>
      <c r="EW83">
        <f ca="1"/>
      </c>
      <c r="EX83">
        <f ca="1"/>
      </c>
      <c r="EY83">
        <f ca="1"/>
      </c>
      <c r="EZ83">
        <f ca="1"/>
      </c>
      <c r="FA83">
        <f ca="1"/>
      </c>
      <c r="FB83">
        <f ca="1"/>
      </c>
      <c r="FC83">
        <f ca="1"/>
      </c>
      <c r="FD83">
        <f ca="1"/>
      </c>
      <c r="FE83">
        <f ca="1"/>
      </c>
      <c r="FF83">
        <f ca="1"/>
      </c>
      <c r="FG83">
        <f ca="1"/>
      </c>
      <c r="FH83">
        <f ca="1"/>
      </c>
      <c r="FI83">
        <f ca="1"/>
      </c>
      <c r="FJ83">
        <f ca="1"/>
      </c>
      <c r="FK83">
        <f ca="1"/>
      </c>
      <c r="FL83">
        <f ca="1"/>
      </c>
      <c r="FM83">
        <f ca="1"/>
      </c>
      <c r="FN83">
        <f ca="1"/>
      </c>
      <c r="FO83">
        <f ca="1"/>
      </c>
      <c r="FP83">
        <f ca="1"/>
      </c>
      <c r="FQ83">
        <f ca="1"/>
      </c>
      <c r="FR83">
        <f ca="1"/>
      </c>
      <c r="FS83">
        <f ca="1"/>
      </c>
      <c r="FT83">
        <f ca="1"/>
      </c>
      <c r="FU83">
        <f ca="1"/>
      </c>
      <c r="FV83">
        <f ca="1"/>
      </c>
      <c r="FW83">
        <f ca="1"/>
      </c>
      <c r="FX83">
        <f ca="1"/>
      </c>
      <c r="FY83">
        <f ca="1"/>
      </c>
      <c r="FZ83">
        <f ca="1"/>
      </c>
      <c r="GA83">
        <f ca="1"/>
      </c>
      <c r="GM83" s="7">
        <f ca="1"/>
      </c>
      <c r="GN83">
        <f ca="1"/>
      </c>
      <c r="GO83">
        <f ca="1"/>
      </c>
      <c r="GP83">
        <f ca="1"/>
      </c>
      <c r="GQ83">
        <f ca="1"/>
      </c>
    </row>
    <row r="84" spans="41:199" x14ac:dyDescent="0.55000000000000004">
      <c r="AO84">
        <f ca="1"/>
      </c>
      <c r="AP84">
        <f ca="1"/>
      </c>
      <c r="AQ84">
        <f ca="1"/>
      </c>
      <c r="AR84">
        <f ca="1"/>
      </c>
      <c r="AS84">
        <f ca="1"/>
      </c>
      <c r="AT84">
        <f ca="1"/>
      </c>
      <c r="AU84">
        <f ca="1"/>
      </c>
      <c r="AV84">
        <f ca="1"/>
      </c>
      <c r="AW84">
        <f ca="1"/>
      </c>
      <c r="AX84">
        <f ca="1"/>
      </c>
      <c r="AY84">
        <f ca="1"/>
      </c>
      <c r="AZ84">
        <f ca="1"/>
      </c>
      <c r="BA84">
        <f ca="1"/>
      </c>
      <c r="BB84">
        <f ca="1"/>
      </c>
      <c r="BC84">
        <f ca="1"/>
      </c>
      <c r="BD84">
        <f ca="1"/>
      </c>
      <c r="BE84">
        <f ca="1"/>
      </c>
      <c r="BF84">
        <f ca="1"/>
      </c>
      <c r="BG84">
        <f ca="1"/>
      </c>
      <c r="BH84">
        <f ca="1"/>
      </c>
      <c r="BI84">
        <f ca="1"/>
      </c>
      <c r="BJ84">
        <f ca="1"/>
      </c>
      <c r="BK84">
        <f ca="1"/>
      </c>
      <c r="BL84">
        <f ca="1"/>
      </c>
      <c r="BM84">
        <f ca="1"/>
      </c>
      <c r="BN84">
        <f ca="1"/>
      </c>
      <c r="BO84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  <c r="BV84">
        <f ca="1"/>
      </c>
      <c r="BW84">
        <f ca="1"/>
      </c>
      <c r="BX84">
        <f ca="1"/>
      </c>
      <c r="BY84">
        <f ca="1"/>
      </c>
      <c r="BZ84">
        <f ca="1"/>
      </c>
      <c r="CA84">
        <f ca="1"/>
      </c>
      <c r="CB84">
        <f ca="1"/>
      </c>
      <c r="CC84">
        <f ca="1"/>
      </c>
      <c r="CD84">
        <f ca="1"/>
      </c>
      <c r="CE84">
        <f ca="1"/>
      </c>
      <c r="CF84">
        <f ca="1"/>
      </c>
      <c r="CG84">
        <f ca="1"/>
      </c>
      <c r="CH84">
        <f ca="1"/>
      </c>
      <c r="CI84">
        <f ca="1"/>
      </c>
      <c r="CK84">
        <f ca="1"/>
      </c>
      <c r="CL84">
        <f ca="1"/>
      </c>
      <c r="CM84">
        <f ca="1"/>
      </c>
      <c r="CN84">
        <f ca="1"/>
      </c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DQ84">
        <f ca="1"/>
      </c>
      <c r="DR84">
        <f ca="1"/>
      </c>
      <c r="DS84">
        <f ca="1"/>
      </c>
      <c r="DT84">
        <f ca="1"/>
      </c>
      <c r="DU84">
        <f ca="1"/>
      </c>
      <c r="DV84">
        <f ca="1"/>
      </c>
      <c r="DW84">
        <f ca="1"/>
      </c>
      <c r="DX84">
        <f ca="1"/>
      </c>
      <c r="DY84">
        <f ca="1"/>
      </c>
      <c r="DZ84">
        <f ca="1"/>
      </c>
      <c r="EA84">
        <f ca="1"/>
      </c>
      <c r="EB84">
        <f ca="1"/>
      </c>
      <c r="EC84">
        <f ca="1"/>
      </c>
      <c r="ED84">
        <f ca="1"/>
      </c>
      <c r="EE84">
        <f ca="1"/>
      </c>
      <c r="EG84">
        <f ca="1"/>
      </c>
      <c r="EH84">
        <f ca="1"/>
      </c>
      <c r="EI84">
        <f ca="1"/>
      </c>
      <c r="EJ84">
        <f ca="1"/>
      </c>
      <c r="EK84">
        <f ca="1"/>
      </c>
      <c r="EL84">
        <f ca="1"/>
      </c>
      <c r="EM84">
        <f ca="1"/>
      </c>
      <c r="EN84">
        <f ca="1"/>
      </c>
      <c r="EO84">
        <f ca="1"/>
      </c>
      <c r="EP84">
        <f ca="1"/>
      </c>
      <c r="EQ84">
        <f ca="1"/>
      </c>
      <c r="ER84">
        <f ca="1"/>
      </c>
      <c r="ES84">
        <f ca="1"/>
      </c>
      <c r="ET84">
        <f ca="1"/>
      </c>
      <c r="EU84">
        <f ca="1"/>
      </c>
      <c r="EV84">
        <f ca="1"/>
      </c>
      <c r="EW84">
        <f ca="1"/>
      </c>
      <c r="EX84">
        <f ca="1"/>
      </c>
      <c r="EY84">
        <f ca="1"/>
      </c>
      <c r="EZ84">
        <f ca="1"/>
      </c>
      <c r="FA84">
        <f ca="1"/>
      </c>
      <c r="FB84">
        <f ca="1"/>
      </c>
      <c r="FC84">
        <f ca="1"/>
      </c>
      <c r="FD84">
        <f ca="1"/>
      </c>
      <c r="FE84">
        <f ca="1"/>
      </c>
      <c r="FF84">
        <f ca="1"/>
      </c>
      <c r="FG84">
        <f ca="1"/>
      </c>
      <c r="FH84">
        <f ca="1"/>
      </c>
      <c r="FI84">
        <f ca="1"/>
      </c>
      <c r="FJ84">
        <f ca="1"/>
      </c>
      <c r="FK84">
        <f ca="1"/>
      </c>
      <c r="FL84">
        <f ca="1"/>
      </c>
      <c r="FM84">
        <f ca="1"/>
      </c>
      <c r="FN84">
        <f ca="1"/>
      </c>
      <c r="FO84">
        <f ca="1"/>
      </c>
      <c r="FP84">
        <f ca="1"/>
      </c>
      <c r="FQ84">
        <f ca="1"/>
      </c>
      <c r="FR84">
        <f ca="1"/>
      </c>
      <c r="FS84">
        <f ca="1"/>
      </c>
      <c r="FT84">
        <f ca="1"/>
      </c>
      <c r="FU84">
        <f ca="1"/>
      </c>
      <c r="FV84">
        <f ca="1"/>
      </c>
      <c r="FW84">
        <f ca="1"/>
      </c>
      <c r="FX84">
        <f ca="1"/>
      </c>
      <c r="FY84">
        <f ca="1"/>
      </c>
      <c r="FZ84">
        <f ca="1"/>
      </c>
      <c r="GA84">
        <f ca="1"/>
      </c>
      <c r="GM84" s="7">
        <f ca="1"/>
      </c>
      <c r="GN84">
        <f ca="1"/>
      </c>
      <c r="GO84">
        <f ca="1"/>
      </c>
      <c r="GP84">
        <f ca="1"/>
      </c>
      <c r="GQ84">
        <f ca="1"/>
      </c>
    </row>
    <row r="85" spans="41:199" x14ac:dyDescent="0.55000000000000004">
      <c r="AO85">
        <f ca="1"/>
      </c>
      <c r="AP85">
        <f ca="1"/>
      </c>
      <c r="AQ85">
        <f ca="1"/>
      </c>
      <c r="AR85">
        <f ca="1"/>
      </c>
      <c r="AS85">
        <f ca="1"/>
      </c>
      <c r="AT85">
        <f ca="1"/>
      </c>
      <c r="AU85">
        <f ca="1"/>
      </c>
      <c r="AV85">
        <f ca="1"/>
      </c>
      <c r="AW85">
        <f ca="1"/>
      </c>
      <c r="AX85">
        <f ca="1"/>
      </c>
      <c r="AY85">
        <f ca="1"/>
      </c>
      <c r="AZ85">
        <f ca="1"/>
      </c>
      <c r="BA85">
        <f ca="1"/>
      </c>
      <c r="BB85">
        <f ca="1"/>
      </c>
      <c r="BC85">
        <f ca="1"/>
      </c>
      <c r="BD85">
        <f ca="1"/>
      </c>
      <c r="BE85">
        <f ca="1"/>
      </c>
      <c r="BF85">
        <f ca="1"/>
      </c>
      <c r="BG85">
        <f ca="1"/>
      </c>
      <c r="BH85">
        <f ca="1"/>
      </c>
      <c r="BI85">
        <f ca="1"/>
      </c>
      <c r="BJ85">
        <f ca="1"/>
      </c>
      <c r="BK85">
        <f ca="1"/>
      </c>
      <c r="BL85">
        <f ca="1"/>
      </c>
      <c r="BM85">
        <f ca="1"/>
      </c>
      <c r="BN85">
        <f ca="1"/>
      </c>
      <c r="BO85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  <c r="BV85">
        <f ca="1"/>
      </c>
      <c r="BW85">
        <f ca="1"/>
      </c>
      <c r="BX85">
        <f ca="1"/>
      </c>
      <c r="BY85">
        <f ca="1"/>
      </c>
      <c r="BZ85">
        <f ca="1"/>
      </c>
      <c r="CA85">
        <f ca="1"/>
      </c>
      <c r="CB85">
        <f ca="1"/>
      </c>
      <c r="CC85">
        <f ca="1"/>
      </c>
      <c r="CD85">
        <f ca="1"/>
      </c>
      <c r="CE85">
        <f ca="1"/>
      </c>
      <c r="CF85">
        <f ca="1"/>
      </c>
      <c r="CG85">
        <f ca="1"/>
      </c>
      <c r="CH85">
        <f ca="1"/>
      </c>
      <c r="CI85">
        <f ca="1"/>
      </c>
      <c r="CK85">
        <f ca="1"/>
      </c>
      <c r="CL85">
        <f ca="1"/>
      </c>
      <c r="CM85">
        <f ca="1"/>
      </c>
      <c r="CN85">
        <f ca="1"/>
      </c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DQ85">
        <f ca="1"/>
      </c>
      <c r="DR85">
        <f ca="1"/>
      </c>
      <c r="DS85">
        <f ca="1"/>
      </c>
      <c r="DT85">
        <f ca="1"/>
      </c>
      <c r="DU85">
        <f ca="1"/>
      </c>
      <c r="DV85">
        <f ca="1"/>
      </c>
      <c r="DW85">
        <f ca="1"/>
      </c>
      <c r="DX85">
        <f ca="1"/>
      </c>
      <c r="DY85">
        <f ca="1"/>
      </c>
      <c r="DZ85">
        <f ca="1"/>
      </c>
      <c r="EA85">
        <f ca="1"/>
      </c>
      <c r="EB85">
        <f ca="1"/>
      </c>
      <c r="EC85">
        <f ca="1"/>
      </c>
      <c r="ED85">
        <f ca="1"/>
      </c>
      <c r="EE85">
        <f ca="1"/>
      </c>
      <c r="EG85">
        <f ca="1"/>
      </c>
      <c r="EH85">
        <f ca="1"/>
      </c>
      <c r="EI85">
        <f ca="1"/>
      </c>
      <c r="EJ85">
        <f ca="1"/>
      </c>
      <c r="EK85">
        <f ca="1"/>
      </c>
      <c r="EL85">
        <f ca="1"/>
      </c>
      <c r="EM85">
        <f ca="1"/>
      </c>
      <c r="EN85">
        <f ca="1"/>
      </c>
      <c r="EO85">
        <f ca="1"/>
      </c>
      <c r="EP85">
        <f ca="1"/>
      </c>
      <c r="EQ85">
        <f ca="1"/>
      </c>
      <c r="ER85">
        <f ca="1"/>
      </c>
      <c r="ES85">
        <f ca="1"/>
      </c>
      <c r="ET85">
        <f ca="1"/>
      </c>
      <c r="EU85">
        <f ca="1"/>
      </c>
      <c r="EV85">
        <f ca="1"/>
      </c>
      <c r="EW85">
        <f ca="1"/>
      </c>
      <c r="EX85">
        <f ca="1"/>
      </c>
      <c r="EY85">
        <f ca="1"/>
      </c>
      <c r="EZ85">
        <f ca="1"/>
      </c>
      <c r="FA85">
        <f ca="1"/>
      </c>
      <c r="FB85">
        <f ca="1"/>
      </c>
      <c r="FC85">
        <f ca="1"/>
      </c>
      <c r="FD85">
        <f ca="1"/>
      </c>
      <c r="FE85">
        <f ca="1"/>
      </c>
      <c r="FF85">
        <f ca="1"/>
      </c>
      <c r="FG85">
        <f ca="1"/>
      </c>
      <c r="FH85">
        <f ca="1"/>
      </c>
      <c r="FI85">
        <f ca="1"/>
      </c>
      <c r="FJ85">
        <f ca="1"/>
      </c>
      <c r="FK85">
        <f ca="1"/>
      </c>
      <c r="FL85">
        <f ca="1"/>
      </c>
      <c r="FM85">
        <f ca="1"/>
      </c>
      <c r="FN85">
        <f ca="1"/>
      </c>
      <c r="FO85">
        <f ca="1"/>
      </c>
      <c r="FP85">
        <f ca="1"/>
      </c>
      <c r="FQ85">
        <f ca="1"/>
      </c>
      <c r="FR85">
        <f ca="1"/>
      </c>
      <c r="FS85">
        <f ca="1"/>
      </c>
      <c r="FT85">
        <f ca="1"/>
      </c>
      <c r="FU85">
        <f ca="1"/>
      </c>
      <c r="FV85">
        <f ca="1"/>
      </c>
      <c r="FW85">
        <f ca="1"/>
      </c>
      <c r="FX85">
        <f ca="1"/>
      </c>
      <c r="FY85">
        <f ca="1"/>
      </c>
      <c r="FZ85">
        <f ca="1"/>
      </c>
      <c r="GA85">
        <f ca="1"/>
      </c>
      <c r="GM85" s="7">
        <f ca="1"/>
      </c>
      <c r="GN85">
        <f ca="1"/>
      </c>
      <c r="GO85">
        <f ca="1"/>
      </c>
      <c r="GP85">
        <f ca="1"/>
      </c>
      <c r="GQ85">
        <f ca="1"/>
      </c>
    </row>
    <row r="86" spans="41:199" x14ac:dyDescent="0.55000000000000004">
      <c r="AO86">
        <f ca="1"/>
      </c>
      <c r="AP86">
        <f ca="1"/>
      </c>
      <c r="AQ86">
        <f ca="1"/>
      </c>
      <c r="AR86">
        <f ca="1"/>
      </c>
      <c r="AS86">
        <f ca="1"/>
      </c>
      <c r="AT86">
        <f ca="1"/>
      </c>
      <c r="AU86">
        <f ca="1"/>
      </c>
      <c r="AV86">
        <f ca="1"/>
      </c>
      <c r="AW86">
        <f ca="1"/>
      </c>
      <c r="AX86">
        <f ca="1"/>
      </c>
      <c r="AY86">
        <f ca="1"/>
      </c>
      <c r="AZ86">
        <f ca="1"/>
      </c>
      <c r="BA86">
        <f ca="1"/>
      </c>
      <c r="BB86">
        <f ca="1"/>
      </c>
      <c r="BC86">
        <f ca="1"/>
      </c>
      <c r="BD86">
        <f ca="1"/>
      </c>
      <c r="BE86">
        <f ca="1"/>
      </c>
      <c r="BF86">
        <f ca="1"/>
      </c>
      <c r="BG86">
        <f ca="1"/>
      </c>
      <c r="BH86">
        <f ca="1"/>
      </c>
      <c r="BI86">
        <f ca="1"/>
      </c>
      <c r="BJ86">
        <f ca="1"/>
      </c>
      <c r="BK86">
        <f ca="1"/>
      </c>
      <c r="BL86">
        <f ca="1"/>
      </c>
      <c r="BM86">
        <f ca="1"/>
      </c>
      <c r="BN86">
        <f ca="1"/>
      </c>
      <c r="BO86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  <c r="BV86">
        <f ca="1"/>
      </c>
      <c r="BW86">
        <f ca="1"/>
      </c>
      <c r="BX86">
        <f ca="1"/>
      </c>
      <c r="BY86">
        <f ca="1"/>
      </c>
      <c r="BZ86">
        <f ca="1"/>
      </c>
      <c r="CA86">
        <f ca="1"/>
      </c>
      <c r="CB86">
        <f ca="1"/>
      </c>
      <c r="CC86">
        <f ca="1"/>
      </c>
      <c r="CD86">
        <f ca="1"/>
      </c>
      <c r="CE86">
        <f ca="1"/>
      </c>
      <c r="CF86">
        <f ca="1"/>
      </c>
      <c r="CG86">
        <f ca="1"/>
      </c>
      <c r="CH86">
        <f ca="1"/>
      </c>
      <c r="CI86">
        <f ca="1"/>
      </c>
      <c r="CK86">
        <f ca="1"/>
      </c>
      <c r="CL86">
        <f ca="1"/>
      </c>
      <c r="CM86">
        <f ca="1"/>
      </c>
      <c r="CN86">
        <f ca="1"/>
      </c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DQ86">
        <f ca="1"/>
      </c>
      <c r="DR86">
        <f ca="1"/>
      </c>
      <c r="DS86">
        <f ca="1"/>
      </c>
      <c r="DT86">
        <f ca="1"/>
      </c>
      <c r="DU86">
        <f ca="1"/>
      </c>
      <c r="DV86">
        <f ca="1"/>
      </c>
      <c r="DW86">
        <f ca="1"/>
      </c>
      <c r="DX86">
        <f ca="1"/>
      </c>
      <c r="DY86">
        <f ca="1"/>
      </c>
      <c r="DZ86">
        <f ca="1"/>
      </c>
      <c r="EA86">
        <f ca="1"/>
      </c>
      <c r="EB86">
        <f ca="1"/>
      </c>
      <c r="EC86">
        <f ca="1"/>
      </c>
      <c r="ED86">
        <f ca="1"/>
      </c>
      <c r="EE86">
        <f ca="1"/>
      </c>
      <c r="EG86">
        <f ca="1"/>
      </c>
      <c r="EH86">
        <f ca="1"/>
      </c>
      <c r="EI86">
        <f ca="1"/>
      </c>
      <c r="EJ86">
        <f ca="1"/>
      </c>
      <c r="EK86">
        <f ca="1"/>
      </c>
      <c r="EL86">
        <f ca="1"/>
      </c>
      <c r="EM86">
        <f ca="1"/>
      </c>
      <c r="EN86">
        <f ca="1"/>
      </c>
      <c r="EO86">
        <f ca="1"/>
      </c>
      <c r="EP86">
        <f ca="1"/>
      </c>
      <c r="EQ86">
        <f ca="1"/>
      </c>
      <c r="ER86">
        <f ca="1"/>
      </c>
      <c r="ES86">
        <f ca="1"/>
      </c>
      <c r="ET86">
        <f ca="1"/>
      </c>
      <c r="EU86">
        <f ca="1"/>
      </c>
      <c r="EV86">
        <f ca="1"/>
      </c>
      <c r="EW86">
        <f ca="1"/>
      </c>
      <c r="EX86">
        <f ca="1"/>
      </c>
      <c r="EY86">
        <f ca="1"/>
      </c>
      <c r="EZ86">
        <f ca="1"/>
      </c>
      <c r="FA86">
        <f ca="1"/>
      </c>
      <c r="FB86">
        <f ca="1"/>
      </c>
      <c r="FC86">
        <f ca="1"/>
      </c>
      <c r="FD86">
        <f ca="1"/>
      </c>
      <c r="FE86">
        <f ca="1"/>
      </c>
      <c r="FF86">
        <f ca="1"/>
      </c>
      <c r="FG86">
        <f ca="1"/>
      </c>
      <c r="FH86">
        <f ca="1"/>
      </c>
      <c r="FI86">
        <f ca="1"/>
      </c>
      <c r="FJ86">
        <f ca="1"/>
      </c>
      <c r="FK86">
        <f ca="1"/>
      </c>
      <c r="FL86">
        <f ca="1"/>
      </c>
      <c r="FM86">
        <f ca="1"/>
      </c>
      <c r="FN86">
        <f ca="1"/>
      </c>
      <c r="FO86">
        <f ca="1"/>
      </c>
      <c r="FP86">
        <f ca="1"/>
      </c>
      <c r="FQ86">
        <f ca="1"/>
      </c>
      <c r="FR86">
        <f ca="1"/>
      </c>
      <c r="FS86">
        <f ca="1"/>
      </c>
      <c r="FT86">
        <f ca="1"/>
      </c>
      <c r="FU86">
        <f ca="1"/>
      </c>
      <c r="FV86">
        <f ca="1"/>
      </c>
      <c r="FW86">
        <f ca="1"/>
      </c>
      <c r="FX86">
        <f ca="1"/>
      </c>
      <c r="FY86">
        <f ca="1"/>
      </c>
      <c r="FZ86">
        <f ca="1"/>
      </c>
      <c r="GA86">
        <f ca="1"/>
      </c>
      <c r="GM86" s="7">
        <f ca="1"/>
      </c>
      <c r="GN86">
        <f ca="1"/>
      </c>
      <c r="GO86">
        <f ca="1"/>
      </c>
      <c r="GP86">
        <f ca="1"/>
      </c>
      <c r="GQ86">
        <f ca="1"/>
      </c>
    </row>
    <row r="87" spans="41:199" x14ac:dyDescent="0.55000000000000004">
      <c r="AO87">
        <f ca="1"/>
      </c>
      <c r="AP87">
        <f ca="1"/>
      </c>
      <c r="AQ87">
        <f ca="1"/>
      </c>
      <c r="AR87">
        <f ca="1"/>
      </c>
      <c r="AS87">
        <f ca="1"/>
      </c>
      <c r="AT87">
        <f ca="1"/>
      </c>
      <c r="AU87">
        <f ca="1"/>
      </c>
      <c r="AV87">
        <f ca="1"/>
      </c>
      <c r="AW87">
        <f ca="1"/>
      </c>
      <c r="AX87">
        <f ca="1"/>
      </c>
      <c r="AY87">
        <f ca="1"/>
      </c>
      <c r="AZ87">
        <f ca="1"/>
      </c>
      <c r="BA87">
        <f ca="1"/>
      </c>
      <c r="BB87">
        <f ca="1"/>
      </c>
      <c r="BC87">
        <f ca="1"/>
      </c>
      <c r="BD87">
        <f ca="1"/>
      </c>
      <c r="BE87">
        <f ca="1"/>
      </c>
      <c r="BF87">
        <f ca="1"/>
      </c>
      <c r="BG87">
        <f ca="1"/>
      </c>
      <c r="BH87">
        <f ca="1"/>
      </c>
      <c r="BI87">
        <f ca="1"/>
      </c>
      <c r="BJ87">
        <f ca="1"/>
      </c>
      <c r="BK87">
        <f ca="1"/>
      </c>
      <c r="BL87">
        <f ca="1"/>
      </c>
      <c r="BM87">
        <f ca="1"/>
      </c>
      <c r="BN87">
        <f ca="1"/>
      </c>
      <c r="BO87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  <c r="BV87">
        <f ca="1"/>
      </c>
      <c r="BW87">
        <f ca="1"/>
      </c>
      <c r="BX87">
        <f ca="1"/>
      </c>
      <c r="BY87">
        <f ca="1"/>
      </c>
      <c r="BZ87">
        <f ca="1"/>
      </c>
      <c r="CA87">
        <f ca="1"/>
      </c>
      <c r="CB87">
        <f ca="1"/>
      </c>
      <c r="CC87">
        <f ca="1"/>
      </c>
      <c r="CD87">
        <f ca="1"/>
      </c>
      <c r="CE87">
        <f ca="1"/>
      </c>
      <c r="CF87">
        <f ca="1"/>
      </c>
      <c r="CG87">
        <f ca="1"/>
      </c>
      <c r="CH87">
        <f ca="1"/>
      </c>
      <c r="CI87">
        <f ca="1"/>
      </c>
      <c r="CK87">
        <f ca="1"/>
      </c>
      <c r="CL87">
        <f ca="1"/>
      </c>
      <c r="CM87">
        <f ca="1"/>
      </c>
      <c r="CN87">
        <f ca="1"/>
      </c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DQ87">
        <f ca="1"/>
      </c>
      <c r="DR87">
        <f ca="1"/>
      </c>
      <c r="DS87">
        <f ca="1"/>
      </c>
      <c r="DT87">
        <f ca="1"/>
      </c>
      <c r="DU87">
        <f ca="1"/>
      </c>
      <c r="DV87">
        <f ca="1"/>
      </c>
      <c r="DW87">
        <f ca="1"/>
      </c>
      <c r="DX87">
        <f ca="1"/>
      </c>
      <c r="DY87">
        <f ca="1"/>
      </c>
      <c r="DZ87">
        <f ca="1"/>
      </c>
      <c r="EA87">
        <f ca="1"/>
      </c>
      <c r="EB87">
        <f ca="1"/>
      </c>
      <c r="EC87">
        <f ca="1"/>
      </c>
      <c r="ED87">
        <f ca="1"/>
      </c>
      <c r="EE87">
        <f ca="1"/>
      </c>
      <c r="EG87">
        <f ca="1"/>
      </c>
      <c r="EH87">
        <f ca="1"/>
      </c>
      <c r="EI87">
        <f ca="1"/>
      </c>
      <c r="EJ87">
        <f ca="1"/>
      </c>
      <c r="EK87">
        <f ca="1"/>
      </c>
      <c r="EL87">
        <f ca="1"/>
      </c>
      <c r="EM87">
        <f ca="1"/>
      </c>
      <c r="EN87">
        <f ca="1"/>
      </c>
      <c r="EO87">
        <f ca="1"/>
      </c>
      <c r="EP87">
        <f ca="1"/>
      </c>
      <c r="EQ87">
        <f ca="1"/>
      </c>
      <c r="ER87">
        <f ca="1"/>
      </c>
      <c r="ES87">
        <f ca="1"/>
      </c>
      <c r="ET87">
        <f ca="1"/>
      </c>
      <c r="EU87">
        <f ca="1"/>
      </c>
      <c r="EV87">
        <f ca="1"/>
      </c>
      <c r="EW87">
        <f ca="1"/>
      </c>
      <c r="EX87">
        <f ca="1"/>
      </c>
      <c r="EY87">
        <f ca="1"/>
      </c>
      <c r="EZ87">
        <f ca="1"/>
      </c>
      <c r="FA87">
        <f ca="1"/>
      </c>
      <c r="FB87">
        <f ca="1"/>
      </c>
      <c r="FC87">
        <f ca="1"/>
      </c>
      <c r="FD87">
        <f ca="1"/>
      </c>
      <c r="FE87">
        <f ca="1"/>
      </c>
      <c r="FF87">
        <f ca="1"/>
      </c>
      <c r="FG87">
        <f ca="1"/>
      </c>
      <c r="FH87">
        <f ca="1"/>
      </c>
      <c r="FI87">
        <f ca="1"/>
      </c>
      <c r="FJ87">
        <f ca="1"/>
      </c>
      <c r="FK87">
        <f ca="1"/>
      </c>
      <c r="FL87">
        <f ca="1"/>
      </c>
      <c r="FM87">
        <f ca="1"/>
      </c>
      <c r="FN87">
        <f ca="1"/>
      </c>
      <c r="FO87">
        <f ca="1"/>
      </c>
      <c r="FP87">
        <f ca="1"/>
      </c>
      <c r="FQ87">
        <f ca="1"/>
      </c>
      <c r="FR87">
        <f ca="1"/>
      </c>
      <c r="FS87">
        <f ca="1"/>
      </c>
      <c r="FT87">
        <f ca="1"/>
      </c>
      <c r="FU87">
        <f ca="1"/>
      </c>
      <c r="FV87">
        <f ca="1"/>
      </c>
      <c r="FW87">
        <f ca="1"/>
      </c>
      <c r="FX87">
        <f ca="1"/>
      </c>
      <c r="FY87">
        <f ca="1"/>
      </c>
      <c r="FZ87">
        <f ca="1"/>
      </c>
      <c r="GA87">
        <f ca="1"/>
      </c>
      <c r="GM87" s="7">
        <f ca="1"/>
      </c>
      <c r="GN87">
        <f ca="1"/>
      </c>
      <c r="GO87">
        <f ca="1"/>
      </c>
      <c r="GP87">
        <f ca="1"/>
      </c>
      <c r="GQ87">
        <f ca="1"/>
      </c>
    </row>
    <row r="88" spans="41:199" x14ac:dyDescent="0.55000000000000004">
      <c r="AO88">
        <f ca="1"/>
      </c>
      <c r="AP88">
        <f ca="1"/>
      </c>
      <c r="AQ88">
        <f ca="1"/>
      </c>
      <c r="AR88">
        <f ca="1"/>
      </c>
      <c r="AS88">
        <f ca="1"/>
      </c>
      <c r="AT88">
        <f ca="1"/>
      </c>
      <c r="AU88">
        <f ca="1"/>
      </c>
      <c r="AV88">
        <f ca="1"/>
      </c>
      <c r="AW88">
        <f ca="1"/>
      </c>
      <c r="AX88">
        <f ca="1"/>
      </c>
      <c r="AY88">
        <f ca="1"/>
      </c>
      <c r="AZ88">
        <f ca="1"/>
      </c>
      <c r="BA88">
        <f ca="1"/>
      </c>
      <c r="BB88">
        <f ca="1"/>
      </c>
      <c r="BC88">
        <f ca="1"/>
      </c>
      <c r="BD88">
        <f ca="1"/>
      </c>
      <c r="BE88">
        <f ca="1"/>
      </c>
      <c r="BF88">
        <f ca="1"/>
      </c>
      <c r="BG88">
        <f ca="1"/>
      </c>
      <c r="BH88">
        <f ca="1"/>
      </c>
      <c r="BI88">
        <f ca="1"/>
      </c>
      <c r="BJ88">
        <f ca="1"/>
      </c>
      <c r="BK88">
        <f ca="1"/>
      </c>
      <c r="BL88">
        <f ca="1"/>
      </c>
      <c r="BM88">
        <f ca="1"/>
      </c>
      <c r="BN88">
        <f ca="1"/>
      </c>
      <c r="BO88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  <c r="BV88">
        <f ca="1"/>
      </c>
      <c r="BW88">
        <f ca="1"/>
      </c>
      <c r="BX88">
        <f ca="1"/>
      </c>
      <c r="BY88">
        <f ca="1"/>
      </c>
      <c r="BZ88">
        <f ca="1"/>
      </c>
      <c r="CA88">
        <f ca="1"/>
      </c>
      <c r="CB88">
        <f ca="1"/>
      </c>
      <c r="CC88">
        <f ca="1"/>
      </c>
      <c r="CD88">
        <f ca="1"/>
      </c>
      <c r="CE88">
        <f ca="1"/>
      </c>
      <c r="CF88">
        <f ca="1"/>
      </c>
      <c r="CG88">
        <f ca="1"/>
      </c>
      <c r="CH88">
        <f ca="1"/>
      </c>
      <c r="CI88">
        <f ca="1"/>
      </c>
      <c r="CK88">
        <f ca="1"/>
      </c>
      <c r="CL88">
        <f ca="1"/>
      </c>
      <c r="CM88">
        <f ca="1"/>
      </c>
      <c r="CN88">
        <f ca="1"/>
      </c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DQ88">
        <f ca="1"/>
      </c>
      <c r="DR88">
        <f ca="1"/>
      </c>
      <c r="DS88">
        <f ca="1"/>
      </c>
      <c r="DT88">
        <f ca="1"/>
      </c>
      <c r="DU88">
        <f ca="1"/>
      </c>
      <c r="DV88">
        <f ca="1"/>
      </c>
      <c r="DW88">
        <f ca="1"/>
      </c>
      <c r="DX88">
        <f ca="1"/>
      </c>
      <c r="DY88">
        <f ca="1"/>
      </c>
      <c r="DZ88">
        <f ca="1"/>
      </c>
      <c r="EA88">
        <f ca="1"/>
      </c>
      <c r="EB88">
        <f ca="1"/>
      </c>
      <c r="EC88">
        <f ca="1"/>
      </c>
      <c r="ED88">
        <f ca="1"/>
      </c>
      <c r="EE88">
        <f ca="1"/>
      </c>
      <c r="EG88">
        <f ca="1"/>
      </c>
      <c r="EH88">
        <f ca="1"/>
      </c>
      <c r="EI88">
        <f ca="1"/>
      </c>
      <c r="EJ88">
        <f ca="1"/>
      </c>
      <c r="EK88">
        <f ca="1"/>
      </c>
      <c r="EL88">
        <f ca="1"/>
      </c>
      <c r="EM88">
        <f ca="1"/>
      </c>
      <c r="EN88">
        <f ca="1"/>
      </c>
      <c r="EO88">
        <f ca="1"/>
      </c>
      <c r="EP88">
        <f ca="1"/>
      </c>
      <c r="EQ88">
        <f ca="1"/>
      </c>
      <c r="ER88">
        <f ca="1"/>
      </c>
      <c r="ES88">
        <f ca="1"/>
      </c>
      <c r="ET88">
        <f ca="1"/>
      </c>
      <c r="EU88">
        <f ca="1"/>
      </c>
      <c r="EV88">
        <f ca="1"/>
      </c>
      <c r="EW88">
        <f ca="1"/>
      </c>
      <c r="EX88">
        <f ca="1"/>
      </c>
      <c r="EY88">
        <f ca="1"/>
      </c>
      <c r="EZ88">
        <f ca="1"/>
      </c>
      <c r="FA88">
        <f ca="1"/>
      </c>
      <c r="FB88">
        <f ca="1"/>
      </c>
      <c r="FC88">
        <f ca="1"/>
      </c>
      <c r="FD88">
        <f ca="1"/>
      </c>
      <c r="FE88">
        <f ca="1"/>
      </c>
      <c r="FF88">
        <f ca="1"/>
      </c>
      <c r="FG88">
        <f ca="1"/>
      </c>
      <c r="FH88">
        <f ca="1"/>
      </c>
      <c r="FI88">
        <f ca="1"/>
      </c>
      <c r="FJ88">
        <f ca="1"/>
      </c>
      <c r="FK88">
        <f ca="1"/>
      </c>
      <c r="FL88">
        <f ca="1"/>
      </c>
      <c r="FM88">
        <f ca="1"/>
      </c>
      <c r="FN88">
        <f ca="1"/>
      </c>
      <c r="FO88">
        <f ca="1"/>
      </c>
      <c r="FP88">
        <f ca="1"/>
      </c>
      <c r="FQ88">
        <f ca="1"/>
      </c>
      <c r="FR88">
        <f ca="1"/>
      </c>
      <c r="FS88">
        <f ca="1"/>
      </c>
      <c r="FT88">
        <f ca="1"/>
      </c>
      <c r="FU88">
        <f ca="1"/>
      </c>
      <c r="FV88">
        <f ca="1"/>
      </c>
      <c r="FW88">
        <f ca="1"/>
      </c>
      <c r="FX88">
        <f ca="1"/>
      </c>
      <c r="FY88">
        <f ca="1"/>
      </c>
      <c r="FZ88">
        <f ca="1"/>
      </c>
      <c r="GA88">
        <f ca="1"/>
      </c>
      <c r="GM88" s="7">
        <f ca="1"/>
      </c>
      <c r="GN88">
        <f ca="1"/>
      </c>
      <c r="GO88">
        <f ca="1"/>
      </c>
      <c r="GP88">
        <f ca="1"/>
      </c>
      <c r="GQ88">
        <f ca="1"/>
      </c>
    </row>
    <row r="89" spans="41:199" x14ac:dyDescent="0.55000000000000004">
      <c r="AO89">
        <f ca="1"/>
      </c>
      <c r="AP89">
        <f ca="1"/>
      </c>
      <c r="AQ89">
        <f ca="1"/>
      </c>
      <c r="AR89">
        <f ca="1"/>
      </c>
      <c r="AS89">
        <f ca="1"/>
      </c>
      <c r="AT89">
        <f ca="1"/>
      </c>
      <c r="AU89">
        <f ca="1"/>
      </c>
      <c r="AV89">
        <f ca="1"/>
      </c>
      <c r="AW89">
        <f ca="1"/>
      </c>
      <c r="AX89">
        <f ca="1"/>
      </c>
      <c r="AY89">
        <f ca="1"/>
      </c>
      <c r="AZ89">
        <f ca="1"/>
      </c>
      <c r="BA89">
        <f ca="1"/>
      </c>
      <c r="BB89">
        <f ca="1"/>
      </c>
      <c r="BC89">
        <f ca="1"/>
      </c>
      <c r="BD89">
        <f ca="1"/>
      </c>
      <c r="BE89">
        <f ca="1"/>
      </c>
      <c r="BF89">
        <f ca="1"/>
      </c>
      <c r="BG89">
        <f ca="1"/>
      </c>
      <c r="BH89">
        <f ca="1"/>
      </c>
      <c r="BI89">
        <f ca="1"/>
      </c>
      <c r="BJ89">
        <f ca="1"/>
      </c>
      <c r="BK89">
        <f ca="1"/>
      </c>
      <c r="BL89">
        <f ca="1"/>
      </c>
      <c r="BM89">
        <f ca="1"/>
      </c>
      <c r="BN89">
        <f ca="1"/>
      </c>
      <c r="BO89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  <c r="BV89">
        <f ca="1"/>
      </c>
      <c r="BW89">
        <f ca="1"/>
      </c>
      <c r="BX89">
        <f ca="1"/>
      </c>
      <c r="BY89">
        <f ca="1"/>
      </c>
      <c r="BZ89">
        <f ca="1"/>
      </c>
      <c r="CA89">
        <f ca="1"/>
      </c>
      <c r="CB89">
        <f ca="1"/>
      </c>
      <c r="CC89">
        <f ca="1"/>
      </c>
      <c r="CD89">
        <f ca="1"/>
      </c>
      <c r="CE89">
        <f ca="1"/>
      </c>
      <c r="CF89">
        <f ca="1"/>
      </c>
      <c r="CG89">
        <f ca="1"/>
      </c>
      <c r="CH89">
        <f ca="1"/>
      </c>
      <c r="CI89">
        <f ca="1"/>
      </c>
      <c r="CK89">
        <f ca="1"/>
      </c>
      <c r="CL89">
        <f ca="1"/>
      </c>
      <c r="CM89">
        <f ca="1"/>
      </c>
      <c r="CN89">
        <f ca="1"/>
      </c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DQ89">
        <f ca="1"/>
      </c>
      <c r="DR89">
        <f ca="1"/>
      </c>
      <c r="DS89">
        <f ca="1"/>
      </c>
      <c r="DT89">
        <f ca="1"/>
      </c>
      <c r="DU89">
        <f ca="1"/>
      </c>
      <c r="DV89">
        <f ca="1"/>
      </c>
      <c r="DW89">
        <f ca="1"/>
      </c>
      <c r="DX89">
        <f ca="1"/>
      </c>
      <c r="DY89">
        <f ca="1"/>
      </c>
      <c r="DZ89">
        <f ca="1"/>
      </c>
      <c r="EA89">
        <f ca="1"/>
      </c>
      <c r="EB89">
        <f ca="1"/>
      </c>
      <c r="EC89">
        <f ca="1"/>
      </c>
      <c r="ED89">
        <f ca="1"/>
      </c>
      <c r="EE89">
        <f ca="1"/>
      </c>
      <c r="EG89">
        <f ca="1"/>
      </c>
      <c r="EH89">
        <f ca="1"/>
      </c>
      <c r="EI89">
        <f ca="1"/>
      </c>
      <c r="EJ89">
        <f ca="1"/>
      </c>
      <c r="EK89">
        <f ca="1"/>
      </c>
      <c r="EL89">
        <f ca="1"/>
      </c>
      <c r="EM89">
        <f ca="1"/>
      </c>
      <c r="EN89">
        <f ca="1"/>
      </c>
      <c r="EO89">
        <f ca="1"/>
      </c>
      <c r="EP89">
        <f ca="1"/>
      </c>
      <c r="EQ89">
        <f ca="1"/>
      </c>
      <c r="ER89">
        <f ca="1"/>
      </c>
      <c r="ES89">
        <f ca="1"/>
      </c>
      <c r="ET89">
        <f ca="1"/>
      </c>
      <c r="EU89">
        <f ca="1"/>
      </c>
      <c r="EV89">
        <f ca="1"/>
      </c>
      <c r="EW89">
        <f ca="1"/>
      </c>
      <c r="EX89">
        <f ca="1"/>
      </c>
      <c r="EY89">
        <f ca="1"/>
      </c>
      <c r="EZ89">
        <f ca="1"/>
      </c>
      <c r="FA89">
        <f ca="1"/>
      </c>
      <c r="FB89">
        <f ca="1"/>
      </c>
      <c r="FC89">
        <f ca="1"/>
      </c>
      <c r="FD89">
        <f ca="1"/>
      </c>
      <c r="FE89">
        <f ca="1"/>
      </c>
      <c r="FF89">
        <f ca="1"/>
      </c>
      <c r="FG89">
        <f ca="1"/>
      </c>
      <c r="FH89">
        <f ca="1"/>
      </c>
      <c r="FI89">
        <f ca="1"/>
      </c>
      <c r="FJ89">
        <f ca="1"/>
      </c>
      <c r="FK89">
        <f ca="1"/>
      </c>
      <c r="FL89">
        <f ca="1"/>
      </c>
      <c r="FM89">
        <f ca="1"/>
      </c>
      <c r="FN89">
        <f ca="1"/>
      </c>
      <c r="FO89">
        <f ca="1"/>
      </c>
      <c r="FP89">
        <f ca="1"/>
      </c>
      <c r="FQ89">
        <f ca="1"/>
      </c>
      <c r="FR89">
        <f ca="1"/>
      </c>
      <c r="FS89">
        <f ca="1"/>
      </c>
      <c r="FT89">
        <f ca="1"/>
      </c>
      <c r="FU89">
        <f ca="1"/>
      </c>
      <c r="FV89">
        <f ca="1"/>
      </c>
      <c r="FW89">
        <f ca="1"/>
      </c>
      <c r="FX89">
        <f ca="1"/>
      </c>
      <c r="FY89">
        <f ca="1"/>
      </c>
      <c r="FZ89">
        <f ca="1"/>
      </c>
      <c r="GA89">
        <f ca="1"/>
      </c>
      <c r="GM89" s="7">
        <f ca="1"/>
      </c>
      <c r="GN89">
        <f ca="1"/>
      </c>
      <c r="GO89">
        <f ca="1"/>
      </c>
      <c r="GP89">
        <f ca="1"/>
      </c>
      <c r="GQ89">
        <f ca="1"/>
      </c>
    </row>
    <row r="90" spans="41:199" x14ac:dyDescent="0.55000000000000004">
      <c r="AO90">
        <f ca="1"/>
      </c>
      <c r="AP90">
        <f ca="1"/>
      </c>
      <c r="AQ90">
        <f ca="1"/>
      </c>
      <c r="AR90">
        <f ca="1"/>
      </c>
      <c r="AS90">
        <f ca="1"/>
      </c>
      <c r="AT90">
        <f ca="1"/>
      </c>
      <c r="AU90">
        <f ca="1"/>
      </c>
      <c r="AV90">
        <f ca="1"/>
      </c>
      <c r="AW90">
        <f ca="1"/>
      </c>
      <c r="AX90">
        <f ca="1"/>
      </c>
      <c r="AY90">
        <f ca="1"/>
      </c>
      <c r="AZ90">
        <f ca="1"/>
      </c>
      <c r="BA90">
        <f ca="1"/>
      </c>
      <c r="BB90">
        <f ca="1"/>
      </c>
      <c r="BC90">
        <f ca="1"/>
      </c>
      <c r="BD90">
        <f ca="1"/>
      </c>
      <c r="BE90">
        <f ca="1"/>
      </c>
      <c r="BF90">
        <f ca="1"/>
      </c>
      <c r="BG90">
        <f ca="1"/>
      </c>
      <c r="BH90">
        <f ca="1"/>
      </c>
      <c r="BI90">
        <f ca="1"/>
      </c>
      <c r="BJ90">
        <f ca="1"/>
      </c>
      <c r="BK90">
        <f ca="1"/>
      </c>
      <c r="BL90">
        <f ca="1"/>
      </c>
      <c r="BM90">
        <f ca="1"/>
      </c>
      <c r="BN90">
        <f ca="1"/>
      </c>
      <c r="BO90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  <c r="BV90">
        <f ca="1"/>
      </c>
      <c r="BW90">
        <f ca="1"/>
      </c>
      <c r="BX90">
        <f ca="1"/>
      </c>
      <c r="BY90">
        <f ca="1"/>
      </c>
      <c r="BZ90">
        <f ca="1"/>
      </c>
      <c r="CA90">
        <f ca="1"/>
      </c>
      <c r="CB90">
        <f ca="1"/>
      </c>
      <c r="CC90">
        <f ca="1"/>
      </c>
      <c r="CD90">
        <f ca="1"/>
      </c>
      <c r="CE90">
        <f ca="1"/>
      </c>
      <c r="CF90">
        <f ca="1"/>
      </c>
      <c r="CG90">
        <f ca="1"/>
      </c>
      <c r="CH90">
        <f ca="1"/>
      </c>
      <c r="CI90">
        <f ca="1"/>
      </c>
      <c r="CK90">
        <f ca="1"/>
      </c>
      <c r="CL90">
        <f ca="1"/>
      </c>
      <c r="CM90">
        <f ca="1"/>
      </c>
      <c r="CN90">
        <f ca="1"/>
      </c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DQ90">
        <f ca="1"/>
      </c>
      <c r="DR90">
        <f ca="1"/>
      </c>
      <c r="DS90">
        <f ca="1"/>
      </c>
      <c r="DT90">
        <f ca="1"/>
      </c>
      <c r="DU90">
        <f ca="1"/>
      </c>
      <c r="DV90">
        <f ca="1"/>
      </c>
      <c r="DW90">
        <f ca="1"/>
      </c>
      <c r="DX90">
        <f ca="1"/>
      </c>
      <c r="DY90">
        <f ca="1"/>
      </c>
      <c r="DZ90">
        <f ca="1"/>
      </c>
      <c r="EA90">
        <f ca="1"/>
      </c>
      <c r="EB90">
        <f ca="1"/>
      </c>
      <c r="EC90">
        <f ca="1"/>
      </c>
      <c r="ED90">
        <f ca="1"/>
      </c>
      <c r="EE90">
        <f ca="1"/>
      </c>
      <c r="EG90">
        <f ca="1"/>
      </c>
      <c r="EH90">
        <f ca="1"/>
      </c>
      <c r="EI90">
        <f ca="1"/>
      </c>
      <c r="EJ90">
        <f ca="1"/>
      </c>
      <c r="EK90">
        <f ca="1"/>
      </c>
      <c r="EL90">
        <f ca="1"/>
      </c>
      <c r="EM90">
        <f ca="1"/>
      </c>
      <c r="EN90">
        <f ca="1"/>
      </c>
      <c r="EO90">
        <f ca="1"/>
      </c>
      <c r="EP90">
        <f ca="1"/>
      </c>
      <c r="EQ90">
        <f ca="1"/>
      </c>
      <c r="ER90">
        <f ca="1"/>
      </c>
      <c r="ES90">
        <f ca="1"/>
      </c>
      <c r="ET90">
        <f ca="1"/>
      </c>
      <c r="EU90">
        <f ca="1"/>
      </c>
      <c r="EV90">
        <f ca="1"/>
      </c>
      <c r="EW90">
        <f ca="1"/>
      </c>
      <c r="EX90">
        <f ca="1"/>
      </c>
      <c r="EY90">
        <f ca="1"/>
      </c>
      <c r="EZ90">
        <f ca="1"/>
      </c>
      <c r="FA90">
        <f ca="1"/>
      </c>
      <c r="FB90">
        <f ca="1"/>
      </c>
      <c r="FC90">
        <f ca="1"/>
      </c>
      <c r="FD90">
        <f ca="1"/>
      </c>
      <c r="FE90">
        <f ca="1"/>
      </c>
      <c r="FF90">
        <f ca="1"/>
      </c>
      <c r="FG90">
        <f ca="1"/>
      </c>
      <c r="FH90">
        <f ca="1"/>
      </c>
      <c r="FI90">
        <f ca="1"/>
      </c>
      <c r="FJ90">
        <f ca="1"/>
      </c>
      <c r="FK90">
        <f ca="1"/>
      </c>
      <c r="FL90">
        <f ca="1"/>
      </c>
      <c r="FM90">
        <f ca="1"/>
      </c>
      <c r="FN90">
        <f ca="1"/>
      </c>
      <c r="FO90">
        <f ca="1"/>
      </c>
      <c r="FP90">
        <f ca="1"/>
      </c>
      <c r="FQ90">
        <f ca="1"/>
      </c>
      <c r="FR90">
        <f ca="1"/>
      </c>
      <c r="FS90">
        <f ca="1"/>
      </c>
      <c r="FT90">
        <f ca="1"/>
      </c>
      <c r="FU90">
        <f ca="1"/>
      </c>
      <c r="FV90">
        <f ca="1"/>
      </c>
      <c r="FW90">
        <f ca="1"/>
      </c>
      <c r="FX90">
        <f ca="1"/>
      </c>
      <c r="FY90">
        <f ca="1"/>
      </c>
      <c r="FZ90">
        <f ca="1"/>
      </c>
      <c r="GA90">
        <f ca="1"/>
      </c>
      <c r="GM90" s="7">
        <f ca="1"/>
      </c>
      <c r="GN90">
        <f ca="1"/>
      </c>
      <c r="GO90">
        <f ca="1"/>
      </c>
      <c r="GP90">
        <f ca="1"/>
      </c>
      <c r="GQ90">
        <f ca="1"/>
      </c>
    </row>
    <row r="91" spans="41:199" x14ac:dyDescent="0.55000000000000004">
      <c r="AO91">
        <f ca="1"/>
      </c>
      <c r="AP91">
        <f ca="1"/>
      </c>
      <c r="AQ91">
        <f ca="1"/>
      </c>
      <c r="AR91">
        <f ca="1"/>
      </c>
      <c r="AS91">
        <f ca="1"/>
      </c>
      <c r="AT91">
        <f ca="1"/>
      </c>
      <c r="AU91">
        <f ca="1"/>
      </c>
      <c r="AV91">
        <f ca="1"/>
      </c>
      <c r="AW91">
        <f ca="1"/>
      </c>
      <c r="AX91">
        <f ca="1"/>
      </c>
      <c r="AY91">
        <f ca="1"/>
      </c>
      <c r="AZ91">
        <f ca="1"/>
      </c>
      <c r="BA91">
        <f ca="1"/>
      </c>
      <c r="BB91">
        <f ca="1"/>
      </c>
      <c r="BC91">
        <f ca="1"/>
      </c>
      <c r="BD91">
        <f ca="1"/>
      </c>
      <c r="BE91">
        <f ca="1"/>
      </c>
      <c r="BF91">
        <f ca="1"/>
      </c>
      <c r="BG91">
        <f ca="1"/>
      </c>
      <c r="BH91">
        <f ca="1"/>
      </c>
      <c r="BI91">
        <f ca="1"/>
      </c>
      <c r="BJ91">
        <f ca="1"/>
      </c>
      <c r="BK91">
        <f ca="1"/>
      </c>
      <c r="BL91">
        <f ca="1"/>
      </c>
      <c r="BM91">
        <f ca="1"/>
      </c>
      <c r="BN91">
        <f ca="1"/>
      </c>
      <c r="BO9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  <c r="BV91">
        <f ca="1"/>
      </c>
      <c r="BW91">
        <f ca="1"/>
      </c>
      <c r="BX91">
        <f ca="1"/>
      </c>
      <c r="BY91">
        <f ca="1"/>
      </c>
      <c r="BZ91">
        <f ca="1"/>
      </c>
      <c r="CA91">
        <f ca="1"/>
      </c>
      <c r="CB91">
        <f ca="1"/>
      </c>
      <c r="CC91">
        <f ca="1"/>
      </c>
      <c r="CD91">
        <f ca="1"/>
      </c>
      <c r="CE91">
        <f ca="1"/>
      </c>
      <c r="CF91">
        <f ca="1"/>
      </c>
      <c r="CG91">
        <f ca="1"/>
      </c>
      <c r="CH91">
        <f ca="1"/>
      </c>
      <c r="CI91">
        <f ca="1"/>
      </c>
      <c r="CK91">
        <f ca="1"/>
      </c>
      <c r="CL91">
        <f ca="1"/>
      </c>
      <c r="CM91">
        <f ca="1"/>
      </c>
      <c r="CN91">
        <f ca="1"/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DQ91">
        <f ca="1"/>
      </c>
      <c r="DR91">
        <f ca="1"/>
      </c>
      <c r="DS91">
        <f ca="1"/>
      </c>
      <c r="DT91">
        <f ca="1"/>
      </c>
      <c r="DU91">
        <f ca="1"/>
      </c>
      <c r="DV91">
        <f ca="1"/>
      </c>
      <c r="DW91">
        <f ca="1"/>
      </c>
      <c r="DX91">
        <f ca="1"/>
      </c>
      <c r="DY91">
        <f ca="1"/>
      </c>
      <c r="DZ91">
        <f ca="1"/>
      </c>
      <c r="EA91">
        <f ca="1"/>
      </c>
      <c r="EB91">
        <f ca="1"/>
      </c>
      <c r="EC91">
        <f ca="1"/>
      </c>
      <c r="ED91">
        <f ca="1"/>
      </c>
      <c r="EE91">
        <f ca="1"/>
      </c>
      <c r="EG91">
        <f ca="1"/>
      </c>
      <c r="EH91">
        <f ca="1"/>
      </c>
      <c r="EI91">
        <f ca="1"/>
      </c>
      <c r="EJ91">
        <f ca="1"/>
      </c>
      <c r="EK91">
        <f ca="1"/>
      </c>
      <c r="EL91">
        <f ca="1"/>
      </c>
      <c r="EM91">
        <f ca="1"/>
      </c>
      <c r="EN91">
        <f ca="1"/>
      </c>
      <c r="EO91">
        <f ca="1"/>
      </c>
      <c r="EP91">
        <f ca="1"/>
      </c>
      <c r="EQ91">
        <f ca="1"/>
      </c>
      <c r="ER91">
        <f ca="1"/>
      </c>
      <c r="ES91">
        <f ca="1"/>
      </c>
      <c r="ET91">
        <f ca="1"/>
      </c>
      <c r="EU91">
        <f ca="1"/>
      </c>
      <c r="EV91">
        <f ca="1"/>
      </c>
      <c r="EW91">
        <f ca="1"/>
      </c>
      <c r="EX91">
        <f ca="1"/>
      </c>
      <c r="EY91">
        <f ca="1"/>
      </c>
      <c r="EZ91">
        <f ca="1"/>
      </c>
      <c r="FA91">
        <f ca="1"/>
      </c>
      <c r="FB91">
        <f ca="1"/>
      </c>
      <c r="FC91">
        <f ca="1"/>
      </c>
      <c r="FD91">
        <f ca="1"/>
      </c>
      <c r="FE91">
        <f ca="1"/>
      </c>
      <c r="FF91">
        <f ca="1"/>
      </c>
      <c r="FG91">
        <f ca="1"/>
      </c>
      <c r="FH91">
        <f ca="1"/>
      </c>
      <c r="FI91">
        <f ca="1"/>
      </c>
      <c r="FJ91">
        <f ca="1"/>
      </c>
      <c r="FK91">
        <f ca="1"/>
      </c>
      <c r="FL91">
        <f ca="1"/>
      </c>
      <c r="FM91">
        <f ca="1"/>
      </c>
      <c r="FN91">
        <f ca="1"/>
      </c>
      <c r="FO91">
        <f ca="1"/>
      </c>
      <c r="FP91">
        <f ca="1"/>
      </c>
      <c r="FQ91">
        <f ca="1"/>
      </c>
      <c r="FR91">
        <f ca="1"/>
      </c>
      <c r="FS91">
        <f ca="1"/>
      </c>
      <c r="FT91">
        <f ca="1"/>
      </c>
      <c r="FU91">
        <f ca="1"/>
      </c>
      <c r="FV91">
        <f ca="1"/>
      </c>
      <c r="FW91">
        <f ca="1"/>
      </c>
      <c r="FX91">
        <f ca="1"/>
      </c>
      <c r="FY91">
        <f ca="1"/>
      </c>
      <c r="FZ91">
        <f ca="1"/>
      </c>
      <c r="GA91">
        <f ca="1"/>
      </c>
      <c r="GM91" s="7">
        <f ca="1"/>
      </c>
      <c r="GN91">
        <f ca="1"/>
      </c>
      <c r="GO91">
        <f ca="1"/>
      </c>
      <c r="GP91">
        <f ca="1"/>
      </c>
      <c r="GQ91">
        <f ca="1"/>
      </c>
    </row>
    <row r="92" spans="41:199" x14ac:dyDescent="0.55000000000000004">
      <c r="AO92">
        <f ca="1"/>
      </c>
      <c r="AP92">
        <f ca="1"/>
      </c>
      <c r="AQ92">
        <f ca="1"/>
      </c>
      <c r="AR92">
        <f ca="1"/>
      </c>
      <c r="AS92">
        <f ca="1"/>
      </c>
      <c r="AT92">
        <f ca="1"/>
      </c>
      <c r="AU92">
        <f ca="1"/>
      </c>
      <c r="AV92">
        <f ca="1"/>
      </c>
      <c r="AW92">
        <f ca="1"/>
      </c>
      <c r="AX92">
        <f ca="1"/>
      </c>
      <c r="AY92">
        <f ca="1"/>
      </c>
      <c r="AZ92">
        <f ca="1"/>
      </c>
      <c r="BA92">
        <f ca="1"/>
      </c>
      <c r="BB92">
        <f ca="1"/>
      </c>
      <c r="BC92">
        <f ca="1"/>
      </c>
      <c r="BD92">
        <f ca="1"/>
      </c>
      <c r="BE92">
        <f ca="1"/>
      </c>
      <c r="BF92">
        <f ca="1"/>
      </c>
      <c r="BG92">
        <f ca="1"/>
      </c>
      <c r="BH92">
        <f ca="1"/>
      </c>
      <c r="BI92">
        <f ca="1"/>
      </c>
      <c r="BJ92">
        <f ca="1"/>
      </c>
      <c r="BK92">
        <f ca="1"/>
      </c>
      <c r="BL92">
        <f ca="1"/>
      </c>
      <c r="BM92">
        <f ca="1"/>
      </c>
      <c r="BN92">
        <f ca="1"/>
      </c>
      <c r="BO92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  <c r="BV92">
        <f ca="1"/>
      </c>
      <c r="BW92">
        <f ca="1"/>
      </c>
      <c r="BX92">
        <f ca="1"/>
      </c>
      <c r="BY92">
        <f ca="1"/>
      </c>
      <c r="BZ92">
        <f ca="1"/>
      </c>
      <c r="CA92">
        <f ca="1"/>
      </c>
      <c r="CB92">
        <f ca="1"/>
      </c>
      <c r="CC92">
        <f ca="1"/>
      </c>
      <c r="CD92">
        <f ca="1"/>
      </c>
      <c r="CE92">
        <f ca="1"/>
      </c>
      <c r="CF92">
        <f ca="1"/>
      </c>
      <c r="CG92">
        <f ca="1"/>
      </c>
      <c r="CH92">
        <f ca="1"/>
      </c>
      <c r="CI92">
        <f ca="1"/>
      </c>
      <c r="CK92">
        <f ca="1"/>
      </c>
      <c r="CL92">
        <f ca="1"/>
      </c>
      <c r="CM92">
        <f ca="1"/>
      </c>
      <c r="CN92">
        <f ca="1"/>
      </c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DQ92">
        <f ca="1"/>
      </c>
      <c r="DR92">
        <f ca="1"/>
      </c>
      <c r="DS92">
        <f ca="1"/>
      </c>
      <c r="DT92">
        <f ca="1"/>
      </c>
      <c r="DU92">
        <f ca="1"/>
      </c>
      <c r="DV92">
        <f ca="1"/>
      </c>
      <c r="DW92">
        <f ca="1"/>
      </c>
      <c r="DX92">
        <f ca="1"/>
      </c>
      <c r="DY92">
        <f ca="1"/>
      </c>
      <c r="DZ92">
        <f ca="1"/>
      </c>
      <c r="EA92">
        <f ca="1"/>
      </c>
      <c r="EB92">
        <f ca="1"/>
      </c>
      <c r="EC92">
        <f ca="1"/>
      </c>
      <c r="ED92">
        <f ca="1"/>
      </c>
      <c r="EE92">
        <f ca="1"/>
      </c>
      <c r="EG92">
        <f ca="1"/>
      </c>
      <c r="EH92">
        <f ca="1"/>
      </c>
      <c r="EI92">
        <f ca="1"/>
      </c>
      <c r="EJ92">
        <f ca="1"/>
      </c>
      <c r="EK92">
        <f ca="1"/>
      </c>
      <c r="EL92">
        <f ca="1"/>
      </c>
      <c r="EM92">
        <f ca="1"/>
      </c>
      <c r="EN92">
        <f ca="1"/>
      </c>
      <c r="EO92">
        <f ca="1"/>
      </c>
      <c r="EP92">
        <f ca="1"/>
      </c>
      <c r="EQ92">
        <f ca="1"/>
      </c>
      <c r="ER92">
        <f ca="1"/>
      </c>
      <c r="ES92">
        <f ca="1"/>
      </c>
      <c r="ET92">
        <f ca="1"/>
      </c>
      <c r="EU92">
        <f ca="1"/>
      </c>
      <c r="EV92">
        <f ca="1"/>
      </c>
      <c r="EW92">
        <f ca="1"/>
      </c>
      <c r="EX92">
        <f ca="1"/>
      </c>
      <c r="EY92">
        <f ca="1"/>
      </c>
      <c r="EZ92">
        <f ca="1"/>
      </c>
      <c r="FA92">
        <f ca="1"/>
      </c>
      <c r="FB92">
        <f ca="1"/>
      </c>
      <c r="FC92">
        <f ca="1"/>
      </c>
      <c r="FD92">
        <f ca="1"/>
      </c>
      <c r="FE92">
        <f ca="1"/>
      </c>
      <c r="FF92">
        <f ca="1"/>
      </c>
      <c r="FG92">
        <f ca="1"/>
      </c>
      <c r="FH92">
        <f ca="1"/>
      </c>
      <c r="FI92">
        <f ca="1"/>
      </c>
      <c r="FJ92">
        <f ca="1"/>
      </c>
      <c r="FK92">
        <f ca="1"/>
      </c>
      <c r="FL92">
        <f ca="1"/>
      </c>
      <c r="FM92">
        <f ca="1"/>
      </c>
      <c r="FN92">
        <f ca="1"/>
      </c>
      <c r="FO92">
        <f ca="1"/>
      </c>
      <c r="FP92">
        <f ca="1"/>
      </c>
      <c r="FQ92">
        <f ca="1"/>
      </c>
      <c r="FR92">
        <f ca="1"/>
      </c>
      <c r="FS92">
        <f ca="1"/>
      </c>
      <c r="FT92">
        <f ca="1"/>
      </c>
      <c r="FU92">
        <f ca="1"/>
      </c>
      <c r="FV92">
        <f ca="1"/>
      </c>
      <c r="FW92">
        <f ca="1"/>
      </c>
      <c r="FX92">
        <f ca="1"/>
      </c>
      <c r="FY92">
        <f ca="1"/>
      </c>
      <c r="FZ92">
        <f ca="1"/>
      </c>
      <c r="GA92">
        <f ca="1"/>
      </c>
      <c r="GM92" s="7">
        <f ca="1"/>
      </c>
      <c r="GN92">
        <f ca="1"/>
      </c>
      <c r="GO92">
        <f ca="1"/>
      </c>
      <c r="GP92">
        <f ca="1"/>
      </c>
      <c r="GQ92">
        <f ca="1"/>
      </c>
    </row>
    <row r="93" spans="41:199" x14ac:dyDescent="0.55000000000000004">
      <c r="AO93">
        <f ca="1"/>
      </c>
      <c r="AP93">
        <f ca="1"/>
      </c>
      <c r="AQ93">
        <f ca="1"/>
      </c>
      <c r="AR93">
        <f ca="1"/>
      </c>
      <c r="AS93">
        <f ca="1"/>
      </c>
      <c r="AT93">
        <f ca="1"/>
      </c>
      <c r="AU93">
        <f ca="1"/>
      </c>
      <c r="AV93">
        <f ca="1"/>
      </c>
      <c r="AW93">
        <f ca="1"/>
      </c>
      <c r="AX93">
        <f ca="1"/>
      </c>
      <c r="AY93">
        <f ca="1"/>
      </c>
      <c r="AZ93">
        <f ca="1"/>
      </c>
      <c r="BA93">
        <f ca="1"/>
      </c>
      <c r="BB93">
        <f ca="1"/>
      </c>
      <c r="BC93">
        <f ca="1"/>
      </c>
      <c r="BD93">
        <f ca="1"/>
      </c>
      <c r="BE93">
        <f ca="1"/>
      </c>
      <c r="BF93">
        <f ca="1"/>
      </c>
      <c r="BG93">
        <f ca="1"/>
      </c>
      <c r="BH93">
        <f ca="1"/>
      </c>
      <c r="BI93">
        <f ca="1"/>
      </c>
      <c r="BJ93">
        <f ca="1"/>
      </c>
      <c r="BK93">
        <f ca="1"/>
      </c>
      <c r="BL93">
        <f ca="1"/>
      </c>
      <c r="BM93">
        <f ca="1"/>
      </c>
      <c r="BN93">
        <f ca="1"/>
      </c>
      <c r="BO93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  <c r="BV93">
        <f ca="1"/>
      </c>
      <c r="BW93">
        <f ca="1"/>
      </c>
      <c r="BX93">
        <f ca="1"/>
      </c>
      <c r="BY93">
        <f ca="1"/>
      </c>
      <c r="BZ93">
        <f ca="1"/>
      </c>
      <c r="CA93">
        <f ca="1"/>
      </c>
      <c r="CB93">
        <f ca="1"/>
      </c>
      <c r="CC93">
        <f ca="1"/>
      </c>
      <c r="CD93">
        <f ca="1"/>
      </c>
      <c r="CE93">
        <f ca="1"/>
      </c>
      <c r="CF93">
        <f ca="1"/>
      </c>
      <c r="CG93">
        <f ca="1"/>
      </c>
      <c r="CH93">
        <f ca="1"/>
      </c>
      <c r="CI93">
        <f ca="1"/>
      </c>
      <c r="CK93">
        <f ca="1"/>
      </c>
      <c r="CL93">
        <f ca="1"/>
      </c>
      <c r="CM93">
        <f ca="1"/>
      </c>
      <c r="CN93">
        <f ca="1"/>
      </c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DQ93">
        <f ca="1"/>
      </c>
      <c r="DR93">
        <f ca="1"/>
      </c>
      <c r="DS93">
        <f ca="1"/>
      </c>
      <c r="DT93">
        <f ca="1"/>
      </c>
      <c r="DU93">
        <f ca="1"/>
      </c>
      <c r="DV93">
        <f ca="1"/>
      </c>
      <c r="DW93">
        <f ca="1"/>
      </c>
      <c r="DX93">
        <f ca="1"/>
      </c>
      <c r="DY93">
        <f ca="1"/>
      </c>
      <c r="DZ93">
        <f ca="1"/>
      </c>
      <c r="EA93">
        <f ca="1"/>
      </c>
      <c r="EB93">
        <f ca="1"/>
      </c>
      <c r="EC93">
        <f ca="1"/>
      </c>
      <c r="ED93">
        <f ca="1"/>
      </c>
      <c r="EE93">
        <f ca="1"/>
      </c>
      <c r="EG93">
        <f ca="1"/>
      </c>
      <c r="EH93">
        <f ca="1"/>
      </c>
      <c r="EI93">
        <f ca="1"/>
      </c>
      <c r="EJ93">
        <f ca="1"/>
      </c>
      <c r="EK93">
        <f ca="1"/>
      </c>
      <c r="EL93">
        <f ca="1"/>
      </c>
      <c r="EM93">
        <f ca="1"/>
      </c>
      <c r="EN93">
        <f ca="1"/>
      </c>
      <c r="EO93">
        <f ca="1"/>
      </c>
      <c r="EP93">
        <f ca="1"/>
      </c>
      <c r="EQ93">
        <f ca="1"/>
      </c>
      <c r="ER93">
        <f ca="1"/>
      </c>
      <c r="ES93">
        <f ca="1"/>
      </c>
      <c r="ET93">
        <f ca="1"/>
      </c>
      <c r="EU93">
        <f ca="1"/>
      </c>
      <c r="EV93">
        <f ca="1"/>
      </c>
      <c r="EW93">
        <f ca="1"/>
      </c>
      <c r="EX93">
        <f ca="1"/>
      </c>
      <c r="EY93">
        <f ca="1"/>
      </c>
      <c r="EZ93">
        <f ca="1"/>
      </c>
      <c r="FA93">
        <f ca="1"/>
      </c>
      <c r="FB93">
        <f ca="1"/>
      </c>
      <c r="FC93">
        <f ca="1"/>
      </c>
      <c r="FD93">
        <f ca="1"/>
      </c>
      <c r="FE93">
        <f ca="1"/>
      </c>
      <c r="FF93">
        <f ca="1"/>
      </c>
      <c r="FG93">
        <f ca="1"/>
      </c>
      <c r="FH93">
        <f ca="1"/>
      </c>
      <c r="FI93">
        <f ca="1"/>
      </c>
      <c r="FJ93">
        <f ca="1"/>
      </c>
      <c r="FK93">
        <f ca="1"/>
      </c>
      <c r="FL93">
        <f ca="1"/>
      </c>
      <c r="FM93">
        <f ca="1"/>
      </c>
      <c r="FN93">
        <f ca="1"/>
      </c>
      <c r="FO93">
        <f ca="1"/>
      </c>
      <c r="FP93">
        <f ca="1"/>
      </c>
      <c r="FQ93">
        <f ca="1"/>
      </c>
      <c r="FR93">
        <f ca="1"/>
      </c>
      <c r="FS93">
        <f ca="1"/>
      </c>
      <c r="FT93">
        <f ca="1"/>
      </c>
      <c r="FU93">
        <f ca="1"/>
      </c>
      <c r="FV93">
        <f ca="1"/>
      </c>
      <c r="FW93">
        <f ca="1"/>
      </c>
      <c r="FX93">
        <f ca="1"/>
      </c>
      <c r="FY93">
        <f ca="1"/>
      </c>
      <c r="FZ93">
        <f ca="1"/>
      </c>
      <c r="GA93">
        <f ca="1"/>
      </c>
      <c r="GM93" s="7">
        <f ca="1"/>
      </c>
      <c r="GN93">
        <f ca="1"/>
      </c>
      <c r="GO93">
        <f ca="1"/>
      </c>
      <c r="GP93">
        <f ca="1"/>
      </c>
      <c r="GQ93">
        <f ca="1"/>
      </c>
    </row>
    <row r="94" spans="41:199" x14ac:dyDescent="0.55000000000000004">
      <c r="AO94">
        <f ca="1"/>
      </c>
      <c r="AP94">
        <f ca="1"/>
      </c>
      <c r="AQ94">
        <f ca="1"/>
      </c>
      <c r="AR94">
        <f ca="1"/>
      </c>
      <c r="AS94">
        <f ca="1"/>
      </c>
      <c r="AT94">
        <f ca="1"/>
      </c>
      <c r="AU94">
        <f ca="1"/>
      </c>
      <c r="AV94">
        <f ca="1"/>
      </c>
      <c r="AW94">
        <f ca="1"/>
      </c>
      <c r="AX94">
        <f ca="1"/>
      </c>
      <c r="AY94">
        <f ca="1"/>
      </c>
      <c r="AZ94">
        <f ca="1"/>
      </c>
      <c r="BA94">
        <f ca="1"/>
      </c>
      <c r="BB94">
        <f ca="1"/>
      </c>
      <c r="BC94">
        <f ca="1"/>
      </c>
      <c r="BD94">
        <f ca="1"/>
      </c>
      <c r="BE94">
        <f ca="1"/>
      </c>
      <c r="BF94">
        <f ca="1"/>
      </c>
      <c r="BG94">
        <f ca="1"/>
      </c>
      <c r="BH94">
        <f ca="1"/>
      </c>
      <c r="BI94">
        <f ca="1"/>
      </c>
      <c r="BJ94">
        <f ca="1"/>
      </c>
      <c r="BK94">
        <f ca="1"/>
      </c>
      <c r="BL94">
        <f ca="1"/>
      </c>
      <c r="BM94">
        <f ca="1"/>
      </c>
      <c r="BN94">
        <f ca="1"/>
      </c>
      <c r="BO94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  <c r="BV94">
        <f ca="1"/>
      </c>
      <c r="BW94">
        <f ca="1"/>
      </c>
      <c r="BX94">
        <f ca="1"/>
      </c>
      <c r="BY94">
        <f ca="1"/>
      </c>
      <c r="BZ94">
        <f ca="1"/>
      </c>
      <c r="CA94">
        <f ca="1"/>
      </c>
      <c r="CB94">
        <f ca="1"/>
      </c>
      <c r="CC94">
        <f ca="1"/>
      </c>
      <c r="CD94">
        <f ca="1"/>
      </c>
      <c r="CE94">
        <f ca="1"/>
      </c>
      <c r="CF94">
        <f ca="1"/>
      </c>
      <c r="CG94">
        <f ca="1"/>
      </c>
      <c r="CH94">
        <f ca="1"/>
      </c>
      <c r="CI94">
        <f ca="1"/>
      </c>
      <c r="CK94">
        <f ca="1"/>
      </c>
      <c r="CL94">
        <f ca="1"/>
      </c>
      <c r="CM94">
        <f ca="1"/>
      </c>
      <c r="CN94">
        <f ca="1"/>
      </c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DQ94">
        <f ca="1"/>
      </c>
      <c r="DR94">
        <f ca="1"/>
      </c>
      <c r="DS94">
        <f ca="1"/>
      </c>
      <c r="DT94">
        <f ca="1"/>
      </c>
      <c r="DU94">
        <f ca="1"/>
      </c>
      <c r="DV94">
        <f ca="1"/>
      </c>
      <c r="DW94">
        <f ca="1"/>
      </c>
      <c r="DX94">
        <f ca="1"/>
      </c>
      <c r="DY94">
        <f ca="1"/>
      </c>
      <c r="DZ94">
        <f ca="1"/>
      </c>
      <c r="EA94">
        <f ca="1"/>
      </c>
      <c r="EB94">
        <f ca="1"/>
      </c>
      <c r="EC94">
        <f ca="1"/>
      </c>
      <c r="ED94">
        <f ca="1"/>
      </c>
      <c r="EE94">
        <f ca="1"/>
      </c>
      <c r="EG94">
        <f ca="1"/>
      </c>
      <c r="EH94">
        <f ca="1"/>
      </c>
      <c r="EI94">
        <f ca="1"/>
      </c>
      <c r="EJ94">
        <f ca="1"/>
      </c>
      <c r="EK94">
        <f ca="1"/>
      </c>
      <c r="EL94">
        <f ca="1"/>
      </c>
      <c r="EM94">
        <f ca="1"/>
      </c>
      <c r="EN94">
        <f ca="1"/>
      </c>
      <c r="EO94">
        <f ca="1"/>
      </c>
      <c r="EP94">
        <f ca="1"/>
      </c>
      <c r="EQ94">
        <f ca="1"/>
      </c>
      <c r="ER94">
        <f ca="1"/>
      </c>
      <c r="ES94">
        <f ca="1"/>
      </c>
      <c r="ET94">
        <f ca="1"/>
      </c>
      <c r="EU94">
        <f ca="1"/>
      </c>
      <c r="EV94">
        <f ca="1"/>
      </c>
      <c r="EW94">
        <f ca="1"/>
      </c>
      <c r="EX94">
        <f ca="1"/>
      </c>
      <c r="EY94">
        <f ca="1"/>
      </c>
      <c r="EZ94">
        <f ca="1"/>
      </c>
      <c r="FA94">
        <f ca="1"/>
      </c>
      <c r="FB94">
        <f ca="1"/>
      </c>
      <c r="FC94">
        <f ca="1"/>
      </c>
      <c r="FD94">
        <f ca="1"/>
      </c>
      <c r="FE94">
        <f ca="1"/>
      </c>
      <c r="FF94">
        <f ca="1"/>
      </c>
      <c r="FG94">
        <f ca="1"/>
      </c>
      <c r="FH94">
        <f ca="1"/>
      </c>
      <c r="FI94">
        <f ca="1"/>
      </c>
      <c r="FJ94">
        <f ca="1"/>
      </c>
      <c r="FK94">
        <f ca="1"/>
      </c>
      <c r="FL94">
        <f ca="1"/>
      </c>
      <c r="FM94">
        <f ca="1"/>
      </c>
      <c r="FN94">
        <f ca="1"/>
      </c>
      <c r="FO94">
        <f ca="1"/>
      </c>
      <c r="FP94">
        <f ca="1"/>
      </c>
      <c r="FQ94">
        <f ca="1"/>
      </c>
      <c r="FR94">
        <f ca="1"/>
      </c>
      <c r="FS94">
        <f ca="1"/>
      </c>
      <c r="FT94">
        <f ca="1"/>
      </c>
      <c r="FU94">
        <f ca="1"/>
      </c>
      <c r="FV94">
        <f ca="1"/>
      </c>
      <c r="FW94">
        <f ca="1"/>
      </c>
      <c r="FX94">
        <f ca="1"/>
      </c>
      <c r="FY94">
        <f ca="1"/>
      </c>
      <c r="FZ94">
        <f ca="1"/>
      </c>
      <c r="GA94">
        <f ca="1"/>
      </c>
      <c r="GM94" s="7">
        <f ca="1"/>
      </c>
      <c r="GN94">
        <f ca="1"/>
      </c>
      <c r="GO94">
        <f ca="1"/>
      </c>
      <c r="GP94">
        <f ca="1"/>
      </c>
      <c r="GQ94">
        <f ca="1"/>
      </c>
    </row>
    <row r="95" spans="41:199" x14ac:dyDescent="0.55000000000000004">
      <c r="AO95">
        <f ca="1"/>
      </c>
      <c r="AP95">
        <f ca="1"/>
      </c>
      <c r="AQ95">
        <f ca="1"/>
      </c>
      <c r="AR95">
        <f ca="1"/>
      </c>
      <c r="AS95">
        <f ca="1"/>
      </c>
      <c r="AT95">
        <f ca="1"/>
      </c>
      <c r="AU95">
        <f ca="1"/>
      </c>
      <c r="AV95">
        <f ca="1"/>
      </c>
      <c r="AW95">
        <f ca="1"/>
      </c>
      <c r="AX95">
        <f ca="1"/>
      </c>
      <c r="AY95">
        <f ca="1"/>
      </c>
      <c r="AZ95">
        <f ca="1"/>
      </c>
      <c r="BA95">
        <f ca="1"/>
      </c>
      <c r="BB95">
        <f ca="1"/>
      </c>
      <c r="BC95">
        <f ca="1"/>
      </c>
      <c r="BD95">
        <f ca="1"/>
      </c>
      <c r="BE95">
        <f ca="1"/>
      </c>
      <c r="BF95">
        <f ca="1"/>
      </c>
      <c r="BG95">
        <f ca="1"/>
      </c>
      <c r="BH95">
        <f ca="1"/>
      </c>
      <c r="BI95">
        <f ca="1"/>
      </c>
      <c r="BJ95">
        <f ca="1"/>
      </c>
      <c r="BK95">
        <f ca="1"/>
      </c>
      <c r="BL95">
        <f ca="1"/>
      </c>
      <c r="BM95">
        <f ca="1"/>
      </c>
      <c r="BN95">
        <f ca="1"/>
      </c>
      <c r="BO95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  <c r="BV95">
        <f ca="1"/>
      </c>
      <c r="BW95">
        <f ca="1"/>
      </c>
      <c r="BX95">
        <f ca="1"/>
      </c>
      <c r="BY95">
        <f ca="1"/>
      </c>
      <c r="BZ95">
        <f ca="1"/>
      </c>
      <c r="CA95">
        <f ca="1"/>
      </c>
      <c r="CB95">
        <f ca="1"/>
      </c>
      <c r="CC95">
        <f ca="1"/>
      </c>
      <c r="CD95">
        <f ca="1"/>
      </c>
      <c r="CE95">
        <f ca="1"/>
      </c>
      <c r="CF95">
        <f ca="1"/>
      </c>
      <c r="CG95">
        <f ca="1"/>
      </c>
      <c r="CH95">
        <f ca="1"/>
      </c>
      <c r="CI95">
        <f ca="1"/>
      </c>
      <c r="CK95">
        <f ca="1"/>
      </c>
      <c r="CL95">
        <f ca="1"/>
      </c>
      <c r="CM95">
        <f ca="1"/>
      </c>
      <c r="CN95">
        <f ca="1"/>
      </c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DQ95">
        <f ca="1"/>
      </c>
      <c r="DR95">
        <f ca="1"/>
      </c>
      <c r="DS95">
        <f ca="1"/>
      </c>
      <c r="DT95">
        <f ca="1"/>
      </c>
      <c r="DU95">
        <f ca="1"/>
      </c>
      <c r="DV95">
        <f ca="1"/>
      </c>
      <c r="DW95">
        <f ca="1"/>
      </c>
      <c r="DX95">
        <f ca="1"/>
      </c>
      <c r="DY95">
        <f ca="1"/>
      </c>
      <c r="DZ95">
        <f ca="1"/>
      </c>
      <c r="EA95">
        <f ca="1"/>
      </c>
      <c r="EB95">
        <f ca="1"/>
      </c>
      <c r="EC95">
        <f ca="1"/>
      </c>
      <c r="ED95">
        <f ca="1"/>
      </c>
      <c r="EE95">
        <f ca="1"/>
      </c>
      <c r="EG95">
        <f ca="1"/>
      </c>
      <c r="EH95">
        <f ca="1"/>
      </c>
      <c r="EI95">
        <f ca="1"/>
      </c>
      <c r="EJ95">
        <f ca="1"/>
      </c>
      <c r="EK95">
        <f ca="1"/>
      </c>
      <c r="EL95">
        <f ca="1"/>
      </c>
      <c r="EM95">
        <f ca="1"/>
      </c>
      <c r="EN95">
        <f ca="1"/>
      </c>
      <c r="EO95">
        <f ca="1"/>
      </c>
      <c r="EP95">
        <f ca="1"/>
      </c>
      <c r="EQ95">
        <f ca="1"/>
      </c>
      <c r="ER95">
        <f ca="1"/>
      </c>
      <c r="ES95">
        <f ca="1"/>
      </c>
      <c r="ET95">
        <f ca="1"/>
      </c>
      <c r="EU95">
        <f ca="1"/>
      </c>
      <c r="EV95">
        <f ca="1"/>
      </c>
      <c r="EW95">
        <f ca="1"/>
      </c>
      <c r="EX95">
        <f ca="1"/>
      </c>
      <c r="EY95">
        <f ca="1"/>
      </c>
      <c r="EZ95">
        <f ca="1"/>
      </c>
      <c r="FA95">
        <f ca="1"/>
      </c>
      <c r="FB95">
        <f ca="1"/>
      </c>
      <c r="FC95">
        <f ca="1"/>
      </c>
      <c r="FD95">
        <f ca="1"/>
      </c>
      <c r="FE95">
        <f ca="1"/>
      </c>
      <c r="FF95">
        <f ca="1"/>
      </c>
      <c r="FG95">
        <f ca="1"/>
      </c>
      <c r="FH95">
        <f ca="1"/>
      </c>
      <c r="FI95">
        <f ca="1"/>
      </c>
      <c r="FJ95">
        <f ca="1"/>
      </c>
      <c r="FK95">
        <f ca="1"/>
      </c>
      <c r="FL95">
        <f ca="1"/>
      </c>
      <c r="FM95">
        <f ca="1"/>
      </c>
      <c r="FN95">
        <f ca="1"/>
      </c>
      <c r="FO95">
        <f ca="1"/>
      </c>
      <c r="FP95">
        <f ca="1"/>
      </c>
      <c r="FQ95">
        <f ca="1"/>
      </c>
      <c r="FR95">
        <f ca="1"/>
      </c>
      <c r="FS95">
        <f ca="1"/>
      </c>
      <c r="FT95">
        <f ca="1"/>
      </c>
      <c r="FU95">
        <f ca="1"/>
      </c>
      <c r="FV95">
        <f ca="1"/>
      </c>
      <c r="FW95">
        <f ca="1"/>
      </c>
      <c r="FX95">
        <f ca="1"/>
      </c>
      <c r="FY95">
        <f ca="1"/>
      </c>
      <c r="FZ95">
        <f ca="1"/>
      </c>
      <c r="GA95">
        <f ca="1"/>
      </c>
      <c r="GM95" s="7">
        <f ca="1"/>
      </c>
      <c r="GN95">
        <f ca="1"/>
      </c>
      <c r="GO95">
        <f ca="1"/>
      </c>
      <c r="GP95">
        <f ca="1"/>
      </c>
      <c r="GQ95">
        <f ca="1"/>
      </c>
    </row>
    <row r="96" spans="41:199" x14ac:dyDescent="0.55000000000000004">
      <c r="AO96">
        <f ca="1"/>
      </c>
      <c r="AP96">
        <f ca="1"/>
      </c>
      <c r="AQ96">
        <f ca="1"/>
      </c>
      <c r="AR96">
        <f ca="1"/>
      </c>
      <c r="AS96">
        <f ca="1"/>
      </c>
      <c r="AT96">
        <f ca="1"/>
      </c>
      <c r="AU96">
        <f ca="1"/>
      </c>
      <c r="AV96">
        <f ca="1"/>
      </c>
      <c r="AW96">
        <f ca="1"/>
      </c>
      <c r="AX96">
        <f ca="1"/>
      </c>
      <c r="AY96">
        <f ca="1"/>
      </c>
      <c r="AZ96">
        <f ca="1"/>
      </c>
      <c r="BA96">
        <f ca="1"/>
      </c>
      <c r="BB96">
        <f ca="1"/>
      </c>
      <c r="BC96">
        <f ca="1"/>
      </c>
      <c r="BD96">
        <f ca="1"/>
      </c>
      <c r="BE96">
        <f ca="1"/>
      </c>
      <c r="BF96">
        <f ca="1"/>
      </c>
      <c r="BG96">
        <f ca="1"/>
      </c>
      <c r="BH96">
        <f ca="1"/>
      </c>
      <c r="BI96">
        <f ca="1"/>
      </c>
      <c r="BJ96">
        <f ca="1"/>
      </c>
      <c r="BK96">
        <f ca="1"/>
      </c>
      <c r="BL96">
        <f ca="1"/>
      </c>
      <c r="BM96">
        <f ca="1"/>
      </c>
      <c r="BN96">
        <f ca="1"/>
      </c>
      <c r="BO96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  <c r="BV96">
        <f ca="1"/>
      </c>
      <c r="BW96">
        <f ca="1"/>
      </c>
      <c r="BX96">
        <f ca="1"/>
      </c>
      <c r="BY96">
        <f ca="1"/>
      </c>
      <c r="BZ96">
        <f ca="1"/>
      </c>
      <c r="CA96">
        <f ca="1"/>
      </c>
      <c r="CB96">
        <f ca="1"/>
      </c>
      <c r="CC96">
        <f ca="1"/>
      </c>
      <c r="CD96">
        <f ca="1"/>
      </c>
      <c r="CE96">
        <f ca="1"/>
      </c>
      <c r="CF96">
        <f ca="1"/>
      </c>
      <c r="CG96">
        <f ca="1"/>
      </c>
      <c r="CH96">
        <f ca="1"/>
      </c>
      <c r="CI96">
        <f ca="1"/>
      </c>
      <c r="CK96">
        <f ca="1"/>
      </c>
      <c r="CL96">
        <f ca="1"/>
      </c>
      <c r="CM96">
        <f ca="1"/>
      </c>
      <c r="CN96">
        <f ca="1"/>
      </c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DQ96">
        <f ca="1"/>
      </c>
      <c r="DR96">
        <f ca="1"/>
      </c>
      <c r="DS96">
        <f ca="1"/>
      </c>
      <c r="DT96">
        <f ca="1"/>
      </c>
      <c r="DU96">
        <f ca="1"/>
      </c>
      <c r="DV96">
        <f ca="1"/>
      </c>
      <c r="DW96">
        <f ca="1"/>
      </c>
      <c r="DX96">
        <f ca="1"/>
      </c>
      <c r="DY96">
        <f ca="1"/>
      </c>
      <c r="DZ96">
        <f ca="1"/>
      </c>
      <c r="EA96">
        <f ca="1"/>
      </c>
      <c r="EB96">
        <f ca="1"/>
      </c>
      <c r="EC96">
        <f ca="1"/>
      </c>
      <c r="ED96">
        <f ca="1"/>
      </c>
      <c r="EE96">
        <f ca="1"/>
      </c>
      <c r="EG96">
        <f ca="1"/>
      </c>
      <c r="EH96">
        <f ca="1"/>
      </c>
      <c r="EI96">
        <f ca="1"/>
      </c>
      <c r="EJ96">
        <f ca="1"/>
      </c>
      <c r="EK96">
        <f ca="1"/>
      </c>
      <c r="EL96">
        <f ca="1"/>
      </c>
      <c r="EM96">
        <f ca="1"/>
      </c>
      <c r="EN96">
        <f ca="1"/>
      </c>
      <c r="EO96">
        <f ca="1"/>
      </c>
      <c r="EP96">
        <f ca="1"/>
      </c>
      <c r="EQ96">
        <f ca="1"/>
      </c>
      <c r="ER96">
        <f ca="1"/>
      </c>
      <c r="ES96">
        <f ca="1"/>
      </c>
      <c r="ET96">
        <f ca="1"/>
      </c>
      <c r="EU96">
        <f ca="1"/>
      </c>
      <c r="EV96">
        <f ca="1"/>
      </c>
      <c r="EW96">
        <f ca="1"/>
      </c>
      <c r="EX96">
        <f ca="1"/>
      </c>
      <c r="EY96">
        <f ca="1"/>
      </c>
      <c r="EZ96">
        <f ca="1"/>
      </c>
      <c r="FA96">
        <f ca="1"/>
      </c>
      <c r="FB96">
        <f ca="1"/>
      </c>
      <c r="FC96">
        <f ca="1"/>
      </c>
      <c r="FD96">
        <f ca="1"/>
      </c>
      <c r="FE96">
        <f ca="1"/>
      </c>
      <c r="FF96">
        <f ca="1"/>
      </c>
      <c r="FG96">
        <f ca="1"/>
      </c>
      <c r="FH96">
        <f ca="1"/>
      </c>
      <c r="FI96">
        <f ca="1"/>
      </c>
      <c r="FJ96">
        <f ca="1"/>
      </c>
      <c r="FK96">
        <f ca="1"/>
      </c>
      <c r="FL96">
        <f ca="1"/>
      </c>
      <c r="FM96">
        <f ca="1"/>
      </c>
      <c r="FN96">
        <f ca="1"/>
      </c>
      <c r="FO96">
        <f ca="1"/>
      </c>
      <c r="FP96">
        <f ca="1"/>
      </c>
      <c r="FQ96">
        <f ca="1"/>
      </c>
      <c r="FR96">
        <f ca="1"/>
      </c>
      <c r="FS96">
        <f ca="1"/>
      </c>
      <c r="FT96">
        <f ca="1"/>
      </c>
      <c r="FU96">
        <f ca="1"/>
      </c>
      <c r="FV96">
        <f ca="1"/>
      </c>
      <c r="FW96">
        <f ca="1"/>
      </c>
      <c r="FX96">
        <f ca="1"/>
      </c>
      <c r="FY96">
        <f ca="1"/>
      </c>
      <c r="FZ96">
        <f ca="1"/>
      </c>
      <c r="GA96">
        <f ca="1"/>
      </c>
      <c r="GM96" s="7">
        <f ca="1"/>
      </c>
      <c r="GN96">
        <f ca="1"/>
      </c>
      <c r="GO96">
        <f ca="1"/>
      </c>
      <c r="GP96">
        <f ca="1"/>
      </c>
      <c r="GQ96">
        <f ca="1"/>
      </c>
    </row>
    <row r="97" spans="41:199" x14ac:dyDescent="0.55000000000000004">
      <c r="AO97">
        <f ca="1"/>
      </c>
      <c r="AP97">
        <f ca="1"/>
      </c>
      <c r="AQ97">
        <f ca="1"/>
      </c>
      <c r="AR97">
        <f ca="1"/>
      </c>
      <c r="AS97">
        <f ca="1"/>
      </c>
      <c r="AT97">
        <f ca="1"/>
      </c>
      <c r="AU97">
        <f ca="1"/>
      </c>
      <c r="AV97">
        <f ca="1"/>
      </c>
      <c r="AW97">
        <f ca="1"/>
      </c>
      <c r="AX97">
        <f ca="1"/>
      </c>
      <c r="AY97">
        <f ca="1"/>
      </c>
      <c r="AZ97">
        <f ca="1"/>
      </c>
      <c r="BA97">
        <f ca="1"/>
      </c>
      <c r="BB97">
        <f ca="1"/>
      </c>
      <c r="BC97">
        <f ca="1"/>
      </c>
      <c r="BD97">
        <f ca="1"/>
      </c>
      <c r="BE97">
        <f ca="1"/>
      </c>
      <c r="BF97">
        <f ca="1"/>
      </c>
      <c r="BG97">
        <f ca="1"/>
      </c>
      <c r="BH97">
        <f ca="1"/>
      </c>
      <c r="BI97">
        <f ca="1"/>
      </c>
      <c r="BJ97">
        <f ca="1"/>
      </c>
      <c r="BK97">
        <f ca="1"/>
      </c>
      <c r="BL97">
        <f ca="1"/>
      </c>
      <c r="BM97">
        <f ca="1"/>
      </c>
      <c r="BN97">
        <f ca="1"/>
      </c>
      <c r="BO97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  <c r="BV97">
        <f ca="1"/>
      </c>
      <c r="BW97">
        <f ca="1"/>
      </c>
      <c r="BX97">
        <f ca="1"/>
      </c>
      <c r="BY97">
        <f ca="1"/>
      </c>
      <c r="BZ97">
        <f ca="1"/>
      </c>
      <c r="CA97">
        <f ca="1"/>
      </c>
      <c r="CB97">
        <f ca="1"/>
      </c>
      <c r="CC97">
        <f ca="1"/>
      </c>
      <c r="CD97">
        <f ca="1"/>
      </c>
      <c r="CE97">
        <f ca="1"/>
      </c>
      <c r="CF97">
        <f ca="1"/>
      </c>
      <c r="CG97">
        <f ca="1"/>
      </c>
      <c r="CH97">
        <f ca="1"/>
      </c>
      <c r="CI97">
        <f ca="1"/>
      </c>
      <c r="CK97">
        <f ca="1"/>
      </c>
      <c r="CL97">
        <f ca="1"/>
      </c>
      <c r="CM97">
        <f ca="1"/>
      </c>
      <c r="CN97">
        <f ca="1"/>
      </c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DQ97">
        <f ca="1"/>
      </c>
      <c r="DR97">
        <f ca="1"/>
      </c>
      <c r="DS97">
        <f ca="1"/>
      </c>
      <c r="DT97">
        <f ca="1"/>
      </c>
      <c r="DU97">
        <f ca="1"/>
      </c>
      <c r="DV97">
        <f ca="1"/>
      </c>
      <c r="DW97">
        <f ca="1"/>
      </c>
      <c r="DX97">
        <f ca="1"/>
      </c>
      <c r="DY97">
        <f ca="1"/>
      </c>
      <c r="DZ97">
        <f ca="1"/>
      </c>
      <c r="EA97">
        <f ca="1"/>
      </c>
      <c r="EB97">
        <f ca="1"/>
      </c>
      <c r="EC97">
        <f ca="1"/>
      </c>
      <c r="ED97">
        <f ca="1"/>
      </c>
      <c r="EE97">
        <f ca="1"/>
      </c>
      <c r="EG97">
        <f ca="1"/>
      </c>
      <c r="EH97">
        <f ca="1"/>
      </c>
      <c r="EI97">
        <f ca="1"/>
      </c>
      <c r="EJ97">
        <f ca="1"/>
      </c>
      <c r="EK97">
        <f ca="1"/>
      </c>
      <c r="EL97">
        <f ca="1"/>
      </c>
      <c r="EM97">
        <f ca="1"/>
      </c>
      <c r="EN97">
        <f ca="1"/>
      </c>
      <c r="EO97">
        <f ca="1"/>
      </c>
      <c r="EP97">
        <f ca="1"/>
      </c>
      <c r="EQ97">
        <f ca="1"/>
      </c>
      <c r="ER97">
        <f ca="1"/>
      </c>
      <c r="ES97">
        <f ca="1"/>
      </c>
      <c r="ET97">
        <f ca="1"/>
      </c>
      <c r="EU97">
        <f ca="1"/>
      </c>
      <c r="EV97">
        <f ca="1"/>
      </c>
      <c r="EW97">
        <f ca="1"/>
      </c>
      <c r="EX97">
        <f ca="1"/>
      </c>
      <c r="EY97">
        <f ca="1"/>
      </c>
      <c r="EZ97">
        <f ca="1"/>
      </c>
      <c r="FA97">
        <f ca="1"/>
      </c>
      <c r="FB97">
        <f ca="1"/>
      </c>
      <c r="FC97">
        <f ca="1"/>
      </c>
      <c r="FD97">
        <f ca="1"/>
      </c>
      <c r="FE97">
        <f ca="1"/>
      </c>
      <c r="FF97">
        <f ca="1"/>
      </c>
      <c r="FG97">
        <f ca="1"/>
      </c>
      <c r="FH97">
        <f ca="1"/>
      </c>
      <c r="FI97">
        <f ca="1"/>
      </c>
      <c r="FJ97">
        <f ca="1"/>
      </c>
      <c r="FK97">
        <f ca="1"/>
      </c>
      <c r="FL97">
        <f ca="1"/>
      </c>
      <c r="FM97">
        <f ca="1"/>
      </c>
      <c r="FN97">
        <f ca="1"/>
      </c>
      <c r="FO97">
        <f ca="1"/>
      </c>
      <c r="FP97">
        <f ca="1"/>
      </c>
      <c r="FQ97">
        <f ca="1"/>
      </c>
      <c r="FR97">
        <f ca="1"/>
      </c>
      <c r="FS97">
        <f ca="1"/>
      </c>
      <c r="FT97">
        <f ca="1"/>
      </c>
      <c r="FU97">
        <f ca="1"/>
      </c>
      <c r="FV97">
        <f ca="1"/>
      </c>
      <c r="FW97">
        <f ca="1"/>
      </c>
      <c r="FX97">
        <f ca="1"/>
      </c>
      <c r="FY97">
        <f ca="1"/>
      </c>
      <c r="FZ97">
        <f ca="1"/>
      </c>
      <c r="GA97">
        <f ca="1"/>
      </c>
      <c r="GM97" s="7">
        <f ca="1"/>
      </c>
      <c r="GN97">
        <f ca="1"/>
      </c>
      <c r="GO97">
        <f ca="1"/>
      </c>
      <c r="GP97">
        <f ca="1"/>
      </c>
      <c r="GQ97">
        <f ca="1"/>
      </c>
    </row>
    <row r="98" spans="41:199" x14ac:dyDescent="0.55000000000000004">
      <c r="AO98">
        <f ca="1"/>
      </c>
      <c r="AP98">
        <f ca="1"/>
      </c>
      <c r="AQ98">
        <f ca="1"/>
      </c>
      <c r="AR98">
        <f ca="1"/>
      </c>
      <c r="AS98">
        <f ca="1"/>
      </c>
      <c r="AT98">
        <f ca="1"/>
      </c>
      <c r="AU98">
        <f ca="1"/>
      </c>
      <c r="AV98">
        <f ca="1"/>
      </c>
      <c r="AW98">
        <f ca="1"/>
      </c>
      <c r="AX98">
        <f ca="1"/>
      </c>
      <c r="AY98">
        <f ca="1"/>
      </c>
      <c r="AZ98">
        <f ca="1"/>
      </c>
      <c r="BA98">
        <f ca="1"/>
      </c>
      <c r="BB98">
        <f ca="1"/>
      </c>
      <c r="BC98">
        <f ca="1"/>
      </c>
      <c r="BD98">
        <f ca="1"/>
      </c>
      <c r="BE98">
        <f ca="1"/>
      </c>
      <c r="BF98">
        <f ca="1"/>
      </c>
      <c r="BG98">
        <f ca="1"/>
      </c>
      <c r="BH98">
        <f ca="1"/>
      </c>
      <c r="BI98">
        <f ca="1"/>
      </c>
      <c r="BJ98">
        <f ca="1"/>
      </c>
      <c r="BK98">
        <f ca="1"/>
      </c>
      <c r="BL98">
        <f ca="1"/>
      </c>
      <c r="BM98">
        <f ca="1"/>
      </c>
      <c r="BN98">
        <f ca="1"/>
      </c>
      <c r="BO98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  <c r="BV98">
        <f ca="1"/>
      </c>
      <c r="BW98">
        <f ca="1"/>
      </c>
      <c r="BX98">
        <f ca="1"/>
      </c>
      <c r="BY98">
        <f ca="1"/>
      </c>
      <c r="BZ98">
        <f ca="1"/>
      </c>
      <c r="CA98">
        <f ca="1"/>
      </c>
      <c r="CB98">
        <f ca="1"/>
      </c>
      <c r="CC98">
        <f ca="1"/>
      </c>
      <c r="CD98">
        <f ca="1"/>
      </c>
      <c r="CE98">
        <f ca="1"/>
      </c>
      <c r="CF98">
        <f ca="1"/>
      </c>
      <c r="CG98">
        <f ca="1"/>
      </c>
      <c r="CH98">
        <f ca="1"/>
      </c>
      <c r="CI98">
        <f ca="1"/>
      </c>
      <c r="CK98">
        <f ca="1"/>
      </c>
      <c r="CL98">
        <f ca="1"/>
      </c>
      <c r="CM98">
        <f ca="1"/>
      </c>
      <c r="CN98">
        <f ca="1"/>
      </c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DQ98">
        <f ca="1"/>
      </c>
      <c r="DR98">
        <f ca="1"/>
      </c>
      <c r="DS98">
        <f ca="1"/>
      </c>
      <c r="DT98">
        <f ca="1"/>
      </c>
      <c r="DU98">
        <f ca="1"/>
      </c>
      <c r="DV98">
        <f ca="1"/>
      </c>
      <c r="DW98">
        <f ca="1"/>
      </c>
      <c r="DX98">
        <f ca="1"/>
      </c>
      <c r="DY98">
        <f ca="1"/>
      </c>
      <c r="DZ98">
        <f ca="1"/>
      </c>
      <c r="EA98">
        <f ca="1"/>
      </c>
      <c r="EB98">
        <f ca="1"/>
      </c>
      <c r="EC98">
        <f ca="1"/>
      </c>
      <c r="ED98">
        <f ca="1"/>
      </c>
      <c r="EE98">
        <f ca="1"/>
      </c>
      <c r="EG98">
        <f ca="1"/>
      </c>
      <c r="EH98">
        <f ca="1"/>
      </c>
      <c r="EI98">
        <f ca="1"/>
      </c>
      <c r="EJ98">
        <f ca="1"/>
      </c>
      <c r="EK98">
        <f ca="1"/>
      </c>
      <c r="EL98">
        <f ca="1"/>
      </c>
      <c r="EM98">
        <f ca="1"/>
      </c>
      <c r="EN98">
        <f ca="1"/>
      </c>
      <c r="EO98">
        <f ca="1"/>
      </c>
      <c r="EP98">
        <f ca="1"/>
      </c>
      <c r="EQ98">
        <f ca="1"/>
      </c>
      <c r="ER98">
        <f ca="1"/>
      </c>
      <c r="ES98">
        <f ca="1"/>
      </c>
      <c r="ET98">
        <f ca="1"/>
      </c>
      <c r="EU98">
        <f ca="1"/>
      </c>
      <c r="EV98">
        <f ca="1"/>
      </c>
      <c r="EW98">
        <f ca="1"/>
      </c>
      <c r="EX98">
        <f ca="1"/>
      </c>
      <c r="EY98">
        <f ca="1"/>
      </c>
      <c r="EZ98">
        <f ca="1"/>
      </c>
      <c r="FA98">
        <f ca="1"/>
      </c>
      <c r="FB98">
        <f ca="1"/>
      </c>
      <c r="FC98">
        <f ca="1"/>
      </c>
      <c r="FD98">
        <f ca="1"/>
      </c>
      <c r="FE98">
        <f ca="1"/>
      </c>
      <c r="FF98">
        <f ca="1"/>
      </c>
      <c r="FG98">
        <f ca="1"/>
      </c>
      <c r="FH98">
        <f ca="1"/>
      </c>
      <c r="FI98">
        <f ca="1"/>
      </c>
      <c r="FJ98">
        <f ca="1"/>
      </c>
      <c r="FK98">
        <f ca="1"/>
      </c>
      <c r="FL98">
        <f ca="1"/>
      </c>
      <c r="FM98">
        <f ca="1"/>
      </c>
      <c r="FN98">
        <f ca="1"/>
      </c>
      <c r="FO98">
        <f ca="1"/>
      </c>
      <c r="FP98">
        <f ca="1"/>
      </c>
      <c r="FQ98">
        <f ca="1"/>
      </c>
      <c r="FR98">
        <f ca="1"/>
      </c>
      <c r="FS98">
        <f ca="1"/>
      </c>
      <c r="FT98">
        <f ca="1"/>
      </c>
      <c r="FU98">
        <f ca="1"/>
      </c>
      <c r="FV98">
        <f ca="1"/>
      </c>
      <c r="FW98">
        <f ca="1"/>
      </c>
      <c r="FX98">
        <f ca="1"/>
      </c>
      <c r="FY98">
        <f ca="1"/>
      </c>
      <c r="FZ98">
        <f ca="1"/>
      </c>
      <c r="GA98">
        <f ca="1"/>
      </c>
      <c r="GM98" s="7">
        <f ca="1"/>
      </c>
      <c r="GN98">
        <f ca="1"/>
      </c>
      <c r="GO98">
        <f ca="1"/>
      </c>
      <c r="GP98">
        <f ca="1"/>
      </c>
      <c r="GQ98">
        <f ca="1"/>
      </c>
    </row>
    <row r="99" spans="41:199" x14ac:dyDescent="0.55000000000000004">
      <c r="AO99">
        <f ca="1"/>
      </c>
      <c r="AP99">
        <f ca="1"/>
      </c>
      <c r="AQ99">
        <f ca="1"/>
      </c>
      <c r="AR99">
        <f ca="1"/>
      </c>
      <c r="AS99">
        <f ca="1"/>
      </c>
      <c r="AT99">
        <f ca="1"/>
      </c>
      <c r="AU99">
        <f ca="1"/>
      </c>
      <c r="AV99">
        <f ca="1"/>
      </c>
      <c r="AW99">
        <f ca="1"/>
      </c>
      <c r="AX99">
        <f ca="1"/>
      </c>
      <c r="AY99">
        <f ca="1"/>
      </c>
      <c r="AZ99">
        <f ca="1"/>
      </c>
      <c r="BA99">
        <f ca="1"/>
      </c>
      <c r="BB99">
        <f ca="1"/>
      </c>
      <c r="BC99">
        <f ca="1"/>
      </c>
      <c r="BD99">
        <f ca="1"/>
      </c>
      <c r="BE99">
        <f ca="1"/>
      </c>
      <c r="BF99">
        <f ca="1"/>
      </c>
      <c r="BG99">
        <f ca="1"/>
      </c>
      <c r="BH99">
        <f ca="1"/>
      </c>
      <c r="BI99">
        <f ca="1"/>
      </c>
      <c r="BJ99">
        <f ca="1"/>
      </c>
      <c r="BK99">
        <f ca="1"/>
      </c>
      <c r="BL99">
        <f ca="1"/>
      </c>
      <c r="BM99">
        <f ca="1"/>
      </c>
      <c r="BN99">
        <f ca="1"/>
      </c>
      <c r="BO99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  <c r="BV99">
        <f ca="1"/>
      </c>
      <c r="BW99">
        <f ca="1"/>
      </c>
      <c r="BX99">
        <f ca="1"/>
      </c>
      <c r="BY99">
        <f ca="1"/>
      </c>
      <c r="BZ99">
        <f ca="1"/>
      </c>
      <c r="CA99">
        <f ca="1"/>
      </c>
      <c r="CB99">
        <f ca="1"/>
      </c>
      <c r="CC99">
        <f ca="1"/>
      </c>
      <c r="CD99">
        <f ca="1"/>
      </c>
      <c r="CE99">
        <f ca="1"/>
      </c>
      <c r="CF99">
        <f ca="1"/>
      </c>
      <c r="CG99">
        <f ca="1"/>
      </c>
      <c r="CH99">
        <f ca="1"/>
      </c>
      <c r="CI99">
        <f ca="1"/>
      </c>
      <c r="CK99">
        <f ca="1"/>
      </c>
      <c r="CL99">
        <f ca="1"/>
      </c>
      <c r="CM99">
        <f ca="1"/>
      </c>
      <c r="CN99">
        <f ca="1"/>
      </c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DQ99">
        <f ca="1"/>
      </c>
      <c r="DR99">
        <f ca="1"/>
      </c>
      <c r="DS99">
        <f ca="1"/>
      </c>
      <c r="DT99">
        <f ca="1"/>
      </c>
      <c r="DU99">
        <f ca="1"/>
      </c>
      <c r="DV99">
        <f ca="1"/>
      </c>
      <c r="DW99">
        <f ca="1"/>
      </c>
      <c r="DX99">
        <f ca="1"/>
      </c>
      <c r="DY99">
        <f ca="1"/>
      </c>
      <c r="DZ99">
        <f ca="1"/>
      </c>
      <c r="EA99">
        <f ca="1"/>
      </c>
      <c r="EB99">
        <f ca="1"/>
      </c>
      <c r="EC99">
        <f ca="1"/>
      </c>
      <c r="ED99">
        <f ca="1"/>
      </c>
      <c r="EE99">
        <f ca="1"/>
      </c>
      <c r="EG99">
        <f ca="1"/>
      </c>
      <c r="EH99">
        <f ca="1"/>
      </c>
      <c r="EI99">
        <f ca="1"/>
      </c>
      <c r="EJ99">
        <f ca="1"/>
      </c>
      <c r="EK99">
        <f ca="1"/>
      </c>
      <c r="EL99">
        <f ca="1"/>
      </c>
      <c r="EM99">
        <f ca="1"/>
      </c>
      <c r="EN99">
        <f ca="1"/>
      </c>
      <c r="EO99">
        <f ca="1"/>
      </c>
      <c r="EP99">
        <f ca="1"/>
      </c>
      <c r="EQ99">
        <f ca="1"/>
      </c>
      <c r="ER99">
        <f ca="1"/>
      </c>
      <c r="ES99">
        <f ca="1"/>
      </c>
      <c r="ET99">
        <f ca="1"/>
      </c>
      <c r="EU99">
        <f ca="1"/>
      </c>
      <c r="EV99">
        <f ca="1"/>
      </c>
      <c r="EW99">
        <f ca="1"/>
      </c>
      <c r="EX99">
        <f ca="1"/>
      </c>
      <c r="EY99">
        <f ca="1"/>
      </c>
      <c r="EZ99">
        <f ca="1"/>
      </c>
      <c r="FA99">
        <f ca="1"/>
      </c>
      <c r="FB99">
        <f ca="1"/>
      </c>
      <c r="FC99">
        <f ca="1"/>
      </c>
      <c r="FD99">
        <f ca="1"/>
      </c>
      <c r="FE99">
        <f ca="1"/>
      </c>
      <c r="FF99">
        <f ca="1"/>
      </c>
      <c r="FG99">
        <f ca="1"/>
      </c>
      <c r="FH99">
        <f ca="1"/>
      </c>
      <c r="FI99">
        <f ca="1"/>
      </c>
      <c r="FJ99">
        <f ca="1"/>
      </c>
      <c r="FK99">
        <f ca="1"/>
      </c>
      <c r="FL99">
        <f ca="1"/>
      </c>
      <c r="FM99">
        <f ca="1"/>
      </c>
      <c r="FN99">
        <f ca="1"/>
      </c>
      <c r="FO99">
        <f ca="1"/>
      </c>
      <c r="FP99">
        <f ca="1"/>
      </c>
      <c r="FQ99">
        <f ca="1"/>
      </c>
      <c r="FR99">
        <f ca="1"/>
      </c>
      <c r="FS99">
        <f ca="1"/>
      </c>
      <c r="FT99">
        <f ca="1"/>
      </c>
      <c r="FU99">
        <f ca="1"/>
      </c>
      <c r="FV99">
        <f ca="1"/>
      </c>
      <c r="FW99">
        <f ca="1"/>
      </c>
      <c r="FX99">
        <f ca="1"/>
      </c>
      <c r="FY99">
        <f ca="1"/>
      </c>
      <c r="FZ99">
        <f ca="1"/>
      </c>
      <c r="GA99">
        <f ca="1"/>
      </c>
      <c r="GM99" s="7">
        <f ca="1"/>
      </c>
      <c r="GN99">
        <f ca="1"/>
      </c>
      <c r="GO99">
        <f ca="1"/>
      </c>
      <c r="GP99">
        <f ca="1"/>
      </c>
      <c r="GQ99">
        <f ca="1"/>
      </c>
    </row>
    <row r="100" spans="41:199" x14ac:dyDescent="0.55000000000000004">
      <c r="AO100">
        <f ca="1"/>
      </c>
      <c r="AP100">
        <f ca="1"/>
      </c>
      <c r="AQ100">
        <f ca="1"/>
      </c>
      <c r="AR100">
        <f ca="1"/>
      </c>
      <c r="AS100">
        <f ca="1"/>
      </c>
      <c r="AT100">
        <f ca="1"/>
      </c>
      <c r="AU100">
        <f ca="1"/>
      </c>
      <c r="AV100">
        <f ca="1"/>
      </c>
      <c r="AW100">
        <f ca="1"/>
      </c>
      <c r="AX100">
        <f ca="1"/>
      </c>
      <c r="AY100">
        <f ca="1"/>
      </c>
      <c r="AZ100">
        <f ca="1"/>
      </c>
      <c r="BA100">
        <f ca="1"/>
      </c>
      <c r="BB100">
        <f ca="1"/>
      </c>
      <c r="BC100">
        <f ca="1"/>
      </c>
      <c r="BD100">
        <f ca="1"/>
      </c>
      <c r="BE100">
        <f ca="1"/>
      </c>
      <c r="BF100">
        <f ca="1"/>
      </c>
      <c r="BG100">
        <f ca="1"/>
      </c>
      <c r="BH100">
        <f ca="1"/>
      </c>
      <c r="BI100">
        <f ca="1"/>
      </c>
      <c r="BJ100">
        <f ca="1"/>
      </c>
      <c r="BK100">
        <f ca="1"/>
      </c>
      <c r="BL100">
        <f ca="1"/>
      </c>
      <c r="BM100">
        <f ca="1"/>
      </c>
      <c r="BN100">
        <f ca="1"/>
      </c>
      <c r="BO100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  <c r="BV100">
        <f ca="1"/>
      </c>
      <c r="BW100">
        <f ca="1"/>
      </c>
      <c r="BX100">
        <f ca="1"/>
      </c>
      <c r="BY100">
        <f ca="1"/>
      </c>
      <c r="BZ100">
        <f ca="1"/>
      </c>
      <c r="CA100">
        <f ca="1"/>
      </c>
      <c r="CB100">
        <f ca="1"/>
      </c>
      <c r="CC100">
        <f ca="1"/>
      </c>
      <c r="CD100">
        <f ca="1"/>
      </c>
      <c r="CE100">
        <f ca="1"/>
      </c>
      <c r="CF100">
        <f ca="1"/>
      </c>
      <c r="CG100">
        <f ca="1"/>
      </c>
      <c r="CH100">
        <f ca="1"/>
      </c>
      <c r="CI100">
        <f ca="1"/>
      </c>
      <c r="CK100">
        <f ca="1"/>
      </c>
      <c r="CL100">
        <f ca="1"/>
      </c>
      <c r="CM100">
        <f ca="1"/>
      </c>
      <c r="CN100">
        <f ca="1"/>
      </c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DQ100">
        <f ca="1"/>
      </c>
      <c r="DR100">
        <f ca="1"/>
      </c>
      <c r="DS100">
        <f ca="1"/>
      </c>
      <c r="DT100">
        <f ca="1"/>
      </c>
      <c r="DU100">
        <f ca="1"/>
      </c>
      <c r="DV100">
        <f ca="1"/>
      </c>
      <c r="DW100">
        <f ca="1"/>
      </c>
      <c r="DX100">
        <f ca="1"/>
      </c>
      <c r="DY100">
        <f ca="1"/>
      </c>
      <c r="DZ100">
        <f ca="1"/>
      </c>
      <c r="EA100">
        <f ca="1"/>
      </c>
      <c r="EB100">
        <f ca="1"/>
      </c>
      <c r="EC100">
        <f ca="1"/>
      </c>
      <c r="ED100">
        <f ca="1"/>
      </c>
      <c r="EE100">
        <f ca="1"/>
      </c>
      <c r="EG100">
        <f ca="1"/>
      </c>
      <c r="EH100">
        <f ca="1"/>
      </c>
      <c r="EI100">
        <f ca="1"/>
      </c>
      <c r="EJ100">
        <f ca="1"/>
      </c>
      <c r="EK100">
        <f ca="1"/>
      </c>
      <c r="EL100">
        <f ca="1"/>
      </c>
      <c r="EM100">
        <f ca="1"/>
      </c>
      <c r="EN100">
        <f ca="1"/>
      </c>
      <c r="EO100">
        <f ca="1"/>
      </c>
      <c r="EP100">
        <f ca="1"/>
      </c>
      <c r="EQ100">
        <f ca="1"/>
      </c>
      <c r="ER100">
        <f ca="1"/>
      </c>
      <c r="ES100">
        <f ca="1"/>
      </c>
      <c r="ET100">
        <f ca="1"/>
      </c>
      <c r="EU100">
        <f ca="1"/>
      </c>
      <c r="EV100">
        <f ca="1"/>
      </c>
      <c r="EW100">
        <f ca="1"/>
      </c>
      <c r="EX100">
        <f ca="1"/>
      </c>
      <c r="EY100">
        <f ca="1"/>
      </c>
      <c r="EZ100">
        <f ca="1"/>
      </c>
      <c r="FA100">
        <f ca="1"/>
      </c>
      <c r="FB100">
        <f ca="1"/>
      </c>
      <c r="FC100">
        <f ca="1"/>
      </c>
      <c r="FD100">
        <f ca="1"/>
      </c>
      <c r="FE100">
        <f ca="1"/>
      </c>
      <c r="FF100">
        <f ca="1"/>
      </c>
      <c r="FG100">
        <f ca="1"/>
      </c>
      <c r="FH100">
        <f ca="1"/>
      </c>
      <c r="FI100">
        <f ca="1"/>
      </c>
      <c r="FJ100">
        <f ca="1"/>
      </c>
      <c r="FK100">
        <f ca="1"/>
      </c>
      <c r="FL100">
        <f ca="1"/>
      </c>
      <c r="FM100">
        <f ca="1"/>
      </c>
      <c r="FN100">
        <f ca="1"/>
      </c>
      <c r="FO100">
        <f ca="1"/>
      </c>
      <c r="FP100">
        <f ca="1"/>
      </c>
      <c r="FQ100">
        <f ca="1"/>
      </c>
      <c r="FR100">
        <f ca="1"/>
      </c>
      <c r="FS100">
        <f ca="1"/>
      </c>
      <c r="FT100">
        <f ca="1"/>
      </c>
      <c r="FU100">
        <f ca="1"/>
      </c>
      <c r="FV100">
        <f ca="1"/>
      </c>
      <c r="FW100">
        <f ca="1"/>
      </c>
      <c r="FX100">
        <f ca="1"/>
      </c>
      <c r="FY100">
        <f ca="1"/>
      </c>
      <c r="FZ100">
        <f ca="1"/>
      </c>
      <c r="GA100">
        <f ca="1"/>
      </c>
      <c r="GM100" s="7">
        <f ca="1"/>
      </c>
      <c r="GN100">
        <f ca="1"/>
      </c>
      <c r="GO100">
        <f ca="1"/>
      </c>
      <c r="GP100">
        <f ca="1"/>
      </c>
      <c r="GQ100">
        <f ca="1"/>
      </c>
    </row>
    <row r="101" spans="41:199" x14ac:dyDescent="0.55000000000000004">
      <c r="AO101">
        <f ca="1"/>
      </c>
      <c r="AP101">
        <f ca="1"/>
      </c>
      <c r="AQ101">
        <f ca="1"/>
      </c>
      <c r="AR101">
        <f ca="1"/>
      </c>
      <c r="AS101">
        <f ca="1"/>
      </c>
      <c r="AT101">
        <f ca="1"/>
      </c>
      <c r="AU101">
        <f ca="1"/>
      </c>
      <c r="AV101">
        <f ca="1"/>
      </c>
      <c r="AW101">
        <f ca="1"/>
      </c>
      <c r="AX101">
        <f ca="1"/>
      </c>
      <c r="AY101">
        <f ca="1"/>
      </c>
      <c r="AZ101">
        <f ca="1"/>
      </c>
      <c r="BA101">
        <f ca="1"/>
      </c>
      <c r="BB101">
        <f ca="1"/>
      </c>
      <c r="BC101">
        <f ca="1"/>
      </c>
      <c r="BD101">
        <f ca="1"/>
      </c>
      <c r="BE101">
        <f ca="1"/>
      </c>
      <c r="BF101">
        <f ca="1"/>
      </c>
      <c r="BG101">
        <f ca="1"/>
      </c>
      <c r="BH101">
        <f ca="1"/>
      </c>
      <c r="BI101">
        <f ca="1"/>
      </c>
      <c r="BJ101">
        <f ca="1"/>
      </c>
      <c r="BK101">
        <f ca="1"/>
      </c>
      <c r="BL101">
        <f ca="1"/>
      </c>
      <c r="BM101">
        <f ca="1"/>
      </c>
      <c r="BN101">
        <f ca="1"/>
      </c>
      <c r="BO10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  <c r="BV101">
        <f ca="1"/>
      </c>
      <c r="BW101">
        <f ca="1"/>
      </c>
      <c r="BX101">
        <f ca="1"/>
      </c>
      <c r="BY101">
        <f ca="1"/>
      </c>
      <c r="BZ101">
        <f ca="1"/>
      </c>
      <c r="CA101">
        <f ca="1"/>
      </c>
      <c r="CB101">
        <f ca="1"/>
      </c>
      <c r="CC101">
        <f ca="1"/>
      </c>
      <c r="CD101">
        <f ca="1"/>
      </c>
      <c r="CE101">
        <f ca="1"/>
      </c>
      <c r="CF101">
        <f ca="1"/>
      </c>
      <c r="CG101">
        <f ca="1"/>
      </c>
      <c r="CH101">
        <f ca="1"/>
      </c>
      <c r="CI101">
        <f ca="1"/>
      </c>
      <c r="CK101">
        <f ca="1"/>
      </c>
      <c r="CL101">
        <f ca="1"/>
      </c>
      <c r="CM101">
        <f ca="1"/>
      </c>
      <c r="CN101">
        <f ca="1"/>
      </c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DQ101">
        <f ca="1"/>
      </c>
      <c r="DR101">
        <f ca="1"/>
      </c>
      <c r="DS101">
        <f ca="1"/>
      </c>
      <c r="DT101">
        <f ca="1"/>
      </c>
      <c r="DU101">
        <f ca="1"/>
      </c>
      <c r="DV101">
        <f ca="1"/>
      </c>
      <c r="DW101">
        <f ca="1"/>
      </c>
      <c r="DX101">
        <f ca="1"/>
      </c>
      <c r="DY101">
        <f ca="1"/>
      </c>
      <c r="DZ101">
        <f ca="1"/>
      </c>
      <c r="EA101">
        <f ca="1"/>
      </c>
      <c r="EB101">
        <f ca="1"/>
      </c>
      <c r="EC101">
        <f ca="1"/>
      </c>
      <c r="ED101">
        <f ca="1"/>
      </c>
      <c r="EE101">
        <f ca="1"/>
      </c>
      <c r="EG101">
        <f ca="1"/>
      </c>
      <c r="EH101">
        <f ca="1"/>
      </c>
      <c r="EI101">
        <f ca="1"/>
      </c>
      <c r="EJ101">
        <f ca="1"/>
      </c>
      <c r="EK101">
        <f ca="1"/>
      </c>
      <c r="EL101">
        <f ca="1"/>
      </c>
      <c r="EM101">
        <f ca="1"/>
      </c>
      <c r="EN101">
        <f ca="1"/>
      </c>
      <c r="EO101">
        <f ca="1"/>
      </c>
      <c r="EP101">
        <f ca="1"/>
      </c>
      <c r="EQ101">
        <f ca="1"/>
      </c>
      <c r="ER101">
        <f ca="1"/>
      </c>
      <c r="ES101">
        <f ca="1"/>
      </c>
      <c r="ET101">
        <f ca="1"/>
      </c>
      <c r="EU101">
        <f ca="1"/>
      </c>
      <c r="EV101">
        <f ca="1"/>
      </c>
      <c r="EW101">
        <f ca="1"/>
      </c>
      <c r="EX101">
        <f ca="1"/>
      </c>
      <c r="EY101">
        <f ca="1"/>
      </c>
      <c r="EZ101">
        <f ca="1"/>
      </c>
      <c r="FA101">
        <f ca="1"/>
      </c>
      <c r="FB101">
        <f ca="1"/>
      </c>
      <c r="FC101">
        <f ca="1"/>
      </c>
      <c r="FD101">
        <f ca="1"/>
      </c>
      <c r="FE101">
        <f ca="1"/>
      </c>
      <c r="FF101">
        <f ca="1"/>
      </c>
      <c r="FG101">
        <f ca="1"/>
      </c>
      <c r="FH101">
        <f ca="1"/>
      </c>
      <c r="FI101">
        <f ca="1"/>
      </c>
      <c r="FJ101">
        <f ca="1"/>
      </c>
      <c r="FK101">
        <f ca="1"/>
      </c>
      <c r="FL101">
        <f ca="1"/>
      </c>
      <c r="FM101">
        <f ca="1"/>
      </c>
      <c r="FN101">
        <f ca="1"/>
      </c>
      <c r="FO101">
        <f ca="1"/>
      </c>
      <c r="FP101">
        <f ca="1"/>
      </c>
      <c r="FQ101">
        <f ca="1"/>
      </c>
      <c r="FR101">
        <f ca="1"/>
      </c>
      <c r="FS101">
        <f ca="1"/>
      </c>
      <c r="FT101">
        <f ca="1"/>
      </c>
      <c r="FU101">
        <f ca="1"/>
      </c>
      <c r="FV101">
        <f ca="1"/>
      </c>
      <c r="FW101">
        <f ca="1"/>
      </c>
      <c r="FX101">
        <f ca="1"/>
      </c>
      <c r="FY101">
        <f ca="1"/>
      </c>
      <c r="FZ101">
        <f ca="1"/>
      </c>
      <c r="GA101">
        <f ca="1"/>
      </c>
      <c r="GM101" s="7">
        <f ca="1"/>
      </c>
      <c r="GN101">
        <f ca="1"/>
      </c>
      <c r="GO101">
        <f ca="1"/>
      </c>
      <c r="GP101">
        <f ca="1"/>
      </c>
      <c r="GQ101">
        <f ca="1"/>
      </c>
    </row>
    <row r="102" spans="41:199" x14ac:dyDescent="0.55000000000000004">
      <c r="AO102">
        <f ca="1"/>
      </c>
      <c r="AP102">
        <f ca="1"/>
      </c>
      <c r="AQ102">
        <f ca="1"/>
      </c>
      <c r="AR102">
        <f ca="1"/>
      </c>
      <c r="AS102">
        <f ca="1"/>
      </c>
      <c r="AT102">
        <f ca="1"/>
      </c>
      <c r="AU102">
        <f ca="1"/>
      </c>
      <c r="AV102">
        <f ca="1"/>
      </c>
      <c r="AW102">
        <f ca="1"/>
      </c>
      <c r="AX102">
        <f ca="1"/>
      </c>
      <c r="AY102">
        <f ca="1"/>
      </c>
      <c r="AZ102">
        <f ca="1"/>
      </c>
      <c r="BA102">
        <f ca="1"/>
      </c>
      <c r="BB102">
        <f ca="1"/>
      </c>
      <c r="BC102">
        <f ca="1"/>
      </c>
      <c r="BD102">
        <f ca="1"/>
      </c>
      <c r="BE102">
        <f ca="1"/>
      </c>
      <c r="BF102">
        <f ca="1"/>
      </c>
      <c r="BG102">
        <f ca="1"/>
      </c>
      <c r="BH102">
        <f ca="1"/>
      </c>
      <c r="BI102">
        <f ca="1"/>
      </c>
      <c r="BJ102">
        <f ca="1"/>
      </c>
      <c r="BK102">
        <f ca="1"/>
      </c>
      <c r="BL102">
        <f ca="1"/>
      </c>
      <c r="BM102">
        <f ca="1"/>
      </c>
      <c r="BN102">
        <f ca="1"/>
      </c>
      <c r="BO102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  <c r="BV102">
        <f ca="1"/>
      </c>
      <c r="BW102">
        <f ca="1"/>
      </c>
      <c r="BX102">
        <f ca="1"/>
      </c>
      <c r="BY102">
        <f ca="1"/>
      </c>
      <c r="BZ102">
        <f ca="1"/>
      </c>
      <c r="CA102">
        <f ca="1"/>
      </c>
      <c r="CB102">
        <f ca="1"/>
      </c>
      <c r="CC102">
        <f ca="1"/>
      </c>
      <c r="CD102">
        <f ca="1"/>
      </c>
      <c r="CE102">
        <f ca="1"/>
      </c>
      <c r="CF102">
        <f ca="1"/>
      </c>
      <c r="CG102">
        <f ca="1"/>
      </c>
      <c r="CH102">
        <f ca="1"/>
      </c>
      <c r="CI102">
        <f ca="1"/>
      </c>
      <c r="CK102">
        <f ca="1"/>
      </c>
      <c r="CL102">
        <f ca="1"/>
      </c>
      <c r="CM102">
        <f ca="1"/>
      </c>
      <c r="CN102">
        <f ca="1"/>
      </c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DQ102">
        <f ca="1"/>
      </c>
      <c r="DR102">
        <f ca="1"/>
      </c>
      <c r="DS102">
        <f ca="1"/>
      </c>
      <c r="DT102">
        <f ca="1"/>
      </c>
      <c r="DU102">
        <f ca="1"/>
      </c>
      <c r="DV102">
        <f ca="1"/>
      </c>
      <c r="DW102">
        <f ca="1"/>
      </c>
      <c r="DX102">
        <f ca="1"/>
      </c>
      <c r="DY102">
        <f ca="1"/>
      </c>
      <c r="DZ102">
        <f ca="1"/>
      </c>
      <c r="EA102">
        <f ca="1"/>
      </c>
      <c r="EB102">
        <f ca="1"/>
      </c>
      <c r="EC102">
        <f ca="1"/>
      </c>
      <c r="ED102">
        <f ca="1"/>
      </c>
      <c r="EE102">
        <f ca="1"/>
      </c>
      <c r="EG102">
        <f ca="1"/>
      </c>
      <c r="EH102">
        <f ca="1"/>
      </c>
      <c r="EI102">
        <f ca="1"/>
      </c>
      <c r="EJ102">
        <f ca="1"/>
      </c>
      <c r="EK102">
        <f ca="1"/>
      </c>
      <c r="EL102">
        <f ca="1"/>
      </c>
      <c r="EM102">
        <f ca="1"/>
      </c>
      <c r="EN102">
        <f ca="1"/>
      </c>
      <c r="EO102">
        <f ca="1"/>
      </c>
      <c r="EP102">
        <f ca="1"/>
      </c>
      <c r="EQ102">
        <f ca="1"/>
      </c>
      <c r="ER102">
        <f ca="1"/>
      </c>
      <c r="ES102">
        <f ca="1"/>
      </c>
      <c r="ET102">
        <f ca="1"/>
      </c>
      <c r="EU102">
        <f ca="1"/>
      </c>
      <c r="EV102">
        <f ca="1"/>
      </c>
      <c r="EW102">
        <f ca="1"/>
      </c>
      <c r="EX102">
        <f ca="1"/>
      </c>
      <c r="EY102">
        <f ca="1"/>
      </c>
      <c r="EZ102">
        <f ca="1"/>
      </c>
      <c r="FA102">
        <f ca="1"/>
      </c>
      <c r="FB102">
        <f ca="1"/>
      </c>
      <c r="FC102">
        <f ca="1"/>
      </c>
      <c r="FD102">
        <f ca="1"/>
      </c>
      <c r="FE102">
        <f ca="1"/>
      </c>
      <c r="FF102">
        <f ca="1"/>
      </c>
      <c r="FG102">
        <f ca="1"/>
      </c>
      <c r="FH102">
        <f ca="1"/>
      </c>
      <c r="FI102">
        <f ca="1"/>
      </c>
      <c r="FJ102">
        <f ca="1"/>
      </c>
      <c r="FK102">
        <f ca="1"/>
      </c>
      <c r="FL102">
        <f ca="1"/>
      </c>
      <c r="FM102">
        <f ca="1"/>
      </c>
      <c r="FN102">
        <f ca="1"/>
      </c>
      <c r="FO102">
        <f ca="1"/>
      </c>
      <c r="FP102">
        <f ca="1"/>
      </c>
      <c r="FQ102">
        <f ca="1"/>
      </c>
      <c r="FR102">
        <f ca="1"/>
      </c>
      <c r="FS102">
        <f ca="1"/>
      </c>
      <c r="FT102">
        <f ca="1"/>
      </c>
      <c r="FU102">
        <f ca="1"/>
      </c>
      <c r="FV102">
        <f ca="1"/>
      </c>
      <c r="FW102">
        <f ca="1"/>
      </c>
      <c r="FX102">
        <f ca="1"/>
      </c>
      <c r="FY102">
        <f ca="1"/>
      </c>
      <c r="FZ102">
        <f ca="1"/>
      </c>
      <c r="GA102">
        <f ca="1"/>
      </c>
      <c r="GM102" s="7">
        <f ca="1"/>
      </c>
      <c r="GN102">
        <f ca="1"/>
      </c>
      <c r="GO102">
        <f ca="1"/>
      </c>
      <c r="GP102">
        <f ca="1"/>
      </c>
      <c r="GQ102">
        <f ca="1"/>
      </c>
    </row>
    <row r="103" spans="41:199" x14ac:dyDescent="0.55000000000000004">
      <c r="AO103">
        <f ca="1"/>
      </c>
      <c r="AP103">
        <f ca="1"/>
      </c>
      <c r="AQ103">
        <f ca="1"/>
      </c>
      <c r="AR103">
        <f ca="1"/>
      </c>
      <c r="AS103">
        <f ca="1"/>
      </c>
      <c r="AT103">
        <f ca="1"/>
      </c>
      <c r="AU103">
        <f ca="1"/>
      </c>
      <c r="AV103">
        <f ca="1"/>
      </c>
      <c r="AW103">
        <f ca="1"/>
      </c>
      <c r="AX103">
        <f ca="1"/>
      </c>
      <c r="AY103">
        <f ca="1"/>
      </c>
      <c r="AZ103">
        <f ca="1"/>
      </c>
      <c r="BA103">
        <f ca="1"/>
      </c>
      <c r="BB103">
        <f ca="1"/>
      </c>
      <c r="BC103">
        <f ca="1"/>
      </c>
      <c r="BD103">
        <f ca="1"/>
      </c>
      <c r="BE103">
        <f ca="1"/>
      </c>
      <c r="BF103">
        <f ca="1"/>
      </c>
      <c r="BG103">
        <f ca="1"/>
      </c>
      <c r="BH103">
        <f ca="1"/>
      </c>
      <c r="BI103">
        <f ca="1"/>
      </c>
      <c r="BJ103">
        <f ca="1"/>
      </c>
      <c r="BK103">
        <f ca="1"/>
      </c>
      <c r="BL103">
        <f ca="1"/>
      </c>
      <c r="BM103">
        <f ca="1"/>
      </c>
      <c r="BN103">
        <f ca="1"/>
      </c>
      <c r="BO103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  <c r="BV103">
        <f ca="1"/>
      </c>
      <c r="BW103">
        <f ca="1"/>
      </c>
      <c r="BX103">
        <f ca="1"/>
      </c>
      <c r="BY103">
        <f ca="1"/>
      </c>
      <c r="BZ103">
        <f ca="1"/>
      </c>
      <c r="CA103">
        <f ca="1"/>
      </c>
      <c r="CB103">
        <f ca="1"/>
      </c>
      <c r="CC103">
        <f ca="1"/>
      </c>
      <c r="CD103">
        <f ca="1"/>
      </c>
      <c r="CE103">
        <f ca="1"/>
      </c>
      <c r="CF103">
        <f ca="1"/>
      </c>
      <c r="CG103">
        <f ca="1"/>
      </c>
      <c r="CH103">
        <f ca="1"/>
      </c>
      <c r="CI103">
        <f ca="1"/>
      </c>
      <c r="CK103">
        <f ca="1"/>
      </c>
      <c r="CL103">
        <f ca="1"/>
      </c>
      <c r="CM103">
        <f ca="1"/>
      </c>
      <c r="CN103">
        <f ca="1"/>
      </c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DQ103">
        <f ca="1"/>
      </c>
      <c r="DR103">
        <f ca="1"/>
      </c>
      <c r="DS103">
        <f ca="1"/>
      </c>
      <c r="DT103">
        <f ca="1"/>
      </c>
      <c r="DU103">
        <f ca="1"/>
      </c>
      <c r="DV103">
        <f ca="1"/>
      </c>
      <c r="DW103">
        <f ca="1"/>
      </c>
      <c r="DX103">
        <f ca="1"/>
      </c>
      <c r="DY103">
        <f ca="1"/>
      </c>
      <c r="DZ103">
        <f ca="1"/>
      </c>
      <c r="EA103">
        <f ca="1"/>
      </c>
      <c r="EB103">
        <f ca="1"/>
      </c>
      <c r="EC103">
        <f ca="1"/>
      </c>
      <c r="ED103">
        <f ca="1"/>
      </c>
      <c r="EE103">
        <f ca="1"/>
      </c>
      <c r="EG103">
        <f ca="1"/>
      </c>
      <c r="EH103">
        <f ca="1"/>
      </c>
      <c r="EI103">
        <f ca="1"/>
      </c>
      <c r="EJ103">
        <f ca="1"/>
      </c>
      <c r="EK103">
        <f ca="1"/>
      </c>
      <c r="EL103">
        <f ca="1"/>
      </c>
      <c r="EM103">
        <f ca="1"/>
      </c>
      <c r="EN103">
        <f ca="1"/>
      </c>
      <c r="EO103">
        <f ca="1"/>
      </c>
      <c r="EP103">
        <f ca="1"/>
      </c>
      <c r="EQ103">
        <f ca="1"/>
      </c>
      <c r="ER103">
        <f ca="1"/>
      </c>
      <c r="ES103">
        <f ca="1"/>
      </c>
      <c r="ET103">
        <f ca="1"/>
      </c>
      <c r="EU103">
        <f ca="1"/>
      </c>
      <c r="EV103">
        <f ca="1"/>
      </c>
      <c r="EW103">
        <f ca="1"/>
      </c>
      <c r="EX103">
        <f ca="1"/>
      </c>
      <c r="EY103">
        <f ca="1"/>
      </c>
      <c r="EZ103">
        <f ca="1"/>
      </c>
      <c r="FA103">
        <f ca="1"/>
      </c>
      <c r="FB103">
        <f ca="1"/>
      </c>
      <c r="FC103">
        <f ca="1"/>
      </c>
      <c r="FD103">
        <f ca="1"/>
      </c>
      <c r="FE103">
        <f ca="1"/>
      </c>
      <c r="FF103">
        <f ca="1"/>
      </c>
      <c r="FG103">
        <f ca="1"/>
      </c>
      <c r="FH103">
        <f ca="1"/>
      </c>
      <c r="FI103">
        <f ca="1"/>
      </c>
      <c r="FJ103">
        <f ca="1"/>
      </c>
      <c r="FK103">
        <f ca="1"/>
      </c>
      <c r="FL103">
        <f ca="1"/>
      </c>
      <c r="FM103">
        <f ca="1"/>
      </c>
      <c r="FN103">
        <f ca="1"/>
      </c>
      <c r="FO103">
        <f ca="1"/>
      </c>
      <c r="FP103">
        <f ca="1"/>
      </c>
      <c r="FQ103">
        <f ca="1"/>
      </c>
      <c r="FR103">
        <f ca="1"/>
      </c>
      <c r="FS103">
        <f ca="1"/>
      </c>
      <c r="FT103">
        <f ca="1"/>
      </c>
      <c r="FU103">
        <f ca="1"/>
      </c>
      <c r="FV103">
        <f ca="1"/>
      </c>
      <c r="FW103">
        <f ca="1"/>
      </c>
      <c r="FX103">
        <f ca="1"/>
      </c>
      <c r="FY103">
        <f ca="1"/>
      </c>
      <c r="FZ103">
        <f ca="1"/>
      </c>
      <c r="GA103">
        <f ca="1"/>
      </c>
      <c r="GM103" s="7">
        <f ca="1"/>
      </c>
      <c r="GN103">
        <f ca="1"/>
      </c>
      <c r="GO103">
        <f ca="1"/>
      </c>
      <c r="GP103">
        <f ca="1"/>
      </c>
      <c r="GQ103">
        <f ca="1"/>
      </c>
    </row>
    <row r="104" spans="41:199" x14ac:dyDescent="0.55000000000000004">
      <c r="AO104">
        <f ca="1"/>
      </c>
      <c r="AP104">
        <f ca="1"/>
      </c>
      <c r="AQ104">
        <f ca="1"/>
      </c>
      <c r="AR104">
        <f ca="1"/>
      </c>
      <c r="AS104">
        <f ca="1"/>
      </c>
      <c r="AT104">
        <f ca="1"/>
      </c>
      <c r="AU104">
        <f ca="1"/>
      </c>
      <c r="AV104">
        <f ca="1"/>
      </c>
      <c r="AW104">
        <f ca="1"/>
      </c>
      <c r="AX104">
        <f ca="1"/>
      </c>
      <c r="AY104">
        <f ca="1"/>
      </c>
      <c r="AZ104">
        <f ca="1"/>
      </c>
      <c r="BA104">
        <f ca="1"/>
      </c>
      <c r="BB104">
        <f ca="1"/>
      </c>
      <c r="BC104">
        <f ca="1"/>
      </c>
      <c r="BD104">
        <f ca="1"/>
      </c>
      <c r="BE104">
        <f ca="1"/>
      </c>
      <c r="BF104">
        <f ca="1"/>
      </c>
      <c r="BG104">
        <f ca="1"/>
      </c>
      <c r="BH104">
        <f ca="1"/>
      </c>
      <c r="BI104">
        <f ca="1"/>
      </c>
      <c r="BJ104">
        <f ca="1"/>
      </c>
      <c r="BK104">
        <f ca="1"/>
      </c>
      <c r="BL104">
        <f ca="1"/>
      </c>
      <c r="BM104">
        <f ca="1"/>
      </c>
      <c r="BN104">
        <f ca="1"/>
      </c>
      <c r="BO104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  <c r="BV104">
        <f ca="1"/>
      </c>
      <c r="BW104">
        <f ca="1"/>
      </c>
      <c r="BX104">
        <f ca="1"/>
      </c>
      <c r="BY104">
        <f ca="1"/>
      </c>
      <c r="BZ104">
        <f ca="1"/>
      </c>
      <c r="CA104">
        <f ca="1"/>
      </c>
      <c r="CB104">
        <f ca="1"/>
      </c>
      <c r="CC104">
        <f ca="1"/>
      </c>
      <c r="CD104">
        <f ca="1"/>
      </c>
      <c r="CE104">
        <f ca="1"/>
      </c>
      <c r="CF104">
        <f ca="1"/>
      </c>
      <c r="CG104">
        <f ca="1"/>
      </c>
      <c r="CH104">
        <f ca="1"/>
      </c>
      <c r="CI104">
        <f ca="1"/>
      </c>
      <c r="CK104">
        <f ca="1"/>
      </c>
      <c r="CL104">
        <f ca="1"/>
      </c>
      <c r="CM104">
        <f ca="1"/>
      </c>
      <c r="CN104">
        <f ca="1"/>
      </c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DQ104">
        <f ca="1"/>
      </c>
      <c r="DR104">
        <f ca="1"/>
      </c>
      <c r="DS104">
        <f ca="1"/>
      </c>
      <c r="DT104">
        <f ca="1"/>
      </c>
      <c r="DU104">
        <f ca="1"/>
      </c>
      <c r="DV104">
        <f ca="1"/>
      </c>
      <c r="DW104">
        <f ca="1"/>
      </c>
      <c r="DX104">
        <f ca="1"/>
      </c>
      <c r="DY104">
        <f ca="1"/>
      </c>
      <c r="DZ104">
        <f ca="1"/>
      </c>
      <c r="EA104">
        <f ca="1"/>
      </c>
      <c r="EB104">
        <f ca="1"/>
      </c>
      <c r="EC104">
        <f ca="1"/>
      </c>
      <c r="ED104">
        <f ca="1"/>
      </c>
      <c r="EE104">
        <f ca="1"/>
      </c>
      <c r="EG104">
        <f ca="1"/>
      </c>
      <c r="EH104">
        <f ca="1"/>
      </c>
      <c r="EI104">
        <f ca="1"/>
      </c>
      <c r="EJ104">
        <f ca="1"/>
      </c>
      <c r="EK104">
        <f ca="1"/>
      </c>
      <c r="EL104">
        <f ca="1"/>
      </c>
      <c r="EM104">
        <f ca="1"/>
      </c>
      <c r="EN104">
        <f ca="1"/>
      </c>
      <c r="EO104">
        <f ca="1"/>
      </c>
      <c r="EP104">
        <f ca="1"/>
      </c>
      <c r="EQ104">
        <f ca="1"/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FS104">
        <f ca="1"/>
      </c>
      <c r="FT104">
        <f ca="1"/>
      </c>
      <c r="FU104">
        <f ca="1"/>
      </c>
      <c r="FV104">
        <f ca="1"/>
      </c>
      <c r="FW104">
        <f ca="1"/>
      </c>
      <c r="FX104">
        <f ca="1"/>
      </c>
      <c r="FY104">
        <f ca="1"/>
      </c>
      <c r="FZ104">
        <f ca="1"/>
      </c>
      <c r="GA104">
        <f ca="1"/>
      </c>
      <c r="GM104" s="7">
        <f ca="1"/>
      </c>
      <c r="GN104">
        <f ca="1"/>
      </c>
      <c r="GO104">
        <f ca="1"/>
      </c>
      <c r="GP104">
        <f ca="1"/>
      </c>
      <c r="GQ104">
        <f ca="1"/>
      </c>
    </row>
    <row r="105" spans="41:199" x14ac:dyDescent="0.55000000000000004">
      <c r="AO105">
        <f ca="1"/>
      </c>
      <c r="AP105">
        <f ca="1"/>
      </c>
      <c r="AQ105">
        <f ca="1"/>
      </c>
      <c r="AR105">
        <f ca="1"/>
      </c>
      <c r="AS105">
        <f ca="1"/>
      </c>
      <c r="AT105">
        <f ca="1"/>
      </c>
      <c r="AU105">
        <f ca="1"/>
      </c>
      <c r="AV105">
        <f ca="1"/>
      </c>
      <c r="AW105">
        <f ca="1"/>
      </c>
      <c r="AX105">
        <f ca="1"/>
      </c>
      <c r="AY105">
        <f ca="1"/>
      </c>
      <c r="AZ105">
        <f ca="1"/>
      </c>
      <c r="BA105">
        <f ca="1"/>
      </c>
      <c r="BB105">
        <f ca="1"/>
      </c>
      <c r="BC105">
        <f ca="1"/>
      </c>
      <c r="BD105">
        <f ca="1"/>
      </c>
      <c r="BE105">
        <f ca="1"/>
      </c>
      <c r="BF105">
        <f ca="1"/>
      </c>
      <c r="BG105">
        <f ca="1"/>
      </c>
      <c r="BH105">
        <f ca="1"/>
      </c>
      <c r="BI105">
        <f ca="1"/>
      </c>
      <c r="BJ105">
        <f ca="1"/>
      </c>
      <c r="BK105">
        <f ca="1"/>
      </c>
      <c r="BL105">
        <f ca="1"/>
      </c>
      <c r="BM105">
        <f ca="1"/>
      </c>
      <c r="BN105">
        <f ca="1"/>
      </c>
      <c r="BO105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  <c r="BV105">
        <f ca="1"/>
      </c>
      <c r="BW105">
        <f ca="1"/>
      </c>
      <c r="BX105">
        <f ca="1"/>
      </c>
      <c r="BY105">
        <f ca="1"/>
      </c>
      <c r="BZ105">
        <f ca="1"/>
      </c>
      <c r="CA105">
        <f ca="1"/>
      </c>
      <c r="CB105">
        <f ca="1"/>
      </c>
      <c r="CC105">
        <f ca="1"/>
      </c>
      <c r="CD105">
        <f ca="1"/>
      </c>
      <c r="CE105">
        <f ca="1"/>
      </c>
      <c r="CF105">
        <f ca="1"/>
      </c>
      <c r="CG105">
        <f ca="1"/>
      </c>
      <c r="CH105">
        <f ca="1"/>
      </c>
      <c r="CI105">
        <f ca="1"/>
      </c>
      <c r="CK105">
        <f ca="1"/>
      </c>
      <c r="CL105">
        <f ca="1"/>
      </c>
      <c r="CM105">
        <f ca="1"/>
      </c>
      <c r="CN105">
        <f ca="1"/>
      </c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DQ105">
        <f ca="1"/>
      </c>
      <c r="DR105">
        <f ca="1"/>
      </c>
      <c r="DS105">
        <f ca="1"/>
      </c>
      <c r="DT105">
        <f ca="1"/>
      </c>
      <c r="DU105">
        <f ca="1"/>
      </c>
      <c r="DV105">
        <f ca="1"/>
      </c>
      <c r="DW105">
        <f ca="1"/>
      </c>
      <c r="DX105">
        <f ca="1"/>
      </c>
      <c r="DY105">
        <f ca="1"/>
      </c>
      <c r="DZ105">
        <f ca="1"/>
      </c>
      <c r="EA105">
        <f ca="1"/>
      </c>
      <c r="EB105">
        <f ca="1"/>
      </c>
      <c r="EC105">
        <f ca="1"/>
      </c>
      <c r="ED105">
        <f ca="1"/>
      </c>
      <c r="EE105">
        <f ca="1"/>
      </c>
      <c r="EG105">
        <f ca="1"/>
      </c>
      <c r="EH105">
        <f ca="1"/>
      </c>
      <c r="EI105">
        <f ca="1"/>
      </c>
      <c r="EJ105">
        <f ca="1"/>
      </c>
      <c r="EK105">
        <f ca="1"/>
      </c>
      <c r="EL105">
        <f ca="1"/>
      </c>
      <c r="EM105">
        <f ca="1"/>
      </c>
      <c r="EN105">
        <f ca="1"/>
      </c>
      <c r="EO105">
        <f ca="1"/>
      </c>
      <c r="E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FS105">
        <f ca="1"/>
      </c>
      <c r="FT105">
        <f ca="1"/>
      </c>
      <c r="FU105">
        <f ca="1"/>
      </c>
      <c r="FV105">
        <f ca="1"/>
      </c>
      <c r="FW105">
        <f ca="1"/>
      </c>
      <c r="FX105">
        <f ca="1"/>
      </c>
      <c r="FY105">
        <f ca="1"/>
      </c>
      <c r="FZ105">
        <f ca="1"/>
      </c>
      <c r="GA105">
        <f ca="1"/>
      </c>
      <c r="GM105" s="7">
        <f ca="1"/>
      </c>
      <c r="GN105">
        <f ca="1"/>
      </c>
      <c r="GO105">
        <f ca="1"/>
      </c>
      <c r="GP105">
        <f ca="1"/>
      </c>
      <c r="GQ105">
        <f ca="1"/>
      </c>
    </row>
    <row r="106" spans="41:199" x14ac:dyDescent="0.55000000000000004">
      <c r="AO106">
        <f ca="1"/>
      </c>
      <c r="AP106">
        <f ca="1"/>
      </c>
      <c r="AQ106">
        <f ca="1"/>
      </c>
      <c r="AR106">
        <f ca="1"/>
      </c>
      <c r="AS106">
        <f ca="1"/>
      </c>
      <c r="AT106">
        <f ca="1"/>
      </c>
      <c r="AU106">
        <f ca="1"/>
      </c>
      <c r="AV106">
        <f ca="1"/>
      </c>
      <c r="AW106">
        <f ca="1"/>
      </c>
      <c r="AX106">
        <f ca="1"/>
      </c>
      <c r="AY106">
        <f ca="1"/>
      </c>
      <c r="AZ106">
        <f ca="1"/>
      </c>
      <c r="BA106">
        <f ca="1"/>
      </c>
      <c r="BB106">
        <f ca="1"/>
      </c>
      <c r="BC106">
        <f ca="1"/>
      </c>
      <c r="BD106">
        <f ca="1"/>
      </c>
      <c r="BE106">
        <f ca="1"/>
      </c>
      <c r="BF106">
        <f ca="1"/>
      </c>
      <c r="BG106">
        <f ca="1"/>
      </c>
      <c r="BH106">
        <f ca="1"/>
      </c>
      <c r="BI106">
        <f ca="1"/>
      </c>
      <c r="BJ106">
        <f ca="1"/>
      </c>
      <c r="BK106">
        <f ca="1"/>
      </c>
      <c r="BL106">
        <f ca="1"/>
      </c>
      <c r="BM106">
        <f ca="1"/>
      </c>
      <c r="BN106">
        <f ca="1"/>
      </c>
      <c r="BO106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  <c r="BV106">
        <f ca="1"/>
      </c>
      <c r="BW106">
        <f ca="1"/>
      </c>
      <c r="BX106">
        <f ca="1"/>
      </c>
      <c r="BY106">
        <f ca="1"/>
      </c>
      <c r="BZ106">
        <f ca="1"/>
      </c>
      <c r="CA106">
        <f ca="1"/>
      </c>
      <c r="CB106">
        <f ca="1"/>
      </c>
      <c r="CC106">
        <f ca="1"/>
      </c>
      <c r="CD106">
        <f ca="1"/>
      </c>
      <c r="CE106">
        <f ca="1"/>
      </c>
      <c r="CF106">
        <f ca="1"/>
      </c>
      <c r="CG106">
        <f ca="1"/>
      </c>
      <c r="CH106">
        <f ca="1"/>
      </c>
      <c r="CI106">
        <f ca="1"/>
      </c>
      <c r="CK106">
        <f ca="1"/>
      </c>
      <c r="CL106">
        <f ca="1"/>
      </c>
      <c r="CM106">
        <f ca="1"/>
      </c>
      <c r="CN106">
        <f ca="1"/>
      </c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DQ106">
        <f ca="1"/>
      </c>
      <c r="DR106">
        <f ca="1"/>
      </c>
      <c r="DS106">
        <f ca="1"/>
      </c>
      <c r="DT106">
        <f ca="1"/>
      </c>
      <c r="DU106">
        <f ca="1"/>
      </c>
      <c r="DV106">
        <f ca="1"/>
      </c>
      <c r="DW106">
        <f ca="1"/>
      </c>
      <c r="DX106">
        <f ca="1"/>
      </c>
      <c r="DY106">
        <f ca="1"/>
      </c>
      <c r="DZ106">
        <f ca="1"/>
      </c>
      <c r="EA106">
        <f ca="1"/>
      </c>
      <c r="EB106">
        <f ca="1"/>
      </c>
      <c r="EC106">
        <f ca="1"/>
      </c>
      <c r="ED106">
        <f ca="1"/>
      </c>
      <c r="EE106">
        <f ca="1"/>
      </c>
      <c r="EG106">
        <f ca="1"/>
      </c>
      <c r="EH106">
        <f ca="1"/>
      </c>
      <c r="EI106">
        <f ca="1"/>
      </c>
      <c r="EJ106">
        <f ca="1"/>
      </c>
      <c r="EK106">
        <f ca="1"/>
      </c>
      <c r="EL106">
        <f ca="1"/>
      </c>
      <c r="EM106">
        <f ca="1"/>
      </c>
      <c r="EN106">
        <f ca="1"/>
      </c>
      <c r="EO106">
        <f ca="1"/>
      </c>
      <c r="E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FS106">
        <f ca="1"/>
      </c>
      <c r="FT106">
        <f ca="1"/>
      </c>
      <c r="FU106">
        <f ca="1"/>
      </c>
      <c r="FV106">
        <f ca="1"/>
      </c>
      <c r="FW106">
        <f ca="1"/>
      </c>
      <c r="FX106">
        <f ca="1"/>
      </c>
      <c r="FY106">
        <f ca="1"/>
      </c>
      <c r="FZ106">
        <f ca="1"/>
      </c>
      <c r="GA106">
        <f ca="1"/>
      </c>
      <c r="GM106" s="7">
        <f ca="1"/>
      </c>
      <c r="GN106">
        <f ca="1"/>
      </c>
      <c r="GO106">
        <f ca="1"/>
      </c>
      <c r="GP106">
        <f ca="1"/>
      </c>
      <c r="GQ106">
        <f ca="1"/>
      </c>
    </row>
    <row r="107" spans="41:199" x14ac:dyDescent="0.55000000000000004">
      <c r="AO107">
        <f ca="1"/>
      </c>
      <c r="AP107">
        <f ca="1"/>
      </c>
      <c r="AQ107">
        <f ca="1"/>
      </c>
      <c r="AR107">
        <f ca="1"/>
      </c>
      <c r="AS107">
        <f ca="1"/>
      </c>
      <c r="AT107">
        <f ca="1"/>
      </c>
      <c r="AU107">
        <f ca="1"/>
      </c>
      <c r="AV107">
        <f ca="1"/>
      </c>
      <c r="AW107">
        <f ca="1"/>
      </c>
      <c r="AX107">
        <f ca="1"/>
      </c>
      <c r="AY107">
        <f ca="1"/>
      </c>
      <c r="AZ107">
        <f ca="1"/>
      </c>
      <c r="BA107">
        <f ca="1"/>
      </c>
      <c r="BB107">
        <f ca="1"/>
      </c>
      <c r="BC107">
        <f ca="1"/>
      </c>
      <c r="BD107">
        <f ca="1"/>
      </c>
      <c r="BE107">
        <f ca="1"/>
      </c>
      <c r="BF107">
        <f ca="1"/>
      </c>
      <c r="BG107">
        <f ca="1"/>
      </c>
      <c r="BH107">
        <f ca="1"/>
      </c>
      <c r="BI107">
        <f ca="1"/>
      </c>
      <c r="BJ107">
        <f ca="1"/>
      </c>
      <c r="BK107">
        <f ca="1"/>
      </c>
      <c r="BL107">
        <f ca="1"/>
      </c>
      <c r="BM107">
        <f ca="1"/>
      </c>
      <c r="BN107">
        <f ca="1"/>
      </c>
      <c r="BO107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  <c r="BV107">
        <f ca="1"/>
      </c>
      <c r="BW107">
        <f ca="1"/>
      </c>
      <c r="BX107">
        <f ca="1"/>
      </c>
      <c r="BY107">
        <f ca="1"/>
      </c>
      <c r="BZ107">
        <f ca="1"/>
      </c>
      <c r="CA107">
        <f ca="1"/>
      </c>
      <c r="CB107">
        <f ca="1"/>
      </c>
      <c r="CC107">
        <f ca="1"/>
      </c>
      <c r="CD107">
        <f ca="1"/>
      </c>
      <c r="CE107">
        <f ca="1"/>
      </c>
      <c r="CF107">
        <f ca="1"/>
      </c>
      <c r="CG107">
        <f ca="1"/>
      </c>
      <c r="CH107">
        <f ca="1"/>
      </c>
      <c r="CI107">
        <f ca="1"/>
      </c>
      <c r="CK107">
        <f ca="1"/>
      </c>
      <c r="CL107">
        <f ca="1"/>
      </c>
      <c r="CM107">
        <f ca="1"/>
      </c>
      <c r="CN107">
        <f ca="1"/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DQ107">
        <f ca="1"/>
      </c>
      <c r="DR107">
        <f ca="1"/>
      </c>
      <c r="DS107">
        <f ca="1"/>
      </c>
      <c r="DT107">
        <f ca="1"/>
      </c>
      <c r="DU107">
        <f ca="1"/>
      </c>
      <c r="DV107">
        <f ca="1"/>
      </c>
      <c r="DW107">
        <f ca="1"/>
      </c>
      <c r="DX107">
        <f ca="1"/>
      </c>
      <c r="DY107">
        <f ca="1"/>
      </c>
      <c r="DZ107">
        <f ca="1"/>
      </c>
      <c r="EA107">
        <f ca="1"/>
      </c>
      <c r="EB107">
        <f ca="1"/>
      </c>
      <c r="EC107">
        <f ca="1"/>
      </c>
      <c r="ED107">
        <f ca="1"/>
      </c>
      <c r="EE107">
        <f ca="1"/>
      </c>
      <c r="EG107">
        <f ca="1"/>
      </c>
      <c r="EH107">
        <f ca="1"/>
      </c>
      <c r="EI107">
        <f ca="1"/>
      </c>
      <c r="EJ107">
        <f ca="1"/>
      </c>
      <c r="EK107">
        <f ca="1"/>
      </c>
      <c r="EL107">
        <f ca="1"/>
      </c>
      <c r="EM107">
        <f ca="1"/>
      </c>
      <c r="EN107">
        <f ca="1"/>
      </c>
      <c r="EO107">
        <f ca="1"/>
      </c>
      <c r="E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FS107">
        <f ca="1"/>
      </c>
      <c r="FT107">
        <f ca="1"/>
      </c>
      <c r="FU107">
        <f ca="1"/>
      </c>
      <c r="FV107">
        <f ca="1"/>
      </c>
      <c r="FW107">
        <f ca="1"/>
      </c>
      <c r="FX107">
        <f ca="1"/>
      </c>
      <c r="FY107">
        <f ca="1"/>
      </c>
      <c r="FZ107">
        <f ca="1"/>
      </c>
      <c r="GA107">
        <f ca="1"/>
      </c>
      <c r="GM107" s="7">
        <f ca="1"/>
      </c>
      <c r="GN107">
        <f ca="1"/>
      </c>
      <c r="GO107">
        <f ca="1"/>
      </c>
      <c r="GP107">
        <f ca="1"/>
      </c>
      <c r="GQ107">
        <f ca="1"/>
      </c>
    </row>
    <row r="108" spans="41:199" x14ac:dyDescent="0.55000000000000004">
      <c r="AO108">
        <f ca="1"/>
      </c>
      <c r="AP108">
        <f ca="1"/>
      </c>
      <c r="AQ108">
        <f ca="1"/>
      </c>
      <c r="AR108">
        <f ca="1"/>
      </c>
      <c r="AS108">
        <f ca="1"/>
      </c>
      <c r="AT108">
        <f ca="1"/>
      </c>
      <c r="AU108">
        <f ca="1"/>
      </c>
      <c r="AV108">
        <f ca="1"/>
      </c>
      <c r="AW108">
        <f ca="1"/>
      </c>
      <c r="AX108">
        <f ca="1"/>
      </c>
      <c r="AY108">
        <f ca="1"/>
      </c>
      <c r="AZ108">
        <f ca="1"/>
      </c>
      <c r="BA108">
        <f ca="1"/>
      </c>
      <c r="BB108">
        <f ca="1"/>
      </c>
      <c r="BC108">
        <f ca="1"/>
      </c>
      <c r="BD108">
        <f ca="1"/>
      </c>
      <c r="BE108">
        <f ca="1"/>
      </c>
      <c r="BF108">
        <f ca="1"/>
      </c>
      <c r="BG108">
        <f ca="1"/>
      </c>
      <c r="BH108">
        <f ca="1"/>
      </c>
      <c r="BI108">
        <f ca="1"/>
      </c>
      <c r="BJ108">
        <f ca="1"/>
      </c>
      <c r="BK108">
        <f ca="1"/>
      </c>
      <c r="BL108">
        <f ca="1"/>
      </c>
      <c r="BM108">
        <f ca="1"/>
      </c>
      <c r="BN108">
        <f ca="1"/>
      </c>
      <c r="BO108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  <c r="BV108">
        <f ca="1"/>
      </c>
      <c r="BW108">
        <f ca="1"/>
      </c>
      <c r="BX108">
        <f ca="1"/>
      </c>
      <c r="BY108">
        <f ca="1"/>
      </c>
      <c r="BZ108">
        <f ca="1"/>
      </c>
      <c r="CA108">
        <f ca="1"/>
      </c>
      <c r="CB108">
        <f ca="1"/>
      </c>
      <c r="CC108">
        <f ca="1"/>
      </c>
      <c r="CD108">
        <f ca="1"/>
      </c>
      <c r="CE108">
        <f ca="1"/>
      </c>
      <c r="CF108">
        <f ca="1"/>
      </c>
      <c r="CG108">
        <f ca="1"/>
      </c>
      <c r="CH108">
        <f ca="1"/>
      </c>
      <c r="CI108">
        <f ca="1"/>
      </c>
      <c r="CK108">
        <f ca="1"/>
      </c>
      <c r="CL108">
        <f ca="1"/>
      </c>
      <c r="CM108">
        <f ca="1"/>
      </c>
      <c r="CN108">
        <f ca="1"/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DQ108">
        <f ca="1"/>
      </c>
      <c r="DR108">
        <f ca="1"/>
      </c>
      <c r="DS108">
        <f ca="1"/>
      </c>
      <c r="DT108">
        <f ca="1"/>
      </c>
      <c r="DU108">
        <f ca="1"/>
      </c>
      <c r="DV108">
        <f ca="1"/>
      </c>
      <c r="DW108">
        <f ca="1"/>
      </c>
      <c r="DX108">
        <f ca="1"/>
      </c>
      <c r="DY108">
        <f ca="1"/>
      </c>
      <c r="DZ108">
        <f ca="1"/>
      </c>
      <c r="EA108">
        <f ca="1"/>
      </c>
      <c r="EB108">
        <f ca="1"/>
      </c>
      <c r="EC108">
        <f ca="1"/>
      </c>
      <c r="ED108">
        <f ca="1"/>
      </c>
      <c r="EE108">
        <f ca="1"/>
      </c>
      <c r="EG108">
        <f ca="1"/>
      </c>
      <c r="EH108">
        <f ca="1"/>
      </c>
      <c r="EI108">
        <f ca="1"/>
      </c>
      <c r="EJ108">
        <f ca="1"/>
      </c>
      <c r="EK108">
        <f ca="1"/>
      </c>
      <c r="EL108">
        <f ca="1"/>
      </c>
      <c r="EM108">
        <f ca="1"/>
      </c>
      <c r="EN108">
        <f ca="1"/>
      </c>
      <c r="EO108">
        <f ca="1"/>
      </c>
      <c r="E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FS108">
        <f ca="1"/>
      </c>
      <c r="FT108">
        <f ca="1"/>
      </c>
      <c r="FU108">
        <f ca="1"/>
      </c>
      <c r="FV108">
        <f ca="1"/>
      </c>
      <c r="FW108">
        <f ca="1"/>
      </c>
      <c r="FX108">
        <f ca="1"/>
      </c>
      <c r="FY108">
        <f ca="1"/>
      </c>
      <c r="FZ108">
        <f ca="1"/>
      </c>
      <c r="GA108">
        <f ca="1"/>
      </c>
      <c r="GM108" s="7">
        <f ca="1"/>
      </c>
      <c r="GN108">
        <f ca="1"/>
      </c>
      <c r="GO108">
        <f ca="1"/>
      </c>
      <c r="GP108">
        <f ca="1"/>
      </c>
      <c r="GQ108">
        <f ca="1"/>
      </c>
    </row>
    <row r="109" spans="41:199" x14ac:dyDescent="0.55000000000000004">
      <c r="AO109">
        <f ca="1"/>
      </c>
      <c r="AP109">
        <f ca="1"/>
      </c>
      <c r="AQ109">
        <f ca="1"/>
      </c>
      <c r="AR109">
        <f ca="1"/>
      </c>
      <c r="AS109">
        <f ca="1"/>
      </c>
      <c r="AT109">
        <f ca="1"/>
      </c>
      <c r="AU109">
        <f ca="1"/>
      </c>
      <c r="AV109">
        <f ca="1"/>
      </c>
      <c r="AW109">
        <f ca="1"/>
      </c>
      <c r="AX109">
        <f ca="1"/>
      </c>
      <c r="AY109">
        <f ca="1"/>
      </c>
      <c r="AZ109">
        <f ca="1"/>
      </c>
      <c r="BA109">
        <f ca="1"/>
      </c>
      <c r="BB109">
        <f ca="1"/>
      </c>
      <c r="BC109">
        <f ca="1"/>
      </c>
      <c r="BD109">
        <f ca="1"/>
      </c>
      <c r="BE109">
        <f ca="1"/>
      </c>
      <c r="BF109">
        <f ca="1"/>
      </c>
      <c r="BG109">
        <f ca="1"/>
      </c>
      <c r="BH109">
        <f ca="1"/>
      </c>
      <c r="BI109">
        <f ca="1"/>
      </c>
      <c r="BJ109">
        <f ca="1"/>
      </c>
      <c r="BK109">
        <f ca="1"/>
      </c>
      <c r="BL109">
        <f ca="1"/>
      </c>
      <c r="BM109">
        <f ca="1"/>
      </c>
      <c r="BN109">
        <f ca="1"/>
      </c>
      <c r="BO109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  <c r="BV109">
        <f ca="1"/>
      </c>
      <c r="BW109">
        <f ca="1"/>
      </c>
      <c r="BX109">
        <f ca="1"/>
      </c>
      <c r="BY109">
        <f ca="1"/>
      </c>
      <c r="BZ109">
        <f ca="1"/>
      </c>
      <c r="CA109">
        <f ca="1"/>
      </c>
      <c r="CB109">
        <f ca="1"/>
      </c>
      <c r="CC109">
        <f ca="1"/>
      </c>
      <c r="CD109">
        <f ca="1"/>
      </c>
      <c r="CE109">
        <f ca="1"/>
      </c>
      <c r="CF109">
        <f ca="1"/>
      </c>
      <c r="CG109">
        <f ca="1"/>
      </c>
      <c r="CH109">
        <f ca="1"/>
      </c>
      <c r="CI109">
        <f ca="1"/>
      </c>
      <c r="CK109">
        <f ca="1"/>
      </c>
      <c r="CL109">
        <f ca="1"/>
      </c>
      <c r="CM109">
        <f ca="1"/>
      </c>
      <c r="CN109">
        <f ca="1"/>
      </c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DQ109">
        <f ca="1"/>
      </c>
      <c r="DR109">
        <f ca="1"/>
      </c>
      <c r="DS109">
        <f ca="1"/>
      </c>
      <c r="DT109">
        <f ca="1"/>
      </c>
      <c r="DU109">
        <f ca="1"/>
      </c>
      <c r="DV109">
        <f ca="1"/>
      </c>
      <c r="DW109">
        <f ca="1"/>
      </c>
      <c r="DX109">
        <f ca="1"/>
      </c>
      <c r="DY109">
        <f ca="1"/>
      </c>
      <c r="DZ109">
        <f ca="1"/>
      </c>
      <c r="EA109">
        <f ca="1"/>
      </c>
      <c r="EB109">
        <f ca="1"/>
      </c>
      <c r="EC109">
        <f ca="1"/>
      </c>
      <c r="ED109">
        <f ca="1"/>
      </c>
      <c r="EE109">
        <f ca="1"/>
      </c>
      <c r="EG109">
        <f ca="1"/>
      </c>
      <c r="EH109">
        <f ca="1"/>
      </c>
      <c r="EI109">
        <f ca="1"/>
      </c>
      <c r="EJ109">
        <f ca="1"/>
      </c>
      <c r="EK109">
        <f ca="1"/>
      </c>
      <c r="EL109">
        <f ca="1"/>
      </c>
      <c r="EM109">
        <f ca="1"/>
      </c>
      <c r="EN109">
        <f ca="1"/>
      </c>
      <c r="EO109">
        <f ca="1"/>
      </c>
      <c r="E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FS109">
        <f ca="1"/>
      </c>
      <c r="FT109">
        <f ca="1"/>
      </c>
      <c r="FU109">
        <f ca="1"/>
      </c>
      <c r="FV109">
        <f ca="1"/>
      </c>
      <c r="FW109">
        <f ca="1"/>
      </c>
      <c r="FX109">
        <f ca="1"/>
      </c>
      <c r="FY109">
        <f ca="1"/>
      </c>
      <c r="FZ109">
        <f ca="1"/>
      </c>
      <c r="GA109">
        <f ca="1"/>
      </c>
      <c r="GM109" s="7">
        <f ca="1"/>
      </c>
      <c r="GN109">
        <f ca="1"/>
      </c>
      <c r="GO109">
        <f ca="1"/>
      </c>
      <c r="GP109">
        <f ca="1"/>
      </c>
      <c r="GQ109">
        <f ca="1"/>
      </c>
    </row>
    <row r="110" spans="41:199" x14ac:dyDescent="0.55000000000000004">
      <c r="AO110">
        <f ca="1"/>
      </c>
      <c r="AP110">
        <f ca="1"/>
      </c>
      <c r="AQ110">
        <f ca="1"/>
      </c>
      <c r="AR110">
        <f ca="1"/>
      </c>
      <c r="AS110">
        <f ca="1"/>
      </c>
      <c r="AT110">
        <f ca="1"/>
      </c>
      <c r="AU110">
        <f ca="1"/>
      </c>
      <c r="AV110">
        <f ca="1"/>
      </c>
      <c r="AW110">
        <f ca="1"/>
      </c>
      <c r="AX110">
        <f ca="1"/>
      </c>
      <c r="AY110">
        <f ca="1"/>
      </c>
      <c r="AZ110">
        <f ca="1"/>
      </c>
      <c r="BA110">
        <f ca="1"/>
      </c>
      <c r="BB110">
        <f ca="1"/>
      </c>
      <c r="BC110">
        <f ca="1"/>
      </c>
      <c r="BD110">
        <f ca="1"/>
      </c>
      <c r="BE110">
        <f ca="1"/>
      </c>
      <c r="BF110">
        <f ca="1"/>
      </c>
      <c r="BG110">
        <f ca="1"/>
      </c>
      <c r="BH110">
        <f ca="1"/>
      </c>
      <c r="BI110">
        <f ca="1"/>
      </c>
      <c r="BJ110">
        <f ca="1"/>
      </c>
      <c r="BK110">
        <f ca="1"/>
      </c>
      <c r="BL110">
        <f ca="1"/>
      </c>
      <c r="BM110">
        <f ca="1"/>
      </c>
      <c r="BN110">
        <f ca="1"/>
      </c>
      <c r="BO110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  <c r="BV110">
        <f ca="1"/>
      </c>
      <c r="BW110">
        <f ca="1"/>
      </c>
      <c r="BX110">
        <f ca="1"/>
      </c>
      <c r="BY110">
        <f ca="1"/>
      </c>
      <c r="BZ110">
        <f ca="1"/>
      </c>
      <c r="CA110">
        <f ca="1"/>
      </c>
      <c r="CB110">
        <f ca="1"/>
      </c>
      <c r="CC110">
        <f ca="1"/>
      </c>
      <c r="CD110">
        <f ca="1"/>
      </c>
      <c r="CE110">
        <f ca="1"/>
      </c>
      <c r="CF110">
        <f ca="1"/>
      </c>
      <c r="CG110">
        <f ca="1"/>
      </c>
      <c r="CH110">
        <f ca="1"/>
      </c>
      <c r="CI110">
        <f ca="1"/>
      </c>
      <c r="CK110">
        <f ca="1"/>
      </c>
      <c r="CL110">
        <f ca="1"/>
      </c>
      <c r="CM110">
        <f ca="1"/>
      </c>
      <c r="CN110">
        <f ca="1"/>
      </c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DQ110">
        <f ca="1"/>
      </c>
      <c r="DR110">
        <f ca="1"/>
      </c>
      <c r="DS110">
        <f ca="1"/>
      </c>
      <c r="DT110">
        <f ca="1"/>
      </c>
      <c r="DU110">
        <f ca="1"/>
      </c>
      <c r="DV110">
        <f ca="1"/>
      </c>
      <c r="DW110">
        <f ca="1"/>
      </c>
      <c r="DX110">
        <f ca="1"/>
      </c>
      <c r="DY110">
        <f ca="1"/>
      </c>
      <c r="DZ110">
        <f ca="1"/>
      </c>
      <c r="EA110">
        <f ca="1"/>
      </c>
      <c r="EB110">
        <f ca="1"/>
      </c>
      <c r="EC110">
        <f ca="1"/>
      </c>
      <c r="ED110">
        <f ca="1"/>
      </c>
      <c r="EE110">
        <f ca="1"/>
      </c>
      <c r="EG110">
        <f ca="1"/>
      </c>
      <c r="EH110">
        <f ca="1"/>
      </c>
      <c r="EI110">
        <f ca="1"/>
      </c>
      <c r="EJ110">
        <f ca="1"/>
      </c>
      <c r="EK110">
        <f ca="1"/>
      </c>
      <c r="EL110">
        <f ca="1"/>
      </c>
      <c r="EM110">
        <f ca="1"/>
      </c>
      <c r="EN110">
        <f ca="1"/>
      </c>
      <c r="EO110">
        <f ca="1"/>
      </c>
      <c r="E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FS110">
        <f ca="1"/>
      </c>
      <c r="FT110">
        <f ca="1"/>
      </c>
      <c r="FU110">
        <f ca="1"/>
      </c>
      <c r="FV110">
        <f ca="1"/>
      </c>
      <c r="FW110">
        <f ca="1"/>
      </c>
      <c r="FX110">
        <f ca="1"/>
      </c>
      <c r="FY110">
        <f ca="1"/>
      </c>
      <c r="FZ110">
        <f ca="1"/>
      </c>
      <c r="GA110">
        <f ca="1"/>
      </c>
      <c r="GM110" s="7">
        <f ca="1"/>
      </c>
      <c r="GN110">
        <f ca="1"/>
      </c>
      <c r="GO110">
        <f ca="1"/>
      </c>
      <c r="GP110">
        <f ca="1"/>
      </c>
      <c r="GQ110">
        <f ca="1"/>
      </c>
    </row>
    <row r="111" spans="41:199" x14ac:dyDescent="0.55000000000000004">
      <c r="AO111">
        <f ca="1"/>
      </c>
      <c r="AP111">
        <f ca="1"/>
      </c>
      <c r="AQ111">
        <f ca="1"/>
      </c>
      <c r="AR111">
        <f ca="1"/>
      </c>
      <c r="AS111">
        <f ca="1"/>
      </c>
      <c r="AT111">
        <f ca="1"/>
      </c>
      <c r="AU111">
        <f ca="1"/>
      </c>
      <c r="AV111">
        <f ca="1"/>
      </c>
      <c r="AW111">
        <f ca="1"/>
      </c>
      <c r="AX111">
        <f ca="1"/>
      </c>
      <c r="AY111">
        <f ca="1"/>
      </c>
      <c r="AZ111">
        <f ca="1"/>
      </c>
      <c r="BA111">
        <f ca="1"/>
      </c>
      <c r="BB111">
        <f ca="1"/>
      </c>
      <c r="BC111">
        <f ca="1"/>
      </c>
      <c r="BD111">
        <f ca="1"/>
      </c>
      <c r="BE111">
        <f ca="1"/>
      </c>
      <c r="BF111">
        <f ca="1"/>
      </c>
      <c r="BG111">
        <f ca="1"/>
      </c>
      <c r="BH111">
        <f ca="1"/>
      </c>
      <c r="BI111">
        <f ca="1"/>
      </c>
      <c r="BJ111">
        <f ca="1"/>
      </c>
      <c r="BK111">
        <f ca="1"/>
      </c>
      <c r="BL111">
        <f ca="1"/>
      </c>
      <c r="BM111">
        <f ca="1"/>
      </c>
      <c r="BN111">
        <f ca="1"/>
      </c>
      <c r="BO1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  <c r="BV111">
        <f ca="1"/>
      </c>
      <c r="BW111">
        <f ca="1"/>
      </c>
      <c r="BX111">
        <f ca="1"/>
      </c>
      <c r="BY111">
        <f ca="1"/>
      </c>
      <c r="BZ111">
        <f ca="1"/>
      </c>
      <c r="CA111">
        <f ca="1"/>
      </c>
      <c r="CB111">
        <f ca="1"/>
      </c>
      <c r="CC111">
        <f ca="1"/>
      </c>
      <c r="CD111">
        <f ca="1"/>
      </c>
      <c r="CE111">
        <f ca="1"/>
      </c>
      <c r="CF111">
        <f ca="1"/>
      </c>
      <c r="CG111">
        <f ca="1"/>
      </c>
      <c r="CH111">
        <f ca="1"/>
      </c>
      <c r="CI111">
        <f ca="1"/>
      </c>
      <c r="CK111">
        <f ca="1"/>
      </c>
      <c r="CL111">
        <f ca="1"/>
      </c>
      <c r="CM111">
        <f ca="1"/>
      </c>
      <c r="CN111">
        <f ca="1"/>
      </c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DQ111">
        <f ca="1"/>
      </c>
      <c r="DR111">
        <f ca="1"/>
      </c>
      <c r="DS111">
        <f ca="1"/>
      </c>
      <c r="DT111">
        <f ca="1"/>
      </c>
      <c r="DU111">
        <f ca="1"/>
      </c>
      <c r="DV111">
        <f ca="1"/>
      </c>
      <c r="DW111">
        <f ca="1"/>
      </c>
      <c r="DX111">
        <f ca="1"/>
      </c>
      <c r="DY111">
        <f ca="1"/>
      </c>
      <c r="DZ111">
        <f ca="1"/>
      </c>
      <c r="EA111">
        <f ca="1"/>
      </c>
      <c r="EB111">
        <f ca="1"/>
      </c>
      <c r="EC111">
        <f ca="1"/>
      </c>
      <c r="ED111">
        <f ca="1"/>
      </c>
      <c r="EE111">
        <f ca="1"/>
      </c>
      <c r="EG111">
        <f ca="1"/>
      </c>
      <c r="EH111">
        <f ca="1"/>
      </c>
      <c r="EI111">
        <f ca="1"/>
      </c>
      <c r="EJ111">
        <f ca="1"/>
      </c>
      <c r="EK111">
        <f ca="1"/>
      </c>
      <c r="EL111">
        <f ca="1"/>
      </c>
      <c r="EM111">
        <f ca="1"/>
      </c>
      <c r="EN111">
        <f ca="1"/>
      </c>
      <c r="EO111">
        <f ca="1"/>
      </c>
      <c r="E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FS111">
        <f ca="1"/>
      </c>
      <c r="FT111">
        <f ca="1"/>
      </c>
      <c r="FU111">
        <f ca="1"/>
      </c>
      <c r="FV111">
        <f ca="1"/>
      </c>
      <c r="FW111">
        <f ca="1"/>
      </c>
      <c r="FX111">
        <f ca="1"/>
      </c>
      <c r="FY111">
        <f ca="1"/>
      </c>
      <c r="FZ111">
        <f ca="1"/>
      </c>
      <c r="GA111">
        <f ca="1"/>
      </c>
      <c r="GM111" s="7">
        <f ca="1"/>
      </c>
      <c r="GN111">
        <f ca="1"/>
      </c>
      <c r="GO111">
        <f ca="1"/>
      </c>
      <c r="GP111">
        <f ca="1"/>
      </c>
      <c r="GQ111">
        <f ca="1"/>
      </c>
    </row>
    <row r="112" spans="41:199" x14ac:dyDescent="0.55000000000000004">
      <c r="AO112">
        <f ca="1"/>
      </c>
      <c r="AP112">
        <f ca="1"/>
      </c>
      <c r="AQ112">
        <f ca="1"/>
      </c>
      <c r="AR112">
        <f ca="1"/>
      </c>
      <c r="AS112">
        <f ca="1"/>
      </c>
      <c r="AT112">
        <f ca="1"/>
      </c>
      <c r="AU112">
        <f ca="1"/>
      </c>
      <c r="AV112">
        <f ca="1"/>
      </c>
      <c r="AW112">
        <f ca="1"/>
      </c>
      <c r="AX112">
        <f ca="1"/>
      </c>
      <c r="AY112">
        <f ca="1"/>
      </c>
      <c r="AZ112">
        <f ca="1"/>
      </c>
      <c r="BA112">
        <f ca="1"/>
      </c>
      <c r="BB112">
        <f ca="1"/>
      </c>
      <c r="BC112">
        <f ca="1"/>
      </c>
      <c r="BD112">
        <f ca="1"/>
      </c>
      <c r="BE112">
        <f ca="1"/>
      </c>
      <c r="BF112">
        <f ca="1"/>
      </c>
      <c r="BG112">
        <f ca="1"/>
      </c>
      <c r="BH112">
        <f ca="1"/>
      </c>
      <c r="BI112">
        <f ca="1"/>
      </c>
      <c r="BJ112">
        <f ca="1"/>
      </c>
      <c r="BK112">
        <f ca="1"/>
      </c>
      <c r="BL112">
        <f ca="1"/>
      </c>
      <c r="BM112">
        <f ca="1"/>
      </c>
      <c r="BN112">
        <f ca="1"/>
      </c>
      <c r="BO112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  <c r="BV112">
        <f ca="1"/>
      </c>
      <c r="BW112">
        <f ca="1"/>
      </c>
      <c r="BX112">
        <f ca="1"/>
      </c>
      <c r="BY112">
        <f ca="1"/>
      </c>
      <c r="BZ112">
        <f ca="1"/>
      </c>
      <c r="CA112">
        <f ca="1"/>
      </c>
      <c r="CB112">
        <f ca="1"/>
      </c>
      <c r="CC112">
        <f ca="1"/>
      </c>
      <c r="CD112">
        <f ca="1"/>
      </c>
      <c r="CE112">
        <f ca="1"/>
      </c>
      <c r="CF112">
        <f ca="1"/>
      </c>
      <c r="CG112">
        <f ca="1"/>
      </c>
      <c r="CH112">
        <f ca="1"/>
      </c>
      <c r="CI112">
        <f ca="1"/>
      </c>
      <c r="CK112">
        <f ca="1"/>
      </c>
      <c r="CL112">
        <f ca="1"/>
      </c>
      <c r="CM112">
        <f ca="1"/>
      </c>
      <c r="CN112">
        <f ca="1"/>
      </c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DQ112">
        <f ca="1"/>
      </c>
      <c r="DR112">
        <f ca="1"/>
      </c>
      <c r="DS112">
        <f ca="1"/>
      </c>
      <c r="DT112">
        <f ca="1"/>
      </c>
      <c r="DU112">
        <f ca="1"/>
      </c>
      <c r="DV112">
        <f ca="1"/>
      </c>
      <c r="DW112">
        <f ca="1"/>
      </c>
      <c r="DX112">
        <f ca="1"/>
      </c>
      <c r="DY112">
        <f ca="1"/>
      </c>
      <c r="DZ112">
        <f ca="1"/>
      </c>
      <c r="EA112">
        <f ca="1"/>
      </c>
      <c r="EB112">
        <f ca="1"/>
      </c>
      <c r="EC112">
        <f ca="1"/>
      </c>
      <c r="ED112">
        <f ca="1"/>
      </c>
      <c r="EE112">
        <f ca="1"/>
      </c>
      <c r="EG112">
        <f ca="1"/>
      </c>
      <c r="EH112">
        <f ca="1"/>
      </c>
      <c r="EI112">
        <f ca="1"/>
      </c>
      <c r="EJ112">
        <f ca="1"/>
      </c>
      <c r="EK112">
        <f ca="1"/>
      </c>
      <c r="EL112">
        <f ca="1"/>
      </c>
      <c r="EM112">
        <f ca="1"/>
      </c>
      <c r="EN112">
        <f ca="1"/>
      </c>
      <c r="EO112">
        <f ca="1"/>
      </c>
      <c r="E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FS112">
        <f ca="1"/>
      </c>
      <c r="FT112">
        <f ca="1"/>
      </c>
      <c r="FU112">
        <f ca="1"/>
      </c>
      <c r="FV112">
        <f ca="1"/>
      </c>
      <c r="FW112">
        <f ca="1"/>
      </c>
      <c r="FX112">
        <f ca="1"/>
      </c>
      <c r="FY112">
        <f ca="1"/>
      </c>
      <c r="FZ112">
        <f ca="1"/>
      </c>
      <c r="GA112">
        <f ca="1"/>
      </c>
      <c r="GM112" s="7">
        <f ca="1"/>
      </c>
      <c r="GN112">
        <f ca="1"/>
      </c>
      <c r="GO112">
        <f ca="1"/>
      </c>
      <c r="GP112">
        <f ca="1"/>
      </c>
      <c r="GQ112">
        <f ca="1"/>
      </c>
    </row>
    <row r="113" spans="41:199" x14ac:dyDescent="0.55000000000000004">
      <c r="AO113">
        <f ca="1"/>
      </c>
      <c r="AP113">
        <f ca="1"/>
      </c>
      <c r="AQ113">
        <f ca="1"/>
      </c>
      <c r="AR113">
        <f ca="1"/>
      </c>
      <c r="AS113">
        <f ca="1"/>
      </c>
      <c r="AT113">
        <f ca="1"/>
      </c>
      <c r="AU113">
        <f ca="1"/>
      </c>
      <c r="AV113">
        <f ca="1"/>
      </c>
      <c r="AW113">
        <f ca="1"/>
      </c>
      <c r="AX113">
        <f ca="1"/>
      </c>
      <c r="AY113">
        <f ca="1"/>
      </c>
      <c r="AZ113">
        <f ca="1"/>
      </c>
      <c r="BA113">
        <f ca="1"/>
      </c>
      <c r="BB113">
        <f ca="1"/>
      </c>
      <c r="BC113">
        <f ca="1"/>
      </c>
      <c r="BD113">
        <f ca="1"/>
      </c>
      <c r="BE113">
        <f ca="1"/>
      </c>
      <c r="BF113">
        <f ca="1"/>
      </c>
      <c r="BG113">
        <f ca="1"/>
      </c>
      <c r="BH113">
        <f ca="1"/>
      </c>
      <c r="BI113">
        <f ca="1"/>
      </c>
      <c r="BJ113">
        <f ca="1"/>
      </c>
      <c r="BK113">
        <f ca="1"/>
      </c>
      <c r="BL113">
        <f ca="1"/>
      </c>
      <c r="BM113">
        <f ca="1"/>
      </c>
      <c r="BN113">
        <f ca="1"/>
      </c>
      <c r="BO113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  <c r="BV113">
        <f ca="1"/>
      </c>
      <c r="BW113">
        <f ca="1"/>
      </c>
      <c r="BX113">
        <f ca="1"/>
      </c>
      <c r="BY113">
        <f ca="1"/>
      </c>
      <c r="BZ113">
        <f ca="1"/>
      </c>
      <c r="CA113">
        <f ca="1"/>
      </c>
      <c r="CB113">
        <f ca="1"/>
      </c>
      <c r="CC113">
        <f ca="1"/>
      </c>
      <c r="CD113">
        <f ca="1"/>
      </c>
      <c r="CE113">
        <f ca="1"/>
      </c>
      <c r="CF113">
        <f ca="1"/>
      </c>
      <c r="CG113">
        <f ca="1"/>
      </c>
      <c r="CH113">
        <f ca="1"/>
      </c>
      <c r="CI113">
        <f ca="1"/>
      </c>
      <c r="CK113">
        <f ca="1"/>
      </c>
      <c r="CL113">
        <f ca="1"/>
      </c>
      <c r="CM113">
        <f ca="1"/>
      </c>
      <c r="CN113">
        <f ca="1"/>
      </c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DQ113">
        <f ca="1"/>
      </c>
      <c r="DR113">
        <f ca="1"/>
      </c>
      <c r="DS113">
        <f ca="1"/>
      </c>
      <c r="DT113">
        <f ca="1"/>
      </c>
      <c r="DU113">
        <f ca="1"/>
      </c>
      <c r="DV113">
        <f ca="1"/>
      </c>
      <c r="DW113">
        <f ca="1"/>
      </c>
      <c r="DX113">
        <f ca="1"/>
      </c>
      <c r="DY113">
        <f ca="1"/>
      </c>
      <c r="DZ113">
        <f ca="1"/>
      </c>
      <c r="EA113">
        <f ca="1"/>
      </c>
      <c r="EB113">
        <f ca="1"/>
      </c>
      <c r="EC113">
        <f ca="1"/>
      </c>
      <c r="ED113">
        <f ca="1"/>
      </c>
      <c r="EE113">
        <f ca="1"/>
      </c>
      <c r="EG113">
        <f ca="1"/>
      </c>
      <c r="EH113">
        <f ca="1"/>
      </c>
      <c r="EI113">
        <f ca="1"/>
      </c>
      <c r="EJ113">
        <f ca="1"/>
      </c>
      <c r="EK113">
        <f ca="1"/>
      </c>
      <c r="EL113">
        <f ca="1"/>
      </c>
      <c r="EM113">
        <f ca="1"/>
      </c>
      <c r="EN113">
        <f ca="1"/>
      </c>
      <c r="EO113">
        <f ca="1"/>
      </c>
      <c r="E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FS113">
        <f ca="1"/>
      </c>
      <c r="FT113">
        <f ca="1"/>
      </c>
      <c r="FU113">
        <f ca="1"/>
      </c>
      <c r="FV113">
        <f ca="1"/>
      </c>
      <c r="FW113">
        <f ca="1"/>
      </c>
      <c r="FX113">
        <f ca="1"/>
      </c>
      <c r="FY113">
        <f ca="1"/>
      </c>
      <c r="FZ113">
        <f ca="1"/>
      </c>
      <c r="GA113">
        <f ca="1"/>
      </c>
      <c r="GM113" s="7">
        <f ca="1"/>
      </c>
      <c r="GN113">
        <f ca="1"/>
      </c>
      <c r="GO113">
        <f ca="1"/>
      </c>
      <c r="GP113">
        <f ca="1"/>
      </c>
      <c r="GQ113">
        <f ca="1"/>
      </c>
    </row>
    <row r="114" spans="41:199" x14ac:dyDescent="0.55000000000000004">
      <c r="AO114">
        <f ca="1"/>
      </c>
      <c r="AP114">
        <f ca="1"/>
      </c>
      <c r="AQ114">
        <f ca="1"/>
      </c>
      <c r="AR114">
        <f ca="1"/>
      </c>
      <c r="AS114">
        <f ca="1"/>
      </c>
      <c r="AT114">
        <f ca="1"/>
      </c>
      <c r="AU114">
        <f ca="1"/>
      </c>
      <c r="AV114">
        <f ca="1"/>
      </c>
      <c r="AW114">
        <f ca="1"/>
      </c>
      <c r="AX114">
        <f ca="1"/>
      </c>
      <c r="AY114">
        <f ca="1"/>
      </c>
      <c r="AZ114">
        <f ca="1"/>
      </c>
      <c r="BA114">
        <f ca="1"/>
      </c>
      <c r="BB114">
        <f ca="1"/>
      </c>
      <c r="BC114">
        <f ca="1"/>
      </c>
      <c r="BD114">
        <f ca="1"/>
      </c>
      <c r="BE114">
        <f ca="1"/>
      </c>
      <c r="BF114">
        <f ca="1"/>
      </c>
      <c r="BG114">
        <f ca="1"/>
      </c>
      <c r="BH114">
        <f ca="1"/>
      </c>
      <c r="BI114">
        <f ca="1"/>
      </c>
      <c r="BJ114">
        <f ca="1"/>
      </c>
      <c r="BK114">
        <f ca="1"/>
      </c>
      <c r="BL114">
        <f ca="1"/>
      </c>
      <c r="BM114">
        <f ca="1"/>
      </c>
      <c r="BN114">
        <f ca="1"/>
      </c>
      <c r="BO114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  <c r="BV114">
        <f ca="1"/>
      </c>
      <c r="BW114">
        <f ca="1"/>
      </c>
      <c r="BX114">
        <f ca="1"/>
      </c>
      <c r="BY114">
        <f ca="1"/>
      </c>
      <c r="BZ114">
        <f ca="1"/>
      </c>
      <c r="CA114">
        <f ca="1"/>
      </c>
      <c r="CB114">
        <f ca="1"/>
      </c>
      <c r="CC114">
        <f ca="1"/>
      </c>
      <c r="CD114">
        <f ca="1"/>
      </c>
      <c r="CE114">
        <f ca="1"/>
      </c>
      <c r="CF114">
        <f ca="1"/>
      </c>
      <c r="CG114">
        <f ca="1"/>
      </c>
      <c r="CH114">
        <f ca="1"/>
      </c>
      <c r="CI114">
        <f ca="1"/>
      </c>
      <c r="CK114">
        <f ca="1"/>
      </c>
      <c r="CL114">
        <f ca="1"/>
      </c>
      <c r="CM114">
        <f ca="1"/>
      </c>
      <c r="CN114">
        <f ca="1"/>
      </c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DQ114">
        <f ca="1"/>
      </c>
      <c r="DR114">
        <f ca="1"/>
      </c>
      <c r="DS114">
        <f ca="1"/>
      </c>
      <c r="DT114">
        <f ca="1"/>
      </c>
      <c r="DU114">
        <f ca="1"/>
      </c>
      <c r="DV114">
        <f ca="1"/>
      </c>
      <c r="DW114">
        <f ca="1"/>
      </c>
      <c r="DX114">
        <f ca="1"/>
      </c>
      <c r="DY114">
        <f ca="1"/>
      </c>
      <c r="DZ114">
        <f ca="1"/>
      </c>
      <c r="EA114">
        <f ca="1"/>
      </c>
      <c r="EB114">
        <f ca="1"/>
      </c>
      <c r="EC114">
        <f ca="1"/>
      </c>
      <c r="ED114">
        <f ca="1"/>
      </c>
      <c r="EE114">
        <f ca="1"/>
      </c>
      <c r="EG114">
        <f ca="1"/>
      </c>
      <c r="EH114">
        <f ca="1"/>
      </c>
      <c r="EI114">
        <f ca="1"/>
      </c>
      <c r="EJ114">
        <f ca="1"/>
      </c>
      <c r="EK114">
        <f ca="1"/>
      </c>
      <c r="EL114">
        <f ca="1"/>
      </c>
      <c r="EM114">
        <f ca="1"/>
      </c>
      <c r="EN114">
        <f ca="1"/>
      </c>
      <c r="EO114">
        <f ca="1"/>
      </c>
      <c r="E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FS114">
        <f ca="1"/>
      </c>
      <c r="FT114">
        <f ca="1"/>
      </c>
      <c r="FU114">
        <f ca="1"/>
      </c>
      <c r="FV114">
        <f ca="1"/>
      </c>
      <c r="FW114">
        <f ca="1"/>
      </c>
      <c r="FX114">
        <f ca="1"/>
      </c>
      <c r="FY114">
        <f ca="1"/>
      </c>
      <c r="FZ114">
        <f ca="1"/>
      </c>
      <c r="GA114">
        <f ca="1"/>
      </c>
      <c r="GM114" s="7">
        <f ca="1"/>
      </c>
      <c r="GN114">
        <f ca="1"/>
      </c>
      <c r="GO114">
        <f ca="1"/>
      </c>
      <c r="GP114">
        <f ca="1"/>
      </c>
      <c r="GQ114">
        <f ca="1"/>
      </c>
    </row>
    <row r="115" spans="41:199" x14ac:dyDescent="0.55000000000000004">
      <c r="AO115">
        <f ca="1"/>
      </c>
      <c r="AP115">
        <f ca="1"/>
      </c>
      <c r="AQ115">
        <f ca="1"/>
      </c>
      <c r="AR115">
        <f ca="1"/>
      </c>
      <c r="AS115">
        <f ca="1"/>
      </c>
      <c r="AT115">
        <f ca="1"/>
      </c>
      <c r="AU115">
        <f ca="1"/>
      </c>
      <c r="AV115">
        <f ca="1"/>
      </c>
      <c r="AW115">
        <f ca="1"/>
      </c>
      <c r="AX115">
        <f ca="1"/>
      </c>
      <c r="AY115">
        <f ca="1"/>
      </c>
      <c r="AZ115">
        <f ca="1"/>
      </c>
      <c r="BA115">
        <f ca="1"/>
      </c>
      <c r="BB115">
        <f ca="1"/>
      </c>
      <c r="BC115">
        <f ca="1"/>
      </c>
      <c r="BD115">
        <f ca="1"/>
      </c>
      <c r="BE115">
        <f ca="1"/>
      </c>
      <c r="BF115">
        <f ca="1"/>
      </c>
      <c r="BG115">
        <f ca="1"/>
      </c>
      <c r="BH115">
        <f ca="1"/>
      </c>
      <c r="BI115">
        <f ca="1"/>
      </c>
      <c r="BJ115">
        <f ca="1"/>
      </c>
      <c r="BK115">
        <f ca="1"/>
      </c>
      <c r="BL115">
        <f ca="1"/>
      </c>
      <c r="BM115">
        <f ca="1"/>
      </c>
      <c r="BN115">
        <f ca="1"/>
      </c>
      <c r="BO115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  <c r="BV115">
        <f ca="1"/>
      </c>
      <c r="BW115">
        <f ca="1"/>
      </c>
      <c r="BX115">
        <f ca="1"/>
      </c>
      <c r="BY115">
        <f ca="1"/>
      </c>
      <c r="BZ115">
        <f ca="1"/>
      </c>
      <c r="CA115">
        <f ca="1"/>
      </c>
      <c r="CB115">
        <f ca="1"/>
      </c>
      <c r="CC115">
        <f ca="1"/>
      </c>
      <c r="CD115">
        <f ca="1"/>
      </c>
      <c r="CE115">
        <f ca="1"/>
      </c>
      <c r="CF115">
        <f ca="1"/>
      </c>
      <c r="CG115">
        <f ca="1"/>
      </c>
      <c r="CH115">
        <f ca="1"/>
      </c>
      <c r="CI115">
        <f ca="1"/>
      </c>
      <c r="CK115">
        <f ca="1"/>
      </c>
      <c r="CL115">
        <f ca="1"/>
      </c>
      <c r="CM115">
        <f ca="1"/>
      </c>
      <c r="CN115">
        <f ca="1"/>
      </c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DQ115">
        <f ca="1"/>
      </c>
      <c r="DR115">
        <f ca="1"/>
      </c>
      <c r="DS115">
        <f ca="1"/>
      </c>
      <c r="DT115">
        <f ca="1"/>
      </c>
      <c r="DU115">
        <f ca="1"/>
      </c>
      <c r="DV115">
        <f ca="1"/>
      </c>
      <c r="DW115">
        <f ca="1"/>
      </c>
      <c r="DX115">
        <f ca="1"/>
      </c>
      <c r="DY115">
        <f ca="1"/>
      </c>
      <c r="DZ115">
        <f ca="1"/>
      </c>
      <c r="EA115">
        <f ca="1"/>
      </c>
      <c r="EB115">
        <f ca="1"/>
      </c>
      <c r="EC115">
        <f ca="1"/>
      </c>
      <c r="ED115">
        <f ca="1"/>
      </c>
      <c r="EE115">
        <f ca="1"/>
      </c>
      <c r="EG115">
        <f ca="1"/>
      </c>
      <c r="EH115">
        <f ca="1"/>
      </c>
      <c r="EI115">
        <f ca="1"/>
      </c>
      <c r="EJ115">
        <f ca="1"/>
      </c>
      <c r="EK115">
        <f ca="1"/>
      </c>
      <c r="EL115">
        <f ca="1"/>
      </c>
      <c r="EM115">
        <f ca="1"/>
      </c>
      <c r="EN115">
        <f ca="1"/>
      </c>
      <c r="EO115">
        <f ca="1"/>
      </c>
      <c r="E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FS115">
        <f ca="1"/>
      </c>
      <c r="FT115">
        <f ca="1"/>
      </c>
      <c r="FU115">
        <f ca="1"/>
      </c>
      <c r="FV115">
        <f ca="1"/>
      </c>
      <c r="FW115">
        <f ca="1"/>
      </c>
      <c r="FX115">
        <f ca="1"/>
      </c>
      <c r="FY115">
        <f ca="1"/>
      </c>
      <c r="FZ115">
        <f ca="1"/>
      </c>
      <c r="GA115">
        <f ca="1"/>
      </c>
      <c r="GM115" s="7">
        <f ca="1"/>
      </c>
      <c r="GN115">
        <f ca="1"/>
      </c>
      <c r="GO115">
        <f ca="1"/>
      </c>
      <c r="GP115">
        <f ca="1"/>
      </c>
      <c r="GQ115">
        <f ca="1"/>
      </c>
    </row>
    <row r="116" spans="41:199" x14ac:dyDescent="0.55000000000000004">
      <c r="AO116">
        <f ca="1"/>
      </c>
      <c r="AP116">
        <f ca="1"/>
      </c>
      <c r="AQ116">
        <f ca="1"/>
      </c>
      <c r="AR116">
        <f ca="1"/>
      </c>
      <c r="AS116">
        <f ca="1"/>
      </c>
      <c r="AT116">
        <f ca="1"/>
      </c>
      <c r="AU116">
        <f ca="1"/>
      </c>
      <c r="AV116">
        <f ca="1"/>
      </c>
      <c r="AW116">
        <f ca="1"/>
      </c>
      <c r="AX116">
        <f ca="1"/>
      </c>
      <c r="AY116">
        <f ca="1"/>
      </c>
      <c r="AZ116">
        <f ca="1"/>
      </c>
      <c r="BA116">
        <f ca="1"/>
      </c>
      <c r="BB116">
        <f ca="1"/>
      </c>
      <c r="BC116">
        <f ca="1"/>
      </c>
      <c r="BD116">
        <f ca="1"/>
      </c>
      <c r="BE116">
        <f ca="1"/>
      </c>
      <c r="BF116">
        <f ca="1"/>
      </c>
      <c r="BG116">
        <f ca="1"/>
      </c>
      <c r="BH116">
        <f ca="1"/>
      </c>
      <c r="BI116">
        <f ca="1"/>
      </c>
      <c r="BJ116">
        <f ca="1"/>
      </c>
      <c r="BK116">
        <f ca="1"/>
      </c>
      <c r="BL116">
        <f ca="1"/>
      </c>
      <c r="BM116">
        <f ca="1"/>
      </c>
      <c r="BN116">
        <f ca="1"/>
      </c>
      <c r="BO116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  <c r="BV116">
        <f ca="1"/>
      </c>
      <c r="BW116">
        <f ca="1"/>
      </c>
      <c r="BX116">
        <f ca="1"/>
      </c>
      <c r="BY116">
        <f ca="1"/>
      </c>
      <c r="BZ116">
        <f ca="1"/>
      </c>
      <c r="CA116">
        <f ca="1"/>
      </c>
      <c r="CB116">
        <f ca="1"/>
      </c>
      <c r="CC116">
        <f ca="1"/>
      </c>
      <c r="CD116">
        <f ca="1"/>
      </c>
      <c r="CE116">
        <f ca="1"/>
      </c>
      <c r="CF116">
        <f ca="1"/>
      </c>
      <c r="CG116">
        <f ca="1"/>
      </c>
      <c r="CH116">
        <f ca="1"/>
      </c>
      <c r="CI116">
        <f ca="1"/>
      </c>
      <c r="CK116">
        <f ca="1"/>
      </c>
      <c r="CL116">
        <f ca="1"/>
      </c>
      <c r="CM116">
        <f ca="1"/>
      </c>
      <c r="CN116">
        <f ca="1"/>
      </c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DQ116">
        <f ca="1"/>
      </c>
      <c r="DR116">
        <f ca="1"/>
      </c>
      <c r="DS116">
        <f ca="1"/>
      </c>
      <c r="DT116">
        <f ca="1"/>
      </c>
      <c r="DU116">
        <f ca="1"/>
      </c>
      <c r="DV116">
        <f ca="1"/>
      </c>
      <c r="DW116">
        <f ca="1"/>
      </c>
      <c r="DX116">
        <f ca="1"/>
      </c>
      <c r="DY116">
        <f ca="1"/>
      </c>
      <c r="DZ116">
        <f ca="1"/>
      </c>
      <c r="EA116">
        <f ca="1"/>
      </c>
      <c r="EB116">
        <f ca="1"/>
      </c>
      <c r="EC116">
        <f ca="1"/>
      </c>
      <c r="ED116">
        <f ca="1"/>
      </c>
      <c r="EE116">
        <f ca="1"/>
      </c>
      <c r="EG116">
        <f ca="1"/>
      </c>
      <c r="EH116">
        <f ca="1"/>
      </c>
      <c r="EI116">
        <f ca="1"/>
      </c>
      <c r="EJ116">
        <f ca="1"/>
      </c>
      <c r="EK116">
        <f ca="1"/>
      </c>
      <c r="EL116">
        <f ca="1"/>
      </c>
      <c r="EM116">
        <f ca="1"/>
      </c>
      <c r="EN116">
        <f ca="1"/>
      </c>
      <c r="EO116">
        <f ca="1"/>
      </c>
      <c r="E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FS116">
        <f ca="1"/>
      </c>
      <c r="FT116">
        <f ca="1"/>
      </c>
      <c r="FU116">
        <f ca="1"/>
      </c>
      <c r="FV116">
        <f ca="1"/>
      </c>
      <c r="FW116">
        <f ca="1"/>
      </c>
      <c r="FX116">
        <f ca="1"/>
      </c>
      <c r="FY116">
        <f ca="1"/>
      </c>
      <c r="FZ116">
        <f ca="1"/>
      </c>
      <c r="GA116">
        <f ca="1"/>
      </c>
      <c r="GM116" s="7">
        <f ca="1"/>
      </c>
      <c r="GN116">
        <f ca="1"/>
      </c>
      <c r="GO116">
        <f ca="1"/>
      </c>
      <c r="GP116">
        <f ca="1"/>
      </c>
      <c r="GQ116">
        <f ca="1"/>
      </c>
    </row>
    <row r="117" spans="41:199" x14ac:dyDescent="0.55000000000000004">
      <c r="AO117">
        <f ca="1"/>
      </c>
      <c r="AP117">
        <f ca="1"/>
      </c>
      <c r="AQ117">
        <f ca="1"/>
      </c>
      <c r="AR117">
        <f ca="1"/>
      </c>
      <c r="AS117">
        <f ca="1"/>
      </c>
      <c r="AT117">
        <f ca="1"/>
      </c>
      <c r="AU117">
        <f ca="1"/>
      </c>
      <c r="AV117">
        <f ca="1"/>
      </c>
      <c r="AW117">
        <f ca="1"/>
      </c>
      <c r="AX117">
        <f ca="1"/>
      </c>
      <c r="AY117">
        <f ca="1"/>
      </c>
      <c r="AZ117">
        <f ca="1"/>
      </c>
      <c r="BA117">
        <f ca="1"/>
      </c>
      <c r="BB117">
        <f ca="1"/>
      </c>
      <c r="BC117">
        <f ca="1"/>
      </c>
      <c r="BD117">
        <f ca="1"/>
      </c>
      <c r="BE117">
        <f ca="1"/>
      </c>
      <c r="BF117">
        <f ca="1"/>
      </c>
      <c r="BG117">
        <f ca="1"/>
      </c>
      <c r="BH117">
        <f ca="1"/>
      </c>
      <c r="BI117">
        <f ca="1"/>
      </c>
      <c r="BJ117">
        <f ca="1"/>
      </c>
      <c r="BK117">
        <f ca="1"/>
      </c>
      <c r="BL117">
        <f ca="1"/>
      </c>
      <c r="BM117">
        <f ca="1"/>
      </c>
      <c r="BN117">
        <f ca="1"/>
      </c>
      <c r="BO117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  <c r="BV117">
        <f ca="1"/>
      </c>
      <c r="BW117">
        <f ca="1"/>
      </c>
      <c r="BX117">
        <f ca="1"/>
      </c>
      <c r="BY117">
        <f ca="1"/>
      </c>
      <c r="BZ117">
        <f ca="1"/>
      </c>
      <c r="CA117">
        <f ca="1"/>
      </c>
      <c r="CB117">
        <f ca="1"/>
      </c>
      <c r="CC117">
        <f ca="1"/>
      </c>
      <c r="CD117">
        <f ca="1"/>
      </c>
      <c r="CE117">
        <f ca="1"/>
      </c>
      <c r="CF117">
        <f ca="1"/>
      </c>
      <c r="CG117">
        <f ca="1"/>
      </c>
      <c r="CH117">
        <f ca="1"/>
      </c>
      <c r="CI117">
        <f ca="1"/>
      </c>
      <c r="CK117">
        <f ca="1"/>
      </c>
      <c r="CL117">
        <f ca="1"/>
      </c>
      <c r="CM117">
        <f ca="1"/>
      </c>
      <c r="CN117">
        <f ca="1"/>
      </c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DQ117">
        <f ca="1"/>
      </c>
      <c r="DR117">
        <f ca="1"/>
      </c>
      <c r="DS117">
        <f ca="1"/>
      </c>
      <c r="DT117">
        <f ca="1"/>
      </c>
      <c r="DU117">
        <f ca="1"/>
      </c>
      <c r="DV117">
        <f ca="1"/>
      </c>
      <c r="DW117">
        <f ca="1"/>
      </c>
      <c r="DX117">
        <f ca="1"/>
      </c>
      <c r="DY117">
        <f ca="1"/>
      </c>
      <c r="DZ117">
        <f ca="1"/>
      </c>
      <c r="EA117">
        <f ca="1"/>
      </c>
      <c r="EB117">
        <f ca="1"/>
      </c>
      <c r="EC117">
        <f ca="1"/>
      </c>
      <c r="ED117">
        <f ca="1"/>
      </c>
      <c r="EE117">
        <f ca="1"/>
      </c>
      <c r="EG117">
        <f ca="1"/>
      </c>
      <c r="EH117">
        <f ca="1"/>
      </c>
      <c r="EI117">
        <f ca="1"/>
      </c>
      <c r="EJ117">
        <f ca="1"/>
      </c>
      <c r="EK117">
        <f ca="1"/>
      </c>
      <c r="EL117">
        <f ca="1"/>
      </c>
      <c r="EM117">
        <f ca="1"/>
      </c>
      <c r="EN117">
        <f ca="1"/>
      </c>
      <c r="EO117">
        <f ca="1"/>
      </c>
      <c r="E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FS117">
        <f ca="1"/>
      </c>
      <c r="FT117">
        <f ca="1"/>
      </c>
      <c r="FU117">
        <f ca="1"/>
      </c>
      <c r="FV117">
        <f ca="1"/>
      </c>
      <c r="FW117">
        <f ca="1"/>
      </c>
      <c r="FX117">
        <f ca="1"/>
      </c>
      <c r="FY117">
        <f ca="1"/>
      </c>
      <c r="FZ117">
        <f ca="1"/>
      </c>
      <c r="GA117">
        <f ca="1"/>
      </c>
      <c r="GM117" s="7">
        <f ca="1"/>
      </c>
      <c r="GN117">
        <f ca="1"/>
      </c>
      <c r="GO117">
        <f ca="1"/>
      </c>
      <c r="GP117">
        <f ca="1"/>
      </c>
      <c r="GQ117">
        <f ca="1"/>
      </c>
    </row>
    <row r="118" spans="41:199" x14ac:dyDescent="0.55000000000000004">
      <c r="AO118">
        <f ca="1"/>
      </c>
      <c r="AP118">
        <f ca="1"/>
      </c>
      <c r="AQ118">
        <f ca="1"/>
      </c>
      <c r="AR118">
        <f ca="1"/>
      </c>
      <c r="AS118">
        <f ca="1"/>
      </c>
      <c r="AT118">
        <f ca="1"/>
      </c>
      <c r="AU118">
        <f ca="1"/>
      </c>
      <c r="AV118">
        <f ca="1"/>
      </c>
      <c r="AW118">
        <f ca="1"/>
      </c>
      <c r="AX118">
        <f ca="1"/>
      </c>
      <c r="AY118">
        <f ca="1"/>
      </c>
      <c r="AZ118">
        <f ca="1"/>
      </c>
      <c r="BA118">
        <f ca="1"/>
      </c>
      <c r="BB118">
        <f ca="1"/>
      </c>
      <c r="BC118">
        <f ca="1"/>
      </c>
      <c r="BD118">
        <f ca="1"/>
      </c>
      <c r="BE118">
        <f ca="1"/>
      </c>
      <c r="BF118">
        <f ca="1"/>
      </c>
      <c r="BG118">
        <f ca="1"/>
      </c>
      <c r="BH118">
        <f ca="1"/>
      </c>
      <c r="BI118">
        <f ca="1"/>
      </c>
      <c r="BJ118">
        <f ca="1"/>
      </c>
      <c r="BK118">
        <f ca="1"/>
      </c>
      <c r="BL118">
        <f ca="1"/>
      </c>
      <c r="BM118">
        <f ca="1"/>
      </c>
      <c r="BN118">
        <f ca="1"/>
      </c>
      <c r="BO118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  <c r="BV118">
        <f ca="1"/>
      </c>
      <c r="BW118">
        <f ca="1"/>
      </c>
      <c r="BX118">
        <f ca="1"/>
      </c>
      <c r="BY118">
        <f ca="1"/>
      </c>
      <c r="BZ118">
        <f ca="1"/>
      </c>
      <c r="CA118">
        <f ca="1"/>
      </c>
      <c r="CB118">
        <f ca="1"/>
      </c>
      <c r="CC118">
        <f ca="1"/>
      </c>
      <c r="CD118">
        <f ca="1"/>
      </c>
      <c r="CE118">
        <f ca="1"/>
      </c>
      <c r="CF118">
        <f ca="1"/>
      </c>
      <c r="CG118">
        <f ca="1"/>
      </c>
      <c r="CH118">
        <f ca="1"/>
      </c>
      <c r="CI118">
        <f ca="1"/>
      </c>
      <c r="CK118">
        <f ca="1"/>
      </c>
      <c r="CL118">
        <f ca="1"/>
      </c>
      <c r="CM118">
        <f ca="1"/>
      </c>
      <c r="CN118">
        <f ca="1"/>
      </c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DQ118">
        <f ca="1"/>
      </c>
      <c r="DR118">
        <f ca="1"/>
      </c>
      <c r="DS118">
        <f ca="1"/>
      </c>
      <c r="DT118">
        <f ca="1"/>
      </c>
      <c r="DU118">
        <f ca="1"/>
      </c>
      <c r="DV118">
        <f ca="1"/>
      </c>
      <c r="DW118">
        <f ca="1"/>
      </c>
      <c r="DX118">
        <f ca="1"/>
      </c>
      <c r="DY118">
        <f ca="1"/>
      </c>
      <c r="DZ118">
        <f ca="1"/>
      </c>
      <c r="EA118">
        <f ca="1"/>
      </c>
      <c r="EB118">
        <f ca="1"/>
      </c>
      <c r="EC118">
        <f ca="1"/>
      </c>
      <c r="ED118">
        <f ca="1"/>
      </c>
      <c r="EE118">
        <f ca="1"/>
      </c>
      <c r="EG118">
        <f ca="1"/>
      </c>
      <c r="EH118">
        <f ca="1"/>
      </c>
      <c r="EI118">
        <f ca="1"/>
      </c>
      <c r="EJ118">
        <f ca="1"/>
      </c>
      <c r="EK118">
        <f ca="1"/>
      </c>
      <c r="EL118">
        <f ca="1"/>
      </c>
      <c r="EM118">
        <f ca="1"/>
      </c>
      <c r="EN118">
        <f ca="1"/>
      </c>
      <c r="EO118">
        <f ca="1"/>
      </c>
      <c r="E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FS118">
        <f ca="1"/>
      </c>
      <c r="FT118">
        <f ca="1"/>
      </c>
      <c r="FU118">
        <f ca="1"/>
      </c>
      <c r="FV118">
        <f ca="1"/>
      </c>
      <c r="FW118">
        <f ca="1"/>
      </c>
      <c r="FX118">
        <f ca="1"/>
      </c>
      <c r="FY118">
        <f ca="1"/>
      </c>
      <c r="FZ118">
        <f ca="1"/>
      </c>
      <c r="GA118">
        <f ca="1"/>
      </c>
      <c r="GM118" s="7">
        <f ca="1"/>
      </c>
      <c r="GN118">
        <f ca="1"/>
      </c>
      <c r="GO118">
        <f ca="1"/>
      </c>
      <c r="GP118">
        <f ca="1"/>
      </c>
      <c r="GQ118">
        <f ca="1"/>
      </c>
    </row>
    <row r="119" spans="41:199" x14ac:dyDescent="0.55000000000000004">
      <c r="AO119">
        <f ca="1"/>
      </c>
      <c r="AP119">
        <f ca="1"/>
      </c>
      <c r="AQ119">
        <f ca="1"/>
      </c>
      <c r="AR119">
        <f ca="1"/>
      </c>
      <c r="AS119">
        <f ca="1"/>
      </c>
      <c r="AT119">
        <f ca="1"/>
      </c>
      <c r="AU119">
        <f ca="1"/>
      </c>
      <c r="AV119">
        <f ca="1"/>
      </c>
      <c r="AW119">
        <f ca="1"/>
      </c>
      <c r="AX119">
        <f ca="1"/>
      </c>
      <c r="AY119">
        <f ca="1"/>
      </c>
      <c r="AZ119">
        <f ca="1"/>
      </c>
      <c r="BA119">
        <f ca="1"/>
      </c>
      <c r="BB119">
        <f ca="1"/>
      </c>
      <c r="BC119">
        <f ca="1"/>
      </c>
      <c r="BD119">
        <f ca="1"/>
      </c>
      <c r="BE119">
        <f ca="1"/>
      </c>
      <c r="BF119">
        <f ca="1"/>
      </c>
      <c r="BG119">
        <f ca="1"/>
      </c>
      <c r="BH119">
        <f ca="1"/>
      </c>
      <c r="BI119">
        <f ca="1"/>
      </c>
      <c r="BJ119">
        <f ca="1"/>
      </c>
      <c r="BK119">
        <f ca="1"/>
      </c>
      <c r="BL119">
        <f ca="1"/>
      </c>
      <c r="BM119">
        <f ca="1"/>
      </c>
      <c r="BN119">
        <f ca="1"/>
      </c>
      <c r="BO119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  <c r="BV119">
        <f ca="1"/>
      </c>
      <c r="BW119">
        <f ca="1"/>
      </c>
      <c r="BX119">
        <f ca="1"/>
      </c>
      <c r="BY119">
        <f ca="1"/>
      </c>
      <c r="BZ119">
        <f ca="1"/>
      </c>
      <c r="CA119">
        <f ca="1"/>
      </c>
      <c r="CB119">
        <f ca="1"/>
      </c>
      <c r="CC119">
        <f ca="1"/>
      </c>
      <c r="CD119">
        <f ca="1"/>
      </c>
      <c r="CE119">
        <f ca="1"/>
      </c>
      <c r="CF119">
        <f ca="1"/>
      </c>
      <c r="CG119">
        <f ca="1"/>
      </c>
      <c r="CH119">
        <f ca="1"/>
      </c>
      <c r="CI119">
        <f ca="1"/>
      </c>
      <c r="CK119">
        <f ca="1"/>
      </c>
      <c r="CL119">
        <f ca="1"/>
      </c>
      <c r="CM119">
        <f ca="1"/>
      </c>
      <c r="CN119">
        <f ca="1"/>
      </c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DQ119">
        <f ca="1"/>
      </c>
      <c r="DR119">
        <f ca="1"/>
      </c>
      <c r="DS119">
        <f ca="1"/>
      </c>
      <c r="DT119">
        <f ca="1"/>
      </c>
      <c r="DU119">
        <f ca="1"/>
      </c>
      <c r="DV119">
        <f ca="1"/>
      </c>
      <c r="DW119">
        <f ca="1"/>
      </c>
      <c r="DX119">
        <f ca="1"/>
      </c>
      <c r="DY119">
        <f ca="1"/>
      </c>
      <c r="DZ119">
        <f ca="1"/>
      </c>
      <c r="EA119">
        <f ca="1"/>
      </c>
      <c r="EB119">
        <f ca="1"/>
      </c>
      <c r="EC119">
        <f ca="1"/>
      </c>
      <c r="ED119">
        <f ca="1"/>
      </c>
      <c r="EE119">
        <f ca="1"/>
      </c>
      <c r="EG119">
        <f ca="1"/>
      </c>
      <c r="EH119">
        <f ca="1"/>
      </c>
      <c r="EI119">
        <f ca="1"/>
      </c>
      <c r="EJ119">
        <f ca="1"/>
      </c>
      <c r="EK119">
        <f ca="1"/>
      </c>
      <c r="EL119">
        <f ca="1"/>
      </c>
      <c r="EM119">
        <f ca="1"/>
      </c>
      <c r="EN119">
        <f ca="1"/>
      </c>
      <c r="EO119">
        <f ca="1"/>
      </c>
      <c r="E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FS119">
        <f ca="1"/>
      </c>
      <c r="FT119">
        <f ca="1"/>
      </c>
      <c r="FU119">
        <f ca="1"/>
      </c>
      <c r="FV119">
        <f ca="1"/>
      </c>
      <c r="FW119">
        <f ca="1"/>
      </c>
      <c r="FX119">
        <f ca="1"/>
      </c>
      <c r="FY119">
        <f ca="1"/>
      </c>
      <c r="FZ119">
        <f ca="1"/>
      </c>
      <c r="GA119">
        <f ca="1"/>
      </c>
      <c r="GM119" s="7">
        <f ca="1"/>
      </c>
      <c r="GN119">
        <f ca="1"/>
      </c>
      <c r="GO119">
        <f ca="1"/>
      </c>
      <c r="GP119">
        <f ca="1"/>
      </c>
      <c r="GQ119">
        <f ca="1"/>
      </c>
    </row>
    <row r="120" spans="41:199" x14ac:dyDescent="0.55000000000000004">
      <c r="AO120">
        <f ca="1"/>
      </c>
      <c r="AP120">
        <f ca="1"/>
      </c>
      <c r="AQ120">
        <f ca="1"/>
      </c>
      <c r="AR120">
        <f ca="1"/>
      </c>
      <c r="AS120">
        <f ca="1"/>
      </c>
      <c r="AT120">
        <f ca="1"/>
      </c>
      <c r="AU120">
        <f ca="1"/>
      </c>
      <c r="AV120">
        <f ca="1"/>
      </c>
      <c r="AW120">
        <f ca="1"/>
      </c>
      <c r="AX120">
        <f ca="1"/>
      </c>
      <c r="AY120">
        <f ca="1"/>
      </c>
      <c r="AZ120">
        <f ca="1"/>
      </c>
      <c r="BA120">
        <f ca="1"/>
      </c>
      <c r="BB120">
        <f ca="1"/>
      </c>
      <c r="BC120">
        <f ca="1"/>
      </c>
      <c r="BD120">
        <f ca="1"/>
      </c>
      <c r="BE120">
        <f ca="1"/>
      </c>
      <c r="BF120">
        <f ca="1"/>
      </c>
      <c r="BG120">
        <f ca="1"/>
      </c>
      <c r="BH120">
        <f ca="1"/>
      </c>
      <c r="BI120">
        <f ca="1"/>
      </c>
      <c r="BJ120">
        <f ca="1"/>
      </c>
      <c r="BK120">
        <f ca="1"/>
      </c>
      <c r="BL120">
        <f ca="1"/>
      </c>
      <c r="BM120">
        <f ca="1"/>
      </c>
      <c r="BN120">
        <f ca="1"/>
      </c>
      <c r="BO120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  <c r="BV120">
        <f ca="1"/>
      </c>
      <c r="BW120">
        <f ca="1"/>
      </c>
      <c r="BX120">
        <f ca="1"/>
      </c>
      <c r="BY120">
        <f ca="1"/>
      </c>
      <c r="BZ120">
        <f ca="1"/>
      </c>
      <c r="CA120">
        <f ca="1"/>
      </c>
      <c r="CB120">
        <f ca="1"/>
      </c>
      <c r="CC120">
        <f ca="1"/>
      </c>
      <c r="CD120">
        <f ca="1"/>
      </c>
      <c r="CE120">
        <f ca="1"/>
      </c>
      <c r="CF120">
        <f ca="1"/>
      </c>
      <c r="CG120">
        <f ca="1"/>
      </c>
      <c r="CH120">
        <f ca="1"/>
      </c>
      <c r="CI120">
        <f ca="1"/>
      </c>
      <c r="CK120">
        <f ca="1"/>
      </c>
      <c r="CL120">
        <f ca="1"/>
      </c>
      <c r="CM120">
        <f ca="1"/>
      </c>
      <c r="CN120">
        <f ca="1"/>
      </c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DQ120">
        <f ca="1"/>
      </c>
      <c r="DR120">
        <f ca="1"/>
      </c>
      <c r="DS120">
        <f ca="1"/>
      </c>
      <c r="DT120">
        <f ca="1"/>
      </c>
      <c r="DU120">
        <f ca="1"/>
      </c>
      <c r="DV120">
        <f ca="1"/>
      </c>
      <c r="DW120">
        <f ca="1"/>
      </c>
      <c r="DX120">
        <f ca="1"/>
      </c>
      <c r="DY120">
        <f ca="1"/>
      </c>
      <c r="DZ120">
        <f ca="1"/>
      </c>
      <c r="EA120">
        <f ca="1"/>
      </c>
      <c r="EB120">
        <f ca="1"/>
      </c>
      <c r="EC120">
        <f ca="1"/>
      </c>
      <c r="ED120">
        <f ca="1"/>
      </c>
      <c r="EE120">
        <f ca="1"/>
      </c>
      <c r="EG120">
        <f ca="1"/>
      </c>
      <c r="EH120">
        <f ca="1"/>
      </c>
      <c r="EI120">
        <f ca="1"/>
      </c>
      <c r="EJ120">
        <f ca="1"/>
      </c>
      <c r="EK120">
        <f ca="1"/>
      </c>
      <c r="EL120">
        <f ca="1"/>
      </c>
      <c r="EM120">
        <f ca="1"/>
      </c>
      <c r="EN120">
        <f ca="1"/>
      </c>
      <c r="EO120">
        <f ca="1"/>
      </c>
      <c r="E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FS120">
        <f ca="1"/>
      </c>
      <c r="FT120">
        <f ca="1"/>
      </c>
      <c r="FU120">
        <f ca="1"/>
      </c>
      <c r="FV120">
        <f ca="1"/>
      </c>
      <c r="FW120">
        <f ca="1"/>
      </c>
      <c r="FX120">
        <f ca="1"/>
      </c>
      <c r="FY120">
        <f ca="1"/>
      </c>
      <c r="FZ120">
        <f ca="1"/>
      </c>
      <c r="GA120">
        <f ca="1"/>
      </c>
      <c r="GM120" s="7">
        <f ca="1"/>
      </c>
      <c r="GN120">
        <f ca="1"/>
      </c>
      <c r="GO120">
        <f ca="1"/>
      </c>
      <c r="GP120">
        <f ca="1"/>
      </c>
      <c r="GQ120">
        <f ca="1"/>
      </c>
    </row>
    <row r="121" spans="41:199" x14ac:dyDescent="0.55000000000000004">
      <c r="AO121">
        <f ca="1"/>
      </c>
      <c r="AP121">
        <f ca="1"/>
      </c>
      <c r="AQ121">
        <f ca="1"/>
      </c>
      <c r="AR121">
        <f ca="1"/>
      </c>
      <c r="AS121">
        <f ca="1"/>
      </c>
      <c r="AT121">
        <f ca="1"/>
      </c>
      <c r="AU121">
        <f ca="1"/>
      </c>
      <c r="AV121">
        <f ca="1"/>
      </c>
      <c r="AW121">
        <f ca="1"/>
      </c>
      <c r="AX121">
        <f ca="1"/>
      </c>
      <c r="AY121">
        <f ca="1"/>
      </c>
      <c r="AZ121">
        <f ca="1"/>
      </c>
      <c r="BA121">
        <f ca="1"/>
      </c>
      <c r="BB121">
        <f ca="1"/>
      </c>
      <c r="BC121">
        <f ca="1"/>
      </c>
      <c r="BD121">
        <f ca="1"/>
      </c>
      <c r="BE121">
        <f ca="1"/>
      </c>
      <c r="BF121">
        <f ca="1"/>
      </c>
      <c r="BG121">
        <f ca="1"/>
      </c>
      <c r="BH121">
        <f ca="1"/>
      </c>
      <c r="BI121">
        <f ca="1"/>
      </c>
      <c r="BJ121">
        <f ca="1"/>
      </c>
      <c r="BK121">
        <f ca="1"/>
      </c>
      <c r="BL121">
        <f ca="1"/>
      </c>
      <c r="BM121">
        <f ca="1"/>
      </c>
      <c r="BN121">
        <f ca="1"/>
      </c>
      <c r="BO12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  <c r="BV121">
        <f ca="1"/>
      </c>
      <c r="BW121">
        <f ca="1"/>
      </c>
      <c r="BX121">
        <f ca="1"/>
      </c>
      <c r="BY121">
        <f ca="1"/>
      </c>
      <c r="BZ121">
        <f ca="1"/>
      </c>
      <c r="CA121">
        <f ca="1"/>
      </c>
      <c r="CB121">
        <f ca="1"/>
      </c>
      <c r="CC121">
        <f ca="1"/>
      </c>
      <c r="CD121">
        <f ca="1"/>
      </c>
      <c r="CE121">
        <f ca="1"/>
      </c>
      <c r="CF121">
        <f ca="1"/>
      </c>
      <c r="CG121">
        <f ca="1"/>
      </c>
      <c r="CH121">
        <f ca="1"/>
      </c>
      <c r="CI121">
        <f ca="1"/>
      </c>
      <c r="CK121">
        <f ca="1"/>
      </c>
      <c r="CL121">
        <f ca="1"/>
      </c>
      <c r="CM121">
        <f ca="1"/>
      </c>
      <c r="CN121">
        <f ca="1"/>
      </c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DQ121">
        <f ca="1"/>
      </c>
      <c r="DR121">
        <f ca="1"/>
      </c>
      <c r="DS121">
        <f ca="1"/>
      </c>
      <c r="DT121">
        <f ca="1"/>
      </c>
      <c r="DU121">
        <f ca="1"/>
      </c>
      <c r="DV121">
        <f ca="1"/>
      </c>
      <c r="DW121">
        <f ca="1"/>
      </c>
      <c r="DX121">
        <f ca="1"/>
      </c>
      <c r="DY121">
        <f ca="1"/>
      </c>
      <c r="DZ121">
        <f ca="1"/>
      </c>
      <c r="EA121">
        <f ca="1"/>
      </c>
      <c r="EB121">
        <f ca="1"/>
      </c>
      <c r="EC121">
        <f ca="1"/>
      </c>
      <c r="ED121">
        <f ca="1"/>
      </c>
      <c r="EE121">
        <f ca="1"/>
      </c>
      <c r="EG121">
        <f ca="1"/>
      </c>
      <c r="EH121">
        <f ca="1"/>
      </c>
      <c r="EI121">
        <f ca="1"/>
      </c>
      <c r="EJ121">
        <f ca="1"/>
      </c>
      <c r="EK121">
        <f ca="1"/>
      </c>
      <c r="EL121">
        <f ca="1"/>
      </c>
      <c r="EM121">
        <f ca="1"/>
      </c>
      <c r="EN121">
        <f ca="1"/>
      </c>
      <c r="EO121">
        <f ca="1"/>
      </c>
      <c r="E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FS121">
        <f ca="1"/>
      </c>
      <c r="FT121">
        <f ca="1"/>
      </c>
      <c r="FU121">
        <f ca="1"/>
      </c>
      <c r="FV121">
        <f ca="1"/>
      </c>
      <c r="FW121">
        <f ca="1"/>
      </c>
      <c r="FX121">
        <f ca="1"/>
      </c>
      <c r="FY121">
        <f ca="1"/>
      </c>
      <c r="FZ121">
        <f ca="1"/>
      </c>
      <c r="GA121">
        <f ca="1"/>
      </c>
      <c r="GM121" s="7">
        <f ca="1"/>
      </c>
      <c r="GN121">
        <f ca="1"/>
      </c>
      <c r="GO121">
        <f ca="1"/>
      </c>
      <c r="GP121">
        <f ca="1"/>
      </c>
      <c r="GQ121">
        <f ca="1"/>
      </c>
    </row>
    <row r="122" spans="41:199" x14ac:dyDescent="0.55000000000000004">
      <c r="AO122">
        <f ca="1"/>
      </c>
      <c r="AP122">
        <f ca="1"/>
      </c>
      <c r="AQ122">
        <f ca="1"/>
      </c>
      <c r="AR122">
        <f ca="1"/>
      </c>
      <c r="AS122">
        <f ca="1"/>
      </c>
      <c r="AT122">
        <f ca="1"/>
      </c>
      <c r="AU122">
        <f ca="1"/>
      </c>
      <c r="AV122">
        <f ca="1"/>
      </c>
      <c r="AW122">
        <f ca="1"/>
      </c>
      <c r="AX122">
        <f ca="1"/>
      </c>
      <c r="AY122">
        <f ca="1"/>
      </c>
      <c r="AZ122">
        <f ca="1"/>
      </c>
      <c r="BA122">
        <f ca="1"/>
      </c>
      <c r="BB122">
        <f ca="1"/>
      </c>
      <c r="BC122">
        <f ca="1"/>
      </c>
      <c r="BD122">
        <f ca="1"/>
      </c>
      <c r="BE122">
        <f ca="1"/>
      </c>
      <c r="BF122">
        <f ca="1"/>
      </c>
      <c r="BG122">
        <f ca="1"/>
      </c>
      <c r="BH122">
        <f ca="1"/>
      </c>
      <c r="BI122">
        <f ca="1"/>
      </c>
      <c r="BJ122">
        <f ca="1"/>
      </c>
      <c r="BK122">
        <f ca="1"/>
      </c>
      <c r="BL122">
        <f ca="1"/>
      </c>
      <c r="BM122">
        <f ca="1"/>
      </c>
      <c r="BN122">
        <f ca="1"/>
      </c>
      <c r="BO122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  <c r="BV122">
        <f ca="1"/>
      </c>
      <c r="BW122">
        <f ca="1"/>
      </c>
      <c r="BX122">
        <f ca="1"/>
      </c>
      <c r="BY122">
        <f ca="1"/>
      </c>
      <c r="BZ122">
        <f ca="1"/>
      </c>
      <c r="CA122">
        <f ca="1"/>
      </c>
      <c r="CB122">
        <f ca="1"/>
      </c>
      <c r="CC122">
        <f ca="1"/>
      </c>
      <c r="CD122">
        <f ca="1"/>
      </c>
      <c r="CE122">
        <f ca="1"/>
      </c>
      <c r="CF122">
        <f ca="1"/>
      </c>
      <c r="CG122">
        <f ca="1"/>
      </c>
      <c r="CH122">
        <f ca="1"/>
      </c>
      <c r="CI122">
        <f ca="1"/>
      </c>
      <c r="CK122">
        <f ca="1"/>
      </c>
      <c r="CL122">
        <f ca="1"/>
      </c>
      <c r="CM122">
        <f ca="1"/>
      </c>
      <c r="CN122">
        <f ca="1"/>
      </c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DQ122">
        <f ca="1"/>
      </c>
      <c r="DR122">
        <f ca="1"/>
      </c>
      <c r="DS122">
        <f ca="1"/>
      </c>
      <c r="DT122">
        <f ca="1"/>
      </c>
      <c r="DU122">
        <f ca="1"/>
      </c>
      <c r="DV122">
        <f ca="1"/>
      </c>
      <c r="DW122">
        <f ca="1"/>
      </c>
      <c r="DX122">
        <f ca="1"/>
      </c>
      <c r="DY122">
        <f ca="1"/>
      </c>
      <c r="DZ122">
        <f ca="1"/>
      </c>
      <c r="EA122">
        <f ca="1"/>
      </c>
      <c r="EB122">
        <f ca="1"/>
      </c>
      <c r="EC122">
        <f ca="1"/>
      </c>
      <c r="ED122">
        <f ca="1"/>
      </c>
      <c r="EE122">
        <f ca="1"/>
      </c>
      <c r="EG122">
        <f ca="1"/>
      </c>
      <c r="EH122">
        <f ca="1"/>
      </c>
      <c r="EI122">
        <f ca="1"/>
      </c>
      <c r="EJ122">
        <f ca="1"/>
      </c>
      <c r="EK122">
        <f ca="1"/>
      </c>
      <c r="EL122">
        <f ca="1"/>
      </c>
      <c r="EM122">
        <f ca="1"/>
      </c>
      <c r="EN122">
        <f ca="1"/>
      </c>
      <c r="EO122">
        <f ca="1"/>
      </c>
      <c r="EP122">
        <f ca="1"/>
      </c>
      <c r="EQ122">
        <f ca="1"/>
      </c>
      <c r="ER122">
        <f ca="1"/>
      </c>
      <c r="ES122">
        <f ca="1"/>
      </c>
      <c r="ET122">
        <f ca="1"/>
      </c>
      <c r="EU122">
        <f ca="1"/>
      </c>
      <c r="EV122">
        <f ca="1"/>
      </c>
      <c r="EW122">
        <f ca="1"/>
      </c>
      <c r="EX122">
        <f ca="1"/>
      </c>
      <c r="EY122">
        <f ca="1"/>
      </c>
      <c r="EZ122">
        <f ca="1"/>
      </c>
      <c r="FA122">
        <f ca="1"/>
      </c>
      <c r="FB122">
        <f ca="1"/>
      </c>
      <c r="FC122">
        <f ca="1"/>
      </c>
      <c r="FD122">
        <f ca="1"/>
      </c>
      <c r="FE122">
        <f ca="1"/>
      </c>
      <c r="FF122">
        <f ca="1"/>
      </c>
      <c r="FG122">
        <f ca="1"/>
      </c>
      <c r="FH122">
        <f ca="1"/>
      </c>
      <c r="FI122">
        <f ca="1"/>
      </c>
      <c r="FJ122">
        <f ca="1"/>
      </c>
      <c r="FK122">
        <f ca="1"/>
      </c>
      <c r="FL122">
        <f ca="1"/>
      </c>
      <c r="FM122">
        <f ca="1"/>
      </c>
      <c r="FN122">
        <f ca="1"/>
      </c>
      <c r="FO122">
        <f ca="1"/>
      </c>
      <c r="FP122">
        <f ca="1"/>
      </c>
      <c r="FQ122">
        <f ca="1"/>
      </c>
      <c r="FR122">
        <f ca="1"/>
      </c>
      <c r="FS122">
        <f ca="1"/>
      </c>
      <c r="FT122">
        <f ca="1"/>
      </c>
      <c r="FU122">
        <f ca="1"/>
      </c>
      <c r="FV122">
        <f ca="1"/>
      </c>
      <c r="FW122">
        <f ca="1"/>
      </c>
      <c r="FX122">
        <f ca="1"/>
      </c>
      <c r="FY122">
        <f ca="1"/>
      </c>
      <c r="FZ122">
        <f ca="1"/>
      </c>
      <c r="GA122">
        <f ca="1"/>
      </c>
      <c r="GM122" s="7">
        <f ca="1"/>
      </c>
      <c r="GN122">
        <f ca="1"/>
      </c>
      <c r="GO122">
        <f ca="1"/>
      </c>
      <c r="GP122">
        <f ca="1"/>
      </c>
      <c r="GQ122">
        <f ca="1"/>
      </c>
    </row>
    <row r="123" spans="41:199" x14ac:dyDescent="0.55000000000000004">
      <c r="AO123">
        <f ca="1"/>
      </c>
      <c r="AP123">
        <f ca="1"/>
      </c>
      <c r="AQ123">
        <f ca="1"/>
      </c>
      <c r="AR123">
        <f ca="1"/>
      </c>
      <c r="AS123">
        <f ca="1"/>
      </c>
      <c r="AT123">
        <f ca="1"/>
      </c>
      <c r="AU123">
        <f ca="1"/>
      </c>
      <c r="AV123">
        <f ca="1"/>
      </c>
      <c r="AW123">
        <f ca="1"/>
      </c>
      <c r="AX123">
        <f ca="1"/>
      </c>
      <c r="AY123">
        <f ca="1"/>
      </c>
      <c r="AZ123">
        <f ca="1"/>
      </c>
      <c r="BA123">
        <f ca="1"/>
      </c>
      <c r="BB123">
        <f ca="1"/>
      </c>
      <c r="BC123">
        <f ca="1"/>
      </c>
      <c r="BD123">
        <f ca="1"/>
      </c>
      <c r="BE123">
        <f ca="1"/>
      </c>
      <c r="BF123">
        <f ca="1"/>
      </c>
      <c r="BG123">
        <f ca="1"/>
      </c>
      <c r="BH123">
        <f ca="1"/>
      </c>
      <c r="BI123">
        <f ca="1"/>
      </c>
      <c r="BJ123">
        <f ca="1"/>
      </c>
      <c r="BK123">
        <f ca="1"/>
      </c>
      <c r="BL123">
        <f ca="1"/>
      </c>
      <c r="BM123">
        <f ca="1"/>
      </c>
      <c r="BN123">
        <f ca="1"/>
      </c>
      <c r="BO123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  <c r="BV123">
        <f ca="1"/>
      </c>
      <c r="BW123">
        <f ca="1"/>
      </c>
      <c r="BX123">
        <f ca="1"/>
      </c>
      <c r="BY123">
        <f ca="1"/>
      </c>
      <c r="BZ123">
        <f ca="1"/>
      </c>
      <c r="CA123">
        <f ca="1"/>
      </c>
      <c r="CB123">
        <f ca="1"/>
      </c>
      <c r="CC123">
        <f ca="1"/>
      </c>
      <c r="CD123">
        <f ca="1"/>
      </c>
      <c r="CE123">
        <f ca="1"/>
      </c>
      <c r="CF123">
        <f ca="1"/>
      </c>
      <c r="CG123">
        <f ca="1"/>
      </c>
      <c r="CH123">
        <f ca="1"/>
      </c>
      <c r="CI123">
        <f ca="1"/>
      </c>
      <c r="CK123">
        <f ca="1"/>
      </c>
      <c r="CL123">
        <f ca="1"/>
      </c>
      <c r="CM123">
        <f ca="1"/>
      </c>
      <c r="CN123">
        <f ca="1"/>
      </c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DQ123">
        <f ca="1"/>
      </c>
      <c r="DR123">
        <f ca="1"/>
      </c>
      <c r="DS123">
        <f ca="1"/>
      </c>
      <c r="DT123">
        <f ca="1"/>
      </c>
      <c r="DU123">
        <f ca="1"/>
      </c>
      <c r="DV123">
        <f ca="1"/>
      </c>
      <c r="DW123">
        <f ca="1"/>
      </c>
      <c r="DX123">
        <f ca="1"/>
      </c>
      <c r="DY123">
        <f ca="1"/>
      </c>
      <c r="DZ123">
        <f ca="1"/>
      </c>
      <c r="EA123">
        <f ca="1"/>
      </c>
      <c r="EB123">
        <f ca="1"/>
      </c>
      <c r="EC123">
        <f ca="1"/>
      </c>
      <c r="ED123">
        <f ca="1"/>
      </c>
      <c r="EE123">
        <f ca="1"/>
      </c>
      <c r="EG123">
        <f ca="1"/>
      </c>
      <c r="EH123">
        <f ca="1"/>
      </c>
      <c r="EI123">
        <f ca="1"/>
      </c>
      <c r="EJ123">
        <f ca="1"/>
      </c>
      <c r="EK123">
        <f ca="1"/>
      </c>
      <c r="EL123">
        <f ca="1"/>
      </c>
      <c r="EM123">
        <f ca="1"/>
      </c>
      <c r="EN123">
        <f ca="1"/>
      </c>
      <c r="EO123">
        <f ca="1"/>
      </c>
      <c r="EP123">
        <f ca="1"/>
      </c>
      <c r="EQ123">
        <f ca="1"/>
      </c>
      <c r="ER123">
        <f ca="1"/>
      </c>
      <c r="ES123">
        <f ca="1"/>
      </c>
      <c r="ET123">
        <f ca="1"/>
      </c>
      <c r="EU123">
        <f ca="1"/>
      </c>
      <c r="EV123">
        <f ca="1"/>
      </c>
      <c r="EW123">
        <f ca="1"/>
      </c>
      <c r="EX123">
        <f ca="1"/>
      </c>
      <c r="EY123">
        <f ca="1"/>
      </c>
      <c r="EZ123">
        <f ca="1"/>
      </c>
      <c r="FA123">
        <f ca="1"/>
      </c>
      <c r="FB123">
        <f ca="1"/>
      </c>
      <c r="FC123">
        <f ca="1"/>
      </c>
      <c r="FD123">
        <f ca="1"/>
      </c>
      <c r="FE123">
        <f ca="1"/>
      </c>
      <c r="FF123">
        <f ca="1"/>
      </c>
      <c r="FG123">
        <f ca="1"/>
      </c>
      <c r="FH123">
        <f ca="1"/>
      </c>
      <c r="FI123">
        <f ca="1"/>
      </c>
      <c r="FJ123">
        <f ca="1"/>
      </c>
      <c r="FK123">
        <f ca="1"/>
      </c>
      <c r="FL123">
        <f ca="1"/>
      </c>
      <c r="FM123">
        <f ca="1"/>
      </c>
      <c r="FN123">
        <f ca="1"/>
      </c>
      <c r="FO123">
        <f ca="1"/>
      </c>
      <c r="FP123">
        <f ca="1"/>
      </c>
      <c r="FQ123">
        <f ca="1"/>
      </c>
      <c r="FR123">
        <f ca="1"/>
      </c>
      <c r="FS123">
        <f ca="1"/>
      </c>
      <c r="FT123">
        <f ca="1"/>
      </c>
      <c r="FU123">
        <f ca="1"/>
      </c>
      <c r="FV123">
        <f ca="1"/>
      </c>
      <c r="FW123">
        <f ca="1"/>
      </c>
      <c r="FX123">
        <f ca="1"/>
      </c>
      <c r="FY123">
        <f ca="1"/>
      </c>
      <c r="FZ123">
        <f ca="1"/>
      </c>
      <c r="GA123">
        <f ca="1"/>
      </c>
      <c r="GM123" s="7">
        <f ca="1"/>
      </c>
      <c r="GN123">
        <f ca="1"/>
      </c>
      <c r="GO123">
        <f ca="1"/>
      </c>
      <c r="GP123">
        <f ca="1"/>
      </c>
      <c r="GQ123">
        <f ca="1"/>
      </c>
    </row>
    <row r="124" spans="41:199" x14ac:dyDescent="0.55000000000000004">
      <c r="AO124">
        <f ca="1"/>
      </c>
      <c r="AP124">
        <f ca="1"/>
      </c>
      <c r="AQ124">
        <f ca="1"/>
      </c>
      <c r="AR124">
        <f ca="1"/>
      </c>
      <c r="AS124">
        <f ca="1"/>
      </c>
      <c r="AT124">
        <f ca="1"/>
      </c>
      <c r="AU124">
        <f ca="1"/>
      </c>
      <c r="AV124">
        <f ca="1"/>
      </c>
      <c r="AW124">
        <f ca="1"/>
      </c>
      <c r="AX124">
        <f ca="1"/>
      </c>
      <c r="AY124">
        <f ca="1"/>
      </c>
      <c r="AZ124">
        <f ca="1"/>
      </c>
      <c r="BA124">
        <f ca="1"/>
      </c>
      <c r="BB124">
        <f ca="1"/>
      </c>
      <c r="BC124">
        <f ca="1"/>
      </c>
      <c r="BD124">
        <f ca="1"/>
      </c>
      <c r="BE124">
        <f ca="1"/>
      </c>
      <c r="BF124">
        <f ca="1"/>
      </c>
      <c r="BG124">
        <f ca="1"/>
      </c>
      <c r="BH124">
        <f ca="1"/>
      </c>
      <c r="BI124">
        <f ca="1"/>
      </c>
      <c r="BJ124">
        <f ca="1"/>
      </c>
      <c r="BK124">
        <f ca="1"/>
      </c>
      <c r="BL124">
        <f ca="1"/>
      </c>
      <c r="BM124">
        <f ca="1"/>
      </c>
      <c r="BN124">
        <f ca="1"/>
      </c>
      <c r="BO124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  <c r="BV124">
        <f ca="1"/>
      </c>
      <c r="BW124">
        <f ca="1"/>
      </c>
      <c r="BX124">
        <f ca="1"/>
      </c>
      <c r="BY124">
        <f ca="1"/>
      </c>
      <c r="BZ124">
        <f ca="1"/>
      </c>
      <c r="CA124">
        <f ca="1"/>
      </c>
      <c r="CB124">
        <f ca="1"/>
      </c>
      <c r="CC124">
        <f ca="1"/>
      </c>
      <c r="CD124">
        <f ca="1"/>
      </c>
      <c r="CE124">
        <f ca="1"/>
      </c>
      <c r="CF124">
        <f ca="1"/>
      </c>
      <c r="CG124">
        <f ca="1"/>
      </c>
      <c r="CH124">
        <f ca="1"/>
      </c>
      <c r="CI124">
        <f ca="1"/>
      </c>
      <c r="CK124">
        <f ca="1"/>
      </c>
      <c r="CL124">
        <f ca="1"/>
      </c>
      <c r="CM124">
        <f ca="1"/>
      </c>
      <c r="CN124">
        <f ca="1"/>
      </c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DQ124">
        <f ca="1"/>
      </c>
      <c r="DR124">
        <f ca="1"/>
      </c>
      <c r="DS124">
        <f ca="1"/>
      </c>
      <c r="DT124">
        <f ca="1"/>
      </c>
      <c r="DU124">
        <f ca="1"/>
      </c>
      <c r="DV124">
        <f ca="1"/>
      </c>
      <c r="DW124">
        <f ca="1"/>
      </c>
      <c r="DX124">
        <f ca="1"/>
      </c>
      <c r="DY124">
        <f ca="1"/>
      </c>
      <c r="DZ124">
        <f ca="1"/>
      </c>
      <c r="EA124">
        <f ca="1"/>
      </c>
      <c r="EB124">
        <f ca="1"/>
      </c>
      <c r="EC124">
        <f ca="1"/>
      </c>
      <c r="ED124">
        <f ca="1"/>
      </c>
      <c r="EE124">
        <f ca="1"/>
      </c>
      <c r="EG124">
        <f ca="1"/>
      </c>
      <c r="EH124">
        <f ca="1"/>
      </c>
      <c r="EI124">
        <f ca="1"/>
      </c>
      <c r="EJ124">
        <f ca="1"/>
      </c>
      <c r="EK124">
        <f ca="1"/>
      </c>
      <c r="EL124">
        <f ca="1"/>
      </c>
      <c r="EM124">
        <f ca="1"/>
      </c>
      <c r="EN124">
        <f ca="1"/>
      </c>
      <c r="EO124">
        <f ca="1"/>
      </c>
      <c r="EP124">
        <f ca="1"/>
      </c>
      <c r="EQ124">
        <f ca="1"/>
      </c>
      <c r="ER124">
        <f ca="1"/>
      </c>
      <c r="ES124">
        <f ca="1"/>
      </c>
      <c r="ET124">
        <f ca="1"/>
      </c>
      <c r="EU124">
        <f ca="1"/>
      </c>
      <c r="EV124">
        <f ca="1"/>
      </c>
      <c r="EW124">
        <f ca="1"/>
      </c>
      <c r="EX124">
        <f ca="1"/>
      </c>
      <c r="EY124">
        <f ca="1"/>
      </c>
      <c r="EZ124">
        <f ca="1"/>
      </c>
      <c r="FA124">
        <f ca="1"/>
      </c>
      <c r="FB124">
        <f ca="1"/>
      </c>
      <c r="FC124">
        <f ca="1"/>
      </c>
      <c r="FD124">
        <f ca="1"/>
      </c>
      <c r="FE124">
        <f ca="1"/>
      </c>
      <c r="FF124">
        <f ca="1"/>
      </c>
      <c r="FG124">
        <f ca="1"/>
      </c>
      <c r="FH124">
        <f ca="1"/>
      </c>
      <c r="FI124">
        <f ca="1"/>
      </c>
      <c r="FJ124">
        <f ca="1"/>
      </c>
      <c r="FK124">
        <f ca="1"/>
      </c>
      <c r="FL124">
        <f ca="1"/>
      </c>
      <c r="FM124">
        <f ca="1"/>
      </c>
      <c r="FN124">
        <f ca="1"/>
      </c>
      <c r="FO124">
        <f ca="1"/>
      </c>
      <c r="FP124">
        <f ca="1"/>
      </c>
      <c r="FQ124">
        <f ca="1"/>
      </c>
      <c r="FR124">
        <f ca="1"/>
      </c>
      <c r="FS124">
        <f ca="1"/>
      </c>
      <c r="FT124">
        <f ca="1"/>
      </c>
      <c r="FU124">
        <f ca="1"/>
      </c>
      <c r="FV124">
        <f ca="1"/>
      </c>
      <c r="FW124">
        <f ca="1"/>
      </c>
      <c r="FX124">
        <f ca="1"/>
      </c>
      <c r="FY124">
        <f ca="1"/>
      </c>
      <c r="FZ124">
        <f ca="1"/>
      </c>
      <c r="GA124">
        <f ca="1"/>
      </c>
      <c r="GM124" s="7">
        <f ca="1"/>
      </c>
      <c r="GN124">
        <f ca="1"/>
      </c>
      <c r="GO124">
        <f ca="1"/>
      </c>
      <c r="GP124">
        <f ca="1"/>
      </c>
      <c r="GQ124">
        <f ca="1"/>
      </c>
    </row>
    <row r="125" spans="41:199" x14ac:dyDescent="0.55000000000000004">
      <c r="AO125">
        <f ca="1"/>
      </c>
      <c r="AP125">
        <f ca="1"/>
      </c>
      <c r="AQ125">
        <f ca="1"/>
      </c>
      <c r="AR125">
        <f ca="1"/>
      </c>
      <c r="AS125">
        <f ca="1"/>
      </c>
      <c r="AT125">
        <f ca="1"/>
      </c>
      <c r="AU125">
        <f ca="1"/>
      </c>
      <c r="AV125">
        <f ca="1"/>
      </c>
      <c r="AW125">
        <f ca="1"/>
      </c>
      <c r="AX125">
        <f ca="1"/>
      </c>
      <c r="AY125">
        <f ca="1"/>
      </c>
      <c r="AZ125">
        <f ca="1"/>
      </c>
      <c r="BA125">
        <f ca="1"/>
      </c>
      <c r="BB125">
        <f ca="1"/>
      </c>
      <c r="BC125">
        <f ca="1"/>
      </c>
      <c r="BD125">
        <f ca="1"/>
      </c>
      <c r="BE125">
        <f ca="1"/>
      </c>
      <c r="BF125">
        <f ca="1"/>
      </c>
      <c r="BG125">
        <f ca="1"/>
      </c>
      <c r="BH125">
        <f ca="1"/>
      </c>
      <c r="BI125">
        <f ca="1"/>
      </c>
      <c r="BJ125">
        <f ca="1"/>
      </c>
      <c r="BK125">
        <f ca="1"/>
      </c>
      <c r="BL125">
        <f ca="1"/>
      </c>
      <c r="BM125">
        <f ca="1"/>
      </c>
      <c r="BN125">
        <f ca="1"/>
      </c>
      <c r="BO125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  <c r="BV125">
        <f ca="1"/>
      </c>
      <c r="BW125">
        <f ca="1"/>
      </c>
      <c r="BX125">
        <f ca="1"/>
      </c>
      <c r="BY125">
        <f ca="1"/>
      </c>
      <c r="BZ125">
        <f ca="1"/>
      </c>
      <c r="CA125">
        <f ca="1"/>
      </c>
      <c r="CB125">
        <f ca="1"/>
      </c>
      <c r="CC125">
        <f ca="1"/>
      </c>
      <c r="CD125">
        <f ca="1"/>
      </c>
      <c r="CE125">
        <f ca="1"/>
      </c>
      <c r="CF125">
        <f ca="1"/>
      </c>
      <c r="CG125">
        <f ca="1"/>
      </c>
      <c r="CH125">
        <f ca="1"/>
      </c>
      <c r="CI125">
        <f ca="1"/>
      </c>
      <c r="CK125">
        <f ca="1"/>
      </c>
      <c r="CL125">
        <f ca="1"/>
      </c>
      <c r="CM125">
        <f ca="1"/>
      </c>
      <c r="CN125">
        <f ca="1"/>
      </c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DQ125">
        <f ca="1"/>
      </c>
      <c r="DR125">
        <f ca="1"/>
      </c>
      <c r="DS125">
        <f ca="1"/>
      </c>
      <c r="DT125">
        <f ca="1"/>
      </c>
      <c r="DU125">
        <f ca="1"/>
      </c>
      <c r="DV125">
        <f ca="1"/>
      </c>
      <c r="DW125">
        <f ca="1"/>
      </c>
      <c r="DX125">
        <f ca="1"/>
      </c>
      <c r="DY125">
        <f ca="1"/>
      </c>
      <c r="DZ125">
        <f ca="1"/>
      </c>
      <c r="EA125">
        <f ca="1"/>
      </c>
      <c r="EB125">
        <f ca="1"/>
      </c>
      <c r="EC125">
        <f ca="1"/>
      </c>
      <c r="ED125">
        <f ca="1"/>
      </c>
      <c r="EE125">
        <f ca="1"/>
      </c>
      <c r="EG125">
        <f ca="1"/>
      </c>
      <c r="EH125">
        <f ca="1"/>
      </c>
      <c r="EI125">
        <f ca="1"/>
      </c>
      <c r="EJ125">
        <f ca="1"/>
      </c>
      <c r="EK125">
        <f ca="1"/>
      </c>
      <c r="EL125">
        <f ca="1"/>
      </c>
      <c r="EM125">
        <f ca="1"/>
      </c>
      <c r="EN125">
        <f ca="1"/>
      </c>
      <c r="EO125">
        <f ca="1"/>
      </c>
      <c r="EP125">
        <f ca="1"/>
      </c>
      <c r="EQ125">
        <f ca="1"/>
      </c>
      <c r="ER125">
        <f ca="1"/>
      </c>
      <c r="ES125">
        <f ca="1"/>
      </c>
      <c r="ET125">
        <f ca="1"/>
      </c>
      <c r="EU125">
        <f ca="1"/>
      </c>
      <c r="EV125">
        <f ca="1"/>
      </c>
      <c r="EW125">
        <f ca="1"/>
      </c>
      <c r="EX125">
        <f ca="1"/>
      </c>
      <c r="EY125">
        <f ca="1"/>
      </c>
      <c r="EZ125">
        <f ca="1"/>
      </c>
      <c r="FA125">
        <f ca="1"/>
      </c>
      <c r="FB125">
        <f ca="1"/>
      </c>
      <c r="FC125">
        <f ca="1"/>
      </c>
      <c r="FD125">
        <f ca="1"/>
      </c>
      <c r="FE125">
        <f ca="1"/>
      </c>
      <c r="FF125">
        <f ca="1"/>
      </c>
      <c r="FG125">
        <f ca="1"/>
      </c>
      <c r="FH125">
        <f ca="1"/>
      </c>
      <c r="FI125">
        <f ca="1"/>
      </c>
      <c r="FJ125">
        <f ca="1"/>
      </c>
      <c r="FK125">
        <f ca="1"/>
      </c>
      <c r="FL125">
        <f ca="1"/>
      </c>
      <c r="FM125">
        <f ca="1"/>
      </c>
      <c r="FN125">
        <f ca="1"/>
      </c>
      <c r="FO125">
        <f ca="1"/>
      </c>
      <c r="FP125">
        <f ca="1"/>
      </c>
      <c r="FQ125">
        <f ca="1"/>
      </c>
      <c r="FR125">
        <f ca="1"/>
      </c>
      <c r="FS125">
        <f ca="1"/>
      </c>
      <c r="FT125">
        <f ca="1"/>
      </c>
      <c r="FU125">
        <f ca="1"/>
      </c>
      <c r="FV125">
        <f ca="1"/>
      </c>
      <c r="FW125">
        <f ca="1"/>
      </c>
      <c r="FX125">
        <f ca="1"/>
      </c>
      <c r="FY125">
        <f ca="1"/>
      </c>
      <c r="FZ125">
        <f ca="1"/>
      </c>
      <c r="GA125">
        <f ca="1"/>
      </c>
      <c r="GM125" s="7">
        <f ca="1"/>
      </c>
      <c r="GN125">
        <f ca="1"/>
      </c>
      <c r="GO125">
        <f ca="1"/>
      </c>
      <c r="GP125">
        <f ca="1"/>
      </c>
      <c r="GQ125">
        <f ca="1"/>
      </c>
    </row>
    <row r="126" spans="41:199" x14ac:dyDescent="0.55000000000000004">
      <c r="AO126">
        <f ca="1"/>
      </c>
      <c r="AP126">
        <f ca="1"/>
      </c>
      <c r="AQ126">
        <f ca="1"/>
      </c>
      <c r="AR126">
        <f ca="1"/>
      </c>
      <c r="AS126">
        <f ca="1"/>
      </c>
      <c r="AT126">
        <f ca="1"/>
      </c>
      <c r="AU126">
        <f ca="1"/>
      </c>
      <c r="AV126">
        <f ca="1"/>
      </c>
      <c r="AW126">
        <f ca="1"/>
      </c>
      <c r="AX126">
        <f ca="1"/>
      </c>
      <c r="AY126">
        <f ca="1"/>
      </c>
      <c r="AZ126">
        <f ca="1"/>
      </c>
      <c r="BA126">
        <f ca="1"/>
      </c>
      <c r="BB126">
        <f ca="1"/>
      </c>
      <c r="BC126">
        <f ca="1"/>
      </c>
      <c r="BD126">
        <f ca="1"/>
      </c>
      <c r="BE126">
        <f ca="1"/>
      </c>
      <c r="BF126">
        <f ca="1"/>
      </c>
      <c r="BG126">
        <f ca="1"/>
      </c>
      <c r="BH126">
        <f ca="1"/>
      </c>
      <c r="BI126">
        <f ca="1"/>
      </c>
      <c r="BJ126">
        <f ca="1"/>
      </c>
      <c r="BK126">
        <f ca="1"/>
      </c>
      <c r="BL126">
        <f ca="1"/>
      </c>
      <c r="BM126">
        <f ca="1"/>
      </c>
      <c r="BN126">
        <f ca="1"/>
      </c>
      <c r="BO126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  <c r="BV126">
        <f ca="1"/>
      </c>
      <c r="BW126">
        <f ca="1"/>
      </c>
      <c r="BX126">
        <f ca="1"/>
      </c>
      <c r="BY126">
        <f ca="1"/>
      </c>
      <c r="BZ126">
        <f ca="1"/>
      </c>
      <c r="CA126">
        <f ca="1"/>
      </c>
      <c r="CB126">
        <f ca="1"/>
      </c>
      <c r="CC126">
        <f ca="1"/>
      </c>
      <c r="CD126">
        <f ca="1"/>
      </c>
      <c r="CE126">
        <f ca="1"/>
      </c>
      <c r="CF126">
        <f ca="1"/>
      </c>
      <c r="CG126">
        <f ca="1"/>
      </c>
      <c r="CH126">
        <f ca="1"/>
      </c>
      <c r="CI126">
        <f ca="1"/>
      </c>
      <c r="CK126">
        <f ca="1"/>
      </c>
      <c r="CL126">
        <f ca="1"/>
      </c>
      <c r="CM126">
        <f ca="1"/>
      </c>
      <c r="CN126">
        <f ca="1"/>
      </c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DQ126">
        <f ca="1"/>
      </c>
      <c r="DR126">
        <f ca="1"/>
      </c>
      <c r="DS126">
        <f ca="1"/>
      </c>
      <c r="DT126">
        <f ca="1"/>
      </c>
      <c r="DU126">
        <f ca="1"/>
      </c>
      <c r="DV126">
        <f ca="1"/>
      </c>
      <c r="DW126">
        <f ca="1"/>
      </c>
      <c r="DX126">
        <f ca="1"/>
      </c>
      <c r="DY126">
        <f ca="1"/>
      </c>
      <c r="DZ126">
        <f ca="1"/>
      </c>
      <c r="EA126">
        <f ca="1"/>
      </c>
      <c r="EB126">
        <f ca="1"/>
      </c>
      <c r="EC126">
        <f ca="1"/>
      </c>
      <c r="ED126">
        <f ca="1"/>
      </c>
      <c r="EE126">
        <f ca="1"/>
      </c>
      <c r="EG126">
        <f ca="1"/>
      </c>
      <c r="EH126">
        <f ca="1"/>
      </c>
      <c r="EI126">
        <f ca="1"/>
      </c>
      <c r="EJ126">
        <f ca="1"/>
      </c>
      <c r="EK126">
        <f ca="1"/>
      </c>
      <c r="EL126">
        <f ca="1"/>
      </c>
      <c r="EM126">
        <f ca="1"/>
      </c>
      <c r="EN126">
        <f ca="1"/>
      </c>
      <c r="EO126">
        <f ca="1"/>
      </c>
      <c r="EP126">
        <f ca="1"/>
      </c>
      <c r="EQ126">
        <f ca="1"/>
      </c>
      <c r="ER126">
        <f ca="1"/>
      </c>
      <c r="ES126">
        <f ca="1"/>
      </c>
      <c r="ET126">
        <f ca="1"/>
      </c>
      <c r="EU126">
        <f ca="1"/>
      </c>
      <c r="EV126">
        <f ca="1"/>
      </c>
      <c r="EW126">
        <f ca="1"/>
      </c>
      <c r="EX126">
        <f ca="1"/>
      </c>
      <c r="EY126">
        <f ca="1"/>
      </c>
      <c r="EZ126">
        <f ca="1"/>
      </c>
      <c r="FA126">
        <f ca="1"/>
      </c>
      <c r="FB126">
        <f ca="1"/>
      </c>
      <c r="FC126">
        <f ca="1"/>
      </c>
      <c r="FD126">
        <f ca="1"/>
      </c>
      <c r="FE126">
        <f ca="1"/>
      </c>
      <c r="FF126">
        <f ca="1"/>
      </c>
      <c r="FG126">
        <f ca="1"/>
      </c>
      <c r="FH126">
        <f ca="1"/>
      </c>
      <c r="FI126">
        <f ca="1"/>
      </c>
      <c r="FJ126">
        <f ca="1"/>
      </c>
      <c r="FK126">
        <f ca="1"/>
      </c>
      <c r="FL126">
        <f ca="1"/>
      </c>
      <c r="FM126">
        <f ca="1"/>
      </c>
      <c r="FN126">
        <f ca="1"/>
      </c>
      <c r="FO126">
        <f ca="1"/>
      </c>
      <c r="FP126">
        <f ca="1"/>
      </c>
      <c r="FQ126">
        <f ca="1"/>
      </c>
      <c r="FR126">
        <f ca="1"/>
      </c>
      <c r="FS126">
        <f ca="1"/>
      </c>
      <c r="FT126">
        <f ca="1"/>
      </c>
      <c r="FU126">
        <f ca="1"/>
      </c>
      <c r="FV126">
        <f ca="1"/>
      </c>
      <c r="FW126">
        <f ca="1"/>
      </c>
      <c r="FX126">
        <f ca="1"/>
      </c>
      <c r="FY126">
        <f ca="1"/>
      </c>
      <c r="FZ126">
        <f ca="1"/>
      </c>
      <c r="GA126">
        <f ca="1"/>
      </c>
      <c r="GM126" s="7">
        <f ca="1"/>
      </c>
      <c r="GN126">
        <f ca="1"/>
      </c>
      <c r="GO126">
        <f ca="1"/>
      </c>
      <c r="GP126">
        <f ca="1"/>
      </c>
      <c r="GQ126">
        <f ca="1"/>
      </c>
    </row>
    <row r="127" spans="41:199" x14ac:dyDescent="0.55000000000000004">
      <c r="AO127">
        <f ca="1"/>
      </c>
      <c r="AP127">
        <f ca="1"/>
      </c>
      <c r="AQ127">
        <f ca="1"/>
      </c>
      <c r="AR127">
        <f ca="1"/>
      </c>
      <c r="AS127">
        <f ca="1"/>
      </c>
      <c r="AT127">
        <f ca="1"/>
      </c>
      <c r="AU127">
        <f ca="1"/>
      </c>
      <c r="AV127">
        <f ca="1"/>
      </c>
      <c r="AW127">
        <f ca="1"/>
      </c>
      <c r="AX127">
        <f ca="1"/>
      </c>
      <c r="AY127">
        <f ca="1"/>
      </c>
      <c r="AZ127">
        <f ca="1"/>
      </c>
      <c r="BA127">
        <f ca="1"/>
      </c>
      <c r="BB127">
        <f ca="1"/>
      </c>
      <c r="BC127">
        <f ca="1"/>
      </c>
      <c r="BD127">
        <f ca="1"/>
      </c>
      <c r="BE127">
        <f ca="1"/>
      </c>
      <c r="BF127">
        <f ca="1"/>
      </c>
      <c r="BG127">
        <f ca="1"/>
      </c>
      <c r="BH127">
        <f ca="1"/>
      </c>
      <c r="BI127">
        <f ca="1"/>
      </c>
      <c r="BJ127">
        <f ca="1"/>
      </c>
      <c r="BK127">
        <f ca="1"/>
      </c>
      <c r="BL127">
        <f ca="1"/>
      </c>
      <c r="BM127">
        <f ca="1"/>
      </c>
      <c r="BN127">
        <f ca="1"/>
      </c>
      <c r="BO127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  <c r="BV127">
        <f ca="1"/>
      </c>
      <c r="BW127">
        <f ca="1"/>
      </c>
      <c r="BX127">
        <f ca="1"/>
      </c>
      <c r="BY127">
        <f ca="1"/>
      </c>
      <c r="BZ127">
        <f ca="1"/>
      </c>
      <c r="CA127">
        <f ca="1"/>
      </c>
      <c r="CB127">
        <f ca="1"/>
      </c>
      <c r="CC127">
        <f ca="1"/>
      </c>
      <c r="CD127">
        <f ca="1"/>
      </c>
      <c r="CE127">
        <f ca="1"/>
      </c>
      <c r="CF127">
        <f ca="1"/>
      </c>
      <c r="CG127">
        <f ca="1"/>
      </c>
      <c r="CH127">
        <f ca="1"/>
      </c>
      <c r="CI127">
        <f ca="1"/>
      </c>
      <c r="CK127">
        <f ca="1"/>
      </c>
      <c r="CL127">
        <f ca="1"/>
      </c>
      <c r="CM127">
        <f ca="1"/>
      </c>
      <c r="CN127">
        <f ca="1"/>
      </c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DQ127">
        <f ca="1"/>
      </c>
      <c r="DR127">
        <f ca="1"/>
      </c>
      <c r="DS127">
        <f ca="1"/>
      </c>
      <c r="DT127">
        <f ca="1"/>
      </c>
      <c r="DU127">
        <f ca="1"/>
      </c>
      <c r="DV127">
        <f ca="1"/>
      </c>
      <c r="DW127">
        <f ca="1"/>
      </c>
      <c r="DX127">
        <f ca="1"/>
      </c>
      <c r="DY127">
        <f ca="1"/>
      </c>
      <c r="DZ127">
        <f ca="1"/>
      </c>
      <c r="EA127">
        <f ca="1"/>
      </c>
      <c r="EB127">
        <f ca="1"/>
      </c>
      <c r="EC127">
        <f ca="1"/>
      </c>
      <c r="ED127">
        <f ca="1"/>
      </c>
      <c r="EE127">
        <f ca="1"/>
      </c>
      <c r="EG127">
        <f ca="1"/>
      </c>
      <c r="EH127">
        <f ca="1"/>
      </c>
      <c r="EI127">
        <f ca="1"/>
      </c>
      <c r="EJ127">
        <f ca="1"/>
      </c>
      <c r="EK127">
        <f ca="1"/>
      </c>
      <c r="EL127">
        <f ca="1"/>
      </c>
      <c r="EM127">
        <f ca="1"/>
      </c>
      <c r="EN127">
        <f ca="1"/>
      </c>
      <c r="EO127">
        <f ca="1"/>
      </c>
      <c r="EP127">
        <f ca="1"/>
      </c>
      <c r="EQ127">
        <f ca="1"/>
      </c>
      <c r="ER127">
        <f ca="1"/>
      </c>
      <c r="ES127">
        <f ca="1"/>
      </c>
      <c r="ET127">
        <f ca="1"/>
      </c>
      <c r="EU127">
        <f ca="1"/>
      </c>
      <c r="EV127">
        <f ca="1"/>
      </c>
      <c r="EW127">
        <f ca="1"/>
      </c>
      <c r="EX127">
        <f ca="1"/>
      </c>
      <c r="EY127">
        <f ca="1"/>
      </c>
      <c r="EZ127">
        <f ca="1"/>
      </c>
      <c r="FA127">
        <f ca="1"/>
      </c>
      <c r="FB127">
        <f ca="1"/>
      </c>
      <c r="FC127">
        <f ca="1"/>
      </c>
      <c r="FD127">
        <f ca="1"/>
      </c>
      <c r="FE127">
        <f ca="1"/>
      </c>
      <c r="FF127">
        <f ca="1"/>
      </c>
      <c r="FG127">
        <f ca="1"/>
      </c>
      <c r="FH127">
        <f ca="1"/>
      </c>
      <c r="FI127">
        <f ca="1"/>
      </c>
      <c r="FJ127">
        <f ca="1"/>
      </c>
      <c r="FK127">
        <f ca="1"/>
      </c>
      <c r="FL127">
        <f ca="1"/>
      </c>
      <c r="FM127">
        <f ca="1"/>
      </c>
      <c r="FN127">
        <f ca="1"/>
      </c>
      <c r="FO127">
        <f ca="1"/>
      </c>
      <c r="FP127">
        <f ca="1"/>
      </c>
      <c r="FQ127">
        <f ca="1"/>
      </c>
      <c r="FR127">
        <f ca="1"/>
      </c>
      <c r="FS127">
        <f ca="1"/>
      </c>
      <c r="FT127">
        <f ca="1"/>
      </c>
      <c r="FU127">
        <f ca="1"/>
      </c>
      <c r="FV127">
        <f ca="1"/>
      </c>
      <c r="FW127">
        <f ca="1"/>
      </c>
      <c r="FX127">
        <f ca="1"/>
      </c>
      <c r="FY127">
        <f ca="1"/>
      </c>
      <c r="FZ127">
        <f ca="1"/>
      </c>
      <c r="GA127">
        <f ca="1"/>
      </c>
      <c r="GM127" s="7">
        <f ca="1"/>
      </c>
      <c r="GN127">
        <f ca="1"/>
      </c>
      <c r="GO127">
        <f ca="1"/>
      </c>
      <c r="GP127">
        <f ca="1"/>
      </c>
      <c r="GQ127">
        <f ca="1"/>
      </c>
    </row>
    <row r="128" spans="41:199" x14ac:dyDescent="0.55000000000000004">
      <c r="AO128">
        <f ca="1"/>
      </c>
      <c r="AP128">
        <f ca="1"/>
      </c>
      <c r="AQ128">
        <f ca="1"/>
      </c>
      <c r="AR128">
        <f ca="1"/>
      </c>
      <c r="AS128">
        <f ca="1"/>
      </c>
      <c r="AT128">
        <f ca="1"/>
      </c>
      <c r="AU128">
        <f ca="1"/>
      </c>
      <c r="AV128">
        <f ca="1"/>
      </c>
      <c r="AW128">
        <f ca="1"/>
      </c>
      <c r="AX128">
        <f ca="1"/>
      </c>
      <c r="AY128">
        <f ca="1"/>
      </c>
      <c r="AZ128">
        <f ca="1"/>
      </c>
      <c r="BA128">
        <f ca="1"/>
      </c>
      <c r="BB128">
        <f ca="1"/>
      </c>
      <c r="BC128">
        <f ca="1"/>
      </c>
      <c r="BD128">
        <f ca="1"/>
      </c>
      <c r="BE128">
        <f ca="1"/>
      </c>
      <c r="BF128">
        <f ca="1"/>
      </c>
      <c r="BG128">
        <f ca="1"/>
      </c>
      <c r="BH128">
        <f ca="1"/>
      </c>
      <c r="BI128">
        <f ca="1"/>
      </c>
      <c r="BJ128">
        <f ca="1"/>
      </c>
      <c r="BK128">
        <f ca="1"/>
      </c>
      <c r="BL128">
        <f ca="1"/>
      </c>
      <c r="BM128">
        <f ca="1"/>
      </c>
      <c r="BN128">
        <f ca="1"/>
      </c>
      <c r="BO128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  <c r="BV128">
        <f ca="1"/>
      </c>
      <c r="BW128">
        <f ca="1"/>
      </c>
      <c r="BX128">
        <f ca="1"/>
      </c>
      <c r="BY128">
        <f ca="1"/>
      </c>
      <c r="BZ128">
        <f ca="1"/>
      </c>
      <c r="CA128">
        <f ca="1"/>
      </c>
      <c r="CB128">
        <f ca="1"/>
      </c>
      <c r="CC128">
        <f ca="1"/>
      </c>
      <c r="CD128">
        <f ca="1"/>
      </c>
      <c r="CE128">
        <f ca="1"/>
      </c>
      <c r="CF128">
        <f ca="1"/>
      </c>
      <c r="CG128">
        <f ca="1"/>
      </c>
      <c r="CH128">
        <f ca="1"/>
      </c>
      <c r="CI128">
        <f ca="1"/>
      </c>
      <c r="CK128">
        <f ca="1"/>
      </c>
      <c r="CL128">
        <f ca="1"/>
      </c>
      <c r="CM128">
        <f ca="1"/>
      </c>
      <c r="CN128">
        <f ca="1"/>
      </c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DQ128">
        <f ca="1"/>
      </c>
      <c r="DR128">
        <f ca="1"/>
      </c>
      <c r="DS128">
        <f ca="1"/>
      </c>
      <c r="DT128">
        <f ca="1"/>
      </c>
      <c r="DU128">
        <f ca="1"/>
      </c>
      <c r="DV128">
        <f ca="1"/>
      </c>
      <c r="DW128">
        <f ca="1"/>
      </c>
      <c r="DX128">
        <f ca="1"/>
      </c>
      <c r="DY128">
        <f ca="1"/>
      </c>
      <c r="DZ128">
        <f ca="1"/>
      </c>
      <c r="EA128">
        <f ca="1"/>
      </c>
      <c r="EB128">
        <f ca="1"/>
      </c>
      <c r="EC128">
        <f ca="1"/>
      </c>
      <c r="ED128">
        <f ca="1"/>
      </c>
      <c r="EE128">
        <f ca="1"/>
      </c>
      <c r="EG128">
        <f ca="1"/>
      </c>
      <c r="EH128">
        <f ca="1"/>
      </c>
      <c r="EI128">
        <f ca="1"/>
      </c>
      <c r="EJ128">
        <f ca="1"/>
      </c>
      <c r="EK128">
        <f ca="1"/>
      </c>
      <c r="EL128">
        <f ca="1"/>
      </c>
      <c r="EM128">
        <f ca="1"/>
      </c>
      <c r="EN128">
        <f ca="1"/>
      </c>
      <c r="EO128">
        <f ca="1"/>
      </c>
      <c r="EP128">
        <f ca="1"/>
      </c>
      <c r="EQ128">
        <f ca="1"/>
      </c>
      <c r="ER128">
        <f ca="1"/>
      </c>
      <c r="ES128">
        <f ca="1"/>
      </c>
      <c r="ET128">
        <f ca="1"/>
      </c>
      <c r="EU128">
        <f ca="1"/>
      </c>
      <c r="EV128">
        <f ca="1"/>
      </c>
      <c r="EW128">
        <f ca="1"/>
      </c>
      <c r="EX128">
        <f ca="1"/>
      </c>
      <c r="EY128">
        <f ca="1"/>
      </c>
      <c r="EZ128">
        <f ca="1"/>
      </c>
      <c r="FA128">
        <f ca="1"/>
      </c>
      <c r="FB128">
        <f ca="1"/>
      </c>
      <c r="FC128">
        <f ca="1"/>
      </c>
      <c r="FD128">
        <f ca="1"/>
      </c>
      <c r="FE128">
        <f ca="1"/>
      </c>
      <c r="FF128">
        <f ca="1"/>
      </c>
      <c r="FG128">
        <f ca="1"/>
      </c>
      <c r="FH128">
        <f ca="1"/>
      </c>
      <c r="FI128">
        <f ca="1"/>
      </c>
      <c r="FJ128">
        <f ca="1"/>
      </c>
      <c r="FK128">
        <f ca="1"/>
      </c>
      <c r="FL128">
        <f ca="1"/>
      </c>
      <c r="FM128">
        <f ca="1"/>
      </c>
      <c r="FN128">
        <f ca="1"/>
      </c>
      <c r="FO128">
        <f ca="1"/>
      </c>
      <c r="FP128">
        <f ca="1"/>
      </c>
      <c r="FQ128">
        <f ca="1"/>
      </c>
      <c r="FR128">
        <f ca="1"/>
      </c>
      <c r="FS128">
        <f ca="1"/>
      </c>
      <c r="FT128">
        <f ca="1"/>
      </c>
      <c r="FU128">
        <f ca="1"/>
      </c>
      <c r="FV128">
        <f ca="1"/>
      </c>
      <c r="FW128">
        <f ca="1"/>
      </c>
      <c r="FX128">
        <f ca="1"/>
      </c>
      <c r="FY128">
        <f ca="1"/>
      </c>
      <c r="FZ128">
        <f ca="1"/>
      </c>
      <c r="GA128">
        <f ca="1"/>
      </c>
      <c r="GM128" s="7">
        <f ca="1"/>
      </c>
      <c r="GN128">
        <f ca="1"/>
      </c>
      <c r="GO128">
        <f ca="1"/>
      </c>
      <c r="GP128">
        <f ca="1"/>
      </c>
      <c r="GQ128">
        <f ca="1"/>
      </c>
    </row>
    <row r="129" spans="41:199" x14ac:dyDescent="0.55000000000000004">
      <c r="AO129">
        <f ca="1"/>
      </c>
      <c r="AP129">
        <f ca="1"/>
      </c>
      <c r="AQ129">
        <f ca="1"/>
      </c>
      <c r="AR129">
        <f ca="1"/>
      </c>
      <c r="AS129">
        <f ca="1"/>
      </c>
      <c r="AT129">
        <f ca="1"/>
      </c>
      <c r="AU129">
        <f ca="1"/>
      </c>
      <c r="AV129">
        <f ca="1"/>
      </c>
      <c r="AW129">
        <f ca="1"/>
      </c>
      <c r="AX129">
        <f ca="1"/>
      </c>
      <c r="AY129">
        <f ca="1"/>
      </c>
      <c r="AZ129">
        <f ca="1"/>
      </c>
      <c r="BA129">
        <f ca="1"/>
      </c>
      <c r="BB129">
        <f ca="1"/>
      </c>
      <c r="BC129">
        <f ca="1"/>
      </c>
      <c r="BD129">
        <f ca="1"/>
      </c>
      <c r="BE129">
        <f ca="1"/>
      </c>
      <c r="BF129">
        <f ca="1"/>
      </c>
      <c r="BG129">
        <f ca="1"/>
      </c>
      <c r="BH129">
        <f ca="1"/>
      </c>
      <c r="BI129">
        <f ca="1"/>
      </c>
      <c r="BJ129">
        <f ca="1"/>
      </c>
      <c r="BK129">
        <f ca="1"/>
      </c>
      <c r="BL129">
        <f ca="1"/>
      </c>
      <c r="BM129">
        <f ca="1"/>
      </c>
      <c r="BN129">
        <f ca="1"/>
      </c>
      <c r="BO129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  <c r="BV129">
        <f ca="1"/>
      </c>
      <c r="BW129">
        <f ca="1"/>
      </c>
      <c r="BX129">
        <f ca="1"/>
      </c>
      <c r="BY129">
        <f ca="1"/>
      </c>
      <c r="BZ129">
        <f ca="1"/>
      </c>
      <c r="CA129">
        <f ca="1"/>
      </c>
      <c r="CB129">
        <f ca="1"/>
      </c>
      <c r="CC129">
        <f ca="1"/>
      </c>
      <c r="CD129">
        <f ca="1"/>
      </c>
      <c r="CE129">
        <f ca="1"/>
      </c>
      <c r="CF129">
        <f ca="1"/>
      </c>
      <c r="CG129">
        <f ca="1"/>
      </c>
      <c r="CH129">
        <f ca="1"/>
      </c>
      <c r="CI129">
        <f ca="1"/>
      </c>
      <c r="CK129">
        <f ca="1"/>
      </c>
      <c r="CL129">
        <f ca="1"/>
      </c>
      <c r="CM129">
        <f ca="1"/>
      </c>
      <c r="CN129">
        <f ca="1"/>
      </c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DQ129">
        <f ca="1"/>
      </c>
      <c r="DR129">
        <f ca="1"/>
      </c>
      <c r="DS129">
        <f ca="1"/>
      </c>
      <c r="DT129">
        <f ca="1"/>
      </c>
      <c r="DU129">
        <f ca="1"/>
      </c>
      <c r="DV129">
        <f ca="1"/>
      </c>
      <c r="DW129">
        <f ca="1"/>
      </c>
      <c r="DX129">
        <f ca="1"/>
      </c>
      <c r="DY129">
        <f ca="1"/>
      </c>
      <c r="DZ129">
        <f ca="1"/>
      </c>
      <c r="EA129">
        <f ca="1"/>
      </c>
      <c r="EB129">
        <f ca="1"/>
      </c>
      <c r="EC129">
        <f ca="1"/>
      </c>
      <c r="ED129">
        <f ca="1"/>
      </c>
      <c r="EE129">
        <f ca="1"/>
      </c>
      <c r="EG129">
        <f ca="1"/>
      </c>
      <c r="EH129">
        <f ca="1"/>
      </c>
      <c r="EI129">
        <f ca="1"/>
      </c>
      <c r="EJ129">
        <f ca="1"/>
      </c>
      <c r="EK129">
        <f ca="1"/>
      </c>
      <c r="EL129">
        <f ca="1"/>
      </c>
      <c r="EM129">
        <f ca="1"/>
      </c>
      <c r="EN129">
        <f ca="1"/>
      </c>
      <c r="EO129">
        <f ca="1"/>
      </c>
      <c r="EP129">
        <f ca="1"/>
      </c>
      <c r="EQ129">
        <f ca="1"/>
      </c>
      <c r="ER129">
        <f ca="1"/>
      </c>
      <c r="ES129">
        <f ca="1"/>
      </c>
      <c r="ET129">
        <f ca="1"/>
      </c>
      <c r="EU129">
        <f ca="1"/>
      </c>
      <c r="EV129">
        <f ca="1"/>
      </c>
      <c r="EW129">
        <f ca="1"/>
      </c>
      <c r="EX129">
        <f ca="1"/>
      </c>
      <c r="EY129">
        <f ca="1"/>
      </c>
      <c r="EZ129">
        <f ca="1"/>
      </c>
      <c r="FA129">
        <f ca="1"/>
      </c>
      <c r="FB129">
        <f ca="1"/>
      </c>
      <c r="FC129">
        <f ca="1"/>
      </c>
      <c r="FD129">
        <f ca="1"/>
      </c>
      <c r="FE129">
        <f ca="1"/>
      </c>
      <c r="FF129">
        <f ca="1"/>
      </c>
      <c r="FG129">
        <f ca="1"/>
      </c>
      <c r="FH129">
        <f ca="1"/>
      </c>
      <c r="FI129">
        <f ca="1"/>
      </c>
      <c r="FJ129">
        <f ca="1"/>
      </c>
      <c r="FK129">
        <f ca="1"/>
      </c>
      <c r="FL129">
        <f ca="1"/>
      </c>
      <c r="FM129">
        <f ca="1"/>
      </c>
      <c r="FN129">
        <f ca="1"/>
      </c>
      <c r="FO129">
        <f ca="1"/>
      </c>
      <c r="FP129">
        <f ca="1"/>
      </c>
      <c r="FQ129">
        <f ca="1"/>
      </c>
      <c r="FR129">
        <f ca="1"/>
      </c>
      <c r="FS129">
        <f ca="1"/>
      </c>
      <c r="FT129">
        <f ca="1"/>
      </c>
      <c r="FU129">
        <f ca="1"/>
      </c>
      <c r="FV129">
        <f ca="1"/>
      </c>
      <c r="FW129">
        <f ca="1"/>
      </c>
      <c r="FX129">
        <f ca="1"/>
      </c>
      <c r="FY129">
        <f ca="1"/>
      </c>
      <c r="FZ129">
        <f ca="1"/>
      </c>
      <c r="GA129">
        <f ca="1"/>
      </c>
      <c r="GM129" s="7">
        <f ca="1"/>
      </c>
      <c r="GN129">
        <f ca="1"/>
      </c>
      <c r="GO129">
        <f ca="1"/>
      </c>
      <c r="GP129">
        <f ca="1"/>
      </c>
      <c r="GQ129">
        <f ca="1"/>
      </c>
    </row>
    <row r="130" spans="41:199" x14ac:dyDescent="0.55000000000000004">
      <c r="AO130">
        <f ca="1"/>
      </c>
      <c r="AP130">
        <f ca="1"/>
      </c>
      <c r="AQ130">
        <f ca="1"/>
      </c>
      <c r="AR130">
        <f ca="1"/>
      </c>
      <c r="AS130">
        <f ca="1"/>
      </c>
      <c r="AT130">
        <f ca="1"/>
      </c>
      <c r="AU130">
        <f ca="1"/>
      </c>
      <c r="AV130">
        <f ca="1"/>
      </c>
      <c r="AW130">
        <f ca="1"/>
      </c>
      <c r="AX130">
        <f ca="1"/>
      </c>
      <c r="AY130">
        <f ca="1"/>
      </c>
      <c r="AZ130">
        <f ca="1"/>
      </c>
      <c r="BA130">
        <f ca="1"/>
      </c>
      <c r="BB130">
        <f ca="1"/>
      </c>
      <c r="BC130">
        <f ca="1"/>
      </c>
      <c r="BD130">
        <f ca="1"/>
      </c>
      <c r="BE130">
        <f ca="1"/>
      </c>
      <c r="BF130">
        <f ca="1"/>
      </c>
      <c r="BG130">
        <f ca="1"/>
      </c>
      <c r="BH130">
        <f ca="1"/>
      </c>
      <c r="BI130">
        <f ca="1"/>
      </c>
      <c r="BJ130">
        <f ca="1"/>
      </c>
      <c r="BK130">
        <f ca="1"/>
      </c>
      <c r="BL130">
        <f ca="1"/>
      </c>
      <c r="BM130">
        <f ca="1"/>
      </c>
      <c r="BN130">
        <f ca="1"/>
      </c>
      <c r="BO130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  <c r="BV130">
        <f ca="1"/>
      </c>
      <c r="BW130">
        <f ca="1"/>
      </c>
      <c r="BX130">
        <f ca="1"/>
      </c>
      <c r="BY130">
        <f ca="1"/>
      </c>
      <c r="BZ130">
        <f ca="1"/>
      </c>
      <c r="CA130">
        <f ca="1"/>
      </c>
      <c r="CB130">
        <f ca="1"/>
      </c>
      <c r="CC130">
        <f ca="1"/>
      </c>
      <c r="CD130">
        <f ca="1"/>
      </c>
      <c r="CE130">
        <f ca="1"/>
      </c>
      <c r="CF130">
        <f ca="1"/>
      </c>
      <c r="CG130">
        <f ca="1"/>
      </c>
      <c r="CH130">
        <f ca="1"/>
      </c>
      <c r="CI130">
        <f ca="1"/>
      </c>
      <c r="CK130">
        <f ca="1"/>
      </c>
      <c r="CL130">
        <f ca="1"/>
      </c>
      <c r="CM130">
        <f ca="1"/>
      </c>
      <c r="CN130">
        <f ca="1"/>
      </c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DQ130">
        <f ca="1"/>
      </c>
      <c r="DR130">
        <f ca="1"/>
      </c>
      <c r="DS130">
        <f ca="1"/>
      </c>
      <c r="DT130">
        <f ca="1"/>
      </c>
      <c r="DU130">
        <f ca="1"/>
      </c>
      <c r="DV130">
        <f ca="1"/>
      </c>
      <c r="DW130">
        <f ca="1"/>
      </c>
      <c r="DX130">
        <f ca="1"/>
      </c>
      <c r="DY130">
        <f ca="1"/>
      </c>
      <c r="DZ130">
        <f ca="1"/>
      </c>
      <c r="EA130">
        <f ca="1"/>
      </c>
      <c r="EB130">
        <f ca="1"/>
      </c>
      <c r="EC130">
        <f ca="1"/>
      </c>
      <c r="ED130">
        <f ca="1"/>
      </c>
      <c r="EE130">
        <f ca="1"/>
      </c>
      <c r="EG130">
        <f ca="1"/>
      </c>
      <c r="EH130">
        <f ca="1"/>
      </c>
      <c r="EI130">
        <f ca="1"/>
      </c>
      <c r="EJ130">
        <f ca="1"/>
      </c>
      <c r="EK130">
        <f ca="1"/>
      </c>
      <c r="EL130">
        <f ca="1"/>
      </c>
      <c r="EM130">
        <f ca="1"/>
      </c>
      <c r="EN130">
        <f ca="1"/>
      </c>
      <c r="EO130">
        <f ca="1"/>
      </c>
      <c r="EP130">
        <f ca="1"/>
      </c>
      <c r="EQ130">
        <f ca="1"/>
      </c>
      <c r="ER130">
        <f ca="1"/>
      </c>
      <c r="ES130">
        <f ca="1"/>
      </c>
      <c r="ET130">
        <f ca="1"/>
      </c>
      <c r="EU130">
        <f ca="1"/>
      </c>
      <c r="EV130">
        <f ca="1"/>
      </c>
      <c r="EW130">
        <f ca="1"/>
      </c>
      <c r="EX130">
        <f ca="1"/>
      </c>
      <c r="EY130">
        <f ca="1"/>
      </c>
      <c r="EZ130">
        <f ca="1"/>
      </c>
      <c r="FA130">
        <f ca="1"/>
      </c>
      <c r="FB130">
        <f ca="1"/>
      </c>
      <c r="FC130">
        <f ca="1"/>
      </c>
      <c r="FD130">
        <f ca="1"/>
      </c>
      <c r="FE130">
        <f ca="1"/>
      </c>
      <c r="FF130">
        <f ca="1"/>
      </c>
      <c r="FG130">
        <f ca="1"/>
      </c>
      <c r="FH130">
        <f ca="1"/>
      </c>
      <c r="FI130">
        <f ca="1"/>
      </c>
      <c r="FJ130">
        <f ca="1"/>
      </c>
      <c r="FK130">
        <f ca="1"/>
      </c>
      <c r="FL130">
        <f ca="1"/>
      </c>
      <c r="FM130">
        <f ca="1"/>
      </c>
      <c r="FN130">
        <f ca="1"/>
      </c>
      <c r="FO130">
        <f ca="1"/>
      </c>
      <c r="FP130">
        <f ca="1"/>
      </c>
      <c r="FQ130">
        <f ca="1"/>
      </c>
      <c r="FR130">
        <f ca="1"/>
      </c>
      <c r="FS130">
        <f ca="1"/>
      </c>
      <c r="FT130">
        <f ca="1"/>
      </c>
      <c r="FU130">
        <f ca="1"/>
      </c>
      <c r="FV130">
        <f ca="1"/>
      </c>
      <c r="FW130">
        <f ca="1"/>
      </c>
      <c r="FX130">
        <f ca="1"/>
      </c>
      <c r="FY130">
        <f ca="1"/>
      </c>
      <c r="FZ130">
        <f ca="1"/>
      </c>
      <c r="GA130">
        <f ca="1"/>
      </c>
      <c r="GM130" s="7">
        <f ca="1"/>
      </c>
      <c r="GN130">
        <f ca="1"/>
      </c>
      <c r="GO130">
        <f ca="1"/>
      </c>
      <c r="GP130">
        <f ca="1"/>
      </c>
      <c r="GQ130">
        <f ca="1"/>
      </c>
    </row>
    <row r="131" spans="41:199" x14ac:dyDescent="0.55000000000000004">
      <c r="AO131">
        <f ca="1"/>
      </c>
      <c r="AP131">
        <f ca="1"/>
      </c>
      <c r="AQ131">
        <f ca="1"/>
      </c>
      <c r="AR131">
        <f ca="1"/>
      </c>
      <c r="AS131">
        <f ca="1"/>
      </c>
      <c r="AT131">
        <f ca="1"/>
      </c>
      <c r="AU131">
        <f ca="1"/>
      </c>
      <c r="AV131">
        <f ca="1"/>
      </c>
      <c r="AW131">
        <f ca="1"/>
      </c>
      <c r="AX131">
        <f ca="1"/>
      </c>
      <c r="AY131">
        <f ca="1"/>
      </c>
      <c r="AZ131">
        <f ca="1"/>
      </c>
      <c r="BA131">
        <f ca="1"/>
      </c>
      <c r="BB131">
        <f ca="1"/>
      </c>
      <c r="BC131">
        <f ca="1"/>
      </c>
      <c r="BD131">
        <f ca="1"/>
      </c>
      <c r="BE131">
        <f ca="1"/>
      </c>
      <c r="BF131">
        <f ca="1"/>
      </c>
      <c r="BG131">
        <f ca="1"/>
      </c>
      <c r="BH131">
        <f ca="1"/>
      </c>
      <c r="BI131">
        <f ca="1"/>
      </c>
      <c r="BJ131">
        <f ca="1"/>
      </c>
      <c r="BK131">
        <f ca="1"/>
      </c>
      <c r="BL131">
        <f ca="1"/>
      </c>
      <c r="BM131">
        <f ca="1"/>
      </c>
      <c r="BN131">
        <f ca="1"/>
      </c>
      <c r="BO13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  <c r="BV131">
        <f ca="1"/>
      </c>
      <c r="BW131">
        <f ca="1"/>
      </c>
      <c r="BX131">
        <f ca="1"/>
      </c>
      <c r="BY131">
        <f ca="1"/>
      </c>
      <c r="BZ131">
        <f ca="1"/>
      </c>
      <c r="CA131">
        <f ca="1"/>
      </c>
      <c r="CB131">
        <f ca="1"/>
      </c>
      <c r="CC131">
        <f ca="1"/>
      </c>
      <c r="CD131">
        <f ca="1"/>
      </c>
      <c r="CE131">
        <f ca="1"/>
      </c>
      <c r="CF131">
        <f ca="1"/>
      </c>
      <c r="CG131">
        <f ca="1"/>
      </c>
      <c r="CH131">
        <f ca="1"/>
      </c>
      <c r="CI131">
        <f ca="1"/>
      </c>
      <c r="CK131">
        <f ca="1"/>
      </c>
      <c r="CL131">
        <f ca="1"/>
      </c>
      <c r="CM131">
        <f ca="1"/>
      </c>
      <c r="CN131">
        <f ca="1"/>
      </c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DQ131">
        <f ca="1"/>
      </c>
      <c r="DR131">
        <f ca="1"/>
      </c>
      <c r="DS131">
        <f ca="1"/>
      </c>
      <c r="DT131">
        <f ca="1"/>
      </c>
      <c r="DU131">
        <f ca="1"/>
      </c>
      <c r="DV131">
        <f ca="1"/>
      </c>
      <c r="DW131">
        <f ca="1"/>
      </c>
      <c r="DX131">
        <f ca="1"/>
      </c>
      <c r="DY131">
        <f ca="1"/>
      </c>
      <c r="DZ131">
        <f ca="1"/>
      </c>
      <c r="EA131">
        <f ca="1"/>
      </c>
      <c r="EB131">
        <f ca="1"/>
      </c>
      <c r="EC131">
        <f ca="1"/>
      </c>
      <c r="ED131">
        <f ca="1"/>
      </c>
      <c r="EE131">
        <f ca="1"/>
      </c>
      <c r="EG131">
        <f ca="1"/>
      </c>
      <c r="EH131">
        <f ca="1"/>
      </c>
      <c r="EI131">
        <f ca="1"/>
      </c>
      <c r="EJ131">
        <f ca="1"/>
      </c>
      <c r="EK131">
        <f ca="1"/>
      </c>
      <c r="EL131">
        <f ca="1"/>
      </c>
      <c r="EM131">
        <f ca="1"/>
      </c>
      <c r="EN131">
        <f ca="1"/>
      </c>
      <c r="EO131">
        <f ca="1"/>
      </c>
      <c r="EP131">
        <f ca="1"/>
      </c>
      <c r="EQ131">
        <f ca="1"/>
      </c>
      <c r="ER131">
        <f ca="1"/>
      </c>
      <c r="ES131">
        <f ca="1"/>
      </c>
      <c r="ET131">
        <f ca="1"/>
      </c>
      <c r="EU131">
        <f ca="1"/>
      </c>
      <c r="EV131">
        <f ca="1"/>
      </c>
      <c r="EW131">
        <f ca="1"/>
      </c>
      <c r="EX131">
        <f ca="1"/>
      </c>
      <c r="EY131">
        <f ca="1"/>
      </c>
      <c r="EZ131">
        <f ca="1"/>
      </c>
      <c r="FA131">
        <f ca="1"/>
      </c>
      <c r="FB131">
        <f ca="1"/>
      </c>
      <c r="FC131">
        <f ca="1"/>
      </c>
      <c r="FD131">
        <f ca="1"/>
      </c>
      <c r="FE131">
        <f ca="1"/>
      </c>
      <c r="FF131">
        <f ca="1"/>
      </c>
      <c r="FG131">
        <f ca="1"/>
      </c>
      <c r="FH131">
        <f ca="1"/>
      </c>
      <c r="FI131">
        <f ca="1"/>
      </c>
      <c r="FJ131">
        <f ca="1"/>
      </c>
      <c r="FK131">
        <f ca="1"/>
      </c>
      <c r="FL131">
        <f ca="1"/>
      </c>
      <c r="FM131">
        <f ca="1"/>
      </c>
      <c r="FN131">
        <f ca="1"/>
      </c>
      <c r="FO131">
        <f ca="1"/>
      </c>
      <c r="FP131">
        <f ca="1"/>
      </c>
      <c r="FQ131">
        <f ca="1"/>
      </c>
      <c r="FR131">
        <f ca="1"/>
      </c>
      <c r="FS131">
        <f ca="1"/>
      </c>
      <c r="FT131">
        <f ca="1"/>
      </c>
      <c r="FU131">
        <f ca="1"/>
      </c>
      <c r="FV131">
        <f ca="1"/>
      </c>
      <c r="FW131">
        <f ca="1"/>
      </c>
      <c r="FX131">
        <f ca="1"/>
      </c>
      <c r="FY131">
        <f ca="1"/>
      </c>
      <c r="FZ131">
        <f ca="1"/>
      </c>
      <c r="GA131">
        <f ca="1"/>
      </c>
      <c r="GM131" s="7">
        <f ca="1"/>
      </c>
      <c r="GN131">
        <f ca="1"/>
      </c>
      <c r="GO131">
        <f ca="1"/>
      </c>
      <c r="GP131">
        <f ca="1"/>
      </c>
      <c r="GQ131">
        <f ca="1"/>
      </c>
    </row>
    <row r="132" spans="41:199" x14ac:dyDescent="0.55000000000000004">
      <c r="AO132">
        <f ca="1"/>
      </c>
      <c r="AP132">
        <f ca="1"/>
      </c>
      <c r="AQ132">
        <f ca="1"/>
      </c>
      <c r="AR132">
        <f ca="1"/>
      </c>
      <c r="AS132">
        <f ca="1"/>
      </c>
      <c r="AT132">
        <f ca="1"/>
      </c>
      <c r="AU132">
        <f ca="1"/>
      </c>
      <c r="AV132">
        <f ca="1"/>
      </c>
      <c r="AW132">
        <f ca="1"/>
      </c>
      <c r="AX132">
        <f ca="1"/>
      </c>
      <c r="AY132">
        <f ca="1"/>
      </c>
      <c r="AZ132">
        <f ca="1"/>
      </c>
      <c r="BA132">
        <f ca="1"/>
      </c>
      <c r="BB132">
        <f ca="1"/>
      </c>
      <c r="BC132">
        <f ca="1"/>
      </c>
      <c r="BD132">
        <f ca="1"/>
      </c>
      <c r="BE132">
        <f ca="1"/>
      </c>
      <c r="BF132">
        <f ca="1"/>
      </c>
      <c r="BG132">
        <f ca="1"/>
      </c>
      <c r="BH132">
        <f ca="1"/>
      </c>
      <c r="BI132">
        <f ca="1"/>
      </c>
      <c r="BJ132">
        <f ca="1"/>
      </c>
      <c r="BK132">
        <f ca="1"/>
      </c>
      <c r="BL132">
        <f ca="1"/>
      </c>
      <c r="BM132">
        <f ca="1"/>
      </c>
      <c r="BN132">
        <f ca="1"/>
      </c>
      <c r="BO132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  <c r="BV132">
        <f ca="1"/>
      </c>
      <c r="BW132">
        <f ca="1"/>
      </c>
      <c r="BX132">
        <f ca="1"/>
      </c>
      <c r="BY132">
        <f ca="1"/>
      </c>
      <c r="BZ132">
        <f ca="1"/>
      </c>
      <c r="CA132">
        <f ca="1"/>
      </c>
      <c r="CB132">
        <f ca="1"/>
      </c>
      <c r="CC132">
        <f ca="1"/>
      </c>
      <c r="CD132">
        <f ca="1"/>
      </c>
      <c r="CE132">
        <f ca="1"/>
      </c>
      <c r="CF132">
        <f ca="1"/>
      </c>
      <c r="CG132">
        <f ca="1"/>
      </c>
      <c r="CH132">
        <f ca="1"/>
      </c>
      <c r="CI132">
        <f ca="1"/>
      </c>
      <c r="CK132">
        <f ca="1"/>
      </c>
      <c r="CL132">
        <f ca="1"/>
      </c>
      <c r="CM132">
        <f ca="1"/>
      </c>
      <c r="CN132">
        <f ca="1"/>
      </c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DQ132">
        <f ca="1"/>
      </c>
      <c r="DR132">
        <f ca="1"/>
      </c>
      <c r="DS132">
        <f ca="1"/>
      </c>
      <c r="DT132">
        <f ca="1"/>
      </c>
      <c r="DU132">
        <f ca="1"/>
      </c>
      <c r="DV132">
        <f ca="1"/>
      </c>
      <c r="DW132">
        <f ca="1"/>
      </c>
      <c r="DX132">
        <f ca="1"/>
      </c>
      <c r="DY132">
        <f ca="1"/>
      </c>
      <c r="DZ132">
        <f ca="1"/>
      </c>
      <c r="EA132">
        <f ca="1"/>
      </c>
      <c r="EB132">
        <f ca="1"/>
      </c>
      <c r="EC132">
        <f ca="1"/>
      </c>
      <c r="ED132">
        <f ca="1"/>
      </c>
      <c r="EE132">
        <f ca="1"/>
      </c>
      <c r="EG132">
        <f ca="1"/>
      </c>
      <c r="EH132">
        <f ca="1"/>
      </c>
      <c r="EI132">
        <f ca="1"/>
      </c>
      <c r="EJ132">
        <f ca="1"/>
      </c>
      <c r="EK132">
        <f ca="1"/>
      </c>
      <c r="EL132">
        <f ca="1"/>
      </c>
      <c r="EM132">
        <f ca="1"/>
      </c>
      <c r="EN132">
        <f ca="1"/>
      </c>
      <c r="EO132">
        <f ca="1"/>
      </c>
      <c r="EP132">
        <f ca="1"/>
      </c>
      <c r="EQ132">
        <f ca="1"/>
      </c>
      <c r="ER132">
        <f ca="1"/>
      </c>
      <c r="ES132">
        <f ca="1"/>
      </c>
      <c r="ET132">
        <f ca="1"/>
      </c>
      <c r="EU132">
        <f ca="1"/>
      </c>
      <c r="EV132">
        <f ca="1"/>
      </c>
      <c r="EW132">
        <f ca="1"/>
      </c>
      <c r="EX132">
        <f ca="1"/>
      </c>
      <c r="EY132">
        <f ca="1"/>
      </c>
      <c r="EZ132">
        <f ca="1"/>
      </c>
      <c r="FA132">
        <f ca="1"/>
      </c>
      <c r="FB132">
        <f ca="1"/>
      </c>
      <c r="FC132">
        <f ca="1"/>
      </c>
      <c r="FD132">
        <f ca="1"/>
      </c>
      <c r="FE132">
        <f ca="1"/>
      </c>
      <c r="FF132">
        <f ca="1"/>
      </c>
      <c r="FG132">
        <f ca="1"/>
      </c>
      <c r="FH132">
        <f ca="1"/>
      </c>
      <c r="FI132">
        <f ca="1"/>
      </c>
      <c r="FJ132">
        <f ca="1"/>
      </c>
      <c r="FK132">
        <f ca="1"/>
      </c>
      <c r="FL132">
        <f ca="1"/>
      </c>
      <c r="FM132">
        <f ca="1"/>
      </c>
      <c r="FN132">
        <f ca="1"/>
      </c>
      <c r="FO132">
        <f ca="1"/>
      </c>
      <c r="FP132">
        <f ca="1"/>
      </c>
      <c r="FQ132">
        <f ca="1"/>
      </c>
      <c r="FR132">
        <f ca="1"/>
      </c>
      <c r="FS132">
        <f ca="1"/>
      </c>
      <c r="FT132">
        <f ca="1"/>
      </c>
      <c r="FU132">
        <f ca="1"/>
      </c>
      <c r="FV132">
        <f ca="1"/>
      </c>
      <c r="FW132">
        <f ca="1"/>
      </c>
      <c r="FX132">
        <f ca="1"/>
      </c>
      <c r="FY132">
        <f ca="1"/>
      </c>
      <c r="FZ132">
        <f ca="1"/>
      </c>
      <c r="GA132">
        <f ca="1"/>
      </c>
      <c r="GM132" s="7">
        <f ca="1"/>
      </c>
      <c r="GN132">
        <f ca="1"/>
      </c>
      <c r="GO132">
        <f ca="1"/>
      </c>
      <c r="GP132">
        <f ca="1"/>
      </c>
      <c r="GQ132">
        <f ca="1"/>
      </c>
    </row>
    <row r="133" spans="41:199" x14ac:dyDescent="0.55000000000000004">
      <c r="AO133">
        <f ca="1"/>
      </c>
      <c r="AP133">
        <f ca="1"/>
      </c>
      <c r="AQ133">
        <f ca="1"/>
      </c>
      <c r="AR133">
        <f ca="1"/>
      </c>
      <c r="AS133">
        <f ca="1"/>
      </c>
      <c r="AT133">
        <f ca="1"/>
      </c>
      <c r="AU133">
        <f ca="1"/>
      </c>
      <c r="AV133">
        <f ca="1"/>
      </c>
      <c r="AW133">
        <f ca="1"/>
      </c>
      <c r="AX133">
        <f ca="1"/>
      </c>
      <c r="AY133">
        <f ca="1"/>
      </c>
      <c r="AZ133">
        <f ca="1"/>
      </c>
      <c r="BA133">
        <f ca="1"/>
      </c>
      <c r="BB133">
        <f ca="1"/>
      </c>
      <c r="BC133">
        <f ca="1"/>
      </c>
      <c r="BD133">
        <f ca="1"/>
      </c>
      <c r="BE133">
        <f ca="1"/>
      </c>
      <c r="BF133">
        <f ca="1"/>
      </c>
      <c r="BG133">
        <f ca="1"/>
      </c>
      <c r="BH133">
        <f ca="1"/>
      </c>
      <c r="BI133">
        <f ca="1"/>
      </c>
      <c r="BJ133">
        <f ca="1"/>
      </c>
      <c r="BK133">
        <f ca="1"/>
      </c>
      <c r="BL133">
        <f ca="1"/>
      </c>
      <c r="BM133">
        <f ca="1"/>
      </c>
      <c r="BN133">
        <f ca="1"/>
      </c>
      <c r="BO133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  <c r="BV133">
        <f ca="1"/>
      </c>
      <c r="BW133">
        <f ca="1"/>
      </c>
      <c r="BX133">
        <f ca="1"/>
      </c>
      <c r="BY133">
        <f ca="1"/>
      </c>
      <c r="BZ133">
        <f ca="1"/>
      </c>
      <c r="CA133">
        <f ca="1"/>
      </c>
      <c r="CB133">
        <f ca="1"/>
      </c>
      <c r="CC133">
        <f ca="1"/>
      </c>
      <c r="CD133">
        <f ca="1"/>
      </c>
      <c r="CE133">
        <f ca="1"/>
      </c>
      <c r="CF133">
        <f ca="1"/>
      </c>
      <c r="CG133">
        <f ca="1"/>
      </c>
      <c r="CH133">
        <f ca="1"/>
      </c>
      <c r="CI133">
        <f ca="1"/>
      </c>
      <c r="CK133">
        <f ca="1"/>
      </c>
      <c r="CL133">
        <f ca="1"/>
      </c>
      <c r="CM133">
        <f ca="1"/>
      </c>
      <c r="CN133">
        <f ca="1"/>
      </c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DQ133">
        <f ca="1"/>
      </c>
      <c r="DR133">
        <f ca="1"/>
      </c>
      <c r="DS133">
        <f ca="1"/>
      </c>
      <c r="DT133">
        <f ca="1"/>
      </c>
      <c r="DU133">
        <f ca="1"/>
      </c>
      <c r="DV133">
        <f ca="1"/>
      </c>
      <c r="DW133">
        <f ca="1"/>
      </c>
      <c r="DX133">
        <f ca="1"/>
      </c>
      <c r="DY133">
        <f ca="1"/>
      </c>
      <c r="DZ133">
        <f ca="1"/>
      </c>
      <c r="EA133">
        <f ca="1"/>
      </c>
      <c r="EB133">
        <f ca="1"/>
      </c>
      <c r="EC133">
        <f ca="1"/>
      </c>
      <c r="ED133">
        <f ca="1"/>
      </c>
      <c r="EE133">
        <f ca="1"/>
      </c>
      <c r="EG133">
        <f ca="1"/>
      </c>
      <c r="EH133">
        <f ca="1"/>
      </c>
      <c r="EI133">
        <f ca="1"/>
      </c>
      <c r="EJ133">
        <f ca="1"/>
      </c>
      <c r="EK133">
        <f ca="1"/>
      </c>
      <c r="EL133">
        <f ca="1"/>
      </c>
      <c r="EM133">
        <f ca="1"/>
      </c>
      <c r="EN133">
        <f ca="1"/>
      </c>
      <c r="EO133">
        <f ca="1"/>
      </c>
      <c r="EP133">
        <f ca="1"/>
      </c>
      <c r="EQ133">
        <f ca="1"/>
      </c>
      <c r="ER133">
        <f ca="1"/>
      </c>
      <c r="ES133">
        <f ca="1"/>
      </c>
      <c r="ET133">
        <f ca="1"/>
      </c>
      <c r="EU133">
        <f ca="1"/>
      </c>
      <c r="EV133">
        <f ca="1"/>
      </c>
      <c r="EW133">
        <f ca="1"/>
      </c>
      <c r="EX133">
        <f ca="1"/>
      </c>
      <c r="EY133">
        <f ca="1"/>
      </c>
      <c r="EZ133">
        <f ca="1"/>
      </c>
      <c r="FA133">
        <f ca="1"/>
      </c>
      <c r="FB133">
        <f ca="1"/>
      </c>
      <c r="FC133">
        <f ca="1"/>
      </c>
      <c r="FD133">
        <f ca="1"/>
      </c>
      <c r="FE133">
        <f ca="1"/>
      </c>
      <c r="FF133">
        <f ca="1"/>
      </c>
      <c r="FG133">
        <f ca="1"/>
      </c>
      <c r="FH133">
        <f ca="1"/>
      </c>
      <c r="FI133">
        <f ca="1"/>
      </c>
      <c r="FJ133">
        <f ca="1"/>
      </c>
      <c r="FK133">
        <f ca="1"/>
      </c>
      <c r="FL133">
        <f ca="1"/>
      </c>
      <c r="FM133">
        <f ca="1"/>
      </c>
      <c r="FN133">
        <f ca="1"/>
      </c>
      <c r="FO133">
        <f ca="1"/>
      </c>
      <c r="FP133">
        <f ca="1"/>
      </c>
      <c r="FQ133">
        <f ca="1"/>
      </c>
      <c r="FR133">
        <f ca="1"/>
      </c>
      <c r="FS133">
        <f ca="1"/>
      </c>
      <c r="FT133">
        <f ca="1"/>
      </c>
      <c r="FU133">
        <f ca="1"/>
      </c>
      <c r="FV133">
        <f ca="1"/>
      </c>
      <c r="FW133">
        <f ca="1"/>
      </c>
      <c r="FX133">
        <f ca="1"/>
      </c>
      <c r="FY133">
        <f ca="1"/>
      </c>
      <c r="FZ133">
        <f ca="1"/>
      </c>
      <c r="GA133">
        <f ca="1"/>
      </c>
      <c r="GM133" s="7">
        <f ca="1"/>
      </c>
      <c r="GN133">
        <f ca="1"/>
      </c>
      <c r="GO133">
        <f ca="1"/>
      </c>
      <c r="GP133">
        <f ca="1"/>
      </c>
      <c r="GQ133">
        <f ca="1"/>
      </c>
    </row>
    <row r="134" spans="41:199" x14ac:dyDescent="0.55000000000000004">
      <c r="AO134">
        <f ca="1"/>
      </c>
      <c r="AP134">
        <f ca="1"/>
      </c>
      <c r="AQ134">
        <f ca="1"/>
      </c>
      <c r="AR134">
        <f ca="1"/>
      </c>
      <c r="AS134">
        <f ca="1"/>
      </c>
      <c r="AT134">
        <f ca="1"/>
      </c>
      <c r="AU134">
        <f ca="1"/>
      </c>
      <c r="AV134">
        <f ca="1"/>
      </c>
      <c r="AW134">
        <f ca="1"/>
      </c>
      <c r="AX134">
        <f ca="1"/>
      </c>
      <c r="AY134">
        <f ca="1"/>
      </c>
      <c r="AZ134">
        <f ca="1"/>
      </c>
      <c r="BA134">
        <f ca="1"/>
      </c>
      <c r="BB134">
        <f ca="1"/>
      </c>
      <c r="BC134">
        <f ca="1"/>
      </c>
      <c r="BD134">
        <f ca="1"/>
      </c>
      <c r="BE134">
        <f ca="1"/>
      </c>
      <c r="BF134">
        <f ca="1"/>
      </c>
      <c r="BG134">
        <f ca="1"/>
      </c>
      <c r="BH134">
        <f ca="1"/>
      </c>
      <c r="BI134">
        <f ca="1"/>
      </c>
      <c r="BJ134">
        <f ca="1"/>
      </c>
      <c r="BK134">
        <f ca="1"/>
      </c>
      <c r="BL134">
        <f ca="1"/>
      </c>
      <c r="BM134">
        <f ca="1"/>
      </c>
      <c r="BN134">
        <f ca="1"/>
      </c>
      <c r="BO134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  <c r="BV134">
        <f ca="1"/>
      </c>
      <c r="BW134">
        <f ca="1"/>
      </c>
      <c r="BX134">
        <f ca="1"/>
      </c>
      <c r="BY134">
        <f ca="1"/>
      </c>
      <c r="BZ134">
        <f ca="1"/>
      </c>
      <c r="CA134">
        <f ca="1"/>
      </c>
      <c r="CB134">
        <f ca="1"/>
      </c>
      <c r="CC134">
        <f ca="1"/>
      </c>
      <c r="CD134">
        <f ca="1"/>
      </c>
      <c r="CE134">
        <f ca="1"/>
      </c>
      <c r="CF134">
        <f ca="1"/>
      </c>
      <c r="CG134">
        <f ca="1"/>
      </c>
      <c r="CH134">
        <f ca="1"/>
      </c>
      <c r="CI134">
        <f ca="1"/>
      </c>
      <c r="CK134">
        <f ca="1"/>
      </c>
      <c r="CL134">
        <f ca="1"/>
      </c>
      <c r="CM134">
        <f ca="1"/>
      </c>
      <c r="CN134">
        <f ca="1"/>
      </c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DQ134">
        <f ca="1"/>
      </c>
      <c r="DR134">
        <f ca="1"/>
      </c>
      <c r="DS134">
        <f ca="1"/>
      </c>
      <c r="DT134">
        <f ca="1"/>
      </c>
      <c r="DU134">
        <f ca="1"/>
      </c>
      <c r="DV134">
        <f ca="1"/>
      </c>
      <c r="DW134">
        <f ca="1"/>
      </c>
      <c r="DX134">
        <f ca="1"/>
      </c>
      <c r="DY134">
        <f ca="1"/>
      </c>
      <c r="DZ134">
        <f ca="1"/>
      </c>
      <c r="EA134">
        <f ca="1"/>
      </c>
      <c r="EB134">
        <f ca="1"/>
      </c>
      <c r="EC134">
        <f ca="1"/>
      </c>
      <c r="ED134">
        <f ca="1"/>
      </c>
      <c r="EE134">
        <f ca="1"/>
      </c>
      <c r="EG134">
        <f ca="1"/>
      </c>
      <c r="EH134">
        <f ca="1"/>
      </c>
      <c r="EI134">
        <f ca="1"/>
      </c>
      <c r="EJ134">
        <f ca="1"/>
      </c>
      <c r="EK134">
        <f ca="1"/>
      </c>
      <c r="EL134">
        <f ca="1"/>
      </c>
      <c r="EM134">
        <f ca="1"/>
      </c>
      <c r="EN134">
        <f ca="1"/>
      </c>
      <c r="EO134">
        <f ca="1"/>
      </c>
      <c r="EP134">
        <f ca="1"/>
      </c>
      <c r="EQ134">
        <f ca="1"/>
      </c>
      <c r="ER134">
        <f ca="1"/>
      </c>
      <c r="ES134">
        <f ca="1"/>
      </c>
      <c r="ET134">
        <f ca="1"/>
      </c>
      <c r="EU134">
        <f ca="1"/>
      </c>
      <c r="EV134">
        <f ca="1"/>
      </c>
      <c r="EW134">
        <f ca="1"/>
      </c>
      <c r="EX134">
        <f ca="1"/>
      </c>
      <c r="EY134">
        <f ca="1"/>
      </c>
      <c r="EZ134">
        <f ca="1"/>
      </c>
      <c r="FA134">
        <f ca="1"/>
      </c>
      <c r="FB134">
        <f ca="1"/>
      </c>
      <c r="FC134">
        <f ca="1"/>
      </c>
      <c r="FD134">
        <f ca="1"/>
      </c>
      <c r="FE134">
        <f ca="1"/>
      </c>
      <c r="FF134">
        <f ca="1"/>
      </c>
      <c r="FG134">
        <f ca="1"/>
      </c>
      <c r="FH134">
        <f ca="1"/>
      </c>
      <c r="FI134">
        <f ca="1"/>
      </c>
      <c r="FJ134">
        <f ca="1"/>
      </c>
      <c r="FK134">
        <f ca="1"/>
      </c>
      <c r="FL134">
        <f ca="1"/>
      </c>
      <c r="FM134">
        <f ca="1"/>
      </c>
      <c r="FN134">
        <f ca="1"/>
      </c>
      <c r="FO134">
        <f ca="1"/>
      </c>
      <c r="FP134">
        <f ca="1"/>
      </c>
      <c r="FQ134">
        <f ca="1"/>
      </c>
      <c r="FR134">
        <f ca="1"/>
      </c>
      <c r="FS134">
        <f ca="1"/>
      </c>
      <c r="FT134">
        <f ca="1"/>
      </c>
      <c r="FU134">
        <f ca="1"/>
      </c>
      <c r="FV134">
        <f ca="1"/>
      </c>
      <c r="FW134">
        <f ca="1"/>
      </c>
      <c r="FX134">
        <f ca="1"/>
      </c>
      <c r="FY134">
        <f ca="1"/>
      </c>
      <c r="FZ134">
        <f ca="1"/>
      </c>
      <c r="GA134">
        <f ca="1"/>
      </c>
      <c r="GM134" s="7">
        <f ca="1"/>
      </c>
      <c r="GN134">
        <f ca="1"/>
      </c>
      <c r="GO134">
        <f ca="1"/>
      </c>
      <c r="GP134">
        <f ca="1"/>
      </c>
      <c r="GQ134">
        <f ca="1"/>
      </c>
    </row>
    <row r="135" spans="41:199" x14ac:dyDescent="0.55000000000000004">
      <c r="AO135">
        <f ca="1"/>
      </c>
      <c r="AP135">
        <f ca="1"/>
      </c>
      <c r="AQ135">
        <f ca="1"/>
      </c>
      <c r="AR135">
        <f ca="1"/>
      </c>
      <c r="AS135">
        <f ca="1"/>
      </c>
      <c r="AT135">
        <f ca="1"/>
      </c>
      <c r="AU135">
        <f ca="1"/>
      </c>
      <c r="AV135">
        <f ca="1"/>
      </c>
      <c r="AW135">
        <f ca="1"/>
      </c>
      <c r="AX135">
        <f ca="1"/>
      </c>
      <c r="AY135">
        <f ca="1"/>
      </c>
      <c r="AZ135">
        <f ca="1"/>
      </c>
      <c r="BA135">
        <f ca="1"/>
      </c>
      <c r="BB135">
        <f ca="1"/>
      </c>
      <c r="BC135">
        <f ca="1"/>
      </c>
      <c r="BD135">
        <f ca="1"/>
      </c>
      <c r="BE135">
        <f ca="1"/>
      </c>
      <c r="BF135">
        <f ca="1"/>
      </c>
      <c r="BG135">
        <f ca="1"/>
      </c>
      <c r="BH135">
        <f ca="1"/>
      </c>
      <c r="BI135">
        <f ca="1"/>
      </c>
      <c r="BJ135">
        <f ca="1"/>
      </c>
      <c r="BK135">
        <f ca="1"/>
      </c>
      <c r="BL135">
        <f ca="1"/>
      </c>
      <c r="BM135">
        <f ca="1"/>
      </c>
      <c r="BN135">
        <f ca="1"/>
      </c>
      <c r="BO135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  <c r="BV135">
        <f ca="1"/>
      </c>
      <c r="BW135">
        <f ca="1"/>
      </c>
      <c r="BX135">
        <f ca="1"/>
      </c>
      <c r="BY135">
        <f ca="1"/>
      </c>
      <c r="BZ135">
        <f ca="1"/>
      </c>
      <c r="CA135">
        <f ca="1"/>
      </c>
      <c r="CB135">
        <f ca="1"/>
      </c>
      <c r="CC135">
        <f ca="1"/>
      </c>
      <c r="CD135">
        <f ca="1"/>
      </c>
      <c r="CE135">
        <f ca="1"/>
      </c>
      <c r="CF135">
        <f ca="1"/>
      </c>
      <c r="CG135">
        <f ca="1"/>
      </c>
      <c r="CH135">
        <f ca="1"/>
      </c>
      <c r="CI135">
        <f ca="1"/>
      </c>
      <c r="CK135">
        <f ca="1"/>
      </c>
      <c r="CL135">
        <f ca="1"/>
      </c>
      <c r="CM135">
        <f ca="1"/>
      </c>
      <c r="CN135">
        <f ca="1"/>
      </c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DQ135">
        <f ca="1"/>
      </c>
      <c r="DR135">
        <f ca="1"/>
      </c>
      <c r="DS135">
        <f ca="1"/>
      </c>
      <c r="DT135">
        <f ca="1"/>
      </c>
      <c r="DU135">
        <f ca="1"/>
      </c>
      <c r="DV135">
        <f ca="1"/>
      </c>
      <c r="DW135">
        <f ca="1"/>
      </c>
      <c r="DX135">
        <f ca="1"/>
      </c>
      <c r="DY135">
        <f ca="1"/>
      </c>
      <c r="DZ135">
        <f ca="1"/>
      </c>
      <c r="EA135">
        <f ca="1"/>
      </c>
      <c r="EB135">
        <f ca="1"/>
      </c>
      <c r="EC135">
        <f ca="1"/>
      </c>
      <c r="ED135">
        <f ca="1"/>
      </c>
      <c r="EE135">
        <f ca="1"/>
      </c>
      <c r="EG135">
        <f ca="1"/>
      </c>
      <c r="EH135">
        <f ca="1"/>
      </c>
      <c r="EI135">
        <f ca="1"/>
      </c>
      <c r="EJ135">
        <f ca="1"/>
      </c>
      <c r="EK135">
        <f ca="1"/>
      </c>
      <c r="EL135">
        <f ca="1"/>
      </c>
      <c r="EM135">
        <f ca="1"/>
      </c>
      <c r="EN135">
        <f ca="1"/>
      </c>
      <c r="EO135">
        <f ca="1"/>
      </c>
      <c r="EP135">
        <f ca="1"/>
      </c>
      <c r="EQ135">
        <f ca="1"/>
      </c>
      <c r="ER135">
        <f ca="1"/>
      </c>
      <c r="ES135">
        <f ca="1"/>
      </c>
      <c r="ET135">
        <f ca="1"/>
      </c>
      <c r="EU135">
        <f ca="1"/>
      </c>
      <c r="EV135">
        <f ca="1"/>
      </c>
      <c r="EW135">
        <f ca="1"/>
      </c>
      <c r="EX135">
        <f ca="1"/>
      </c>
      <c r="EY135">
        <f ca="1"/>
      </c>
      <c r="EZ135">
        <f ca="1"/>
      </c>
      <c r="FA135">
        <f ca="1"/>
      </c>
      <c r="FB135">
        <f ca="1"/>
      </c>
      <c r="FC135">
        <f ca="1"/>
      </c>
      <c r="FD135">
        <f ca="1"/>
      </c>
      <c r="FE135">
        <f ca="1"/>
      </c>
      <c r="FF135">
        <f ca="1"/>
      </c>
      <c r="FG135">
        <f ca="1"/>
      </c>
      <c r="FH135">
        <f ca="1"/>
      </c>
      <c r="FI135">
        <f ca="1"/>
      </c>
      <c r="FJ135">
        <f ca="1"/>
      </c>
      <c r="FK135">
        <f ca="1"/>
      </c>
      <c r="FL135">
        <f ca="1"/>
      </c>
      <c r="FM135">
        <f ca="1"/>
      </c>
      <c r="FN135">
        <f ca="1"/>
      </c>
      <c r="FO135">
        <f ca="1"/>
      </c>
      <c r="FP135">
        <f ca="1"/>
      </c>
      <c r="FQ135">
        <f ca="1"/>
      </c>
      <c r="FR135">
        <f ca="1"/>
      </c>
      <c r="FS135">
        <f ca="1"/>
      </c>
      <c r="FT135">
        <f ca="1"/>
      </c>
      <c r="FU135">
        <f ca="1"/>
      </c>
      <c r="FV135">
        <f ca="1"/>
      </c>
      <c r="FW135">
        <f ca="1"/>
      </c>
      <c r="FX135">
        <f ca="1"/>
      </c>
      <c r="FY135">
        <f ca="1"/>
      </c>
      <c r="FZ135">
        <f ca="1"/>
      </c>
      <c r="GA135">
        <f ca="1"/>
      </c>
      <c r="GM135" s="7">
        <f ca="1"/>
      </c>
      <c r="GN135">
        <f ca="1"/>
      </c>
      <c r="GO135">
        <f ca="1"/>
      </c>
      <c r="GP135">
        <f ca="1"/>
      </c>
      <c r="GQ135">
        <f ca="1"/>
      </c>
    </row>
    <row r="136" spans="41:199" x14ac:dyDescent="0.55000000000000004">
      <c r="AO136">
        <f ca="1"/>
      </c>
      <c r="AP136">
        <f ca="1"/>
      </c>
      <c r="AQ136">
        <f ca="1"/>
      </c>
      <c r="AR136">
        <f ca="1"/>
      </c>
      <c r="AS136">
        <f ca="1"/>
      </c>
      <c r="AT136">
        <f ca="1"/>
      </c>
      <c r="AU136">
        <f ca="1"/>
      </c>
      <c r="AV136">
        <f ca="1"/>
      </c>
      <c r="AW136">
        <f ca="1"/>
      </c>
      <c r="AX136">
        <f ca="1"/>
      </c>
      <c r="AY136">
        <f ca="1"/>
      </c>
      <c r="AZ136">
        <f ca="1"/>
      </c>
      <c r="BA136">
        <f ca="1"/>
      </c>
      <c r="BB136">
        <f ca="1"/>
      </c>
      <c r="BC136">
        <f ca="1"/>
      </c>
      <c r="BD136">
        <f ca="1"/>
      </c>
      <c r="BE136">
        <f ca="1"/>
      </c>
      <c r="BF136">
        <f ca="1"/>
      </c>
      <c r="BG136">
        <f ca="1"/>
      </c>
      <c r="BH136">
        <f ca="1"/>
      </c>
      <c r="BI136">
        <f ca="1"/>
      </c>
      <c r="BJ136">
        <f ca="1"/>
      </c>
      <c r="BK136">
        <f ca="1"/>
      </c>
      <c r="BL136">
        <f ca="1"/>
      </c>
      <c r="BM136">
        <f ca="1"/>
      </c>
      <c r="BN136">
        <f ca="1"/>
      </c>
      <c r="BO136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  <c r="BV136">
        <f ca="1"/>
      </c>
      <c r="BW136">
        <f ca="1"/>
      </c>
      <c r="BX136">
        <f ca="1"/>
      </c>
      <c r="BY136">
        <f ca="1"/>
      </c>
      <c r="BZ136">
        <f ca="1"/>
      </c>
      <c r="CA136">
        <f ca="1"/>
      </c>
      <c r="CB136">
        <f ca="1"/>
      </c>
      <c r="CC136">
        <f ca="1"/>
      </c>
      <c r="CD136">
        <f ca="1"/>
      </c>
      <c r="CE136">
        <f ca="1"/>
      </c>
      <c r="CF136">
        <f ca="1"/>
      </c>
      <c r="CG136">
        <f ca="1"/>
      </c>
      <c r="CH136">
        <f ca="1"/>
      </c>
      <c r="CI136">
        <f ca="1"/>
      </c>
      <c r="CK136">
        <f ca="1"/>
      </c>
      <c r="CL136">
        <f ca="1"/>
      </c>
      <c r="CM136">
        <f ca="1"/>
      </c>
      <c r="CN136">
        <f ca="1"/>
      </c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DQ136">
        <f ca="1"/>
      </c>
      <c r="DR136">
        <f ca="1"/>
      </c>
      <c r="DS136">
        <f ca="1"/>
      </c>
      <c r="DT136">
        <f ca="1"/>
      </c>
      <c r="DU136">
        <f ca="1"/>
      </c>
      <c r="DV136">
        <f ca="1"/>
      </c>
      <c r="DW136">
        <f ca="1"/>
      </c>
      <c r="DX136">
        <f ca="1"/>
      </c>
      <c r="DY136">
        <f ca="1"/>
      </c>
      <c r="DZ136">
        <f ca="1"/>
      </c>
      <c r="EA136">
        <f ca="1"/>
      </c>
      <c r="EB136">
        <f ca="1"/>
      </c>
      <c r="EC136">
        <f ca="1"/>
      </c>
      <c r="ED136">
        <f ca="1"/>
      </c>
      <c r="EE136">
        <f ca="1"/>
      </c>
      <c r="EG136">
        <f ca="1"/>
      </c>
      <c r="EH136">
        <f ca="1"/>
      </c>
      <c r="EI136">
        <f ca="1"/>
      </c>
      <c r="EJ136">
        <f ca="1"/>
      </c>
      <c r="EK136">
        <f ca="1"/>
      </c>
      <c r="EL136">
        <f ca="1"/>
      </c>
      <c r="EM136">
        <f ca="1"/>
      </c>
      <c r="EN136">
        <f ca="1"/>
      </c>
      <c r="EO136">
        <f ca="1"/>
      </c>
      <c r="EP136">
        <f ca="1"/>
      </c>
      <c r="EQ136">
        <f ca="1"/>
      </c>
      <c r="ER136">
        <f ca="1"/>
      </c>
      <c r="ES136">
        <f ca="1"/>
      </c>
      <c r="ET136">
        <f ca="1"/>
      </c>
      <c r="EU136">
        <f ca="1"/>
      </c>
      <c r="EV136">
        <f ca="1"/>
      </c>
      <c r="EW136">
        <f ca="1"/>
      </c>
      <c r="EX136">
        <f ca="1"/>
      </c>
      <c r="EY136">
        <f ca="1"/>
      </c>
      <c r="EZ136">
        <f ca="1"/>
      </c>
      <c r="FA136">
        <f ca="1"/>
      </c>
      <c r="FB136">
        <f ca="1"/>
      </c>
      <c r="FC136">
        <f ca="1"/>
      </c>
      <c r="FD136">
        <f ca="1"/>
      </c>
      <c r="FE136">
        <f ca="1"/>
      </c>
      <c r="FF136">
        <f ca="1"/>
      </c>
      <c r="FG136">
        <f ca="1"/>
      </c>
      <c r="FH136">
        <f ca="1"/>
      </c>
      <c r="FI136">
        <f ca="1"/>
      </c>
      <c r="FJ136">
        <f ca="1"/>
      </c>
      <c r="FK136">
        <f ca="1"/>
      </c>
      <c r="FL136">
        <f ca="1"/>
      </c>
      <c r="FM136">
        <f ca="1"/>
      </c>
      <c r="FN136">
        <f ca="1"/>
      </c>
      <c r="FO136">
        <f ca="1"/>
      </c>
      <c r="FP136">
        <f ca="1"/>
      </c>
      <c r="FQ136">
        <f ca="1"/>
      </c>
      <c r="FR136">
        <f ca="1"/>
      </c>
      <c r="FS136">
        <f ca="1"/>
      </c>
      <c r="FT136">
        <f ca="1"/>
      </c>
      <c r="FU136">
        <f ca="1"/>
      </c>
      <c r="FV136">
        <f ca="1"/>
      </c>
      <c r="FW136">
        <f ca="1"/>
      </c>
      <c r="FX136">
        <f ca="1"/>
      </c>
      <c r="FY136">
        <f ca="1"/>
      </c>
      <c r="FZ136">
        <f ca="1"/>
      </c>
      <c r="GA136">
        <f ca="1"/>
      </c>
      <c r="GM136" s="7">
        <f ca="1"/>
      </c>
      <c r="GN136">
        <f ca="1"/>
      </c>
      <c r="GO136">
        <f ca="1"/>
      </c>
      <c r="GP136">
        <f ca="1"/>
      </c>
      <c r="GQ136">
        <f ca="1"/>
      </c>
    </row>
    <row r="137" spans="41:199" x14ac:dyDescent="0.55000000000000004">
      <c r="AO137">
        <f ca="1"/>
      </c>
      <c r="AP137">
        <f ca="1"/>
      </c>
      <c r="AQ137">
        <f ca="1"/>
      </c>
      <c r="AR137">
        <f ca="1"/>
      </c>
      <c r="AS137">
        <f ca="1"/>
      </c>
      <c r="AT137">
        <f ca="1"/>
      </c>
      <c r="AU137">
        <f ca="1"/>
      </c>
      <c r="AV137">
        <f ca="1"/>
      </c>
      <c r="AW137">
        <f ca="1"/>
      </c>
      <c r="AX137">
        <f ca="1"/>
      </c>
      <c r="AY137">
        <f ca="1"/>
      </c>
      <c r="AZ137">
        <f ca="1"/>
      </c>
      <c r="BA137">
        <f ca="1"/>
      </c>
      <c r="BB137">
        <f ca="1"/>
      </c>
      <c r="BC137">
        <f ca="1"/>
      </c>
      <c r="BD137">
        <f ca="1"/>
      </c>
      <c r="BE137">
        <f ca="1"/>
      </c>
      <c r="BF137">
        <f ca="1"/>
      </c>
      <c r="BG137">
        <f ca="1"/>
      </c>
      <c r="BH137">
        <f ca="1"/>
      </c>
      <c r="BI137">
        <f ca="1"/>
      </c>
      <c r="BJ137">
        <f ca="1"/>
      </c>
      <c r="BK137">
        <f ca="1"/>
      </c>
      <c r="BL137">
        <f ca="1"/>
      </c>
      <c r="BM137">
        <f ca="1"/>
      </c>
      <c r="BN137">
        <f ca="1"/>
      </c>
      <c r="BO137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  <c r="BV137">
        <f ca="1"/>
      </c>
      <c r="BW137">
        <f ca="1"/>
      </c>
      <c r="BX137">
        <f ca="1"/>
      </c>
      <c r="BY137">
        <f ca="1"/>
      </c>
      <c r="BZ137">
        <f ca="1"/>
      </c>
      <c r="CA137">
        <f ca="1"/>
      </c>
      <c r="CB137">
        <f ca="1"/>
      </c>
      <c r="CC137">
        <f ca="1"/>
      </c>
      <c r="CD137">
        <f ca="1"/>
      </c>
      <c r="CE137">
        <f ca="1"/>
      </c>
      <c r="CF137">
        <f ca="1"/>
      </c>
      <c r="CG137">
        <f ca="1"/>
      </c>
      <c r="CH137">
        <f ca="1"/>
      </c>
      <c r="CI137">
        <f ca="1"/>
      </c>
      <c r="CK137">
        <f ca="1"/>
      </c>
      <c r="CL137">
        <f ca="1"/>
      </c>
      <c r="CM137">
        <f ca="1"/>
      </c>
      <c r="CN137">
        <f ca="1"/>
      </c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DQ137">
        <f ca="1"/>
      </c>
      <c r="DR137">
        <f ca="1"/>
      </c>
      <c r="DS137">
        <f ca="1"/>
      </c>
      <c r="DT137">
        <f ca="1"/>
      </c>
      <c r="DU137">
        <f ca="1"/>
      </c>
      <c r="DV137">
        <f ca="1"/>
      </c>
      <c r="DW137">
        <f ca="1"/>
      </c>
      <c r="DX137">
        <f ca="1"/>
      </c>
      <c r="DY137">
        <f ca="1"/>
      </c>
      <c r="DZ137">
        <f ca="1"/>
      </c>
      <c r="EA137">
        <f ca="1"/>
      </c>
      <c r="EB137">
        <f ca="1"/>
      </c>
      <c r="EC137">
        <f ca="1"/>
      </c>
      <c r="ED137">
        <f ca="1"/>
      </c>
      <c r="EE137">
        <f ca="1"/>
      </c>
      <c r="EG137">
        <f ca="1"/>
      </c>
      <c r="EH137">
        <f ca="1"/>
      </c>
      <c r="EI137">
        <f ca="1"/>
      </c>
      <c r="EJ137">
        <f ca="1"/>
      </c>
      <c r="EK137">
        <f ca="1"/>
      </c>
      <c r="EL137">
        <f ca="1"/>
      </c>
      <c r="EM137">
        <f ca="1"/>
      </c>
      <c r="EN137">
        <f ca="1"/>
      </c>
      <c r="EO137">
        <f ca="1"/>
      </c>
      <c r="EP137">
        <f ca="1"/>
      </c>
      <c r="EQ137">
        <f ca="1"/>
      </c>
      <c r="ER137">
        <f ca="1"/>
      </c>
      <c r="ES137">
        <f ca="1"/>
      </c>
      <c r="ET137">
        <f ca="1"/>
      </c>
      <c r="EU137">
        <f ca="1"/>
      </c>
      <c r="EV137">
        <f ca="1"/>
      </c>
      <c r="EW137">
        <f ca="1"/>
      </c>
      <c r="EX137">
        <f ca="1"/>
      </c>
      <c r="EY137">
        <f ca="1"/>
      </c>
      <c r="EZ137">
        <f ca="1"/>
      </c>
      <c r="FA137">
        <f ca="1"/>
      </c>
      <c r="FB137">
        <f ca="1"/>
      </c>
      <c r="FC137">
        <f ca="1"/>
      </c>
      <c r="FD137">
        <f ca="1"/>
      </c>
      <c r="FE137">
        <f ca="1"/>
      </c>
      <c r="FF137">
        <f ca="1"/>
      </c>
      <c r="FG137">
        <f ca="1"/>
      </c>
      <c r="FH137">
        <f ca="1"/>
      </c>
      <c r="FI137">
        <f ca="1"/>
      </c>
      <c r="FJ137">
        <f ca="1"/>
      </c>
      <c r="FK137">
        <f ca="1"/>
      </c>
      <c r="FL137">
        <f ca="1"/>
      </c>
      <c r="FM137">
        <f ca="1"/>
      </c>
      <c r="FN137">
        <f ca="1"/>
      </c>
      <c r="FO137">
        <f ca="1"/>
      </c>
      <c r="FP137">
        <f ca="1"/>
      </c>
      <c r="FQ137">
        <f ca="1"/>
      </c>
      <c r="FR137">
        <f ca="1"/>
      </c>
      <c r="FS137">
        <f ca="1"/>
      </c>
      <c r="FT137">
        <f ca="1"/>
      </c>
      <c r="FU137">
        <f ca="1"/>
      </c>
      <c r="FV137">
        <f ca="1"/>
      </c>
      <c r="FW137">
        <f ca="1"/>
      </c>
      <c r="FX137">
        <f ca="1"/>
      </c>
      <c r="FY137">
        <f ca="1"/>
      </c>
      <c r="FZ137">
        <f ca="1"/>
      </c>
      <c r="GA137">
        <f ca="1"/>
      </c>
      <c r="GM137" s="7">
        <f ca="1"/>
      </c>
      <c r="GN137">
        <f ca="1"/>
      </c>
      <c r="GO137">
        <f ca="1"/>
      </c>
      <c r="GP137">
        <f ca="1"/>
      </c>
      <c r="GQ137">
        <f ca="1"/>
      </c>
    </row>
    <row r="138" spans="41:199" x14ac:dyDescent="0.55000000000000004">
      <c r="AO138">
        <f ca="1"/>
      </c>
      <c r="AP138">
        <f ca="1"/>
      </c>
      <c r="AQ138">
        <f ca="1"/>
      </c>
      <c r="AR138">
        <f ca="1"/>
      </c>
      <c r="AS138">
        <f ca="1"/>
      </c>
      <c r="AT138">
        <f ca="1"/>
      </c>
      <c r="AU138">
        <f ca="1"/>
      </c>
      <c r="AV138">
        <f ca="1"/>
      </c>
      <c r="AW138">
        <f ca="1"/>
      </c>
      <c r="AX138">
        <f ca="1"/>
      </c>
      <c r="AY138">
        <f ca="1"/>
      </c>
      <c r="AZ138">
        <f ca="1"/>
      </c>
      <c r="BA138">
        <f ca="1"/>
      </c>
      <c r="BB138">
        <f ca="1"/>
      </c>
      <c r="BC138">
        <f ca="1"/>
      </c>
      <c r="BD138">
        <f ca="1"/>
      </c>
      <c r="BE138">
        <f ca="1"/>
      </c>
      <c r="BF138">
        <f ca="1"/>
      </c>
      <c r="BG138">
        <f ca="1"/>
      </c>
      <c r="BH138">
        <f ca="1"/>
      </c>
      <c r="BI138">
        <f ca="1"/>
      </c>
      <c r="BJ138">
        <f ca="1"/>
      </c>
      <c r="BK138">
        <f ca="1"/>
      </c>
      <c r="BL138">
        <f ca="1"/>
      </c>
      <c r="BM138">
        <f ca="1"/>
      </c>
      <c r="BN138">
        <f ca="1"/>
      </c>
      <c r="BO138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  <c r="BV138">
        <f ca="1"/>
      </c>
      <c r="BW138">
        <f ca="1"/>
      </c>
      <c r="BX138">
        <f ca="1"/>
      </c>
      <c r="BY138">
        <f ca="1"/>
      </c>
      <c r="BZ138">
        <f ca="1"/>
      </c>
      <c r="CA138">
        <f ca="1"/>
      </c>
      <c r="CB138">
        <f ca="1"/>
      </c>
      <c r="CC138">
        <f ca="1"/>
      </c>
      <c r="CD138">
        <f ca="1"/>
      </c>
      <c r="CE138">
        <f ca="1"/>
      </c>
      <c r="CF138">
        <f ca="1"/>
      </c>
      <c r="CG138">
        <f ca="1"/>
      </c>
      <c r="CH138">
        <f ca="1"/>
      </c>
      <c r="CI138">
        <f ca="1"/>
      </c>
      <c r="CK138">
        <f ca="1"/>
      </c>
      <c r="CL138">
        <f ca="1"/>
      </c>
      <c r="CM138">
        <f ca="1"/>
      </c>
      <c r="CN138">
        <f ca="1"/>
      </c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DQ138">
        <f ca="1"/>
      </c>
      <c r="DR138">
        <f ca="1"/>
      </c>
      <c r="DS138">
        <f ca="1"/>
      </c>
      <c r="DT138">
        <f ca="1"/>
      </c>
      <c r="DU138">
        <f ca="1"/>
      </c>
      <c r="DV138">
        <f ca="1"/>
      </c>
      <c r="DW138">
        <f ca="1"/>
      </c>
      <c r="DX138">
        <f ca="1"/>
      </c>
      <c r="DY138">
        <f ca="1"/>
      </c>
      <c r="DZ138">
        <f ca="1"/>
      </c>
      <c r="EA138">
        <f ca="1"/>
      </c>
      <c r="EB138">
        <f ca="1"/>
      </c>
      <c r="EC138">
        <f ca="1"/>
      </c>
      <c r="ED138">
        <f ca="1"/>
      </c>
      <c r="EE138">
        <f ca="1"/>
      </c>
      <c r="EG138">
        <f ca="1"/>
      </c>
      <c r="EH138">
        <f ca="1"/>
      </c>
      <c r="EI138">
        <f ca="1"/>
      </c>
      <c r="EJ138">
        <f ca="1"/>
      </c>
      <c r="EK138">
        <f ca="1"/>
      </c>
      <c r="EL138">
        <f ca="1"/>
      </c>
      <c r="EM138">
        <f ca="1"/>
      </c>
      <c r="EN138">
        <f ca="1"/>
      </c>
      <c r="EO138">
        <f ca="1"/>
      </c>
      <c r="EP138">
        <f ca="1"/>
      </c>
      <c r="EQ138">
        <f ca="1"/>
      </c>
      <c r="ER138">
        <f ca="1"/>
      </c>
      <c r="ES138">
        <f ca="1"/>
      </c>
      <c r="ET138">
        <f ca="1"/>
      </c>
      <c r="EU138">
        <f ca="1"/>
      </c>
      <c r="EV138">
        <f ca="1"/>
      </c>
      <c r="EW138">
        <f ca="1"/>
      </c>
      <c r="EX138">
        <f ca="1"/>
      </c>
      <c r="EY138">
        <f ca="1"/>
      </c>
      <c r="EZ138">
        <f ca="1"/>
      </c>
      <c r="FA138">
        <f ca="1"/>
      </c>
      <c r="FB138">
        <f ca="1"/>
      </c>
      <c r="FC138">
        <f ca="1"/>
      </c>
      <c r="FD138">
        <f ca="1"/>
      </c>
      <c r="FE138">
        <f ca="1"/>
      </c>
      <c r="FF138">
        <f ca="1"/>
      </c>
      <c r="FG138">
        <f ca="1"/>
      </c>
      <c r="FH138">
        <f ca="1"/>
      </c>
      <c r="FI138">
        <f ca="1"/>
      </c>
      <c r="FJ138">
        <f ca="1"/>
      </c>
      <c r="FK138">
        <f ca="1"/>
      </c>
      <c r="FL138">
        <f ca="1"/>
      </c>
      <c r="FM138">
        <f ca="1"/>
      </c>
      <c r="FN138">
        <f ca="1"/>
      </c>
      <c r="FO138">
        <f ca="1"/>
      </c>
      <c r="FP138">
        <f ca="1"/>
      </c>
      <c r="FQ138">
        <f ca="1"/>
      </c>
      <c r="FR138">
        <f ca="1"/>
      </c>
      <c r="FS138">
        <f ca="1"/>
      </c>
      <c r="FT138">
        <f ca="1"/>
      </c>
      <c r="FU138">
        <f ca="1"/>
      </c>
      <c r="FV138">
        <f ca="1"/>
      </c>
      <c r="FW138">
        <f ca="1"/>
      </c>
      <c r="FX138">
        <f ca="1"/>
      </c>
      <c r="FY138">
        <f ca="1"/>
      </c>
      <c r="FZ138">
        <f ca="1"/>
      </c>
      <c r="GA138">
        <f ca="1"/>
      </c>
      <c r="GM138" s="7">
        <f ca="1"/>
      </c>
      <c r="GN138">
        <f ca="1"/>
      </c>
      <c r="GO138">
        <f ca="1"/>
      </c>
      <c r="GP138">
        <f ca="1"/>
      </c>
      <c r="GQ138">
        <f ca="1"/>
      </c>
    </row>
    <row r="139" spans="41:199" x14ac:dyDescent="0.55000000000000004">
      <c r="AO139">
        <f ca="1"/>
      </c>
      <c r="AP139">
        <f ca="1"/>
      </c>
      <c r="AQ139">
        <f ca="1"/>
      </c>
      <c r="AR139">
        <f ca="1"/>
      </c>
      <c r="AS139">
        <f ca="1"/>
      </c>
      <c r="AT139">
        <f ca="1"/>
      </c>
      <c r="AU139">
        <f ca="1"/>
      </c>
      <c r="AV139">
        <f ca="1"/>
      </c>
      <c r="AW139">
        <f ca="1"/>
      </c>
      <c r="AX139">
        <f ca="1"/>
      </c>
      <c r="AY139">
        <f ca="1"/>
      </c>
      <c r="AZ139">
        <f ca="1"/>
      </c>
      <c r="BA139">
        <f ca="1"/>
      </c>
      <c r="BB139">
        <f ca="1"/>
      </c>
      <c r="BC139">
        <f ca="1"/>
      </c>
      <c r="BD139">
        <f ca="1"/>
      </c>
      <c r="BE139">
        <f ca="1"/>
      </c>
      <c r="BF139">
        <f ca="1"/>
      </c>
      <c r="BG139">
        <f ca="1"/>
      </c>
      <c r="BH139">
        <f ca="1"/>
      </c>
      <c r="BI139">
        <f ca="1"/>
      </c>
      <c r="BJ139">
        <f ca="1"/>
      </c>
      <c r="BK139">
        <f ca="1"/>
      </c>
      <c r="BL139">
        <f ca="1"/>
      </c>
      <c r="BM139">
        <f ca="1"/>
      </c>
      <c r="BN139">
        <f ca="1"/>
      </c>
      <c r="BO139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  <c r="BV139">
        <f ca="1"/>
      </c>
      <c r="BW139">
        <f ca="1"/>
      </c>
      <c r="BX139">
        <f ca="1"/>
      </c>
      <c r="BY139">
        <f ca="1"/>
      </c>
      <c r="BZ139">
        <f ca="1"/>
      </c>
      <c r="CA139">
        <f ca="1"/>
      </c>
      <c r="CB139">
        <f ca="1"/>
      </c>
      <c r="CC139">
        <f ca="1"/>
      </c>
      <c r="CD139">
        <f ca="1"/>
      </c>
      <c r="CE139">
        <f ca="1"/>
      </c>
      <c r="CF139">
        <f ca="1"/>
      </c>
      <c r="CG139">
        <f ca="1"/>
      </c>
      <c r="CH139">
        <f ca="1"/>
      </c>
      <c r="CI139">
        <f ca="1"/>
      </c>
      <c r="CK139">
        <f ca="1"/>
      </c>
      <c r="CL139">
        <f ca="1"/>
      </c>
      <c r="CM139">
        <f ca="1"/>
      </c>
      <c r="CN139">
        <f ca="1"/>
      </c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DQ139">
        <f ca="1"/>
      </c>
      <c r="DR139">
        <f ca="1"/>
      </c>
      <c r="DS139">
        <f ca="1"/>
      </c>
      <c r="DT139">
        <f ca="1"/>
      </c>
      <c r="DU139">
        <f ca="1"/>
      </c>
      <c r="DV139">
        <f ca="1"/>
      </c>
      <c r="DW139">
        <f ca="1"/>
      </c>
      <c r="DX139">
        <f ca="1"/>
      </c>
      <c r="DY139">
        <f ca="1"/>
      </c>
      <c r="DZ139">
        <f ca="1"/>
      </c>
      <c r="EA139">
        <f ca="1"/>
      </c>
      <c r="EB139">
        <f ca="1"/>
      </c>
      <c r="EC139">
        <f ca="1"/>
      </c>
      <c r="ED139">
        <f ca="1"/>
      </c>
      <c r="EE139">
        <f ca="1"/>
      </c>
      <c r="EG139">
        <f ca="1"/>
      </c>
      <c r="EH139">
        <f ca="1"/>
      </c>
      <c r="EI139">
        <f ca="1"/>
      </c>
      <c r="EJ139">
        <f ca="1"/>
      </c>
      <c r="EK139">
        <f ca="1"/>
      </c>
      <c r="EL139">
        <f ca="1"/>
      </c>
      <c r="EM139">
        <f ca="1"/>
      </c>
      <c r="EN139">
        <f ca="1"/>
      </c>
      <c r="EO139">
        <f ca="1"/>
      </c>
      <c r="EP139">
        <f ca="1"/>
      </c>
      <c r="EQ139">
        <f ca="1"/>
      </c>
      <c r="ER139">
        <f ca="1"/>
      </c>
      <c r="ES139">
        <f ca="1"/>
      </c>
      <c r="ET139">
        <f ca="1"/>
      </c>
      <c r="EU139">
        <f ca="1"/>
      </c>
      <c r="EV139">
        <f ca="1"/>
      </c>
      <c r="EW139">
        <f ca="1"/>
      </c>
      <c r="EX139">
        <f ca="1"/>
      </c>
      <c r="EY139">
        <f ca="1"/>
      </c>
      <c r="EZ139">
        <f ca="1"/>
      </c>
      <c r="FA139">
        <f ca="1"/>
      </c>
      <c r="FB139">
        <f ca="1"/>
      </c>
      <c r="FC139">
        <f ca="1"/>
      </c>
      <c r="FD139">
        <f ca="1"/>
      </c>
      <c r="FE139">
        <f ca="1"/>
      </c>
      <c r="FF139">
        <f ca="1"/>
      </c>
      <c r="FG139">
        <f ca="1"/>
      </c>
      <c r="FH139">
        <f ca="1"/>
      </c>
      <c r="FI139">
        <f ca="1"/>
      </c>
      <c r="FJ139">
        <f ca="1"/>
      </c>
      <c r="FK139">
        <f ca="1"/>
      </c>
      <c r="FL139">
        <f ca="1"/>
      </c>
      <c r="FM139">
        <f ca="1"/>
      </c>
      <c r="FN139">
        <f ca="1"/>
      </c>
      <c r="FO139">
        <f ca="1"/>
      </c>
      <c r="FP139">
        <f ca="1"/>
      </c>
      <c r="FQ139">
        <f ca="1"/>
      </c>
      <c r="FR139">
        <f ca="1"/>
      </c>
      <c r="FS139">
        <f ca="1"/>
      </c>
      <c r="FT139">
        <f ca="1"/>
      </c>
      <c r="FU139">
        <f ca="1"/>
      </c>
      <c r="FV139">
        <f ca="1"/>
      </c>
      <c r="FW139">
        <f ca="1"/>
      </c>
      <c r="FX139">
        <f ca="1"/>
      </c>
      <c r="FY139">
        <f ca="1"/>
      </c>
      <c r="FZ139">
        <f ca="1"/>
      </c>
      <c r="GA139">
        <f ca="1"/>
      </c>
      <c r="GM139" s="7">
        <f ca="1"/>
      </c>
      <c r="GN139">
        <f ca="1"/>
      </c>
      <c r="GO139">
        <f ca="1"/>
      </c>
      <c r="GP139">
        <f ca="1"/>
      </c>
      <c r="GQ139">
        <f ca="1"/>
      </c>
    </row>
    <row r="140" spans="41:199" x14ac:dyDescent="0.55000000000000004">
      <c r="AO140">
        <f ca="1"/>
      </c>
      <c r="AP140">
        <f ca="1"/>
      </c>
      <c r="AQ140">
        <f ca="1"/>
      </c>
      <c r="AR140">
        <f ca="1"/>
      </c>
      <c r="AS140">
        <f ca="1"/>
      </c>
      <c r="AT140">
        <f ca="1"/>
      </c>
      <c r="AU140">
        <f ca="1"/>
      </c>
      <c r="AV140">
        <f ca="1"/>
      </c>
      <c r="AW140">
        <f ca="1"/>
      </c>
      <c r="AX140">
        <f ca="1"/>
      </c>
      <c r="AY140">
        <f ca="1"/>
      </c>
      <c r="AZ140">
        <f ca="1"/>
      </c>
      <c r="BA140">
        <f ca="1"/>
      </c>
      <c r="BB140">
        <f ca="1"/>
      </c>
      <c r="BC140">
        <f ca="1"/>
      </c>
      <c r="BD140">
        <f ca="1"/>
      </c>
      <c r="BE140">
        <f ca="1"/>
      </c>
      <c r="BF140">
        <f ca="1"/>
      </c>
      <c r="BG140">
        <f ca="1"/>
      </c>
      <c r="BH140">
        <f ca="1"/>
      </c>
      <c r="BI140">
        <f ca="1"/>
      </c>
      <c r="BJ140">
        <f ca="1"/>
      </c>
      <c r="BK140">
        <f ca="1"/>
      </c>
      <c r="BL140">
        <f ca="1"/>
      </c>
      <c r="BM140">
        <f ca="1"/>
      </c>
      <c r="BN140">
        <f ca="1"/>
      </c>
      <c r="BO140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  <c r="BV140">
        <f ca="1"/>
      </c>
      <c r="BW140">
        <f ca="1"/>
      </c>
      <c r="BX140">
        <f ca="1"/>
      </c>
      <c r="BY140">
        <f ca="1"/>
      </c>
      <c r="BZ140">
        <f ca="1"/>
      </c>
      <c r="CA140">
        <f ca="1"/>
      </c>
      <c r="CB140">
        <f ca="1"/>
      </c>
      <c r="CC140">
        <f ca="1"/>
      </c>
      <c r="CD140">
        <f ca="1"/>
      </c>
      <c r="CE140">
        <f ca="1"/>
      </c>
      <c r="CF140">
        <f ca="1"/>
      </c>
      <c r="CG140">
        <f ca="1"/>
      </c>
      <c r="CH140">
        <f ca="1"/>
      </c>
      <c r="CI140">
        <f ca="1"/>
      </c>
      <c r="CK140">
        <f ca="1"/>
      </c>
      <c r="CL140">
        <f ca="1"/>
      </c>
      <c r="CM140">
        <f ca="1"/>
      </c>
      <c r="CN140">
        <f ca="1"/>
      </c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DQ140">
        <f ca="1"/>
      </c>
      <c r="DR140">
        <f ca="1"/>
      </c>
      <c r="DS140">
        <f ca="1"/>
      </c>
      <c r="DT140">
        <f ca="1"/>
      </c>
      <c r="DU140">
        <f ca="1"/>
      </c>
      <c r="DV140">
        <f ca="1"/>
      </c>
      <c r="DW140">
        <f ca="1"/>
      </c>
      <c r="DX140">
        <f ca="1"/>
      </c>
      <c r="DY140">
        <f ca="1"/>
      </c>
      <c r="DZ140">
        <f ca="1"/>
      </c>
      <c r="EA140">
        <f ca="1"/>
      </c>
      <c r="EB140">
        <f ca="1"/>
      </c>
      <c r="EC140">
        <f ca="1"/>
      </c>
      <c r="ED140">
        <f ca="1"/>
      </c>
      <c r="EE140">
        <f ca="1"/>
      </c>
      <c r="EG140">
        <f ca="1"/>
      </c>
      <c r="EH140">
        <f ca="1"/>
      </c>
      <c r="EI140">
        <f ca="1"/>
      </c>
      <c r="EJ140">
        <f ca="1"/>
      </c>
      <c r="EK140">
        <f ca="1"/>
      </c>
      <c r="EL140">
        <f ca="1"/>
      </c>
      <c r="EM140">
        <f ca="1"/>
      </c>
      <c r="EN140">
        <f ca="1"/>
      </c>
      <c r="EO140">
        <f ca="1"/>
      </c>
      <c r="EP140">
        <f ca="1"/>
      </c>
      <c r="EQ140">
        <f ca="1"/>
      </c>
      <c r="ER140">
        <f ca="1"/>
      </c>
      <c r="ES140">
        <f ca="1"/>
      </c>
      <c r="ET140">
        <f ca="1"/>
      </c>
      <c r="EU140">
        <f ca="1"/>
      </c>
      <c r="EV140">
        <f ca="1"/>
      </c>
      <c r="EW140">
        <f ca="1"/>
      </c>
      <c r="EX140">
        <f ca="1"/>
      </c>
      <c r="EY140">
        <f ca="1"/>
      </c>
      <c r="EZ140">
        <f ca="1"/>
      </c>
      <c r="FA140">
        <f ca="1"/>
      </c>
      <c r="FB140">
        <f ca="1"/>
      </c>
      <c r="FC140">
        <f ca="1"/>
      </c>
      <c r="FD140">
        <f ca="1"/>
      </c>
      <c r="FE140">
        <f ca="1"/>
      </c>
      <c r="FF140">
        <f ca="1"/>
      </c>
      <c r="FG140">
        <f ca="1"/>
      </c>
      <c r="FH140">
        <f ca="1"/>
      </c>
      <c r="FI140">
        <f ca="1"/>
      </c>
      <c r="FJ140">
        <f ca="1"/>
      </c>
      <c r="FK140">
        <f ca="1"/>
      </c>
      <c r="FL140">
        <f ca="1"/>
      </c>
      <c r="FM140">
        <f ca="1"/>
      </c>
      <c r="FN140">
        <f ca="1"/>
      </c>
      <c r="FO140">
        <f ca="1"/>
      </c>
      <c r="FP140">
        <f ca="1"/>
      </c>
      <c r="FQ140">
        <f ca="1"/>
      </c>
      <c r="FR140">
        <f ca="1"/>
      </c>
      <c r="FS140">
        <f ca="1"/>
      </c>
      <c r="FT140">
        <f ca="1"/>
      </c>
      <c r="FU140">
        <f ca="1"/>
      </c>
      <c r="FV140">
        <f ca="1"/>
      </c>
      <c r="FW140">
        <f ca="1"/>
      </c>
      <c r="FX140">
        <f ca="1"/>
      </c>
      <c r="FY140">
        <f ca="1"/>
      </c>
      <c r="FZ140">
        <f ca="1"/>
      </c>
      <c r="GA140">
        <f ca="1"/>
      </c>
      <c r="GM140" s="7">
        <f ca="1"/>
      </c>
      <c r="GN140">
        <f ca="1"/>
      </c>
      <c r="GO140">
        <f ca="1"/>
      </c>
      <c r="GP140">
        <f ca="1"/>
      </c>
      <c r="GQ140">
        <f ca="1"/>
      </c>
    </row>
    <row r="141" spans="41:199" x14ac:dyDescent="0.55000000000000004">
      <c r="AO141">
        <f ca="1"/>
      </c>
      <c r="AP141">
        <f ca="1"/>
      </c>
      <c r="AQ141">
        <f ca="1"/>
      </c>
      <c r="AR141">
        <f ca="1"/>
      </c>
      <c r="AS141">
        <f ca="1"/>
      </c>
      <c r="AT141">
        <f ca="1"/>
      </c>
      <c r="AU141">
        <f ca="1"/>
      </c>
      <c r="AV141">
        <f ca="1"/>
      </c>
      <c r="AW141">
        <f ca="1"/>
      </c>
      <c r="AX141">
        <f ca="1"/>
      </c>
      <c r="AY141">
        <f ca="1"/>
      </c>
      <c r="AZ141">
        <f ca="1"/>
      </c>
      <c r="BA141">
        <f ca="1"/>
      </c>
      <c r="BB141">
        <f ca="1"/>
      </c>
      <c r="BC141">
        <f ca="1"/>
      </c>
      <c r="BD141">
        <f ca="1"/>
      </c>
      <c r="BE141">
        <f ca="1"/>
      </c>
      <c r="BF141">
        <f ca="1"/>
      </c>
      <c r="BG141">
        <f ca="1"/>
      </c>
      <c r="BH141">
        <f ca="1"/>
      </c>
      <c r="BI141">
        <f ca="1"/>
      </c>
      <c r="BJ141">
        <f ca="1"/>
      </c>
      <c r="BK141">
        <f ca="1"/>
      </c>
      <c r="BL141">
        <f ca="1"/>
      </c>
      <c r="BM141">
        <f ca="1"/>
      </c>
      <c r="BN141">
        <f ca="1"/>
      </c>
      <c r="BO14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  <c r="BV141">
        <f ca="1"/>
      </c>
      <c r="BW141">
        <f ca="1"/>
      </c>
      <c r="BX141">
        <f ca="1"/>
      </c>
      <c r="BY141">
        <f ca="1"/>
      </c>
      <c r="BZ141">
        <f ca="1"/>
      </c>
      <c r="CA141">
        <f ca="1"/>
      </c>
      <c r="CB141">
        <f ca="1"/>
      </c>
      <c r="CC141">
        <f ca="1"/>
      </c>
      <c r="CD141">
        <f ca="1"/>
      </c>
      <c r="CE141">
        <f ca="1"/>
      </c>
      <c r="CF141">
        <f ca="1"/>
      </c>
      <c r="CG141">
        <f ca="1"/>
      </c>
      <c r="CH141">
        <f ca="1"/>
      </c>
      <c r="CI141">
        <f ca="1"/>
      </c>
      <c r="CK141">
        <f ca="1"/>
      </c>
      <c r="CL141">
        <f ca="1"/>
      </c>
      <c r="CM141">
        <f ca="1"/>
      </c>
      <c r="CN141">
        <f ca="1"/>
      </c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DQ141">
        <f ca="1"/>
      </c>
      <c r="DR141">
        <f ca="1"/>
      </c>
      <c r="DS141">
        <f ca="1"/>
      </c>
      <c r="DT141">
        <f ca="1"/>
      </c>
      <c r="DU141">
        <f ca="1"/>
      </c>
      <c r="DV141">
        <f ca="1"/>
      </c>
      <c r="DW141">
        <f ca="1"/>
      </c>
      <c r="DX141">
        <f ca="1"/>
      </c>
      <c r="DY141">
        <f ca="1"/>
      </c>
      <c r="DZ141">
        <f ca="1"/>
      </c>
      <c r="EA141">
        <f ca="1"/>
      </c>
      <c r="EB141">
        <f ca="1"/>
      </c>
      <c r="EC141">
        <f ca="1"/>
      </c>
      <c r="ED141">
        <f ca="1"/>
      </c>
      <c r="EE141">
        <f ca="1"/>
      </c>
      <c r="EG141">
        <f ca="1"/>
      </c>
      <c r="EH141">
        <f ca="1"/>
      </c>
      <c r="EI141">
        <f ca="1"/>
      </c>
      <c r="EJ141">
        <f ca="1"/>
      </c>
      <c r="EK141">
        <f ca="1"/>
      </c>
      <c r="EL141">
        <f ca="1"/>
      </c>
      <c r="EM141">
        <f ca="1"/>
      </c>
      <c r="EN141">
        <f ca="1"/>
      </c>
      <c r="EO141">
        <f ca="1"/>
      </c>
      <c r="EP141">
        <f ca="1"/>
      </c>
      <c r="EQ141">
        <f ca="1"/>
      </c>
      <c r="ER141">
        <f ca="1"/>
      </c>
      <c r="ES141">
        <f ca="1"/>
      </c>
      <c r="ET141">
        <f ca="1"/>
      </c>
      <c r="EU141">
        <f ca="1"/>
      </c>
      <c r="EV141">
        <f ca="1"/>
      </c>
      <c r="EW141">
        <f ca="1"/>
      </c>
      <c r="EX141">
        <f ca="1"/>
      </c>
      <c r="EY141">
        <f ca="1"/>
      </c>
      <c r="EZ141">
        <f ca="1"/>
      </c>
      <c r="FA141">
        <f ca="1"/>
      </c>
      <c r="FB141">
        <f ca="1"/>
      </c>
      <c r="FC141">
        <f ca="1"/>
      </c>
      <c r="FD141">
        <f ca="1"/>
      </c>
      <c r="FE141">
        <f ca="1"/>
      </c>
      <c r="FF141">
        <f ca="1"/>
      </c>
      <c r="FG141">
        <f ca="1"/>
      </c>
      <c r="FH141">
        <f ca="1"/>
      </c>
      <c r="FI141">
        <f ca="1"/>
      </c>
      <c r="FJ141">
        <f ca="1"/>
      </c>
      <c r="FK141">
        <f ca="1"/>
      </c>
      <c r="FL141">
        <f ca="1"/>
      </c>
      <c r="FM141">
        <f ca="1"/>
      </c>
      <c r="FN141">
        <f ca="1"/>
      </c>
      <c r="FO141">
        <f ca="1"/>
      </c>
      <c r="FP141">
        <f ca="1"/>
      </c>
      <c r="FQ141">
        <f ca="1"/>
      </c>
      <c r="FR141">
        <f ca="1"/>
      </c>
      <c r="FS141">
        <f ca="1"/>
      </c>
      <c r="FT141">
        <f ca="1"/>
      </c>
      <c r="FU141">
        <f ca="1"/>
      </c>
      <c r="FV141">
        <f ca="1"/>
      </c>
      <c r="FW141">
        <f ca="1"/>
      </c>
      <c r="FX141">
        <f ca="1"/>
      </c>
      <c r="FY141">
        <f ca="1"/>
      </c>
      <c r="FZ141">
        <f ca="1"/>
      </c>
      <c r="GA141">
        <f ca="1"/>
      </c>
      <c r="GM141" s="7">
        <f ca="1"/>
      </c>
      <c r="GN141">
        <f ca="1"/>
      </c>
      <c r="GO141">
        <f ca="1"/>
      </c>
      <c r="GP141">
        <f ca="1"/>
      </c>
      <c r="GQ141">
        <f ca="1"/>
      </c>
    </row>
    <row r="142" spans="41:199" x14ac:dyDescent="0.55000000000000004">
      <c r="AO142">
        <f ca="1"/>
      </c>
      <c r="AP142">
        <f ca="1"/>
      </c>
      <c r="AQ142">
        <f ca="1"/>
      </c>
      <c r="AR142">
        <f ca="1"/>
      </c>
      <c r="AS142">
        <f ca="1"/>
      </c>
      <c r="AT142">
        <f ca="1"/>
      </c>
      <c r="AU142">
        <f ca="1"/>
      </c>
      <c r="AV142">
        <f ca="1"/>
      </c>
      <c r="AW142">
        <f ca="1"/>
      </c>
      <c r="AX142">
        <f ca="1"/>
      </c>
      <c r="AY142">
        <f ca="1"/>
      </c>
      <c r="AZ142">
        <f ca="1"/>
      </c>
      <c r="BA142">
        <f ca="1"/>
      </c>
      <c r="BB142">
        <f ca="1"/>
      </c>
      <c r="BC142">
        <f ca="1"/>
      </c>
      <c r="BD142">
        <f ca="1"/>
      </c>
      <c r="BE142">
        <f ca="1"/>
      </c>
      <c r="BF142">
        <f ca="1"/>
      </c>
      <c r="BG142">
        <f ca="1"/>
      </c>
      <c r="BH142">
        <f ca="1"/>
      </c>
      <c r="BI142">
        <f ca="1"/>
      </c>
      <c r="BJ142">
        <f ca="1"/>
      </c>
      <c r="BK142">
        <f ca="1"/>
      </c>
      <c r="BL142">
        <f ca="1"/>
      </c>
      <c r="BM142">
        <f ca="1"/>
      </c>
      <c r="BN142">
        <f ca="1"/>
      </c>
      <c r="BO142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  <c r="BV142">
        <f ca="1"/>
      </c>
      <c r="BW142">
        <f ca="1"/>
      </c>
      <c r="BX142">
        <f ca="1"/>
      </c>
      <c r="BY142">
        <f ca="1"/>
      </c>
      <c r="BZ142">
        <f ca="1"/>
      </c>
      <c r="CA142">
        <f ca="1"/>
      </c>
      <c r="CB142">
        <f ca="1"/>
      </c>
      <c r="CC142">
        <f ca="1"/>
      </c>
      <c r="CD142">
        <f ca="1"/>
      </c>
      <c r="CE142">
        <f ca="1"/>
      </c>
      <c r="CF142">
        <f ca="1"/>
      </c>
      <c r="CG142">
        <f ca="1"/>
      </c>
      <c r="CH142">
        <f ca="1"/>
      </c>
      <c r="CI142">
        <f ca="1"/>
      </c>
      <c r="CK142">
        <f ca="1"/>
      </c>
      <c r="CL142">
        <f ca="1"/>
      </c>
      <c r="CM142">
        <f ca="1"/>
      </c>
      <c r="CN142">
        <f ca="1"/>
      </c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DQ142">
        <f ca="1"/>
      </c>
      <c r="DR142">
        <f ca="1"/>
      </c>
      <c r="DS142">
        <f ca="1"/>
      </c>
      <c r="DT142">
        <f ca="1"/>
      </c>
      <c r="DU142">
        <f ca="1"/>
      </c>
      <c r="DV142">
        <f ca="1"/>
      </c>
      <c r="DW142">
        <f ca="1"/>
      </c>
      <c r="DX142">
        <f ca="1"/>
      </c>
      <c r="DY142">
        <f ca="1"/>
      </c>
      <c r="DZ142">
        <f ca="1"/>
      </c>
      <c r="EA142">
        <f ca="1"/>
      </c>
      <c r="EB142">
        <f ca="1"/>
      </c>
      <c r="EC142">
        <f ca="1"/>
      </c>
      <c r="ED142">
        <f ca="1"/>
      </c>
      <c r="EE142">
        <f ca="1"/>
      </c>
      <c r="EG142">
        <f ca="1"/>
      </c>
      <c r="EH142">
        <f ca="1"/>
      </c>
      <c r="EI142">
        <f ca="1"/>
      </c>
      <c r="EJ142">
        <f ca="1"/>
      </c>
      <c r="EK142">
        <f ca="1"/>
      </c>
      <c r="EL142">
        <f ca="1"/>
      </c>
      <c r="EM142">
        <f ca="1"/>
      </c>
      <c r="EN142">
        <f ca="1"/>
      </c>
      <c r="EO142">
        <f ca="1"/>
      </c>
      <c r="EP142">
        <f ca="1"/>
      </c>
      <c r="EQ142">
        <f ca="1"/>
      </c>
      <c r="ER142">
        <f ca="1"/>
      </c>
      <c r="ES142">
        <f ca="1"/>
      </c>
      <c r="ET142">
        <f ca="1"/>
      </c>
      <c r="EU142">
        <f ca="1"/>
      </c>
      <c r="EV142">
        <f ca="1"/>
      </c>
      <c r="EW142">
        <f ca="1"/>
      </c>
      <c r="EX142">
        <f ca="1"/>
      </c>
      <c r="EY142">
        <f ca="1"/>
      </c>
      <c r="EZ142">
        <f ca="1"/>
      </c>
      <c r="FA142">
        <f ca="1"/>
      </c>
      <c r="FB142">
        <f ca="1"/>
      </c>
      <c r="FC142">
        <f ca="1"/>
      </c>
      <c r="FD142">
        <f ca="1"/>
      </c>
      <c r="FE142">
        <f ca="1"/>
      </c>
      <c r="FF142">
        <f ca="1"/>
      </c>
      <c r="FG142">
        <f ca="1"/>
      </c>
      <c r="FH142">
        <f ca="1"/>
      </c>
      <c r="FI142">
        <f ca="1"/>
      </c>
      <c r="FJ142">
        <f ca="1"/>
      </c>
      <c r="FK142">
        <f ca="1"/>
      </c>
      <c r="FL142">
        <f ca="1"/>
      </c>
      <c r="FM142">
        <f ca="1"/>
      </c>
      <c r="FN142">
        <f ca="1"/>
      </c>
      <c r="FO142">
        <f ca="1"/>
      </c>
      <c r="FP142">
        <f ca="1"/>
      </c>
      <c r="FQ142">
        <f ca="1"/>
      </c>
      <c r="FR142">
        <f ca="1"/>
      </c>
      <c r="FS142">
        <f ca="1"/>
      </c>
      <c r="FT142">
        <f ca="1"/>
      </c>
      <c r="FU142">
        <f ca="1"/>
      </c>
      <c r="FV142">
        <f ca="1"/>
      </c>
      <c r="FW142">
        <f ca="1"/>
      </c>
      <c r="FX142">
        <f ca="1"/>
      </c>
      <c r="FY142">
        <f ca="1"/>
      </c>
      <c r="FZ142">
        <f ca="1"/>
      </c>
      <c r="GA142">
        <f ca="1"/>
      </c>
      <c r="GM142" s="7">
        <f ca="1"/>
      </c>
      <c r="GN142">
        <f ca="1"/>
      </c>
      <c r="GO142">
        <f ca="1"/>
      </c>
      <c r="GP142">
        <f ca="1"/>
      </c>
      <c r="GQ142">
        <f ca="1"/>
      </c>
    </row>
    <row r="143" spans="41:199" x14ac:dyDescent="0.55000000000000004">
      <c r="AO143">
        <f ca="1"/>
      </c>
      <c r="AP143">
        <f ca="1"/>
      </c>
      <c r="AQ143">
        <f ca="1"/>
      </c>
      <c r="AR143">
        <f ca="1"/>
      </c>
      <c r="AS143">
        <f ca="1"/>
      </c>
      <c r="AT143">
        <f ca="1"/>
      </c>
      <c r="AU143">
        <f ca="1"/>
      </c>
      <c r="AV143">
        <f ca="1"/>
      </c>
      <c r="AW143">
        <f ca="1"/>
      </c>
      <c r="AX143">
        <f ca="1"/>
      </c>
      <c r="AY143">
        <f ca="1"/>
      </c>
      <c r="AZ143">
        <f ca="1"/>
      </c>
      <c r="BA143">
        <f ca="1"/>
      </c>
      <c r="BB143">
        <f ca="1"/>
      </c>
      <c r="BC143">
        <f ca="1"/>
      </c>
      <c r="BD143">
        <f ca="1"/>
      </c>
      <c r="BE143">
        <f ca="1"/>
      </c>
      <c r="BF143">
        <f ca="1"/>
      </c>
      <c r="BG143">
        <f ca="1"/>
      </c>
      <c r="BH143">
        <f ca="1"/>
      </c>
      <c r="BI143">
        <f ca="1"/>
      </c>
      <c r="BJ143">
        <f ca="1"/>
      </c>
      <c r="BK143">
        <f ca="1"/>
      </c>
      <c r="BL143">
        <f ca="1"/>
      </c>
      <c r="BM143">
        <f ca="1"/>
      </c>
      <c r="BN143">
        <f ca="1"/>
      </c>
      <c r="BO143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  <c r="BV143">
        <f ca="1"/>
      </c>
      <c r="BW143">
        <f ca="1"/>
      </c>
      <c r="BX143">
        <f ca="1"/>
      </c>
      <c r="BY143">
        <f ca="1"/>
      </c>
      <c r="BZ143">
        <f ca="1"/>
      </c>
      <c r="CA143">
        <f ca="1"/>
      </c>
      <c r="CB143">
        <f ca="1"/>
      </c>
      <c r="CC143">
        <f ca="1"/>
      </c>
      <c r="CD143">
        <f ca="1"/>
      </c>
      <c r="CE143">
        <f ca="1"/>
      </c>
      <c r="CF143">
        <f ca="1"/>
      </c>
      <c r="CG143">
        <f ca="1"/>
      </c>
      <c r="CH143">
        <f ca="1"/>
      </c>
      <c r="CI143">
        <f ca="1"/>
      </c>
      <c r="CK143">
        <f ca="1"/>
      </c>
      <c r="CL143">
        <f ca="1"/>
      </c>
      <c r="CM143">
        <f ca="1"/>
      </c>
      <c r="CN143">
        <f ca="1"/>
      </c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DQ143">
        <f ca="1"/>
      </c>
      <c r="DR143">
        <f ca="1"/>
      </c>
      <c r="DS143">
        <f ca="1"/>
      </c>
      <c r="DT143">
        <f ca="1"/>
      </c>
      <c r="DU143">
        <f ca="1"/>
      </c>
      <c r="DV143">
        <f ca="1"/>
      </c>
      <c r="DW143">
        <f ca="1"/>
      </c>
      <c r="DX143">
        <f ca="1"/>
      </c>
      <c r="DY143">
        <f ca="1"/>
      </c>
      <c r="DZ143">
        <f ca="1"/>
      </c>
      <c r="EA143">
        <f ca="1"/>
      </c>
      <c r="EB143">
        <f ca="1"/>
      </c>
      <c r="EC143">
        <f ca="1"/>
      </c>
      <c r="ED143">
        <f ca="1"/>
      </c>
      <c r="EE143">
        <f ca="1"/>
      </c>
      <c r="EG143">
        <f ca="1"/>
      </c>
      <c r="EH143">
        <f ca="1"/>
      </c>
      <c r="EI143">
        <f ca="1"/>
      </c>
      <c r="EJ143">
        <f ca="1"/>
      </c>
      <c r="EK143">
        <f ca="1"/>
      </c>
      <c r="EL143">
        <f ca="1"/>
      </c>
      <c r="EM143">
        <f ca="1"/>
      </c>
      <c r="EN143">
        <f ca="1"/>
      </c>
      <c r="EO143">
        <f ca="1"/>
      </c>
      <c r="EP143">
        <f ca="1"/>
      </c>
      <c r="EQ143">
        <f ca="1"/>
      </c>
      <c r="ER143">
        <f ca="1"/>
      </c>
      <c r="ES143">
        <f ca="1"/>
      </c>
      <c r="ET143">
        <f ca="1"/>
      </c>
      <c r="EU143">
        <f ca="1"/>
      </c>
      <c r="EV143">
        <f ca="1"/>
      </c>
      <c r="EW143">
        <f ca="1"/>
      </c>
      <c r="EX143">
        <f ca="1"/>
      </c>
      <c r="EY143">
        <f ca="1"/>
      </c>
      <c r="EZ143">
        <f ca="1"/>
      </c>
      <c r="FA143">
        <f ca="1"/>
      </c>
      <c r="FB143">
        <f ca="1"/>
      </c>
      <c r="FC143">
        <f ca="1"/>
      </c>
      <c r="FD143">
        <f ca="1"/>
      </c>
      <c r="FE143">
        <f ca="1"/>
      </c>
      <c r="FF143">
        <f ca="1"/>
      </c>
      <c r="FG143">
        <f ca="1"/>
      </c>
      <c r="FH143">
        <f ca="1"/>
      </c>
      <c r="FI143">
        <f ca="1"/>
      </c>
      <c r="FJ143">
        <f ca="1"/>
      </c>
      <c r="FK143">
        <f ca="1"/>
      </c>
      <c r="FL143">
        <f ca="1"/>
      </c>
      <c r="FM143">
        <f ca="1"/>
      </c>
      <c r="FN143">
        <f ca="1"/>
      </c>
      <c r="FO143">
        <f ca="1"/>
      </c>
      <c r="FP143">
        <f ca="1"/>
      </c>
      <c r="FQ143">
        <f ca="1"/>
      </c>
      <c r="FR143">
        <f ca="1"/>
      </c>
      <c r="FS143">
        <f ca="1"/>
      </c>
      <c r="FT143">
        <f ca="1"/>
      </c>
      <c r="FU143">
        <f ca="1"/>
      </c>
      <c r="FV143">
        <f ca="1"/>
      </c>
      <c r="FW143">
        <f ca="1"/>
      </c>
      <c r="FX143">
        <f ca="1"/>
      </c>
      <c r="FY143">
        <f ca="1"/>
      </c>
      <c r="FZ143">
        <f ca="1"/>
      </c>
      <c r="GA143">
        <f ca="1"/>
      </c>
      <c r="GM143" s="7">
        <f ca="1"/>
      </c>
      <c r="GN143">
        <f ca="1"/>
      </c>
      <c r="GO143">
        <f ca="1"/>
      </c>
      <c r="GP143">
        <f ca="1"/>
      </c>
      <c r="GQ143">
        <f ca="1"/>
      </c>
    </row>
    <row r="144" spans="41:199" x14ac:dyDescent="0.55000000000000004">
      <c r="AO144">
        <f ca="1"/>
      </c>
      <c r="AP144">
        <f ca="1"/>
      </c>
      <c r="AQ144">
        <f ca="1"/>
      </c>
      <c r="AR144">
        <f ca="1"/>
      </c>
      <c r="AS144">
        <f ca="1"/>
      </c>
      <c r="AT144">
        <f ca="1"/>
      </c>
      <c r="AU144">
        <f ca="1"/>
      </c>
      <c r="AV144">
        <f ca="1"/>
      </c>
      <c r="AW144">
        <f ca="1"/>
      </c>
      <c r="AX144">
        <f ca="1"/>
      </c>
      <c r="AY144">
        <f ca="1"/>
      </c>
      <c r="AZ144">
        <f ca="1"/>
      </c>
      <c r="BA144">
        <f ca="1"/>
      </c>
      <c r="BB144">
        <f ca="1"/>
      </c>
      <c r="BC144">
        <f ca="1"/>
      </c>
      <c r="BD144">
        <f ca="1"/>
      </c>
      <c r="BE144">
        <f ca="1"/>
      </c>
      <c r="BF144">
        <f ca="1"/>
      </c>
      <c r="BG144">
        <f ca="1"/>
      </c>
      <c r="BH144">
        <f ca="1"/>
      </c>
      <c r="BI144">
        <f ca="1"/>
      </c>
      <c r="BJ144">
        <f ca="1"/>
      </c>
      <c r="BK144">
        <f ca="1"/>
      </c>
      <c r="BL144">
        <f ca="1"/>
      </c>
      <c r="BM144">
        <f ca="1"/>
      </c>
      <c r="BN144">
        <f ca="1"/>
      </c>
      <c r="BO144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  <c r="BV144">
        <f ca="1"/>
      </c>
      <c r="BW144">
        <f ca="1"/>
      </c>
      <c r="BX144">
        <f ca="1"/>
      </c>
      <c r="BY144">
        <f ca="1"/>
      </c>
      <c r="BZ144">
        <f ca="1"/>
      </c>
      <c r="CA144">
        <f ca="1"/>
      </c>
      <c r="CB144">
        <f ca="1"/>
      </c>
      <c r="CC144">
        <f ca="1"/>
      </c>
      <c r="CD144">
        <f ca="1"/>
      </c>
      <c r="CE144">
        <f ca="1"/>
      </c>
      <c r="CF144">
        <f ca="1"/>
      </c>
      <c r="CG144">
        <f ca="1"/>
      </c>
      <c r="CH144">
        <f ca="1"/>
      </c>
      <c r="CI144">
        <f ca="1"/>
      </c>
      <c r="CK144">
        <f ca="1"/>
      </c>
      <c r="CL144">
        <f ca="1"/>
      </c>
      <c r="CM144">
        <f ca="1"/>
      </c>
      <c r="CN144">
        <f ca="1"/>
      </c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DQ144">
        <f ca="1"/>
      </c>
      <c r="DR144">
        <f ca="1"/>
      </c>
      <c r="DS144">
        <f ca="1"/>
      </c>
      <c r="DT144">
        <f ca="1"/>
      </c>
      <c r="DU144">
        <f ca="1"/>
      </c>
      <c r="DV144">
        <f ca="1"/>
      </c>
      <c r="DW144">
        <f ca="1"/>
      </c>
      <c r="DX144">
        <f ca="1"/>
      </c>
      <c r="DY144">
        <f ca="1"/>
      </c>
      <c r="DZ144">
        <f ca="1"/>
      </c>
      <c r="EA144">
        <f ca="1"/>
      </c>
      <c r="EB144">
        <f ca="1"/>
      </c>
      <c r="EC144">
        <f ca="1"/>
      </c>
      <c r="ED144">
        <f ca="1"/>
      </c>
      <c r="EE144">
        <f ca="1"/>
      </c>
      <c r="EG144">
        <f ca="1"/>
      </c>
      <c r="EH144">
        <f ca="1"/>
      </c>
      <c r="EI144">
        <f ca="1"/>
      </c>
      <c r="EJ144">
        <f ca="1"/>
      </c>
      <c r="EK144">
        <f ca="1"/>
      </c>
      <c r="EL144">
        <f ca="1"/>
      </c>
      <c r="EM144">
        <f ca="1"/>
      </c>
      <c r="EN144">
        <f ca="1"/>
      </c>
      <c r="EO144">
        <f ca="1"/>
      </c>
      <c r="EP144">
        <f ca="1"/>
      </c>
      <c r="EQ144">
        <f ca="1"/>
      </c>
      <c r="ER144">
        <f ca="1"/>
      </c>
      <c r="ES144">
        <f ca="1"/>
      </c>
      <c r="ET144">
        <f ca="1"/>
      </c>
      <c r="EU144">
        <f ca="1"/>
      </c>
      <c r="EV144">
        <f ca="1"/>
      </c>
      <c r="EW144">
        <f ca="1"/>
      </c>
      <c r="EX144">
        <f ca="1"/>
      </c>
      <c r="EY144">
        <f ca="1"/>
      </c>
      <c r="EZ144">
        <f ca="1"/>
      </c>
      <c r="FA144">
        <f ca="1"/>
      </c>
      <c r="FB144">
        <f ca="1"/>
      </c>
      <c r="FC144">
        <f ca="1"/>
      </c>
      <c r="FD144">
        <f ca="1"/>
      </c>
      <c r="FE144">
        <f ca="1"/>
      </c>
      <c r="FF144">
        <f ca="1"/>
      </c>
      <c r="FG144">
        <f ca="1"/>
      </c>
      <c r="FH144">
        <f ca="1"/>
      </c>
      <c r="FI144">
        <f ca="1"/>
      </c>
      <c r="FJ144">
        <f ca="1"/>
      </c>
      <c r="FK144">
        <f ca="1"/>
      </c>
      <c r="FL144">
        <f ca="1"/>
      </c>
      <c r="FM144">
        <f ca="1"/>
      </c>
      <c r="FN144">
        <f ca="1"/>
      </c>
      <c r="FO144">
        <f ca="1"/>
      </c>
      <c r="FP144">
        <f ca="1"/>
      </c>
      <c r="FQ144">
        <f ca="1"/>
      </c>
      <c r="FR144">
        <f ca="1"/>
      </c>
      <c r="FS144">
        <f ca="1"/>
      </c>
      <c r="FT144">
        <f ca="1"/>
      </c>
      <c r="FU144">
        <f ca="1"/>
      </c>
      <c r="FV144">
        <f ca="1"/>
      </c>
      <c r="FW144">
        <f ca="1"/>
      </c>
      <c r="FX144">
        <f ca="1"/>
      </c>
      <c r="FY144">
        <f ca="1"/>
      </c>
      <c r="FZ144">
        <f ca="1"/>
      </c>
      <c r="GA144">
        <f ca="1"/>
      </c>
      <c r="GM144" s="7">
        <f ca="1"/>
      </c>
      <c r="GN144">
        <f ca="1"/>
      </c>
      <c r="GO144">
        <f ca="1"/>
      </c>
      <c r="GP144">
        <f ca="1"/>
      </c>
      <c r="GQ144">
        <f ca="1"/>
      </c>
    </row>
    <row r="145" spans="41:199" x14ac:dyDescent="0.55000000000000004">
      <c r="AO145">
        <f ca="1"/>
      </c>
      <c r="AP145">
        <f ca="1"/>
      </c>
      <c r="AQ145">
        <f ca="1"/>
      </c>
      <c r="AR145">
        <f ca="1"/>
      </c>
      <c r="AS145">
        <f ca="1"/>
      </c>
      <c r="AT145">
        <f ca="1"/>
      </c>
      <c r="AU145">
        <f ca="1"/>
      </c>
      <c r="AV145">
        <f ca="1"/>
      </c>
      <c r="AW145">
        <f ca="1"/>
      </c>
      <c r="AX145">
        <f ca="1"/>
      </c>
      <c r="AY145">
        <f ca="1"/>
      </c>
      <c r="AZ145">
        <f ca="1"/>
      </c>
      <c r="BA145">
        <f ca="1"/>
      </c>
      <c r="BB145">
        <f ca="1"/>
      </c>
      <c r="BC145">
        <f ca="1"/>
      </c>
      <c r="BD145">
        <f ca="1"/>
      </c>
      <c r="BE145">
        <f ca="1"/>
      </c>
      <c r="BF145">
        <f ca="1"/>
      </c>
      <c r="BG145">
        <f ca="1"/>
      </c>
      <c r="BH145">
        <f ca="1"/>
      </c>
      <c r="BI145">
        <f ca="1"/>
      </c>
      <c r="BJ145">
        <f ca="1"/>
      </c>
      <c r="BK145">
        <f ca="1"/>
      </c>
      <c r="BL145">
        <f ca="1"/>
      </c>
      <c r="BM145">
        <f ca="1"/>
      </c>
      <c r="BN145">
        <f ca="1"/>
      </c>
      <c r="BO145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  <c r="BV145">
        <f ca="1"/>
      </c>
      <c r="BW145">
        <f ca="1"/>
      </c>
      <c r="BX145">
        <f ca="1"/>
      </c>
      <c r="BY145">
        <f ca="1"/>
      </c>
      <c r="BZ145">
        <f ca="1"/>
      </c>
      <c r="CA145">
        <f ca="1"/>
      </c>
      <c r="CB145">
        <f ca="1"/>
      </c>
      <c r="CC145">
        <f ca="1"/>
      </c>
      <c r="CD145">
        <f ca="1"/>
      </c>
      <c r="CE145">
        <f ca="1"/>
      </c>
      <c r="CF145">
        <f ca="1"/>
      </c>
      <c r="CG145">
        <f ca="1"/>
      </c>
      <c r="CH145">
        <f ca="1"/>
      </c>
      <c r="CI145">
        <f ca="1"/>
      </c>
      <c r="CK145">
        <f ca="1"/>
      </c>
      <c r="CL145">
        <f ca="1"/>
      </c>
      <c r="CM145">
        <f ca="1"/>
      </c>
      <c r="CN145">
        <f ca="1"/>
      </c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DQ145">
        <f ca="1"/>
      </c>
      <c r="DR145">
        <f ca="1"/>
      </c>
      <c r="DS145">
        <f ca="1"/>
      </c>
      <c r="DT145">
        <f ca="1"/>
      </c>
      <c r="DU145">
        <f ca="1"/>
      </c>
      <c r="DV145">
        <f ca="1"/>
      </c>
      <c r="DW145">
        <f ca="1"/>
      </c>
      <c r="DX145">
        <f ca="1"/>
      </c>
      <c r="DY145">
        <f ca="1"/>
      </c>
      <c r="DZ145">
        <f ca="1"/>
      </c>
      <c r="EA145">
        <f ca="1"/>
      </c>
      <c r="EB145">
        <f ca="1"/>
      </c>
      <c r="EC145">
        <f ca="1"/>
      </c>
      <c r="ED145">
        <f ca="1"/>
      </c>
      <c r="EE145">
        <f ca="1"/>
      </c>
      <c r="EG145">
        <f ca="1"/>
      </c>
      <c r="EH145">
        <f ca="1"/>
      </c>
      <c r="EI145">
        <f ca="1"/>
      </c>
      <c r="EJ145">
        <f ca="1"/>
      </c>
      <c r="EK145">
        <f ca="1"/>
      </c>
      <c r="EL145">
        <f ca="1"/>
      </c>
      <c r="EM145">
        <f ca="1"/>
      </c>
      <c r="EN145">
        <f ca="1"/>
      </c>
      <c r="EO145">
        <f ca="1"/>
      </c>
      <c r="EP145">
        <f ca="1"/>
      </c>
      <c r="EQ145">
        <f ca="1"/>
      </c>
      <c r="ER145">
        <f ca="1"/>
      </c>
      <c r="ES145">
        <f ca="1"/>
      </c>
      <c r="ET145">
        <f ca="1"/>
      </c>
      <c r="EU145">
        <f ca="1"/>
      </c>
      <c r="EV145">
        <f ca="1"/>
      </c>
      <c r="EW145">
        <f ca="1"/>
      </c>
      <c r="EX145">
        <f ca="1"/>
      </c>
      <c r="EY145">
        <f ca="1"/>
      </c>
      <c r="EZ145">
        <f ca="1"/>
      </c>
      <c r="FA145">
        <f ca="1"/>
      </c>
      <c r="FB145">
        <f ca="1"/>
      </c>
      <c r="FC145">
        <f ca="1"/>
      </c>
      <c r="FD145">
        <f ca="1"/>
      </c>
      <c r="FE145">
        <f ca="1"/>
      </c>
      <c r="FF145">
        <f ca="1"/>
      </c>
      <c r="FG145">
        <f ca="1"/>
      </c>
      <c r="FH145">
        <f ca="1"/>
      </c>
      <c r="FI145">
        <f ca="1"/>
      </c>
      <c r="FJ145">
        <f ca="1"/>
      </c>
      <c r="FK145">
        <f ca="1"/>
      </c>
      <c r="FL145">
        <f ca="1"/>
      </c>
      <c r="FM145">
        <f ca="1"/>
      </c>
      <c r="FN145">
        <f ca="1"/>
      </c>
      <c r="FO145">
        <f ca="1"/>
      </c>
      <c r="FP145">
        <f ca="1"/>
      </c>
      <c r="FQ145">
        <f ca="1"/>
      </c>
      <c r="FR145">
        <f ca="1"/>
      </c>
      <c r="FS145">
        <f ca="1"/>
      </c>
      <c r="FT145">
        <f ca="1"/>
      </c>
      <c r="FU145">
        <f ca="1"/>
      </c>
      <c r="FV145">
        <f ca="1"/>
      </c>
      <c r="FW145">
        <f ca="1"/>
      </c>
      <c r="FX145">
        <f ca="1"/>
      </c>
      <c r="FY145">
        <f ca="1"/>
      </c>
      <c r="FZ145">
        <f ca="1"/>
      </c>
      <c r="GA145">
        <f ca="1"/>
      </c>
      <c r="GM145" s="7">
        <f ca="1"/>
      </c>
      <c r="GN145">
        <f ca="1"/>
      </c>
      <c r="GO145">
        <f ca="1"/>
      </c>
      <c r="GP145">
        <f ca="1"/>
      </c>
      <c r="GQ145">
        <f ca="1"/>
      </c>
    </row>
    <row r="146" spans="41:199" x14ac:dyDescent="0.55000000000000004">
      <c r="AO146">
        <f ca="1"/>
      </c>
      <c r="AP146">
        <f ca="1"/>
      </c>
      <c r="AQ146">
        <f ca="1"/>
      </c>
      <c r="AR146">
        <f ca="1"/>
      </c>
      <c r="AS146">
        <f ca="1"/>
      </c>
      <c r="AT146">
        <f ca="1"/>
      </c>
      <c r="AU146">
        <f ca="1"/>
      </c>
      <c r="AV146">
        <f ca="1"/>
      </c>
      <c r="AW146">
        <f ca="1"/>
      </c>
      <c r="AX146">
        <f ca="1"/>
      </c>
      <c r="AY146">
        <f ca="1"/>
      </c>
      <c r="AZ146">
        <f ca="1"/>
      </c>
      <c r="BA146">
        <f ca="1"/>
      </c>
      <c r="BB146">
        <f ca="1"/>
      </c>
      <c r="BC146">
        <f ca="1"/>
      </c>
      <c r="BD146">
        <f ca="1"/>
      </c>
      <c r="BE146">
        <f ca="1"/>
      </c>
      <c r="BF146">
        <f ca="1"/>
      </c>
      <c r="BG146">
        <f ca="1"/>
      </c>
      <c r="BH146">
        <f ca="1"/>
      </c>
      <c r="BI146">
        <f ca="1"/>
      </c>
      <c r="BJ146">
        <f ca="1"/>
      </c>
      <c r="BK146">
        <f ca="1"/>
      </c>
      <c r="BL146">
        <f ca="1"/>
      </c>
      <c r="BM146">
        <f ca="1"/>
      </c>
      <c r="BN146">
        <f ca="1"/>
      </c>
      <c r="BO146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  <c r="BV146">
        <f ca="1"/>
      </c>
      <c r="BW146">
        <f ca="1"/>
      </c>
      <c r="BX146">
        <f ca="1"/>
      </c>
      <c r="BY146">
        <f ca="1"/>
      </c>
      <c r="BZ146">
        <f ca="1"/>
      </c>
      <c r="CA146">
        <f ca="1"/>
      </c>
      <c r="CB146">
        <f ca="1"/>
      </c>
      <c r="CC146">
        <f ca="1"/>
      </c>
      <c r="CD146">
        <f ca="1"/>
      </c>
      <c r="CE146">
        <f ca="1"/>
      </c>
      <c r="CF146">
        <f ca="1"/>
      </c>
      <c r="CG146">
        <f ca="1"/>
      </c>
      <c r="CH146">
        <f ca="1"/>
      </c>
      <c r="CI146">
        <f ca="1"/>
      </c>
      <c r="CK146">
        <f ca="1"/>
      </c>
      <c r="CL146">
        <f ca="1"/>
      </c>
      <c r="CM146">
        <f ca="1"/>
      </c>
      <c r="CN146">
        <f ca="1"/>
      </c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DQ146">
        <f ca="1"/>
      </c>
      <c r="DR146">
        <f ca="1"/>
      </c>
      <c r="DS146">
        <f ca="1"/>
      </c>
      <c r="DT146">
        <f ca="1"/>
      </c>
      <c r="DU146">
        <f ca="1"/>
      </c>
      <c r="DV146">
        <f ca="1"/>
      </c>
      <c r="DW146">
        <f ca="1"/>
      </c>
      <c r="DX146">
        <f ca="1"/>
      </c>
      <c r="DY146">
        <f ca="1"/>
      </c>
      <c r="DZ146">
        <f ca="1"/>
      </c>
      <c r="EA146">
        <f ca="1"/>
      </c>
      <c r="EB146">
        <f ca="1"/>
      </c>
      <c r="EC146">
        <f ca="1"/>
      </c>
      <c r="ED146">
        <f ca="1"/>
      </c>
      <c r="EE146">
        <f ca="1"/>
      </c>
      <c r="EG146">
        <f ca="1"/>
      </c>
      <c r="EH146">
        <f ca="1"/>
      </c>
      <c r="EI146">
        <f ca="1"/>
      </c>
      <c r="EJ146">
        <f ca="1"/>
      </c>
      <c r="EK146">
        <f ca="1"/>
      </c>
      <c r="EL146">
        <f ca="1"/>
      </c>
      <c r="EM146">
        <f ca="1"/>
      </c>
      <c r="EN146">
        <f ca="1"/>
      </c>
      <c r="EO146">
        <f ca="1"/>
      </c>
      <c r="EP146">
        <f ca="1"/>
      </c>
      <c r="EQ146">
        <f ca="1"/>
      </c>
      <c r="ER146">
        <f ca="1"/>
      </c>
      <c r="ES146">
        <f ca="1"/>
      </c>
      <c r="ET146">
        <f ca="1"/>
      </c>
      <c r="EU146">
        <f ca="1"/>
      </c>
      <c r="EV146">
        <f ca="1"/>
      </c>
      <c r="EW146">
        <f ca="1"/>
      </c>
      <c r="EX146">
        <f ca="1"/>
      </c>
      <c r="EY146">
        <f ca="1"/>
      </c>
      <c r="EZ146">
        <f ca="1"/>
      </c>
      <c r="FA146">
        <f ca="1"/>
      </c>
      <c r="FB146">
        <f ca="1"/>
      </c>
      <c r="FC146">
        <f ca="1"/>
      </c>
      <c r="FD146">
        <f ca="1"/>
      </c>
      <c r="FE146">
        <f ca="1"/>
      </c>
      <c r="FF146">
        <f ca="1"/>
      </c>
      <c r="FG146">
        <f ca="1"/>
      </c>
      <c r="FH146">
        <f ca="1"/>
      </c>
      <c r="FI146">
        <f ca="1"/>
      </c>
      <c r="FJ146">
        <f ca="1"/>
      </c>
      <c r="FK146">
        <f ca="1"/>
      </c>
      <c r="FL146">
        <f ca="1"/>
      </c>
      <c r="FM146">
        <f ca="1"/>
      </c>
      <c r="FN146">
        <f ca="1"/>
      </c>
      <c r="FO146">
        <f ca="1"/>
      </c>
      <c r="FP146">
        <f ca="1"/>
      </c>
      <c r="FQ146">
        <f ca="1"/>
      </c>
      <c r="FR146">
        <f ca="1"/>
      </c>
      <c r="FS146">
        <f ca="1"/>
      </c>
      <c r="FT146">
        <f ca="1"/>
      </c>
      <c r="FU146">
        <f ca="1"/>
      </c>
      <c r="FV146">
        <f ca="1"/>
      </c>
      <c r="FW146">
        <f ca="1"/>
      </c>
      <c r="FX146">
        <f ca="1"/>
      </c>
      <c r="FY146">
        <f ca="1"/>
      </c>
      <c r="FZ146">
        <f ca="1"/>
      </c>
      <c r="GA146">
        <f ca="1"/>
      </c>
      <c r="GM146" s="7">
        <f ca="1"/>
      </c>
      <c r="GN146">
        <f ca="1"/>
      </c>
      <c r="GO146">
        <f ca="1"/>
      </c>
      <c r="GP146">
        <f ca="1"/>
      </c>
      <c r="GQ146">
        <f ca="1"/>
      </c>
    </row>
    <row r="147" spans="41:199" x14ac:dyDescent="0.55000000000000004">
      <c r="AO147">
        <f ca="1"/>
      </c>
      <c r="AP147">
        <f ca="1"/>
      </c>
      <c r="AQ147">
        <f ca="1"/>
      </c>
      <c r="AR147">
        <f ca="1"/>
      </c>
      <c r="AS147">
        <f ca="1"/>
      </c>
      <c r="AT147">
        <f ca="1"/>
      </c>
      <c r="AU147">
        <f ca="1"/>
      </c>
      <c r="AV147">
        <f ca="1"/>
      </c>
      <c r="AW147">
        <f ca="1"/>
      </c>
      <c r="AX147">
        <f ca="1"/>
      </c>
      <c r="AY147">
        <f ca="1"/>
      </c>
      <c r="AZ147">
        <f ca="1"/>
      </c>
      <c r="BA147">
        <f ca="1"/>
      </c>
      <c r="BB147">
        <f ca="1"/>
      </c>
      <c r="BC147">
        <f ca="1"/>
      </c>
      <c r="BD147">
        <f ca="1"/>
      </c>
      <c r="BE147">
        <f ca="1"/>
      </c>
      <c r="BF147">
        <f ca="1"/>
      </c>
      <c r="BG147">
        <f ca="1"/>
      </c>
      <c r="BH147">
        <f ca="1"/>
      </c>
      <c r="BI147">
        <f ca="1"/>
      </c>
      <c r="BJ147">
        <f ca="1"/>
      </c>
      <c r="BK147">
        <f ca="1"/>
      </c>
      <c r="BL147">
        <f ca="1"/>
      </c>
      <c r="BM147">
        <f ca="1"/>
      </c>
      <c r="BN147">
        <f ca="1"/>
      </c>
      <c r="BO147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  <c r="BV147">
        <f ca="1"/>
      </c>
      <c r="BW147">
        <f ca="1"/>
      </c>
      <c r="BX147">
        <f ca="1"/>
      </c>
      <c r="BY147">
        <f ca="1"/>
      </c>
      <c r="BZ147">
        <f ca="1"/>
      </c>
      <c r="CA147">
        <f ca="1"/>
      </c>
      <c r="CB147">
        <f ca="1"/>
      </c>
      <c r="CC147">
        <f ca="1"/>
      </c>
      <c r="CD147">
        <f ca="1"/>
      </c>
      <c r="CE147">
        <f ca="1"/>
      </c>
      <c r="CF147">
        <f ca="1"/>
      </c>
      <c r="CG147">
        <f ca="1"/>
      </c>
      <c r="CH147">
        <f ca="1"/>
      </c>
      <c r="CI147">
        <f ca="1"/>
      </c>
      <c r="CK147">
        <f ca="1"/>
      </c>
      <c r="CL147">
        <f ca="1"/>
      </c>
      <c r="CM147">
        <f ca="1"/>
      </c>
      <c r="CN147">
        <f ca="1"/>
      </c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DQ147">
        <f ca="1"/>
      </c>
      <c r="DR147">
        <f ca="1"/>
      </c>
      <c r="DS147">
        <f ca="1"/>
      </c>
      <c r="DT147">
        <f ca="1"/>
      </c>
      <c r="DU147">
        <f ca="1"/>
      </c>
      <c r="DV147">
        <f ca="1"/>
      </c>
      <c r="DW147">
        <f ca="1"/>
      </c>
      <c r="DX147">
        <f ca="1"/>
      </c>
      <c r="DY147">
        <f ca="1"/>
      </c>
      <c r="DZ147">
        <f ca="1"/>
      </c>
      <c r="EA147">
        <f ca="1"/>
      </c>
      <c r="EB147">
        <f ca="1"/>
      </c>
      <c r="EC147">
        <f ca="1"/>
      </c>
      <c r="ED147">
        <f ca="1"/>
      </c>
      <c r="EE147">
        <f ca="1"/>
      </c>
      <c r="EG147">
        <f ca="1"/>
      </c>
      <c r="EH147">
        <f ca="1"/>
      </c>
      <c r="EI147">
        <f ca="1"/>
      </c>
      <c r="EJ147">
        <f ca="1"/>
      </c>
      <c r="EK147">
        <f ca="1"/>
      </c>
      <c r="EL147">
        <f ca="1"/>
      </c>
      <c r="EM147">
        <f ca="1"/>
      </c>
      <c r="EN147">
        <f ca="1"/>
      </c>
      <c r="EO147">
        <f ca="1"/>
      </c>
      <c r="EP147">
        <f ca="1"/>
      </c>
      <c r="EQ147">
        <f ca="1"/>
      </c>
      <c r="ER147">
        <f ca="1"/>
      </c>
      <c r="ES147">
        <f ca="1"/>
      </c>
      <c r="ET147">
        <f ca="1"/>
      </c>
      <c r="EU147">
        <f ca="1"/>
      </c>
      <c r="EV147">
        <f ca="1"/>
      </c>
      <c r="EW147">
        <f ca="1"/>
      </c>
      <c r="EX147">
        <f ca="1"/>
      </c>
      <c r="EY147">
        <f ca="1"/>
      </c>
      <c r="EZ147">
        <f ca="1"/>
      </c>
      <c r="FA147">
        <f ca="1"/>
      </c>
      <c r="FB147">
        <f ca="1"/>
      </c>
      <c r="FC147">
        <f ca="1"/>
      </c>
      <c r="FD147">
        <f ca="1"/>
      </c>
      <c r="FE147">
        <f ca="1"/>
      </c>
      <c r="FF147">
        <f ca="1"/>
      </c>
      <c r="FG147">
        <f ca="1"/>
      </c>
      <c r="FH147">
        <f ca="1"/>
      </c>
      <c r="FI147">
        <f ca="1"/>
      </c>
      <c r="FJ147">
        <f ca="1"/>
      </c>
      <c r="FK147">
        <f ca="1"/>
      </c>
      <c r="FL147">
        <f ca="1"/>
      </c>
      <c r="FM147">
        <f ca="1"/>
      </c>
      <c r="FN147">
        <f ca="1"/>
      </c>
      <c r="FO147">
        <f ca="1"/>
      </c>
      <c r="FP147">
        <f ca="1"/>
      </c>
      <c r="FQ147">
        <f ca="1"/>
      </c>
      <c r="FR147">
        <f ca="1"/>
      </c>
      <c r="FS147">
        <f ca="1"/>
      </c>
      <c r="FT147">
        <f ca="1"/>
      </c>
      <c r="FU147">
        <f ca="1"/>
      </c>
      <c r="FV147">
        <f ca="1"/>
      </c>
      <c r="FW147">
        <f ca="1"/>
      </c>
      <c r="FX147">
        <f ca="1"/>
      </c>
      <c r="FY147">
        <f ca="1"/>
      </c>
      <c r="FZ147">
        <f ca="1"/>
      </c>
      <c r="GA147">
        <f ca="1"/>
      </c>
      <c r="GM147" s="7">
        <f ca="1"/>
      </c>
      <c r="GN147">
        <f ca="1"/>
      </c>
      <c r="GO147">
        <f ca="1"/>
      </c>
      <c r="GP147">
        <f ca="1"/>
      </c>
      <c r="GQ147">
        <f ca="1"/>
      </c>
    </row>
    <row r="148" spans="41:199" x14ac:dyDescent="0.55000000000000004">
      <c r="AO148">
        <f ca="1"/>
      </c>
      <c r="AP148">
        <f ca="1"/>
      </c>
      <c r="AQ148">
        <f ca="1"/>
      </c>
      <c r="AR148">
        <f ca="1"/>
      </c>
      <c r="AS148">
        <f ca="1"/>
      </c>
      <c r="AT148">
        <f ca="1"/>
      </c>
      <c r="AU148">
        <f ca="1"/>
      </c>
      <c r="AV148">
        <f ca="1"/>
      </c>
      <c r="AW148">
        <f ca="1"/>
      </c>
      <c r="AX148">
        <f ca="1"/>
      </c>
      <c r="AY148">
        <f ca="1"/>
      </c>
      <c r="AZ148">
        <f ca="1"/>
      </c>
      <c r="BA148">
        <f ca="1"/>
      </c>
      <c r="BB148">
        <f ca="1"/>
      </c>
      <c r="BC148">
        <f ca="1"/>
      </c>
      <c r="BD148">
        <f ca="1"/>
      </c>
      <c r="BE148">
        <f ca="1"/>
      </c>
      <c r="BF148">
        <f ca="1"/>
      </c>
      <c r="BG148">
        <f ca="1"/>
      </c>
      <c r="BH148">
        <f ca="1"/>
      </c>
      <c r="BI148">
        <f ca="1"/>
      </c>
      <c r="BJ148">
        <f ca="1"/>
      </c>
      <c r="BK148">
        <f ca="1"/>
      </c>
      <c r="BL148">
        <f ca="1"/>
      </c>
      <c r="BM148">
        <f ca="1"/>
      </c>
      <c r="BN148">
        <f ca="1"/>
      </c>
      <c r="BO148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  <c r="BV148">
        <f ca="1"/>
      </c>
      <c r="BW148">
        <f ca="1"/>
      </c>
      <c r="BX148">
        <f ca="1"/>
      </c>
      <c r="BY148">
        <f ca="1"/>
      </c>
      <c r="BZ148">
        <f ca="1"/>
      </c>
      <c r="CA148">
        <f ca="1"/>
      </c>
      <c r="CB148">
        <f ca="1"/>
      </c>
      <c r="CC148">
        <f ca="1"/>
      </c>
      <c r="CD148">
        <f ca="1"/>
      </c>
      <c r="CE148">
        <f ca="1"/>
      </c>
      <c r="CF148">
        <f ca="1"/>
      </c>
      <c r="CG148">
        <f ca="1"/>
      </c>
      <c r="CH148">
        <f ca="1"/>
      </c>
      <c r="CI148">
        <f ca="1"/>
      </c>
      <c r="CK148">
        <f ca="1"/>
      </c>
      <c r="CL148">
        <f ca="1"/>
      </c>
      <c r="CM148">
        <f ca="1"/>
      </c>
      <c r="CN148">
        <f ca="1"/>
      </c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DQ148">
        <f ca="1"/>
      </c>
      <c r="DR148">
        <f ca="1"/>
      </c>
      <c r="DS148">
        <f ca="1"/>
      </c>
      <c r="DT148">
        <f ca="1"/>
      </c>
      <c r="DU148">
        <f ca="1"/>
      </c>
      <c r="DV148">
        <f ca="1"/>
      </c>
      <c r="DW148">
        <f ca="1"/>
      </c>
      <c r="DX148">
        <f ca="1"/>
      </c>
      <c r="DY148">
        <f ca="1"/>
      </c>
      <c r="DZ148">
        <f ca="1"/>
      </c>
      <c r="EA148">
        <f ca="1"/>
      </c>
      <c r="EB148">
        <f ca="1"/>
      </c>
      <c r="EC148">
        <f ca="1"/>
      </c>
      <c r="ED148">
        <f ca="1"/>
      </c>
      <c r="EE148">
        <f ca="1"/>
      </c>
      <c r="EG148">
        <f ca="1"/>
      </c>
      <c r="EH148">
        <f ca="1"/>
      </c>
      <c r="EI148">
        <f ca="1"/>
      </c>
      <c r="EJ148">
        <f ca="1"/>
      </c>
      <c r="EK148">
        <f ca="1"/>
      </c>
      <c r="EL148">
        <f ca="1"/>
      </c>
      <c r="EM148">
        <f ca="1"/>
      </c>
      <c r="EN148">
        <f ca="1"/>
      </c>
      <c r="EO148">
        <f ca="1"/>
      </c>
      <c r="EP148">
        <f ca="1"/>
      </c>
      <c r="EQ148">
        <f ca="1"/>
      </c>
      <c r="ER148">
        <f ca="1"/>
      </c>
      <c r="ES148">
        <f ca="1"/>
      </c>
      <c r="ET148">
        <f ca="1"/>
      </c>
      <c r="EU148">
        <f ca="1"/>
      </c>
      <c r="EV148">
        <f ca="1"/>
      </c>
      <c r="EW148">
        <f ca="1"/>
      </c>
      <c r="EX148">
        <f ca="1"/>
      </c>
      <c r="EY148">
        <f ca="1"/>
      </c>
      <c r="EZ148">
        <f ca="1"/>
      </c>
      <c r="FA148">
        <f ca="1"/>
      </c>
      <c r="FB148">
        <f ca="1"/>
      </c>
      <c r="FC148">
        <f ca="1"/>
      </c>
      <c r="FD148">
        <f ca="1"/>
      </c>
      <c r="FE148">
        <f ca="1"/>
      </c>
      <c r="FF148">
        <f ca="1"/>
      </c>
      <c r="FG148">
        <f ca="1"/>
      </c>
      <c r="FH148">
        <f ca="1"/>
      </c>
      <c r="FI148">
        <f ca="1"/>
      </c>
      <c r="FJ148">
        <f ca="1"/>
      </c>
      <c r="FK148">
        <f ca="1"/>
      </c>
      <c r="FL148">
        <f ca="1"/>
      </c>
      <c r="FM148">
        <f ca="1"/>
      </c>
      <c r="FN148">
        <f ca="1"/>
      </c>
      <c r="FO148">
        <f ca="1"/>
      </c>
      <c r="FP148">
        <f ca="1"/>
      </c>
      <c r="FQ148">
        <f ca="1"/>
      </c>
      <c r="FR148">
        <f ca="1"/>
      </c>
      <c r="FS148">
        <f ca="1"/>
      </c>
      <c r="FT148">
        <f ca="1"/>
      </c>
      <c r="FU148">
        <f ca="1"/>
      </c>
      <c r="FV148">
        <f ca="1"/>
      </c>
      <c r="FW148">
        <f ca="1"/>
      </c>
      <c r="FX148">
        <f ca="1"/>
      </c>
      <c r="FY148">
        <f ca="1"/>
      </c>
      <c r="FZ148">
        <f ca="1"/>
      </c>
      <c r="GA148">
        <f ca="1"/>
      </c>
      <c r="GM148" s="7">
        <f ca="1"/>
      </c>
      <c r="GN148">
        <f ca="1"/>
      </c>
      <c r="GO148">
        <f ca="1"/>
      </c>
      <c r="GP148">
        <f ca="1"/>
      </c>
      <c r="GQ148">
        <f ca="1"/>
      </c>
    </row>
    <row r="149" spans="41:199" x14ac:dyDescent="0.55000000000000004">
      <c r="AO149">
        <f ca="1"/>
      </c>
      <c r="AP149">
        <f ca="1"/>
      </c>
      <c r="AQ149">
        <f ca="1"/>
      </c>
      <c r="AR149">
        <f ca="1"/>
      </c>
      <c r="AS149">
        <f ca="1"/>
      </c>
      <c r="AT149">
        <f ca="1"/>
      </c>
      <c r="AU149">
        <f ca="1"/>
      </c>
      <c r="AV149">
        <f ca="1"/>
      </c>
      <c r="AW149">
        <f ca="1"/>
      </c>
      <c r="AX149">
        <f ca="1"/>
      </c>
      <c r="AY149">
        <f ca="1"/>
      </c>
      <c r="AZ149">
        <f ca="1"/>
      </c>
      <c r="BA149">
        <f ca="1"/>
      </c>
      <c r="BB149">
        <f ca="1"/>
      </c>
      <c r="BC149">
        <f ca="1"/>
      </c>
      <c r="BD149">
        <f ca="1"/>
      </c>
      <c r="BE149">
        <f ca="1"/>
      </c>
      <c r="BF149">
        <f ca="1"/>
      </c>
      <c r="BG149">
        <f ca="1"/>
      </c>
      <c r="BH149">
        <f ca="1"/>
      </c>
      <c r="BI149">
        <f ca="1"/>
      </c>
      <c r="BJ149">
        <f ca="1"/>
      </c>
      <c r="BK149">
        <f ca="1"/>
      </c>
      <c r="BL149">
        <f ca="1"/>
      </c>
      <c r="BM149">
        <f ca="1"/>
      </c>
      <c r="BN149">
        <f ca="1"/>
      </c>
      <c r="BO149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  <c r="BV149">
        <f ca="1"/>
      </c>
      <c r="BW149">
        <f ca="1"/>
      </c>
      <c r="BX149">
        <f ca="1"/>
      </c>
      <c r="BY149">
        <f ca="1"/>
      </c>
      <c r="BZ149">
        <f ca="1"/>
      </c>
      <c r="CA149">
        <f ca="1"/>
      </c>
      <c r="CB149">
        <f ca="1"/>
      </c>
      <c r="CC149">
        <f ca="1"/>
      </c>
      <c r="CD149">
        <f ca="1"/>
      </c>
      <c r="CE149">
        <f ca="1"/>
      </c>
      <c r="CF149">
        <f ca="1"/>
      </c>
      <c r="CG149">
        <f ca="1"/>
      </c>
      <c r="CH149">
        <f ca="1"/>
      </c>
      <c r="CI149">
        <f ca="1"/>
      </c>
      <c r="CK149">
        <f ca="1"/>
      </c>
      <c r="CL149">
        <f ca="1"/>
      </c>
      <c r="CM149">
        <f ca="1"/>
      </c>
      <c r="CN149">
        <f ca="1"/>
      </c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DQ149">
        <f ca="1"/>
      </c>
      <c r="DR149">
        <f ca="1"/>
      </c>
      <c r="DS149">
        <f ca="1"/>
      </c>
      <c r="DT149">
        <f ca="1"/>
      </c>
      <c r="DU149">
        <f ca="1"/>
      </c>
      <c r="DV149">
        <f ca="1"/>
      </c>
      <c r="DW149">
        <f ca="1"/>
      </c>
      <c r="DX149">
        <f ca="1"/>
      </c>
      <c r="DY149">
        <f ca="1"/>
      </c>
      <c r="DZ149">
        <f ca="1"/>
      </c>
      <c r="EA149">
        <f ca="1"/>
      </c>
      <c r="EB149">
        <f ca="1"/>
      </c>
      <c r="EC149">
        <f ca="1"/>
      </c>
      <c r="ED149">
        <f ca="1"/>
      </c>
      <c r="EE149">
        <f ca="1"/>
      </c>
      <c r="EG149">
        <f ca="1"/>
      </c>
      <c r="EH149">
        <f ca="1"/>
      </c>
      <c r="EI149">
        <f ca="1"/>
      </c>
      <c r="EJ149">
        <f ca="1"/>
      </c>
      <c r="EK149">
        <f ca="1"/>
      </c>
      <c r="EL149">
        <f ca="1"/>
      </c>
      <c r="EM149">
        <f ca="1"/>
      </c>
      <c r="EN149">
        <f ca="1"/>
      </c>
      <c r="EO149">
        <f ca="1"/>
      </c>
      <c r="EP149">
        <f ca="1"/>
      </c>
      <c r="EQ149">
        <f ca="1"/>
      </c>
      <c r="ER149">
        <f ca="1"/>
      </c>
      <c r="ES149">
        <f ca="1"/>
      </c>
      <c r="ET149">
        <f ca="1"/>
      </c>
      <c r="EU149">
        <f ca="1"/>
      </c>
      <c r="EV149">
        <f ca="1"/>
      </c>
      <c r="EW149">
        <f ca="1"/>
      </c>
      <c r="EX149">
        <f ca="1"/>
      </c>
      <c r="EY149">
        <f ca="1"/>
      </c>
      <c r="EZ149">
        <f ca="1"/>
      </c>
      <c r="FA149">
        <f ca="1"/>
      </c>
      <c r="FB149">
        <f ca="1"/>
      </c>
      <c r="FC149">
        <f ca="1"/>
      </c>
      <c r="FD149">
        <f ca="1"/>
      </c>
      <c r="FE149">
        <f ca="1"/>
      </c>
      <c r="FF149">
        <f ca="1"/>
      </c>
      <c r="FG149">
        <f ca="1"/>
      </c>
      <c r="FH149">
        <f ca="1"/>
      </c>
      <c r="FI149">
        <f ca="1"/>
      </c>
      <c r="FJ149">
        <f ca="1"/>
      </c>
      <c r="FK149">
        <f ca="1"/>
      </c>
      <c r="FL149">
        <f ca="1"/>
      </c>
      <c r="FM149">
        <f ca="1"/>
      </c>
      <c r="FN149">
        <f ca="1"/>
      </c>
      <c r="FO149">
        <f ca="1"/>
      </c>
      <c r="FP149">
        <f ca="1"/>
      </c>
      <c r="FQ149">
        <f ca="1"/>
      </c>
      <c r="FR149">
        <f ca="1"/>
      </c>
      <c r="FS149">
        <f ca="1"/>
      </c>
      <c r="FT149">
        <f ca="1"/>
      </c>
      <c r="FU149">
        <f ca="1"/>
      </c>
      <c r="FV149">
        <f ca="1"/>
      </c>
      <c r="FW149">
        <f ca="1"/>
      </c>
      <c r="FX149">
        <f ca="1"/>
      </c>
      <c r="FY149">
        <f ca="1"/>
      </c>
      <c r="FZ149">
        <f ca="1"/>
      </c>
      <c r="GA149">
        <f ca="1"/>
      </c>
      <c r="GM149" s="7">
        <f ca="1"/>
      </c>
      <c r="GN149">
        <f ca="1"/>
      </c>
      <c r="GO149">
        <f ca="1"/>
      </c>
      <c r="GP149">
        <f ca="1"/>
      </c>
      <c r="GQ149">
        <f ca="1"/>
      </c>
    </row>
    <row r="150" spans="41:199" x14ac:dyDescent="0.55000000000000004">
      <c r="AO150">
        <f ca="1"/>
      </c>
      <c r="AP150">
        <f ca="1"/>
      </c>
      <c r="AQ150">
        <f ca="1"/>
      </c>
      <c r="AR150">
        <f ca="1"/>
      </c>
      <c r="AS150">
        <f ca="1"/>
      </c>
      <c r="AT150">
        <f ca="1"/>
      </c>
      <c r="AU150">
        <f ca="1"/>
      </c>
      <c r="AV150">
        <f ca="1"/>
      </c>
      <c r="AW150">
        <f ca="1"/>
      </c>
      <c r="AX150">
        <f ca="1"/>
      </c>
      <c r="AY150">
        <f ca="1"/>
      </c>
      <c r="AZ150">
        <f ca="1"/>
      </c>
      <c r="BA150">
        <f ca="1"/>
      </c>
      <c r="BB150">
        <f ca="1"/>
      </c>
      <c r="BC150">
        <f ca="1"/>
      </c>
      <c r="BD150">
        <f ca="1"/>
      </c>
      <c r="BE150">
        <f ca="1"/>
      </c>
      <c r="BF150">
        <f ca="1"/>
      </c>
      <c r="BG150">
        <f ca="1"/>
      </c>
      <c r="BH150">
        <f ca="1"/>
      </c>
      <c r="BI150">
        <f ca="1"/>
      </c>
      <c r="BJ150">
        <f ca="1"/>
      </c>
      <c r="BK150">
        <f ca="1"/>
      </c>
      <c r="BL150">
        <f ca="1"/>
      </c>
      <c r="BM150">
        <f ca="1"/>
      </c>
      <c r="BN150">
        <f ca="1"/>
      </c>
      <c r="BO150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  <c r="BV150">
        <f ca="1"/>
      </c>
      <c r="BW150">
        <f ca="1"/>
      </c>
      <c r="BX150">
        <f ca="1"/>
      </c>
      <c r="BY150">
        <f ca="1"/>
      </c>
      <c r="BZ150">
        <f ca="1"/>
      </c>
      <c r="CA150">
        <f ca="1"/>
      </c>
      <c r="CB150">
        <f ca="1"/>
      </c>
      <c r="CC150">
        <f ca="1"/>
      </c>
      <c r="CD150">
        <f ca="1"/>
      </c>
      <c r="CE150">
        <f ca="1"/>
      </c>
      <c r="CF150">
        <f ca="1"/>
      </c>
      <c r="CG150">
        <f ca="1"/>
      </c>
      <c r="CH150">
        <f ca="1"/>
      </c>
      <c r="CI150">
        <f ca="1"/>
      </c>
      <c r="CK150">
        <f ca="1"/>
      </c>
      <c r="CL150">
        <f ca="1"/>
      </c>
      <c r="CM150">
        <f ca="1"/>
      </c>
      <c r="CN150">
        <f ca="1"/>
      </c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DQ150">
        <f ca="1"/>
      </c>
      <c r="DR150">
        <f ca="1"/>
      </c>
      <c r="DS150">
        <f ca="1"/>
      </c>
      <c r="DT150">
        <f ca="1"/>
      </c>
      <c r="DU150">
        <f ca="1"/>
      </c>
      <c r="DV150">
        <f ca="1"/>
      </c>
      <c r="DW150">
        <f ca="1"/>
      </c>
      <c r="DX150">
        <f ca="1"/>
      </c>
      <c r="DY150">
        <f ca="1"/>
      </c>
      <c r="DZ150">
        <f ca="1"/>
      </c>
      <c r="EA150">
        <f ca="1"/>
      </c>
      <c r="EB150">
        <f ca="1"/>
      </c>
      <c r="EC150">
        <f ca="1"/>
      </c>
      <c r="ED150">
        <f ca="1"/>
      </c>
      <c r="EE150">
        <f ca="1"/>
      </c>
      <c r="EG150">
        <f ca="1"/>
      </c>
      <c r="EH150">
        <f ca="1"/>
      </c>
      <c r="EI150">
        <f ca="1"/>
      </c>
      <c r="EJ150">
        <f ca="1"/>
      </c>
      <c r="EK150">
        <f ca="1"/>
      </c>
      <c r="EL150">
        <f ca="1"/>
      </c>
      <c r="EM150">
        <f ca="1"/>
      </c>
      <c r="EN150">
        <f ca="1"/>
      </c>
      <c r="EO150">
        <f ca="1"/>
      </c>
      <c r="EP150">
        <f ca="1"/>
      </c>
      <c r="EQ150">
        <f ca="1"/>
      </c>
      <c r="ER150">
        <f ca="1"/>
      </c>
      <c r="ES150">
        <f ca="1"/>
      </c>
      <c r="ET150">
        <f ca="1"/>
      </c>
      <c r="EU150">
        <f ca="1"/>
      </c>
      <c r="EV150">
        <f ca="1"/>
      </c>
      <c r="EW150">
        <f ca="1"/>
      </c>
      <c r="EX150">
        <f ca="1"/>
      </c>
      <c r="EY150">
        <f ca="1"/>
      </c>
      <c r="EZ150">
        <f ca="1"/>
      </c>
      <c r="FA150">
        <f ca="1"/>
      </c>
      <c r="FB150">
        <f ca="1"/>
      </c>
      <c r="FC150">
        <f ca="1"/>
      </c>
      <c r="FD150">
        <f ca="1"/>
      </c>
      <c r="FE150">
        <f ca="1"/>
      </c>
      <c r="FF150">
        <f ca="1"/>
      </c>
      <c r="FG150">
        <f ca="1"/>
      </c>
      <c r="FH150">
        <f ca="1"/>
      </c>
      <c r="FI150">
        <f ca="1"/>
      </c>
      <c r="FJ150">
        <f ca="1"/>
      </c>
      <c r="FK150">
        <f ca="1"/>
      </c>
      <c r="FL150">
        <f ca="1"/>
      </c>
      <c r="FM150">
        <f ca="1"/>
      </c>
      <c r="FN150">
        <f ca="1"/>
      </c>
      <c r="FO150">
        <f ca="1"/>
      </c>
      <c r="FP150">
        <f ca="1"/>
      </c>
      <c r="FQ150">
        <f ca="1"/>
      </c>
      <c r="FR150">
        <f ca="1"/>
      </c>
      <c r="FS150">
        <f ca="1"/>
      </c>
      <c r="FT150">
        <f ca="1"/>
      </c>
      <c r="FU150">
        <f ca="1"/>
      </c>
      <c r="FV150">
        <f ca="1"/>
      </c>
      <c r="FW150">
        <f ca="1"/>
      </c>
      <c r="FX150">
        <f ca="1"/>
      </c>
      <c r="FY150">
        <f ca="1"/>
      </c>
      <c r="FZ150">
        <f ca="1"/>
      </c>
      <c r="GA150">
        <f ca="1"/>
      </c>
      <c r="GM150" s="7">
        <f ca="1"/>
      </c>
      <c r="GN150">
        <f ca="1"/>
      </c>
      <c r="GO150">
        <f ca="1"/>
      </c>
      <c r="GP150">
        <f ca="1"/>
      </c>
      <c r="GQ150">
        <f ca="1"/>
      </c>
    </row>
    <row r="151" spans="41:199" x14ac:dyDescent="0.55000000000000004">
      <c r="AO151">
        <f ca="1"/>
      </c>
      <c r="AP151">
        <f ca="1"/>
      </c>
      <c r="AQ151">
        <f ca="1"/>
      </c>
      <c r="AR151">
        <f ca="1"/>
      </c>
      <c r="AS151">
        <f ca="1"/>
      </c>
      <c r="AT151">
        <f ca="1"/>
      </c>
      <c r="AU151">
        <f ca="1"/>
      </c>
      <c r="AV151">
        <f ca="1"/>
      </c>
      <c r="AW151">
        <f ca="1"/>
      </c>
      <c r="AX151">
        <f ca="1"/>
      </c>
      <c r="AY151">
        <f ca="1"/>
      </c>
      <c r="AZ151">
        <f ca="1"/>
      </c>
      <c r="BA151">
        <f ca="1"/>
      </c>
      <c r="BB151">
        <f ca="1"/>
      </c>
      <c r="BC151">
        <f ca="1"/>
      </c>
      <c r="BD151">
        <f ca="1"/>
      </c>
      <c r="BE151">
        <f ca="1"/>
      </c>
      <c r="BF151">
        <f ca="1"/>
      </c>
      <c r="BG151">
        <f ca="1"/>
      </c>
      <c r="BH151">
        <f ca="1"/>
      </c>
      <c r="BI151">
        <f ca="1"/>
      </c>
      <c r="BJ151">
        <f ca="1"/>
      </c>
      <c r="BK151">
        <f ca="1"/>
      </c>
      <c r="BL151">
        <f ca="1"/>
      </c>
      <c r="BM151">
        <f ca="1"/>
      </c>
      <c r="BN151">
        <f ca="1"/>
      </c>
      <c r="BO15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  <c r="BV151">
        <f ca="1"/>
      </c>
      <c r="BW151">
        <f ca="1"/>
      </c>
      <c r="BX151">
        <f ca="1"/>
      </c>
      <c r="BY151">
        <f ca="1"/>
      </c>
      <c r="BZ151">
        <f ca="1"/>
      </c>
      <c r="CA151">
        <f ca="1"/>
      </c>
      <c r="CB151">
        <f ca="1"/>
      </c>
      <c r="CC151">
        <f ca="1"/>
      </c>
      <c r="CD151">
        <f ca="1"/>
      </c>
      <c r="CE151">
        <f ca="1"/>
      </c>
      <c r="CF151">
        <f ca="1"/>
      </c>
      <c r="CG151">
        <f ca="1"/>
      </c>
      <c r="CH151">
        <f ca="1"/>
      </c>
      <c r="CI151">
        <f ca="1"/>
      </c>
      <c r="CK151">
        <f ca="1"/>
      </c>
      <c r="CL151">
        <f ca="1"/>
      </c>
      <c r="CM151">
        <f ca="1"/>
      </c>
      <c r="CN151">
        <f ca="1"/>
      </c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DQ151">
        <f ca="1"/>
      </c>
      <c r="DR151">
        <f ca="1"/>
      </c>
      <c r="DS151">
        <f ca="1"/>
      </c>
      <c r="DT151">
        <f ca="1"/>
      </c>
      <c r="DU151">
        <f ca="1"/>
      </c>
      <c r="DV151">
        <f ca="1"/>
      </c>
      <c r="DW151">
        <f ca="1"/>
      </c>
      <c r="DX151">
        <f ca="1"/>
      </c>
      <c r="DY151">
        <f ca="1"/>
      </c>
      <c r="DZ151">
        <f ca="1"/>
      </c>
      <c r="EA151">
        <f ca="1"/>
      </c>
      <c r="EB151">
        <f ca="1"/>
      </c>
      <c r="EC151">
        <f ca="1"/>
      </c>
      <c r="ED151">
        <f ca="1"/>
      </c>
      <c r="EE151">
        <f ca="1"/>
      </c>
      <c r="EG151">
        <f ca="1"/>
      </c>
      <c r="EH151">
        <f ca="1"/>
      </c>
      <c r="EI151">
        <f ca="1"/>
      </c>
      <c r="EJ151">
        <f ca="1"/>
      </c>
      <c r="EK151">
        <f ca="1"/>
      </c>
      <c r="EL151">
        <f ca="1"/>
      </c>
      <c r="EM151">
        <f ca="1"/>
      </c>
      <c r="EN151">
        <f ca="1"/>
      </c>
      <c r="EO151">
        <f ca="1"/>
      </c>
      <c r="EP151">
        <f ca="1"/>
      </c>
      <c r="EQ151">
        <f ca="1"/>
      </c>
      <c r="ER151">
        <f ca="1"/>
      </c>
      <c r="ES151">
        <f ca="1"/>
      </c>
      <c r="ET151">
        <f ca="1"/>
      </c>
      <c r="EU151">
        <f ca="1"/>
      </c>
      <c r="EV151">
        <f ca="1"/>
      </c>
      <c r="EW151">
        <f ca="1"/>
      </c>
      <c r="EX151">
        <f ca="1"/>
      </c>
      <c r="EY151">
        <f ca="1"/>
      </c>
      <c r="EZ151">
        <f ca="1"/>
      </c>
      <c r="FA151">
        <f ca="1"/>
      </c>
      <c r="FB151">
        <f ca="1"/>
      </c>
      <c r="FC151">
        <f ca="1"/>
      </c>
      <c r="FD151">
        <f ca="1"/>
      </c>
      <c r="FE151">
        <f ca="1"/>
      </c>
      <c r="FF151">
        <f ca="1"/>
      </c>
      <c r="FG151">
        <f ca="1"/>
      </c>
      <c r="FH151">
        <f ca="1"/>
      </c>
      <c r="FI151">
        <f ca="1"/>
      </c>
      <c r="FJ151">
        <f ca="1"/>
      </c>
      <c r="FK151">
        <f ca="1"/>
      </c>
      <c r="FL151">
        <f ca="1"/>
      </c>
      <c r="FM151">
        <f ca="1"/>
      </c>
      <c r="FN151">
        <f ca="1"/>
      </c>
      <c r="FO151">
        <f ca="1"/>
      </c>
      <c r="FP151">
        <f ca="1"/>
      </c>
      <c r="FQ151">
        <f ca="1"/>
      </c>
      <c r="FR151">
        <f ca="1"/>
      </c>
      <c r="FS151">
        <f ca="1"/>
      </c>
      <c r="FT151">
        <f ca="1"/>
      </c>
      <c r="FU151">
        <f ca="1"/>
      </c>
      <c r="FV151">
        <f ca="1"/>
      </c>
      <c r="FW151">
        <f ca="1"/>
      </c>
      <c r="FX151">
        <f ca="1"/>
      </c>
      <c r="FY151">
        <f ca="1"/>
      </c>
      <c r="FZ151">
        <f ca="1"/>
      </c>
      <c r="GA151">
        <f ca="1"/>
      </c>
      <c r="GM151" s="7">
        <f ca="1"/>
      </c>
      <c r="GN151">
        <f ca="1"/>
      </c>
      <c r="GO151">
        <f ca="1"/>
      </c>
      <c r="GP151">
        <f ca="1"/>
      </c>
      <c r="GQ151">
        <f ca="1"/>
      </c>
    </row>
    <row r="152" spans="41:199" x14ac:dyDescent="0.55000000000000004">
      <c r="AO152">
        <f ca="1"/>
      </c>
      <c r="AP152">
        <f ca="1"/>
      </c>
      <c r="AQ152">
        <f ca="1"/>
      </c>
      <c r="AR152">
        <f ca="1"/>
      </c>
      <c r="AS152">
        <f ca="1"/>
      </c>
      <c r="AT152">
        <f ca="1"/>
      </c>
      <c r="AU152">
        <f ca="1"/>
      </c>
      <c r="AV152">
        <f ca="1"/>
      </c>
      <c r="AW152">
        <f ca="1"/>
      </c>
      <c r="AX152">
        <f ca="1"/>
      </c>
      <c r="AY152">
        <f ca="1"/>
      </c>
      <c r="AZ152">
        <f ca="1"/>
      </c>
      <c r="BA152">
        <f ca="1"/>
      </c>
      <c r="BB152">
        <f ca="1"/>
      </c>
      <c r="BC152">
        <f ca="1"/>
      </c>
      <c r="BD152">
        <f ca="1"/>
      </c>
      <c r="BE152">
        <f ca="1"/>
      </c>
      <c r="BF152">
        <f ca="1"/>
      </c>
      <c r="BG152">
        <f ca="1"/>
      </c>
      <c r="BH152">
        <f ca="1"/>
      </c>
      <c r="BI152">
        <f ca="1"/>
      </c>
      <c r="BJ152">
        <f ca="1"/>
      </c>
      <c r="BK152">
        <f ca="1"/>
      </c>
      <c r="BL152">
        <f ca="1"/>
      </c>
      <c r="BM152">
        <f ca="1"/>
      </c>
      <c r="BN152">
        <f ca="1"/>
      </c>
      <c r="BO152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  <c r="BV152">
        <f ca="1"/>
      </c>
      <c r="BW152">
        <f ca="1"/>
      </c>
      <c r="BX152">
        <f ca="1"/>
      </c>
      <c r="BY152">
        <f ca="1"/>
      </c>
      <c r="BZ152">
        <f ca="1"/>
      </c>
      <c r="CA152">
        <f ca="1"/>
      </c>
      <c r="CB152">
        <f ca="1"/>
      </c>
      <c r="CC152">
        <f ca="1"/>
      </c>
      <c r="CD152">
        <f ca="1"/>
      </c>
      <c r="CE152">
        <f ca="1"/>
      </c>
      <c r="CF152">
        <f ca="1"/>
      </c>
      <c r="CG152">
        <f ca="1"/>
      </c>
      <c r="CH152">
        <f ca="1"/>
      </c>
      <c r="CI152">
        <f ca="1"/>
      </c>
      <c r="CK152">
        <f ca="1"/>
      </c>
      <c r="CL152">
        <f ca="1"/>
      </c>
      <c r="CM152">
        <f ca="1"/>
      </c>
      <c r="CN152">
        <f ca="1"/>
      </c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DQ152">
        <f ca="1"/>
      </c>
      <c r="DR152">
        <f ca="1"/>
      </c>
      <c r="DS152">
        <f ca="1"/>
      </c>
      <c r="DT152">
        <f ca="1"/>
      </c>
      <c r="DU152">
        <f ca="1"/>
      </c>
      <c r="DV152">
        <f ca="1"/>
      </c>
      <c r="DW152">
        <f ca="1"/>
      </c>
      <c r="DX152">
        <f ca="1"/>
      </c>
      <c r="DY152">
        <f ca="1"/>
      </c>
      <c r="DZ152">
        <f ca="1"/>
      </c>
      <c r="EA152">
        <f ca="1"/>
      </c>
      <c r="EB152">
        <f ca="1"/>
      </c>
      <c r="EC152">
        <f ca="1"/>
      </c>
      <c r="ED152">
        <f ca="1"/>
      </c>
      <c r="EE152">
        <f ca="1"/>
      </c>
      <c r="EG152">
        <f ca="1"/>
      </c>
      <c r="EH152">
        <f ca="1"/>
      </c>
      <c r="EI152">
        <f ca="1"/>
      </c>
      <c r="EJ152">
        <f ca="1"/>
      </c>
      <c r="EK152">
        <f ca="1"/>
      </c>
      <c r="EL152">
        <f ca="1"/>
      </c>
      <c r="EM152">
        <f ca="1"/>
      </c>
      <c r="EN152">
        <f ca="1"/>
      </c>
      <c r="EO152">
        <f ca="1"/>
      </c>
      <c r="EP152">
        <f ca="1"/>
      </c>
      <c r="EQ152">
        <f ca="1"/>
      </c>
      <c r="ER152">
        <f ca="1"/>
      </c>
      <c r="ES152">
        <f ca="1"/>
      </c>
      <c r="ET152">
        <f ca="1"/>
      </c>
      <c r="EU152">
        <f ca="1"/>
      </c>
      <c r="EV152">
        <f ca="1"/>
      </c>
      <c r="EW152">
        <f ca="1"/>
      </c>
      <c r="EX152">
        <f ca="1"/>
      </c>
      <c r="EY152">
        <f ca="1"/>
      </c>
      <c r="EZ152">
        <f ca="1"/>
      </c>
      <c r="FA152">
        <f ca="1"/>
      </c>
      <c r="FB152">
        <f ca="1"/>
      </c>
      <c r="FC152">
        <f ca="1"/>
      </c>
      <c r="FD152">
        <f ca="1"/>
      </c>
      <c r="FE152">
        <f ca="1"/>
      </c>
      <c r="FF152">
        <f ca="1"/>
      </c>
      <c r="FG152">
        <f ca="1"/>
      </c>
      <c r="FH152">
        <f ca="1"/>
      </c>
      <c r="FI152">
        <f ca="1"/>
      </c>
      <c r="FJ152">
        <f ca="1"/>
      </c>
      <c r="FK152">
        <f ca="1"/>
      </c>
      <c r="FL152">
        <f ca="1"/>
      </c>
      <c r="FM152">
        <f ca="1"/>
      </c>
      <c r="FN152">
        <f ca="1"/>
      </c>
      <c r="FO152">
        <f ca="1"/>
      </c>
      <c r="FP152">
        <f ca="1"/>
      </c>
      <c r="FQ152">
        <f ca="1"/>
      </c>
      <c r="FR152">
        <f ca="1"/>
      </c>
      <c r="FS152">
        <f ca="1"/>
      </c>
      <c r="FT152">
        <f ca="1"/>
      </c>
      <c r="FU152">
        <f ca="1"/>
      </c>
      <c r="FV152">
        <f ca="1"/>
      </c>
      <c r="FW152">
        <f ca="1"/>
      </c>
      <c r="FX152">
        <f ca="1"/>
      </c>
      <c r="FY152">
        <f ca="1"/>
      </c>
      <c r="FZ152">
        <f ca="1"/>
      </c>
      <c r="GA152">
        <f ca="1"/>
      </c>
      <c r="GM152" s="7">
        <f ca="1"/>
      </c>
      <c r="GN152">
        <f ca="1"/>
      </c>
      <c r="GO152">
        <f ca="1"/>
      </c>
      <c r="GP152">
        <f ca="1"/>
      </c>
      <c r="GQ152">
        <f ca="1"/>
      </c>
    </row>
    <row r="153" spans="41:199" x14ac:dyDescent="0.55000000000000004">
      <c r="AO153">
        <f ca="1"/>
      </c>
      <c r="AP153">
        <f ca="1"/>
      </c>
      <c r="AQ153">
        <f ca="1"/>
      </c>
      <c r="AR153">
        <f ca="1"/>
      </c>
      <c r="AS153">
        <f ca="1"/>
      </c>
      <c r="AT153">
        <f ca="1"/>
      </c>
      <c r="AU153">
        <f ca="1"/>
      </c>
      <c r="AV153">
        <f ca="1"/>
      </c>
      <c r="AW153">
        <f ca="1"/>
      </c>
      <c r="AX153">
        <f ca="1"/>
      </c>
      <c r="AY153">
        <f ca="1"/>
      </c>
      <c r="AZ153">
        <f ca="1"/>
      </c>
      <c r="BA153">
        <f ca="1"/>
      </c>
      <c r="BB153">
        <f ca="1"/>
      </c>
      <c r="BC153">
        <f ca="1"/>
      </c>
      <c r="BD153">
        <f ca="1"/>
      </c>
      <c r="BE153">
        <f ca="1"/>
      </c>
      <c r="BF153">
        <f ca="1"/>
      </c>
      <c r="BG153">
        <f ca="1"/>
      </c>
      <c r="BH153">
        <f ca="1"/>
      </c>
      <c r="BI153">
        <f ca="1"/>
      </c>
      <c r="BJ153">
        <f ca="1"/>
      </c>
      <c r="BK153">
        <f ca="1"/>
      </c>
      <c r="BL153">
        <f ca="1"/>
      </c>
      <c r="BM153">
        <f ca="1"/>
      </c>
      <c r="BN153">
        <f ca="1"/>
      </c>
      <c r="BO153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  <c r="BV153">
        <f ca="1"/>
      </c>
      <c r="BW153">
        <f ca="1"/>
      </c>
      <c r="BX153">
        <f ca="1"/>
      </c>
      <c r="BY153">
        <f ca="1"/>
      </c>
      <c r="BZ153">
        <f ca="1"/>
      </c>
      <c r="CA153">
        <f ca="1"/>
      </c>
      <c r="CB153">
        <f ca="1"/>
      </c>
      <c r="CC153">
        <f ca="1"/>
      </c>
      <c r="CD153">
        <f ca="1"/>
      </c>
      <c r="CE153">
        <f ca="1"/>
      </c>
      <c r="CF153">
        <f ca="1"/>
      </c>
      <c r="CG153">
        <f ca="1"/>
      </c>
      <c r="CH153">
        <f ca="1"/>
      </c>
      <c r="CI153">
        <f ca="1"/>
      </c>
      <c r="CK153">
        <f ca="1"/>
      </c>
      <c r="CL153">
        <f ca="1"/>
      </c>
      <c r="CM153">
        <f ca="1"/>
      </c>
      <c r="CN153">
        <f ca="1"/>
      </c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DQ153">
        <f ca="1"/>
      </c>
      <c r="DR153">
        <f ca="1"/>
      </c>
      <c r="DS153">
        <f ca="1"/>
      </c>
      <c r="DT153">
        <f ca="1"/>
      </c>
      <c r="DU153">
        <f ca="1"/>
      </c>
      <c r="DV153">
        <f ca="1"/>
      </c>
      <c r="DW153">
        <f ca="1"/>
      </c>
      <c r="DX153">
        <f ca="1"/>
      </c>
      <c r="DY153">
        <f ca="1"/>
      </c>
      <c r="DZ153">
        <f ca="1"/>
      </c>
      <c r="EA153">
        <f ca="1"/>
      </c>
      <c r="EB153">
        <f ca="1"/>
      </c>
      <c r="EC153">
        <f ca="1"/>
      </c>
      <c r="ED153">
        <f ca="1"/>
      </c>
      <c r="EE153">
        <f ca="1"/>
      </c>
      <c r="EG153">
        <f ca="1"/>
      </c>
      <c r="EH153">
        <f ca="1"/>
      </c>
      <c r="EI153">
        <f ca="1"/>
      </c>
      <c r="EJ153">
        <f ca="1"/>
      </c>
      <c r="EK153">
        <f ca="1"/>
      </c>
      <c r="EL153">
        <f ca="1"/>
      </c>
      <c r="EM153">
        <f ca="1"/>
      </c>
      <c r="EN153">
        <f ca="1"/>
      </c>
      <c r="EO153">
        <f ca="1"/>
      </c>
      <c r="EP153">
        <f ca="1"/>
      </c>
      <c r="EQ153">
        <f ca="1"/>
      </c>
      <c r="ER153">
        <f ca="1"/>
      </c>
      <c r="ES153">
        <f ca="1"/>
      </c>
      <c r="ET153">
        <f ca="1"/>
      </c>
      <c r="EU153">
        <f ca="1"/>
      </c>
      <c r="EV153">
        <f ca="1"/>
      </c>
      <c r="EW153">
        <f ca="1"/>
      </c>
      <c r="EX153">
        <f ca="1"/>
      </c>
      <c r="EY153">
        <f ca="1"/>
      </c>
      <c r="EZ153">
        <f ca="1"/>
      </c>
      <c r="FA153">
        <f ca="1"/>
      </c>
      <c r="FB153">
        <f ca="1"/>
      </c>
      <c r="FC153">
        <f ca="1"/>
      </c>
      <c r="FD153">
        <f ca="1"/>
      </c>
      <c r="FE153">
        <f ca="1"/>
      </c>
      <c r="FF153">
        <f ca="1"/>
      </c>
      <c r="FG153">
        <f ca="1"/>
      </c>
      <c r="FH153">
        <f ca="1"/>
      </c>
      <c r="FI153">
        <f ca="1"/>
      </c>
      <c r="FJ153">
        <f ca="1"/>
      </c>
      <c r="FK153">
        <f ca="1"/>
      </c>
      <c r="FL153">
        <f ca="1"/>
      </c>
      <c r="FM153">
        <f ca="1"/>
      </c>
      <c r="FN153">
        <f ca="1"/>
      </c>
      <c r="FO153">
        <f ca="1"/>
      </c>
      <c r="FP153">
        <f ca="1"/>
      </c>
      <c r="FQ153">
        <f ca="1"/>
      </c>
      <c r="FR153">
        <f ca="1"/>
      </c>
      <c r="FS153">
        <f ca="1"/>
      </c>
      <c r="FT153">
        <f ca="1"/>
      </c>
      <c r="FU153">
        <f ca="1"/>
      </c>
      <c r="FV153">
        <f ca="1"/>
      </c>
      <c r="FW153">
        <f ca="1"/>
      </c>
      <c r="FX153">
        <f ca="1"/>
      </c>
      <c r="FY153">
        <f ca="1"/>
      </c>
      <c r="FZ153">
        <f ca="1"/>
      </c>
      <c r="GA153">
        <f ca="1"/>
      </c>
      <c r="GM153" s="7">
        <f ca="1"/>
      </c>
      <c r="GN153">
        <f ca="1"/>
      </c>
      <c r="GO153">
        <f ca="1"/>
      </c>
      <c r="GP153">
        <f ca="1"/>
      </c>
      <c r="GQ153">
        <f ca="1"/>
      </c>
    </row>
    <row r="154" spans="41:199" x14ac:dyDescent="0.55000000000000004">
      <c r="AO154">
        <f ca="1"/>
      </c>
      <c r="AP154">
        <f ca="1"/>
      </c>
      <c r="AQ154">
        <f ca="1"/>
      </c>
      <c r="AR154">
        <f ca="1"/>
      </c>
      <c r="AS154">
        <f ca="1"/>
      </c>
      <c r="AT154">
        <f ca="1"/>
      </c>
      <c r="AU154">
        <f ca="1"/>
      </c>
      <c r="AV154">
        <f ca="1"/>
      </c>
      <c r="AW154">
        <f ca="1"/>
      </c>
      <c r="AX154">
        <f ca="1"/>
      </c>
      <c r="AY154">
        <f ca="1"/>
      </c>
      <c r="AZ154">
        <f ca="1"/>
      </c>
      <c r="BA154">
        <f ca="1"/>
      </c>
      <c r="BB154">
        <f ca="1"/>
      </c>
      <c r="BC154">
        <f ca="1"/>
      </c>
      <c r="BD154">
        <f ca="1"/>
      </c>
      <c r="BE154">
        <f ca="1"/>
      </c>
      <c r="BF154">
        <f ca="1"/>
      </c>
      <c r="BG154">
        <f ca="1"/>
      </c>
      <c r="BH154">
        <f ca="1"/>
      </c>
      <c r="BI154">
        <f ca="1"/>
      </c>
      <c r="BJ154">
        <f ca="1"/>
      </c>
      <c r="BK154">
        <f ca="1"/>
      </c>
      <c r="BL154">
        <f ca="1"/>
      </c>
      <c r="BM154">
        <f ca="1"/>
      </c>
      <c r="BN154">
        <f ca="1"/>
      </c>
      <c r="BO154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  <c r="BV154">
        <f ca="1"/>
      </c>
      <c r="BW154">
        <f ca="1"/>
      </c>
      <c r="BX154">
        <f ca="1"/>
      </c>
      <c r="BY154">
        <f ca="1"/>
      </c>
      <c r="BZ154">
        <f ca="1"/>
      </c>
      <c r="CA154">
        <f ca="1"/>
      </c>
      <c r="CB154">
        <f ca="1"/>
      </c>
      <c r="CC154">
        <f ca="1"/>
      </c>
      <c r="CD154">
        <f ca="1"/>
      </c>
      <c r="CE154">
        <f ca="1"/>
      </c>
      <c r="CF154">
        <f ca="1"/>
      </c>
      <c r="CG154">
        <f ca="1"/>
      </c>
      <c r="CH154">
        <f ca="1"/>
      </c>
      <c r="CI154">
        <f ca="1"/>
      </c>
      <c r="CK154">
        <f ca="1"/>
      </c>
      <c r="CL154">
        <f ca="1"/>
      </c>
      <c r="CM154">
        <f ca="1"/>
      </c>
      <c r="CN154">
        <f ca="1"/>
      </c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DQ154">
        <f ca="1"/>
      </c>
      <c r="DR154">
        <f ca="1"/>
      </c>
      <c r="DS154">
        <f ca="1"/>
      </c>
      <c r="DT154">
        <f ca="1"/>
      </c>
      <c r="DU154">
        <f ca="1"/>
      </c>
      <c r="DV154">
        <f ca="1"/>
      </c>
      <c r="DW154">
        <f ca="1"/>
      </c>
      <c r="DX154">
        <f ca="1"/>
      </c>
      <c r="DY154">
        <f ca="1"/>
      </c>
      <c r="DZ154">
        <f ca="1"/>
      </c>
      <c r="EA154">
        <f ca="1"/>
      </c>
      <c r="EB154">
        <f ca="1"/>
      </c>
      <c r="EC154">
        <f ca="1"/>
      </c>
      <c r="ED154">
        <f ca="1"/>
      </c>
      <c r="EE154">
        <f ca="1"/>
      </c>
      <c r="EG154">
        <f ca="1"/>
      </c>
      <c r="EH154">
        <f ca="1"/>
      </c>
      <c r="EI154">
        <f ca="1"/>
      </c>
      <c r="EJ154">
        <f ca="1"/>
      </c>
      <c r="EK154">
        <f ca="1"/>
      </c>
      <c r="EL154">
        <f ca="1"/>
      </c>
      <c r="EM154">
        <f ca="1"/>
      </c>
      <c r="EN154">
        <f ca="1"/>
      </c>
      <c r="EO154">
        <f ca="1"/>
      </c>
      <c r="EP154">
        <f ca="1"/>
      </c>
      <c r="EQ154">
        <f ca="1"/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FS154">
        <f ca="1"/>
      </c>
      <c r="FT154">
        <f ca="1"/>
      </c>
      <c r="FU154">
        <f ca="1"/>
      </c>
      <c r="FV154">
        <f ca="1"/>
      </c>
      <c r="FW154">
        <f ca="1"/>
      </c>
      <c r="FX154">
        <f ca="1"/>
      </c>
      <c r="FY154">
        <f ca="1"/>
      </c>
      <c r="FZ154">
        <f ca="1"/>
      </c>
      <c r="GA154">
        <f ca="1"/>
      </c>
      <c r="GM154" s="7">
        <f ca="1"/>
      </c>
      <c r="GN154">
        <f ca="1"/>
      </c>
      <c r="GO154">
        <f ca="1"/>
      </c>
      <c r="GP154">
        <f ca="1"/>
      </c>
      <c r="GQ154">
        <f ca="1"/>
      </c>
    </row>
    <row r="155" spans="41:199" x14ac:dyDescent="0.55000000000000004">
      <c r="AO155">
        <f ca="1"/>
      </c>
      <c r="AP155">
        <f ca="1"/>
      </c>
      <c r="AQ155">
        <f ca="1"/>
      </c>
      <c r="AR155">
        <f ca="1"/>
      </c>
      <c r="AS155">
        <f ca="1"/>
      </c>
      <c r="AT155">
        <f ca="1"/>
      </c>
      <c r="AU155">
        <f ca="1"/>
      </c>
      <c r="AV155">
        <f ca="1"/>
      </c>
      <c r="AW155">
        <f ca="1"/>
      </c>
      <c r="AX155">
        <f ca="1"/>
      </c>
      <c r="AY155">
        <f ca="1"/>
      </c>
      <c r="AZ155">
        <f ca="1"/>
      </c>
      <c r="BA155">
        <f ca="1"/>
      </c>
      <c r="BB155">
        <f ca="1"/>
      </c>
      <c r="BC155">
        <f ca="1"/>
      </c>
      <c r="BD155">
        <f ca="1"/>
      </c>
      <c r="BE155">
        <f ca="1"/>
      </c>
      <c r="BF155">
        <f ca="1"/>
      </c>
      <c r="BG155">
        <f ca="1"/>
      </c>
      <c r="BH155">
        <f ca="1"/>
      </c>
      <c r="BI155">
        <f ca="1"/>
      </c>
      <c r="BJ155">
        <f ca="1"/>
      </c>
      <c r="BK155">
        <f ca="1"/>
      </c>
      <c r="BL155">
        <f ca="1"/>
      </c>
      <c r="BM155">
        <f ca="1"/>
      </c>
      <c r="BN155">
        <f ca="1"/>
      </c>
      <c r="BO155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  <c r="BV155">
        <f ca="1"/>
      </c>
      <c r="BW155">
        <f ca="1"/>
      </c>
      <c r="BX155">
        <f ca="1"/>
      </c>
      <c r="BY155">
        <f ca="1"/>
      </c>
      <c r="BZ155">
        <f ca="1"/>
      </c>
      <c r="CA155">
        <f ca="1"/>
      </c>
      <c r="CB155">
        <f ca="1"/>
      </c>
      <c r="CC155">
        <f ca="1"/>
      </c>
      <c r="CD155">
        <f ca="1"/>
      </c>
      <c r="CE155">
        <f ca="1"/>
      </c>
      <c r="CF155">
        <f ca="1"/>
      </c>
      <c r="CG155">
        <f ca="1"/>
      </c>
      <c r="CH155">
        <f ca="1"/>
      </c>
      <c r="CI155">
        <f ca="1"/>
      </c>
      <c r="CK155">
        <f ca="1"/>
      </c>
      <c r="CL155">
        <f ca="1"/>
      </c>
      <c r="CM155">
        <f ca="1"/>
      </c>
      <c r="CN155">
        <f ca="1"/>
      </c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DQ155">
        <f ca="1"/>
      </c>
      <c r="DR155">
        <f ca="1"/>
      </c>
      <c r="DS155">
        <f ca="1"/>
      </c>
      <c r="DT155">
        <f ca="1"/>
      </c>
      <c r="DU155">
        <f ca="1"/>
      </c>
      <c r="DV155">
        <f ca="1"/>
      </c>
      <c r="DW155">
        <f ca="1"/>
      </c>
      <c r="DX155">
        <f ca="1"/>
      </c>
      <c r="DY155">
        <f ca="1"/>
      </c>
      <c r="DZ155">
        <f ca="1"/>
      </c>
      <c r="EA155">
        <f ca="1"/>
      </c>
      <c r="EB155">
        <f ca="1"/>
      </c>
      <c r="EC155">
        <f ca="1"/>
      </c>
      <c r="ED155">
        <f ca="1"/>
      </c>
      <c r="EE155">
        <f ca="1"/>
      </c>
      <c r="EG155">
        <f ca="1"/>
      </c>
      <c r="EH155">
        <f ca="1"/>
      </c>
      <c r="EI155">
        <f ca="1"/>
      </c>
      <c r="EJ155">
        <f ca="1"/>
      </c>
      <c r="EK155">
        <f ca="1"/>
      </c>
      <c r="EL155">
        <f ca="1"/>
      </c>
      <c r="EM155">
        <f ca="1"/>
      </c>
      <c r="EN155">
        <f ca="1"/>
      </c>
      <c r="EO155">
        <f ca="1"/>
      </c>
      <c r="E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FS155">
        <f ca="1"/>
      </c>
      <c r="FT155">
        <f ca="1"/>
      </c>
      <c r="FU155">
        <f ca="1"/>
      </c>
      <c r="FV155">
        <f ca="1"/>
      </c>
      <c r="FW155">
        <f ca="1"/>
      </c>
      <c r="FX155">
        <f ca="1"/>
      </c>
      <c r="FY155">
        <f ca="1"/>
      </c>
      <c r="FZ155">
        <f ca="1"/>
      </c>
      <c r="GA155">
        <f ca="1"/>
      </c>
      <c r="GM155" s="7">
        <f ca="1"/>
      </c>
      <c r="GN155">
        <f ca="1"/>
      </c>
      <c r="GO155">
        <f ca="1"/>
      </c>
      <c r="GP155">
        <f ca="1"/>
      </c>
      <c r="GQ155">
        <f ca="1"/>
      </c>
    </row>
    <row r="156" spans="41:199" x14ac:dyDescent="0.55000000000000004">
      <c r="AO156">
        <f ca="1"/>
      </c>
      <c r="AP156">
        <f ca="1"/>
      </c>
      <c r="AQ156">
        <f ca="1"/>
      </c>
      <c r="AR156">
        <f ca="1"/>
      </c>
      <c r="AS156">
        <f ca="1"/>
      </c>
      <c r="AT156">
        <f ca="1"/>
      </c>
      <c r="AU156">
        <f ca="1"/>
      </c>
      <c r="AV156">
        <f ca="1"/>
      </c>
      <c r="AW156">
        <f ca="1"/>
      </c>
      <c r="AX156">
        <f ca="1"/>
      </c>
      <c r="AY156">
        <f ca="1"/>
      </c>
      <c r="AZ156">
        <f ca="1"/>
      </c>
      <c r="BA156">
        <f ca="1"/>
      </c>
      <c r="BB156">
        <f ca="1"/>
      </c>
      <c r="BC156">
        <f ca="1"/>
      </c>
      <c r="BD156">
        <f ca="1"/>
      </c>
      <c r="BE156">
        <f ca="1"/>
      </c>
      <c r="BF156">
        <f ca="1"/>
      </c>
      <c r="BG156">
        <f ca="1"/>
      </c>
      <c r="BH156">
        <f ca="1"/>
      </c>
      <c r="BI156">
        <f ca="1"/>
      </c>
      <c r="BJ156">
        <f ca="1"/>
      </c>
      <c r="BK156">
        <f ca="1"/>
      </c>
      <c r="BL156">
        <f ca="1"/>
      </c>
      <c r="BM156">
        <f ca="1"/>
      </c>
      <c r="BN156">
        <f ca="1"/>
      </c>
      <c r="BO156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  <c r="BV156">
        <f ca="1"/>
      </c>
      <c r="BW156">
        <f ca="1"/>
      </c>
      <c r="BX156">
        <f ca="1"/>
      </c>
      <c r="BY156">
        <f ca="1"/>
      </c>
      <c r="BZ156">
        <f ca="1"/>
      </c>
      <c r="CA156">
        <f ca="1"/>
      </c>
      <c r="CB156">
        <f ca="1"/>
      </c>
      <c r="CC156">
        <f ca="1"/>
      </c>
      <c r="CD156">
        <f ca="1"/>
      </c>
      <c r="CE156">
        <f ca="1"/>
      </c>
      <c r="CF156">
        <f ca="1"/>
      </c>
      <c r="CG156">
        <f ca="1"/>
      </c>
      <c r="CH156">
        <f ca="1"/>
      </c>
      <c r="CI156">
        <f ca="1"/>
      </c>
      <c r="CK156">
        <f ca="1"/>
      </c>
      <c r="CL156">
        <f ca="1"/>
      </c>
      <c r="CM156">
        <f ca="1"/>
      </c>
      <c r="CN156">
        <f ca="1"/>
      </c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DQ156">
        <f ca="1"/>
      </c>
      <c r="DR156">
        <f ca="1"/>
      </c>
      <c r="DS156">
        <f ca="1"/>
      </c>
      <c r="DT156">
        <f ca="1"/>
      </c>
      <c r="DU156">
        <f ca="1"/>
      </c>
      <c r="DV156">
        <f ca="1"/>
      </c>
      <c r="DW156">
        <f ca="1"/>
      </c>
      <c r="DX156">
        <f ca="1"/>
      </c>
      <c r="DY156">
        <f ca="1"/>
      </c>
      <c r="DZ156">
        <f ca="1"/>
      </c>
      <c r="EA156">
        <f ca="1"/>
      </c>
      <c r="EB156">
        <f ca="1"/>
      </c>
      <c r="EC156">
        <f ca="1"/>
      </c>
      <c r="ED156">
        <f ca="1"/>
      </c>
      <c r="EE156">
        <f ca="1"/>
      </c>
      <c r="EG156">
        <f ca="1"/>
      </c>
      <c r="EH156">
        <f ca="1"/>
      </c>
      <c r="EI156">
        <f ca="1"/>
      </c>
      <c r="EJ156">
        <f ca="1"/>
      </c>
      <c r="EK156">
        <f ca="1"/>
      </c>
      <c r="EL156">
        <f ca="1"/>
      </c>
      <c r="EM156">
        <f ca="1"/>
      </c>
      <c r="EN156">
        <f ca="1"/>
      </c>
      <c r="EO156">
        <f ca="1"/>
      </c>
      <c r="E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FS156">
        <f ca="1"/>
      </c>
      <c r="FT156">
        <f ca="1"/>
      </c>
      <c r="FU156">
        <f ca="1"/>
      </c>
      <c r="FV156">
        <f ca="1"/>
      </c>
      <c r="FW156">
        <f ca="1"/>
      </c>
      <c r="FX156">
        <f ca="1"/>
      </c>
      <c r="FY156">
        <f ca="1"/>
      </c>
      <c r="FZ156">
        <f ca="1"/>
      </c>
      <c r="GA156">
        <f ca="1"/>
      </c>
      <c r="GM156" s="7">
        <f ca="1"/>
      </c>
      <c r="GN156">
        <f ca="1"/>
      </c>
      <c r="GO156">
        <f ca="1"/>
      </c>
      <c r="GP156">
        <f ca="1"/>
      </c>
      <c r="GQ156">
        <f ca="1"/>
      </c>
    </row>
    <row r="157" spans="41:199" x14ac:dyDescent="0.55000000000000004">
      <c r="AO157">
        <f ca="1"/>
      </c>
      <c r="AP157">
        <f ca="1"/>
      </c>
      <c r="AQ157">
        <f ca="1"/>
      </c>
      <c r="AR157">
        <f ca="1"/>
      </c>
      <c r="AS157">
        <f ca="1"/>
      </c>
      <c r="AT157">
        <f ca="1"/>
      </c>
      <c r="AU157">
        <f ca="1"/>
      </c>
      <c r="AV157">
        <f ca="1"/>
      </c>
      <c r="AW157">
        <f ca="1"/>
      </c>
      <c r="AX157">
        <f ca="1"/>
      </c>
      <c r="AY157">
        <f ca="1"/>
      </c>
      <c r="AZ157">
        <f ca="1"/>
      </c>
      <c r="BA157">
        <f ca="1"/>
      </c>
      <c r="BB157">
        <f ca="1"/>
      </c>
      <c r="BC157">
        <f ca="1"/>
      </c>
      <c r="BD157">
        <f ca="1"/>
      </c>
      <c r="BE157">
        <f ca="1"/>
      </c>
      <c r="BF157">
        <f ca="1"/>
      </c>
      <c r="BG157">
        <f ca="1"/>
      </c>
      <c r="BH157">
        <f ca="1"/>
      </c>
      <c r="BI157">
        <f ca="1"/>
      </c>
      <c r="BJ157">
        <f ca="1"/>
      </c>
      <c r="BK157">
        <f ca="1"/>
      </c>
      <c r="BL157">
        <f ca="1"/>
      </c>
      <c r="BM157">
        <f ca="1"/>
      </c>
      <c r="BN157">
        <f ca="1"/>
      </c>
      <c r="BO157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  <c r="BV157">
        <f ca="1"/>
      </c>
      <c r="BW157">
        <f ca="1"/>
      </c>
      <c r="BX157">
        <f ca="1"/>
      </c>
      <c r="BY157">
        <f ca="1"/>
      </c>
      <c r="BZ157">
        <f ca="1"/>
      </c>
      <c r="CA157">
        <f ca="1"/>
      </c>
      <c r="CB157">
        <f ca="1"/>
      </c>
      <c r="CC157">
        <f ca="1"/>
      </c>
      <c r="CD157">
        <f ca="1"/>
      </c>
      <c r="CE157">
        <f ca="1"/>
      </c>
      <c r="CF157">
        <f ca="1"/>
      </c>
      <c r="CG157">
        <f ca="1"/>
      </c>
      <c r="CH157">
        <f ca="1"/>
      </c>
      <c r="CI157">
        <f ca="1"/>
      </c>
      <c r="CK157">
        <f ca="1"/>
      </c>
      <c r="CL157">
        <f ca="1"/>
      </c>
      <c r="CM157">
        <f ca="1"/>
      </c>
      <c r="CN157">
        <f ca="1"/>
      </c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DQ157">
        <f ca="1"/>
      </c>
      <c r="DR157">
        <f ca="1"/>
      </c>
      <c r="DS157">
        <f ca="1"/>
      </c>
      <c r="DT157">
        <f ca="1"/>
      </c>
      <c r="DU157">
        <f ca="1"/>
      </c>
      <c r="DV157">
        <f ca="1"/>
      </c>
      <c r="DW157">
        <f ca="1"/>
      </c>
      <c r="DX157">
        <f ca="1"/>
      </c>
      <c r="DY157">
        <f ca="1"/>
      </c>
      <c r="DZ157">
        <f ca="1"/>
      </c>
      <c r="EA157">
        <f ca="1"/>
      </c>
      <c r="EB157">
        <f ca="1"/>
      </c>
      <c r="EC157">
        <f ca="1"/>
      </c>
      <c r="ED157">
        <f ca="1"/>
      </c>
      <c r="EE157">
        <f ca="1"/>
      </c>
      <c r="EG157">
        <f ca="1"/>
      </c>
      <c r="EH157">
        <f ca="1"/>
      </c>
      <c r="EI157">
        <f ca="1"/>
      </c>
      <c r="EJ157">
        <f ca="1"/>
      </c>
      <c r="EK157">
        <f ca="1"/>
      </c>
      <c r="EL157">
        <f ca="1"/>
      </c>
      <c r="EM157">
        <f ca="1"/>
      </c>
      <c r="EN157">
        <f ca="1"/>
      </c>
      <c r="EO157">
        <f ca="1"/>
      </c>
      <c r="E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FS157">
        <f ca="1"/>
      </c>
      <c r="FT157">
        <f ca="1"/>
      </c>
      <c r="FU157">
        <f ca="1"/>
      </c>
      <c r="FV157">
        <f ca="1"/>
      </c>
      <c r="FW157">
        <f ca="1"/>
      </c>
      <c r="FX157">
        <f ca="1"/>
      </c>
      <c r="FY157">
        <f ca="1"/>
      </c>
      <c r="FZ157">
        <f ca="1"/>
      </c>
      <c r="GA157">
        <f ca="1"/>
      </c>
      <c r="GM157" s="7">
        <f ca="1"/>
      </c>
      <c r="GN157">
        <f ca="1"/>
      </c>
      <c r="GO157">
        <f ca="1"/>
      </c>
      <c r="GP157">
        <f ca="1"/>
      </c>
      <c r="GQ157">
        <f ca="1"/>
      </c>
    </row>
    <row r="158" spans="41:199" x14ac:dyDescent="0.55000000000000004">
      <c r="AO158">
        <f ca="1"/>
      </c>
      <c r="AP158">
        <f ca="1"/>
      </c>
      <c r="AQ158">
        <f ca="1"/>
      </c>
      <c r="AR158">
        <f ca="1"/>
      </c>
      <c r="AS158">
        <f ca="1"/>
      </c>
      <c r="AT158">
        <f ca="1"/>
      </c>
      <c r="AU158">
        <f ca="1"/>
      </c>
      <c r="AV158">
        <f ca="1"/>
      </c>
      <c r="AW158">
        <f ca="1"/>
      </c>
      <c r="AX158">
        <f ca="1"/>
      </c>
      <c r="AY158">
        <f ca="1"/>
      </c>
      <c r="AZ158">
        <f ca="1"/>
      </c>
      <c r="BA158">
        <f ca="1"/>
      </c>
      <c r="BB158">
        <f ca="1"/>
      </c>
      <c r="BC158">
        <f ca="1"/>
      </c>
      <c r="BD158">
        <f ca="1"/>
      </c>
      <c r="BE158">
        <f ca="1"/>
      </c>
      <c r="BF158">
        <f ca="1"/>
      </c>
      <c r="BG158">
        <f ca="1"/>
      </c>
      <c r="BH158">
        <f ca="1"/>
      </c>
      <c r="BI158">
        <f ca="1"/>
      </c>
      <c r="BJ158">
        <f ca="1"/>
      </c>
      <c r="BK158">
        <f ca="1"/>
      </c>
      <c r="BL158">
        <f ca="1"/>
      </c>
      <c r="BM158">
        <f ca="1"/>
      </c>
      <c r="BN158">
        <f ca="1"/>
      </c>
      <c r="BO158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  <c r="BV158">
        <f ca="1"/>
      </c>
      <c r="BW158">
        <f ca="1"/>
      </c>
      <c r="BX158">
        <f ca="1"/>
      </c>
      <c r="BY158">
        <f ca="1"/>
      </c>
      <c r="BZ158">
        <f ca="1"/>
      </c>
      <c r="CA158">
        <f ca="1"/>
      </c>
      <c r="CB158">
        <f ca="1"/>
      </c>
      <c r="CC158">
        <f ca="1"/>
      </c>
      <c r="CD158">
        <f ca="1"/>
      </c>
      <c r="CE158">
        <f ca="1"/>
      </c>
      <c r="CF158">
        <f ca="1"/>
      </c>
      <c r="CG158">
        <f ca="1"/>
      </c>
      <c r="CH158">
        <f ca="1"/>
      </c>
      <c r="CI158">
        <f ca="1"/>
      </c>
      <c r="CK158">
        <f ca="1"/>
      </c>
      <c r="CL158">
        <f ca="1"/>
      </c>
      <c r="CM158">
        <f ca="1"/>
      </c>
      <c r="CN158">
        <f ca="1"/>
      </c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DQ158">
        <f ca="1"/>
      </c>
      <c r="DR158">
        <f ca="1"/>
      </c>
      <c r="DS158">
        <f ca="1"/>
      </c>
      <c r="DT158">
        <f ca="1"/>
      </c>
      <c r="DU158">
        <f ca="1"/>
      </c>
      <c r="DV158">
        <f ca="1"/>
      </c>
      <c r="DW158">
        <f ca="1"/>
      </c>
      <c r="DX158">
        <f ca="1"/>
      </c>
      <c r="DY158">
        <f ca="1"/>
      </c>
      <c r="DZ158">
        <f ca="1"/>
      </c>
      <c r="EA158">
        <f ca="1"/>
      </c>
      <c r="EB158">
        <f ca="1"/>
      </c>
      <c r="EC158">
        <f ca="1"/>
      </c>
      <c r="ED158">
        <f ca="1"/>
      </c>
      <c r="EE158">
        <f ca="1"/>
      </c>
      <c r="EG158">
        <f ca="1"/>
      </c>
      <c r="EH158">
        <f ca="1"/>
      </c>
      <c r="EI158">
        <f ca="1"/>
      </c>
      <c r="EJ158">
        <f ca="1"/>
      </c>
      <c r="EK158">
        <f ca="1"/>
      </c>
      <c r="EL158">
        <f ca="1"/>
      </c>
      <c r="EM158">
        <f ca="1"/>
      </c>
      <c r="EN158">
        <f ca="1"/>
      </c>
      <c r="EO158">
        <f ca="1"/>
      </c>
      <c r="E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FS158">
        <f ca="1"/>
      </c>
      <c r="FT158">
        <f ca="1"/>
      </c>
      <c r="FU158">
        <f ca="1"/>
      </c>
      <c r="FV158">
        <f ca="1"/>
      </c>
      <c r="FW158">
        <f ca="1"/>
      </c>
      <c r="FX158">
        <f ca="1"/>
      </c>
      <c r="FY158">
        <f ca="1"/>
      </c>
      <c r="FZ158">
        <f ca="1"/>
      </c>
      <c r="GA158">
        <f ca="1"/>
      </c>
      <c r="GM158" s="7">
        <f ca="1"/>
      </c>
      <c r="GN158">
        <f ca="1"/>
      </c>
      <c r="GO158">
        <f ca="1"/>
      </c>
      <c r="GP158">
        <f ca="1"/>
      </c>
      <c r="GQ158">
        <f ca="1"/>
      </c>
    </row>
    <row r="159" spans="41:199" x14ac:dyDescent="0.55000000000000004">
      <c r="AO159">
        <f ca="1"/>
      </c>
      <c r="AP159">
        <f ca="1"/>
      </c>
      <c r="AQ159">
        <f ca="1"/>
      </c>
      <c r="AR159">
        <f ca="1"/>
      </c>
      <c r="AS159">
        <f ca="1"/>
      </c>
      <c r="AT159">
        <f ca="1"/>
      </c>
      <c r="AU159">
        <f ca="1"/>
      </c>
      <c r="AV159">
        <f ca="1"/>
      </c>
      <c r="AW159">
        <f ca="1"/>
      </c>
      <c r="AX159">
        <f ca="1"/>
      </c>
      <c r="AY159">
        <f ca="1"/>
      </c>
      <c r="AZ159">
        <f ca="1"/>
      </c>
      <c r="BA159">
        <f ca="1"/>
      </c>
      <c r="BB159">
        <f ca="1"/>
      </c>
      <c r="BC159">
        <f ca="1"/>
      </c>
      <c r="BD159">
        <f ca="1"/>
      </c>
      <c r="BE159">
        <f ca="1"/>
      </c>
      <c r="BF159">
        <f ca="1"/>
      </c>
      <c r="BG159">
        <f ca="1"/>
      </c>
      <c r="BH159">
        <f ca="1"/>
      </c>
      <c r="BI159">
        <f ca="1"/>
      </c>
      <c r="BJ159">
        <f ca="1"/>
      </c>
      <c r="BK159">
        <f ca="1"/>
      </c>
      <c r="BL159">
        <f ca="1"/>
      </c>
      <c r="BM159">
        <f ca="1"/>
      </c>
      <c r="BN159">
        <f ca="1"/>
      </c>
      <c r="BO159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  <c r="BV159">
        <f ca="1"/>
      </c>
      <c r="BW159">
        <f ca="1"/>
      </c>
      <c r="BX159">
        <f ca="1"/>
      </c>
      <c r="BY159">
        <f ca="1"/>
      </c>
      <c r="BZ159">
        <f ca="1"/>
      </c>
      <c r="CA159">
        <f ca="1"/>
      </c>
      <c r="CB159">
        <f ca="1"/>
      </c>
      <c r="CC159">
        <f ca="1"/>
      </c>
      <c r="CD159">
        <f ca="1"/>
      </c>
      <c r="CE159">
        <f ca="1"/>
      </c>
      <c r="CF159">
        <f ca="1"/>
      </c>
      <c r="CG159">
        <f ca="1"/>
      </c>
      <c r="CH159">
        <f ca="1"/>
      </c>
      <c r="CI159">
        <f ca="1"/>
      </c>
      <c r="CK159">
        <f ca="1"/>
      </c>
      <c r="CL159">
        <f ca="1"/>
      </c>
      <c r="CM159">
        <f ca="1"/>
      </c>
      <c r="CN159">
        <f ca="1"/>
      </c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DQ159">
        <f ca="1"/>
      </c>
      <c r="DR159">
        <f ca="1"/>
      </c>
      <c r="DS159">
        <f ca="1"/>
      </c>
      <c r="DT159">
        <f ca="1"/>
      </c>
      <c r="DU159">
        <f ca="1"/>
      </c>
      <c r="DV159">
        <f ca="1"/>
      </c>
      <c r="DW159">
        <f ca="1"/>
      </c>
      <c r="DX159">
        <f ca="1"/>
      </c>
      <c r="DY159">
        <f ca="1"/>
      </c>
      <c r="DZ159">
        <f ca="1"/>
      </c>
      <c r="EA159">
        <f ca="1"/>
      </c>
      <c r="EB159">
        <f ca="1"/>
      </c>
      <c r="EC159">
        <f ca="1"/>
      </c>
      <c r="ED159">
        <f ca="1"/>
      </c>
      <c r="EE159">
        <f ca="1"/>
      </c>
      <c r="EG159">
        <f ca="1"/>
      </c>
      <c r="EH159">
        <f ca="1"/>
      </c>
      <c r="EI159">
        <f ca="1"/>
      </c>
      <c r="EJ159">
        <f ca="1"/>
      </c>
      <c r="EK159">
        <f ca="1"/>
      </c>
      <c r="EL159">
        <f ca="1"/>
      </c>
      <c r="EM159">
        <f ca="1"/>
      </c>
      <c r="EN159">
        <f ca="1"/>
      </c>
      <c r="EO159">
        <f ca="1"/>
      </c>
      <c r="E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FS159">
        <f ca="1"/>
      </c>
      <c r="FT159">
        <f ca="1"/>
      </c>
      <c r="FU159">
        <f ca="1"/>
      </c>
      <c r="FV159">
        <f ca="1"/>
      </c>
      <c r="FW159">
        <f ca="1"/>
      </c>
      <c r="FX159">
        <f ca="1"/>
      </c>
      <c r="FY159">
        <f ca="1"/>
      </c>
      <c r="FZ159">
        <f ca="1"/>
      </c>
      <c r="GA159">
        <f ca="1"/>
      </c>
      <c r="GM159" s="7">
        <f ca="1"/>
      </c>
      <c r="GN159">
        <f ca="1"/>
      </c>
      <c r="GO159">
        <f ca="1"/>
      </c>
      <c r="GP159">
        <f ca="1"/>
      </c>
      <c r="GQ159">
        <f ca="1"/>
      </c>
    </row>
    <row r="160" spans="41:199" x14ac:dyDescent="0.55000000000000004">
      <c r="AO160">
        <f ca="1"/>
      </c>
      <c r="AP160">
        <f ca="1"/>
      </c>
      <c r="AQ160">
        <f ca="1"/>
      </c>
      <c r="AR160">
        <f ca="1"/>
      </c>
      <c r="AS160">
        <f ca="1"/>
      </c>
      <c r="AT160">
        <f ca="1"/>
      </c>
      <c r="AU160">
        <f ca="1"/>
      </c>
      <c r="AV160">
        <f ca="1"/>
      </c>
      <c r="AW160">
        <f ca="1"/>
      </c>
      <c r="AX160">
        <f ca="1"/>
      </c>
      <c r="AY160">
        <f ca="1"/>
      </c>
      <c r="AZ160">
        <f ca="1"/>
      </c>
      <c r="BA160">
        <f ca="1"/>
      </c>
      <c r="BB160">
        <f ca="1"/>
      </c>
      <c r="BC160">
        <f ca="1"/>
      </c>
      <c r="BD160">
        <f ca="1"/>
      </c>
      <c r="BE160">
        <f ca="1"/>
      </c>
      <c r="BF160">
        <f ca="1"/>
      </c>
      <c r="BG160">
        <f ca="1"/>
      </c>
      <c r="BH160">
        <f ca="1"/>
      </c>
      <c r="BI160">
        <f ca="1"/>
      </c>
      <c r="BJ160">
        <f ca="1"/>
      </c>
      <c r="BK160">
        <f ca="1"/>
      </c>
      <c r="BL160">
        <f ca="1"/>
      </c>
      <c r="BM160">
        <f ca="1"/>
      </c>
      <c r="BN160">
        <f ca="1"/>
      </c>
      <c r="BO160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  <c r="BV160">
        <f ca="1"/>
      </c>
      <c r="BW160">
        <f ca="1"/>
      </c>
      <c r="BX160">
        <f ca="1"/>
      </c>
      <c r="BY160">
        <f ca="1"/>
      </c>
      <c r="BZ160">
        <f ca="1"/>
      </c>
      <c r="CA160">
        <f ca="1"/>
      </c>
      <c r="CB160">
        <f ca="1"/>
      </c>
      <c r="CC160">
        <f ca="1"/>
      </c>
      <c r="CD160">
        <f ca="1"/>
      </c>
      <c r="CE160">
        <f ca="1"/>
      </c>
      <c r="CF160">
        <f ca="1"/>
      </c>
      <c r="CG160">
        <f ca="1"/>
      </c>
      <c r="CH160">
        <f ca="1"/>
      </c>
      <c r="CI160">
        <f ca="1"/>
      </c>
      <c r="CK160">
        <f ca="1"/>
      </c>
      <c r="CL160">
        <f ca="1"/>
      </c>
      <c r="CM160">
        <f ca="1"/>
      </c>
      <c r="CN160">
        <f ca="1"/>
      </c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DQ160">
        <f ca="1"/>
      </c>
      <c r="DR160">
        <f ca="1"/>
      </c>
      <c r="DS160">
        <f ca="1"/>
      </c>
      <c r="DT160">
        <f ca="1"/>
      </c>
      <c r="DU160">
        <f ca="1"/>
      </c>
      <c r="DV160">
        <f ca="1"/>
      </c>
      <c r="DW160">
        <f ca="1"/>
      </c>
      <c r="DX160">
        <f ca="1"/>
      </c>
      <c r="DY160">
        <f ca="1"/>
      </c>
      <c r="DZ160">
        <f ca="1"/>
      </c>
      <c r="EA160">
        <f ca="1"/>
      </c>
      <c r="EB160">
        <f ca="1"/>
      </c>
      <c r="EC160">
        <f ca="1"/>
      </c>
      <c r="ED160">
        <f ca="1"/>
      </c>
      <c r="EE160">
        <f ca="1"/>
      </c>
      <c r="EG160">
        <f ca="1"/>
      </c>
      <c r="EH160">
        <f ca="1"/>
      </c>
      <c r="EI160">
        <f ca="1"/>
      </c>
      <c r="EJ160">
        <f ca="1"/>
      </c>
      <c r="EK160">
        <f ca="1"/>
      </c>
      <c r="EL160">
        <f ca="1"/>
      </c>
      <c r="EM160">
        <f ca="1"/>
      </c>
      <c r="EN160">
        <f ca="1"/>
      </c>
      <c r="EO160">
        <f ca="1"/>
      </c>
      <c r="E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FS160">
        <f ca="1"/>
      </c>
      <c r="FT160">
        <f ca="1"/>
      </c>
      <c r="FU160">
        <f ca="1"/>
      </c>
      <c r="FV160">
        <f ca="1"/>
      </c>
      <c r="FW160">
        <f ca="1"/>
      </c>
      <c r="FX160">
        <f ca="1"/>
      </c>
      <c r="FY160">
        <f ca="1"/>
      </c>
      <c r="FZ160">
        <f ca="1"/>
      </c>
      <c r="GA160">
        <f ca="1"/>
      </c>
      <c r="GM160" s="7">
        <f ca="1"/>
      </c>
      <c r="GN160">
        <f ca="1"/>
      </c>
      <c r="GO160">
        <f ca="1"/>
      </c>
      <c r="GP160">
        <f ca="1"/>
      </c>
      <c r="GQ160">
        <f ca="1"/>
      </c>
    </row>
    <row r="161" spans="41:199" x14ac:dyDescent="0.55000000000000004">
      <c r="AO161">
        <f ca="1"/>
      </c>
      <c r="AP161">
        <f ca="1"/>
      </c>
      <c r="AQ161">
        <f ca="1"/>
      </c>
      <c r="AR161">
        <f ca="1"/>
      </c>
      <c r="AS161">
        <f ca="1"/>
      </c>
      <c r="AT161">
        <f ca="1"/>
      </c>
      <c r="AU161">
        <f ca="1"/>
      </c>
      <c r="AV161">
        <f ca="1"/>
      </c>
      <c r="AW161">
        <f ca="1"/>
      </c>
      <c r="AX161">
        <f ca="1"/>
      </c>
      <c r="AY161">
        <f ca="1"/>
      </c>
      <c r="AZ161">
        <f ca="1"/>
      </c>
      <c r="BA161">
        <f ca="1"/>
      </c>
      <c r="BB161">
        <f ca="1"/>
      </c>
      <c r="BC161">
        <f ca="1"/>
      </c>
      <c r="BD161">
        <f ca="1"/>
      </c>
      <c r="BE161">
        <f ca="1"/>
      </c>
      <c r="BF161">
        <f ca="1"/>
      </c>
      <c r="BG161">
        <f ca="1"/>
      </c>
      <c r="BH161">
        <f ca="1"/>
      </c>
      <c r="BI161">
        <f ca="1"/>
      </c>
      <c r="BJ161">
        <f ca="1"/>
      </c>
      <c r="BK161">
        <f ca="1"/>
      </c>
      <c r="BL161">
        <f ca="1"/>
      </c>
      <c r="BM161">
        <f ca="1"/>
      </c>
      <c r="BN161">
        <f ca="1"/>
      </c>
      <c r="BO161">
        <f ca="1"/>
      </c>
      <c r="BP161">
        <f ca="1"/>
      </c>
      <c r="BQ161">
        <f ca="1"/>
      </c>
      <c r="BR161">
        <f ca="1"/>
      </c>
      <c r="BS161">
        <f ca="1"/>
      </c>
      <c r="BT161">
        <f ca="1"/>
      </c>
      <c r="BU161">
        <f ca="1"/>
      </c>
      <c r="BV161">
        <f ca="1"/>
      </c>
      <c r="BW161">
        <f ca="1"/>
      </c>
      <c r="BX161">
        <f ca="1"/>
      </c>
      <c r="BY161">
        <f ca="1"/>
      </c>
      <c r="BZ161">
        <f ca="1"/>
      </c>
      <c r="CA161">
        <f ca="1"/>
      </c>
      <c r="CB161">
        <f ca="1"/>
      </c>
      <c r="CC161">
        <f ca="1"/>
      </c>
      <c r="CD161">
        <f ca="1"/>
      </c>
      <c r="CE161">
        <f ca="1"/>
      </c>
      <c r="CF161">
        <f ca="1"/>
      </c>
      <c r="CG161">
        <f ca="1"/>
      </c>
      <c r="CH161">
        <f ca="1"/>
      </c>
      <c r="CI161">
        <f ca="1"/>
      </c>
      <c r="CK161">
        <f ca="1"/>
      </c>
      <c r="CL161">
        <f ca="1"/>
      </c>
      <c r="CM161">
        <f ca="1"/>
      </c>
      <c r="CN161">
        <f ca="1"/>
      </c>
      <c r="CO161">
        <f ca="1"/>
      </c>
      <c r="CP161">
        <f ca="1"/>
      </c>
      <c r="CQ161">
        <f ca="1"/>
      </c>
      <c r="CR161">
        <f ca="1"/>
      </c>
      <c r="CS161">
        <f ca="1"/>
      </c>
      <c r="CT161">
        <f ca="1"/>
      </c>
      <c r="CU161">
        <f ca="1"/>
      </c>
      <c r="CV161">
        <f ca="1"/>
      </c>
      <c r="CW161">
        <f ca="1"/>
      </c>
      <c r="CX161">
        <f ca="1"/>
      </c>
      <c r="CY161">
        <f ca="1"/>
      </c>
      <c r="CZ161">
        <f ca="1"/>
      </c>
      <c r="DA161">
        <f ca="1"/>
      </c>
      <c r="DB161">
        <f ca="1"/>
      </c>
      <c r="DC161">
        <f ca="1"/>
      </c>
      <c r="DD161">
        <f ca="1"/>
      </c>
      <c r="DE161">
        <f ca="1"/>
      </c>
      <c r="DF161">
        <f ca="1"/>
      </c>
      <c r="DG161">
        <f ca="1"/>
      </c>
      <c r="DH161">
        <f ca="1"/>
      </c>
      <c r="DI161">
        <f ca="1"/>
      </c>
      <c r="DJ161">
        <f ca="1"/>
      </c>
      <c r="DK161">
        <f ca="1"/>
      </c>
      <c r="DL161">
        <f ca="1"/>
      </c>
      <c r="DM161">
        <f ca="1"/>
      </c>
      <c r="DN161">
        <f ca="1"/>
      </c>
      <c r="DO161">
        <f ca="1"/>
      </c>
      <c r="DP161">
        <f ca="1"/>
      </c>
      <c r="DQ161">
        <f ca="1"/>
      </c>
      <c r="DR161">
        <f ca="1"/>
      </c>
      <c r="DS161">
        <f ca="1"/>
      </c>
      <c r="DT161">
        <f ca="1"/>
      </c>
      <c r="DU161">
        <f ca="1"/>
      </c>
      <c r="DV161">
        <f ca="1"/>
      </c>
      <c r="DW161">
        <f ca="1"/>
      </c>
      <c r="DX161">
        <f ca="1"/>
      </c>
      <c r="DY161">
        <f ca="1"/>
      </c>
      <c r="DZ161">
        <f ca="1"/>
      </c>
      <c r="EA161">
        <f ca="1"/>
      </c>
      <c r="EB161">
        <f ca="1"/>
      </c>
      <c r="EC161">
        <f ca="1"/>
      </c>
      <c r="ED161">
        <f ca="1"/>
      </c>
      <c r="EE161">
        <f ca="1"/>
      </c>
      <c r="EG161">
        <f ca="1"/>
      </c>
      <c r="EH161">
        <f ca="1"/>
      </c>
      <c r="EI161">
        <f ca="1"/>
      </c>
      <c r="EJ161">
        <f ca="1"/>
      </c>
      <c r="EK161">
        <f ca="1"/>
      </c>
      <c r="EL161">
        <f ca="1"/>
      </c>
      <c r="EM161">
        <f ca="1"/>
      </c>
      <c r="EN161">
        <f ca="1"/>
      </c>
      <c r="EO161">
        <f ca="1"/>
      </c>
      <c r="EP161">
        <f ca="1"/>
      </c>
      <c r="EQ161">
        <f ca="1"/>
      </c>
      <c r="ER161">
        <f ca="1"/>
      </c>
      <c r="ES161">
        <f ca="1"/>
      </c>
      <c r="ET161">
        <f ca="1"/>
      </c>
      <c r="EU161">
        <f ca="1"/>
      </c>
      <c r="EV161">
        <f ca="1"/>
      </c>
      <c r="EW161">
        <f ca="1"/>
      </c>
      <c r="EX161">
        <f ca="1"/>
      </c>
      <c r="EY161">
        <f ca="1"/>
      </c>
      <c r="EZ161">
        <f ca="1"/>
      </c>
      <c r="FA161">
        <f ca="1"/>
      </c>
      <c r="FB161">
        <f ca="1"/>
      </c>
      <c r="FC161">
        <f ca="1"/>
      </c>
      <c r="FD161">
        <f ca="1"/>
      </c>
      <c r="FE161">
        <f ca="1"/>
      </c>
      <c r="FF161">
        <f ca="1"/>
      </c>
      <c r="FG161">
        <f ca="1"/>
      </c>
      <c r="FH161">
        <f ca="1"/>
      </c>
      <c r="FI161">
        <f ca="1"/>
      </c>
      <c r="FJ161">
        <f ca="1"/>
      </c>
      <c r="FK161">
        <f ca="1"/>
      </c>
      <c r="FL161">
        <f ca="1"/>
      </c>
      <c r="FM161">
        <f ca="1"/>
      </c>
      <c r="FN161">
        <f ca="1"/>
      </c>
      <c r="FO161">
        <f ca="1"/>
      </c>
      <c r="FP161">
        <f ca="1"/>
      </c>
      <c r="FQ161">
        <f ca="1"/>
      </c>
      <c r="FR161">
        <f ca="1"/>
      </c>
      <c r="FS161">
        <f ca="1"/>
      </c>
      <c r="FT161">
        <f ca="1"/>
      </c>
      <c r="FU161">
        <f ca="1"/>
      </c>
      <c r="FV161">
        <f ca="1"/>
      </c>
      <c r="FW161">
        <f ca="1"/>
      </c>
      <c r="FX161">
        <f ca="1"/>
      </c>
      <c r="FY161">
        <f ca="1"/>
      </c>
      <c r="FZ161">
        <f ca="1"/>
      </c>
      <c r="GA161">
        <f ca="1"/>
      </c>
      <c r="GM161" s="7">
        <f ca="1"/>
      </c>
      <c r="GN161">
        <f ca="1"/>
      </c>
      <c r="GO161">
        <f ca="1"/>
      </c>
      <c r="GP161">
        <f ca="1"/>
      </c>
      <c r="GQ161">
        <f ca="1"/>
      </c>
    </row>
    <row r="162" spans="41:199" x14ac:dyDescent="0.55000000000000004">
      <c r="AO162">
        <f ca="1"/>
      </c>
      <c r="AP162">
        <f ca="1"/>
      </c>
      <c r="AQ162">
        <f ca="1"/>
      </c>
      <c r="AR162">
        <f ca="1"/>
      </c>
      <c r="AS162">
        <f ca="1"/>
      </c>
      <c r="AT162">
        <f ca="1"/>
      </c>
      <c r="AU162">
        <f ca="1"/>
      </c>
      <c r="AV162">
        <f ca="1"/>
      </c>
      <c r="AW162">
        <f ca="1"/>
      </c>
      <c r="AX162">
        <f ca="1"/>
      </c>
      <c r="AY162">
        <f ca="1"/>
      </c>
      <c r="AZ162">
        <f ca="1"/>
      </c>
      <c r="BA162">
        <f ca="1"/>
      </c>
      <c r="BB162">
        <f ca="1"/>
      </c>
      <c r="BC162">
        <f ca="1"/>
      </c>
      <c r="BD162">
        <f ca="1"/>
      </c>
      <c r="BE162">
        <f ca="1"/>
      </c>
      <c r="BF162">
        <f ca="1"/>
      </c>
      <c r="BG162">
        <f ca="1"/>
      </c>
      <c r="BH162">
        <f ca="1"/>
      </c>
      <c r="BI162">
        <f ca="1"/>
      </c>
      <c r="BJ162">
        <f ca="1"/>
      </c>
      <c r="BK162">
        <f ca="1"/>
      </c>
      <c r="BL162">
        <f ca="1"/>
      </c>
      <c r="BM162">
        <f ca="1"/>
      </c>
      <c r="BN162">
        <f ca="1"/>
      </c>
      <c r="BO162">
        <f ca="1"/>
      </c>
      <c r="BP162">
        <f ca="1"/>
      </c>
      <c r="BQ162">
        <f ca="1"/>
      </c>
      <c r="BR162">
        <f ca="1"/>
      </c>
      <c r="BS162">
        <f ca="1"/>
      </c>
      <c r="BT162">
        <f ca="1"/>
      </c>
      <c r="BU162">
        <f ca="1"/>
      </c>
      <c r="BV162">
        <f ca="1"/>
      </c>
      <c r="BW162">
        <f ca="1"/>
      </c>
      <c r="BX162">
        <f ca="1"/>
      </c>
      <c r="BY162">
        <f ca="1"/>
      </c>
      <c r="BZ162">
        <f ca="1"/>
      </c>
      <c r="CA162">
        <f ca="1"/>
      </c>
      <c r="CB162">
        <f ca="1"/>
      </c>
      <c r="CC162">
        <f ca="1"/>
      </c>
      <c r="CD162">
        <f ca="1"/>
      </c>
      <c r="CE162">
        <f ca="1"/>
      </c>
      <c r="CF162">
        <f ca="1"/>
      </c>
      <c r="CG162">
        <f ca="1"/>
      </c>
      <c r="CH162">
        <f ca="1"/>
      </c>
      <c r="CI162">
        <f ca="1"/>
      </c>
      <c r="CK162">
        <f ca="1"/>
      </c>
      <c r="CL162">
        <f ca="1"/>
      </c>
      <c r="CM162">
        <f ca="1"/>
      </c>
      <c r="CN162">
        <f ca="1"/>
      </c>
      <c r="CO162">
        <f ca="1"/>
      </c>
      <c r="CP162">
        <f ca="1"/>
      </c>
      <c r="CQ162">
        <f ca="1"/>
      </c>
      <c r="CR162">
        <f ca="1"/>
      </c>
      <c r="CS162">
        <f ca="1"/>
      </c>
      <c r="CT162">
        <f ca="1"/>
      </c>
      <c r="CU162">
        <f ca="1"/>
      </c>
      <c r="CV162">
        <f ca="1"/>
      </c>
      <c r="CW162">
        <f ca="1"/>
      </c>
      <c r="CX162">
        <f ca="1"/>
      </c>
      <c r="CY162">
        <f ca="1"/>
      </c>
      <c r="CZ162">
        <f ca="1"/>
      </c>
      <c r="DA162">
        <f ca="1"/>
      </c>
      <c r="DB162">
        <f ca="1"/>
      </c>
      <c r="DC162">
        <f ca="1"/>
      </c>
      <c r="DD162">
        <f ca="1"/>
      </c>
      <c r="DE162">
        <f ca="1"/>
      </c>
      <c r="DF162">
        <f ca="1"/>
      </c>
      <c r="DG162">
        <f ca="1"/>
      </c>
      <c r="DH162">
        <f ca="1"/>
      </c>
      <c r="DI162">
        <f ca="1"/>
      </c>
      <c r="DJ162">
        <f ca="1"/>
      </c>
      <c r="DK162">
        <f ca="1"/>
      </c>
      <c r="DL162">
        <f ca="1"/>
      </c>
      <c r="DM162">
        <f ca="1"/>
      </c>
      <c r="DN162">
        <f ca="1"/>
      </c>
      <c r="DO162">
        <f ca="1"/>
      </c>
      <c r="DP162">
        <f ca="1"/>
      </c>
      <c r="DQ162">
        <f ca="1"/>
      </c>
      <c r="DR162">
        <f ca="1"/>
      </c>
      <c r="DS162">
        <f ca="1"/>
      </c>
      <c r="DT162">
        <f ca="1"/>
      </c>
      <c r="DU162">
        <f ca="1"/>
      </c>
      <c r="DV162">
        <f ca="1"/>
      </c>
      <c r="DW162">
        <f ca="1"/>
      </c>
      <c r="DX162">
        <f ca="1"/>
      </c>
      <c r="DY162">
        <f ca="1"/>
      </c>
      <c r="DZ162">
        <f ca="1"/>
      </c>
      <c r="EA162">
        <f ca="1"/>
      </c>
      <c r="EB162">
        <f ca="1"/>
      </c>
      <c r="EC162">
        <f ca="1"/>
      </c>
      <c r="ED162">
        <f ca="1"/>
      </c>
      <c r="EE162">
        <f ca="1"/>
      </c>
      <c r="EG162">
        <f ca="1"/>
      </c>
      <c r="EH162">
        <f ca="1"/>
      </c>
      <c r="EI162">
        <f ca="1"/>
      </c>
      <c r="EJ162">
        <f ca="1"/>
      </c>
      <c r="EK162">
        <f ca="1"/>
      </c>
      <c r="EL162">
        <f ca="1"/>
      </c>
      <c r="EM162">
        <f ca="1"/>
      </c>
      <c r="EN162">
        <f ca="1"/>
      </c>
      <c r="EO162">
        <f ca="1"/>
      </c>
      <c r="EP162">
        <f ca="1"/>
      </c>
      <c r="EQ162">
        <f ca="1"/>
      </c>
      <c r="ER162">
        <f ca="1"/>
      </c>
      <c r="ES162">
        <f ca="1"/>
      </c>
      <c r="ET162">
        <f ca="1"/>
      </c>
      <c r="EU162">
        <f ca="1"/>
      </c>
      <c r="EV162">
        <f ca="1"/>
      </c>
      <c r="EW162">
        <f ca="1"/>
      </c>
      <c r="EX162">
        <f ca="1"/>
      </c>
      <c r="EY162">
        <f ca="1"/>
      </c>
      <c r="EZ162">
        <f ca="1"/>
      </c>
      <c r="FA162">
        <f ca="1"/>
      </c>
      <c r="FB162">
        <f ca="1"/>
      </c>
      <c r="FC162">
        <f ca="1"/>
      </c>
      <c r="FD162">
        <f ca="1"/>
      </c>
      <c r="FE162">
        <f ca="1"/>
      </c>
      <c r="FF162">
        <f ca="1"/>
      </c>
      <c r="FG162">
        <f ca="1"/>
      </c>
      <c r="FH162">
        <f ca="1"/>
      </c>
      <c r="FI162">
        <f ca="1"/>
      </c>
      <c r="FJ162">
        <f ca="1"/>
      </c>
      <c r="FK162">
        <f ca="1"/>
      </c>
      <c r="FL162">
        <f ca="1"/>
      </c>
      <c r="FM162">
        <f ca="1"/>
      </c>
      <c r="FN162">
        <f ca="1"/>
      </c>
      <c r="FO162">
        <f ca="1"/>
      </c>
      <c r="FP162">
        <f ca="1"/>
      </c>
      <c r="FQ162">
        <f ca="1"/>
      </c>
      <c r="FR162">
        <f ca="1"/>
      </c>
      <c r="FS162">
        <f ca="1"/>
      </c>
      <c r="FT162">
        <f ca="1"/>
      </c>
      <c r="FU162">
        <f ca="1"/>
      </c>
      <c r="FV162">
        <f ca="1"/>
      </c>
      <c r="FW162">
        <f ca="1"/>
      </c>
      <c r="FX162">
        <f ca="1"/>
      </c>
      <c r="FY162">
        <f ca="1"/>
      </c>
      <c r="FZ162">
        <f ca="1"/>
      </c>
      <c r="GA162">
        <f ca="1"/>
      </c>
      <c r="GM162" s="7">
        <f ca="1"/>
      </c>
      <c r="GN162">
        <f ca="1"/>
      </c>
      <c r="GO162">
        <f ca="1"/>
      </c>
      <c r="GP162">
        <f ca="1"/>
      </c>
      <c r="GQ162">
        <f ca="1"/>
      </c>
    </row>
    <row r="163" spans="41:199" x14ac:dyDescent="0.55000000000000004">
      <c r="AO163">
        <f ca="1"/>
      </c>
      <c r="AP163">
        <f ca="1"/>
      </c>
      <c r="AQ163">
        <f ca="1"/>
      </c>
      <c r="AR163">
        <f ca="1"/>
      </c>
      <c r="AS163">
        <f ca="1"/>
      </c>
      <c r="AT163">
        <f ca="1"/>
      </c>
      <c r="AU163">
        <f ca="1"/>
      </c>
      <c r="AV163">
        <f ca="1"/>
      </c>
      <c r="AW163">
        <f ca="1"/>
      </c>
      <c r="AX163">
        <f ca="1"/>
      </c>
      <c r="AY163">
        <f ca="1"/>
      </c>
      <c r="AZ163">
        <f ca="1"/>
      </c>
      <c r="BA163">
        <f ca="1"/>
      </c>
      <c r="BB163">
        <f ca="1"/>
      </c>
      <c r="BC163">
        <f ca="1"/>
      </c>
      <c r="BD163">
        <f ca="1"/>
      </c>
      <c r="BE163">
        <f ca="1"/>
      </c>
      <c r="BF163">
        <f ca="1"/>
      </c>
      <c r="BG163">
        <f ca="1"/>
      </c>
      <c r="BH163">
        <f ca="1"/>
      </c>
      <c r="BI163">
        <f ca="1"/>
      </c>
      <c r="BJ163">
        <f ca="1"/>
      </c>
      <c r="BK163">
        <f ca="1"/>
      </c>
      <c r="BL163">
        <f ca="1"/>
      </c>
      <c r="BM163">
        <f ca="1"/>
      </c>
      <c r="BN163">
        <f ca="1"/>
      </c>
      <c r="BO163">
        <f ca="1"/>
      </c>
      <c r="BP163">
        <f ca="1"/>
      </c>
      <c r="BQ163">
        <f ca="1"/>
      </c>
      <c r="BR163">
        <f ca="1"/>
      </c>
      <c r="BS163">
        <f ca="1"/>
      </c>
      <c r="BT163">
        <f ca="1"/>
      </c>
      <c r="BU163">
        <f ca="1"/>
      </c>
      <c r="BV163">
        <f ca="1"/>
      </c>
      <c r="BW163">
        <f ca="1"/>
      </c>
      <c r="BX163">
        <f ca="1"/>
      </c>
      <c r="BY163">
        <f ca="1"/>
      </c>
      <c r="BZ163">
        <f ca="1"/>
      </c>
      <c r="CA163">
        <f ca="1"/>
      </c>
      <c r="CB163">
        <f ca="1"/>
      </c>
      <c r="CC163">
        <f ca="1"/>
      </c>
      <c r="CD163">
        <f ca="1"/>
      </c>
      <c r="CE163">
        <f ca="1"/>
      </c>
      <c r="CF163">
        <f ca="1"/>
      </c>
      <c r="CG163">
        <f ca="1"/>
      </c>
      <c r="CH163">
        <f ca="1"/>
      </c>
      <c r="CI163">
        <f ca="1"/>
      </c>
      <c r="CK163">
        <f ca="1"/>
      </c>
      <c r="CL163">
        <f ca="1"/>
      </c>
      <c r="CM163">
        <f ca="1"/>
      </c>
      <c r="CN163">
        <f ca="1"/>
      </c>
      <c r="CO163">
        <f ca="1"/>
      </c>
      <c r="CP163">
        <f ca="1"/>
      </c>
      <c r="CQ163">
        <f ca="1"/>
      </c>
      <c r="CR163">
        <f ca="1"/>
      </c>
      <c r="CS163">
        <f ca="1"/>
      </c>
      <c r="CT163">
        <f ca="1"/>
      </c>
      <c r="CU163">
        <f ca="1"/>
      </c>
      <c r="CV163">
        <f ca="1"/>
      </c>
      <c r="CW163">
        <f ca="1"/>
      </c>
      <c r="CX163">
        <f ca="1"/>
      </c>
      <c r="CY163">
        <f ca="1"/>
      </c>
      <c r="CZ163">
        <f ca="1"/>
      </c>
      <c r="DA163">
        <f ca="1"/>
      </c>
      <c r="DB163">
        <f ca="1"/>
      </c>
      <c r="DC163">
        <f ca="1"/>
      </c>
      <c r="DD163">
        <f ca="1"/>
      </c>
      <c r="DE163">
        <f ca="1"/>
      </c>
      <c r="DF163">
        <f ca="1"/>
      </c>
      <c r="DG163">
        <f ca="1"/>
      </c>
      <c r="DH163">
        <f ca="1"/>
      </c>
      <c r="DI163">
        <f ca="1"/>
      </c>
      <c r="DJ163">
        <f ca="1"/>
      </c>
      <c r="DK163">
        <f ca="1"/>
      </c>
      <c r="DL163">
        <f ca="1"/>
      </c>
      <c r="DM163">
        <f ca="1"/>
      </c>
      <c r="DN163">
        <f ca="1"/>
      </c>
      <c r="DO163">
        <f ca="1"/>
      </c>
      <c r="DP163">
        <f ca="1"/>
      </c>
      <c r="DQ163">
        <f ca="1"/>
      </c>
      <c r="DR163">
        <f ca="1"/>
      </c>
      <c r="DS163">
        <f ca="1"/>
      </c>
      <c r="DT163">
        <f ca="1"/>
      </c>
      <c r="DU163">
        <f ca="1"/>
      </c>
      <c r="DV163">
        <f ca="1"/>
      </c>
      <c r="DW163">
        <f ca="1"/>
      </c>
      <c r="DX163">
        <f ca="1"/>
      </c>
      <c r="DY163">
        <f ca="1"/>
      </c>
      <c r="DZ163">
        <f ca="1"/>
      </c>
      <c r="EA163">
        <f ca="1"/>
      </c>
      <c r="EB163">
        <f ca="1"/>
      </c>
      <c r="EC163">
        <f ca="1"/>
      </c>
      <c r="ED163">
        <f ca="1"/>
      </c>
      <c r="EE163">
        <f ca="1"/>
      </c>
      <c r="EG163">
        <f ca="1"/>
      </c>
      <c r="EH163">
        <f ca="1"/>
      </c>
      <c r="EI163">
        <f ca="1"/>
      </c>
      <c r="EJ163">
        <f ca="1"/>
      </c>
      <c r="EK163">
        <f ca="1"/>
      </c>
      <c r="EL163">
        <f ca="1"/>
      </c>
      <c r="EM163">
        <f ca="1"/>
      </c>
      <c r="EN163">
        <f ca="1"/>
      </c>
      <c r="EO163">
        <f ca="1"/>
      </c>
      <c r="EP163">
        <f ca="1"/>
      </c>
      <c r="EQ163">
        <f ca="1"/>
      </c>
      <c r="ER163">
        <f ca="1"/>
      </c>
      <c r="ES163">
        <f ca="1"/>
      </c>
      <c r="ET163">
        <f ca="1"/>
      </c>
      <c r="EU163">
        <f ca="1"/>
      </c>
      <c r="EV163">
        <f ca="1"/>
      </c>
      <c r="EW163">
        <f ca="1"/>
      </c>
      <c r="EX163">
        <f ca="1"/>
      </c>
      <c r="EY163">
        <f ca="1"/>
      </c>
      <c r="EZ163">
        <f ca="1"/>
      </c>
      <c r="FA163">
        <f ca="1"/>
      </c>
      <c r="FB163">
        <f ca="1"/>
      </c>
      <c r="FC163">
        <f ca="1"/>
      </c>
      <c r="FD163">
        <f ca="1"/>
      </c>
      <c r="FE163">
        <f ca="1"/>
      </c>
      <c r="FF163">
        <f ca="1"/>
      </c>
      <c r="FG163">
        <f ca="1"/>
      </c>
      <c r="FH163">
        <f ca="1"/>
      </c>
      <c r="FI163">
        <f ca="1"/>
      </c>
      <c r="FJ163">
        <f ca="1"/>
      </c>
      <c r="FK163">
        <f ca="1"/>
      </c>
      <c r="FL163">
        <f ca="1"/>
      </c>
      <c r="FM163">
        <f ca="1"/>
      </c>
      <c r="FN163">
        <f ca="1"/>
      </c>
      <c r="FO163">
        <f ca="1"/>
      </c>
      <c r="FP163">
        <f ca="1"/>
      </c>
      <c r="FQ163">
        <f ca="1"/>
      </c>
      <c r="FR163">
        <f ca="1"/>
      </c>
      <c r="FS163">
        <f ca="1"/>
      </c>
      <c r="FT163">
        <f ca="1"/>
      </c>
      <c r="FU163">
        <f ca="1"/>
      </c>
      <c r="FV163">
        <f ca="1"/>
      </c>
      <c r="FW163">
        <f ca="1"/>
      </c>
      <c r="FX163">
        <f ca="1"/>
      </c>
      <c r="FY163">
        <f ca="1"/>
      </c>
      <c r="FZ163">
        <f ca="1"/>
      </c>
      <c r="GA163">
        <f ca="1"/>
      </c>
      <c r="GM163" s="7">
        <f ca="1"/>
      </c>
      <c r="GN163">
        <f ca="1"/>
      </c>
      <c r="GO163">
        <f ca="1"/>
      </c>
      <c r="GP163">
        <f ca="1"/>
      </c>
      <c r="GQ163">
        <f ca="1"/>
      </c>
    </row>
    <row r="164" spans="41:199" x14ac:dyDescent="0.55000000000000004">
      <c r="AO164">
        <f ca="1"/>
      </c>
      <c r="AP164">
        <f ca="1"/>
      </c>
      <c r="AQ164">
        <f ca="1"/>
      </c>
      <c r="AR164">
        <f ca="1"/>
      </c>
      <c r="AS164">
        <f ca="1"/>
      </c>
      <c r="AT164">
        <f ca="1"/>
      </c>
      <c r="AU164">
        <f ca="1"/>
      </c>
      <c r="AV164">
        <f ca="1"/>
      </c>
      <c r="AW164">
        <f ca="1"/>
      </c>
      <c r="AX164">
        <f ca="1"/>
      </c>
      <c r="AY164">
        <f ca="1"/>
      </c>
      <c r="AZ164">
        <f ca="1"/>
      </c>
      <c r="BA164">
        <f ca="1"/>
      </c>
      <c r="BB164">
        <f ca="1"/>
      </c>
      <c r="BC164">
        <f ca="1"/>
      </c>
      <c r="BD164">
        <f ca="1"/>
      </c>
      <c r="BE164">
        <f ca="1"/>
      </c>
      <c r="BF164">
        <f ca="1"/>
      </c>
      <c r="BG164">
        <f ca="1"/>
      </c>
      <c r="BH164">
        <f ca="1"/>
      </c>
      <c r="BI164">
        <f ca="1"/>
      </c>
      <c r="BJ164">
        <f ca="1"/>
      </c>
      <c r="BK164">
        <f ca="1"/>
      </c>
      <c r="BL164">
        <f ca="1"/>
      </c>
      <c r="BM164">
        <f ca="1"/>
      </c>
      <c r="BN164">
        <f ca="1"/>
      </c>
      <c r="BO164">
        <f ca="1"/>
      </c>
      <c r="BP164">
        <f ca="1"/>
      </c>
      <c r="BQ164">
        <f ca="1"/>
      </c>
      <c r="BR164">
        <f ca="1"/>
      </c>
      <c r="BS164">
        <f ca="1"/>
      </c>
      <c r="BT164">
        <f ca="1"/>
      </c>
      <c r="BU164">
        <f ca="1"/>
      </c>
      <c r="BV164">
        <f ca="1"/>
      </c>
      <c r="BW164">
        <f ca="1"/>
      </c>
      <c r="BX164">
        <f ca="1"/>
      </c>
      <c r="BY164">
        <f ca="1"/>
      </c>
      <c r="BZ164">
        <f ca="1"/>
      </c>
      <c r="CA164">
        <f ca="1"/>
      </c>
      <c r="CB164">
        <f ca="1"/>
      </c>
      <c r="CC164">
        <f ca="1"/>
      </c>
      <c r="CD164">
        <f ca="1"/>
      </c>
      <c r="CE164">
        <f ca="1"/>
      </c>
      <c r="CF164">
        <f ca="1"/>
      </c>
      <c r="CG164">
        <f ca="1"/>
      </c>
      <c r="CH164">
        <f ca="1"/>
      </c>
      <c r="CI164">
        <f ca="1"/>
      </c>
      <c r="CK164">
        <f ca="1"/>
      </c>
      <c r="CL164">
        <f ca="1"/>
      </c>
      <c r="CM164">
        <f ca="1"/>
      </c>
      <c r="CN164">
        <f ca="1"/>
      </c>
      <c r="CO164">
        <f ca="1"/>
      </c>
      <c r="CP164">
        <f ca="1"/>
      </c>
      <c r="CQ164">
        <f ca="1"/>
      </c>
      <c r="CR164">
        <f ca="1"/>
      </c>
      <c r="CS164">
        <f ca="1"/>
      </c>
      <c r="CT164">
        <f ca="1"/>
      </c>
      <c r="CU164">
        <f ca="1"/>
      </c>
      <c r="CV164">
        <f ca="1"/>
      </c>
      <c r="CW164">
        <f ca="1"/>
      </c>
      <c r="CX164">
        <f ca="1"/>
      </c>
      <c r="CY164">
        <f ca="1"/>
      </c>
      <c r="CZ164">
        <f ca="1"/>
      </c>
      <c r="DA164">
        <f ca="1"/>
      </c>
      <c r="DB164">
        <f ca="1"/>
      </c>
      <c r="DC164">
        <f ca="1"/>
      </c>
      <c r="DD164">
        <f ca="1"/>
      </c>
      <c r="DE164">
        <f ca="1"/>
      </c>
      <c r="DF164">
        <f ca="1"/>
      </c>
      <c r="DG164">
        <f ca="1"/>
      </c>
      <c r="DH164">
        <f ca="1"/>
      </c>
      <c r="DI164">
        <f ca="1"/>
      </c>
      <c r="DJ164">
        <f ca="1"/>
      </c>
      <c r="DK164">
        <f ca="1"/>
      </c>
      <c r="DL164">
        <f ca="1"/>
      </c>
      <c r="DM164">
        <f ca="1"/>
      </c>
      <c r="DN164">
        <f ca="1"/>
      </c>
      <c r="DO164">
        <f ca="1"/>
      </c>
      <c r="DP164">
        <f ca="1"/>
      </c>
      <c r="DQ164">
        <f ca="1"/>
      </c>
      <c r="DR164">
        <f ca="1"/>
      </c>
      <c r="DS164">
        <f ca="1"/>
      </c>
      <c r="DT164">
        <f ca="1"/>
      </c>
      <c r="DU164">
        <f ca="1"/>
      </c>
      <c r="DV164">
        <f ca="1"/>
      </c>
      <c r="DW164">
        <f ca="1"/>
      </c>
      <c r="DX164">
        <f ca="1"/>
      </c>
      <c r="DY164">
        <f ca="1"/>
      </c>
      <c r="DZ164">
        <f ca="1"/>
      </c>
      <c r="EA164">
        <f ca="1"/>
      </c>
      <c r="EB164">
        <f ca="1"/>
      </c>
      <c r="EC164">
        <f ca="1"/>
      </c>
      <c r="ED164">
        <f ca="1"/>
      </c>
      <c r="EE164">
        <f ca="1"/>
      </c>
      <c r="EG164">
        <f ca="1"/>
      </c>
      <c r="EH164">
        <f ca="1"/>
      </c>
      <c r="EI164">
        <f ca="1"/>
      </c>
      <c r="EJ164">
        <f ca="1"/>
      </c>
      <c r="EK164">
        <f ca="1"/>
      </c>
      <c r="EL164">
        <f ca="1"/>
      </c>
      <c r="EM164">
        <f ca="1"/>
      </c>
      <c r="EN164">
        <f ca="1"/>
      </c>
      <c r="EO164">
        <f ca="1"/>
      </c>
      <c r="EP164">
        <f ca="1"/>
      </c>
      <c r="EQ164">
        <f ca="1"/>
      </c>
      <c r="ER164">
        <f ca="1"/>
      </c>
      <c r="ES164">
        <f ca="1"/>
      </c>
      <c r="ET164">
        <f ca="1"/>
      </c>
      <c r="EU164">
        <f ca="1"/>
      </c>
      <c r="EV164">
        <f ca="1"/>
      </c>
      <c r="EW164">
        <f ca="1"/>
      </c>
      <c r="EX164">
        <f ca="1"/>
      </c>
      <c r="EY164">
        <f ca="1"/>
      </c>
      <c r="EZ164">
        <f ca="1"/>
      </c>
      <c r="FA164">
        <f ca="1"/>
      </c>
      <c r="FB164">
        <f ca="1"/>
      </c>
      <c r="FC164">
        <f ca="1"/>
      </c>
      <c r="FD164">
        <f ca="1"/>
      </c>
      <c r="FE164">
        <f ca="1"/>
      </c>
      <c r="FF164">
        <f ca="1"/>
      </c>
      <c r="FG164">
        <f ca="1"/>
      </c>
      <c r="FH164">
        <f ca="1"/>
      </c>
      <c r="FI164">
        <f ca="1"/>
      </c>
      <c r="FJ164">
        <f ca="1"/>
      </c>
      <c r="FK164">
        <f ca="1"/>
      </c>
      <c r="FL164">
        <f ca="1"/>
      </c>
      <c r="FM164">
        <f ca="1"/>
      </c>
      <c r="FN164">
        <f ca="1"/>
      </c>
      <c r="FO164">
        <f ca="1"/>
      </c>
      <c r="FP164">
        <f ca="1"/>
      </c>
      <c r="FQ164">
        <f ca="1"/>
      </c>
      <c r="FR164">
        <f ca="1"/>
      </c>
      <c r="FS164">
        <f ca="1"/>
      </c>
      <c r="FT164">
        <f ca="1"/>
      </c>
      <c r="FU164">
        <f ca="1"/>
      </c>
      <c r="FV164">
        <f ca="1"/>
      </c>
      <c r="FW164">
        <f ca="1"/>
      </c>
      <c r="FX164">
        <f ca="1"/>
      </c>
      <c r="FY164">
        <f ca="1"/>
      </c>
      <c r="FZ164">
        <f ca="1"/>
      </c>
      <c r="GA164">
        <f ca="1"/>
      </c>
      <c r="GM164" s="7">
        <f ca="1"/>
      </c>
      <c r="GN164">
        <f ca="1"/>
      </c>
      <c r="GO164">
        <f ca="1"/>
      </c>
      <c r="GP164">
        <f ca="1"/>
      </c>
      <c r="GQ164">
        <f ca="1"/>
      </c>
    </row>
    <row r="165" spans="41:199" x14ac:dyDescent="0.55000000000000004">
      <c r="AO165">
        <f ca="1"/>
      </c>
      <c r="AP165">
        <f ca="1"/>
      </c>
      <c r="AQ165">
        <f ca="1"/>
      </c>
      <c r="AR165">
        <f ca="1"/>
      </c>
      <c r="AS165">
        <f ca="1"/>
      </c>
      <c r="AT165">
        <f ca="1"/>
      </c>
      <c r="AU165">
        <f ca="1"/>
      </c>
      <c r="AV165">
        <f ca="1"/>
      </c>
      <c r="AW165">
        <f ca="1"/>
      </c>
      <c r="AX165">
        <f ca="1"/>
      </c>
      <c r="AY165">
        <f ca="1"/>
      </c>
      <c r="AZ165">
        <f ca="1"/>
      </c>
      <c r="BA165">
        <f ca="1"/>
      </c>
      <c r="BB165">
        <f ca="1"/>
      </c>
      <c r="BC165">
        <f ca="1"/>
      </c>
      <c r="BD165">
        <f ca="1"/>
      </c>
      <c r="BE165">
        <f ca="1"/>
      </c>
      <c r="BF165">
        <f ca="1"/>
      </c>
      <c r="BG165">
        <f ca="1"/>
      </c>
      <c r="BH165">
        <f ca="1"/>
      </c>
      <c r="BI165">
        <f ca="1"/>
      </c>
      <c r="BJ165">
        <f ca="1"/>
      </c>
      <c r="BK165">
        <f ca="1"/>
      </c>
      <c r="BL165">
        <f ca="1"/>
      </c>
      <c r="BM165">
        <f ca="1"/>
      </c>
      <c r="BN165">
        <f ca="1"/>
      </c>
      <c r="BO165">
        <f ca="1"/>
      </c>
      <c r="BP165">
        <f ca="1"/>
      </c>
      <c r="BQ165">
        <f ca="1"/>
      </c>
      <c r="BR165">
        <f ca="1"/>
      </c>
      <c r="BS165">
        <f ca="1"/>
      </c>
      <c r="BT165">
        <f ca="1"/>
      </c>
      <c r="BU165">
        <f ca="1"/>
      </c>
      <c r="BV165">
        <f ca="1"/>
      </c>
      <c r="BW165">
        <f ca="1"/>
      </c>
      <c r="BX165">
        <f ca="1"/>
      </c>
      <c r="BY165">
        <f ca="1"/>
      </c>
      <c r="BZ165">
        <f ca="1"/>
      </c>
      <c r="CA165">
        <f ca="1"/>
      </c>
      <c r="CB165">
        <f ca="1"/>
      </c>
      <c r="CC165">
        <f ca="1"/>
      </c>
      <c r="CD165">
        <f ca="1"/>
      </c>
      <c r="CE165">
        <f ca="1"/>
      </c>
      <c r="CF165">
        <f ca="1"/>
      </c>
      <c r="CG165">
        <f ca="1"/>
      </c>
      <c r="CH165">
        <f ca="1"/>
      </c>
      <c r="CI165">
        <f ca="1"/>
      </c>
      <c r="CK165">
        <f ca="1"/>
      </c>
      <c r="CL165">
        <f ca="1"/>
      </c>
      <c r="CM165">
        <f ca="1"/>
      </c>
      <c r="CN165">
        <f ca="1"/>
      </c>
      <c r="CO165">
        <f ca="1"/>
      </c>
      <c r="CP165">
        <f ca="1"/>
      </c>
      <c r="CQ165">
        <f ca="1"/>
      </c>
      <c r="CR165">
        <f ca="1"/>
      </c>
      <c r="CS165">
        <f ca="1"/>
      </c>
      <c r="CT165">
        <f ca="1"/>
      </c>
      <c r="CU165">
        <f ca="1"/>
      </c>
      <c r="CV165">
        <f ca="1"/>
      </c>
      <c r="CW165">
        <f ca="1"/>
      </c>
      <c r="CX165">
        <f ca="1"/>
      </c>
      <c r="CY165">
        <f ca="1"/>
      </c>
      <c r="CZ165">
        <f ca="1"/>
      </c>
      <c r="DA165">
        <f ca="1"/>
      </c>
      <c r="DB165">
        <f ca="1"/>
      </c>
      <c r="DC165">
        <f ca="1"/>
      </c>
      <c r="DD165">
        <f ca="1"/>
      </c>
      <c r="DE165">
        <f ca="1"/>
      </c>
      <c r="DF165">
        <f ca="1"/>
      </c>
      <c r="DG165">
        <f ca="1"/>
      </c>
      <c r="DH165">
        <f ca="1"/>
      </c>
      <c r="DI165">
        <f ca="1"/>
      </c>
      <c r="DJ165">
        <f ca="1"/>
      </c>
      <c r="DK165">
        <f ca="1"/>
      </c>
      <c r="DL165">
        <f ca="1"/>
      </c>
      <c r="DM165">
        <f ca="1"/>
      </c>
      <c r="DN165">
        <f ca="1"/>
      </c>
      <c r="DO165">
        <f ca="1"/>
      </c>
      <c r="DP165">
        <f ca="1"/>
      </c>
      <c r="DQ165">
        <f ca="1"/>
      </c>
      <c r="DR165">
        <f ca="1"/>
      </c>
      <c r="DS165">
        <f ca="1"/>
      </c>
      <c r="DT165">
        <f ca="1"/>
      </c>
      <c r="DU165">
        <f ca="1"/>
      </c>
      <c r="DV165">
        <f ca="1"/>
      </c>
      <c r="DW165">
        <f ca="1"/>
      </c>
      <c r="DX165">
        <f ca="1"/>
      </c>
      <c r="DY165">
        <f ca="1"/>
      </c>
      <c r="DZ165">
        <f ca="1"/>
      </c>
      <c r="EA165">
        <f ca="1"/>
      </c>
      <c r="EB165">
        <f ca="1"/>
      </c>
      <c r="EC165">
        <f ca="1"/>
      </c>
      <c r="ED165">
        <f ca="1"/>
      </c>
      <c r="EE165">
        <f ca="1"/>
      </c>
      <c r="EG165">
        <f ca="1"/>
      </c>
      <c r="EH165">
        <f ca="1"/>
      </c>
      <c r="EI165">
        <f ca="1"/>
      </c>
      <c r="EJ165">
        <f ca="1"/>
      </c>
      <c r="EK165">
        <f ca="1"/>
      </c>
      <c r="EL165">
        <f ca="1"/>
      </c>
      <c r="EM165">
        <f ca="1"/>
      </c>
      <c r="EN165">
        <f ca="1"/>
      </c>
      <c r="EO165">
        <f ca="1"/>
      </c>
      <c r="EP165">
        <f ca="1"/>
      </c>
      <c r="EQ165">
        <f ca="1"/>
      </c>
      <c r="ER165">
        <f ca="1"/>
      </c>
      <c r="ES165">
        <f ca="1"/>
      </c>
      <c r="ET165">
        <f ca="1"/>
      </c>
      <c r="EU165">
        <f ca="1"/>
      </c>
      <c r="EV165">
        <f ca="1"/>
      </c>
      <c r="EW165">
        <f ca="1"/>
      </c>
      <c r="EX165">
        <f ca="1"/>
      </c>
      <c r="EY165">
        <f ca="1"/>
      </c>
      <c r="EZ165">
        <f ca="1"/>
      </c>
      <c r="FA165">
        <f ca="1"/>
      </c>
      <c r="FB165">
        <f ca="1"/>
      </c>
      <c r="FC165">
        <f ca="1"/>
      </c>
      <c r="FD165">
        <f ca="1"/>
      </c>
      <c r="FE165">
        <f ca="1"/>
      </c>
      <c r="FF165">
        <f ca="1"/>
      </c>
      <c r="FG165">
        <f ca="1"/>
      </c>
      <c r="FH165">
        <f ca="1"/>
      </c>
      <c r="FI165">
        <f ca="1"/>
      </c>
      <c r="FJ165">
        <f ca="1"/>
      </c>
      <c r="FK165">
        <f ca="1"/>
      </c>
      <c r="FL165">
        <f ca="1"/>
      </c>
      <c r="FM165">
        <f ca="1"/>
      </c>
      <c r="FN165">
        <f ca="1"/>
      </c>
      <c r="FO165">
        <f ca="1"/>
      </c>
      <c r="FP165">
        <f ca="1"/>
      </c>
      <c r="FQ165">
        <f ca="1"/>
      </c>
      <c r="FR165">
        <f ca="1"/>
      </c>
      <c r="FS165">
        <f ca="1"/>
      </c>
      <c r="FT165">
        <f ca="1"/>
      </c>
      <c r="FU165">
        <f ca="1"/>
      </c>
      <c r="FV165">
        <f ca="1"/>
      </c>
      <c r="FW165">
        <f ca="1"/>
      </c>
      <c r="FX165">
        <f ca="1"/>
      </c>
      <c r="FY165">
        <f ca="1"/>
      </c>
      <c r="FZ165">
        <f ca="1"/>
      </c>
      <c r="GA165">
        <f ca="1"/>
      </c>
      <c r="GM165" s="7">
        <f ca="1"/>
      </c>
      <c r="GN165">
        <f ca="1"/>
      </c>
      <c r="GO165">
        <f ca="1"/>
      </c>
      <c r="GP165">
        <f ca="1"/>
      </c>
      <c r="GQ165">
        <f ca="1"/>
      </c>
    </row>
    <row r="166" spans="41:199" x14ac:dyDescent="0.55000000000000004">
      <c r="AO166">
        <f ca="1"/>
      </c>
      <c r="AP166">
        <f ca="1"/>
      </c>
      <c r="AQ166">
        <f ca="1"/>
      </c>
      <c r="AR166">
        <f ca="1"/>
      </c>
      <c r="AS166">
        <f ca="1"/>
      </c>
      <c r="AT166">
        <f ca="1"/>
      </c>
      <c r="AU166">
        <f ca="1"/>
      </c>
      <c r="AV166">
        <f ca="1"/>
      </c>
      <c r="AW166">
        <f ca="1"/>
      </c>
      <c r="AX166">
        <f ca="1"/>
      </c>
      <c r="AY166">
        <f ca="1"/>
      </c>
      <c r="AZ166">
        <f ca="1"/>
      </c>
      <c r="BA166">
        <f ca="1"/>
      </c>
      <c r="BB166">
        <f ca="1"/>
      </c>
      <c r="BC166">
        <f ca="1"/>
      </c>
      <c r="BD166">
        <f ca="1"/>
      </c>
      <c r="BE166">
        <f ca="1"/>
      </c>
      <c r="BF166">
        <f ca="1"/>
      </c>
      <c r="BG166">
        <f ca="1"/>
      </c>
      <c r="BH166">
        <f ca="1"/>
      </c>
      <c r="BI166">
        <f ca="1"/>
      </c>
      <c r="BJ166">
        <f ca="1"/>
      </c>
      <c r="BK166">
        <f ca="1"/>
      </c>
      <c r="BL166">
        <f ca="1"/>
      </c>
      <c r="BM166">
        <f ca="1"/>
      </c>
      <c r="BN166">
        <f ca="1"/>
      </c>
      <c r="BO166">
        <f ca="1"/>
      </c>
      <c r="BP166">
        <f ca="1"/>
      </c>
      <c r="BQ166">
        <f ca="1"/>
      </c>
      <c r="BR166">
        <f ca="1"/>
      </c>
      <c r="BS166">
        <f ca="1"/>
      </c>
      <c r="BT166">
        <f ca="1"/>
      </c>
      <c r="BU166">
        <f ca="1"/>
      </c>
      <c r="BV166">
        <f ca="1"/>
      </c>
      <c r="BW166">
        <f ca="1"/>
      </c>
      <c r="BX166">
        <f ca="1"/>
      </c>
      <c r="BY166">
        <f ca="1"/>
      </c>
      <c r="BZ166">
        <f ca="1"/>
      </c>
      <c r="CA166">
        <f ca="1"/>
      </c>
      <c r="CB166">
        <f ca="1"/>
      </c>
      <c r="CC166">
        <f ca="1"/>
      </c>
      <c r="CD166">
        <f ca="1"/>
      </c>
      <c r="CE166">
        <f ca="1"/>
      </c>
      <c r="CF166">
        <f ca="1"/>
      </c>
      <c r="CG166">
        <f ca="1"/>
      </c>
      <c r="CH166">
        <f ca="1"/>
      </c>
      <c r="CI166">
        <f ca="1"/>
      </c>
      <c r="CK166">
        <f ca="1"/>
      </c>
      <c r="CL166">
        <f ca="1"/>
      </c>
      <c r="CM166">
        <f ca="1"/>
      </c>
      <c r="CN166">
        <f ca="1"/>
      </c>
      <c r="CO166">
        <f ca="1"/>
      </c>
      <c r="CP166">
        <f ca="1"/>
      </c>
      <c r="CQ166">
        <f ca="1"/>
      </c>
      <c r="CR166">
        <f ca="1"/>
      </c>
      <c r="CS166">
        <f ca="1"/>
      </c>
      <c r="CT166">
        <f ca="1"/>
      </c>
      <c r="CU166">
        <f ca="1"/>
      </c>
      <c r="CV166">
        <f ca="1"/>
      </c>
      <c r="CW166">
        <f ca="1"/>
      </c>
      <c r="CX166">
        <f ca="1"/>
      </c>
      <c r="CY166">
        <f ca="1"/>
      </c>
      <c r="CZ166">
        <f ca="1"/>
      </c>
      <c r="DA166">
        <f ca="1"/>
      </c>
      <c r="DB166">
        <f ca="1"/>
      </c>
      <c r="DC166">
        <f ca="1"/>
      </c>
      <c r="DD166">
        <f ca="1"/>
      </c>
      <c r="DE166">
        <f ca="1"/>
      </c>
      <c r="DF166">
        <f ca="1"/>
      </c>
      <c r="DG166">
        <f ca="1"/>
      </c>
      <c r="DH166">
        <f ca="1"/>
      </c>
      <c r="DI166">
        <f ca="1"/>
      </c>
      <c r="DJ166">
        <f ca="1"/>
      </c>
      <c r="DK166">
        <f ca="1"/>
      </c>
      <c r="DL166">
        <f ca="1"/>
      </c>
      <c r="DM166">
        <f ca="1"/>
      </c>
      <c r="DN166">
        <f ca="1"/>
      </c>
      <c r="DO166">
        <f ca="1"/>
      </c>
      <c r="DP166">
        <f ca="1"/>
      </c>
      <c r="DQ166">
        <f ca="1"/>
      </c>
      <c r="DR166">
        <f ca="1"/>
      </c>
      <c r="DS166">
        <f ca="1"/>
      </c>
      <c r="DT166">
        <f ca="1"/>
      </c>
      <c r="DU166">
        <f ca="1"/>
      </c>
      <c r="DV166">
        <f ca="1"/>
      </c>
      <c r="DW166">
        <f ca="1"/>
      </c>
      <c r="DX166">
        <f ca="1"/>
      </c>
      <c r="DY166">
        <f ca="1"/>
      </c>
      <c r="DZ166">
        <f ca="1"/>
      </c>
      <c r="EA166">
        <f ca="1"/>
      </c>
      <c r="EB166">
        <f ca="1"/>
      </c>
      <c r="EC166">
        <f ca="1"/>
      </c>
      <c r="ED166">
        <f ca="1"/>
      </c>
      <c r="EE166">
        <f ca="1"/>
      </c>
      <c r="EG166">
        <f ca="1"/>
      </c>
      <c r="EH166">
        <f ca="1"/>
      </c>
      <c r="EI166">
        <f ca="1"/>
      </c>
      <c r="EJ166">
        <f ca="1"/>
      </c>
      <c r="EK166">
        <f ca="1"/>
      </c>
      <c r="EL166">
        <f ca="1"/>
      </c>
      <c r="EM166">
        <f ca="1"/>
      </c>
      <c r="EN166">
        <f ca="1"/>
      </c>
      <c r="EO166">
        <f ca="1"/>
      </c>
      <c r="EP166">
        <f ca="1"/>
      </c>
      <c r="EQ166">
        <f ca="1"/>
      </c>
      <c r="ER166">
        <f ca="1"/>
      </c>
      <c r="ES166">
        <f ca="1"/>
      </c>
      <c r="ET166">
        <f ca="1"/>
      </c>
      <c r="EU166">
        <f ca="1"/>
      </c>
      <c r="EV166">
        <f ca="1"/>
      </c>
      <c r="EW166">
        <f ca="1"/>
      </c>
      <c r="EX166">
        <f ca="1"/>
      </c>
      <c r="EY166">
        <f ca="1"/>
      </c>
      <c r="EZ166">
        <f ca="1"/>
      </c>
      <c r="FA166">
        <f ca="1"/>
      </c>
      <c r="FB166">
        <f ca="1"/>
      </c>
      <c r="FC166">
        <f ca="1"/>
      </c>
      <c r="FD166">
        <f ca="1"/>
      </c>
      <c r="FE166">
        <f ca="1"/>
      </c>
      <c r="FF166">
        <f ca="1"/>
      </c>
      <c r="FG166">
        <f ca="1"/>
      </c>
      <c r="FH166">
        <f ca="1"/>
      </c>
      <c r="FI166">
        <f ca="1"/>
      </c>
      <c r="FJ166">
        <f ca="1"/>
      </c>
      <c r="FK166">
        <f ca="1"/>
      </c>
      <c r="FL166">
        <f ca="1"/>
      </c>
      <c r="FM166">
        <f ca="1"/>
      </c>
      <c r="FN166">
        <f ca="1"/>
      </c>
      <c r="FO166">
        <f ca="1"/>
      </c>
      <c r="FP166">
        <f ca="1"/>
      </c>
      <c r="FQ166">
        <f ca="1"/>
      </c>
      <c r="FR166">
        <f ca="1"/>
      </c>
      <c r="FS166">
        <f ca="1"/>
      </c>
      <c r="FT166">
        <f ca="1"/>
      </c>
      <c r="FU166">
        <f ca="1"/>
      </c>
      <c r="FV166">
        <f ca="1"/>
      </c>
      <c r="FW166">
        <f ca="1"/>
      </c>
      <c r="FX166">
        <f ca="1"/>
      </c>
      <c r="FY166">
        <f ca="1"/>
      </c>
      <c r="FZ166">
        <f ca="1"/>
      </c>
      <c r="GA166">
        <f ca="1"/>
      </c>
      <c r="GM166" s="7">
        <f ca="1"/>
      </c>
      <c r="GN166">
        <f ca="1"/>
      </c>
      <c r="GO166">
        <f ca="1"/>
      </c>
      <c r="GP166">
        <f ca="1"/>
      </c>
      <c r="GQ166">
        <f ca="1"/>
      </c>
    </row>
    <row r="167" spans="41:199" x14ac:dyDescent="0.55000000000000004">
      <c r="AO167">
        <f ca="1"/>
      </c>
      <c r="AP167">
        <f ca="1"/>
      </c>
      <c r="AQ167">
        <f ca="1"/>
      </c>
      <c r="AR167">
        <f ca="1"/>
      </c>
      <c r="AS167">
        <f ca="1"/>
      </c>
      <c r="AT167">
        <f ca="1"/>
      </c>
      <c r="AU167">
        <f ca="1"/>
      </c>
      <c r="AV167">
        <f ca="1"/>
      </c>
      <c r="AW167">
        <f ca="1"/>
      </c>
      <c r="AX167">
        <f ca="1"/>
      </c>
      <c r="AY167">
        <f ca="1"/>
      </c>
      <c r="AZ167">
        <f ca="1"/>
      </c>
      <c r="BA167">
        <f ca="1"/>
      </c>
      <c r="BB167">
        <f ca="1"/>
      </c>
      <c r="BC167">
        <f ca="1"/>
      </c>
      <c r="BD167">
        <f ca="1"/>
      </c>
      <c r="BE167">
        <f ca="1"/>
      </c>
      <c r="BF167">
        <f ca="1"/>
      </c>
      <c r="BG167">
        <f ca="1"/>
      </c>
      <c r="BH167">
        <f ca="1"/>
      </c>
      <c r="BI167">
        <f ca="1"/>
      </c>
      <c r="BJ167">
        <f ca="1"/>
      </c>
      <c r="BK167">
        <f ca="1"/>
      </c>
      <c r="BL167">
        <f ca="1"/>
      </c>
      <c r="BM167">
        <f ca="1"/>
      </c>
      <c r="BN167">
        <f ca="1"/>
      </c>
      <c r="BO167">
        <f ca="1"/>
      </c>
      <c r="BP167">
        <f ca="1"/>
      </c>
      <c r="BQ167">
        <f ca="1"/>
      </c>
      <c r="BR167">
        <f ca="1"/>
      </c>
      <c r="BS167">
        <f ca="1"/>
      </c>
      <c r="BT167">
        <f ca="1"/>
      </c>
      <c r="BU167">
        <f ca="1"/>
      </c>
      <c r="BV167">
        <f ca="1"/>
      </c>
      <c r="BW167">
        <f ca="1"/>
      </c>
      <c r="BX167">
        <f ca="1"/>
      </c>
      <c r="BY167">
        <f ca="1"/>
      </c>
      <c r="BZ167">
        <f ca="1"/>
      </c>
      <c r="CA167">
        <f ca="1"/>
      </c>
      <c r="CB167">
        <f ca="1"/>
      </c>
      <c r="CC167">
        <f ca="1"/>
      </c>
      <c r="CD167">
        <f ca="1"/>
      </c>
      <c r="CE167">
        <f ca="1"/>
      </c>
      <c r="CF167">
        <f ca="1"/>
      </c>
      <c r="CG167">
        <f ca="1"/>
      </c>
      <c r="CH167">
        <f ca="1"/>
      </c>
      <c r="CI167">
        <f ca="1"/>
      </c>
      <c r="CK167">
        <f ca="1"/>
      </c>
      <c r="CL167">
        <f ca="1"/>
      </c>
      <c r="CM167">
        <f ca="1"/>
      </c>
      <c r="CN167">
        <f ca="1"/>
      </c>
      <c r="CO167">
        <f ca="1"/>
      </c>
      <c r="CP167">
        <f ca="1"/>
      </c>
      <c r="CQ167">
        <f ca="1"/>
      </c>
      <c r="CR167">
        <f ca="1"/>
      </c>
      <c r="CS167">
        <f ca="1"/>
      </c>
      <c r="CT167">
        <f ca="1"/>
      </c>
      <c r="CU167">
        <f ca="1"/>
      </c>
      <c r="CV167">
        <f ca="1"/>
      </c>
      <c r="CW167">
        <f ca="1"/>
      </c>
      <c r="CX167">
        <f ca="1"/>
      </c>
      <c r="CY167">
        <f ca="1"/>
      </c>
      <c r="CZ167">
        <f ca="1"/>
      </c>
      <c r="DA167">
        <f ca="1"/>
      </c>
      <c r="DB167">
        <f ca="1"/>
      </c>
      <c r="DC167">
        <f ca="1"/>
      </c>
      <c r="DD167">
        <f ca="1"/>
      </c>
      <c r="DE167">
        <f ca="1"/>
      </c>
      <c r="DF167">
        <f ca="1"/>
      </c>
      <c r="DG167">
        <f ca="1"/>
      </c>
      <c r="DH167">
        <f ca="1"/>
      </c>
      <c r="DI167">
        <f ca="1"/>
      </c>
      <c r="DJ167">
        <f ca="1"/>
      </c>
      <c r="DK167">
        <f ca="1"/>
      </c>
      <c r="DL167">
        <f ca="1"/>
      </c>
      <c r="DM167">
        <f ca="1"/>
      </c>
      <c r="DN167">
        <f ca="1"/>
      </c>
      <c r="DO167">
        <f ca="1"/>
      </c>
      <c r="DP167">
        <f ca="1"/>
      </c>
      <c r="DQ167">
        <f ca="1"/>
      </c>
      <c r="DR167">
        <f ca="1"/>
      </c>
      <c r="DS167">
        <f ca="1"/>
      </c>
      <c r="DT167">
        <f ca="1"/>
      </c>
      <c r="DU167">
        <f ca="1"/>
      </c>
      <c r="DV167">
        <f ca="1"/>
      </c>
      <c r="DW167">
        <f ca="1"/>
      </c>
      <c r="DX167">
        <f ca="1"/>
      </c>
      <c r="DY167">
        <f ca="1"/>
      </c>
      <c r="DZ167">
        <f ca="1"/>
      </c>
      <c r="EA167">
        <f ca="1"/>
      </c>
      <c r="EB167">
        <f ca="1"/>
      </c>
      <c r="EC167">
        <f ca="1"/>
      </c>
      <c r="ED167">
        <f ca="1"/>
      </c>
      <c r="EE167">
        <f ca="1"/>
      </c>
      <c r="EG167">
        <f ca="1"/>
      </c>
      <c r="EH167">
        <f ca="1"/>
      </c>
      <c r="EI167">
        <f ca="1"/>
      </c>
      <c r="EJ167">
        <f ca="1"/>
      </c>
      <c r="EK167">
        <f ca="1"/>
      </c>
      <c r="EL167">
        <f ca="1"/>
      </c>
      <c r="EM167">
        <f ca="1"/>
      </c>
      <c r="EN167">
        <f ca="1"/>
      </c>
      <c r="EO167">
        <f ca="1"/>
      </c>
      <c r="EP167">
        <f ca="1"/>
      </c>
      <c r="EQ167">
        <f ca="1"/>
      </c>
      <c r="ER167">
        <f ca="1"/>
      </c>
      <c r="ES167">
        <f ca="1"/>
      </c>
      <c r="ET167">
        <f ca="1"/>
      </c>
      <c r="EU167">
        <f ca="1"/>
      </c>
      <c r="EV167">
        <f ca="1"/>
      </c>
      <c r="EW167">
        <f ca="1"/>
      </c>
      <c r="EX167">
        <f ca="1"/>
      </c>
      <c r="EY167">
        <f ca="1"/>
      </c>
      <c r="EZ167">
        <f ca="1"/>
      </c>
      <c r="FA167">
        <f ca="1"/>
      </c>
      <c r="FB167">
        <f ca="1"/>
      </c>
      <c r="FC167">
        <f ca="1"/>
      </c>
      <c r="FD167">
        <f ca="1"/>
      </c>
      <c r="FE167">
        <f ca="1"/>
      </c>
      <c r="FF167">
        <f ca="1"/>
      </c>
      <c r="FG167">
        <f ca="1"/>
      </c>
      <c r="FH167">
        <f ca="1"/>
      </c>
      <c r="FI167">
        <f ca="1"/>
      </c>
      <c r="FJ167">
        <f ca="1"/>
      </c>
      <c r="FK167">
        <f ca="1"/>
      </c>
      <c r="FL167">
        <f ca="1"/>
      </c>
      <c r="FM167">
        <f ca="1"/>
      </c>
      <c r="FN167">
        <f ca="1"/>
      </c>
      <c r="FO167">
        <f ca="1"/>
      </c>
      <c r="FP167">
        <f ca="1"/>
      </c>
      <c r="FQ167">
        <f ca="1"/>
      </c>
      <c r="FR167">
        <f ca="1"/>
      </c>
      <c r="FS167">
        <f ca="1"/>
      </c>
      <c r="FT167">
        <f ca="1"/>
      </c>
      <c r="FU167">
        <f ca="1"/>
      </c>
      <c r="FV167">
        <f ca="1"/>
      </c>
      <c r="FW167">
        <f ca="1"/>
      </c>
      <c r="FX167">
        <f ca="1"/>
      </c>
      <c r="FY167">
        <f ca="1"/>
      </c>
      <c r="FZ167">
        <f ca="1"/>
      </c>
      <c r="GA167">
        <f ca="1"/>
      </c>
      <c r="GM167" s="7">
        <f ca="1"/>
      </c>
      <c r="GN167">
        <f ca="1"/>
      </c>
      <c r="GO167">
        <f ca="1"/>
      </c>
      <c r="GP167">
        <f ca="1"/>
      </c>
      <c r="GQ167">
        <f ca="1"/>
      </c>
    </row>
    <row r="168" spans="41:199" x14ac:dyDescent="0.55000000000000004">
      <c r="AO168">
        <f ca="1"/>
      </c>
      <c r="AP168">
        <f ca="1"/>
      </c>
      <c r="AQ168">
        <f ca="1"/>
      </c>
      <c r="AR168">
        <f ca="1"/>
      </c>
      <c r="AS168">
        <f ca="1"/>
      </c>
      <c r="AT168">
        <f ca="1"/>
      </c>
      <c r="AU168">
        <f ca="1"/>
      </c>
      <c r="AV168">
        <f ca="1"/>
      </c>
      <c r="AW168">
        <f ca="1"/>
      </c>
      <c r="AX168">
        <f ca="1"/>
      </c>
      <c r="AY168">
        <f ca="1"/>
      </c>
      <c r="AZ168">
        <f ca="1"/>
      </c>
      <c r="BA168">
        <f ca="1"/>
      </c>
      <c r="BB168">
        <f ca="1"/>
      </c>
      <c r="BC168">
        <f ca="1"/>
      </c>
      <c r="BD168">
        <f ca="1"/>
      </c>
      <c r="BE168">
        <f ca="1"/>
      </c>
      <c r="BF168">
        <f ca="1"/>
      </c>
      <c r="BG168">
        <f ca="1"/>
      </c>
      <c r="BH168">
        <f ca="1"/>
      </c>
      <c r="BI168">
        <f ca="1"/>
      </c>
      <c r="BJ168">
        <f ca="1"/>
      </c>
      <c r="BK168">
        <f ca="1"/>
      </c>
      <c r="BL168">
        <f ca="1"/>
      </c>
      <c r="BM168">
        <f ca="1"/>
      </c>
      <c r="BN168">
        <f ca="1"/>
      </c>
      <c r="BO168">
        <f ca="1"/>
      </c>
      <c r="BP168">
        <f ca="1"/>
      </c>
      <c r="BQ168">
        <f ca="1"/>
      </c>
      <c r="BR168">
        <f ca="1"/>
      </c>
      <c r="BS168">
        <f ca="1"/>
      </c>
      <c r="BT168">
        <f ca="1"/>
      </c>
      <c r="BU168">
        <f ca="1"/>
      </c>
      <c r="BV168">
        <f ca="1"/>
      </c>
      <c r="BW168">
        <f ca="1"/>
      </c>
      <c r="BX168">
        <f ca="1"/>
      </c>
      <c r="BY168">
        <f ca="1"/>
      </c>
      <c r="BZ168">
        <f ca="1"/>
      </c>
      <c r="CA168">
        <f ca="1"/>
      </c>
      <c r="CB168">
        <f ca="1"/>
      </c>
      <c r="CC168">
        <f ca="1"/>
      </c>
      <c r="CD168">
        <f ca="1"/>
      </c>
      <c r="CE168">
        <f ca="1"/>
      </c>
      <c r="CF168">
        <f ca="1"/>
      </c>
      <c r="CG168">
        <f ca="1"/>
      </c>
      <c r="CH168">
        <f ca="1"/>
      </c>
      <c r="CI168">
        <f ca="1"/>
      </c>
      <c r="CK168">
        <f ca="1"/>
      </c>
      <c r="CL168">
        <f ca="1"/>
      </c>
      <c r="CM168">
        <f ca="1"/>
      </c>
      <c r="CN168">
        <f ca="1"/>
      </c>
      <c r="CO168">
        <f ca="1"/>
      </c>
      <c r="CP168">
        <f ca="1"/>
      </c>
      <c r="CQ168">
        <f ca="1"/>
      </c>
      <c r="CR168">
        <f ca="1"/>
      </c>
      <c r="CS168">
        <f ca="1"/>
      </c>
      <c r="CT168">
        <f ca="1"/>
      </c>
      <c r="CU168">
        <f ca="1"/>
      </c>
      <c r="CV168">
        <f ca="1"/>
      </c>
      <c r="CW168">
        <f ca="1"/>
      </c>
      <c r="CX168">
        <f ca="1"/>
      </c>
      <c r="CY168">
        <f ca="1"/>
      </c>
      <c r="CZ168">
        <f ca="1"/>
      </c>
      <c r="DA168">
        <f ca="1"/>
      </c>
      <c r="DB168">
        <f ca="1"/>
      </c>
      <c r="DC168">
        <f ca="1"/>
      </c>
      <c r="DD168">
        <f ca="1"/>
      </c>
      <c r="DE168">
        <f ca="1"/>
      </c>
      <c r="DF168">
        <f ca="1"/>
      </c>
      <c r="DG168">
        <f ca="1"/>
      </c>
      <c r="DH168">
        <f ca="1"/>
      </c>
      <c r="DI168">
        <f ca="1"/>
      </c>
      <c r="DJ168">
        <f ca="1"/>
      </c>
      <c r="DK168">
        <f ca="1"/>
      </c>
      <c r="DL168">
        <f ca="1"/>
      </c>
      <c r="DM168">
        <f ca="1"/>
      </c>
      <c r="DN168">
        <f ca="1"/>
      </c>
      <c r="DO168">
        <f ca="1"/>
      </c>
      <c r="DP168">
        <f ca="1"/>
      </c>
      <c r="DQ168">
        <f ca="1"/>
      </c>
      <c r="DR168">
        <f ca="1"/>
      </c>
      <c r="DS168">
        <f ca="1"/>
      </c>
      <c r="DT168">
        <f ca="1"/>
      </c>
      <c r="DU168">
        <f ca="1"/>
      </c>
      <c r="DV168">
        <f ca="1"/>
      </c>
      <c r="DW168">
        <f ca="1"/>
      </c>
      <c r="DX168">
        <f ca="1"/>
      </c>
      <c r="DY168">
        <f ca="1"/>
      </c>
      <c r="DZ168">
        <f ca="1"/>
      </c>
      <c r="EA168">
        <f ca="1"/>
      </c>
      <c r="EB168">
        <f ca="1"/>
      </c>
      <c r="EC168">
        <f ca="1"/>
      </c>
      <c r="ED168">
        <f ca="1"/>
      </c>
      <c r="EE168">
        <f ca="1"/>
      </c>
      <c r="EG168">
        <f ca="1"/>
      </c>
      <c r="EH168">
        <f ca="1"/>
      </c>
      <c r="EI168">
        <f ca="1"/>
      </c>
      <c r="EJ168">
        <f ca="1"/>
      </c>
      <c r="EK168">
        <f ca="1"/>
      </c>
      <c r="EL168">
        <f ca="1"/>
      </c>
      <c r="EM168">
        <f ca="1"/>
      </c>
      <c r="EN168">
        <f ca="1"/>
      </c>
      <c r="EO168">
        <f ca="1"/>
      </c>
      <c r="EP168">
        <f ca="1"/>
      </c>
      <c r="EQ168">
        <f ca="1"/>
      </c>
      <c r="ER168">
        <f ca="1"/>
      </c>
      <c r="ES168">
        <f ca="1"/>
      </c>
      <c r="ET168">
        <f ca="1"/>
      </c>
      <c r="EU168">
        <f ca="1"/>
      </c>
      <c r="EV168">
        <f ca="1"/>
      </c>
      <c r="EW168">
        <f ca="1"/>
      </c>
      <c r="EX168">
        <f ca="1"/>
      </c>
      <c r="EY168">
        <f ca="1"/>
      </c>
      <c r="EZ168">
        <f ca="1"/>
      </c>
      <c r="FA168">
        <f ca="1"/>
      </c>
      <c r="FB168">
        <f ca="1"/>
      </c>
      <c r="FC168">
        <f ca="1"/>
      </c>
      <c r="FD168">
        <f ca="1"/>
      </c>
      <c r="FE168">
        <f ca="1"/>
      </c>
      <c r="FF168">
        <f ca="1"/>
      </c>
      <c r="FG168">
        <f ca="1"/>
      </c>
      <c r="FH168">
        <f ca="1"/>
      </c>
      <c r="FI168">
        <f ca="1"/>
      </c>
      <c r="FJ168">
        <f ca="1"/>
      </c>
      <c r="FK168">
        <f ca="1"/>
      </c>
      <c r="FL168">
        <f ca="1"/>
      </c>
      <c r="FM168">
        <f ca="1"/>
      </c>
      <c r="FN168">
        <f ca="1"/>
      </c>
      <c r="FO168">
        <f ca="1"/>
      </c>
      <c r="FP168">
        <f ca="1"/>
      </c>
      <c r="FQ168">
        <f ca="1"/>
      </c>
      <c r="FR168">
        <f ca="1"/>
      </c>
      <c r="FS168">
        <f ca="1"/>
      </c>
      <c r="FT168">
        <f ca="1"/>
      </c>
      <c r="FU168">
        <f ca="1"/>
      </c>
      <c r="FV168">
        <f ca="1"/>
      </c>
      <c r="FW168">
        <f ca="1"/>
      </c>
      <c r="FX168">
        <f ca="1"/>
      </c>
      <c r="FY168">
        <f ca="1"/>
      </c>
      <c r="FZ168">
        <f ca="1"/>
      </c>
      <c r="GA168">
        <f ca="1"/>
      </c>
      <c r="GM168" s="7">
        <f ca="1"/>
      </c>
      <c r="GN168">
        <f ca="1"/>
      </c>
      <c r="GO168">
        <f ca="1"/>
      </c>
      <c r="GP168">
        <f ca="1"/>
      </c>
      <c r="GQ168">
        <f ca="1"/>
      </c>
    </row>
    <row r="169" spans="41:199" x14ac:dyDescent="0.55000000000000004">
      <c r="AO169">
        <f ca="1"/>
      </c>
      <c r="AP169">
        <f ca="1"/>
      </c>
      <c r="AQ169">
        <f ca="1"/>
      </c>
      <c r="AR169">
        <f ca="1"/>
      </c>
      <c r="AS169">
        <f ca="1"/>
      </c>
      <c r="AT169">
        <f ca="1"/>
      </c>
      <c r="AU169">
        <f ca="1"/>
      </c>
      <c r="AV169">
        <f ca="1"/>
      </c>
      <c r="AW169">
        <f ca="1"/>
      </c>
      <c r="AX169">
        <f ca="1"/>
      </c>
      <c r="AY169">
        <f ca="1"/>
      </c>
      <c r="AZ169">
        <f ca="1"/>
      </c>
      <c r="BA169">
        <f ca="1"/>
      </c>
      <c r="BB169">
        <f ca="1"/>
      </c>
      <c r="BC169">
        <f ca="1"/>
      </c>
      <c r="BD169">
        <f ca="1"/>
      </c>
      <c r="BE169">
        <f ca="1"/>
      </c>
      <c r="BF169">
        <f ca="1"/>
      </c>
      <c r="BG169">
        <f ca="1"/>
      </c>
      <c r="BH169">
        <f ca="1"/>
      </c>
      <c r="BI169">
        <f ca="1"/>
      </c>
      <c r="BJ169">
        <f ca="1"/>
      </c>
      <c r="BK169">
        <f ca="1"/>
      </c>
      <c r="BL169">
        <f ca="1"/>
      </c>
      <c r="BM169">
        <f ca="1"/>
      </c>
      <c r="BN169">
        <f ca="1"/>
      </c>
      <c r="BO169">
        <f ca="1"/>
      </c>
      <c r="BP169">
        <f ca="1"/>
      </c>
      <c r="BQ169">
        <f ca="1"/>
      </c>
      <c r="BR169">
        <f ca="1"/>
      </c>
      <c r="BS169">
        <f ca="1"/>
      </c>
      <c r="BT169">
        <f ca="1"/>
      </c>
      <c r="BU169">
        <f ca="1"/>
      </c>
      <c r="BV169">
        <f ca="1"/>
      </c>
      <c r="BW169">
        <f ca="1"/>
      </c>
      <c r="BX169">
        <f ca="1"/>
      </c>
      <c r="BY169">
        <f ca="1"/>
      </c>
      <c r="BZ169">
        <f ca="1"/>
      </c>
      <c r="CA169">
        <f ca="1"/>
      </c>
      <c r="CB169">
        <f ca="1"/>
      </c>
      <c r="CC169">
        <f ca="1"/>
      </c>
      <c r="CD169">
        <f ca="1"/>
      </c>
      <c r="CE169">
        <f ca="1"/>
      </c>
      <c r="CF169">
        <f ca="1"/>
      </c>
      <c r="CG169">
        <f ca="1"/>
      </c>
      <c r="CH169">
        <f ca="1"/>
      </c>
      <c r="CI169">
        <f ca="1"/>
      </c>
      <c r="CK169">
        <f ca="1"/>
      </c>
      <c r="CL169">
        <f ca="1"/>
      </c>
      <c r="CM169">
        <f ca="1"/>
      </c>
      <c r="CN169">
        <f ca="1"/>
      </c>
      <c r="CO169">
        <f ca="1"/>
      </c>
      <c r="CP169">
        <f ca="1"/>
      </c>
      <c r="CQ169">
        <f ca="1"/>
      </c>
      <c r="CR169">
        <f ca="1"/>
      </c>
      <c r="CS169">
        <f ca="1"/>
      </c>
      <c r="CT169">
        <f ca="1"/>
      </c>
      <c r="CU169">
        <f ca="1"/>
      </c>
      <c r="CV169">
        <f ca="1"/>
      </c>
      <c r="CW169">
        <f ca="1"/>
      </c>
      <c r="CX169">
        <f ca="1"/>
      </c>
      <c r="CY169">
        <f ca="1"/>
      </c>
      <c r="CZ169">
        <f ca="1"/>
      </c>
      <c r="DA169">
        <f ca="1"/>
      </c>
      <c r="DB169">
        <f ca="1"/>
      </c>
      <c r="DC169">
        <f ca="1"/>
      </c>
      <c r="DD169">
        <f ca="1"/>
      </c>
      <c r="DE169">
        <f ca="1"/>
      </c>
      <c r="DF169">
        <f ca="1"/>
      </c>
      <c r="DG169">
        <f ca="1"/>
      </c>
      <c r="DH169">
        <f ca="1"/>
      </c>
      <c r="DI169">
        <f ca="1"/>
      </c>
      <c r="DJ169">
        <f ca="1"/>
      </c>
      <c r="DK169">
        <f ca="1"/>
      </c>
      <c r="DL169">
        <f ca="1"/>
      </c>
      <c r="DM169">
        <f ca="1"/>
      </c>
      <c r="DN169">
        <f ca="1"/>
      </c>
      <c r="DO169">
        <f ca="1"/>
      </c>
      <c r="DP169">
        <f ca="1"/>
      </c>
      <c r="DQ169">
        <f ca="1"/>
      </c>
      <c r="DR169">
        <f ca="1"/>
      </c>
      <c r="DS169">
        <f ca="1"/>
      </c>
      <c r="DT169">
        <f ca="1"/>
      </c>
      <c r="DU169">
        <f ca="1"/>
      </c>
      <c r="DV169">
        <f ca="1"/>
      </c>
      <c r="DW169">
        <f ca="1"/>
      </c>
      <c r="DX169">
        <f ca="1"/>
      </c>
      <c r="DY169">
        <f ca="1"/>
      </c>
      <c r="DZ169">
        <f ca="1"/>
      </c>
      <c r="EA169">
        <f ca="1"/>
      </c>
      <c r="EB169">
        <f ca="1"/>
      </c>
      <c r="EC169">
        <f ca="1"/>
      </c>
      <c r="ED169">
        <f ca="1"/>
      </c>
      <c r="EE169">
        <f ca="1"/>
      </c>
      <c r="EG169">
        <f ca="1"/>
      </c>
      <c r="EH169">
        <f ca="1"/>
      </c>
      <c r="EI169">
        <f ca="1"/>
      </c>
      <c r="EJ169">
        <f ca="1"/>
      </c>
      <c r="EK169">
        <f ca="1"/>
      </c>
      <c r="EL169">
        <f ca="1"/>
      </c>
      <c r="EM169">
        <f ca="1"/>
      </c>
      <c r="EN169">
        <f ca="1"/>
      </c>
      <c r="EO169">
        <f ca="1"/>
      </c>
      <c r="EP169">
        <f ca="1"/>
      </c>
      <c r="EQ169">
        <f ca="1"/>
      </c>
      <c r="ER169">
        <f ca="1"/>
      </c>
      <c r="ES169">
        <f ca="1"/>
      </c>
      <c r="ET169">
        <f ca="1"/>
      </c>
      <c r="EU169">
        <f ca="1"/>
      </c>
      <c r="EV169">
        <f ca="1"/>
      </c>
      <c r="EW169">
        <f ca="1"/>
      </c>
      <c r="EX169">
        <f ca="1"/>
      </c>
      <c r="EY169">
        <f ca="1"/>
      </c>
      <c r="EZ169">
        <f ca="1"/>
      </c>
      <c r="FA169">
        <f ca="1"/>
      </c>
      <c r="FB169">
        <f ca="1"/>
      </c>
      <c r="FC169">
        <f ca="1"/>
      </c>
      <c r="FD169">
        <f ca="1"/>
      </c>
      <c r="FE169">
        <f ca="1"/>
      </c>
      <c r="FF169">
        <f ca="1"/>
      </c>
      <c r="FG169">
        <f ca="1"/>
      </c>
      <c r="FH169">
        <f ca="1"/>
      </c>
      <c r="FI169">
        <f ca="1"/>
      </c>
      <c r="FJ169">
        <f ca="1"/>
      </c>
      <c r="FK169">
        <f ca="1"/>
      </c>
      <c r="FL169">
        <f ca="1"/>
      </c>
      <c r="FM169">
        <f ca="1"/>
      </c>
      <c r="FN169">
        <f ca="1"/>
      </c>
      <c r="FO169">
        <f ca="1"/>
      </c>
      <c r="FP169">
        <f ca="1"/>
      </c>
      <c r="FQ169">
        <f ca="1"/>
      </c>
      <c r="FR169">
        <f ca="1"/>
      </c>
      <c r="FS169">
        <f ca="1"/>
      </c>
      <c r="FT169">
        <f ca="1"/>
      </c>
      <c r="FU169">
        <f ca="1"/>
      </c>
      <c r="FV169">
        <f ca="1"/>
      </c>
      <c r="FW169">
        <f ca="1"/>
      </c>
      <c r="FX169">
        <f ca="1"/>
      </c>
      <c r="FY169">
        <f ca="1"/>
      </c>
      <c r="FZ169">
        <f ca="1"/>
      </c>
      <c r="GA169">
        <f ca="1"/>
      </c>
      <c r="GM169" s="7">
        <f ca="1"/>
      </c>
      <c r="GN169">
        <f ca="1"/>
      </c>
      <c r="GO169">
        <f ca="1"/>
      </c>
      <c r="GP169">
        <f ca="1"/>
      </c>
      <c r="GQ169">
        <f ca="1"/>
      </c>
    </row>
    <row r="170" spans="41:199" x14ac:dyDescent="0.55000000000000004">
      <c r="AO170">
        <f ca="1"/>
      </c>
      <c r="AP170">
        <f ca="1"/>
      </c>
      <c r="AQ170">
        <f ca="1"/>
      </c>
      <c r="AR170">
        <f ca="1"/>
      </c>
      <c r="AS170">
        <f ca="1"/>
      </c>
      <c r="AT170">
        <f ca="1"/>
      </c>
      <c r="AU170">
        <f ca="1"/>
      </c>
      <c r="AV170">
        <f ca="1"/>
      </c>
      <c r="AW170">
        <f ca="1"/>
      </c>
      <c r="AX170">
        <f ca="1"/>
      </c>
      <c r="AY170">
        <f ca="1"/>
      </c>
      <c r="AZ170">
        <f ca="1"/>
      </c>
      <c r="BA170">
        <f ca="1"/>
      </c>
      <c r="BB170">
        <f ca="1"/>
      </c>
      <c r="BC170">
        <f ca="1"/>
      </c>
      <c r="BD170">
        <f ca="1"/>
      </c>
      <c r="BE170">
        <f ca="1"/>
      </c>
      <c r="BF170">
        <f ca="1"/>
      </c>
      <c r="BG170">
        <f ca="1"/>
      </c>
      <c r="BH170">
        <f ca="1"/>
      </c>
      <c r="BI170">
        <f ca="1"/>
      </c>
      <c r="BJ170">
        <f ca="1"/>
      </c>
      <c r="BK170">
        <f ca="1"/>
      </c>
      <c r="BL170">
        <f ca="1"/>
      </c>
      <c r="BM170">
        <f ca="1"/>
      </c>
      <c r="BN170">
        <f ca="1"/>
      </c>
      <c r="BO170">
        <f ca="1"/>
      </c>
      <c r="BP170">
        <f ca="1"/>
      </c>
      <c r="BQ170">
        <f ca="1"/>
      </c>
      <c r="BR170">
        <f ca="1"/>
      </c>
      <c r="BS170">
        <f ca="1"/>
      </c>
      <c r="BT170">
        <f ca="1"/>
      </c>
      <c r="BU170">
        <f ca="1"/>
      </c>
      <c r="BV170">
        <f ca="1"/>
      </c>
      <c r="BW170">
        <f ca="1"/>
      </c>
      <c r="BX170">
        <f ca="1"/>
      </c>
      <c r="BY170">
        <f ca="1"/>
      </c>
      <c r="BZ170">
        <f ca="1"/>
      </c>
      <c r="CA170">
        <f ca="1"/>
      </c>
      <c r="CB170">
        <f ca="1"/>
      </c>
      <c r="CC170">
        <f ca="1"/>
      </c>
      <c r="CD170">
        <f ca="1"/>
      </c>
      <c r="CE170">
        <f ca="1"/>
      </c>
      <c r="CF170">
        <f ca="1"/>
      </c>
      <c r="CG170">
        <f ca="1"/>
      </c>
      <c r="CH170">
        <f ca="1"/>
      </c>
      <c r="CI170">
        <f ca="1"/>
      </c>
      <c r="CK170">
        <f ca="1"/>
      </c>
      <c r="CL170">
        <f ca="1"/>
      </c>
      <c r="CM170">
        <f ca="1"/>
      </c>
      <c r="CN170">
        <f ca="1"/>
      </c>
      <c r="CO170">
        <f ca="1"/>
      </c>
      <c r="CP170">
        <f ca="1"/>
      </c>
      <c r="CQ170">
        <f ca="1"/>
      </c>
      <c r="CR170">
        <f ca="1"/>
      </c>
      <c r="CS170">
        <f ca="1"/>
      </c>
      <c r="CT170">
        <f ca="1"/>
      </c>
      <c r="CU170">
        <f ca="1"/>
      </c>
      <c r="CV170">
        <f ca="1"/>
      </c>
      <c r="CW170">
        <f ca="1"/>
      </c>
      <c r="CX170">
        <f ca="1"/>
      </c>
      <c r="CY170">
        <f ca="1"/>
      </c>
      <c r="CZ170">
        <f ca="1"/>
      </c>
      <c r="DA170">
        <f ca="1"/>
      </c>
      <c r="DB170">
        <f ca="1"/>
      </c>
      <c r="DC170">
        <f ca="1"/>
      </c>
      <c r="DD170">
        <f ca="1"/>
      </c>
      <c r="DE170">
        <f ca="1"/>
      </c>
      <c r="DF170">
        <f ca="1"/>
      </c>
      <c r="DG170">
        <f ca="1"/>
      </c>
      <c r="DH170">
        <f ca="1"/>
      </c>
      <c r="DI170">
        <f ca="1"/>
      </c>
      <c r="DJ170">
        <f ca="1"/>
      </c>
      <c r="DK170">
        <f ca="1"/>
      </c>
      <c r="DL170">
        <f ca="1"/>
      </c>
      <c r="DM170">
        <f ca="1"/>
      </c>
      <c r="DN170">
        <f ca="1"/>
      </c>
      <c r="DO170">
        <f ca="1"/>
      </c>
      <c r="DP170">
        <f ca="1"/>
      </c>
      <c r="DQ170">
        <f ca="1"/>
      </c>
      <c r="DR170">
        <f ca="1"/>
      </c>
      <c r="DS170">
        <f ca="1"/>
      </c>
      <c r="DT170">
        <f ca="1"/>
      </c>
      <c r="DU170">
        <f ca="1"/>
      </c>
      <c r="DV170">
        <f ca="1"/>
      </c>
      <c r="DW170">
        <f ca="1"/>
      </c>
      <c r="DX170">
        <f ca="1"/>
      </c>
      <c r="DY170">
        <f ca="1"/>
      </c>
      <c r="DZ170">
        <f ca="1"/>
      </c>
      <c r="EA170">
        <f ca="1"/>
      </c>
      <c r="EB170">
        <f ca="1"/>
      </c>
      <c r="EC170">
        <f ca="1"/>
      </c>
      <c r="ED170">
        <f ca="1"/>
      </c>
      <c r="EE170">
        <f ca="1"/>
      </c>
      <c r="EG170">
        <f ca="1"/>
      </c>
      <c r="EH170">
        <f ca="1"/>
      </c>
      <c r="EI170">
        <f ca="1"/>
      </c>
      <c r="EJ170">
        <f ca="1"/>
      </c>
      <c r="EK170">
        <f ca="1"/>
      </c>
      <c r="EL170">
        <f ca="1"/>
      </c>
      <c r="EM170">
        <f ca="1"/>
      </c>
      <c r="EN170">
        <f ca="1"/>
      </c>
      <c r="EO170">
        <f ca="1"/>
      </c>
      <c r="EP170">
        <f ca="1"/>
      </c>
      <c r="EQ170">
        <f ca="1"/>
      </c>
      <c r="ER170">
        <f ca="1"/>
      </c>
      <c r="ES170">
        <f ca="1"/>
      </c>
      <c r="ET170">
        <f ca="1"/>
      </c>
      <c r="EU170">
        <f ca="1"/>
      </c>
      <c r="EV170">
        <f ca="1"/>
      </c>
      <c r="EW170">
        <f ca="1"/>
      </c>
      <c r="EX170">
        <f ca="1"/>
      </c>
      <c r="EY170">
        <f ca="1"/>
      </c>
      <c r="EZ170">
        <f ca="1"/>
      </c>
      <c r="FA170">
        <f ca="1"/>
      </c>
      <c r="FB170">
        <f ca="1"/>
      </c>
      <c r="FC170">
        <f ca="1"/>
      </c>
      <c r="FD170">
        <f ca="1"/>
      </c>
      <c r="FE170">
        <f ca="1"/>
      </c>
      <c r="FF170">
        <f ca="1"/>
      </c>
      <c r="FG170">
        <f ca="1"/>
      </c>
      <c r="FH170">
        <f ca="1"/>
      </c>
      <c r="FI170">
        <f ca="1"/>
      </c>
      <c r="FJ170">
        <f ca="1"/>
      </c>
      <c r="FK170">
        <f ca="1"/>
      </c>
      <c r="FL170">
        <f ca="1"/>
      </c>
      <c r="FM170">
        <f ca="1"/>
      </c>
      <c r="FN170">
        <f ca="1"/>
      </c>
      <c r="FO170">
        <f ca="1"/>
      </c>
      <c r="FP170">
        <f ca="1"/>
      </c>
      <c r="FQ170">
        <f ca="1"/>
      </c>
      <c r="FR170">
        <f ca="1"/>
      </c>
      <c r="FS170">
        <f ca="1"/>
      </c>
      <c r="FT170">
        <f ca="1"/>
      </c>
      <c r="FU170">
        <f ca="1"/>
      </c>
      <c r="FV170">
        <f ca="1"/>
      </c>
      <c r="FW170">
        <f ca="1"/>
      </c>
      <c r="FX170">
        <f ca="1"/>
      </c>
      <c r="FY170">
        <f ca="1"/>
      </c>
      <c r="FZ170">
        <f ca="1"/>
      </c>
      <c r="GA170">
        <f ca="1"/>
      </c>
      <c r="GM170" s="7">
        <f ca="1"/>
      </c>
      <c r="GN170">
        <f ca="1"/>
      </c>
      <c r="GO170">
        <f ca="1"/>
      </c>
      <c r="GP170">
        <f ca="1"/>
      </c>
      <c r="GQ170">
        <f ca="1"/>
      </c>
    </row>
    <row r="171" spans="41:199" x14ac:dyDescent="0.55000000000000004">
      <c r="AO171">
        <f ca="1"/>
      </c>
      <c r="AP171">
        <f ca="1"/>
      </c>
      <c r="AQ171">
        <f ca="1"/>
      </c>
      <c r="AR171">
        <f ca="1"/>
      </c>
      <c r="AS171">
        <f ca="1"/>
      </c>
      <c r="AT171">
        <f ca="1"/>
      </c>
      <c r="AU171">
        <f ca="1"/>
      </c>
      <c r="AV171">
        <f ca="1"/>
      </c>
      <c r="AW171">
        <f ca="1"/>
      </c>
      <c r="AX171">
        <f ca="1"/>
      </c>
      <c r="AY171">
        <f ca="1"/>
      </c>
      <c r="AZ171">
        <f ca="1"/>
      </c>
      <c r="BA171">
        <f ca="1"/>
      </c>
      <c r="BB171">
        <f ca="1"/>
      </c>
      <c r="BC171">
        <f ca="1"/>
      </c>
      <c r="BD171">
        <f ca="1"/>
      </c>
      <c r="BE171">
        <f ca="1"/>
      </c>
      <c r="BF171">
        <f ca="1"/>
      </c>
      <c r="BG171">
        <f ca="1"/>
      </c>
      <c r="BH171">
        <f ca="1"/>
      </c>
      <c r="BI171">
        <f ca="1"/>
      </c>
      <c r="BJ171">
        <f ca="1"/>
      </c>
      <c r="BK171">
        <f ca="1"/>
      </c>
      <c r="BL171">
        <f ca="1"/>
      </c>
      <c r="BM171">
        <f ca="1"/>
      </c>
      <c r="BN171">
        <f ca="1"/>
      </c>
      <c r="BO171">
        <f ca="1"/>
      </c>
      <c r="BP171">
        <f ca="1"/>
      </c>
      <c r="BQ171">
        <f ca="1"/>
      </c>
      <c r="BR171">
        <f ca="1"/>
      </c>
      <c r="BS171">
        <f ca="1"/>
      </c>
      <c r="BT171">
        <f ca="1"/>
      </c>
      <c r="BU171">
        <f ca="1"/>
      </c>
      <c r="BV171">
        <f ca="1"/>
      </c>
      <c r="BW171">
        <f ca="1"/>
      </c>
      <c r="BX171">
        <f ca="1"/>
      </c>
      <c r="BY171">
        <f ca="1"/>
      </c>
      <c r="BZ171">
        <f ca="1"/>
      </c>
      <c r="CA171">
        <f ca="1"/>
      </c>
      <c r="CB171">
        <f ca="1"/>
      </c>
      <c r="CC171">
        <f ca="1"/>
      </c>
      <c r="CD171">
        <f ca="1"/>
      </c>
      <c r="CE171">
        <f ca="1"/>
      </c>
      <c r="CF171">
        <f ca="1"/>
      </c>
      <c r="CG171">
        <f ca="1"/>
      </c>
      <c r="CH171">
        <f ca="1"/>
      </c>
      <c r="CI171">
        <f ca="1"/>
      </c>
      <c r="CK171">
        <f ca="1"/>
      </c>
      <c r="CL171">
        <f ca="1"/>
      </c>
      <c r="CM171">
        <f ca="1"/>
      </c>
      <c r="CN171">
        <f ca="1"/>
      </c>
      <c r="CO171">
        <f ca="1"/>
      </c>
      <c r="CP171">
        <f ca="1"/>
      </c>
      <c r="CQ171">
        <f ca="1"/>
      </c>
      <c r="CR171">
        <f ca="1"/>
      </c>
      <c r="CS171">
        <f ca="1"/>
      </c>
      <c r="CT171">
        <f ca="1"/>
      </c>
      <c r="CU171">
        <f ca="1"/>
      </c>
      <c r="CV171">
        <f ca="1"/>
      </c>
      <c r="CW171">
        <f ca="1"/>
      </c>
      <c r="CX171">
        <f ca="1"/>
      </c>
      <c r="CY171">
        <f ca="1"/>
      </c>
      <c r="CZ171">
        <f ca="1"/>
      </c>
      <c r="DA171">
        <f ca="1"/>
      </c>
      <c r="DB171">
        <f ca="1"/>
      </c>
      <c r="DC171">
        <f ca="1"/>
      </c>
      <c r="DD171">
        <f ca="1"/>
      </c>
      <c r="DE171">
        <f ca="1"/>
      </c>
      <c r="DF171">
        <f ca="1"/>
      </c>
      <c r="DG171">
        <f ca="1"/>
      </c>
      <c r="DH171">
        <f ca="1"/>
      </c>
      <c r="DI171">
        <f ca="1"/>
      </c>
      <c r="DJ171">
        <f ca="1"/>
      </c>
      <c r="DK171">
        <f ca="1"/>
      </c>
      <c r="DL171">
        <f ca="1"/>
      </c>
      <c r="DM171">
        <f ca="1"/>
      </c>
      <c r="DN171">
        <f ca="1"/>
      </c>
      <c r="DO171">
        <f ca="1"/>
      </c>
      <c r="DP171">
        <f ca="1"/>
      </c>
      <c r="DQ171">
        <f ca="1"/>
      </c>
      <c r="DR171">
        <f ca="1"/>
      </c>
      <c r="DS171">
        <f ca="1"/>
      </c>
      <c r="DT171">
        <f ca="1"/>
      </c>
      <c r="DU171">
        <f ca="1"/>
      </c>
      <c r="DV171">
        <f ca="1"/>
      </c>
      <c r="DW171">
        <f ca="1"/>
      </c>
      <c r="DX171">
        <f ca="1"/>
      </c>
      <c r="DY171">
        <f ca="1"/>
      </c>
      <c r="DZ171">
        <f ca="1"/>
      </c>
      <c r="EA171">
        <f ca="1"/>
      </c>
      <c r="EB171">
        <f ca="1"/>
      </c>
      <c r="EC171">
        <f ca="1"/>
      </c>
      <c r="ED171">
        <f ca="1"/>
      </c>
      <c r="EE171">
        <f ca="1"/>
      </c>
      <c r="EG171">
        <f ca="1"/>
      </c>
      <c r="EH171">
        <f ca="1"/>
      </c>
      <c r="EI171">
        <f ca="1"/>
      </c>
      <c r="EJ171">
        <f ca="1"/>
      </c>
      <c r="EK171">
        <f ca="1"/>
      </c>
      <c r="EL171">
        <f ca="1"/>
      </c>
      <c r="EM171">
        <f ca="1"/>
      </c>
      <c r="EN171">
        <f ca="1"/>
      </c>
      <c r="EO171">
        <f ca="1"/>
      </c>
      <c r="EP171">
        <f ca="1"/>
      </c>
      <c r="EQ171">
        <f ca="1"/>
      </c>
      <c r="ER171">
        <f ca="1"/>
      </c>
      <c r="ES171">
        <f ca="1"/>
      </c>
      <c r="ET171">
        <f ca="1"/>
      </c>
      <c r="EU171">
        <f ca="1"/>
      </c>
      <c r="EV171">
        <f ca="1"/>
      </c>
      <c r="EW171">
        <f ca="1"/>
      </c>
      <c r="EX171">
        <f ca="1"/>
      </c>
      <c r="EY171">
        <f ca="1"/>
      </c>
      <c r="EZ171">
        <f ca="1"/>
      </c>
      <c r="FA171">
        <f ca="1"/>
      </c>
      <c r="FB171">
        <f ca="1"/>
      </c>
      <c r="FC171">
        <f ca="1"/>
      </c>
      <c r="FD171">
        <f ca="1"/>
      </c>
      <c r="FE171">
        <f ca="1"/>
      </c>
      <c r="FF171">
        <f ca="1"/>
      </c>
      <c r="FG171">
        <f ca="1"/>
      </c>
      <c r="FH171">
        <f ca="1"/>
      </c>
      <c r="FI171">
        <f ca="1"/>
      </c>
      <c r="FJ171">
        <f ca="1"/>
      </c>
      <c r="FK171">
        <f ca="1"/>
      </c>
      <c r="FL171">
        <f ca="1"/>
      </c>
      <c r="FM171">
        <f ca="1"/>
      </c>
      <c r="FN171">
        <f ca="1"/>
      </c>
      <c r="FO171">
        <f ca="1"/>
      </c>
      <c r="FP171">
        <f ca="1"/>
      </c>
      <c r="FQ171">
        <f ca="1"/>
      </c>
      <c r="FR171">
        <f ca="1"/>
      </c>
      <c r="FS171">
        <f ca="1"/>
      </c>
      <c r="FT171">
        <f ca="1"/>
      </c>
      <c r="FU171">
        <f ca="1"/>
      </c>
      <c r="FV171">
        <f ca="1"/>
      </c>
      <c r="FW171">
        <f ca="1"/>
      </c>
      <c r="FX171">
        <f ca="1"/>
      </c>
      <c r="FY171">
        <f ca="1"/>
      </c>
      <c r="FZ171">
        <f ca="1"/>
      </c>
      <c r="GA171">
        <f ca="1"/>
      </c>
      <c r="GM171" s="7">
        <f ca="1"/>
      </c>
      <c r="GN171">
        <f ca="1"/>
      </c>
      <c r="GO171">
        <f ca="1"/>
      </c>
      <c r="GP171">
        <f ca="1"/>
      </c>
      <c r="GQ171">
        <f ca="1"/>
      </c>
    </row>
    <row r="172" spans="41:199" x14ac:dyDescent="0.55000000000000004">
      <c r="AO172">
        <f ca="1"/>
      </c>
      <c r="AP172">
        <f ca="1"/>
      </c>
      <c r="AQ172">
        <f ca="1"/>
      </c>
      <c r="AR172">
        <f ca="1"/>
      </c>
      <c r="AS172">
        <f ca="1"/>
      </c>
      <c r="AT172">
        <f ca="1"/>
      </c>
      <c r="AU172">
        <f ca="1"/>
      </c>
      <c r="AV172">
        <f ca="1"/>
      </c>
      <c r="AW172">
        <f ca="1"/>
      </c>
      <c r="AX172">
        <f ca="1"/>
      </c>
      <c r="AY172">
        <f ca="1"/>
      </c>
      <c r="AZ172">
        <f ca="1"/>
      </c>
      <c r="BA172">
        <f ca="1"/>
      </c>
      <c r="BB172">
        <f ca="1"/>
      </c>
      <c r="BC172">
        <f ca="1"/>
      </c>
      <c r="BD172">
        <f ca="1"/>
      </c>
      <c r="BE172">
        <f ca="1"/>
      </c>
      <c r="BF172">
        <f ca="1"/>
      </c>
      <c r="BG172">
        <f ca="1"/>
      </c>
      <c r="BH172">
        <f ca="1"/>
      </c>
      <c r="BI172">
        <f ca="1"/>
      </c>
      <c r="BJ172">
        <f ca="1"/>
      </c>
      <c r="BK172">
        <f ca="1"/>
      </c>
      <c r="BL172">
        <f ca="1"/>
      </c>
      <c r="BM172">
        <f ca="1"/>
      </c>
      <c r="BN172">
        <f ca="1"/>
      </c>
      <c r="BO172">
        <f ca="1"/>
      </c>
      <c r="BP172">
        <f ca="1"/>
      </c>
      <c r="BQ172">
        <f ca="1"/>
      </c>
      <c r="BR172">
        <f ca="1"/>
      </c>
      <c r="BS172">
        <f ca="1"/>
      </c>
      <c r="BT172">
        <f ca="1"/>
      </c>
      <c r="BU172">
        <f ca="1"/>
      </c>
      <c r="BV172">
        <f ca="1"/>
      </c>
      <c r="BW172">
        <f ca="1"/>
      </c>
      <c r="BX172">
        <f ca="1"/>
      </c>
      <c r="BY172">
        <f ca="1"/>
      </c>
      <c r="BZ172">
        <f ca="1"/>
      </c>
      <c r="CA172">
        <f ca="1"/>
      </c>
      <c r="CB172">
        <f ca="1"/>
      </c>
      <c r="CC172">
        <f ca="1"/>
      </c>
      <c r="CD172">
        <f ca="1"/>
      </c>
      <c r="CE172">
        <f ca="1"/>
      </c>
      <c r="CF172">
        <f ca="1"/>
      </c>
      <c r="CG172">
        <f ca="1"/>
      </c>
      <c r="CH172">
        <f ca="1"/>
      </c>
      <c r="CI172">
        <f ca="1"/>
      </c>
      <c r="CK172">
        <f ca="1"/>
      </c>
      <c r="CL172">
        <f ca="1"/>
      </c>
      <c r="CM172">
        <f ca="1"/>
      </c>
      <c r="CN172">
        <f ca="1"/>
      </c>
      <c r="CO172">
        <f ca="1"/>
      </c>
      <c r="CP172">
        <f ca="1"/>
      </c>
      <c r="CQ172">
        <f ca="1"/>
      </c>
      <c r="CR172">
        <f ca="1"/>
      </c>
      <c r="CS172">
        <f ca="1"/>
      </c>
      <c r="CT172">
        <f ca="1"/>
      </c>
      <c r="CU172">
        <f ca="1"/>
      </c>
      <c r="CV172">
        <f ca="1"/>
      </c>
      <c r="CW172">
        <f ca="1"/>
      </c>
      <c r="CX172">
        <f ca="1"/>
      </c>
      <c r="CY172">
        <f ca="1"/>
      </c>
      <c r="CZ172">
        <f ca="1"/>
      </c>
      <c r="DA172">
        <f ca="1"/>
      </c>
      <c r="DB172">
        <f ca="1"/>
      </c>
      <c r="DC172">
        <f ca="1"/>
      </c>
      <c r="DD172">
        <f ca="1"/>
      </c>
      <c r="DE172">
        <f ca="1"/>
      </c>
      <c r="DF172">
        <f ca="1"/>
      </c>
      <c r="DG172">
        <f ca="1"/>
      </c>
      <c r="DH172">
        <f ca="1"/>
      </c>
      <c r="DI172">
        <f ca="1"/>
      </c>
      <c r="DJ172">
        <f ca="1"/>
      </c>
      <c r="DK172">
        <f ca="1"/>
      </c>
      <c r="DL172">
        <f ca="1"/>
      </c>
      <c r="DM172">
        <f ca="1"/>
      </c>
      <c r="DN172">
        <f ca="1"/>
      </c>
      <c r="DO172">
        <f ca="1"/>
      </c>
      <c r="DP172">
        <f ca="1"/>
      </c>
      <c r="DQ172">
        <f ca="1"/>
      </c>
      <c r="DR172">
        <f ca="1"/>
      </c>
      <c r="DS172">
        <f ca="1"/>
      </c>
      <c r="DT172">
        <f ca="1"/>
      </c>
      <c r="DU172">
        <f ca="1"/>
      </c>
      <c r="DV172">
        <f ca="1"/>
      </c>
      <c r="DW172">
        <f ca="1"/>
      </c>
      <c r="DX172">
        <f ca="1"/>
      </c>
      <c r="DY172">
        <f ca="1"/>
      </c>
      <c r="DZ172">
        <f ca="1"/>
      </c>
      <c r="EA172">
        <f ca="1"/>
      </c>
      <c r="EB172">
        <f ca="1"/>
      </c>
      <c r="EC172">
        <f ca="1"/>
      </c>
      <c r="ED172">
        <f ca="1"/>
      </c>
      <c r="EE172">
        <f ca="1"/>
      </c>
      <c r="EG172">
        <f ca="1"/>
      </c>
      <c r="EH172">
        <f ca="1"/>
      </c>
      <c r="EI172">
        <f ca="1"/>
      </c>
      <c r="EJ172">
        <f ca="1"/>
      </c>
      <c r="EK172">
        <f ca="1"/>
      </c>
      <c r="EL172">
        <f ca="1"/>
      </c>
      <c r="EM172">
        <f ca="1"/>
      </c>
      <c r="EN172">
        <f ca="1"/>
      </c>
      <c r="EO172">
        <f ca="1"/>
      </c>
      <c r="EP172">
        <f ca="1"/>
      </c>
      <c r="EQ172">
        <f ca="1"/>
      </c>
      <c r="ER172">
        <f ca="1"/>
      </c>
      <c r="ES172">
        <f ca="1"/>
      </c>
      <c r="ET172">
        <f ca="1"/>
      </c>
      <c r="EU172">
        <f ca="1"/>
      </c>
      <c r="EV172">
        <f ca="1"/>
      </c>
      <c r="EW172">
        <f ca="1"/>
      </c>
      <c r="EX172">
        <f ca="1"/>
      </c>
      <c r="EY172">
        <f ca="1"/>
      </c>
      <c r="EZ172">
        <f ca="1"/>
      </c>
      <c r="FA172">
        <f ca="1"/>
      </c>
      <c r="FB172">
        <f ca="1"/>
      </c>
      <c r="FC172">
        <f ca="1"/>
      </c>
      <c r="FD172">
        <f ca="1"/>
      </c>
      <c r="FE172">
        <f ca="1"/>
      </c>
      <c r="FF172">
        <f ca="1"/>
      </c>
      <c r="FG172">
        <f ca="1"/>
      </c>
      <c r="FH172">
        <f ca="1"/>
      </c>
      <c r="FI172">
        <f ca="1"/>
      </c>
      <c r="FJ172">
        <f ca="1"/>
      </c>
      <c r="FK172">
        <f ca="1"/>
      </c>
      <c r="FL172">
        <f ca="1"/>
      </c>
      <c r="FM172">
        <f ca="1"/>
      </c>
      <c r="FN172">
        <f ca="1"/>
      </c>
      <c r="FO172">
        <f ca="1"/>
      </c>
      <c r="FP172">
        <f ca="1"/>
      </c>
      <c r="FQ172">
        <f ca="1"/>
      </c>
      <c r="FR172">
        <f ca="1"/>
      </c>
      <c r="FS172">
        <f ca="1"/>
      </c>
      <c r="FT172">
        <f ca="1"/>
      </c>
      <c r="FU172">
        <f ca="1"/>
      </c>
      <c r="FV172">
        <f ca="1"/>
      </c>
      <c r="FW172">
        <f ca="1"/>
      </c>
      <c r="FX172">
        <f ca="1"/>
      </c>
      <c r="FY172">
        <f ca="1"/>
      </c>
      <c r="FZ172">
        <f ca="1"/>
      </c>
      <c r="GA172">
        <f ca="1"/>
      </c>
      <c r="GM172" s="7">
        <f ca="1"/>
      </c>
      <c r="GN172">
        <f ca="1"/>
      </c>
      <c r="GO172">
        <f ca="1"/>
      </c>
      <c r="GP172">
        <f ca="1"/>
      </c>
      <c r="GQ172">
        <f ca="1"/>
      </c>
    </row>
    <row r="173" spans="41:199" x14ac:dyDescent="0.55000000000000004">
      <c r="AO173">
        <f ca="1"/>
      </c>
      <c r="AP173">
        <f ca="1"/>
      </c>
      <c r="AQ173">
        <f ca="1"/>
      </c>
      <c r="AR173">
        <f ca="1"/>
      </c>
      <c r="AS173">
        <f ca="1"/>
      </c>
      <c r="AT173">
        <f ca="1"/>
      </c>
      <c r="AU173">
        <f ca="1"/>
      </c>
      <c r="AV173">
        <f ca="1"/>
      </c>
      <c r="AW173">
        <f ca="1"/>
      </c>
      <c r="AX173">
        <f ca="1"/>
      </c>
      <c r="AY173">
        <f ca="1"/>
      </c>
      <c r="AZ173">
        <f ca="1"/>
      </c>
      <c r="BA173">
        <f ca="1"/>
      </c>
      <c r="BB173">
        <f ca="1"/>
      </c>
      <c r="BC173">
        <f ca="1"/>
      </c>
      <c r="BD173">
        <f ca="1"/>
      </c>
      <c r="BE173">
        <f ca="1"/>
      </c>
      <c r="BF173">
        <f ca="1"/>
      </c>
      <c r="BG173">
        <f ca="1"/>
      </c>
      <c r="BH173">
        <f ca="1"/>
      </c>
      <c r="BI173">
        <f ca="1"/>
      </c>
      <c r="BJ173">
        <f ca="1"/>
      </c>
      <c r="BK173">
        <f ca="1"/>
      </c>
      <c r="BL173">
        <f ca="1"/>
      </c>
      <c r="BM173">
        <f ca="1"/>
      </c>
      <c r="BN173">
        <f ca="1"/>
      </c>
      <c r="BO173">
        <f ca="1"/>
      </c>
      <c r="BP173">
        <f ca="1"/>
      </c>
      <c r="BQ173">
        <f ca="1"/>
      </c>
      <c r="BR173">
        <f ca="1"/>
      </c>
      <c r="BS173">
        <f ca="1"/>
      </c>
      <c r="BT173">
        <f ca="1"/>
      </c>
      <c r="BU173">
        <f ca="1"/>
      </c>
      <c r="BV173">
        <f ca="1"/>
      </c>
      <c r="BW173">
        <f ca="1"/>
      </c>
      <c r="BX173">
        <f ca="1"/>
      </c>
      <c r="BY173">
        <f ca="1"/>
      </c>
      <c r="BZ173">
        <f ca="1"/>
      </c>
      <c r="CA173">
        <f ca="1"/>
      </c>
      <c r="CB173">
        <f ca="1"/>
      </c>
      <c r="CC173">
        <f ca="1"/>
      </c>
      <c r="CD173">
        <f ca="1"/>
      </c>
      <c r="CE173">
        <f ca="1"/>
      </c>
      <c r="CF173">
        <f ca="1"/>
      </c>
      <c r="CG173">
        <f ca="1"/>
      </c>
      <c r="CH173">
        <f ca="1"/>
      </c>
      <c r="CI173">
        <f ca="1"/>
      </c>
      <c r="CK173">
        <f ca="1"/>
      </c>
      <c r="CL173">
        <f ca="1"/>
      </c>
      <c r="CM173">
        <f ca="1"/>
      </c>
      <c r="CN173">
        <f ca="1"/>
      </c>
      <c r="CO173">
        <f ca="1"/>
      </c>
      <c r="CP173">
        <f ca="1"/>
      </c>
      <c r="CQ173">
        <f ca="1"/>
      </c>
      <c r="CR173">
        <f ca="1"/>
      </c>
      <c r="CS173">
        <f ca="1"/>
      </c>
      <c r="CT173">
        <f ca="1"/>
      </c>
      <c r="CU173">
        <f ca="1"/>
      </c>
      <c r="CV173">
        <f ca="1"/>
      </c>
      <c r="CW173">
        <f ca="1"/>
      </c>
      <c r="CX173">
        <f ca="1"/>
      </c>
      <c r="CY173">
        <f ca="1"/>
      </c>
      <c r="CZ173">
        <f ca="1"/>
      </c>
      <c r="DA173">
        <f ca="1"/>
      </c>
      <c r="DB173">
        <f ca="1"/>
      </c>
      <c r="DC173">
        <f ca="1"/>
      </c>
      <c r="DD173">
        <f ca="1"/>
      </c>
      <c r="DE173">
        <f ca="1"/>
      </c>
      <c r="DF173">
        <f ca="1"/>
      </c>
      <c r="DG173">
        <f ca="1"/>
      </c>
      <c r="DH173">
        <f ca="1"/>
      </c>
      <c r="DI173">
        <f ca="1"/>
      </c>
      <c r="DJ173">
        <f ca="1"/>
      </c>
      <c r="DK173">
        <f ca="1"/>
      </c>
      <c r="DL173">
        <f ca="1"/>
      </c>
      <c r="DM173">
        <f ca="1"/>
      </c>
      <c r="DN173">
        <f ca="1"/>
      </c>
      <c r="DO173">
        <f ca="1"/>
      </c>
      <c r="DP173">
        <f ca="1"/>
      </c>
      <c r="DQ173">
        <f ca="1"/>
      </c>
      <c r="DR173">
        <f ca="1"/>
      </c>
      <c r="DS173">
        <f ca="1"/>
      </c>
      <c r="DT173">
        <f ca="1"/>
      </c>
      <c r="DU173">
        <f ca="1"/>
      </c>
      <c r="DV173">
        <f ca="1"/>
      </c>
      <c r="DW173">
        <f ca="1"/>
      </c>
      <c r="DX173">
        <f ca="1"/>
      </c>
      <c r="DY173">
        <f ca="1"/>
      </c>
      <c r="DZ173">
        <f ca="1"/>
      </c>
      <c r="EA173">
        <f ca="1"/>
      </c>
      <c r="EB173">
        <f ca="1"/>
      </c>
      <c r="EC173">
        <f ca="1"/>
      </c>
      <c r="ED173">
        <f ca="1"/>
      </c>
      <c r="EE173">
        <f ca="1"/>
      </c>
      <c r="EG173">
        <f ca="1"/>
      </c>
      <c r="EH173">
        <f ca="1"/>
      </c>
      <c r="EI173">
        <f ca="1"/>
      </c>
      <c r="EJ173">
        <f ca="1"/>
      </c>
      <c r="EK173">
        <f ca="1"/>
      </c>
      <c r="EL173">
        <f ca="1"/>
      </c>
      <c r="EM173">
        <f ca="1"/>
      </c>
      <c r="EN173">
        <f ca="1"/>
      </c>
      <c r="EO173">
        <f ca="1"/>
      </c>
      <c r="EP173">
        <f ca="1"/>
      </c>
      <c r="EQ173">
        <f ca="1"/>
      </c>
      <c r="ER173">
        <f ca="1"/>
      </c>
      <c r="ES173">
        <f ca="1"/>
      </c>
      <c r="ET173">
        <f ca="1"/>
      </c>
      <c r="EU173">
        <f ca="1"/>
      </c>
      <c r="EV173">
        <f ca="1"/>
      </c>
      <c r="EW173">
        <f ca="1"/>
      </c>
      <c r="EX173">
        <f ca="1"/>
      </c>
      <c r="EY173">
        <f ca="1"/>
      </c>
      <c r="EZ173">
        <f ca="1"/>
      </c>
      <c r="FA173">
        <f ca="1"/>
      </c>
      <c r="FB173">
        <f ca="1"/>
      </c>
      <c r="FC173">
        <f ca="1"/>
      </c>
      <c r="FD173">
        <f ca="1"/>
      </c>
      <c r="FE173">
        <f ca="1"/>
      </c>
      <c r="FF173">
        <f ca="1"/>
      </c>
      <c r="FG173">
        <f ca="1"/>
      </c>
      <c r="FH173">
        <f ca="1"/>
      </c>
      <c r="FI173">
        <f ca="1"/>
      </c>
      <c r="FJ173">
        <f ca="1"/>
      </c>
      <c r="FK173">
        <f ca="1"/>
      </c>
      <c r="FL173">
        <f ca="1"/>
      </c>
      <c r="FM173">
        <f ca="1"/>
      </c>
      <c r="FN173">
        <f ca="1"/>
      </c>
      <c r="FO173">
        <f ca="1"/>
      </c>
      <c r="FP173">
        <f ca="1"/>
      </c>
      <c r="FQ173">
        <f ca="1"/>
      </c>
      <c r="FR173">
        <f ca="1"/>
      </c>
      <c r="FS173">
        <f ca="1"/>
      </c>
      <c r="FT173">
        <f ca="1"/>
      </c>
      <c r="FU173">
        <f ca="1"/>
      </c>
      <c r="FV173">
        <f ca="1"/>
      </c>
      <c r="FW173">
        <f ca="1"/>
      </c>
      <c r="FX173">
        <f ca="1"/>
      </c>
      <c r="FY173">
        <f ca="1"/>
      </c>
      <c r="FZ173">
        <f ca="1"/>
      </c>
      <c r="GA173">
        <f ca="1"/>
      </c>
      <c r="GM173" s="7">
        <f ca="1"/>
      </c>
      <c r="GN173">
        <f ca="1"/>
      </c>
      <c r="GO173">
        <f ca="1"/>
      </c>
      <c r="GP173">
        <f ca="1"/>
      </c>
      <c r="GQ173">
        <f ca="1"/>
      </c>
    </row>
    <row r="174" spans="41:199" x14ac:dyDescent="0.55000000000000004">
      <c r="AO174">
        <f ca="1"/>
      </c>
      <c r="AP174">
        <f ca="1"/>
      </c>
      <c r="AQ174">
        <f ca="1"/>
      </c>
      <c r="AR174">
        <f ca="1"/>
      </c>
      <c r="AS174">
        <f ca="1"/>
      </c>
      <c r="AT174">
        <f ca="1"/>
      </c>
      <c r="AU174">
        <f ca="1"/>
      </c>
      <c r="AV174">
        <f ca="1"/>
      </c>
      <c r="AW174">
        <f ca="1"/>
      </c>
      <c r="AX174">
        <f ca="1"/>
      </c>
      <c r="AY174">
        <f ca="1"/>
      </c>
      <c r="AZ174">
        <f ca="1"/>
      </c>
      <c r="BA174">
        <f ca="1"/>
      </c>
      <c r="BB174">
        <f ca="1"/>
      </c>
      <c r="BC174">
        <f ca="1"/>
      </c>
      <c r="BD174">
        <f ca="1"/>
      </c>
      <c r="BE174">
        <f ca="1"/>
      </c>
      <c r="BF174">
        <f ca="1"/>
      </c>
      <c r="BG174">
        <f ca="1"/>
      </c>
      <c r="BH174">
        <f ca="1"/>
      </c>
      <c r="BI174">
        <f ca="1"/>
      </c>
      <c r="BJ174">
        <f ca="1"/>
      </c>
      <c r="BK174">
        <f ca="1"/>
      </c>
      <c r="BL174">
        <f ca="1"/>
      </c>
      <c r="BM174">
        <f ca="1"/>
      </c>
      <c r="BN174">
        <f ca="1"/>
      </c>
      <c r="BO174">
        <f ca="1"/>
      </c>
      <c r="BP174">
        <f ca="1"/>
      </c>
      <c r="BQ174">
        <f ca="1"/>
      </c>
      <c r="BR174">
        <f ca="1"/>
      </c>
      <c r="BS174">
        <f ca="1"/>
      </c>
      <c r="BT174">
        <f ca="1"/>
      </c>
      <c r="BU174">
        <f ca="1"/>
      </c>
      <c r="BV174">
        <f ca="1"/>
      </c>
      <c r="BW174">
        <f ca="1"/>
      </c>
      <c r="BX174">
        <f ca="1"/>
      </c>
      <c r="BY174">
        <f ca="1"/>
      </c>
      <c r="BZ174">
        <f ca="1"/>
      </c>
      <c r="CA174">
        <f ca="1"/>
      </c>
      <c r="CB174">
        <f ca="1"/>
      </c>
      <c r="CC174">
        <f ca="1"/>
      </c>
      <c r="CD174">
        <f ca="1"/>
      </c>
      <c r="CE174">
        <f ca="1"/>
      </c>
      <c r="CF174">
        <f ca="1"/>
      </c>
      <c r="CG174">
        <f ca="1"/>
      </c>
      <c r="CH174">
        <f ca="1"/>
      </c>
      <c r="CI174">
        <f ca="1"/>
      </c>
      <c r="CK174">
        <f ca="1"/>
      </c>
      <c r="CL174">
        <f ca="1"/>
      </c>
      <c r="CM174">
        <f ca="1"/>
      </c>
      <c r="CN174">
        <f ca="1"/>
      </c>
      <c r="CO174">
        <f ca="1"/>
      </c>
      <c r="CP174">
        <f ca="1"/>
      </c>
      <c r="CQ174">
        <f ca="1"/>
      </c>
      <c r="CR174">
        <f ca="1"/>
      </c>
      <c r="CS174">
        <f ca="1"/>
      </c>
      <c r="CT174">
        <f ca="1"/>
      </c>
      <c r="CU174">
        <f ca="1"/>
      </c>
      <c r="CV174">
        <f ca="1"/>
      </c>
      <c r="CW174">
        <f ca="1"/>
      </c>
      <c r="CX174">
        <f ca="1"/>
      </c>
      <c r="CY174">
        <f ca="1"/>
      </c>
      <c r="CZ174">
        <f ca="1"/>
      </c>
      <c r="DA174">
        <f ca="1"/>
      </c>
      <c r="DB174">
        <f ca="1"/>
      </c>
      <c r="DC174">
        <f ca="1"/>
      </c>
      <c r="DD174">
        <f ca="1"/>
      </c>
      <c r="DE174">
        <f ca="1"/>
      </c>
      <c r="DF174">
        <f ca="1"/>
      </c>
      <c r="DG174">
        <f ca="1"/>
      </c>
      <c r="DH174">
        <f ca="1"/>
      </c>
      <c r="DI174">
        <f ca="1"/>
      </c>
      <c r="DJ174">
        <f ca="1"/>
      </c>
      <c r="DK174">
        <f ca="1"/>
      </c>
      <c r="DL174">
        <f ca="1"/>
      </c>
      <c r="DM174">
        <f ca="1"/>
      </c>
      <c r="DN174">
        <f ca="1"/>
      </c>
      <c r="DO174">
        <f ca="1"/>
      </c>
      <c r="DP174">
        <f ca="1"/>
      </c>
      <c r="DQ174">
        <f ca="1"/>
      </c>
      <c r="DR174">
        <f ca="1"/>
      </c>
      <c r="DS174">
        <f ca="1"/>
      </c>
      <c r="DT174">
        <f ca="1"/>
      </c>
      <c r="DU174">
        <f ca="1"/>
      </c>
      <c r="DV174">
        <f ca="1"/>
      </c>
      <c r="DW174">
        <f ca="1"/>
      </c>
      <c r="DX174">
        <f ca="1"/>
      </c>
      <c r="DY174">
        <f ca="1"/>
      </c>
      <c r="DZ174">
        <f ca="1"/>
      </c>
      <c r="EA174">
        <f ca="1"/>
      </c>
      <c r="EB174">
        <f ca="1"/>
      </c>
      <c r="EC174">
        <f ca="1"/>
      </c>
      <c r="ED174">
        <f ca="1"/>
      </c>
      <c r="EE174">
        <f ca="1"/>
      </c>
      <c r="EG174">
        <f ca="1"/>
      </c>
      <c r="EH174">
        <f ca="1"/>
      </c>
      <c r="EI174">
        <f ca="1"/>
      </c>
      <c r="EJ174">
        <f ca="1"/>
      </c>
      <c r="EK174">
        <f ca="1"/>
      </c>
      <c r="EL174">
        <f ca="1"/>
      </c>
      <c r="EM174">
        <f ca="1"/>
      </c>
      <c r="EN174">
        <f ca="1"/>
      </c>
      <c r="EO174">
        <f ca="1"/>
      </c>
      <c r="EP174">
        <f ca="1"/>
      </c>
      <c r="EQ174">
        <f ca="1"/>
      </c>
      <c r="ER174">
        <f ca="1"/>
      </c>
      <c r="ES174">
        <f ca="1"/>
      </c>
      <c r="ET174">
        <f ca="1"/>
      </c>
      <c r="EU174">
        <f ca="1"/>
      </c>
      <c r="EV174">
        <f ca="1"/>
      </c>
      <c r="EW174">
        <f ca="1"/>
      </c>
      <c r="EX174">
        <f ca="1"/>
      </c>
      <c r="EY174">
        <f ca="1"/>
      </c>
      <c r="EZ174">
        <f ca="1"/>
      </c>
      <c r="FA174">
        <f ca="1"/>
      </c>
      <c r="FB174">
        <f ca="1"/>
      </c>
      <c r="FC174">
        <f ca="1"/>
      </c>
      <c r="FD174">
        <f ca="1"/>
      </c>
      <c r="FE174">
        <f ca="1"/>
      </c>
      <c r="FF174">
        <f ca="1"/>
      </c>
      <c r="FG174">
        <f ca="1"/>
      </c>
      <c r="FH174">
        <f ca="1"/>
      </c>
      <c r="FI174">
        <f ca="1"/>
      </c>
      <c r="FJ174">
        <f ca="1"/>
      </c>
      <c r="FK174">
        <f ca="1"/>
      </c>
      <c r="FL174">
        <f ca="1"/>
      </c>
      <c r="FM174">
        <f ca="1"/>
      </c>
      <c r="FN174">
        <f ca="1"/>
      </c>
      <c r="FO174">
        <f ca="1"/>
      </c>
      <c r="FP174">
        <f ca="1"/>
      </c>
      <c r="FQ174">
        <f ca="1"/>
      </c>
      <c r="FR174">
        <f ca="1"/>
      </c>
      <c r="FS174">
        <f ca="1"/>
      </c>
      <c r="FT174">
        <f ca="1"/>
      </c>
      <c r="FU174">
        <f ca="1"/>
      </c>
      <c r="FV174">
        <f ca="1"/>
      </c>
      <c r="FW174">
        <f ca="1"/>
      </c>
      <c r="FX174">
        <f ca="1"/>
      </c>
      <c r="FY174">
        <f ca="1"/>
      </c>
      <c r="FZ174">
        <f ca="1"/>
      </c>
      <c r="GA174">
        <f ca="1"/>
      </c>
      <c r="GM174" s="7">
        <f ca="1"/>
      </c>
      <c r="GN174">
        <f ca="1"/>
      </c>
      <c r="GO174">
        <f ca="1"/>
      </c>
      <c r="GP174">
        <f ca="1"/>
      </c>
      <c r="GQ174">
        <f ca="1"/>
      </c>
    </row>
    <row r="175" spans="41:199" x14ac:dyDescent="0.55000000000000004">
      <c r="AO175">
        <f ca="1"/>
      </c>
      <c r="AP175">
        <f ca="1"/>
      </c>
      <c r="AQ175">
        <f ca="1"/>
      </c>
      <c r="AR175">
        <f ca="1"/>
      </c>
      <c r="AS175">
        <f ca="1"/>
      </c>
      <c r="AT175">
        <f ca="1"/>
      </c>
      <c r="AU175">
        <f ca="1"/>
      </c>
      <c r="AV175">
        <f ca="1"/>
      </c>
      <c r="AW175">
        <f ca="1"/>
      </c>
      <c r="AX175">
        <f ca="1"/>
      </c>
      <c r="AY175">
        <f ca="1"/>
      </c>
      <c r="AZ175">
        <f ca="1"/>
      </c>
      <c r="BA175">
        <f ca="1"/>
      </c>
      <c r="BB175">
        <f ca="1"/>
      </c>
      <c r="BC175">
        <f ca="1"/>
      </c>
      <c r="BD175">
        <f ca="1"/>
      </c>
      <c r="BE175">
        <f ca="1"/>
      </c>
      <c r="BF175">
        <f ca="1"/>
      </c>
      <c r="BG175">
        <f ca="1"/>
      </c>
      <c r="BH175">
        <f ca="1"/>
      </c>
      <c r="BI175">
        <f ca="1"/>
      </c>
      <c r="BJ175">
        <f ca="1"/>
      </c>
      <c r="BK175">
        <f ca="1"/>
      </c>
      <c r="BL175">
        <f ca="1"/>
      </c>
      <c r="BM175">
        <f ca="1"/>
      </c>
      <c r="BN175">
        <f ca="1"/>
      </c>
      <c r="BO175">
        <f ca="1"/>
      </c>
      <c r="BP175">
        <f ca="1"/>
      </c>
      <c r="BQ175">
        <f ca="1"/>
      </c>
      <c r="BR175">
        <f ca="1"/>
      </c>
      <c r="BS175">
        <f ca="1"/>
      </c>
      <c r="BT175">
        <f ca="1"/>
      </c>
      <c r="BU175">
        <f ca="1"/>
      </c>
      <c r="BV175">
        <f ca="1"/>
      </c>
      <c r="BW175">
        <f ca="1"/>
      </c>
      <c r="BX175">
        <f ca="1"/>
      </c>
      <c r="BY175">
        <f ca="1"/>
      </c>
      <c r="BZ175">
        <f ca="1"/>
      </c>
      <c r="CA175">
        <f ca="1"/>
      </c>
      <c r="CB175">
        <f ca="1"/>
      </c>
      <c r="CC175">
        <f ca="1"/>
      </c>
      <c r="CD175">
        <f ca="1"/>
      </c>
      <c r="CE175">
        <f ca="1"/>
      </c>
      <c r="CF175">
        <f ca="1"/>
      </c>
      <c r="CG175">
        <f ca="1"/>
      </c>
      <c r="CH175">
        <f ca="1"/>
      </c>
      <c r="CI175">
        <f ca="1"/>
      </c>
      <c r="CK175">
        <f ca="1"/>
      </c>
      <c r="CL175">
        <f ca="1"/>
      </c>
      <c r="CM175">
        <f ca="1"/>
      </c>
      <c r="CN175">
        <f ca="1"/>
      </c>
      <c r="CO175">
        <f ca="1"/>
      </c>
      <c r="CP175">
        <f ca="1"/>
      </c>
      <c r="CQ175">
        <f ca="1"/>
      </c>
      <c r="CR175">
        <f ca="1"/>
      </c>
      <c r="CS175">
        <f ca="1"/>
      </c>
      <c r="CT175">
        <f ca="1"/>
      </c>
      <c r="CU175">
        <f ca="1"/>
      </c>
      <c r="CV175">
        <f ca="1"/>
      </c>
      <c r="CW175">
        <f ca="1"/>
      </c>
      <c r="CX175">
        <f ca="1"/>
      </c>
      <c r="CY175">
        <f ca="1"/>
      </c>
      <c r="CZ175">
        <f ca="1"/>
      </c>
      <c r="DA175">
        <f ca="1"/>
      </c>
      <c r="DB175">
        <f ca="1"/>
      </c>
      <c r="DC175">
        <f ca="1"/>
      </c>
      <c r="DD175">
        <f ca="1"/>
      </c>
      <c r="DE175">
        <f ca="1"/>
      </c>
      <c r="DF175">
        <f ca="1"/>
      </c>
      <c r="DG175">
        <f ca="1"/>
      </c>
      <c r="DH175">
        <f ca="1"/>
      </c>
      <c r="DI175">
        <f ca="1"/>
      </c>
      <c r="DJ175">
        <f ca="1"/>
      </c>
      <c r="DK175">
        <f ca="1"/>
      </c>
      <c r="DL175">
        <f ca="1"/>
      </c>
      <c r="DM175">
        <f ca="1"/>
      </c>
      <c r="DN175">
        <f ca="1"/>
      </c>
      <c r="DO175">
        <f ca="1"/>
      </c>
      <c r="DP175">
        <f ca="1"/>
      </c>
      <c r="DQ175">
        <f ca="1"/>
      </c>
      <c r="DR175">
        <f ca="1"/>
      </c>
      <c r="DS175">
        <f ca="1"/>
      </c>
      <c r="DT175">
        <f ca="1"/>
      </c>
      <c r="DU175">
        <f ca="1"/>
      </c>
      <c r="DV175">
        <f ca="1"/>
      </c>
      <c r="DW175">
        <f ca="1"/>
      </c>
      <c r="DX175">
        <f ca="1"/>
      </c>
      <c r="DY175">
        <f ca="1"/>
      </c>
      <c r="DZ175">
        <f ca="1"/>
      </c>
      <c r="EA175">
        <f ca="1"/>
      </c>
      <c r="EB175">
        <f ca="1"/>
      </c>
      <c r="EC175">
        <f ca="1"/>
      </c>
      <c r="ED175">
        <f ca="1"/>
      </c>
      <c r="EE175">
        <f ca="1"/>
      </c>
      <c r="EG175">
        <f ca="1"/>
      </c>
      <c r="EH175">
        <f ca="1"/>
      </c>
      <c r="EI175">
        <f ca="1"/>
      </c>
      <c r="EJ175">
        <f ca="1"/>
      </c>
      <c r="EK175">
        <f ca="1"/>
      </c>
      <c r="EL175">
        <f ca="1"/>
      </c>
      <c r="EM175">
        <f ca="1"/>
      </c>
      <c r="EN175">
        <f ca="1"/>
      </c>
      <c r="EO175">
        <f ca="1"/>
      </c>
      <c r="EP175">
        <f ca="1"/>
      </c>
      <c r="EQ175">
        <f ca="1"/>
      </c>
      <c r="ER175">
        <f ca="1"/>
      </c>
      <c r="ES175">
        <f ca="1"/>
      </c>
      <c r="ET175">
        <f ca="1"/>
      </c>
      <c r="EU175">
        <f ca="1"/>
      </c>
      <c r="EV175">
        <f ca="1"/>
      </c>
      <c r="EW175">
        <f ca="1"/>
      </c>
      <c r="EX175">
        <f ca="1"/>
      </c>
      <c r="EY175">
        <f ca="1"/>
      </c>
      <c r="EZ175">
        <f ca="1"/>
      </c>
      <c r="FA175">
        <f ca="1"/>
      </c>
      <c r="FB175">
        <f ca="1"/>
      </c>
      <c r="FC175">
        <f ca="1"/>
      </c>
      <c r="FD175">
        <f ca="1"/>
      </c>
      <c r="FE175">
        <f ca="1"/>
      </c>
      <c r="FF175">
        <f ca="1"/>
      </c>
      <c r="FG175">
        <f ca="1"/>
      </c>
      <c r="FH175">
        <f ca="1"/>
      </c>
      <c r="FI175">
        <f ca="1"/>
      </c>
      <c r="FJ175">
        <f ca="1"/>
      </c>
      <c r="FK175">
        <f ca="1"/>
      </c>
      <c r="FL175">
        <f ca="1"/>
      </c>
      <c r="FM175">
        <f ca="1"/>
      </c>
      <c r="FN175">
        <f ca="1"/>
      </c>
      <c r="FO175">
        <f ca="1"/>
      </c>
      <c r="FP175">
        <f ca="1"/>
      </c>
      <c r="FQ175">
        <f ca="1"/>
      </c>
      <c r="FR175">
        <f ca="1"/>
      </c>
      <c r="FS175">
        <f ca="1"/>
      </c>
      <c r="FT175">
        <f ca="1"/>
      </c>
      <c r="FU175">
        <f ca="1"/>
      </c>
      <c r="FV175">
        <f ca="1"/>
      </c>
      <c r="FW175">
        <f ca="1"/>
      </c>
      <c r="FX175">
        <f ca="1"/>
      </c>
      <c r="FY175">
        <f ca="1"/>
      </c>
      <c r="FZ175">
        <f ca="1"/>
      </c>
      <c r="GA175">
        <f ca="1"/>
      </c>
      <c r="GM175" s="7">
        <f ca="1"/>
      </c>
      <c r="GN175">
        <f ca="1"/>
      </c>
      <c r="GO175">
        <f ca="1"/>
      </c>
      <c r="GP175">
        <f ca="1"/>
      </c>
      <c r="GQ175">
        <f ca="1"/>
      </c>
    </row>
    <row r="176" spans="41:199" x14ac:dyDescent="0.55000000000000004">
      <c r="AO176">
        <f ca="1"/>
      </c>
      <c r="AP176">
        <f ca="1"/>
      </c>
      <c r="AQ176">
        <f ca="1"/>
      </c>
      <c r="AR176">
        <f ca="1"/>
      </c>
      <c r="AS176">
        <f ca="1"/>
      </c>
      <c r="AT176">
        <f ca="1"/>
      </c>
      <c r="AU176">
        <f ca="1"/>
      </c>
      <c r="AV176">
        <f ca="1"/>
      </c>
      <c r="AW176">
        <f ca="1"/>
      </c>
      <c r="AX176">
        <f ca="1"/>
      </c>
      <c r="AY176">
        <f ca="1"/>
      </c>
      <c r="AZ176">
        <f ca="1"/>
      </c>
      <c r="BA176">
        <f ca="1"/>
      </c>
      <c r="BB176">
        <f ca="1"/>
      </c>
      <c r="BC176">
        <f ca="1"/>
      </c>
      <c r="BD176">
        <f ca="1"/>
      </c>
      <c r="BE176">
        <f ca="1"/>
      </c>
      <c r="BF176">
        <f ca="1"/>
      </c>
      <c r="BG176">
        <f ca="1"/>
      </c>
      <c r="BH176">
        <f ca="1"/>
      </c>
      <c r="BI176">
        <f ca="1"/>
      </c>
      <c r="BJ176">
        <f ca="1"/>
      </c>
      <c r="BK176">
        <f ca="1"/>
      </c>
      <c r="BL176">
        <f ca="1"/>
      </c>
      <c r="BM176">
        <f ca="1"/>
      </c>
      <c r="BN176">
        <f ca="1"/>
      </c>
      <c r="BO176">
        <f ca="1"/>
      </c>
      <c r="BP176">
        <f ca="1"/>
      </c>
      <c r="BQ176">
        <f ca="1"/>
      </c>
      <c r="BR176">
        <f ca="1"/>
      </c>
      <c r="BS176">
        <f ca="1"/>
      </c>
      <c r="BT176">
        <f ca="1"/>
      </c>
      <c r="BU176">
        <f ca="1"/>
      </c>
      <c r="BV176">
        <f ca="1"/>
      </c>
      <c r="BW176">
        <f ca="1"/>
      </c>
      <c r="BX176">
        <f ca="1"/>
      </c>
      <c r="BY176">
        <f ca="1"/>
      </c>
      <c r="BZ176">
        <f ca="1"/>
      </c>
      <c r="CA176">
        <f ca="1"/>
      </c>
      <c r="CB176">
        <f ca="1"/>
      </c>
      <c r="CC176">
        <f ca="1"/>
      </c>
      <c r="CD176">
        <f ca="1"/>
      </c>
      <c r="CE176">
        <f ca="1"/>
      </c>
      <c r="CF176">
        <f ca="1"/>
      </c>
      <c r="CG176">
        <f ca="1"/>
      </c>
      <c r="CH176">
        <f ca="1"/>
      </c>
      <c r="CI176">
        <f ca="1"/>
      </c>
      <c r="CK176">
        <f ca="1"/>
      </c>
      <c r="CL176">
        <f ca="1"/>
      </c>
      <c r="CM176">
        <f ca="1"/>
      </c>
      <c r="CN176">
        <f ca="1"/>
      </c>
      <c r="CO176">
        <f ca="1"/>
      </c>
      <c r="CP176">
        <f ca="1"/>
      </c>
      <c r="CQ176">
        <f ca="1"/>
      </c>
      <c r="CR176">
        <f ca="1"/>
      </c>
      <c r="CS176">
        <f ca="1"/>
      </c>
      <c r="CT176">
        <f ca="1"/>
      </c>
      <c r="CU176">
        <f ca="1"/>
      </c>
      <c r="CV176">
        <f ca="1"/>
      </c>
      <c r="CW176">
        <f ca="1"/>
      </c>
      <c r="CX176">
        <f ca="1"/>
      </c>
      <c r="CY176">
        <f ca="1"/>
      </c>
      <c r="CZ176">
        <f ca="1"/>
      </c>
      <c r="DA176">
        <f ca="1"/>
      </c>
      <c r="DB176">
        <f ca="1"/>
      </c>
      <c r="DC176">
        <f ca="1"/>
      </c>
      <c r="DD176">
        <f ca="1"/>
      </c>
      <c r="DE176">
        <f ca="1"/>
      </c>
      <c r="DF176">
        <f ca="1"/>
      </c>
      <c r="DG176">
        <f ca="1"/>
      </c>
      <c r="DH176">
        <f ca="1"/>
      </c>
      <c r="DI176">
        <f ca="1"/>
      </c>
      <c r="DJ176">
        <f ca="1"/>
      </c>
      <c r="DK176">
        <f ca="1"/>
      </c>
      <c r="DL176">
        <f ca="1"/>
      </c>
      <c r="DM176">
        <f ca="1"/>
      </c>
      <c r="DN176">
        <f ca="1"/>
      </c>
      <c r="DO176">
        <f ca="1"/>
      </c>
      <c r="DP176">
        <f ca="1"/>
      </c>
      <c r="DQ176">
        <f ca="1"/>
      </c>
      <c r="DR176">
        <f ca="1"/>
      </c>
      <c r="DS176">
        <f ca="1"/>
      </c>
      <c r="DT176">
        <f ca="1"/>
      </c>
      <c r="DU176">
        <f ca="1"/>
      </c>
      <c r="DV176">
        <f ca="1"/>
      </c>
      <c r="DW176">
        <f ca="1"/>
      </c>
      <c r="DX176">
        <f ca="1"/>
      </c>
      <c r="DY176">
        <f ca="1"/>
      </c>
      <c r="DZ176">
        <f ca="1"/>
      </c>
      <c r="EA176">
        <f ca="1"/>
      </c>
      <c r="EB176">
        <f ca="1"/>
      </c>
      <c r="EC176">
        <f ca="1"/>
      </c>
      <c r="ED176">
        <f ca="1"/>
      </c>
      <c r="EE176">
        <f ca="1"/>
      </c>
      <c r="EG176">
        <f ca="1"/>
      </c>
      <c r="EH176">
        <f ca="1"/>
      </c>
      <c r="EI176">
        <f ca="1"/>
      </c>
      <c r="EJ176">
        <f ca="1"/>
      </c>
      <c r="EK176">
        <f ca="1"/>
      </c>
      <c r="EL176">
        <f ca="1"/>
      </c>
      <c r="EM176">
        <f ca="1"/>
      </c>
      <c r="EN176">
        <f ca="1"/>
      </c>
      <c r="EO176">
        <f ca="1"/>
      </c>
      <c r="EP176">
        <f ca="1"/>
      </c>
      <c r="EQ176">
        <f ca="1"/>
      </c>
      <c r="ER176">
        <f ca="1"/>
      </c>
      <c r="ES176">
        <f ca="1"/>
      </c>
      <c r="ET176">
        <f ca="1"/>
      </c>
      <c r="EU176">
        <f ca="1"/>
      </c>
      <c r="EV176">
        <f ca="1"/>
      </c>
      <c r="EW176">
        <f ca="1"/>
      </c>
      <c r="EX176">
        <f ca="1"/>
      </c>
      <c r="EY176">
        <f ca="1"/>
      </c>
      <c r="EZ176">
        <f ca="1"/>
      </c>
      <c r="FA176">
        <f ca="1"/>
      </c>
      <c r="FB176">
        <f ca="1"/>
      </c>
      <c r="FC176">
        <f ca="1"/>
      </c>
      <c r="FD176">
        <f ca="1"/>
      </c>
      <c r="FE176">
        <f ca="1"/>
      </c>
      <c r="FF176">
        <f ca="1"/>
      </c>
      <c r="FG176">
        <f ca="1"/>
      </c>
      <c r="FH176">
        <f ca="1"/>
      </c>
      <c r="FI176">
        <f ca="1"/>
      </c>
      <c r="FJ176">
        <f ca="1"/>
      </c>
      <c r="FK176">
        <f ca="1"/>
      </c>
      <c r="FL176">
        <f ca="1"/>
      </c>
      <c r="FM176">
        <f ca="1"/>
      </c>
      <c r="FN176">
        <f ca="1"/>
      </c>
      <c r="FO176">
        <f ca="1"/>
      </c>
      <c r="FP176">
        <f ca="1"/>
      </c>
      <c r="FQ176">
        <f ca="1"/>
      </c>
      <c r="FR176">
        <f ca="1"/>
      </c>
      <c r="FS176">
        <f ca="1"/>
      </c>
      <c r="FT176">
        <f ca="1"/>
      </c>
      <c r="FU176">
        <f ca="1"/>
      </c>
      <c r="FV176">
        <f ca="1"/>
      </c>
      <c r="FW176">
        <f ca="1"/>
      </c>
      <c r="FX176">
        <f ca="1"/>
      </c>
      <c r="FY176">
        <f ca="1"/>
      </c>
      <c r="FZ176">
        <f ca="1"/>
      </c>
      <c r="GA176">
        <f ca="1"/>
      </c>
      <c r="GM176" s="7">
        <f ca="1"/>
      </c>
      <c r="GN176">
        <f ca="1"/>
      </c>
      <c r="GO176">
        <f ca="1"/>
      </c>
      <c r="GP176">
        <f ca="1"/>
      </c>
      <c r="GQ176">
        <f ca="1"/>
      </c>
    </row>
    <row r="177" spans="41:199" x14ac:dyDescent="0.55000000000000004">
      <c r="AO177">
        <f ca="1"/>
      </c>
      <c r="AP177">
        <f ca="1"/>
      </c>
      <c r="AQ177">
        <f ca="1"/>
      </c>
      <c r="AR177">
        <f ca="1"/>
      </c>
      <c r="AS177">
        <f ca="1"/>
      </c>
      <c r="AT177">
        <f ca="1"/>
      </c>
      <c r="AU177">
        <f ca="1"/>
      </c>
      <c r="AV177">
        <f ca="1"/>
      </c>
      <c r="AW177">
        <f ca="1"/>
      </c>
      <c r="AX177">
        <f ca="1"/>
      </c>
      <c r="AY177">
        <f ca="1"/>
      </c>
      <c r="AZ177">
        <f ca="1"/>
      </c>
      <c r="BA177">
        <f ca="1"/>
      </c>
      <c r="BB177">
        <f ca="1"/>
      </c>
      <c r="BC177">
        <f ca="1"/>
      </c>
      <c r="BD177">
        <f ca="1"/>
      </c>
      <c r="BE177">
        <f ca="1"/>
      </c>
      <c r="BF177">
        <f ca="1"/>
      </c>
      <c r="BG177">
        <f ca="1"/>
      </c>
      <c r="BH177">
        <f ca="1"/>
      </c>
      <c r="BI177">
        <f ca="1"/>
      </c>
      <c r="BJ177">
        <f ca="1"/>
      </c>
      <c r="BK177">
        <f ca="1"/>
      </c>
      <c r="BL177">
        <f ca="1"/>
      </c>
      <c r="BM177">
        <f ca="1"/>
      </c>
      <c r="BN177">
        <f ca="1"/>
      </c>
      <c r="BO177">
        <f ca="1"/>
      </c>
      <c r="BP177">
        <f ca="1"/>
      </c>
      <c r="BQ177">
        <f ca="1"/>
      </c>
      <c r="BR177">
        <f ca="1"/>
      </c>
      <c r="BS177">
        <f ca="1"/>
      </c>
      <c r="BT177">
        <f ca="1"/>
      </c>
      <c r="BU177">
        <f ca="1"/>
      </c>
      <c r="BV177">
        <f ca="1"/>
      </c>
      <c r="BW177">
        <f ca="1"/>
      </c>
      <c r="BX177">
        <f ca="1"/>
      </c>
      <c r="BY177">
        <f ca="1"/>
      </c>
      <c r="BZ177">
        <f ca="1"/>
      </c>
      <c r="CA177">
        <f ca="1"/>
      </c>
      <c r="CB177">
        <f ca="1"/>
      </c>
      <c r="CC177">
        <f ca="1"/>
      </c>
      <c r="CD177">
        <f ca="1"/>
      </c>
      <c r="CE177">
        <f ca="1"/>
      </c>
      <c r="CF177">
        <f ca="1"/>
      </c>
      <c r="CG177">
        <f ca="1"/>
      </c>
      <c r="CH177">
        <f ca="1"/>
      </c>
      <c r="CI177">
        <f ca="1"/>
      </c>
      <c r="CK177">
        <f ca="1"/>
      </c>
      <c r="CL177">
        <f ca="1"/>
      </c>
      <c r="CM177">
        <f ca="1"/>
      </c>
      <c r="CN177">
        <f ca="1"/>
      </c>
      <c r="CO177">
        <f ca="1"/>
      </c>
      <c r="CP177">
        <f ca="1"/>
      </c>
      <c r="CQ177">
        <f ca="1"/>
      </c>
      <c r="CR177">
        <f ca="1"/>
      </c>
      <c r="CS177">
        <f ca="1"/>
      </c>
      <c r="CT177">
        <f ca="1"/>
      </c>
      <c r="CU177">
        <f ca="1"/>
      </c>
      <c r="CV177">
        <f ca="1"/>
      </c>
      <c r="CW177">
        <f ca="1"/>
      </c>
      <c r="CX177">
        <f ca="1"/>
      </c>
      <c r="CY177">
        <f ca="1"/>
      </c>
      <c r="CZ177">
        <f ca="1"/>
      </c>
      <c r="DA177">
        <f ca="1"/>
      </c>
      <c r="DB177">
        <f ca="1"/>
      </c>
      <c r="DC177">
        <f ca="1"/>
      </c>
      <c r="DD177">
        <f ca="1"/>
      </c>
      <c r="DE177">
        <f ca="1"/>
      </c>
      <c r="DF177">
        <f ca="1"/>
      </c>
      <c r="DG177">
        <f ca="1"/>
      </c>
      <c r="DH177">
        <f ca="1"/>
      </c>
      <c r="DI177">
        <f ca="1"/>
      </c>
      <c r="DJ177">
        <f ca="1"/>
      </c>
      <c r="DK177">
        <f ca="1"/>
      </c>
      <c r="DL177">
        <f ca="1"/>
      </c>
      <c r="DM177">
        <f ca="1"/>
      </c>
      <c r="DN177">
        <f ca="1"/>
      </c>
      <c r="DO177">
        <f ca="1"/>
      </c>
      <c r="DP177">
        <f ca="1"/>
      </c>
      <c r="DQ177">
        <f ca="1"/>
      </c>
      <c r="DR177">
        <f ca="1"/>
      </c>
      <c r="DS177">
        <f ca="1"/>
      </c>
      <c r="DT177">
        <f ca="1"/>
      </c>
      <c r="DU177">
        <f ca="1"/>
      </c>
      <c r="DV177">
        <f ca="1"/>
      </c>
      <c r="DW177">
        <f ca="1"/>
      </c>
      <c r="DX177">
        <f ca="1"/>
      </c>
      <c r="DY177">
        <f ca="1"/>
      </c>
      <c r="DZ177">
        <f ca="1"/>
      </c>
      <c r="EA177">
        <f ca="1"/>
      </c>
      <c r="EB177">
        <f ca="1"/>
      </c>
      <c r="EC177">
        <f ca="1"/>
      </c>
      <c r="ED177">
        <f ca="1"/>
      </c>
      <c r="EE177">
        <f ca="1"/>
      </c>
      <c r="EG177">
        <f ca="1"/>
      </c>
      <c r="EH177">
        <f ca="1"/>
      </c>
      <c r="EI177">
        <f ca="1"/>
      </c>
      <c r="EJ177">
        <f ca="1"/>
      </c>
      <c r="EK177">
        <f ca="1"/>
      </c>
      <c r="EL177">
        <f ca="1"/>
      </c>
      <c r="EM177">
        <f ca="1"/>
      </c>
      <c r="EN177">
        <f ca="1"/>
      </c>
      <c r="EO177">
        <f ca="1"/>
      </c>
      <c r="EP177">
        <f ca="1"/>
      </c>
      <c r="EQ177">
        <f ca="1"/>
      </c>
      <c r="ER177">
        <f ca="1"/>
      </c>
      <c r="ES177">
        <f ca="1"/>
      </c>
      <c r="ET177">
        <f ca="1"/>
      </c>
      <c r="EU177">
        <f ca="1"/>
      </c>
      <c r="EV177">
        <f ca="1"/>
      </c>
      <c r="EW177">
        <f ca="1"/>
      </c>
      <c r="EX177">
        <f ca="1"/>
      </c>
      <c r="EY177">
        <f ca="1"/>
      </c>
      <c r="EZ177">
        <f ca="1"/>
      </c>
      <c r="FA177">
        <f ca="1"/>
      </c>
      <c r="FB177">
        <f ca="1"/>
      </c>
      <c r="FC177">
        <f ca="1"/>
      </c>
      <c r="FD177">
        <f ca="1"/>
      </c>
      <c r="FE177">
        <f ca="1"/>
      </c>
      <c r="FF177">
        <f ca="1"/>
      </c>
      <c r="FG177">
        <f ca="1"/>
      </c>
      <c r="FH177">
        <f ca="1"/>
      </c>
      <c r="FI177">
        <f ca="1"/>
      </c>
      <c r="FJ177">
        <f ca="1"/>
      </c>
      <c r="FK177">
        <f ca="1"/>
      </c>
      <c r="FL177">
        <f ca="1"/>
      </c>
      <c r="FM177">
        <f ca="1"/>
      </c>
      <c r="FN177">
        <f ca="1"/>
      </c>
      <c r="FO177">
        <f ca="1"/>
      </c>
      <c r="FP177">
        <f ca="1"/>
      </c>
      <c r="FQ177">
        <f ca="1"/>
      </c>
      <c r="FR177">
        <f ca="1"/>
      </c>
      <c r="FS177">
        <f ca="1"/>
      </c>
      <c r="FT177">
        <f ca="1"/>
      </c>
      <c r="FU177">
        <f ca="1"/>
      </c>
      <c r="FV177">
        <f ca="1"/>
      </c>
      <c r="FW177">
        <f ca="1"/>
      </c>
      <c r="FX177">
        <f ca="1"/>
      </c>
      <c r="FY177">
        <f ca="1"/>
      </c>
      <c r="FZ177">
        <f ca="1"/>
      </c>
      <c r="GA177">
        <f ca="1"/>
      </c>
      <c r="GM177" s="7">
        <f ca="1"/>
      </c>
      <c r="GN177">
        <f ca="1"/>
      </c>
      <c r="GO177">
        <f ca="1"/>
      </c>
      <c r="GP177">
        <f ca="1"/>
      </c>
      <c r="GQ177">
        <f ca="1"/>
      </c>
    </row>
    <row r="178" spans="41:199" x14ac:dyDescent="0.55000000000000004">
      <c r="AO178">
        <f ca="1"/>
      </c>
      <c r="AP178">
        <f ca="1"/>
      </c>
      <c r="AQ178">
        <f ca="1"/>
      </c>
      <c r="AR178">
        <f ca="1"/>
      </c>
      <c r="AS178">
        <f ca="1"/>
      </c>
      <c r="AT178">
        <f ca="1"/>
      </c>
      <c r="AU178">
        <f ca="1"/>
      </c>
      <c r="AV178">
        <f ca="1"/>
      </c>
      <c r="AW178">
        <f ca="1"/>
      </c>
      <c r="AX178">
        <f ca="1"/>
      </c>
      <c r="AY178">
        <f ca="1"/>
      </c>
      <c r="AZ178">
        <f ca="1"/>
      </c>
      <c r="BA178">
        <f ca="1"/>
      </c>
      <c r="BB178">
        <f ca="1"/>
      </c>
      <c r="BC178">
        <f ca="1"/>
      </c>
      <c r="BD178">
        <f ca="1"/>
      </c>
      <c r="BE178">
        <f ca="1"/>
      </c>
      <c r="BF178">
        <f ca="1"/>
      </c>
      <c r="BG178">
        <f ca="1"/>
      </c>
      <c r="BH178">
        <f ca="1"/>
      </c>
      <c r="BI178">
        <f ca="1"/>
      </c>
      <c r="BJ178">
        <f ca="1"/>
      </c>
      <c r="BK178">
        <f ca="1"/>
      </c>
      <c r="BL178">
        <f ca="1"/>
      </c>
      <c r="BM178">
        <f ca="1"/>
      </c>
      <c r="BN178">
        <f ca="1"/>
      </c>
      <c r="BO178">
        <f ca="1"/>
      </c>
      <c r="BP178">
        <f ca="1"/>
      </c>
      <c r="BQ178">
        <f ca="1"/>
      </c>
      <c r="BR178">
        <f ca="1"/>
      </c>
      <c r="BS178">
        <f ca="1"/>
      </c>
      <c r="BT178">
        <f ca="1"/>
      </c>
      <c r="BU178">
        <f ca="1"/>
      </c>
      <c r="BV178">
        <f ca="1"/>
      </c>
      <c r="BW178">
        <f ca="1"/>
      </c>
      <c r="BX178">
        <f ca="1"/>
      </c>
      <c r="BY178">
        <f ca="1"/>
      </c>
      <c r="BZ178">
        <f ca="1"/>
      </c>
      <c r="CA178">
        <f ca="1"/>
      </c>
      <c r="CB178">
        <f ca="1"/>
      </c>
      <c r="CC178">
        <f ca="1"/>
      </c>
      <c r="CD178">
        <f ca="1"/>
      </c>
      <c r="CE178">
        <f ca="1"/>
      </c>
      <c r="CF178">
        <f ca="1"/>
      </c>
      <c r="CG178">
        <f ca="1"/>
      </c>
      <c r="CH178">
        <f ca="1"/>
      </c>
      <c r="CI178">
        <f ca="1"/>
      </c>
      <c r="CK178">
        <f ca="1"/>
      </c>
      <c r="CL178">
        <f ca="1"/>
      </c>
      <c r="CM178">
        <f ca="1"/>
      </c>
      <c r="CN178">
        <f ca="1"/>
      </c>
      <c r="CO178">
        <f ca="1"/>
      </c>
      <c r="CP178">
        <f ca="1"/>
      </c>
      <c r="CQ178">
        <f ca="1"/>
      </c>
      <c r="CR178">
        <f ca="1"/>
      </c>
      <c r="CS178">
        <f ca="1"/>
      </c>
      <c r="CT178">
        <f ca="1"/>
      </c>
      <c r="CU178">
        <f ca="1"/>
      </c>
      <c r="CV178">
        <f ca="1"/>
      </c>
      <c r="CW178">
        <f ca="1"/>
      </c>
      <c r="CX178">
        <f ca="1"/>
      </c>
      <c r="CY178">
        <f ca="1"/>
      </c>
      <c r="CZ178">
        <f ca="1"/>
      </c>
      <c r="DA178">
        <f ca="1"/>
      </c>
      <c r="DB178">
        <f ca="1"/>
      </c>
      <c r="DC178">
        <f ca="1"/>
      </c>
      <c r="DD178">
        <f ca="1"/>
      </c>
      <c r="DE178">
        <f ca="1"/>
      </c>
      <c r="DF178">
        <f ca="1"/>
      </c>
      <c r="DG178">
        <f ca="1"/>
      </c>
      <c r="DH178">
        <f ca="1"/>
      </c>
      <c r="DI178">
        <f ca="1"/>
      </c>
      <c r="DJ178">
        <f ca="1"/>
      </c>
      <c r="DK178">
        <f ca="1"/>
      </c>
      <c r="DL178">
        <f ca="1"/>
      </c>
      <c r="DM178">
        <f ca="1"/>
      </c>
      <c r="DN178">
        <f ca="1"/>
      </c>
      <c r="DO178">
        <f ca="1"/>
      </c>
      <c r="DP178">
        <f ca="1"/>
      </c>
      <c r="DQ178">
        <f ca="1"/>
      </c>
      <c r="DR178">
        <f ca="1"/>
      </c>
      <c r="DS178">
        <f ca="1"/>
      </c>
      <c r="DT178">
        <f ca="1"/>
      </c>
      <c r="DU178">
        <f ca="1"/>
      </c>
      <c r="DV178">
        <f ca="1"/>
      </c>
      <c r="DW178">
        <f ca="1"/>
      </c>
      <c r="DX178">
        <f ca="1"/>
      </c>
      <c r="DY178">
        <f ca="1"/>
      </c>
      <c r="DZ178">
        <f ca="1"/>
      </c>
      <c r="EA178">
        <f ca="1"/>
      </c>
      <c r="EB178">
        <f ca="1"/>
      </c>
      <c r="EC178">
        <f ca="1"/>
      </c>
      <c r="ED178">
        <f ca="1"/>
      </c>
      <c r="EE178">
        <f ca="1"/>
      </c>
      <c r="EG178">
        <f ca="1"/>
      </c>
      <c r="EH178">
        <f ca="1"/>
      </c>
      <c r="EI178">
        <f ca="1"/>
      </c>
      <c r="EJ178">
        <f ca="1"/>
      </c>
      <c r="EK178">
        <f ca="1"/>
      </c>
      <c r="EL178">
        <f ca="1"/>
      </c>
      <c r="EM178">
        <f ca="1"/>
      </c>
      <c r="EN178">
        <f ca="1"/>
      </c>
      <c r="EO178">
        <f ca="1"/>
      </c>
      <c r="EP178">
        <f ca="1"/>
      </c>
      <c r="EQ178">
        <f ca="1"/>
      </c>
      <c r="ER178">
        <f ca="1"/>
      </c>
      <c r="ES178">
        <f ca="1"/>
      </c>
      <c r="ET178">
        <f ca="1"/>
      </c>
      <c r="EU178">
        <f ca="1"/>
      </c>
      <c r="EV178">
        <f ca="1"/>
      </c>
      <c r="EW178">
        <f ca="1"/>
      </c>
      <c r="EX178">
        <f ca="1"/>
      </c>
      <c r="EY178">
        <f ca="1"/>
      </c>
      <c r="EZ178">
        <f ca="1"/>
      </c>
      <c r="FA178">
        <f ca="1"/>
      </c>
      <c r="FB178">
        <f ca="1"/>
      </c>
      <c r="FC178">
        <f ca="1"/>
      </c>
      <c r="FD178">
        <f ca="1"/>
      </c>
      <c r="FE178">
        <f ca="1"/>
      </c>
      <c r="FF178">
        <f ca="1"/>
      </c>
      <c r="FG178">
        <f ca="1"/>
      </c>
      <c r="FH178">
        <f ca="1"/>
      </c>
      <c r="FI178">
        <f ca="1"/>
      </c>
      <c r="FJ178">
        <f ca="1"/>
      </c>
      <c r="FK178">
        <f ca="1"/>
      </c>
      <c r="FL178">
        <f ca="1"/>
      </c>
      <c r="FM178">
        <f ca="1"/>
      </c>
      <c r="FN178">
        <f ca="1"/>
      </c>
      <c r="FO178">
        <f ca="1"/>
      </c>
      <c r="FP178">
        <f ca="1"/>
      </c>
      <c r="FQ178">
        <f ca="1"/>
      </c>
      <c r="FR178">
        <f ca="1"/>
      </c>
      <c r="FS178">
        <f ca="1"/>
      </c>
      <c r="FT178">
        <f ca="1"/>
      </c>
      <c r="FU178">
        <f ca="1"/>
      </c>
      <c r="FV178">
        <f ca="1"/>
      </c>
      <c r="FW178">
        <f ca="1"/>
      </c>
      <c r="FX178">
        <f ca="1"/>
      </c>
      <c r="FY178">
        <f ca="1"/>
      </c>
      <c r="FZ178">
        <f ca="1"/>
      </c>
      <c r="GA178">
        <f ca="1"/>
      </c>
      <c r="GM178" s="7">
        <f ca="1"/>
      </c>
      <c r="GN178">
        <f ca="1"/>
      </c>
      <c r="GO178">
        <f ca="1"/>
      </c>
      <c r="GP178">
        <f ca="1"/>
      </c>
      <c r="GQ178">
        <f ca="1"/>
      </c>
    </row>
    <row r="179" spans="41:199" x14ac:dyDescent="0.55000000000000004">
      <c r="AO179">
        <f ca="1"/>
      </c>
      <c r="AP179">
        <f ca="1"/>
      </c>
      <c r="AQ179">
        <f ca="1"/>
      </c>
      <c r="AR179">
        <f ca="1"/>
      </c>
      <c r="AS179">
        <f ca="1"/>
      </c>
      <c r="AT179">
        <f ca="1"/>
      </c>
      <c r="AU179">
        <f ca="1"/>
      </c>
      <c r="AV179">
        <f ca="1"/>
      </c>
      <c r="AW179">
        <f ca="1"/>
      </c>
      <c r="AX179">
        <f ca="1"/>
      </c>
      <c r="AY179">
        <f ca="1"/>
      </c>
      <c r="AZ179">
        <f ca="1"/>
      </c>
      <c r="BA179">
        <f ca="1"/>
      </c>
      <c r="BB179">
        <f ca="1"/>
      </c>
      <c r="BC179">
        <f ca="1"/>
      </c>
      <c r="BD179">
        <f ca="1"/>
      </c>
      <c r="BE179">
        <f ca="1"/>
      </c>
      <c r="BF179">
        <f ca="1"/>
      </c>
      <c r="BG179">
        <f ca="1"/>
      </c>
      <c r="BH179">
        <f ca="1"/>
      </c>
      <c r="BI179">
        <f ca="1"/>
      </c>
      <c r="BJ179">
        <f ca="1"/>
      </c>
      <c r="BK179">
        <f ca="1"/>
      </c>
      <c r="BL179">
        <f ca="1"/>
      </c>
      <c r="BM179">
        <f ca="1"/>
      </c>
      <c r="BN179">
        <f ca="1"/>
      </c>
      <c r="BO179">
        <f ca="1"/>
      </c>
      <c r="BP179">
        <f ca="1"/>
      </c>
      <c r="BQ179">
        <f ca="1"/>
      </c>
      <c r="BR179">
        <f ca="1"/>
      </c>
      <c r="BS179">
        <f ca="1"/>
      </c>
      <c r="BT179">
        <f ca="1"/>
      </c>
      <c r="BU179">
        <f ca="1"/>
      </c>
      <c r="BV179">
        <f ca="1"/>
      </c>
      <c r="BW179">
        <f ca="1"/>
      </c>
      <c r="BX179">
        <f ca="1"/>
      </c>
      <c r="BY179">
        <f ca="1"/>
      </c>
      <c r="BZ179">
        <f ca="1"/>
      </c>
      <c r="CA179">
        <f ca="1"/>
      </c>
      <c r="CB179">
        <f ca="1"/>
      </c>
      <c r="CC179">
        <f ca="1"/>
      </c>
      <c r="CD179">
        <f ca="1"/>
      </c>
      <c r="CE179">
        <f ca="1"/>
      </c>
      <c r="CF179">
        <f ca="1"/>
      </c>
      <c r="CG179">
        <f ca="1"/>
      </c>
      <c r="CH179">
        <f ca="1"/>
      </c>
      <c r="CI179">
        <f ca="1"/>
      </c>
      <c r="CK179">
        <f ca="1"/>
      </c>
      <c r="CL179">
        <f ca="1"/>
      </c>
      <c r="CM179">
        <f ca="1"/>
      </c>
      <c r="CN179">
        <f ca="1"/>
      </c>
      <c r="CO179">
        <f ca="1"/>
      </c>
      <c r="CP179">
        <f ca="1"/>
      </c>
      <c r="CQ179">
        <f ca="1"/>
      </c>
      <c r="CR179">
        <f ca="1"/>
      </c>
      <c r="CS179">
        <f ca="1"/>
      </c>
      <c r="CT179">
        <f ca="1"/>
      </c>
      <c r="CU179">
        <f ca="1"/>
      </c>
      <c r="CV179">
        <f ca="1"/>
      </c>
      <c r="CW179">
        <f ca="1"/>
      </c>
      <c r="CX179">
        <f ca="1"/>
      </c>
      <c r="CY179">
        <f ca="1"/>
      </c>
      <c r="CZ179">
        <f ca="1"/>
      </c>
      <c r="DA179">
        <f ca="1"/>
      </c>
      <c r="DB179">
        <f ca="1"/>
      </c>
      <c r="DC179">
        <f ca="1"/>
      </c>
      <c r="DD179">
        <f ca="1"/>
      </c>
      <c r="DE179">
        <f ca="1"/>
      </c>
      <c r="DF179">
        <f ca="1"/>
      </c>
      <c r="DG179">
        <f ca="1"/>
      </c>
      <c r="DH179">
        <f ca="1"/>
      </c>
      <c r="DI179">
        <f ca="1"/>
      </c>
      <c r="DJ179">
        <f ca="1"/>
      </c>
      <c r="DK179">
        <f ca="1"/>
      </c>
      <c r="DL179">
        <f ca="1"/>
      </c>
      <c r="DM179">
        <f ca="1"/>
      </c>
      <c r="DN179">
        <f ca="1"/>
      </c>
      <c r="DO179">
        <f ca="1"/>
      </c>
      <c r="DP179">
        <f ca="1"/>
      </c>
      <c r="DQ179">
        <f ca="1"/>
      </c>
      <c r="DR179">
        <f ca="1"/>
      </c>
      <c r="DS179">
        <f ca="1"/>
      </c>
      <c r="DT179">
        <f ca="1"/>
      </c>
      <c r="DU179">
        <f ca="1"/>
      </c>
      <c r="DV179">
        <f ca="1"/>
      </c>
      <c r="DW179">
        <f ca="1"/>
      </c>
      <c r="DX179">
        <f ca="1"/>
      </c>
      <c r="DY179">
        <f ca="1"/>
      </c>
      <c r="DZ179">
        <f ca="1"/>
      </c>
      <c r="EA179">
        <f ca="1"/>
      </c>
      <c r="EB179">
        <f ca="1"/>
      </c>
      <c r="EC179">
        <f ca="1"/>
      </c>
      <c r="ED179">
        <f ca="1"/>
      </c>
      <c r="EE179">
        <f ca="1"/>
      </c>
      <c r="EG179">
        <f ca="1"/>
      </c>
      <c r="EH179">
        <f ca="1"/>
      </c>
      <c r="EI179">
        <f ca="1"/>
      </c>
      <c r="EJ179">
        <f ca="1"/>
      </c>
      <c r="EK179">
        <f ca="1"/>
      </c>
      <c r="EL179">
        <f ca="1"/>
      </c>
      <c r="EM179">
        <f ca="1"/>
      </c>
      <c r="EN179">
        <f ca="1"/>
      </c>
      <c r="EO179">
        <f ca="1"/>
      </c>
      <c r="EP179">
        <f ca="1"/>
      </c>
      <c r="EQ179">
        <f ca="1"/>
      </c>
      <c r="ER179">
        <f ca="1"/>
      </c>
      <c r="ES179">
        <f ca="1"/>
      </c>
      <c r="ET179">
        <f ca="1"/>
      </c>
      <c r="EU179">
        <f ca="1"/>
      </c>
      <c r="EV179">
        <f ca="1"/>
      </c>
      <c r="EW179">
        <f ca="1"/>
      </c>
      <c r="EX179">
        <f ca="1"/>
      </c>
      <c r="EY179">
        <f ca="1"/>
      </c>
      <c r="EZ179">
        <f ca="1"/>
      </c>
      <c r="FA179">
        <f ca="1"/>
      </c>
      <c r="FB179">
        <f ca="1"/>
      </c>
      <c r="FC179">
        <f ca="1"/>
      </c>
      <c r="FD179">
        <f ca="1"/>
      </c>
      <c r="FE179">
        <f ca="1"/>
      </c>
      <c r="FF179">
        <f ca="1"/>
      </c>
      <c r="FG179">
        <f ca="1"/>
      </c>
      <c r="FH179">
        <f ca="1"/>
      </c>
      <c r="FI179">
        <f ca="1"/>
      </c>
      <c r="FJ179">
        <f ca="1"/>
      </c>
      <c r="FK179">
        <f ca="1"/>
      </c>
      <c r="FL179">
        <f ca="1"/>
      </c>
      <c r="FM179">
        <f ca="1"/>
      </c>
      <c r="FN179">
        <f ca="1"/>
      </c>
      <c r="FO179">
        <f ca="1"/>
      </c>
      <c r="FP179">
        <f ca="1"/>
      </c>
      <c r="FQ179">
        <f ca="1"/>
      </c>
      <c r="FR179">
        <f ca="1"/>
      </c>
      <c r="FS179">
        <f ca="1"/>
      </c>
      <c r="FT179">
        <f ca="1"/>
      </c>
      <c r="FU179">
        <f ca="1"/>
      </c>
      <c r="FV179">
        <f ca="1"/>
      </c>
      <c r="FW179">
        <f ca="1"/>
      </c>
      <c r="FX179">
        <f ca="1"/>
      </c>
      <c r="FY179">
        <f ca="1"/>
      </c>
      <c r="FZ179">
        <f ca="1"/>
      </c>
      <c r="GA179">
        <f ca="1"/>
      </c>
      <c r="GM179" s="7">
        <f ca="1"/>
      </c>
      <c r="GN179">
        <f ca="1"/>
      </c>
      <c r="GO179">
        <f ca="1"/>
      </c>
      <c r="GP179">
        <f ca="1"/>
      </c>
      <c r="GQ179">
        <f ca="1"/>
      </c>
    </row>
    <row r="180" spans="41:199" x14ac:dyDescent="0.55000000000000004">
      <c r="AO180">
        <f ca="1"/>
      </c>
      <c r="AP180">
        <f ca="1"/>
      </c>
      <c r="AQ180">
        <f ca="1"/>
      </c>
      <c r="AR180">
        <f ca="1"/>
      </c>
      <c r="AS180">
        <f ca="1"/>
      </c>
      <c r="AT180">
        <f ca="1"/>
      </c>
      <c r="AU180">
        <f ca="1"/>
      </c>
      <c r="AV180">
        <f ca="1"/>
      </c>
      <c r="AW180">
        <f ca="1"/>
      </c>
      <c r="AX180">
        <f ca="1"/>
      </c>
      <c r="AY180">
        <f ca="1"/>
      </c>
      <c r="AZ180">
        <f ca="1"/>
      </c>
      <c r="BA180">
        <f ca="1"/>
      </c>
      <c r="BB180">
        <f ca="1"/>
      </c>
      <c r="BC180">
        <f ca="1"/>
      </c>
      <c r="BD180">
        <f ca="1"/>
      </c>
      <c r="BE180">
        <f ca="1"/>
      </c>
      <c r="BF180">
        <f ca="1"/>
      </c>
      <c r="BG180">
        <f ca="1"/>
      </c>
      <c r="BH180">
        <f ca="1"/>
      </c>
      <c r="BI180">
        <f ca="1"/>
      </c>
      <c r="BJ180">
        <f ca="1"/>
      </c>
      <c r="BK180">
        <f ca="1"/>
      </c>
      <c r="BL180">
        <f ca="1"/>
      </c>
      <c r="BM180">
        <f ca="1"/>
      </c>
      <c r="BN180">
        <f ca="1"/>
      </c>
      <c r="BO180">
        <f ca="1"/>
      </c>
      <c r="BP180">
        <f ca="1"/>
      </c>
      <c r="BQ180">
        <f ca="1"/>
      </c>
      <c r="BR180">
        <f ca="1"/>
      </c>
      <c r="BS180">
        <f ca="1"/>
      </c>
      <c r="BT180">
        <f ca="1"/>
      </c>
      <c r="BU180">
        <f ca="1"/>
      </c>
      <c r="BV180">
        <f ca="1"/>
      </c>
      <c r="BW180">
        <f ca="1"/>
      </c>
      <c r="BX180">
        <f ca="1"/>
      </c>
      <c r="BY180">
        <f ca="1"/>
      </c>
      <c r="BZ180">
        <f ca="1"/>
      </c>
      <c r="CA180">
        <f ca="1"/>
      </c>
      <c r="CB180">
        <f ca="1"/>
      </c>
      <c r="CC180">
        <f ca="1"/>
      </c>
      <c r="CD180">
        <f ca="1"/>
      </c>
      <c r="CE180">
        <f ca="1"/>
      </c>
      <c r="CF180">
        <f ca="1"/>
      </c>
      <c r="CG180">
        <f ca="1"/>
      </c>
      <c r="CH180">
        <f ca="1"/>
      </c>
      <c r="CI180">
        <f ca="1"/>
      </c>
      <c r="CK180">
        <f ca="1"/>
      </c>
      <c r="CL180">
        <f ca="1"/>
      </c>
      <c r="CM180">
        <f ca="1"/>
      </c>
      <c r="CN180">
        <f ca="1"/>
      </c>
      <c r="CO180">
        <f ca="1"/>
      </c>
      <c r="CP180">
        <f ca="1"/>
      </c>
      <c r="CQ180">
        <f ca="1"/>
      </c>
      <c r="CR180">
        <f ca="1"/>
      </c>
      <c r="CS180">
        <f ca="1"/>
      </c>
      <c r="CT180">
        <f ca="1"/>
      </c>
      <c r="CU180">
        <f ca="1"/>
      </c>
      <c r="CV180">
        <f ca="1"/>
      </c>
      <c r="CW180">
        <f ca="1"/>
      </c>
      <c r="CX180">
        <f ca="1"/>
      </c>
      <c r="CY180">
        <f ca="1"/>
      </c>
      <c r="CZ180">
        <f ca="1"/>
      </c>
      <c r="DA180">
        <f ca="1"/>
      </c>
      <c r="DB180">
        <f ca="1"/>
      </c>
      <c r="DC180">
        <f ca="1"/>
      </c>
      <c r="DD180">
        <f ca="1"/>
      </c>
      <c r="DE180">
        <f ca="1"/>
      </c>
      <c r="DF180">
        <f ca="1"/>
      </c>
      <c r="DG180">
        <f ca="1"/>
      </c>
      <c r="DH180">
        <f ca="1"/>
      </c>
      <c r="DI180">
        <f ca="1"/>
      </c>
      <c r="DJ180">
        <f ca="1"/>
      </c>
      <c r="DK180">
        <f ca="1"/>
      </c>
      <c r="DL180">
        <f ca="1"/>
      </c>
      <c r="DM180">
        <f ca="1"/>
      </c>
      <c r="DN180">
        <f ca="1"/>
      </c>
      <c r="DO180">
        <f ca="1"/>
      </c>
      <c r="DP180">
        <f ca="1"/>
      </c>
      <c r="DQ180">
        <f ca="1"/>
      </c>
      <c r="DR180">
        <f ca="1"/>
      </c>
      <c r="DS180">
        <f ca="1"/>
      </c>
      <c r="DT180">
        <f ca="1"/>
      </c>
      <c r="DU180">
        <f ca="1"/>
      </c>
      <c r="DV180">
        <f ca="1"/>
      </c>
      <c r="DW180">
        <f ca="1"/>
      </c>
      <c r="DX180">
        <f ca="1"/>
      </c>
      <c r="DY180">
        <f ca="1"/>
      </c>
      <c r="DZ180">
        <f ca="1"/>
      </c>
      <c r="EA180">
        <f ca="1"/>
      </c>
      <c r="EB180">
        <f ca="1"/>
      </c>
      <c r="EC180">
        <f ca="1"/>
      </c>
      <c r="ED180">
        <f ca="1"/>
      </c>
      <c r="EE180">
        <f ca="1"/>
      </c>
      <c r="EG180">
        <f ca="1"/>
      </c>
      <c r="EH180">
        <f ca="1"/>
      </c>
      <c r="EI180">
        <f ca="1"/>
      </c>
      <c r="EJ180">
        <f ca="1"/>
      </c>
      <c r="EK180">
        <f ca="1"/>
      </c>
      <c r="EL180">
        <f ca="1"/>
      </c>
      <c r="EM180">
        <f ca="1"/>
      </c>
      <c r="EN180">
        <f ca="1"/>
      </c>
      <c r="EO180">
        <f ca="1"/>
      </c>
      <c r="EP180">
        <f ca="1"/>
      </c>
      <c r="EQ180">
        <f ca="1"/>
      </c>
      <c r="ER180">
        <f ca="1"/>
      </c>
      <c r="ES180">
        <f ca="1"/>
      </c>
      <c r="ET180">
        <f ca="1"/>
      </c>
      <c r="EU180">
        <f ca="1"/>
      </c>
      <c r="EV180">
        <f ca="1"/>
      </c>
      <c r="EW180">
        <f ca="1"/>
      </c>
      <c r="EX180">
        <f ca="1"/>
      </c>
      <c r="EY180">
        <f ca="1"/>
      </c>
      <c r="EZ180">
        <f ca="1"/>
      </c>
      <c r="FA180">
        <f ca="1"/>
      </c>
      <c r="FB180">
        <f ca="1"/>
      </c>
      <c r="FC180">
        <f ca="1"/>
      </c>
      <c r="FD180">
        <f ca="1"/>
      </c>
      <c r="FE180">
        <f ca="1"/>
      </c>
      <c r="FF180">
        <f ca="1"/>
      </c>
      <c r="FG180">
        <f ca="1"/>
      </c>
      <c r="FH180">
        <f ca="1"/>
      </c>
      <c r="FI180">
        <f ca="1"/>
      </c>
      <c r="FJ180">
        <f ca="1"/>
      </c>
      <c r="FK180">
        <f ca="1"/>
      </c>
      <c r="FL180">
        <f ca="1"/>
      </c>
      <c r="FM180">
        <f ca="1"/>
      </c>
      <c r="FN180">
        <f ca="1"/>
      </c>
      <c r="FO180">
        <f ca="1"/>
      </c>
      <c r="FP180">
        <f ca="1"/>
      </c>
      <c r="FQ180">
        <f ca="1"/>
      </c>
      <c r="FR180">
        <f ca="1"/>
      </c>
      <c r="FS180">
        <f ca="1"/>
      </c>
      <c r="FT180">
        <f ca="1"/>
      </c>
      <c r="FU180">
        <f ca="1"/>
      </c>
      <c r="FV180">
        <f ca="1"/>
      </c>
      <c r="FW180">
        <f ca="1"/>
      </c>
      <c r="FX180">
        <f ca="1"/>
      </c>
      <c r="FY180">
        <f ca="1"/>
      </c>
      <c r="FZ180">
        <f ca="1"/>
      </c>
      <c r="GA180">
        <f ca="1"/>
      </c>
      <c r="GM180" s="7">
        <f ca="1"/>
      </c>
      <c r="GN180">
        <f ca="1"/>
      </c>
      <c r="GO180">
        <f ca="1"/>
      </c>
      <c r="GP180">
        <f ca="1"/>
      </c>
      <c r="GQ180">
        <f ca="1"/>
      </c>
    </row>
    <row r="181" spans="41:199" x14ac:dyDescent="0.55000000000000004">
      <c r="AO181">
        <f ca="1"/>
      </c>
      <c r="AP181">
        <f ca="1"/>
      </c>
      <c r="AQ181">
        <f ca="1"/>
      </c>
      <c r="AR181">
        <f ca="1"/>
      </c>
      <c r="AS181">
        <f ca="1"/>
      </c>
      <c r="AT181">
        <f ca="1"/>
      </c>
      <c r="AU181">
        <f ca="1"/>
      </c>
      <c r="AV181">
        <f ca="1"/>
      </c>
      <c r="AW181">
        <f ca="1"/>
      </c>
      <c r="AX181">
        <f ca="1"/>
      </c>
      <c r="AY181">
        <f ca="1"/>
      </c>
      <c r="AZ181">
        <f ca="1"/>
      </c>
      <c r="BA181">
        <f ca="1"/>
      </c>
      <c r="BB181">
        <f ca="1"/>
      </c>
      <c r="BC181">
        <f ca="1"/>
      </c>
      <c r="BD181">
        <f ca="1"/>
      </c>
      <c r="BE181">
        <f ca="1"/>
      </c>
      <c r="BF181">
        <f ca="1"/>
      </c>
      <c r="BG181">
        <f ca="1"/>
      </c>
      <c r="BH181">
        <f ca="1"/>
      </c>
      <c r="BI181">
        <f ca="1"/>
      </c>
      <c r="BJ181">
        <f ca="1"/>
      </c>
      <c r="BK181">
        <f ca="1"/>
      </c>
      <c r="BL181">
        <f ca="1"/>
      </c>
      <c r="BM181">
        <f ca="1"/>
      </c>
      <c r="BN181">
        <f ca="1"/>
      </c>
      <c r="BO181">
        <f ca="1"/>
      </c>
      <c r="BP181">
        <f ca="1"/>
      </c>
      <c r="BQ181">
        <f ca="1"/>
      </c>
      <c r="BR181">
        <f ca="1"/>
      </c>
      <c r="BS181">
        <f ca="1"/>
      </c>
      <c r="BT181">
        <f ca="1"/>
      </c>
      <c r="BU181">
        <f ca="1"/>
      </c>
      <c r="BV181">
        <f ca="1"/>
      </c>
      <c r="BW181">
        <f ca="1"/>
      </c>
      <c r="BX181">
        <f ca="1"/>
      </c>
      <c r="BY181">
        <f ca="1"/>
      </c>
      <c r="BZ181">
        <f ca="1"/>
      </c>
      <c r="CA181">
        <f ca="1"/>
      </c>
      <c r="CB181">
        <f ca="1"/>
      </c>
      <c r="CC181">
        <f ca="1"/>
      </c>
      <c r="CD181">
        <f ca="1"/>
      </c>
      <c r="CE181">
        <f ca="1"/>
      </c>
      <c r="CF181">
        <f ca="1"/>
      </c>
      <c r="CG181">
        <f ca="1"/>
      </c>
      <c r="CH181">
        <f ca="1"/>
      </c>
      <c r="CI181">
        <f ca="1"/>
      </c>
      <c r="CK181">
        <f ca="1"/>
      </c>
      <c r="CL181">
        <f ca="1"/>
      </c>
      <c r="CM181">
        <f ca="1"/>
      </c>
      <c r="CN181">
        <f ca="1"/>
      </c>
      <c r="CO181">
        <f ca="1"/>
      </c>
      <c r="CP181">
        <f ca="1"/>
      </c>
      <c r="CQ181">
        <f ca="1"/>
      </c>
      <c r="CR181">
        <f ca="1"/>
      </c>
      <c r="CS181">
        <f ca="1"/>
      </c>
      <c r="CT181">
        <f ca="1"/>
      </c>
      <c r="CU181">
        <f ca="1"/>
      </c>
      <c r="CV181">
        <f ca="1"/>
      </c>
      <c r="CW181">
        <f ca="1"/>
      </c>
      <c r="CX181">
        <f ca="1"/>
      </c>
      <c r="CY181">
        <f ca="1"/>
      </c>
      <c r="CZ181">
        <f ca="1"/>
      </c>
      <c r="DA181">
        <f ca="1"/>
      </c>
      <c r="DB181">
        <f ca="1"/>
      </c>
      <c r="DC181">
        <f ca="1"/>
      </c>
      <c r="DD181">
        <f ca="1"/>
      </c>
      <c r="DE181">
        <f ca="1"/>
      </c>
      <c r="DF181">
        <f ca="1"/>
      </c>
      <c r="DG181">
        <f ca="1"/>
      </c>
      <c r="DH181">
        <f ca="1"/>
      </c>
      <c r="DI181">
        <f ca="1"/>
      </c>
      <c r="DJ181">
        <f ca="1"/>
      </c>
      <c r="DK181">
        <f ca="1"/>
      </c>
      <c r="DL181">
        <f ca="1"/>
      </c>
      <c r="DM181">
        <f ca="1"/>
      </c>
      <c r="DN181">
        <f ca="1"/>
      </c>
      <c r="DO181">
        <f ca="1"/>
      </c>
      <c r="DP181">
        <f ca="1"/>
      </c>
      <c r="DQ181">
        <f ca="1"/>
      </c>
      <c r="DR181">
        <f ca="1"/>
      </c>
      <c r="DS181">
        <f ca="1"/>
      </c>
      <c r="DT181">
        <f ca="1"/>
      </c>
      <c r="DU181">
        <f ca="1"/>
      </c>
      <c r="DV181">
        <f ca="1"/>
      </c>
      <c r="DW181">
        <f ca="1"/>
      </c>
      <c r="DX181">
        <f ca="1"/>
      </c>
      <c r="DY181">
        <f ca="1"/>
      </c>
      <c r="DZ181">
        <f ca="1"/>
      </c>
      <c r="EA181">
        <f ca="1"/>
      </c>
      <c r="EB181">
        <f ca="1"/>
      </c>
      <c r="EC181">
        <f ca="1"/>
      </c>
      <c r="ED181">
        <f ca="1"/>
      </c>
      <c r="EE181">
        <f ca="1"/>
      </c>
      <c r="EG181">
        <f ca="1"/>
      </c>
      <c r="EH181">
        <f ca="1"/>
      </c>
      <c r="EI181">
        <f ca="1"/>
      </c>
      <c r="EJ181">
        <f ca="1"/>
      </c>
      <c r="EK181">
        <f ca="1"/>
      </c>
      <c r="EL181">
        <f ca="1"/>
      </c>
      <c r="EM181">
        <f ca="1"/>
      </c>
      <c r="EN181">
        <f ca="1"/>
      </c>
      <c r="EO181">
        <f ca="1"/>
      </c>
      <c r="EP181">
        <f ca="1"/>
      </c>
      <c r="EQ181">
        <f ca="1"/>
      </c>
      <c r="ER181">
        <f ca="1"/>
      </c>
      <c r="ES181">
        <f ca="1"/>
      </c>
      <c r="ET181">
        <f ca="1"/>
      </c>
      <c r="EU181">
        <f ca="1"/>
      </c>
      <c r="EV181">
        <f ca="1"/>
      </c>
      <c r="EW181">
        <f ca="1"/>
      </c>
      <c r="EX181">
        <f ca="1"/>
      </c>
      <c r="EY181">
        <f ca="1"/>
      </c>
      <c r="EZ181">
        <f ca="1"/>
      </c>
      <c r="FA181">
        <f ca="1"/>
      </c>
      <c r="FB181">
        <f ca="1"/>
      </c>
      <c r="FC181">
        <f ca="1"/>
      </c>
      <c r="FD181">
        <f ca="1"/>
      </c>
      <c r="FE181">
        <f ca="1"/>
      </c>
      <c r="FF181">
        <f ca="1"/>
      </c>
      <c r="FG181">
        <f ca="1"/>
      </c>
      <c r="FH181">
        <f ca="1"/>
      </c>
      <c r="FI181">
        <f ca="1"/>
      </c>
      <c r="FJ181">
        <f ca="1"/>
      </c>
      <c r="FK181">
        <f ca="1"/>
      </c>
      <c r="FL181">
        <f ca="1"/>
      </c>
      <c r="FM181">
        <f ca="1"/>
      </c>
      <c r="FN181">
        <f ca="1"/>
      </c>
      <c r="FO181">
        <f ca="1"/>
      </c>
      <c r="FP181">
        <f ca="1"/>
      </c>
      <c r="FQ181">
        <f ca="1"/>
      </c>
      <c r="FR181">
        <f ca="1"/>
      </c>
      <c r="FS181">
        <f ca="1"/>
      </c>
      <c r="FT181">
        <f ca="1"/>
      </c>
      <c r="FU181">
        <f ca="1"/>
      </c>
      <c r="FV181">
        <f ca="1"/>
      </c>
      <c r="FW181">
        <f ca="1"/>
      </c>
      <c r="FX181">
        <f ca="1"/>
      </c>
      <c r="FY181">
        <f ca="1"/>
      </c>
      <c r="FZ181">
        <f ca="1"/>
      </c>
      <c r="GA181">
        <f ca="1"/>
      </c>
      <c r="GM181" s="7">
        <f ca="1"/>
      </c>
      <c r="GN181">
        <f ca="1"/>
      </c>
      <c r="GO181">
        <f ca="1"/>
      </c>
      <c r="GP181">
        <f ca="1"/>
      </c>
      <c r="GQ181">
        <f ca="1"/>
      </c>
    </row>
    <row r="182" spans="41:199" x14ac:dyDescent="0.55000000000000004">
      <c r="AO182">
        <f ca="1"/>
      </c>
      <c r="AP182">
        <f ca="1"/>
      </c>
      <c r="AQ182">
        <f ca="1"/>
      </c>
      <c r="AR182">
        <f ca="1"/>
      </c>
      <c r="AS182">
        <f ca="1"/>
      </c>
      <c r="AT182">
        <f ca="1"/>
      </c>
      <c r="AU182">
        <f ca="1"/>
      </c>
      <c r="AV182">
        <f ca="1"/>
      </c>
      <c r="AW182">
        <f ca="1"/>
      </c>
      <c r="AX182">
        <f ca="1"/>
      </c>
      <c r="AY182">
        <f ca="1"/>
      </c>
      <c r="AZ182">
        <f ca="1"/>
      </c>
      <c r="BA182">
        <f ca="1"/>
      </c>
      <c r="BB182">
        <f ca="1"/>
      </c>
      <c r="BC182">
        <f ca="1"/>
      </c>
      <c r="BD182">
        <f ca="1"/>
      </c>
      <c r="BE182">
        <f ca="1"/>
      </c>
      <c r="BF182">
        <f ca="1"/>
      </c>
      <c r="BG182">
        <f ca="1"/>
      </c>
      <c r="BH182">
        <f ca="1"/>
      </c>
      <c r="BI182">
        <f ca="1"/>
      </c>
      <c r="BJ182">
        <f ca="1"/>
      </c>
      <c r="BK182">
        <f ca="1"/>
      </c>
      <c r="BL182">
        <f ca="1"/>
      </c>
      <c r="BM182">
        <f ca="1"/>
      </c>
      <c r="BN182">
        <f ca="1"/>
      </c>
      <c r="BO182">
        <f ca="1"/>
      </c>
      <c r="BP182">
        <f ca="1"/>
      </c>
      <c r="BQ182">
        <f ca="1"/>
      </c>
      <c r="BR182">
        <f ca="1"/>
      </c>
      <c r="BS182">
        <f ca="1"/>
      </c>
      <c r="BT182">
        <f ca="1"/>
      </c>
      <c r="BU182">
        <f ca="1"/>
      </c>
      <c r="BV182">
        <f ca="1"/>
      </c>
      <c r="BW182">
        <f ca="1"/>
      </c>
      <c r="BX182">
        <f ca="1"/>
      </c>
      <c r="BY182">
        <f ca="1"/>
      </c>
      <c r="BZ182">
        <f ca="1"/>
      </c>
      <c r="CA182">
        <f ca="1"/>
      </c>
      <c r="CB182">
        <f ca="1"/>
      </c>
      <c r="CC182">
        <f ca="1"/>
      </c>
      <c r="CD182">
        <f ca="1"/>
      </c>
      <c r="CE182">
        <f ca="1"/>
      </c>
      <c r="CF182">
        <f ca="1"/>
      </c>
      <c r="CG182">
        <f ca="1"/>
      </c>
      <c r="CH182">
        <f ca="1"/>
      </c>
      <c r="CI182">
        <f ca="1"/>
      </c>
      <c r="CK182">
        <f ca="1"/>
      </c>
      <c r="CL182">
        <f ca="1"/>
      </c>
      <c r="CM182">
        <f ca="1"/>
      </c>
      <c r="CN182">
        <f ca="1"/>
      </c>
      <c r="CO182">
        <f ca="1"/>
      </c>
      <c r="CP182">
        <f ca="1"/>
      </c>
      <c r="CQ182">
        <f ca="1"/>
      </c>
      <c r="CR182">
        <f ca="1"/>
      </c>
      <c r="CS182">
        <f ca="1"/>
      </c>
      <c r="CT182">
        <f ca="1"/>
      </c>
      <c r="CU182">
        <f ca="1"/>
      </c>
      <c r="CV182">
        <f ca="1"/>
      </c>
      <c r="CW182">
        <f ca="1"/>
      </c>
      <c r="CX182">
        <f ca="1"/>
      </c>
      <c r="CY182">
        <f ca="1"/>
      </c>
      <c r="CZ182">
        <f ca="1"/>
      </c>
      <c r="DA182">
        <f ca="1"/>
      </c>
      <c r="DB182">
        <f ca="1"/>
      </c>
      <c r="DC182">
        <f ca="1"/>
      </c>
      <c r="DD182">
        <f ca="1"/>
      </c>
      <c r="DE182">
        <f ca="1"/>
      </c>
      <c r="DF182">
        <f ca="1"/>
      </c>
      <c r="DG182">
        <f ca="1"/>
      </c>
      <c r="DH182">
        <f ca="1"/>
      </c>
      <c r="DI182">
        <f ca="1"/>
      </c>
      <c r="DJ182">
        <f ca="1"/>
      </c>
      <c r="DK182">
        <f ca="1"/>
      </c>
      <c r="DL182">
        <f ca="1"/>
      </c>
      <c r="DM182">
        <f ca="1"/>
      </c>
      <c r="DN182">
        <f ca="1"/>
      </c>
      <c r="DO182">
        <f ca="1"/>
      </c>
      <c r="DP182">
        <f ca="1"/>
      </c>
      <c r="DQ182">
        <f ca="1"/>
      </c>
      <c r="DR182">
        <f ca="1"/>
      </c>
      <c r="DS182">
        <f ca="1"/>
      </c>
      <c r="DT182">
        <f ca="1"/>
      </c>
      <c r="DU182">
        <f ca="1"/>
      </c>
      <c r="DV182">
        <f ca="1"/>
      </c>
      <c r="DW182">
        <f ca="1"/>
      </c>
      <c r="DX182">
        <f ca="1"/>
      </c>
      <c r="DY182">
        <f ca="1"/>
      </c>
      <c r="DZ182">
        <f ca="1"/>
      </c>
      <c r="EA182">
        <f ca="1"/>
      </c>
      <c r="EB182">
        <f ca="1"/>
      </c>
      <c r="EC182">
        <f ca="1"/>
      </c>
      <c r="ED182">
        <f ca="1"/>
      </c>
      <c r="EE182">
        <f ca="1"/>
      </c>
      <c r="EG182">
        <f ca="1"/>
      </c>
      <c r="EH182">
        <f ca="1"/>
      </c>
      <c r="EI182">
        <f ca="1"/>
      </c>
      <c r="EJ182">
        <f ca="1"/>
      </c>
      <c r="EK182">
        <f ca="1"/>
      </c>
      <c r="EL182">
        <f ca="1"/>
      </c>
      <c r="EM182">
        <f ca="1"/>
      </c>
      <c r="EN182">
        <f ca="1"/>
      </c>
      <c r="EO182">
        <f ca="1"/>
      </c>
      <c r="EP182">
        <f ca="1"/>
      </c>
      <c r="EQ182">
        <f ca="1"/>
      </c>
      <c r="ER182">
        <f ca="1"/>
      </c>
      <c r="ES182">
        <f ca="1"/>
      </c>
      <c r="ET182">
        <f ca="1"/>
      </c>
      <c r="EU182">
        <f ca="1"/>
      </c>
      <c r="EV182">
        <f ca="1"/>
      </c>
      <c r="EW182">
        <f ca="1"/>
      </c>
      <c r="EX182">
        <f ca="1"/>
      </c>
      <c r="EY182">
        <f ca="1"/>
      </c>
      <c r="EZ182">
        <f ca="1"/>
      </c>
      <c r="FA182">
        <f ca="1"/>
      </c>
      <c r="FB182">
        <f ca="1"/>
      </c>
      <c r="FC182">
        <f ca="1"/>
      </c>
      <c r="FD182">
        <f ca="1"/>
      </c>
      <c r="FE182">
        <f ca="1"/>
      </c>
      <c r="FF182">
        <f ca="1"/>
      </c>
      <c r="FG182">
        <f ca="1"/>
      </c>
      <c r="FH182">
        <f ca="1"/>
      </c>
      <c r="FI182">
        <f ca="1"/>
      </c>
      <c r="FJ182">
        <f ca="1"/>
      </c>
      <c r="FK182">
        <f ca="1"/>
      </c>
      <c r="FL182">
        <f ca="1"/>
      </c>
      <c r="FM182">
        <f ca="1"/>
      </c>
      <c r="FN182">
        <f ca="1"/>
      </c>
      <c r="FO182">
        <f ca="1"/>
      </c>
      <c r="FP182">
        <f ca="1"/>
      </c>
      <c r="FQ182">
        <f ca="1"/>
      </c>
      <c r="FR182">
        <f ca="1"/>
      </c>
      <c r="FS182">
        <f ca="1"/>
      </c>
      <c r="FT182">
        <f ca="1"/>
      </c>
      <c r="FU182">
        <f ca="1"/>
      </c>
      <c r="FV182">
        <f ca="1"/>
      </c>
      <c r="FW182">
        <f ca="1"/>
      </c>
      <c r="FX182">
        <f ca="1"/>
      </c>
      <c r="FY182">
        <f ca="1"/>
      </c>
      <c r="FZ182">
        <f ca="1"/>
      </c>
      <c r="GA182">
        <f ca="1"/>
      </c>
      <c r="GM182" s="7">
        <f ca="1"/>
      </c>
      <c r="GN182">
        <f ca="1"/>
      </c>
      <c r="GO182">
        <f ca="1"/>
      </c>
      <c r="GP182">
        <f ca="1"/>
      </c>
      <c r="GQ182">
        <f ca="1"/>
      </c>
    </row>
    <row r="183" spans="41:199" x14ac:dyDescent="0.55000000000000004">
      <c r="AO183">
        <f ca="1"/>
      </c>
      <c r="AP183">
        <f ca="1"/>
      </c>
      <c r="AQ183">
        <f ca="1"/>
      </c>
      <c r="AR183">
        <f ca="1"/>
      </c>
      <c r="AS183">
        <f ca="1"/>
      </c>
      <c r="AT183">
        <f ca="1"/>
      </c>
      <c r="AU183">
        <f ca="1"/>
      </c>
      <c r="AV183">
        <f ca="1"/>
      </c>
      <c r="AW183">
        <f ca="1"/>
      </c>
      <c r="AX183">
        <f ca="1"/>
      </c>
      <c r="AY183">
        <f ca="1"/>
      </c>
      <c r="AZ183">
        <f ca="1"/>
      </c>
      <c r="BA183">
        <f ca="1"/>
      </c>
      <c r="BB183">
        <f ca="1"/>
      </c>
      <c r="BC183">
        <f ca="1"/>
      </c>
      <c r="BD183">
        <f ca="1"/>
      </c>
      <c r="BE183">
        <f ca="1"/>
      </c>
      <c r="BF183">
        <f ca="1"/>
      </c>
      <c r="BG183">
        <f ca="1"/>
      </c>
      <c r="BH183">
        <f ca="1"/>
      </c>
      <c r="BI183">
        <f ca="1"/>
      </c>
      <c r="BJ183">
        <f ca="1"/>
      </c>
      <c r="BK183">
        <f ca="1"/>
      </c>
      <c r="BL183">
        <f ca="1"/>
      </c>
      <c r="BM183">
        <f ca="1"/>
      </c>
      <c r="BN183">
        <f ca="1"/>
      </c>
      <c r="BO183">
        <f ca="1"/>
      </c>
      <c r="BP183">
        <f ca="1"/>
      </c>
      <c r="BQ183">
        <f ca="1"/>
      </c>
      <c r="BR183">
        <f ca="1"/>
      </c>
      <c r="BS183">
        <f ca="1"/>
      </c>
      <c r="BT183">
        <f ca="1"/>
      </c>
      <c r="BU183">
        <f ca="1"/>
      </c>
      <c r="BV183">
        <f ca="1"/>
      </c>
      <c r="BW183">
        <f ca="1"/>
      </c>
      <c r="BX183">
        <f ca="1"/>
      </c>
      <c r="BY183">
        <f ca="1"/>
      </c>
      <c r="BZ183">
        <f ca="1"/>
      </c>
      <c r="CA183">
        <f ca="1"/>
      </c>
      <c r="CB183">
        <f ca="1"/>
      </c>
      <c r="CC183">
        <f ca="1"/>
      </c>
      <c r="CD183">
        <f ca="1"/>
      </c>
      <c r="CE183">
        <f ca="1"/>
      </c>
      <c r="CF183">
        <f ca="1"/>
      </c>
      <c r="CG183">
        <f ca="1"/>
      </c>
      <c r="CH183">
        <f ca="1"/>
      </c>
      <c r="CI183">
        <f ca="1"/>
      </c>
      <c r="CK183">
        <f ca="1"/>
      </c>
      <c r="CL183">
        <f ca="1"/>
      </c>
      <c r="CM183">
        <f ca="1"/>
      </c>
      <c r="CN183">
        <f ca="1"/>
      </c>
      <c r="CO183">
        <f ca="1"/>
      </c>
      <c r="CP183">
        <f ca="1"/>
      </c>
      <c r="CQ183">
        <f ca="1"/>
      </c>
      <c r="CR183">
        <f ca="1"/>
      </c>
      <c r="CS183">
        <f ca="1"/>
      </c>
      <c r="CT183">
        <f ca="1"/>
      </c>
      <c r="CU183">
        <f ca="1"/>
      </c>
      <c r="CV183">
        <f ca="1"/>
      </c>
      <c r="CW183">
        <f ca="1"/>
      </c>
      <c r="CX183">
        <f ca="1"/>
      </c>
      <c r="CY183">
        <f ca="1"/>
      </c>
      <c r="CZ183">
        <f ca="1"/>
      </c>
      <c r="DA183">
        <f ca="1"/>
      </c>
      <c r="DB183">
        <f ca="1"/>
      </c>
      <c r="DC183">
        <f ca="1"/>
      </c>
      <c r="DD183">
        <f ca="1"/>
      </c>
      <c r="DE183">
        <f ca="1"/>
      </c>
      <c r="DF183">
        <f ca="1"/>
      </c>
      <c r="DG183">
        <f ca="1"/>
      </c>
      <c r="DH183">
        <f ca="1"/>
      </c>
      <c r="DI183">
        <f ca="1"/>
      </c>
      <c r="DJ183">
        <f ca="1"/>
      </c>
      <c r="DK183">
        <f ca="1"/>
      </c>
      <c r="DL183">
        <f ca="1"/>
      </c>
      <c r="DM183">
        <f ca="1"/>
      </c>
      <c r="DN183">
        <f ca="1"/>
      </c>
      <c r="DO183">
        <f ca="1"/>
      </c>
      <c r="DP183">
        <f ca="1"/>
      </c>
      <c r="DQ183">
        <f ca="1"/>
      </c>
      <c r="DR183">
        <f ca="1"/>
      </c>
      <c r="DS183">
        <f ca="1"/>
      </c>
      <c r="DT183">
        <f ca="1"/>
      </c>
      <c r="DU183">
        <f ca="1"/>
      </c>
      <c r="DV183">
        <f ca="1"/>
      </c>
      <c r="DW183">
        <f ca="1"/>
      </c>
      <c r="DX183">
        <f ca="1"/>
      </c>
      <c r="DY183">
        <f ca="1"/>
      </c>
      <c r="DZ183">
        <f ca="1"/>
      </c>
      <c r="EA183">
        <f ca="1"/>
      </c>
      <c r="EB183">
        <f ca="1"/>
      </c>
      <c r="EC183">
        <f ca="1"/>
      </c>
      <c r="ED183">
        <f ca="1"/>
      </c>
      <c r="EE183">
        <f ca="1"/>
      </c>
      <c r="EG183">
        <f ca="1"/>
      </c>
      <c r="EH183">
        <f ca="1"/>
      </c>
      <c r="EI183">
        <f ca="1"/>
      </c>
      <c r="EJ183">
        <f ca="1"/>
      </c>
      <c r="EK183">
        <f ca="1"/>
      </c>
      <c r="EL183">
        <f ca="1"/>
      </c>
      <c r="EM183">
        <f ca="1"/>
      </c>
      <c r="EN183">
        <f ca="1"/>
      </c>
      <c r="EO183">
        <f ca="1"/>
      </c>
      <c r="EP183">
        <f ca="1"/>
      </c>
      <c r="EQ183">
        <f ca="1"/>
      </c>
      <c r="ER183">
        <f ca="1"/>
      </c>
      <c r="ES183">
        <f ca="1"/>
      </c>
      <c r="ET183">
        <f ca="1"/>
      </c>
      <c r="EU183">
        <f ca="1"/>
      </c>
      <c r="EV183">
        <f ca="1"/>
      </c>
      <c r="EW183">
        <f ca="1"/>
      </c>
      <c r="EX183">
        <f ca="1"/>
      </c>
      <c r="EY183">
        <f ca="1"/>
      </c>
      <c r="EZ183">
        <f ca="1"/>
      </c>
      <c r="FA183">
        <f ca="1"/>
      </c>
      <c r="FB183">
        <f ca="1"/>
      </c>
      <c r="FC183">
        <f ca="1"/>
      </c>
      <c r="FD183">
        <f ca="1"/>
      </c>
      <c r="FE183">
        <f ca="1"/>
      </c>
      <c r="FF183">
        <f ca="1"/>
      </c>
      <c r="FG183">
        <f ca="1"/>
      </c>
      <c r="FH183">
        <f ca="1"/>
      </c>
      <c r="FI183">
        <f ca="1"/>
      </c>
      <c r="FJ183">
        <f ca="1"/>
      </c>
      <c r="FK183">
        <f ca="1"/>
      </c>
      <c r="FL183">
        <f ca="1"/>
      </c>
      <c r="FM183">
        <f ca="1"/>
      </c>
      <c r="FN183">
        <f ca="1"/>
      </c>
      <c r="FO183">
        <f ca="1"/>
      </c>
      <c r="FP183">
        <f ca="1"/>
      </c>
      <c r="FQ183">
        <f ca="1"/>
      </c>
      <c r="FR183">
        <f ca="1"/>
      </c>
      <c r="FS183">
        <f ca="1"/>
      </c>
      <c r="FT183">
        <f ca="1"/>
      </c>
      <c r="FU183">
        <f ca="1"/>
      </c>
      <c r="FV183">
        <f ca="1"/>
      </c>
      <c r="FW183">
        <f ca="1"/>
      </c>
      <c r="FX183">
        <f ca="1"/>
      </c>
      <c r="FY183">
        <f ca="1"/>
      </c>
      <c r="FZ183">
        <f ca="1"/>
      </c>
      <c r="GA183">
        <f ca="1"/>
      </c>
      <c r="GM183" s="7">
        <f ca="1"/>
      </c>
      <c r="GN183">
        <f ca="1"/>
      </c>
      <c r="GO183">
        <f ca="1"/>
      </c>
      <c r="GP183">
        <f ca="1"/>
      </c>
      <c r="GQ183">
        <f ca="1"/>
      </c>
    </row>
    <row r="184" spans="41:199" x14ac:dyDescent="0.55000000000000004">
      <c r="AO184">
        <f ca="1"/>
      </c>
      <c r="AP184">
        <f ca="1"/>
      </c>
      <c r="AQ184">
        <f ca="1"/>
      </c>
      <c r="AR184">
        <f ca="1"/>
      </c>
      <c r="AS184">
        <f ca="1"/>
      </c>
      <c r="AT184">
        <f ca="1"/>
      </c>
      <c r="AU184">
        <f ca="1"/>
      </c>
      <c r="AV184">
        <f ca="1"/>
      </c>
      <c r="AW184">
        <f ca="1"/>
      </c>
      <c r="AX184">
        <f ca="1"/>
      </c>
      <c r="AY184">
        <f ca="1"/>
      </c>
      <c r="AZ184">
        <f ca="1"/>
      </c>
      <c r="BA184">
        <f ca="1"/>
      </c>
      <c r="BB184">
        <f ca="1"/>
      </c>
      <c r="BC184">
        <f ca="1"/>
      </c>
      <c r="BD184">
        <f ca="1"/>
      </c>
      <c r="BE184">
        <f ca="1"/>
      </c>
      <c r="BF184">
        <f ca="1"/>
      </c>
      <c r="BG184">
        <f ca="1"/>
      </c>
      <c r="BH184">
        <f ca="1"/>
      </c>
      <c r="BI184">
        <f ca="1"/>
      </c>
      <c r="BJ184">
        <f ca="1"/>
      </c>
      <c r="BK184">
        <f ca="1"/>
      </c>
      <c r="BL184">
        <f ca="1"/>
      </c>
      <c r="BM184">
        <f ca="1"/>
      </c>
      <c r="BN184">
        <f ca="1"/>
      </c>
      <c r="BO184">
        <f ca="1"/>
      </c>
      <c r="BP184">
        <f ca="1"/>
      </c>
      <c r="BQ184">
        <f ca="1"/>
      </c>
      <c r="BR184">
        <f ca="1"/>
      </c>
      <c r="BS184">
        <f ca="1"/>
      </c>
      <c r="BT184">
        <f ca="1"/>
      </c>
      <c r="BU184">
        <f ca="1"/>
      </c>
      <c r="BV184">
        <f ca="1"/>
      </c>
      <c r="BW184">
        <f ca="1"/>
      </c>
      <c r="BX184">
        <f ca="1"/>
      </c>
      <c r="BY184">
        <f ca="1"/>
      </c>
      <c r="BZ184">
        <f ca="1"/>
      </c>
      <c r="CA184">
        <f ca="1"/>
      </c>
      <c r="CB184">
        <f ca="1"/>
      </c>
      <c r="CC184">
        <f ca="1"/>
      </c>
      <c r="CD184">
        <f ca="1"/>
      </c>
      <c r="CE184">
        <f ca="1"/>
      </c>
      <c r="CF184">
        <f ca="1"/>
      </c>
      <c r="CG184">
        <f ca="1"/>
      </c>
      <c r="CH184">
        <f ca="1"/>
      </c>
      <c r="CI184">
        <f ca="1"/>
      </c>
      <c r="CK184">
        <f ca="1"/>
      </c>
      <c r="CL184">
        <f ca="1"/>
      </c>
      <c r="CM184">
        <f ca="1"/>
      </c>
      <c r="CN184">
        <f ca="1"/>
      </c>
      <c r="CO184">
        <f ca="1"/>
      </c>
      <c r="CP184">
        <f ca="1"/>
      </c>
      <c r="CQ184">
        <f ca="1"/>
      </c>
      <c r="CR184">
        <f ca="1"/>
      </c>
      <c r="CS184">
        <f ca="1"/>
      </c>
      <c r="CT184">
        <f ca="1"/>
      </c>
      <c r="CU184">
        <f ca="1"/>
      </c>
      <c r="CV184">
        <f ca="1"/>
      </c>
      <c r="CW184">
        <f ca="1"/>
      </c>
      <c r="CX184">
        <f ca="1"/>
      </c>
      <c r="CY184">
        <f ca="1"/>
      </c>
      <c r="CZ184">
        <f ca="1"/>
      </c>
      <c r="DA184">
        <f ca="1"/>
      </c>
      <c r="DB184">
        <f ca="1"/>
      </c>
      <c r="DC184">
        <f ca="1"/>
      </c>
      <c r="DD184">
        <f ca="1"/>
      </c>
      <c r="DE184">
        <f ca="1"/>
      </c>
      <c r="DF184">
        <f ca="1"/>
      </c>
      <c r="DG184">
        <f ca="1"/>
      </c>
      <c r="DH184">
        <f ca="1"/>
      </c>
      <c r="DI184">
        <f ca="1"/>
      </c>
      <c r="DJ184">
        <f ca="1"/>
      </c>
      <c r="DK184">
       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     <c r="DQ184">
        <f ca="1"/>
      </c>
      <c r="DR184">
        <f ca="1"/>
      </c>
      <c r="DS184">
        <f ca="1"/>
      </c>
      <c r="DT184">
        <f ca="1"/>
      </c>
      <c r="DU184">
        <f ca="1"/>
      </c>
      <c r="DV184">
        <f ca="1"/>
      </c>
      <c r="DW184">
        <f ca="1"/>
      </c>
      <c r="DX184">
        <f ca="1"/>
      </c>
      <c r="DY184">
        <f ca="1"/>
      </c>
      <c r="DZ184">
        <f ca="1"/>
      </c>
      <c r="EA184">
        <f ca="1"/>
      </c>
      <c r="EB184">
        <f ca="1"/>
      </c>
      <c r="EC184">
        <f ca="1"/>
      </c>
      <c r="ED184">
        <f ca="1"/>
      </c>
      <c r="EE184">
        <f ca="1"/>
      </c>
      <c r="EG184">
        <f ca="1"/>
      </c>
      <c r="EH184">
        <f ca="1"/>
      </c>
      <c r="EI184">
        <f ca="1"/>
      </c>
      <c r="EJ184">
        <f ca="1"/>
      </c>
      <c r="EK184">
        <f ca="1"/>
      </c>
      <c r="EL184">
        <f ca="1"/>
      </c>
      <c r="EM184">
        <f ca="1"/>
      </c>
      <c r="EN184">
        <f ca="1"/>
      </c>
      <c r="EO184">
        <f ca="1"/>
      </c>
      <c r="EP184">
        <f ca="1"/>
      </c>
      <c r="EQ184">
        <f ca="1"/>
      </c>
      <c r="ER184">
        <f ca="1"/>
      </c>
      <c r="ES184">
        <f ca="1"/>
      </c>
      <c r="ET184">
        <f ca="1"/>
      </c>
      <c r="EU184">
        <f ca="1"/>
      </c>
      <c r="EV184">
        <f ca="1"/>
      </c>
      <c r="EW184">
        <f ca="1"/>
      </c>
      <c r="EX184">
        <f ca="1"/>
      </c>
      <c r="EY184">
        <f ca="1"/>
      </c>
      <c r="EZ184">
        <f ca="1"/>
      </c>
      <c r="FA184">
        <f ca="1"/>
      </c>
      <c r="FB184">
        <f ca="1"/>
      </c>
      <c r="FC184">
        <f ca="1"/>
      </c>
      <c r="FD184">
        <f ca="1"/>
      </c>
      <c r="FE184">
        <f ca="1"/>
      </c>
      <c r="FF184">
        <f ca="1"/>
      </c>
      <c r="FG184">
        <f ca="1"/>
      </c>
      <c r="FH184">
        <f ca="1"/>
      </c>
      <c r="FI184">
        <f ca="1"/>
      </c>
      <c r="FJ184">
        <f ca="1"/>
      </c>
      <c r="FK184">
        <f ca="1"/>
      </c>
      <c r="FL184">
        <f ca="1"/>
      </c>
      <c r="FM184">
        <f ca="1"/>
      </c>
      <c r="FN184">
        <f ca="1"/>
      </c>
      <c r="FO184">
        <f ca="1"/>
      </c>
      <c r="FP184">
        <f ca="1"/>
      </c>
      <c r="FQ184">
        <f ca="1"/>
      </c>
      <c r="FR184">
        <f ca="1"/>
      </c>
      <c r="FS184">
        <f ca="1"/>
      </c>
      <c r="FT184">
        <f ca="1"/>
      </c>
      <c r="FU184">
        <f ca="1"/>
      </c>
      <c r="FV184">
        <f ca="1"/>
      </c>
      <c r="FW184">
        <f ca="1"/>
      </c>
      <c r="FX184">
        <f ca="1"/>
      </c>
      <c r="FY184">
        <f ca="1"/>
      </c>
      <c r="FZ184">
        <f ca="1"/>
      </c>
      <c r="GA184">
        <f ca="1"/>
      </c>
      <c r="GM184" s="7">
        <f ca="1"/>
      </c>
      <c r="GN184">
        <f ca="1"/>
      </c>
      <c r="GO184">
        <f ca="1"/>
      </c>
      <c r="GP184">
        <f ca="1"/>
      </c>
      <c r="GQ184">
        <f ca="1"/>
      </c>
    </row>
    <row r="185" spans="41:199" x14ac:dyDescent="0.55000000000000004">
      <c r="AO185">
        <f ca="1"/>
      </c>
      <c r="AP185">
        <f ca="1"/>
      </c>
      <c r="AQ185">
        <f ca="1"/>
      </c>
      <c r="AR185">
        <f ca="1"/>
      </c>
      <c r="AS185">
        <f ca="1"/>
      </c>
      <c r="AT185">
        <f ca="1"/>
      </c>
      <c r="AU185">
        <f ca="1"/>
      </c>
      <c r="AV185">
        <f ca="1"/>
      </c>
      <c r="AW185">
        <f ca="1"/>
      </c>
      <c r="AX185">
        <f ca="1"/>
      </c>
      <c r="AY185">
        <f ca="1"/>
      </c>
      <c r="AZ185">
        <f ca="1"/>
      </c>
      <c r="BA185">
        <f ca="1"/>
      </c>
      <c r="BB185">
        <f ca="1"/>
      </c>
      <c r="BC185">
        <f ca="1"/>
      </c>
      <c r="BD185">
        <f ca="1"/>
      </c>
      <c r="BE185">
        <f ca="1"/>
      </c>
      <c r="BF185">
        <f ca="1"/>
      </c>
      <c r="BG185">
        <f ca="1"/>
      </c>
      <c r="BH185">
        <f ca="1"/>
      </c>
      <c r="BI185">
        <f ca="1"/>
      </c>
      <c r="BJ185">
        <f ca="1"/>
      </c>
      <c r="BK185">
        <f ca="1"/>
      </c>
      <c r="BL185">
        <f ca="1"/>
      </c>
      <c r="BM185">
        <f ca="1"/>
      </c>
      <c r="BN185">
        <f ca="1"/>
      </c>
      <c r="BO185">
        <f ca="1"/>
      </c>
      <c r="BP185">
        <f ca="1"/>
      </c>
      <c r="BQ185">
        <f ca="1"/>
      </c>
      <c r="BR185">
        <f ca="1"/>
      </c>
      <c r="BS185">
        <f ca="1"/>
      </c>
      <c r="BT185">
        <f ca="1"/>
      </c>
      <c r="BU185">
        <f ca="1"/>
      </c>
      <c r="BV185">
        <f ca="1"/>
      </c>
      <c r="BW185">
        <f ca="1"/>
      </c>
      <c r="BX185">
        <f ca="1"/>
      </c>
      <c r="BY185">
        <f ca="1"/>
      </c>
      <c r="BZ185">
        <f ca="1"/>
      </c>
      <c r="CA185">
        <f ca="1"/>
      </c>
      <c r="CB185">
        <f ca="1"/>
      </c>
      <c r="CC185">
        <f ca="1"/>
      </c>
      <c r="CD185">
        <f ca="1"/>
      </c>
      <c r="CE185">
        <f ca="1"/>
      </c>
      <c r="CF185">
        <f ca="1"/>
      </c>
      <c r="CG185">
        <f ca="1"/>
      </c>
      <c r="CH185">
        <f ca="1"/>
      </c>
      <c r="CI185">
        <f ca="1"/>
      </c>
      <c r="CK185">
        <f ca="1"/>
      </c>
      <c r="CL185">
        <f ca="1"/>
      </c>
      <c r="CM185">
        <f ca="1"/>
      </c>
      <c r="CN185">
        <f ca="1"/>
      </c>
      <c r="CO185">
        <f ca="1"/>
      </c>
      <c r="CP185">
        <f ca="1"/>
      </c>
      <c r="CQ185">
        <f ca="1"/>
      </c>
      <c r="CR185">
        <f ca="1"/>
      </c>
      <c r="CS185">
        <f ca="1"/>
      </c>
      <c r="CT185">
        <f ca="1"/>
      </c>
      <c r="CU185">
        <f ca="1"/>
      </c>
      <c r="CV185">
        <f ca="1"/>
      </c>
      <c r="CW185">
        <f ca="1"/>
      </c>
      <c r="CX185">
        <f ca="1"/>
      </c>
      <c r="CY185">
        <f ca="1"/>
      </c>
      <c r="CZ185">
        <f ca="1"/>
      </c>
      <c r="DA185">
        <f ca="1"/>
      </c>
      <c r="DB185">
        <f ca="1"/>
      </c>
      <c r="DC185">
        <f ca="1"/>
      </c>
      <c r="DD185">
        <f ca="1"/>
      </c>
      <c r="DE185">
        <f ca="1"/>
      </c>
      <c r="DF185">
        <f ca="1"/>
      </c>
      <c r="DG185">
        <f ca="1"/>
      </c>
      <c r="DH185">
        <f ca="1"/>
      </c>
      <c r="DI185">
        <f ca="1"/>
      </c>
      <c r="DJ185">
        <f ca="1"/>
      </c>
      <c r="DK185">
        <f ca="1"/>
      </c>
      <c r="DL185">
        <f ca="1"/>
      </c>
      <c r="DM185">
        <f ca="1"/>
      </c>
      <c r="DN185">
        <f ca="1"/>
      </c>
      <c r="DO185">
        <f ca="1"/>
      </c>
      <c r="DP185">
        <f ca="1"/>
      </c>
      <c r="DQ185">
        <f ca="1"/>
      </c>
      <c r="DR185">
        <f ca="1"/>
      </c>
      <c r="DS185">
        <f ca="1"/>
      </c>
      <c r="DT185">
        <f ca="1"/>
      </c>
      <c r="DU185">
        <f ca="1"/>
      </c>
      <c r="DV185">
        <f ca="1"/>
      </c>
      <c r="DW185">
        <f ca="1"/>
      </c>
      <c r="DX185">
        <f ca="1"/>
      </c>
      <c r="DY185">
        <f ca="1"/>
      </c>
      <c r="DZ185">
        <f ca="1"/>
      </c>
      <c r="EA185">
        <f ca="1"/>
      </c>
      <c r="EB185">
        <f ca="1"/>
      </c>
      <c r="EC185">
        <f ca="1"/>
      </c>
      <c r="ED185">
        <f ca="1"/>
      </c>
      <c r="EE185">
        <f ca="1"/>
      </c>
      <c r="EG185">
        <f ca="1"/>
      </c>
      <c r="EH185">
        <f ca="1"/>
      </c>
      <c r="EI185">
        <f ca="1"/>
      </c>
      <c r="EJ185">
        <f ca="1"/>
      </c>
      <c r="EK185">
        <f ca="1"/>
      </c>
      <c r="EL185">
        <f ca="1"/>
      </c>
      <c r="EM185">
        <f ca="1"/>
      </c>
      <c r="EN185">
        <f ca="1"/>
      </c>
      <c r="EO185">
        <f ca="1"/>
      </c>
      <c r="EP185">
        <f ca="1"/>
      </c>
      <c r="EQ185">
        <f ca="1"/>
      </c>
      <c r="ER185">
        <f ca="1"/>
      </c>
      <c r="ES185">
        <f ca="1"/>
      </c>
      <c r="ET185">
        <f ca="1"/>
      </c>
      <c r="EU185">
        <f ca="1"/>
      </c>
      <c r="EV185">
        <f ca="1"/>
      </c>
      <c r="EW185">
        <f ca="1"/>
      </c>
      <c r="EX185">
        <f ca="1"/>
      </c>
      <c r="EY185">
        <f ca="1"/>
      </c>
      <c r="EZ185">
        <f ca="1"/>
      </c>
      <c r="FA185">
        <f ca="1"/>
      </c>
      <c r="FB185">
        <f ca="1"/>
      </c>
      <c r="FC185">
        <f ca="1"/>
      </c>
      <c r="FD185">
        <f ca="1"/>
      </c>
      <c r="FE185">
        <f ca="1"/>
      </c>
      <c r="FF185">
        <f ca="1"/>
      </c>
      <c r="FG185">
        <f ca="1"/>
      </c>
      <c r="FH185">
        <f ca="1"/>
      </c>
      <c r="FI185">
        <f ca="1"/>
      </c>
      <c r="FJ185">
        <f ca="1"/>
      </c>
      <c r="FK185">
        <f ca="1"/>
      </c>
      <c r="FL185">
        <f ca="1"/>
      </c>
      <c r="FM185">
        <f ca="1"/>
      </c>
      <c r="FN185">
        <f ca="1"/>
      </c>
      <c r="FO185">
        <f ca="1"/>
      </c>
      <c r="FP185">
        <f ca="1"/>
      </c>
      <c r="FQ185">
        <f ca="1"/>
      </c>
      <c r="FR185">
        <f ca="1"/>
      </c>
      <c r="FS185">
        <f ca="1"/>
      </c>
      <c r="FT185">
        <f ca="1"/>
      </c>
      <c r="FU185">
        <f ca="1"/>
      </c>
      <c r="FV185">
        <f ca="1"/>
      </c>
      <c r="FW185">
        <f ca="1"/>
      </c>
      <c r="FX185">
        <f ca="1"/>
      </c>
      <c r="FY185">
        <f ca="1"/>
      </c>
      <c r="FZ185">
        <f ca="1"/>
      </c>
      <c r="GA185">
        <f ca="1"/>
      </c>
      <c r="GM185" s="7">
        <f ca="1"/>
      </c>
      <c r="GN185">
        <f ca="1"/>
      </c>
      <c r="GO185">
        <f ca="1"/>
      </c>
      <c r="GP185">
        <f ca="1"/>
      </c>
      <c r="GQ185">
        <f ca="1"/>
      </c>
    </row>
    <row r="186" spans="41:199" x14ac:dyDescent="0.55000000000000004">
      <c r="AO186">
        <f ca="1"/>
      </c>
      <c r="AP186">
        <f ca="1"/>
      </c>
      <c r="AQ186">
        <f ca="1"/>
      </c>
      <c r="AR186">
        <f ca="1"/>
      </c>
      <c r="AS186">
        <f ca="1"/>
      </c>
      <c r="AT186">
        <f ca="1"/>
      </c>
      <c r="AU186">
        <f ca="1"/>
      </c>
      <c r="AV186">
        <f ca="1"/>
      </c>
      <c r="AW186">
        <f ca="1"/>
      </c>
      <c r="AX186">
        <f ca="1"/>
      </c>
      <c r="AY186">
        <f ca="1"/>
      </c>
      <c r="AZ186">
        <f ca="1"/>
      </c>
      <c r="BA186">
        <f ca="1"/>
      </c>
      <c r="BB186">
        <f ca="1"/>
      </c>
      <c r="BC186">
        <f ca="1"/>
      </c>
      <c r="BD186">
        <f ca="1"/>
      </c>
      <c r="BE186">
        <f ca="1"/>
      </c>
      <c r="BF186">
        <f ca="1"/>
      </c>
      <c r="BG186">
        <f ca="1"/>
      </c>
      <c r="BH186">
        <f ca="1"/>
      </c>
      <c r="BI186">
        <f ca="1"/>
      </c>
      <c r="BJ186">
        <f ca="1"/>
      </c>
      <c r="BK186">
        <f ca="1"/>
      </c>
      <c r="BL186">
        <f ca="1"/>
      </c>
      <c r="BM186">
        <f ca="1"/>
      </c>
      <c r="BN186">
        <f ca="1"/>
      </c>
      <c r="BO186">
        <f ca="1"/>
      </c>
      <c r="BP186">
        <f ca="1"/>
      </c>
      <c r="BQ186">
        <f ca="1"/>
      </c>
      <c r="BR186">
        <f ca="1"/>
      </c>
      <c r="BS186">
        <f ca="1"/>
      </c>
      <c r="BT186">
        <f ca="1"/>
      </c>
      <c r="BU186">
        <f ca="1"/>
      </c>
      <c r="BV186">
        <f ca="1"/>
      </c>
      <c r="BW186">
        <f ca="1"/>
      </c>
      <c r="BX186">
        <f ca="1"/>
      </c>
      <c r="BY186">
        <f ca="1"/>
      </c>
      <c r="BZ186">
        <f ca="1"/>
      </c>
      <c r="CA186">
        <f ca="1"/>
      </c>
      <c r="CB186">
        <f ca="1"/>
      </c>
      <c r="CC186">
        <f ca="1"/>
      </c>
      <c r="CD186">
        <f ca="1"/>
      </c>
      <c r="CE186">
        <f ca="1"/>
      </c>
      <c r="CF186">
        <f ca="1"/>
      </c>
      <c r="CG186">
        <f ca="1"/>
      </c>
      <c r="CH186">
        <f ca="1"/>
      </c>
      <c r="CI186">
        <f ca="1"/>
      </c>
      <c r="CK186">
        <f ca="1"/>
      </c>
      <c r="CL186">
        <f ca="1"/>
      </c>
      <c r="CM186">
        <f ca="1"/>
      </c>
      <c r="CN186">
        <f ca="1"/>
      </c>
      <c r="CO186">
        <f ca="1"/>
      </c>
      <c r="CP186">
        <f ca="1"/>
      </c>
      <c r="CQ186">
        <f ca="1"/>
      </c>
      <c r="CR186">
        <f ca="1"/>
      </c>
      <c r="CS186">
        <f ca="1"/>
      </c>
      <c r="CT186">
        <f ca="1"/>
      </c>
      <c r="CU186">
        <f ca="1"/>
      </c>
      <c r="CV186">
        <f ca="1"/>
      </c>
      <c r="CW186">
        <f ca="1"/>
      </c>
      <c r="CX186">
        <f ca="1"/>
      </c>
      <c r="CY186">
        <f ca="1"/>
      </c>
      <c r="CZ186">
        <f ca="1"/>
      </c>
      <c r="DA186">
        <f ca="1"/>
      </c>
      <c r="DB186">
        <f ca="1"/>
      </c>
      <c r="DC186">
        <f ca="1"/>
      </c>
      <c r="DD186">
        <f ca="1"/>
      </c>
      <c r="DE186">
        <f ca="1"/>
      </c>
      <c r="DF186">
        <f ca="1"/>
      </c>
      <c r="DG186">
        <f ca="1"/>
      </c>
      <c r="DH186">
        <f ca="1"/>
      </c>
      <c r="DI186">
        <f ca="1"/>
      </c>
      <c r="DJ186">
        <f ca="1"/>
      </c>
      <c r="DK186">
        <f ca="1"/>
      </c>
      <c r="DL186">
        <f ca="1"/>
      </c>
      <c r="DM186">
        <f ca="1"/>
      </c>
      <c r="DN186">
        <f ca="1"/>
      </c>
      <c r="DO186">
        <f ca="1"/>
      </c>
      <c r="DP186">
        <f ca="1"/>
      </c>
      <c r="DQ186">
        <f ca="1"/>
      </c>
      <c r="DR186">
        <f ca="1"/>
      </c>
      <c r="DS186">
        <f ca="1"/>
      </c>
      <c r="DT186">
        <f ca="1"/>
      </c>
      <c r="DU186">
        <f ca="1"/>
      </c>
      <c r="DV186">
        <f ca="1"/>
      </c>
      <c r="DW186">
        <f ca="1"/>
      </c>
      <c r="DX186">
        <f ca="1"/>
      </c>
      <c r="DY186">
        <f ca="1"/>
      </c>
      <c r="DZ186">
        <f ca="1"/>
      </c>
      <c r="EA186">
        <f ca="1"/>
      </c>
      <c r="EB186">
        <f ca="1"/>
      </c>
      <c r="EC186">
        <f ca="1"/>
      </c>
      <c r="ED186">
        <f ca="1"/>
      </c>
      <c r="EE186">
        <f ca="1"/>
      </c>
      <c r="EG186">
        <f ca="1"/>
      </c>
      <c r="EH186">
        <f ca="1"/>
      </c>
      <c r="EI186">
        <f ca="1"/>
      </c>
      <c r="EJ186">
        <f ca="1"/>
      </c>
      <c r="EK186">
        <f ca="1"/>
      </c>
      <c r="EL186">
        <f ca="1"/>
      </c>
      <c r="EM186">
        <f ca="1"/>
      </c>
      <c r="EN186">
        <f ca="1"/>
      </c>
      <c r="EO186">
        <f ca="1"/>
      </c>
      <c r="EP186">
        <f ca="1"/>
      </c>
      <c r="EQ186">
        <f ca="1"/>
      </c>
      <c r="ER186">
        <f ca="1"/>
      </c>
      <c r="ES186">
        <f ca="1"/>
      </c>
      <c r="ET186">
        <f ca="1"/>
      </c>
      <c r="EU186">
        <f ca="1"/>
      </c>
      <c r="EV186">
        <f ca="1"/>
      </c>
      <c r="EW186">
        <f ca="1"/>
      </c>
      <c r="EX186">
        <f ca="1"/>
      </c>
      <c r="EY186">
        <f ca="1"/>
      </c>
      <c r="EZ186">
        <f ca="1"/>
      </c>
      <c r="FA186">
        <f ca="1"/>
      </c>
      <c r="FB186">
        <f ca="1"/>
      </c>
      <c r="FC186">
        <f ca="1"/>
      </c>
      <c r="FD186">
        <f ca="1"/>
      </c>
      <c r="FE186">
        <f ca="1"/>
      </c>
      <c r="FF186">
        <f ca="1"/>
      </c>
      <c r="FG186">
        <f ca="1"/>
      </c>
      <c r="FH186">
        <f ca="1"/>
      </c>
      <c r="FI186">
        <f ca="1"/>
      </c>
      <c r="FJ186">
        <f ca="1"/>
      </c>
      <c r="FK186">
        <f ca="1"/>
      </c>
      <c r="FL186">
        <f ca="1"/>
      </c>
      <c r="FM186">
        <f ca="1"/>
      </c>
      <c r="FN186">
        <f ca="1"/>
      </c>
      <c r="FO186">
        <f ca="1"/>
      </c>
      <c r="FP186">
        <f ca="1"/>
      </c>
      <c r="FQ186">
        <f ca="1"/>
      </c>
      <c r="FR186">
        <f ca="1"/>
      </c>
      <c r="FS186">
        <f ca="1"/>
      </c>
      <c r="FT186">
        <f ca="1"/>
      </c>
      <c r="FU186">
        <f ca="1"/>
      </c>
      <c r="FV186">
        <f ca="1"/>
      </c>
      <c r="FW186">
        <f ca="1"/>
      </c>
      <c r="FX186">
        <f ca="1"/>
      </c>
      <c r="FY186">
        <f ca="1"/>
      </c>
      <c r="FZ186">
        <f ca="1"/>
      </c>
      <c r="GA186">
        <f ca="1"/>
      </c>
      <c r="GM186" s="7">
        <f ca="1"/>
      </c>
      <c r="GN186">
        <f ca="1"/>
      </c>
      <c r="GO186">
        <f ca="1"/>
      </c>
      <c r="GP186">
        <f ca="1"/>
      </c>
      <c r="GQ186">
        <f ca="1"/>
      </c>
    </row>
    <row r="187" spans="41:199" x14ac:dyDescent="0.55000000000000004">
      <c r="AO187">
        <f ca="1"/>
      </c>
      <c r="AP187">
        <f ca="1"/>
      </c>
      <c r="AQ187">
        <f ca="1"/>
      </c>
      <c r="AR187">
        <f ca="1"/>
      </c>
      <c r="AS187">
        <f ca="1"/>
      </c>
      <c r="AT187">
        <f ca="1"/>
      </c>
      <c r="AU187">
        <f ca="1"/>
      </c>
      <c r="AV187">
        <f ca="1"/>
      </c>
      <c r="AW187">
        <f ca="1"/>
      </c>
      <c r="AX187">
        <f ca="1"/>
      </c>
      <c r="AY187">
        <f ca="1"/>
      </c>
      <c r="AZ187">
        <f ca="1"/>
      </c>
      <c r="BA187">
        <f ca="1"/>
      </c>
      <c r="BB187">
        <f ca="1"/>
      </c>
      <c r="BC187">
        <f ca="1"/>
      </c>
      <c r="BD187">
        <f ca="1"/>
      </c>
      <c r="BE187">
        <f ca="1"/>
      </c>
      <c r="BF187">
        <f ca="1"/>
      </c>
      <c r="BG187">
        <f ca="1"/>
      </c>
      <c r="BH187">
        <f ca="1"/>
      </c>
      <c r="BI187">
        <f ca="1"/>
      </c>
      <c r="BJ187">
        <f ca="1"/>
      </c>
      <c r="BK187">
        <f ca="1"/>
      </c>
      <c r="BL187">
        <f ca="1"/>
      </c>
      <c r="BM187">
        <f ca="1"/>
      </c>
      <c r="BN187">
        <f ca="1"/>
      </c>
      <c r="BO187">
        <f ca="1"/>
      </c>
      <c r="BP187">
        <f ca="1"/>
      </c>
      <c r="BQ187">
        <f ca="1"/>
      </c>
      <c r="BR187">
        <f ca="1"/>
      </c>
      <c r="BS187">
        <f ca="1"/>
      </c>
      <c r="BT187">
        <f ca="1"/>
      </c>
      <c r="BU187">
        <f ca="1"/>
      </c>
      <c r="BV187">
        <f ca="1"/>
      </c>
      <c r="BW187">
        <f ca="1"/>
      </c>
      <c r="BX187">
        <f ca="1"/>
      </c>
      <c r="BY187">
        <f ca="1"/>
      </c>
      <c r="BZ187">
        <f ca="1"/>
      </c>
      <c r="CA187">
        <f ca="1"/>
      </c>
      <c r="CB187">
        <f ca="1"/>
      </c>
      <c r="CC187">
        <f ca="1"/>
      </c>
      <c r="CD187">
        <f ca="1"/>
      </c>
      <c r="CE187">
        <f ca="1"/>
      </c>
      <c r="CF187">
        <f ca="1"/>
      </c>
      <c r="CG187">
        <f ca="1"/>
      </c>
      <c r="CH187">
        <f ca="1"/>
      </c>
      <c r="CI187">
        <f ca="1"/>
      </c>
      <c r="CK187">
        <f ca="1"/>
      </c>
      <c r="CL187">
        <f ca="1"/>
      </c>
      <c r="CM187">
        <f ca="1"/>
      </c>
      <c r="CN187">
        <f ca="1"/>
      </c>
      <c r="CO187">
        <f ca="1"/>
      </c>
      <c r="CP187">
        <f ca="1"/>
      </c>
      <c r="CQ187">
        <f ca="1"/>
      </c>
      <c r="CR187">
        <f ca="1"/>
      </c>
      <c r="CS187">
        <f ca="1"/>
      </c>
      <c r="CT187">
        <f ca="1"/>
      </c>
      <c r="CU187">
        <f ca="1"/>
      </c>
      <c r="CV187">
        <f ca="1"/>
      </c>
      <c r="CW187">
        <f ca="1"/>
      </c>
      <c r="CX187">
        <f ca="1"/>
      </c>
      <c r="CY187">
        <f ca="1"/>
      </c>
      <c r="CZ187">
        <f ca="1"/>
      </c>
      <c r="DA187">
        <f ca="1"/>
      </c>
      <c r="DB187">
        <f ca="1"/>
      </c>
      <c r="DC187">
        <f ca="1"/>
      </c>
      <c r="DD187">
        <f ca="1"/>
      </c>
      <c r="DE187">
        <f ca="1"/>
      </c>
      <c r="DF187">
        <f ca="1"/>
      </c>
      <c r="DG187">
        <f ca="1"/>
      </c>
      <c r="DH187">
        <f ca="1"/>
      </c>
      <c r="DI187">
        <f ca="1"/>
      </c>
      <c r="DJ187">
        <f ca="1"/>
      </c>
      <c r="DK187">
        <f ca="1"/>
      </c>
      <c r="DL187">
        <f ca="1"/>
      </c>
      <c r="DM187">
        <f ca="1"/>
      </c>
      <c r="DN187">
        <f ca="1"/>
      </c>
      <c r="DO187">
        <f ca="1"/>
      </c>
      <c r="DP187">
        <f ca="1"/>
      </c>
      <c r="DQ187">
        <f ca="1"/>
      </c>
      <c r="DR187">
        <f ca="1"/>
      </c>
      <c r="DS187">
        <f ca="1"/>
      </c>
      <c r="DT187">
        <f ca="1"/>
      </c>
      <c r="DU187">
        <f ca="1"/>
      </c>
      <c r="DV187">
        <f ca="1"/>
      </c>
      <c r="DW187">
        <f ca="1"/>
      </c>
      <c r="DX187">
        <f ca="1"/>
      </c>
      <c r="DY187">
        <f ca="1"/>
      </c>
      <c r="DZ187">
        <f ca="1"/>
      </c>
      <c r="EA187">
        <f ca="1"/>
      </c>
      <c r="EB187">
        <f ca="1"/>
      </c>
      <c r="EC187">
        <f ca="1"/>
      </c>
      <c r="ED187">
        <f ca="1"/>
      </c>
      <c r="EE187">
        <f ca="1"/>
      </c>
      <c r="EG187">
        <f ca="1"/>
      </c>
      <c r="EH187">
        <f ca="1"/>
      </c>
      <c r="EI187">
        <f ca="1"/>
      </c>
      <c r="EJ187">
        <f ca="1"/>
      </c>
      <c r="EK187">
        <f ca="1"/>
      </c>
      <c r="EL187">
        <f ca="1"/>
      </c>
      <c r="EM187">
        <f ca="1"/>
      </c>
      <c r="EN187">
        <f ca="1"/>
      </c>
      <c r="EO187">
        <f ca="1"/>
      </c>
      <c r="EP187">
        <f ca="1"/>
      </c>
      <c r="EQ187">
        <f ca="1"/>
      </c>
      <c r="ER187">
        <f ca="1"/>
      </c>
      <c r="ES187">
        <f ca="1"/>
      </c>
      <c r="ET187">
        <f ca="1"/>
      </c>
      <c r="EU187">
        <f ca="1"/>
      </c>
      <c r="EV187">
        <f ca="1"/>
      </c>
      <c r="EW187">
        <f ca="1"/>
      </c>
      <c r="EX187">
        <f ca="1"/>
      </c>
      <c r="EY187">
        <f ca="1"/>
      </c>
      <c r="EZ187">
        <f ca="1"/>
      </c>
      <c r="FA187">
        <f ca="1"/>
      </c>
      <c r="FB187">
        <f ca="1"/>
      </c>
      <c r="FC187">
        <f ca="1"/>
      </c>
      <c r="FD187">
        <f ca="1"/>
      </c>
      <c r="FE187">
        <f ca="1"/>
      </c>
      <c r="FF187">
        <f ca="1"/>
      </c>
      <c r="FG187">
        <f ca="1"/>
      </c>
      <c r="FH187">
        <f ca="1"/>
      </c>
      <c r="FI187">
        <f ca="1"/>
      </c>
      <c r="FJ187">
        <f ca="1"/>
      </c>
      <c r="FK187">
        <f ca="1"/>
      </c>
      <c r="FL187">
        <f ca="1"/>
      </c>
      <c r="FM187">
        <f ca="1"/>
      </c>
      <c r="FN187">
        <f ca="1"/>
      </c>
      <c r="FO187">
        <f ca="1"/>
      </c>
      <c r="FP187">
        <f ca="1"/>
      </c>
      <c r="FQ187">
        <f ca="1"/>
      </c>
      <c r="FR187">
        <f ca="1"/>
      </c>
      <c r="FS187">
        <f ca="1"/>
      </c>
      <c r="FT187">
        <f ca="1"/>
      </c>
      <c r="FU187">
        <f ca="1"/>
      </c>
      <c r="FV187">
        <f ca="1"/>
      </c>
      <c r="FW187">
        <f ca="1"/>
      </c>
      <c r="FX187">
        <f ca="1"/>
      </c>
      <c r="FY187">
        <f ca="1"/>
      </c>
      <c r="FZ187">
        <f ca="1"/>
      </c>
      <c r="GA187">
        <f ca="1"/>
      </c>
      <c r="GM187" s="7">
        <f ca="1"/>
      </c>
      <c r="GN187">
        <f ca="1"/>
      </c>
      <c r="GO187">
        <f ca="1"/>
      </c>
      <c r="GP187">
        <f ca="1"/>
      </c>
      <c r="GQ187">
        <f ca="1"/>
      </c>
    </row>
    <row r="188" spans="41:199" x14ac:dyDescent="0.55000000000000004">
      <c r="AO188">
        <f ca="1"/>
      </c>
      <c r="AP188">
        <f ca="1"/>
      </c>
      <c r="AQ188">
        <f ca="1"/>
      </c>
      <c r="AR188">
        <f ca="1"/>
      </c>
      <c r="AS188">
        <f ca="1"/>
      </c>
      <c r="AT188">
        <f ca="1"/>
      </c>
      <c r="AU188">
        <f ca="1"/>
      </c>
      <c r="AV188">
        <f ca="1"/>
      </c>
      <c r="AW188">
        <f ca="1"/>
      </c>
      <c r="AX188">
        <f ca="1"/>
      </c>
      <c r="AY188">
        <f ca="1"/>
      </c>
      <c r="AZ188">
        <f ca="1"/>
      </c>
      <c r="BA188">
        <f ca="1"/>
      </c>
      <c r="BB188">
        <f ca="1"/>
      </c>
      <c r="BC188">
        <f ca="1"/>
      </c>
      <c r="BD188">
        <f ca="1"/>
      </c>
      <c r="BE188">
        <f ca="1"/>
      </c>
      <c r="BF188">
        <f ca="1"/>
      </c>
      <c r="BG188">
        <f ca="1"/>
      </c>
      <c r="BH188">
        <f ca="1"/>
      </c>
      <c r="BI188">
        <f ca="1"/>
      </c>
      <c r="BJ188">
        <f ca="1"/>
      </c>
      <c r="BK188">
        <f ca="1"/>
      </c>
      <c r="BL188">
        <f ca="1"/>
      </c>
      <c r="BM188">
        <f ca="1"/>
      </c>
      <c r="BN188">
        <f ca="1"/>
      </c>
      <c r="BO188">
        <f ca="1"/>
      </c>
      <c r="BP188">
        <f ca="1"/>
      </c>
      <c r="BQ188">
        <f ca="1"/>
      </c>
      <c r="BR188">
        <f ca="1"/>
      </c>
      <c r="BS188">
        <f ca="1"/>
      </c>
      <c r="BT188">
        <f ca="1"/>
      </c>
      <c r="BU188">
        <f ca="1"/>
      </c>
      <c r="BV188">
        <f ca="1"/>
      </c>
      <c r="BW188">
        <f ca="1"/>
      </c>
      <c r="BX188">
        <f ca="1"/>
      </c>
      <c r="BY188">
        <f ca="1"/>
      </c>
      <c r="BZ188">
        <f ca="1"/>
      </c>
      <c r="CA188">
        <f ca="1"/>
      </c>
      <c r="CB188">
        <f ca="1"/>
      </c>
      <c r="CC188">
        <f ca="1"/>
      </c>
      <c r="CD188">
        <f ca="1"/>
      </c>
      <c r="CE188">
        <f ca="1"/>
      </c>
      <c r="CF188">
        <f ca="1"/>
      </c>
      <c r="CG188">
        <f ca="1"/>
      </c>
      <c r="CH188">
        <f ca="1"/>
      </c>
      <c r="CI188">
        <f ca="1"/>
      </c>
      <c r="CK188">
        <f ca="1"/>
      </c>
      <c r="CL188">
        <f ca="1"/>
      </c>
      <c r="CM188">
        <f ca="1"/>
      </c>
      <c r="CN188">
        <f ca="1"/>
      </c>
      <c r="CO188">
        <f ca="1"/>
      </c>
      <c r="CP188">
        <f ca="1"/>
      </c>
      <c r="CQ188">
        <f ca="1"/>
      </c>
      <c r="CR188">
        <f ca="1"/>
      </c>
      <c r="CS188">
        <f ca="1"/>
      </c>
      <c r="CT188">
        <f ca="1"/>
      </c>
      <c r="CU188">
        <f ca="1"/>
      </c>
      <c r="CV188">
        <f ca="1"/>
      </c>
      <c r="CW188">
        <f ca="1"/>
      </c>
      <c r="CX188">
        <f ca="1"/>
      </c>
      <c r="CY188">
        <f ca="1"/>
      </c>
      <c r="CZ188">
        <f ca="1"/>
      </c>
      <c r="DA188">
        <f ca="1"/>
      </c>
      <c r="DB188">
        <f ca="1"/>
      </c>
      <c r="DC188">
        <f ca="1"/>
      </c>
      <c r="DD188">
        <f ca="1"/>
      </c>
      <c r="DE188">
        <f ca="1"/>
      </c>
      <c r="DF188">
        <f ca="1"/>
      </c>
      <c r="DG188">
        <f ca="1"/>
      </c>
      <c r="DH188">
        <f ca="1"/>
      </c>
      <c r="DI188">
        <f ca="1"/>
      </c>
      <c r="DJ188">
        <f ca="1"/>
      </c>
      <c r="DK188">
        <f ca="1"/>
      </c>
      <c r="DL188">
        <f ca="1"/>
      </c>
      <c r="DM188">
        <f ca="1"/>
      </c>
      <c r="DN188">
        <f ca="1"/>
      </c>
      <c r="DO188">
        <f ca="1"/>
      </c>
      <c r="DP188">
        <f ca="1"/>
      </c>
      <c r="DQ188">
        <f ca="1"/>
      </c>
      <c r="DR188">
        <f ca="1"/>
      </c>
      <c r="DS188">
        <f ca="1"/>
      </c>
      <c r="DT188">
        <f ca="1"/>
      </c>
      <c r="DU188">
        <f ca="1"/>
      </c>
      <c r="DV188">
        <f ca="1"/>
      </c>
      <c r="DW188">
        <f ca="1"/>
      </c>
      <c r="DX188">
        <f ca="1"/>
      </c>
      <c r="DY188">
        <f ca="1"/>
      </c>
      <c r="DZ188">
        <f ca="1"/>
      </c>
      <c r="EA188">
        <f ca="1"/>
      </c>
      <c r="EB188">
        <f ca="1"/>
      </c>
      <c r="EC188">
        <f ca="1"/>
      </c>
      <c r="ED188">
        <f ca="1"/>
      </c>
      <c r="EE188">
        <f ca="1"/>
      </c>
      <c r="EG188">
        <f ca="1"/>
      </c>
      <c r="EH188">
        <f ca="1"/>
      </c>
      <c r="EI188">
        <f ca="1"/>
      </c>
      <c r="EJ188">
        <f ca="1"/>
      </c>
      <c r="EK188">
        <f ca="1"/>
      </c>
      <c r="EL188">
        <f ca="1"/>
      </c>
      <c r="EM188">
        <f ca="1"/>
      </c>
      <c r="EN188">
        <f ca="1"/>
      </c>
      <c r="EO188">
        <f ca="1"/>
      </c>
      <c r="EP188">
        <f ca="1"/>
      </c>
      <c r="EQ188">
        <f ca="1"/>
      </c>
      <c r="ER188">
        <f ca="1"/>
      </c>
      <c r="ES188">
        <f ca="1"/>
      </c>
      <c r="ET188">
        <f ca="1"/>
      </c>
      <c r="EU188">
        <f ca="1"/>
      </c>
      <c r="EV188">
        <f ca="1"/>
      </c>
      <c r="EW188">
        <f ca="1"/>
      </c>
      <c r="EX188">
        <f ca="1"/>
      </c>
      <c r="EY188">
        <f ca="1"/>
      </c>
      <c r="EZ188">
        <f ca="1"/>
      </c>
      <c r="FA188">
        <f ca="1"/>
      </c>
      <c r="FB188">
        <f ca="1"/>
      </c>
      <c r="FC188">
        <f ca="1"/>
      </c>
      <c r="FD188">
        <f ca="1"/>
      </c>
      <c r="FE188">
        <f ca="1"/>
      </c>
      <c r="FF188">
        <f ca="1"/>
      </c>
      <c r="FG188">
        <f ca="1"/>
      </c>
      <c r="FH188">
        <f ca="1"/>
      </c>
      <c r="FI188">
        <f ca="1"/>
      </c>
      <c r="FJ188">
        <f ca="1"/>
      </c>
      <c r="FK188">
        <f ca="1"/>
      </c>
      <c r="FL188">
        <f ca="1"/>
      </c>
      <c r="FM188">
        <f ca="1"/>
      </c>
      <c r="FN188">
        <f ca="1"/>
      </c>
      <c r="FO188">
        <f ca="1"/>
      </c>
      <c r="FP188">
        <f ca="1"/>
      </c>
      <c r="FQ188">
        <f ca="1"/>
      </c>
      <c r="FR188">
        <f ca="1"/>
      </c>
      <c r="FS188">
        <f ca="1"/>
      </c>
      <c r="FT188">
        <f ca="1"/>
      </c>
      <c r="FU188">
        <f ca="1"/>
      </c>
      <c r="FV188">
        <f ca="1"/>
      </c>
      <c r="FW188">
        <f ca="1"/>
      </c>
      <c r="FX188">
        <f ca="1"/>
      </c>
      <c r="FY188">
        <f ca="1"/>
      </c>
      <c r="FZ188">
        <f ca="1"/>
      </c>
      <c r="GA188">
        <f ca="1"/>
      </c>
      <c r="GM188" s="7">
        <f ca="1"/>
      </c>
      <c r="GN188">
        <f ca="1"/>
      </c>
      <c r="GO188">
        <f ca="1"/>
      </c>
      <c r="GP188">
        <f ca="1"/>
      </c>
      <c r="GQ188">
        <f ca="1"/>
      </c>
    </row>
    <row r="189" spans="41:199" x14ac:dyDescent="0.55000000000000004">
      <c r="AO189">
        <f ca="1"/>
      </c>
      <c r="AP189">
        <f ca="1"/>
      </c>
      <c r="AQ189">
        <f ca="1"/>
      </c>
      <c r="AR189">
        <f ca="1"/>
      </c>
      <c r="AS189">
        <f ca="1"/>
      </c>
      <c r="AT189">
        <f ca="1"/>
      </c>
      <c r="AU189">
        <f ca="1"/>
      </c>
      <c r="AV189">
        <f ca="1"/>
      </c>
      <c r="AW189">
        <f ca="1"/>
      </c>
      <c r="AX189">
        <f ca="1"/>
      </c>
      <c r="AY189">
        <f ca="1"/>
      </c>
      <c r="AZ189">
        <f ca="1"/>
      </c>
      <c r="BA189">
        <f ca="1"/>
      </c>
      <c r="BB189">
        <f ca="1"/>
      </c>
      <c r="BC189">
        <f ca="1"/>
      </c>
      <c r="BD189">
        <f ca="1"/>
      </c>
      <c r="BE189">
        <f ca="1"/>
      </c>
      <c r="BF189">
        <f ca="1"/>
      </c>
      <c r="BG189">
        <f ca="1"/>
      </c>
      <c r="BH189">
        <f ca="1"/>
      </c>
      <c r="BI189">
        <f ca="1"/>
      </c>
      <c r="BJ189">
        <f ca="1"/>
      </c>
      <c r="BK189">
        <f ca="1"/>
      </c>
      <c r="BL189">
        <f ca="1"/>
      </c>
      <c r="BM189">
        <f ca="1"/>
      </c>
      <c r="BN189">
        <f ca="1"/>
      </c>
      <c r="BO189">
        <f ca="1"/>
      </c>
      <c r="BP189">
        <f ca="1"/>
      </c>
      <c r="BQ189">
        <f ca="1"/>
      </c>
      <c r="BR189">
        <f ca="1"/>
      </c>
      <c r="BS189">
        <f ca="1"/>
      </c>
      <c r="BT189">
        <f ca="1"/>
      </c>
      <c r="BU189">
        <f ca="1"/>
      </c>
      <c r="BV189">
        <f ca="1"/>
      </c>
      <c r="BW189">
        <f ca="1"/>
      </c>
      <c r="BX189">
        <f ca="1"/>
      </c>
      <c r="BY189">
        <f ca="1"/>
      </c>
      <c r="BZ189">
        <f ca="1"/>
      </c>
      <c r="CA189">
        <f ca="1"/>
      </c>
      <c r="CB189">
        <f ca="1"/>
      </c>
      <c r="CC189">
        <f ca="1"/>
      </c>
      <c r="CD189">
        <f ca="1"/>
      </c>
      <c r="CE189">
        <f ca="1"/>
      </c>
      <c r="CF189">
        <f ca="1"/>
      </c>
      <c r="CG189">
        <f ca="1"/>
      </c>
      <c r="CH189">
        <f ca="1"/>
      </c>
      <c r="CI189">
        <f ca="1"/>
      </c>
      <c r="CK189">
        <f ca="1"/>
      </c>
      <c r="CL189">
        <f ca="1"/>
      </c>
      <c r="CM189">
        <f ca="1"/>
      </c>
      <c r="CN189">
        <f ca="1"/>
      </c>
      <c r="CO189">
        <f ca="1"/>
      </c>
      <c r="CP189">
        <f ca="1"/>
      </c>
      <c r="CQ189">
        <f ca="1"/>
      </c>
      <c r="CR189">
        <f ca="1"/>
      </c>
      <c r="CS189">
        <f ca="1"/>
      </c>
      <c r="CT189">
        <f ca="1"/>
      </c>
      <c r="CU189">
        <f ca="1"/>
      </c>
      <c r="CV189">
        <f ca="1"/>
      </c>
      <c r="CW189">
        <f ca="1"/>
      </c>
      <c r="CX189">
        <f ca="1"/>
      </c>
      <c r="CY189">
        <f ca="1"/>
      </c>
      <c r="CZ189">
        <f ca="1"/>
      </c>
      <c r="DA189">
        <f ca="1"/>
      </c>
      <c r="DB189">
        <f ca="1"/>
      </c>
      <c r="DC189">
        <f ca="1"/>
      </c>
      <c r="DD189">
        <f ca="1"/>
      </c>
      <c r="DE189">
        <f ca="1"/>
      </c>
      <c r="DF189">
        <f ca="1"/>
      </c>
      <c r="DG189">
        <f ca="1"/>
      </c>
      <c r="DH189">
        <f ca="1"/>
      </c>
      <c r="DI189">
        <f ca="1"/>
      </c>
      <c r="DJ189">
        <f ca="1"/>
      </c>
      <c r="DK189">
        <f ca="1"/>
      </c>
      <c r="DL189">
        <f ca="1"/>
      </c>
      <c r="DM189">
        <f ca="1"/>
      </c>
      <c r="DN189">
        <f ca="1"/>
      </c>
      <c r="DO189">
        <f ca="1"/>
      </c>
      <c r="DP189">
        <f ca="1"/>
      </c>
      <c r="DQ189">
        <f ca="1"/>
      </c>
      <c r="DR189">
        <f ca="1"/>
      </c>
      <c r="DS189">
        <f ca="1"/>
      </c>
      <c r="DT189">
        <f ca="1"/>
      </c>
      <c r="DU189">
        <f ca="1"/>
      </c>
      <c r="DV189">
        <f ca="1"/>
      </c>
      <c r="DW189">
        <f ca="1"/>
      </c>
      <c r="DX189">
        <f ca="1"/>
      </c>
      <c r="DY189">
        <f ca="1"/>
      </c>
      <c r="DZ189">
        <f ca="1"/>
      </c>
      <c r="EA189">
        <f ca="1"/>
      </c>
      <c r="EB189">
        <f ca="1"/>
      </c>
      <c r="EC189">
        <f ca="1"/>
      </c>
      <c r="ED189">
        <f ca="1"/>
      </c>
      <c r="EE189">
        <f ca="1"/>
      </c>
      <c r="EG189">
        <f ca="1"/>
      </c>
      <c r="EH189">
        <f ca="1"/>
      </c>
      <c r="EI189">
        <f ca="1"/>
      </c>
      <c r="EJ189">
        <f ca="1"/>
      </c>
      <c r="EK189">
        <f ca="1"/>
      </c>
      <c r="EL189">
        <f ca="1"/>
      </c>
      <c r="EM189">
        <f ca="1"/>
      </c>
      <c r="EN189">
        <f ca="1"/>
      </c>
      <c r="EO189">
        <f ca="1"/>
      </c>
      <c r="EP189">
        <f ca="1"/>
      </c>
      <c r="EQ189">
        <f ca="1"/>
      </c>
      <c r="ER189">
        <f ca="1"/>
      </c>
      <c r="ES189">
        <f ca="1"/>
      </c>
      <c r="ET189">
        <f ca="1"/>
      </c>
      <c r="EU189">
        <f ca="1"/>
      </c>
      <c r="EV189">
        <f ca="1"/>
      </c>
      <c r="EW189">
        <f ca="1"/>
      </c>
      <c r="EX189">
        <f ca="1"/>
      </c>
      <c r="EY189">
        <f ca="1"/>
      </c>
      <c r="EZ189">
        <f ca="1"/>
      </c>
      <c r="FA189">
        <f ca="1"/>
      </c>
      <c r="FB189">
        <f ca="1"/>
      </c>
      <c r="FC189">
        <f ca="1"/>
      </c>
      <c r="FD189">
        <f ca="1"/>
      </c>
      <c r="FE189">
        <f ca="1"/>
      </c>
      <c r="FF189">
        <f ca="1"/>
      </c>
      <c r="FG189">
        <f ca="1"/>
      </c>
      <c r="FH189">
        <f ca="1"/>
      </c>
      <c r="FI189">
        <f ca="1"/>
      </c>
      <c r="FJ189">
        <f ca="1"/>
      </c>
      <c r="FK189">
        <f ca="1"/>
      </c>
      <c r="FL189">
        <f ca="1"/>
      </c>
      <c r="FM189">
        <f ca="1"/>
      </c>
      <c r="FN189">
        <f ca="1"/>
      </c>
      <c r="FO189">
        <f ca="1"/>
      </c>
      <c r="FP189">
        <f ca="1"/>
      </c>
      <c r="FQ189">
        <f ca="1"/>
      </c>
      <c r="FR189">
        <f ca="1"/>
      </c>
      <c r="FS189">
        <f ca="1"/>
      </c>
      <c r="FT189">
        <f ca="1"/>
      </c>
      <c r="FU189">
        <f ca="1"/>
      </c>
      <c r="FV189">
        <f ca="1"/>
      </c>
      <c r="FW189">
        <f ca="1"/>
      </c>
      <c r="FX189">
        <f ca="1"/>
      </c>
      <c r="FY189">
        <f ca="1"/>
      </c>
      <c r="FZ189">
        <f ca="1"/>
      </c>
      <c r="GA189">
        <f ca="1"/>
      </c>
      <c r="GM189" s="7">
        <f ca="1"/>
      </c>
      <c r="GN189">
        <f ca="1"/>
      </c>
      <c r="GO189">
        <f ca="1"/>
      </c>
      <c r="GP189">
        <f ca="1"/>
      </c>
      <c r="GQ189">
        <f ca="1"/>
      </c>
    </row>
    <row r="190" spans="41:199" x14ac:dyDescent="0.55000000000000004">
      <c r="AO190">
        <f ca="1"/>
      </c>
      <c r="AP190">
        <f ca="1"/>
      </c>
      <c r="AQ190">
        <f ca="1"/>
      </c>
      <c r="AR190">
        <f ca="1"/>
      </c>
      <c r="AS190">
        <f ca="1"/>
      </c>
      <c r="AT190">
        <f ca="1"/>
      </c>
      <c r="AU190">
        <f ca="1"/>
      </c>
      <c r="AV190">
        <f ca="1"/>
      </c>
      <c r="AW190">
        <f ca="1"/>
      </c>
      <c r="AX190">
        <f ca="1"/>
      </c>
      <c r="AY190">
        <f ca="1"/>
      </c>
      <c r="AZ190">
        <f ca="1"/>
      </c>
      <c r="BA190">
        <f ca="1"/>
      </c>
      <c r="BB190">
        <f ca="1"/>
      </c>
      <c r="BC190">
        <f ca="1"/>
      </c>
      <c r="BD190">
        <f ca="1"/>
      </c>
      <c r="BE190">
        <f ca="1"/>
      </c>
      <c r="BF190">
        <f ca="1"/>
      </c>
      <c r="BG190">
        <f ca="1"/>
      </c>
      <c r="BH190">
        <f ca="1"/>
      </c>
      <c r="BI190">
        <f ca="1"/>
      </c>
      <c r="BJ190">
        <f ca="1"/>
      </c>
      <c r="BK190">
        <f ca="1"/>
      </c>
      <c r="BL190">
        <f ca="1"/>
      </c>
      <c r="BM190">
        <f ca="1"/>
      </c>
      <c r="BN190">
        <f ca="1"/>
      </c>
      <c r="BO190">
        <f ca="1"/>
      </c>
      <c r="BP190">
        <f ca="1"/>
      </c>
      <c r="BQ190">
        <f ca="1"/>
      </c>
      <c r="BR190">
        <f ca="1"/>
      </c>
      <c r="BS190">
        <f ca="1"/>
      </c>
      <c r="BT190">
        <f ca="1"/>
      </c>
      <c r="BU190">
        <f ca="1"/>
      </c>
      <c r="BV190">
        <f ca="1"/>
      </c>
      <c r="BW190">
        <f ca="1"/>
      </c>
      <c r="BX190">
        <f ca="1"/>
      </c>
      <c r="BY190">
        <f ca="1"/>
      </c>
      <c r="BZ190">
        <f ca="1"/>
      </c>
      <c r="CA190">
        <f ca="1"/>
      </c>
      <c r="CB190">
        <f ca="1"/>
      </c>
      <c r="CC190">
        <f ca="1"/>
      </c>
      <c r="CD190">
        <f ca="1"/>
      </c>
      <c r="CE190">
        <f ca="1"/>
      </c>
      <c r="CF190">
        <f ca="1"/>
      </c>
      <c r="CG190">
        <f ca="1"/>
      </c>
      <c r="CH190">
        <f ca="1"/>
      </c>
      <c r="CI190">
        <f ca="1"/>
      </c>
      <c r="CK190">
        <f ca="1"/>
      </c>
      <c r="CL190">
        <f ca="1"/>
      </c>
      <c r="CM190">
        <f ca="1"/>
      </c>
      <c r="CN190">
        <f ca="1"/>
      </c>
      <c r="CO190">
        <f ca="1"/>
      </c>
      <c r="CP190">
        <f ca="1"/>
      </c>
      <c r="CQ190">
        <f ca="1"/>
      </c>
      <c r="CR190">
        <f ca="1"/>
      </c>
      <c r="CS190">
        <f ca="1"/>
      </c>
      <c r="CT190">
        <f ca="1"/>
      </c>
      <c r="CU190">
        <f ca="1"/>
      </c>
      <c r="CV190">
        <f ca="1"/>
      </c>
      <c r="CW190">
        <f ca="1"/>
      </c>
      <c r="CX190">
        <f ca="1"/>
      </c>
      <c r="CY190">
        <f ca="1"/>
      </c>
      <c r="CZ190">
        <f ca="1"/>
      </c>
      <c r="DA190">
        <f ca="1"/>
      </c>
      <c r="DB190">
        <f ca="1"/>
      </c>
      <c r="DC190">
        <f ca="1"/>
      </c>
      <c r="DD190">
        <f ca="1"/>
      </c>
      <c r="DE190">
        <f ca="1"/>
      </c>
      <c r="DF190">
        <f ca="1"/>
      </c>
      <c r="DG190">
        <f ca="1"/>
      </c>
      <c r="DH190">
        <f ca="1"/>
      </c>
      <c r="DI190">
        <f ca="1"/>
      </c>
      <c r="DJ190">
        <f ca="1"/>
      </c>
      <c r="DK190">
        <f ca="1"/>
      </c>
      <c r="DL190">
        <f ca="1"/>
      </c>
      <c r="DM190">
        <f ca="1"/>
      </c>
      <c r="DN190">
        <f ca="1"/>
      </c>
      <c r="DO190">
        <f ca="1"/>
      </c>
      <c r="DP190">
        <f ca="1"/>
      </c>
      <c r="DQ190">
        <f ca="1"/>
      </c>
      <c r="DR190">
        <f ca="1"/>
      </c>
      <c r="DS190">
        <f ca="1"/>
      </c>
      <c r="DT190">
        <f ca="1"/>
      </c>
      <c r="DU190">
        <f ca="1"/>
      </c>
      <c r="DV190">
        <f ca="1"/>
      </c>
      <c r="DW190">
        <f ca="1"/>
      </c>
      <c r="DX190">
        <f ca="1"/>
      </c>
      <c r="DY190">
        <f ca="1"/>
      </c>
      <c r="DZ190">
        <f ca="1"/>
      </c>
      <c r="EA190">
        <f ca="1"/>
      </c>
      <c r="EB190">
        <f ca="1"/>
      </c>
      <c r="EC190">
        <f ca="1"/>
      </c>
      <c r="ED190">
        <f ca="1"/>
      </c>
      <c r="EE190">
        <f ca="1"/>
      </c>
      <c r="EG190">
        <f ca="1"/>
      </c>
      <c r="EH190">
        <f ca="1"/>
      </c>
      <c r="EI190">
        <f ca="1"/>
      </c>
      <c r="EJ190">
        <f ca="1"/>
      </c>
      <c r="EK190">
        <f ca="1"/>
      </c>
      <c r="EL190">
        <f ca="1"/>
      </c>
      <c r="EM190">
        <f ca="1"/>
      </c>
      <c r="EN190">
        <f ca="1"/>
      </c>
      <c r="EO190">
        <f ca="1"/>
      </c>
      <c r="EP190">
        <f ca="1"/>
      </c>
      <c r="EQ190">
        <f ca="1"/>
      </c>
      <c r="ER190">
        <f ca="1"/>
      </c>
      <c r="ES190">
        <f ca="1"/>
      </c>
      <c r="ET190">
        <f ca="1"/>
      </c>
      <c r="EU190">
        <f ca="1"/>
      </c>
      <c r="EV190">
        <f ca="1"/>
      </c>
      <c r="EW190">
        <f ca="1"/>
      </c>
      <c r="EX190">
        <f ca="1"/>
      </c>
      <c r="EY190">
        <f ca="1"/>
      </c>
      <c r="EZ190">
        <f ca="1"/>
      </c>
      <c r="FA190">
        <f ca="1"/>
      </c>
      <c r="FB190">
        <f ca="1"/>
      </c>
      <c r="FC190">
        <f ca="1"/>
      </c>
      <c r="FD190">
        <f ca="1"/>
      </c>
      <c r="FE190">
        <f ca="1"/>
      </c>
      <c r="FF190">
        <f ca="1"/>
      </c>
      <c r="FG190">
        <f ca="1"/>
      </c>
      <c r="FH190">
        <f ca="1"/>
      </c>
      <c r="FI190">
        <f ca="1"/>
      </c>
      <c r="FJ190">
        <f ca="1"/>
      </c>
      <c r="FK190">
        <f ca="1"/>
      </c>
      <c r="FL190">
        <f ca="1"/>
      </c>
      <c r="FM190">
        <f ca="1"/>
      </c>
      <c r="FN190">
        <f ca="1"/>
      </c>
      <c r="FO190">
        <f ca="1"/>
      </c>
      <c r="FP190">
        <f ca="1"/>
      </c>
      <c r="FQ190">
        <f ca="1"/>
      </c>
      <c r="FR190">
        <f ca="1"/>
      </c>
      <c r="FS190">
        <f ca="1"/>
      </c>
      <c r="FT190">
        <f ca="1"/>
      </c>
      <c r="FU190">
        <f ca="1"/>
      </c>
      <c r="FV190">
        <f ca="1"/>
      </c>
      <c r="FW190">
        <f ca="1"/>
      </c>
      <c r="FX190">
        <f ca="1"/>
      </c>
      <c r="FY190">
        <f ca="1"/>
      </c>
      <c r="FZ190">
        <f ca="1"/>
      </c>
      <c r="GA190">
        <f ca="1"/>
      </c>
      <c r="GM190" s="7">
        <f ca="1"/>
      </c>
      <c r="GN190">
        <f ca="1"/>
      </c>
      <c r="GO190">
        <f ca="1"/>
      </c>
      <c r="GP190">
        <f ca="1"/>
      </c>
      <c r="GQ190">
        <f ca="1"/>
      </c>
    </row>
    <row r="191" spans="41:199" x14ac:dyDescent="0.55000000000000004">
      <c r="AO191">
        <f ca="1"/>
      </c>
      <c r="AP191">
        <f ca="1"/>
      </c>
      <c r="AQ191">
        <f ca="1"/>
      </c>
      <c r="AR191">
        <f ca="1"/>
      </c>
      <c r="AS191">
        <f ca="1"/>
      </c>
      <c r="AT191">
        <f ca="1"/>
      </c>
      <c r="AU191">
        <f ca="1"/>
      </c>
      <c r="AV191">
        <f ca="1"/>
      </c>
      <c r="AW191">
        <f ca="1"/>
      </c>
      <c r="AX191">
        <f ca="1"/>
      </c>
      <c r="AY191">
        <f ca="1"/>
      </c>
      <c r="AZ191">
        <f ca="1"/>
      </c>
      <c r="BA191">
        <f ca="1"/>
      </c>
      <c r="BB191">
        <f ca="1"/>
      </c>
      <c r="BC191">
        <f ca="1"/>
      </c>
      <c r="BD191">
        <f ca="1"/>
      </c>
      <c r="BE191">
        <f ca="1"/>
      </c>
      <c r="BF191">
        <f ca="1"/>
      </c>
      <c r="BG191">
        <f ca="1"/>
      </c>
      <c r="BH191">
        <f ca="1"/>
      </c>
      <c r="BI191">
        <f ca="1"/>
      </c>
      <c r="BJ191">
        <f ca="1"/>
      </c>
      <c r="BK191">
        <f ca="1"/>
      </c>
      <c r="BL191">
        <f ca="1"/>
      </c>
      <c r="BM191">
        <f ca="1"/>
      </c>
      <c r="BN191">
        <f ca="1"/>
      </c>
      <c r="BO191">
        <f ca="1"/>
      </c>
      <c r="BP191">
        <f ca="1"/>
      </c>
      <c r="BQ191">
        <f ca="1"/>
      </c>
      <c r="BR191">
        <f ca="1"/>
      </c>
      <c r="BS191">
        <f ca="1"/>
      </c>
      <c r="BT191">
        <f ca="1"/>
      </c>
      <c r="BU191">
        <f ca="1"/>
      </c>
      <c r="BV191">
        <f ca="1"/>
      </c>
      <c r="BW191">
        <f ca="1"/>
      </c>
      <c r="BX191">
        <f ca="1"/>
      </c>
      <c r="BY191">
        <f ca="1"/>
      </c>
      <c r="BZ191">
        <f ca="1"/>
      </c>
      <c r="CA191">
        <f ca="1"/>
      </c>
      <c r="CB191">
        <f ca="1"/>
      </c>
      <c r="CC191">
        <f ca="1"/>
      </c>
      <c r="CD191">
        <f ca="1"/>
      </c>
      <c r="CE191">
        <f ca="1"/>
      </c>
      <c r="CF191">
        <f ca="1"/>
      </c>
      <c r="CG191">
        <f ca="1"/>
      </c>
      <c r="CH191">
        <f ca="1"/>
      </c>
      <c r="CI191">
        <f ca="1"/>
      </c>
      <c r="CK191">
        <f ca="1"/>
      </c>
      <c r="CL191">
        <f ca="1"/>
      </c>
      <c r="CM191">
        <f ca="1"/>
      </c>
      <c r="CN191">
        <f ca="1"/>
      </c>
      <c r="CO191">
        <f ca="1"/>
      </c>
      <c r="CP191">
        <f ca="1"/>
      </c>
      <c r="CQ191">
        <f ca="1"/>
      </c>
      <c r="CR191">
        <f ca="1"/>
      </c>
      <c r="CS191">
        <f ca="1"/>
      </c>
      <c r="CT191">
        <f ca="1"/>
      </c>
      <c r="CU191">
        <f ca="1"/>
      </c>
      <c r="CV191">
        <f ca="1"/>
      </c>
      <c r="CW191">
        <f ca="1"/>
      </c>
      <c r="CX191">
        <f ca="1"/>
      </c>
      <c r="CY191">
        <f ca="1"/>
      </c>
      <c r="CZ191">
        <f ca="1"/>
      </c>
      <c r="DA191">
        <f ca="1"/>
      </c>
      <c r="DB191">
        <f ca="1"/>
      </c>
      <c r="DC191">
        <f ca="1"/>
      </c>
      <c r="DD191">
        <f ca="1"/>
      </c>
      <c r="DE191">
        <f ca="1"/>
      </c>
      <c r="DF191">
        <f ca="1"/>
      </c>
      <c r="DG191">
        <f ca="1"/>
      </c>
      <c r="DH191">
        <f ca="1"/>
      </c>
      <c r="DI191">
        <f ca="1"/>
      </c>
      <c r="DJ191">
        <f ca="1"/>
      </c>
      <c r="DK191">
        <f ca="1"/>
      </c>
      <c r="DL191">
        <f ca="1"/>
      </c>
      <c r="DM191">
        <f ca="1"/>
      </c>
      <c r="DN191">
        <f ca="1"/>
      </c>
      <c r="DO191">
        <f ca="1"/>
      </c>
      <c r="DP191">
        <f ca="1"/>
      </c>
      <c r="DQ191">
        <f ca="1"/>
      </c>
      <c r="DR191">
        <f ca="1"/>
      </c>
      <c r="DS191">
        <f ca="1"/>
      </c>
      <c r="DT191">
        <f ca="1"/>
      </c>
      <c r="DU191">
        <f ca="1"/>
      </c>
      <c r="DV191">
        <f ca="1"/>
      </c>
      <c r="DW191">
        <f ca="1"/>
      </c>
      <c r="DX191">
        <f ca="1"/>
      </c>
      <c r="DY191">
        <f ca="1"/>
      </c>
      <c r="DZ191">
        <f ca="1"/>
      </c>
      <c r="EA191">
        <f ca="1"/>
      </c>
      <c r="EB191">
        <f ca="1"/>
      </c>
      <c r="EC191">
        <f ca="1"/>
      </c>
      <c r="ED191">
        <f ca="1"/>
      </c>
      <c r="EE191">
        <f ca="1"/>
      </c>
      <c r="EG191">
        <f ca="1"/>
      </c>
      <c r="EH191">
        <f ca="1"/>
      </c>
      <c r="EI191">
        <f ca="1"/>
      </c>
      <c r="EJ191">
        <f ca="1"/>
      </c>
      <c r="EK191">
        <f ca="1"/>
      </c>
      <c r="EL191">
        <f ca="1"/>
      </c>
      <c r="EM191">
        <f ca="1"/>
      </c>
      <c r="EN191">
        <f ca="1"/>
      </c>
      <c r="EO191">
        <f ca="1"/>
      </c>
      <c r="EP191">
        <f ca="1"/>
      </c>
      <c r="EQ191">
        <f ca="1"/>
      </c>
      <c r="ER191">
        <f ca="1"/>
      </c>
      <c r="ES191">
        <f ca="1"/>
      </c>
      <c r="ET191">
        <f ca="1"/>
      </c>
      <c r="EU191">
        <f ca="1"/>
      </c>
      <c r="EV191">
        <f ca="1"/>
      </c>
      <c r="EW191">
        <f ca="1"/>
      </c>
      <c r="EX191">
        <f ca="1"/>
      </c>
      <c r="EY191">
        <f ca="1"/>
      </c>
      <c r="EZ191">
        <f ca="1"/>
      </c>
      <c r="FA191">
        <f ca="1"/>
      </c>
      <c r="FB191">
        <f ca="1"/>
      </c>
      <c r="FC191">
        <f ca="1"/>
      </c>
      <c r="FD191">
        <f ca="1"/>
      </c>
      <c r="FE191">
        <f ca="1"/>
      </c>
      <c r="FF191">
        <f ca="1"/>
      </c>
      <c r="FG191">
        <f ca="1"/>
      </c>
      <c r="FH191">
        <f ca="1"/>
      </c>
      <c r="FI191">
        <f ca="1"/>
      </c>
      <c r="FJ191">
        <f ca="1"/>
      </c>
      <c r="FK191">
        <f ca="1"/>
      </c>
      <c r="FL191">
        <f ca="1"/>
      </c>
      <c r="FM191">
        <f ca="1"/>
      </c>
      <c r="FN191">
        <f ca="1"/>
      </c>
      <c r="FO191">
        <f ca="1"/>
      </c>
      <c r="FP191">
        <f ca="1"/>
      </c>
      <c r="FQ191">
        <f ca="1"/>
      </c>
      <c r="FR191">
        <f ca="1"/>
      </c>
      <c r="FS191">
        <f ca="1"/>
      </c>
      <c r="FT191">
        <f ca="1"/>
      </c>
      <c r="FU191">
        <f ca="1"/>
      </c>
      <c r="FV191">
        <f ca="1"/>
      </c>
      <c r="FW191">
        <f ca="1"/>
      </c>
      <c r="FX191">
        <f ca="1"/>
      </c>
      <c r="FY191">
        <f ca="1"/>
      </c>
      <c r="FZ191">
        <f ca="1"/>
      </c>
      <c r="GA191">
        <f ca="1"/>
      </c>
      <c r="GM191" s="7">
        <f ca="1"/>
      </c>
      <c r="GN191">
        <f ca="1"/>
      </c>
      <c r="GO191">
        <f ca="1"/>
      </c>
      <c r="GP191">
        <f ca="1"/>
      </c>
      <c r="GQ191">
        <f ca="1"/>
      </c>
    </row>
    <row r="192" spans="41:199" x14ac:dyDescent="0.55000000000000004">
      <c r="AO192">
        <f ca="1"/>
      </c>
      <c r="AP192">
        <f ca="1"/>
      </c>
      <c r="AQ192">
        <f ca="1"/>
      </c>
      <c r="AR192">
        <f ca="1"/>
      </c>
      <c r="AS192">
        <f ca="1"/>
      </c>
      <c r="AT192">
        <f ca="1"/>
      </c>
      <c r="AU192">
        <f ca="1"/>
      </c>
      <c r="AV192">
        <f ca="1"/>
      </c>
      <c r="AW192">
        <f ca="1"/>
      </c>
      <c r="AX192">
        <f ca="1"/>
      </c>
      <c r="AY192">
        <f ca="1"/>
      </c>
      <c r="AZ192">
        <f ca="1"/>
      </c>
      <c r="BA192">
        <f ca="1"/>
      </c>
      <c r="BB192">
        <f ca="1"/>
      </c>
      <c r="BC192">
        <f ca="1"/>
      </c>
      <c r="BD192">
        <f ca="1"/>
      </c>
      <c r="BE192">
        <f ca="1"/>
      </c>
      <c r="BF192">
        <f ca="1"/>
      </c>
      <c r="BG192">
        <f ca="1"/>
      </c>
      <c r="BH192">
        <f ca="1"/>
      </c>
      <c r="BI192">
        <f ca="1"/>
      </c>
      <c r="BJ192">
        <f ca="1"/>
      </c>
      <c r="BK192">
        <f ca="1"/>
      </c>
      <c r="BL192">
        <f ca="1"/>
      </c>
      <c r="BM192">
        <f ca="1"/>
      </c>
      <c r="BN192">
        <f ca="1"/>
      </c>
      <c r="BO192">
        <f ca="1"/>
      </c>
      <c r="BP192">
        <f ca="1"/>
      </c>
      <c r="BQ192">
        <f ca="1"/>
      </c>
      <c r="BR192">
        <f ca="1"/>
      </c>
      <c r="BS192">
        <f ca="1"/>
      </c>
      <c r="BT192">
        <f ca="1"/>
      </c>
      <c r="BU192">
        <f ca="1"/>
      </c>
      <c r="BV192">
        <f ca="1"/>
      </c>
      <c r="BW192">
        <f ca="1"/>
      </c>
      <c r="BX192">
        <f ca="1"/>
      </c>
      <c r="BY192">
        <f ca="1"/>
      </c>
      <c r="BZ192">
        <f ca="1"/>
      </c>
      <c r="CA192">
        <f ca="1"/>
      </c>
      <c r="CB192">
        <f ca="1"/>
      </c>
      <c r="CC192">
        <f ca="1"/>
      </c>
      <c r="CD192">
        <f ca="1"/>
      </c>
      <c r="CE192">
        <f ca="1"/>
      </c>
      <c r="CF192">
        <f ca="1"/>
      </c>
      <c r="CG192">
        <f ca="1"/>
      </c>
      <c r="CH192">
        <f ca="1"/>
      </c>
      <c r="CI192">
        <f ca="1"/>
      </c>
      <c r="CK192">
        <f ca="1"/>
      </c>
      <c r="CL192">
        <f ca="1"/>
      </c>
      <c r="CM192">
        <f ca="1"/>
      </c>
      <c r="CN192">
        <f ca="1"/>
      </c>
      <c r="CO192">
        <f ca="1"/>
      </c>
      <c r="CP192">
        <f ca="1"/>
      </c>
      <c r="CQ192">
        <f ca="1"/>
      </c>
      <c r="CR192">
        <f ca="1"/>
      </c>
      <c r="CS192">
        <f ca="1"/>
      </c>
      <c r="CT192">
        <f ca="1"/>
      </c>
      <c r="CU192">
        <f ca="1"/>
      </c>
      <c r="CV192">
        <f ca="1"/>
      </c>
      <c r="CW192">
        <f ca="1"/>
      </c>
      <c r="CX192">
        <f ca="1"/>
      </c>
      <c r="CY192">
        <f ca="1"/>
      </c>
      <c r="CZ192">
        <f ca="1"/>
      </c>
      <c r="DA192">
        <f ca="1"/>
      </c>
      <c r="DB192">
        <f ca="1"/>
      </c>
      <c r="DC192">
        <f ca="1"/>
      </c>
      <c r="DD192">
        <f ca="1"/>
      </c>
      <c r="DE192">
        <f ca="1"/>
      </c>
      <c r="DF192">
        <f ca="1"/>
      </c>
      <c r="DG192">
        <f ca="1"/>
      </c>
      <c r="DH192">
        <f ca="1"/>
      </c>
      <c r="DI192">
        <f ca="1"/>
      </c>
      <c r="DJ192">
        <f ca="1"/>
      </c>
      <c r="DK192">
        <f ca="1"/>
      </c>
      <c r="DL192">
        <f ca="1"/>
      </c>
      <c r="DM192">
        <f ca="1"/>
      </c>
      <c r="DN192">
        <f ca="1"/>
      </c>
      <c r="DO192">
        <f ca="1"/>
      </c>
      <c r="DP192">
        <f ca="1"/>
      </c>
      <c r="DQ192">
        <f ca="1"/>
      </c>
      <c r="DR192">
        <f ca="1"/>
      </c>
      <c r="DS192">
        <f ca="1"/>
      </c>
      <c r="DT192">
        <f ca="1"/>
      </c>
      <c r="DU192">
        <f ca="1"/>
      </c>
      <c r="DV192">
        <f ca="1"/>
      </c>
      <c r="DW192">
        <f ca="1"/>
      </c>
      <c r="DX192">
        <f ca="1"/>
      </c>
      <c r="DY192">
        <f ca="1"/>
      </c>
      <c r="DZ192">
        <f ca="1"/>
      </c>
      <c r="EA192">
        <f ca="1"/>
      </c>
      <c r="EB192">
        <f ca="1"/>
      </c>
      <c r="EC192">
        <f ca="1"/>
      </c>
      <c r="ED192">
        <f ca="1"/>
      </c>
      <c r="EE192">
        <f ca="1"/>
      </c>
      <c r="EG192">
        <f ca="1"/>
      </c>
      <c r="EH192">
        <f ca="1"/>
      </c>
      <c r="EI192">
        <f ca="1"/>
      </c>
      <c r="EJ192">
        <f ca="1"/>
      </c>
      <c r="EK192">
        <f ca="1"/>
      </c>
      <c r="EL192">
        <f ca="1"/>
      </c>
      <c r="EM192">
        <f ca="1"/>
      </c>
      <c r="EN192">
        <f ca="1"/>
      </c>
      <c r="EO192">
        <f ca="1"/>
      </c>
      <c r="EP192">
        <f ca="1"/>
      </c>
      <c r="EQ192">
        <f ca="1"/>
      </c>
      <c r="ER192">
        <f ca="1"/>
      </c>
      <c r="ES192">
        <f ca="1"/>
      </c>
      <c r="ET192">
        <f ca="1"/>
      </c>
      <c r="EU192">
        <f ca="1"/>
      </c>
      <c r="EV192">
        <f ca="1"/>
      </c>
      <c r="EW192">
        <f ca="1"/>
      </c>
      <c r="EX192">
        <f ca="1"/>
      </c>
      <c r="EY192">
        <f ca="1"/>
      </c>
      <c r="EZ192">
        <f ca="1"/>
      </c>
      <c r="FA192">
        <f ca="1"/>
      </c>
      <c r="FB192">
        <f ca="1"/>
      </c>
      <c r="FC192">
        <f ca="1"/>
      </c>
      <c r="FD192">
        <f ca="1"/>
      </c>
      <c r="FE192">
        <f ca="1"/>
      </c>
      <c r="FF192">
        <f ca="1"/>
      </c>
      <c r="FG192">
        <f ca="1"/>
      </c>
      <c r="FH192">
        <f ca="1"/>
      </c>
      <c r="FI192">
        <f ca="1"/>
      </c>
      <c r="FJ192">
        <f ca="1"/>
      </c>
      <c r="FK192">
        <f ca="1"/>
      </c>
      <c r="FL192">
        <f ca="1"/>
      </c>
      <c r="FM192">
        <f ca="1"/>
      </c>
      <c r="FN192">
        <f ca="1"/>
      </c>
      <c r="FO192">
        <f ca="1"/>
      </c>
      <c r="FP192">
        <f ca="1"/>
      </c>
      <c r="FQ192">
        <f ca="1"/>
      </c>
      <c r="FR192">
        <f ca="1"/>
      </c>
      <c r="FS192">
        <f ca="1"/>
      </c>
      <c r="FT192">
        <f ca="1"/>
      </c>
      <c r="FU192">
        <f ca="1"/>
      </c>
      <c r="FV192">
        <f ca="1"/>
      </c>
      <c r="FW192">
        <f ca="1"/>
      </c>
      <c r="FX192">
        <f ca="1"/>
      </c>
      <c r="FY192">
        <f ca="1"/>
      </c>
      <c r="FZ192">
        <f ca="1"/>
      </c>
      <c r="GA192">
        <f ca="1"/>
      </c>
      <c r="GM192" s="7">
        <f ca="1"/>
      </c>
      <c r="GN192">
        <f ca="1"/>
      </c>
      <c r="GO192">
        <f ca="1"/>
      </c>
      <c r="GP192">
        <f ca="1"/>
      </c>
      <c r="GQ192">
        <f ca="1"/>
      </c>
    </row>
    <row r="193" spans="41:199" x14ac:dyDescent="0.55000000000000004">
      <c r="AO193">
        <f ca="1"/>
      </c>
      <c r="AP193">
        <f ca="1"/>
      </c>
      <c r="AQ193">
        <f ca="1"/>
      </c>
      <c r="AR193">
        <f ca="1"/>
      </c>
      <c r="AS193">
        <f ca="1"/>
      </c>
      <c r="AT193">
        <f ca="1"/>
      </c>
      <c r="AU193">
        <f ca="1"/>
      </c>
      <c r="AV193">
        <f ca="1"/>
      </c>
      <c r="AW193">
        <f ca="1"/>
      </c>
      <c r="AX193">
        <f ca="1"/>
      </c>
      <c r="AY193">
        <f ca="1"/>
      </c>
      <c r="AZ193">
        <f ca="1"/>
      </c>
      <c r="BA193">
        <f ca="1"/>
      </c>
      <c r="BB193">
        <f ca="1"/>
      </c>
      <c r="BC193">
        <f ca="1"/>
      </c>
      <c r="BD193">
        <f ca="1"/>
      </c>
      <c r="BE193">
        <f ca="1"/>
      </c>
      <c r="BF193">
        <f ca="1"/>
      </c>
      <c r="BG193">
        <f ca="1"/>
      </c>
      <c r="BH193">
        <f ca="1"/>
      </c>
      <c r="BI193">
        <f ca="1"/>
      </c>
      <c r="BJ193">
        <f ca="1"/>
      </c>
      <c r="BK193">
        <f ca="1"/>
      </c>
      <c r="BL193">
        <f ca="1"/>
      </c>
      <c r="BM193">
        <f ca="1"/>
      </c>
      <c r="BN193">
        <f ca="1"/>
      </c>
      <c r="BO193">
        <f ca="1"/>
      </c>
      <c r="BP193">
        <f ca="1"/>
      </c>
      <c r="BQ193">
        <f ca="1"/>
      </c>
      <c r="BR193">
        <f ca="1"/>
      </c>
      <c r="BS193">
        <f ca="1"/>
      </c>
      <c r="BT193">
        <f ca="1"/>
      </c>
      <c r="BU193">
        <f ca="1"/>
      </c>
      <c r="BV193">
        <f ca="1"/>
      </c>
      <c r="BW193">
        <f ca="1"/>
      </c>
      <c r="BX193">
        <f ca="1"/>
      </c>
      <c r="BY193">
        <f ca="1"/>
      </c>
      <c r="BZ193">
        <f ca="1"/>
      </c>
      <c r="CA193">
        <f ca="1"/>
      </c>
      <c r="CB193">
        <f ca="1"/>
      </c>
      <c r="CC193">
        <f ca="1"/>
      </c>
      <c r="CD193">
        <f ca="1"/>
      </c>
      <c r="CE193">
        <f ca="1"/>
      </c>
      <c r="CF193">
        <f ca="1"/>
      </c>
      <c r="CG193">
        <f ca="1"/>
      </c>
      <c r="CH193">
        <f ca="1"/>
      </c>
      <c r="CI193">
        <f ca="1"/>
      </c>
      <c r="CK193">
        <f ca="1"/>
      </c>
      <c r="CL193">
        <f ca="1"/>
      </c>
      <c r="CM193">
        <f ca="1"/>
      </c>
      <c r="CN193">
        <f ca="1"/>
      </c>
      <c r="CO193">
        <f ca="1"/>
      </c>
      <c r="CP193">
        <f ca="1"/>
      </c>
      <c r="CQ193">
        <f ca="1"/>
      </c>
      <c r="CR193">
        <f ca="1"/>
      </c>
      <c r="CS193">
        <f ca="1"/>
      </c>
      <c r="CT193">
        <f ca="1"/>
      </c>
      <c r="CU193">
        <f ca="1"/>
      </c>
      <c r="CV193">
        <f ca="1"/>
      </c>
      <c r="CW193">
        <f ca="1"/>
      </c>
      <c r="CX193">
        <f ca="1"/>
      </c>
      <c r="CY193">
        <f ca="1"/>
      </c>
      <c r="CZ193">
        <f ca="1"/>
      </c>
      <c r="DA193">
        <f ca="1"/>
      </c>
      <c r="DB193">
        <f ca="1"/>
      </c>
      <c r="DC193">
        <f ca="1"/>
      </c>
      <c r="DD193">
        <f ca="1"/>
      </c>
      <c r="DE193">
        <f ca="1"/>
      </c>
      <c r="DF193">
        <f ca="1"/>
      </c>
      <c r="DG193">
        <f ca="1"/>
      </c>
      <c r="DH193">
        <f ca="1"/>
      </c>
      <c r="DI193">
        <f ca="1"/>
      </c>
      <c r="DJ193">
        <f ca="1"/>
      </c>
      <c r="DK193">
        <f ca="1"/>
      </c>
      <c r="DL193">
        <f ca="1"/>
      </c>
      <c r="DM193">
        <f ca="1"/>
      </c>
      <c r="DN193">
        <f ca="1"/>
      </c>
      <c r="DO193">
        <f ca="1"/>
      </c>
      <c r="DP193">
        <f ca="1"/>
      </c>
      <c r="DQ193">
        <f ca="1"/>
      </c>
      <c r="DR193">
        <f ca="1"/>
      </c>
      <c r="DS193">
        <f ca="1"/>
      </c>
      <c r="DT193">
        <f ca="1"/>
      </c>
      <c r="DU193">
        <f ca="1"/>
      </c>
      <c r="DV193">
        <f ca="1"/>
      </c>
      <c r="DW193">
        <f ca="1"/>
      </c>
      <c r="DX193">
        <f ca="1"/>
      </c>
      <c r="DY193">
        <f ca="1"/>
      </c>
      <c r="DZ193">
        <f ca="1"/>
      </c>
      <c r="EA193">
        <f ca="1"/>
      </c>
      <c r="EB193">
        <f ca="1"/>
      </c>
      <c r="EC193">
        <f ca="1"/>
      </c>
      <c r="ED193">
        <f ca="1"/>
      </c>
      <c r="EE193">
        <f ca="1"/>
      </c>
      <c r="EG193">
        <f ca="1"/>
      </c>
      <c r="EH193">
        <f ca="1"/>
      </c>
      <c r="EI193">
        <f ca="1"/>
      </c>
      <c r="EJ193">
        <f ca="1"/>
      </c>
      <c r="EK193">
        <f ca="1"/>
      </c>
      <c r="EL193">
        <f ca="1"/>
      </c>
      <c r="EM193">
        <f ca="1"/>
      </c>
      <c r="EN193">
        <f ca="1"/>
      </c>
      <c r="EO193">
        <f ca="1"/>
      </c>
      <c r="EP193">
        <f ca="1"/>
      </c>
      <c r="EQ193">
        <f ca="1"/>
      </c>
      <c r="ER193">
        <f ca="1"/>
      </c>
      <c r="ES193">
        <f ca="1"/>
      </c>
      <c r="ET193">
        <f ca="1"/>
      </c>
      <c r="EU193">
        <f ca="1"/>
      </c>
      <c r="EV193">
        <f ca="1"/>
      </c>
      <c r="EW193">
        <f ca="1"/>
      </c>
      <c r="EX193">
        <f ca="1"/>
      </c>
      <c r="EY193">
        <f ca="1"/>
      </c>
      <c r="EZ193">
        <f ca="1"/>
      </c>
      <c r="FA193">
        <f ca="1"/>
      </c>
      <c r="FB193">
        <f ca="1"/>
      </c>
      <c r="FC193">
        <f ca="1"/>
      </c>
      <c r="FD193">
        <f ca="1"/>
      </c>
      <c r="FE193">
        <f ca="1"/>
      </c>
      <c r="FF193">
        <f ca="1"/>
      </c>
      <c r="FG193">
        <f ca="1"/>
      </c>
      <c r="FH193">
        <f ca="1"/>
      </c>
      <c r="FI193">
        <f ca="1"/>
      </c>
      <c r="FJ193">
        <f ca="1"/>
      </c>
      <c r="FK193">
        <f ca="1"/>
      </c>
      <c r="FL193">
        <f ca="1"/>
      </c>
      <c r="FM193">
        <f ca="1"/>
      </c>
      <c r="FN193">
        <f ca="1"/>
      </c>
      <c r="FO193">
        <f ca="1"/>
      </c>
      <c r="FP193">
        <f ca="1"/>
      </c>
      <c r="FQ193">
        <f ca="1"/>
      </c>
      <c r="FR193">
        <f ca="1"/>
      </c>
      <c r="FS193">
        <f ca="1"/>
      </c>
      <c r="FT193">
        <f ca="1"/>
      </c>
      <c r="FU193">
        <f ca="1"/>
      </c>
      <c r="FV193">
        <f ca="1"/>
      </c>
      <c r="FW193">
        <f ca="1"/>
      </c>
      <c r="FX193">
        <f ca="1"/>
      </c>
      <c r="FY193">
        <f ca="1"/>
      </c>
      <c r="FZ193">
        <f ca="1"/>
      </c>
      <c r="GA193">
        <f ca="1"/>
      </c>
      <c r="GM193" s="7">
        <f ca="1"/>
      </c>
      <c r="GN193">
        <f ca="1"/>
      </c>
      <c r="GO193">
        <f ca="1"/>
      </c>
      <c r="GP193">
        <f ca="1"/>
      </c>
      <c r="GQ193">
        <f ca="1"/>
      </c>
    </row>
    <row r="194" spans="41:199" x14ac:dyDescent="0.55000000000000004">
      <c r="AO194">
        <f ca="1"/>
      </c>
      <c r="AP194">
        <f ca="1"/>
      </c>
      <c r="AQ194">
        <f ca="1"/>
      </c>
      <c r="AR194">
        <f ca="1"/>
      </c>
      <c r="AS194">
        <f ca="1"/>
      </c>
      <c r="AT194">
        <f ca="1"/>
      </c>
      <c r="AU194">
        <f ca="1"/>
      </c>
      <c r="AV194">
        <f ca="1"/>
      </c>
      <c r="AW194">
        <f ca="1"/>
      </c>
      <c r="AX194">
        <f ca="1"/>
      </c>
      <c r="AY194">
        <f ca="1"/>
      </c>
      <c r="AZ194">
        <f ca="1"/>
      </c>
      <c r="BA194">
        <f ca="1"/>
      </c>
      <c r="BB194">
        <f ca="1"/>
      </c>
      <c r="BC194">
        <f ca="1"/>
      </c>
      <c r="BD194">
        <f ca="1"/>
      </c>
      <c r="BE194">
        <f ca="1"/>
      </c>
      <c r="BF194">
        <f ca="1"/>
      </c>
      <c r="BG194">
        <f ca="1"/>
      </c>
      <c r="BH194">
        <f ca="1"/>
      </c>
      <c r="BI194">
        <f ca="1"/>
      </c>
      <c r="BJ194">
        <f ca="1"/>
      </c>
      <c r="BK194">
        <f ca="1"/>
      </c>
      <c r="BL194">
        <f ca="1"/>
      </c>
      <c r="BM194">
        <f ca="1"/>
      </c>
      <c r="BN194">
        <f ca="1"/>
      </c>
      <c r="BO194">
        <f ca="1"/>
      </c>
      <c r="BP194">
        <f ca="1"/>
      </c>
      <c r="BQ194">
        <f ca="1"/>
      </c>
      <c r="BR194">
        <f ca="1"/>
      </c>
      <c r="BS194">
        <f ca="1"/>
      </c>
      <c r="BT194">
        <f ca="1"/>
      </c>
      <c r="BU194">
        <f ca="1"/>
      </c>
      <c r="BV194">
        <f ca="1"/>
      </c>
      <c r="BW194">
        <f ca="1"/>
      </c>
      <c r="BX194">
        <f ca="1"/>
      </c>
      <c r="BY194">
        <f ca="1"/>
      </c>
      <c r="BZ194">
        <f ca="1"/>
      </c>
      <c r="CA194">
        <f ca="1"/>
      </c>
      <c r="CB194">
        <f ca="1"/>
      </c>
      <c r="CC194">
        <f ca="1"/>
      </c>
      <c r="CD194">
        <f ca="1"/>
      </c>
      <c r="CE194">
        <f ca="1"/>
      </c>
      <c r="CF194">
        <f ca="1"/>
      </c>
      <c r="CG194">
        <f ca="1"/>
      </c>
      <c r="CH194">
        <f ca="1"/>
      </c>
      <c r="CI194">
        <f ca="1"/>
      </c>
      <c r="CK194">
        <f ca="1"/>
      </c>
      <c r="CL194">
        <f ca="1"/>
      </c>
      <c r="CM194">
        <f ca="1"/>
      </c>
      <c r="CN194">
        <f ca="1"/>
      </c>
      <c r="CO194">
        <f ca="1"/>
      </c>
      <c r="CP194">
        <f ca="1"/>
      </c>
      <c r="CQ194">
        <f ca="1"/>
      </c>
      <c r="CR194">
        <f ca="1"/>
      </c>
      <c r="CS194">
        <f ca="1"/>
      </c>
      <c r="CT194">
        <f ca="1"/>
      </c>
      <c r="CU194">
        <f ca="1"/>
      </c>
      <c r="CV194">
        <f ca="1"/>
      </c>
      <c r="CW194">
        <f ca="1"/>
      </c>
      <c r="CX194">
        <f ca="1"/>
      </c>
      <c r="CY194">
        <f ca="1"/>
      </c>
      <c r="CZ194">
        <f ca="1"/>
      </c>
      <c r="DA194">
        <f ca="1"/>
      </c>
      <c r="DB194">
        <f ca="1"/>
      </c>
      <c r="DC194">
        <f ca="1"/>
      </c>
      <c r="DD194">
        <f ca="1"/>
      </c>
      <c r="DE194">
        <f ca="1"/>
      </c>
      <c r="DF194">
        <f ca="1"/>
      </c>
      <c r="DG194">
        <f ca="1"/>
      </c>
      <c r="DH194">
        <f ca="1"/>
      </c>
      <c r="DI194">
        <f ca="1"/>
      </c>
      <c r="DJ194">
        <f ca="1"/>
      </c>
      <c r="DK194">
        <f ca="1"/>
      </c>
      <c r="DL194">
        <f ca="1"/>
      </c>
      <c r="DM194">
        <f ca="1"/>
      </c>
      <c r="DN194">
        <f ca="1"/>
      </c>
      <c r="DO194">
        <f ca="1"/>
      </c>
      <c r="DP194">
        <f ca="1"/>
      </c>
      <c r="DQ194">
        <f ca="1"/>
      </c>
      <c r="DR194">
        <f ca="1"/>
      </c>
      <c r="DS194">
        <f ca="1"/>
      </c>
      <c r="DT194">
        <f ca="1"/>
      </c>
      <c r="DU194">
        <f ca="1"/>
      </c>
      <c r="DV194">
        <f ca="1"/>
      </c>
      <c r="DW194">
        <f ca="1"/>
      </c>
      <c r="DX194">
        <f ca="1"/>
      </c>
      <c r="DY194">
        <f ca="1"/>
      </c>
      <c r="DZ194">
        <f ca="1"/>
      </c>
      <c r="EA194">
        <f ca="1"/>
      </c>
      <c r="EB194">
        <f ca="1"/>
      </c>
      <c r="EC194">
        <f ca="1"/>
      </c>
      <c r="ED194">
        <f ca="1"/>
      </c>
      <c r="EE194">
        <f ca="1"/>
      </c>
      <c r="EG194">
        <f ca="1"/>
      </c>
      <c r="EH194">
        <f ca="1"/>
      </c>
      <c r="EI194">
        <f ca="1"/>
      </c>
      <c r="EJ194">
        <f ca="1"/>
      </c>
      <c r="EK194">
        <f ca="1"/>
      </c>
      <c r="EL194">
        <f ca="1"/>
      </c>
      <c r="EM194">
        <f ca="1"/>
      </c>
      <c r="EN194">
        <f ca="1"/>
      </c>
      <c r="EO194">
        <f ca="1"/>
      </c>
      <c r="EP194">
        <f ca="1"/>
      </c>
      <c r="EQ194">
        <f ca="1"/>
      </c>
      <c r="ER194">
        <f ca="1"/>
      </c>
      <c r="ES194">
        <f ca="1"/>
      </c>
      <c r="ET194">
        <f ca="1"/>
      </c>
      <c r="EU194">
        <f ca="1"/>
      </c>
      <c r="EV194">
        <f ca="1"/>
      </c>
      <c r="EW194">
        <f ca="1"/>
      </c>
      <c r="EX194">
        <f ca="1"/>
      </c>
      <c r="EY194">
        <f ca="1"/>
      </c>
      <c r="EZ194">
        <f ca="1"/>
      </c>
      <c r="FA194">
        <f ca="1"/>
      </c>
      <c r="FB194">
        <f ca="1"/>
      </c>
      <c r="FC194">
        <f ca="1"/>
      </c>
      <c r="FD194">
        <f ca="1"/>
      </c>
      <c r="FE194">
        <f ca="1"/>
      </c>
      <c r="FF194">
        <f ca="1"/>
      </c>
      <c r="FG194">
        <f ca="1"/>
      </c>
      <c r="FH194">
        <f ca="1"/>
      </c>
      <c r="FI194">
        <f ca="1"/>
      </c>
      <c r="FJ194">
        <f ca="1"/>
      </c>
      <c r="FK194">
        <f ca="1"/>
      </c>
      <c r="FL194">
        <f ca="1"/>
      </c>
      <c r="FM194">
        <f ca="1"/>
      </c>
      <c r="FN194">
        <f ca="1"/>
      </c>
      <c r="FO194">
        <f ca="1"/>
      </c>
      <c r="FP194">
        <f ca="1"/>
      </c>
      <c r="FQ194">
        <f ca="1"/>
      </c>
      <c r="FR194">
        <f ca="1"/>
      </c>
      <c r="FS194">
        <f ca="1"/>
      </c>
      <c r="FT194">
        <f ca="1"/>
      </c>
      <c r="FU194">
        <f ca="1"/>
      </c>
      <c r="FV194">
        <f ca="1"/>
      </c>
      <c r="FW194">
        <f ca="1"/>
      </c>
      <c r="FX194">
        <f ca="1"/>
      </c>
      <c r="FY194">
        <f ca="1"/>
      </c>
      <c r="FZ194">
        <f ca="1"/>
      </c>
      <c r="GA194">
        <f ca="1"/>
      </c>
      <c r="GM194" s="7">
        <f ca="1"/>
      </c>
      <c r="GN194">
        <f ca="1"/>
      </c>
      <c r="GO194">
        <f ca="1"/>
      </c>
      <c r="GP194">
        <f ca="1"/>
      </c>
      <c r="GQ194">
        <f ca="1"/>
      </c>
    </row>
    <row r="195" spans="41:199" x14ac:dyDescent="0.55000000000000004">
      <c r="AO195">
        <f ca="1"/>
      </c>
      <c r="AP195">
        <f ca="1"/>
      </c>
      <c r="AQ195">
        <f ca="1"/>
      </c>
      <c r="AR195">
        <f ca="1"/>
      </c>
      <c r="AS195">
        <f ca="1"/>
      </c>
      <c r="AT195">
        <f ca="1"/>
      </c>
      <c r="AU195">
        <f ca="1"/>
      </c>
      <c r="AV195">
        <f ca="1"/>
      </c>
      <c r="AW195">
        <f ca="1"/>
      </c>
      <c r="AX195">
        <f ca="1"/>
      </c>
      <c r="AY195">
        <f ca="1"/>
      </c>
      <c r="AZ195">
        <f ca="1"/>
      </c>
      <c r="BA195">
        <f ca="1"/>
      </c>
      <c r="BB195">
        <f ca="1"/>
      </c>
      <c r="BC195">
        <f ca="1"/>
      </c>
      <c r="BD195">
        <f ca="1"/>
      </c>
      <c r="BE195">
        <f ca="1"/>
      </c>
      <c r="BF195">
        <f ca="1"/>
      </c>
      <c r="BG195">
        <f ca="1"/>
      </c>
      <c r="BH195">
        <f ca="1"/>
      </c>
      <c r="BI195">
        <f ca="1"/>
      </c>
      <c r="BJ195">
        <f ca="1"/>
      </c>
      <c r="BK195">
        <f ca="1"/>
      </c>
      <c r="BL195">
        <f ca="1"/>
      </c>
      <c r="BM195">
        <f ca="1"/>
      </c>
      <c r="BN195">
        <f ca="1"/>
      </c>
      <c r="BO195">
        <f ca="1"/>
      </c>
      <c r="BP195">
        <f ca="1"/>
      </c>
      <c r="BQ195">
        <f ca="1"/>
      </c>
      <c r="BR195">
        <f ca="1"/>
      </c>
      <c r="BS195">
        <f ca="1"/>
      </c>
      <c r="BT195">
        <f ca="1"/>
      </c>
      <c r="BU195">
        <f ca="1"/>
      </c>
      <c r="BV195">
        <f ca="1"/>
      </c>
      <c r="BW195">
        <f ca="1"/>
      </c>
      <c r="BX195">
        <f ca="1"/>
      </c>
      <c r="BY195">
        <f ca="1"/>
      </c>
      <c r="BZ195">
        <f ca="1"/>
      </c>
      <c r="CA195">
        <f ca="1"/>
      </c>
      <c r="CB195">
        <f ca="1"/>
      </c>
      <c r="CC195">
        <f ca="1"/>
      </c>
      <c r="CD195">
        <f ca="1"/>
      </c>
      <c r="CE195">
        <f ca="1"/>
      </c>
      <c r="CF195">
        <f ca="1"/>
      </c>
      <c r="CG195">
        <f ca="1"/>
      </c>
      <c r="CH195">
        <f ca="1"/>
      </c>
      <c r="CI195">
        <f ca="1"/>
      </c>
      <c r="CK195">
        <f ca="1"/>
      </c>
      <c r="CL195">
        <f ca="1"/>
      </c>
      <c r="CM195">
        <f ca="1"/>
      </c>
      <c r="CN195">
        <f ca="1"/>
      </c>
      <c r="CO195">
        <f ca="1"/>
      </c>
      <c r="CP195">
        <f ca="1"/>
      </c>
      <c r="CQ195">
        <f ca="1"/>
      </c>
      <c r="CR195">
        <f ca="1"/>
      </c>
      <c r="CS195">
        <f ca="1"/>
      </c>
      <c r="CT195">
        <f ca="1"/>
      </c>
      <c r="CU195">
        <f ca="1"/>
      </c>
      <c r="CV195">
        <f ca="1"/>
      </c>
      <c r="CW195">
        <f ca="1"/>
      </c>
      <c r="CX195">
        <f ca="1"/>
      </c>
      <c r="CY195">
        <f ca="1"/>
      </c>
      <c r="CZ195">
        <f ca="1"/>
      </c>
      <c r="DA195">
        <f ca="1"/>
      </c>
      <c r="DB195">
        <f ca="1"/>
      </c>
      <c r="DC195">
        <f ca="1"/>
      </c>
      <c r="DD195">
        <f ca="1"/>
      </c>
      <c r="DE195">
        <f ca="1"/>
      </c>
      <c r="DF195">
        <f ca="1"/>
      </c>
      <c r="DG195">
        <f ca="1"/>
      </c>
      <c r="DH195">
        <f ca="1"/>
      </c>
      <c r="DI195">
        <f ca="1"/>
      </c>
      <c r="DJ195">
        <f ca="1"/>
      </c>
      <c r="DK195">
        <f ca="1"/>
      </c>
      <c r="DL195">
        <f ca="1"/>
      </c>
      <c r="DM195">
        <f ca="1"/>
      </c>
      <c r="DN195">
        <f ca="1"/>
      </c>
      <c r="DO195">
        <f ca="1"/>
      </c>
      <c r="DP195">
        <f ca="1"/>
      </c>
      <c r="DQ195">
        <f ca="1"/>
      </c>
      <c r="DR195">
        <f ca="1"/>
      </c>
      <c r="DS195">
        <f ca="1"/>
      </c>
      <c r="DT195">
        <f ca="1"/>
      </c>
      <c r="DU195">
        <f ca="1"/>
      </c>
      <c r="DV195">
        <f ca="1"/>
      </c>
      <c r="DW195">
        <f ca="1"/>
      </c>
      <c r="DX195">
        <f ca="1"/>
      </c>
      <c r="DY195">
        <f ca="1"/>
      </c>
      <c r="DZ195">
        <f ca="1"/>
      </c>
      <c r="EA195">
        <f ca="1"/>
      </c>
      <c r="EB195">
        <f ca="1"/>
      </c>
      <c r="EC195">
        <f ca="1"/>
      </c>
      <c r="ED195">
        <f ca="1"/>
      </c>
      <c r="EE195">
        <f ca="1"/>
      </c>
      <c r="EG195">
        <f ca="1"/>
      </c>
      <c r="EH195">
        <f ca="1"/>
      </c>
      <c r="EI195">
        <f ca="1"/>
      </c>
      <c r="EJ195">
        <f ca="1"/>
      </c>
      <c r="EK195">
        <f ca="1"/>
      </c>
      <c r="EL195">
        <f ca="1"/>
      </c>
      <c r="EM195">
        <f ca="1"/>
      </c>
      <c r="EN195">
        <f ca="1"/>
      </c>
      <c r="EO195">
        <f ca="1"/>
      </c>
      <c r="EP195">
        <f ca="1"/>
      </c>
      <c r="EQ195">
        <f ca="1"/>
      </c>
      <c r="ER195">
        <f ca="1"/>
      </c>
      <c r="ES195">
        <f ca="1"/>
      </c>
      <c r="ET195">
        <f ca="1"/>
      </c>
      <c r="EU195">
        <f ca="1"/>
      </c>
      <c r="EV195">
        <f ca="1"/>
      </c>
      <c r="EW195">
        <f ca="1"/>
      </c>
      <c r="EX195">
        <f ca="1"/>
      </c>
      <c r="EY195">
        <f ca="1"/>
      </c>
      <c r="EZ195">
        <f ca="1"/>
      </c>
      <c r="FA195">
        <f ca="1"/>
      </c>
      <c r="FB195">
        <f ca="1"/>
      </c>
      <c r="FC195">
        <f ca="1"/>
      </c>
      <c r="FD195">
        <f ca="1"/>
      </c>
      <c r="FE195">
        <f ca="1"/>
      </c>
      <c r="FF195">
        <f ca="1"/>
      </c>
      <c r="FG195">
        <f ca="1"/>
      </c>
      <c r="FH195">
        <f ca="1"/>
      </c>
      <c r="FI195">
        <f ca="1"/>
      </c>
      <c r="FJ195">
        <f ca="1"/>
      </c>
      <c r="FK195">
        <f ca="1"/>
      </c>
      <c r="FL195">
        <f ca="1"/>
      </c>
      <c r="FM195">
        <f ca="1"/>
      </c>
      <c r="FN195">
        <f ca="1"/>
      </c>
      <c r="FO195">
        <f ca="1"/>
      </c>
      <c r="FP195">
        <f ca="1"/>
      </c>
      <c r="FQ195">
        <f ca="1"/>
      </c>
      <c r="FR195">
        <f ca="1"/>
      </c>
      <c r="FS195">
        <f ca="1"/>
      </c>
      <c r="FT195">
        <f ca="1"/>
      </c>
      <c r="FU195">
        <f ca="1"/>
      </c>
      <c r="FV195">
        <f ca="1"/>
      </c>
      <c r="FW195">
        <f ca="1"/>
      </c>
      <c r="FX195">
        <f ca="1"/>
      </c>
      <c r="FY195">
        <f ca="1"/>
      </c>
      <c r="FZ195">
        <f ca="1"/>
      </c>
      <c r="GA195">
        <f ca="1"/>
      </c>
      <c r="GM195" s="7">
        <f ca="1"/>
      </c>
      <c r="GN195">
        <f ca="1"/>
      </c>
      <c r="GO195">
        <f ca="1"/>
      </c>
      <c r="GP195">
        <f ca="1"/>
      </c>
      <c r="GQ195">
        <f ca="1"/>
      </c>
    </row>
    <row r="196" spans="41:199" x14ac:dyDescent="0.55000000000000004">
      <c r="AO196">
        <f ca="1"/>
      </c>
      <c r="AP196">
        <f ca="1"/>
      </c>
      <c r="AQ196">
        <f ca="1"/>
      </c>
      <c r="AR196">
        <f ca="1"/>
      </c>
      <c r="AS196">
        <f ca="1"/>
      </c>
      <c r="AT196">
        <f ca="1"/>
      </c>
      <c r="AU196">
        <f ca="1"/>
      </c>
      <c r="AV196">
        <f ca="1"/>
      </c>
      <c r="AW196">
        <f ca="1"/>
      </c>
      <c r="AX196">
        <f ca="1"/>
      </c>
      <c r="AY196">
        <f ca="1"/>
      </c>
      <c r="AZ196">
        <f ca="1"/>
      </c>
      <c r="BA196">
        <f ca="1"/>
      </c>
      <c r="BB196">
        <f ca="1"/>
      </c>
      <c r="BC196">
        <f ca="1"/>
      </c>
      <c r="BD196">
        <f ca="1"/>
      </c>
      <c r="BE196">
        <f ca="1"/>
      </c>
      <c r="BF196">
        <f ca="1"/>
      </c>
      <c r="BG196">
        <f ca="1"/>
      </c>
      <c r="BH196">
        <f ca="1"/>
      </c>
      <c r="BI196">
        <f ca="1"/>
      </c>
      <c r="BJ196">
        <f ca="1"/>
      </c>
      <c r="BK196">
        <f ca="1"/>
      </c>
      <c r="BL196">
        <f ca="1"/>
      </c>
      <c r="BM196">
        <f ca="1"/>
      </c>
      <c r="BN196">
        <f ca="1"/>
      </c>
      <c r="BO196">
        <f ca="1"/>
      </c>
      <c r="BP196">
        <f ca="1"/>
      </c>
      <c r="BQ196">
        <f ca="1"/>
      </c>
      <c r="BR196">
        <f ca="1"/>
      </c>
      <c r="BS196">
        <f ca="1"/>
      </c>
      <c r="BT196">
        <f ca="1"/>
      </c>
      <c r="BU196">
        <f ca="1"/>
      </c>
      <c r="BV196">
        <f ca="1"/>
      </c>
      <c r="BW196">
        <f ca="1"/>
      </c>
      <c r="BX196">
        <f ca="1"/>
      </c>
      <c r="BY196">
        <f ca="1"/>
      </c>
      <c r="BZ196">
        <f ca="1"/>
      </c>
      <c r="CA196">
        <f ca="1"/>
      </c>
      <c r="CB196">
        <f ca="1"/>
      </c>
      <c r="CC196">
        <f ca="1"/>
      </c>
      <c r="CD196">
        <f ca="1"/>
      </c>
      <c r="CE196">
        <f ca="1"/>
      </c>
      <c r="CF196">
        <f ca="1"/>
      </c>
      <c r="CG196">
        <f ca="1"/>
      </c>
      <c r="CH196">
        <f ca="1"/>
      </c>
      <c r="CI196">
        <f ca="1"/>
      </c>
      <c r="CK196">
        <f ca="1"/>
      </c>
      <c r="CL196">
        <f ca="1"/>
      </c>
      <c r="CM196">
        <f ca="1"/>
      </c>
      <c r="CN196">
        <f ca="1"/>
      </c>
      <c r="CO196">
        <f ca="1"/>
      </c>
      <c r="CP196">
        <f ca="1"/>
      </c>
      <c r="CQ196">
        <f ca="1"/>
      </c>
      <c r="CR196">
        <f ca="1"/>
      </c>
      <c r="CS196">
        <f ca="1"/>
      </c>
      <c r="CT196">
        <f ca="1"/>
      </c>
      <c r="CU196">
        <f ca="1"/>
      </c>
      <c r="CV196">
        <f ca="1"/>
      </c>
      <c r="CW196">
        <f ca="1"/>
      </c>
      <c r="CX196">
        <f ca="1"/>
      </c>
      <c r="CY196">
        <f ca="1"/>
      </c>
      <c r="CZ196">
        <f ca="1"/>
      </c>
      <c r="DA196">
        <f ca="1"/>
      </c>
      <c r="DB196">
        <f ca="1"/>
      </c>
      <c r="DC196">
        <f ca="1"/>
      </c>
      <c r="DD196">
        <f ca="1"/>
      </c>
      <c r="DE196">
        <f ca="1"/>
      </c>
      <c r="DF196">
        <f ca="1"/>
      </c>
      <c r="DG196">
        <f ca="1"/>
      </c>
      <c r="DH196">
        <f ca="1"/>
      </c>
      <c r="DI196">
        <f ca="1"/>
      </c>
      <c r="DJ196">
        <f ca="1"/>
      </c>
      <c r="DK196">
        <f ca="1"/>
      </c>
      <c r="DL196">
        <f ca="1"/>
      </c>
      <c r="DM196">
        <f ca="1"/>
      </c>
      <c r="DN196">
        <f ca="1"/>
      </c>
      <c r="DO196">
        <f ca="1"/>
      </c>
      <c r="DP196">
        <f ca="1"/>
      </c>
      <c r="DQ196">
        <f ca="1"/>
      </c>
      <c r="DR196">
        <f ca="1"/>
      </c>
      <c r="DS196">
        <f ca="1"/>
      </c>
      <c r="DT196">
        <f ca="1"/>
      </c>
      <c r="DU196">
        <f ca="1"/>
      </c>
      <c r="DV196">
        <f ca="1"/>
      </c>
      <c r="DW196">
        <f ca="1"/>
      </c>
      <c r="DX196">
        <f ca="1"/>
      </c>
      <c r="DY196">
        <f ca="1"/>
      </c>
      <c r="DZ196">
        <f ca="1"/>
      </c>
      <c r="EA196">
        <f ca="1"/>
      </c>
      <c r="EB196">
        <f ca="1"/>
      </c>
      <c r="EC196">
        <f ca="1"/>
      </c>
      <c r="ED196">
        <f ca="1"/>
      </c>
      <c r="EE196">
        <f ca="1"/>
      </c>
      <c r="EG196">
        <f ca="1"/>
      </c>
      <c r="EH196">
        <f ca="1"/>
      </c>
      <c r="EI196">
        <f ca="1"/>
      </c>
      <c r="EJ196">
        <f ca="1"/>
      </c>
      <c r="EK196">
        <f ca="1"/>
      </c>
      <c r="EL196">
        <f ca="1"/>
      </c>
      <c r="EM196">
        <f ca="1"/>
      </c>
      <c r="EN196">
        <f ca="1"/>
      </c>
      <c r="EO196">
        <f ca="1"/>
      </c>
      <c r="EP196">
        <f ca="1"/>
      </c>
      <c r="EQ196">
        <f ca="1"/>
      </c>
      <c r="ER196">
        <f ca="1"/>
      </c>
      <c r="ES196">
        <f ca="1"/>
      </c>
      <c r="ET196">
        <f ca="1"/>
      </c>
      <c r="EU196">
        <f ca="1"/>
      </c>
      <c r="EV196">
        <f ca="1"/>
      </c>
      <c r="EW196">
        <f ca="1"/>
      </c>
      <c r="EX196">
        <f ca="1"/>
      </c>
      <c r="EY196">
        <f ca="1"/>
      </c>
      <c r="EZ196">
        <f ca="1"/>
      </c>
      <c r="FA196">
        <f ca="1"/>
      </c>
      <c r="FB196">
        <f ca="1"/>
      </c>
      <c r="FC196">
        <f ca="1"/>
      </c>
      <c r="FD196">
        <f ca="1"/>
      </c>
      <c r="FE196">
        <f ca="1"/>
      </c>
      <c r="FF196">
        <f ca="1"/>
      </c>
      <c r="FG196">
        <f ca="1"/>
      </c>
      <c r="FH196">
        <f ca="1"/>
      </c>
      <c r="FI196">
        <f ca="1"/>
      </c>
      <c r="FJ196">
        <f ca="1"/>
      </c>
      <c r="FK196">
        <f ca="1"/>
      </c>
      <c r="FL196">
        <f ca="1"/>
      </c>
      <c r="FM196">
        <f ca="1"/>
      </c>
      <c r="FN196">
        <f ca="1"/>
      </c>
      <c r="FO196">
        <f ca="1"/>
      </c>
      <c r="FP196">
        <f ca="1"/>
      </c>
      <c r="FQ196">
        <f ca="1"/>
      </c>
      <c r="FR196">
        <f ca="1"/>
      </c>
      <c r="FS196">
        <f ca="1"/>
      </c>
      <c r="FT196">
        <f ca="1"/>
      </c>
      <c r="FU196">
        <f ca="1"/>
      </c>
      <c r="FV196">
        <f ca="1"/>
      </c>
      <c r="FW196">
        <f ca="1"/>
      </c>
      <c r="FX196">
        <f ca="1"/>
      </c>
      <c r="FY196">
        <f ca="1"/>
      </c>
      <c r="FZ196">
        <f ca="1"/>
      </c>
      <c r="GA196">
        <f ca="1"/>
      </c>
      <c r="GM196" s="7">
        <f ca="1"/>
      </c>
      <c r="GN196">
        <f ca="1"/>
      </c>
      <c r="GO196">
        <f ca="1"/>
      </c>
      <c r="GP196">
        <f ca="1"/>
      </c>
      <c r="GQ196">
        <f ca="1"/>
      </c>
    </row>
    <row r="197" spans="41:199" x14ac:dyDescent="0.55000000000000004">
      <c r="AO197">
        <f ca="1"/>
      </c>
      <c r="AP197">
        <f ca="1"/>
      </c>
      <c r="AQ197">
        <f ca="1"/>
      </c>
      <c r="AR197">
        <f ca="1"/>
      </c>
      <c r="AS197">
        <f ca="1"/>
      </c>
      <c r="AT197">
        <f ca="1"/>
      </c>
      <c r="AU197">
        <f ca="1"/>
      </c>
      <c r="AV197">
        <f ca="1"/>
      </c>
      <c r="AW197">
        <f ca="1"/>
      </c>
      <c r="AX197">
        <f ca="1"/>
      </c>
      <c r="AY197">
        <f ca="1"/>
      </c>
      <c r="AZ197">
        <f ca="1"/>
      </c>
      <c r="BA197">
        <f ca="1"/>
      </c>
      <c r="BB197">
        <f ca="1"/>
      </c>
      <c r="BC197">
        <f ca="1"/>
      </c>
      <c r="BD197">
        <f ca="1"/>
      </c>
      <c r="BE197">
        <f ca="1"/>
      </c>
      <c r="BF197">
        <f ca="1"/>
      </c>
      <c r="BG197">
        <f ca="1"/>
      </c>
      <c r="BH197">
        <f ca="1"/>
      </c>
      <c r="BI197">
        <f ca="1"/>
      </c>
      <c r="BJ197">
        <f ca="1"/>
      </c>
      <c r="BK197">
        <f ca="1"/>
      </c>
      <c r="BL197">
        <f ca="1"/>
      </c>
      <c r="BM197">
        <f ca="1"/>
      </c>
      <c r="BN197">
        <f ca="1"/>
      </c>
      <c r="BO197">
        <f ca="1"/>
      </c>
      <c r="BP197">
        <f ca="1"/>
      </c>
      <c r="BQ197">
        <f ca="1"/>
      </c>
      <c r="BR197">
        <f ca="1"/>
      </c>
      <c r="BS197">
        <f ca="1"/>
      </c>
      <c r="BT197">
        <f ca="1"/>
      </c>
      <c r="BU197">
        <f ca="1"/>
      </c>
      <c r="BV197">
        <f ca="1"/>
      </c>
      <c r="BW197">
        <f ca="1"/>
      </c>
      <c r="BX197">
        <f ca="1"/>
      </c>
      <c r="BY197">
        <f ca="1"/>
      </c>
      <c r="BZ197">
        <f ca="1"/>
      </c>
      <c r="CA197">
        <f ca="1"/>
      </c>
      <c r="CB197">
        <f ca="1"/>
      </c>
      <c r="CC197">
        <f ca="1"/>
      </c>
      <c r="CD197">
        <f ca="1"/>
      </c>
      <c r="CE197">
        <f ca="1"/>
      </c>
      <c r="CF197">
        <f ca="1"/>
      </c>
      <c r="CG197">
        <f ca="1"/>
      </c>
      <c r="CH197">
        <f ca="1"/>
      </c>
      <c r="CI197">
        <f ca="1"/>
      </c>
      <c r="CK197">
        <f ca="1"/>
      </c>
      <c r="CL197">
        <f ca="1"/>
      </c>
      <c r="CM197">
        <f ca="1"/>
      </c>
      <c r="CN197">
        <f ca="1"/>
      </c>
      <c r="CO197">
        <f ca="1"/>
      </c>
      <c r="CP197">
        <f ca="1"/>
      </c>
      <c r="CQ197">
        <f ca="1"/>
      </c>
      <c r="CR197">
        <f ca="1"/>
      </c>
      <c r="CS197">
        <f ca="1"/>
      </c>
      <c r="CT197">
        <f ca="1"/>
      </c>
      <c r="CU197">
        <f ca="1"/>
      </c>
      <c r="CV197">
        <f ca="1"/>
      </c>
      <c r="CW197">
        <f ca="1"/>
      </c>
      <c r="CX197">
        <f ca="1"/>
      </c>
      <c r="CY197">
        <f ca="1"/>
      </c>
      <c r="CZ197">
        <f ca="1"/>
      </c>
      <c r="DA197">
        <f ca="1"/>
      </c>
      <c r="DB197">
        <f ca="1"/>
      </c>
      <c r="DC197">
        <f ca="1"/>
      </c>
      <c r="DD197">
        <f ca="1"/>
      </c>
      <c r="DE197">
        <f ca="1"/>
      </c>
      <c r="DF197">
        <f ca="1"/>
      </c>
      <c r="DG197">
        <f ca="1"/>
      </c>
      <c r="DH197">
        <f ca="1"/>
      </c>
      <c r="DI197">
        <f ca="1"/>
      </c>
      <c r="DJ197">
        <f ca="1"/>
      </c>
      <c r="DK197">
        <f ca="1"/>
      </c>
      <c r="DL197">
        <f ca="1"/>
      </c>
      <c r="DM197">
        <f ca="1"/>
      </c>
      <c r="DN197">
        <f ca="1"/>
      </c>
      <c r="DO197">
        <f ca="1"/>
      </c>
      <c r="DP197">
        <f ca="1"/>
      </c>
      <c r="DQ197">
        <f ca="1"/>
      </c>
      <c r="DR197">
        <f ca="1"/>
      </c>
      <c r="DS197">
        <f ca="1"/>
      </c>
      <c r="DT197">
        <f ca="1"/>
      </c>
      <c r="DU197">
        <f ca="1"/>
      </c>
      <c r="DV197">
        <f ca="1"/>
      </c>
      <c r="DW197">
        <f ca="1"/>
      </c>
      <c r="DX197">
        <f ca="1"/>
      </c>
      <c r="DY197">
        <f ca="1"/>
      </c>
      <c r="DZ197">
        <f ca="1"/>
      </c>
      <c r="EA197">
        <f ca="1"/>
      </c>
      <c r="EB197">
        <f ca="1"/>
      </c>
      <c r="EC197">
        <f ca="1"/>
      </c>
      <c r="ED197">
        <f ca="1"/>
      </c>
      <c r="EE197">
        <f ca="1"/>
      </c>
      <c r="EG197">
        <f ca="1"/>
      </c>
      <c r="EH197">
        <f ca="1"/>
      </c>
      <c r="EI197">
        <f ca="1"/>
      </c>
      <c r="EJ197">
        <f ca="1"/>
      </c>
      <c r="EK197">
        <f ca="1"/>
      </c>
      <c r="EL197">
        <f ca="1"/>
      </c>
      <c r="EM197">
        <f ca="1"/>
      </c>
      <c r="EN197">
        <f ca="1"/>
      </c>
      <c r="EO197">
        <f ca="1"/>
      </c>
      <c r="EP197">
        <f ca="1"/>
      </c>
      <c r="EQ197">
        <f ca="1"/>
      </c>
      <c r="ER197">
        <f ca="1"/>
      </c>
      <c r="ES197">
        <f ca="1"/>
      </c>
      <c r="ET197">
        <f ca="1"/>
      </c>
      <c r="EU197">
        <f ca="1"/>
      </c>
      <c r="EV197">
        <f ca="1"/>
      </c>
      <c r="EW197">
        <f ca="1"/>
      </c>
      <c r="EX197">
        <f ca="1"/>
      </c>
      <c r="EY197">
        <f ca="1"/>
      </c>
      <c r="EZ197">
        <f ca="1"/>
      </c>
      <c r="FA197">
        <f ca="1"/>
      </c>
      <c r="FB197">
        <f ca="1"/>
      </c>
      <c r="FC197">
        <f ca="1"/>
      </c>
      <c r="FD197">
        <f ca="1"/>
      </c>
      <c r="FE197">
        <f ca="1"/>
      </c>
      <c r="FF197">
        <f ca="1"/>
      </c>
      <c r="FG197">
        <f ca="1"/>
      </c>
      <c r="FH197">
        <f ca="1"/>
      </c>
      <c r="FI197">
        <f ca="1"/>
      </c>
      <c r="FJ197">
        <f ca="1"/>
      </c>
      <c r="FK197">
        <f ca="1"/>
      </c>
      <c r="FL197">
        <f ca="1"/>
      </c>
      <c r="FM197">
        <f ca="1"/>
      </c>
      <c r="FN197">
        <f ca="1"/>
      </c>
      <c r="FO197">
        <f ca="1"/>
      </c>
      <c r="FP197">
        <f ca="1"/>
      </c>
      <c r="FQ197">
        <f ca="1"/>
      </c>
      <c r="FR197">
        <f ca="1"/>
      </c>
      <c r="FS197">
        <f ca="1"/>
      </c>
      <c r="FT197">
        <f ca="1"/>
      </c>
      <c r="FU197">
        <f ca="1"/>
      </c>
      <c r="FV197">
        <f ca="1"/>
      </c>
      <c r="FW197">
        <f ca="1"/>
      </c>
      <c r="FX197">
        <f ca="1"/>
      </c>
      <c r="FY197">
        <f ca="1"/>
      </c>
      <c r="FZ197">
        <f ca="1"/>
      </c>
      <c r="GA197">
        <f ca="1"/>
      </c>
      <c r="GM197" s="7">
        <f ca="1"/>
      </c>
      <c r="GN197">
        <f ca="1"/>
      </c>
      <c r="GO197">
        <f ca="1"/>
      </c>
      <c r="GP197">
        <f ca="1"/>
      </c>
      <c r="GQ197">
        <f ca="1"/>
      </c>
    </row>
    <row r="198" spans="41:199" x14ac:dyDescent="0.55000000000000004">
      <c r="AO198">
        <f ca="1"/>
      </c>
      <c r="AP198">
        <f ca="1"/>
      </c>
      <c r="AQ198">
        <f ca="1"/>
      </c>
      <c r="AR198">
        <f ca="1"/>
      </c>
      <c r="AS198">
        <f ca="1"/>
      </c>
      <c r="AT198">
        <f ca="1"/>
      </c>
      <c r="AU198">
        <f ca="1"/>
      </c>
      <c r="AV198">
        <f ca="1"/>
      </c>
      <c r="AW198">
        <f ca="1"/>
      </c>
      <c r="AX198">
        <f ca="1"/>
      </c>
      <c r="AY198">
        <f ca="1"/>
      </c>
      <c r="AZ198">
        <f ca="1"/>
      </c>
      <c r="BA198">
        <f ca="1"/>
      </c>
      <c r="BB198">
        <f ca="1"/>
      </c>
      <c r="BC198">
        <f ca="1"/>
      </c>
      <c r="BD198">
        <f ca="1"/>
      </c>
      <c r="BE198">
        <f ca="1"/>
      </c>
      <c r="BF198">
        <f ca="1"/>
      </c>
      <c r="BG198">
        <f ca="1"/>
      </c>
      <c r="BH198">
        <f ca="1"/>
      </c>
      <c r="BI198">
        <f ca="1"/>
      </c>
      <c r="BJ198">
        <f ca="1"/>
      </c>
      <c r="BK198">
        <f ca="1"/>
      </c>
      <c r="BL198">
        <f ca="1"/>
      </c>
      <c r="BM198">
        <f ca="1"/>
      </c>
      <c r="BN198">
        <f ca="1"/>
      </c>
      <c r="BO198">
        <f ca="1"/>
      </c>
      <c r="BP198">
        <f ca="1"/>
      </c>
      <c r="BQ198">
        <f ca="1"/>
      </c>
      <c r="BR198">
        <f ca="1"/>
      </c>
      <c r="BS198">
        <f ca="1"/>
      </c>
      <c r="BT198">
        <f ca="1"/>
      </c>
      <c r="BU198">
        <f ca="1"/>
      </c>
      <c r="BV198">
        <f ca="1"/>
      </c>
      <c r="BW198">
        <f ca="1"/>
      </c>
      <c r="BX198">
        <f ca="1"/>
      </c>
      <c r="BY198">
        <f ca="1"/>
      </c>
      <c r="BZ198">
        <f ca="1"/>
      </c>
      <c r="CA198">
        <f ca="1"/>
      </c>
      <c r="CB198">
        <f ca="1"/>
      </c>
      <c r="CC198">
        <f ca="1"/>
      </c>
      <c r="CD198">
        <f ca="1"/>
      </c>
      <c r="CE198">
        <f ca="1"/>
      </c>
      <c r="CF198">
        <f ca="1"/>
      </c>
      <c r="CG198">
        <f ca="1"/>
      </c>
      <c r="CH198">
        <f ca="1"/>
      </c>
      <c r="CI198">
        <f ca="1"/>
      </c>
      <c r="CK198">
        <f ca="1"/>
      </c>
      <c r="CL198">
        <f ca="1"/>
      </c>
      <c r="CM198">
        <f ca="1"/>
      </c>
      <c r="CN198">
        <f ca="1"/>
      </c>
      <c r="CO198">
        <f ca="1"/>
      </c>
      <c r="CP198">
        <f ca="1"/>
      </c>
      <c r="CQ198">
        <f ca="1"/>
      </c>
      <c r="CR198">
        <f ca="1"/>
      </c>
      <c r="CS198">
        <f ca="1"/>
      </c>
      <c r="CT198">
        <f ca="1"/>
      </c>
      <c r="CU198">
        <f ca="1"/>
      </c>
      <c r="CV198">
        <f ca="1"/>
      </c>
      <c r="CW198">
        <f ca="1"/>
      </c>
      <c r="CX198">
        <f ca="1"/>
      </c>
      <c r="CY198">
        <f ca="1"/>
      </c>
      <c r="CZ198">
        <f ca="1"/>
      </c>
      <c r="DA198">
        <f ca="1"/>
      </c>
      <c r="DB198">
        <f ca="1"/>
      </c>
      <c r="DC198">
        <f ca="1"/>
      </c>
      <c r="DD198">
        <f ca="1"/>
      </c>
      <c r="DE198">
        <f ca="1"/>
      </c>
      <c r="DF198">
        <f ca="1"/>
      </c>
      <c r="DG198">
        <f ca="1"/>
      </c>
      <c r="DH198">
        <f ca="1"/>
      </c>
      <c r="DI198">
        <f ca="1"/>
      </c>
      <c r="DJ198">
        <f ca="1"/>
      </c>
      <c r="DK198">
        <f ca="1"/>
      </c>
      <c r="DL198">
        <f ca="1"/>
      </c>
      <c r="DM198">
        <f ca="1"/>
      </c>
      <c r="DN198">
        <f ca="1"/>
      </c>
      <c r="DO198">
        <f ca="1"/>
      </c>
      <c r="DP198">
        <f ca="1"/>
      </c>
      <c r="DQ198">
        <f ca="1"/>
      </c>
      <c r="DR198">
        <f ca="1"/>
      </c>
      <c r="DS198">
        <f ca="1"/>
      </c>
      <c r="DT198">
        <f ca="1"/>
      </c>
      <c r="DU198">
        <f ca="1"/>
      </c>
      <c r="DV198">
        <f ca="1"/>
      </c>
      <c r="DW198">
        <f ca="1"/>
      </c>
      <c r="DX198">
        <f ca="1"/>
      </c>
      <c r="DY198">
        <f ca="1"/>
      </c>
      <c r="DZ198">
        <f ca="1"/>
      </c>
      <c r="EA198">
        <f ca="1"/>
      </c>
      <c r="EB198">
        <f ca="1"/>
      </c>
      <c r="EC198">
        <f ca="1"/>
      </c>
      <c r="ED198">
        <f ca="1"/>
      </c>
      <c r="EE198">
        <f ca="1"/>
      </c>
      <c r="EG198">
        <f ca="1"/>
      </c>
      <c r="EH198">
        <f ca="1"/>
      </c>
      <c r="EI198">
        <f ca="1"/>
      </c>
      <c r="EJ198">
        <f ca="1"/>
      </c>
      <c r="EK198">
        <f ca="1"/>
      </c>
      <c r="EL198">
        <f ca="1"/>
      </c>
      <c r="EM198">
        <f ca="1"/>
      </c>
      <c r="EN198">
        <f ca="1"/>
      </c>
      <c r="EO198">
        <f ca="1"/>
      </c>
      <c r="EP198">
        <f ca="1"/>
      </c>
      <c r="EQ198">
        <f ca="1"/>
      </c>
      <c r="ER198">
        <f ca="1"/>
      </c>
      <c r="ES198">
        <f ca="1"/>
      </c>
      <c r="ET198">
        <f ca="1"/>
      </c>
      <c r="EU198">
        <f ca="1"/>
      </c>
      <c r="EV198">
        <f ca="1"/>
      </c>
      <c r="EW198">
        <f ca="1"/>
      </c>
      <c r="EX198">
        <f ca="1"/>
      </c>
      <c r="EY198">
        <f ca="1"/>
      </c>
      <c r="EZ198">
        <f ca="1"/>
      </c>
      <c r="FA198">
        <f ca="1"/>
      </c>
      <c r="FB198">
        <f ca="1"/>
      </c>
      <c r="FC198">
        <f ca="1"/>
      </c>
      <c r="FD198">
        <f ca="1"/>
      </c>
      <c r="FE198">
        <f ca="1"/>
      </c>
      <c r="FF198">
        <f ca="1"/>
      </c>
      <c r="FG198">
        <f ca="1"/>
      </c>
      <c r="FH198">
        <f ca="1"/>
      </c>
      <c r="FI198">
        <f ca="1"/>
      </c>
      <c r="FJ198">
        <f ca="1"/>
      </c>
      <c r="FK198">
        <f ca="1"/>
      </c>
      <c r="FL198">
        <f ca="1"/>
      </c>
      <c r="FM198">
        <f ca="1"/>
      </c>
      <c r="FN198">
        <f ca="1"/>
      </c>
      <c r="FO198">
        <f ca="1"/>
      </c>
      <c r="FP198">
        <f ca="1"/>
      </c>
      <c r="FQ198">
        <f ca="1"/>
      </c>
      <c r="FR198">
        <f ca="1"/>
      </c>
      <c r="FS198">
        <f ca="1"/>
      </c>
      <c r="FT198">
        <f ca="1"/>
      </c>
      <c r="FU198">
        <f ca="1"/>
      </c>
      <c r="FV198">
        <f ca="1"/>
      </c>
      <c r="FW198">
        <f ca="1"/>
      </c>
      <c r="FX198">
        <f ca="1"/>
      </c>
      <c r="FY198">
        <f ca="1"/>
      </c>
      <c r="FZ198">
        <f ca="1"/>
      </c>
      <c r="GA198">
        <f ca="1"/>
      </c>
      <c r="GM198" s="7">
        <f ca="1"/>
      </c>
      <c r="GN198">
        <f ca="1"/>
      </c>
      <c r="GO198">
        <f ca="1"/>
      </c>
      <c r="GP198">
        <f ca="1"/>
      </c>
      <c r="GQ198">
        <f ca="1"/>
      </c>
    </row>
    <row r="199" spans="41:199" x14ac:dyDescent="0.55000000000000004">
      <c r="AO199">
        <f ca="1"/>
      </c>
      <c r="AP199">
        <f ca="1"/>
      </c>
      <c r="AQ199">
        <f ca="1"/>
      </c>
      <c r="AR199">
        <f ca="1"/>
      </c>
      <c r="AS199">
        <f ca="1"/>
      </c>
      <c r="AT199">
        <f ca="1"/>
      </c>
      <c r="AU199">
        <f ca="1"/>
      </c>
      <c r="AV199">
        <f ca="1"/>
      </c>
      <c r="AW199">
        <f ca="1"/>
      </c>
      <c r="AX199">
        <f ca="1"/>
      </c>
      <c r="AY199">
        <f ca="1"/>
      </c>
      <c r="AZ199">
        <f ca="1"/>
      </c>
      <c r="BA199">
        <f ca="1"/>
      </c>
      <c r="BB199">
        <f ca="1"/>
      </c>
      <c r="BC199">
        <f ca="1"/>
      </c>
      <c r="BD199">
        <f ca="1"/>
      </c>
      <c r="BE199">
        <f ca="1"/>
      </c>
      <c r="BF199">
        <f ca="1"/>
      </c>
      <c r="BG199">
        <f ca="1"/>
      </c>
      <c r="BH199">
        <f ca="1"/>
      </c>
      <c r="BI199">
        <f ca="1"/>
      </c>
      <c r="BJ199">
        <f ca="1"/>
      </c>
      <c r="BK199">
        <f ca="1"/>
      </c>
      <c r="BL199">
        <f ca="1"/>
      </c>
      <c r="BM199">
        <f ca="1"/>
      </c>
      <c r="BN199">
        <f ca="1"/>
      </c>
      <c r="BO199">
        <f ca="1"/>
      </c>
      <c r="BP199">
        <f ca="1"/>
      </c>
      <c r="BQ199">
        <f ca="1"/>
      </c>
      <c r="BR199">
        <f ca="1"/>
      </c>
      <c r="BS199">
        <f ca="1"/>
      </c>
      <c r="BT199">
        <f ca="1"/>
      </c>
      <c r="BU199">
        <f ca="1"/>
      </c>
      <c r="BV199">
        <f ca="1"/>
      </c>
      <c r="BW199">
        <f ca="1"/>
      </c>
      <c r="BX199">
        <f ca="1"/>
      </c>
      <c r="BY199">
        <f ca="1"/>
      </c>
      <c r="BZ199">
        <f ca="1"/>
      </c>
      <c r="CA199">
        <f ca="1"/>
      </c>
      <c r="CB199">
        <f ca="1"/>
      </c>
      <c r="CC199">
        <f ca="1"/>
      </c>
      <c r="CD199">
        <f ca="1"/>
      </c>
      <c r="CE199">
        <f ca="1"/>
      </c>
      <c r="CF199">
        <f ca="1"/>
      </c>
      <c r="CG199">
        <f ca="1"/>
      </c>
      <c r="CH199">
        <f ca="1"/>
      </c>
      <c r="CI199">
        <f ca="1"/>
      </c>
      <c r="CK199">
        <f ca="1"/>
      </c>
      <c r="CL199">
        <f ca="1"/>
      </c>
      <c r="CM199">
        <f ca="1"/>
      </c>
      <c r="CN199">
        <f ca="1"/>
      </c>
      <c r="CO199">
        <f ca="1"/>
      </c>
      <c r="CP199">
        <f ca="1"/>
      </c>
      <c r="CQ199">
        <f ca="1"/>
      </c>
      <c r="CR199">
        <f ca="1"/>
      </c>
      <c r="CS199">
        <f ca="1"/>
      </c>
      <c r="CT199">
        <f ca="1"/>
      </c>
      <c r="CU199">
        <f ca="1"/>
      </c>
      <c r="CV199">
        <f ca="1"/>
      </c>
      <c r="CW199">
        <f ca="1"/>
      </c>
      <c r="CX199">
        <f ca="1"/>
      </c>
      <c r="CY199">
        <f ca="1"/>
      </c>
      <c r="CZ199">
        <f ca="1"/>
      </c>
      <c r="DA199">
        <f ca="1"/>
      </c>
      <c r="DB199">
        <f ca="1"/>
      </c>
      <c r="DC199">
        <f ca="1"/>
      </c>
      <c r="DD199">
        <f ca="1"/>
      </c>
      <c r="DE199">
        <f ca="1"/>
      </c>
      <c r="DF199">
        <f ca="1"/>
      </c>
      <c r="DG199">
        <f ca="1"/>
      </c>
      <c r="DH199">
        <f ca="1"/>
      </c>
      <c r="DI199">
        <f ca="1"/>
      </c>
      <c r="DJ199">
        <f ca="1"/>
      </c>
      <c r="DK199">
        <f ca="1"/>
      </c>
      <c r="DL199">
        <f ca="1"/>
      </c>
      <c r="DM199">
        <f ca="1"/>
      </c>
      <c r="DN199">
        <f ca="1"/>
      </c>
      <c r="DO199">
        <f ca="1"/>
      </c>
      <c r="DP199">
        <f ca="1"/>
      </c>
      <c r="DQ199">
        <f ca="1"/>
      </c>
      <c r="DR199">
        <f ca="1"/>
      </c>
      <c r="DS199">
        <f ca="1"/>
      </c>
      <c r="DT199">
        <f ca="1"/>
      </c>
      <c r="DU199">
        <f ca="1"/>
      </c>
      <c r="DV199">
        <f ca="1"/>
      </c>
      <c r="DW199">
        <f ca="1"/>
      </c>
      <c r="DX199">
        <f ca="1"/>
      </c>
      <c r="DY199">
        <f ca="1"/>
      </c>
      <c r="DZ199">
        <f ca="1"/>
      </c>
      <c r="EA199">
        <f ca="1"/>
      </c>
      <c r="EB199">
        <f ca="1"/>
      </c>
      <c r="EC199">
        <f ca="1"/>
      </c>
      <c r="ED199">
        <f ca="1"/>
      </c>
      <c r="EE199">
        <f ca="1"/>
      </c>
      <c r="EG199">
        <f ca="1"/>
      </c>
      <c r="EH199">
        <f ca="1"/>
      </c>
      <c r="EI199">
        <f ca="1"/>
      </c>
      <c r="EJ199">
        <f ca="1"/>
      </c>
      <c r="EK199">
        <f ca="1"/>
      </c>
      <c r="EL199">
        <f ca="1"/>
      </c>
      <c r="EM199">
        <f ca="1"/>
      </c>
      <c r="EN199">
        <f ca="1"/>
      </c>
      <c r="EO199">
        <f ca="1"/>
      </c>
      <c r="EP199">
        <f ca="1"/>
      </c>
      <c r="EQ199">
        <f ca="1"/>
      </c>
      <c r="ER199">
        <f ca="1"/>
      </c>
      <c r="ES199">
        <f ca="1"/>
      </c>
      <c r="ET199">
        <f ca="1"/>
      </c>
      <c r="EU199">
        <f ca="1"/>
      </c>
      <c r="EV199">
        <f ca="1"/>
      </c>
      <c r="EW199">
        <f ca="1"/>
      </c>
      <c r="EX199">
        <f ca="1"/>
      </c>
      <c r="EY199">
        <f ca="1"/>
      </c>
      <c r="EZ199">
        <f ca="1"/>
      </c>
      <c r="FA199">
        <f ca="1"/>
      </c>
      <c r="FB199">
        <f ca="1"/>
      </c>
      <c r="FC199">
        <f ca="1"/>
      </c>
      <c r="FD199">
        <f ca="1"/>
      </c>
      <c r="FE199">
        <f ca="1"/>
      </c>
      <c r="FF199">
        <f ca="1"/>
      </c>
      <c r="FG199">
        <f ca="1"/>
      </c>
      <c r="FH199">
        <f ca="1"/>
      </c>
      <c r="FI199">
        <f ca="1"/>
      </c>
      <c r="FJ199">
        <f ca="1"/>
      </c>
      <c r="FK199">
        <f ca="1"/>
      </c>
      <c r="FL199">
        <f ca="1"/>
      </c>
      <c r="FM199">
        <f ca="1"/>
      </c>
      <c r="FN199">
        <f ca="1"/>
      </c>
      <c r="FO199">
        <f ca="1"/>
      </c>
      <c r="FP199">
        <f ca="1"/>
      </c>
      <c r="FQ199">
        <f ca="1"/>
      </c>
      <c r="FR199">
        <f ca="1"/>
      </c>
      <c r="FS199">
        <f ca="1"/>
      </c>
      <c r="FT199">
        <f ca="1"/>
      </c>
      <c r="FU199">
        <f ca="1"/>
      </c>
      <c r="FV199">
        <f ca="1"/>
      </c>
      <c r="FW199">
        <f ca="1"/>
      </c>
      <c r="FX199">
        <f ca="1"/>
      </c>
      <c r="FY199">
        <f ca="1"/>
      </c>
      <c r="FZ199">
        <f ca="1"/>
      </c>
      <c r="GA199">
        <f ca="1"/>
      </c>
      <c r="GM199" s="7">
        <f ca="1"/>
      </c>
      <c r="GN199">
        <f ca="1"/>
      </c>
      <c r="GO199">
        <f ca="1"/>
      </c>
      <c r="GP199">
        <f ca="1"/>
      </c>
      <c r="GQ199">
        <f ca="1"/>
      </c>
    </row>
    <row r="200" spans="41:199" x14ac:dyDescent="0.55000000000000004">
      <c r="AO200">
        <f ca="1"/>
      </c>
      <c r="AP200">
        <f ca="1"/>
      </c>
      <c r="AQ200">
        <f ca="1"/>
      </c>
      <c r="AR200">
        <f ca="1"/>
      </c>
      <c r="AS200">
        <f ca="1"/>
      </c>
      <c r="AT200">
        <f ca="1"/>
      </c>
      <c r="AU200">
        <f ca="1"/>
      </c>
      <c r="AV200">
        <f ca="1"/>
      </c>
      <c r="AW200">
        <f ca="1"/>
      </c>
      <c r="AX200">
        <f ca="1"/>
      </c>
      <c r="AY200">
        <f ca="1"/>
      </c>
      <c r="AZ200">
        <f ca="1"/>
      </c>
      <c r="BA200">
        <f ca="1"/>
      </c>
      <c r="BB200">
        <f ca="1"/>
      </c>
      <c r="BC200">
        <f ca="1"/>
      </c>
      <c r="BD200">
        <f ca="1"/>
      </c>
      <c r="BE200">
        <f ca="1"/>
      </c>
      <c r="BF200">
        <f ca="1"/>
      </c>
      <c r="BG200">
        <f ca="1"/>
      </c>
      <c r="BH200">
        <f ca="1"/>
      </c>
      <c r="BI200">
        <f ca="1"/>
      </c>
      <c r="BJ200">
        <f ca="1"/>
      </c>
      <c r="BK200">
        <f ca="1"/>
      </c>
      <c r="BL200">
        <f ca="1"/>
      </c>
      <c r="BM200">
        <f ca="1"/>
      </c>
      <c r="BN200">
        <f ca="1"/>
      </c>
      <c r="BO200">
        <f ca="1"/>
      </c>
      <c r="BP200">
        <f ca="1"/>
      </c>
      <c r="BQ200">
        <f ca="1"/>
      </c>
      <c r="BR200">
        <f ca="1"/>
      </c>
      <c r="BS200">
        <f ca="1"/>
      </c>
      <c r="BT200">
        <f ca="1"/>
      </c>
      <c r="BU200">
        <f ca="1"/>
      </c>
      <c r="BV200">
        <f ca="1"/>
      </c>
      <c r="BW200">
        <f ca="1"/>
      </c>
      <c r="BX200">
        <f ca="1"/>
      </c>
      <c r="BY200">
        <f ca="1"/>
      </c>
      <c r="BZ200">
        <f ca="1"/>
      </c>
      <c r="CA200">
        <f ca="1"/>
      </c>
      <c r="CB200">
        <f ca="1"/>
      </c>
      <c r="CC200">
        <f ca="1"/>
      </c>
      <c r="CD200">
        <f ca="1"/>
      </c>
      <c r="CE200">
        <f ca="1"/>
      </c>
      <c r="CF200">
        <f ca="1"/>
      </c>
      <c r="CG200">
        <f ca="1"/>
      </c>
      <c r="CH200">
        <f ca="1"/>
      </c>
      <c r="CI200">
        <f ca="1"/>
      </c>
      <c r="CK200">
        <f ca="1"/>
      </c>
      <c r="CL200">
        <f ca="1"/>
      </c>
      <c r="CM200">
        <f ca="1"/>
      </c>
      <c r="CN200">
        <f ca="1"/>
      </c>
      <c r="CO200">
        <f ca="1"/>
      </c>
      <c r="CP200">
        <f ca="1"/>
      </c>
      <c r="CQ200">
        <f ca="1"/>
      </c>
      <c r="CR200">
        <f ca="1"/>
      </c>
      <c r="CS200">
        <f ca="1"/>
      </c>
      <c r="CT200">
        <f ca="1"/>
      </c>
      <c r="CU200">
        <f ca="1"/>
      </c>
      <c r="CV200">
        <f ca="1"/>
      </c>
      <c r="CW200">
        <f ca="1"/>
      </c>
      <c r="CX200">
        <f ca="1"/>
      </c>
      <c r="CY200">
        <f ca="1"/>
      </c>
      <c r="CZ200">
        <f ca="1"/>
      </c>
      <c r="DA200">
        <f ca="1"/>
      </c>
      <c r="DB200">
        <f ca="1"/>
      </c>
      <c r="DC200">
        <f ca="1"/>
      </c>
      <c r="DD200">
        <f ca="1"/>
      </c>
      <c r="DE200">
        <f ca="1"/>
      </c>
      <c r="DF200">
        <f ca="1"/>
      </c>
      <c r="DG200">
        <f ca="1"/>
      </c>
      <c r="DH200">
        <f ca="1"/>
      </c>
      <c r="DI200">
        <f ca="1"/>
      </c>
      <c r="DJ200">
        <f ca="1"/>
      </c>
      <c r="DK200">
        <f ca="1"/>
      </c>
      <c r="DL200">
        <f ca="1"/>
      </c>
      <c r="DM200">
        <f ca="1"/>
      </c>
      <c r="DN200">
        <f ca="1"/>
      </c>
      <c r="DO200">
        <f ca="1"/>
      </c>
      <c r="DP200">
        <f ca="1"/>
      </c>
      <c r="DQ200">
        <f ca="1"/>
      </c>
      <c r="DR200">
        <f ca="1"/>
      </c>
      <c r="DS200">
        <f ca="1"/>
      </c>
      <c r="DT200">
        <f ca="1"/>
      </c>
      <c r="DU200">
        <f ca="1"/>
      </c>
      <c r="DV200">
        <f ca="1"/>
      </c>
      <c r="DW200">
        <f ca="1"/>
      </c>
      <c r="DX200">
        <f ca="1"/>
      </c>
      <c r="DY200">
        <f ca="1"/>
      </c>
      <c r="DZ200">
        <f ca="1"/>
      </c>
      <c r="EA200">
        <f ca="1"/>
      </c>
      <c r="EB200">
        <f ca="1"/>
      </c>
      <c r="EC200">
        <f ca="1"/>
      </c>
      <c r="ED200">
        <f ca="1"/>
      </c>
      <c r="EE200">
        <f ca="1"/>
      </c>
      <c r="EG200">
        <f ca="1"/>
      </c>
      <c r="EH200">
        <f ca="1"/>
      </c>
      <c r="EI200">
        <f ca="1"/>
      </c>
      <c r="EJ200">
        <f ca="1"/>
      </c>
      <c r="EK200">
        <f ca="1"/>
      </c>
      <c r="EL200">
        <f ca="1"/>
      </c>
      <c r="EM200">
        <f ca="1"/>
      </c>
      <c r="EN200">
        <f ca="1"/>
      </c>
      <c r="EO200">
        <f ca="1"/>
      </c>
      <c r="EP200">
        <f ca="1"/>
      </c>
      <c r="EQ200">
        <f ca="1"/>
      </c>
      <c r="ER200">
        <f ca="1"/>
      </c>
      <c r="ES200">
        <f ca="1"/>
      </c>
      <c r="ET200">
        <f ca="1"/>
      </c>
      <c r="EU200">
        <f ca="1"/>
      </c>
      <c r="EV200">
        <f ca="1"/>
      </c>
      <c r="EW200">
        <f ca="1"/>
      </c>
      <c r="EX200">
        <f ca="1"/>
      </c>
      <c r="EY200">
        <f ca="1"/>
      </c>
      <c r="EZ200">
        <f ca="1"/>
      </c>
      <c r="FA200">
        <f ca="1"/>
      </c>
      <c r="FB200">
        <f ca="1"/>
      </c>
      <c r="FC200">
        <f ca="1"/>
      </c>
      <c r="FD200">
        <f ca="1"/>
      </c>
      <c r="FE200">
        <f ca="1"/>
      </c>
      <c r="FF200">
        <f ca="1"/>
      </c>
      <c r="FG200">
        <f ca="1"/>
      </c>
      <c r="FH200">
        <f ca="1"/>
      </c>
      <c r="FI200">
        <f ca="1"/>
      </c>
      <c r="FJ200">
        <f ca="1"/>
      </c>
      <c r="FK200">
        <f ca="1"/>
      </c>
      <c r="FL200">
        <f ca="1"/>
      </c>
      <c r="FM200">
        <f ca="1"/>
      </c>
      <c r="FN200">
        <f ca="1"/>
      </c>
      <c r="FO200">
        <f ca="1"/>
      </c>
      <c r="FP200">
        <f ca="1"/>
      </c>
      <c r="FQ200">
        <f ca="1"/>
      </c>
      <c r="FR200">
        <f ca="1"/>
      </c>
      <c r="FS200">
        <f ca="1"/>
      </c>
      <c r="FT200">
        <f ca="1"/>
      </c>
      <c r="FU200">
        <f ca="1"/>
      </c>
      <c r="FV200">
        <f ca="1"/>
      </c>
      <c r="FW200">
        <f ca="1"/>
      </c>
      <c r="FX200">
        <f ca="1"/>
      </c>
      <c r="FY200">
        <f ca="1"/>
      </c>
      <c r="FZ200">
        <f ca="1"/>
      </c>
      <c r="GA200">
        <f ca="1"/>
      </c>
      <c r="GM200" s="7">
        <f ca="1"/>
      </c>
      <c r="GN200">
        <f ca="1"/>
      </c>
      <c r="GO200">
        <f ca="1"/>
      </c>
      <c r="GP200">
        <f ca="1"/>
      </c>
      <c r="GQ200">
        <f ca="1"/>
      </c>
    </row>
    <row r="201" spans="41:199" x14ac:dyDescent="0.55000000000000004">
      <c r="AO201">
        <f ca="1"/>
      </c>
      <c r="AP201">
        <f ca="1"/>
      </c>
      <c r="AQ201">
        <f ca="1"/>
      </c>
      <c r="AR201">
        <f ca="1"/>
      </c>
      <c r="AS201">
        <f ca="1"/>
      </c>
      <c r="AT201">
        <f ca="1"/>
      </c>
      <c r="AU201">
        <f ca="1"/>
      </c>
      <c r="AV201">
        <f ca="1"/>
      </c>
      <c r="AW201">
        <f ca="1"/>
      </c>
      <c r="AX201">
        <f ca="1"/>
      </c>
      <c r="AY201">
        <f ca="1"/>
      </c>
      <c r="AZ201">
        <f ca="1"/>
      </c>
      <c r="BA201">
        <f ca="1"/>
      </c>
      <c r="BB201">
        <f ca="1"/>
      </c>
      <c r="BC201">
        <f ca="1"/>
      </c>
      <c r="BD201">
        <f ca="1"/>
      </c>
      <c r="BE201">
        <f ca="1"/>
      </c>
      <c r="BF201">
        <f ca="1"/>
      </c>
      <c r="BG201">
        <f ca="1"/>
      </c>
      <c r="BH201">
        <f ca="1"/>
      </c>
      <c r="BI201">
        <f ca="1"/>
      </c>
      <c r="BJ201">
        <f ca="1"/>
      </c>
      <c r="BK201">
        <f ca="1"/>
      </c>
      <c r="BL201">
        <f ca="1"/>
      </c>
      <c r="BM201">
        <f ca="1"/>
      </c>
      <c r="BN201">
        <f ca="1"/>
      </c>
      <c r="BO201">
        <f ca="1"/>
      </c>
      <c r="BP201">
        <f ca="1"/>
      </c>
      <c r="BQ201">
        <f ca="1"/>
      </c>
      <c r="BR201">
        <f ca="1"/>
      </c>
      <c r="BS201">
        <f ca="1"/>
      </c>
      <c r="BT201">
        <f ca="1"/>
      </c>
      <c r="BU201">
        <f ca="1"/>
      </c>
      <c r="BV201">
        <f ca="1"/>
      </c>
      <c r="BW201">
        <f ca="1"/>
      </c>
      <c r="BX201">
        <f ca="1"/>
      </c>
      <c r="BY201">
        <f ca="1"/>
      </c>
      <c r="BZ201">
        <f ca="1"/>
      </c>
      <c r="CA201">
        <f ca="1"/>
      </c>
      <c r="CB201">
        <f ca="1"/>
      </c>
      <c r="CC201">
        <f ca="1"/>
      </c>
      <c r="CD201">
        <f ca="1"/>
      </c>
      <c r="CE201">
        <f ca="1"/>
      </c>
      <c r="CF201">
        <f ca="1"/>
      </c>
      <c r="CG201">
        <f ca="1"/>
      </c>
      <c r="CH201">
        <f ca="1"/>
      </c>
      <c r="CI201">
        <f ca="1"/>
      </c>
      <c r="CK201">
        <f ca="1"/>
      </c>
      <c r="CL201">
        <f ca="1"/>
      </c>
      <c r="CM201">
        <f ca="1"/>
      </c>
      <c r="CN201">
        <f ca="1"/>
      </c>
      <c r="CO201">
        <f ca="1"/>
      </c>
      <c r="CP201">
        <f ca="1"/>
      </c>
      <c r="CQ201">
        <f ca="1"/>
      </c>
      <c r="CR201">
        <f ca="1"/>
      </c>
      <c r="CS201">
        <f ca="1"/>
      </c>
      <c r="CT201">
        <f ca="1"/>
      </c>
      <c r="CU201">
        <f ca="1"/>
      </c>
      <c r="CV201">
        <f ca="1"/>
      </c>
      <c r="CW201">
        <f ca="1"/>
      </c>
      <c r="CX201">
        <f ca="1"/>
      </c>
      <c r="CY201">
        <f ca="1"/>
      </c>
      <c r="CZ201">
        <f ca="1"/>
      </c>
      <c r="DA201">
        <f ca="1"/>
      </c>
      <c r="DB201">
        <f ca="1"/>
      </c>
      <c r="DC201">
        <f ca="1"/>
      </c>
      <c r="DD201">
        <f ca="1"/>
      </c>
      <c r="DE201">
        <f ca="1"/>
      </c>
      <c r="DF201">
        <f ca="1"/>
      </c>
      <c r="DG201">
        <f ca="1"/>
      </c>
      <c r="DH201">
        <f ca="1"/>
      </c>
      <c r="DI201">
        <f ca="1"/>
      </c>
      <c r="DJ201">
        <f ca="1"/>
      </c>
      <c r="DK201">
        <f ca="1"/>
      </c>
      <c r="DL201">
        <f ca="1"/>
      </c>
      <c r="DM201">
        <f ca="1"/>
      </c>
      <c r="DN201">
        <f ca="1"/>
      </c>
      <c r="DO201">
        <f ca="1"/>
      </c>
      <c r="DP201">
        <f ca="1"/>
      </c>
      <c r="DQ201">
        <f ca="1"/>
      </c>
      <c r="DR201">
        <f ca="1"/>
      </c>
      <c r="DS201">
        <f ca="1"/>
      </c>
      <c r="DT201">
        <f ca="1"/>
      </c>
      <c r="DU201">
        <f ca="1"/>
      </c>
      <c r="DV201">
        <f ca="1"/>
      </c>
      <c r="DW201">
        <f ca="1"/>
      </c>
      <c r="DX201">
        <f ca="1"/>
      </c>
      <c r="DY201">
        <f ca="1"/>
      </c>
      <c r="DZ201">
        <f ca="1"/>
      </c>
      <c r="EA201">
        <f ca="1"/>
      </c>
      <c r="EB201">
        <f ca="1"/>
      </c>
      <c r="EC201">
        <f ca="1"/>
      </c>
      <c r="ED201">
        <f ca="1"/>
      </c>
      <c r="EE201">
        <f ca="1"/>
      </c>
      <c r="EG201">
        <f ca="1"/>
      </c>
      <c r="EH201">
        <f ca="1"/>
      </c>
      <c r="EI201">
        <f ca="1"/>
      </c>
      <c r="EJ201">
        <f ca="1"/>
      </c>
      <c r="EK201">
        <f ca="1"/>
      </c>
      <c r="EL201">
        <f ca="1"/>
      </c>
      <c r="EM201">
        <f ca="1"/>
      </c>
      <c r="EN201">
        <f ca="1"/>
      </c>
      <c r="EO201">
        <f ca="1"/>
      </c>
      <c r="EP201">
        <f ca="1"/>
      </c>
      <c r="EQ201">
        <f ca="1"/>
      </c>
      <c r="ER201">
        <f ca="1"/>
      </c>
      <c r="ES201">
        <f ca="1"/>
      </c>
      <c r="ET201">
        <f ca="1"/>
      </c>
      <c r="EU201">
        <f ca="1"/>
      </c>
      <c r="EV201">
        <f ca="1"/>
      </c>
      <c r="EW201">
        <f ca="1"/>
      </c>
      <c r="EX201">
        <f ca="1"/>
      </c>
      <c r="EY201">
        <f ca="1"/>
      </c>
      <c r="EZ201">
        <f ca="1"/>
      </c>
      <c r="FA201">
        <f ca="1"/>
      </c>
      <c r="FB201">
        <f ca="1"/>
      </c>
      <c r="FC201">
        <f ca="1"/>
      </c>
      <c r="FD201">
        <f ca="1"/>
      </c>
      <c r="FE201">
        <f ca="1"/>
      </c>
      <c r="FF201">
        <f ca="1"/>
      </c>
      <c r="FG201">
        <f ca="1"/>
      </c>
      <c r="FH201">
        <f ca="1"/>
      </c>
      <c r="FI201">
        <f ca="1"/>
      </c>
      <c r="FJ201">
        <f ca="1"/>
      </c>
      <c r="FK201">
        <f ca="1"/>
      </c>
      <c r="FL201">
        <f ca="1"/>
      </c>
      <c r="FM201">
        <f ca="1"/>
      </c>
      <c r="FN201">
        <f ca="1"/>
      </c>
      <c r="FO201">
        <f ca="1"/>
      </c>
      <c r="FP201">
        <f ca="1"/>
      </c>
      <c r="FQ201">
        <f ca="1"/>
      </c>
      <c r="FR201">
        <f ca="1"/>
      </c>
      <c r="FS201">
        <f ca="1"/>
      </c>
      <c r="FT201">
        <f ca="1"/>
      </c>
      <c r="FU201">
        <f ca="1"/>
      </c>
      <c r="FV201">
        <f ca="1"/>
      </c>
      <c r="FW201">
        <f ca="1"/>
      </c>
      <c r="FX201">
        <f ca="1"/>
      </c>
      <c r="FY201">
        <f ca="1"/>
      </c>
      <c r="FZ201">
        <f ca="1"/>
      </c>
      <c r="GA201">
        <f ca="1"/>
      </c>
      <c r="GM201" s="7">
        <f ca="1"/>
      </c>
      <c r="GN201">
        <f ca="1"/>
      </c>
      <c r="GO201">
        <f ca="1"/>
      </c>
      <c r="GP201">
        <f ca="1"/>
      </c>
      <c r="GQ201">
        <f ca="1"/>
      </c>
    </row>
    <row r="202" spans="41:199" x14ac:dyDescent="0.55000000000000004">
      <c r="AO202">
        <f ca="1"/>
      </c>
      <c r="AP202">
        <f ca="1"/>
      </c>
      <c r="AQ202">
        <f ca="1"/>
      </c>
      <c r="AR202">
        <f ca="1"/>
      </c>
      <c r="AS202">
        <f ca="1"/>
      </c>
      <c r="AT202">
        <f ca="1"/>
      </c>
      <c r="AU202">
        <f ca="1"/>
      </c>
      <c r="AV202">
        <f ca="1"/>
      </c>
      <c r="AW202">
        <f ca="1"/>
      </c>
      <c r="AX202">
        <f ca="1"/>
      </c>
      <c r="AY202">
        <f ca="1"/>
      </c>
      <c r="AZ202">
        <f ca="1"/>
      </c>
      <c r="BA202">
        <f ca="1"/>
      </c>
      <c r="BB202">
        <f ca="1"/>
      </c>
      <c r="BC202">
        <f ca="1"/>
      </c>
      <c r="BD202">
        <f ca="1"/>
      </c>
      <c r="BE202">
        <f ca="1"/>
      </c>
      <c r="BF202">
        <f ca="1"/>
      </c>
      <c r="BG202">
        <f ca="1"/>
      </c>
      <c r="BH202">
        <f ca="1"/>
      </c>
      <c r="BI202">
        <f ca="1"/>
      </c>
      <c r="BJ202">
        <f ca="1"/>
      </c>
      <c r="BK202">
        <f ca="1"/>
      </c>
      <c r="BL202">
        <f ca="1"/>
      </c>
      <c r="BM202">
        <f ca="1"/>
      </c>
      <c r="BN202">
        <f ca="1"/>
      </c>
      <c r="BO202">
        <f ca="1"/>
      </c>
      <c r="BP202">
        <f ca="1"/>
      </c>
      <c r="BQ202">
        <f ca="1"/>
      </c>
      <c r="BR202">
        <f ca="1"/>
      </c>
      <c r="BS202">
        <f ca="1"/>
      </c>
      <c r="BT202">
        <f ca="1"/>
      </c>
      <c r="BU202">
        <f ca="1"/>
      </c>
      <c r="BV202">
        <f ca="1"/>
      </c>
      <c r="BW202">
        <f ca="1"/>
      </c>
      <c r="BX202">
        <f ca="1"/>
      </c>
      <c r="BY202">
        <f ca="1"/>
      </c>
      <c r="BZ202">
        <f ca="1"/>
      </c>
      <c r="CA202">
        <f ca="1"/>
      </c>
      <c r="CB202">
        <f ca="1"/>
      </c>
      <c r="CC202">
        <f ca="1"/>
      </c>
      <c r="CD202">
        <f ca="1"/>
      </c>
      <c r="CE202">
        <f ca="1"/>
      </c>
      <c r="CF202">
        <f ca="1"/>
      </c>
      <c r="CG202">
        <f ca="1"/>
      </c>
      <c r="CH202">
        <f ca="1"/>
      </c>
      <c r="CI202">
        <f ca="1"/>
      </c>
      <c r="CK202">
        <f ca="1"/>
      </c>
      <c r="CL202">
        <f ca="1"/>
      </c>
      <c r="CM202">
        <f ca="1"/>
      </c>
      <c r="CN202">
        <f ca="1"/>
      </c>
      <c r="CO202">
        <f ca="1"/>
      </c>
      <c r="CP202">
        <f ca="1"/>
      </c>
      <c r="CQ202">
        <f ca="1"/>
      </c>
      <c r="CR202">
        <f ca="1"/>
      </c>
      <c r="CS202">
        <f ca="1"/>
      </c>
      <c r="CT202">
        <f ca="1"/>
      </c>
      <c r="CU202">
        <f ca="1"/>
      </c>
      <c r="CV202">
        <f ca="1"/>
      </c>
      <c r="CW202">
        <f ca="1"/>
      </c>
      <c r="CX202">
        <f ca="1"/>
      </c>
      <c r="CY202">
        <f ca="1"/>
      </c>
      <c r="CZ202">
        <f ca="1"/>
      </c>
      <c r="DA202">
        <f ca="1"/>
      </c>
      <c r="DB202">
        <f ca="1"/>
      </c>
      <c r="DC202">
        <f ca="1"/>
      </c>
      <c r="DD202">
        <f ca="1"/>
      </c>
      <c r="DE202">
        <f ca="1"/>
      </c>
      <c r="DF202">
        <f ca="1"/>
      </c>
      <c r="DG202">
        <f ca="1"/>
      </c>
      <c r="DH202">
        <f ca="1"/>
      </c>
      <c r="DI202">
        <f ca="1"/>
      </c>
      <c r="DJ202">
        <f ca="1"/>
      </c>
      <c r="DK202">
        <f ca="1"/>
      </c>
      <c r="DL202">
        <f ca="1"/>
      </c>
      <c r="DM202">
        <f ca="1"/>
      </c>
      <c r="DN202">
        <f ca="1"/>
      </c>
      <c r="DO202">
        <f ca="1"/>
      </c>
      <c r="DP202">
        <f ca="1"/>
      </c>
      <c r="DQ202">
        <f ca="1"/>
      </c>
      <c r="DR202">
        <f ca="1"/>
      </c>
      <c r="DS202">
        <f ca="1"/>
      </c>
      <c r="DT202">
        <f ca="1"/>
      </c>
      <c r="DU202">
        <f ca="1"/>
      </c>
      <c r="DV202">
        <f ca="1"/>
      </c>
      <c r="DW202">
        <f ca="1"/>
      </c>
      <c r="DX202">
        <f ca="1"/>
      </c>
      <c r="DY202">
        <f ca="1"/>
      </c>
      <c r="DZ202">
        <f ca="1"/>
      </c>
      <c r="EA202">
        <f ca="1"/>
      </c>
      <c r="EB202">
        <f ca="1"/>
      </c>
      <c r="EC202">
        <f ca="1"/>
      </c>
      <c r="ED202">
        <f ca="1"/>
      </c>
      <c r="EE202">
        <f ca="1"/>
      </c>
      <c r="EG202">
        <f ca="1"/>
      </c>
      <c r="EH202">
        <f ca="1"/>
      </c>
      <c r="EI202">
        <f ca="1"/>
      </c>
      <c r="EJ202">
        <f ca="1"/>
      </c>
      <c r="EK202">
        <f ca="1"/>
      </c>
      <c r="EL202">
        <f ca="1"/>
      </c>
      <c r="EM202">
        <f ca="1"/>
      </c>
      <c r="EN202">
        <f ca="1"/>
      </c>
      <c r="EO202">
        <f ca="1"/>
      </c>
      <c r="EP202">
        <f ca="1"/>
      </c>
      <c r="EQ202">
        <f ca="1"/>
      </c>
      <c r="ER202">
        <f ca="1"/>
      </c>
      <c r="ES202">
        <f ca="1"/>
      </c>
      <c r="ET202">
        <f ca="1"/>
      </c>
      <c r="EU202">
        <f ca="1"/>
      </c>
      <c r="EV202">
        <f ca="1"/>
      </c>
      <c r="EW202">
        <f ca="1"/>
      </c>
      <c r="EX202">
        <f ca="1"/>
      </c>
      <c r="EY202">
        <f ca="1"/>
      </c>
      <c r="EZ202">
        <f ca="1"/>
      </c>
      <c r="FA202">
        <f ca="1"/>
      </c>
      <c r="FB202">
        <f ca="1"/>
      </c>
      <c r="FC202">
        <f ca="1"/>
      </c>
      <c r="FD202">
        <f ca="1"/>
      </c>
      <c r="FE202">
        <f ca="1"/>
      </c>
      <c r="FF202">
        <f ca="1"/>
      </c>
      <c r="FG202">
        <f ca="1"/>
      </c>
      <c r="FH202">
        <f ca="1"/>
      </c>
      <c r="FI202">
        <f ca="1"/>
      </c>
      <c r="FJ202">
        <f ca="1"/>
      </c>
      <c r="FK202">
        <f ca="1"/>
      </c>
      <c r="FL202">
        <f ca="1"/>
      </c>
      <c r="FM202">
        <f ca="1"/>
      </c>
      <c r="FN202">
        <f ca="1"/>
      </c>
      <c r="FO202">
        <f ca="1"/>
      </c>
      <c r="FP202">
        <f ca="1"/>
      </c>
      <c r="FQ202">
        <f ca="1"/>
      </c>
      <c r="FR202">
        <f ca="1"/>
      </c>
      <c r="FS202">
        <f ca="1"/>
      </c>
      <c r="FT202">
        <f ca="1"/>
      </c>
      <c r="FU202">
        <f ca="1"/>
      </c>
      <c r="FV202">
        <f ca="1"/>
      </c>
      <c r="FW202">
        <f ca="1"/>
      </c>
      <c r="FX202">
        <f ca="1"/>
      </c>
      <c r="FY202">
        <f ca="1"/>
      </c>
      <c r="FZ202">
        <f ca="1"/>
      </c>
      <c r="GA202">
        <f ca="1"/>
      </c>
      <c r="GM202" s="7">
        <f ca="1"/>
      </c>
      <c r="GN202">
        <f ca="1"/>
      </c>
      <c r="GO202">
        <f ca="1"/>
      </c>
      <c r="GP202">
        <f ca="1"/>
      </c>
      <c r="GQ202">
        <f ca="1"/>
      </c>
    </row>
    <row r="203" spans="41:199" x14ac:dyDescent="0.55000000000000004">
      <c r="AO203">
        <f ca="1"/>
      </c>
      <c r="AP203">
        <f ca="1"/>
      </c>
      <c r="AQ203">
        <f ca="1"/>
      </c>
      <c r="AR203">
        <f ca="1"/>
      </c>
      <c r="AS203">
        <f ca="1"/>
      </c>
      <c r="AT203">
        <f ca="1"/>
      </c>
      <c r="AU203">
        <f ca="1"/>
      </c>
      <c r="AV203">
        <f ca="1"/>
      </c>
      <c r="AW203">
        <f ca="1"/>
      </c>
      <c r="AX203">
        <f ca="1"/>
      </c>
      <c r="AY203">
        <f ca="1"/>
      </c>
      <c r="AZ203">
        <f ca="1"/>
      </c>
      <c r="BA203">
        <f ca="1"/>
      </c>
      <c r="BB203">
        <f ca="1"/>
      </c>
      <c r="BC203">
        <f ca="1"/>
      </c>
      <c r="BD203">
        <f ca="1"/>
      </c>
      <c r="BE203">
        <f ca="1"/>
      </c>
      <c r="BF203">
        <f ca="1"/>
      </c>
      <c r="BG203">
        <f ca="1"/>
      </c>
      <c r="BH203">
        <f ca="1"/>
      </c>
      <c r="BI203">
        <f ca="1"/>
      </c>
      <c r="BJ203">
        <f ca="1"/>
      </c>
      <c r="BK203">
        <f ca="1"/>
      </c>
      <c r="BL203">
        <f ca="1"/>
      </c>
      <c r="BM203">
        <f ca="1"/>
      </c>
      <c r="BN203">
        <f ca="1"/>
      </c>
      <c r="BO203">
        <f ca="1"/>
      </c>
      <c r="BP203">
        <f ca="1"/>
      </c>
      <c r="BQ203">
        <f ca="1"/>
      </c>
      <c r="BR203">
        <f ca="1"/>
      </c>
      <c r="BS203">
        <f ca="1"/>
      </c>
      <c r="BT203">
        <f ca="1"/>
      </c>
      <c r="BU203">
        <f ca="1"/>
      </c>
      <c r="BV203">
        <f ca="1"/>
      </c>
      <c r="BW203">
        <f ca="1"/>
      </c>
      <c r="BX203">
        <f ca="1"/>
      </c>
      <c r="BY203">
        <f ca="1"/>
      </c>
      <c r="BZ203">
        <f ca="1"/>
      </c>
      <c r="CA203">
        <f ca="1"/>
      </c>
      <c r="CB203">
        <f ca="1"/>
      </c>
      <c r="CC203">
        <f ca="1"/>
      </c>
      <c r="CD203">
        <f ca="1"/>
      </c>
      <c r="CE203">
        <f ca="1"/>
      </c>
      <c r="CF203">
        <f ca="1"/>
      </c>
      <c r="CG203">
        <f ca="1"/>
      </c>
      <c r="CH203">
        <f ca="1"/>
      </c>
      <c r="CI203">
        <f ca="1"/>
      </c>
      <c r="CK203">
        <f ca="1"/>
      </c>
      <c r="CL203">
        <f ca="1"/>
      </c>
      <c r="CM203">
        <f ca="1"/>
      </c>
      <c r="CN203">
        <f ca="1"/>
      </c>
      <c r="CO203">
        <f ca="1"/>
      </c>
      <c r="CP203">
        <f ca="1"/>
      </c>
      <c r="CQ203">
        <f ca="1"/>
      </c>
      <c r="CR203">
        <f ca="1"/>
      </c>
      <c r="CS203">
        <f ca="1"/>
      </c>
      <c r="CT203">
        <f ca="1"/>
      </c>
      <c r="CU203">
        <f ca="1"/>
      </c>
      <c r="CV203">
        <f ca="1"/>
      </c>
      <c r="CW203">
        <f ca="1"/>
      </c>
      <c r="CX203">
        <f ca="1"/>
      </c>
      <c r="CY203">
        <f ca="1"/>
      </c>
      <c r="CZ203">
        <f ca="1"/>
      </c>
      <c r="DA203">
        <f ca="1"/>
      </c>
      <c r="DB203">
        <f ca="1"/>
      </c>
      <c r="DC203">
        <f ca="1"/>
      </c>
      <c r="DD203">
        <f ca="1"/>
      </c>
      <c r="DE203">
        <f ca="1"/>
      </c>
      <c r="DF203">
        <f ca="1"/>
      </c>
      <c r="DG203">
        <f ca="1"/>
      </c>
      <c r="DH203">
        <f ca="1"/>
      </c>
      <c r="DI203">
        <f ca="1"/>
      </c>
      <c r="DJ203">
        <f ca="1"/>
      </c>
      <c r="DK203">
        <f ca="1"/>
      </c>
      <c r="DL203">
        <f ca="1"/>
      </c>
      <c r="DM203">
        <f ca="1"/>
      </c>
      <c r="DN203">
        <f ca="1"/>
      </c>
      <c r="DO203">
        <f ca="1"/>
      </c>
      <c r="DP203">
        <f ca="1"/>
      </c>
      <c r="DQ203">
        <f ca="1"/>
      </c>
      <c r="DR203">
        <f ca="1"/>
      </c>
      <c r="DS203">
        <f ca="1"/>
      </c>
      <c r="DT203">
        <f ca="1"/>
      </c>
      <c r="DU203">
        <f ca="1"/>
      </c>
      <c r="DV203">
        <f ca="1"/>
      </c>
      <c r="DW203">
        <f ca="1"/>
      </c>
      <c r="DX203">
        <f ca="1"/>
      </c>
      <c r="DY203">
        <f ca="1"/>
      </c>
      <c r="DZ203">
        <f ca="1"/>
      </c>
      <c r="EA203">
        <f ca="1"/>
      </c>
      <c r="EB203">
        <f ca="1"/>
      </c>
      <c r="EC203">
        <f ca="1"/>
      </c>
      <c r="ED203">
        <f ca="1"/>
      </c>
      <c r="EE203">
        <f ca="1"/>
      </c>
      <c r="EG203">
        <f ca="1"/>
      </c>
      <c r="EH203">
        <f ca="1"/>
      </c>
      <c r="EI203">
        <f ca="1"/>
      </c>
      <c r="EJ203">
        <f ca="1"/>
      </c>
      <c r="EK203">
        <f ca="1"/>
      </c>
      <c r="EL203">
        <f ca="1"/>
      </c>
      <c r="EM203">
        <f ca="1"/>
      </c>
      <c r="EN203">
        <f ca="1"/>
      </c>
      <c r="EO203">
        <f ca="1"/>
      </c>
      <c r="EP203">
        <f ca="1"/>
      </c>
      <c r="EQ203">
        <f ca="1"/>
      </c>
      <c r="ER203">
        <f ca="1"/>
      </c>
      <c r="ES203">
        <f ca="1"/>
      </c>
      <c r="ET203">
        <f ca="1"/>
      </c>
      <c r="EU203">
        <f ca="1"/>
      </c>
      <c r="EV203">
        <f ca="1"/>
      </c>
      <c r="EW203">
        <f ca="1"/>
      </c>
      <c r="EX203">
        <f ca="1"/>
      </c>
      <c r="EY203">
        <f ca="1"/>
      </c>
      <c r="EZ203">
        <f ca="1"/>
      </c>
      <c r="FA203">
        <f ca="1"/>
      </c>
      <c r="FB203">
        <f ca="1"/>
      </c>
      <c r="FC203">
        <f ca="1"/>
      </c>
      <c r="FD203">
        <f ca="1"/>
      </c>
      <c r="FE203">
        <f ca="1"/>
      </c>
      <c r="FF203">
        <f ca="1"/>
      </c>
      <c r="FG203">
        <f ca="1"/>
      </c>
      <c r="FH203">
        <f ca="1"/>
      </c>
      <c r="FI203">
        <f ca="1"/>
      </c>
      <c r="FJ203">
        <f ca="1"/>
      </c>
      <c r="FK203">
        <f ca="1"/>
      </c>
      <c r="FL203">
        <f ca="1"/>
      </c>
      <c r="FM203">
        <f ca="1"/>
      </c>
      <c r="FN203">
        <f ca="1"/>
      </c>
      <c r="FO203">
        <f ca="1"/>
      </c>
      <c r="FP203">
        <f ca="1"/>
      </c>
      <c r="FQ203">
        <f ca="1"/>
      </c>
      <c r="FR203">
        <f ca="1"/>
      </c>
      <c r="FS203">
        <f ca="1"/>
      </c>
      <c r="FT203">
        <f ca="1"/>
      </c>
      <c r="FU203">
        <f ca="1"/>
      </c>
      <c r="FV203">
        <f ca="1"/>
      </c>
      <c r="FW203">
        <f ca="1"/>
      </c>
      <c r="FX203">
        <f ca="1"/>
      </c>
      <c r="FY203">
        <f ca="1"/>
      </c>
      <c r="FZ203">
        <f ca="1"/>
      </c>
      <c r="GA203">
        <f ca="1"/>
      </c>
      <c r="GM203" s="7">
        <f ca="1"/>
      </c>
      <c r="GN203">
        <f ca="1"/>
      </c>
      <c r="GO203">
        <f ca="1"/>
      </c>
      <c r="GP203">
        <f ca="1"/>
      </c>
      <c r="GQ203">
        <f ca="1"/>
      </c>
    </row>
    <row r="204" spans="41:199" x14ac:dyDescent="0.55000000000000004">
      <c r="AO204">
        <f ca="1"/>
      </c>
      <c r="AP204">
        <f ca="1"/>
      </c>
      <c r="AQ204">
        <f ca="1"/>
      </c>
      <c r="AR204">
        <f ca="1"/>
      </c>
      <c r="AS204">
        <f ca="1"/>
      </c>
      <c r="AT204">
        <f ca="1"/>
      </c>
      <c r="AU204">
        <f ca="1"/>
      </c>
      <c r="AV204">
        <f ca="1"/>
      </c>
      <c r="AW204">
        <f ca="1"/>
      </c>
      <c r="AX204">
        <f ca="1"/>
      </c>
      <c r="AY204">
        <f ca="1"/>
      </c>
      <c r="AZ204">
        <f ca="1"/>
      </c>
      <c r="BA204">
        <f ca="1"/>
      </c>
      <c r="BB204">
        <f ca="1"/>
      </c>
      <c r="BC204">
        <f ca="1"/>
      </c>
      <c r="BD204">
        <f ca="1"/>
      </c>
      <c r="BE204">
        <f ca="1"/>
      </c>
      <c r="BF204">
        <f ca="1"/>
      </c>
      <c r="BG204">
        <f ca="1"/>
      </c>
      <c r="BH204">
        <f ca="1"/>
      </c>
      <c r="BI204">
        <f ca="1"/>
      </c>
      <c r="BJ204">
        <f ca="1"/>
      </c>
      <c r="BK204">
        <f ca="1"/>
      </c>
      <c r="BL204">
        <f ca="1"/>
      </c>
      <c r="BM204">
        <f ca="1"/>
      </c>
      <c r="BN204">
        <f ca="1"/>
      </c>
      <c r="BO204">
        <f ca="1"/>
      </c>
      <c r="BP204">
        <f ca="1"/>
      </c>
      <c r="BQ204">
        <f ca="1"/>
      </c>
      <c r="BR204">
        <f ca="1"/>
      </c>
      <c r="BS204">
        <f ca="1"/>
      </c>
      <c r="BT204">
        <f ca="1"/>
      </c>
      <c r="BU204">
        <f ca="1"/>
      </c>
      <c r="BV204">
        <f ca="1"/>
      </c>
      <c r="BW204">
        <f ca="1"/>
      </c>
      <c r="BX204">
        <f ca="1"/>
      </c>
      <c r="BY204">
        <f ca="1"/>
      </c>
      <c r="BZ204">
        <f ca="1"/>
      </c>
      <c r="CA204">
        <f ca="1"/>
      </c>
      <c r="CB204">
        <f ca="1"/>
      </c>
      <c r="CC204">
        <f ca="1"/>
      </c>
      <c r="CD204">
        <f ca="1"/>
      </c>
      <c r="CE204">
        <f ca="1"/>
      </c>
      <c r="CF204">
        <f ca="1"/>
      </c>
      <c r="CG204">
        <f ca="1"/>
      </c>
      <c r="CH204">
        <f ca="1"/>
      </c>
      <c r="CI204">
        <f ca="1"/>
      </c>
      <c r="CK204">
        <f ca="1"/>
      </c>
      <c r="CL204">
        <f ca="1"/>
      </c>
      <c r="CM204">
        <f ca="1"/>
      </c>
      <c r="CN204">
        <f ca="1"/>
      </c>
      <c r="CO204">
        <f ca="1"/>
      </c>
      <c r="CP204">
        <f ca="1"/>
      </c>
      <c r="CQ204">
        <f ca="1"/>
      </c>
      <c r="CR204">
        <f ca="1"/>
      </c>
      <c r="CS204">
        <f ca="1"/>
      </c>
      <c r="CT204">
        <f ca="1"/>
      </c>
      <c r="CU204">
        <f ca="1"/>
      </c>
      <c r="CV204">
        <f ca="1"/>
      </c>
      <c r="CW204">
        <f ca="1"/>
      </c>
      <c r="CX204">
        <f ca="1"/>
      </c>
      <c r="CY204">
        <f ca="1"/>
      </c>
      <c r="CZ204">
        <f ca="1"/>
      </c>
      <c r="DA204">
        <f ca="1"/>
      </c>
      <c r="DB204">
        <f ca="1"/>
      </c>
      <c r="DC204">
        <f ca="1"/>
      </c>
      <c r="DD204">
        <f ca="1"/>
      </c>
      <c r="DE204">
        <f ca="1"/>
      </c>
      <c r="DF204">
        <f ca="1"/>
      </c>
      <c r="DG204">
        <f ca="1"/>
      </c>
      <c r="DH204">
        <f ca="1"/>
      </c>
      <c r="DI204">
        <f ca="1"/>
      </c>
      <c r="DJ204">
        <f ca="1"/>
      </c>
      <c r="DK204">
        <f ca="1"/>
      </c>
      <c r="DL204">
        <f ca="1"/>
      </c>
      <c r="DM204">
        <f ca="1"/>
      </c>
      <c r="DN204">
        <f ca="1"/>
      </c>
      <c r="DO204">
        <f ca="1"/>
      </c>
      <c r="DP204">
        <f ca="1"/>
      </c>
      <c r="DQ204">
        <f ca="1"/>
      </c>
      <c r="DR204">
        <f ca="1"/>
      </c>
      <c r="DS204">
        <f ca="1"/>
      </c>
      <c r="DT204">
        <f ca="1"/>
      </c>
      <c r="DU204">
        <f ca="1"/>
      </c>
      <c r="DV204">
        <f ca="1"/>
      </c>
      <c r="DW204">
        <f ca="1"/>
      </c>
      <c r="DX204">
        <f ca="1"/>
      </c>
      <c r="DY204">
        <f ca="1"/>
      </c>
      <c r="DZ204">
        <f ca="1"/>
      </c>
      <c r="EA204">
        <f ca="1"/>
      </c>
      <c r="EB204">
        <f ca="1"/>
      </c>
      <c r="EC204">
        <f ca="1"/>
      </c>
      <c r="ED204">
        <f ca="1"/>
      </c>
      <c r="EE204">
        <f ca="1"/>
      </c>
      <c r="EG204">
        <f ca="1"/>
      </c>
      <c r="EH204">
        <f ca="1"/>
      </c>
      <c r="EI204">
        <f ca="1"/>
      </c>
      <c r="EJ204">
        <f ca="1"/>
      </c>
      <c r="EK204">
        <f ca="1"/>
      </c>
      <c r="EL204">
        <f ca="1"/>
      </c>
      <c r="EM204">
        <f ca="1"/>
      </c>
      <c r="EN204">
        <f ca="1"/>
      </c>
      <c r="EO204">
        <f ca="1"/>
      </c>
      <c r="EP204">
        <f ca="1"/>
      </c>
      <c r="EQ204">
        <f ca="1"/>
      </c>
      <c r="ER204">
        <f ca="1"/>
      </c>
      <c r="ES204">
        <f ca="1"/>
      </c>
      <c r="ET204">
        <f ca="1"/>
      </c>
      <c r="EU204">
        <f ca="1"/>
      </c>
      <c r="EV204">
        <f ca="1"/>
      </c>
      <c r="EW204">
        <f ca="1"/>
      </c>
      <c r="EX204">
        <f ca="1"/>
      </c>
      <c r="EY204">
        <f ca="1"/>
      </c>
      <c r="EZ204">
        <f ca="1"/>
      </c>
      <c r="FA204">
        <f ca="1"/>
      </c>
      <c r="FB204">
        <f ca="1"/>
      </c>
      <c r="FC204">
        <f ca="1"/>
      </c>
      <c r="FD204">
        <f ca="1"/>
      </c>
      <c r="FE204">
        <f ca="1"/>
      </c>
      <c r="FF204">
        <f ca="1"/>
      </c>
      <c r="FG204">
        <f ca="1"/>
      </c>
      <c r="FH204">
        <f ca="1"/>
      </c>
      <c r="FI204">
        <f ca="1"/>
      </c>
      <c r="FJ204">
        <f ca="1"/>
      </c>
      <c r="FK204">
        <f ca="1"/>
      </c>
      <c r="FL204">
        <f ca="1"/>
      </c>
      <c r="FM204">
        <f ca="1"/>
      </c>
      <c r="FN204">
        <f ca="1"/>
      </c>
      <c r="FO204">
        <f ca="1"/>
      </c>
      <c r="FP204">
        <f ca="1"/>
      </c>
      <c r="FQ204">
        <f ca="1"/>
      </c>
      <c r="FR204">
        <f ca="1"/>
      </c>
      <c r="FS204">
        <f ca="1"/>
      </c>
      <c r="FT204">
        <f ca="1"/>
      </c>
      <c r="FU204">
        <f ca="1"/>
      </c>
      <c r="FV204">
        <f ca="1"/>
      </c>
      <c r="FW204">
        <f ca="1"/>
      </c>
      <c r="FX204">
        <f ca="1"/>
      </c>
      <c r="FY204">
        <f ca="1"/>
      </c>
      <c r="FZ204">
        <f ca="1"/>
      </c>
      <c r="GA204">
        <f ca="1"/>
      </c>
      <c r="GM204" s="7">
        <f ca="1"/>
      </c>
      <c r="GN204">
        <f ca="1"/>
      </c>
      <c r="GO204">
        <f ca="1"/>
      </c>
      <c r="GP204">
        <f ca="1"/>
      </c>
      <c r="GQ204">
        <f ca="1"/>
      </c>
    </row>
    <row r="205" spans="41:199" x14ac:dyDescent="0.55000000000000004">
      <c r="AO205">
        <f ca="1"/>
      </c>
      <c r="AP205">
        <f ca="1"/>
      </c>
      <c r="AQ205">
        <f ca="1"/>
      </c>
      <c r="AR205">
        <f ca="1"/>
      </c>
      <c r="AS205">
        <f ca="1"/>
      </c>
      <c r="AT205">
        <f ca="1"/>
      </c>
      <c r="AU205">
        <f ca="1"/>
      </c>
      <c r="AV205">
        <f ca="1"/>
      </c>
      <c r="AW205">
        <f ca="1"/>
      </c>
      <c r="AX205">
        <f ca="1"/>
      </c>
      <c r="AY205">
        <f ca="1"/>
      </c>
      <c r="AZ205">
        <f ca="1"/>
      </c>
      <c r="BA205">
        <f ca="1"/>
      </c>
      <c r="BB205">
        <f ca="1"/>
      </c>
      <c r="BC205">
        <f ca="1"/>
      </c>
      <c r="BD205">
        <f ca="1"/>
      </c>
      <c r="BE205">
        <f ca="1"/>
      </c>
      <c r="BF205">
        <f ca="1"/>
      </c>
      <c r="BG205">
        <f ca="1"/>
      </c>
      <c r="BH205">
        <f ca="1"/>
      </c>
      <c r="BI205">
        <f ca="1"/>
      </c>
      <c r="BJ205">
        <f ca="1"/>
      </c>
      <c r="BK205">
        <f ca="1"/>
      </c>
      <c r="BL205">
        <f ca="1"/>
      </c>
      <c r="BM205">
        <f ca="1"/>
      </c>
      <c r="BN205">
        <f ca="1"/>
      </c>
      <c r="BO205">
        <f ca="1"/>
      </c>
      <c r="BP205">
        <f ca="1"/>
      </c>
      <c r="BQ205">
        <f ca="1"/>
      </c>
      <c r="BR205">
        <f ca="1"/>
      </c>
      <c r="BS205">
        <f ca="1"/>
      </c>
      <c r="BT205">
        <f ca="1"/>
      </c>
      <c r="BU205">
        <f ca="1"/>
      </c>
      <c r="BV205">
        <f ca="1"/>
      </c>
      <c r="BW205">
        <f ca="1"/>
      </c>
      <c r="BX205">
        <f ca="1"/>
      </c>
      <c r="BY205">
        <f ca="1"/>
      </c>
      <c r="BZ205">
        <f ca="1"/>
      </c>
      <c r="CA205">
        <f ca="1"/>
      </c>
      <c r="CB205">
        <f ca="1"/>
      </c>
      <c r="CC205">
        <f ca="1"/>
      </c>
      <c r="CD205">
        <f ca="1"/>
      </c>
      <c r="CE205">
        <f ca="1"/>
      </c>
      <c r="CF205">
        <f ca="1"/>
      </c>
      <c r="CG205">
        <f ca="1"/>
      </c>
      <c r="CH205">
        <f ca="1"/>
      </c>
      <c r="CI205">
        <f ca="1"/>
      </c>
      <c r="CK205">
        <f ca="1"/>
      </c>
      <c r="CL205">
        <f ca="1"/>
      </c>
      <c r="CM205">
        <f ca="1"/>
      </c>
      <c r="CN205">
        <f ca="1"/>
      </c>
      <c r="CO205">
        <f ca="1"/>
      </c>
      <c r="CP205">
        <f ca="1"/>
      </c>
      <c r="CQ205">
        <f ca="1"/>
      </c>
      <c r="CR205">
        <f ca="1"/>
      </c>
      <c r="CS205">
        <f ca="1"/>
      </c>
      <c r="CT205">
        <f ca="1"/>
      </c>
      <c r="CU205">
        <f ca="1"/>
      </c>
      <c r="CV205">
        <f ca="1"/>
      </c>
      <c r="CW205">
        <f ca="1"/>
      </c>
      <c r="CX205">
        <f ca="1"/>
      </c>
      <c r="CY205">
        <f ca="1"/>
      </c>
      <c r="CZ205">
        <f ca="1"/>
      </c>
      <c r="DA205">
        <f ca="1"/>
      </c>
      <c r="DB205">
        <f ca="1"/>
      </c>
      <c r="DC205">
        <f ca="1"/>
      </c>
      <c r="DD205">
        <f ca="1"/>
      </c>
      <c r="DE205">
        <f ca="1"/>
      </c>
      <c r="DF205">
        <f ca="1"/>
      </c>
      <c r="DG205">
        <f ca="1"/>
      </c>
      <c r="DH205">
        <f ca="1"/>
      </c>
      <c r="DI205">
        <f ca="1"/>
      </c>
      <c r="DJ205">
        <f ca="1"/>
      </c>
      <c r="DK205">
        <f ca="1"/>
      </c>
      <c r="DL205">
        <f ca="1"/>
      </c>
      <c r="DM205">
        <f ca="1"/>
      </c>
      <c r="DN205">
        <f ca="1"/>
      </c>
      <c r="DO205">
        <f ca="1"/>
      </c>
      <c r="DP205">
        <f ca="1"/>
      </c>
      <c r="DQ205">
        <f ca="1"/>
      </c>
      <c r="DR205">
        <f ca="1"/>
      </c>
      <c r="DS205">
        <f ca="1"/>
      </c>
      <c r="DT205">
        <f ca="1"/>
      </c>
      <c r="DU205">
        <f ca="1"/>
      </c>
      <c r="DV205">
        <f ca="1"/>
      </c>
      <c r="DW205">
        <f ca="1"/>
      </c>
      <c r="DX205">
        <f ca="1"/>
      </c>
      <c r="DY205">
        <f ca="1"/>
      </c>
      <c r="DZ205">
        <f ca="1"/>
      </c>
      <c r="EA205">
        <f ca="1"/>
      </c>
      <c r="EB205">
        <f ca="1"/>
      </c>
      <c r="EC205">
        <f ca="1"/>
      </c>
      <c r="ED205">
        <f ca="1"/>
      </c>
      <c r="EE205">
        <f ca="1"/>
      </c>
      <c r="EG205">
        <f ca="1"/>
      </c>
      <c r="EH205">
        <f ca="1"/>
      </c>
      <c r="EI205">
        <f ca="1"/>
      </c>
      <c r="EJ205">
        <f ca="1"/>
      </c>
      <c r="EK205">
        <f ca="1"/>
      </c>
      <c r="EL205">
        <f ca="1"/>
      </c>
      <c r="EM205">
        <f ca="1"/>
      </c>
      <c r="EN205">
        <f ca="1"/>
      </c>
      <c r="EO205">
        <f ca="1"/>
      </c>
      <c r="EP205">
        <f ca="1"/>
      </c>
      <c r="EQ205">
        <f ca="1"/>
      </c>
      <c r="ER205">
        <f ca="1"/>
      </c>
      <c r="ES205">
        <f ca="1"/>
      </c>
      <c r="ET205">
        <f ca="1"/>
      </c>
      <c r="EU205">
        <f ca="1"/>
      </c>
      <c r="EV205">
        <f ca="1"/>
      </c>
      <c r="EW205">
        <f ca="1"/>
      </c>
      <c r="EX205">
        <f ca="1"/>
      </c>
      <c r="EY205">
        <f ca="1"/>
      </c>
      <c r="EZ205">
        <f ca="1"/>
      </c>
      <c r="FA205">
        <f ca="1"/>
      </c>
      <c r="FB205">
        <f ca="1"/>
      </c>
      <c r="FC205">
        <f ca="1"/>
      </c>
      <c r="FD205">
        <f ca="1"/>
      </c>
      <c r="FE205">
        <f ca="1"/>
      </c>
      <c r="FF205">
        <f ca="1"/>
      </c>
      <c r="FG205">
        <f ca="1"/>
      </c>
      <c r="FH205">
        <f ca="1"/>
      </c>
      <c r="FI205">
        <f ca="1"/>
      </c>
      <c r="FJ205">
        <f ca="1"/>
      </c>
      <c r="FK205">
        <f ca="1"/>
      </c>
      <c r="FL205">
        <f ca="1"/>
      </c>
      <c r="FM205">
        <f ca="1"/>
      </c>
      <c r="FN205">
        <f ca="1"/>
      </c>
      <c r="FO205">
        <f ca="1"/>
      </c>
      <c r="FP205">
        <f ca="1"/>
      </c>
      <c r="FQ205">
        <f ca="1"/>
      </c>
      <c r="FR205">
        <f ca="1"/>
      </c>
      <c r="FS205">
        <f ca="1"/>
      </c>
      <c r="FT205">
        <f ca="1"/>
      </c>
      <c r="FU205">
        <f ca="1"/>
      </c>
      <c r="FV205">
        <f ca="1"/>
      </c>
      <c r="FW205">
        <f ca="1"/>
      </c>
      <c r="FX205">
        <f ca="1"/>
      </c>
      <c r="FY205">
        <f ca="1"/>
      </c>
      <c r="FZ205">
        <f ca="1"/>
      </c>
      <c r="GA205">
        <f ca="1"/>
      </c>
      <c r="GM205" s="7">
        <f ca="1"/>
      </c>
      <c r="GN205">
        <f ca="1"/>
      </c>
      <c r="GO205">
        <f ca="1"/>
      </c>
      <c r="GP205">
        <f ca="1"/>
      </c>
      <c r="GQ205">
        <f ca="1"/>
      </c>
    </row>
    <row r="206" spans="41:199" x14ac:dyDescent="0.55000000000000004">
      <c r="AO206">
        <f ca="1"/>
      </c>
      <c r="AP206">
        <f ca="1"/>
      </c>
      <c r="AQ206">
        <f ca="1"/>
      </c>
      <c r="AR206">
        <f ca="1"/>
      </c>
      <c r="AS206">
        <f ca="1"/>
      </c>
      <c r="AT206">
        <f ca="1"/>
      </c>
      <c r="AU206">
        <f ca="1"/>
      </c>
      <c r="AV206">
        <f ca="1"/>
      </c>
      <c r="AW206">
        <f ca="1"/>
      </c>
      <c r="AX206">
        <f ca="1"/>
      </c>
      <c r="AY206">
        <f ca="1"/>
      </c>
      <c r="AZ206">
        <f ca="1"/>
      </c>
      <c r="BA206">
        <f ca="1"/>
      </c>
      <c r="BB206">
        <f ca="1"/>
      </c>
      <c r="BC206">
        <f ca="1"/>
      </c>
      <c r="BD206">
        <f ca="1"/>
      </c>
      <c r="BE206">
        <f ca="1"/>
      </c>
      <c r="BF206">
        <f ca="1"/>
      </c>
      <c r="BG206">
        <f ca="1"/>
      </c>
      <c r="BH206">
        <f ca="1"/>
      </c>
      <c r="BI206">
        <f ca="1"/>
      </c>
      <c r="BJ206">
        <f ca="1"/>
      </c>
      <c r="BK206">
        <f ca="1"/>
      </c>
      <c r="BL206">
        <f ca="1"/>
      </c>
      <c r="BM206">
        <f ca="1"/>
      </c>
      <c r="BN206">
        <f ca="1"/>
      </c>
      <c r="BO206">
        <f ca="1"/>
      </c>
      <c r="BP206">
        <f ca="1"/>
      </c>
      <c r="BQ206">
        <f ca="1"/>
      </c>
      <c r="BR206">
        <f ca="1"/>
      </c>
      <c r="BS206">
        <f ca="1"/>
      </c>
      <c r="BT206">
        <f ca="1"/>
      </c>
      <c r="BU206">
        <f ca="1"/>
      </c>
      <c r="BV206">
        <f ca="1"/>
      </c>
      <c r="BW206">
        <f ca="1"/>
      </c>
      <c r="BX206">
        <f ca="1"/>
      </c>
      <c r="BY206">
        <f ca="1"/>
      </c>
      <c r="BZ206">
        <f ca="1"/>
      </c>
      <c r="CA206">
        <f ca="1"/>
      </c>
      <c r="CB206">
        <f ca="1"/>
      </c>
      <c r="CC206">
        <f ca="1"/>
      </c>
      <c r="CD206">
        <f ca="1"/>
      </c>
      <c r="CE206">
        <f ca="1"/>
      </c>
      <c r="CF206">
        <f ca="1"/>
      </c>
      <c r="CG206">
        <f ca="1"/>
      </c>
      <c r="CH206">
        <f ca="1"/>
      </c>
      <c r="CI206">
        <f ca="1"/>
      </c>
      <c r="CK206">
        <f ca="1"/>
      </c>
      <c r="CL206">
        <f ca="1"/>
      </c>
      <c r="CM206">
        <f ca="1"/>
      </c>
      <c r="CN206">
        <f ca="1"/>
      </c>
      <c r="CO206">
        <f ca="1"/>
      </c>
      <c r="CP206">
        <f ca="1"/>
      </c>
      <c r="CQ206">
        <f ca="1"/>
      </c>
      <c r="CR206">
        <f ca="1"/>
      </c>
      <c r="CS206">
        <f ca="1"/>
      </c>
      <c r="CT206">
        <f ca="1"/>
      </c>
      <c r="CU206">
        <f ca="1"/>
      </c>
      <c r="CV206">
        <f ca="1"/>
      </c>
      <c r="CW206">
        <f ca="1"/>
      </c>
      <c r="CX206">
        <f ca="1"/>
      </c>
      <c r="CY206">
        <f ca="1"/>
      </c>
      <c r="CZ206">
        <f ca="1"/>
      </c>
      <c r="DA206">
        <f ca="1"/>
      </c>
      <c r="DB206">
        <f ca="1"/>
      </c>
      <c r="DC206">
        <f ca="1"/>
      </c>
      <c r="DD206">
        <f ca="1"/>
      </c>
      <c r="DE206">
        <f ca="1"/>
      </c>
      <c r="DF206">
        <f ca="1"/>
      </c>
      <c r="DG206">
        <f ca="1"/>
      </c>
      <c r="DH206">
        <f ca="1"/>
      </c>
      <c r="DI206">
        <f ca="1"/>
      </c>
      <c r="DJ206">
        <f ca="1"/>
      </c>
      <c r="DK206">
        <f ca="1"/>
      </c>
      <c r="DL206">
        <f ca="1"/>
      </c>
      <c r="DM206">
        <f ca="1"/>
      </c>
      <c r="DN206">
        <f ca="1"/>
      </c>
      <c r="DO206">
        <f ca="1"/>
      </c>
      <c r="DP206">
        <f ca="1"/>
      </c>
      <c r="DQ206">
        <f ca="1"/>
      </c>
      <c r="DR206">
        <f ca="1"/>
      </c>
      <c r="DS206">
        <f ca="1"/>
      </c>
      <c r="DT206">
        <f ca="1"/>
      </c>
      <c r="DU206">
        <f ca="1"/>
      </c>
      <c r="DV206">
        <f ca="1"/>
      </c>
      <c r="DW206">
        <f ca="1"/>
      </c>
      <c r="DX206">
        <f ca="1"/>
      </c>
      <c r="DY206">
        <f ca="1"/>
      </c>
      <c r="DZ206">
        <f ca="1"/>
      </c>
      <c r="EA206">
        <f ca="1"/>
      </c>
      <c r="EB206">
        <f ca="1"/>
      </c>
      <c r="EC206">
        <f ca="1"/>
      </c>
      <c r="ED206">
        <f ca="1"/>
      </c>
      <c r="EE206">
        <f ca="1"/>
      </c>
      <c r="EG206">
        <f ca="1"/>
      </c>
      <c r="EH206">
        <f ca="1"/>
      </c>
      <c r="EI206">
        <f ca="1"/>
      </c>
      <c r="EJ206">
        <f ca="1"/>
      </c>
      <c r="EK206">
        <f ca="1"/>
      </c>
      <c r="EL206">
        <f ca="1"/>
      </c>
      <c r="EM206">
        <f ca="1"/>
      </c>
      <c r="EN206">
        <f ca="1"/>
      </c>
      <c r="EO206">
        <f ca="1"/>
      </c>
      <c r="EP206">
        <f ca="1"/>
      </c>
      <c r="EQ206">
        <f ca="1"/>
      </c>
      <c r="ER206">
        <f ca="1"/>
      </c>
      <c r="ES206">
        <f ca="1"/>
      </c>
      <c r="ET206">
        <f ca="1"/>
      </c>
      <c r="EU206">
        <f ca="1"/>
      </c>
      <c r="EV206">
        <f ca="1"/>
      </c>
      <c r="EW206">
        <f ca="1"/>
      </c>
      <c r="EX206">
        <f ca="1"/>
      </c>
      <c r="EY206">
        <f ca="1"/>
      </c>
      <c r="EZ206">
        <f ca="1"/>
      </c>
      <c r="FA206">
        <f ca="1"/>
      </c>
      <c r="FB206">
        <f ca="1"/>
      </c>
      <c r="FC206">
        <f ca="1"/>
      </c>
      <c r="FD206">
        <f ca="1"/>
      </c>
      <c r="FE206">
        <f ca="1"/>
      </c>
      <c r="FF206">
        <f ca="1"/>
      </c>
      <c r="FG206">
        <f ca="1"/>
      </c>
      <c r="FH206">
        <f ca="1"/>
      </c>
      <c r="FI206">
        <f ca="1"/>
      </c>
      <c r="FJ206">
        <f ca="1"/>
      </c>
      <c r="FK206">
        <f ca="1"/>
      </c>
      <c r="FL206">
        <f ca="1"/>
      </c>
      <c r="FM206">
        <f ca="1"/>
      </c>
      <c r="FN206">
        <f ca="1"/>
      </c>
      <c r="FO206">
        <f ca="1"/>
      </c>
      <c r="FP206">
        <f ca="1"/>
      </c>
      <c r="FQ206">
        <f ca="1"/>
      </c>
      <c r="FR206">
        <f ca="1"/>
      </c>
      <c r="FS206">
        <f ca="1"/>
      </c>
      <c r="FT206">
        <f ca="1"/>
      </c>
      <c r="FU206">
        <f ca="1"/>
      </c>
      <c r="FV206">
        <f ca="1"/>
      </c>
      <c r="FW206">
        <f ca="1"/>
      </c>
      <c r="FX206">
        <f ca="1"/>
      </c>
      <c r="FY206">
        <f ca="1"/>
      </c>
      <c r="FZ206">
        <f ca="1"/>
      </c>
      <c r="GA206">
        <f ca="1"/>
      </c>
      <c r="GM206" s="7">
        <f ca="1"/>
      </c>
      <c r="GN206">
        <f ca="1"/>
      </c>
      <c r="GO206">
        <f ca="1"/>
      </c>
      <c r="GP206">
        <f ca="1"/>
      </c>
      <c r="GQ206">
        <f ca="1"/>
      </c>
    </row>
    <row r="207" spans="41:199" x14ac:dyDescent="0.55000000000000004">
      <c r="AO207">
        <f ca="1"/>
      </c>
      <c r="AP207">
        <f ca="1"/>
      </c>
      <c r="AQ207">
        <f ca="1"/>
      </c>
      <c r="AR207">
        <f ca="1"/>
      </c>
      <c r="AS207">
        <f ca="1"/>
      </c>
      <c r="AT207">
        <f ca="1"/>
      </c>
      <c r="AU207">
        <f ca="1"/>
      </c>
      <c r="AV207">
        <f ca="1"/>
      </c>
      <c r="AW207">
        <f ca="1"/>
      </c>
      <c r="AX207">
        <f ca="1"/>
      </c>
      <c r="AY207">
        <f ca="1"/>
      </c>
      <c r="AZ207">
        <f ca="1"/>
      </c>
      <c r="BA207">
        <f ca="1"/>
      </c>
      <c r="BB207">
        <f ca="1"/>
      </c>
      <c r="BC207">
        <f ca="1"/>
      </c>
      <c r="BD207">
        <f ca="1"/>
      </c>
      <c r="BE207">
        <f ca="1"/>
      </c>
      <c r="BF207">
        <f ca="1"/>
      </c>
      <c r="BG207">
        <f ca="1"/>
      </c>
      <c r="BH207">
        <f ca="1"/>
      </c>
      <c r="BI207">
        <f ca="1"/>
      </c>
      <c r="BJ207">
        <f ca="1"/>
      </c>
      <c r="BK207">
        <f ca="1"/>
      </c>
      <c r="BL207">
        <f ca="1"/>
      </c>
      <c r="BM207">
        <f ca="1"/>
      </c>
      <c r="BN207">
        <f ca="1"/>
      </c>
      <c r="BO207">
        <f ca="1"/>
      </c>
      <c r="BP207">
        <f ca="1"/>
      </c>
      <c r="BQ207">
        <f ca="1"/>
      </c>
      <c r="BR207">
        <f ca="1"/>
      </c>
      <c r="BS207">
        <f ca="1"/>
      </c>
      <c r="BT207">
        <f ca="1"/>
      </c>
      <c r="BU207">
        <f ca="1"/>
      </c>
      <c r="BV207">
        <f ca="1"/>
      </c>
      <c r="BW207">
        <f ca="1"/>
      </c>
      <c r="BX207">
        <f ca="1"/>
      </c>
      <c r="BY207">
        <f ca="1"/>
      </c>
      <c r="BZ207">
        <f ca="1"/>
      </c>
      <c r="CA207">
        <f ca="1"/>
      </c>
      <c r="CB207">
        <f ca="1"/>
      </c>
      <c r="CC207">
        <f ca="1"/>
      </c>
      <c r="CD207">
        <f ca="1"/>
      </c>
      <c r="CE207">
        <f ca="1"/>
      </c>
      <c r="CF207">
        <f ca="1"/>
      </c>
      <c r="CG207">
        <f ca="1"/>
      </c>
      <c r="CH207">
        <f ca="1"/>
      </c>
      <c r="CI207">
        <f ca="1"/>
      </c>
      <c r="CK207">
        <f ca="1"/>
      </c>
      <c r="CL207">
        <f ca="1"/>
      </c>
      <c r="CM207">
        <f ca="1"/>
      </c>
      <c r="CN207">
        <f ca="1"/>
      </c>
      <c r="CO207">
        <f ca="1"/>
      </c>
      <c r="CP207">
        <f ca="1"/>
      </c>
      <c r="CQ207">
        <f ca="1"/>
      </c>
      <c r="CR207">
        <f ca="1"/>
      </c>
      <c r="CS207">
        <f ca="1"/>
      </c>
      <c r="CT207">
        <f ca="1"/>
      </c>
      <c r="CU207">
        <f ca="1"/>
      </c>
      <c r="CV207">
        <f ca="1"/>
      </c>
      <c r="CW207">
        <f ca="1"/>
      </c>
      <c r="CX207">
        <f ca="1"/>
      </c>
      <c r="CY207">
        <f ca="1"/>
      </c>
      <c r="CZ207">
        <f ca="1"/>
      </c>
      <c r="DA207">
        <f ca="1"/>
      </c>
      <c r="DB207">
        <f ca="1"/>
      </c>
      <c r="DC207">
        <f ca="1"/>
      </c>
      <c r="DD207">
        <f ca="1"/>
      </c>
      <c r="DE207">
        <f ca="1"/>
      </c>
      <c r="DF207">
        <f ca="1"/>
      </c>
      <c r="DG207">
        <f ca="1"/>
      </c>
      <c r="DH207">
        <f ca="1"/>
      </c>
      <c r="DI207">
        <f ca="1"/>
      </c>
      <c r="DJ207">
        <f ca="1"/>
      </c>
      <c r="DK207">
        <f ca="1"/>
      </c>
      <c r="DL207">
        <f ca="1"/>
      </c>
      <c r="DM207">
        <f ca="1"/>
      </c>
      <c r="DN207">
        <f ca="1"/>
      </c>
      <c r="DO207">
        <f ca="1"/>
      </c>
      <c r="DP207">
        <f ca="1"/>
      </c>
      <c r="DQ207">
        <f ca="1"/>
      </c>
      <c r="DR207">
        <f ca="1"/>
      </c>
      <c r="DS207">
        <f ca="1"/>
      </c>
      <c r="DT207">
        <f ca="1"/>
      </c>
      <c r="DU207">
        <f ca="1"/>
      </c>
      <c r="DV207">
        <f ca="1"/>
      </c>
      <c r="DW207">
        <f ca="1"/>
      </c>
      <c r="DX207">
        <f ca="1"/>
      </c>
      <c r="DY207">
        <f ca="1"/>
      </c>
      <c r="DZ207">
        <f ca="1"/>
      </c>
      <c r="EA207">
        <f ca="1"/>
      </c>
      <c r="EB207">
        <f ca="1"/>
      </c>
      <c r="EC207">
        <f ca="1"/>
      </c>
      <c r="ED207">
        <f ca="1"/>
      </c>
      <c r="EE207">
        <f ca="1"/>
      </c>
      <c r="EG207">
        <f ca="1"/>
      </c>
      <c r="EH207">
        <f ca="1"/>
      </c>
      <c r="EI207">
        <f ca="1"/>
      </c>
      <c r="EJ207">
        <f ca="1"/>
      </c>
      <c r="EK207">
        <f ca="1"/>
      </c>
      <c r="EL207">
        <f ca="1"/>
      </c>
      <c r="EM207">
        <f ca="1"/>
      </c>
      <c r="EN207">
        <f ca="1"/>
      </c>
      <c r="EO207">
        <f ca="1"/>
      </c>
      <c r="EP207">
        <f ca="1"/>
      </c>
      <c r="EQ207">
        <f ca="1"/>
      </c>
      <c r="ER207">
        <f ca="1"/>
      </c>
      <c r="ES207">
        <f ca="1"/>
      </c>
      <c r="ET207">
        <f ca="1"/>
      </c>
      <c r="EU207">
        <f ca="1"/>
      </c>
      <c r="EV207">
        <f ca="1"/>
      </c>
      <c r="EW207">
        <f ca="1"/>
      </c>
      <c r="EX207">
        <f ca="1"/>
      </c>
      <c r="EY207">
        <f ca="1"/>
      </c>
      <c r="EZ207">
        <f ca="1"/>
      </c>
      <c r="FA207">
        <f ca="1"/>
      </c>
      <c r="FB207">
        <f ca="1"/>
      </c>
      <c r="FC207">
        <f ca="1"/>
      </c>
      <c r="FD207">
        <f ca="1"/>
      </c>
      <c r="FE207">
        <f ca="1"/>
      </c>
      <c r="FF207">
        <f ca="1"/>
      </c>
      <c r="FG207">
        <f ca="1"/>
      </c>
      <c r="FH207">
        <f ca="1"/>
      </c>
      <c r="FI207">
        <f ca="1"/>
      </c>
      <c r="FJ207">
        <f ca="1"/>
      </c>
      <c r="FK207">
        <f ca="1"/>
      </c>
      <c r="FL207">
        <f ca="1"/>
      </c>
      <c r="FM207">
        <f ca="1"/>
      </c>
      <c r="FN207">
        <f ca="1"/>
      </c>
      <c r="FO207">
        <f ca="1"/>
      </c>
      <c r="FP207">
        <f ca="1"/>
      </c>
      <c r="FQ207">
        <f ca="1"/>
      </c>
      <c r="FR207">
        <f ca="1"/>
      </c>
      <c r="FS207">
        <f ca="1"/>
      </c>
      <c r="FT207">
        <f ca="1"/>
      </c>
      <c r="FU207">
        <f ca="1"/>
      </c>
      <c r="FV207">
        <f ca="1"/>
      </c>
      <c r="FW207">
        <f ca="1"/>
      </c>
      <c r="FX207">
        <f ca="1"/>
      </c>
      <c r="FY207">
        <f ca="1"/>
      </c>
      <c r="FZ207">
        <f ca="1"/>
      </c>
      <c r="GA207">
        <f ca="1"/>
      </c>
      <c r="GM207" s="7">
        <f ca="1"/>
      </c>
      <c r="GN207">
        <f ca="1"/>
      </c>
      <c r="GO207">
        <f ca="1"/>
      </c>
      <c r="GP207">
        <f ca="1"/>
      </c>
      <c r="GQ207">
        <f ca="1"/>
      </c>
    </row>
    <row r="208" spans="41:199" x14ac:dyDescent="0.55000000000000004">
      <c r="AO208">
        <f ca="1"/>
      </c>
      <c r="AP208">
        <f ca="1"/>
      </c>
      <c r="AQ208">
        <f ca="1"/>
      </c>
      <c r="AR208">
        <f ca="1"/>
      </c>
      <c r="AS208">
        <f ca="1"/>
      </c>
      <c r="AT208">
        <f ca="1"/>
      </c>
      <c r="AU208">
        <f ca="1"/>
      </c>
      <c r="AV208">
        <f ca="1"/>
      </c>
      <c r="AW208">
        <f ca="1"/>
      </c>
      <c r="AX208">
        <f ca="1"/>
      </c>
      <c r="AY208">
        <f ca="1"/>
      </c>
      <c r="AZ208">
        <f ca="1"/>
      </c>
      <c r="BA208">
        <f ca="1"/>
      </c>
      <c r="BB208">
        <f ca="1"/>
      </c>
      <c r="BC208">
        <f ca="1"/>
      </c>
      <c r="BD208">
        <f ca="1"/>
      </c>
      <c r="BE208">
        <f ca="1"/>
      </c>
      <c r="BF208">
        <f ca="1"/>
      </c>
      <c r="BG208">
        <f ca="1"/>
      </c>
      <c r="BH208">
        <f ca="1"/>
      </c>
      <c r="BI208">
        <f ca="1"/>
      </c>
      <c r="BJ208">
        <f ca="1"/>
      </c>
      <c r="BK208">
        <f ca="1"/>
      </c>
      <c r="BL208">
        <f ca="1"/>
      </c>
      <c r="BM208">
        <f ca="1"/>
      </c>
      <c r="BN208">
        <f ca="1"/>
      </c>
      <c r="BO208">
        <f ca="1"/>
      </c>
      <c r="BP208">
        <f ca="1"/>
      </c>
      <c r="BQ208">
        <f ca="1"/>
      </c>
      <c r="BR208">
        <f ca="1"/>
      </c>
      <c r="BS208">
        <f ca="1"/>
      </c>
      <c r="BT208">
        <f ca="1"/>
      </c>
      <c r="BU208">
        <f ca="1"/>
      </c>
      <c r="BV208">
        <f ca="1"/>
      </c>
      <c r="BW208">
        <f ca="1"/>
      </c>
      <c r="BX208">
        <f ca="1"/>
      </c>
      <c r="BY208">
        <f ca="1"/>
      </c>
      <c r="BZ208">
        <f ca="1"/>
      </c>
      <c r="CA208">
        <f ca="1"/>
      </c>
      <c r="CB208">
        <f ca="1"/>
      </c>
      <c r="CC208">
        <f ca="1"/>
      </c>
      <c r="CD208">
        <f ca="1"/>
      </c>
      <c r="CE208">
        <f ca="1"/>
      </c>
      <c r="CF208">
        <f ca="1"/>
      </c>
      <c r="CG208">
        <f ca="1"/>
      </c>
      <c r="CH208">
        <f ca="1"/>
      </c>
      <c r="CI208">
        <f ca="1"/>
      </c>
      <c r="CK208">
        <f ca="1"/>
      </c>
      <c r="CL208">
        <f ca="1"/>
      </c>
      <c r="CM208">
        <f ca="1"/>
      </c>
      <c r="CN208">
        <f ca="1"/>
      </c>
      <c r="CO208">
        <f ca="1"/>
      </c>
      <c r="CP208">
        <f ca="1"/>
      </c>
      <c r="CQ208">
        <f ca="1"/>
      </c>
      <c r="CR208">
        <f ca="1"/>
      </c>
      <c r="CS208">
        <f ca="1"/>
      </c>
      <c r="CT208">
        <f ca="1"/>
      </c>
      <c r="CU208">
        <f ca="1"/>
      </c>
      <c r="CV208">
        <f ca="1"/>
      </c>
      <c r="CW208">
        <f ca="1"/>
      </c>
      <c r="CX208">
        <f ca="1"/>
      </c>
      <c r="CY208">
        <f ca="1"/>
      </c>
      <c r="CZ208">
        <f ca="1"/>
      </c>
      <c r="DA208">
        <f ca="1"/>
      </c>
      <c r="DB208">
        <f ca="1"/>
      </c>
      <c r="DC208">
        <f ca="1"/>
      </c>
      <c r="DD208">
        <f ca="1"/>
      </c>
      <c r="DE208">
        <f ca="1"/>
      </c>
      <c r="DF208">
        <f ca="1"/>
      </c>
      <c r="DG208">
        <f ca="1"/>
      </c>
      <c r="DH208">
        <f ca="1"/>
      </c>
      <c r="DI208">
        <f ca="1"/>
      </c>
      <c r="DJ208">
        <f ca="1"/>
      </c>
      <c r="DK208">
        <f ca="1"/>
      </c>
      <c r="DL208">
        <f ca="1"/>
      </c>
      <c r="DM208">
        <f ca="1"/>
      </c>
      <c r="DN208">
        <f ca="1"/>
      </c>
      <c r="DO208">
        <f ca="1"/>
      </c>
      <c r="DP208">
        <f ca="1"/>
      </c>
      <c r="DQ208">
        <f ca="1"/>
      </c>
      <c r="DR208">
        <f ca="1"/>
      </c>
      <c r="DS208">
        <f ca="1"/>
      </c>
      <c r="DT208">
        <f ca="1"/>
      </c>
      <c r="DU208">
        <f ca="1"/>
      </c>
      <c r="DV208">
        <f ca="1"/>
      </c>
      <c r="DW208">
        <f ca="1"/>
      </c>
      <c r="DX208">
        <f ca="1"/>
      </c>
      <c r="DY208">
        <f ca="1"/>
      </c>
      <c r="DZ208">
        <f ca="1"/>
      </c>
      <c r="EA208">
        <f ca="1"/>
      </c>
      <c r="EB208">
        <f ca="1"/>
      </c>
      <c r="EC208">
        <f ca="1"/>
      </c>
      <c r="ED208">
        <f ca="1"/>
      </c>
      <c r="EE208">
        <f ca="1"/>
      </c>
      <c r="EG208">
        <f ca="1"/>
      </c>
      <c r="EH208">
        <f ca="1"/>
      </c>
      <c r="EI208">
        <f ca="1"/>
      </c>
      <c r="EJ208">
        <f ca="1"/>
      </c>
      <c r="EK208">
        <f ca="1"/>
      </c>
      <c r="EL208">
        <f ca="1"/>
      </c>
      <c r="EM208">
        <f ca="1"/>
      </c>
      <c r="EN208">
        <f ca="1"/>
      </c>
      <c r="EO208">
        <f ca="1"/>
      </c>
      <c r="EP208">
        <f ca="1"/>
      </c>
      <c r="EQ208">
        <f ca="1"/>
      </c>
      <c r="ER208">
        <f ca="1"/>
      </c>
      <c r="ES208">
        <f ca="1"/>
      </c>
      <c r="ET208">
        <f ca="1"/>
      </c>
      <c r="EU208">
        <f ca="1"/>
      </c>
      <c r="EV208">
        <f ca="1"/>
      </c>
      <c r="EW208">
        <f ca="1"/>
      </c>
      <c r="EX208">
        <f ca="1"/>
      </c>
      <c r="EY208">
        <f ca="1"/>
      </c>
      <c r="EZ208">
        <f ca="1"/>
      </c>
      <c r="FA208">
        <f ca="1"/>
      </c>
      <c r="FB208">
        <f ca="1"/>
      </c>
      <c r="FC208">
        <f ca="1"/>
      </c>
      <c r="FD208">
        <f ca="1"/>
      </c>
      <c r="FE208">
        <f ca="1"/>
      </c>
      <c r="FF208">
        <f ca="1"/>
      </c>
      <c r="FG208">
        <f ca="1"/>
      </c>
      <c r="FH208">
        <f ca="1"/>
      </c>
      <c r="FI208">
        <f ca="1"/>
      </c>
      <c r="FJ208">
        <f ca="1"/>
      </c>
      <c r="FK208">
        <f ca="1"/>
      </c>
      <c r="FL208">
        <f ca="1"/>
      </c>
      <c r="FM208">
        <f ca="1"/>
      </c>
      <c r="FN208">
        <f ca="1"/>
      </c>
      <c r="FO208">
        <f ca="1"/>
      </c>
      <c r="FP208">
        <f ca="1"/>
      </c>
      <c r="FQ208">
        <f ca="1"/>
      </c>
      <c r="FR208">
        <f ca="1"/>
      </c>
      <c r="FS208">
        <f ca="1"/>
      </c>
      <c r="FT208">
        <f ca="1"/>
      </c>
      <c r="FU208">
        <f ca="1"/>
      </c>
      <c r="FV208">
        <f ca="1"/>
      </c>
      <c r="FW208">
        <f ca="1"/>
      </c>
      <c r="FX208">
        <f ca="1"/>
      </c>
      <c r="FY208">
        <f ca="1"/>
      </c>
      <c r="FZ208">
        <f ca="1"/>
      </c>
      <c r="GA208">
        <f ca="1"/>
      </c>
      <c r="GM208" s="7">
        <f ca="1"/>
      </c>
      <c r="GN208">
        <f ca="1"/>
      </c>
      <c r="GO208">
        <f ca="1"/>
      </c>
      <c r="GP208">
        <f ca="1"/>
      </c>
      <c r="GQ208">
        <f ca="1"/>
      </c>
    </row>
    <row r="209" spans="41:199" x14ac:dyDescent="0.55000000000000004">
      <c r="AO209">
        <f ca="1"/>
      </c>
      <c r="AP209">
        <f ca="1"/>
      </c>
      <c r="AQ209">
        <f ca="1"/>
      </c>
      <c r="AR209">
        <f ca="1"/>
      </c>
      <c r="AS209">
        <f ca="1"/>
      </c>
      <c r="AT209">
        <f ca="1"/>
      </c>
      <c r="AU209">
        <f ca="1"/>
      </c>
      <c r="AV209">
        <f ca="1"/>
      </c>
      <c r="AW209">
        <f ca="1"/>
      </c>
      <c r="AX209">
        <f ca="1"/>
      </c>
      <c r="AY209">
        <f ca="1"/>
      </c>
      <c r="AZ209">
        <f ca="1"/>
      </c>
      <c r="BA209">
        <f ca="1"/>
      </c>
      <c r="BB209">
        <f ca="1"/>
      </c>
      <c r="BC209">
        <f ca="1"/>
      </c>
      <c r="BD209">
        <f ca="1"/>
      </c>
      <c r="BE209">
        <f ca="1"/>
      </c>
      <c r="BF209">
        <f ca="1"/>
      </c>
      <c r="BG209">
        <f ca="1"/>
      </c>
      <c r="BH209">
        <f ca="1"/>
      </c>
      <c r="BI209">
        <f ca="1"/>
      </c>
      <c r="BJ209">
        <f ca="1"/>
      </c>
      <c r="BK209">
        <f ca="1"/>
      </c>
      <c r="BL209">
        <f ca="1"/>
      </c>
      <c r="BM209">
        <f ca="1"/>
      </c>
      <c r="BN209">
        <f ca="1"/>
      </c>
      <c r="BO209">
        <f ca="1"/>
      </c>
      <c r="BP209">
        <f ca="1"/>
      </c>
      <c r="BQ209">
        <f ca="1"/>
      </c>
      <c r="BR209">
        <f ca="1"/>
      </c>
      <c r="BS209">
        <f ca="1"/>
      </c>
      <c r="BT209">
        <f ca="1"/>
      </c>
      <c r="BU209">
        <f ca="1"/>
      </c>
      <c r="BV209">
        <f ca="1"/>
      </c>
      <c r="BW209">
        <f ca="1"/>
      </c>
      <c r="BX209">
        <f ca="1"/>
      </c>
      <c r="BY209">
        <f ca="1"/>
      </c>
      <c r="BZ209">
        <f ca="1"/>
      </c>
      <c r="CA209">
        <f ca="1"/>
      </c>
      <c r="CB209">
        <f ca="1"/>
      </c>
      <c r="CC209">
        <f ca="1"/>
      </c>
      <c r="CD209">
        <f ca="1"/>
      </c>
      <c r="CE209">
        <f ca="1"/>
      </c>
      <c r="CF209">
        <f ca="1"/>
      </c>
      <c r="CG209">
        <f ca="1"/>
      </c>
      <c r="CH209">
        <f ca="1"/>
      </c>
      <c r="CI209">
        <f ca="1"/>
      </c>
      <c r="CK209">
        <f ca="1"/>
      </c>
      <c r="CL209">
        <f ca="1"/>
      </c>
      <c r="CM209">
        <f ca="1"/>
      </c>
      <c r="CN209">
        <f ca="1"/>
      </c>
      <c r="CO209">
        <f ca="1"/>
      </c>
      <c r="CP209">
        <f ca="1"/>
      </c>
      <c r="CQ209">
        <f ca="1"/>
      </c>
      <c r="CR209">
        <f ca="1"/>
      </c>
      <c r="CS209">
        <f ca="1"/>
      </c>
      <c r="CT209">
        <f ca="1"/>
      </c>
      <c r="CU209">
        <f ca="1"/>
      </c>
      <c r="CV209">
        <f ca="1"/>
      </c>
      <c r="CW209">
        <f ca="1"/>
      </c>
      <c r="CX209">
        <f ca="1"/>
      </c>
      <c r="CY209">
        <f ca="1"/>
      </c>
      <c r="CZ209">
        <f ca="1"/>
      </c>
      <c r="DA209">
        <f ca="1"/>
      </c>
      <c r="DB209">
        <f ca="1"/>
      </c>
      <c r="DC209">
        <f ca="1"/>
      </c>
      <c r="DD209">
        <f ca="1"/>
      </c>
      <c r="DE209">
        <f ca="1"/>
      </c>
      <c r="DF209">
        <f ca="1"/>
      </c>
      <c r="DG209">
        <f ca="1"/>
      </c>
      <c r="DH209">
        <f ca="1"/>
      </c>
      <c r="DI209">
        <f ca="1"/>
      </c>
      <c r="DJ209">
        <f ca="1"/>
      </c>
      <c r="DK209">
        <f ca="1"/>
      </c>
      <c r="DL209">
        <f ca="1"/>
      </c>
      <c r="DM209">
        <f ca="1"/>
      </c>
      <c r="DN209">
        <f ca="1"/>
      </c>
      <c r="DO209">
        <f ca="1"/>
      </c>
      <c r="DP209">
        <f ca="1"/>
      </c>
      <c r="DQ209">
        <f ca="1"/>
      </c>
      <c r="DR209">
        <f ca="1"/>
      </c>
      <c r="DS209">
        <f ca="1"/>
      </c>
      <c r="DT209">
        <f ca="1"/>
      </c>
      <c r="DU209">
        <f ca="1"/>
      </c>
      <c r="DV209">
        <f ca="1"/>
      </c>
      <c r="DW209">
        <f ca="1"/>
      </c>
      <c r="DX209">
        <f ca="1"/>
      </c>
      <c r="DY209">
        <f ca="1"/>
      </c>
      <c r="DZ209">
        <f ca="1"/>
      </c>
      <c r="EA209">
        <f ca="1"/>
      </c>
      <c r="EB209">
        <f ca="1"/>
      </c>
      <c r="EC209">
        <f ca="1"/>
      </c>
      <c r="ED209">
        <f ca="1"/>
      </c>
      <c r="EE209">
        <f ca="1"/>
      </c>
      <c r="EG209">
        <f ca="1"/>
      </c>
      <c r="EH209">
        <f ca="1"/>
      </c>
      <c r="EI209">
        <f ca="1"/>
      </c>
      <c r="EJ209">
        <f ca="1"/>
      </c>
      <c r="EK209">
        <f ca="1"/>
      </c>
      <c r="EL209">
        <f ca="1"/>
      </c>
      <c r="EM209">
        <f ca="1"/>
      </c>
      <c r="EN209">
        <f ca="1"/>
      </c>
      <c r="EO209">
        <f ca="1"/>
      </c>
      <c r="EP209">
        <f ca="1"/>
      </c>
      <c r="EQ209">
        <f ca="1"/>
      </c>
      <c r="ER209">
        <f ca="1"/>
      </c>
      <c r="ES209">
        <f ca="1"/>
      </c>
      <c r="ET209">
        <f ca="1"/>
      </c>
      <c r="EU209">
        <f ca="1"/>
      </c>
      <c r="EV209">
        <f ca="1"/>
      </c>
      <c r="EW209">
        <f ca="1"/>
      </c>
      <c r="EX209">
        <f ca="1"/>
      </c>
      <c r="EY209">
        <f ca="1"/>
      </c>
      <c r="EZ209">
        <f ca="1"/>
      </c>
      <c r="FA209">
        <f ca="1"/>
      </c>
      <c r="FB209">
        <f ca="1"/>
      </c>
      <c r="FC209">
        <f ca="1"/>
      </c>
      <c r="FD209">
        <f ca="1"/>
      </c>
      <c r="FE209">
        <f ca="1"/>
      </c>
      <c r="FF209">
        <f ca="1"/>
      </c>
      <c r="FG209">
        <f ca="1"/>
      </c>
      <c r="FH209">
        <f ca="1"/>
      </c>
      <c r="FI209">
        <f ca="1"/>
      </c>
      <c r="FJ209">
        <f ca="1"/>
      </c>
      <c r="FK209">
        <f ca="1"/>
      </c>
      <c r="FL209">
        <f ca="1"/>
      </c>
      <c r="FM209">
        <f ca="1"/>
      </c>
      <c r="FN209">
        <f ca="1"/>
      </c>
      <c r="FO209">
        <f ca="1"/>
      </c>
      <c r="FP209">
        <f ca="1"/>
      </c>
      <c r="FQ209">
        <f ca="1"/>
      </c>
      <c r="FR209">
        <f ca="1"/>
      </c>
      <c r="FS209">
        <f ca="1"/>
      </c>
      <c r="FT209">
        <f ca="1"/>
      </c>
      <c r="FU209">
        <f ca="1"/>
      </c>
      <c r="FV209">
        <f ca="1"/>
      </c>
      <c r="FW209">
        <f ca="1"/>
      </c>
      <c r="FX209">
        <f ca="1"/>
      </c>
      <c r="FY209">
        <f ca="1"/>
      </c>
      <c r="FZ209">
        <f ca="1"/>
      </c>
      <c r="GA209">
        <f ca="1"/>
      </c>
      <c r="GM209" s="7">
        <f ca="1"/>
      </c>
      <c r="GN209">
        <f ca="1"/>
      </c>
      <c r="GO209">
        <f ca="1"/>
      </c>
      <c r="GP209">
        <f ca="1"/>
      </c>
      <c r="GQ209">
        <f ca="1"/>
      </c>
    </row>
    <row r="210" spans="41:199" x14ac:dyDescent="0.55000000000000004">
      <c r="AO210">
        <f ca="1"/>
      </c>
      <c r="AP210">
        <f ca="1"/>
      </c>
      <c r="AQ210">
        <f ca="1"/>
      </c>
      <c r="AR210">
        <f ca="1"/>
      </c>
      <c r="AS210">
        <f ca="1"/>
      </c>
      <c r="AT210">
        <f ca="1"/>
      </c>
      <c r="AU210">
        <f ca="1"/>
      </c>
      <c r="AV210">
        <f ca="1"/>
      </c>
      <c r="AW210">
        <f ca="1"/>
      </c>
      <c r="AX210">
        <f ca="1"/>
      </c>
      <c r="AY210">
        <f ca="1"/>
      </c>
      <c r="AZ210">
        <f ca="1"/>
      </c>
      <c r="BA210">
        <f ca="1"/>
      </c>
      <c r="BB210">
        <f ca="1"/>
      </c>
      <c r="BC210">
        <f ca="1"/>
      </c>
      <c r="BD210">
        <f ca="1"/>
      </c>
      <c r="BE210">
        <f ca="1"/>
      </c>
      <c r="BF210">
        <f ca="1"/>
      </c>
      <c r="BG210">
        <f ca="1"/>
      </c>
      <c r="BH210">
        <f ca="1"/>
      </c>
      <c r="BI210">
        <f ca="1"/>
      </c>
      <c r="BJ210">
        <f ca="1"/>
      </c>
      <c r="BK210">
        <f ca="1"/>
      </c>
      <c r="BL210">
        <f ca="1"/>
      </c>
      <c r="BM210">
        <f ca="1"/>
      </c>
      <c r="BN210">
        <f ca="1"/>
      </c>
      <c r="BO210">
        <f ca="1"/>
      </c>
      <c r="BP210">
        <f ca="1"/>
      </c>
      <c r="BQ210">
        <f ca="1"/>
      </c>
      <c r="BR210">
        <f ca="1"/>
      </c>
      <c r="BS210">
        <f ca="1"/>
      </c>
      <c r="BT210">
        <f ca="1"/>
      </c>
      <c r="BU210">
        <f ca="1"/>
      </c>
      <c r="BV210">
        <f ca="1"/>
      </c>
      <c r="BW210">
        <f ca="1"/>
      </c>
      <c r="BX210">
        <f ca="1"/>
      </c>
      <c r="BY210">
        <f ca="1"/>
      </c>
      <c r="BZ210">
        <f ca="1"/>
      </c>
      <c r="CA210">
        <f ca="1"/>
      </c>
      <c r="CB210">
        <f ca="1"/>
      </c>
      <c r="CC210">
        <f ca="1"/>
      </c>
      <c r="CD210">
        <f ca="1"/>
      </c>
      <c r="CE210">
        <f ca="1"/>
      </c>
      <c r="CF210">
        <f ca="1"/>
      </c>
      <c r="CG210">
        <f ca="1"/>
      </c>
      <c r="CH210">
        <f ca="1"/>
      </c>
      <c r="CI210">
        <f ca="1"/>
      </c>
      <c r="CK210">
        <f ca="1"/>
      </c>
      <c r="CL210">
        <f ca="1"/>
      </c>
      <c r="CM210">
        <f ca="1"/>
      </c>
      <c r="CN210">
        <f ca="1"/>
      </c>
      <c r="CO210">
        <f ca="1"/>
      </c>
      <c r="CP210">
        <f ca="1"/>
      </c>
      <c r="CQ210">
        <f ca="1"/>
      </c>
      <c r="CR210">
        <f ca="1"/>
      </c>
      <c r="CS210">
        <f ca="1"/>
      </c>
      <c r="CT210">
        <f ca="1"/>
      </c>
      <c r="CU210">
        <f ca="1"/>
      </c>
      <c r="CV210">
        <f ca="1"/>
      </c>
      <c r="CW210">
        <f ca="1"/>
      </c>
      <c r="CX210">
        <f ca="1"/>
      </c>
      <c r="CY210">
        <f ca="1"/>
      </c>
      <c r="CZ210">
        <f ca="1"/>
      </c>
      <c r="DA210">
        <f ca="1"/>
      </c>
      <c r="DB210">
        <f ca="1"/>
      </c>
      <c r="DC210">
        <f ca="1"/>
      </c>
      <c r="DD210">
        <f ca="1"/>
      </c>
      <c r="DE210">
        <f ca="1"/>
      </c>
      <c r="DF210">
        <f ca="1"/>
      </c>
      <c r="DG210">
        <f ca="1"/>
      </c>
      <c r="DH210">
        <f ca="1"/>
      </c>
      <c r="DI210">
        <f ca="1"/>
      </c>
      <c r="DJ210">
        <f ca="1"/>
      </c>
      <c r="DK210">
        <f ca="1"/>
      </c>
      <c r="DL210">
        <f ca="1"/>
      </c>
      <c r="DM210">
        <f ca="1"/>
      </c>
      <c r="DN210">
        <f ca="1"/>
      </c>
      <c r="DO210">
        <f ca="1"/>
      </c>
      <c r="DP210">
        <f ca="1"/>
      </c>
      <c r="DQ210">
        <f ca="1"/>
      </c>
      <c r="DR210">
        <f ca="1"/>
      </c>
      <c r="DS210">
        <f ca="1"/>
      </c>
      <c r="DT210">
        <f ca="1"/>
      </c>
      <c r="DU210">
        <f ca="1"/>
      </c>
      <c r="DV210">
        <f ca="1"/>
      </c>
      <c r="DW210">
        <f ca="1"/>
      </c>
      <c r="DX210">
        <f ca="1"/>
      </c>
      <c r="DY210">
        <f ca="1"/>
      </c>
      <c r="DZ210">
        <f ca="1"/>
      </c>
      <c r="EA210">
        <f ca="1"/>
      </c>
      <c r="EB210">
        <f ca="1"/>
      </c>
      <c r="EC210">
        <f ca="1"/>
      </c>
      <c r="ED210">
        <f ca="1"/>
      </c>
      <c r="EE210">
        <f ca="1"/>
      </c>
      <c r="EG210">
        <f ca="1"/>
      </c>
      <c r="EH210">
        <f ca="1"/>
      </c>
      <c r="EI210">
        <f ca="1"/>
      </c>
      <c r="EJ210">
        <f ca="1"/>
      </c>
      <c r="EK210">
        <f ca="1"/>
      </c>
      <c r="EL210">
        <f ca="1"/>
      </c>
      <c r="EM210">
        <f ca="1"/>
      </c>
      <c r="EN210">
        <f ca="1"/>
      </c>
      <c r="EO210">
        <f ca="1"/>
      </c>
      <c r="EP210">
        <f ca="1"/>
      </c>
      <c r="EQ210">
        <f ca="1"/>
      </c>
      <c r="ER210">
        <f ca="1"/>
      </c>
      <c r="ES210">
        <f ca="1"/>
      </c>
      <c r="ET210">
        <f ca="1"/>
      </c>
      <c r="EU210">
        <f ca="1"/>
      </c>
      <c r="EV210">
        <f ca="1"/>
      </c>
      <c r="EW210">
        <f ca="1"/>
      </c>
      <c r="EX210">
        <f ca="1"/>
      </c>
      <c r="EY210">
        <f ca="1"/>
      </c>
      <c r="EZ210">
        <f ca="1"/>
      </c>
      <c r="FA210">
        <f ca="1"/>
      </c>
      <c r="FB210">
        <f ca="1"/>
      </c>
      <c r="FC210">
        <f ca="1"/>
      </c>
      <c r="FD210">
        <f ca="1"/>
      </c>
      <c r="FE210">
        <f ca="1"/>
      </c>
      <c r="FF210">
        <f ca="1"/>
      </c>
      <c r="FG210">
        <f ca="1"/>
      </c>
      <c r="FH210">
        <f ca="1"/>
      </c>
      <c r="FI210">
        <f ca="1"/>
      </c>
      <c r="FJ210">
        <f ca="1"/>
      </c>
      <c r="FK210">
        <f ca="1"/>
      </c>
      <c r="FL210">
        <f ca="1"/>
      </c>
      <c r="FM210">
        <f ca="1"/>
      </c>
      <c r="FN210">
        <f ca="1"/>
      </c>
      <c r="FO210">
        <f ca="1"/>
      </c>
      <c r="FP210">
        <f ca="1"/>
      </c>
      <c r="FQ210">
        <f ca="1"/>
      </c>
      <c r="FR210">
        <f ca="1"/>
      </c>
      <c r="FS210">
        <f ca="1"/>
      </c>
      <c r="FT210">
        <f ca="1"/>
      </c>
      <c r="FU210">
        <f ca="1"/>
      </c>
      <c r="FV210">
        <f ca="1"/>
      </c>
      <c r="FW210">
        <f ca="1"/>
      </c>
      <c r="FX210">
        <f ca="1"/>
      </c>
      <c r="FY210">
        <f ca="1"/>
      </c>
      <c r="FZ210">
        <f ca="1"/>
      </c>
      <c r="GA210">
        <f ca="1"/>
      </c>
      <c r="GM210" s="7">
        <f ca="1"/>
      </c>
      <c r="GN210">
        <f ca="1"/>
      </c>
      <c r="GO210">
        <f ca="1"/>
      </c>
      <c r="GP210">
        <f ca="1"/>
      </c>
      <c r="GQ210">
        <f ca="1"/>
      </c>
    </row>
    <row r="211" spans="41:199" x14ac:dyDescent="0.55000000000000004">
      <c r="AO211">
        <f ca="1"/>
      </c>
      <c r="AP211">
        <f ca="1"/>
      </c>
      <c r="AQ211">
        <f ca="1"/>
      </c>
      <c r="AR211">
        <f ca="1"/>
      </c>
      <c r="AS211">
        <f ca="1"/>
      </c>
      <c r="AT211">
        <f ca="1"/>
      </c>
      <c r="AU211">
        <f ca="1"/>
      </c>
      <c r="AV211">
        <f ca="1"/>
      </c>
      <c r="AW211">
        <f ca="1"/>
      </c>
      <c r="AX211">
        <f ca="1"/>
      </c>
      <c r="AY211">
        <f ca="1"/>
      </c>
      <c r="AZ211">
        <f ca="1"/>
      </c>
      <c r="BA211">
        <f ca="1"/>
      </c>
      <c r="BB211">
        <f ca="1"/>
      </c>
      <c r="BC211">
        <f ca="1"/>
      </c>
      <c r="BD211">
        <f ca="1"/>
      </c>
      <c r="BE211">
        <f ca="1"/>
      </c>
      <c r="BF211">
        <f ca="1"/>
      </c>
      <c r="BG211">
        <f ca="1"/>
      </c>
      <c r="BH211">
        <f ca="1"/>
      </c>
      <c r="BI211">
        <f ca="1"/>
      </c>
      <c r="BJ211">
        <f ca="1"/>
      </c>
      <c r="BK211">
        <f ca="1"/>
      </c>
      <c r="BL211">
        <f ca="1"/>
      </c>
      <c r="BM211">
        <f ca="1"/>
      </c>
      <c r="BN211">
        <f ca="1"/>
      </c>
      <c r="BO211">
        <f ca="1"/>
      </c>
      <c r="BP211">
        <f ca="1"/>
      </c>
      <c r="BQ211">
        <f ca="1"/>
      </c>
      <c r="BR211">
        <f ca="1"/>
      </c>
      <c r="BS211">
        <f ca="1"/>
      </c>
      <c r="BT211">
        <f ca="1"/>
      </c>
      <c r="BU211">
        <f ca="1"/>
      </c>
      <c r="BV211">
        <f ca="1"/>
      </c>
      <c r="BW211">
        <f ca="1"/>
      </c>
      <c r="BX211">
        <f ca="1"/>
      </c>
      <c r="BY211">
        <f ca="1"/>
      </c>
      <c r="BZ211">
        <f ca="1"/>
      </c>
      <c r="CA211">
        <f ca="1"/>
      </c>
      <c r="CB211">
        <f ca="1"/>
      </c>
      <c r="CC211">
        <f ca="1"/>
      </c>
      <c r="CD211">
        <f ca="1"/>
      </c>
      <c r="CE211">
        <f ca="1"/>
      </c>
      <c r="CF211">
        <f ca="1"/>
      </c>
      <c r="CG211">
        <f ca="1"/>
      </c>
      <c r="CH211">
        <f ca="1"/>
      </c>
      <c r="CI211">
        <f ca="1"/>
      </c>
      <c r="CK211">
        <f ca="1"/>
      </c>
      <c r="CL211">
        <f ca="1"/>
      </c>
      <c r="CM211">
        <f ca="1"/>
      </c>
      <c r="CN211">
        <f ca="1"/>
      </c>
      <c r="CO211">
        <f ca="1"/>
      </c>
      <c r="CP211">
        <f ca="1"/>
      </c>
      <c r="CQ211">
        <f ca="1"/>
      </c>
      <c r="CR211">
        <f ca="1"/>
      </c>
      <c r="CS211">
        <f ca="1"/>
      </c>
      <c r="CT211">
        <f ca="1"/>
      </c>
      <c r="CU211">
        <f ca="1"/>
      </c>
      <c r="CV211">
        <f ca="1"/>
      </c>
      <c r="CW211">
        <f ca="1"/>
      </c>
      <c r="CX211">
        <f ca="1"/>
      </c>
      <c r="CY211">
        <f ca="1"/>
      </c>
      <c r="CZ211">
        <f ca="1"/>
      </c>
      <c r="DA211">
        <f ca="1"/>
      </c>
      <c r="DB211">
        <f ca="1"/>
      </c>
      <c r="DC211">
        <f ca="1"/>
      </c>
      <c r="DD211">
        <f ca="1"/>
      </c>
      <c r="DE211">
        <f ca="1"/>
      </c>
      <c r="DF211">
        <f ca="1"/>
      </c>
      <c r="DG211">
        <f ca="1"/>
      </c>
      <c r="DH211">
        <f ca="1"/>
      </c>
      <c r="DI211">
        <f ca="1"/>
      </c>
      <c r="DJ211">
        <f ca="1"/>
      </c>
      <c r="DK211">
        <f ca="1"/>
      </c>
      <c r="DL211">
        <f ca="1"/>
      </c>
      <c r="DM211">
        <f ca="1"/>
      </c>
      <c r="DN211">
        <f ca="1"/>
      </c>
      <c r="DO211">
        <f ca="1"/>
      </c>
      <c r="DP211">
        <f ca="1"/>
      </c>
      <c r="DQ211">
        <f ca="1"/>
      </c>
      <c r="DR211">
        <f ca="1"/>
      </c>
      <c r="DS211">
        <f ca="1"/>
      </c>
      <c r="DT211">
        <f ca="1"/>
      </c>
      <c r="DU211">
        <f ca="1"/>
      </c>
      <c r="DV211">
        <f ca="1"/>
      </c>
      <c r="DW211">
        <f ca="1"/>
      </c>
      <c r="DX211">
        <f ca="1"/>
      </c>
      <c r="DY211">
        <f ca="1"/>
      </c>
      <c r="DZ211">
        <f ca="1"/>
      </c>
      <c r="EA211">
        <f ca="1"/>
      </c>
      <c r="EB211">
        <f ca="1"/>
      </c>
      <c r="EC211">
        <f ca="1"/>
      </c>
      <c r="ED211">
        <f ca="1"/>
      </c>
      <c r="EE211">
        <f ca="1"/>
      </c>
      <c r="EG211">
        <f ca="1"/>
      </c>
      <c r="EH211">
        <f ca="1"/>
      </c>
      <c r="EI211">
        <f ca="1"/>
      </c>
      <c r="EJ211">
        <f ca="1"/>
      </c>
      <c r="EK211">
        <f ca="1"/>
      </c>
      <c r="EL211">
        <f ca="1"/>
      </c>
      <c r="EM211">
        <f ca="1"/>
      </c>
      <c r="EN211">
        <f ca="1"/>
      </c>
      <c r="EO211">
        <f ca="1"/>
      </c>
      <c r="EP211">
        <f ca="1"/>
      </c>
      <c r="EQ211">
        <f ca="1"/>
      </c>
      <c r="ER211">
        <f ca="1"/>
      </c>
      <c r="ES211">
        <f ca="1"/>
      </c>
      <c r="ET211">
        <f ca="1"/>
      </c>
      <c r="EU211">
        <f ca="1"/>
      </c>
      <c r="EV211">
        <f ca="1"/>
      </c>
      <c r="EW211">
        <f ca="1"/>
      </c>
      <c r="EX211">
        <f ca="1"/>
      </c>
      <c r="EY211">
        <f ca="1"/>
      </c>
      <c r="EZ211">
        <f ca="1"/>
      </c>
      <c r="FA211">
        <f ca="1"/>
      </c>
      <c r="FB211">
        <f ca="1"/>
      </c>
      <c r="FC211">
        <f ca="1"/>
      </c>
      <c r="FD211">
        <f ca="1"/>
      </c>
      <c r="FE211">
        <f ca="1"/>
      </c>
      <c r="FF211">
        <f ca="1"/>
      </c>
      <c r="FG211">
        <f ca="1"/>
      </c>
      <c r="FH211">
        <f ca="1"/>
      </c>
      <c r="FI211">
        <f ca="1"/>
      </c>
      <c r="FJ211">
        <f ca="1"/>
      </c>
      <c r="FK211">
        <f ca="1"/>
      </c>
      <c r="FL211">
        <f ca="1"/>
      </c>
      <c r="FM211">
        <f ca="1"/>
      </c>
      <c r="FN211">
        <f ca="1"/>
      </c>
      <c r="FO211">
        <f ca="1"/>
      </c>
      <c r="FP211">
        <f ca="1"/>
      </c>
      <c r="FQ211">
        <f ca="1"/>
      </c>
      <c r="FR211">
        <f ca="1"/>
      </c>
      <c r="FS211">
        <f ca="1"/>
      </c>
      <c r="FT211">
        <f ca="1"/>
      </c>
      <c r="FU211">
        <f ca="1"/>
      </c>
      <c r="FV211">
        <f ca="1"/>
      </c>
      <c r="FW211">
        <f ca="1"/>
      </c>
      <c r="FX211">
        <f ca="1"/>
      </c>
      <c r="FY211">
        <f ca="1"/>
      </c>
      <c r="FZ211">
        <f ca="1"/>
      </c>
      <c r="GA211">
        <f ca="1"/>
      </c>
      <c r="GM211" s="7">
        <f ca="1"/>
      </c>
      <c r="GN211">
        <f ca="1"/>
      </c>
      <c r="GO211">
        <f ca="1"/>
      </c>
      <c r="GP211">
        <f ca="1"/>
      </c>
      <c r="GQ211">
        <f ca="1"/>
      </c>
    </row>
    <row r="212" spans="41:199" x14ac:dyDescent="0.55000000000000004">
      <c r="AO212">
        <f ca="1"/>
      </c>
      <c r="AP212">
        <f ca="1"/>
      </c>
      <c r="AQ212">
        <f ca="1"/>
      </c>
      <c r="AR212">
        <f ca="1"/>
      </c>
      <c r="AS212">
        <f ca="1"/>
      </c>
      <c r="AT212">
        <f ca="1"/>
      </c>
      <c r="AU212">
        <f ca="1"/>
      </c>
      <c r="AV212">
        <f ca="1"/>
      </c>
      <c r="AW212">
        <f ca="1"/>
      </c>
      <c r="AX212">
        <f ca="1"/>
      </c>
      <c r="AY212">
        <f ca="1"/>
      </c>
      <c r="AZ212">
        <f ca="1"/>
      </c>
      <c r="BA212">
        <f ca="1"/>
      </c>
      <c r="BB212">
        <f ca="1"/>
      </c>
      <c r="BC212">
        <f ca="1"/>
      </c>
      <c r="BD212">
        <f ca="1"/>
      </c>
      <c r="BE212">
        <f ca="1"/>
      </c>
      <c r="BF212">
        <f ca="1"/>
      </c>
      <c r="BG212">
        <f ca="1"/>
      </c>
      <c r="BH212">
        <f ca="1"/>
      </c>
      <c r="BI212">
        <f ca="1"/>
      </c>
      <c r="BJ212">
        <f ca="1"/>
      </c>
      <c r="BK212">
        <f ca="1"/>
      </c>
      <c r="BL212">
        <f ca="1"/>
      </c>
      <c r="BM212">
        <f ca="1"/>
      </c>
      <c r="BN212">
        <f ca="1"/>
      </c>
      <c r="BO212">
        <f ca="1"/>
      </c>
      <c r="BP212">
        <f ca="1"/>
      </c>
      <c r="BQ212">
        <f ca="1"/>
      </c>
      <c r="BR212">
        <f ca="1"/>
      </c>
      <c r="BS212">
        <f ca="1"/>
      </c>
      <c r="BT212">
        <f ca="1"/>
      </c>
      <c r="BU212">
        <f ca="1"/>
      </c>
      <c r="BV212">
        <f ca="1"/>
      </c>
      <c r="BW212">
        <f ca="1"/>
      </c>
      <c r="BX212">
        <f ca="1"/>
      </c>
      <c r="BY212">
        <f ca="1"/>
      </c>
      <c r="BZ212">
        <f ca="1"/>
      </c>
      <c r="CA212">
        <f ca="1"/>
      </c>
      <c r="CB212">
        <f ca="1"/>
      </c>
      <c r="CC212">
        <f ca="1"/>
      </c>
      <c r="CD212">
        <f ca="1"/>
      </c>
      <c r="CE212">
        <f ca="1"/>
      </c>
      <c r="CF212">
        <f ca="1"/>
      </c>
      <c r="CG212">
        <f ca="1"/>
      </c>
      <c r="CH212">
        <f ca="1"/>
      </c>
      <c r="CI212">
        <f ca="1"/>
      </c>
      <c r="CK212">
        <f ca="1"/>
      </c>
      <c r="CL212">
        <f ca="1"/>
      </c>
      <c r="CM212">
        <f ca="1"/>
      </c>
      <c r="CN212">
        <f ca="1"/>
      </c>
      <c r="CO212">
        <f ca="1"/>
      </c>
      <c r="CP212">
        <f ca="1"/>
      </c>
      <c r="CQ212">
        <f ca="1"/>
      </c>
      <c r="CR212">
        <f ca="1"/>
      </c>
      <c r="CS212">
        <f ca="1"/>
      </c>
      <c r="CT212">
        <f ca="1"/>
      </c>
      <c r="CU212">
        <f ca="1"/>
      </c>
      <c r="CV212">
        <f ca="1"/>
      </c>
      <c r="CW212">
        <f ca="1"/>
      </c>
      <c r="CX212">
        <f ca="1"/>
      </c>
      <c r="CY212">
        <f ca="1"/>
      </c>
      <c r="CZ212">
        <f ca="1"/>
      </c>
      <c r="DA212">
        <f ca="1"/>
      </c>
      <c r="DB212">
        <f ca="1"/>
      </c>
      <c r="DC212">
        <f ca="1"/>
      </c>
      <c r="DD212">
        <f ca="1"/>
      </c>
      <c r="DE212">
        <f ca="1"/>
      </c>
      <c r="DF212">
        <f ca="1"/>
      </c>
      <c r="DG212">
        <f ca="1"/>
      </c>
      <c r="DH212">
        <f ca="1"/>
      </c>
      <c r="DI212">
        <f ca="1"/>
      </c>
      <c r="DJ212">
        <f ca="1"/>
      </c>
      <c r="DK212">
        <f ca="1"/>
      </c>
      <c r="DL212">
        <f ca="1"/>
      </c>
      <c r="DM212">
        <f ca="1"/>
      </c>
      <c r="DN212">
        <f ca="1"/>
      </c>
      <c r="DO212">
        <f ca="1"/>
      </c>
      <c r="DP212">
        <f ca="1"/>
      </c>
      <c r="DQ212">
        <f ca="1"/>
      </c>
      <c r="DR212">
        <f ca="1"/>
      </c>
      <c r="DS212">
        <f ca="1"/>
      </c>
      <c r="DT212">
        <f ca="1"/>
      </c>
      <c r="DU212">
        <f ca="1"/>
      </c>
      <c r="DV212">
        <f ca="1"/>
      </c>
      <c r="DW212">
        <f ca="1"/>
      </c>
      <c r="DX212">
        <f ca="1"/>
      </c>
      <c r="DY212">
        <f ca="1"/>
      </c>
      <c r="DZ212">
        <f ca="1"/>
      </c>
      <c r="EA212">
        <f ca="1"/>
      </c>
      <c r="EB212">
        <f ca="1"/>
      </c>
      <c r="EC212">
        <f ca="1"/>
      </c>
      <c r="ED212">
        <f ca="1"/>
      </c>
      <c r="EE212">
        <f ca="1"/>
      </c>
      <c r="EG212">
        <f ca="1"/>
      </c>
      <c r="EH212">
        <f ca="1"/>
      </c>
      <c r="EI212">
        <f ca="1"/>
      </c>
      <c r="EJ212">
        <f ca="1"/>
      </c>
      <c r="EK212">
        <f ca="1"/>
      </c>
      <c r="EL212">
        <f ca="1"/>
      </c>
      <c r="EM212">
        <f ca="1"/>
      </c>
      <c r="EN212">
        <f ca="1"/>
      </c>
      <c r="EO212">
        <f ca="1"/>
      </c>
      <c r="EP212">
        <f ca="1"/>
      </c>
      <c r="EQ212">
        <f ca="1"/>
      </c>
      <c r="ER212">
        <f ca="1"/>
      </c>
      <c r="ES212">
        <f ca="1"/>
      </c>
      <c r="ET212">
        <f ca="1"/>
      </c>
      <c r="EU212">
        <f ca="1"/>
      </c>
      <c r="EV212">
        <f ca="1"/>
      </c>
      <c r="EW212">
        <f ca="1"/>
      </c>
      <c r="EX212">
        <f ca="1"/>
      </c>
      <c r="EY212">
        <f ca="1"/>
      </c>
      <c r="EZ212">
        <f ca="1"/>
      </c>
      <c r="FA212">
        <f ca="1"/>
      </c>
      <c r="FB212">
        <f ca="1"/>
      </c>
      <c r="FC212">
        <f ca="1"/>
      </c>
      <c r="FD212">
        <f ca="1"/>
      </c>
      <c r="FE212">
        <f ca="1"/>
      </c>
      <c r="FF212">
        <f ca="1"/>
      </c>
      <c r="FG212">
        <f ca="1"/>
      </c>
      <c r="FH212">
        <f ca="1"/>
      </c>
      <c r="FI212">
        <f ca="1"/>
      </c>
      <c r="FJ212">
        <f ca="1"/>
      </c>
      <c r="FK212">
        <f ca="1"/>
      </c>
      <c r="FL212">
        <f ca="1"/>
      </c>
      <c r="FM212">
        <f ca="1"/>
      </c>
      <c r="FN212">
        <f ca="1"/>
      </c>
      <c r="FO212">
        <f ca="1"/>
      </c>
      <c r="FP212">
        <f ca="1"/>
      </c>
      <c r="FQ212">
        <f ca="1"/>
      </c>
      <c r="FR212">
        <f ca="1"/>
      </c>
      <c r="FS212">
        <f ca="1"/>
      </c>
      <c r="FT212">
        <f ca="1"/>
      </c>
      <c r="FU212">
        <f ca="1"/>
      </c>
      <c r="FV212">
        <f ca="1"/>
      </c>
      <c r="FW212">
        <f ca="1"/>
      </c>
      <c r="FX212">
        <f ca="1"/>
      </c>
      <c r="FY212">
        <f ca="1"/>
      </c>
      <c r="FZ212">
        <f ca="1"/>
      </c>
      <c r="GA212">
        <f ca="1"/>
      </c>
      <c r="GM212" s="7">
        <f ca="1"/>
      </c>
      <c r="GN212">
        <f ca="1"/>
      </c>
      <c r="GO212">
        <f ca="1"/>
      </c>
      <c r="GP212">
        <f ca="1"/>
      </c>
      <c r="GQ212">
        <f ca="1"/>
      </c>
    </row>
    <row r="213" spans="41:199" x14ac:dyDescent="0.55000000000000004">
      <c r="AO213">
        <f ca="1"/>
      </c>
      <c r="AP213">
        <f ca="1"/>
      </c>
      <c r="AQ213">
        <f ca="1"/>
      </c>
      <c r="AR213">
        <f ca="1"/>
      </c>
      <c r="AS213">
        <f ca="1"/>
      </c>
      <c r="AT213">
        <f ca="1"/>
      </c>
      <c r="AU213">
        <f ca="1"/>
      </c>
      <c r="AV213">
        <f ca="1"/>
      </c>
      <c r="AW213">
        <f ca="1"/>
      </c>
      <c r="AX213">
        <f ca="1"/>
      </c>
      <c r="AY213">
        <f ca="1"/>
      </c>
      <c r="AZ213">
        <f ca="1"/>
      </c>
      <c r="BA213">
        <f ca="1"/>
      </c>
      <c r="BB213">
        <f ca="1"/>
      </c>
      <c r="BC213">
        <f ca="1"/>
      </c>
      <c r="BD213">
        <f ca="1"/>
      </c>
      <c r="BE213">
        <f ca="1"/>
      </c>
      <c r="BF213">
        <f ca="1"/>
      </c>
      <c r="BG213">
        <f ca="1"/>
      </c>
      <c r="BH213">
        <f ca="1"/>
      </c>
      <c r="BI213">
        <f ca="1"/>
      </c>
      <c r="BJ213">
        <f ca="1"/>
      </c>
      <c r="BK213">
        <f ca="1"/>
      </c>
      <c r="BL213">
        <f ca="1"/>
      </c>
      <c r="BM213">
        <f ca="1"/>
      </c>
      <c r="BN213">
        <f ca="1"/>
      </c>
      <c r="BO213">
        <f ca="1"/>
      </c>
      <c r="BP213">
        <f ca="1"/>
      </c>
      <c r="BQ213">
        <f ca="1"/>
      </c>
      <c r="BR213">
        <f ca="1"/>
      </c>
      <c r="BS213">
        <f ca="1"/>
      </c>
      <c r="BT213">
        <f ca="1"/>
      </c>
      <c r="BU213">
        <f ca="1"/>
      </c>
      <c r="BV213">
        <f ca="1"/>
      </c>
      <c r="BW213">
        <f ca="1"/>
      </c>
      <c r="BX213">
        <f ca="1"/>
      </c>
      <c r="BY213">
        <f ca="1"/>
      </c>
      <c r="BZ213">
        <f ca="1"/>
      </c>
      <c r="CA213">
        <f ca="1"/>
      </c>
      <c r="CB213">
        <f ca="1"/>
      </c>
      <c r="CC213">
        <f ca="1"/>
      </c>
      <c r="CD213">
        <f ca="1"/>
      </c>
      <c r="CE213">
        <f ca="1"/>
      </c>
      <c r="CF213">
        <f ca="1"/>
      </c>
      <c r="CG213">
        <f ca="1"/>
      </c>
      <c r="CH213">
        <f ca="1"/>
      </c>
      <c r="CI213">
        <f ca="1"/>
      </c>
      <c r="CK213">
        <f ca="1"/>
      </c>
      <c r="CL213">
        <f ca="1"/>
      </c>
      <c r="CM213">
        <f ca="1"/>
      </c>
      <c r="CN213">
        <f ca="1"/>
      </c>
      <c r="CO213">
        <f ca="1"/>
      </c>
      <c r="CP213">
        <f ca="1"/>
      </c>
      <c r="CQ213">
        <f ca="1"/>
      </c>
      <c r="CR213">
        <f ca="1"/>
      </c>
      <c r="CS213">
        <f ca="1"/>
      </c>
      <c r="CT213">
        <f ca="1"/>
      </c>
      <c r="CU213">
        <f ca="1"/>
      </c>
      <c r="CV213">
        <f ca="1"/>
      </c>
      <c r="CW213">
        <f ca="1"/>
      </c>
      <c r="CX213">
        <f ca="1"/>
      </c>
      <c r="CY213">
        <f ca="1"/>
      </c>
      <c r="CZ213">
        <f ca="1"/>
      </c>
      <c r="DA213">
        <f ca="1"/>
      </c>
      <c r="DB213">
        <f ca="1"/>
      </c>
      <c r="DC213">
        <f ca="1"/>
      </c>
      <c r="DD213">
        <f ca="1"/>
      </c>
      <c r="DE213">
        <f ca="1"/>
      </c>
      <c r="DF213">
        <f ca="1"/>
      </c>
      <c r="DG213">
        <f ca="1"/>
      </c>
      <c r="DH213">
        <f ca="1"/>
      </c>
      <c r="DI213">
        <f ca="1"/>
      </c>
      <c r="DJ213">
        <f ca="1"/>
      </c>
      <c r="DK213">
        <f ca="1"/>
      </c>
      <c r="DL213">
        <f ca="1"/>
      </c>
      <c r="DM213">
        <f ca="1"/>
      </c>
      <c r="DN213">
        <f ca="1"/>
      </c>
      <c r="DO213">
        <f ca="1"/>
      </c>
      <c r="DP213">
        <f ca="1"/>
      </c>
      <c r="DQ213">
        <f ca="1"/>
      </c>
      <c r="DR213">
        <f ca="1"/>
      </c>
      <c r="DS213">
        <f ca="1"/>
      </c>
      <c r="DT213">
        <f ca="1"/>
      </c>
      <c r="DU213">
        <f ca="1"/>
      </c>
      <c r="DV213">
        <f ca="1"/>
      </c>
      <c r="DW213">
        <f ca="1"/>
      </c>
      <c r="DX213">
        <f ca="1"/>
      </c>
      <c r="DY213">
        <f ca="1"/>
      </c>
      <c r="DZ213">
        <f ca="1"/>
      </c>
      <c r="EA213">
        <f ca="1"/>
      </c>
      <c r="EB213">
        <f ca="1"/>
      </c>
      <c r="EC213">
        <f ca="1"/>
      </c>
      <c r="ED213">
        <f ca="1"/>
      </c>
      <c r="EE213">
        <f ca="1"/>
      </c>
      <c r="EG213">
        <f ca="1"/>
      </c>
      <c r="EH213">
        <f ca="1"/>
      </c>
      <c r="EI213">
        <f ca="1"/>
      </c>
      <c r="EJ213">
        <f ca="1"/>
      </c>
      <c r="EK213">
        <f ca="1"/>
      </c>
      <c r="EL213">
        <f ca="1"/>
      </c>
      <c r="EM213">
        <f ca="1"/>
      </c>
      <c r="EN213">
        <f ca="1"/>
      </c>
      <c r="EO213">
        <f ca="1"/>
      </c>
      <c r="EP213">
        <f ca="1"/>
      </c>
      <c r="EQ213">
        <f ca="1"/>
      </c>
      <c r="ER213">
        <f ca="1"/>
      </c>
      <c r="ES213">
        <f ca="1"/>
      </c>
      <c r="ET213">
        <f ca="1"/>
      </c>
      <c r="EU213">
        <f ca="1"/>
      </c>
      <c r="EV213">
        <f ca="1"/>
      </c>
      <c r="EW213">
        <f ca="1"/>
      </c>
      <c r="EX213">
        <f ca="1"/>
      </c>
      <c r="EY213">
        <f ca="1"/>
      </c>
      <c r="EZ213">
        <f ca="1"/>
      </c>
      <c r="FA213">
        <f ca="1"/>
      </c>
      <c r="FB213">
        <f ca="1"/>
      </c>
      <c r="FC213">
        <f ca="1"/>
      </c>
      <c r="FD213">
        <f ca="1"/>
      </c>
      <c r="FE213">
        <f ca="1"/>
      </c>
      <c r="FF213">
        <f ca="1"/>
      </c>
      <c r="FG213">
        <f ca="1"/>
      </c>
      <c r="FH213">
        <f ca="1"/>
      </c>
      <c r="FI213">
        <f ca="1"/>
      </c>
      <c r="FJ213">
        <f ca="1"/>
      </c>
      <c r="FK213">
        <f ca="1"/>
      </c>
      <c r="FL213">
        <f ca="1"/>
      </c>
      <c r="FM213">
        <f ca="1"/>
      </c>
      <c r="FN213">
        <f ca="1"/>
      </c>
      <c r="FO213">
        <f ca="1"/>
      </c>
      <c r="FP213">
        <f ca="1"/>
      </c>
      <c r="FQ213">
        <f ca="1"/>
      </c>
      <c r="FR213">
        <f ca="1"/>
      </c>
      <c r="FS213">
        <f ca="1"/>
      </c>
      <c r="FT213">
        <f ca="1"/>
      </c>
      <c r="FU213">
        <f ca="1"/>
      </c>
      <c r="FV213">
        <f ca="1"/>
      </c>
      <c r="FW213">
        <f ca="1"/>
      </c>
      <c r="FX213">
        <f ca="1"/>
      </c>
      <c r="FY213">
        <f ca="1"/>
      </c>
      <c r="FZ213">
        <f ca="1"/>
      </c>
      <c r="GA213">
        <f ca="1"/>
      </c>
      <c r="GM213" s="7">
        <f ca="1"/>
      </c>
      <c r="GN213">
        <f ca="1"/>
      </c>
      <c r="GO213">
        <f ca="1"/>
      </c>
      <c r="GP213">
        <f ca="1"/>
      </c>
      <c r="GQ213">
        <f ca="1"/>
      </c>
    </row>
    <row r="214" spans="41:199" x14ac:dyDescent="0.55000000000000004">
      <c r="AO214">
        <f ca="1"/>
      </c>
      <c r="AP214">
        <f ca="1"/>
      </c>
      <c r="AQ214">
        <f ca="1"/>
      </c>
      <c r="AR214">
        <f ca="1"/>
      </c>
      <c r="AS214">
        <f ca="1"/>
      </c>
      <c r="AT214">
        <f ca="1"/>
      </c>
      <c r="AU214">
        <f ca="1"/>
      </c>
      <c r="AV214">
        <f ca="1"/>
      </c>
      <c r="AW214">
        <f ca="1"/>
      </c>
      <c r="AX214">
        <f ca="1"/>
      </c>
      <c r="AY214">
        <f ca="1"/>
      </c>
      <c r="AZ214">
        <f ca="1"/>
      </c>
      <c r="BA214">
        <f ca="1"/>
      </c>
      <c r="BB214">
        <f ca="1"/>
      </c>
      <c r="BC214">
        <f ca="1"/>
      </c>
      <c r="BD214">
        <f ca="1"/>
      </c>
      <c r="BE214">
        <f ca="1"/>
      </c>
      <c r="BF214">
        <f ca="1"/>
      </c>
      <c r="BG214">
        <f ca="1"/>
      </c>
      <c r="BH214">
        <f ca="1"/>
      </c>
      <c r="BI214">
        <f ca="1"/>
      </c>
      <c r="BJ214">
        <f ca="1"/>
      </c>
      <c r="BK214">
        <f ca="1"/>
      </c>
      <c r="BL214">
        <f ca="1"/>
      </c>
      <c r="BM214">
        <f ca="1"/>
      </c>
      <c r="BN214">
        <f ca="1"/>
      </c>
      <c r="BO214">
        <f ca="1"/>
      </c>
      <c r="BP214">
        <f ca="1"/>
      </c>
      <c r="BQ214">
        <f ca="1"/>
      </c>
      <c r="BR214">
        <f ca="1"/>
      </c>
      <c r="BS214">
        <f ca="1"/>
      </c>
      <c r="BT214">
        <f ca="1"/>
      </c>
      <c r="BU214">
        <f ca="1"/>
      </c>
      <c r="BV214">
        <f ca="1"/>
      </c>
      <c r="BW214">
        <f ca="1"/>
      </c>
      <c r="BX214">
        <f ca="1"/>
      </c>
      <c r="BY214">
        <f ca="1"/>
      </c>
      <c r="BZ214">
        <f ca="1"/>
      </c>
      <c r="CA214">
        <f ca="1"/>
      </c>
      <c r="CB214">
        <f ca="1"/>
      </c>
      <c r="CC214">
        <f ca="1"/>
      </c>
      <c r="CD214">
        <f ca="1"/>
      </c>
      <c r="CE214">
        <f ca="1"/>
      </c>
      <c r="CF214">
        <f ca="1"/>
      </c>
      <c r="CG214">
        <f ca="1"/>
      </c>
      <c r="CH214">
        <f ca="1"/>
      </c>
      <c r="CI214">
        <f ca="1"/>
      </c>
      <c r="CK214">
        <f ca="1"/>
      </c>
      <c r="CL214">
        <f ca="1"/>
      </c>
      <c r="CM214">
        <f ca="1"/>
      </c>
      <c r="CN214">
        <f ca="1"/>
      </c>
      <c r="CO214">
        <f ca="1"/>
      </c>
      <c r="CP214">
        <f ca="1"/>
      </c>
      <c r="CQ214">
        <f ca="1"/>
      </c>
      <c r="CR214">
        <f ca="1"/>
      </c>
      <c r="CS214">
        <f ca="1"/>
      </c>
      <c r="CT214">
        <f ca="1"/>
      </c>
      <c r="CU214">
        <f ca="1"/>
      </c>
      <c r="CV214">
        <f ca="1"/>
      </c>
      <c r="CW214">
        <f ca="1"/>
      </c>
      <c r="CX214">
        <f ca="1"/>
      </c>
      <c r="CY214">
        <f ca="1"/>
      </c>
      <c r="CZ214">
        <f ca="1"/>
      </c>
      <c r="DA214">
        <f ca="1"/>
      </c>
      <c r="DB214">
        <f ca="1"/>
      </c>
      <c r="DC214">
        <f ca="1"/>
      </c>
      <c r="DD214">
        <f ca="1"/>
      </c>
      <c r="DE214">
        <f ca="1"/>
      </c>
      <c r="DF214">
        <f ca="1"/>
      </c>
      <c r="DG214">
        <f ca="1"/>
      </c>
      <c r="DH214">
        <f ca="1"/>
      </c>
      <c r="DI214">
        <f ca="1"/>
      </c>
      <c r="DJ214">
        <f ca="1"/>
      </c>
      <c r="DK214">
        <f ca="1"/>
      </c>
      <c r="DL214">
        <f ca="1"/>
      </c>
      <c r="DM214">
        <f ca="1"/>
      </c>
      <c r="DN214">
        <f ca="1"/>
      </c>
      <c r="DO214">
        <f ca="1"/>
      </c>
      <c r="DP214">
        <f ca="1"/>
      </c>
      <c r="DQ214">
        <f ca="1"/>
      </c>
      <c r="DR214">
        <f ca="1"/>
      </c>
      <c r="DS214">
        <f ca="1"/>
      </c>
      <c r="DT214">
        <f ca="1"/>
      </c>
      <c r="DU214">
        <f ca="1"/>
      </c>
      <c r="DV214">
        <f ca="1"/>
      </c>
      <c r="DW214">
        <f ca="1"/>
      </c>
      <c r="DX214">
        <f ca="1"/>
      </c>
      <c r="DY214">
        <f ca="1"/>
      </c>
      <c r="DZ214">
        <f ca="1"/>
      </c>
      <c r="EA214">
        <f ca="1"/>
      </c>
      <c r="EB214">
        <f ca="1"/>
      </c>
      <c r="EC214">
        <f ca="1"/>
      </c>
      <c r="ED214">
        <f ca="1"/>
      </c>
      <c r="EE214">
        <f ca="1"/>
      </c>
      <c r="EG214">
        <f ca="1"/>
      </c>
      <c r="EH214">
        <f ca="1"/>
      </c>
      <c r="EI214">
        <f ca="1"/>
      </c>
      <c r="EJ214">
        <f ca="1"/>
      </c>
      <c r="EK214">
        <f ca="1"/>
      </c>
      <c r="EL214">
        <f ca="1"/>
      </c>
      <c r="EM214">
        <f ca="1"/>
      </c>
      <c r="EN214">
        <f ca="1"/>
      </c>
      <c r="EO214">
        <f ca="1"/>
      </c>
      <c r="EP214">
        <f ca="1"/>
      </c>
      <c r="EQ214">
        <f ca="1"/>
      </c>
      <c r="ER214">
        <f ca="1"/>
      </c>
      <c r="ES214">
        <f ca="1"/>
      </c>
      <c r="ET214">
        <f ca="1"/>
      </c>
      <c r="EU214">
        <f ca="1"/>
      </c>
      <c r="EV214">
        <f ca="1"/>
      </c>
      <c r="EW214">
        <f ca="1"/>
      </c>
      <c r="EX214">
        <f ca="1"/>
      </c>
      <c r="EY214">
        <f ca="1"/>
      </c>
      <c r="EZ214">
        <f ca="1"/>
      </c>
      <c r="FA214">
        <f ca="1"/>
      </c>
      <c r="FB214">
        <f ca="1"/>
      </c>
      <c r="FC214">
        <f ca="1"/>
      </c>
      <c r="FD214">
        <f ca="1"/>
      </c>
      <c r="FE214">
        <f ca="1"/>
      </c>
      <c r="FF214">
        <f ca="1"/>
      </c>
      <c r="FG214">
        <f ca="1"/>
      </c>
      <c r="FH214">
        <f ca="1"/>
      </c>
      <c r="FI214">
        <f ca="1"/>
      </c>
      <c r="FJ214">
        <f ca="1"/>
      </c>
      <c r="FK214">
        <f ca="1"/>
      </c>
      <c r="FL214">
        <f ca="1"/>
      </c>
      <c r="FM214">
        <f ca="1"/>
      </c>
      <c r="FN214">
        <f ca="1"/>
      </c>
      <c r="FO214">
        <f ca="1"/>
      </c>
      <c r="FP214">
        <f ca="1"/>
      </c>
      <c r="FQ214">
        <f ca="1"/>
      </c>
      <c r="FR214">
        <f ca="1"/>
      </c>
      <c r="FS214">
        <f ca="1"/>
      </c>
      <c r="FT214">
        <f ca="1"/>
      </c>
      <c r="FU214">
        <f ca="1"/>
      </c>
      <c r="FV214">
        <f ca="1"/>
      </c>
      <c r="FW214">
        <f ca="1"/>
      </c>
      <c r="FX214">
        <f ca="1"/>
      </c>
      <c r="FY214">
        <f ca="1"/>
      </c>
      <c r="FZ214">
        <f ca="1"/>
      </c>
      <c r="GA214">
        <f ca="1"/>
      </c>
      <c r="GM214" s="7">
        <f ca="1"/>
      </c>
      <c r="GN214">
        <f ca="1"/>
      </c>
      <c r="GO214">
        <f ca="1"/>
      </c>
      <c r="GP214">
        <f ca="1"/>
      </c>
      <c r="GQ214">
        <f ca="1"/>
      </c>
    </row>
    <row r="215" spans="41:199" x14ac:dyDescent="0.55000000000000004">
      <c r="AO215">
        <f ca="1"/>
      </c>
      <c r="AP215">
        <f ca="1"/>
      </c>
      <c r="AQ215">
        <f ca="1"/>
      </c>
      <c r="AR215">
        <f ca="1"/>
      </c>
      <c r="AS215">
        <f ca="1"/>
      </c>
      <c r="AT215">
        <f ca="1"/>
      </c>
      <c r="AU215">
        <f ca="1"/>
      </c>
      <c r="AV215">
        <f ca="1"/>
      </c>
      <c r="AW215">
        <f ca="1"/>
      </c>
      <c r="AX215">
        <f ca="1"/>
      </c>
      <c r="AY215">
        <f ca="1"/>
      </c>
      <c r="AZ215">
        <f ca="1"/>
      </c>
      <c r="BA215">
        <f ca="1"/>
      </c>
      <c r="BB215">
        <f ca="1"/>
      </c>
      <c r="BC215">
        <f ca="1"/>
      </c>
      <c r="BD215">
        <f ca="1"/>
      </c>
      <c r="BE215">
        <f ca="1"/>
      </c>
      <c r="BF215">
        <f ca="1"/>
      </c>
      <c r="BG215">
        <f ca="1"/>
      </c>
      <c r="BH215">
        <f ca="1"/>
      </c>
      <c r="BI215">
        <f ca="1"/>
      </c>
      <c r="BJ215">
        <f ca="1"/>
      </c>
      <c r="BK215">
        <f ca="1"/>
      </c>
      <c r="BL215">
        <f ca="1"/>
      </c>
      <c r="BM215">
        <f ca="1"/>
      </c>
      <c r="BN215">
        <f ca="1"/>
      </c>
      <c r="BO215">
        <f ca="1"/>
      </c>
      <c r="BP215">
        <f ca="1"/>
      </c>
      <c r="BQ215">
        <f ca="1"/>
      </c>
      <c r="BR215">
        <f ca="1"/>
      </c>
      <c r="BS215">
        <f ca="1"/>
      </c>
      <c r="BT215">
        <f ca="1"/>
      </c>
      <c r="BU215">
        <f ca="1"/>
      </c>
      <c r="BV215">
        <f ca="1"/>
      </c>
      <c r="BW215">
        <f ca="1"/>
      </c>
      <c r="BX215">
        <f ca="1"/>
      </c>
      <c r="BY215">
        <f ca="1"/>
      </c>
      <c r="BZ215">
        <f ca="1"/>
      </c>
      <c r="CA215">
        <f ca="1"/>
      </c>
      <c r="CB215">
        <f ca="1"/>
      </c>
      <c r="CC215">
        <f ca="1"/>
      </c>
      <c r="CD215">
        <f ca="1"/>
      </c>
      <c r="CE215">
        <f ca="1"/>
      </c>
      <c r="CF215">
        <f ca="1"/>
      </c>
      <c r="CG215">
        <f ca="1"/>
      </c>
      <c r="CH215">
        <f ca="1"/>
      </c>
      <c r="CI215">
        <f ca="1"/>
      </c>
      <c r="CK215">
        <f ca="1"/>
      </c>
      <c r="CL215">
        <f ca="1"/>
      </c>
      <c r="CM215">
        <f ca="1"/>
      </c>
      <c r="CN215">
        <f ca="1"/>
      </c>
      <c r="CO215">
        <f ca="1"/>
      </c>
      <c r="CP215">
        <f ca="1"/>
      </c>
      <c r="CQ215">
        <f ca="1"/>
      </c>
      <c r="CR215">
        <f ca="1"/>
      </c>
      <c r="CS215">
        <f ca="1"/>
      </c>
      <c r="CT215">
        <f ca="1"/>
      </c>
      <c r="CU215">
        <f ca="1"/>
      </c>
      <c r="CV215">
        <f ca="1"/>
      </c>
      <c r="CW215">
        <f ca="1"/>
      </c>
      <c r="CX215">
        <f ca="1"/>
      </c>
      <c r="CY215">
        <f ca="1"/>
      </c>
      <c r="CZ215">
        <f ca="1"/>
      </c>
      <c r="DA215">
        <f ca="1"/>
      </c>
      <c r="DB215">
        <f ca="1"/>
      </c>
      <c r="DC215">
        <f ca="1"/>
      </c>
      <c r="DD215">
        <f ca="1"/>
      </c>
      <c r="DE215">
        <f ca="1"/>
      </c>
      <c r="DF215">
        <f ca="1"/>
      </c>
      <c r="DG215">
        <f ca="1"/>
      </c>
      <c r="DH215">
        <f ca="1"/>
      </c>
      <c r="DI215">
        <f ca="1"/>
      </c>
      <c r="DJ215">
        <f ca="1"/>
      </c>
      <c r="DK215">
        <f ca="1"/>
      </c>
      <c r="DL215">
        <f ca="1"/>
      </c>
      <c r="DM215">
        <f ca="1"/>
      </c>
      <c r="DN215">
        <f ca="1"/>
      </c>
      <c r="DO215">
        <f ca="1"/>
      </c>
      <c r="DP215">
        <f ca="1"/>
      </c>
      <c r="DQ215">
        <f ca="1"/>
      </c>
      <c r="DR215">
        <f ca="1"/>
      </c>
      <c r="DS215">
        <f ca="1"/>
      </c>
      <c r="DT215">
        <f ca="1"/>
      </c>
      <c r="DU215">
        <f ca="1"/>
      </c>
      <c r="DV215">
        <f ca="1"/>
      </c>
      <c r="DW215">
        <f ca="1"/>
      </c>
      <c r="DX215">
        <f ca="1"/>
      </c>
      <c r="DY215">
        <f ca="1"/>
      </c>
      <c r="DZ215">
        <f ca="1"/>
      </c>
      <c r="EA215">
        <f ca="1"/>
      </c>
      <c r="EB215">
        <f ca="1"/>
      </c>
      <c r="EC215">
        <f ca="1"/>
      </c>
      <c r="ED215">
        <f ca="1"/>
      </c>
      <c r="EE215">
        <f ca="1"/>
      </c>
      <c r="EG215">
        <f ca="1"/>
      </c>
      <c r="EH215">
        <f ca="1"/>
      </c>
      <c r="EI215">
        <f ca="1"/>
      </c>
      <c r="EJ215">
        <f ca="1"/>
      </c>
      <c r="EK215">
        <f ca="1"/>
      </c>
      <c r="EL215">
        <f ca="1"/>
      </c>
      <c r="EM215">
        <f ca="1"/>
      </c>
      <c r="EN215">
        <f ca="1"/>
      </c>
      <c r="EO215">
        <f ca="1"/>
      </c>
      <c r="EP215">
        <f ca="1"/>
      </c>
      <c r="EQ215">
        <f ca="1"/>
      </c>
      <c r="ER215">
        <f ca="1"/>
      </c>
      <c r="ES215">
        <f ca="1"/>
      </c>
      <c r="ET215">
        <f ca="1"/>
      </c>
      <c r="EU215">
        <f ca="1"/>
      </c>
      <c r="EV215">
        <f ca="1"/>
      </c>
      <c r="EW215">
        <f ca="1"/>
      </c>
      <c r="EX215">
        <f ca="1"/>
      </c>
      <c r="EY215">
        <f ca="1"/>
      </c>
      <c r="EZ215">
        <f ca="1"/>
      </c>
      <c r="FA215">
        <f ca="1"/>
      </c>
      <c r="FB215">
        <f ca="1"/>
      </c>
      <c r="FC215">
        <f ca="1"/>
      </c>
      <c r="FD215">
        <f ca="1"/>
      </c>
      <c r="FE215">
        <f ca="1"/>
      </c>
      <c r="FF215">
        <f ca="1"/>
      </c>
      <c r="FG215">
        <f ca="1"/>
      </c>
      <c r="FH215">
        <f ca="1"/>
      </c>
      <c r="FI215">
        <f ca="1"/>
      </c>
      <c r="FJ215">
        <f ca="1"/>
      </c>
      <c r="FK215">
        <f ca="1"/>
      </c>
      <c r="FL215">
        <f ca="1"/>
      </c>
      <c r="FM215">
        <f ca="1"/>
      </c>
      <c r="FN215">
        <f ca="1"/>
      </c>
      <c r="FO215">
        <f ca="1"/>
      </c>
      <c r="FP215">
        <f ca="1"/>
      </c>
      <c r="FQ215">
        <f ca="1"/>
      </c>
      <c r="FR215">
        <f ca="1"/>
      </c>
      <c r="FS215">
        <f ca="1"/>
      </c>
      <c r="FT215">
        <f ca="1"/>
      </c>
      <c r="FU215">
        <f ca="1"/>
      </c>
      <c r="FV215">
        <f ca="1"/>
      </c>
      <c r="FW215">
        <f ca="1"/>
      </c>
      <c r="FX215">
        <f ca="1"/>
      </c>
      <c r="FY215">
        <f ca="1"/>
      </c>
      <c r="FZ215">
        <f ca="1"/>
      </c>
      <c r="GA215">
        <f ca="1"/>
      </c>
      <c r="GM215" s="7">
        <f ca="1"/>
      </c>
      <c r="GN215">
        <f ca="1"/>
      </c>
      <c r="GO215">
        <f ca="1"/>
      </c>
      <c r="GP215">
        <f ca="1"/>
      </c>
      <c r="GQ215">
        <f ca="1"/>
      </c>
    </row>
    <row r="216" spans="41:199" x14ac:dyDescent="0.55000000000000004">
      <c r="AO216">
        <f ca="1"/>
      </c>
      <c r="AP216">
        <f ca="1"/>
      </c>
      <c r="AQ216">
        <f ca="1"/>
      </c>
      <c r="AR216">
        <f ca="1"/>
      </c>
      <c r="AS216">
        <f ca="1"/>
      </c>
      <c r="AT216">
        <f ca="1"/>
      </c>
      <c r="AU216">
        <f ca="1"/>
      </c>
      <c r="AV216">
        <f ca="1"/>
      </c>
      <c r="AW216">
        <f ca="1"/>
      </c>
      <c r="AX216">
        <f ca="1"/>
      </c>
      <c r="AY216">
        <f ca="1"/>
      </c>
      <c r="AZ216">
        <f ca="1"/>
      </c>
      <c r="BA216">
        <f ca="1"/>
      </c>
      <c r="BB216">
        <f ca="1"/>
      </c>
      <c r="BC216">
        <f ca="1"/>
      </c>
      <c r="BD216">
        <f ca="1"/>
      </c>
      <c r="BE216">
        <f ca="1"/>
      </c>
      <c r="BF216">
        <f ca="1"/>
      </c>
      <c r="BG216">
        <f ca="1"/>
      </c>
      <c r="BH216">
        <f ca="1"/>
      </c>
      <c r="BI216">
        <f ca="1"/>
      </c>
      <c r="BJ216">
        <f ca="1"/>
      </c>
      <c r="BK216">
        <f ca="1"/>
      </c>
      <c r="BL216">
        <f ca="1"/>
      </c>
      <c r="BM216">
        <f ca="1"/>
      </c>
      <c r="BN216">
        <f ca="1"/>
      </c>
      <c r="BO216">
        <f ca="1"/>
      </c>
      <c r="BP216">
        <f ca="1"/>
      </c>
      <c r="BQ216">
        <f ca="1"/>
      </c>
      <c r="BR216">
        <f ca="1"/>
      </c>
      <c r="BS216">
        <f ca="1"/>
      </c>
      <c r="BT216">
        <f ca="1"/>
      </c>
      <c r="BU216">
        <f ca="1"/>
      </c>
      <c r="BV216">
        <f ca="1"/>
      </c>
      <c r="BW216">
        <f ca="1"/>
      </c>
      <c r="BX216">
        <f ca="1"/>
      </c>
      <c r="BY216">
        <f ca="1"/>
      </c>
      <c r="BZ216">
        <f ca="1"/>
      </c>
      <c r="CA216">
        <f ca="1"/>
      </c>
      <c r="CB216">
        <f ca="1"/>
      </c>
      <c r="CC216">
        <f ca="1"/>
      </c>
      <c r="CD216">
        <f ca="1"/>
      </c>
      <c r="CE216">
        <f ca="1"/>
      </c>
      <c r="CF216">
        <f ca="1"/>
      </c>
      <c r="CG216">
        <f ca="1"/>
      </c>
      <c r="CH216">
        <f ca="1"/>
      </c>
      <c r="CI216">
        <f ca="1"/>
      </c>
      <c r="CK216">
        <f ca="1"/>
      </c>
      <c r="CL216">
        <f ca="1"/>
      </c>
      <c r="CM216">
        <f ca="1"/>
      </c>
      <c r="CN216">
        <f ca="1"/>
      </c>
      <c r="CO216">
        <f ca="1"/>
      </c>
      <c r="CP216">
        <f ca="1"/>
      </c>
      <c r="CQ216">
        <f ca="1"/>
      </c>
      <c r="CR216">
        <f ca="1"/>
      </c>
      <c r="CS216">
        <f ca="1"/>
      </c>
      <c r="CT216">
        <f ca="1"/>
      </c>
      <c r="CU216">
        <f ca="1"/>
      </c>
      <c r="CV216">
        <f ca="1"/>
      </c>
      <c r="CW216">
        <f ca="1"/>
      </c>
      <c r="CX216">
        <f ca="1"/>
      </c>
      <c r="CY216">
        <f ca="1"/>
      </c>
      <c r="CZ216">
        <f ca="1"/>
      </c>
      <c r="DA216">
        <f ca="1"/>
      </c>
      <c r="DB216">
        <f ca="1"/>
      </c>
      <c r="DC216">
        <f ca="1"/>
      </c>
      <c r="DD216">
        <f ca="1"/>
      </c>
      <c r="DE216">
        <f ca="1"/>
      </c>
      <c r="DF216">
        <f ca="1"/>
      </c>
      <c r="DG216">
        <f ca="1"/>
      </c>
      <c r="DH216">
        <f ca="1"/>
      </c>
      <c r="DI216">
        <f ca="1"/>
      </c>
      <c r="DJ216">
        <f ca="1"/>
      </c>
      <c r="DK216">
        <f ca="1"/>
      </c>
      <c r="DL216">
        <f ca="1"/>
      </c>
      <c r="DM216">
        <f ca="1"/>
      </c>
      <c r="DN216">
        <f ca="1"/>
      </c>
      <c r="DO216">
        <f ca="1"/>
      </c>
      <c r="DP216">
        <f ca="1"/>
      </c>
      <c r="DQ216">
        <f ca="1"/>
      </c>
      <c r="DR216">
        <f ca="1"/>
      </c>
      <c r="DS216">
        <f ca="1"/>
      </c>
      <c r="DT216">
        <f ca="1"/>
      </c>
      <c r="DU216">
        <f ca="1"/>
      </c>
      <c r="DV216">
        <f ca="1"/>
      </c>
      <c r="DW216">
        <f ca="1"/>
      </c>
      <c r="DX216">
        <f ca="1"/>
      </c>
      <c r="DY216">
        <f ca="1"/>
      </c>
      <c r="DZ216">
        <f ca="1"/>
      </c>
      <c r="EA216">
        <f ca="1"/>
      </c>
      <c r="EB216">
        <f ca="1"/>
      </c>
      <c r="EC216">
        <f ca="1"/>
      </c>
      <c r="ED216">
        <f ca="1"/>
      </c>
      <c r="EE216">
        <f ca="1"/>
      </c>
      <c r="EG216">
        <f ca="1"/>
      </c>
      <c r="EH216">
        <f ca="1"/>
      </c>
      <c r="EI216">
        <f ca="1"/>
      </c>
      <c r="EJ216">
        <f ca="1"/>
      </c>
      <c r="EK216">
        <f ca="1"/>
      </c>
      <c r="EL216">
        <f ca="1"/>
      </c>
      <c r="EM216">
        <f ca="1"/>
      </c>
      <c r="EN216">
        <f ca="1"/>
      </c>
      <c r="EO216">
        <f ca="1"/>
      </c>
      <c r="EP216">
        <f ca="1"/>
      </c>
      <c r="EQ216">
        <f ca="1"/>
      </c>
      <c r="ER216">
        <f ca="1"/>
      </c>
      <c r="ES216">
        <f ca="1"/>
      </c>
      <c r="ET216">
        <f ca="1"/>
      </c>
      <c r="EU216">
        <f ca="1"/>
      </c>
      <c r="EV216">
        <f ca="1"/>
      </c>
      <c r="EW216">
        <f ca="1"/>
      </c>
      <c r="EX216">
        <f ca="1"/>
      </c>
      <c r="EY216">
        <f ca="1"/>
      </c>
      <c r="EZ216">
        <f ca="1"/>
      </c>
      <c r="FA216">
        <f ca="1"/>
      </c>
      <c r="FB216">
        <f ca="1"/>
      </c>
      <c r="FC216">
        <f ca="1"/>
      </c>
      <c r="FD216">
        <f ca="1"/>
      </c>
      <c r="FE216">
        <f ca="1"/>
      </c>
      <c r="FF216">
        <f ca="1"/>
      </c>
      <c r="FG216">
        <f ca="1"/>
      </c>
      <c r="FH216">
        <f ca="1"/>
      </c>
      <c r="FI216">
        <f ca="1"/>
      </c>
      <c r="FJ216">
        <f ca="1"/>
      </c>
      <c r="FK216">
        <f ca="1"/>
      </c>
      <c r="FL216">
        <f ca="1"/>
      </c>
      <c r="FM216">
        <f ca="1"/>
      </c>
      <c r="FN216">
        <f ca="1"/>
      </c>
      <c r="FO216">
        <f ca="1"/>
      </c>
      <c r="FP216">
        <f ca="1"/>
      </c>
      <c r="FQ216">
        <f ca="1"/>
      </c>
      <c r="FR216">
        <f ca="1"/>
      </c>
      <c r="FS216">
        <f ca="1"/>
      </c>
      <c r="FT216">
        <f ca="1"/>
      </c>
      <c r="FU216">
        <f ca="1"/>
      </c>
      <c r="FV216">
        <f ca="1"/>
      </c>
      <c r="FW216">
        <f ca="1"/>
      </c>
      <c r="FX216">
        <f ca="1"/>
      </c>
      <c r="FY216">
        <f ca="1"/>
      </c>
      <c r="FZ216">
        <f ca="1"/>
      </c>
      <c r="GA216">
        <f ca="1"/>
      </c>
      <c r="GM216" s="7">
        <f ca="1"/>
      </c>
      <c r="GN216">
        <f ca="1"/>
      </c>
      <c r="GO216">
        <f ca="1"/>
      </c>
      <c r="GP216">
        <f ca="1"/>
      </c>
      <c r="GQ216">
        <f ca="1"/>
      </c>
    </row>
    <row r="217" spans="41:199" x14ac:dyDescent="0.55000000000000004">
      <c r="AO217">
        <f ca="1"/>
      </c>
      <c r="AP217">
        <f ca="1"/>
      </c>
      <c r="AQ217">
        <f ca="1"/>
      </c>
      <c r="AR217">
        <f ca="1"/>
      </c>
      <c r="AS217">
        <f ca="1"/>
      </c>
      <c r="AT217">
        <f ca="1"/>
      </c>
      <c r="AU217">
        <f ca="1"/>
      </c>
      <c r="AV217">
        <f ca="1"/>
      </c>
      <c r="AW217">
        <f ca="1"/>
      </c>
      <c r="AX217">
        <f ca="1"/>
      </c>
      <c r="AY217">
        <f ca="1"/>
      </c>
      <c r="AZ217">
        <f ca="1"/>
      </c>
      <c r="BA217">
        <f ca="1"/>
      </c>
      <c r="BB217">
        <f ca="1"/>
      </c>
      <c r="BC217">
        <f ca="1"/>
      </c>
      <c r="BD217">
        <f ca="1"/>
      </c>
      <c r="BE217">
        <f ca="1"/>
      </c>
      <c r="BF217">
        <f ca="1"/>
      </c>
      <c r="BG217">
        <f ca="1"/>
      </c>
      <c r="BH217">
        <f ca="1"/>
      </c>
      <c r="BI217">
        <f ca="1"/>
      </c>
      <c r="BJ217">
        <f ca="1"/>
      </c>
      <c r="BK217">
        <f ca="1"/>
      </c>
      <c r="BL217">
        <f ca="1"/>
      </c>
      <c r="BM217">
        <f ca="1"/>
      </c>
      <c r="BN217">
        <f ca="1"/>
      </c>
      <c r="BO217">
        <f ca="1"/>
      </c>
      <c r="BP217">
        <f ca="1"/>
      </c>
      <c r="BQ217">
        <f ca="1"/>
      </c>
      <c r="BR217">
        <f ca="1"/>
      </c>
      <c r="BS217">
        <f ca="1"/>
      </c>
      <c r="BT217">
        <f ca="1"/>
      </c>
      <c r="BU217">
        <f ca="1"/>
      </c>
      <c r="BV217">
        <f ca="1"/>
      </c>
      <c r="BW217">
        <f ca="1"/>
      </c>
      <c r="BX217">
        <f ca="1"/>
      </c>
      <c r="BY217">
        <f ca="1"/>
      </c>
      <c r="BZ217">
        <f ca="1"/>
      </c>
      <c r="CA217">
        <f ca="1"/>
      </c>
      <c r="CB217">
        <f ca="1"/>
      </c>
      <c r="CC217">
        <f ca="1"/>
      </c>
      <c r="CD217">
        <f ca="1"/>
      </c>
      <c r="CE217">
        <f ca="1"/>
      </c>
      <c r="CF217">
        <f ca="1"/>
      </c>
      <c r="CG217">
        <f ca="1"/>
      </c>
      <c r="CH217">
        <f ca="1"/>
      </c>
      <c r="CI217">
        <f ca="1"/>
      </c>
      <c r="CK217">
        <f ca="1"/>
      </c>
      <c r="CL217">
        <f ca="1"/>
      </c>
      <c r="CM217">
        <f ca="1"/>
      </c>
      <c r="CN217">
        <f ca="1"/>
      </c>
      <c r="CO217">
        <f ca="1"/>
      </c>
      <c r="CP217">
        <f ca="1"/>
      </c>
      <c r="CQ217">
        <f ca="1"/>
      </c>
      <c r="CR217">
        <f ca="1"/>
      </c>
      <c r="CS217">
        <f ca="1"/>
      </c>
      <c r="CT217">
        <f ca="1"/>
      </c>
      <c r="CU217">
        <f ca="1"/>
      </c>
      <c r="CV217">
        <f ca="1"/>
      </c>
      <c r="CW217">
        <f ca="1"/>
      </c>
      <c r="CX217">
        <f ca="1"/>
      </c>
      <c r="CY217">
        <f ca="1"/>
      </c>
      <c r="CZ217">
        <f ca="1"/>
      </c>
      <c r="DA217">
        <f ca="1"/>
      </c>
      <c r="DB217">
        <f ca="1"/>
      </c>
      <c r="DC217">
        <f ca="1"/>
      </c>
      <c r="DD217">
        <f ca="1"/>
      </c>
      <c r="DE217">
        <f ca="1"/>
      </c>
      <c r="DF217">
        <f ca="1"/>
      </c>
      <c r="DG217">
        <f ca="1"/>
      </c>
      <c r="DH217">
        <f ca="1"/>
      </c>
      <c r="DI217">
        <f ca="1"/>
      </c>
      <c r="DJ217">
        <f ca="1"/>
      </c>
      <c r="DK217">
        <f ca="1"/>
      </c>
      <c r="DL217">
        <f ca="1"/>
      </c>
      <c r="DM217">
        <f ca="1"/>
      </c>
      <c r="DN217">
        <f ca="1"/>
      </c>
      <c r="DO217">
        <f ca="1"/>
      </c>
      <c r="DP217">
        <f ca="1"/>
      </c>
      <c r="DQ217">
        <f ca="1"/>
      </c>
      <c r="DR217">
        <f ca="1"/>
      </c>
      <c r="DS217">
        <f ca="1"/>
      </c>
      <c r="DT217">
        <f ca="1"/>
      </c>
      <c r="DU217">
        <f ca="1"/>
      </c>
      <c r="DV217">
        <f ca="1"/>
      </c>
      <c r="DW217">
        <f ca="1"/>
      </c>
      <c r="DX217">
        <f ca="1"/>
      </c>
      <c r="DY217">
        <f ca="1"/>
      </c>
      <c r="DZ217">
        <f ca="1"/>
      </c>
      <c r="EA217">
        <f ca="1"/>
      </c>
      <c r="EB217">
        <f ca="1"/>
      </c>
      <c r="EC217">
        <f ca="1"/>
      </c>
      <c r="ED217">
        <f ca="1"/>
      </c>
      <c r="EE217">
        <f ca="1"/>
      </c>
      <c r="EG217">
        <f ca="1"/>
      </c>
      <c r="EH217">
        <f ca="1"/>
      </c>
      <c r="EI217">
        <f ca="1"/>
      </c>
      <c r="EJ217">
        <f ca="1"/>
      </c>
      <c r="EK217">
        <f ca="1"/>
      </c>
      <c r="EL217">
        <f ca="1"/>
      </c>
      <c r="EM217">
        <f ca="1"/>
      </c>
      <c r="EN217">
        <f ca="1"/>
      </c>
      <c r="EO217">
        <f ca="1"/>
      </c>
      <c r="EP217">
        <f ca="1"/>
      </c>
      <c r="EQ217">
        <f ca="1"/>
      </c>
      <c r="ER217">
        <f ca="1"/>
      </c>
      <c r="ES217">
        <f ca="1"/>
      </c>
      <c r="ET217">
        <f ca="1"/>
      </c>
      <c r="EU217">
        <f ca="1"/>
      </c>
      <c r="EV217">
        <f ca="1"/>
      </c>
      <c r="EW217">
        <f ca="1"/>
      </c>
      <c r="EX217">
        <f ca="1"/>
      </c>
      <c r="EY217">
        <f ca="1"/>
      </c>
      <c r="EZ217">
        <f ca="1"/>
      </c>
      <c r="FA217">
        <f ca="1"/>
      </c>
      <c r="FB217">
        <f ca="1"/>
      </c>
      <c r="FC217">
        <f ca="1"/>
      </c>
      <c r="FD217">
        <f ca="1"/>
      </c>
      <c r="FE217">
        <f ca="1"/>
      </c>
      <c r="FF217">
        <f ca="1"/>
      </c>
      <c r="FG217">
        <f ca="1"/>
      </c>
      <c r="FH217">
        <f ca="1"/>
      </c>
      <c r="FI217">
        <f ca="1"/>
      </c>
      <c r="FJ217">
        <f ca="1"/>
      </c>
      <c r="FK217">
        <f ca="1"/>
      </c>
      <c r="FL217">
        <f ca="1"/>
      </c>
      <c r="FM217">
        <f ca="1"/>
      </c>
      <c r="FN217">
        <f ca="1"/>
      </c>
      <c r="FO217">
        <f ca="1"/>
      </c>
      <c r="FP217">
        <f ca="1"/>
      </c>
      <c r="FQ217">
        <f ca="1"/>
      </c>
      <c r="FR217">
        <f ca="1"/>
      </c>
      <c r="FS217">
        <f ca="1"/>
      </c>
      <c r="FT217">
        <f ca="1"/>
      </c>
      <c r="FU217">
        <f ca="1"/>
      </c>
      <c r="FV217">
        <f ca="1"/>
      </c>
      <c r="FW217">
        <f ca="1"/>
      </c>
      <c r="FX217">
        <f ca="1"/>
      </c>
      <c r="FY217">
        <f ca="1"/>
      </c>
      <c r="FZ217">
        <f ca="1"/>
      </c>
      <c r="GA217">
        <f ca="1"/>
      </c>
      <c r="GM217" s="7">
        <f ca="1"/>
      </c>
      <c r="GN217">
        <f ca="1"/>
      </c>
      <c r="GO217">
        <f ca="1"/>
      </c>
      <c r="GP217">
        <f ca="1"/>
      </c>
      <c r="GQ217">
        <f ca="1"/>
      </c>
    </row>
    <row r="218" spans="41:199" x14ac:dyDescent="0.55000000000000004">
      <c r="AO218">
        <f ca="1"/>
      </c>
      <c r="AP218">
        <f ca="1"/>
      </c>
      <c r="AQ218">
        <f ca="1"/>
      </c>
      <c r="AR218">
        <f ca="1"/>
      </c>
      <c r="AS218">
        <f ca="1"/>
      </c>
      <c r="AT218">
        <f ca="1"/>
      </c>
      <c r="AU218">
        <f ca="1"/>
      </c>
      <c r="AV218">
        <f ca="1"/>
      </c>
      <c r="AW218">
        <f ca="1"/>
      </c>
      <c r="AX218">
        <f ca="1"/>
      </c>
      <c r="AY218">
        <f ca="1"/>
      </c>
      <c r="AZ218">
        <f ca="1"/>
      </c>
      <c r="BA218">
        <f ca="1"/>
      </c>
      <c r="BB218">
        <f ca="1"/>
      </c>
      <c r="BC218">
        <f ca="1"/>
      </c>
      <c r="BD218">
        <f ca="1"/>
      </c>
      <c r="BE218">
        <f ca="1"/>
      </c>
      <c r="BF218">
        <f ca="1"/>
      </c>
      <c r="BG218">
        <f ca="1"/>
      </c>
      <c r="BH218">
        <f ca="1"/>
      </c>
      <c r="BI218">
        <f ca="1"/>
      </c>
      <c r="BJ218">
        <f ca="1"/>
      </c>
      <c r="BK218">
        <f ca="1"/>
      </c>
      <c r="BL218">
        <f ca="1"/>
      </c>
      <c r="BM218">
        <f ca="1"/>
      </c>
      <c r="BN218">
        <f ca="1"/>
      </c>
      <c r="BO218">
        <f ca="1"/>
      </c>
      <c r="BP218">
        <f ca="1"/>
      </c>
      <c r="BQ218">
        <f ca="1"/>
      </c>
      <c r="BR218">
        <f ca="1"/>
      </c>
      <c r="BS218">
        <f ca="1"/>
      </c>
      <c r="BT218">
        <f ca="1"/>
      </c>
      <c r="BU218">
        <f ca="1"/>
      </c>
      <c r="BV218">
        <f ca="1"/>
      </c>
      <c r="BW218">
        <f ca="1"/>
      </c>
      <c r="BX218">
        <f ca="1"/>
      </c>
      <c r="BY218">
        <f ca="1"/>
      </c>
      <c r="BZ218">
        <f ca="1"/>
      </c>
      <c r="CA218">
        <f ca="1"/>
      </c>
      <c r="CB218">
        <f ca="1"/>
      </c>
      <c r="CC218">
        <f ca="1"/>
      </c>
      <c r="CD218">
        <f ca="1"/>
      </c>
      <c r="CE218">
        <f ca="1"/>
      </c>
      <c r="CF218">
        <f ca="1"/>
      </c>
      <c r="CG218">
        <f ca="1"/>
      </c>
      <c r="CH218">
        <f ca="1"/>
      </c>
      <c r="CI218">
        <f ca="1"/>
      </c>
      <c r="CK218">
        <f ca="1"/>
      </c>
      <c r="CL218">
        <f ca="1"/>
      </c>
      <c r="CM218">
        <f ca="1"/>
      </c>
      <c r="CN218">
        <f ca="1"/>
      </c>
      <c r="CO218">
        <f ca="1"/>
      </c>
      <c r="CP218">
        <f ca="1"/>
      </c>
      <c r="CQ218">
        <f ca="1"/>
      </c>
      <c r="CR218">
        <f ca="1"/>
      </c>
      <c r="CS218">
        <f ca="1"/>
      </c>
      <c r="CT218">
        <f ca="1"/>
      </c>
      <c r="CU218">
        <f ca="1"/>
      </c>
      <c r="CV218">
        <f ca="1"/>
      </c>
      <c r="CW218">
        <f ca="1"/>
      </c>
      <c r="CX218">
        <f ca="1"/>
      </c>
      <c r="CY218">
        <f ca="1"/>
      </c>
      <c r="CZ218">
        <f ca="1"/>
      </c>
      <c r="DA218">
        <f ca="1"/>
      </c>
      <c r="DB218">
        <f ca="1"/>
      </c>
      <c r="DC218">
        <f ca="1"/>
      </c>
      <c r="DD218">
        <f ca="1"/>
      </c>
      <c r="DE218">
        <f ca="1"/>
      </c>
      <c r="DF218">
        <f ca="1"/>
      </c>
      <c r="DG218">
        <f ca="1"/>
      </c>
      <c r="DH218">
        <f ca="1"/>
      </c>
      <c r="DI218">
        <f ca="1"/>
      </c>
      <c r="DJ218">
        <f ca="1"/>
      </c>
      <c r="DK218">
        <f ca="1"/>
      </c>
      <c r="DL218">
        <f ca="1"/>
      </c>
      <c r="DM218">
        <f ca="1"/>
      </c>
      <c r="DN218">
        <f ca="1"/>
      </c>
      <c r="DO218">
        <f ca="1"/>
      </c>
      <c r="DP218">
        <f ca="1"/>
      </c>
      <c r="DQ218">
        <f ca="1"/>
      </c>
      <c r="DR218">
        <f ca="1"/>
      </c>
      <c r="DS218">
        <f ca="1"/>
      </c>
      <c r="DT218">
        <f ca="1"/>
      </c>
      <c r="DU218">
        <f ca="1"/>
      </c>
      <c r="DV218">
        <f ca="1"/>
      </c>
      <c r="DW218">
        <f ca="1"/>
      </c>
      <c r="DX218">
        <f ca="1"/>
      </c>
      <c r="DY218">
        <f ca="1"/>
      </c>
      <c r="DZ218">
        <f ca="1"/>
      </c>
      <c r="EA218">
        <f ca="1"/>
      </c>
      <c r="EB218">
        <f ca="1"/>
      </c>
      <c r="EC218">
        <f ca="1"/>
      </c>
      <c r="ED218">
        <f ca="1"/>
      </c>
      <c r="EE218">
        <f ca="1"/>
      </c>
      <c r="EG218">
        <f ca="1"/>
      </c>
      <c r="EH218">
        <f ca="1"/>
      </c>
      <c r="EI218">
        <f ca="1"/>
      </c>
      <c r="EJ218">
        <f ca="1"/>
      </c>
      <c r="EK218">
        <f ca="1"/>
      </c>
      <c r="EL218">
        <f ca="1"/>
      </c>
      <c r="EM218">
        <f ca="1"/>
      </c>
      <c r="EN218">
        <f ca="1"/>
      </c>
      <c r="EO218">
        <f ca="1"/>
      </c>
      <c r="EP218">
        <f ca="1"/>
      </c>
      <c r="EQ218">
        <f ca="1"/>
      </c>
      <c r="ER218">
        <f ca="1"/>
      </c>
      <c r="ES218">
        <f ca="1"/>
      </c>
      <c r="ET218">
        <f ca="1"/>
      </c>
      <c r="EU218">
        <f ca="1"/>
      </c>
      <c r="EV218">
        <f ca="1"/>
      </c>
      <c r="EW218">
        <f ca="1"/>
      </c>
      <c r="EX218">
        <f ca="1"/>
      </c>
      <c r="EY218">
        <f ca="1"/>
      </c>
      <c r="EZ218">
        <f ca="1"/>
      </c>
      <c r="FA218">
        <f ca="1"/>
      </c>
      <c r="FB218">
        <f ca="1"/>
      </c>
      <c r="FC218">
        <f ca="1"/>
      </c>
      <c r="FD218">
        <f ca="1"/>
      </c>
      <c r="FE218">
        <f ca="1"/>
      </c>
      <c r="FF218">
        <f ca="1"/>
      </c>
      <c r="FG218">
        <f ca="1"/>
      </c>
      <c r="FH218">
        <f ca="1"/>
      </c>
      <c r="FI218">
        <f ca="1"/>
      </c>
      <c r="FJ218">
        <f ca="1"/>
      </c>
      <c r="FK218">
        <f ca="1"/>
      </c>
      <c r="FL218">
        <f ca="1"/>
      </c>
      <c r="FM218">
        <f ca="1"/>
      </c>
      <c r="FN218">
        <f ca="1"/>
      </c>
      <c r="FO218">
        <f ca="1"/>
      </c>
      <c r="FP218">
        <f ca="1"/>
      </c>
      <c r="FQ218">
        <f ca="1"/>
      </c>
      <c r="FR218">
        <f ca="1"/>
      </c>
      <c r="FS218">
        <f ca="1"/>
      </c>
      <c r="FT218">
        <f ca="1"/>
      </c>
      <c r="FU218">
        <f ca="1"/>
      </c>
      <c r="FV218">
        <f ca="1"/>
      </c>
      <c r="FW218">
        <f ca="1"/>
      </c>
      <c r="FX218">
        <f ca="1"/>
      </c>
      <c r="FY218">
        <f ca="1"/>
      </c>
      <c r="FZ218">
        <f ca="1"/>
      </c>
      <c r="GA218">
        <f ca="1"/>
      </c>
      <c r="GM218" s="7">
        <f ca="1"/>
      </c>
      <c r="GN218">
        <f ca="1"/>
      </c>
      <c r="GO218">
        <f ca="1"/>
      </c>
      <c r="GP218">
        <f ca="1"/>
      </c>
      <c r="GQ218">
        <f ca="1"/>
      </c>
    </row>
    <row r="219" spans="41:199" x14ac:dyDescent="0.55000000000000004">
      <c r="AO219">
        <f ca="1"/>
      </c>
      <c r="AP219">
        <f ca="1"/>
      </c>
      <c r="AQ219">
        <f ca="1"/>
      </c>
      <c r="AR219">
        <f ca="1"/>
      </c>
      <c r="AS219">
        <f ca="1"/>
      </c>
      <c r="AT219">
        <f ca="1"/>
      </c>
      <c r="AU219">
        <f ca="1"/>
      </c>
      <c r="AV219">
        <f ca="1"/>
      </c>
      <c r="AW219">
        <f ca="1"/>
      </c>
      <c r="AX219">
        <f ca="1"/>
      </c>
      <c r="AY219">
        <f ca="1"/>
      </c>
      <c r="AZ219">
        <f ca="1"/>
      </c>
      <c r="BA219">
        <f ca="1"/>
      </c>
      <c r="BB219">
        <f ca="1"/>
      </c>
      <c r="BC219">
        <f ca="1"/>
      </c>
      <c r="BD219">
        <f ca="1"/>
      </c>
      <c r="BE219">
        <f ca="1"/>
      </c>
      <c r="BF219">
        <f ca="1"/>
      </c>
      <c r="BG219">
        <f ca="1"/>
      </c>
      <c r="BH219">
        <f ca="1"/>
      </c>
      <c r="BI219">
        <f ca="1"/>
      </c>
      <c r="BJ219">
        <f ca="1"/>
      </c>
      <c r="BK219">
        <f ca="1"/>
      </c>
      <c r="BL219">
        <f ca="1"/>
      </c>
      <c r="BM219">
        <f ca="1"/>
      </c>
      <c r="BN219">
        <f ca="1"/>
      </c>
      <c r="BO219">
        <f ca="1"/>
      </c>
      <c r="BP219">
        <f ca="1"/>
      </c>
      <c r="BQ219">
        <f ca="1"/>
      </c>
      <c r="BR219">
        <f ca="1"/>
      </c>
      <c r="BS219">
        <f ca="1"/>
      </c>
      <c r="BT219">
        <f ca="1"/>
      </c>
      <c r="BU219">
        <f ca="1"/>
      </c>
      <c r="BV219">
        <f ca="1"/>
      </c>
      <c r="BW219">
        <f ca="1"/>
      </c>
      <c r="BX219">
        <f ca="1"/>
      </c>
      <c r="BY219">
        <f ca="1"/>
      </c>
      <c r="BZ219">
        <f ca="1"/>
      </c>
      <c r="CA219">
        <f ca="1"/>
      </c>
      <c r="CB219">
        <f ca="1"/>
      </c>
      <c r="CC219">
        <f ca="1"/>
      </c>
      <c r="CD219">
        <f ca="1"/>
      </c>
      <c r="CE219">
        <f ca="1"/>
      </c>
      <c r="CF219">
        <f ca="1"/>
      </c>
      <c r="CG219">
        <f ca="1"/>
      </c>
      <c r="CH219">
        <f ca="1"/>
      </c>
      <c r="CI219">
        <f ca="1"/>
      </c>
      <c r="CK219">
        <f ca="1"/>
      </c>
      <c r="CL219">
        <f ca="1"/>
      </c>
      <c r="CM219">
        <f ca="1"/>
      </c>
      <c r="CN219">
        <f ca="1"/>
      </c>
      <c r="CO219">
        <f ca="1"/>
      </c>
      <c r="CP219">
        <f ca="1"/>
      </c>
      <c r="CQ219">
        <f ca="1"/>
      </c>
      <c r="CR219">
        <f ca="1"/>
      </c>
      <c r="CS219">
        <f ca="1"/>
      </c>
      <c r="CT219">
        <f ca="1"/>
      </c>
      <c r="CU219">
        <f ca="1"/>
      </c>
      <c r="CV219">
        <f ca="1"/>
      </c>
      <c r="CW219">
        <f ca="1"/>
      </c>
      <c r="CX219">
        <f ca="1"/>
      </c>
      <c r="CY219">
        <f ca="1"/>
      </c>
      <c r="CZ219">
        <f ca="1"/>
      </c>
      <c r="DA219">
        <f ca="1"/>
      </c>
      <c r="DB219">
        <f ca="1"/>
      </c>
      <c r="DC219">
        <f ca="1"/>
      </c>
      <c r="DD219">
        <f ca="1"/>
      </c>
      <c r="DE219">
        <f ca="1"/>
      </c>
      <c r="DF219">
        <f ca="1"/>
      </c>
      <c r="DG219">
        <f ca="1"/>
      </c>
      <c r="DH219">
        <f ca="1"/>
      </c>
      <c r="DI219">
        <f ca="1"/>
      </c>
      <c r="DJ219">
        <f ca="1"/>
      </c>
      <c r="DK219">
        <f ca="1"/>
      </c>
      <c r="DL219">
        <f ca="1"/>
      </c>
      <c r="DM219">
        <f ca="1"/>
      </c>
      <c r="DN219">
        <f ca="1"/>
      </c>
      <c r="DO219">
        <f ca="1"/>
      </c>
      <c r="DP219">
        <f ca="1"/>
      </c>
      <c r="DQ219">
        <f ca="1"/>
      </c>
      <c r="DR219">
        <f ca="1"/>
      </c>
      <c r="DS219">
        <f ca="1"/>
      </c>
      <c r="DT219">
        <f ca="1"/>
      </c>
      <c r="DU219">
        <f ca="1"/>
      </c>
      <c r="DV219">
        <f ca="1"/>
      </c>
      <c r="DW219">
        <f ca="1"/>
      </c>
      <c r="DX219">
        <f ca="1"/>
      </c>
      <c r="DY219">
        <f ca="1"/>
      </c>
      <c r="DZ219">
        <f ca="1"/>
      </c>
      <c r="EA219">
        <f ca="1"/>
      </c>
      <c r="EB219">
        <f ca="1"/>
      </c>
      <c r="EC219">
        <f ca="1"/>
      </c>
      <c r="ED219">
        <f ca="1"/>
      </c>
      <c r="EE219">
        <f ca="1"/>
      </c>
      <c r="EG219">
        <f ca="1"/>
      </c>
      <c r="EH219">
        <f ca="1"/>
      </c>
      <c r="EI219">
        <f ca="1"/>
      </c>
      <c r="EJ219">
        <f ca="1"/>
      </c>
      <c r="EK219">
        <f ca="1"/>
      </c>
      <c r="EL219">
        <f ca="1"/>
      </c>
      <c r="EM219">
        <f ca="1"/>
      </c>
      <c r="EN219">
        <f ca="1"/>
      </c>
      <c r="EO219">
        <f ca="1"/>
      </c>
      <c r="EP219">
        <f ca="1"/>
      </c>
      <c r="EQ219">
        <f ca="1"/>
      </c>
      <c r="ER219">
        <f ca="1"/>
      </c>
      <c r="ES219">
        <f ca="1"/>
      </c>
      <c r="ET219">
        <f ca="1"/>
      </c>
      <c r="EU219">
        <f ca="1"/>
      </c>
      <c r="EV219">
        <f ca="1"/>
      </c>
      <c r="EW219">
        <f ca="1"/>
      </c>
      <c r="EX219">
        <f ca="1"/>
      </c>
      <c r="EY219">
        <f ca="1"/>
      </c>
      <c r="EZ219">
        <f ca="1"/>
      </c>
      <c r="FA219">
        <f ca="1"/>
      </c>
      <c r="FB219">
        <f ca="1"/>
      </c>
      <c r="FC219">
        <f ca="1"/>
      </c>
      <c r="FD219">
        <f ca="1"/>
      </c>
      <c r="FE219">
        <f ca="1"/>
      </c>
      <c r="FF219">
        <f ca="1"/>
      </c>
      <c r="FG219">
        <f ca="1"/>
      </c>
      <c r="FH219">
        <f ca="1"/>
      </c>
      <c r="FI219">
        <f ca="1"/>
      </c>
      <c r="FJ219">
        <f ca="1"/>
      </c>
      <c r="FK219">
        <f ca="1"/>
      </c>
      <c r="FL219">
        <f ca="1"/>
      </c>
      <c r="FM219">
        <f ca="1"/>
      </c>
      <c r="FN219">
        <f ca="1"/>
      </c>
      <c r="FO219">
        <f ca="1"/>
      </c>
      <c r="FP219">
        <f ca="1"/>
      </c>
      <c r="FQ219">
        <f ca="1"/>
      </c>
      <c r="FR219">
        <f ca="1"/>
      </c>
      <c r="FS219">
        <f ca="1"/>
      </c>
      <c r="FT219">
        <f ca="1"/>
      </c>
      <c r="FU219">
        <f ca="1"/>
      </c>
      <c r="FV219">
        <f ca="1"/>
      </c>
      <c r="FW219">
        <f ca="1"/>
      </c>
      <c r="FX219">
        <f ca="1"/>
      </c>
      <c r="FY219">
        <f ca="1"/>
      </c>
      <c r="FZ219">
        <f ca="1"/>
      </c>
      <c r="GA219">
        <f ca="1"/>
      </c>
      <c r="GM219" s="7">
        <f ca="1"/>
      </c>
      <c r="GN219">
        <f ca="1"/>
      </c>
      <c r="GO219">
        <f ca="1"/>
      </c>
      <c r="GP219">
        <f ca="1"/>
      </c>
      <c r="GQ219">
        <f ca="1"/>
      </c>
    </row>
    <row r="220" spans="41:199" x14ac:dyDescent="0.55000000000000004">
      <c r="AO220">
        <f ca="1"/>
      </c>
      <c r="AP220">
        <f ca="1"/>
      </c>
      <c r="AQ220">
        <f ca="1"/>
      </c>
      <c r="AR220">
        <f ca="1"/>
      </c>
      <c r="AS220">
        <f ca="1"/>
      </c>
      <c r="AT220">
        <f ca="1"/>
      </c>
      <c r="AU220">
        <f ca="1"/>
      </c>
      <c r="AV220">
        <f ca="1"/>
      </c>
      <c r="AW220">
        <f ca="1"/>
      </c>
      <c r="AX220">
        <f ca="1"/>
      </c>
      <c r="AY220">
        <f ca="1"/>
      </c>
      <c r="AZ220">
        <f ca="1"/>
      </c>
      <c r="BA220">
        <f ca="1"/>
      </c>
      <c r="BB220">
        <f ca="1"/>
      </c>
      <c r="BC220">
        <f ca="1"/>
      </c>
      <c r="BD220">
        <f ca="1"/>
      </c>
      <c r="BE220">
        <f ca="1"/>
      </c>
      <c r="BF220">
        <f ca="1"/>
      </c>
      <c r="BG220">
        <f ca="1"/>
      </c>
      <c r="BH220">
        <f ca="1"/>
      </c>
      <c r="BI220">
        <f ca="1"/>
      </c>
      <c r="BJ220">
        <f ca="1"/>
      </c>
      <c r="BK220">
        <f ca="1"/>
      </c>
      <c r="BL220">
        <f ca="1"/>
      </c>
      <c r="BM220">
        <f ca="1"/>
      </c>
      <c r="BN220">
        <f ca="1"/>
      </c>
      <c r="BO220">
        <f ca="1"/>
      </c>
      <c r="BP220">
        <f ca="1"/>
      </c>
      <c r="BQ220">
        <f ca="1"/>
      </c>
      <c r="BR220">
        <f ca="1"/>
      </c>
      <c r="BS220">
        <f ca="1"/>
      </c>
      <c r="BT220">
        <f ca="1"/>
      </c>
      <c r="BU220">
        <f ca="1"/>
      </c>
      <c r="BV220">
        <f ca="1"/>
      </c>
      <c r="BW220">
        <f ca="1"/>
      </c>
      <c r="BX220">
        <f ca="1"/>
      </c>
      <c r="BY220">
        <f ca="1"/>
      </c>
      <c r="BZ220">
        <f ca="1"/>
      </c>
      <c r="CA220">
        <f ca="1"/>
      </c>
      <c r="CB220">
        <f ca="1"/>
      </c>
      <c r="CC220">
        <f ca="1"/>
      </c>
      <c r="CD220">
        <f ca="1"/>
      </c>
      <c r="CE220">
        <f ca="1"/>
      </c>
      <c r="CF220">
        <f ca="1"/>
      </c>
      <c r="CG220">
        <f ca="1"/>
      </c>
      <c r="CH220">
        <f ca="1"/>
      </c>
      <c r="CI220">
        <f ca="1"/>
      </c>
      <c r="CK220">
        <f ca="1"/>
      </c>
      <c r="CL220">
        <f ca="1"/>
      </c>
      <c r="CM220">
        <f ca="1"/>
      </c>
      <c r="CN220">
        <f ca="1"/>
      </c>
      <c r="CO220">
        <f ca="1"/>
      </c>
      <c r="CP220">
        <f ca="1"/>
      </c>
      <c r="CQ220">
        <f ca="1"/>
      </c>
      <c r="CR220">
        <f ca="1"/>
      </c>
      <c r="CS220">
        <f ca="1"/>
      </c>
      <c r="CT220">
        <f ca="1"/>
      </c>
      <c r="CU220">
        <f ca="1"/>
      </c>
      <c r="CV220">
        <f ca="1"/>
      </c>
      <c r="CW220">
        <f ca="1"/>
      </c>
      <c r="CX220">
        <f ca="1"/>
      </c>
      <c r="CY220">
        <f ca="1"/>
      </c>
      <c r="CZ220">
        <f ca="1"/>
      </c>
      <c r="DA220">
        <f ca="1"/>
      </c>
      <c r="DB220">
        <f ca="1"/>
      </c>
      <c r="DC220">
        <f ca="1"/>
      </c>
      <c r="DD220">
        <f ca="1"/>
      </c>
      <c r="DE220">
        <f ca="1"/>
      </c>
      <c r="DF220">
        <f ca="1"/>
      </c>
      <c r="DG220">
        <f ca="1"/>
      </c>
      <c r="DH220">
        <f ca="1"/>
      </c>
      <c r="DI220">
        <f ca="1"/>
      </c>
      <c r="DJ220">
        <f ca="1"/>
      </c>
      <c r="DK220">
        <f ca="1"/>
      </c>
      <c r="DL220">
        <f ca="1"/>
      </c>
      <c r="DM220">
        <f ca="1"/>
      </c>
      <c r="DN220">
        <f ca="1"/>
      </c>
      <c r="DO220">
        <f ca="1"/>
      </c>
      <c r="DP220">
        <f ca="1"/>
      </c>
      <c r="DQ220">
        <f ca="1"/>
      </c>
      <c r="DR220">
        <f ca="1"/>
      </c>
      <c r="DS220">
        <f ca="1"/>
      </c>
      <c r="DT220">
        <f ca="1"/>
      </c>
      <c r="DU220">
        <f ca="1"/>
      </c>
      <c r="DV220">
        <f ca="1"/>
      </c>
      <c r="DW220">
        <f ca="1"/>
      </c>
      <c r="DX220">
        <f ca="1"/>
      </c>
      <c r="DY220">
        <f ca="1"/>
      </c>
      <c r="DZ220">
        <f ca="1"/>
      </c>
      <c r="EA220">
        <f ca="1"/>
      </c>
      <c r="EB220">
        <f ca="1"/>
      </c>
      <c r="EC220">
        <f ca="1"/>
      </c>
      <c r="ED220">
        <f ca="1"/>
      </c>
      <c r="EE220">
        <f ca="1"/>
      </c>
      <c r="EG220">
        <f ca="1"/>
      </c>
      <c r="EH220">
        <f ca="1"/>
      </c>
      <c r="EI220">
        <f ca="1"/>
      </c>
      <c r="EJ220">
        <f ca="1"/>
      </c>
      <c r="EK220">
        <f ca="1"/>
      </c>
      <c r="EL220">
        <f ca="1"/>
      </c>
      <c r="EM220">
        <f ca="1"/>
      </c>
      <c r="EN220">
        <f ca="1"/>
      </c>
      <c r="EO220">
        <f ca="1"/>
      </c>
      <c r="EP220">
        <f ca="1"/>
      </c>
      <c r="EQ220">
        <f ca="1"/>
      </c>
      <c r="ER220">
        <f ca="1"/>
      </c>
      <c r="ES220">
        <f ca="1"/>
      </c>
      <c r="ET220">
        <f ca="1"/>
      </c>
      <c r="EU220">
        <f ca="1"/>
      </c>
      <c r="EV220">
        <f ca="1"/>
      </c>
      <c r="EW220">
        <f ca="1"/>
      </c>
      <c r="EX220">
        <f ca="1"/>
      </c>
      <c r="EY220">
        <f ca="1"/>
      </c>
      <c r="EZ220">
        <f ca="1"/>
      </c>
      <c r="FA220">
        <f ca="1"/>
      </c>
      <c r="FB220">
        <f ca="1"/>
      </c>
      <c r="FC220">
        <f ca="1"/>
      </c>
      <c r="FD220">
        <f ca="1"/>
      </c>
      <c r="FE220">
        <f ca="1"/>
      </c>
      <c r="FF220">
        <f ca="1"/>
      </c>
      <c r="FG220">
        <f ca="1"/>
      </c>
      <c r="FH220">
        <f ca="1"/>
      </c>
      <c r="FI220">
        <f ca="1"/>
      </c>
      <c r="FJ220">
        <f ca="1"/>
      </c>
      <c r="FK220">
        <f ca="1"/>
      </c>
      <c r="FL220">
        <f ca="1"/>
      </c>
      <c r="FM220">
        <f ca="1"/>
      </c>
      <c r="FN220">
        <f ca="1"/>
      </c>
      <c r="FO220">
        <f ca="1"/>
      </c>
      <c r="FP220">
        <f ca="1"/>
      </c>
      <c r="FQ220">
        <f ca="1"/>
      </c>
      <c r="FR220">
        <f ca="1"/>
      </c>
      <c r="FS220">
        <f ca="1"/>
      </c>
      <c r="FT220">
        <f ca="1"/>
      </c>
      <c r="FU220">
        <f ca="1"/>
      </c>
      <c r="FV220">
        <f ca="1"/>
      </c>
      <c r="FW220">
        <f ca="1"/>
      </c>
      <c r="FX220">
        <f ca="1"/>
      </c>
      <c r="FY220">
        <f ca="1"/>
      </c>
      <c r="FZ220">
        <f ca="1"/>
      </c>
      <c r="GA220">
        <f ca="1"/>
      </c>
      <c r="GM220" s="7">
        <f ca="1"/>
      </c>
      <c r="GN220">
        <f ca="1"/>
      </c>
      <c r="GO220">
        <f ca="1"/>
      </c>
      <c r="GP220">
        <f ca="1"/>
      </c>
      <c r="GQ220">
        <f ca="1"/>
      </c>
    </row>
    <row r="221" spans="41:199" x14ac:dyDescent="0.55000000000000004">
      <c r="AO221">
        <f ca="1"/>
      </c>
      <c r="AP221">
        <f ca="1"/>
      </c>
      <c r="AQ221">
        <f ca="1"/>
      </c>
      <c r="AR221">
        <f ca="1"/>
      </c>
      <c r="AS221">
        <f ca="1"/>
      </c>
      <c r="AT221">
        <f ca="1"/>
      </c>
      <c r="AU221">
        <f ca="1"/>
      </c>
      <c r="AV221">
        <f ca="1"/>
      </c>
      <c r="AW221">
        <f ca="1"/>
      </c>
      <c r="AX221">
        <f ca="1"/>
      </c>
      <c r="AY221">
        <f ca="1"/>
      </c>
      <c r="AZ221">
        <f ca="1"/>
      </c>
      <c r="BA221">
        <f ca="1"/>
      </c>
      <c r="BB221">
        <f ca="1"/>
      </c>
      <c r="BC221">
        <f ca="1"/>
      </c>
      <c r="BD221">
        <f ca="1"/>
      </c>
      <c r="BE221">
        <f ca="1"/>
      </c>
      <c r="BF221">
        <f ca="1"/>
      </c>
      <c r="BG221">
        <f ca="1"/>
      </c>
      <c r="BH221">
        <f ca="1"/>
      </c>
      <c r="BI221">
        <f ca="1"/>
      </c>
      <c r="BJ221">
        <f ca="1"/>
      </c>
      <c r="BK221">
        <f ca="1"/>
      </c>
      <c r="BL221">
        <f ca="1"/>
      </c>
      <c r="BM221">
        <f ca="1"/>
      </c>
      <c r="BN221">
        <f ca="1"/>
      </c>
      <c r="BO221">
        <f ca="1"/>
      </c>
      <c r="BP221">
        <f ca="1"/>
      </c>
      <c r="BQ221">
        <f ca="1"/>
      </c>
      <c r="BR221">
        <f ca="1"/>
      </c>
      <c r="BS221">
        <f ca="1"/>
      </c>
      <c r="BT221">
        <f ca="1"/>
      </c>
      <c r="BU221">
        <f ca="1"/>
      </c>
      <c r="BV221">
        <f ca="1"/>
      </c>
      <c r="BW221">
        <f ca="1"/>
      </c>
      <c r="BX221">
        <f ca="1"/>
      </c>
      <c r="BY221">
        <f ca="1"/>
      </c>
      <c r="BZ221">
        <f ca="1"/>
      </c>
      <c r="CA221">
        <f ca="1"/>
      </c>
      <c r="CB221">
        <f ca="1"/>
      </c>
      <c r="CC221">
        <f ca="1"/>
      </c>
      <c r="CD221">
        <f ca="1"/>
      </c>
      <c r="CE221">
        <f ca="1"/>
      </c>
      <c r="CF221">
        <f ca="1"/>
      </c>
      <c r="CG221">
        <f ca="1"/>
      </c>
      <c r="CH221">
        <f ca="1"/>
      </c>
      <c r="CI221">
        <f ca="1"/>
      </c>
      <c r="CK221">
        <f ca="1"/>
      </c>
      <c r="CL221">
        <f ca="1"/>
      </c>
      <c r="CM221">
        <f ca="1"/>
      </c>
      <c r="CN221">
        <f ca="1"/>
      </c>
      <c r="CO221">
        <f ca="1"/>
      </c>
      <c r="CP221">
        <f ca="1"/>
      </c>
      <c r="CQ221">
        <f ca="1"/>
      </c>
      <c r="CR221">
        <f ca="1"/>
      </c>
      <c r="CS221">
        <f ca="1"/>
      </c>
      <c r="CT221">
        <f ca="1"/>
      </c>
      <c r="CU221">
        <f ca="1"/>
      </c>
      <c r="CV221">
        <f ca="1"/>
      </c>
      <c r="CW221">
        <f ca="1"/>
      </c>
      <c r="CX221">
        <f ca="1"/>
      </c>
      <c r="CY221">
        <f ca="1"/>
      </c>
      <c r="CZ221">
        <f ca="1"/>
      </c>
      <c r="DA221">
        <f ca="1"/>
      </c>
      <c r="DB221">
        <f ca="1"/>
      </c>
      <c r="DC221">
        <f ca="1"/>
      </c>
      <c r="DD221">
        <f ca="1"/>
      </c>
      <c r="DE221">
        <f ca="1"/>
      </c>
      <c r="DF221">
        <f ca="1"/>
      </c>
      <c r="DG221">
        <f ca="1"/>
      </c>
      <c r="DH221">
        <f ca="1"/>
      </c>
      <c r="DI221">
        <f ca="1"/>
      </c>
      <c r="DJ221">
        <f ca="1"/>
      </c>
      <c r="DK221">
        <f ca="1"/>
      </c>
      <c r="DL221">
        <f ca="1"/>
      </c>
      <c r="DM221">
        <f ca="1"/>
      </c>
      <c r="DN221">
        <f ca="1"/>
      </c>
      <c r="DO221">
        <f ca="1"/>
      </c>
      <c r="DP221">
        <f ca="1"/>
      </c>
      <c r="DQ221">
        <f ca="1"/>
      </c>
      <c r="DR221">
        <f ca="1"/>
      </c>
      <c r="DS221">
        <f ca="1"/>
      </c>
      <c r="DT221">
        <f ca="1"/>
      </c>
      <c r="DU221">
        <f ca="1"/>
      </c>
      <c r="DV221">
        <f ca="1"/>
      </c>
      <c r="DW221">
        <f ca="1"/>
      </c>
      <c r="DX221">
        <f ca="1"/>
      </c>
      <c r="DY221">
        <f ca="1"/>
      </c>
      <c r="DZ221">
        <f ca="1"/>
      </c>
      <c r="EA221">
        <f ca="1"/>
      </c>
      <c r="EB221">
        <f ca="1"/>
      </c>
      <c r="EC221">
        <f ca="1"/>
      </c>
      <c r="ED221">
        <f ca="1"/>
      </c>
      <c r="EE221">
        <f ca="1"/>
      </c>
      <c r="EG221">
        <f ca="1"/>
      </c>
      <c r="EH221">
        <f ca="1"/>
      </c>
      <c r="EI221">
        <f ca="1"/>
      </c>
      <c r="EJ221">
        <f ca="1"/>
      </c>
      <c r="EK221">
        <f ca="1"/>
      </c>
      <c r="EL221">
        <f ca="1"/>
      </c>
      <c r="EM221">
        <f ca="1"/>
      </c>
      <c r="EN221">
        <f ca="1"/>
      </c>
      <c r="EO221">
        <f ca="1"/>
      </c>
      <c r="EP221">
        <f ca="1"/>
      </c>
      <c r="EQ221">
        <f ca="1"/>
      </c>
      <c r="ER221">
        <f ca="1"/>
      </c>
      <c r="ES221">
        <f ca="1"/>
      </c>
      <c r="ET221">
        <f ca="1"/>
      </c>
      <c r="EU221">
        <f ca="1"/>
      </c>
      <c r="EV221">
        <f ca="1"/>
      </c>
      <c r="EW221">
        <f ca="1"/>
      </c>
      <c r="EX221">
        <f ca="1"/>
      </c>
      <c r="EY221">
        <f ca="1"/>
      </c>
      <c r="EZ221">
        <f ca="1"/>
      </c>
      <c r="FA221">
        <f ca="1"/>
      </c>
      <c r="FB221">
        <f ca="1"/>
      </c>
      <c r="FC221">
        <f ca="1"/>
      </c>
      <c r="FD221">
        <f ca="1"/>
      </c>
      <c r="FE221">
        <f ca="1"/>
      </c>
      <c r="FF221">
        <f ca="1"/>
      </c>
      <c r="FG221">
        <f ca="1"/>
      </c>
      <c r="FH221">
        <f ca="1"/>
      </c>
      <c r="FI221">
        <f ca="1"/>
      </c>
      <c r="FJ221">
        <f ca="1"/>
      </c>
      <c r="FK221">
        <f ca="1"/>
      </c>
      <c r="FL221">
        <f ca="1"/>
      </c>
      <c r="FM221">
        <f ca="1"/>
      </c>
      <c r="FN221">
        <f ca="1"/>
      </c>
      <c r="FO221">
        <f ca="1"/>
      </c>
      <c r="FP221">
        <f ca="1"/>
      </c>
      <c r="FQ221">
        <f ca="1"/>
      </c>
      <c r="FR221">
        <f ca="1"/>
      </c>
      <c r="FS221">
        <f ca="1"/>
      </c>
      <c r="FT221">
        <f ca="1"/>
      </c>
      <c r="FU221">
        <f ca="1"/>
      </c>
      <c r="FV221">
        <f ca="1"/>
      </c>
      <c r="FW221">
        <f ca="1"/>
      </c>
      <c r="FX221">
        <f ca="1"/>
      </c>
      <c r="FY221">
        <f ca="1"/>
      </c>
      <c r="FZ221">
        <f ca="1"/>
      </c>
      <c r="GA221">
        <f ca="1"/>
      </c>
      <c r="GM221" s="7">
        <f ca="1"/>
      </c>
      <c r="GN221">
        <f ca="1"/>
      </c>
      <c r="GO221">
        <f ca="1"/>
      </c>
      <c r="GP221">
        <f ca="1"/>
      </c>
      <c r="GQ221">
        <f ca="1"/>
      </c>
    </row>
    <row r="222" spans="41:199" x14ac:dyDescent="0.55000000000000004">
      <c r="AO222">
        <f ca="1"/>
      </c>
      <c r="AP222">
        <f ca="1"/>
      </c>
      <c r="AQ222">
        <f ca="1"/>
      </c>
      <c r="AR222">
        <f ca="1"/>
      </c>
      <c r="AS222">
        <f ca="1"/>
      </c>
      <c r="AT222">
        <f ca="1"/>
      </c>
      <c r="AU222">
        <f ca="1"/>
      </c>
      <c r="AV222">
        <f ca="1"/>
      </c>
      <c r="AW222">
        <f ca="1"/>
      </c>
      <c r="AX222">
        <f ca="1"/>
      </c>
      <c r="AY222">
        <f ca="1"/>
      </c>
      <c r="AZ222">
        <f ca="1"/>
      </c>
      <c r="BA222">
        <f ca="1"/>
      </c>
      <c r="BB222">
        <f ca="1"/>
      </c>
      <c r="BC222">
        <f ca="1"/>
      </c>
      <c r="BD222">
        <f ca="1"/>
      </c>
      <c r="BE222">
        <f ca="1"/>
      </c>
      <c r="BF222">
        <f ca="1"/>
      </c>
      <c r="BG222">
        <f ca="1"/>
      </c>
      <c r="BH222">
        <f ca="1"/>
      </c>
      <c r="BI222">
        <f ca="1"/>
      </c>
      <c r="BJ222">
        <f ca="1"/>
      </c>
      <c r="BK222">
        <f ca="1"/>
      </c>
      <c r="BL222">
        <f ca="1"/>
      </c>
      <c r="BM222">
        <f ca="1"/>
      </c>
      <c r="BN222">
        <f ca="1"/>
      </c>
      <c r="BO222">
        <f ca="1"/>
      </c>
      <c r="BP222">
        <f ca="1"/>
      </c>
      <c r="BQ222">
        <f ca="1"/>
      </c>
      <c r="BR222">
        <f ca="1"/>
      </c>
      <c r="BS222">
        <f ca="1"/>
      </c>
      <c r="BT222">
        <f ca="1"/>
      </c>
      <c r="BU222">
        <f ca="1"/>
      </c>
      <c r="BV222">
        <f ca="1"/>
      </c>
      <c r="BW222">
        <f ca="1"/>
      </c>
      <c r="BX222">
        <f ca="1"/>
      </c>
      <c r="BY222">
        <f ca="1"/>
      </c>
      <c r="BZ222">
        <f ca="1"/>
      </c>
      <c r="CA222">
        <f ca="1"/>
      </c>
      <c r="CB222">
        <f ca="1"/>
      </c>
      <c r="CC222">
        <f ca="1"/>
      </c>
      <c r="CD222">
        <f ca="1"/>
      </c>
      <c r="CE222">
        <f ca="1"/>
      </c>
      <c r="CF222">
        <f ca="1"/>
      </c>
      <c r="CG222">
        <f ca="1"/>
      </c>
      <c r="CH222">
        <f ca="1"/>
      </c>
      <c r="CI222">
        <f ca="1"/>
      </c>
      <c r="CK222">
        <f ca="1"/>
      </c>
      <c r="CL222">
        <f ca="1"/>
      </c>
      <c r="CM222">
        <f ca="1"/>
      </c>
      <c r="CN222">
        <f ca="1"/>
      </c>
      <c r="CO222">
        <f ca="1"/>
      </c>
      <c r="CP222">
        <f ca="1"/>
      </c>
      <c r="CQ222">
        <f ca="1"/>
      </c>
      <c r="CR222">
        <f ca="1"/>
      </c>
      <c r="CS222">
        <f ca="1"/>
      </c>
      <c r="CT222">
        <f ca="1"/>
      </c>
      <c r="CU222">
        <f ca="1"/>
      </c>
      <c r="CV222">
        <f ca="1"/>
      </c>
      <c r="CW222">
        <f ca="1"/>
      </c>
      <c r="CX222">
        <f ca="1"/>
      </c>
      <c r="CY222">
        <f ca="1"/>
      </c>
      <c r="CZ222">
        <f ca="1"/>
      </c>
      <c r="DA222">
        <f ca="1"/>
      </c>
      <c r="DB222">
        <f ca="1"/>
      </c>
      <c r="DC222">
        <f ca="1"/>
      </c>
      <c r="DD222">
        <f ca="1"/>
      </c>
      <c r="DE222">
        <f ca="1"/>
      </c>
      <c r="DF222">
        <f ca="1"/>
      </c>
      <c r="DG222">
        <f ca="1"/>
      </c>
      <c r="DH222">
        <f ca="1"/>
      </c>
      <c r="DI222">
        <f ca="1"/>
      </c>
      <c r="DJ222">
        <f ca="1"/>
      </c>
      <c r="DK222">
        <f ca="1"/>
      </c>
      <c r="DL222">
        <f ca="1"/>
      </c>
      <c r="DM222">
        <f ca="1"/>
      </c>
      <c r="DN222">
        <f ca="1"/>
      </c>
      <c r="DO222">
        <f ca="1"/>
      </c>
      <c r="DP222">
        <f ca="1"/>
      </c>
      <c r="DQ222">
        <f ca="1"/>
      </c>
      <c r="DR222">
        <f ca="1"/>
      </c>
      <c r="DS222">
        <f ca="1"/>
      </c>
      <c r="DT222">
        <f ca="1"/>
      </c>
      <c r="DU222">
        <f ca="1"/>
      </c>
      <c r="DV222">
        <f ca="1"/>
      </c>
      <c r="DW222">
        <f ca="1"/>
      </c>
      <c r="DX222">
        <f ca="1"/>
      </c>
      <c r="DY222">
        <f ca="1"/>
      </c>
      <c r="DZ222">
        <f ca="1"/>
      </c>
      <c r="EA222">
        <f ca="1"/>
      </c>
      <c r="EB222">
        <f ca="1"/>
      </c>
      <c r="EC222">
        <f ca="1"/>
      </c>
      <c r="ED222">
        <f ca="1"/>
      </c>
      <c r="EE222">
        <f ca="1"/>
      </c>
      <c r="EG222">
        <f ca="1"/>
      </c>
      <c r="EH222">
        <f ca="1"/>
      </c>
      <c r="EI222">
        <f ca="1"/>
      </c>
      <c r="EJ222">
        <f ca="1"/>
      </c>
      <c r="EK222">
        <f ca="1"/>
      </c>
      <c r="EL222">
        <f ca="1"/>
      </c>
      <c r="EM222">
        <f ca="1"/>
      </c>
      <c r="EN222">
        <f ca="1"/>
      </c>
      <c r="EO222">
        <f ca="1"/>
      </c>
      <c r="EP222">
        <f ca="1"/>
      </c>
      <c r="EQ222">
        <f ca="1"/>
      </c>
      <c r="ER222">
        <f ca="1"/>
      </c>
      <c r="ES222">
        <f ca="1"/>
      </c>
      <c r="ET222">
        <f ca="1"/>
      </c>
      <c r="EU222">
        <f ca="1"/>
      </c>
      <c r="EV222">
        <f ca="1"/>
      </c>
      <c r="EW222">
        <f ca="1"/>
      </c>
      <c r="EX222">
        <f ca="1"/>
      </c>
      <c r="EY222">
        <f ca="1"/>
      </c>
      <c r="EZ222">
        <f ca="1"/>
      </c>
      <c r="FA222">
        <f ca="1"/>
      </c>
      <c r="FB222">
        <f ca="1"/>
      </c>
      <c r="FC222">
        <f ca="1"/>
      </c>
      <c r="FD222">
        <f ca="1"/>
      </c>
      <c r="FE222">
        <f ca="1"/>
      </c>
      <c r="FF222">
        <f ca="1"/>
      </c>
      <c r="FG222">
        <f ca="1"/>
      </c>
      <c r="FH222">
        <f ca="1"/>
      </c>
      <c r="FI222">
        <f ca="1"/>
      </c>
      <c r="FJ222">
        <f ca="1"/>
      </c>
      <c r="FK222">
        <f ca="1"/>
      </c>
      <c r="FL222">
        <f ca="1"/>
      </c>
      <c r="FM222">
        <f ca="1"/>
      </c>
      <c r="FN222">
        <f ca="1"/>
      </c>
      <c r="FO222">
        <f ca="1"/>
      </c>
      <c r="FP222">
        <f ca="1"/>
      </c>
      <c r="FQ222">
        <f ca="1"/>
      </c>
      <c r="FR222">
        <f ca="1"/>
      </c>
      <c r="FS222">
        <f ca="1"/>
      </c>
      <c r="FT222">
        <f ca="1"/>
      </c>
      <c r="FU222">
        <f ca="1"/>
      </c>
      <c r="FV222">
        <f ca="1"/>
      </c>
      <c r="FW222">
        <f ca="1"/>
      </c>
      <c r="FX222">
        <f ca="1"/>
      </c>
      <c r="FY222">
        <f ca="1"/>
      </c>
      <c r="FZ222">
        <f ca="1"/>
      </c>
      <c r="GA222">
        <f ca="1"/>
      </c>
      <c r="GM222" s="7">
        <f ca="1"/>
      </c>
      <c r="GN222">
        <f ca="1"/>
      </c>
      <c r="GO222">
        <f ca="1"/>
      </c>
      <c r="GP222">
        <f ca="1"/>
      </c>
      <c r="GQ222">
        <f ca="1"/>
      </c>
    </row>
    <row r="223" spans="41:199" x14ac:dyDescent="0.55000000000000004">
      <c r="AO223">
        <f ca="1"/>
      </c>
      <c r="AP223">
        <f ca="1"/>
      </c>
      <c r="AQ223">
        <f ca="1"/>
      </c>
      <c r="AR223">
        <f ca="1"/>
      </c>
      <c r="AS223">
        <f ca="1"/>
      </c>
      <c r="AT223">
        <f ca="1"/>
      </c>
      <c r="AU223">
        <f ca="1"/>
      </c>
      <c r="AV223">
        <f ca="1"/>
      </c>
      <c r="AW223">
        <f ca="1"/>
      </c>
      <c r="AX223">
        <f ca="1"/>
      </c>
      <c r="AY223">
        <f ca="1"/>
      </c>
      <c r="AZ223">
        <f ca="1"/>
      </c>
      <c r="BA223">
        <f ca="1"/>
      </c>
      <c r="BB223">
        <f ca="1"/>
      </c>
      <c r="BC223">
        <f ca="1"/>
      </c>
      <c r="BD223">
        <f ca="1"/>
      </c>
      <c r="BE223">
        <f ca="1"/>
      </c>
      <c r="BF223">
        <f ca="1"/>
      </c>
      <c r="BG223">
        <f ca="1"/>
      </c>
      <c r="BH223">
        <f ca="1"/>
      </c>
      <c r="BI223">
        <f ca="1"/>
      </c>
      <c r="BJ223">
        <f ca="1"/>
      </c>
      <c r="BK223">
        <f ca="1"/>
      </c>
      <c r="BL223">
        <f ca="1"/>
      </c>
      <c r="BM223">
        <f ca="1"/>
      </c>
      <c r="BN223">
        <f ca="1"/>
      </c>
      <c r="BO223">
        <f ca="1"/>
      </c>
      <c r="BP223">
        <f ca="1"/>
      </c>
      <c r="BQ223">
        <f ca="1"/>
      </c>
      <c r="BR223">
        <f ca="1"/>
      </c>
      <c r="BS223">
        <f ca="1"/>
      </c>
      <c r="BT223">
        <f ca="1"/>
      </c>
      <c r="BU223">
        <f ca="1"/>
      </c>
      <c r="BV223">
        <f ca="1"/>
      </c>
      <c r="BW223">
        <f ca="1"/>
      </c>
      <c r="BX223">
        <f ca="1"/>
      </c>
      <c r="BY223">
        <f ca="1"/>
      </c>
      <c r="BZ223">
        <f ca="1"/>
      </c>
      <c r="CA223">
        <f ca="1"/>
      </c>
      <c r="CB223">
        <f ca="1"/>
      </c>
      <c r="CC223">
        <f ca="1"/>
      </c>
      <c r="CD223">
        <f ca="1"/>
      </c>
      <c r="CE223">
        <f ca="1"/>
      </c>
      <c r="CF223">
        <f ca="1"/>
      </c>
      <c r="CG223">
        <f ca="1"/>
      </c>
      <c r="CH223">
        <f ca="1"/>
      </c>
      <c r="CI223">
        <f ca="1"/>
      </c>
      <c r="CK223">
        <f ca="1"/>
      </c>
      <c r="CL223">
        <f ca="1"/>
      </c>
      <c r="CM223">
        <f ca="1"/>
      </c>
      <c r="CN223">
        <f ca="1"/>
      </c>
      <c r="CO223">
        <f ca="1"/>
      </c>
      <c r="CP223">
        <f ca="1"/>
      </c>
      <c r="CQ223">
        <f ca="1"/>
      </c>
      <c r="CR223">
        <f ca="1"/>
      </c>
      <c r="CS223">
        <f ca="1"/>
      </c>
      <c r="CT223">
        <f ca="1"/>
      </c>
      <c r="CU223">
        <f ca="1"/>
      </c>
      <c r="CV223">
        <f ca="1"/>
      </c>
      <c r="CW223">
        <f ca="1"/>
      </c>
      <c r="CX223">
        <f ca="1"/>
      </c>
      <c r="CY223">
        <f ca="1"/>
      </c>
      <c r="CZ223">
        <f ca="1"/>
      </c>
      <c r="DA223">
        <f ca="1"/>
      </c>
      <c r="DB223">
        <f ca="1"/>
      </c>
      <c r="DC223">
        <f ca="1"/>
      </c>
      <c r="DD223">
        <f ca="1"/>
      </c>
      <c r="DE223">
        <f ca="1"/>
      </c>
      <c r="DF223">
        <f ca="1"/>
      </c>
      <c r="DG223">
        <f ca="1"/>
      </c>
      <c r="DH223">
        <f ca="1"/>
      </c>
      <c r="DI223">
        <f ca="1"/>
      </c>
      <c r="DJ223">
        <f ca="1"/>
      </c>
      <c r="DK223">
        <f ca="1"/>
      </c>
      <c r="DL223">
        <f ca="1"/>
      </c>
      <c r="DM223">
        <f ca="1"/>
      </c>
      <c r="DN223">
        <f ca="1"/>
      </c>
      <c r="DO223">
        <f ca="1"/>
      </c>
      <c r="DP223">
        <f ca="1"/>
      </c>
      <c r="DQ223">
        <f ca="1"/>
      </c>
      <c r="DR223">
        <f ca="1"/>
      </c>
      <c r="DS223">
        <f ca="1"/>
      </c>
      <c r="DT223">
        <f ca="1"/>
      </c>
      <c r="DU223">
        <f ca="1"/>
      </c>
      <c r="DV223">
        <f ca="1"/>
      </c>
      <c r="DW223">
        <f ca="1"/>
      </c>
      <c r="DX223">
        <f ca="1"/>
      </c>
      <c r="DY223">
        <f ca="1"/>
      </c>
      <c r="DZ223">
        <f ca="1"/>
      </c>
      <c r="EA223">
        <f ca="1"/>
      </c>
      <c r="EB223">
        <f ca="1"/>
      </c>
      <c r="EC223">
        <f ca="1"/>
      </c>
      <c r="ED223">
        <f ca="1"/>
      </c>
      <c r="EE223">
        <f ca="1"/>
      </c>
      <c r="EG223">
        <f ca="1"/>
      </c>
      <c r="EH223">
        <f ca="1"/>
      </c>
      <c r="EI223">
        <f ca="1"/>
      </c>
      <c r="EJ223">
        <f ca="1"/>
      </c>
      <c r="EK223">
        <f ca="1"/>
      </c>
      <c r="EL223">
        <f ca="1"/>
      </c>
      <c r="EM223">
        <f ca="1"/>
      </c>
      <c r="EN223">
        <f ca="1"/>
      </c>
      <c r="EO223">
        <f ca="1"/>
      </c>
      <c r="EP223">
        <f ca="1"/>
      </c>
      <c r="EQ223">
        <f ca="1"/>
      </c>
      <c r="ER223">
        <f ca="1"/>
      </c>
      <c r="ES223">
        <f ca="1"/>
      </c>
      <c r="ET223">
        <f ca="1"/>
      </c>
      <c r="EU223">
        <f ca="1"/>
      </c>
      <c r="EV223">
        <f ca="1"/>
      </c>
      <c r="EW223">
        <f ca="1"/>
      </c>
      <c r="EX223">
        <f ca="1"/>
      </c>
      <c r="EY223">
        <f ca="1"/>
      </c>
      <c r="EZ223">
        <f ca="1"/>
      </c>
      <c r="FA223">
        <f ca="1"/>
      </c>
      <c r="FB223">
        <f ca="1"/>
      </c>
      <c r="FC223">
        <f ca="1"/>
      </c>
      <c r="FD223">
        <f ca="1"/>
      </c>
      <c r="FE223">
        <f ca="1"/>
      </c>
      <c r="FF223">
        <f ca="1"/>
      </c>
      <c r="FG223">
        <f ca="1"/>
      </c>
      <c r="FH223">
        <f ca="1"/>
      </c>
      <c r="FI223">
        <f ca="1"/>
      </c>
      <c r="FJ223">
        <f ca="1"/>
      </c>
      <c r="FK223">
        <f ca="1"/>
      </c>
      <c r="FL223">
        <f ca="1"/>
      </c>
      <c r="FM223">
        <f ca="1"/>
      </c>
      <c r="FN223">
        <f ca="1"/>
      </c>
      <c r="FO223">
        <f ca="1"/>
      </c>
      <c r="FP223">
        <f ca="1"/>
      </c>
      <c r="FQ223">
        <f ca="1"/>
      </c>
      <c r="FR223">
        <f ca="1"/>
      </c>
      <c r="FS223">
        <f ca="1"/>
      </c>
      <c r="FT223">
        <f ca="1"/>
      </c>
      <c r="FU223">
        <f ca="1"/>
      </c>
      <c r="FV223">
        <f ca="1"/>
      </c>
      <c r="FW223">
        <f ca="1"/>
      </c>
      <c r="FX223">
        <f ca="1"/>
      </c>
      <c r="FY223">
        <f ca="1"/>
      </c>
      <c r="FZ223">
        <f ca="1"/>
      </c>
      <c r="GA223">
        <f ca="1"/>
      </c>
      <c r="GM223" s="7">
        <f ca="1"/>
      </c>
      <c r="GN223">
        <f ca="1"/>
      </c>
      <c r="GO223">
        <f ca="1"/>
      </c>
      <c r="GP223">
        <f ca="1"/>
      </c>
      <c r="GQ223">
        <f ca="1"/>
      </c>
    </row>
    <row r="224" spans="41:199" x14ac:dyDescent="0.55000000000000004">
      <c r="AO224">
        <f ca="1"/>
      </c>
      <c r="AP224">
        <f ca="1"/>
      </c>
      <c r="AQ224">
        <f ca="1"/>
      </c>
      <c r="AR224">
        <f ca="1"/>
      </c>
      <c r="AS224">
        <f ca="1"/>
      </c>
      <c r="AT224">
        <f ca="1"/>
      </c>
      <c r="AU224">
        <f ca="1"/>
      </c>
      <c r="AV224">
        <f ca="1"/>
      </c>
      <c r="AW224">
        <f ca="1"/>
      </c>
      <c r="AX224">
        <f ca="1"/>
      </c>
      <c r="AY224">
        <f ca="1"/>
      </c>
      <c r="AZ224">
        <f ca="1"/>
      </c>
      <c r="BA224">
        <f ca="1"/>
      </c>
      <c r="BB224">
        <f ca="1"/>
      </c>
      <c r="BC224">
        <f ca="1"/>
      </c>
      <c r="BD224">
        <f ca="1"/>
      </c>
      <c r="BE224">
        <f ca="1"/>
      </c>
      <c r="BF224">
        <f ca="1"/>
      </c>
      <c r="BG224">
        <f ca="1"/>
      </c>
      <c r="BH224">
        <f ca="1"/>
      </c>
      <c r="BI224">
        <f ca="1"/>
      </c>
      <c r="BJ224">
        <f ca="1"/>
      </c>
      <c r="BK224">
        <f ca="1"/>
      </c>
      <c r="BL224">
        <f ca="1"/>
      </c>
      <c r="BM224">
        <f ca="1"/>
      </c>
      <c r="BN224">
        <f ca="1"/>
      </c>
      <c r="BO224">
        <f ca="1"/>
      </c>
      <c r="BP224">
        <f ca="1"/>
      </c>
      <c r="BQ224">
        <f ca="1"/>
      </c>
      <c r="BR224">
        <f ca="1"/>
      </c>
      <c r="BS224">
        <f ca="1"/>
      </c>
      <c r="BT224">
        <f ca="1"/>
      </c>
      <c r="BU224">
        <f ca="1"/>
      </c>
      <c r="BV224">
        <f ca="1"/>
      </c>
      <c r="BW224">
        <f ca="1"/>
      </c>
      <c r="BX224">
        <f ca="1"/>
      </c>
      <c r="BY224">
        <f ca="1"/>
      </c>
      <c r="BZ224">
        <f ca="1"/>
      </c>
      <c r="CA224">
        <f ca="1"/>
      </c>
      <c r="CB224">
        <f ca="1"/>
      </c>
      <c r="CC224">
        <f ca="1"/>
      </c>
      <c r="CD224">
        <f ca="1"/>
      </c>
      <c r="CE224">
        <f ca="1"/>
      </c>
      <c r="CF224">
        <f ca="1"/>
      </c>
      <c r="CG224">
        <f ca="1"/>
      </c>
      <c r="CH224">
        <f ca="1"/>
      </c>
      <c r="CI224">
        <f ca="1"/>
      </c>
      <c r="CK224">
        <f ca="1"/>
      </c>
      <c r="CL224">
        <f ca="1"/>
      </c>
      <c r="CM224">
        <f ca="1"/>
      </c>
      <c r="CN224">
        <f ca="1"/>
      </c>
      <c r="CO224">
        <f ca="1"/>
      </c>
      <c r="CP224">
        <f ca="1"/>
      </c>
      <c r="CQ224">
        <f ca="1"/>
      </c>
      <c r="CR224">
        <f ca="1"/>
      </c>
      <c r="CS224">
        <f ca="1"/>
      </c>
      <c r="CT224">
        <f ca="1"/>
      </c>
      <c r="CU224">
        <f ca="1"/>
      </c>
      <c r="CV224">
        <f ca="1"/>
      </c>
      <c r="CW224">
        <f ca="1"/>
      </c>
      <c r="CX224">
        <f ca="1"/>
      </c>
      <c r="CY224">
        <f ca="1"/>
      </c>
      <c r="CZ224">
        <f ca="1"/>
      </c>
      <c r="DA224">
        <f ca="1"/>
      </c>
      <c r="DB224">
        <f ca="1"/>
      </c>
      <c r="DC224">
        <f ca="1"/>
      </c>
      <c r="DD224">
        <f ca="1"/>
      </c>
      <c r="DE224">
        <f ca="1"/>
      </c>
      <c r="DF224">
        <f ca="1"/>
      </c>
      <c r="DG224">
        <f ca="1"/>
      </c>
      <c r="DH224">
        <f ca="1"/>
      </c>
      <c r="DI224">
        <f ca="1"/>
      </c>
      <c r="DJ224">
        <f ca="1"/>
      </c>
      <c r="DK224">
        <f ca="1"/>
      </c>
      <c r="DL224">
        <f ca="1"/>
      </c>
      <c r="DM224">
        <f ca="1"/>
      </c>
      <c r="DN224">
        <f ca="1"/>
      </c>
      <c r="DO224">
        <f ca="1"/>
      </c>
      <c r="DP224">
        <f ca="1"/>
      </c>
      <c r="DQ224">
        <f ca="1"/>
      </c>
      <c r="DR224">
        <f ca="1"/>
      </c>
      <c r="DS224">
        <f ca="1"/>
      </c>
      <c r="DT224">
        <f ca="1"/>
      </c>
      <c r="DU224">
        <f ca="1"/>
      </c>
      <c r="DV224">
        <f ca="1"/>
      </c>
      <c r="DW224">
        <f ca="1"/>
      </c>
      <c r="DX224">
        <f ca="1"/>
      </c>
      <c r="DY224">
        <f ca="1"/>
      </c>
      <c r="DZ224">
        <f ca="1"/>
      </c>
      <c r="EA224">
        <f ca="1"/>
      </c>
      <c r="EB224">
        <f ca="1"/>
      </c>
      <c r="EC224">
        <f ca="1"/>
      </c>
      <c r="ED224">
        <f ca="1"/>
      </c>
      <c r="EE224">
        <f ca="1"/>
      </c>
      <c r="EG224">
        <f ca="1"/>
      </c>
      <c r="EH224">
        <f ca="1"/>
      </c>
      <c r="EI224">
        <f ca="1"/>
      </c>
      <c r="EJ224">
        <f ca="1"/>
      </c>
      <c r="EK224">
        <f ca="1"/>
      </c>
      <c r="EL224">
        <f ca="1"/>
      </c>
      <c r="EM224">
        <f ca="1"/>
      </c>
      <c r="EN224">
        <f ca="1"/>
      </c>
      <c r="EO224">
        <f ca="1"/>
      </c>
      <c r="EP224">
        <f ca="1"/>
      </c>
      <c r="EQ224">
        <f ca="1"/>
      </c>
      <c r="ER224">
        <f ca="1"/>
      </c>
      <c r="ES224">
        <f ca="1"/>
      </c>
      <c r="ET224">
        <f ca="1"/>
      </c>
      <c r="EU224">
        <f ca="1"/>
      </c>
      <c r="EV224">
        <f ca="1"/>
      </c>
      <c r="EW224">
        <f ca="1"/>
      </c>
      <c r="EX224">
        <f ca="1"/>
      </c>
      <c r="EY224">
        <f ca="1"/>
      </c>
      <c r="EZ224">
        <f ca="1"/>
      </c>
      <c r="FA224">
        <f ca="1"/>
      </c>
      <c r="FB224">
        <f ca="1"/>
      </c>
      <c r="FC224">
        <f ca="1"/>
      </c>
      <c r="FD224">
        <f ca="1"/>
      </c>
      <c r="FE224">
        <f ca="1"/>
      </c>
      <c r="FF224">
        <f ca="1"/>
      </c>
      <c r="FG224">
        <f ca="1"/>
      </c>
      <c r="FH224">
        <f ca="1"/>
      </c>
      <c r="FI224">
        <f ca="1"/>
      </c>
      <c r="FJ224">
        <f ca="1"/>
      </c>
      <c r="FK224">
        <f ca="1"/>
      </c>
      <c r="FL224">
        <f ca="1"/>
      </c>
      <c r="FM224">
        <f ca="1"/>
      </c>
      <c r="FN224">
        <f ca="1"/>
      </c>
      <c r="FO224">
        <f ca="1"/>
      </c>
      <c r="FP224">
        <f ca="1"/>
      </c>
      <c r="FQ224">
        <f ca="1"/>
      </c>
      <c r="FR224">
        <f ca="1"/>
      </c>
      <c r="FS224">
        <f ca="1"/>
      </c>
      <c r="FT224">
        <f ca="1"/>
      </c>
      <c r="FU224">
        <f ca="1"/>
      </c>
      <c r="FV224">
        <f ca="1"/>
      </c>
      <c r="FW224">
        <f ca="1"/>
      </c>
      <c r="FX224">
        <f ca="1"/>
      </c>
      <c r="FY224">
        <f ca="1"/>
      </c>
      <c r="FZ224">
        <f ca="1"/>
      </c>
      <c r="GA224">
        <f ca="1"/>
      </c>
      <c r="GM224" s="7">
        <f ca="1"/>
      </c>
      <c r="GN224">
        <f ca="1"/>
      </c>
      <c r="GO224">
        <f ca="1"/>
      </c>
      <c r="GP224">
        <f ca="1"/>
      </c>
      <c r="GQ224">
        <f ca="1"/>
      </c>
    </row>
    <row r="225" spans="41:199" x14ac:dyDescent="0.55000000000000004">
      <c r="AO225">
        <f ca="1"/>
      </c>
      <c r="AP225">
        <f ca="1"/>
      </c>
      <c r="AQ225">
        <f ca="1"/>
      </c>
      <c r="AR225">
        <f ca="1"/>
      </c>
      <c r="AS225">
        <f ca="1"/>
      </c>
      <c r="AT225">
        <f ca="1"/>
      </c>
      <c r="AU225">
        <f ca="1"/>
      </c>
      <c r="AV225">
        <f ca="1"/>
      </c>
      <c r="AW225">
        <f ca="1"/>
      </c>
      <c r="AX225">
        <f ca="1"/>
      </c>
      <c r="AY225">
        <f ca="1"/>
      </c>
      <c r="AZ225">
        <f ca="1"/>
      </c>
      <c r="BA225">
        <f ca="1"/>
      </c>
      <c r="BB225">
        <f ca="1"/>
      </c>
      <c r="BC225">
        <f ca="1"/>
      </c>
      <c r="BD225">
        <f ca="1"/>
      </c>
      <c r="BE225">
        <f ca="1"/>
      </c>
      <c r="BF225">
        <f ca="1"/>
      </c>
      <c r="BG225">
        <f ca="1"/>
      </c>
      <c r="BH225">
        <f ca="1"/>
      </c>
      <c r="BI225">
        <f ca="1"/>
      </c>
      <c r="BJ225">
        <f ca="1"/>
      </c>
      <c r="BK225">
        <f ca="1"/>
      </c>
      <c r="BL225">
        <f ca="1"/>
      </c>
      <c r="BM225">
        <f ca="1"/>
      </c>
      <c r="BN225">
        <f ca="1"/>
      </c>
      <c r="BO225">
        <f ca="1"/>
      </c>
      <c r="BP225">
        <f ca="1"/>
      </c>
      <c r="BQ225">
        <f ca="1"/>
      </c>
      <c r="BR225">
        <f ca="1"/>
      </c>
      <c r="BS225">
        <f ca="1"/>
      </c>
      <c r="BT225">
        <f ca="1"/>
      </c>
      <c r="BU225">
        <f ca="1"/>
      </c>
      <c r="BV225">
        <f ca="1"/>
      </c>
      <c r="BW225">
        <f ca="1"/>
      </c>
      <c r="BX225">
        <f ca="1"/>
      </c>
      <c r="BY225">
        <f ca="1"/>
      </c>
      <c r="BZ225">
        <f ca="1"/>
      </c>
      <c r="CA225">
        <f ca="1"/>
      </c>
      <c r="CB225">
        <f ca="1"/>
      </c>
      <c r="CC225">
        <f ca="1"/>
      </c>
      <c r="CD225">
        <f ca="1"/>
      </c>
      <c r="CE225">
        <f ca="1"/>
      </c>
      <c r="CF225">
        <f ca="1"/>
      </c>
      <c r="CG225">
        <f ca="1"/>
      </c>
      <c r="CH225">
        <f ca="1"/>
      </c>
      <c r="CI225">
        <f ca="1"/>
      </c>
      <c r="CK225">
        <f ca="1"/>
      </c>
      <c r="CL225">
        <f ca="1"/>
      </c>
      <c r="CM225">
        <f ca="1"/>
      </c>
      <c r="CN225">
        <f ca="1"/>
      </c>
      <c r="CO225">
        <f ca="1"/>
      </c>
      <c r="CP225">
        <f ca="1"/>
      </c>
      <c r="CQ225">
        <f ca="1"/>
      </c>
      <c r="CR225">
        <f ca="1"/>
      </c>
      <c r="CS225">
        <f ca="1"/>
      </c>
      <c r="CT225">
        <f ca="1"/>
      </c>
      <c r="CU225">
        <f ca="1"/>
      </c>
      <c r="CV225">
        <f ca="1"/>
      </c>
      <c r="CW225">
        <f ca="1"/>
      </c>
      <c r="CX225">
        <f ca="1"/>
      </c>
      <c r="CY225">
        <f ca="1"/>
      </c>
      <c r="CZ225">
        <f ca="1"/>
      </c>
      <c r="DA225">
        <f ca="1"/>
      </c>
      <c r="DB225">
        <f ca="1"/>
      </c>
      <c r="DC225">
        <f ca="1"/>
      </c>
      <c r="DD225">
        <f ca="1"/>
      </c>
      <c r="DE225">
        <f ca="1"/>
      </c>
      <c r="DF225">
        <f ca="1"/>
      </c>
      <c r="DG225">
        <f ca="1"/>
      </c>
      <c r="DH225">
        <f ca="1"/>
      </c>
      <c r="DI225">
        <f ca="1"/>
      </c>
      <c r="DJ225">
        <f ca="1"/>
      </c>
      <c r="DK225">
        <f ca="1"/>
      </c>
      <c r="DL225">
        <f ca="1"/>
      </c>
      <c r="DM225">
        <f ca="1"/>
      </c>
      <c r="DN225">
        <f ca="1"/>
      </c>
      <c r="DO225">
        <f ca="1"/>
      </c>
      <c r="DP225">
        <f ca="1"/>
      </c>
      <c r="DQ225">
        <f ca="1"/>
      </c>
      <c r="DR225">
        <f ca="1"/>
      </c>
      <c r="DS225">
        <f ca="1"/>
      </c>
      <c r="DT225">
        <f ca="1"/>
      </c>
      <c r="DU225">
        <f ca="1"/>
      </c>
      <c r="DV225">
        <f ca="1"/>
      </c>
      <c r="DW225">
        <f ca="1"/>
      </c>
      <c r="DX225">
        <f ca="1"/>
      </c>
      <c r="DY225">
        <f ca="1"/>
      </c>
      <c r="DZ225">
        <f ca="1"/>
      </c>
      <c r="EA225">
        <f ca="1"/>
      </c>
      <c r="EB225">
        <f ca="1"/>
      </c>
      <c r="EC225">
        <f ca="1"/>
      </c>
      <c r="ED225">
        <f ca="1"/>
      </c>
      <c r="EE225">
        <f ca="1"/>
      </c>
      <c r="EG225">
        <f ca="1"/>
      </c>
      <c r="EH225">
        <f ca="1"/>
      </c>
      <c r="EI225">
        <f ca="1"/>
      </c>
      <c r="EJ225">
        <f ca="1"/>
      </c>
      <c r="EK225">
        <f ca="1"/>
      </c>
      <c r="EL225">
        <f ca="1"/>
      </c>
      <c r="EM225">
        <f ca="1"/>
      </c>
      <c r="EN225">
        <f ca="1"/>
      </c>
      <c r="EO225">
        <f ca="1"/>
      </c>
      <c r="EP225">
        <f ca="1"/>
      </c>
      <c r="EQ225">
        <f ca="1"/>
      </c>
      <c r="ER225">
        <f ca="1"/>
      </c>
      <c r="ES225">
        <f ca="1"/>
      </c>
      <c r="ET225">
        <f ca="1"/>
      </c>
      <c r="EU225">
        <f ca="1"/>
      </c>
      <c r="EV225">
        <f ca="1"/>
      </c>
      <c r="EW225">
        <f ca="1"/>
      </c>
      <c r="EX225">
        <f ca="1"/>
      </c>
      <c r="EY225">
        <f ca="1"/>
      </c>
      <c r="EZ225">
        <f ca="1"/>
      </c>
      <c r="FA225">
        <f ca="1"/>
      </c>
      <c r="FB225">
        <f ca="1"/>
      </c>
      <c r="FC225">
        <f ca="1"/>
      </c>
      <c r="FD225">
        <f ca="1"/>
      </c>
      <c r="FE225">
        <f ca="1"/>
      </c>
      <c r="FF225">
        <f ca="1"/>
      </c>
      <c r="FG225">
        <f ca="1"/>
      </c>
      <c r="FH225">
        <f ca="1"/>
      </c>
      <c r="FI225">
        <f ca="1"/>
      </c>
      <c r="FJ225">
        <f ca="1"/>
      </c>
      <c r="FK225">
        <f ca="1"/>
      </c>
      <c r="FL225">
        <f ca="1"/>
      </c>
      <c r="FM225">
        <f ca="1"/>
      </c>
      <c r="FN225">
        <f ca="1"/>
      </c>
      <c r="FO225">
        <f ca="1"/>
      </c>
      <c r="FP225">
        <f ca="1"/>
      </c>
      <c r="FQ225">
        <f ca="1"/>
      </c>
      <c r="FR225">
        <f ca="1"/>
      </c>
      <c r="FS225">
        <f ca="1"/>
      </c>
      <c r="FT225">
        <f ca="1"/>
      </c>
      <c r="FU225">
        <f ca="1"/>
      </c>
      <c r="FV225">
        <f ca="1"/>
      </c>
      <c r="FW225">
        <f ca="1"/>
      </c>
      <c r="FX225">
        <f ca="1"/>
      </c>
      <c r="FY225">
        <f ca="1"/>
      </c>
      <c r="FZ225">
        <f ca="1"/>
      </c>
      <c r="GA225">
        <f ca="1"/>
      </c>
      <c r="GM225" s="7">
        <f ca="1"/>
      </c>
      <c r="GN225">
        <f ca="1"/>
      </c>
      <c r="GO225">
        <f ca="1"/>
      </c>
      <c r="GP225">
        <f ca="1"/>
      </c>
      <c r="GQ225">
        <f ca="1"/>
      </c>
    </row>
    <row r="226" spans="41:199" x14ac:dyDescent="0.55000000000000004">
      <c r="AO226">
        <f ca="1"/>
      </c>
      <c r="AP226">
        <f ca="1"/>
      </c>
      <c r="AQ226">
        <f ca="1"/>
      </c>
      <c r="AR226">
        <f ca="1"/>
      </c>
      <c r="AS226">
        <f ca="1"/>
      </c>
      <c r="AT226">
        <f ca="1"/>
      </c>
      <c r="AU226">
        <f ca="1"/>
      </c>
      <c r="AV226">
        <f ca="1"/>
      </c>
      <c r="AW226">
        <f ca="1"/>
      </c>
      <c r="AX226">
        <f ca="1"/>
      </c>
      <c r="AY226">
        <f ca="1"/>
      </c>
      <c r="AZ226">
        <f ca="1"/>
      </c>
      <c r="BA226">
        <f ca="1"/>
      </c>
      <c r="BB226">
        <f ca="1"/>
      </c>
      <c r="BC226">
        <f ca="1"/>
      </c>
      <c r="BD226">
        <f ca="1"/>
      </c>
      <c r="BE226">
        <f ca="1"/>
      </c>
      <c r="BF226">
        <f ca="1"/>
      </c>
      <c r="BG226">
        <f ca="1"/>
      </c>
      <c r="BH226">
        <f ca="1"/>
      </c>
      <c r="BI226">
        <f ca="1"/>
      </c>
      <c r="BJ226">
        <f ca="1"/>
      </c>
      <c r="BK226">
        <f ca="1"/>
      </c>
      <c r="BL226">
        <f ca="1"/>
      </c>
      <c r="BM226">
        <f ca="1"/>
      </c>
      <c r="BN226">
        <f ca="1"/>
      </c>
      <c r="BO226">
        <f ca="1"/>
      </c>
      <c r="BP226">
        <f ca="1"/>
      </c>
      <c r="BQ226">
        <f ca="1"/>
      </c>
      <c r="BR226">
        <f ca="1"/>
      </c>
      <c r="BS226">
        <f ca="1"/>
      </c>
      <c r="BT226">
        <f ca="1"/>
      </c>
      <c r="BU226">
        <f ca="1"/>
      </c>
      <c r="BV226">
        <f ca="1"/>
      </c>
      <c r="BW226">
        <f ca="1"/>
      </c>
      <c r="BX226">
        <f ca="1"/>
      </c>
      <c r="BY226">
        <f ca="1"/>
      </c>
      <c r="BZ226">
        <f ca="1"/>
      </c>
      <c r="CA226">
        <f ca="1"/>
      </c>
      <c r="CB226">
        <f ca="1"/>
      </c>
      <c r="CC226">
        <f ca="1"/>
      </c>
      <c r="CD226">
        <f ca="1"/>
      </c>
      <c r="CE226">
        <f ca="1"/>
      </c>
      <c r="CF226">
        <f ca="1"/>
      </c>
      <c r="CG226">
        <f ca="1"/>
      </c>
      <c r="CH226">
        <f ca="1"/>
      </c>
      <c r="CI226">
        <f ca="1"/>
      </c>
      <c r="CK226">
        <f ca="1"/>
      </c>
      <c r="CL226">
        <f ca="1"/>
      </c>
      <c r="CM226">
        <f ca="1"/>
      </c>
      <c r="CN226">
        <f ca="1"/>
      </c>
      <c r="CO226">
        <f ca="1"/>
      </c>
      <c r="CP226">
        <f ca="1"/>
      </c>
      <c r="CQ226">
        <f ca="1"/>
      </c>
      <c r="CR226">
        <f ca="1"/>
      </c>
      <c r="CS226">
        <f ca="1"/>
      </c>
      <c r="CT226">
        <f ca="1"/>
      </c>
      <c r="CU226">
        <f ca="1"/>
      </c>
      <c r="CV226">
        <f ca="1"/>
      </c>
      <c r="CW226">
        <f ca="1"/>
      </c>
      <c r="CX226">
        <f ca="1"/>
      </c>
      <c r="CY226">
        <f ca="1"/>
      </c>
      <c r="CZ226">
        <f ca="1"/>
      </c>
      <c r="DA226">
        <f ca="1"/>
      </c>
      <c r="DB226">
        <f ca="1"/>
      </c>
      <c r="DC226">
        <f ca="1"/>
      </c>
      <c r="DD226">
        <f ca="1"/>
      </c>
      <c r="DE226">
        <f ca="1"/>
      </c>
      <c r="DF226">
        <f ca="1"/>
      </c>
      <c r="DG226">
        <f ca="1"/>
      </c>
      <c r="DH226">
        <f ca="1"/>
      </c>
      <c r="DI226">
        <f ca="1"/>
      </c>
      <c r="DJ226">
        <f ca="1"/>
      </c>
      <c r="DK226">
        <f ca="1"/>
      </c>
      <c r="DL226">
        <f ca="1"/>
      </c>
      <c r="DM226">
        <f ca="1"/>
      </c>
      <c r="DN226">
        <f ca="1"/>
      </c>
      <c r="DO226">
        <f ca="1"/>
      </c>
      <c r="DP226">
        <f ca="1"/>
      </c>
      <c r="DQ226">
        <f ca="1"/>
      </c>
      <c r="DR226">
        <f ca="1"/>
      </c>
      <c r="DS226">
        <f ca="1"/>
      </c>
      <c r="DT226">
        <f ca="1"/>
      </c>
      <c r="DU226">
        <f ca="1"/>
      </c>
      <c r="DV226">
        <f ca="1"/>
      </c>
      <c r="DW226">
        <f ca="1"/>
      </c>
      <c r="DX226">
        <f ca="1"/>
      </c>
      <c r="DY226">
        <f ca="1"/>
      </c>
      <c r="DZ226">
        <f ca="1"/>
      </c>
      <c r="EA226">
        <f ca="1"/>
      </c>
      <c r="EB226">
        <f ca="1"/>
      </c>
      <c r="EC226">
        <f ca="1"/>
      </c>
      <c r="ED226">
        <f ca="1"/>
      </c>
      <c r="EE226">
        <f ca="1"/>
      </c>
      <c r="EG226">
        <f ca="1"/>
      </c>
      <c r="EH226">
        <f ca="1"/>
      </c>
      <c r="EI226">
        <f ca="1"/>
      </c>
      <c r="EJ226">
        <f ca="1"/>
      </c>
      <c r="EK226">
        <f ca="1"/>
      </c>
      <c r="EL226">
        <f ca="1"/>
      </c>
      <c r="EM226">
        <f ca="1"/>
      </c>
      <c r="EN226">
        <f ca="1"/>
      </c>
      <c r="EO226">
        <f ca="1"/>
      </c>
      <c r="EP226">
        <f ca="1"/>
      </c>
      <c r="EQ226">
        <f ca="1"/>
      </c>
      <c r="ER226">
        <f ca="1"/>
      </c>
      <c r="ES226">
        <f ca="1"/>
      </c>
      <c r="ET226">
        <f ca="1"/>
      </c>
      <c r="EU226">
        <f ca="1"/>
      </c>
      <c r="EV226">
        <f ca="1"/>
      </c>
      <c r="EW226">
        <f ca="1"/>
      </c>
      <c r="EX226">
        <f ca="1"/>
      </c>
      <c r="EY226">
        <f ca="1"/>
      </c>
      <c r="EZ226">
        <f ca="1"/>
      </c>
      <c r="FA226">
        <f ca="1"/>
      </c>
      <c r="FB226">
        <f ca="1"/>
      </c>
      <c r="FC226">
        <f ca="1"/>
      </c>
      <c r="FD226">
        <f ca="1"/>
      </c>
      <c r="FE226">
        <f ca="1"/>
      </c>
      <c r="FF226">
        <f ca="1"/>
      </c>
      <c r="FG226">
        <f ca="1"/>
      </c>
      <c r="FH226">
        <f ca="1"/>
      </c>
      <c r="FI226">
        <f ca="1"/>
      </c>
      <c r="FJ226">
        <f ca="1"/>
      </c>
      <c r="FK226">
        <f ca="1"/>
      </c>
      <c r="FL226">
        <f ca="1"/>
      </c>
      <c r="FM226">
        <f ca="1"/>
      </c>
      <c r="FN226">
        <f ca="1"/>
      </c>
      <c r="FO226">
        <f ca="1"/>
      </c>
      <c r="FP226">
        <f ca="1"/>
      </c>
      <c r="FQ226">
        <f ca="1"/>
      </c>
      <c r="FR226">
        <f ca="1"/>
      </c>
      <c r="FS226">
        <f ca="1"/>
      </c>
      <c r="FT226">
        <f ca="1"/>
      </c>
      <c r="FU226">
        <f ca="1"/>
      </c>
      <c r="FV226">
        <f ca="1"/>
      </c>
      <c r="FW226">
        <f ca="1"/>
      </c>
      <c r="FX226">
        <f ca="1"/>
      </c>
      <c r="FY226">
        <f ca="1"/>
      </c>
      <c r="FZ226">
        <f ca="1"/>
      </c>
      <c r="GA226">
        <f ca="1"/>
      </c>
      <c r="GM226" s="7">
        <f ca="1"/>
      </c>
      <c r="GN226">
        <f ca="1"/>
      </c>
      <c r="GO226">
        <f ca="1"/>
      </c>
      <c r="GP226">
        <f ca="1"/>
      </c>
      <c r="GQ226">
        <f ca="1"/>
      </c>
    </row>
    <row r="227" spans="41:199" x14ac:dyDescent="0.55000000000000004">
      <c r="AO227">
        <f ca="1"/>
      </c>
      <c r="AP227">
        <f ca="1"/>
      </c>
      <c r="AQ227">
        <f ca="1"/>
      </c>
      <c r="AR227">
        <f ca="1"/>
      </c>
      <c r="AS227">
        <f ca="1"/>
      </c>
      <c r="AT227">
        <f ca="1"/>
      </c>
      <c r="AU227">
        <f ca="1"/>
      </c>
      <c r="AV227">
        <f ca="1"/>
      </c>
      <c r="AW227">
        <f ca="1"/>
      </c>
      <c r="AX227">
        <f ca="1"/>
      </c>
      <c r="AY227">
        <f ca="1"/>
      </c>
      <c r="AZ227">
        <f ca="1"/>
      </c>
      <c r="BA227">
        <f ca="1"/>
      </c>
      <c r="BB227">
        <f ca="1"/>
      </c>
      <c r="BC227">
        <f ca="1"/>
      </c>
      <c r="BD227">
        <f ca="1"/>
      </c>
      <c r="BE227">
        <f ca="1"/>
      </c>
      <c r="BF227">
        <f ca="1"/>
      </c>
      <c r="BG227">
        <f ca="1"/>
      </c>
      <c r="BH227">
        <f ca="1"/>
      </c>
      <c r="BI227">
        <f ca="1"/>
      </c>
      <c r="BJ227">
        <f ca="1"/>
      </c>
      <c r="BK227">
        <f ca="1"/>
      </c>
      <c r="BL227">
        <f ca="1"/>
      </c>
      <c r="BM227">
        <f ca="1"/>
      </c>
      <c r="BN227">
        <f ca="1"/>
      </c>
      <c r="BO227">
        <f ca="1"/>
      </c>
      <c r="BP227">
        <f ca="1"/>
      </c>
      <c r="BQ227">
        <f ca="1"/>
      </c>
      <c r="BR227">
        <f ca="1"/>
      </c>
      <c r="BS227">
        <f ca="1"/>
      </c>
      <c r="BT227">
        <f ca="1"/>
      </c>
      <c r="BU227">
        <f ca="1"/>
      </c>
      <c r="BV227">
        <f ca="1"/>
      </c>
      <c r="BW227">
        <f ca="1"/>
      </c>
      <c r="BX227">
        <f ca="1"/>
      </c>
      <c r="BY227">
        <f ca="1"/>
      </c>
      <c r="BZ227">
        <f ca="1"/>
      </c>
      <c r="CA227">
        <f ca="1"/>
      </c>
      <c r="CB227">
        <f ca="1"/>
      </c>
      <c r="CC227">
        <f ca="1"/>
      </c>
      <c r="CD227">
        <f ca="1"/>
      </c>
      <c r="CE227">
        <f ca="1"/>
      </c>
      <c r="CF227">
        <f ca="1"/>
      </c>
      <c r="CG227">
        <f ca="1"/>
      </c>
      <c r="CH227">
        <f ca="1"/>
      </c>
      <c r="CI227">
        <f ca="1"/>
      </c>
      <c r="CK227">
        <f ca="1"/>
      </c>
      <c r="CL227">
        <f ca="1"/>
      </c>
      <c r="CM227">
        <f ca="1"/>
      </c>
      <c r="CN227">
        <f ca="1"/>
      </c>
      <c r="CO227">
        <f ca="1"/>
      </c>
      <c r="CP227">
        <f ca="1"/>
      </c>
      <c r="CQ227">
        <f ca="1"/>
      </c>
      <c r="CR227">
        <f ca="1"/>
      </c>
      <c r="CS227">
        <f ca="1"/>
      </c>
      <c r="CT227">
        <f ca="1"/>
      </c>
      <c r="CU227">
        <f ca="1"/>
      </c>
      <c r="CV227">
        <f ca="1"/>
      </c>
      <c r="CW227">
        <f ca="1"/>
      </c>
      <c r="CX227">
        <f ca="1"/>
      </c>
      <c r="CY227">
        <f ca="1"/>
      </c>
      <c r="CZ227">
        <f ca="1"/>
      </c>
      <c r="DA227">
        <f ca="1"/>
      </c>
      <c r="DB227">
        <f ca="1"/>
      </c>
      <c r="DC227">
        <f ca="1"/>
      </c>
      <c r="DD227">
        <f ca="1"/>
      </c>
      <c r="DE227">
        <f ca="1"/>
      </c>
      <c r="DF227">
        <f ca="1"/>
      </c>
      <c r="DG227">
        <f ca="1"/>
      </c>
      <c r="DH227">
        <f ca="1"/>
      </c>
      <c r="DI227">
        <f ca="1"/>
      </c>
      <c r="DJ227">
        <f ca="1"/>
      </c>
      <c r="DK227">
        <f ca="1"/>
      </c>
      <c r="DL227">
        <f ca="1"/>
      </c>
      <c r="DM227">
        <f ca="1"/>
      </c>
      <c r="DN227">
        <f ca="1"/>
      </c>
      <c r="DO227">
        <f ca="1"/>
      </c>
      <c r="DP227">
        <f ca="1"/>
      </c>
      <c r="DQ227">
        <f ca="1"/>
      </c>
      <c r="DR227">
        <f ca="1"/>
      </c>
      <c r="DS227">
        <f ca="1"/>
      </c>
      <c r="DT227">
        <f ca="1"/>
      </c>
      <c r="DU227">
        <f ca="1"/>
      </c>
      <c r="DV227">
        <f ca="1"/>
      </c>
      <c r="DW227">
        <f ca="1"/>
      </c>
      <c r="DX227">
        <f ca="1"/>
      </c>
      <c r="DY227">
        <f ca="1"/>
      </c>
      <c r="DZ227">
        <f ca="1"/>
      </c>
      <c r="EA227">
        <f ca="1"/>
      </c>
      <c r="EB227">
        <f ca="1"/>
      </c>
      <c r="EC227">
        <f ca="1"/>
      </c>
      <c r="ED227">
        <f ca="1"/>
      </c>
      <c r="EE227">
        <f ca="1"/>
      </c>
      <c r="EG227">
        <f ca="1"/>
      </c>
      <c r="EH227">
        <f ca="1"/>
      </c>
      <c r="EI227">
        <f ca="1"/>
      </c>
      <c r="EJ227">
        <f ca="1"/>
      </c>
      <c r="EK227">
        <f ca="1"/>
      </c>
      <c r="EL227">
        <f ca="1"/>
      </c>
      <c r="EM227">
        <f ca="1"/>
      </c>
      <c r="EN227">
        <f ca="1"/>
      </c>
      <c r="EO227">
        <f ca="1"/>
      </c>
      <c r="EP227">
        <f ca="1"/>
      </c>
      <c r="EQ227">
        <f ca="1"/>
      </c>
      <c r="ER227">
        <f ca="1"/>
      </c>
      <c r="ES227">
        <f ca="1"/>
      </c>
      <c r="ET227">
        <f ca="1"/>
      </c>
      <c r="EU227">
        <f ca="1"/>
      </c>
      <c r="EV227">
        <f ca="1"/>
      </c>
      <c r="EW227">
        <f ca="1"/>
      </c>
      <c r="EX227">
        <f ca="1"/>
      </c>
      <c r="EY227">
        <f ca="1"/>
      </c>
      <c r="EZ227">
        <f ca="1"/>
      </c>
      <c r="FA227">
        <f ca="1"/>
      </c>
      <c r="FB227">
        <f ca="1"/>
      </c>
      <c r="FC227">
        <f ca="1"/>
      </c>
      <c r="FD227">
        <f ca="1"/>
      </c>
      <c r="FE227">
        <f ca="1"/>
      </c>
      <c r="FF227">
        <f ca="1"/>
      </c>
      <c r="FG227">
        <f ca="1"/>
      </c>
      <c r="FH227">
        <f ca="1"/>
      </c>
      <c r="FI227">
        <f ca="1"/>
      </c>
      <c r="FJ227">
        <f ca="1"/>
      </c>
      <c r="FK227">
        <f ca="1"/>
      </c>
      <c r="FL227">
        <f ca="1"/>
      </c>
      <c r="FM227">
        <f ca="1"/>
      </c>
      <c r="FN227">
        <f ca="1"/>
      </c>
      <c r="FO227">
        <f ca="1"/>
      </c>
      <c r="FP227">
        <f ca="1"/>
      </c>
      <c r="FQ227">
        <f ca="1"/>
      </c>
      <c r="FR227">
        <f ca="1"/>
      </c>
      <c r="FS227">
        <f ca="1"/>
      </c>
      <c r="FT227">
        <f ca="1"/>
      </c>
      <c r="FU227">
        <f ca="1"/>
      </c>
      <c r="FV227">
        <f ca="1"/>
      </c>
      <c r="FW227">
        <f ca="1"/>
      </c>
      <c r="FX227">
        <f ca="1"/>
      </c>
      <c r="FY227">
        <f ca="1"/>
      </c>
      <c r="FZ227">
        <f ca="1"/>
      </c>
      <c r="GA227">
        <f ca="1"/>
      </c>
      <c r="GM227" s="7">
        <f ca="1"/>
      </c>
      <c r="GN227">
        <f ca="1"/>
      </c>
      <c r="GO227">
        <f ca="1"/>
      </c>
      <c r="GP227">
        <f ca="1"/>
      </c>
      <c r="GQ227">
        <f ca="1"/>
      </c>
    </row>
    <row r="228" spans="41:199" x14ac:dyDescent="0.55000000000000004">
      <c r="AO228">
        <f ca="1"/>
      </c>
      <c r="AP228">
        <f ca="1"/>
      </c>
      <c r="AQ228">
        <f ca="1"/>
      </c>
      <c r="AR228">
        <f ca="1"/>
      </c>
      <c r="AS228">
        <f ca="1"/>
      </c>
      <c r="AT228">
        <f ca="1"/>
      </c>
      <c r="AU228">
        <f ca="1"/>
      </c>
      <c r="AV228">
        <f ca="1"/>
      </c>
      <c r="AW228">
        <f ca="1"/>
      </c>
      <c r="AX228">
        <f ca="1"/>
      </c>
      <c r="AY228">
        <f ca="1"/>
      </c>
      <c r="AZ228">
        <f ca="1"/>
      </c>
      <c r="BA228">
        <f ca="1"/>
      </c>
      <c r="BB228">
        <f ca="1"/>
      </c>
      <c r="BC228">
        <f ca="1"/>
      </c>
      <c r="BD228">
        <f ca="1"/>
      </c>
      <c r="BE228">
        <f ca="1"/>
      </c>
      <c r="BF228">
        <f ca="1"/>
      </c>
      <c r="BG228">
        <f ca="1"/>
      </c>
      <c r="BH228">
        <f ca="1"/>
      </c>
      <c r="BI228">
        <f ca="1"/>
      </c>
      <c r="BJ228">
        <f ca="1"/>
      </c>
      <c r="BK228">
        <f ca="1"/>
      </c>
      <c r="BL228">
        <f ca="1"/>
      </c>
      <c r="BM228">
        <f ca="1"/>
      </c>
      <c r="BN228">
        <f ca="1"/>
      </c>
      <c r="BO228">
        <f ca="1"/>
      </c>
      <c r="BP228">
        <f ca="1"/>
      </c>
      <c r="BQ228">
        <f ca="1"/>
      </c>
      <c r="BR228">
        <f ca="1"/>
      </c>
      <c r="BS228">
        <f ca="1"/>
      </c>
      <c r="BT228">
        <f ca="1"/>
      </c>
      <c r="BU228">
        <f ca="1"/>
      </c>
      <c r="BV228">
        <f ca="1"/>
      </c>
      <c r="BW228">
        <f ca="1"/>
      </c>
      <c r="BX228">
        <f ca="1"/>
      </c>
      <c r="BY228">
        <f ca="1"/>
      </c>
      <c r="BZ228">
        <f ca="1"/>
      </c>
      <c r="CA228">
        <f ca="1"/>
      </c>
      <c r="CB228">
        <f ca="1"/>
      </c>
      <c r="CC228">
        <f ca="1"/>
      </c>
      <c r="CD228">
        <f ca="1"/>
      </c>
      <c r="CE228">
        <f ca="1"/>
      </c>
      <c r="CF228">
        <f ca="1"/>
      </c>
      <c r="CG228">
        <f ca="1"/>
      </c>
      <c r="CH228">
        <f ca="1"/>
      </c>
      <c r="CI228">
        <f ca="1"/>
      </c>
      <c r="CK228">
        <f ca="1"/>
      </c>
      <c r="CL228">
        <f ca="1"/>
      </c>
      <c r="CM228">
        <f ca="1"/>
      </c>
      <c r="CN228">
        <f ca="1"/>
      </c>
      <c r="CO228">
        <f ca="1"/>
      </c>
      <c r="CP228">
        <f ca="1"/>
      </c>
      <c r="CQ228">
        <f ca="1"/>
      </c>
      <c r="CR228">
        <f ca="1"/>
      </c>
      <c r="CS228">
        <f ca="1"/>
      </c>
      <c r="CT228">
        <f ca="1"/>
      </c>
      <c r="CU228">
        <f ca="1"/>
      </c>
      <c r="CV228">
        <f ca="1"/>
      </c>
      <c r="CW228">
        <f ca="1"/>
      </c>
      <c r="CX228">
        <f ca="1"/>
      </c>
      <c r="CY228">
        <f ca="1"/>
      </c>
      <c r="CZ228">
        <f ca="1"/>
      </c>
      <c r="DA228">
        <f ca="1"/>
      </c>
      <c r="DB228">
        <f ca="1"/>
      </c>
      <c r="DC228">
        <f ca="1"/>
      </c>
      <c r="DD228">
        <f ca="1"/>
      </c>
      <c r="DE228">
        <f ca="1"/>
      </c>
      <c r="DF228">
        <f ca="1"/>
      </c>
      <c r="DG228">
        <f ca="1"/>
      </c>
      <c r="DH228">
        <f ca="1"/>
      </c>
      <c r="DI228">
        <f ca="1"/>
      </c>
      <c r="DJ228">
        <f ca="1"/>
      </c>
      <c r="DK228">
        <f ca="1"/>
      </c>
      <c r="DL228">
        <f ca="1"/>
      </c>
      <c r="DM228">
        <f ca="1"/>
      </c>
      <c r="DN228">
        <f ca="1"/>
      </c>
      <c r="DO228">
        <f ca="1"/>
      </c>
      <c r="DP228">
        <f ca="1"/>
      </c>
      <c r="DQ228">
        <f ca="1"/>
      </c>
      <c r="DR228">
        <f ca="1"/>
      </c>
      <c r="DS228">
        <f ca="1"/>
      </c>
      <c r="DT228">
        <f ca="1"/>
      </c>
      <c r="DU228">
        <f ca="1"/>
      </c>
      <c r="DV228">
        <f ca="1"/>
      </c>
      <c r="DW228">
        <f ca="1"/>
      </c>
      <c r="DX228">
        <f ca="1"/>
      </c>
      <c r="DY228">
        <f ca="1"/>
      </c>
      <c r="DZ228">
        <f ca="1"/>
      </c>
      <c r="EA228">
        <f ca="1"/>
      </c>
      <c r="EB228">
        <f ca="1"/>
      </c>
      <c r="EC228">
        <f ca="1"/>
      </c>
      <c r="ED228">
        <f ca="1"/>
      </c>
      <c r="EE228">
        <f ca="1"/>
      </c>
      <c r="EG228">
        <f ca="1"/>
      </c>
      <c r="EH228">
        <f ca="1"/>
      </c>
      <c r="EI228">
        <f ca="1"/>
      </c>
      <c r="EJ228">
        <f ca="1"/>
      </c>
      <c r="EK228">
        <f ca="1"/>
      </c>
      <c r="EL228">
        <f ca="1"/>
      </c>
      <c r="EM228">
        <f ca="1"/>
      </c>
      <c r="EN228">
        <f ca="1"/>
      </c>
      <c r="EO228">
        <f ca="1"/>
      </c>
      <c r="EP228">
        <f ca="1"/>
      </c>
      <c r="EQ228">
        <f ca="1"/>
      </c>
      <c r="ER228">
        <f ca="1"/>
      </c>
      <c r="ES228">
        <f ca="1"/>
      </c>
      <c r="ET228">
        <f ca="1"/>
      </c>
      <c r="EU228">
        <f ca="1"/>
      </c>
      <c r="EV228">
        <f ca="1"/>
      </c>
      <c r="EW228">
        <f ca="1"/>
      </c>
      <c r="EX228">
        <f ca="1"/>
      </c>
      <c r="EY228">
        <f ca="1"/>
      </c>
      <c r="EZ228">
        <f ca="1"/>
      </c>
      <c r="FA228">
        <f ca="1"/>
      </c>
      <c r="FB228">
        <f ca="1"/>
      </c>
      <c r="FC228">
        <f ca="1"/>
      </c>
      <c r="FD228">
        <f ca="1"/>
      </c>
      <c r="FE228">
        <f ca="1"/>
      </c>
      <c r="FF228">
        <f ca="1"/>
      </c>
      <c r="FG228">
        <f ca="1"/>
      </c>
      <c r="FH228">
        <f ca="1"/>
      </c>
      <c r="FI228">
        <f ca="1"/>
      </c>
      <c r="FJ228">
        <f ca="1"/>
      </c>
      <c r="FK228">
        <f ca="1"/>
      </c>
      <c r="FL228">
        <f ca="1"/>
      </c>
      <c r="FM228">
        <f ca="1"/>
      </c>
      <c r="FN228">
        <f ca="1"/>
      </c>
      <c r="FO228">
        <f ca="1"/>
      </c>
      <c r="FP228">
        <f ca="1"/>
      </c>
      <c r="FQ228">
        <f ca="1"/>
      </c>
      <c r="FR228">
        <f ca="1"/>
      </c>
      <c r="FS228">
        <f ca="1"/>
      </c>
      <c r="FT228">
        <f ca="1"/>
      </c>
      <c r="FU228">
        <f ca="1"/>
      </c>
      <c r="FV228">
        <f ca="1"/>
      </c>
      <c r="FW228">
        <f ca="1"/>
      </c>
      <c r="FX228">
        <f ca="1"/>
      </c>
      <c r="FY228">
        <f ca="1"/>
      </c>
      <c r="FZ228">
        <f ca="1"/>
      </c>
      <c r="GA228">
        <f ca="1"/>
      </c>
      <c r="GM228" s="7">
        <f ca="1"/>
      </c>
      <c r="GN228">
        <f ca="1"/>
      </c>
      <c r="GO228">
        <f ca="1"/>
      </c>
      <c r="GP228">
        <f ca="1"/>
      </c>
      <c r="GQ228">
        <f ca="1"/>
      </c>
    </row>
    <row r="229" spans="41:199" x14ac:dyDescent="0.55000000000000004">
      <c r="AO229">
        <f ca="1"/>
      </c>
      <c r="AP229">
        <f ca="1"/>
      </c>
      <c r="AQ229">
        <f ca="1"/>
      </c>
      <c r="AR229">
        <f ca="1"/>
      </c>
      <c r="AS229">
        <f ca="1"/>
      </c>
      <c r="AT229">
        <f ca="1"/>
      </c>
      <c r="AU229">
        <f ca="1"/>
      </c>
      <c r="AV229">
        <f ca="1"/>
      </c>
      <c r="AW229">
        <f ca="1"/>
      </c>
      <c r="AX229">
        <f ca="1"/>
      </c>
      <c r="AY229">
        <f ca="1"/>
      </c>
      <c r="AZ229">
        <f ca="1"/>
      </c>
      <c r="BA229">
        <f ca="1"/>
      </c>
      <c r="BB229">
        <f ca="1"/>
      </c>
      <c r="BC229">
        <f ca="1"/>
      </c>
      <c r="BD229">
        <f ca="1"/>
      </c>
      <c r="BE229">
        <f ca="1"/>
      </c>
      <c r="BF229">
        <f ca="1"/>
      </c>
      <c r="BG229">
        <f ca="1"/>
      </c>
      <c r="BH229">
        <f ca="1"/>
      </c>
      <c r="BI229">
        <f ca="1"/>
      </c>
      <c r="BJ229">
        <f ca="1"/>
      </c>
      <c r="BK229">
        <f ca="1"/>
      </c>
      <c r="BL229">
        <f ca="1"/>
      </c>
      <c r="BM229">
        <f ca="1"/>
      </c>
      <c r="BN229">
        <f ca="1"/>
      </c>
      <c r="BO229">
        <f ca="1"/>
      </c>
      <c r="BP229">
        <f ca="1"/>
      </c>
      <c r="BQ229">
        <f ca="1"/>
      </c>
      <c r="BR229">
        <f ca="1"/>
      </c>
      <c r="BS229">
        <f ca="1"/>
      </c>
      <c r="BT229">
        <f ca="1"/>
      </c>
      <c r="BU229">
        <f ca="1"/>
      </c>
      <c r="BV229">
        <f ca="1"/>
      </c>
      <c r="BW229">
        <f ca="1"/>
      </c>
      <c r="BX229">
        <f ca="1"/>
      </c>
      <c r="BY229">
        <f ca="1"/>
      </c>
      <c r="BZ229">
        <f ca="1"/>
      </c>
      <c r="CA229">
        <f ca="1"/>
      </c>
      <c r="CB229">
        <f ca="1"/>
      </c>
      <c r="CC229">
        <f ca="1"/>
      </c>
      <c r="CD229">
        <f ca="1"/>
      </c>
      <c r="CE229">
        <f ca="1"/>
      </c>
      <c r="CF229">
        <f ca="1"/>
      </c>
      <c r="CG229">
        <f ca="1"/>
      </c>
      <c r="CH229">
        <f ca="1"/>
      </c>
      <c r="CI229">
        <f ca="1"/>
      </c>
      <c r="CK229">
        <f ca="1"/>
      </c>
      <c r="CL229">
        <f ca="1"/>
      </c>
      <c r="CM229">
        <f ca="1"/>
      </c>
      <c r="CN229">
        <f ca="1"/>
      </c>
      <c r="CO229">
        <f ca="1"/>
      </c>
      <c r="CP229">
        <f ca="1"/>
      </c>
      <c r="CQ229">
        <f ca="1"/>
      </c>
      <c r="CR229">
        <f ca="1"/>
      </c>
      <c r="CS229">
        <f ca="1"/>
      </c>
      <c r="CT229">
        <f ca="1"/>
      </c>
      <c r="CU229">
        <f ca="1"/>
      </c>
      <c r="CV229">
        <f ca="1"/>
      </c>
      <c r="CW229">
        <f ca="1"/>
      </c>
      <c r="CX229">
        <f ca="1"/>
      </c>
      <c r="CY229">
        <f ca="1"/>
      </c>
      <c r="CZ229">
        <f ca="1"/>
      </c>
      <c r="DA229">
        <f ca="1"/>
      </c>
      <c r="DB229">
        <f ca="1"/>
      </c>
      <c r="DC229">
        <f ca="1"/>
      </c>
      <c r="DD229">
        <f ca="1"/>
      </c>
      <c r="DE229">
        <f ca="1"/>
      </c>
      <c r="DF229">
        <f ca="1"/>
      </c>
      <c r="DG229">
        <f ca="1"/>
      </c>
      <c r="DH229">
        <f ca="1"/>
      </c>
      <c r="DI229">
        <f ca="1"/>
      </c>
      <c r="DJ229">
        <f ca="1"/>
      </c>
      <c r="DK229">
        <f ca="1"/>
      </c>
      <c r="DL229">
        <f ca="1"/>
      </c>
      <c r="DM229">
        <f ca="1"/>
      </c>
      <c r="DN229">
        <f ca="1"/>
      </c>
      <c r="DO229">
        <f ca="1"/>
      </c>
      <c r="DP229">
        <f ca="1"/>
      </c>
      <c r="DQ229">
        <f ca="1"/>
      </c>
      <c r="DR229">
        <f ca="1"/>
      </c>
      <c r="DS229">
        <f ca="1"/>
      </c>
      <c r="DT229">
        <f ca="1"/>
      </c>
      <c r="DU229">
        <f ca="1"/>
      </c>
      <c r="DV229">
        <f ca="1"/>
      </c>
      <c r="DW229">
        <f ca="1"/>
      </c>
      <c r="DX229">
        <f ca="1"/>
      </c>
      <c r="DY229">
        <f ca="1"/>
      </c>
      <c r="DZ229">
        <f ca="1"/>
      </c>
      <c r="EA229">
        <f ca="1"/>
      </c>
      <c r="EB229">
        <f ca="1"/>
      </c>
      <c r="EC229">
        <f ca="1"/>
      </c>
      <c r="ED229">
        <f ca="1"/>
      </c>
      <c r="EE229">
        <f ca="1"/>
      </c>
      <c r="EG229">
        <f ca="1"/>
      </c>
      <c r="EH229">
        <f ca="1"/>
      </c>
      <c r="EI229">
        <f ca="1"/>
      </c>
      <c r="EJ229">
        <f ca="1"/>
      </c>
      <c r="EK229">
        <f ca="1"/>
      </c>
      <c r="EL229">
        <f ca="1"/>
      </c>
      <c r="EM229">
        <f ca="1"/>
      </c>
      <c r="EN229">
        <f ca="1"/>
      </c>
      <c r="EO229">
        <f ca="1"/>
      </c>
      <c r="EP229">
        <f ca="1"/>
      </c>
      <c r="EQ229">
        <f ca="1"/>
      </c>
      <c r="ER229">
        <f ca="1"/>
      </c>
      <c r="ES229">
        <f ca="1"/>
      </c>
      <c r="ET229">
        <f ca="1"/>
      </c>
      <c r="EU229">
        <f ca="1"/>
      </c>
      <c r="EV229">
        <f ca="1"/>
      </c>
      <c r="EW229">
        <f ca="1"/>
      </c>
      <c r="EX229">
        <f ca="1"/>
      </c>
      <c r="EY229">
        <f ca="1"/>
      </c>
      <c r="EZ229">
        <f ca="1"/>
      </c>
      <c r="FA229">
        <f ca="1"/>
      </c>
      <c r="FB229">
        <f ca="1"/>
      </c>
      <c r="FC229">
        <f ca="1"/>
      </c>
      <c r="FD229">
        <f ca="1"/>
      </c>
      <c r="FE229">
        <f ca="1"/>
      </c>
      <c r="FF229">
        <f ca="1"/>
      </c>
      <c r="FG229">
        <f ca="1"/>
      </c>
      <c r="FH229">
        <f ca="1"/>
      </c>
      <c r="FI229">
        <f ca="1"/>
      </c>
      <c r="FJ229">
        <f ca="1"/>
      </c>
      <c r="FK229">
        <f ca="1"/>
      </c>
      <c r="FL229">
        <f ca="1"/>
      </c>
      <c r="FM229">
        <f ca="1"/>
      </c>
      <c r="FN229">
        <f ca="1"/>
      </c>
      <c r="FO229">
        <f ca="1"/>
      </c>
      <c r="FP229">
        <f ca="1"/>
      </c>
      <c r="FQ229">
        <f ca="1"/>
      </c>
      <c r="FR229">
        <f ca="1"/>
      </c>
      <c r="FS229">
        <f ca="1"/>
      </c>
      <c r="FT229">
        <f ca="1"/>
      </c>
      <c r="FU229">
        <f ca="1"/>
      </c>
      <c r="FV229">
        <f ca="1"/>
      </c>
      <c r="FW229">
        <f ca="1"/>
      </c>
      <c r="FX229">
        <f ca="1"/>
      </c>
      <c r="FY229">
        <f ca="1"/>
      </c>
      <c r="FZ229">
        <f ca="1"/>
      </c>
      <c r="GA229">
        <f ca="1"/>
      </c>
      <c r="GM229" s="7">
        <f ca="1"/>
      </c>
      <c r="GN229">
        <f ca="1"/>
      </c>
      <c r="GO229">
        <f ca="1"/>
      </c>
      <c r="GP229">
        <f ca="1"/>
      </c>
      <c r="GQ229">
        <f ca="1"/>
      </c>
    </row>
    <row r="230" spans="41:199" x14ac:dyDescent="0.55000000000000004">
      <c r="AO230">
        <f ca="1"/>
      </c>
      <c r="AP230">
        <f ca="1"/>
      </c>
      <c r="AQ230">
        <f ca="1"/>
      </c>
      <c r="AR230">
        <f ca="1"/>
      </c>
      <c r="AS230">
        <f ca="1"/>
      </c>
      <c r="AT230">
        <f ca="1"/>
      </c>
      <c r="AU230">
        <f ca="1"/>
      </c>
      <c r="AV230">
        <f ca="1"/>
      </c>
      <c r="AW230">
        <f ca="1"/>
      </c>
      <c r="AX230">
        <f ca="1"/>
      </c>
      <c r="AY230">
        <f ca="1"/>
      </c>
      <c r="AZ230">
        <f ca="1"/>
      </c>
      <c r="BA230">
        <f ca="1"/>
      </c>
      <c r="BB230">
        <f ca="1"/>
      </c>
      <c r="BC230">
        <f ca="1"/>
      </c>
      <c r="BD230">
        <f ca="1"/>
      </c>
      <c r="BE230">
        <f ca="1"/>
      </c>
      <c r="BF230">
        <f ca="1"/>
      </c>
      <c r="BG230">
        <f ca="1"/>
      </c>
      <c r="BH230">
        <f ca="1"/>
      </c>
      <c r="BI230">
        <f ca="1"/>
      </c>
      <c r="BJ230">
        <f ca="1"/>
      </c>
      <c r="BK230">
        <f ca="1"/>
      </c>
      <c r="BL230">
        <f ca="1"/>
      </c>
      <c r="BM230">
        <f ca="1"/>
      </c>
      <c r="BN230">
        <f ca="1"/>
      </c>
      <c r="BO230">
        <f ca="1"/>
      </c>
      <c r="BP230">
        <f ca="1"/>
      </c>
      <c r="BQ230">
        <f ca="1"/>
      </c>
      <c r="BR230">
        <f ca="1"/>
      </c>
      <c r="BS230">
        <f ca="1"/>
      </c>
      <c r="BT230">
        <f ca="1"/>
      </c>
      <c r="BU230">
        <f ca="1"/>
      </c>
      <c r="BV230">
        <f ca="1"/>
      </c>
      <c r="BW230">
        <f ca="1"/>
      </c>
      <c r="BX230">
        <f ca="1"/>
      </c>
      <c r="BY230">
        <f ca="1"/>
      </c>
      <c r="BZ230">
        <f ca="1"/>
      </c>
      <c r="CA230">
        <f ca="1"/>
      </c>
      <c r="CB230">
        <f ca="1"/>
      </c>
      <c r="CC230">
        <f ca="1"/>
      </c>
      <c r="CD230">
        <f ca="1"/>
      </c>
      <c r="CE230">
        <f ca="1"/>
      </c>
      <c r="CF230">
        <f ca="1"/>
      </c>
      <c r="CG230">
        <f ca="1"/>
      </c>
      <c r="CH230">
        <f ca="1"/>
      </c>
      <c r="CI230">
        <f ca="1"/>
      </c>
      <c r="CK230">
        <f ca="1"/>
      </c>
      <c r="CL230">
        <f ca="1"/>
      </c>
      <c r="CM230">
        <f ca="1"/>
      </c>
      <c r="CN230">
        <f ca="1"/>
      </c>
      <c r="CO230">
        <f ca="1"/>
      </c>
      <c r="CP230">
        <f ca="1"/>
      </c>
      <c r="CQ230">
        <f ca="1"/>
      </c>
      <c r="CR230">
        <f ca="1"/>
      </c>
      <c r="CS230">
        <f ca="1"/>
      </c>
      <c r="CT230">
        <f ca="1"/>
      </c>
      <c r="CU230">
        <f ca="1"/>
      </c>
      <c r="CV230">
        <f ca="1"/>
      </c>
      <c r="CW230">
        <f ca="1"/>
      </c>
      <c r="CX230">
        <f ca="1"/>
      </c>
      <c r="CY230">
        <f ca="1"/>
      </c>
      <c r="CZ230">
        <f ca="1"/>
      </c>
      <c r="DA230">
        <f ca="1"/>
      </c>
      <c r="DB230">
        <f ca="1"/>
      </c>
      <c r="DC230">
        <f ca="1"/>
      </c>
      <c r="DD230">
        <f ca="1"/>
      </c>
      <c r="DE230">
        <f ca="1"/>
      </c>
      <c r="DF230">
        <f ca="1"/>
      </c>
      <c r="DG230">
        <f ca="1"/>
      </c>
      <c r="DH230">
        <f ca="1"/>
      </c>
      <c r="DI230">
        <f ca="1"/>
      </c>
      <c r="DJ230">
        <f ca="1"/>
      </c>
      <c r="DK230">
        <f ca="1"/>
      </c>
      <c r="DL230">
        <f ca="1"/>
      </c>
      <c r="DM230">
        <f ca="1"/>
      </c>
      <c r="DN230">
        <f ca="1"/>
      </c>
      <c r="DO230">
        <f ca="1"/>
      </c>
      <c r="DP230">
        <f ca="1"/>
      </c>
      <c r="DQ230">
        <f ca="1"/>
      </c>
      <c r="DR230">
        <f ca="1"/>
      </c>
      <c r="DS230">
        <f ca="1"/>
      </c>
      <c r="DT230">
        <f ca="1"/>
      </c>
      <c r="DU230">
        <f ca="1"/>
      </c>
      <c r="DV230">
        <f ca="1"/>
      </c>
      <c r="DW230">
        <f ca="1"/>
      </c>
      <c r="DX230">
        <f ca="1"/>
      </c>
      <c r="DY230">
        <f ca="1"/>
      </c>
      <c r="DZ230">
        <f ca="1"/>
      </c>
      <c r="EA230">
        <f ca="1"/>
      </c>
      <c r="EB230">
        <f ca="1"/>
      </c>
      <c r="EC230">
        <f ca="1"/>
      </c>
      <c r="ED230">
        <f ca="1"/>
      </c>
      <c r="EE230">
        <f ca="1"/>
      </c>
      <c r="EG230">
        <f ca="1"/>
      </c>
      <c r="EH230">
        <f ca="1"/>
      </c>
      <c r="EI230">
        <f ca="1"/>
      </c>
      <c r="EJ230">
        <f ca="1"/>
      </c>
      <c r="EK230">
        <f ca="1"/>
      </c>
      <c r="EL230">
        <f ca="1"/>
      </c>
      <c r="EM230">
        <f ca="1"/>
      </c>
      <c r="EN230">
        <f ca="1"/>
      </c>
      <c r="EO230">
        <f ca="1"/>
      </c>
      <c r="EP230">
        <f ca="1"/>
      </c>
      <c r="EQ230">
        <f ca="1"/>
      </c>
      <c r="ER230">
        <f ca="1"/>
      </c>
      <c r="ES230">
        <f ca="1"/>
      </c>
      <c r="ET230">
        <f ca="1"/>
      </c>
      <c r="EU230">
        <f ca="1"/>
      </c>
      <c r="EV230">
        <f ca="1"/>
      </c>
      <c r="EW230">
        <f ca="1"/>
      </c>
      <c r="EX230">
        <f ca="1"/>
      </c>
      <c r="EY230">
        <f ca="1"/>
      </c>
      <c r="EZ230">
        <f ca="1"/>
      </c>
      <c r="FA230">
        <f ca="1"/>
      </c>
      <c r="FB230">
        <f ca="1"/>
      </c>
      <c r="FC230">
        <f ca="1"/>
      </c>
      <c r="FD230">
        <f ca="1"/>
      </c>
      <c r="FE230">
        <f ca="1"/>
      </c>
      <c r="FF230">
        <f ca="1"/>
      </c>
      <c r="FG230">
        <f ca="1"/>
      </c>
      <c r="FH230">
        <f ca="1"/>
      </c>
      <c r="FI230">
        <f ca="1"/>
      </c>
      <c r="FJ230">
        <f ca="1"/>
      </c>
      <c r="FK230">
        <f ca="1"/>
      </c>
      <c r="FL230">
        <f ca="1"/>
      </c>
      <c r="FM230">
        <f ca="1"/>
      </c>
      <c r="FN230">
        <f ca="1"/>
      </c>
      <c r="FO230">
        <f ca="1"/>
      </c>
      <c r="FP230">
        <f ca="1"/>
      </c>
      <c r="FQ230">
        <f ca="1"/>
      </c>
      <c r="FR230">
        <f ca="1"/>
      </c>
      <c r="FS230">
        <f ca="1"/>
      </c>
      <c r="FT230">
        <f ca="1"/>
      </c>
      <c r="FU230">
        <f ca="1"/>
      </c>
      <c r="FV230">
        <f ca="1"/>
      </c>
      <c r="FW230">
        <f ca="1"/>
      </c>
      <c r="FX230">
        <f ca="1"/>
      </c>
      <c r="FY230">
        <f ca="1"/>
      </c>
      <c r="FZ230">
        <f ca="1"/>
      </c>
      <c r="GA230">
        <f ca="1"/>
      </c>
      <c r="GM230" s="7">
        <f ca="1"/>
      </c>
      <c r="GN230">
        <f ca="1"/>
      </c>
      <c r="GO230">
        <f ca="1"/>
      </c>
      <c r="GP230">
        <f ca="1"/>
      </c>
      <c r="GQ230">
        <f ca="1"/>
      </c>
    </row>
    <row r="231" spans="41:199" x14ac:dyDescent="0.55000000000000004">
      <c r="AO231">
        <f ca="1"/>
      </c>
      <c r="AP231">
        <f ca="1"/>
      </c>
      <c r="AQ231">
        <f ca="1"/>
      </c>
      <c r="AR231">
        <f ca="1"/>
      </c>
      <c r="AS231">
        <f ca="1"/>
      </c>
      <c r="AT231">
        <f ca="1"/>
      </c>
      <c r="AU231">
        <f ca="1"/>
      </c>
      <c r="AV231">
        <f ca="1"/>
      </c>
      <c r="AW231">
        <f ca="1"/>
      </c>
      <c r="AX231">
        <f ca="1"/>
      </c>
      <c r="AY231">
        <f ca="1"/>
      </c>
      <c r="AZ231">
        <f ca="1"/>
      </c>
      <c r="BA231">
        <f ca="1"/>
      </c>
      <c r="BB231">
        <f ca="1"/>
      </c>
      <c r="BC231">
        <f ca="1"/>
      </c>
      <c r="BD231">
        <f ca="1"/>
      </c>
      <c r="BE231">
        <f ca="1"/>
      </c>
      <c r="BF231">
        <f ca="1"/>
      </c>
      <c r="BG231">
        <f ca="1"/>
      </c>
      <c r="BH231">
        <f ca="1"/>
      </c>
      <c r="BI231">
        <f ca="1"/>
      </c>
      <c r="BJ231">
        <f ca="1"/>
      </c>
      <c r="BK231">
        <f ca="1"/>
      </c>
      <c r="BL231">
        <f ca="1"/>
      </c>
      <c r="BM231">
        <f ca="1"/>
      </c>
      <c r="BN231">
        <f ca="1"/>
      </c>
      <c r="BO231">
        <f ca="1"/>
      </c>
      <c r="BP231">
        <f ca="1"/>
      </c>
      <c r="BQ231">
        <f ca="1"/>
      </c>
      <c r="BR231">
        <f ca="1"/>
      </c>
      <c r="BS231">
        <f ca="1"/>
      </c>
      <c r="BT231">
        <f ca="1"/>
      </c>
      <c r="BU231">
        <f ca="1"/>
      </c>
      <c r="BV231">
        <f ca="1"/>
      </c>
      <c r="BW231">
        <f ca="1"/>
      </c>
      <c r="BX231">
        <f ca="1"/>
      </c>
      <c r="BY231">
        <f ca="1"/>
      </c>
      <c r="BZ231">
        <f ca="1"/>
      </c>
      <c r="CA231">
        <f ca="1"/>
      </c>
      <c r="CB231">
        <f ca="1"/>
      </c>
      <c r="CC231">
        <f ca="1"/>
      </c>
      <c r="CD231">
        <f ca="1"/>
      </c>
      <c r="CE231">
        <f ca="1"/>
      </c>
      <c r="CF231">
        <f ca="1"/>
      </c>
      <c r="CG231">
        <f ca="1"/>
      </c>
      <c r="CH231">
        <f ca="1"/>
      </c>
      <c r="CI231">
        <f ca="1"/>
      </c>
      <c r="CK231">
        <f ca="1"/>
      </c>
      <c r="CL231">
        <f ca="1"/>
      </c>
      <c r="CM231">
        <f ca="1"/>
      </c>
      <c r="CN231">
        <f ca="1"/>
      </c>
      <c r="CO231">
        <f ca="1"/>
      </c>
      <c r="CP231">
        <f ca="1"/>
      </c>
      <c r="CQ231">
        <f ca="1"/>
      </c>
      <c r="CR231">
        <f ca="1"/>
      </c>
      <c r="CS231">
        <f ca="1"/>
      </c>
      <c r="CT231">
        <f ca="1"/>
      </c>
      <c r="CU231">
        <f ca="1"/>
      </c>
      <c r="CV231">
        <f ca="1"/>
      </c>
      <c r="CW231">
        <f ca="1"/>
      </c>
      <c r="CX231">
        <f ca="1"/>
      </c>
      <c r="CY231">
        <f ca="1"/>
      </c>
      <c r="CZ231">
        <f ca="1"/>
      </c>
      <c r="DA231">
        <f ca="1"/>
      </c>
      <c r="DB231">
        <f ca="1"/>
      </c>
      <c r="DC231">
        <f ca="1"/>
      </c>
      <c r="DD231">
        <f ca="1"/>
      </c>
      <c r="DE231">
        <f ca="1"/>
      </c>
      <c r="DF231">
        <f ca="1"/>
      </c>
      <c r="DG231">
        <f ca="1"/>
      </c>
      <c r="DH231">
        <f ca="1"/>
      </c>
      <c r="DI231">
        <f ca="1"/>
      </c>
      <c r="DJ231">
        <f ca="1"/>
      </c>
      <c r="DK231">
        <f ca="1"/>
      </c>
      <c r="DL231">
        <f ca="1"/>
      </c>
      <c r="DM231">
        <f ca="1"/>
      </c>
      <c r="DN231">
        <f ca="1"/>
      </c>
      <c r="DO231">
        <f ca="1"/>
      </c>
      <c r="DP231">
        <f ca="1"/>
      </c>
      <c r="DQ231">
        <f ca="1"/>
      </c>
      <c r="DR231">
        <f ca="1"/>
      </c>
      <c r="DS231">
        <f ca="1"/>
      </c>
      <c r="DT231">
        <f ca="1"/>
      </c>
      <c r="DU231">
        <f ca="1"/>
      </c>
      <c r="DV231">
        <f ca="1"/>
      </c>
      <c r="DW231">
        <f ca="1"/>
      </c>
      <c r="DX231">
        <f ca="1"/>
      </c>
      <c r="DY231">
        <f ca="1"/>
      </c>
      <c r="DZ231">
        <f ca="1"/>
      </c>
      <c r="EA231">
        <f ca="1"/>
      </c>
      <c r="EB231">
        <f ca="1"/>
      </c>
      <c r="EC231">
        <f ca="1"/>
      </c>
      <c r="ED231">
        <f ca="1"/>
      </c>
      <c r="EE231">
        <f ca="1"/>
      </c>
      <c r="EG231">
        <f ca="1"/>
      </c>
      <c r="EH231">
        <f ca="1"/>
      </c>
      <c r="EI231">
        <f ca="1"/>
      </c>
      <c r="EJ231">
        <f ca="1"/>
      </c>
      <c r="EK231">
        <f ca="1"/>
      </c>
      <c r="EL231">
        <f ca="1"/>
      </c>
      <c r="EM231">
        <f ca="1"/>
      </c>
      <c r="EN231">
        <f ca="1"/>
      </c>
      <c r="EO231">
        <f ca="1"/>
      </c>
      <c r="EP231">
        <f ca="1"/>
      </c>
      <c r="EQ231">
        <f ca="1"/>
      </c>
      <c r="ER231">
        <f ca="1"/>
      </c>
      <c r="ES231">
        <f ca="1"/>
      </c>
      <c r="ET231">
        <f ca="1"/>
      </c>
      <c r="EU231">
        <f ca="1"/>
      </c>
      <c r="EV231">
        <f ca="1"/>
      </c>
      <c r="EW231">
        <f ca="1"/>
      </c>
      <c r="EX231">
        <f ca="1"/>
      </c>
      <c r="EY231">
        <f ca="1"/>
      </c>
      <c r="EZ231">
        <f ca="1"/>
      </c>
      <c r="FA231">
        <f ca="1"/>
      </c>
      <c r="FB231">
        <f ca="1"/>
      </c>
      <c r="FC231">
        <f ca="1"/>
      </c>
      <c r="FD231">
        <f ca="1"/>
      </c>
      <c r="FE231">
        <f ca="1"/>
      </c>
      <c r="FF231">
        <f ca="1"/>
      </c>
      <c r="FG231">
        <f ca="1"/>
      </c>
      <c r="FH231">
        <f ca="1"/>
      </c>
      <c r="FI231">
        <f ca="1"/>
      </c>
      <c r="FJ231">
        <f ca="1"/>
      </c>
      <c r="FK231">
        <f ca="1"/>
      </c>
      <c r="FL231">
        <f ca="1"/>
      </c>
      <c r="FM231">
        <f ca="1"/>
      </c>
      <c r="FN231">
        <f ca="1"/>
      </c>
      <c r="FO231">
        <f ca="1"/>
      </c>
      <c r="FP231">
        <f ca="1"/>
      </c>
      <c r="FQ231">
        <f ca="1"/>
      </c>
      <c r="FR231">
        <f ca="1"/>
      </c>
      <c r="FS231">
        <f ca="1"/>
      </c>
      <c r="FT231">
        <f ca="1"/>
      </c>
      <c r="FU231">
        <f ca="1"/>
      </c>
      <c r="FV231">
        <f ca="1"/>
      </c>
      <c r="FW231">
        <f ca="1"/>
      </c>
      <c r="FX231">
        <f ca="1"/>
      </c>
      <c r="FY231">
        <f ca="1"/>
      </c>
      <c r="FZ231">
        <f ca="1"/>
      </c>
      <c r="GA231">
        <f ca="1"/>
      </c>
      <c r="GM231" s="7">
        <f ca="1"/>
      </c>
      <c r="GN231">
        <f ca="1"/>
      </c>
      <c r="GO231">
        <f ca="1"/>
      </c>
      <c r="GP231">
        <f ca="1"/>
      </c>
      <c r="GQ231">
        <f ca="1"/>
      </c>
    </row>
    <row r="232" spans="41:199" x14ac:dyDescent="0.55000000000000004">
      <c r="AO232">
        <f ca="1"/>
      </c>
      <c r="AP232">
        <f ca="1"/>
      </c>
      <c r="AQ232">
        <f ca="1"/>
      </c>
      <c r="AR232">
        <f ca="1"/>
      </c>
      <c r="AS232">
        <f ca="1"/>
      </c>
      <c r="AT232">
        <f ca="1"/>
      </c>
      <c r="AU232">
        <f ca="1"/>
      </c>
      <c r="AV232">
        <f ca="1"/>
      </c>
      <c r="AW232">
        <f ca="1"/>
      </c>
      <c r="AX232">
        <f ca="1"/>
      </c>
      <c r="AY232">
        <f ca="1"/>
      </c>
      <c r="AZ232">
        <f ca="1"/>
      </c>
      <c r="BA232">
        <f ca="1"/>
      </c>
      <c r="BB232">
        <f ca="1"/>
      </c>
      <c r="BC232">
        <f ca="1"/>
      </c>
      <c r="BD232">
        <f ca="1"/>
      </c>
      <c r="BE232">
        <f ca="1"/>
      </c>
      <c r="BF232">
        <f ca="1"/>
      </c>
      <c r="BG232">
        <f ca="1"/>
      </c>
      <c r="BH232">
        <f ca="1"/>
      </c>
      <c r="BI232">
        <f ca="1"/>
      </c>
      <c r="BJ232">
        <f ca="1"/>
      </c>
      <c r="BK232">
        <f ca="1"/>
      </c>
      <c r="BL232">
        <f ca="1"/>
      </c>
      <c r="BM232">
        <f ca="1"/>
      </c>
      <c r="BN232">
        <f ca="1"/>
      </c>
      <c r="BO232">
        <f ca="1"/>
      </c>
      <c r="BP232">
        <f ca="1"/>
      </c>
      <c r="BQ232">
        <f ca="1"/>
      </c>
      <c r="BR232">
        <f ca="1"/>
      </c>
      <c r="BS232">
        <f ca="1"/>
      </c>
      <c r="BT232">
        <f ca="1"/>
      </c>
      <c r="BU232">
        <f ca="1"/>
      </c>
      <c r="BV232">
        <f ca="1"/>
      </c>
      <c r="BW232">
        <f ca="1"/>
      </c>
      <c r="BX232">
        <f ca="1"/>
      </c>
      <c r="BY232">
        <f ca="1"/>
      </c>
      <c r="BZ232">
        <f ca="1"/>
      </c>
      <c r="CA232">
        <f ca="1"/>
      </c>
      <c r="CB232">
        <f ca="1"/>
      </c>
      <c r="CC232">
        <f ca="1"/>
      </c>
      <c r="CD232">
        <f ca="1"/>
      </c>
      <c r="CE232">
        <f ca="1"/>
      </c>
      <c r="CF232">
        <f ca="1"/>
      </c>
      <c r="CG232">
        <f ca="1"/>
      </c>
      <c r="CH232">
        <f ca="1"/>
      </c>
      <c r="CI232">
        <f ca="1"/>
      </c>
      <c r="CK232">
        <f ca="1"/>
      </c>
      <c r="CL232">
        <f ca="1"/>
      </c>
      <c r="CM232">
        <f ca="1"/>
      </c>
      <c r="CN232">
        <f ca="1"/>
      </c>
      <c r="CO232">
        <f ca="1"/>
      </c>
      <c r="CP232">
        <f ca="1"/>
      </c>
      <c r="CQ232">
        <f ca="1"/>
      </c>
      <c r="CR232">
        <f ca="1"/>
      </c>
      <c r="CS232">
        <f ca="1"/>
      </c>
      <c r="CT232">
        <f ca="1"/>
      </c>
      <c r="CU232">
        <f ca="1"/>
      </c>
      <c r="CV232">
        <f ca="1"/>
      </c>
      <c r="CW232">
        <f ca="1"/>
      </c>
      <c r="CX232">
        <f ca="1"/>
      </c>
      <c r="CY232">
        <f ca="1"/>
      </c>
      <c r="CZ232">
        <f ca="1"/>
      </c>
      <c r="DA232">
        <f ca="1"/>
      </c>
      <c r="DB232">
        <f ca="1"/>
      </c>
      <c r="DC232">
        <f ca="1"/>
      </c>
      <c r="DD232">
        <f ca="1"/>
      </c>
      <c r="DE232">
        <f ca="1"/>
      </c>
      <c r="DF232">
        <f ca="1"/>
      </c>
      <c r="DG232">
        <f ca="1"/>
      </c>
      <c r="DH232">
        <f ca="1"/>
      </c>
      <c r="DI232">
        <f ca="1"/>
      </c>
      <c r="DJ232">
        <f ca="1"/>
      </c>
      <c r="DK232">
        <f ca="1"/>
      </c>
      <c r="DL232">
        <f ca="1"/>
      </c>
      <c r="DM232">
        <f ca="1"/>
      </c>
      <c r="DN232">
        <f ca="1"/>
      </c>
      <c r="DO232">
        <f ca="1"/>
      </c>
      <c r="DP232">
        <f ca="1"/>
      </c>
      <c r="DQ232">
        <f ca="1"/>
      </c>
      <c r="DR232">
        <f ca="1"/>
      </c>
      <c r="DS232">
        <f ca="1"/>
      </c>
      <c r="DT232">
        <f ca="1"/>
      </c>
      <c r="DU232">
        <f ca="1"/>
      </c>
      <c r="DV232">
        <f ca="1"/>
      </c>
      <c r="DW232">
        <f ca="1"/>
      </c>
      <c r="DX232">
        <f ca="1"/>
      </c>
      <c r="DY232">
        <f ca="1"/>
      </c>
      <c r="DZ232">
        <f ca="1"/>
      </c>
      <c r="EA232">
        <f ca="1"/>
      </c>
      <c r="EB232">
        <f ca="1"/>
      </c>
      <c r="EC232">
        <f ca="1"/>
      </c>
      <c r="ED232">
        <f ca="1"/>
      </c>
      <c r="EE232">
        <f ca="1"/>
      </c>
      <c r="EG232">
        <f ca="1"/>
      </c>
      <c r="EH232">
        <f ca="1"/>
      </c>
      <c r="EI232">
        <f ca="1"/>
      </c>
      <c r="EJ232">
        <f ca="1"/>
      </c>
      <c r="EK232">
        <f ca="1"/>
      </c>
      <c r="EL232">
        <f ca="1"/>
      </c>
      <c r="EM232">
        <f ca="1"/>
      </c>
      <c r="EN232">
        <f ca="1"/>
      </c>
      <c r="EO232">
        <f ca="1"/>
      </c>
      <c r="EP232">
        <f ca="1"/>
      </c>
      <c r="EQ232">
        <f ca="1"/>
      </c>
      <c r="ER232">
        <f ca="1"/>
      </c>
      <c r="ES232">
        <f ca="1"/>
      </c>
      <c r="ET232">
        <f ca="1"/>
      </c>
      <c r="EU232">
        <f ca="1"/>
      </c>
      <c r="EV232">
        <f ca="1"/>
      </c>
      <c r="EW232">
        <f ca="1"/>
      </c>
      <c r="EX232">
        <f ca="1"/>
      </c>
      <c r="EY232">
        <f ca="1"/>
      </c>
      <c r="EZ232">
        <f ca="1"/>
      </c>
      <c r="FA232">
        <f ca="1"/>
      </c>
      <c r="FB232">
        <f ca="1"/>
      </c>
      <c r="FC232">
        <f ca="1"/>
      </c>
      <c r="FD232">
        <f ca="1"/>
      </c>
      <c r="FE232">
        <f ca="1"/>
      </c>
      <c r="FF232">
        <f ca="1"/>
      </c>
      <c r="FG232">
        <f ca="1"/>
      </c>
      <c r="FH232">
        <f ca="1"/>
      </c>
      <c r="FI232">
        <f ca="1"/>
      </c>
      <c r="FJ232">
        <f ca="1"/>
      </c>
      <c r="FK232">
        <f ca="1"/>
      </c>
      <c r="FL232">
        <f ca="1"/>
      </c>
      <c r="FM232">
        <f ca="1"/>
      </c>
      <c r="FN232">
        <f ca="1"/>
      </c>
      <c r="FO232">
        <f ca="1"/>
      </c>
      <c r="FP232">
        <f ca="1"/>
      </c>
      <c r="FQ232">
        <f ca="1"/>
      </c>
      <c r="FR232">
        <f ca="1"/>
      </c>
      <c r="FS232">
        <f ca="1"/>
      </c>
      <c r="FT232">
        <f ca="1"/>
      </c>
      <c r="FU232">
        <f ca="1"/>
      </c>
      <c r="FV232">
        <f ca="1"/>
      </c>
      <c r="FW232">
        <f ca="1"/>
      </c>
      <c r="FX232">
        <f ca="1"/>
      </c>
      <c r="FY232">
        <f ca="1"/>
      </c>
      <c r="FZ232">
        <f ca="1"/>
      </c>
      <c r="GA232">
        <f ca="1"/>
      </c>
      <c r="GM232" s="7">
        <f ca="1"/>
      </c>
      <c r="GN232">
        <f ca="1"/>
      </c>
      <c r="GO232">
        <f ca="1"/>
      </c>
      <c r="GP232">
        <f ca="1"/>
      </c>
      <c r="GQ232">
        <f ca="1"/>
      </c>
    </row>
    <row r="233" spans="41:199" x14ac:dyDescent="0.55000000000000004">
      <c r="AO233">
        <f ca="1"/>
      </c>
      <c r="AP233">
        <f ca="1"/>
      </c>
      <c r="AQ233">
        <f ca="1"/>
      </c>
      <c r="AR233">
        <f ca="1"/>
      </c>
      <c r="AS233">
        <f ca="1"/>
      </c>
      <c r="AT233">
        <f ca="1"/>
      </c>
      <c r="AU233">
        <f ca="1"/>
      </c>
      <c r="AV233">
        <f ca="1"/>
      </c>
      <c r="AW233">
        <f ca="1"/>
      </c>
      <c r="AX233">
        <f ca="1"/>
      </c>
      <c r="AY233">
        <f ca="1"/>
      </c>
      <c r="AZ233">
        <f ca="1"/>
      </c>
      <c r="BA233">
        <f ca="1"/>
      </c>
      <c r="BB233">
        <f ca="1"/>
      </c>
      <c r="BC233">
        <f ca="1"/>
      </c>
      <c r="BD233">
        <f ca="1"/>
      </c>
      <c r="BE233">
        <f ca="1"/>
      </c>
      <c r="BF233">
        <f ca="1"/>
      </c>
      <c r="BG233">
        <f ca="1"/>
      </c>
      <c r="BH233">
        <f ca="1"/>
      </c>
      <c r="BI233">
        <f ca="1"/>
      </c>
      <c r="BJ233">
        <f ca="1"/>
      </c>
      <c r="BK233">
        <f ca="1"/>
      </c>
      <c r="BL233">
        <f ca="1"/>
      </c>
      <c r="BM233">
        <f ca="1"/>
      </c>
      <c r="BN233">
        <f ca="1"/>
      </c>
      <c r="BO233">
        <f ca="1"/>
      </c>
      <c r="BP233">
        <f ca="1"/>
      </c>
      <c r="BQ233">
        <f ca="1"/>
      </c>
      <c r="BR233">
        <f ca="1"/>
      </c>
      <c r="BS233">
        <f ca="1"/>
      </c>
      <c r="BT233">
        <f ca="1"/>
      </c>
      <c r="BU233">
        <f ca="1"/>
      </c>
      <c r="BV233">
        <f ca="1"/>
      </c>
      <c r="BW233">
        <f ca="1"/>
      </c>
      <c r="BX233">
        <f ca="1"/>
      </c>
      <c r="BY233">
        <f ca="1"/>
      </c>
      <c r="BZ233">
        <f ca="1"/>
      </c>
      <c r="CA233">
        <f ca="1"/>
      </c>
      <c r="CB233">
        <f ca="1"/>
      </c>
      <c r="CC233">
        <f ca="1"/>
      </c>
      <c r="CD233">
        <f ca="1"/>
      </c>
      <c r="CE233">
        <f ca="1"/>
      </c>
      <c r="CF233">
        <f ca="1"/>
      </c>
      <c r="CG233">
        <f ca="1"/>
      </c>
      <c r="CH233">
        <f ca="1"/>
      </c>
      <c r="CI233">
        <f ca="1"/>
      </c>
      <c r="CK233">
        <f ca="1"/>
      </c>
      <c r="CL233">
        <f ca="1"/>
      </c>
      <c r="CM233">
        <f ca="1"/>
      </c>
      <c r="CN233">
        <f ca="1"/>
      </c>
      <c r="CO233">
        <f ca="1"/>
      </c>
      <c r="CP233">
        <f ca="1"/>
      </c>
      <c r="CQ233">
        <f ca="1"/>
      </c>
      <c r="CR233">
        <f ca="1"/>
      </c>
      <c r="CS233">
        <f ca="1"/>
      </c>
      <c r="CT233">
        <f ca="1"/>
      </c>
      <c r="CU233">
        <f ca="1"/>
      </c>
      <c r="CV233">
        <f ca="1"/>
      </c>
      <c r="CW233">
        <f ca="1"/>
      </c>
      <c r="CX233">
        <f ca="1"/>
      </c>
      <c r="CY233">
        <f ca="1"/>
      </c>
      <c r="CZ233">
        <f ca="1"/>
      </c>
      <c r="DA233">
        <f ca="1"/>
      </c>
      <c r="DB233">
        <f ca="1"/>
      </c>
      <c r="DC233">
        <f ca="1"/>
      </c>
      <c r="DD233">
        <f ca="1"/>
      </c>
      <c r="DE233">
        <f ca="1"/>
      </c>
      <c r="DF233">
        <f ca="1"/>
      </c>
      <c r="DG233">
        <f ca="1"/>
      </c>
      <c r="DH233">
        <f ca="1"/>
      </c>
      <c r="DI233">
        <f ca="1"/>
      </c>
      <c r="DJ233">
        <f ca="1"/>
      </c>
      <c r="DK233">
        <f ca="1"/>
      </c>
      <c r="DL233">
        <f ca="1"/>
      </c>
      <c r="DM233">
        <f ca="1"/>
      </c>
      <c r="DN233">
        <f ca="1"/>
      </c>
      <c r="DO233">
        <f ca="1"/>
      </c>
      <c r="DP233">
        <f ca="1"/>
      </c>
      <c r="DQ233">
        <f ca="1"/>
      </c>
      <c r="DR233">
        <f ca="1"/>
      </c>
      <c r="DS233">
        <f ca="1"/>
      </c>
      <c r="DT233">
        <f ca="1"/>
      </c>
      <c r="DU233">
        <f ca="1"/>
      </c>
      <c r="DV233">
        <f ca="1"/>
      </c>
      <c r="DW233">
        <f ca="1"/>
      </c>
      <c r="DX233">
        <f ca="1"/>
      </c>
      <c r="DY233">
        <f ca="1"/>
      </c>
      <c r="DZ233">
        <f ca="1"/>
      </c>
      <c r="EA233">
        <f ca="1"/>
      </c>
      <c r="EB233">
        <f ca="1"/>
      </c>
      <c r="EC233">
        <f ca="1"/>
      </c>
      <c r="ED233">
        <f ca="1"/>
      </c>
      <c r="EE233">
        <f ca="1"/>
      </c>
      <c r="EG233">
        <f ca="1"/>
      </c>
      <c r="EH233">
        <f ca="1"/>
      </c>
      <c r="EI233">
        <f ca="1"/>
      </c>
      <c r="EJ233">
        <f ca="1"/>
      </c>
      <c r="EK233">
        <f ca="1"/>
      </c>
      <c r="EL233">
        <f ca="1"/>
      </c>
      <c r="EM233">
        <f ca="1"/>
      </c>
      <c r="EN233">
        <f ca="1"/>
      </c>
      <c r="EO233">
        <f ca="1"/>
      </c>
      <c r="EP233">
        <f ca="1"/>
      </c>
      <c r="EQ233">
        <f ca="1"/>
      </c>
      <c r="ER233">
        <f ca="1"/>
      </c>
      <c r="ES233">
        <f ca="1"/>
      </c>
      <c r="ET233">
        <f ca="1"/>
      </c>
      <c r="EU233">
        <f ca="1"/>
      </c>
      <c r="EV233">
        <f ca="1"/>
      </c>
      <c r="EW233">
        <f ca="1"/>
      </c>
      <c r="EX233">
        <f ca="1"/>
      </c>
      <c r="EY233">
        <f ca="1"/>
      </c>
      <c r="EZ233">
        <f ca="1"/>
      </c>
      <c r="FA233">
        <f ca="1"/>
      </c>
      <c r="FB233">
        <f ca="1"/>
      </c>
      <c r="FC233">
        <f ca="1"/>
      </c>
      <c r="FD233">
        <f ca="1"/>
      </c>
      <c r="FE233">
        <f ca="1"/>
      </c>
      <c r="FF233">
        <f ca="1"/>
      </c>
      <c r="FG233">
        <f ca="1"/>
      </c>
      <c r="FH233">
        <f ca="1"/>
      </c>
      <c r="FI233">
        <f ca="1"/>
      </c>
      <c r="FJ233">
        <f ca="1"/>
      </c>
      <c r="FK233">
        <f ca="1"/>
      </c>
      <c r="FL233">
        <f ca="1"/>
      </c>
      <c r="FM233">
        <f ca="1"/>
      </c>
      <c r="FN233">
        <f ca="1"/>
      </c>
      <c r="FO233">
        <f ca="1"/>
      </c>
      <c r="FP233">
        <f ca="1"/>
      </c>
      <c r="FQ233">
        <f ca="1"/>
      </c>
      <c r="FR233">
        <f ca="1"/>
      </c>
      <c r="FS233">
        <f ca="1"/>
      </c>
      <c r="FT233">
        <f ca="1"/>
      </c>
      <c r="FU233">
        <f ca="1"/>
      </c>
      <c r="FV233">
        <f ca="1"/>
      </c>
      <c r="FW233">
        <f ca="1"/>
      </c>
      <c r="FX233">
        <f ca="1"/>
      </c>
      <c r="FY233">
        <f ca="1"/>
      </c>
      <c r="FZ233">
        <f ca="1"/>
      </c>
      <c r="GA233">
        <f ca="1"/>
      </c>
      <c r="GM233" s="7">
        <f ca="1"/>
      </c>
      <c r="GN233">
        <f ca="1"/>
      </c>
      <c r="GO233">
        <f ca="1"/>
      </c>
      <c r="GP233">
        <f ca="1"/>
      </c>
      <c r="GQ233">
        <f ca="1"/>
      </c>
    </row>
    <row r="234" spans="41:199" x14ac:dyDescent="0.55000000000000004">
      <c r="AO234">
        <f ca="1"/>
      </c>
      <c r="AP234">
        <f ca="1"/>
      </c>
      <c r="AQ234">
        <f ca="1"/>
      </c>
      <c r="AR234">
        <f ca="1"/>
      </c>
      <c r="AS234">
        <f ca="1"/>
      </c>
      <c r="AT234">
        <f ca="1"/>
      </c>
      <c r="AU234">
        <f ca="1"/>
      </c>
      <c r="AV234">
        <f ca="1"/>
      </c>
      <c r="AW234">
        <f ca="1"/>
      </c>
      <c r="AX234">
        <f ca="1"/>
      </c>
      <c r="AY234">
        <f ca="1"/>
      </c>
      <c r="AZ234">
        <f ca="1"/>
      </c>
      <c r="BA234">
        <f ca="1"/>
      </c>
      <c r="BB234">
        <f ca="1"/>
      </c>
      <c r="BC234">
        <f ca="1"/>
      </c>
      <c r="BD234">
        <f ca="1"/>
      </c>
      <c r="BE234">
        <f ca="1"/>
      </c>
      <c r="BF234">
        <f ca="1"/>
      </c>
      <c r="BG234">
        <f ca="1"/>
      </c>
      <c r="BH234">
        <f ca="1"/>
      </c>
      <c r="BI234">
        <f ca="1"/>
      </c>
      <c r="BJ234">
        <f ca="1"/>
      </c>
      <c r="BK234">
        <f ca="1"/>
      </c>
      <c r="BL234">
        <f ca="1"/>
      </c>
      <c r="BM234">
        <f ca="1"/>
      </c>
      <c r="BN234">
        <f ca="1"/>
      </c>
      <c r="BO234">
        <f ca="1"/>
      </c>
      <c r="BP234">
        <f ca="1"/>
      </c>
      <c r="BQ234">
        <f ca="1"/>
      </c>
      <c r="BR234">
        <f ca="1"/>
      </c>
      <c r="BS234">
        <f ca="1"/>
      </c>
      <c r="BT234">
        <f ca="1"/>
      </c>
      <c r="BU234">
        <f ca="1"/>
      </c>
      <c r="BV234">
        <f ca="1"/>
      </c>
      <c r="BW234">
        <f ca="1"/>
      </c>
      <c r="BX234">
        <f ca="1"/>
      </c>
      <c r="BY234">
        <f ca="1"/>
      </c>
      <c r="BZ234">
        <f ca="1"/>
      </c>
      <c r="CA234">
        <f ca="1"/>
      </c>
      <c r="CB234">
        <f ca="1"/>
      </c>
      <c r="CC234">
        <f ca="1"/>
      </c>
      <c r="CD234">
        <f ca="1"/>
      </c>
      <c r="CE234">
        <f ca="1"/>
      </c>
      <c r="CF234">
        <f ca="1"/>
      </c>
      <c r="CG234">
        <f ca="1"/>
      </c>
      <c r="CH234">
        <f ca="1"/>
      </c>
      <c r="CI234">
        <f ca="1"/>
      </c>
      <c r="CK234">
        <f ca="1"/>
      </c>
      <c r="CL234">
        <f ca="1"/>
      </c>
      <c r="CM234">
        <f ca="1"/>
      </c>
      <c r="CN234">
        <f ca="1"/>
      </c>
      <c r="CO234">
        <f ca="1"/>
      </c>
      <c r="CP234">
        <f ca="1"/>
      </c>
      <c r="CQ234">
        <f ca="1"/>
      </c>
      <c r="CR234">
        <f ca="1"/>
      </c>
      <c r="CS234">
        <f ca="1"/>
      </c>
      <c r="CT234">
        <f ca="1"/>
      </c>
      <c r="CU234">
        <f ca="1"/>
      </c>
      <c r="CV234">
        <f ca="1"/>
      </c>
      <c r="CW234">
        <f ca="1"/>
      </c>
      <c r="CX234">
        <f ca="1"/>
      </c>
      <c r="CY234">
        <f ca="1"/>
      </c>
      <c r="CZ234">
        <f ca="1"/>
      </c>
      <c r="DA234">
        <f ca="1"/>
      </c>
      <c r="DB234">
        <f ca="1"/>
      </c>
      <c r="DC234">
        <f ca="1"/>
      </c>
      <c r="DD234">
        <f ca="1"/>
      </c>
      <c r="DE234">
        <f ca="1"/>
      </c>
      <c r="DF234">
        <f ca="1"/>
      </c>
      <c r="DG234">
        <f ca="1"/>
      </c>
      <c r="DH234">
        <f ca="1"/>
      </c>
      <c r="DI234">
        <f ca="1"/>
      </c>
      <c r="DJ234">
        <f ca="1"/>
      </c>
      <c r="DK234">
        <f ca="1"/>
      </c>
      <c r="DL234">
        <f ca="1"/>
      </c>
      <c r="DM234">
        <f ca="1"/>
      </c>
      <c r="DN234">
        <f ca="1"/>
      </c>
      <c r="DO234">
        <f ca="1"/>
      </c>
      <c r="DP234">
        <f ca="1"/>
      </c>
      <c r="DQ234">
        <f ca="1"/>
      </c>
      <c r="DR234">
        <f ca="1"/>
      </c>
      <c r="DS234">
        <f ca="1"/>
      </c>
      <c r="DT234">
        <f ca="1"/>
      </c>
      <c r="DU234">
        <f ca="1"/>
      </c>
      <c r="DV234">
        <f ca="1"/>
      </c>
      <c r="DW234">
        <f ca="1"/>
      </c>
      <c r="DX234">
        <f ca="1"/>
      </c>
      <c r="DY234">
        <f ca="1"/>
      </c>
      <c r="DZ234">
        <f ca="1"/>
      </c>
      <c r="EA234">
        <f ca="1"/>
      </c>
      <c r="EB234">
        <f ca="1"/>
      </c>
      <c r="EC234">
        <f ca="1"/>
      </c>
      <c r="ED234">
        <f ca="1"/>
      </c>
      <c r="EE234">
        <f ca="1"/>
      </c>
      <c r="EG234">
        <f ca="1"/>
      </c>
      <c r="EH234">
        <f ca="1"/>
      </c>
      <c r="EI234">
        <f ca="1"/>
      </c>
      <c r="EJ234">
        <f ca="1"/>
      </c>
      <c r="EK234">
        <f ca="1"/>
      </c>
      <c r="EL234">
        <f ca="1"/>
      </c>
      <c r="EM234">
        <f ca="1"/>
      </c>
      <c r="EN234">
        <f ca="1"/>
      </c>
      <c r="EO234">
        <f ca="1"/>
      </c>
      <c r="EP234">
        <f ca="1"/>
      </c>
      <c r="EQ234">
        <f ca="1"/>
      </c>
      <c r="ER234">
        <f ca="1"/>
      </c>
      <c r="ES234">
        <f ca="1"/>
      </c>
      <c r="ET234">
        <f ca="1"/>
      </c>
      <c r="EU234">
        <f ca="1"/>
      </c>
      <c r="EV234">
        <f ca="1"/>
      </c>
      <c r="EW234">
        <f ca="1"/>
      </c>
      <c r="EX234">
        <f ca="1"/>
      </c>
      <c r="EY234">
        <f ca="1"/>
      </c>
      <c r="EZ234">
        <f ca="1"/>
      </c>
      <c r="FA234">
        <f ca="1"/>
      </c>
      <c r="FB234">
        <f ca="1"/>
      </c>
      <c r="FC234">
        <f ca="1"/>
      </c>
      <c r="FD234">
        <f ca="1"/>
      </c>
      <c r="FE234">
        <f ca="1"/>
      </c>
      <c r="FF234">
        <f ca="1"/>
      </c>
      <c r="FG234">
        <f ca="1"/>
      </c>
      <c r="FH234">
        <f ca="1"/>
      </c>
      <c r="FI234">
        <f ca="1"/>
      </c>
      <c r="FJ234">
        <f ca="1"/>
      </c>
      <c r="FK234">
        <f ca="1"/>
      </c>
      <c r="FL234">
        <f ca="1"/>
      </c>
      <c r="FM234">
        <f ca="1"/>
      </c>
      <c r="FN234">
        <f ca="1"/>
      </c>
      <c r="FO234">
        <f ca="1"/>
      </c>
      <c r="FP234">
        <f ca="1"/>
      </c>
      <c r="FQ234">
        <f ca="1"/>
      </c>
      <c r="FR234">
        <f ca="1"/>
      </c>
      <c r="FS234">
        <f ca="1"/>
      </c>
      <c r="FT234">
        <f ca="1"/>
      </c>
      <c r="FU234">
        <f ca="1"/>
      </c>
      <c r="FV234">
        <f ca="1"/>
      </c>
      <c r="FW234">
        <f ca="1"/>
      </c>
      <c r="FX234">
        <f ca="1"/>
      </c>
      <c r="FY234">
        <f ca="1"/>
      </c>
      <c r="FZ234">
        <f ca="1"/>
      </c>
      <c r="GA234">
        <f ca="1"/>
      </c>
      <c r="GM234" s="7">
        <f ca="1"/>
      </c>
      <c r="GN234">
        <f ca="1"/>
      </c>
      <c r="GO234">
        <f ca="1"/>
      </c>
      <c r="GP234">
        <f ca="1"/>
      </c>
      <c r="GQ234">
        <f ca="1"/>
      </c>
    </row>
    <row r="235" spans="41:199" x14ac:dyDescent="0.55000000000000004">
      <c r="AO235">
        <f ca="1"/>
      </c>
      <c r="AP235">
        <f ca="1"/>
      </c>
      <c r="AQ235">
        <f ca="1"/>
      </c>
      <c r="AR235">
        <f ca="1"/>
      </c>
      <c r="AS235">
        <f ca="1"/>
      </c>
      <c r="AT235">
        <f ca="1"/>
      </c>
      <c r="AU235">
        <f ca="1"/>
      </c>
      <c r="AV235">
        <f ca="1"/>
      </c>
      <c r="AW235">
        <f ca="1"/>
      </c>
      <c r="AX235">
        <f ca="1"/>
      </c>
      <c r="AY235">
        <f ca="1"/>
      </c>
      <c r="AZ235">
        <f ca="1"/>
      </c>
      <c r="BA235">
        <f ca="1"/>
      </c>
      <c r="BB235">
        <f ca="1"/>
      </c>
      <c r="BC235">
        <f ca="1"/>
      </c>
      <c r="BD235">
        <f ca="1"/>
      </c>
      <c r="BE235">
        <f ca="1"/>
      </c>
      <c r="BF235">
        <f ca="1"/>
      </c>
      <c r="BG235">
        <f ca="1"/>
      </c>
      <c r="BH235">
        <f ca="1"/>
      </c>
      <c r="BI235">
        <f ca="1"/>
      </c>
      <c r="BJ235">
        <f ca="1"/>
      </c>
      <c r="BK235">
        <f ca="1"/>
      </c>
      <c r="BL235">
        <f ca="1"/>
      </c>
      <c r="BM235">
        <f ca="1"/>
      </c>
      <c r="BN235">
        <f ca="1"/>
      </c>
      <c r="BO235">
        <f ca="1"/>
      </c>
      <c r="BP235">
        <f ca="1"/>
      </c>
      <c r="BQ235">
        <f ca="1"/>
      </c>
      <c r="BR235">
        <f ca="1"/>
      </c>
      <c r="BS235">
        <f ca="1"/>
      </c>
      <c r="BT235">
        <f ca="1"/>
      </c>
      <c r="BU235">
        <f ca="1"/>
      </c>
      <c r="BV235">
        <f ca="1"/>
      </c>
      <c r="BW235">
        <f ca="1"/>
      </c>
      <c r="BX235">
        <f ca="1"/>
      </c>
      <c r="BY235">
        <f ca="1"/>
      </c>
      <c r="BZ235">
        <f ca="1"/>
      </c>
      <c r="CA235">
        <f ca="1"/>
      </c>
      <c r="CB235">
        <f ca="1"/>
      </c>
      <c r="CC235">
        <f ca="1"/>
      </c>
      <c r="CD235">
        <f ca="1"/>
      </c>
      <c r="CE235">
        <f ca="1"/>
      </c>
      <c r="CF235">
        <f ca="1"/>
      </c>
      <c r="CG235">
        <f ca="1"/>
      </c>
      <c r="CH235">
        <f ca="1"/>
      </c>
      <c r="CI235">
        <f ca="1"/>
      </c>
      <c r="CK235">
        <f ca="1"/>
      </c>
      <c r="CL235">
        <f ca="1"/>
      </c>
      <c r="CM235">
        <f ca="1"/>
      </c>
      <c r="CN235">
        <f ca="1"/>
      </c>
      <c r="CO235">
        <f ca="1"/>
      </c>
      <c r="CP235">
        <f ca="1"/>
      </c>
      <c r="CQ235">
        <f ca="1"/>
      </c>
      <c r="CR235">
        <f ca="1"/>
      </c>
      <c r="CS235">
        <f ca="1"/>
      </c>
      <c r="CT235">
        <f ca="1"/>
      </c>
      <c r="CU235">
        <f ca="1"/>
      </c>
      <c r="CV235">
        <f ca="1"/>
      </c>
      <c r="CW235">
        <f ca="1"/>
      </c>
      <c r="CX235">
        <f ca="1"/>
      </c>
      <c r="CY235">
        <f ca="1"/>
      </c>
      <c r="CZ235">
        <f ca="1"/>
      </c>
      <c r="DA235">
        <f ca="1"/>
      </c>
      <c r="DB235">
        <f ca="1"/>
      </c>
      <c r="DC235">
        <f ca="1"/>
      </c>
      <c r="DD235">
        <f ca="1"/>
      </c>
      <c r="DE235">
        <f ca="1"/>
      </c>
      <c r="DF235">
        <f ca="1"/>
      </c>
      <c r="DG235">
        <f ca="1"/>
      </c>
      <c r="DH235">
        <f ca="1"/>
      </c>
      <c r="DI235">
        <f ca="1"/>
      </c>
      <c r="DJ235">
        <f ca="1"/>
      </c>
      <c r="DK235">
        <f ca="1"/>
      </c>
      <c r="DL235">
        <f ca="1"/>
      </c>
      <c r="DM235">
        <f ca="1"/>
      </c>
      <c r="DN235">
        <f ca="1"/>
      </c>
      <c r="DO235">
        <f ca="1"/>
      </c>
      <c r="DP235">
        <f ca="1"/>
      </c>
      <c r="DQ235">
        <f ca="1"/>
      </c>
      <c r="DR235">
        <f ca="1"/>
      </c>
      <c r="DS235">
        <f ca="1"/>
      </c>
      <c r="DT235">
        <f ca="1"/>
      </c>
      <c r="DU235">
        <f ca="1"/>
      </c>
      <c r="DV235">
        <f ca="1"/>
      </c>
      <c r="DW235">
        <f ca="1"/>
      </c>
      <c r="DX235">
        <f ca="1"/>
      </c>
      <c r="DY235">
        <f ca="1"/>
      </c>
      <c r="DZ235">
        <f ca="1"/>
      </c>
      <c r="EA235">
        <f ca="1"/>
      </c>
      <c r="EB235">
        <f ca="1"/>
      </c>
      <c r="EC235">
        <f ca="1"/>
      </c>
      <c r="ED235">
        <f ca="1"/>
      </c>
      <c r="EE235">
        <f ca="1"/>
      </c>
      <c r="EG235">
        <f ca="1"/>
      </c>
      <c r="EH235">
        <f ca="1"/>
      </c>
      <c r="EI235">
        <f ca="1"/>
      </c>
      <c r="EJ235">
        <f ca="1"/>
      </c>
      <c r="EK235">
        <f ca="1"/>
      </c>
      <c r="EL235">
        <f ca="1"/>
      </c>
      <c r="EM235">
        <f ca="1"/>
      </c>
      <c r="EN235">
        <f ca="1"/>
      </c>
      <c r="EO235">
        <f ca="1"/>
      </c>
      <c r="EP235">
        <f ca="1"/>
      </c>
      <c r="EQ235">
        <f ca="1"/>
      </c>
      <c r="ER235">
        <f ca="1"/>
      </c>
      <c r="ES235">
        <f ca="1"/>
      </c>
      <c r="ET235">
        <f ca="1"/>
      </c>
      <c r="EU235">
        <f ca="1"/>
      </c>
      <c r="EV235">
        <f ca="1"/>
      </c>
      <c r="EW235">
        <f ca="1"/>
      </c>
      <c r="EX235">
        <f ca="1"/>
      </c>
      <c r="EY235">
        <f ca="1"/>
      </c>
      <c r="EZ235">
        <f ca="1"/>
      </c>
      <c r="FA235">
        <f ca="1"/>
      </c>
      <c r="FB235">
        <f ca="1"/>
      </c>
      <c r="FC235">
        <f ca="1"/>
      </c>
      <c r="FD235">
        <f ca="1"/>
      </c>
      <c r="FE235">
        <f ca="1"/>
      </c>
      <c r="FF235">
        <f ca="1"/>
      </c>
      <c r="FG235">
        <f ca="1"/>
      </c>
      <c r="FH235">
        <f ca="1"/>
      </c>
      <c r="FI235">
        <f ca="1"/>
      </c>
      <c r="FJ235">
        <f ca="1"/>
      </c>
      <c r="FK235">
        <f ca="1"/>
      </c>
      <c r="FL235">
        <f ca="1"/>
      </c>
      <c r="FM235">
        <f ca="1"/>
      </c>
      <c r="FN235">
        <f ca="1"/>
      </c>
      <c r="FO235">
        <f ca="1"/>
      </c>
      <c r="FP235">
        <f ca="1"/>
      </c>
      <c r="FQ235">
        <f ca="1"/>
      </c>
      <c r="FR235">
        <f ca="1"/>
      </c>
      <c r="FS235">
        <f ca="1"/>
      </c>
      <c r="FT235">
        <f ca="1"/>
      </c>
      <c r="FU235">
        <f ca="1"/>
      </c>
      <c r="FV235">
        <f ca="1"/>
      </c>
      <c r="FW235">
        <f ca="1"/>
      </c>
      <c r="FX235">
        <f ca="1"/>
      </c>
      <c r="FY235">
        <f ca="1"/>
      </c>
      <c r="FZ235">
        <f ca="1"/>
      </c>
      <c r="GA235">
        <f ca="1"/>
      </c>
      <c r="GM235" s="7">
        <f ca="1"/>
      </c>
      <c r="GN235">
        <f ca="1"/>
      </c>
      <c r="GO235">
        <f ca="1"/>
      </c>
      <c r="GP235">
        <f ca="1"/>
      </c>
      <c r="GQ235">
        <f ca="1"/>
      </c>
    </row>
    <row r="236" spans="41:199" x14ac:dyDescent="0.55000000000000004">
      <c r="AO236">
        <f ca="1"/>
      </c>
      <c r="AP236">
        <f ca="1"/>
      </c>
      <c r="AQ236">
        <f ca="1"/>
      </c>
      <c r="AR236">
        <f ca="1"/>
      </c>
      <c r="AS236">
        <f ca="1"/>
      </c>
      <c r="AT236">
        <f ca="1"/>
      </c>
      <c r="AU236">
        <f ca="1"/>
      </c>
      <c r="AV236">
        <f ca="1"/>
      </c>
      <c r="AW236">
        <f ca="1"/>
      </c>
      <c r="AX236">
        <f ca="1"/>
      </c>
      <c r="AY236">
        <f ca="1"/>
      </c>
      <c r="AZ236">
        <f ca="1"/>
      </c>
      <c r="BA236">
        <f ca="1"/>
      </c>
      <c r="BB236">
        <f ca="1"/>
      </c>
      <c r="BC236">
        <f ca="1"/>
      </c>
      <c r="BD236">
        <f ca="1"/>
      </c>
      <c r="BE236">
        <f ca="1"/>
      </c>
      <c r="BF236">
        <f ca="1"/>
      </c>
      <c r="BG236">
        <f ca="1"/>
      </c>
      <c r="BH236">
        <f ca="1"/>
      </c>
      <c r="BI236">
        <f ca="1"/>
      </c>
      <c r="BJ236">
        <f ca="1"/>
      </c>
      <c r="BK236">
        <f ca="1"/>
      </c>
      <c r="BL236">
        <f ca="1"/>
      </c>
      <c r="BM236">
        <f ca="1"/>
      </c>
      <c r="BN236">
        <f ca="1"/>
      </c>
      <c r="BO236">
        <f ca="1"/>
      </c>
      <c r="BP236">
        <f ca="1"/>
      </c>
      <c r="BQ236">
        <f ca="1"/>
      </c>
      <c r="BR236">
        <f ca="1"/>
      </c>
      <c r="BS236">
        <f ca="1"/>
      </c>
      <c r="BT236">
        <f ca="1"/>
      </c>
      <c r="BU236">
        <f ca="1"/>
      </c>
      <c r="BV236">
        <f ca="1"/>
      </c>
      <c r="BW236">
        <f ca="1"/>
      </c>
      <c r="BX236">
        <f ca="1"/>
      </c>
      <c r="BY236">
        <f ca="1"/>
      </c>
      <c r="BZ236">
        <f ca="1"/>
      </c>
      <c r="CA236">
        <f ca="1"/>
      </c>
      <c r="CB236">
        <f ca="1"/>
      </c>
      <c r="CC236">
        <f ca="1"/>
      </c>
      <c r="CD236">
        <f ca="1"/>
      </c>
      <c r="CE236">
        <f ca="1"/>
      </c>
      <c r="CF236">
        <f ca="1"/>
      </c>
      <c r="CG236">
        <f ca="1"/>
      </c>
      <c r="CH236">
        <f ca="1"/>
      </c>
      <c r="CI236">
        <f ca="1"/>
      </c>
      <c r="CK236">
        <f ca="1"/>
      </c>
      <c r="CL236">
        <f ca="1"/>
      </c>
      <c r="CM236">
        <f ca="1"/>
      </c>
      <c r="CN236">
        <f ca="1"/>
      </c>
      <c r="CO236">
        <f ca="1"/>
      </c>
      <c r="CP236">
        <f ca="1"/>
      </c>
      <c r="CQ236">
        <f ca="1"/>
      </c>
      <c r="CR236">
        <f ca="1"/>
      </c>
      <c r="CS236">
        <f ca="1"/>
      </c>
      <c r="CT236">
        <f ca="1"/>
      </c>
      <c r="CU236">
        <f ca="1"/>
      </c>
      <c r="CV236">
        <f ca="1"/>
      </c>
      <c r="CW236">
        <f ca="1"/>
      </c>
      <c r="CX236">
        <f ca="1"/>
      </c>
      <c r="CY236">
        <f ca="1"/>
      </c>
      <c r="CZ236">
        <f ca="1"/>
      </c>
      <c r="DA236">
        <f ca="1"/>
      </c>
      <c r="DB236">
        <f ca="1"/>
      </c>
      <c r="DC236">
        <f ca="1"/>
      </c>
      <c r="DD236">
        <f ca="1"/>
      </c>
      <c r="DE236">
        <f ca="1"/>
      </c>
      <c r="DF236">
        <f ca="1"/>
      </c>
      <c r="DG236">
        <f ca="1"/>
      </c>
      <c r="DH236">
        <f ca="1"/>
      </c>
      <c r="DI236">
        <f ca="1"/>
      </c>
      <c r="DJ236">
        <f ca="1"/>
      </c>
      <c r="DK236">
        <f ca="1"/>
      </c>
      <c r="DL236">
        <f ca="1"/>
      </c>
      <c r="DM236">
        <f ca="1"/>
      </c>
      <c r="DN236">
        <f ca="1"/>
      </c>
      <c r="DO236">
        <f ca="1"/>
      </c>
      <c r="DP236">
        <f ca="1"/>
      </c>
      <c r="DQ236">
        <f ca="1"/>
      </c>
      <c r="DR236">
        <f ca="1"/>
      </c>
      <c r="DS236">
        <f ca="1"/>
      </c>
      <c r="DT236">
        <f ca="1"/>
      </c>
      <c r="DU236">
        <f ca="1"/>
      </c>
      <c r="DV236">
        <f ca="1"/>
      </c>
      <c r="DW236">
        <f ca="1"/>
      </c>
      <c r="DX236">
        <f ca="1"/>
      </c>
      <c r="DY236">
        <f ca="1"/>
      </c>
      <c r="DZ236">
        <f ca="1"/>
      </c>
      <c r="EA236">
        <f ca="1"/>
      </c>
      <c r="EB236">
        <f ca="1"/>
      </c>
      <c r="EC236">
        <f ca="1"/>
      </c>
      <c r="ED236">
        <f ca="1"/>
      </c>
      <c r="EE236">
        <f ca="1"/>
      </c>
      <c r="EG236">
        <f ca="1"/>
      </c>
      <c r="EH236">
        <f ca="1"/>
      </c>
      <c r="EI236">
        <f ca="1"/>
      </c>
      <c r="EJ236">
        <f ca="1"/>
      </c>
      <c r="EK236">
        <f ca="1"/>
      </c>
      <c r="EL236">
        <f ca="1"/>
      </c>
      <c r="EM236">
        <f ca="1"/>
      </c>
      <c r="EN236">
        <f ca="1"/>
      </c>
      <c r="EO236">
        <f ca="1"/>
      </c>
      <c r="EP236">
        <f ca="1"/>
      </c>
      <c r="EQ236">
        <f ca="1"/>
      </c>
      <c r="ER236">
        <f ca="1"/>
      </c>
      <c r="ES236">
        <f ca="1"/>
      </c>
      <c r="ET236">
        <f ca="1"/>
      </c>
      <c r="EU236">
        <f ca="1"/>
      </c>
      <c r="EV236">
        <f ca="1"/>
      </c>
      <c r="EW236">
        <f ca="1"/>
      </c>
      <c r="EX236">
        <f ca="1"/>
      </c>
      <c r="EY236">
        <f ca="1"/>
      </c>
      <c r="EZ236">
        <f ca="1"/>
      </c>
      <c r="FA236">
        <f ca="1"/>
      </c>
      <c r="FB236">
        <f ca="1"/>
      </c>
      <c r="FC236">
        <f ca="1"/>
      </c>
      <c r="FD236">
        <f ca="1"/>
      </c>
      <c r="FE236">
        <f ca="1"/>
      </c>
      <c r="FF236">
        <f ca="1"/>
      </c>
      <c r="FG236">
        <f ca="1"/>
      </c>
      <c r="FH236">
        <f ca="1"/>
      </c>
      <c r="FI236">
        <f ca="1"/>
      </c>
      <c r="FJ236">
        <f ca="1"/>
      </c>
      <c r="FK236">
        <f ca="1"/>
      </c>
      <c r="FL236">
        <f ca="1"/>
      </c>
      <c r="FM236">
        <f ca="1"/>
      </c>
      <c r="FN236">
        <f ca="1"/>
      </c>
      <c r="FO236">
        <f ca="1"/>
      </c>
      <c r="FP236">
        <f ca="1"/>
      </c>
      <c r="FQ236">
        <f ca="1"/>
      </c>
      <c r="FR236">
        <f ca="1"/>
      </c>
      <c r="FS236">
        <f ca="1"/>
      </c>
      <c r="FT236">
        <f ca="1"/>
      </c>
      <c r="FU236">
        <f ca="1"/>
      </c>
      <c r="FV236">
        <f ca="1"/>
      </c>
      <c r="FW236">
        <f ca="1"/>
      </c>
      <c r="FX236">
        <f ca="1"/>
      </c>
      <c r="FY236">
        <f ca="1"/>
      </c>
      <c r="FZ236">
        <f ca="1"/>
      </c>
      <c r="GA236">
        <f ca="1"/>
      </c>
      <c r="GM236" s="7">
        <f ca="1"/>
      </c>
      <c r="GN236">
        <f ca="1"/>
      </c>
      <c r="GO236">
        <f ca="1"/>
      </c>
      <c r="GP236">
        <f ca="1"/>
      </c>
      <c r="GQ236">
        <f ca="1"/>
      </c>
    </row>
    <row r="237" spans="41:199" x14ac:dyDescent="0.55000000000000004">
      <c r="AO237">
        <f ca="1"/>
      </c>
      <c r="AP237">
        <f ca="1"/>
      </c>
      <c r="AQ237">
        <f ca="1"/>
      </c>
      <c r="AR237">
        <f ca="1"/>
      </c>
      <c r="AS237">
        <f ca="1"/>
      </c>
      <c r="AT237">
        <f ca="1"/>
      </c>
      <c r="AU237">
        <f ca="1"/>
      </c>
      <c r="AV237">
        <f ca="1"/>
      </c>
      <c r="AW237">
        <f ca="1"/>
      </c>
      <c r="AX237">
        <f ca="1"/>
      </c>
      <c r="AY237">
        <f ca="1"/>
      </c>
      <c r="AZ237">
        <f ca="1"/>
      </c>
      <c r="BA237">
        <f ca="1"/>
      </c>
      <c r="BB237">
        <f ca="1"/>
      </c>
      <c r="BC237">
        <f ca="1"/>
      </c>
      <c r="BD237">
        <f ca="1"/>
      </c>
      <c r="BE237">
        <f ca="1"/>
      </c>
      <c r="BF237">
        <f ca="1"/>
      </c>
      <c r="BG237">
        <f ca="1"/>
      </c>
      <c r="BH237">
        <f ca="1"/>
      </c>
      <c r="BI237">
        <f ca="1"/>
      </c>
      <c r="BJ237">
        <f ca="1"/>
      </c>
      <c r="BK237">
        <f ca="1"/>
      </c>
      <c r="BL237">
        <f ca="1"/>
      </c>
      <c r="BM237">
        <f ca="1"/>
      </c>
      <c r="BN237">
        <f ca="1"/>
      </c>
      <c r="BO237">
        <f ca="1"/>
      </c>
      <c r="BP237">
        <f ca="1"/>
      </c>
      <c r="BQ237">
        <f ca="1"/>
      </c>
      <c r="BR237">
        <f ca="1"/>
      </c>
      <c r="BS237">
        <f ca="1"/>
      </c>
      <c r="BT237">
        <f ca="1"/>
      </c>
      <c r="BU237">
        <f ca="1"/>
      </c>
      <c r="BV237">
        <f ca="1"/>
      </c>
      <c r="BW237">
        <f ca="1"/>
      </c>
      <c r="BX237">
        <f ca="1"/>
      </c>
      <c r="BY237">
        <f ca="1"/>
      </c>
      <c r="BZ237">
        <f ca="1"/>
      </c>
      <c r="CA237">
        <f ca="1"/>
      </c>
      <c r="CB237">
        <f ca="1"/>
      </c>
      <c r="CC237">
        <f ca="1"/>
      </c>
      <c r="CD237">
        <f ca="1"/>
      </c>
      <c r="CE237">
        <f ca="1"/>
      </c>
      <c r="CF237">
        <f ca="1"/>
      </c>
      <c r="CG237">
        <f ca="1"/>
      </c>
      <c r="CH237">
        <f ca="1"/>
      </c>
      <c r="CI237">
        <f ca="1"/>
      </c>
      <c r="CK237">
        <f ca="1"/>
      </c>
      <c r="CL237">
        <f ca="1"/>
      </c>
      <c r="CM237">
        <f ca="1"/>
      </c>
      <c r="CN237">
        <f ca="1"/>
      </c>
      <c r="CO237">
        <f ca="1"/>
      </c>
      <c r="CP237">
        <f ca="1"/>
      </c>
      <c r="CQ237">
        <f ca="1"/>
      </c>
      <c r="CR237">
        <f ca="1"/>
      </c>
      <c r="CS237">
        <f ca="1"/>
      </c>
      <c r="CT237">
        <f ca="1"/>
      </c>
      <c r="CU237">
        <f ca="1"/>
      </c>
      <c r="CV237">
        <f ca="1"/>
      </c>
      <c r="CW237">
        <f ca="1"/>
      </c>
      <c r="CX237">
        <f ca="1"/>
      </c>
      <c r="CY237">
        <f ca="1"/>
      </c>
      <c r="CZ237">
        <f ca="1"/>
      </c>
      <c r="DA237">
        <f ca="1"/>
      </c>
      <c r="DB237">
        <f ca="1"/>
      </c>
      <c r="DC237">
        <f ca="1"/>
      </c>
      <c r="DD237">
        <f ca="1"/>
      </c>
      <c r="DE237">
        <f ca="1"/>
      </c>
      <c r="DF237">
        <f ca="1"/>
      </c>
      <c r="DG237">
        <f ca="1"/>
      </c>
      <c r="DH237">
        <f ca="1"/>
      </c>
      <c r="DI237">
        <f ca="1"/>
      </c>
      <c r="DJ237">
        <f ca="1"/>
      </c>
      <c r="DK237">
        <f ca="1"/>
      </c>
      <c r="DL237">
        <f ca="1"/>
      </c>
      <c r="DM237">
        <f ca="1"/>
      </c>
      <c r="DN237">
        <f ca="1"/>
      </c>
      <c r="DO237">
        <f ca="1"/>
      </c>
      <c r="DP237">
        <f ca="1"/>
      </c>
      <c r="DQ237">
        <f ca="1"/>
      </c>
      <c r="DR237">
        <f ca="1"/>
      </c>
      <c r="DS237">
        <f ca="1"/>
      </c>
      <c r="DT237">
        <f ca="1"/>
      </c>
      <c r="DU237">
        <f ca="1"/>
      </c>
      <c r="DV237">
        <f ca="1"/>
      </c>
      <c r="DW237">
        <f ca="1"/>
      </c>
      <c r="DX237">
        <f ca="1"/>
      </c>
      <c r="DY237">
        <f ca="1"/>
      </c>
      <c r="DZ237">
        <f ca="1"/>
      </c>
      <c r="EA237">
        <f ca="1"/>
      </c>
      <c r="EB237">
        <f ca="1"/>
      </c>
      <c r="EC237">
        <f ca="1"/>
      </c>
      <c r="ED237">
        <f ca="1"/>
      </c>
      <c r="EE237">
        <f ca="1"/>
      </c>
      <c r="EG237">
        <f ca="1"/>
      </c>
      <c r="EH237">
        <f ca="1"/>
      </c>
      <c r="EI237">
        <f ca="1"/>
      </c>
      <c r="EJ237">
        <f ca="1"/>
      </c>
      <c r="EK237">
        <f ca="1"/>
      </c>
      <c r="EL237">
        <f ca="1"/>
      </c>
      <c r="EM237">
        <f ca="1"/>
      </c>
      <c r="EN237">
        <f ca="1"/>
      </c>
      <c r="EO237">
        <f ca="1"/>
      </c>
      <c r="EP237">
        <f ca="1"/>
      </c>
      <c r="EQ237">
        <f ca="1"/>
      </c>
      <c r="ER237">
        <f ca="1"/>
      </c>
      <c r="ES237">
        <f ca="1"/>
      </c>
      <c r="ET237">
        <f ca="1"/>
      </c>
      <c r="EU237">
        <f ca="1"/>
      </c>
      <c r="EV237">
        <f ca="1"/>
      </c>
      <c r="EW237">
        <f ca="1"/>
      </c>
      <c r="EX237">
        <f ca="1"/>
      </c>
      <c r="EY237">
        <f ca="1"/>
      </c>
      <c r="EZ237">
        <f ca="1"/>
      </c>
      <c r="FA237">
        <f ca="1"/>
      </c>
      <c r="FB237">
        <f ca="1"/>
      </c>
      <c r="FC237">
        <f ca="1"/>
      </c>
      <c r="FD237">
        <f ca="1"/>
      </c>
      <c r="FE237">
        <f ca="1"/>
      </c>
      <c r="FF237">
        <f ca="1"/>
      </c>
      <c r="FG237">
        <f ca="1"/>
      </c>
      <c r="FH237">
        <f ca="1"/>
      </c>
      <c r="FI237">
        <f ca="1"/>
      </c>
      <c r="FJ237">
        <f ca="1"/>
      </c>
      <c r="FK237">
        <f ca="1"/>
      </c>
      <c r="FL237">
        <f ca="1"/>
      </c>
      <c r="FM237">
        <f ca="1"/>
      </c>
      <c r="FN237">
        <f ca="1"/>
      </c>
      <c r="FO237">
        <f ca="1"/>
      </c>
      <c r="FP237">
        <f ca="1"/>
      </c>
      <c r="FQ237">
        <f ca="1"/>
      </c>
      <c r="FR237">
        <f ca="1"/>
      </c>
      <c r="FS237">
        <f ca="1"/>
      </c>
      <c r="FT237">
        <f ca="1"/>
      </c>
      <c r="FU237">
        <f ca="1"/>
      </c>
      <c r="FV237">
        <f ca="1"/>
      </c>
      <c r="FW237">
        <f ca="1"/>
      </c>
      <c r="FX237">
        <f ca="1"/>
      </c>
      <c r="FY237">
        <f ca="1"/>
      </c>
      <c r="FZ237">
        <f ca="1"/>
      </c>
      <c r="GA237">
        <f ca="1"/>
      </c>
      <c r="GM237" s="7">
        <f ca="1"/>
      </c>
      <c r="GN237">
        <f ca="1"/>
      </c>
      <c r="GO237">
        <f ca="1"/>
      </c>
      <c r="GP237">
        <f ca="1"/>
      </c>
      <c r="GQ237">
        <f ca="1"/>
      </c>
    </row>
    <row r="238" spans="41:199" x14ac:dyDescent="0.55000000000000004">
      <c r="AO238">
        <f ca="1"/>
      </c>
      <c r="AP238">
        <f ca="1"/>
      </c>
      <c r="AQ238">
        <f ca="1"/>
      </c>
      <c r="AR238">
        <f ca="1"/>
      </c>
      <c r="AS238">
        <f ca="1"/>
      </c>
      <c r="AT238">
        <f ca="1"/>
      </c>
      <c r="AU238">
        <f ca="1"/>
      </c>
      <c r="AV238">
        <f ca="1"/>
      </c>
      <c r="AW238">
        <f ca="1"/>
      </c>
      <c r="AX238">
        <f ca="1"/>
      </c>
      <c r="AY238">
        <f ca="1"/>
      </c>
      <c r="AZ238">
        <f ca="1"/>
      </c>
      <c r="BA238">
        <f ca="1"/>
      </c>
      <c r="BB238">
        <f ca="1"/>
      </c>
      <c r="BC238">
        <f ca="1"/>
      </c>
      <c r="BD238">
        <f ca="1"/>
      </c>
      <c r="BE238">
        <f ca="1"/>
      </c>
      <c r="BF238">
        <f ca="1"/>
      </c>
      <c r="BG238">
        <f ca="1"/>
      </c>
      <c r="BH238">
        <f ca="1"/>
      </c>
      <c r="BI238">
        <f ca="1"/>
      </c>
      <c r="BJ238">
        <f ca="1"/>
      </c>
      <c r="BK238">
        <f ca="1"/>
      </c>
      <c r="BL238">
        <f ca="1"/>
      </c>
      <c r="BM238">
        <f ca="1"/>
      </c>
      <c r="BN238">
        <f ca="1"/>
      </c>
      <c r="BO238">
        <f ca="1"/>
      </c>
      <c r="BP238">
        <f ca="1"/>
      </c>
      <c r="BQ238">
        <f ca="1"/>
      </c>
      <c r="BR238">
        <f ca="1"/>
      </c>
      <c r="BS238">
        <f ca="1"/>
      </c>
      <c r="BT238">
        <f ca="1"/>
      </c>
      <c r="BU238">
        <f ca="1"/>
      </c>
      <c r="BV238">
        <f ca="1"/>
      </c>
      <c r="BW238">
        <f ca="1"/>
      </c>
      <c r="BX238">
        <f ca="1"/>
      </c>
      <c r="BY238">
        <f ca="1"/>
      </c>
      <c r="BZ238">
        <f ca="1"/>
      </c>
      <c r="CA238">
        <f ca="1"/>
      </c>
      <c r="CB238">
        <f ca="1"/>
      </c>
      <c r="CC238">
        <f ca="1"/>
      </c>
      <c r="CD238">
        <f ca="1"/>
      </c>
      <c r="CE238">
        <f ca="1"/>
      </c>
      <c r="CF238">
        <f ca="1"/>
      </c>
      <c r="CG238">
        <f ca="1"/>
      </c>
      <c r="CH238">
        <f ca="1"/>
      </c>
      <c r="CI238">
        <f ca="1"/>
      </c>
      <c r="CK238">
        <f ca="1"/>
      </c>
      <c r="CL238">
        <f ca="1"/>
      </c>
      <c r="CM238">
        <f ca="1"/>
      </c>
      <c r="CN238">
        <f ca="1"/>
      </c>
      <c r="CO238">
        <f ca="1"/>
      </c>
      <c r="CP238">
        <f ca="1"/>
      </c>
      <c r="CQ238">
        <f ca="1"/>
      </c>
      <c r="CR238">
        <f ca="1"/>
      </c>
      <c r="CS238">
        <f ca="1"/>
      </c>
      <c r="CT238">
        <f ca="1"/>
      </c>
      <c r="CU238">
        <f ca="1"/>
      </c>
      <c r="CV238">
        <f ca="1"/>
      </c>
      <c r="CW238">
        <f ca="1"/>
      </c>
      <c r="CX238">
        <f ca="1"/>
      </c>
      <c r="CY238">
        <f ca="1"/>
      </c>
      <c r="CZ238">
        <f ca="1"/>
      </c>
      <c r="DA238">
        <f ca="1"/>
      </c>
      <c r="DB238">
        <f ca="1"/>
      </c>
      <c r="DC238">
        <f ca="1"/>
      </c>
      <c r="DD238">
        <f ca="1"/>
      </c>
      <c r="DE238">
        <f ca="1"/>
      </c>
      <c r="DF238">
        <f ca="1"/>
      </c>
      <c r="DG238">
        <f ca="1"/>
      </c>
      <c r="DH238">
        <f ca="1"/>
      </c>
      <c r="DI238">
        <f ca="1"/>
      </c>
      <c r="DJ238">
        <f ca="1"/>
      </c>
      <c r="DK238">
        <f ca="1"/>
      </c>
      <c r="DL238">
        <f ca="1"/>
      </c>
      <c r="DM238">
        <f ca="1"/>
      </c>
      <c r="DN238">
        <f ca="1"/>
      </c>
      <c r="DO238">
        <f ca="1"/>
      </c>
      <c r="DP238">
        <f ca="1"/>
      </c>
      <c r="DQ238">
        <f ca="1"/>
      </c>
      <c r="DR238">
        <f ca="1"/>
      </c>
      <c r="DS238">
        <f ca="1"/>
      </c>
      <c r="DT238">
        <f ca="1"/>
      </c>
      <c r="DU238">
        <f ca="1"/>
      </c>
      <c r="DV238">
        <f ca="1"/>
      </c>
      <c r="DW238">
        <f ca="1"/>
      </c>
      <c r="DX238">
        <f ca="1"/>
      </c>
      <c r="DY238">
        <f ca="1"/>
      </c>
      <c r="DZ238">
        <f ca="1"/>
      </c>
      <c r="EA238">
        <f ca="1"/>
      </c>
      <c r="EB238">
        <f ca="1"/>
      </c>
      <c r="EC238">
        <f ca="1"/>
      </c>
      <c r="ED238">
        <f ca="1"/>
      </c>
      <c r="EE238">
        <f ca="1"/>
      </c>
      <c r="EG238">
        <f ca="1"/>
      </c>
      <c r="EH238">
        <f ca="1"/>
      </c>
      <c r="EI238">
        <f ca="1"/>
      </c>
      <c r="EJ238">
        <f ca="1"/>
      </c>
      <c r="EK238">
        <f ca="1"/>
      </c>
      <c r="EL238">
        <f ca="1"/>
      </c>
      <c r="EM238">
        <f ca="1"/>
      </c>
      <c r="EN238">
        <f ca="1"/>
      </c>
      <c r="EO238">
        <f ca="1"/>
      </c>
      <c r="EP238">
        <f ca="1"/>
      </c>
      <c r="EQ238">
        <f ca="1"/>
      </c>
      <c r="ER238">
        <f ca="1"/>
      </c>
      <c r="ES238">
        <f ca="1"/>
      </c>
      <c r="ET238">
        <f ca="1"/>
      </c>
      <c r="EU238">
        <f ca="1"/>
      </c>
      <c r="EV238">
        <f ca="1"/>
      </c>
      <c r="EW238">
        <f ca="1"/>
      </c>
      <c r="EX238">
        <f ca="1"/>
      </c>
      <c r="EY238">
        <f ca="1"/>
      </c>
      <c r="EZ238">
        <f ca="1"/>
      </c>
      <c r="FA238">
        <f ca="1"/>
      </c>
      <c r="FB238">
        <f ca="1"/>
      </c>
      <c r="FC238">
        <f ca="1"/>
      </c>
      <c r="FD238">
        <f ca="1"/>
      </c>
      <c r="FE238">
        <f ca="1"/>
      </c>
      <c r="FF238">
        <f ca="1"/>
      </c>
      <c r="FG238">
        <f ca="1"/>
      </c>
      <c r="FH238">
        <f ca="1"/>
      </c>
      <c r="FI238">
        <f ca="1"/>
      </c>
      <c r="FJ238">
        <f ca="1"/>
      </c>
      <c r="FK238">
        <f ca="1"/>
      </c>
      <c r="FL238">
        <f ca="1"/>
      </c>
      <c r="FM238">
        <f ca="1"/>
      </c>
      <c r="FN238">
        <f ca="1"/>
      </c>
      <c r="FO238">
        <f ca="1"/>
      </c>
      <c r="FP238">
        <f ca="1"/>
      </c>
      <c r="FQ238">
        <f ca="1"/>
      </c>
      <c r="FR238">
        <f ca="1"/>
      </c>
      <c r="FS238">
        <f ca="1"/>
      </c>
      <c r="FT238">
        <f ca="1"/>
      </c>
      <c r="FU238">
        <f ca="1"/>
      </c>
      <c r="FV238">
        <f ca="1"/>
      </c>
      <c r="FW238">
        <f ca="1"/>
      </c>
      <c r="FX238">
        <f ca="1"/>
      </c>
      <c r="FY238">
        <f ca="1"/>
      </c>
      <c r="FZ238">
        <f ca="1"/>
      </c>
      <c r="GA238">
        <f ca="1"/>
      </c>
      <c r="GM238" s="7">
        <f ca="1"/>
      </c>
      <c r="GN238">
        <f ca="1"/>
      </c>
      <c r="GO238">
        <f ca="1"/>
      </c>
      <c r="GP238">
        <f ca="1"/>
      </c>
      <c r="GQ238">
        <f ca="1"/>
      </c>
    </row>
    <row r="239" spans="41:199" x14ac:dyDescent="0.55000000000000004">
      <c r="AO239">
        <f ca="1"/>
      </c>
      <c r="AP239">
        <f ca="1"/>
      </c>
      <c r="AQ239">
        <f ca="1"/>
      </c>
      <c r="AR239">
        <f ca="1"/>
      </c>
      <c r="AS239">
        <f ca="1"/>
      </c>
      <c r="AT239">
        <f ca="1"/>
      </c>
      <c r="AU239">
        <f ca="1"/>
      </c>
      <c r="AV239">
        <f ca="1"/>
      </c>
      <c r="AW239">
        <f ca="1"/>
      </c>
      <c r="AX239">
        <f ca="1"/>
      </c>
      <c r="AY239">
        <f ca="1"/>
      </c>
      <c r="AZ239">
        <f ca="1"/>
      </c>
      <c r="BA239">
        <f ca="1"/>
      </c>
      <c r="BB239">
        <f ca="1"/>
      </c>
      <c r="BC239">
        <f ca="1"/>
      </c>
      <c r="BD239">
        <f ca="1"/>
      </c>
      <c r="BE239">
        <f ca="1"/>
      </c>
      <c r="BF239">
        <f ca="1"/>
      </c>
      <c r="BG239">
        <f ca="1"/>
      </c>
      <c r="BH239">
        <f ca="1"/>
      </c>
      <c r="BI239">
        <f ca="1"/>
      </c>
      <c r="BJ239">
        <f ca="1"/>
      </c>
      <c r="BK239">
        <f ca="1"/>
      </c>
      <c r="BL239">
        <f ca="1"/>
      </c>
      <c r="BM239">
        <f ca="1"/>
      </c>
      <c r="BN239">
        <f ca="1"/>
      </c>
      <c r="BO239">
        <f ca="1"/>
      </c>
      <c r="BP239">
        <f ca="1"/>
      </c>
      <c r="BQ239">
        <f ca="1"/>
      </c>
      <c r="BR239">
        <f ca="1"/>
      </c>
      <c r="BS239">
        <f ca="1"/>
      </c>
      <c r="BT239">
        <f ca="1"/>
      </c>
      <c r="BU239">
        <f ca="1"/>
      </c>
      <c r="BV239">
        <f ca="1"/>
      </c>
      <c r="BW239">
        <f ca="1"/>
      </c>
      <c r="BX239">
        <f ca="1"/>
      </c>
      <c r="BY239">
        <f ca="1"/>
      </c>
      <c r="BZ239">
        <f ca="1"/>
      </c>
      <c r="CA239">
        <f ca="1"/>
      </c>
      <c r="CB239">
        <f ca="1"/>
      </c>
      <c r="CC239">
        <f ca="1"/>
      </c>
      <c r="CD239">
        <f ca="1"/>
      </c>
      <c r="CE239">
        <f ca="1"/>
      </c>
      <c r="CF239">
        <f ca="1"/>
      </c>
      <c r="CG239">
        <f ca="1"/>
      </c>
      <c r="CH239">
        <f ca="1"/>
      </c>
      <c r="CI239">
        <f ca="1"/>
      </c>
      <c r="CK239">
        <f ca="1"/>
      </c>
      <c r="CL239">
        <f ca="1"/>
      </c>
      <c r="CM239">
        <f ca="1"/>
      </c>
      <c r="CN239">
        <f ca="1"/>
      </c>
      <c r="CO239">
        <f ca="1"/>
      </c>
      <c r="CP239">
        <f ca="1"/>
      </c>
      <c r="CQ239">
        <f ca="1"/>
      </c>
      <c r="CR239">
        <f ca="1"/>
      </c>
      <c r="CS239">
        <f ca="1"/>
      </c>
      <c r="CT239">
        <f ca="1"/>
      </c>
      <c r="CU239">
        <f ca="1"/>
      </c>
      <c r="CV239">
        <f ca="1"/>
      </c>
      <c r="CW239">
        <f ca="1"/>
      </c>
      <c r="CX239">
        <f ca="1"/>
      </c>
      <c r="CY239">
        <f ca="1"/>
      </c>
      <c r="CZ239">
        <f ca="1"/>
      </c>
      <c r="DA239">
        <f ca="1"/>
      </c>
      <c r="DB239">
        <f ca="1"/>
      </c>
      <c r="DC239">
        <f ca="1"/>
      </c>
      <c r="DD239">
        <f ca="1"/>
      </c>
      <c r="DE239">
        <f ca="1"/>
      </c>
      <c r="DF239">
        <f ca="1"/>
      </c>
      <c r="DG239">
        <f ca="1"/>
      </c>
      <c r="DH239">
        <f ca="1"/>
      </c>
      <c r="DI239">
        <f ca="1"/>
      </c>
      <c r="DJ239">
        <f ca="1"/>
      </c>
      <c r="DK239">
        <f ca="1"/>
      </c>
      <c r="DL239">
        <f ca="1"/>
      </c>
      <c r="DM239">
        <f ca="1"/>
      </c>
      <c r="DN239">
        <f ca="1"/>
      </c>
      <c r="DO239">
        <f ca="1"/>
      </c>
      <c r="DP239">
        <f ca="1"/>
      </c>
      <c r="DQ239">
        <f ca="1"/>
      </c>
      <c r="DR239">
        <f ca="1"/>
      </c>
      <c r="DS239">
        <f ca="1"/>
      </c>
      <c r="DT239">
        <f ca="1"/>
      </c>
      <c r="DU239">
        <f ca="1"/>
      </c>
      <c r="DV239">
        <f ca="1"/>
      </c>
      <c r="DW239">
        <f ca="1"/>
      </c>
      <c r="DX239">
        <f ca="1"/>
      </c>
      <c r="DY239">
        <f ca="1"/>
      </c>
      <c r="DZ239">
        <f ca="1"/>
      </c>
      <c r="EA239">
        <f ca="1"/>
      </c>
      <c r="EB239">
        <f ca="1"/>
      </c>
      <c r="EC239">
        <f ca="1"/>
      </c>
      <c r="ED239">
        <f ca="1"/>
      </c>
      <c r="EE239">
        <f ca="1"/>
      </c>
      <c r="EG239">
        <f ca="1"/>
      </c>
      <c r="EH239">
        <f ca="1"/>
      </c>
      <c r="EI239">
        <f ca="1"/>
      </c>
      <c r="EJ239">
        <f ca="1"/>
      </c>
      <c r="EK239">
        <f ca="1"/>
      </c>
      <c r="EL239">
        <f ca="1"/>
      </c>
      <c r="EM239">
        <f ca="1"/>
      </c>
      <c r="EN239">
        <f ca="1"/>
      </c>
      <c r="EO239">
        <f ca="1"/>
      </c>
      <c r="EP239">
        <f ca="1"/>
      </c>
      <c r="EQ239">
        <f ca="1"/>
      </c>
      <c r="ER239">
        <f ca="1"/>
      </c>
      <c r="ES239">
        <f ca="1"/>
      </c>
      <c r="ET239">
        <f ca="1"/>
      </c>
      <c r="EU239">
        <f ca="1"/>
      </c>
      <c r="EV239">
        <f ca="1"/>
      </c>
      <c r="EW239">
        <f ca="1"/>
      </c>
      <c r="EX239">
        <f ca="1"/>
      </c>
      <c r="EY239">
        <f ca="1"/>
      </c>
      <c r="EZ239">
        <f ca="1"/>
      </c>
      <c r="FA239">
        <f ca="1"/>
      </c>
      <c r="FB239">
        <f ca="1"/>
      </c>
      <c r="FC239">
        <f ca="1"/>
      </c>
      <c r="FD239">
        <f ca="1"/>
      </c>
      <c r="FE239">
        <f ca="1"/>
      </c>
      <c r="FF239">
        <f ca="1"/>
      </c>
      <c r="FG239">
        <f ca="1"/>
      </c>
      <c r="FH239">
        <f ca="1"/>
      </c>
      <c r="FI239">
        <f ca="1"/>
      </c>
      <c r="FJ239">
        <f ca="1"/>
      </c>
      <c r="FK239">
        <f ca="1"/>
      </c>
      <c r="FL239">
        <f ca="1"/>
      </c>
      <c r="FM239">
        <f ca="1"/>
      </c>
      <c r="FN239">
        <f ca="1"/>
      </c>
      <c r="FO239">
        <f ca="1"/>
      </c>
      <c r="FP239">
        <f ca="1"/>
      </c>
      <c r="FQ239">
        <f ca="1"/>
      </c>
      <c r="FR239">
        <f ca="1"/>
      </c>
      <c r="FS239">
        <f ca="1"/>
      </c>
      <c r="FT239">
        <f ca="1"/>
      </c>
      <c r="FU239">
        <f ca="1"/>
      </c>
      <c r="FV239">
        <f ca="1"/>
      </c>
      <c r="FW239">
        <f ca="1"/>
      </c>
      <c r="FX239">
        <f ca="1"/>
      </c>
      <c r="FY239">
        <f ca="1"/>
      </c>
      <c r="FZ239">
        <f ca="1"/>
      </c>
      <c r="GA239">
        <f ca="1"/>
      </c>
      <c r="GM239" s="7">
        <f ca="1"/>
      </c>
      <c r="GN239">
        <f ca="1"/>
      </c>
      <c r="GO239">
        <f ca="1"/>
      </c>
      <c r="GP239">
        <f ca="1"/>
      </c>
      <c r="GQ239">
        <f ca="1"/>
      </c>
    </row>
    <row r="240" spans="41:199" x14ac:dyDescent="0.55000000000000004">
      <c r="AO240">
        <f ca="1"/>
      </c>
      <c r="AP240">
        <f ca="1"/>
      </c>
      <c r="AQ240">
        <f ca="1"/>
      </c>
      <c r="AR240">
        <f ca="1"/>
      </c>
      <c r="AS240">
        <f ca="1"/>
      </c>
      <c r="AT240">
        <f ca="1"/>
      </c>
      <c r="AU240">
        <f ca="1"/>
      </c>
      <c r="AV240">
        <f ca="1"/>
      </c>
      <c r="AW240">
        <f ca="1"/>
      </c>
      <c r="AX240">
        <f ca="1"/>
      </c>
      <c r="AY240">
        <f ca="1"/>
      </c>
      <c r="AZ240">
        <f ca="1"/>
      </c>
      <c r="BA240">
        <f ca="1"/>
      </c>
      <c r="BB240">
        <f ca="1"/>
      </c>
      <c r="BC240">
        <f ca="1"/>
      </c>
      <c r="BD240">
        <f ca="1"/>
      </c>
      <c r="BE240">
        <f ca="1"/>
      </c>
      <c r="BF240">
        <f ca="1"/>
      </c>
      <c r="BG240">
        <f ca="1"/>
      </c>
      <c r="BH240">
        <f ca="1"/>
      </c>
      <c r="BI240">
        <f ca="1"/>
      </c>
      <c r="BJ240">
        <f ca="1"/>
      </c>
      <c r="BK240">
        <f ca="1"/>
      </c>
      <c r="BL240">
        <f ca="1"/>
      </c>
      <c r="BM240">
        <f ca="1"/>
      </c>
      <c r="BN240">
        <f ca="1"/>
      </c>
      <c r="BO240">
        <f ca="1"/>
      </c>
      <c r="BP240">
        <f ca="1"/>
      </c>
      <c r="BQ240">
        <f ca="1"/>
      </c>
      <c r="BR240">
        <f ca="1"/>
      </c>
      <c r="BS240">
        <f ca="1"/>
      </c>
      <c r="BT240">
        <f ca="1"/>
      </c>
      <c r="BU240">
        <f ca="1"/>
      </c>
      <c r="BV240">
        <f ca="1"/>
      </c>
      <c r="BW240">
        <f ca="1"/>
      </c>
      <c r="BX240">
        <f ca="1"/>
      </c>
      <c r="BY240">
        <f ca="1"/>
      </c>
      <c r="BZ240">
        <f ca="1"/>
      </c>
      <c r="CA240">
        <f ca="1"/>
      </c>
      <c r="CB240">
        <f ca="1"/>
      </c>
      <c r="CC240">
        <f ca="1"/>
      </c>
      <c r="CD240">
        <f ca="1"/>
      </c>
      <c r="CE240">
        <f ca="1"/>
      </c>
      <c r="CF240">
        <f ca="1"/>
      </c>
      <c r="CG240">
        <f ca="1"/>
      </c>
      <c r="CH240">
        <f ca="1"/>
      </c>
      <c r="CI240">
        <f ca="1"/>
      </c>
      <c r="CK240">
        <f ca="1"/>
      </c>
      <c r="CL240">
        <f ca="1"/>
      </c>
      <c r="CM240">
        <f ca="1"/>
      </c>
      <c r="CN240">
        <f ca="1"/>
      </c>
      <c r="CO240">
        <f ca="1"/>
      </c>
      <c r="CP240">
        <f ca="1"/>
      </c>
      <c r="CQ240">
        <f ca="1"/>
      </c>
      <c r="CR240">
        <f ca="1"/>
      </c>
      <c r="CS240">
        <f ca="1"/>
      </c>
      <c r="CT240">
        <f ca="1"/>
      </c>
      <c r="CU240">
        <f ca="1"/>
      </c>
      <c r="CV240">
        <f ca="1"/>
      </c>
      <c r="CW240">
        <f ca="1"/>
      </c>
      <c r="CX240">
        <f ca="1"/>
      </c>
      <c r="CY240">
        <f ca="1"/>
      </c>
      <c r="CZ240">
        <f ca="1"/>
      </c>
      <c r="DA240">
        <f ca="1"/>
      </c>
      <c r="DB240">
        <f ca="1"/>
      </c>
      <c r="DC240">
        <f ca="1"/>
      </c>
      <c r="DD240">
        <f ca="1"/>
      </c>
      <c r="DE240">
        <f ca="1"/>
      </c>
      <c r="DF240">
        <f ca="1"/>
      </c>
      <c r="DG240">
        <f ca="1"/>
      </c>
      <c r="DH240">
        <f ca="1"/>
      </c>
      <c r="DI240">
        <f ca="1"/>
      </c>
      <c r="DJ240">
        <f ca="1"/>
      </c>
      <c r="DK240">
        <f ca="1"/>
      </c>
      <c r="DL240">
        <f ca="1"/>
      </c>
      <c r="DM240">
        <f ca="1"/>
      </c>
      <c r="DN240">
        <f ca="1"/>
      </c>
      <c r="DO240">
        <f ca="1"/>
      </c>
      <c r="DP240">
        <f ca="1"/>
      </c>
      <c r="DQ240">
        <f ca="1"/>
      </c>
      <c r="DR240">
        <f ca="1"/>
      </c>
      <c r="DS240">
        <f ca="1"/>
      </c>
      <c r="DT240">
        <f ca="1"/>
      </c>
      <c r="DU240">
        <f ca="1"/>
      </c>
      <c r="DV240">
        <f ca="1"/>
      </c>
      <c r="DW240">
        <f ca="1"/>
      </c>
      <c r="DX240">
        <f ca="1"/>
      </c>
      <c r="DY240">
        <f ca="1"/>
      </c>
      <c r="DZ240">
        <f ca="1"/>
      </c>
      <c r="EA240">
        <f ca="1"/>
      </c>
      <c r="EB240">
        <f ca="1"/>
      </c>
      <c r="EC240">
        <f ca="1"/>
      </c>
      <c r="ED240">
        <f ca="1"/>
      </c>
      <c r="EE240">
        <f ca="1"/>
      </c>
      <c r="EG240">
        <f ca="1"/>
      </c>
      <c r="EH240">
        <f ca="1"/>
      </c>
      <c r="EI240">
        <f ca="1"/>
      </c>
      <c r="EJ240">
        <f ca="1"/>
      </c>
      <c r="EK240">
        <f ca="1"/>
      </c>
      <c r="EL240">
        <f ca="1"/>
      </c>
      <c r="EM240">
        <f ca="1"/>
      </c>
      <c r="EN240">
        <f ca="1"/>
      </c>
      <c r="EO240">
        <f ca="1"/>
      </c>
      <c r="EP240">
        <f ca="1"/>
      </c>
      <c r="EQ240">
        <f ca="1"/>
      </c>
      <c r="ER240">
        <f ca="1"/>
      </c>
      <c r="ES240">
        <f ca="1"/>
      </c>
      <c r="ET240">
        <f ca="1"/>
      </c>
      <c r="EU240">
        <f ca="1"/>
      </c>
      <c r="EV240">
        <f ca="1"/>
      </c>
      <c r="EW240">
        <f ca="1"/>
      </c>
      <c r="EX240">
        <f ca="1"/>
      </c>
      <c r="EY240">
        <f ca="1"/>
      </c>
      <c r="EZ240">
        <f ca="1"/>
      </c>
      <c r="FA240">
        <f ca="1"/>
      </c>
      <c r="FB240">
        <f ca="1"/>
      </c>
      <c r="FC240">
        <f ca="1"/>
      </c>
      <c r="FD240">
        <f ca="1"/>
      </c>
      <c r="FE240">
        <f ca="1"/>
      </c>
      <c r="FF240">
        <f ca="1"/>
      </c>
      <c r="FG240">
        <f ca="1"/>
      </c>
      <c r="FH240">
        <f ca="1"/>
      </c>
      <c r="FI240">
        <f ca="1"/>
      </c>
      <c r="FJ240">
        <f ca="1"/>
      </c>
      <c r="FK240">
        <f ca="1"/>
      </c>
      <c r="FL240">
        <f ca="1"/>
      </c>
      <c r="FM240">
        <f ca="1"/>
      </c>
      <c r="FN240">
        <f ca="1"/>
      </c>
      <c r="FO240">
        <f ca="1"/>
      </c>
      <c r="FP240">
        <f ca="1"/>
      </c>
      <c r="FQ240">
        <f ca="1"/>
      </c>
      <c r="FR240">
        <f ca="1"/>
      </c>
      <c r="FS240">
        <f ca="1"/>
      </c>
      <c r="FT240">
        <f ca="1"/>
      </c>
      <c r="FU240">
        <f ca="1"/>
      </c>
      <c r="FV240">
        <f ca="1"/>
      </c>
      <c r="FW240">
        <f ca="1"/>
      </c>
      <c r="FX240">
        <f ca="1"/>
      </c>
      <c r="FY240">
        <f ca="1"/>
      </c>
      <c r="FZ240">
        <f ca="1"/>
      </c>
      <c r="GA240">
        <f ca="1"/>
      </c>
      <c r="GM240" s="7">
        <f ca="1"/>
      </c>
      <c r="GN240">
        <f ca="1"/>
      </c>
      <c r="GO240">
        <f ca="1"/>
      </c>
      <c r="GP240">
        <f ca="1"/>
      </c>
      <c r="GQ240">
        <f ca="1"/>
      </c>
    </row>
    <row r="241" spans="41:199" x14ac:dyDescent="0.55000000000000004">
      <c r="AO241">
        <f ca="1"/>
      </c>
      <c r="AP241">
        <f ca="1"/>
      </c>
      <c r="AQ241">
        <f ca="1"/>
      </c>
      <c r="AR241">
        <f ca="1"/>
      </c>
      <c r="AS241">
        <f ca="1"/>
      </c>
      <c r="AT241">
        <f ca="1"/>
      </c>
      <c r="AU241">
        <f ca="1"/>
      </c>
      <c r="AV241">
        <f ca="1"/>
      </c>
      <c r="AW241">
        <f ca="1"/>
      </c>
      <c r="AX241">
        <f ca="1"/>
      </c>
      <c r="AY241">
        <f ca="1"/>
      </c>
      <c r="AZ241">
        <f ca="1"/>
      </c>
      <c r="BA241">
        <f ca="1"/>
      </c>
      <c r="BB241">
        <f ca="1"/>
      </c>
      <c r="BC241">
        <f ca="1"/>
      </c>
      <c r="BD241">
        <f ca="1"/>
      </c>
      <c r="BE241">
        <f ca="1"/>
      </c>
      <c r="BF241">
        <f ca="1"/>
      </c>
      <c r="BG241">
        <f ca="1"/>
      </c>
      <c r="BH241">
        <f ca="1"/>
      </c>
      <c r="BI241">
        <f ca="1"/>
      </c>
      <c r="BJ241">
        <f ca="1"/>
      </c>
      <c r="BK241">
        <f ca="1"/>
      </c>
      <c r="BL241">
        <f ca="1"/>
      </c>
      <c r="BM241">
        <f ca="1"/>
      </c>
      <c r="BN241">
        <f ca="1"/>
      </c>
      <c r="BO241">
        <f ca="1"/>
      </c>
      <c r="BP241">
        <f ca="1"/>
      </c>
      <c r="BQ241">
        <f ca="1"/>
      </c>
      <c r="BR241">
        <f ca="1"/>
      </c>
      <c r="BS241">
        <f ca="1"/>
      </c>
      <c r="BT241">
        <f ca="1"/>
      </c>
      <c r="BU241">
        <f ca="1"/>
      </c>
      <c r="BV241">
        <f ca="1"/>
      </c>
      <c r="BW241">
        <f ca="1"/>
      </c>
      <c r="BX241">
        <f ca="1"/>
      </c>
      <c r="BY241">
        <f ca="1"/>
      </c>
      <c r="BZ241">
        <f ca="1"/>
      </c>
      <c r="CA241">
        <f ca="1"/>
      </c>
      <c r="CB241">
        <f ca="1"/>
      </c>
      <c r="CC241">
        <f ca="1"/>
      </c>
      <c r="CD241">
        <f ca="1"/>
      </c>
      <c r="CE241">
        <f ca="1"/>
      </c>
      <c r="CF241">
        <f ca="1"/>
      </c>
      <c r="CG241">
        <f ca="1"/>
      </c>
      <c r="CH241">
        <f ca="1"/>
      </c>
      <c r="CI241">
        <f ca="1"/>
      </c>
      <c r="CK241">
        <f ca="1"/>
      </c>
      <c r="CL241">
        <f ca="1"/>
      </c>
      <c r="CM241">
        <f ca="1"/>
      </c>
      <c r="CN241">
        <f ca="1"/>
      </c>
      <c r="CO241">
        <f ca="1"/>
      </c>
      <c r="CP241">
        <f ca="1"/>
      </c>
      <c r="CQ241">
        <f ca="1"/>
      </c>
      <c r="CR241">
        <f ca="1"/>
      </c>
      <c r="CS241">
        <f ca="1"/>
      </c>
      <c r="CT241">
        <f ca="1"/>
      </c>
      <c r="CU241">
        <f ca="1"/>
      </c>
      <c r="CV241">
        <f ca="1"/>
      </c>
      <c r="CW241">
        <f ca="1"/>
      </c>
      <c r="CX241">
        <f ca="1"/>
      </c>
      <c r="CY241">
        <f ca="1"/>
      </c>
      <c r="CZ241">
        <f ca="1"/>
      </c>
      <c r="DA241">
        <f ca="1"/>
      </c>
      <c r="DB241">
        <f ca="1"/>
      </c>
      <c r="DC241">
        <f ca="1"/>
      </c>
      <c r="DD241">
        <f ca="1"/>
      </c>
      <c r="DE241">
        <f ca="1"/>
      </c>
      <c r="DF241">
        <f ca="1"/>
      </c>
      <c r="DG241">
        <f ca="1"/>
      </c>
      <c r="DH241">
        <f ca="1"/>
      </c>
      <c r="DI241">
        <f ca="1"/>
      </c>
      <c r="DJ241">
        <f ca="1"/>
      </c>
      <c r="DK241">
        <f ca="1"/>
      </c>
      <c r="DL241">
        <f ca="1"/>
      </c>
      <c r="DM241">
        <f ca="1"/>
      </c>
      <c r="DN241">
        <f ca="1"/>
      </c>
      <c r="DO241">
        <f ca="1"/>
      </c>
      <c r="DP241">
        <f ca="1"/>
      </c>
      <c r="DQ241">
        <f ca="1"/>
      </c>
      <c r="DR241">
        <f ca="1"/>
      </c>
      <c r="DS241">
        <f ca="1"/>
      </c>
      <c r="DT241">
        <f ca="1"/>
      </c>
      <c r="DU241">
        <f ca="1"/>
      </c>
      <c r="DV241">
        <f ca="1"/>
      </c>
      <c r="DW241">
        <f ca="1"/>
      </c>
      <c r="DX241">
        <f ca="1"/>
      </c>
      <c r="DY241">
        <f ca="1"/>
      </c>
      <c r="DZ241">
        <f ca="1"/>
      </c>
      <c r="EA241">
        <f ca="1"/>
      </c>
      <c r="EB241">
        <f ca="1"/>
      </c>
      <c r="EC241">
        <f ca="1"/>
      </c>
      <c r="ED241">
        <f ca="1"/>
      </c>
      <c r="EE241">
        <f ca="1"/>
      </c>
      <c r="EG241">
        <f ca="1"/>
      </c>
      <c r="EH241">
        <f ca="1"/>
      </c>
      <c r="EI241">
        <f ca="1"/>
      </c>
      <c r="EJ241">
        <f ca="1"/>
      </c>
      <c r="EK241">
        <f ca="1"/>
      </c>
      <c r="EL241">
        <f ca="1"/>
      </c>
      <c r="EM241">
        <f ca="1"/>
      </c>
      <c r="EN241">
        <f ca="1"/>
      </c>
      <c r="EO241">
        <f ca="1"/>
      </c>
      <c r="EP241">
        <f ca="1"/>
      </c>
      <c r="EQ241">
        <f ca="1"/>
      </c>
      <c r="ER241">
        <f ca="1"/>
      </c>
      <c r="ES241">
        <f ca="1"/>
      </c>
      <c r="ET241">
        <f ca="1"/>
      </c>
      <c r="EU241">
        <f ca="1"/>
      </c>
      <c r="EV241">
        <f ca="1"/>
      </c>
      <c r="EW241">
        <f ca="1"/>
      </c>
      <c r="EX241">
        <f ca="1"/>
      </c>
      <c r="EY241">
        <f ca="1"/>
      </c>
      <c r="EZ241">
        <f ca="1"/>
      </c>
      <c r="FA241">
        <f ca="1"/>
      </c>
      <c r="FB241">
        <f ca="1"/>
      </c>
      <c r="FC241">
        <f ca="1"/>
      </c>
      <c r="FD241">
        <f ca="1"/>
      </c>
      <c r="FE241">
        <f ca="1"/>
      </c>
      <c r="FF241">
        <f ca="1"/>
      </c>
      <c r="FG241">
        <f ca="1"/>
      </c>
      <c r="FH241">
        <f ca="1"/>
      </c>
      <c r="FI241">
        <f ca="1"/>
      </c>
      <c r="FJ241">
        <f ca="1"/>
      </c>
      <c r="FK241">
        <f ca="1"/>
      </c>
      <c r="FL241">
        <f ca="1"/>
      </c>
      <c r="FM241">
        <f ca="1"/>
      </c>
      <c r="FN241">
        <f ca="1"/>
      </c>
      <c r="FO241">
        <f ca="1"/>
      </c>
      <c r="FP241">
        <f ca="1"/>
      </c>
      <c r="FQ241">
        <f ca="1"/>
      </c>
      <c r="FR241">
        <f ca="1"/>
      </c>
      <c r="FS241">
        <f ca="1"/>
      </c>
      <c r="FT241">
        <f ca="1"/>
      </c>
      <c r="FU241">
        <f ca="1"/>
      </c>
      <c r="FV241">
        <f ca="1"/>
      </c>
      <c r="FW241">
        <f ca="1"/>
      </c>
      <c r="FX241">
        <f ca="1"/>
      </c>
      <c r="FY241">
        <f ca="1"/>
      </c>
      <c r="FZ241">
        <f ca="1"/>
      </c>
      <c r="GA241">
        <f ca="1"/>
      </c>
      <c r="GM241" s="7">
        <f ca="1"/>
      </c>
      <c r="GN241">
        <f ca="1"/>
      </c>
      <c r="GO241">
        <f ca="1"/>
      </c>
      <c r="GP241">
        <f ca="1"/>
      </c>
      <c r="GQ241">
        <f ca="1"/>
      </c>
    </row>
    <row r="242" spans="41:199" x14ac:dyDescent="0.55000000000000004">
      <c r="AO242">
        <f ca="1"/>
      </c>
      <c r="AP242">
        <f ca="1"/>
      </c>
      <c r="AQ242">
        <f ca="1"/>
      </c>
      <c r="AR242">
        <f ca="1"/>
      </c>
      <c r="AS242">
        <f ca="1"/>
      </c>
      <c r="AT242">
        <f ca="1"/>
      </c>
      <c r="AU242">
        <f ca="1"/>
      </c>
      <c r="AV242">
        <f ca="1"/>
      </c>
      <c r="AW242">
        <f ca="1"/>
      </c>
      <c r="AX242">
        <f ca="1"/>
      </c>
      <c r="AY242">
        <f ca="1"/>
      </c>
      <c r="AZ242">
        <f ca="1"/>
      </c>
      <c r="BA242">
        <f ca="1"/>
      </c>
      <c r="BB242">
        <f ca="1"/>
      </c>
      <c r="BC242">
        <f ca="1"/>
      </c>
      <c r="BD242">
        <f ca="1"/>
      </c>
      <c r="BE242">
        <f ca="1"/>
      </c>
      <c r="BF242">
        <f ca="1"/>
      </c>
      <c r="BG242">
        <f ca="1"/>
      </c>
      <c r="BH242">
        <f ca="1"/>
      </c>
      <c r="BI242">
        <f ca="1"/>
      </c>
      <c r="BJ242">
        <f ca="1"/>
      </c>
      <c r="BK242">
        <f ca="1"/>
      </c>
      <c r="BL242">
        <f ca="1"/>
      </c>
      <c r="BM242">
        <f ca="1"/>
      </c>
      <c r="BN242">
        <f ca="1"/>
      </c>
      <c r="BO242">
        <f ca="1"/>
      </c>
      <c r="BP242">
        <f ca="1"/>
      </c>
      <c r="BQ242">
        <f ca="1"/>
      </c>
      <c r="BR242">
        <f ca="1"/>
      </c>
      <c r="BS242">
        <f ca="1"/>
      </c>
      <c r="BT242">
        <f ca="1"/>
      </c>
      <c r="BU242">
        <f ca="1"/>
      </c>
      <c r="BV242">
        <f ca="1"/>
      </c>
      <c r="BW242">
        <f ca="1"/>
      </c>
      <c r="BX242">
        <f ca="1"/>
      </c>
      <c r="BY242">
        <f ca="1"/>
      </c>
      <c r="BZ242">
        <f ca="1"/>
      </c>
      <c r="CA242">
        <f ca="1"/>
      </c>
      <c r="CB242">
        <f ca="1"/>
      </c>
      <c r="CC242">
        <f ca="1"/>
      </c>
      <c r="CD242">
        <f ca="1"/>
      </c>
      <c r="CE242">
        <f ca="1"/>
      </c>
      <c r="CF242">
        <f ca="1"/>
      </c>
      <c r="CG242">
        <f ca="1"/>
      </c>
      <c r="CH242">
        <f ca="1"/>
      </c>
      <c r="CI242">
        <f ca="1"/>
      </c>
      <c r="CK242">
        <f ca="1"/>
      </c>
      <c r="CL242">
        <f ca="1"/>
      </c>
      <c r="CM242">
        <f ca="1"/>
      </c>
      <c r="CN242">
        <f ca="1"/>
      </c>
      <c r="CO242">
        <f ca="1"/>
      </c>
      <c r="CP242">
        <f ca="1"/>
      </c>
      <c r="CQ242">
        <f ca="1"/>
      </c>
      <c r="CR242">
        <f ca="1"/>
      </c>
      <c r="CS242">
        <f ca="1"/>
      </c>
      <c r="CT242">
        <f ca="1"/>
      </c>
      <c r="CU242">
        <f ca="1"/>
      </c>
      <c r="CV242">
        <f ca="1"/>
      </c>
      <c r="CW242">
        <f ca="1"/>
      </c>
      <c r="CX242">
        <f ca="1"/>
      </c>
      <c r="CY242">
        <f ca="1"/>
      </c>
      <c r="CZ242">
        <f ca="1"/>
      </c>
      <c r="DA242">
        <f ca="1"/>
      </c>
      <c r="DB242">
        <f ca="1"/>
      </c>
      <c r="DC242">
        <f ca="1"/>
      </c>
      <c r="DD242">
        <f ca="1"/>
      </c>
      <c r="DE242">
        <f ca="1"/>
      </c>
      <c r="DF242">
        <f ca="1"/>
      </c>
      <c r="DG242">
        <f ca="1"/>
      </c>
      <c r="DH242">
        <f ca="1"/>
      </c>
      <c r="DI242">
        <f ca="1"/>
      </c>
      <c r="DJ242">
        <f ca="1"/>
      </c>
      <c r="DK242">
        <f ca="1"/>
      </c>
      <c r="DL242">
        <f ca="1"/>
      </c>
      <c r="DM242">
        <f ca="1"/>
      </c>
      <c r="DN242">
        <f ca="1"/>
      </c>
      <c r="DO242">
        <f ca="1"/>
      </c>
      <c r="DP242">
        <f ca="1"/>
      </c>
      <c r="DQ242">
        <f ca="1"/>
      </c>
      <c r="DR242">
        <f ca="1"/>
      </c>
      <c r="DS242">
        <f ca="1"/>
      </c>
      <c r="DT242">
        <f ca="1"/>
      </c>
      <c r="DU242">
        <f ca="1"/>
      </c>
      <c r="DV242">
        <f ca="1"/>
      </c>
      <c r="DW242">
        <f ca="1"/>
      </c>
      <c r="DX242">
        <f ca="1"/>
      </c>
      <c r="DY242">
        <f ca="1"/>
      </c>
      <c r="DZ242">
        <f ca="1"/>
      </c>
      <c r="EA242">
        <f ca="1"/>
      </c>
      <c r="EB242">
        <f ca="1"/>
      </c>
      <c r="EC242">
        <f ca="1"/>
      </c>
      <c r="ED242">
        <f ca="1"/>
      </c>
      <c r="EE242">
        <f ca="1"/>
      </c>
      <c r="EG242">
        <f ca="1"/>
      </c>
      <c r="EH242">
        <f ca="1"/>
      </c>
      <c r="EI242">
        <f ca="1"/>
      </c>
      <c r="EJ242">
        <f ca="1"/>
      </c>
      <c r="EK242">
        <f ca="1"/>
      </c>
      <c r="EL242">
        <f ca="1"/>
      </c>
      <c r="EM242">
        <f ca="1"/>
      </c>
      <c r="EN242">
        <f ca="1"/>
      </c>
      <c r="EO242">
        <f ca="1"/>
      </c>
      <c r="EP242">
        <f ca="1"/>
      </c>
      <c r="EQ242">
        <f ca="1"/>
      </c>
      <c r="ER242">
        <f ca="1"/>
      </c>
      <c r="ES242">
        <f ca="1"/>
      </c>
      <c r="ET242">
        <f ca="1"/>
      </c>
      <c r="EU242">
        <f ca="1"/>
      </c>
      <c r="EV242">
        <f ca="1"/>
      </c>
      <c r="EW242">
        <f ca="1"/>
      </c>
      <c r="EX242">
        <f ca="1"/>
      </c>
      <c r="EY242">
        <f ca="1"/>
      </c>
      <c r="EZ242">
        <f ca="1"/>
      </c>
      <c r="FA242">
        <f ca="1"/>
      </c>
      <c r="FB242">
        <f ca="1"/>
      </c>
      <c r="FC242">
        <f ca="1"/>
      </c>
      <c r="FD242">
        <f ca="1"/>
      </c>
      <c r="FE242">
        <f ca="1"/>
      </c>
      <c r="FF242">
        <f ca="1"/>
      </c>
      <c r="FG242">
        <f ca="1"/>
      </c>
      <c r="FH242">
        <f ca="1"/>
      </c>
      <c r="FI242">
        <f ca="1"/>
      </c>
      <c r="FJ242">
        <f ca="1"/>
      </c>
      <c r="FK242">
        <f ca="1"/>
      </c>
      <c r="FL242">
        <f ca="1"/>
      </c>
      <c r="FM242">
        <f ca="1"/>
      </c>
      <c r="FN242">
        <f ca="1"/>
      </c>
      <c r="FO242">
        <f ca="1"/>
      </c>
      <c r="FP242">
        <f ca="1"/>
      </c>
      <c r="FQ242">
        <f ca="1"/>
      </c>
      <c r="FR242">
        <f ca="1"/>
      </c>
      <c r="FS242">
        <f ca="1"/>
      </c>
      <c r="FT242">
        <f ca="1"/>
      </c>
      <c r="FU242">
        <f ca="1"/>
      </c>
      <c r="FV242">
        <f ca="1"/>
      </c>
      <c r="FW242">
        <f ca="1"/>
      </c>
      <c r="FX242">
        <f ca="1"/>
      </c>
      <c r="FY242">
        <f ca="1"/>
      </c>
      <c r="FZ242">
        <f ca="1"/>
      </c>
      <c r="GA242">
        <f ca="1"/>
      </c>
      <c r="GM242" s="7">
        <f ca="1"/>
      </c>
      <c r="GN242">
        <f ca="1"/>
      </c>
      <c r="GO242">
        <f ca="1"/>
      </c>
      <c r="GP242">
        <f ca="1"/>
      </c>
      <c r="GQ242">
        <f ca="1"/>
      </c>
    </row>
    <row r="243" spans="41:199" x14ac:dyDescent="0.55000000000000004">
      <c r="AO243">
        <f ca="1"/>
      </c>
      <c r="AP243">
        <f ca="1"/>
      </c>
      <c r="AQ243">
        <f ca="1"/>
      </c>
      <c r="AR243">
        <f ca="1"/>
      </c>
      <c r="AS243">
        <f ca="1"/>
      </c>
      <c r="AT243">
        <f ca="1"/>
      </c>
      <c r="AU243">
        <f ca="1"/>
      </c>
      <c r="AV243">
        <f ca="1"/>
      </c>
      <c r="AW243">
        <f ca="1"/>
      </c>
      <c r="AX243">
        <f ca="1"/>
      </c>
      <c r="AY243">
        <f ca="1"/>
      </c>
      <c r="AZ243">
        <f ca="1"/>
      </c>
      <c r="BA243">
        <f ca="1"/>
      </c>
      <c r="BB243">
        <f ca="1"/>
      </c>
      <c r="BC243">
        <f ca="1"/>
      </c>
      <c r="BD243">
        <f ca="1"/>
      </c>
      <c r="BE243">
        <f ca="1"/>
      </c>
      <c r="BF243">
        <f ca="1"/>
      </c>
      <c r="BG243">
        <f ca="1"/>
      </c>
      <c r="BH243">
        <f ca="1"/>
      </c>
      <c r="BI243">
        <f ca="1"/>
      </c>
      <c r="BJ243">
        <f ca="1"/>
      </c>
      <c r="BK243">
        <f ca="1"/>
      </c>
      <c r="BL243">
        <f ca="1"/>
      </c>
      <c r="BM243">
        <f ca="1"/>
      </c>
      <c r="BN243">
        <f ca="1"/>
      </c>
      <c r="BO243">
        <f ca="1"/>
      </c>
      <c r="BP243">
        <f ca="1"/>
      </c>
      <c r="BQ243">
        <f ca="1"/>
      </c>
      <c r="BR243">
        <f ca="1"/>
      </c>
      <c r="BS243">
        <f ca="1"/>
      </c>
      <c r="BT243">
        <f ca="1"/>
      </c>
      <c r="BU243">
        <f ca="1"/>
      </c>
      <c r="BV243">
        <f ca="1"/>
      </c>
      <c r="BW243">
        <f ca="1"/>
      </c>
      <c r="BX243">
        <f ca="1"/>
      </c>
      <c r="BY243">
        <f ca="1"/>
      </c>
      <c r="BZ243">
        <f ca="1"/>
      </c>
      <c r="CA243">
        <f ca="1"/>
      </c>
      <c r="CB243">
        <f ca="1"/>
      </c>
      <c r="CC243">
        <f ca="1"/>
      </c>
      <c r="CD243">
        <f ca="1"/>
      </c>
      <c r="CE243">
        <f ca="1"/>
      </c>
      <c r="CF243">
        <f ca="1"/>
      </c>
      <c r="CG243">
        <f ca="1"/>
      </c>
      <c r="CH243">
        <f ca="1"/>
      </c>
      <c r="CI243">
        <f ca="1"/>
      </c>
      <c r="CK243">
        <f ca="1"/>
      </c>
      <c r="CL243">
        <f ca="1"/>
      </c>
      <c r="CM243">
        <f ca="1"/>
      </c>
      <c r="CN243">
        <f ca="1"/>
      </c>
      <c r="CO243">
        <f ca="1"/>
      </c>
      <c r="CP243">
        <f ca="1"/>
      </c>
      <c r="CQ243">
        <f ca="1"/>
      </c>
      <c r="CR243">
        <f ca="1"/>
      </c>
      <c r="CS243">
        <f ca="1"/>
      </c>
      <c r="CT243">
        <f ca="1"/>
      </c>
      <c r="CU243">
        <f ca="1"/>
      </c>
      <c r="CV243">
        <f ca="1"/>
      </c>
      <c r="CW243">
        <f ca="1"/>
      </c>
      <c r="CX243">
        <f ca="1"/>
      </c>
      <c r="CY243">
        <f ca="1"/>
      </c>
      <c r="CZ243">
        <f ca="1"/>
      </c>
      <c r="DA243">
        <f ca="1"/>
      </c>
      <c r="DB243">
        <f ca="1"/>
      </c>
      <c r="DC243">
        <f ca="1"/>
      </c>
      <c r="DD243">
        <f ca="1"/>
      </c>
      <c r="DE243">
        <f ca="1"/>
      </c>
      <c r="DF243">
        <f ca="1"/>
      </c>
      <c r="DG243">
        <f ca="1"/>
      </c>
      <c r="DH243">
        <f ca="1"/>
      </c>
      <c r="DI243">
        <f ca="1"/>
      </c>
      <c r="DJ243">
        <f ca="1"/>
      </c>
      <c r="DK243">
        <f ca="1"/>
      </c>
      <c r="DL243">
        <f ca="1"/>
      </c>
      <c r="DM243">
        <f ca="1"/>
      </c>
      <c r="DN243">
        <f ca="1"/>
      </c>
      <c r="DO243">
        <f ca="1"/>
      </c>
      <c r="DP243">
        <f ca="1"/>
      </c>
      <c r="DQ243">
        <f ca="1"/>
      </c>
      <c r="DR243">
        <f ca="1"/>
      </c>
      <c r="DS243">
        <f ca="1"/>
      </c>
      <c r="DT243">
        <f ca="1"/>
      </c>
      <c r="DU243">
        <f ca="1"/>
      </c>
      <c r="DV243">
        <f ca="1"/>
      </c>
      <c r="DW243">
        <f ca="1"/>
      </c>
      <c r="DX243">
        <f ca="1"/>
      </c>
      <c r="DY243">
        <f ca="1"/>
      </c>
      <c r="DZ243">
        <f ca="1"/>
      </c>
      <c r="EA243">
        <f ca="1"/>
      </c>
      <c r="EB243">
        <f ca="1"/>
      </c>
      <c r="EC243">
        <f ca="1"/>
      </c>
      <c r="ED243">
        <f ca="1"/>
      </c>
      <c r="EE243">
        <f ca="1"/>
      </c>
      <c r="EG243">
        <f ca="1"/>
      </c>
      <c r="EH243">
        <f ca="1"/>
      </c>
      <c r="EI243">
        <f ca="1"/>
      </c>
      <c r="EJ243">
        <f ca="1"/>
      </c>
      <c r="EK243">
        <f ca="1"/>
      </c>
      <c r="EL243">
        <f ca="1"/>
      </c>
      <c r="EM243">
        <f ca="1"/>
      </c>
      <c r="EN243">
        <f ca="1"/>
      </c>
      <c r="EO243">
        <f ca="1"/>
      </c>
      <c r="EP243">
        <f ca="1"/>
      </c>
      <c r="EQ243">
        <f ca="1"/>
      </c>
      <c r="ER243">
        <f ca="1"/>
      </c>
      <c r="ES243">
        <f ca="1"/>
      </c>
      <c r="ET243">
        <f ca="1"/>
      </c>
      <c r="EU243">
        <f ca="1"/>
      </c>
      <c r="EV243">
        <f ca="1"/>
      </c>
      <c r="EW243">
        <f ca="1"/>
      </c>
      <c r="EX243">
        <f ca="1"/>
      </c>
      <c r="EY243">
        <f ca="1"/>
      </c>
      <c r="EZ243">
        <f ca="1"/>
      </c>
      <c r="FA243">
        <f ca="1"/>
      </c>
      <c r="FB243">
        <f ca="1"/>
      </c>
      <c r="FC243">
        <f ca="1"/>
      </c>
      <c r="FD243">
        <f ca="1"/>
      </c>
      <c r="FE243">
        <f ca="1"/>
      </c>
      <c r="FF243">
        <f ca="1"/>
      </c>
      <c r="FG243">
        <f ca="1"/>
      </c>
      <c r="FH243">
        <f ca="1"/>
      </c>
      <c r="FI243">
        <f ca="1"/>
      </c>
      <c r="FJ243">
        <f ca="1"/>
      </c>
      <c r="FK243">
        <f ca="1"/>
      </c>
      <c r="FL243">
        <f ca="1"/>
      </c>
      <c r="FM243">
        <f ca="1"/>
      </c>
      <c r="FN243">
        <f ca="1"/>
      </c>
      <c r="FO243">
        <f ca="1"/>
      </c>
      <c r="FP243">
        <f ca="1"/>
      </c>
      <c r="FQ243">
        <f ca="1"/>
      </c>
      <c r="FR243">
        <f ca="1"/>
      </c>
      <c r="FS243">
        <f ca="1"/>
      </c>
      <c r="FT243">
        <f ca="1"/>
      </c>
      <c r="FU243">
        <f ca="1"/>
      </c>
      <c r="FV243">
        <f ca="1"/>
      </c>
      <c r="FW243">
        <f ca="1"/>
      </c>
      <c r="FX243">
        <f ca="1"/>
      </c>
      <c r="FY243">
        <f ca="1"/>
      </c>
      <c r="FZ243">
        <f ca="1"/>
      </c>
      <c r="GA243">
        <f ca="1"/>
      </c>
      <c r="GM243" s="7">
        <f ca="1"/>
      </c>
      <c r="GN243">
        <f ca="1"/>
      </c>
      <c r="GO243">
        <f ca="1"/>
      </c>
      <c r="GP243">
        <f ca="1"/>
      </c>
      <c r="GQ243">
        <f ca="1"/>
      </c>
    </row>
    <row r="244" spans="41:199" x14ac:dyDescent="0.55000000000000004">
      <c r="AO244">
        <f ca="1"/>
      </c>
      <c r="AP244">
        <f ca="1"/>
      </c>
      <c r="AQ244">
        <f ca="1"/>
      </c>
      <c r="AR244">
        <f ca="1"/>
      </c>
      <c r="AS244">
        <f ca="1"/>
      </c>
      <c r="AT244">
        <f ca="1"/>
      </c>
      <c r="AU244">
        <f ca="1"/>
      </c>
      <c r="AV244">
        <f ca="1"/>
      </c>
      <c r="AW244">
        <f ca="1"/>
      </c>
      <c r="AX244">
        <f ca="1"/>
      </c>
      <c r="AY244">
        <f ca="1"/>
      </c>
      <c r="AZ244">
        <f ca="1"/>
      </c>
      <c r="BA244">
        <f ca="1"/>
      </c>
      <c r="BB244">
        <f ca="1"/>
      </c>
      <c r="BC244">
        <f ca="1"/>
      </c>
      <c r="BD244">
        <f ca="1"/>
      </c>
      <c r="BE244">
        <f ca="1"/>
      </c>
      <c r="BF244">
        <f ca="1"/>
      </c>
      <c r="BG244">
        <f ca="1"/>
      </c>
      <c r="BH244">
        <f ca="1"/>
      </c>
      <c r="BI244">
        <f ca="1"/>
      </c>
      <c r="BJ244">
        <f ca="1"/>
      </c>
      <c r="BK244">
        <f ca="1"/>
      </c>
      <c r="BL244">
        <f ca="1"/>
      </c>
      <c r="BM244">
        <f ca="1"/>
      </c>
      <c r="BN244">
        <f ca="1"/>
      </c>
      <c r="BO244">
        <f ca="1"/>
      </c>
      <c r="BP244">
        <f ca="1"/>
      </c>
      <c r="BQ244">
        <f ca="1"/>
      </c>
      <c r="BR244">
        <f ca="1"/>
      </c>
      <c r="BS244">
        <f ca="1"/>
      </c>
      <c r="BT244">
        <f ca="1"/>
      </c>
      <c r="BU244">
        <f ca="1"/>
      </c>
      <c r="BV244">
        <f ca="1"/>
      </c>
      <c r="BW244">
        <f ca="1"/>
      </c>
      <c r="BX244">
        <f ca="1"/>
      </c>
      <c r="BY244">
        <f ca="1"/>
      </c>
      <c r="BZ244">
        <f ca="1"/>
      </c>
      <c r="CA244">
        <f ca="1"/>
      </c>
      <c r="CB244">
        <f ca="1"/>
      </c>
      <c r="CC244">
        <f ca="1"/>
      </c>
      <c r="CD244">
        <f ca="1"/>
      </c>
      <c r="CE244">
        <f ca="1"/>
      </c>
      <c r="CF244">
        <f ca="1"/>
      </c>
      <c r="CG244">
        <f ca="1"/>
      </c>
      <c r="CH244">
        <f ca="1"/>
      </c>
      <c r="CI244">
        <f ca="1"/>
      </c>
      <c r="CK244">
        <f ca="1"/>
      </c>
      <c r="CL244">
        <f ca="1"/>
      </c>
      <c r="CM244">
        <f ca="1"/>
      </c>
      <c r="CN244">
        <f ca="1"/>
      </c>
      <c r="CO244">
        <f ca="1"/>
      </c>
      <c r="CP244">
        <f ca="1"/>
      </c>
      <c r="CQ244">
        <f ca="1"/>
      </c>
      <c r="CR244">
        <f ca="1"/>
      </c>
      <c r="CS244">
        <f ca="1"/>
      </c>
      <c r="CT244">
        <f ca="1"/>
      </c>
      <c r="CU244">
        <f ca="1"/>
      </c>
      <c r="CV244">
        <f ca="1"/>
      </c>
      <c r="CW244">
        <f ca="1"/>
      </c>
      <c r="CX244">
        <f ca="1"/>
      </c>
      <c r="CY244">
        <f ca="1"/>
      </c>
      <c r="CZ244">
        <f ca="1"/>
      </c>
      <c r="DA244">
        <f ca="1"/>
      </c>
      <c r="DB244">
        <f ca="1"/>
      </c>
      <c r="DC244">
        <f ca="1"/>
      </c>
      <c r="DD244">
        <f ca="1"/>
      </c>
      <c r="DE244">
        <f ca="1"/>
      </c>
      <c r="DF244">
        <f ca="1"/>
      </c>
      <c r="DG244">
        <f ca="1"/>
      </c>
      <c r="DH244">
        <f ca="1"/>
      </c>
      <c r="DI244">
        <f ca="1"/>
      </c>
      <c r="DJ244">
        <f ca="1"/>
      </c>
      <c r="DK244">
        <f ca="1"/>
      </c>
      <c r="DL244">
        <f ca="1"/>
      </c>
      <c r="DM244">
        <f ca="1"/>
      </c>
      <c r="DN244">
        <f ca="1"/>
      </c>
      <c r="DO244">
        <f ca="1"/>
      </c>
      <c r="DP244">
        <f ca="1"/>
      </c>
      <c r="DQ244">
        <f ca="1"/>
      </c>
      <c r="DR244">
        <f ca="1"/>
      </c>
      <c r="DS244">
        <f ca="1"/>
      </c>
      <c r="DT244">
        <f ca="1"/>
      </c>
      <c r="DU244">
        <f ca="1"/>
      </c>
      <c r="DV244">
        <f ca="1"/>
      </c>
      <c r="DW244">
        <f ca="1"/>
      </c>
      <c r="DX244">
        <f ca="1"/>
      </c>
      <c r="DY244">
        <f ca="1"/>
      </c>
      <c r="DZ244">
        <f ca="1"/>
      </c>
      <c r="EA244">
        <f ca="1"/>
      </c>
      <c r="EB244">
        <f ca="1"/>
      </c>
      <c r="EC244">
        <f ca="1"/>
      </c>
      <c r="ED244">
        <f ca="1"/>
      </c>
      <c r="EE244">
        <f ca="1"/>
      </c>
      <c r="EG244">
        <f ca="1"/>
      </c>
      <c r="EH244">
        <f ca="1"/>
      </c>
      <c r="EI244">
        <f ca="1"/>
      </c>
      <c r="EJ244">
        <f ca="1"/>
      </c>
      <c r="EK244">
        <f ca="1"/>
      </c>
      <c r="EL244">
        <f ca="1"/>
      </c>
      <c r="EM244">
        <f ca="1"/>
      </c>
      <c r="EN244">
        <f ca="1"/>
      </c>
      <c r="EO244">
        <f ca="1"/>
      </c>
      <c r="EP244">
        <f ca="1"/>
      </c>
      <c r="EQ244">
        <f ca="1"/>
      </c>
      <c r="ER244">
        <f ca="1"/>
      </c>
      <c r="ES244">
        <f ca="1"/>
      </c>
      <c r="ET244">
        <f ca="1"/>
      </c>
      <c r="EU244">
        <f ca="1"/>
      </c>
      <c r="EV244">
        <f ca="1"/>
      </c>
      <c r="EW244">
        <f ca="1"/>
      </c>
      <c r="EX244">
        <f ca="1"/>
      </c>
      <c r="EY244">
        <f ca="1"/>
      </c>
      <c r="EZ244">
        <f ca="1"/>
      </c>
      <c r="FA244">
        <f ca="1"/>
      </c>
      <c r="FB244">
        <f ca="1"/>
      </c>
      <c r="FC244">
        <f ca="1"/>
      </c>
      <c r="FD244">
        <f ca="1"/>
      </c>
      <c r="FE244">
        <f ca="1"/>
      </c>
      <c r="FF244">
        <f ca="1"/>
      </c>
      <c r="FG244">
        <f ca="1"/>
      </c>
      <c r="FH244">
        <f ca="1"/>
      </c>
      <c r="FI244">
        <f ca="1"/>
      </c>
      <c r="FJ244">
        <f ca="1"/>
      </c>
      <c r="FK244">
        <f ca="1"/>
      </c>
      <c r="FL244">
        <f ca="1"/>
      </c>
      <c r="FM244">
        <f ca="1"/>
      </c>
      <c r="FN244">
        <f ca="1"/>
      </c>
      <c r="FO244">
        <f ca="1"/>
      </c>
      <c r="FP244">
        <f ca="1"/>
      </c>
      <c r="FQ244">
        <f ca="1"/>
      </c>
      <c r="FR244">
        <f ca="1"/>
      </c>
      <c r="FS244">
        <f ca="1"/>
      </c>
      <c r="FT244">
        <f ca="1"/>
      </c>
      <c r="FU244">
        <f ca="1"/>
      </c>
      <c r="FV244">
        <f ca="1"/>
      </c>
      <c r="FW244">
        <f ca="1"/>
      </c>
      <c r="FX244">
        <f ca="1"/>
      </c>
      <c r="FY244">
        <f ca="1"/>
      </c>
      <c r="FZ244">
        <f ca="1"/>
      </c>
      <c r="GA244">
        <f ca="1"/>
      </c>
      <c r="GM244" s="7">
        <f ca="1"/>
      </c>
      <c r="GN244">
        <f ca="1"/>
      </c>
      <c r="GO244">
        <f ca="1"/>
      </c>
      <c r="GP244">
        <f ca="1"/>
      </c>
      <c r="GQ244">
        <f ca="1"/>
      </c>
    </row>
    <row r="245" spans="41:199" x14ac:dyDescent="0.55000000000000004">
      <c r="AO245">
        <f ca="1"/>
      </c>
      <c r="AP245">
        <f ca="1"/>
      </c>
      <c r="AQ245">
        <f ca="1"/>
      </c>
      <c r="AR245">
        <f ca="1"/>
      </c>
      <c r="AS245">
        <f ca="1"/>
      </c>
      <c r="AT245">
        <f ca="1"/>
      </c>
      <c r="AU245">
        <f ca="1"/>
      </c>
      <c r="AV245">
        <f ca="1"/>
      </c>
      <c r="AW245">
        <f ca="1"/>
      </c>
      <c r="AX245">
        <f ca="1"/>
      </c>
      <c r="AY245">
        <f ca="1"/>
      </c>
      <c r="AZ245">
        <f ca="1"/>
      </c>
      <c r="BA245">
        <f ca="1"/>
      </c>
      <c r="BB245">
        <f ca="1"/>
      </c>
      <c r="BC245">
        <f ca="1"/>
      </c>
      <c r="BD245">
        <f ca="1"/>
      </c>
      <c r="BE245">
        <f ca="1"/>
      </c>
      <c r="BF245">
        <f ca="1"/>
      </c>
      <c r="BG245">
        <f ca="1"/>
      </c>
      <c r="BH245">
        <f ca="1"/>
      </c>
      <c r="BI245">
        <f ca="1"/>
      </c>
      <c r="BJ245">
        <f ca="1"/>
      </c>
      <c r="BK245">
        <f ca="1"/>
      </c>
      <c r="BL245">
        <f ca="1"/>
      </c>
      <c r="BM245">
        <f ca="1"/>
      </c>
      <c r="BN245">
        <f ca="1"/>
      </c>
      <c r="BO245">
        <f ca="1"/>
      </c>
      <c r="BP245">
        <f ca="1"/>
      </c>
      <c r="BQ245">
        <f ca="1"/>
      </c>
      <c r="BR245">
        <f ca="1"/>
      </c>
      <c r="BS245">
        <f ca="1"/>
      </c>
      <c r="BT245">
        <f ca="1"/>
      </c>
      <c r="BU245">
        <f ca="1"/>
      </c>
      <c r="BV245">
        <f ca="1"/>
      </c>
      <c r="BW245">
        <f ca="1"/>
      </c>
      <c r="BX245">
        <f ca="1"/>
      </c>
      <c r="BY245">
        <f ca="1"/>
      </c>
      <c r="BZ245">
        <f ca="1"/>
      </c>
      <c r="CA245">
        <f ca="1"/>
      </c>
      <c r="CB245">
        <f ca="1"/>
      </c>
      <c r="CC245">
        <f ca="1"/>
      </c>
      <c r="CD245">
        <f ca="1"/>
      </c>
      <c r="CE245">
        <f ca="1"/>
      </c>
      <c r="CF245">
        <f ca="1"/>
      </c>
      <c r="CG245">
        <f ca="1"/>
      </c>
      <c r="CH245">
        <f ca="1"/>
      </c>
      <c r="CI245">
        <f ca="1"/>
      </c>
      <c r="CK245">
        <f ca="1"/>
      </c>
      <c r="CL245">
        <f ca="1"/>
      </c>
      <c r="CM245">
        <f ca="1"/>
      </c>
      <c r="CN245">
        <f ca="1"/>
      </c>
      <c r="CO245">
        <f ca="1"/>
      </c>
      <c r="CP245">
        <f ca="1"/>
      </c>
      <c r="CQ245">
        <f ca="1"/>
      </c>
      <c r="CR245">
        <f ca="1"/>
      </c>
      <c r="CS245">
        <f ca="1"/>
      </c>
      <c r="CT245">
        <f ca="1"/>
      </c>
      <c r="CU245">
        <f ca="1"/>
      </c>
      <c r="CV245">
        <f ca="1"/>
      </c>
      <c r="CW245">
        <f ca="1"/>
      </c>
      <c r="CX245">
        <f ca="1"/>
      </c>
      <c r="CY245">
        <f ca="1"/>
      </c>
      <c r="CZ245">
        <f ca="1"/>
      </c>
      <c r="DA245">
        <f ca="1"/>
      </c>
      <c r="DB245">
        <f ca="1"/>
      </c>
      <c r="DC245">
        <f ca="1"/>
      </c>
      <c r="DD245">
        <f ca="1"/>
      </c>
      <c r="DE245">
        <f ca="1"/>
      </c>
      <c r="DF245">
        <f ca="1"/>
      </c>
      <c r="DG245">
        <f ca="1"/>
      </c>
      <c r="DH245">
        <f ca="1"/>
      </c>
      <c r="DI245">
        <f ca="1"/>
      </c>
      <c r="DJ245">
        <f ca="1"/>
      </c>
      <c r="DK245">
        <f ca="1"/>
      </c>
      <c r="DL245">
        <f ca="1"/>
      </c>
      <c r="DM245">
        <f ca="1"/>
      </c>
      <c r="DN245">
        <f ca="1"/>
      </c>
      <c r="DO245">
        <f ca="1"/>
      </c>
      <c r="DP245">
        <f ca="1"/>
      </c>
      <c r="DQ245">
        <f ca="1"/>
      </c>
      <c r="DR245">
        <f ca="1"/>
      </c>
      <c r="DS245">
        <f ca="1"/>
      </c>
      <c r="DT245">
        <f ca="1"/>
      </c>
      <c r="DU245">
        <f ca="1"/>
      </c>
      <c r="DV245">
        <f ca="1"/>
      </c>
      <c r="DW245">
        <f ca="1"/>
      </c>
      <c r="DX245">
        <f ca="1"/>
      </c>
      <c r="DY245">
        <f ca="1"/>
      </c>
      <c r="DZ245">
        <f ca="1"/>
      </c>
      <c r="EA245">
        <f ca="1"/>
      </c>
      <c r="EB245">
        <f ca="1"/>
      </c>
      <c r="EC245">
        <f ca="1"/>
      </c>
      <c r="ED245">
        <f ca="1"/>
      </c>
      <c r="EE245">
        <f ca="1"/>
      </c>
      <c r="EG245">
        <f ca="1"/>
      </c>
      <c r="EH245">
        <f ca="1"/>
      </c>
      <c r="EI245">
        <f ca="1"/>
      </c>
      <c r="EJ245">
        <f ca="1"/>
      </c>
      <c r="EK245">
        <f ca="1"/>
      </c>
      <c r="EL245">
        <f ca="1"/>
      </c>
      <c r="EM245">
        <f ca="1"/>
      </c>
      <c r="EN245">
        <f ca="1"/>
      </c>
      <c r="EO245">
        <f ca="1"/>
      </c>
      <c r="EP245">
        <f ca="1"/>
      </c>
      <c r="EQ245">
        <f ca="1"/>
      </c>
      <c r="ER245">
        <f ca="1"/>
      </c>
      <c r="ES245">
        <f ca="1"/>
      </c>
      <c r="ET245">
        <f ca="1"/>
      </c>
      <c r="EU245">
        <f ca="1"/>
      </c>
      <c r="EV245">
        <f ca="1"/>
      </c>
      <c r="EW245">
        <f ca="1"/>
      </c>
      <c r="EX245">
        <f ca="1"/>
      </c>
      <c r="EY245">
        <f ca="1"/>
      </c>
      <c r="EZ245">
        <f ca="1"/>
      </c>
      <c r="FA245">
        <f ca="1"/>
      </c>
      <c r="FB245">
        <f ca="1"/>
      </c>
      <c r="FC245">
        <f ca="1"/>
      </c>
      <c r="FD245">
        <f ca="1"/>
      </c>
      <c r="FE245">
        <f ca="1"/>
      </c>
      <c r="FF245">
        <f ca="1"/>
      </c>
      <c r="FG245">
        <f ca="1"/>
      </c>
      <c r="FH245">
        <f ca="1"/>
      </c>
      <c r="FI245">
        <f ca="1"/>
      </c>
      <c r="FJ245">
        <f ca="1"/>
      </c>
      <c r="FK245">
        <f ca="1"/>
      </c>
      <c r="FL245">
        <f ca="1"/>
      </c>
      <c r="FM245">
        <f ca="1"/>
      </c>
      <c r="FN245">
        <f ca="1"/>
      </c>
      <c r="FO245">
        <f ca="1"/>
      </c>
      <c r="FP245">
        <f ca="1"/>
      </c>
      <c r="FQ245">
        <f ca="1"/>
      </c>
      <c r="FR245">
        <f ca="1"/>
      </c>
      <c r="FS245">
        <f ca="1"/>
      </c>
      <c r="FT245">
        <f ca="1"/>
      </c>
      <c r="FU245">
        <f ca="1"/>
      </c>
      <c r="FV245">
        <f ca="1"/>
      </c>
      <c r="FW245">
        <f ca="1"/>
      </c>
      <c r="FX245">
        <f ca="1"/>
      </c>
      <c r="FY245">
        <f ca="1"/>
      </c>
      <c r="FZ245">
        <f ca="1"/>
      </c>
      <c r="GA245">
        <f ca="1"/>
      </c>
      <c r="GM245" s="7"/>
    </row>
    <row r="246" spans="41:199" x14ac:dyDescent="0.55000000000000004">
      <c r="AO246">
        <f ca="1"/>
      </c>
      <c r="AP246">
        <f ca="1"/>
      </c>
      <c r="AQ246">
        <f ca="1"/>
      </c>
      <c r="AR246">
        <f ca="1"/>
      </c>
      <c r="AS246">
        <f ca="1"/>
      </c>
      <c r="AT246">
        <f ca="1"/>
      </c>
      <c r="AU246">
        <f ca="1"/>
      </c>
      <c r="AV246">
        <f ca="1"/>
      </c>
      <c r="AW246">
        <f ca="1"/>
      </c>
      <c r="AX246">
        <f ca="1"/>
      </c>
      <c r="AY246">
        <f ca="1"/>
      </c>
      <c r="AZ246">
        <f ca="1"/>
      </c>
      <c r="BA246">
        <f ca="1"/>
      </c>
      <c r="BB246">
        <f ca="1"/>
      </c>
      <c r="BC246">
        <f ca="1"/>
      </c>
      <c r="BD246">
        <f ca="1"/>
      </c>
      <c r="BE246">
        <f ca="1"/>
      </c>
      <c r="BF246">
        <f ca="1"/>
      </c>
      <c r="BG246">
        <f ca="1"/>
      </c>
      <c r="BH246">
        <f ca="1"/>
      </c>
      <c r="BI246">
        <f ca="1"/>
      </c>
      <c r="BJ246">
        <f ca="1"/>
      </c>
      <c r="BK246">
        <f ca="1"/>
      </c>
      <c r="BL246">
        <f ca="1"/>
      </c>
      <c r="BM246">
        <f ca="1"/>
      </c>
      <c r="BN246">
        <f ca="1"/>
      </c>
      <c r="BO246">
        <f ca="1"/>
      </c>
      <c r="BP246">
        <f ca="1"/>
      </c>
      <c r="BQ246">
        <f ca="1"/>
      </c>
      <c r="BR246">
        <f ca="1"/>
      </c>
      <c r="BS246">
        <f ca="1"/>
      </c>
      <c r="BT246">
        <f ca="1"/>
      </c>
      <c r="BU246">
        <f ca="1"/>
      </c>
      <c r="BV246">
        <f ca="1"/>
      </c>
      <c r="BW246">
        <f ca="1"/>
      </c>
      <c r="BX246">
        <f ca="1"/>
      </c>
      <c r="BY246">
        <f ca="1"/>
      </c>
      <c r="BZ246">
        <f ca="1"/>
      </c>
      <c r="CA246">
        <f ca="1"/>
      </c>
      <c r="CB246">
        <f ca="1"/>
      </c>
      <c r="CC246">
        <f ca="1"/>
      </c>
      <c r="CD246">
        <f ca="1"/>
      </c>
      <c r="CE246">
        <f ca="1"/>
      </c>
      <c r="CF246">
        <f ca="1"/>
      </c>
      <c r="CG246">
        <f ca="1"/>
      </c>
      <c r="CH246">
        <f ca="1"/>
      </c>
      <c r="CI246">
        <f ca="1"/>
      </c>
      <c r="CK246">
        <f ca="1"/>
      </c>
      <c r="CL246">
        <f ca="1"/>
      </c>
      <c r="CM246">
        <f ca="1"/>
      </c>
      <c r="CN246">
        <f ca="1"/>
      </c>
      <c r="CO246">
        <f ca="1"/>
      </c>
      <c r="CP246">
        <f ca="1"/>
      </c>
      <c r="CQ246">
        <f ca="1"/>
      </c>
      <c r="CR246">
        <f ca="1"/>
      </c>
      <c r="CS246">
        <f ca="1"/>
      </c>
      <c r="CT246">
        <f ca="1"/>
      </c>
      <c r="CU246">
        <f ca="1"/>
      </c>
      <c r="CV246">
        <f ca="1"/>
      </c>
      <c r="CW246">
        <f ca="1"/>
      </c>
      <c r="CX246">
        <f ca="1"/>
      </c>
      <c r="CY246">
        <f ca="1"/>
      </c>
      <c r="CZ246">
        <f ca="1"/>
      </c>
      <c r="DA246">
        <f ca="1"/>
      </c>
      <c r="DB246">
        <f ca="1"/>
      </c>
      <c r="DC246">
        <f ca="1"/>
      </c>
      <c r="DD246">
        <f ca="1"/>
      </c>
      <c r="DE246">
        <f ca="1"/>
      </c>
      <c r="DF246">
        <f ca="1"/>
      </c>
      <c r="DG246">
        <f ca="1"/>
      </c>
      <c r="DH246">
        <f ca="1"/>
      </c>
      <c r="DI246">
        <f ca="1"/>
      </c>
      <c r="DJ246">
        <f ca="1"/>
      </c>
      <c r="DK246">
        <f ca="1"/>
      </c>
      <c r="DL246">
        <f ca="1"/>
      </c>
      <c r="DM246">
        <f ca="1"/>
      </c>
      <c r="DN246">
        <f ca="1"/>
      </c>
      <c r="DO246">
        <f ca="1"/>
      </c>
      <c r="DP246">
        <f ca="1"/>
      </c>
      <c r="DQ246">
        <f ca="1"/>
      </c>
      <c r="DR246">
        <f ca="1"/>
      </c>
      <c r="DS246">
        <f ca="1"/>
      </c>
      <c r="DT246">
        <f ca="1"/>
      </c>
      <c r="DU246">
        <f ca="1"/>
      </c>
      <c r="DV246">
        <f ca="1"/>
      </c>
      <c r="DW246">
        <f ca="1"/>
      </c>
      <c r="DX246">
        <f ca="1"/>
      </c>
      <c r="DY246">
        <f ca="1"/>
      </c>
      <c r="DZ246">
        <f ca="1"/>
      </c>
      <c r="EA246">
        <f ca="1"/>
      </c>
      <c r="EB246">
        <f ca="1"/>
      </c>
      <c r="EC246">
        <f ca="1"/>
      </c>
      <c r="ED246">
        <f ca="1"/>
      </c>
      <c r="EE246">
        <f ca="1"/>
      </c>
      <c r="EG246">
        <f ca="1"/>
      </c>
      <c r="EH246">
        <f ca="1"/>
      </c>
      <c r="EI246">
        <f ca="1"/>
      </c>
      <c r="EJ246">
        <f ca="1"/>
      </c>
      <c r="EK246">
        <f ca="1"/>
      </c>
      <c r="EL246">
        <f ca="1"/>
      </c>
      <c r="EM246">
        <f ca="1"/>
      </c>
      <c r="EN246">
        <f ca="1"/>
      </c>
      <c r="EO246">
        <f ca="1"/>
      </c>
      <c r="EP246">
        <f ca="1"/>
      </c>
      <c r="EQ246">
        <f ca="1"/>
      </c>
      <c r="ER246">
        <f ca="1"/>
      </c>
      <c r="ES246">
        <f ca="1"/>
      </c>
      <c r="ET246">
        <f ca="1"/>
      </c>
      <c r="EU246">
        <f ca="1"/>
      </c>
      <c r="EV246">
        <f ca="1"/>
      </c>
      <c r="EW246">
        <f ca="1"/>
      </c>
      <c r="EX246">
        <f ca="1"/>
      </c>
      <c r="EY246">
        <f ca="1"/>
      </c>
      <c r="EZ246">
        <f ca="1"/>
      </c>
      <c r="FA246">
        <f ca="1"/>
      </c>
      <c r="FB246">
        <f ca="1"/>
      </c>
      <c r="FC246">
        <f ca="1"/>
      </c>
      <c r="FD246">
        <f ca="1"/>
      </c>
      <c r="FE246">
        <f ca="1"/>
      </c>
      <c r="FF246">
        <f ca="1"/>
      </c>
      <c r="FG246">
        <f ca="1"/>
      </c>
      <c r="FH246">
        <f ca="1"/>
      </c>
      <c r="FI246">
        <f ca="1"/>
      </c>
      <c r="FJ246">
        <f ca="1"/>
      </c>
      <c r="FK246">
        <f ca="1"/>
      </c>
      <c r="FL246">
        <f ca="1"/>
      </c>
      <c r="FM246">
        <f ca="1"/>
      </c>
      <c r="FN246">
        <f ca="1"/>
      </c>
      <c r="FO246">
        <f ca="1"/>
      </c>
      <c r="FP246">
        <f ca="1"/>
      </c>
      <c r="FQ246">
        <f ca="1"/>
      </c>
      <c r="FR246">
        <f ca="1"/>
      </c>
      <c r="FS246">
        <f ca="1"/>
      </c>
      <c r="FT246">
        <f ca="1"/>
      </c>
      <c r="FU246">
        <f ca="1"/>
      </c>
      <c r="FV246">
        <f ca="1"/>
      </c>
      <c r="FW246">
        <f ca="1"/>
      </c>
      <c r="FX246">
        <f ca="1"/>
      </c>
      <c r="FY246">
        <f ca="1"/>
      </c>
      <c r="FZ246">
        <f ca="1"/>
      </c>
      <c r="GA246">
        <f ca="1"/>
      </c>
      <c r="GM246" s="7"/>
    </row>
    <row r="247" spans="41:199" x14ac:dyDescent="0.55000000000000004">
      <c r="AO247">
        <f ca="1"/>
      </c>
      <c r="AP247">
        <f ca="1"/>
      </c>
      <c r="AQ247">
        <f ca="1"/>
      </c>
      <c r="AR247">
        <f ca="1"/>
      </c>
      <c r="AS247">
        <f ca="1"/>
      </c>
      <c r="AT247">
        <f ca="1"/>
      </c>
      <c r="AU247">
        <f ca="1"/>
      </c>
      <c r="AV247">
        <f ca="1"/>
      </c>
      <c r="AW247">
        <f ca="1"/>
      </c>
      <c r="AX247">
        <f ca="1"/>
      </c>
      <c r="AY247">
        <f ca="1"/>
      </c>
      <c r="AZ247">
        <f ca="1"/>
      </c>
      <c r="BA247">
        <f ca="1"/>
      </c>
      <c r="BB247">
        <f ca="1"/>
      </c>
      <c r="BC247">
        <f ca="1"/>
      </c>
      <c r="BD247">
        <f ca="1"/>
      </c>
      <c r="BE247">
        <f ca="1"/>
      </c>
      <c r="BF247">
        <f ca="1"/>
      </c>
      <c r="BG247">
        <f ca="1"/>
      </c>
      <c r="BH247">
        <f ca="1"/>
      </c>
      <c r="BI247">
        <f ca="1"/>
      </c>
      <c r="BJ247">
        <f ca="1"/>
      </c>
      <c r="BK247">
        <f ca="1"/>
      </c>
      <c r="BL247">
        <f ca="1"/>
      </c>
      <c r="BM247">
        <f ca="1"/>
      </c>
      <c r="BN247">
        <f ca="1"/>
      </c>
      <c r="BO247">
        <f ca="1"/>
      </c>
      <c r="BP247">
        <f ca="1"/>
      </c>
      <c r="BQ247">
        <f ca="1"/>
      </c>
      <c r="BR247">
        <f ca="1"/>
      </c>
      <c r="BS247">
        <f ca="1"/>
      </c>
      <c r="BT247">
        <f ca="1"/>
      </c>
      <c r="BU247">
        <f ca="1"/>
      </c>
      <c r="BV247">
        <f ca="1"/>
      </c>
      <c r="BW247">
        <f ca="1"/>
      </c>
      <c r="BX247">
        <f ca="1"/>
      </c>
      <c r="BY247">
        <f ca="1"/>
      </c>
      <c r="BZ247">
        <f ca="1"/>
      </c>
      <c r="CA247">
        <f ca="1"/>
      </c>
      <c r="CB247">
        <f ca="1"/>
      </c>
      <c r="CC247">
        <f ca="1"/>
      </c>
      <c r="CD247">
        <f ca="1"/>
      </c>
      <c r="CE247">
        <f ca="1"/>
      </c>
      <c r="CF247">
        <f ca="1"/>
      </c>
      <c r="CG247">
        <f ca="1"/>
      </c>
      <c r="CH247">
        <f ca="1"/>
      </c>
      <c r="CI247">
        <f ca="1"/>
      </c>
      <c r="CK247">
        <f ca="1"/>
      </c>
      <c r="CL247">
        <f ca="1"/>
      </c>
      <c r="CM247">
        <f ca="1"/>
      </c>
      <c r="CN247">
        <f ca="1"/>
      </c>
      <c r="CO247">
        <f ca="1"/>
      </c>
      <c r="CP247">
        <f ca="1"/>
      </c>
      <c r="CQ247">
        <f ca="1"/>
      </c>
      <c r="CR247">
        <f ca="1"/>
      </c>
      <c r="CS247">
        <f ca="1"/>
      </c>
      <c r="CT247">
        <f ca="1"/>
      </c>
      <c r="CU247">
        <f ca="1"/>
      </c>
      <c r="CV247">
        <f ca="1"/>
      </c>
      <c r="CW247">
        <f ca="1"/>
      </c>
      <c r="CX247">
        <f ca="1"/>
      </c>
      <c r="CY247">
        <f ca="1"/>
      </c>
      <c r="CZ247">
        <f ca="1"/>
      </c>
      <c r="DA247">
        <f ca="1"/>
      </c>
      <c r="DB247">
        <f ca="1"/>
      </c>
      <c r="DC247">
        <f ca="1"/>
      </c>
      <c r="DD247">
        <f ca="1"/>
      </c>
      <c r="DE247">
        <f ca="1"/>
      </c>
      <c r="DF247">
        <f ca="1"/>
      </c>
      <c r="DG247">
        <f ca="1"/>
      </c>
      <c r="DH247">
        <f ca="1"/>
      </c>
      <c r="DI247">
        <f ca="1"/>
      </c>
      <c r="DJ247">
        <f ca="1"/>
      </c>
      <c r="DK247">
        <f ca="1"/>
      </c>
      <c r="DL247">
        <f ca="1"/>
      </c>
      <c r="DM247">
        <f ca="1"/>
      </c>
      <c r="DN247">
        <f ca="1"/>
      </c>
      <c r="DO247">
        <f ca="1"/>
      </c>
      <c r="DP247">
        <f ca="1"/>
      </c>
      <c r="DQ247">
        <f ca="1"/>
      </c>
      <c r="DR247">
        <f ca="1"/>
      </c>
      <c r="DS247">
        <f ca="1"/>
      </c>
      <c r="DT247">
        <f ca="1"/>
      </c>
      <c r="DU247">
        <f ca="1"/>
      </c>
      <c r="DV247">
        <f ca="1"/>
      </c>
      <c r="DW247">
        <f ca="1"/>
      </c>
      <c r="DX247">
        <f ca="1"/>
      </c>
      <c r="DY247">
        <f ca="1"/>
      </c>
      <c r="DZ247">
        <f ca="1"/>
      </c>
      <c r="EA247">
        <f ca="1"/>
      </c>
      <c r="EB247">
        <f ca="1"/>
      </c>
      <c r="EC247">
        <f ca="1"/>
      </c>
      <c r="ED247">
        <f ca="1"/>
      </c>
      <c r="EE247">
        <f ca="1"/>
      </c>
      <c r="EG247">
        <f ca="1"/>
      </c>
      <c r="EH247">
        <f ca="1"/>
      </c>
      <c r="EI247">
        <f ca="1"/>
      </c>
      <c r="EJ247">
        <f ca="1"/>
      </c>
      <c r="EK247">
        <f ca="1"/>
      </c>
      <c r="EL247">
        <f ca="1"/>
      </c>
      <c r="EM247">
        <f ca="1"/>
      </c>
      <c r="EN247">
        <f ca="1"/>
      </c>
      <c r="EO247">
        <f ca="1"/>
      </c>
      <c r="EP247">
        <f ca="1"/>
      </c>
      <c r="EQ247">
        <f ca="1"/>
      </c>
      <c r="ER247">
        <f ca="1"/>
      </c>
      <c r="ES247">
        <f ca="1"/>
      </c>
      <c r="ET247">
        <f ca="1"/>
      </c>
      <c r="EU247">
        <f ca="1"/>
      </c>
      <c r="EV247">
        <f ca="1"/>
      </c>
      <c r="EW247">
        <f ca="1"/>
      </c>
      <c r="EX247">
        <f ca="1"/>
      </c>
      <c r="EY247">
        <f ca="1"/>
      </c>
      <c r="EZ247">
        <f ca="1"/>
      </c>
      <c r="FA247">
        <f ca="1"/>
      </c>
      <c r="FB247">
        <f ca="1"/>
      </c>
      <c r="FC247">
        <f ca="1"/>
      </c>
      <c r="FD247">
        <f ca="1"/>
      </c>
      <c r="FE247">
        <f ca="1"/>
      </c>
      <c r="FF247">
        <f ca="1"/>
      </c>
      <c r="FG247">
        <f ca="1"/>
      </c>
      <c r="FH247">
        <f ca="1"/>
      </c>
      <c r="FI247">
        <f ca="1"/>
      </c>
      <c r="FJ247">
        <f ca="1"/>
      </c>
      <c r="FK247">
        <f ca="1"/>
      </c>
      <c r="FL247">
        <f ca="1"/>
      </c>
      <c r="FM247">
        <f ca="1"/>
      </c>
      <c r="FN247">
        <f ca="1"/>
      </c>
      <c r="FO247">
        <f ca="1"/>
      </c>
      <c r="FP247">
        <f ca="1"/>
      </c>
      <c r="FQ247">
        <f ca="1"/>
      </c>
      <c r="FR247">
        <f ca="1"/>
      </c>
      <c r="FS247">
        <f ca="1"/>
      </c>
      <c r="FT247">
        <f ca="1"/>
      </c>
      <c r="FU247">
        <f ca="1"/>
      </c>
      <c r="FV247">
        <f ca="1"/>
      </c>
      <c r="FW247">
        <f ca="1"/>
      </c>
      <c r="FX247">
        <f ca="1"/>
      </c>
      <c r="FY247">
        <f ca="1"/>
      </c>
      <c r="FZ247">
        <f ca="1"/>
      </c>
      <c r="GA247">
        <f ca="1"/>
      </c>
      <c r="GM247" s="7"/>
    </row>
    <row r="248" spans="41:199" x14ac:dyDescent="0.55000000000000004">
      <c r="AO248">
        <f ca="1"/>
      </c>
      <c r="AP248">
        <f ca="1"/>
      </c>
      <c r="AQ248">
        <f ca="1"/>
      </c>
      <c r="AR248">
        <f ca="1"/>
      </c>
      <c r="AS248">
        <f ca="1"/>
      </c>
      <c r="AT248">
        <f ca="1"/>
      </c>
      <c r="AU248">
        <f ca="1"/>
      </c>
      <c r="AV248">
        <f ca="1"/>
      </c>
      <c r="AW248">
        <f ca="1"/>
      </c>
      <c r="AX248">
        <f ca="1"/>
      </c>
      <c r="AY248">
        <f ca="1"/>
      </c>
      <c r="AZ248">
        <f ca="1"/>
      </c>
      <c r="BA248">
        <f ca="1"/>
      </c>
      <c r="BB248">
        <f ca="1"/>
      </c>
      <c r="BC248">
        <f ca="1"/>
      </c>
      <c r="BD248">
        <f ca="1"/>
      </c>
      <c r="BE248">
        <f ca="1"/>
      </c>
      <c r="BF248">
        <f ca="1"/>
      </c>
      <c r="BG248">
        <f ca="1"/>
      </c>
      <c r="BH248">
        <f ca="1"/>
      </c>
      <c r="BI248">
        <f ca="1"/>
      </c>
      <c r="BJ248">
        <f ca="1"/>
      </c>
      <c r="BK248">
        <f ca="1"/>
      </c>
      <c r="BL248">
        <f ca="1"/>
      </c>
      <c r="BM248">
        <f ca="1"/>
      </c>
      <c r="BN248">
        <f ca="1"/>
      </c>
      <c r="BO248">
        <f ca="1"/>
      </c>
      <c r="BP248">
        <f ca="1"/>
      </c>
      <c r="BQ248">
        <f ca="1"/>
      </c>
      <c r="BR248">
        <f ca="1"/>
      </c>
      <c r="BS248">
        <f ca="1"/>
      </c>
      <c r="BT248">
        <f ca="1"/>
      </c>
      <c r="BU248">
        <f ca="1"/>
      </c>
      <c r="BV248">
        <f ca="1"/>
      </c>
      <c r="BW248">
        <f ca="1"/>
      </c>
      <c r="BX248">
        <f ca="1"/>
      </c>
      <c r="BY248">
        <f ca="1"/>
      </c>
      <c r="BZ248">
        <f ca="1"/>
      </c>
      <c r="CA248">
        <f ca="1"/>
      </c>
      <c r="CB248">
        <f ca="1"/>
      </c>
      <c r="CC248">
        <f ca="1"/>
      </c>
      <c r="CD248">
        <f ca="1"/>
      </c>
      <c r="CE248">
        <f ca="1"/>
      </c>
      <c r="CF248">
        <f ca="1"/>
      </c>
      <c r="CG248">
        <f ca="1"/>
      </c>
      <c r="CH248">
        <f ca="1"/>
      </c>
      <c r="CI248">
        <f ca="1"/>
      </c>
      <c r="CK248">
        <f ca="1"/>
      </c>
      <c r="CL248">
        <f ca="1"/>
      </c>
      <c r="CM248">
        <f ca="1"/>
      </c>
      <c r="CN248">
        <f ca="1"/>
      </c>
      <c r="CO248">
        <f ca="1"/>
      </c>
      <c r="CP248">
        <f ca="1"/>
      </c>
      <c r="CQ248">
        <f ca="1"/>
      </c>
      <c r="CR248">
        <f ca="1"/>
      </c>
      <c r="CS248">
        <f ca="1"/>
      </c>
      <c r="CT248">
        <f ca="1"/>
      </c>
      <c r="CU248">
        <f ca="1"/>
      </c>
      <c r="CV248">
        <f ca="1"/>
      </c>
      <c r="CW248">
        <f ca="1"/>
      </c>
      <c r="CX248">
        <f ca="1"/>
      </c>
      <c r="CY248">
        <f ca="1"/>
      </c>
      <c r="CZ248">
        <f ca="1"/>
      </c>
      <c r="DA248">
        <f ca="1"/>
      </c>
      <c r="DB248">
        <f ca="1"/>
      </c>
      <c r="DC248">
        <f ca="1"/>
      </c>
      <c r="DD248">
        <f ca="1"/>
      </c>
      <c r="DE248">
        <f ca="1"/>
      </c>
      <c r="DF248">
        <f ca="1"/>
      </c>
      <c r="DG248">
        <f ca="1"/>
      </c>
      <c r="DH248">
        <f ca="1"/>
      </c>
      <c r="DI248">
        <f ca="1"/>
      </c>
      <c r="DJ248">
        <f ca="1"/>
      </c>
      <c r="DK248">
        <f ca="1"/>
      </c>
      <c r="DL248">
        <f ca="1"/>
      </c>
      <c r="DM248">
        <f ca="1"/>
      </c>
      <c r="DN248">
        <f ca="1"/>
      </c>
      <c r="DO248">
        <f ca="1"/>
      </c>
      <c r="DP248">
        <f ca="1"/>
      </c>
      <c r="DQ248">
        <f ca="1"/>
      </c>
      <c r="DR248">
        <f ca="1"/>
      </c>
      <c r="DS248">
        <f ca="1"/>
      </c>
      <c r="DT248">
        <f ca="1"/>
      </c>
      <c r="DU248">
        <f ca="1"/>
      </c>
      <c r="DV248">
        <f ca="1"/>
      </c>
      <c r="DW248">
        <f ca="1"/>
      </c>
      <c r="DX248">
        <f ca="1"/>
      </c>
      <c r="DY248">
        <f ca="1"/>
      </c>
      <c r="DZ248">
        <f ca="1"/>
      </c>
      <c r="EA248">
        <f ca="1"/>
      </c>
      <c r="EB248">
        <f ca="1"/>
      </c>
      <c r="EC248">
        <f ca="1"/>
      </c>
      <c r="ED248">
        <f ca="1"/>
      </c>
      <c r="EE248">
        <f ca="1"/>
      </c>
      <c r="EG248">
        <f ca="1"/>
      </c>
      <c r="EH248">
        <f ca="1"/>
      </c>
      <c r="EI248">
        <f ca="1"/>
      </c>
      <c r="EJ248">
        <f ca="1"/>
      </c>
      <c r="EK248">
        <f ca="1"/>
      </c>
      <c r="EL248">
        <f ca="1"/>
      </c>
      <c r="EM248">
        <f ca="1"/>
      </c>
      <c r="EN248">
        <f ca="1"/>
      </c>
      <c r="EO248">
        <f ca="1"/>
      </c>
      <c r="EP248">
        <f ca="1"/>
      </c>
      <c r="EQ248">
        <f ca="1"/>
      </c>
      <c r="ER248">
        <f ca="1"/>
      </c>
      <c r="ES248">
        <f ca="1"/>
      </c>
      <c r="ET248">
        <f ca="1"/>
      </c>
      <c r="EU248">
        <f ca="1"/>
      </c>
      <c r="EV248">
        <f ca="1"/>
      </c>
      <c r="EW248">
        <f ca="1"/>
      </c>
      <c r="EX248">
        <f ca="1"/>
      </c>
      <c r="EY248">
        <f ca="1"/>
      </c>
      <c r="EZ248">
        <f ca="1"/>
      </c>
      <c r="FA248">
        <f ca="1"/>
      </c>
      <c r="FB248">
        <f ca="1"/>
      </c>
      <c r="FC248">
        <f ca="1"/>
      </c>
      <c r="FD248">
        <f ca="1"/>
      </c>
      <c r="FE248">
        <f ca="1"/>
      </c>
      <c r="FF248">
        <f ca="1"/>
      </c>
      <c r="FG248">
        <f ca="1"/>
      </c>
      <c r="FH248">
        <f ca="1"/>
      </c>
      <c r="FI248">
        <f ca="1"/>
      </c>
      <c r="FJ248">
        <f ca="1"/>
      </c>
      <c r="FK248">
        <f ca="1"/>
      </c>
      <c r="FL248">
        <f ca="1"/>
      </c>
      <c r="FM248">
        <f ca="1"/>
      </c>
      <c r="FN248">
        <f ca="1"/>
      </c>
      <c r="FO248">
        <f ca="1"/>
      </c>
      <c r="FP248">
        <f ca="1"/>
      </c>
      <c r="FQ248">
        <f ca="1"/>
      </c>
      <c r="FR248">
        <f ca="1"/>
      </c>
      <c r="FS248">
        <f ca="1"/>
      </c>
      <c r="FT248">
        <f ca="1"/>
      </c>
      <c r="FU248">
        <f ca="1"/>
      </c>
      <c r="FV248">
        <f ca="1"/>
      </c>
      <c r="FW248">
        <f ca="1"/>
      </c>
      <c r="FX248">
        <f ca="1"/>
      </c>
      <c r="FY248">
        <f ca="1"/>
      </c>
      <c r="FZ248">
        <f ca="1"/>
      </c>
      <c r="GA248">
        <f ca="1"/>
      </c>
      <c r="GM248" s="7"/>
    </row>
    <row r="249" spans="41:199" x14ac:dyDescent="0.55000000000000004">
      <c r="AO249">
        <f ca="1"/>
      </c>
      <c r="AP249">
        <f ca="1"/>
      </c>
      <c r="AQ249">
        <f ca="1"/>
      </c>
      <c r="AR249">
        <f ca="1"/>
      </c>
      <c r="AS249">
        <f ca="1"/>
      </c>
      <c r="AT249">
        <f ca="1"/>
      </c>
      <c r="AU249">
        <f ca="1"/>
      </c>
      <c r="AV249">
        <f ca="1"/>
      </c>
      <c r="AW249">
        <f ca="1"/>
      </c>
      <c r="AX249">
        <f ca="1"/>
      </c>
      <c r="AY249">
        <f ca="1"/>
      </c>
      <c r="AZ249">
        <f ca="1"/>
      </c>
      <c r="BA249">
        <f ca="1"/>
      </c>
      <c r="BB249">
        <f ca="1"/>
      </c>
      <c r="BC249">
        <f ca="1"/>
      </c>
      <c r="BD249">
        <f ca="1"/>
      </c>
      <c r="BE249">
        <f ca="1"/>
      </c>
      <c r="BF249">
        <f ca="1"/>
      </c>
      <c r="BG249">
        <f ca="1"/>
      </c>
      <c r="BH249">
        <f ca="1"/>
      </c>
      <c r="BI249">
        <f ca="1"/>
      </c>
      <c r="BJ249">
        <f ca="1"/>
      </c>
      <c r="BK249">
        <f ca="1"/>
      </c>
      <c r="BL249">
        <f ca="1"/>
      </c>
      <c r="BM249">
        <f ca="1"/>
      </c>
      <c r="BN249">
        <f ca="1"/>
      </c>
      <c r="BO249">
        <f ca="1"/>
      </c>
      <c r="BP249">
        <f ca="1"/>
      </c>
      <c r="BQ249">
        <f ca="1"/>
      </c>
      <c r="BR249">
        <f ca="1"/>
      </c>
      <c r="BS249">
        <f ca="1"/>
      </c>
      <c r="BT249">
        <f ca="1"/>
      </c>
      <c r="BU249">
        <f ca="1"/>
      </c>
      <c r="BV249">
        <f ca="1"/>
      </c>
      <c r="BW249">
        <f ca="1"/>
      </c>
      <c r="BX249">
        <f ca="1"/>
      </c>
      <c r="BY249">
        <f ca="1"/>
      </c>
      <c r="BZ249">
        <f ca="1"/>
      </c>
      <c r="CA249">
        <f ca="1"/>
      </c>
      <c r="CB249">
        <f ca="1"/>
      </c>
      <c r="CC249">
        <f ca="1"/>
      </c>
      <c r="CD249">
        <f ca="1"/>
      </c>
      <c r="CE249">
        <f ca="1"/>
      </c>
      <c r="CF249">
        <f ca="1"/>
      </c>
      <c r="CG249">
        <f ca="1"/>
      </c>
      <c r="CH249">
        <f ca="1"/>
      </c>
      <c r="CI249">
        <f ca="1"/>
      </c>
      <c r="CK249">
        <f ca="1"/>
      </c>
      <c r="CL249">
        <f ca="1"/>
      </c>
      <c r="CM249">
        <f ca="1"/>
      </c>
      <c r="CN249">
        <f ca="1"/>
      </c>
      <c r="CO249">
        <f ca="1"/>
      </c>
      <c r="CP249">
        <f ca="1"/>
      </c>
      <c r="CQ249">
        <f ca="1"/>
      </c>
      <c r="CR249">
        <f ca="1"/>
      </c>
      <c r="CS249">
        <f ca="1"/>
      </c>
      <c r="CT249">
        <f ca="1"/>
      </c>
      <c r="CU249">
        <f ca="1"/>
      </c>
      <c r="CV249">
        <f ca="1"/>
      </c>
      <c r="CW249">
        <f ca="1"/>
      </c>
      <c r="CX249">
        <f ca="1"/>
      </c>
      <c r="CY249">
        <f ca="1"/>
      </c>
      <c r="CZ249">
        <f ca="1"/>
      </c>
      <c r="DA249">
        <f ca="1"/>
      </c>
      <c r="DB249">
        <f ca="1"/>
      </c>
      <c r="DC249">
        <f ca="1"/>
      </c>
      <c r="DD249">
        <f ca="1"/>
      </c>
      <c r="DE249">
        <f ca="1"/>
      </c>
      <c r="DF249">
        <f ca="1"/>
      </c>
      <c r="DG249">
        <f ca="1"/>
      </c>
      <c r="DH249">
        <f ca="1"/>
      </c>
      <c r="DI249">
        <f ca="1"/>
      </c>
      <c r="DJ249">
        <f ca="1"/>
      </c>
      <c r="DK249">
        <f ca="1"/>
      </c>
      <c r="DL249">
        <f ca="1"/>
      </c>
      <c r="DM249">
        <f ca="1"/>
      </c>
      <c r="DN249">
        <f ca="1"/>
      </c>
      <c r="DO249">
        <f ca="1"/>
      </c>
      <c r="DP249">
        <f ca="1"/>
      </c>
      <c r="DQ249">
        <f ca="1"/>
      </c>
      <c r="DR249">
        <f ca="1"/>
      </c>
      <c r="DS249">
        <f ca="1"/>
      </c>
      <c r="DT249">
        <f ca="1"/>
      </c>
      <c r="DU249">
        <f ca="1"/>
      </c>
      <c r="DV249">
        <f ca="1"/>
      </c>
      <c r="DW249">
        <f ca="1"/>
      </c>
      <c r="DX249">
        <f ca="1"/>
      </c>
      <c r="DY249">
        <f ca="1"/>
      </c>
      <c r="DZ249">
        <f ca="1"/>
      </c>
      <c r="EA249">
        <f ca="1"/>
      </c>
      <c r="EB249">
        <f ca="1"/>
      </c>
      <c r="EC249">
        <f ca="1"/>
      </c>
      <c r="ED249">
        <f ca="1"/>
      </c>
      <c r="EE249">
        <f ca="1"/>
      </c>
      <c r="EG249">
        <f ca="1"/>
      </c>
      <c r="EH249">
        <f ca="1"/>
      </c>
      <c r="EI249">
        <f ca="1"/>
      </c>
      <c r="EJ249">
        <f ca="1"/>
      </c>
      <c r="EK249">
        <f ca="1"/>
      </c>
      <c r="EL249">
        <f ca="1"/>
      </c>
      <c r="EM249">
        <f ca="1"/>
      </c>
      <c r="EN249">
        <f ca="1"/>
      </c>
      <c r="EO249">
        <f ca="1"/>
      </c>
      <c r="EP249">
        <f ca="1"/>
      </c>
      <c r="EQ249">
        <f ca="1"/>
      </c>
      <c r="ER249">
        <f ca="1"/>
      </c>
      <c r="ES249">
        <f ca="1"/>
      </c>
      <c r="ET249">
        <f ca="1"/>
      </c>
      <c r="EU249">
        <f ca="1"/>
      </c>
      <c r="EV249">
        <f ca="1"/>
      </c>
      <c r="EW249">
        <f ca="1"/>
      </c>
      <c r="EX249">
        <f ca="1"/>
      </c>
      <c r="EY249">
        <f ca="1"/>
      </c>
      <c r="EZ249">
        <f ca="1"/>
      </c>
      <c r="FA249">
        <f ca="1"/>
      </c>
      <c r="FB249">
        <f ca="1"/>
      </c>
      <c r="FC249">
        <f ca="1"/>
      </c>
      <c r="FD249">
        <f ca="1"/>
      </c>
      <c r="FE249">
        <f ca="1"/>
      </c>
      <c r="FF249">
        <f ca="1"/>
      </c>
      <c r="FG249">
        <f ca="1"/>
      </c>
      <c r="FH249">
        <f ca="1"/>
      </c>
      <c r="FI249">
        <f ca="1"/>
      </c>
      <c r="FJ249">
        <f ca="1"/>
      </c>
      <c r="FK249">
        <f ca="1"/>
      </c>
      <c r="FL249">
        <f ca="1"/>
      </c>
      <c r="FM249">
        <f ca="1"/>
      </c>
      <c r="FN249">
        <f ca="1"/>
      </c>
      <c r="FO249">
        <f ca="1"/>
      </c>
      <c r="FP249">
        <f ca="1"/>
      </c>
      <c r="FQ249">
        <f ca="1"/>
      </c>
      <c r="FR249">
        <f ca="1"/>
      </c>
      <c r="FS249">
        <f ca="1"/>
      </c>
      <c r="FT249">
        <f ca="1"/>
      </c>
      <c r="FU249">
        <f ca="1"/>
      </c>
      <c r="FV249">
        <f ca="1"/>
      </c>
      <c r="FW249">
        <f ca="1"/>
      </c>
      <c r="FX249">
        <f ca="1"/>
      </c>
      <c r="FY249">
        <f ca="1"/>
      </c>
      <c r="FZ249">
        <f ca="1"/>
      </c>
      <c r="GA249">
        <f ca="1"/>
      </c>
      <c r="GM249" s="7"/>
    </row>
    <row r="250" spans="41:199" x14ac:dyDescent="0.55000000000000004">
      <c r="AO250">
        <f ca="1"/>
      </c>
      <c r="AP250">
        <f ca="1"/>
      </c>
      <c r="AQ250">
        <f ca="1"/>
      </c>
      <c r="AR250">
        <f ca="1"/>
      </c>
      <c r="AS250">
        <f ca="1"/>
      </c>
      <c r="AT250">
        <f ca="1"/>
      </c>
      <c r="AU250">
        <f ca="1"/>
      </c>
      <c r="AV250">
        <f ca="1"/>
      </c>
      <c r="AW250">
        <f ca="1"/>
      </c>
      <c r="AX250">
        <f ca="1"/>
      </c>
      <c r="AY250">
        <f ca="1"/>
      </c>
      <c r="AZ250">
        <f ca="1"/>
      </c>
      <c r="BA250">
        <f ca="1"/>
      </c>
      <c r="BB250">
        <f ca="1"/>
      </c>
      <c r="BC250">
        <f ca="1"/>
      </c>
      <c r="BD250">
        <f ca="1"/>
      </c>
      <c r="BE250">
        <f ca="1"/>
      </c>
      <c r="BF250">
        <f ca="1"/>
      </c>
      <c r="BG250">
        <f ca="1"/>
      </c>
      <c r="BH250">
        <f ca="1"/>
      </c>
      <c r="BI250">
        <f ca="1"/>
      </c>
      <c r="BJ250">
        <f ca="1"/>
      </c>
      <c r="BK250">
        <f ca="1"/>
      </c>
      <c r="BL250">
        <f ca="1"/>
      </c>
      <c r="BM250">
        <f ca="1"/>
      </c>
      <c r="BN250">
        <f ca="1"/>
      </c>
      <c r="BO250">
        <f ca="1"/>
      </c>
      <c r="BP250">
        <f ca="1"/>
      </c>
      <c r="BQ250">
        <f ca="1"/>
      </c>
      <c r="BR250">
        <f ca="1"/>
      </c>
      <c r="BS250">
        <f ca="1"/>
      </c>
      <c r="BT250">
        <f ca="1"/>
      </c>
      <c r="BU250">
        <f ca="1"/>
      </c>
      <c r="BV250">
        <f ca="1"/>
      </c>
      <c r="BW250">
        <f ca="1"/>
      </c>
      <c r="BX250">
        <f ca="1"/>
      </c>
      <c r="BY250">
        <f ca="1"/>
      </c>
      <c r="BZ250">
        <f ca="1"/>
      </c>
      <c r="CA250">
        <f ca="1"/>
      </c>
      <c r="CB250">
        <f ca="1"/>
      </c>
      <c r="CC250">
        <f ca="1"/>
      </c>
      <c r="CD250">
        <f ca="1"/>
      </c>
      <c r="CE250">
        <f ca="1"/>
      </c>
      <c r="CF250">
        <f ca="1"/>
      </c>
      <c r="CG250">
        <f ca="1"/>
      </c>
      <c r="CH250">
        <f ca="1"/>
      </c>
      <c r="CI250">
        <f ca="1"/>
      </c>
      <c r="CK250">
        <f ca="1"/>
      </c>
      <c r="CL250">
        <f ca="1"/>
      </c>
      <c r="CM250">
        <f ca="1"/>
      </c>
      <c r="CN250">
        <f ca="1"/>
      </c>
      <c r="CO250">
        <f ca="1"/>
      </c>
      <c r="CP250">
        <f ca="1"/>
      </c>
      <c r="CQ250">
        <f ca="1"/>
      </c>
      <c r="CR250">
        <f ca="1"/>
      </c>
      <c r="CS250">
        <f ca="1"/>
      </c>
      <c r="CT250">
        <f ca="1"/>
      </c>
      <c r="CU250">
        <f ca="1"/>
      </c>
      <c r="CV250">
        <f ca="1"/>
      </c>
      <c r="CW250">
        <f ca="1"/>
      </c>
      <c r="CX250">
        <f ca="1"/>
      </c>
      <c r="CY250">
        <f ca="1"/>
      </c>
      <c r="CZ250">
        <f ca="1"/>
      </c>
      <c r="DA250">
        <f ca="1"/>
      </c>
      <c r="DB250">
        <f ca="1"/>
      </c>
      <c r="DC250">
        <f ca="1"/>
      </c>
      <c r="DD250">
        <f ca="1"/>
      </c>
      <c r="DE250">
        <f ca="1"/>
      </c>
      <c r="DF250">
        <f ca="1"/>
      </c>
      <c r="DG250">
        <f ca="1"/>
      </c>
      <c r="DH250">
        <f ca="1"/>
      </c>
      <c r="DI250">
        <f ca="1"/>
      </c>
      <c r="DJ250">
        <f ca="1"/>
      </c>
      <c r="DK250">
        <f ca="1"/>
      </c>
      <c r="DL250">
        <f ca="1"/>
      </c>
      <c r="DM250">
        <f ca="1"/>
      </c>
      <c r="DN250">
        <f ca="1"/>
      </c>
      <c r="DO250">
        <f ca="1"/>
      </c>
      <c r="DP250">
        <f ca="1"/>
      </c>
      <c r="DQ250">
        <f ca="1"/>
      </c>
      <c r="DR250">
        <f ca="1"/>
      </c>
      <c r="DS250">
        <f ca="1"/>
      </c>
      <c r="DT250">
        <f ca="1"/>
      </c>
      <c r="DU250">
        <f ca="1"/>
      </c>
      <c r="DV250">
        <f ca="1"/>
      </c>
      <c r="DW250">
        <f ca="1"/>
      </c>
      <c r="DX250">
        <f ca="1"/>
      </c>
      <c r="DY250">
        <f ca="1"/>
      </c>
      <c r="DZ250">
        <f ca="1"/>
      </c>
      <c r="EA250">
        <f ca="1"/>
      </c>
      <c r="EB250">
        <f ca="1"/>
      </c>
      <c r="EC250">
        <f ca="1"/>
      </c>
      <c r="ED250">
        <f ca="1"/>
      </c>
      <c r="EE250">
        <f ca="1"/>
      </c>
      <c r="EG250">
        <f ca="1"/>
      </c>
      <c r="EH250">
        <f ca="1"/>
      </c>
      <c r="EI250">
        <f ca="1"/>
      </c>
      <c r="EJ250">
        <f ca="1"/>
      </c>
      <c r="EK250">
        <f ca="1"/>
      </c>
      <c r="EL250">
        <f ca="1"/>
      </c>
      <c r="EM250">
        <f ca="1"/>
      </c>
      <c r="EN250">
        <f ca="1"/>
      </c>
      <c r="EO250">
        <f ca="1"/>
      </c>
      <c r="EP250">
        <f ca="1"/>
      </c>
      <c r="EQ250">
        <f ca="1"/>
      </c>
      <c r="ER250">
        <f ca="1"/>
      </c>
      <c r="ES250">
        <f ca="1"/>
      </c>
      <c r="ET250">
        <f ca="1"/>
      </c>
      <c r="EU250">
        <f ca="1"/>
      </c>
      <c r="EV250">
        <f ca="1"/>
      </c>
      <c r="EW250">
        <f ca="1"/>
      </c>
      <c r="EX250">
        <f ca="1"/>
      </c>
      <c r="EY250">
        <f ca="1"/>
      </c>
      <c r="EZ250">
        <f ca="1"/>
      </c>
      <c r="FA250">
        <f ca="1"/>
      </c>
      <c r="FB250">
        <f ca="1"/>
      </c>
      <c r="FC250">
        <f ca="1"/>
      </c>
      <c r="FD250">
        <f ca="1"/>
      </c>
      <c r="FE250">
        <f ca="1"/>
      </c>
      <c r="FF250">
        <f ca="1"/>
      </c>
      <c r="FG250">
        <f ca="1"/>
      </c>
      <c r="FH250">
        <f ca="1"/>
      </c>
      <c r="FI250">
        <f ca="1"/>
      </c>
      <c r="FJ250">
        <f ca="1"/>
      </c>
      <c r="FK250">
        <f ca="1"/>
      </c>
      <c r="FL250">
        <f ca="1"/>
      </c>
      <c r="FM250">
        <f ca="1"/>
      </c>
      <c r="FN250">
        <f ca="1"/>
      </c>
      <c r="FO250">
        <f ca="1"/>
      </c>
      <c r="FP250">
        <f ca="1"/>
      </c>
      <c r="FQ250">
        <f ca="1"/>
      </c>
      <c r="FR250">
        <f ca="1"/>
      </c>
      <c r="FS250">
        <f ca="1"/>
      </c>
      <c r="FT250">
        <f ca="1"/>
      </c>
      <c r="FU250">
        <f ca="1"/>
      </c>
      <c r="FV250">
        <f ca="1"/>
      </c>
      <c r="FW250">
        <f ca="1"/>
      </c>
      <c r="FX250">
        <f ca="1"/>
      </c>
      <c r="FY250">
        <f ca="1"/>
      </c>
      <c r="FZ250">
        <f ca="1"/>
      </c>
      <c r="GA250">
        <f ca="1"/>
      </c>
      <c r="GM250" s="7"/>
    </row>
    <row r="251" spans="41:199" x14ac:dyDescent="0.55000000000000004">
      <c r="AO251">
        <f ca="1"/>
      </c>
      <c r="AP251">
        <f ca="1"/>
      </c>
      <c r="AQ251">
        <f ca="1"/>
      </c>
      <c r="AR251">
        <f ca="1"/>
      </c>
      <c r="AS251">
        <f ca="1"/>
      </c>
      <c r="AT251">
        <f ca="1"/>
      </c>
      <c r="AU251">
        <f ca="1"/>
      </c>
      <c r="AV251">
        <f ca="1"/>
      </c>
      <c r="AW251">
        <f ca="1"/>
      </c>
      <c r="AX251">
        <f ca="1"/>
      </c>
      <c r="AY251">
        <f ca="1"/>
      </c>
      <c r="AZ251">
        <f ca="1"/>
      </c>
      <c r="BA251">
        <f ca="1"/>
      </c>
      <c r="BB251">
        <f ca="1"/>
      </c>
      <c r="BC251">
        <f ca="1"/>
      </c>
      <c r="BD251">
        <f ca="1"/>
      </c>
      <c r="BE251">
        <f ca="1"/>
      </c>
      <c r="BF251">
        <f ca="1"/>
      </c>
      <c r="BG251">
        <f ca="1"/>
      </c>
      <c r="BH251">
        <f ca="1"/>
      </c>
      <c r="BI251">
        <f ca="1"/>
      </c>
      <c r="BJ251">
        <f ca="1"/>
      </c>
      <c r="BK251">
        <f ca="1"/>
      </c>
      <c r="BL251">
        <f ca="1"/>
      </c>
      <c r="BM251">
        <f ca="1"/>
      </c>
      <c r="BN251">
        <f ca="1"/>
      </c>
      <c r="BO251">
        <f ca="1"/>
      </c>
      <c r="BP251">
        <f ca="1"/>
      </c>
      <c r="BQ251">
        <f ca="1"/>
      </c>
      <c r="BR251">
        <f ca="1"/>
      </c>
      <c r="BS251">
        <f ca="1"/>
      </c>
      <c r="BT251">
        <f ca="1"/>
      </c>
      <c r="BU251">
        <f ca="1"/>
      </c>
      <c r="BV251">
        <f ca="1"/>
      </c>
      <c r="BW251">
        <f ca="1"/>
      </c>
      <c r="BX251">
        <f ca="1"/>
      </c>
      <c r="BY251">
        <f ca="1"/>
      </c>
      <c r="BZ251">
        <f ca="1"/>
      </c>
      <c r="CA251">
        <f ca="1"/>
      </c>
      <c r="CB251">
        <f ca="1"/>
      </c>
      <c r="CC251">
        <f ca="1"/>
      </c>
      <c r="CD251">
        <f ca="1"/>
      </c>
      <c r="CE251">
        <f ca="1"/>
      </c>
      <c r="CF251">
        <f ca="1"/>
      </c>
      <c r="CG251">
        <f ca="1"/>
      </c>
      <c r="CH251">
        <f ca="1"/>
      </c>
      <c r="CI251">
        <f ca="1"/>
      </c>
      <c r="CK251">
        <f ca="1"/>
      </c>
      <c r="CL251">
        <f ca="1"/>
      </c>
      <c r="CM251">
        <f ca="1"/>
      </c>
      <c r="CN251">
        <f ca="1"/>
      </c>
      <c r="CO251">
        <f ca="1"/>
      </c>
      <c r="CP251">
        <f ca="1"/>
      </c>
      <c r="CQ251">
        <f ca="1"/>
      </c>
      <c r="CR251">
        <f ca="1"/>
      </c>
      <c r="CS251">
        <f ca="1"/>
      </c>
      <c r="CT251">
        <f ca="1"/>
      </c>
      <c r="CU251">
        <f ca="1"/>
      </c>
      <c r="CV251">
        <f ca="1"/>
      </c>
      <c r="CW251">
        <f ca="1"/>
      </c>
      <c r="CX251">
        <f ca="1"/>
      </c>
      <c r="CY251">
        <f ca="1"/>
      </c>
      <c r="CZ251">
        <f ca="1"/>
      </c>
      <c r="DA251">
        <f ca="1"/>
      </c>
      <c r="DB251">
        <f ca="1"/>
      </c>
      <c r="DC251">
        <f ca="1"/>
      </c>
      <c r="DD251">
        <f ca="1"/>
      </c>
      <c r="DE251">
        <f ca="1"/>
      </c>
      <c r="DF251">
        <f ca="1"/>
      </c>
      <c r="DG251">
        <f ca="1"/>
      </c>
      <c r="DH251">
        <f ca="1"/>
      </c>
      <c r="DI251">
        <f ca="1"/>
      </c>
      <c r="DJ251">
        <f ca="1"/>
      </c>
      <c r="DK251">
        <f ca="1"/>
      </c>
      <c r="DL251">
        <f ca="1"/>
      </c>
      <c r="DM251">
        <f ca="1"/>
      </c>
      <c r="DN251">
        <f ca="1"/>
      </c>
      <c r="DO251">
        <f ca="1"/>
      </c>
      <c r="DP251">
        <f ca="1"/>
      </c>
      <c r="DQ251">
        <f ca="1"/>
      </c>
      <c r="DR251">
        <f ca="1"/>
      </c>
      <c r="DS251">
        <f ca="1"/>
      </c>
      <c r="DT251">
        <f ca="1"/>
      </c>
      <c r="DU251">
        <f ca="1"/>
      </c>
      <c r="DV251">
        <f ca="1"/>
      </c>
      <c r="DW251">
        <f ca="1"/>
      </c>
      <c r="DX251">
        <f ca="1"/>
      </c>
      <c r="DY251">
        <f ca="1"/>
      </c>
      <c r="DZ251">
        <f ca="1"/>
      </c>
      <c r="EA251">
        <f ca="1"/>
      </c>
      <c r="EB251">
        <f ca="1"/>
      </c>
      <c r="EC251">
        <f ca="1"/>
      </c>
      <c r="ED251">
        <f ca="1"/>
      </c>
      <c r="EE251">
        <f ca="1"/>
      </c>
      <c r="EG251">
        <f ca="1"/>
      </c>
      <c r="EH251">
        <f ca="1"/>
      </c>
      <c r="EI251">
        <f ca="1"/>
      </c>
      <c r="EJ251">
        <f ca="1"/>
      </c>
      <c r="EK251">
        <f ca="1"/>
      </c>
      <c r="EL251">
        <f ca="1"/>
      </c>
      <c r="EM251">
        <f ca="1"/>
      </c>
      <c r="EN251">
        <f ca="1"/>
      </c>
      <c r="EO251">
        <f ca="1"/>
      </c>
      <c r="EP251">
        <f ca="1"/>
      </c>
      <c r="EQ251">
        <f ca="1"/>
      </c>
      <c r="ER251">
        <f ca="1"/>
      </c>
      <c r="ES251">
        <f ca="1"/>
      </c>
      <c r="ET251">
        <f ca="1"/>
      </c>
      <c r="EU251">
        <f ca="1"/>
      </c>
      <c r="EV251">
        <f ca="1"/>
      </c>
      <c r="EW251">
        <f ca="1"/>
      </c>
      <c r="EX251">
        <f ca="1"/>
      </c>
      <c r="EY251">
        <f ca="1"/>
      </c>
      <c r="EZ251">
        <f ca="1"/>
      </c>
      <c r="FA251">
        <f ca="1"/>
      </c>
      <c r="FB251">
        <f ca="1"/>
      </c>
      <c r="FC251">
        <f ca="1"/>
      </c>
      <c r="FD251">
        <f ca="1"/>
      </c>
      <c r="FE251">
        <f ca="1"/>
      </c>
      <c r="FF251">
        <f ca="1"/>
      </c>
      <c r="FG251">
        <f ca="1"/>
      </c>
      <c r="FH251">
        <f ca="1"/>
      </c>
      <c r="FI251">
        <f ca="1"/>
      </c>
      <c r="FJ251">
        <f ca="1"/>
      </c>
      <c r="FK251">
        <f ca="1"/>
      </c>
      <c r="FL251">
        <f ca="1"/>
      </c>
      <c r="FM251">
        <f ca="1"/>
      </c>
      <c r="FN251">
        <f ca="1"/>
      </c>
      <c r="FO251">
        <f ca="1"/>
      </c>
      <c r="FP251">
        <f ca="1"/>
      </c>
      <c r="FQ251">
        <f ca="1"/>
      </c>
      <c r="FR251">
        <f ca="1"/>
      </c>
      <c r="FS251">
        <f ca="1"/>
      </c>
      <c r="FT251">
        <f ca="1"/>
      </c>
      <c r="FU251">
        <f ca="1"/>
      </c>
      <c r="FV251">
        <f ca="1"/>
      </c>
      <c r="FW251">
        <f ca="1"/>
      </c>
      <c r="FX251">
        <f ca="1"/>
      </c>
      <c r="FY251">
        <f ca="1"/>
      </c>
      <c r="FZ251">
        <f ca="1"/>
      </c>
      <c r="GA251">
        <f ca="1"/>
      </c>
      <c r="GM251" s="7"/>
    </row>
    <row r="252" spans="41:199" x14ac:dyDescent="0.55000000000000004">
      <c r="AO252">
        <f ca="1"/>
      </c>
      <c r="AP252">
        <f ca="1"/>
      </c>
      <c r="AQ252">
        <f ca="1"/>
      </c>
      <c r="AR252">
        <f ca="1"/>
      </c>
      <c r="AS252">
        <f ca="1"/>
      </c>
      <c r="AT252">
        <f ca="1"/>
      </c>
      <c r="AU252">
        <f ca="1"/>
      </c>
      <c r="AV252">
        <f ca="1"/>
      </c>
      <c r="AW252">
        <f ca="1"/>
      </c>
      <c r="AX252">
        <f ca="1"/>
      </c>
      <c r="AY252">
        <f ca="1"/>
      </c>
      <c r="AZ252">
        <f ca="1"/>
      </c>
      <c r="BA252">
        <f ca="1"/>
      </c>
      <c r="BB252">
        <f ca="1"/>
      </c>
      <c r="BC252">
        <f ca="1"/>
      </c>
      <c r="BD252">
        <f ca="1"/>
      </c>
      <c r="BE252">
        <f ca="1"/>
      </c>
      <c r="BF252">
        <f ca="1"/>
      </c>
      <c r="BG252">
        <f ca="1"/>
      </c>
      <c r="BH252">
        <f ca="1"/>
      </c>
      <c r="BI252">
        <f ca="1"/>
      </c>
      <c r="BJ252">
        <f ca="1"/>
      </c>
      <c r="BK252">
        <f ca="1"/>
      </c>
      <c r="BL252">
        <f ca="1"/>
      </c>
      <c r="BM252">
        <f ca="1"/>
      </c>
      <c r="BN252">
        <f ca="1"/>
      </c>
      <c r="BO252">
        <f ca="1"/>
      </c>
      <c r="BP252">
        <f ca="1"/>
      </c>
      <c r="BQ252">
        <f ca="1"/>
      </c>
      <c r="BR252">
        <f ca="1"/>
      </c>
      <c r="BS252">
        <f ca="1"/>
      </c>
      <c r="BT252">
        <f ca="1"/>
      </c>
      <c r="BU252">
        <f ca="1"/>
      </c>
      <c r="BV252">
        <f ca="1"/>
      </c>
      <c r="BW252">
        <f ca="1"/>
      </c>
      <c r="BX252">
        <f ca="1"/>
      </c>
      <c r="BY252">
        <f ca="1"/>
      </c>
      <c r="BZ252">
        <f ca="1"/>
      </c>
      <c r="CA252">
        <f ca="1"/>
      </c>
      <c r="CB252">
        <f ca="1"/>
      </c>
      <c r="CC252">
        <f ca="1"/>
      </c>
      <c r="CD252">
        <f ca="1"/>
      </c>
      <c r="CE252">
        <f ca="1"/>
      </c>
      <c r="CF252">
        <f ca="1"/>
      </c>
      <c r="CG252">
        <f ca="1"/>
      </c>
      <c r="CH252">
        <f ca="1"/>
      </c>
      <c r="CI252">
        <f ca="1"/>
      </c>
      <c r="CK252">
        <f ca="1"/>
      </c>
      <c r="CL252">
        <f ca="1"/>
      </c>
      <c r="CM252">
        <f ca="1"/>
      </c>
      <c r="CN252">
        <f ca="1"/>
      </c>
      <c r="CO252">
        <f ca="1"/>
      </c>
      <c r="CP252">
        <f ca="1"/>
      </c>
      <c r="CQ252">
        <f ca="1"/>
      </c>
      <c r="CR252">
        <f ca="1"/>
      </c>
      <c r="CS252">
        <f ca="1"/>
      </c>
      <c r="CT252">
        <f ca="1"/>
      </c>
      <c r="CU252">
        <f ca="1"/>
      </c>
      <c r="CV252">
        <f ca="1"/>
      </c>
      <c r="CW252">
        <f ca="1"/>
      </c>
      <c r="CX252">
        <f ca="1"/>
      </c>
      <c r="CY252">
        <f ca="1"/>
      </c>
      <c r="CZ252">
        <f ca="1"/>
      </c>
      <c r="DA252">
        <f ca="1"/>
      </c>
      <c r="DB252">
        <f ca="1"/>
      </c>
      <c r="DC252">
        <f ca="1"/>
      </c>
      <c r="DD252">
        <f ca="1"/>
      </c>
      <c r="DE252">
        <f ca="1"/>
      </c>
      <c r="DF252">
        <f ca="1"/>
      </c>
      <c r="DG252">
        <f ca="1"/>
      </c>
      <c r="DH252">
        <f ca="1"/>
      </c>
      <c r="DI252">
        <f ca="1"/>
      </c>
      <c r="DJ252">
        <f ca="1"/>
      </c>
      <c r="DK252">
        <f ca="1"/>
      </c>
      <c r="DL252">
        <f ca="1"/>
      </c>
      <c r="DM252">
        <f ca="1"/>
      </c>
      <c r="DN252">
        <f ca="1"/>
      </c>
      <c r="DO252">
        <f ca="1"/>
      </c>
      <c r="DP252">
        <f ca="1"/>
      </c>
      <c r="DQ252">
        <f ca="1"/>
      </c>
      <c r="DR252">
        <f ca="1"/>
      </c>
      <c r="DS252">
        <f ca="1"/>
      </c>
      <c r="DT252">
        <f ca="1"/>
      </c>
      <c r="DU252">
        <f ca="1"/>
      </c>
      <c r="DV252">
        <f ca="1"/>
      </c>
      <c r="DW252">
        <f ca="1"/>
      </c>
      <c r="DX252">
        <f ca="1"/>
      </c>
      <c r="DY252">
        <f ca="1"/>
      </c>
      <c r="DZ252">
        <f ca="1"/>
      </c>
      <c r="EA252">
        <f ca="1"/>
      </c>
      <c r="EB252">
        <f ca="1"/>
      </c>
      <c r="EC252">
        <f ca="1"/>
      </c>
      <c r="ED252">
        <f ca="1"/>
      </c>
      <c r="EE252">
        <f ca="1"/>
      </c>
      <c r="EG252">
        <f ca="1"/>
      </c>
      <c r="EH252">
        <f ca="1"/>
      </c>
      <c r="EI252">
        <f ca="1"/>
      </c>
      <c r="EJ252">
        <f ca="1"/>
      </c>
      <c r="EK252">
        <f ca="1"/>
      </c>
      <c r="EL252">
        <f ca="1"/>
      </c>
      <c r="EM252">
        <f ca="1"/>
      </c>
      <c r="EN252">
        <f ca="1"/>
      </c>
      <c r="EO252">
        <f ca="1"/>
      </c>
      <c r="EP252">
        <f ca="1"/>
      </c>
      <c r="EQ252">
        <f ca="1"/>
      </c>
      <c r="ER252">
        <f ca="1"/>
      </c>
      <c r="ES252">
        <f ca="1"/>
      </c>
      <c r="ET252">
        <f ca="1"/>
      </c>
      <c r="EU252">
        <f ca="1"/>
      </c>
      <c r="EV252">
        <f ca="1"/>
      </c>
      <c r="EW252">
        <f ca="1"/>
      </c>
      <c r="EX252">
        <f ca="1"/>
      </c>
      <c r="EY252">
        <f ca="1"/>
      </c>
      <c r="EZ252">
        <f ca="1"/>
      </c>
      <c r="FA252">
        <f ca="1"/>
      </c>
      <c r="FB252">
        <f ca="1"/>
      </c>
      <c r="FC252">
        <f ca="1"/>
      </c>
      <c r="FD252">
        <f ca="1"/>
      </c>
      <c r="FE252">
        <f ca="1"/>
      </c>
      <c r="FF252">
        <f ca="1"/>
      </c>
      <c r="FG252">
        <f ca="1"/>
      </c>
      <c r="FH252">
        <f ca="1"/>
      </c>
      <c r="FI252">
        <f ca="1"/>
      </c>
      <c r="FJ252">
        <f ca="1"/>
      </c>
      <c r="FK252">
        <f ca="1"/>
      </c>
      <c r="FL252">
        <f ca="1"/>
      </c>
      <c r="FM252">
        <f ca="1"/>
      </c>
      <c r="FN252">
        <f ca="1"/>
      </c>
      <c r="FO252">
        <f ca="1"/>
      </c>
      <c r="FP252">
        <f ca="1"/>
      </c>
      <c r="FQ252">
        <f ca="1"/>
      </c>
      <c r="FR252">
        <f ca="1"/>
      </c>
      <c r="FS252">
        <f ca="1"/>
      </c>
      <c r="FT252">
        <f ca="1"/>
      </c>
      <c r="FU252">
        <f ca="1"/>
      </c>
      <c r="FV252">
        <f ca="1"/>
      </c>
      <c r="FW252">
        <f ca="1"/>
      </c>
      <c r="FX252">
        <f ca="1"/>
      </c>
      <c r="FY252">
        <f ca="1"/>
      </c>
      <c r="FZ252">
        <f ca="1"/>
      </c>
      <c r="GA252">
        <f ca="1"/>
      </c>
      <c r="GM252" s="7"/>
    </row>
    <row r="253" spans="41:199" x14ac:dyDescent="0.55000000000000004">
      <c r="AO253">
        <f ca="1"/>
      </c>
      <c r="AP253">
        <f ca="1"/>
      </c>
      <c r="AQ253">
        <f ca="1"/>
      </c>
      <c r="AR253">
        <f ca="1"/>
      </c>
      <c r="AS253">
        <f ca="1"/>
      </c>
      <c r="AT253">
        <f ca="1"/>
      </c>
      <c r="AU253">
        <f ca="1"/>
      </c>
      <c r="AV253">
        <f ca="1"/>
      </c>
      <c r="AW253">
        <f ca="1"/>
      </c>
      <c r="AX253">
        <f ca="1"/>
      </c>
      <c r="AY253">
        <f ca="1"/>
      </c>
      <c r="AZ253">
        <f ca="1"/>
      </c>
      <c r="BA253">
        <f ca="1"/>
      </c>
      <c r="BB253">
        <f ca="1"/>
      </c>
      <c r="BC253">
        <f ca="1"/>
      </c>
      <c r="BD253">
        <f ca="1"/>
      </c>
      <c r="BE253">
        <f ca="1"/>
      </c>
      <c r="BF253">
        <f ca="1"/>
      </c>
      <c r="BG253">
        <f ca="1"/>
      </c>
      <c r="BH253">
        <f ca="1"/>
      </c>
      <c r="BI253">
        <f ca="1"/>
      </c>
      <c r="BJ253">
        <f ca="1"/>
      </c>
      <c r="BK253">
        <f ca="1"/>
      </c>
      <c r="BL253">
        <f ca="1"/>
      </c>
      <c r="BM253">
        <f ca="1"/>
      </c>
      <c r="BN253">
        <f ca="1"/>
      </c>
      <c r="BO253">
        <f ca="1"/>
      </c>
      <c r="BP253">
        <f ca="1"/>
      </c>
      <c r="BQ253">
        <f ca="1"/>
      </c>
      <c r="BR253">
        <f ca="1"/>
      </c>
      <c r="BS253">
        <f ca="1"/>
      </c>
      <c r="BT253">
        <f ca="1"/>
      </c>
      <c r="BU253">
        <f ca="1"/>
      </c>
      <c r="BV253">
        <f ca="1"/>
      </c>
      <c r="BW253">
        <f ca="1"/>
      </c>
      <c r="BX253">
        <f ca="1"/>
      </c>
      <c r="BY253">
        <f ca="1"/>
      </c>
      <c r="BZ253">
        <f ca="1"/>
      </c>
      <c r="CA253">
        <f ca="1"/>
      </c>
      <c r="CB253">
        <f ca="1"/>
      </c>
      <c r="CC253">
        <f ca="1"/>
      </c>
      <c r="CD253">
        <f ca="1"/>
      </c>
      <c r="CE253">
        <f ca="1"/>
      </c>
      <c r="CF253">
        <f ca="1"/>
      </c>
      <c r="CG253">
        <f ca="1"/>
      </c>
      <c r="CH253">
        <f ca="1"/>
      </c>
      <c r="CI253">
        <f ca="1"/>
      </c>
      <c r="CK253">
        <f ca="1"/>
      </c>
      <c r="CL253">
        <f ca="1"/>
      </c>
      <c r="CM253">
        <f ca="1"/>
      </c>
      <c r="CN253">
        <f ca="1"/>
      </c>
      <c r="CO253">
        <f ca="1"/>
      </c>
      <c r="CP253">
        <f ca="1"/>
      </c>
      <c r="CQ253">
        <f ca="1"/>
      </c>
      <c r="CR253">
        <f ca="1"/>
      </c>
      <c r="CS253">
        <f ca="1"/>
      </c>
      <c r="CT253">
        <f ca="1"/>
      </c>
      <c r="CU253">
        <f ca="1"/>
      </c>
      <c r="CV253">
        <f ca="1"/>
      </c>
      <c r="CW253">
        <f ca="1"/>
      </c>
      <c r="CX253">
        <f ca="1"/>
      </c>
      <c r="CY253">
        <f ca="1"/>
      </c>
      <c r="CZ253">
        <f ca="1"/>
      </c>
      <c r="DA253">
        <f ca="1"/>
      </c>
      <c r="DB253">
        <f ca="1"/>
      </c>
      <c r="DC253">
        <f ca="1"/>
      </c>
      <c r="DD253">
        <f ca="1"/>
      </c>
      <c r="DE253">
        <f ca="1"/>
      </c>
      <c r="DF253">
        <f ca="1"/>
      </c>
      <c r="DG253">
        <f ca="1"/>
      </c>
      <c r="DH253">
        <f ca="1"/>
      </c>
      <c r="DI253">
        <f ca="1"/>
      </c>
      <c r="DJ253">
        <f ca="1"/>
      </c>
      <c r="DK253">
        <f ca="1"/>
      </c>
      <c r="DL253">
        <f ca="1"/>
      </c>
      <c r="DM253">
        <f ca="1"/>
      </c>
      <c r="DN253">
        <f ca="1"/>
      </c>
      <c r="DO253">
        <f ca="1"/>
      </c>
      <c r="DP253">
        <f ca="1"/>
      </c>
      <c r="DQ253">
        <f ca="1"/>
      </c>
      <c r="DR253">
        <f ca="1"/>
      </c>
      <c r="DS253">
        <f ca="1"/>
      </c>
      <c r="DT253">
        <f ca="1"/>
      </c>
      <c r="DU253">
        <f ca="1"/>
      </c>
      <c r="DV253">
        <f ca="1"/>
      </c>
      <c r="DW253">
        <f ca="1"/>
      </c>
      <c r="DX253">
        <f ca="1"/>
      </c>
      <c r="DY253">
        <f ca="1"/>
      </c>
      <c r="DZ253">
        <f ca="1"/>
      </c>
      <c r="EA253">
        <f ca="1"/>
      </c>
      <c r="EB253">
        <f ca="1"/>
      </c>
      <c r="EC253">
        <f ca="1"/>
      </c>
      <c r="ED253">
        <f ca="1"/>
      </c>
      <c r="EE253">
        <f ca="1"/>
      </c>
      <c r="EG253">
        <f ca="1"/>
      </c>
      <c r="EH253">
        <f ca="1"/>
      </c>
      <c r="EI253">
        <f ca="1"/>
      </c>
      <c r="EJ253">
        <f ca="1"/>
      </c>
      <c r="EK253">
        <f ca="1"/>
      </c>
      <c r="EL253">
        <f ca="1"/>
      </c>
      <c r="EM253">
        <f ca="1"/>
      </c>
      <c r="EN253">
        <f ca="1"/>
      </c>
      <c r="EO253">
        <f ca="1"/>
      </c>
      <c r="EP253">
        <f ca="1"/>
      </c>
      <c r="EQ253">
        <f ca="1"/>
      </c>
      <c r="ER253">
        <f ca="1"/>
      </c>
      <c r="ES253">
        <f ca="1"/>
      </c>
      <c r="ET253">
        <f ca="1"/>
      </c>
      <c r="EU253">
        <f ca="1"/>
      </c>
      <c r="EV253">
        <f ca="1"/>
      </c>
      <c r="EW253">
        <f ca="1"/>
      </c>
      <c r="EX253">
        <f ca="1"/>
      </c>
      <c r="EY253">
        <f ca="1"/>
      </c>
      <c r="EZ253">
        <f ca="1"/>
      </c>
      <c r="FA253">
        <f ca="1"/>
      </c>
      <c r="FB253">
        <f ca="1"/>
      </c>
      <c r="FC253">
        <f ca="1"/>
      </c>
      <c r="FD253">
        <f ca="1"/>
      </c>
      <c r="FE253">
        <f ca="1"/>
      </c>
      <c r="FF253">
        <f ca="1"/>
      </c>
      <c r="FG253">
        <f ca="1"/>
      </c>
      <c r="FH253">
        <f ca="1"/>
      </c>
      <c r="FI253">
        <f ca="1"/>
      </c>
      <c r="FJ253">
        <f ca="1"/>
      </c>
      <c r="FK253">
        <f ca="1"/>
      </c>
      <c r="FL253">
        <f ca="1"/>
      </c>
      <c r="FM253">
        <f ca="1"/>
      </c>
      <c r="FN253">
        <f ca="1"/>
      </c>
      <c r="FO253">
        <f ca="1"/>
      </c>
      <c r="FP253">
        <f ca="1"/>
      </c>
      <c r="FQ253">
        <f ca="1"/>
      </c>
      <c r="FR253">
        <f ca="1"/>
      </c>
      <c r="FS253">
        <f ca="1"/>
      </c>
      <c r="FT253">
        <f ca="1"/>
      </c>
      <c r="FU253">
        <f ca="1"/>
      </c>
      <c r="FV253">
        <f ca="1"/>
      </c>
      <c r="FW253">
        <f ca="1"/>
      </c>
      <c r="FX253">
        <f ca="1"/>
      </c>
      <c r="FY253">
        <f ca="1"/>
      </c>
      <c r="FZ253">
        <f ca="1"/>
      </c>
      <c r="GA253">
        <f ca="1"/>
      </c>
      <c r="GM253" s="7"/>
    </row>
    <row r="254" spans="41:199" x14ac:dyDescent="0.55000000000000004">
      <c r="AO254">
        <f ca="1"/>
      </c>
      <c r="AP254">
        <f ca="1"/>
      </c>
      <c r="AQ254">
        <f ca="1"/>
      </c>
      <c r="AR254">
        <f ca="1"/>
      </c>
      <c r="AS254">
        <f ca="1"/>
      </c>
      <c r="AT254">
        <f ca="1"/>
      </c>
      <c r="AU254">
        <f ca="1"/>
      </c>
      <c r="AV254">
        <f ca="1"/>
      </c>
      <c r="AW254">
        <f ca="1"/>
      </c>
      <c r="AX254">
        <f ca="1"/>
      </c>
      <c r="AY254">
        <f ca="1"/>
      </c>
      <c r="AZ254">
        <f ca="1"/>
      </c>
      <c r="BA254">
        <f ca="1"/>
      </c>
      <c r="BB254">
        <f ca="1"/>
      </c>
      <c r="BC254">
        <f ca="1"/>
      </c>
      <c r="BD254">
        <f ca="1"/>
      </c>
      <c r="BE254">
        <f ca="1"/>
      </c>
      <c r="BF254">
        <f ca="1"/>
      </c>
      <c r="BG254">
        <f ca="1"/>
      </c>
      <c r="BH254">
        <f ca="1"/>
      </c>
      <c r="BI254">
        <f ca="1"/>
      </c>
      <c r="BJ254">
        <f ca="1"/>
      </c>
      <c r="BK254">
        <f ca="1"/>
      </c>
      <c r="BL254">
        <f ca="1"/>
      </c>
      <c r="BM254">
        <f ca="1"/>
      </c>
      <c r="BN254">
        <f ca="1"/>
      </c>
      <c r="BO254">
        <f ca="1"/>
      </c>
      <c r="BP254">
        <f ca="1"/>
      </c>
      <c r="BQ254">
        <f ca="1"/>
      </c>
      <c r="BR254">
        <f ca="1"/>
      </c>
      <c r="BS254">
        <f ca="1"/>
      </c>
      <c r="BT254">
        <f ca="1"/>
      </c>
      <c r="BU254">
        <f ca="1"/>
      </c>
      <c r="BV254">
        <f ca="1"/>
      </c>
      <c r="BW254">
        <f ca="1"/>
      </c>
      <c r="BX254">
        <f ca="1"/>
      </c>
      <c r="BY254">
        <f ca="1"/>
      </c>
      <c r="BZ254">
        <f ca="1"/>
      </c>
      <c r="CA254">
        <f ca="1"/>
      </c>
      <c r="CB254">
        <f ca="1"/>
      </c>
      <c r="CC254">
        <f ca="1"/>
      </c>
      <c r="CD254">
        <f ca="1"/>
      </c>
      <c r="CE254">
        <f ca="1"/>
      </c>
      <c r="CF254">
        <f ca="1"/>
      </c>
      <c r="CG254">
        <f ca="1"/>
      </c>
      <c r="CH254">
        <f ca="1"/>
      </c>
      <c r="CI254">
        <f ca="1"/>
      </c>
      <c r="CK254">
        <f ca="1"/>
      </c>
      <c r="CL254">
        <f ca="1"/>
      </c>
      <c r="CM254">
        <f ca="1"/>
      </c>
      <c r="CN254">
        <f ca="1"/>
      </c>
      <c r="CO254">
        <f ca="1"/>
      </c>
      <c r="CP254">
        <f ca="1"/>
      </c>
      <c r="CQ254">
        <f ca="1"/>
      </c>
      <c r="CR254">
        <f ca="1"/>
      </c>
      <c r="CS254">
        <f ca="1"/>
      </c>
      <c r="CT254">
        <f ca="1"/>
      </c>
      <c r="CU254">
        <f ca="1"/>
      </c>
      <c r="CV254">
        <f ca="1"/>
      </c>
      <c r="CW254">
        <f ca="1"/>
      </c>
      <c r="CX254">
        <f ca="1"/>
      </c>
      <c r="CY254">
        <f ca="1"/>
      </c>
      <c r="CZ254">
        <f ca="1"/>
      </c>
      <c r="DA254">
        <f ca="1"/>
      </c>
      <c r="DB254">
        <f ca="1"/>
      </c>
      <c r="DC254">
        <f ca="1"/>
      </c>
      <c r="DD254">
        <f ca="1"/>
      </c>
      <c r="DE254">
        <f ca="1"/>
      </c>
      <c r="DF254">
        <f ca="1"/>
      </c>
      <c r="DG254">
        <f ca="1"/>
      </c>
      <c r="DH254">
        <f ca="1"/>
      </c>
      <c r="DI254">
        <f ca="1"/>
      </c>
      <c r="DJ254">
        <f ca="1"/>
      </c>
      <c r="DK254">
        <f ca="1"/>
      </c>
      <c r="DL254">
        <f ca="1"/>
      </c>
      <c r="DM254">
        <f ca="1"/>
      </c>
      <c r="DN254">
        <f ca="1"/>
      </c>
      <c r="DO254">
        <f ca="1"/>
      </c>
      <c r="DP254">
        <f ca="1"/>
      </c>
      <c r="DQ254">
        <f ca="1"/>
      </c>
      <c r="DR254">
        <f ca="1"/>
      </c>
      <c r="DS254">
        <f ca="1"/>
      </c>
      <c r="DT254">
        <f ca="1"/>
      </c>
      <c r="DU254">
        <f ca="1"/>
      </c>
      <c r="DV254">
        <f ca="1"/>
      </c>
      <c r="DW254">
        <f ca="1"/>
      </c>
      <c r="DX254">
        <f ca="1"/>
      </c>
      <c r="DY254">
        <f ca="1"/>
      </c>
      <c r="DZ254">
        <f ca="1"/>
      </c>
      <c r="EA254">
        <f ca="1"/>
      </c>
      <c r="EB254">
        <f ca="1"/>
      </c>
      <c r="EC254">
        <f ca="1"/>
      </c>
      <c r="ED254">
        <f ca="1"/>
      </c>
      <c r="EE254">
        <f ca="1"/>
      </c>
      <c r="EG254">
        <f ca="1"/>
      </c>
      <c r="EH254">
        <f ca="1"/>
      </c>
      <c r="EI254">
        <f ca="1"/>
      </c>
      <c r="EJ254">
        <f ca="1"/>
      </c>
      <c r="EK254">
        <f ca="1"/>
      </c>
      <c r="EL254">
        <f ca="1"/>
      </c>
      <c r="EM254">
        <f ca="1"/>
      </c>
      <c r="EN254">
        <f ca="1"/>
      </c>
      <c r="EO254">
        <f ca="1"/>
      </c>
      <c r="EP254">
        <f ca="1"/>
      </c>
      <c r="EQ254">
        <f ca="1"/>
      </c>
      <c r="ER254">
        <f ca="1"/>
      </c>
      <c r="ES254">
        <f ca="1"/>
      </c>
      <c r="ET254">
        <f ca="1"/>
      </c>
      <c r="EU254">
        <f ca="1"/>
      </c>
      <c r="EV254">
        <f ca="1"/>
      </c>
      <c r="EW254">
        <f ca="1"/>
      </c>
      <c r="EX254">
        <f ca="1"/>
      </c>
      <c r="EY254">
        <f ca="1"/>
      </c>
      <c r="EZ254">
        <f ca="1"/>
      </c>
      <c r="FA254">
        <f ca="1"/>
      </c>
      <c r="FB254">
        <f ca="1"/>
      </c>
      <c r="FC254">
        <f ca="1"/>
      </c>
      <c r="FD254">
        <f ca="1"/>
      </c>
      <c r="FE254">
        <f ca="1"/>
      </c>
      <c r="FF254">
        <f ca="1"/>
      </c>
      <c r="FG254">
        <f ca="1"/>
      </c>
      <c r="FH254">
        <f ca="1"/>
      </c>
      <c r="FI254">
        <f ca="1"/>
      </c>
      <c r="FJ254">
        <f ca="1"/>
      </c>
      <c r="FK254">
        <f ca="1"/>
      </c>
      <c r="FL254">
        <f ca="1"/>
      </c>
      <c r="FM254">
        <f ca="1"/>
      </c>
      <c r="FN254">
        <f ca="1"/>
      </c>
      <c r="FO254">
        <f ca="1"/>
      </c>
      <c r="FP254">
        <f ca="1"/>
      </c>
      <c r="FQ254">
        <f ca="1"/>
      </c>
      <c r="FR254">
        <f ca="1"/>
      </c>
      <c r="FS254">
        <f ca="1"/>
      </c>
      <c r="FT254">
        <f ca="1"/>
      </c>
      <c r="FU254">
        <f ca="1"/>
      </c>
      <c r="FV254">
        <f ca="1"/>
      </c>
      <c r="FW254">
        <f ca="1"/>
      </c>
      <c r="FX254">
        <f ca="1"/>
      </c>
      <c r="FY254">
        <f ca="1"/>
      </c>
      <c r="FZ254">
        <f ca="1"/>
      </c>
      <c r="GA254">
        <f ca="1"/>
      </c>
      <c r="GM254" s="7"/>
    </row>
    <row r="255" spans="41:199" x14ac:dyDescent="0.55000000000000004">
      <c r="AO255">
        <f ca="1"/>
      </c>
      <c r="AP255">
        <f ca="1"/>
      </c>
      <c r="AQ255">
        <f ca="1"/>
      </c>
      <c r="AR255">
        <f ca="1"/>
      </c>
      <c r="AS255">
        <f ca="1"/>
      </c>
      <c r="AT255">
        <f ca="1"/>
      </c>
      <c r="AU255">
        <f ca="1"/>
      </c>
      <c r="AV255">
        <f ca="1"/>
      </c>
      <c r="AW255">
        <f ca="1"/>
      </c>
      <c r="AX255">
        <f ca="1"/>
      </c>
      <c r="AY255">
        <f ca="1"/>
      </c>
      <c r="AZ255">
        <f ca="1"/>
      </c>
      <c r="BA255">
        <f ca="1"/>
      </c>
      <c r="BB255">
        <f ca="1"/>
      </c>
      <c r="BC255">
        <f ca="1"/>
      </c>
      <c r="BD255">
        <f ca="1"/>
      </c>
      <c r="BE255">
        <f ca="1"/>
      </c>
      <c r="BF255">
        <f ca="1"/>
      </c>
      <c r="BG255">
        <f ca="1"/>
      </c>
      <c r="BH255">
        <f ca="1"/>
      </c>
      <c r="BI255">
        <f ca="1"/>
      </c>
      <c r="BJ255">
        <f ca="1"/>
      </c>
      <c r="BK255">
        <f ca="1"/>
      </c>
      <c r="BL255">
        <f ca="1"/>
      </c>
      <c r="BM255">
        <f ca="1"/>
      </c>
      <c r="BN255">
        <f ca="1"/>
      </c>
      <c r="BO255">
        <f ca="1"/>
      </c>
      <c r="BP255">
        <f ca="1"/>
      </c>
      <c r="BQ255">
        <f ca="1"/>
      </c>
      <c r="BR255">
        <f ca="1"/>
      </c>
      <c r="BS255">
        <f ca="1"/>
      </c>
      <c r="BT255">
        <f ca="1"/>
      </c>
      <c r="BU255">
        <f ca="1"/>
      </c>
      <c r="BV255">
        <f ca="1"/>
      </c>
      <c r="BW255">
        <f ca="1"/>
      </c>
      <c r="BX255">
        <f ca="1"/>
      </c>
      <c r="BY255">
        <f ca="1"/>
      </c>
      <c r="BZ255">
        <f ca="1"/>
      </c>
      <c r="CA255">
        <f ca="1"/>
      </c>
      <c r="CB255">
        <f ca="1"/>
      </c>
      <c r="CC255">
        <f ca="1"/>
      </c>
      <c r="CD255">
        <f ca="1"/>
      </c>
      <c r="CE255">
        <f ca="1"/>
      </c>
      <c r="CF255">
        <f ca="1"/>
      </c>
      <c r="CG255">
        <f ca="1"/>
      </c>
      <c r="CH255">
        <f ca="1"/>
      </c>
      <c r="CI255">
        <f ca="1"/>
      </c>
      <c r="CK255">
        <f ca="1"/>
      </c>
      <c r="CL255">
        <f ca="1"/>
      </c>
      <c r="CM255">
        <f ca="1"/>
      </c>
      <c r="CN255">
        <f ca="1"/>
      </c>
      <c r="CO255">
        <f ca="1"/>
      </c>
      <c r="CP255">
        <f ca="1"/>
      </c>
      <c r="CQ255">
        <f ca="1"/>
      </c>
      <c r="CR255">
        <f ca="1"/>
      </c>
      <c r="CS255">
        <f ca="1"/>
      </c>
      <c r="CT255">
        <f ca="1"/>
      </c>
      <c r="CU255">
        <f ca="1"/>
      </c>
      <c r="CV255">
        <f ca="1"/>
      </c>
      <c r="CW255">
        <f ca="1"/>
      </c>
      <c r="CX255">
        <f ca="1"/>
      </c>
      <c r="CY255">
        <f ca="1"/>
      </c>
      <c r="CZ255">
        <f ca="1"/>
      </c>
      <c r="DA255">
        <f ca="1"/>
      </c>
      <c r="DB255">
        <f ca="1"/>
      </c>
      <c r="DC255">
        <f ca="1"/>
      </c>
      <c r="DD255">
        <f ca="1"/>
      </c>
      <c r="DE255">
        <f ca="1"/>
      </c>
      <c r="DF255">
        <f ca="1"/>
      </c>
      <c r="DG255">
        <f ca="1"/>
      </c>
      <c r="DH255">
        <f ca="1"/>
      </c>
      <c r="DI255">
        <f ca="1"/>
      </c>
      <c r="DJ255">
        <f ca="1"/>
      </c>
      <c r="DK255">
        <f ca="1"/>
      </c>
      <c r="DL255">
        <f ca="1"/>
      </c>
      <c r="DM255">
        <f ca="1"/>
      </c>
      <c r="DN255">
        <f ca="1"/>
      </c>
      <c r="DO255">
        <f ca="1"/>
      </c>
      <c r="DP255">
        <f ca="1"/>
      </c>
      <c r="DQ255">
        <f ca="1"/>
      </c>
      <c r="DR255">
        <f ca="1"/>
      </c>
      <c r="DS255">
        <f ca="1"/>
      </c>
      <c r="DT255">
        <f ca="1"/>
      </c>
      <c r="DU255">
        <f ca="1"/>
      </c>
      <c r="DV255">
        <f ca="1"/>
      </c>
      <c r="DW255">
        <f ca="1"/>
      </c>
      <c r="DX255">
        <f ca="1"/>
      </c>
      <c r="DY255">
        <f ca="1"/>
      </c>
      <c r="DZ255">
        <f ca="1"/>
      </c>
      <c r="EA255">
        <f ca="1"/>
      </c>
      <c r="EB255">
        <f ca="1"/>
      </c>
      <c r="EC255">
        <f ca="1"/>
      </c>
      <c r="ED255">
        <f ca="1"/>
      </c>
      <c r="EE255">
        <f ca="1"/>
      </c>
      <c r="EG255">
        <f ca="1"/>
      </c>
      <c r="EH255">
        <f ca="1"/>
      </c>
      <c r="EI255">
        <f ca="1"/>
      </c>
      <c r="EJ255">
        <f ca="1"/>
      </c>
      <c r="EK255">
        <f ca="1"/>
      </c>
      <c r="EL255">
        <f ca="1"/>
      </c>
      <c r="EM255">
        <f ca="1"/>
      </c>
      <c r="EN255">
        <f ca="1"/>
      </c>
      <c r="EO255">
        <f ca="1"/>
      </c>
      <c r="EP255">
        <f ca="1"/>
      </c>
      <c r="EQ255">
        <f ca="1"/>
      </c>
      <c r="ER255">
        <f ca="1"/>
      </c>
      <c r="ES255">
        <f ca="1"/>
      </c>
      <c r="ET255">
        <f ca="1"/>
      </c>
      <c r="EU255">
        <f ca="1"/>
      </c>
      <c r="EV255">
        <f ca="1"/>
      </c>
      <c r="EW255">
        <f ca="1"/>
      </c>
      <c r="EX255">
        <f ca="1"/>
      </c>
      <c r="EY255">
        <f ca="1"/>
      </c>
      <c r="EZ255">
        <f ca="1"/>
      </c>
      <c r="FA255">
        <f ca="1"/>
      </c>
      <c r="FB255">
        <f ca="1"/>
      </c>
      <c r="FC255">
        <f ca="1"/>
      </c>
      <c r="FD255">
        <f ca="1"/>
      </c>
      <c r="FE255">
        <f ca="1"/>
      </c>
      <c r="FF255">
        <f ca="1"/>
      </c>
      <c r="FG255">
        <f ca="1"/>
      </c>
      <c r="FH255">
        <f ca="1"/>
      </c>
      <c r="FI255">
        <f ca="1"/>
      </c>
      <c r="FJ255">
        <f ca="1"/>
      </c>
      <c r="FK255">
        <f ca="1"/>
      </c>
      <c r="FL255">
        <f ca="1"/>
      </c>
      <c r="FM255">
        <f ca="1"/>
      </c>
      <c r="FN255">
        <f ca="1"/>
      </c>
      <c r="FO255">
        <f ca="1"/>
      </c>
      <c r="FP255">
        <f ca="1"/>
      </c>
      <c r="FQ255">
        <f ca="1"/>
      </c>
      <c r="FR255">
        <f ca="1"/>
      </c>
      <c r="FS255">
        <f ca="1"/>
      </c>
      <c r="FT255">
        <f ca="1"/>
      </c>
      <c r="FU255">
        <f ca="1"/>
      </c>
      <c r="FV255">
        <f ca="1"/>
      </c>
      <c r="FW255">
        <f ca="1"/>
      </c>
      <c r="FX255">
        <f ca="1"/>
      </c>
      <c r="FY255">
        <f ca="1"/>
      </c>
      <c r="FZ255">
        <f ca="1"/>
      </c>
      <c r="GA255">
        <f ca="1"/>
      </c>
      <c r="GM255" s="7"/>
    </row>
    <row r="256" spans="41:199" x14ac:dyDescent="0.55000000000000004">
      <c r="AO256">
        <f ca="1"/>
      </c>
      <c r="AP256">
        <f ca="1"/>
      </c>
      <c r="AQ256">
        <f ca="1"/>
      </c>
      <c r="AR256">
        <f ca="1"/>
      </c>
      <c r="AS256">
        <f ca="1"/>
      </c>
      <c r="AT256">
        <f ca="1"/>
      </c>
      <c r="AU256">
        <f ca="1"/>
      </c>
      <c r="AV256">
        <f ca="1"/>
      </c>
      <c r="AW256">
        <f ca="1"/>
      </c>
      <c r="AX256">
        <f ca="1"/>
      </c>
      <c r="AY256">
        <f ca="1"/>
      </c>
      <c r="AZ256">
        <f ca="1"/>
      </c>
      <c r="BA256">
        <f ca="1"/>
      </c>
      <c r="BB256">
        <f ca="1"/>
      </c>
      <c r="BC256">
        <f ca="1"/>
      </c>
      <c r="BD256">
        <f ca="1"/>
      </c>
      <c r="BE256">
        <f ca="1"/>
      </c>
      <c r="BF256">
        <f ca="1"/>
      </c>
      <c r="BG256">
        <f ca="1"/>
      </c>
      <c r="BH256">
        <f ca="1"/>
      </c>
      <c r="BI256">
        <f ca="1"/>
      </c>
      <c r="BJ256">
        <f ca="1"/>
      </c>
      <c r="BK256">
        <f ca="1"/>
      </c>
      <c r="BL256">
        <f ca="1"/>
      </c>
      <c r="BM256">
        <f ca="1"/>
      </c>
      <c r="BN256">
        <f ca="1"/>
      </c>
      <c r="BO256">
        <f ca="1"/>
      </c>
      <c r="BP256">
        <f ca="1"/>
      </c>
      <c r="BQ256">
        <f ca="1"/>
      </c>
      <c r="BR256">
        <f ca="1"/>
      </c>
      <c r="BS256">
        <f ca="1"/>
      </c>
      <c r="BT256">
        <f ca="1"/>
      </c>
      <c r="BU256">
        <f ca="1"/>
      </c>
      <c r="BV256">
        <f ca="1"/>
      </c>
      <c r="BW256">
        <f ca="1"/>
      </c>
      <c r="BX256">
        <f ca="1"/>
      </c>
      <c r="BY256">
        <f ca="1"/>
      </c>
      <c r="BZ256">
        <f ca="1"/>
      </c>
      <c r="CA256">
        <f ca="1"/>
      </c>
      <c r="CB256">
        <f ca="1"/>
      </c>
      <c r="CC256">
        <f ca="1"/>
      </c>
      <c r="CD256">
        <f ca="1"/>
      </c>
      <c r="CE256">
        <f ca="1"/>
      </c>
      <c r="CF256">
        <f ca="1"/>
      </c>
      <c r="CG256">
        <f ca="1"/>
      </c>
      <c r="CH256">
        <f ca="1"/>
      </c>
      <c r="CI256">
        <f ca="1"/>
      </c>
      <c r="CK256">
        <f ca="1"/>
      </c>
      <c r="CL256">
        <f ca="1"/>
      </c>
      <c r="CM256">
        <f ca="1"/>
      </c>
      <c r="CN256">
        <f ca="1"/>
      </c>
      <c r="CO256">
        <f ca="1"/>
      </c>
      <c r="CP256">
        <f ca="1"/>
      </c>
      <c r="CQ256">
        <f ca="1"/>
      </c>
      <c r="CR256">
        <f ca="1"/>
      </c>
      <c r="CS256">
        <f ca="1"/>
      </c>
      <c r="CT256">
        <f ca="1"/>
      </c>
      <c r="CU256">
        <f ca="1"/>
      </c>
      <c r="CV256">
        <f ca="1"/>
      </c>
      <c r="CW256">
        <f ca="1"/>
      </c>
      <c r="CX256">
        <f ca="1"/>
      </c>
      <c r="CY256">
        <f ca="1"/>
      </c>
      <c r="CZ256">
        <f ca="1"/>
      </c>
      <c r="DA256">
        <f ca="1"/>
      </c>
      <c r="DB256">
        <f ca="1"/>
      </c>
      <c r="DC256">
        <f ca="1"/>
      </c>
      <c r="DD256">
        <f ca="1"/>
      </c>
      <c r="DE256">
        <f ca="1"/>
      </c>
      <c r="DF256">
        <f ca="1"/>
      </c>
      <c r="DG256">
        <f ca="1"/>
      </c>
      <c r="DH256">
        <f ca="1"/>
      </c>
      <c r="DI256">
        <f ca="1"/>
      </c>
      <c r="DJ256">
        <f ca="1"/>
      </c>
      <c r="DK256">
        <f ca="1"/>
      </c>
      <c r="DL256">
        <f ca="1"/>
      </c>
      <c r="DM256">
        <f ca="1"/>
      </c>
      <c r="DN256">
        <f ca="1"/>
      </c>
      <c r="DO256">
        <f ca="1"/>
      </c>
      <c r="DP256">
        <f ca="1"/>
      </c>
      <c r="DQ256">
        <f ca="1"/>
      </c>
      <c r="DR256">
        <f ca="1"/>
      </c>
      <c r="DS256">
        <f ca="1"/>
      </c>
      <c r="DT256">
        <f ca="1"/>
      </c>
      <c r="DU256">
        <f ca="1"/>
      </c>
      <c r="DV256">
        <f ca="1"/>
      </c>
      <c r="DW256">
        <f ca="1"/>
      </c>
      <c r="DX256">
        <f ca="1"/>
      </c>
      <c r="DY256">
        <f ca="1"/>
      </c>
      <c r="DZ256">
        <f ca="1"/>
      </c>
      <c r="EA256">
        <f ca="1"/>
      </c>
      <c r="EB256">
        <f ca="1"/>
      </c>
      <c r="EC256">
        <f ca="1"/>
      </c>
      <c r="ED256">
        <f ca="1"/>
      </c>
      <c r="EE256">
        <f ca="1"/>
      </c>
      <c r="EG256">
        <f ca="1"/>
      </c>
      <c r="EH256">
        <f ca="1"/>
      </c>
      <c r="EI256">
        <f ca="1"/>
      </c>
      <c r="EJ256">
        <f ca="1"/>
      </c>
      <c r="EK256">
        <f ca="1"/>
      </c>
      <c r="EL256">
        <f ca="1"/>
      </c>
      <c r="EM256">
        <f ca="1"/>
      </c>
      <c r="EN256">
        <f ca="1"/>
      </c>
      <c r="EO256">
        <f ca="1"/>
      </c>
      <c r="EP256">
        <f ca="1"/>
      </c>
      <c r="EQ256">
        <f ca="1"/>
      </c>
      <c r="ER256">
        <f ca="1"/>
      </c>
      <c r="ES256">
        <f ca="1"/>
      </c>
      <c r="ET256">
        <f ca="1"/>
      </c>
      <c r="EU256">
        <f ca="1"/>
      </c>
      <c r="EV256">
        <f ca="1"/>
      </c>
      <c r="EW256">
        <f ca="1"/>
      </c>
      <c r="EX256">
        <f ca="1"/>
      </c>
      <c r="EY256">
        <f ca="1"/>
      </c>
      <c r="EZ256">
        <f ca="1"/>
      </c>
      <c r="FA256">
        <f ca="1"/>
      </c>
      <c r="FB256">
        <f ca="1"/>
      </c>
      <c r="FC256">
        <f ca="1"/>
      </c>
      <c r="FD256">
        <f ca="1"/>
      </c>
      <c r="FE256">
        <f ca="1"/>
      </c>
      <c r="FF256">
        <f ca="1"/>
      </c>
      <c r="FG256">
        <f ca="1"/>
      </c>
      <c r="FH256">
        <f ca="1"/>
      </c>
      <c r="FI256">
        <f ca="1"/>
      </c>
      <c r="FJ256">
        <f ca="1"/>
      </c>
      <c r="FK256">
        <f ca="1"/>
      </c>
      <c r="FL256">
        <f ca="1"/>
      </c>
      <c r="FM256">
        <f ca="1"/>
      </c>
      <c r="FN256">
        <f ca="1"/>
      </c>
      <c r="FO256">
        <f ca="1"/>
      </c>
      <c r="FP256">
        <f ca="1"/>
      </c>
      <c r="FQ256">
        <f ca="1"/>
      </c>
      <c r="FR256">
        <f ca="1"/>
      </c>
      <c r="FS256">
        <f ca="1"/>
      </c>
      <c r="FT256">
        <f ca="1"/>
      </c>
      <c r="FU256">
        <f ca="1"/>
      </c>
      <c r="FV256">
        <f ca="1"/>
      </c>
      <c r="FW256">
        <f ca="1"/>
      </c>
      <c r="FX256">
        <f ca="1"/>
      </c>
      <c r="FY256">
        <f ca="1"/>
      </c>
      <c r="FZ256">
        <f ca="1"/>
      </c>
      <c r="GA256">
        <f ca="1"/>
      </c>
      <c r="GM256" s="7"/>
    </row>
    <row r="257" spans="41:195" x14ac:dyDescent="0.55000000000000004">
      <c r="AO257">
        <f ca="1"/>
      </c>
      <c r="AP257">
        <f ca="1"/>
      </c>
      <c r="AQ257">
        <f ca="1"/>
      </c>
      <c r="AR257">
        <f ca="1"/>
      </c>
      <c r="AS257">
        <f ca="1"/>
      </c>
      <c r="AT257">
        <f ca="1"/>
      </c>
      <c r="AU257">
        <f ca="1"/>
      </c>
      <c r="AV257">
        <f ca="1"/>
      </c>
      <c r="AW257">
        <f ca="1"/>
      </c>
      <c r="AX257">
        <f ca="1"/>
      </c>
      <c r="AY257">
        <f ca="1"/>
      </c>
      <c r="AZ257">
        <f ca="1"/>
      </c>
      <c r="BA257">
        <f ca="1"/>
      </c>
      <c r="BB257">
        <f ca="1"/>
      </c>
      <c r="BC257">
        <f ca="1"/>
      </c>
      <c r="BD257">
        <f ca="1"/>
      </c>
      <c r="BE257">
        <f ca="1"/>
      </c>
      <c r="BF257">
        <f ca="1"/>
      </c>
      <c r="BG257">
        <f ca="1"/>
      </c>
      <c r="BH257">
        <f ca="1"/>
      </c>
      <c r="BI257">
        <f ca="1"/>
      </c>
      <c r="BJ257">
        <f ca="1"/>
      </c>
      <c r="BK257">
        <f ca="1"/>
      </c>
      <c r="BL257">
        <f ca="1"/>
      </c>
      <c r="BM257">
        <f ca="1"/>
      </c>
      <c r="BN257">
        <f ca="1"/>
      </c>
      <c r="BO257">
        <f ca="1"/>
      </c>
      <c r="BP257">
        <f ca="1"/>
      </c>
      <c r="BQ257">
        <f ca="1"/>
      </c>
      <c r="BR257">
        <f ca="1"/>
      </c>
      <c r="BS257">
        <f ca="1"/>
      </c>
      <c r="BT257">
        <f ca="1"/>
      </c>
      <c r="BU257">
        <f ca="1"/>
      </c>
      <c r="BV257">
        <f ca="1"/>
      </c>
      <c r="BW257">
        <f ca="1"/>
      </c>
      <c r="BX257">
        <f ca="1"/>
      </c>
      <c r="BY257">
        <f ca="1"/>
      </c>
      <c r="BZ257">
        <f ca="1"/>
      </c>
      <c r="CA257">
        <f ca="1"/>
      </c>
      <c r="CB257">
        <f ca="1"/>
      </c>
      <c r="CC257">
        <f ca="1"/>
      </c>
      <c r="CD257">
        <f ca="1"/>
      </c>
      <c r="CE257">
        <f ca="1"/>
      </c>
      <c r="CF257">
        <f ca="1"/>
      </c>
      <c r="CG257">
        <f ca="1"/>
      </c>
      <c r="CH257">
        <f ca="1"/>
      </c>
      <c r="CI257">
        <f ca="1"/>
      </c>
      <c r="CK257">
        <f ca="1"/>
      </c>
      <c r="CL257">
        <f ca="1"/>
      </c>
      <c r="CM257">
        <f ca="1"/>
      </c>
      <c r="CN257">
        <f ca="1"/>
      </c>
      <c r="CO257">
        <f ca="1"/>
      </c>
      <c r="CP257">
        <f ca="1"/>
      </c>
      <c r="CQ257">
        <f ca="1"/>
      </c>
      <c r="CR257">
        <f ca="1"/>
      </c>
      <c r="CS257">
        <f ca="1"/>
      </c>
      <c r="CT257">
        <f ca="1"/>
      </c>
      <c r="CU257">
        <f ca="1"/>
      </c>
      <c r="CV257">
        <f ca="1"/>
      </c>
      <c r="CW257">
        <f ca="1"/>
      </c>
      <c r="CX257">
        <f ca="1"/>
      </c>
      <c r="CY257">
        <f ca="1"/>
      </c>
      <c r="CZ257">
        <f ca="1"/>
      </c>
      <c r="DA257">
        <f ca="1"/>
      </c>
      <c r="DB257">
        <f ca="1"/>
      </c>
      <c r="DC257">
        <f ca="1"/>
      </c>
      <c r="DD257">
        <f ca="1"/>
      </c>
      <c r="DE257">
        <f ca="1"/>
      </c>
      <c r="DF257">
        <f ca="1"/>
      </c>
      <c r="DG257">
        <f ca="1"/>
      </c>
      <c r="DH257">
        <f ca="1"/>
      </c>
      <c r="DI257">
        <f ca="1"/>
      </c>
      <c r="DJ257">
        <f ca="1"/>
      </c>
      <c r="DK257">
        <f ca="1"/>
      </c>
      <c r="DL257">
        <f ca="1"/>
      </c>
      <c r="DM257">
        <f ca="1"/>
      </c>
      <c r="DN257">
        <f ca="1"/>
      </c>
      <c r="DO257">
        <f ca="1"/>
      </c>
      <c r="DP257">
        <f ca="1"/>
      </c>
      <c r="DQ257">
        <f ca="1"/>
      </c>
      <c r="DR257">
        <f ca="1"/>
      </c>
      <c r="DS257">
        <f ca="1"/>
      </c>
      <c r="DT257">
        <f ca="1"/>
      </c>
      <c r="DU257">
        <f ca="1"/>
      </c>
      <c r="DV257">
        <f ca="1"/>
      </c>
      <c r="DW257">
        <f ca="1"/>
      </c>
      <c r="DX257">
        <f ca="1"/>
      </c>
      <c r="DY257">
        <f ca="1"/>
      </c>
      <c r="DZ257">
        <f ca="1"/>
      </c>
      <c r="EA257">
        <f ca="1"/>
      </c>
      <c r="EB257">
        <f ca="1"/>
      </c>
      <c r="EC257">
        <f ca="1"/>
      </c>
      <c r="ED257">
        <f ca="1"/>
      </c>
      <c r="EE257">
        <f ca="1"/>
      </c>
      <c r="EG257">
        <f ca="1"/>
      </c>
      <c r="EH257">
        <f ca="1"/>
      </c>
      <c r="EI257">
        <f ca="1"/>
      </c>
      <c r="EJ257">
        <f ca="1"/>
      </c>
      <c r="EK257">
        <f ca="1"/>
      </c>
      <c r="EL257">
        <f ca="1"/>
      </c>
      <c r="EM257">
        <f ca="1"/>
      </c>
      <c r="EN257">
        <f ca="1"/>
      </c>
      <c r="EO257">
        <f ca="1"/>
      </c>
      <c r="EP257">
        <f ca="1"/>
      </c>
      <c r="EQ257">
        <f ca="1"/>
      </c>
      <c r="ER257">
        <f ca="1"/>
      </c>
      <c r="ES257">
        <f ca="1"/>
      </c>
      <c r="ET257">
        <f ca="1"/>
      </c>
      <c r="EU257">
        <f ca="1"/>
      </c>
      <c r="EV257">
        <f ca="1"/>
      </c>
      <c r="EW257">
        <f ca="1"/>
      </c>
      <c r="EX257">
        <f ca="1"/>
      </c>
      <c r="EY257">
        <f ca="1"/>
      </c>
      <c r="EZ257">
        <f ca="1"/>
      </c>
      <c r="FA257">
        <f ca="1"/>
      </c>
      <c r="FB257">
        <f ca="1"/>
      </c>
      <c r="FC257">
        <f ca="1"/>
      </c>
      <c r="FD257">
        <f ca="1"/>
      </c>
      <c r="FE257">
        <f ca="1"/>
      </c>
      <c r="FF257">
        <f ca="1"/>
      </c>
      <c r="FG257">
        <f ca="1"/>
      </c>
      <c r="FH257">
        <f ca="1"/>
      </c>
      <c r="FI257">
        <f ca="1"/>
      </c>
      <c r="FJ257">
        <f ca="1"/>
      </c>
      <c r="FK257">
        <f ca="1"/>
      </c>
      <c r="FL257">
        <f ca="1"/>
      </c>
      <c r="FM257">
        <f ca="1"/>
      </c>
      <c r="FN257">
        <f ca="1"/>
      </c>
      <c r="FO257">
        <f ca="1"/>
      </c>
      <c r="FP257">
        <f ca="1"/>
      </c>
      <c r="FQ257">
        <f ca="1"/>
      </c>
      <c r="FR257">
        <f ca="1"/>
      </c>
      <c r="FS257">
        <f ca="1"/>
      </c>
      <c r="FT257">
        <f ca="1"/>
      </c>
      <c r="FU257">
        <f ca="1"/>
      </c>
      <c r="FV257">
        <f ca="1"/>
      </c>
      <c r="FW257">
        <f ca="1"/>
      </c>
      <c r="FX257">
        <f ca="1"/>
      </c>
      <c r="FY257">
        <f ca="1"/>
      </c>
      <c r="FZ257">
        <f ca="1"/>
      </c>
      <c r="GA257">
        <f ca="1"/>
      </c>
      <c r="GM257" s="7"/>
    </row>
    <row r="258" spans="41:195" x14ac:dyDescent="0.55000000000000004">
      <c r="AO258">
        <f ca="1"/>
      </c>
      <c r="AP258">
        <f ca="1"/>
      </c>
      <c r="AQ258">
        <f ca="1"/>
      </c>
      <c r="AR258">
        <f ca="1"/>
      </c>
      <c r="AS258">
        <f ca="1"/>
      </c>
      <c r="AT258">
        <f ca="1"/>
      </c>
      <c r="AU258">
        <f ca="1"/>
      </c>
      <c r="AV258">
        <f ca="1"/>
      </c>
      <c r="AW258">
        <f ca="1"/>
      </c>
      <c r="AX258">
        <f ca="1"/>
      </c>
      <c r="AY258">
        <f ca="1"/>
      </c>
      <c r="AZ258">
        <f ca="1"/>
      </c>
      <c r="BA258">
        <f ca="1"/>
      </c>
      <c r="BB258">
        <f ca="1"/>
      </c>
      <c r="BC258">
        <f ca="1"/>
      </c>
      <c r="BD258">
        <f ca="1"/>
      </c>
      <c r="BE258">
        <f ca="1"/>
      </c>
      <c r="BF258">
        <f ca="1"/>
      </c>
      <c r="BG258">
        <f ca="1"/>
      </c>
      <c r="BH258">
        <f ca="1"/>
      </c>
      <c r="BI258">
        <f ca="1"/>
      </c>
      <c r="BJ258">
        <f ca="1"/>
      </c>
      <c r="BK258">
        <f ca="1"/>
      </c>
      <c r="BL258">
        <f ca="1"/>
      </c>
      <c r="BM258">
        <f ca="1"/>
      </c>
      <c r="BN258">
        <f ca="1"/>
      </c>
      <c r="BO258">
        <f ca="1"/>
      </c>
      <c r="BP258">
        <f ca="1"/>
      </c>
      <c r="BQ258">
        <f ca="1"/>
      </c>
      <c r="BR258">
        <f ca="1"/>
      </c>
      <c r="BS258">
        <f ca="1"/>
      </c>
      <c r="BT258">
        <f ca="1"/>
      </c>
      <c r="BU258">
        <f ca="1"/>
      </c>
      <c r="BV258">
        <f ca="1"/>
      </c>
      <c r="BW258">
        <f ca="1"/>
      </c>
      <c r="BX258">
        <f ca="1"/>
      </c>
      <c r="BY258">
        <f ca="1"/>
      </c>
      <c r="BZ258">
        <f ca="1"/>
      </c>
      <c r="CA258">
        <f ca="1"/>
      </c>
      <c r="CB258">
        <f ca="1"/>
      </c>
      <c r="CC258">
        <f ca="1"/>
      </c>
      <c r="CD258">
        <f ca="1"/>
      </c>
      <c r="CE258">
        <f ca="1"/>
      </c>
      <c r="CF258">
        <f ca="1"/>
      </c>
      <c r="CG258">
        <f ca="1"/>
      </c>
      <c r="CH258">
        <f ca="1"/>
      </c>
      <c r="CI258">
        <f ca="1"/>
      </c>
      <c r="CK258">
        <f ca="1"/>
      </c>
      <c r="CL258">
        <f ca="1"/>
      </c>
      <c r="CM258">
        <f ca="1"/>
      </c>
      <c r="CN258">
        <f ca="1"/>
      </c>
      <c r="CO258">
        <f ca="1"/>
      </c>
      <c r="CP258">
        <f ca="1"/>
      </c>
      <c r="CQ258">
        <f ca="1"/>
      </c>
      <c r="CR258">
        <f ca="1"/>
      </c>
      <c r="CS258">
        <f ca="1"/>
      </c>
      <c r="CT258">
        <f ca="1"/>
      </c>
      <c r="CU258">
        <f ca="1"/>
      </c>
      <c r="CV258">
        <f ca="1"/>
      </c>
      <c r="CW258">
        <f ca="1"/>
      </c>
      <c r="CX258">
        <f ca="1"/>
      </c>
      <c r="CY258">
        <f ca="1"/>
      </c>
      <c r="CZ258">
        <f ca="1"/>
      </c>
      <c r="DA258">
        <f ca="1"/>
      </c>
      <c r="DB258">
        <f ca="1"/>
      </c>
      <c r="DC258">
        <f ca="1"/>
      </c>
      <c r="DD258">
        <f ca="1"/>
      </c>
      <c r="DE258">
        <f ca="1"/>
      </c>
      <c r="DF258">
        <f ca="1"/>
      </c>
      <c r="DG258">
        <f ca="1"/>
      </c>
      <c r="DH258">
        <f ca="1"/>
      </c>
      <c r="DI258">
        <f ca="1"/>
      </c>
      <c r="DJ258">
        <f ca="1"/>
      </c>
      <c r="DK258">
        <f ca="1"/>
      </c>
      <c r="DL258">
        <f ca="1"/>
      </c>
      <c r="DM258">
        <f ca="1"/>
      </c>
      <c r="DN258">
        <f ca="1"/>
      </c>
      <c r="DO258">
        <f ca="1"/>
      </c>
      <c r="DP258">
        <f ca="1"/>
      </c>
      <c r="DQ258">
        <f ca="1"/>
      </c>
      <c r="DR258">
        <f ca="1"/>
      </c>
      <c r="DS258">
        <f ca="1"/>
      </c>
      <c r="DT258">
        <f ca="1"/>
      </c>
      <c r="DU258">
        <f ca="1"/>
      </c>
      <c r="DV258">
        <f ca="1"/>
      </c>
      <c r="DW258">
        <f ca="1"/>
      </c>
      <c r="DX258">
        <f ca="1"/>
      </c>
      <c r="DY258">
        <f ca="1"/>
      </c>
      <c r="DZ258">
        <f ca="1"/>
      </c>
      <c r="EA258">
        <f ca="1"/>
      </c>
      <c r="EB258">
        <f ca="1"/>
      </c>
      <c r="EC258">
        <f ca="1"/>
      </c>
      <c r="ED258">
        <f ca="1"/>
      </c>
      <c r="EE258">
        <f ca="1"/>
      </c>
      <c r="EG258">
        <f ca="1"/>
      </c>
      <c r="EH258">
        <f ca="1"/>
      </c>
      <c r="EI258">
        <f ca="1"/>
      </c>
      <c r="EJ258">
        <f ca="1"/>
      </c>
      <c r="EK258">
        <f ca="1"/>
      </c>
      <c r="EL258">
        <f ca="1"/>
      </c>
      <c r="EM258">
        <f ca="1"/>
      </c>
      <c r="EN258">
        <f ca="1"/>
      </c>
      <c r="EO258">
        <f ca="1"/>
      </c>
      <c r="EP258">
        <f ca="1"/>
      </c>
      <c r="EQ258">
        <f ca="1"/>
      </c>
      <c r="ER258">
        <f ca="1"/>
      </c>
      <c r="ES258">
        <f ca="1"/>
      </c>
      <c r="ET258">
        <f ca="1"/>
      </c>
      <c r="EU258">
        <f ca="1"/>
      </c>
      <c r="EV258">
        <f ca="1"/>
      </c>
      <c r="EW258">
        <f ca="1"/>
      </c>
      <c r="EX258">
        <f ca="1"/>
      </c>
      <c r="EY258">
        <f ca="1"/>
      </c>
      <c r="EZ258">
        <f ca="1"/>
      </c>
      <c r="FA258">
        <f ca="1"/>
      </c>
      <c r="FB258">
        <f ca="1"/>
      </c>
      <c r="FC258">
        <f ca="1"/>
      </c>
      <c r="FD258">
        <f ca="1"/>
      </c>
      <c r="FE258">
        <f ca="1"/>
      </c>
      <c r="FF258">
        <f ca="1"/>
      </c>
      <c r="FG258">
        <f ca="1"/>
      </c>
      <c r="FH258">
        <f ca="1"/>
      </c>
      <c r="FI258">
        <f ca="1"/>
      </c>
      <c r="FJ258">
        <f ca="1"/>
      </c>
      <c r="FK258">
        <f ca="1"/>
      </c>
      <c r="FL258">
        <f ca="1"/>
      </c>
      <c r="FM258">
        <f ca="1"/>
      </c>
      <c r="FN258">
        <f ca="1"/>
      </c>
      <c r="FO258">
        <f ca="1"/>
      </c>
      <c r="FP258">
        <f ca="1"/>
      </c>
      <c r="FQ258">
        <f ca="1"/>
      </c>
      <c r="FR258">
        <f ca="1"/>
      </c>
      <c r="FS258">
        <f ca="1"/>
      </c>
      <c r="FT258">
        <f ca="1"/>
      </c>
      <c r="FU258">
        <f ca="1"/>
      </c>
      <c r="FV258">
        <f ca="1"/>
      </c>
      <c r="FW258">
        <f ca="1"/>
      </c>
      <c r="FX258">
        <f ca="1"/>
      </c>
      <c r="FY258">
        <f ca="1"/>
      </c>
      <c r="FZ258">
        <f ca="1"/>
      </c>
      <c r="GA258">
        <f ca="1"/>
      </c>
      <c r="GM258" s="7"/>
    </row>
    <row r="259" spans="41:195" x14ac:dyDescent="0.55000000000000004">
      <c r="AO259">
        <f ca="1"/>
      </c>
      <c r="AP259">
        <f ca="1"/>
      </c>
      <c r="AQ259">
        <f ca="1"/>
      </c>
      <c r="AR259">
        <f ca="1"/>
      </c>
      <c r="AS259">
        <f ca="1"/>
      </c>
      <c r="AT259">
        <f ca="1"/>
      </c>
      <c r="AU259">
        <f ca="1"/>
      </c>
      <c r="AV259">
        <f ca="1"/>
      </c>
      <c r="AW259">
        <f ca="1"/>
      </c>
      <c r="AX259">
        <f ca="1"/>
      </c>
      <c r="AY259">
        <f ca="1"/>
      </c>
      <c r="AZ259">
        <f ca="1"/>
      </c>
      <c r="BA259">
        <f ca="1"/>
      </c>
      <c r="BB259">
        <f ca="1"/>
      </c>
      <c r="BC259">
        <f ca="1"/>
      </c>
      <c r="BD259">
        <f ca="1"/>
      </c>
      <c r="BE259">
        <f ca="1"/>
      </c>
      <c r="BF259">
        <f ca="1"/>
      </c>
      <c r="BG259">
        <f ca="1"/>
      </c>
      <c r="BH259">
        <f ca="1"/>
      </c>
      <c r="BI259">
        <f ca="1"/>
      </c>
      <c r="BJ259">
        <f ca="1"/>
      </c>
      <c r="BK259">
        <f ca="1"/>
      </c>
      <c r="BL259">
        <f ca="1"/>
      </c>
      <c r="BM259">
        <f ca="1"/>
      </c>
      <c r="BN259">
        <f ca="1"/>
      </c>
      <c r="BO259">
        <f ca="1"/>
      </c>
      <c r="BP259">
        <f ca="1"/>
      </c>
      <c r="BQ259">
        <f ca="1"/>
      </c>
      <c r="BR259">
        <f ca="1"/>
      </c>
      <c r="BS259">
        <f ca="1"/>
      </c>
      <c r="BT259">
        <f ca="1"/>
      </c>
      <c r="BU259">
        <f ca="1"/>
      </c>
      <c r="BV259">
        <f ca="1"/>
      </c>
      <c r="BW259">
        <f ca="1"/>
      </c>
      <c r="BX259">
        <f ca="1"/>
      </c>
      <c r="BY259">
        <f ca="1"/>
      </c>
      <c r="BZ259">
        <f ca="1"/>
      </c>
      <c r="CA259">
        <f ca="1"/>
      </c>
      <c r="CB259">
        <f ca="1"/>
      </c>
      <c r="CC259">
        <f ca="1"/>
      </c>
      <c r="CD259">
        <f ca="1"/>
      </c>
      <c r="CE259">
        <f ca="1"/>
      </c>
      <c r="CF259">
        <f ca="1"/>
      </c>
      <c r="CG259">
        <f ca="1"/>
      </c>
      <c r="CH259">
        <f ca="1"/>
      </c>
      <c r="CI259">
        <f ca="1"/>
      </c>
      <c r="CK259">
        <f ca="1"/>
      </c>
      <c r="CL259">
        <f ca="1"/>
      </c>
      <c r="CM259">
        <f ca="1"/>
      </c>
      <c r="CN259">
        <f ca="1"/>
      </c>
      <c r="CO259">
        <f ca="1"/>
      </c>
      <c r="CP259">
        <f ca="1"/>
      </c>
      <c r="CQ259">
        <f ca="1"/>
      </c>
      <c r="CR259">
        <f ca="1"/>
      </c>
      <c r="CS259">
        <f ca="1"/>
      </c>
      <c r="CT259">
        <f ca="1"/>
      </c>
      <c r="CU259">
        <f ca="1"/>
      </c>
      <c r="CV259">
        <f ca="1"/>
      </c>
      <c r="CW259">
        <f ca="1"/>
      </c>
      <c r="CX259">
        <f ca="1"/>
      </c>
      <c r="CY259">
        <f ca="1"/>
      </c>
      <c r="CZ259">
        <f ca="1"/>
      </c>
      <c r="DA259">
        <f ca="1"/>
      </c>
      <c r="DB259">
        <f ca="1"/>
      </c>
      <c r="DC259">
        <f ca="1"/>
      </c>
      <c r="DD259">
        <f ca="1"/>
      </c>
      <c r="DE259">
        <f ca="1"/>
      </c>
      <c r="DF259">
        <f ca="1"/>
      </c>
      <c r="DG259">
        <f ca="1"/>
      </c>
      <c r="DH259">
        <f ca="1"/>
      </c>
      <c r="DI259">
        <f ca="1"/>
      </c>
      <c r="DJ259">
        <f ca="1"/>
      </c>
      <c r="DK259">
        <f ca="1"/>
      </c>
      <c r="DL259">
        <f ca="1"/>
      </c>
      <c r="DM259">
        <f ca="1"/>
      </c>
      <c r="DN259">
        <f ca="1"/>
      </c>
      <c r="DO259">
        <f ca="1"/>
      </c>
      <c r="DP259">
        <f ca="1"/>
      </c>
      <c r="DQ259">
        <f ca="1"/>
      </c>
      <c r="DR259">
        <f ca="1"/>
      </c>
      <c r="DS259">
        <f ca="1"/>
      </c>
      <c r="DT259">
        <f ca="1"/>
      </c>
      <c r="DU259">
        <f ca="1"/>
      </c>
      <c r="DV259">
        <f ca="1"/>
      </c>
      <c r="DW259">
        <f ca="1"/>
      </c>
      <c r="DX259">
        <f ca="1"/>
      </c>
      <c r="DY259">
        <f ca="1"/>
      </c>
      <c r="DZ259">
        <f ca="1"/>
      </c>
      <c r="EA259">
        <f ca="1"/>
      </c>
      <c r="EB259">
        <f ca="1"/>
      </c>
      <c r="EC259">
        <f ca="1"/>
      </c>
      <c r="ED259">
        <f ca="1"/>
      </c>
      <c r="EE259">
        <f ca="1"/>
      </c>
      <c r="EG259">
        <f ca="1"/>
      </c>
      <c r="EH259">
        <f ca="1"/>
      </c>
      <c r="EI259">
        <f ca="1"/>
      </c>
      <c r="EJ259">
        <f ca="1"/>
      </c>
      <c r="EK259">
        <f ca="1"/>
      </c>
      <c r="EL259">
        <f ca="1"/>
      </c>
      <c r="EM259">
        <f ca="1"/>
      </c>
      <c r="EN259">
        <f ca="1"/>
      </c>
      <c r="EO259">
        <f ca="1"/>
      </c>
      <c r="EP259">
        <f ca="1"/>
      </c>
      <c r="EQ259">
        <f ca="1"/>
      </c>
      <c r="ER259">
        <f ca="1"/>
      </c>
      <c r="ES259">
        <f ca="1"/>
      </c>
      <c r="ET259">
        <f ca="1"/>
      </c>
      <c r="EU259">
        <f ca="1"/>
      </c>
      <c r="EV259">
        <f ca="1"/>
      </c>
      <c r="EW259">
        <f ca="1"/>
      </c>
      <c r="EX259">
        <f ca="1"/>
      </c>
      <c r="EY259">
        <f ca="1"/>
      </c>
      <c r="EZ259">
        <f ca="1"/>
      </c>
      <c r="FA259">
        <f ca="1"/>
      </c>
      <c r="FB259">
        <f ca="1"/>
      </c>
      <c r="FC259">
        <f ca="1"/>
      </c>
      <c r="FD259">
        <f ca="1"/>
      </c>
      <c r="FE259">
        <f ca="1"/>
      </c>
      <c r="FF259">
        <f ca="1"/>
      </c>
      <c r="FG259">
        <f ca="1"/>
      </c>
      <c r="FH259">
        <f ca="1"/>
      </c>
      <c r="FI259">
        <f ca="1"/>
      </c>
      <c r="FJ259">
        <f ca="1"/>
      </c>
      <c r="FK259">
        <f ca="1"/>
      </c>
      <c r="FL259">
        <f ca="1"/>
      </c>
      <c r="FM259">
        <f ca="1"/>
      </c>
      <c r="FN259">
        <f ca="1"/>
      </c>
      <c r="FO259">
        <f ca="1"/>
      </c>
      <c r="FP259">
        <f ca="1"/>
      </c>
      <c r="FQ259">
        <f ca="1"/>
      </c>
      <c r="FR259">
        <f ca="1"/>
      </c>
      <c r="FS259">
        <f ca="1"/>
      </c>
      <c r="FT259">
        <f ca="1"/>
      </c>
      <c r="FU259">
        <f ca="1"/>
      </c>
      <c r="FV259">
        <f ca="1"/>
      </c>
      <c r="FW259">
        <f ca="1"/>
      </c>
      <c r="FX259">
        <f ca="1"/>
      </c>
      <c r="FY259">
        <f ca="1"/>
      </c>
      <c r="FZ259">
        <f ca="1"/>
      </c>
      <c r="GA259">
        <f ca="1"/>
      </c>
      <c r="GM259" s="7"/>
    </row>
    <row r="260" spans="41:195" x14ac:dyDescent="0.55000000000000004">
      <c r="AO260">
        <f ca="1"/>
      </c>
      <c r="AP260">
        <f ca="1"/>
      </c>
      <c r="AQ260">
        <f ca="1"/>
      </c>
      <c r="AR260">
        <f ca="1"/>
      </c>
      <c r="AS260">
        <f ca="1"/>
      </c>
      <c r="AT260">
        <f ca="1"/>
      </c>
      <c r="AU260">
        <f ca="1"/>
      </c>
      <c r="AV260">
        <f ca="1"/>
      </c>
      <c r="AW260">
        <f ca="1"/>
      </c>
      <c r="AX260">
        <f ca="1"/>
      </c>
      <c r="AY260">
        <f ca="1"/>
      </c>
      <c r="AZ260">
        <f ca="1"/>
      </c>
      <c r="BA260">
        <f ca="1"/>
      </c>
      <c r="BB260">
        <f ca="1"/>
      </c>
      <c r="BC260">
        <f ca="1"/>
      </c>
      <c r="BD260">
        <f ca="1"/>
      </c>
      <c r="BE260">
        <f ca="1"/>
      </c>
      <c r="BF260">
        <f ca="1"/>
      </c>
      <c r="BG260">
        <f ca="1"/>
      </c>
      <c r="BH260">
        <f ca="1"/>
      </c>
      <c r="BI260">
        <f ca="1"/>
      </c>
      <c r="BJ260">
        <f ca="1"/>
      </c>
      <c r="BK260">
        <f ca="1"/>
      </c>
      <c r="BL260">
        <f ca="1"/>
      </c>
      <c r="BM260">
        <f ca="1"/>
      </c>
      <c r="BN260">
        <f ca="1"/>
      </c>
      <c r="BO260">
        <f ca="1"/>
      </c>
      <c r="BP260">
        <f ca="1"/>
      </c>
      <c r="BQ260">
        <f ca="1"/>
      </c>
      <c r="BR260">
        <f ca="1"/>
      </c>
      <c r="BS260">
        <f ca="1"/>
      </c>
      <c r="BT260">
        <f ca="1"/>
      </c>
      <c r="BU260">
        <f ca="1"/>
      </c>
      <c r="BV260">
        <f ca="1"/>
      </c>
      <c r="BW260">
        <f ca="1"/>
      </c>
      <c r="BX260">
        <f ca="1"/>
      </c>
      <c r="BY260">
        <f ca="1"/>
      </c>
      <c r="BZ260">
        <f ca="1"/>
      </c>
      <c r="CA260">
        <f ca="1"/>
      </c>
      <c r="CB260">
        <f ca="1"/>
      </c>
      <c r="CC260">
        <f ca="1"/>
      </c>
      <c r="CD260">
        <f ca="1"/>
      </c>
      <c r="CE260">
        <f ca="1"/>
      </c>
      <c r="CF260">
        <f ca="1"/>
      </c>
      <c r="CG260">
        <f ca="1"/>
      </c>
      <c r="CH260">
        <f ca="1"/>
      </c>
      <c r="CI260">
        <f ca="1"/>
      </c>
      <c r="CK260">
        <f ca="1"/>
      </c>
      <c r="CL260">
        <f ca="1"/>
      </c>
      <c r="CM260">
        <f ca="1"/>
      </c>
      <c r="CN260">
        <f ca="1"/>
      </c>
      <c r="CO260">
        <f ca="1"/>
      </c>
      <c r="CP260">
        <f ca="1"/>
      </c>
      <c r="CQ260">
        <f ca="1"/>
      </c>
      <c r="CR260">
        <f ca="1"/>
      </c>
      <c r="CS260">
        <f ca="1"/>
      </c>
      <c r="CT260">
        <f ca="1"/>
      </c>
      <c r="CU260">
        <f ca="1"/>
      </c>
      <c r="CV260">
        <f ca="1"/>
      </c>
      <c r="CW260">
        <f ca="1"/>
      </c>
      <c r="CX260">
        <f ca="1"/>
      </c>
      <c r="CY260">
        <f ca="1"/>
      </c>
      <c r="CZ260">
        <f ca="1"/>
      </c>
      <c r="DA260">
        <f ca="1"/>
      </c>
      <c r="DB260">
        <f ca="1"/>
      </c>
      <c r="DC260">
        <f ca="1"/>
      </c>
      <c r="DD260">
        <f ca="1"/>
      </c>
      <c r="DE260">
        <f ca="1"/>
      </c>
      <c r="DF260">
        <f ca="1"/>
      </c>
      <c r="DG260">
        <f ca="1"/>
      </c>
      <c r="DH260">
        <f ca="1"/>
      </c>
      <c r="DI260">
        <f ca="1"/>
      </c>
      <c r="DJ260">
        <f ca="1"/>
      </c>
      <c r="DK260">
        <f ca="1"/>
      </c>
      <c r="DL260">
        <f ca="1"/>
      </c>
      <c r="DM260">
        <f ca="1"/>
      </c>
      <c r="DN260">
        <f ca="1"/>
      </c>
      <c r="DO260">
        <f ca="1"/>
      </c>
      <c r="DP260">
        <f ca="1"/>
      </c>
      <c r="DQ260">
        <f ca="1"/>
      </c>
      <c r="DR260">
        <f ca="1"/>
      </c>
      <c r="DS260">
        <f ca="1"/>
      </c>
      <c r="DT260">
        <f ca="1"/>
      </c>
      <c r="DU260">
        <f ca="1"/>
      </c>
      <c r="DV260">
        <f ca="1"/>
      </c>
      <c r="DW260">
        <f ca="1"/>
      </c>
      <c r="DX260">
        <f ca="1"/>
      </c>
      <c r="DY260">
        <f ca="1"/>
      </c>
      <c r="DZ260">
        <f ca="1"/>
      </c>
      <c r="EA260">
        <f ca="1"/>
      </c>
      <c r="EB260">
        <f ca="1"/>
      </c>
      <c r="EC260">
        <f ca="1"/>
      </c>
      <c r="ED260">
        <f ca="1"/>
      </c>
      <c r="EE260">
        <f ca="1"/>
      </c>
      <c r="EG260">
        <f ca="1"/>
      </c>
      <c r="EH260">
        <f ca="1"/>
      </c>
      <c r="EI260">
        <f ca="1"/>
      </c>
      <c r="EJ260">
        <f ca="1"/>
      </c>
      <c r="EK260">
        <f ca="1"/>
      </c>
      <c r="EL260">
        <f ca="1"/>
      </c>
      <c r="EM260">
        <f ca="1"/>
      </c>
      <c r="EN260">
        <f ca="1"/>
      </c>
      <c r="EO260">
        <f ca="1"/>
      </c>
      <c r="EP260">
        <f ca="1"/>
      </c>
      <c r="EQ260">
        <f ca="1"/>
      </c>
      <c r="ER260">
        <f ca="1"/>
      </c>
      <c r="ES260">
        <f ca="1"/>
      </c>
      <c r="ET260">
        <f ca="1"/>
      </c>
      <c r="EU260">
        <f ca="1"/>
      </c>
      <c r="EV260">
        <f ca="1"/>
      </c>
      <c r="EW260">
        <f ca="1"/>
      </c>
      <c r="EX260">
        <f ca="1"/>
      </c>
      <c r="EY260">
        <f ca="1"/>
      </c>
      <c r="EZ260">
        <f ca="1"/>
      </c>
      <c r="FA260">
        <f ca="1"/>
      </c>
      <c r="FB260">
        <f ca="1"/>
      </c>
      <c r="FC260">
        <f ca="1"/>
      </c>
      <c r="FD260">
        <f ca="1"/>
      </c>
      <c r="FE260">
        <f ca="1"/>
      </c>
      <c r="FF260">
        <f ca="1"/>
      </c>
      <c r="FG260">
        <f ca="1"/>
      </c>
      <c r="FH260">
        <f ca="1"/>
      </c>
      <c r="FI260">
        <f ca="1"/>
      </c>
      <c r="FJ260">
        <f ca="1"/>
      </c>
      <c r="FK260">
        <f ca="1"/>
      </c>
      <c r="FL260">
        <f ca="1"/>
      </c>
      <c r="FM260">
        <f ca="1"/>
      </c>
      <c r="FN260">
        <f ca="1"/>
      </c>
      <c r="FO260">
        <f ca="1"/>
      </c>
      <c r="FP260">
        <f ca="1"/>
      </c>
      <c r="FQ260">
        <f ca="1"/>
      </c>
      <c r="FR260">
        <f ca="1"/>
      </c>
      <c r="FS260">
        <f ca="1"/>
      </c>
      <c r="FT260">
        <f ca="1"/>
      </c>
      <c r="FU260">
        <f ca="1"/>
      </c>
      <c r="FV260">
        <f ca="1"/>
      </c>
      <c r="FW260">
        <f ca="1"/>
      </c>
      <c r="FX260">
        <f ca="1"/>
      </c>
      <c r="FY260">
        <f ca="1"/>
      </c>
      <c r="FZ260">
        <f ca="1"/>
      </c>
      <c r="GA260">
        <f ca="1"/>
      </c>
      <c r="GM260" s="7"/>
    </row>
    <row r="261" spans="41:195" x14ac:dyDescent="0.55000000000000004">
      <c r="AO261">
        <f ca="1"/>
      </c>
      <c r="AP261">
        <f ca="1"/>
      </c>
      <c r="AQ261">
        <f ca="1"/>
      </c>
      <c r="AR261">
        <f ca="1"/>
      </c>
      <c r="AS261">
        <f ca="1"/>
      </c>
      <c r="AT261">
        <f ca="1"/>
      </c>
      <c r="AU261">
        <f ca="1"/>
      </c>
      <c r="AV261">
        <f ca="1"/>
      </c>
      <c r="AW261">
        <f ca="1"/>
      </c>
      <c r="AX261">
        <f ca="1"/>
      </c>
      <c r="AY261">
        <f ca="1"/>
      </c>
      <c r="AZ261">
        <f ca="1"/>
      </c>
      <c r="BA261">
        <f ca="1"/>
      </c>
      <c r="BB261">
        <f ca="1"/>
      </c>
      <c r="BC261">
        <f ca="1"/>
      </c>
      <c r="BD261">
        <f ca="1"/>
      </c>
      <c r="BE261">
        <f ca="1"/>
      </c>
      <c r="BF261">
        <f ca="1"/>
      </c>
      <c r="BG261">
        <f ca="1"/>
      </c>
      <c r="BH261">
        <f ca="1"/>
      </c>
      <c r="BI261">
        <f ca="1"/>
      </c>
      <c r="BJ261">
        <f ca="1"/>
      </c>
      <c r="BK261">
        <f ca="1"/>
      </c>
      <c r="BL261">
        <f ca="1"/>
      </c>
      <c r="BM261">
        <f ca="1"/>
      </c>
      <c r="BN261">
        <f ca="1"/>
      </c>
      <c r="BO261">
        <f ca="1"/>
      </c>
      <c r="BP261">
        <f ca="1"/>
      </c>
      <c r="BQ261">
        <f ca="1"/>
      </c>
      <c r="BR261">
        <f ca="1"/>
      </c>
      <c r="BS261">
        <f ca="1"/>
      </c>
      <c r="BT261">
        <f ca="1"/>
      </c>
      <c r="BU261">
        <f ca="1"/>
      </c>
      <c r="BV261">
        <f ca="1"/>
      </c>
      <c r="BW261">
        <f ca="1"/>
      </c>
      <c r="BX261">
        <f ca="1"/>
      </c>
      <c r="BY261">
        <f ca="1"/>
      </c>
      <c r="BZ261">
        <f ca="1"/>
      </c>
      <c r="CA261">
        <f ca="1"/>
      </c>
      <c r="CB261">
        <f ca="1"/>
      </c>
      <c r="CC261">
        <f ca="1"/>
      </c>
      <c r="CD261">
        <f ca="1"/>
      </c>
      <c r="CE261">
        <f ca="1"/>
      </c>
      <c r="CF261">
        <f ca="1"/>
      </c>
      <c r="CG261">
        <f ca="1"/>
      </c>
      <c r="CH261">
        <f ca="1"/>
      </c>
      <c r="CI261">
        <f ca="1"/>
      </c>
      <c r="CK261">
        <f ca="1"/>
      </c>
      <c r="CL261">
        <f ca="1"/>
      </c>
      <c r="CM261">
        <f ca="1"/>
      </c>
      <c r="CN261">
        <f ca="1"/>
      </c>
      <c r="CO261">
        <f ca="1"/>
      </c>
      <c r="CP261">
        <f ca="1"/>
      </c>
      <c r="CQ261">
        <f ca="1"/>
      </c>
      <c r="CR261">
        <f ca="1"/>
      </c>
      <c r="CS261">
        <f ca="1"/>
      </c>
      <c r="CT261">
        <f ca="1"/>
      </c>
      <c r="CU261">
        <f ca="1"/>
      </c>
      <c r="CV261">
        <f ca="1"/>
      </c>
      <c r="CW261">
        <f ca="1"/>
      </c>
      <c r="CX261">
        <f ca="1"/>
      </c>
      <c r="CY261">
        <f ca="1"/>
      </c>
      <c r="CZ261">
        <f ca="1"/>
      </c>
      <c r="DA261">
        <f ca="1"/>
      </c>
      <c r="DB261">
        <f ca="1"/>
      </c>
      <c r="DC261">
        <f ca="1"/>
      </c>
      <c r="DD261">
        <f ca="1"/>
      </c>
      <c r="DE261">
        <f ca="1"/>
      </c>
      <c r="DF261">
        <f ca="1"/>
      </c>
      <c r="DG261">
        <f ca="1"/>
      </c>
      <c r="DH261">
        <f ca="1"/>
      </c>
      <c r="DI261">
        <f ca="1"/>
      </c>
      <c r="DJ261">
        <f ca="1"/>
      </c>
      <c r="DK261">
        <f ca="1"/>
      </c>
      <c r="DL261">
        <f ca="1"/>
      </c>
      <c r="DM261">
        <f ca="1"/>
      </c>
      <c r="DN261">
        <f ca="1"/>
      </c>
      <c r="DO261">
        <f ca="1"/>
      </c>
      <c r="DP261">
        <f ca="1"/>
      </c>
      <c r="DQ261">
        <f ca="1"/>
      </c>
      <c r="DR261">
        <f ca="1"/>
      </c>
      <c r="DS261">
        <f ca="1"/>
      </c>
      <c r="DT261">
        <f ca="1"/>
      </c>
      <c r="DU261">
        <f ca="1"/>
      </c>
      <c r="DV261">
        <f ca="1"/>
      </c>
      <c r="DW261">
        <f ca="1"/>
      </c>
      <c r="DX261">
        <f ca="1"/>
      </c>
      <c r="DY261">
        <f ca="1"/>
      </c>
      <c r="DZ261">
        <f ca="1"/>
      </c>
      <c r="EA261">
        <f ca="1"/>
      </c>
      <c r="EB261">
        <f ca="1"/>
      </c>
      <c r="EC261">
        <f ca="1"/>
      </c>
      <c r="ED261">
        <f ca="1"/>
      </c>
      <c r="EE261">
        <f ca="1"/>
      </c>
      <c r="EG261">
        <f ca="1"/>
      </c>
      <c r="EH261">
        <f ca="1"/>
      </c>
      <c r="EI261">
        <f ca="1"/>
      </c>
      <c r="EJ261">
        <f ca="1"/>
      </c>
      <c r="EK261">
        <f ca="1"/>
      </c>
      <c r="EL261">
        <f ca="1"/>
      </c>
      <c r="EM261">
        <f ca="1"/>
      </c>
      <c r="EN261">
        <f ca="1"/>
      </c>
      <c r="EO261">
        <f ca="1"/>
      </c>
      <c r="EP261">
        <f ca="1"/>
      </c>
      <c r="EQ261">
        <f ca="1"/>
      </c>
      <c r="ER261">
        <f ca="1"/>
      </c>
      <c r="ES261">
        <f ca="1"/>
      </c>
      <c r="ET261">
        <f ca="1"/>
      </c>
      <c r="EU261">
        <f ca="1"/>
      </c>
      <c r="EV261">
        <f ca="1"/>
      </c>
      <c r="EW261">
        <f ca="1"/>
      </c>
      <c r="EX261">
        <f ca="1"/>
      </c>
      <c r="EY261">
        <f ca="1"/>
      </c>
      <c r="EZ261">
        <f ca="1"/>
      </c>
      <c r="FA261">
        <f ca="1"/>
      </c>
      <c r="FB261">
        <f ca="1"/>
      </c>
      <c r="FC261">
        <f ca="1"/>
      </c>
      <c r="FD261">
        <f ca="1"/>
      </c>
      <c r="FE261">
        <f ca="1"/>
      </c>
      <c r="FF261">
        <f ca="1"/>
      </c>
      <c r="FG261">
        <f ca="1"/>
      </c>
      <c r="FH261">
        <f ca="1"/>
      </c>
      <c r="FI261">
        <f ca="1"/>
      </c>
      <c r="FJ261">
        <f ca="1"/>
      </c>
      <c r="FK261">
        <f ca="1"/>
      </c>
      <c r="FL261">
        <f ca="1"/>
      </c>
      <c r="FM261">
        <f ca="1"/>
      </c>
      <c r="FN261">
        <f ca="1"/>
      </c>
      <c r="FO261">
        <f ca="1"/>
      </c>
      <c r="FP261">
        <f ca="1"/>
      </c>
      <c r="FQ261">
        <f ca="1"/>
      </c>
      <c r="FR261">
        <f ca="1"/>
      </c>
      <c r="FS261">
        <f ca="1"/>
      </c>
      <c r="FT261">
        <f ca="1"/>
      </c>
      <c r="FU261">
        <f ca="1"/>
      </c>
      <c r="FV261">
        <f ca="1"/>
      </c>
      <c r="FW261">
        <f ca="1"/>
      </c>
      <c r="FX261">
        <f ca="1"/>
      </c>
      <c r="FY261">
        <f ca="1"/>
      </c>
      <c r="FZ261">
        <f ca="1"/>
      </c>
      <c r="GA261">
        <f ca="1"/>
      </c>
      <c r="GM261" s="7"/>
    </row>
    <row r="262" spans="41:195" x14ac:dyDescent="0.55000000000000004">
      <c r="AO262">
        <f ca="1"/>
      </c>
      <c r="AP262">
        <f ca="1"/>
      </c>
      <c r="AQ262">
        <f ca="1"/>
      </c>
      <c r="AR262">
        <f ca="1"/>
      </c>
      <c r="AS262">
        <f ca="1"/>
      </c>
      <c r="AT262">
        <f ca="1"/>
      </c>
      <c r="AU262">
        <f ca="1"/>
      </c>
      <c r="AV262">
        <f ca="1"/>
      </c>
      <c r="AW262">
        <f ca="1"/>
      </c>
      <c r="AX262">
        <f ca="1"/>
      </c>
      <c r="AY262">
        <f ca="1"/>
      </c>
      <c r="AZ262">
        <f ca="1"/>
      </c>
      <c r="BA262">
        <f ca="1"/>
      </c>
      <c r="BB262">
        <f ca="1"/>
      </c>
      <c r="BC262">
        <f ca="1"/>
      </c>
      <c r="BD262">
        <f ca="1"/>
      </c>
      <c r="BE262">
        <f ca="1"/>
      </c>
      <c r="BF262">
        <f ca="1"/>
      </c>
      <c r="BG262">
        <f ca="1"/>
      </c>
      <c r="BH262">
        <f ca="1"/>
      </c>
      <c r="BI262">
        <f ca="1"/>
      </c>
      <c r="BJ262">
        <f ca="1"/>
      </c>
      <c r="BK262">
        <f ca="1"/>
      </c>
      <c r="BL262">
        <f ca="1"/>
      </c>
      <c r="BM262">
        <f ca="1"/>
      </c>
      <c r="BN262">
        <f ca="1"/>
      </c>
      <c r="BO262">
        <f ca="1"/>
      </c>
      <c r="BP262">
        <f ca="1"/>
      </c>
      <c r="BQ262">
        <f ca="1"/>
      </c>
      <c r="BR262">
        <f ca="1"/>
      </c>
      <c r="BS262">
        <f ca="1"/>
      </c>
      <c r="BT262">
        <f ca="1"/>
      </c>
      <c r="BU262">
        <f ca="1"/>
      </c>
      <c r="BV262">
        <f ca="1"/>
      </c>
      <c r="BW262">
        <f ca="1"/>
      </c>
      <c r="BX262">
        <f ca="1"/>
      </c>
      <c r="BY262">
        <f ca="1"/>
      </c>
      <c r="BZ262">
        <f ca="1"/>
      </c>
      <c r="CA262">
        <f ca="1"/>
      </c>
      <c r="CB262">
        <f ca="1"/>
      </c>
      <c r="CC262">
        <f ca="1"/>
      </c>
      <c r="CD262">
        <f ca="1"/>
      </c>
      <c r="CE262">
        <f ca="1"/>
      </c>
      <c r="CF262">
        <f ca="1"/>
      </c>
      <c r="CG262">
        <f ca="1"/>
      </c>
      <c r="CH262">
        <f ca="1"/>
      </c>
      <c r="CI262">
        <f ca="1"/>
      </c>
      <c r="CK262">
        <f ca="1"/>
      </c>
      <c r="CL262">
        <f ca="1"/>
      </c>
      <c r="CM262">
        <f ca="1"/>
      </c>
      <c r="CN262">
        <f ca="1"/>
      </c>
      <c r="CO262">
        <f ca="1"/>
      </c>
      <c r="CP262">
        <f ca="1"/>
      </c>
      <c r="CQ262">
        <f ca="1"/>
      </c>
      <c r="CR262">
        <f ca="1"/>
      </c>
      <c r="CS262">
        <f ca="1"/>
      </c>
      <c r="CT262">
        <f ca="1"/>
      </c>
      <c r="CU262">
        <f ca="1"/>
      </c>
      <c r="CV262">
        <f ca="1"/>
      </c>
      <c r="CW262">
        <f ca="1"/>
      </c>
      <c r="CX262">
        <f ca="1"/>
      </c>
      <c r="CY262">
        <f ca="1"/>
      </c>
      <c r="CZ262">
        <f ca="1"/>
      </c>
      <c r="DA262">
        <f ca="1"/>
      </c>
      <c r="DB262">
        <f ca="1"/>
      </c>
      <c r="DC262">
        <f ca="1"/>
      </c>
      <c r="DD262">
        <f ca="1"/>
      </c>
      <c r="DE262">
        <f ca="1"/>
      </c>
      <c r="DF262">
        <f ca="1"/>
      </c>
      <c r="DG262">
        <f ca="1"/>
      </c>
      <c r="DH262">
        <f ca="1"/>
      </c>
      <c r="DI262">
        <f ca="1"/>
      </c>
      <c r="DJ262">
        <f ca="1"/>
      </c>
      <c r="DK262">
        <f ca="1"/>
      </c>
      <c r="DL262">
        <f ca="1"/>
      </c>
      <c r="DM262">
        <f ca="1"/>
      </c>
      <c r="DN262">
        <f ca="1"/>
      </c>
      <c r="DO262">
        <f ca="1"/>
      </c>
      <c r="DP262">
        <f ca="1"/>
      </c>
      <c r="DQ262">
        <f ca="1"/>
      </c>
      <c r="DR262">
        <f ca="1"/>
      </c>
      <c r="DS262">
        <f ca="1"/>
      </c>
      <c r="DT262">
        <f ca="1"/>
      </c>
      <c r="DU262">
        <f ca="1"/>
      </c>
      <c r="DV262">
        <f ca="1"/>
      </c>
      <c r="DW262">
        <f ca="1"/>
      </c>
      <c r="DX262">
        <f ca="1"/>
      </c>
      <c r="DY262">
        <f ca="1"/>
      </c>
      <c r="DZ262">
        <f ca="1"/>
      </c>
      <c r="EA262">
        <f ca="1"/>
      </c>
      <c r="EB262">
        <f ca="1"/>
      </c>
      <c r="EC262">
        <f ca="1"/>
      </c>
      <c r="ED262">
        <f ca="1"/>
      </c>
      <c r="EE262">
        <f ca="1"/>
      </c>
      <c r="EG262">
        <f ca="1"/>
      </c>
      <c r="EH262">
        <f ca="1"/>
      </c>
      <c r="EI262">
        <f ca="1"/>
      </c>
      <c r="EJ262">
        <f ca="1"/>
      </c>
      <c r="EK262">
        <f ca="1"/>
      </c>
      <c r="EL262">
        <f ca="1"/>
      </c>
      <c r="EM262">
        <f ca="1"/>
      </c>
      <c r="EN262">
        <f ca="1"/>
      </c>
      <c r="EO262">
        <f ca="1"/>
      </c>
      <c r="EP262">
        <f ca="1"/>
      </c>
      <c r="EQ262">
        <f ca="1"/>
      </c>
      <c r="ER262">
        <f ca="1"/>
      </c>
      <c r="ES262">
        <f ca="1"/>
      </c>
      <c r="ET262">
        <f ca="1"/>
      </c>
      <c r="EU262">
        <f ca="1"/>
      </c>
      <c r="EV262">
        <f ca="1"/>
      </c>
      <c r="EW262">
        <f ca="1"/>
      </c>
      <c r="EX262">
        <f ca="1"/>
      </c>
      <c r="EY262">
        <f ca="1"/>
      </c>
      <c r="EZ262">
        <f ca="1"/>
      </c>
      <c r="FA262">
        <f ca="1"/>
      </c>
      <c r="FB262">
        <f ca="1"/>
      </c>
      <c r="FC262">
        <f ca="1"/>
      </c>
      <c r="FD262">
        <f ca="1"/>
      </c>
      <c r="FE262">
        <f ca="1"/>
      </c>
      <c r="FF262">
        <f ca="1"/>
      </c>
      <c r="FG262">
        <f ca="1"/>
      </c>
      <c r="FH262">
        <f ca="1"/>
      </c>
      <c r="FI262">
        <f ca="1"/>
      </c>
      <c r="FJ262">
        <f ca="1"/>
      </c>
      <c r="FK262">
        <f ca="1"/>
      </c>
      <c r="FL262">
        <f ca="1"/>
      </c>
      <c r="FM262">
        <f ca="1"/>
      </c>
      <c r="FN262">
        <f ca="1"/>
      </c>
      <c r="FO262">
        <f ca="1"/>
      </c>
      <c r="FP262">
        <f ca="1"/>
      </c>
      <c r="FQ262">
        <f ca="1"/>
      </c>
      <c r="FR262">
        <f ca="1"/>
      </c>
      <c r="FS262">
        <f ca="1"/>
      </c>
      <c r="FT262">
        <f ca="1"/>
      </c>
      <c r="FU262">
        <f ca="1"/>
      </c>
      <c r="FV262">
        <f ca="1"/>
      </c>
      <c r="FW262">
        <f ca="1"/>
      </c>
      <c r="FX262">
        <f ca="1"/>
      </c>
      <c r="FY262">
        <f ca="1"/>
      </c>
      <c r="FZ262">
        <f ca="1"/>
      </c>
      <c r="GA262">
        <f ca="1"/>
      </c>
      <c r="GM262" s="7"/>
    </row>
    <row r="263" spans="41:195" x14ac:dyDescent="0.55000000000000004">
      <c r="AO263">
        <f ca="1"/>
      </c>
      <c r="AP263">
        <f ca="1"/>
      </c>
      <c r="AQ263">
        <f ca="1"/>
      </c>
      <c r="AR263">
        <f ca="1"/>
      </c>
      <c r="AS263">
        <f ca="1"/>
      </c>
      <c r="AT263">
        <f ca="1"/>
      </c>
      <c r="AU263">
        <f ca="1"/>
      </c>
      <c r="AV263">
        <f ca="1"/>
      </c>
      <c r="AW263">
        <f ca="1"/>
      </c>
      <c r="AX263">
        <f ca="1"/>
      </c>
      <c r="AY263">
        <f ca="1"/>
      </c>
      <c r="AZ263">
        <f ca="1"/>
      </c>
      <c r="BA263">
        <f ca="1"/>
      </c>
      <c r="BB263">
        <f ca="1"/>
      </c>
      <c r="BC263">
        <f ca="1"/>
      </c>
      <c r="BD263">
        <f ca="1"/>
      </c>
      <c r="BE263">
        <f ca="1"/>
      </c>
      <c r="BF263">
        <f ca="1"/>
      </c>
      <c r="BG263">
        <f ca="1"/>
      </c>
      <c r="BH263">
        <f ca="1"/>
      </c>
      <c r="BI263">
        <f ca="1"/>
      </c>
      <c r="BJ263">
        <f ca="1"/>
      </c>
      <c r="BK263">
        <f ca="1"/>
      </c>
      <c r="BL263">
        <f ca="1"/>
      </c>
      <c r="BM263">
        <f ca="1"/>
      </c>
      <c r="BN263">
        <f ca="1"/>
      </c>
      <c r="BO263">
        <f ca="1"/>
      </c>
      <c r="BP263">
        <f ca="1"/>
      </c>
      <c r="BQ263">
        <f ca="1"/>
      </c>
      <c r="BR263">
        <f ca="1"/>
      </c>
      <c r="BS263">
        <f ca="1"/>
      </c>
      <c r="BT263">
        <f ca="1"/>
      </c>
      <c r="BU263">
        <f ca="1"/>
      </c>
      <c r="BV263">
        <f ca="1"/>
      </c>
      <c r="BW263">
        <f ca="1"/>
      </c>
      <c r="BX263">
        <f ca="1"/>
      </c>
      <c r="BY263">
        <f ca="1"/>
      </c>
      <c r="BZ263">
        <f ca="1"/>
      </c>
      <c r="CA263">
        <f ca="1"/>
      </c>
      <c r="CB263">
        <f ca="1"/>
      </c>
      <c r="CC263">
        <f ca="1"/>
      </c>
      <c r="CD263">
        <f ca="1"/>
      </c>
      <c r="CE263">
        <f ca="1"/>
      </c>
      <c r="CF263">
        <f ca="1"/>
      </c>
      <c r="CG263">
        <f ca="1"/>
      </c>
      <c r="CH263">
        <f ca="1"/>
      </c>
      <c r="CI263">
        <f ca="1"/>
      </c>
      <c r="CK263">
        <f ca="1"/>
      </c>
      <c r="CL263">
        <f ca="1"/>
      </c>
      <c r="CM263">
        <f ca="1"/>
      </c>
      <c r="CN263">
        <f ca="1"/>
      </c>
      <c r="CO263">
        <f ca="1"/>
      </c>
      <c r="CP263">
        <f ca="1"/>
      </c>
      <c r="CQ263">
        <f ca="1"/>
      </c>
      <c r="CR263">
        <f ca="1"/>
      </c>
      <c r="CS263">
        <f ca="1"/>
      </c>
      <c r="CT263">
        <f ca="1"/>
      </c>
      <c r="CU263">
        <f ca="1"/>
      </c>
      <c r="CV263">
        <f ca="1"/>
      </c>
      <c r="CW263">
        <f ca="1"/>
      </c>
      <c r="CX263">
        <f ca="1"/>
      </c>
      <c r="CY263">
        <f ca="1"/>
      </c>
      <c r="CZ263">
        <f ca="1"/>
      </c>
      <c r="DA263">
        <f ca="1"/>
      </c>
      <c r="DB263">
        <f ca="1"/>
      </c>
      <c r="DC263">
        <f ca="1"/>
      </c>
      <c r="DD263">
        <f ca="1"/>
      </c>
      <c r="DE263">
        <f ca="1"/>
      </c>
      <c r="DF263">
        <f ca="1"/>
      </c>
      <c r="DG263">
        <f ca="1"/>
      </c>
      <c r="DH263">
        <f ca="1"/>
      </c>
      <c r="DI263">
        <f ca="1"/>
      </c>
      <c r="DJ263">
        <f ca="1"/>
      </c>
      <c r="DK263">
        <f ca="1"/>
      </c>
      <c r="DL263">
        <f ca="1"/>
      </c>
      <c r="DM263">
        <f ca="1"/>
      </c>
      <c r="DN263">
        <f ca="1"/>
      </c>
      <c r="DO263">
        <f ca="1"/>
      </c>
      <c r="DP263">
        <f ca="1"/>
      </c>
      <c r="DQ263">
        <f ca="1"/>
      </c>
      <c r="DR263">
        <f ca="1"/>
      </c>
      <c r="DS263">
        <f ca="1"/>
      </c>
      <c r="DT263">
        <f ca="1"/>
      </c>
      <c r="DU263">
        <f ca="1"/>
      </c>
      <c r="DV263">
        <f ca="1"/>
      </c>
      <c r="DW263">
        <f ca="1"/>
      </c>
      <c r="DX263">
        <f ca="1"/>
      </c>
      <c r="DY263">
        <f ca="1"/>
      </c>
      <c r="DZ263">
        <f ca="1"/>
      </c>
      <c r="EA263">
        <f ca="1"/>
      </c>
      <c r="EB263">
        <f ca="1"/>
      </c>
      <c r="EC263">
        <f ca="1"/>
      </c>
      <c r="ED263">
        <f ca="1"/>
      </c>
      <c r="EE263">
        <f ca="1"/>
      </c>
      <c r="EG263">
        <f ca="1"/>
      </c>
      <c r="EH263">
        <f ca="1"/>
      </c>
      <c r="EI263">
        <f ca="1"/>
      </c>
      <c r="EJ263">
        <f ca="1"/>
      </c>
      <c r="EK263">
        <f ca="1"/>
      </c>
      <c r="EL263">
        <f ca="1"/>
      </c>
      <c r="EM263">
        <f ca="1"/>
      </c>
      <c r="EN263">
        <f ca="1"/>
      </c>
      <c r="EO263">
        <f ca="1"/>
      </c>
      <c r="EP263">
        <f ca="1"/>
      </c>
      <c r="EQ263">
        <f ca="1"/>
      </c>
      <c r="ER263">
        <f ca="1"/>
      </c>
      <c r="ES263">
        <f ca="1"/>
      </c>
      <c r="ET263">
        <f ca="1"/>
      </c>
      <c r="EU263">
        <f ca="1"/>
      </c>
      <c r="EV263">
        <f ca="1"/>
      </c>
      <c r="EW263">
        <f ca="1"/>
      </c>
      <c r="EX263">
        <f ca="1"/>
      </c>
      <c r="EY263">
        <f ca="1"/>
      </c>
      <c r="EZ263">
        <f ca="1"/>
      </c>
      <c r="FA263">
        <f ca="1"/>
      </c>
      <c r="FB263">
        <f ca="1"/>
      </c>
      <c r="FC263">
        <f ca="1"/>
      </c>
      <c r="FD263">
        <f ca="1"/>
      </c>
      <c r="FE263">
        <f ca="1"/>
      </c>
      <c r="FF263">
        <f ca="1"/>
      </c>
      <c r="FG263">
        <f ca="1"/>
      </c>
      <c r="FH263">
        <f ca="1"/>
      </c>
      <c r="FI263">
        <f ca="1"/>
      </c>
      <c r="FJ263">
        <f ca="1"/>
      </c>
      <c r="FK263">
        <f ca="1"/>
      </c>
      <c r="FL263">
        <f ca="1"/>
      </c>
      <c r="FM263">
        <f ca="1"/>
      </c>
      <c r="FN263">
        <f ca="1"/>
      </c>
      <c r="FO263">
        <f ca="1"/>
      </c>
      <c r="FP263">
        <f ca="1"/>
      </c>
      <c r="FQ263">
        <f ca="1"/>
      </c>
      <c r="FR263">
        <f ca="1"/>
      </c>
      <c r="FS263">
        <f ca="1"/>
      </c>
      <c r="FT263">
        <f ca="1"/>
      </c>
      <c r="FU263">
        <f ca="1"/>
      </c>
      <c r="FV263">
        <f ca="1"/>
      </c>
      <c r="FW263">
        <f ca="1"/>
      </c>
      <c r="FX263">
        <f ca="1"/>
      </c>
      <c r="FY263">
        <f ca="1"/>
      </c>
      <c r="FZ263">
        <f ca="1"/>
      </c>
      <c r="GA263">
        <f ca="1"/>
      </c>
      <c r="GM263" s="7"/>
    </row>
    <row r="264" spans="41:195" x14ac:dyDescent="0.55000000000000004">
      <c r="AO264">
        <f ca="1"/>
      </c>
      <c r="AP264">
        <f ca="1"/>
      </c>
      <c r="AQ264">
        <f ca="1"/>
      </c>
      <c r="AR264">
        <f ca="1"/>
      </c>
      <c r="AS264">
        <f ca="1"/>
      </c>
      <c r="AT264">
        <f ca="1"/>
      </c>
      <c r="AU264">
        <f ca="1"/>
      </c>
      <c r="AV264">
        <f ca="1"/>
      </c>
      <c r="AW264">
        <f ca="1"/>
      </c>
      <c r="AX264">
        <f ca="1"/>
      </c>
      <c r="AY264">
        <f ca="1"/>
      </c>
      <c r="AZ264">
        <f ca="1"/>
      </c>
      <c r="BA264">
        <f ca="1"/>
      </c>
      <c r="BB264">
        <f ca="1"/>
      </c>
      <c r="BC264">
        <f ca="1"/>
      </c>
      <c r="BD264">
        <f ca="1"/>
      </c>
      <c r="BE264">
        <f ca="1"/>
      </c>
      <c r="BF264">
        <f ca="1"/>
      </c>
      <c r="BG264">
        <f ca="1"/>
      </c>
      <c r="BH264">
        <f ca="1"/>
      </c>
      <c r="BI264">
        <f ca="1"/>
      </c>
      <c r="BJ264">
        <f ca="1"/>
      </c>
      <c r="BK264">
        <f ca="1"/>
      </c>
      <c r="BL264">
        <f ca="1"/>
      </c>
      <c r="BM264">
        <f ca="1"/>
      </c>
      <c r="BN264">
        <f ca="1"/>
      </c>
      <c r="BO264">
        <f ca="1"/>
      </c>
      <c r="BP264">
        <f ca="1"/>
      </c>
      <c r="BQ264">
        <f ca="1"/>
      </c>
      <c r="BR264">
        <f ca="1"/>
      </c>
      <c r="BS264">
        <f ca="1"/>
      </c>
      <c r="BT264">
        <f ca="1"/>
      </c>
      <c r="BU264">
        <f ca="1"/>
      </c>
      <c r="BV264">
        <f ca="1"/>
      </c>
      <c r="BW264">
        <f ca="1"/>
      </c>
      <c r="BX264">
        <f ca="1"/>
      </c>
      <c r="BY264">
        <f ca="1"/>
      </c>
      <c r="BZ264">
        <f ca="1"/>
      </c>
      <c r="CA264">
        <f ca="1"/>
      </c>
      <c r="CB264">
        <f ca="1"/>
      </c>
      <c r="CC264">
        <f ca="1"/>
      </c>
      <c r="CD264">
        <f ca="1"/>
      </c>
      <c r="CE264">
        <f ca="1"/>
      </c>
      <c r="CF264">
        <f ca="1"/>
      </c>
      <c r="CG264">
        <f ca="1"/>
      </c>
      <c r="CH264">
        <f ca="1"/>
      </c>
      <c r="CI264">
        <f ca="1"/>
      </c>
      <c r="CK264">
        <f ca="1"/>
      </c>
      <c r="CL264">
        <f ca="1"/>
      </c>
      <c r="CM264">
        <f ca="1"/>
      </c>
      <c r="CN264">
        <f ca="1"/>
      </c>
      <c r="CO264">
        <f ca="1"/>
      </c>
      <c r="CP264">
        <f ca="1"/>
      </c>
      <c r="CQ264">
        <f ca="1"/>
      </c>
      <c r="CR264">
        <f ca="1"/>
      </c>
      <c r="CS264">
        <f ca="1"/>
      </c>
      <c r="CT264">
        <f ca="1"/>
      </c>
      <c r="CU264">
        <f ca="1"/>
      </c>
      <c r="CV264">
        <f ca="1"/>
      </c>
      <c r="CW264">
        <f ca="1"/>
      </c>
      <c r="CX264">
        <f ca="1"/>
      </c>
      <c r="CY264">
        <f ca="1"/>
      </c>
      <c r="CZ264">
        <f ca="1"/>
      </c>
      <c r="DA264">
        <f ca="1"/>
      </c>
      <c r="DB264">
        <f ca="1"/>
      </c>
      <c r="DC264">
        <f ca="1"/>
      </c>
      <c r="DD264">
        <f ca="1"/>
      </c>
      <c r="DE264">
        <f ca="1"/>
      </c>
      <c r="DF264">
        <f ca="1"/>
      </c>
      <c r="DG264">
        <f ca="1"/>
      </c>
      <c r="DH264">
        <f ca="1"/>
      </c>
      <c r="DI264">
        <f ca="1"/>
      </c>
      <c r="DJ264">
        <f ca="1"/>
      </c>
      <c r="DK264">
        <f ca="1"/>
      </c>
      <c r="DL264">
        <f ca="1"/>
      </c>
      <c r="DM264">
        <f ca="1"/>
      </c>
      <c r="DN264">
        <f ca="1"/>
      </c>
      <c r="DO264">
        <f ca="1"/>
      </c>
      <c r="DP264">
        <f ca="1"/>
      </c>
      <c r="DQ264">
        <f ca="1"/>
      </c>
      <c r="DR264">
        <f ca="1"/>
      </c>
      <c r="DS264">
        <f ca="1"/>
      </c>
      <c r="DT264">
        <f ca="1"/>
      </c>
      <c r="DU264">
        <f ca="1"/>
      </c>
      <c r="DV264">
        <f ca="1"/>
      </c>
      <c r="DW264">
        <f ca="1"/>
      </c>
      <c r="DX264">
        <f ca="1"/>
      </c>
      <c r="DY264">
        <f ca="1"/>
      </c>
      <c r="DZ264">
        <f ca="1"/>
      </c>
      <c r="EA264">
        <f ca="1"/>
      </c>
      <c r="EB264">
        <f ca="1"/>
      </c>
      <c r="EC264">
        <f ca="1"/>
      </c>
      <c r="ED264">
        <f ca="1"/>
      </c>
      <c r="EE264">
        <f ca="1"/>
      </c>
      <c r="EG264">
        <f ca="1"/>
      </c>
      <c r="EH264">
        <f ca="1"/>
      </c>
      <c r="EI264">
        <f ca="1"/>
      </c>
      <c r="EJ264">
        <f ca="1"/>
      </c>
      <c r="EK264">
        <f ca="1"/>
      </c>
      <c r="EL264">
        <f ca="1"/>
      </c>
      <c r="EM264">
        <f ca="1"/>
      </c>
      <c r="EN264">
        <f ca="1"/>
      </c>
      <c r="EO264">
        <f ca="1"/>
      </c>
      <c r="EP264">
        <f ca="1"/>
      </c>
      <c r="EQ264">
        <f ca="1"/>
      </c>
      <c r="ER264">
        <f ca="1"/>
      </c>
      <c r="ES264">
        <f ca="1"/>
      </c>
      <c r="ET264">
        <f ca="1"/>
      </c>
      <c r="EU264">
        <f ca="1"/>
      </c>
      <c r="EV264">
        <f ca="1"/>
      </c>
      <c r="EW264">
        <f ca="1"/>
      </c>
      <c r="EX264">
        <f ca="1"/>
      </c>
      <c r="EY264">
        <f ca="1"/>
      </c>
      <c r="EZ264">
        <f ca="1"/>
      </c>
      <c r="FA264">
        <f ca="1"/>
      </c>
      <c r="FB264">
        <f ca="1"/>
      </c>
      <c r="FC264">
        <f ca="1"/>
      </c>
      <c r="FD264">
        <f ca="1"/>
      </c>
      <c r="FE264">
        <f ca="1"/>
      </c>
      <c r="FF264">
        <f ca="1"/>
      </c>
      <c r="FG264">
        <f ca="1"/>
      </c>
      <c r="FH264">
        <f ca="1"/>
      </c>
      <c r="FI264">
        <f ca="1"/>
      </c>
      <c r="FJ264">
        <f ca="1"/>
      </c>
      <c r="FK264">
        <f ca="1"/>
      </c>
      <c r="FL264">
        <f ca="1"/>
      </c>
      <c r="FM264">
        <f ca="1"/>
      </c>
      <c r="FN264">
        <f ca="1"/>
      </c>
      <c r="FO264">
        <f ca="1"/>
      </c>
      <c r="FP264">
        <f ca="1"/>
      </c>
      <c r="FQ264">
        <f ca="1"/>
      </c>
      <c r="FR264">
        <f ca="1"/>
      </c>
      <c r="FS264">
        <f ca="1"/>
      </c>
      <c r="FT264">
        <f ca="1"/>
      </c>
      <c r="FU264">
        <f ca="1"/>
      </c>
      <c r="FV264">
        <f ca="1"/>
      </c>
      <c r="FW264">
        <f ca="1"/>
      </c>
      <c r="FX264">
        <f ca="1"/>
      </c>
      <c r="FY264">
        <f ca="1"/>
      </c>
      <c r="FZ264">
        <f ca="1"/>
      </c>
      <c r="GA264">
        <f ca="1"/>
      </c>
      <c r="GM264" s="7"/>
    </row>
    <row r="265" spans="41:195" x14ac:dyDescent="0.55000000000000004">
      <c r="AO265">
        <f ca="1"/>
      </c>
      <c r="AP265">
        <f ca="1"/>
      </c>
      <c r="AQ265">
        <f ca="1"/>
      </c>
      <c r="AR265">
        <f ca="1"/>
      </c>
      <c r="AS265">
        <f ca="1"/>
      </c>
      <c r="AT265">
        <f ca="1"/>
      </c>
      <c r="AU265">
        <f ca="1"/>
      </c>
      <c r="AV265">
        <f ca="1"/>
      </c>
      <c r="AW265">
        <f ca="1"/>
      </c>
      <c r="AX265">
        <f ca="1"/>
      </c>
      <c r="AY265">
        <f ca="1"/>
      </c>
      <c r="AZ265">
        <f ca="1"/>
      </c>
      <c r="BA265">
        <f ca="1"/>
      </c>
      <c r="BB265">
        <f ca="1"/>
      </c>
      <c r="BC265">
        <f ca="1"/>
      </c>
      <c r="BD265">
        <f ca="1"/>
      </c>
      <c r="BE265">
        <f ca="1"/>
      </c>
      <c r="BF265">
        <f ca="1"/>
      </c>
      <c r="BG265">
        <f ca="1"/>
      </c>
      <c r="BH265">
        <f ca="1"/>
      </c>
      <c r="BI265">
        <f ca="1"/>
      </c>
      <c r="BJ265">
        <f ca="1"/>
      </c>
      <c r="BK265">
        <f ca="1"/>
      </c>
      <c r="BL265">
        <f ca="1"/>
      </c>
      <c r="BM265">
        <f ca="1"/>
      </c>
      <c r="BN265">
        <f ca="1"/>
      </c>
      <c r="BO265">
        <f ca="1"/>
      </c>
      <c r="BP265">
        <f ca="1"/>
      </c>
      <c r="BQ265">
        <f ca="1"/>
      </c>
      <c r="BR265">
        <f ca="1"/>
      </c>
      <c r="BS265">
        <f ca="1"/>
      </c>
      <c r="BT265">
        <f ca="1"/>
      </c>
      <c r="BU265">
        <f ca="1"/>
      </c>
      <c r="BV265">
        <f ca="1"/>
      </c>
      <c r="BW265">
        <f ca="1"/>
      </c>
      <c r="BX265">
        <f ca="1"/>
      </c>
      <c r="BY265">
        <f ca="1"/>
      </c>
      <c r="BZ265">
        <f ca="1"/>
      </c>
      <c r="CA265">
        <f ca="1"/>
      </c>
      <c r="CB265">
        <f ca="1"/>
      </c>
      <c r="CC265">
        <f ca="1"/>
      </c>
      <c r="CD265">
        <f ca="1"/>
      </c>
      <c r="CE265">
        <f ca="1"/>
      </c>
      <c r="CF265">
        <f ca="1"/>
      </c>
      <c r="CG265">
        <f ca="1"/>
      </c>
      <c r="CH265">
        <f ca="1"/>
      </c>
      <c r="CI265">
        <f ca="1"/>
      </c>
      <c r="CK265">
        <f ca="1"/>
      </c>
      <c r="CL265">
        <f ca="1"/>
      </c>
      <c r="CM265">
        <f ca="1"/>
      </c>
      <c r="CN265">
        <f ca="1"/>
      </c>
      <c r="CO265">
        <f ca="1"/>
      </c>
      <c r="CP265">
        <f ca="1"/>
      </c>
      <c r="CQ265">
        <f ca="1"/>
      </c>
      <c r="CR265">
        <f ca="1"/>
      </c>
      <c r="CS265">
        <f ca="1"/>
      </c>
      <c r="CT265">
        <f ca="1"/>
      </c>
      <c r="CU265">
        <f ca="1"/>
      </c>
      <c r="CV265">
        <f ca="1"/>
      </c>
      <c r="CW265">
        <f ca="1"/>
      </c>
      <c r="CX265">
        <f ca="1"/>
      </c>
      <c r="CY265">
        <f ca="1"/>
      </c>
      <c r="CZ265">
        <f ca="1"/>
      </c>
      <c r="DA265">
        <f ca="1"/>
      </c>
      <c r="DB265">
        <f ca="1"/>
      </c>
      <c r="DC265">
        <f ca="1"/>
      </c>
      <c r="DD265">
        <f ca="1"/>
      </c>
      <c r="DE265">
        <f ca="1"/>
      </c>
      <c r="DF265">
        <f ca="1"/>
      </c>
      <c r="DG265">
        <f ca="1"/>
      </c>
      <c r="DH265">
        <f ca="1"/>
      </c>
      <c r="DI265">
        <f ca="1"/>
      </c>
      <c r="DJ265">
        <f ca="1"/>
      </c>
      <c r="DK265">
        <f ca="1"/>
      </c>
      <c r="DL265">
        <f ca="1"/>
      </c>
      <c r="DM265">
        <f ca="1"/>
      </c>
      <c r="DN265">
        <f ca="1"/>
      </c>
      <c r="DO265">
        <f ca="1"/>
      </c>
      <c r="DP265">
        <f ca="1"/>
      </c>
      <c r="DQ265">
        <f ca="1"/>
      </c>
      <c r="DR265">
        <f ca="1"/>
      </c>
      <c r="DS265">
        <f ca="1"/>
      </c>
      <c r="DT265">
        <f ca="1"/>
      </c>
      <c r="DU265">
        <f ca="1"/>
      </c>
      <c r="DV265">
        <f ca="1"/>
      </c>
      <c r="DW265">
        <f ca="1"/>
      </c>
      <c r="DX265">
        <f ca="1"/>
      </c>
      <c r="DY265">
        <f ca="1"/>
      </c>
      <c r="DZ265">
        <f ca="1"/>
      </c>
      <c r="EA265">
        <f ca="1"/>
      </c>
      <c r="EB265">
        <f ca="1"/>
      </c>
      <c r="EC265">
        <f ca="1"/>
      </c>
      <c r="ED265">
        <f ca="1"/>
      </c>
      <c r="EE265">
        <f ca="1"/>
      </c>
      <c r="EG265">
        <f ca="1"/>
      </c>
      <c r="EH265">
        <f ca="1"/>
      </c>
      <c r="EI265">
        <f ca="1"/>
      </c>
      <c r="EJ265">
        <f ca="1"/>
      </c>
      <c r="EK265">
        <f ca="1"/>
      </c>
      <c r="EL265">
        <f ca="1"/>
      </c>
      <c r="EM265">
        <f ca="1"/>
      </c>
      <c r="EN265">
        <f ca="1"/>
      </c>
      <c r="EO265">
        <f ca="1"/>
      </c>
      <c r="EP265">
        <f ca="1"/>
      </c>
      <c r="EQ265">
        <f ca="1"/>
      </c>
      <c r="ER265">
        <f ca="1"/>
      </c>
      <c r="ES265">
        <f ca="1"/>
      </c>
      <c r="ET265">
        <f ca="1"/>
      </c>
      <c r="EU265">
        <f ca="1"/>
      </c>
      <c r="EV265">
        <f ca="1"/>
      </c>
      <c r="EW265">
        <f ca="1"/>
      </c>
      <c r="EX265">
        <f ca="1"/>
      </c>
      <c r="EY265">
        <f ca="1"/>
      </c>
      <c r="EZ265">
        <f ca="1"/>
      </c>
      <c r="FA265">
        <f ca="1"/>
      </c>
      <c r="FB265">
        <f ca="1"/>
      </c>
      <c r="FC265">
        <f ca="1"/>
      </c>
      <c r="FD265">
        <f ca="1"/>
      </c>
      <c r="FE265">
        <f ca="1"/>
      </c>
      <c r="FF265">
        <f ca="1"/>
      </c>
      <c r="FG265">
        <f ca="1"/>
      </c>
      <c r="FH265">
        <f ca="1"/>
      </c>
      <c r="FI265">
        <f ca="1"/>
      </c>
      <c r="FJ265">
        <f ca="1"/>
      </c>
      <c r="FK265">
        <f ca="1"/>
      </c>
      <c r="FL265">
        <f ca="1"/>
      </c>
      <c r="FM265">
        <f ca="1"/>
      </c>
      <c r="FN265">
        <f ca="1"/>
      </c>
      <c r="FO265">
        <f ca="1"/>
      </c>
      <c r="FP265">
        <f ca="1"/>
      </c>
      <c r="FQ265">
        <f ca="1"/>
      </c>
      <c r="FR265">
        <f ca="1"/>
      </c>
      <c r="FS265">
        <f ca="1"/>
      </c>
      <c r="FT265">
        <f ca="1"/>
      </c>
      <c r="FU265">
        <f ca="1"/>
      </c>
      <c r="FV265">
        <f ca="1"/>
      </c>
      <c r="FW265">
        <f ca="1"/>
      </c>
      <c r="FX265">
        <f ca="1"/>
      </c>
      <c r="FY265">
        <f ca="1"/>
      </c>
      <c r="FZ265">
        <f ca="1"/>
      </c>
      <c r="GA265">
        <f ca="1"/>
      </c>
      <c r="GM265" s="7"/>
    </row>
    <row r="266" spans="41:195" x14ac:dyDescent="0.55000000000000004">
      <c r="AO266">
        <f ca="1"/>
      </c>
      <c r="AP266">
        <f ca="1"/>
      </c>
      <c r="AQ266">
        <f ca="1"/>
      </c>
      <c r="AR266">
        <f ca="1"/>
      </c>
      <c r="AS266">
        <f ca="1"/>
      </c>
      <c r="AT266">
        <f ca="1"/>
      </c>
      <c r="AU266">
        <f ca="1"/>
      </c>
      <c r="AV266">
        <f ca="1"/>
      </c>
      <c r="AW266">
        <f ca="1"/>
      </c>
      <c r="AX266">
        <f ca="1"/>
      </c>
      <c r="AY266">
        <f ca="1"/>
      </c>
      <c r="AZ266">
        <f ca="1"/>
      </c>
      <c r="BA266">
        <f ca="1"/>
      </c>
      <c r="BB266">
        <f ca="1"/>
      </c>
      <c r="BC266">
        <f ca="1"/>
      </c>
      <c r="BD266">
        <f ca="1"/>
      </c>
      <c r="BE266">
        <f ca="1"/>
      </c>
      <c r="BF266">
        <f ca="1"/>
      </c>
      <c r="BG266">
        <f ca="1"/>
      </c>
      <c r="BH266">
        <f ca="1"/>
      </c>
      <c r="BI266">
        <f ca="1"/>
      </c>
      <c r="BJ266">
        <f ca="1"/>
      </c>
      <c r="BK266">
        <f ca="1"/>
      </c>
      <c r="BL266">
        <f ca="1"/>
      </c>
      <c r="BM266">
        <f ca="1"/>
      </c>
      <c r="BN266">
        <f ca="1"/>
      </c>
      <c r="BO266">
        <f ca="1"/>
      </c>
      <c r="BP266">
        <f ca="1"/>
      </c>
      <c r="BQ266">
        <f ca="1"/>
      </c>
      <c r="BR266">
        <f ca="1"/>
      </c>
      <c r="BS266">
        <f ca="1"/>
      </c>
      <c r="BT266">
        <f ca="1"/>
      </c>
      <c r="BU266">
        <f ca="1"/>
      </c>
      <c r="BV266">
        <f ca="1"/>
      </c>
      <c r="BW266">
        <f ca="1"/>
      </c>
      <c r="BX266">
        <f ca="1"/>
      </c>
      <c r="BY266">
        <f ca="1"/>
      </c>
      <c r="BZ266">
        <f ca="1"/>
      </c>
      <c r="CA266">
        <f ca="1"/>
      </c>
      <c r="CB266">
        <f ca="1"/>
      </c>
      <c r="CC266">
        <f ca="1"/>
      </c>
      <c r="CD266">
        <f ca="1"/>
      </c>
      <c r="CE266">
        <f ca="1"/>
      </c>
      <c r="CF266">
        <f ca="1"/>
      </c>
      <c r="CG266">
        <f ca="1"/>
      </c>
      <c r="CH266">
        <f ca="1"/>
      </c>
      <c r="CI266">
        <f ca="1"/>
      </c>
      <c r="CK266">
        <f ca="1"/>
      </c>
      <c r="CL266">
        <f ca="1"/>
      </c>
      <c r="CM266">
        <f ca="1"/>
      </c>
      <c r="CN266">
        <f ca="1"/>
      </c>
      <c r="CO266">
        <f ca="1"/>
      </c>
      <c r="CP266">
        <f ca="1"/>
      </c>
      <c r="CQ266">
        <f ca="1"/>
      </c>
      <c r="CR266">
        <f ca="1"/>
      </c>
      <c r="CS266">
        <f ca="1"/>
      </c>
      <c r="CT266">
        <f ca="1"/>
      </c>
      <c r="CU266">
        <f ca="1"/>
      </c>
      <c r="CV266">
        <f ca="1"/>
      </c>
      <c r="CW266">
        <f ca="1"/>
      </c>
      <c r="CX266">
        <f ca="1"/>
      </c>
      <c r="CY266">
        <f ca="1"/>
      </c>
      <c r="CZ266">
        <f ca="1"/>
      </c>
      <c r="DA266">
        <f ca="1"/>
      </c>
      <c r="DB266">
        <f ca="1"/>
      </c>
      <c r="DC266">
        <f ca="1"/>
      </c>
      <c r="DD266">
        <f ca="1"/>
      </c>
      <c r="DE266">
        <f ca="1"/>
      </c>
      <c r="DF266">
        <f ca="1"/>
      </c>
      <c r="DG266">
        <f ca="1"/>
      </c>
      <c r="DH266">
        <f ca="1"/>
      </c>
      <c r="DI266">
        <f ca="1"/>
      </c>
      <c r="DJ266">
        <f ca="1"/>
      </c>
      <c r="DK266">
        <f ca="1"/>
      </c>
      <c r="DL266">
        <f ca="1"/>
      </c>
      <c r="DM266">
        <f ca="1"/>
      </c>
      <c r="DN266">
        <f ca="1"/>
      </c>
      <c r="DO266">
        <f ca="1"/>
      </c>
      <c r="DP266">
        <f ca="1"/>
      </c>
      <c r="DQ266">
        <f ca="1"/>
      </c>
      <c r="DR266">
        <f ca="1"/>
      </c>
      <c r="DS266">
        <f ca="1"/>
      </c>
      <c r="DT266">
        <f ca="1"/>
      </c>
      <c r="DU266">
        <f ca="1"/>
      </c>
      <c r="DV266">
        <f ca="1"/>
      </c>
      <c r="DW266">
        <f ca="1"/>
      </c>
      <c r="DX266">
        <f ca="1"/>
      </c>
      <c r="DY266">
        <f ca="1"/>
      </c>
      <c r="DZ266">
        <f ca="1"/>
      </c>
      <c r="EA266">
        <f ca="1"/>
      </c>
      <c r="EB266">
        <f ca="1"/>
      </c>
      <c r="EC266">
        <f ca="1"/>
      </c>
      <c r="ED266">
        <f ca="1"/>
      </c>
      <c r="EE266">
        <f ca="1"/>
      </c>
      <c r="EG266">
        <f ca="1"/>
      </c>
      <c r="EH266">
        <f ca="1"/>
      </c>
      <c r="EI266">
        <f ca="1"/>
      </c>
      <c r="EJ266">
        <f ca="1"/>
      </c>
      <c r="EK266">
        <f ca="1"/>
      </c>
      <c r="EL266">
        <f ca="1"/>
      </c>
      <c r="EM266">
        <f ca="1"/>
      </c>
      <c r="EN266">
        <f ca="1"/>
      </c>
      <c r="EO266">
        <f ca="1"/>
      </c>
      <c r="EP266">
        <f ca="1"/>
      </c>
      <c r="EQ266">
        <f ca="1"/>
      </c>
      <c r="ER266">
        <f ca="1"/>
      </c>
      <c r="ES266">
        <f ca="1"/>
      </c>
      <c r="ET266">
        <f ca="1"/>
      </c>
      <c r="EU266">
        <f ca="1"/>
      </c>
      <c r="EV266">
        <f ca="1"/>
      </c>
      <c r="EW266">
        <f ca="1"/>
      </c>
      <c r="EX266">
        <f ca="1"/>
      </c>
      <c r="EY266">
        <f ca="1"/>
      </c>
      <c r="EZ266">
        <f ca="1"/>
      </c>
      <c r="FA266">
        <f ca="1"/>
      </c>
      <c r="FB266">
        <f ca="1"/>
      </c>
      <c r="FC266">
        <f ca="1"/>
      </c>
      <c r="FD266">
        <f ca="1"/>
      </c>
      <c r="FE266">
        <f ca="1"/>
      </c>
      <c r="FF266">
        <f ca="1"/>
      </c>
      <c r="FG266">
        <f ca="1"/>
      </c>
      <c r="FH266">
        <f ca="1"/>
      </c>
      <c r="FI266">
        <f ca="1"/>
      </c>
      <c r="FJ266">
        <f ca="1"/>
      </c>
      <c r="FK266">
        <f ca="1"/>
      </c>
      <c r="FL266">
        <f ca="1"/>
      </c>
      <c r="FM266">
        <f ca="1"/>
      </c>
      <c r="FN266">
        <f ca="1"/>
      </c>
      <c r="FO266">
        <f ca="1"/>
      </c>
      <c r="FP266">
        <f ca="1"/>
      </c>
      <c r="FQ266">
        <f ca="1"/>
      </c>
      <c r="FR266">
        <f ca="1"/>
      </c>
      <c r="FS266">
        <f ca="1"/>
      </c>
      <c r="FT266">
        <f ca="1"/>
      </c>
      <c r="FU266">
        <f ca="1"/>
      </c>
      <c r="FV266">
        <f ca="1"/>
      </c>
      <c r="FW266">
        <f ca="1"/>
      </c>
      <c r="FX266">
        <f ca="1"/>
      </c>
      <c r="FY266">
        <f ca="1"/>
      </c>
      <c r="FZ266">
        <f ca="1"/>
      </c>
      <c r="GA266">
        <f ca="1"/>
      </c>
      <c r="GM266" s="7"/>
    </row>
    <row r="267" spans="41:195" x14ac:dyDescent="0.55000000000000004">
      <c r="AO267">
        <f ca="1"/>
      </c>
      <c r="AP267">
        <f ca="1"/>
      </c>
      <c r="AQ267">
        <f ca="1"/>
      </c>
      <c r="AR267">
        <f ca="1"/>
      </c>
      <c r="AS267">
        <f ca="1"/>
      </c>
      <c r="AT267">
        <f ca="1"/>
      </c>
      <c r="AU267">
        <f ca="1"/>
      </c>
      <c r="AV267">
        <f ca="1"/>
      </c>
      <c r="AW267">
        <f ca="1"/>
      </c>
      <c r="AX267">
        <f ca="1"/>
      </c>
      <c r="AY267">
        <f ca="1"/>
      </c>
      <c r="AZ267">
        <f ca="1"/>
      </c>
      <c r="BA267">
        <f ca="1"/>
      </c>
      <c r="BB267">
        <f ca="1"/>
      </c>
      <c r="BC267">
        <f ca="1"/>
      </c>
      <c r="BD267">
        <f ca="1"/>
      </c>
      <c r="BE267">
        <f ca="1"/>
      </c>
      <c r="BF267">
        <f ca="1"/>
      </c>
      <c r="BG267">
        <f ca="1"/>
      </c>
      <c r="BH267">
        <f ca="1"/>
      </c>
      <c r="BI267">
        <f ca="1"/>
      </c>
      <c r="BJ267">
        <f ca="1"/>
      </c>
      <c r="BK267">
        <f ca="1"/>
      </c>
      <c r="BL267">
        <f ca="1"/>
      </c>
      <c r="BM267">
        <f ca="1"/>
      </c>
      <c r="BN267">
        <f ca="1"/>
      </c>
      <c r="BO267">
        <f ca="1"/>
      </c>
      <c r="BP267">
        <f ca="1"/>
      </c>
      <c r="BQ267">
        <f ca="1"/>
      </c>
      <c r="BR267">
        <f ca="1"/>
      </c>
      <c r="BS267">
        <f ca="1"/>
      </c>
      <c r="BT267">
        <f ca="1"/>
      </c>
      <c r="BU267">
        <f ca="1"/>
      </c>
      <c r="BV267">
        <f ca="1"/>
      </c>
      <c r="BW267">
        <f ca="1"/>
      </c>
      <c r="BX267">
        <f ca="1"/>
      </c>
      <c r="BY267">
        <f ca="1"/>
      </c>
      <c r="BZ267">
        <f ca="1"/>
      </c>
      <c r="CA267">
        <f ca="1"/>
      </c>
      <c r="CB267">
        <f ca="1"/>
      </c>
      <c r="CC267">
        <f ca="1"/>
      </c>
      <c r="CD267">
        <f ca="1"/>
      </c>
      <c r="CE267">
        <f ca="1"/>
      </c>
      <c r="CF267">
        <f ca="1"/>
      </c>
      <c r="CG267">
        <f ca="1"/>
      </c>
      <c r="CH267">
        <f ca="1"/>
      </c>
      <c r="CI267">
        <f ca="1"/>
      </c>
      <c r="CK267">
        <f ca="1"/>
      </c>
      <c r="CL267">
        <f ca="1"/>
      </c>
      <c r="CM267">
        <f ca="1"/>
      </c>
      <c r="CN267">
        <f ca="1"/>
      </c>
      <c r="CO267">
        <f ca="1"/>
      </c>
      <c r="CP267">
        <f ca="1"/>
      </c>
      <c r="CQ267">
        <f ca="1"/>
      </c>
      <c r="CR267">
        <f ca="1"/>
      </c>
      <c r="CS267">
        <f ca="1"/>
      </c>
      <c r="CT267">
        <f ca="1"/>
      </c>
      <c r="CU267">
        <f ca="1"/>
      </c>
      <c r="CV267">
        <f ca="1"/>
      </c>
      <c r="CW267">
        <f ca="1"/>
      </c>
      <c r="CX267">
        <f ca="1"/>
      </c>
      <c r="CY267">
        <f ca="1"/>
      </c>
      <c r="CZ267">
        <f ca="1"/>
      </c>
      <c r="DA267">
        <f ca="1"/>
      </c>
      <c r="DB267">
        <f ca="1"/>
      </c>
      <c r="DC267">
        <f ca="1"/>
      </c>
      <c r="DD267">
        <f ca="1"/>
      </c>
      <c r="DE267">
        <f ca="1"/>
      </c>
      <c r="DF267">
        <f ca="1"/>
      </c>
      <c r="DG267">
        <f ca="1"/>
      </c>
      <c r="DH267">
        <f ca="1"/>
      </c>
      <c r="DI267">
        <f ca="1"/>
      </c>
      <c r="DJ267">
        <f ca="1"/>
      </c>
      <c r="DK267">
        <f ca="1"/>
      </c>
      <c r="DL267">
        <f ca="1"/>
      </c>
      <c r="DM267">
        <f ca="1"/>
      </c>
      <c r="DN267">
        <f ca="1"/>
      </c>
      <c r="DO267">
        <f ca="1"/>
      </c>
      <c r="DP267">
        <f ca="1"/>
      </c>
      <c r="DQ267">
        <f ca="1"/>
      </c>
      <c r="DR267">
        <f ca="1"/>
      </c>
      <c r="DS267">
        <f ca="1"/>
      </c>
      <c r="DT267">
        <f ca="1"/>
      </c>
      <c r="DU267">
        <f ca="1"/>
      </c>
      <c r="DV267">
        <f ca="1"/>
      </c>
      <c r="DW267">
        <f ca="1"/>
      </c>
      <c r="DX267">
        <f ca="1"/>
      </c>
      <c r="DY267">
        <f ca="1"/>
      </c>
      <c r="DZ267">
        <f ca="1"/>
      </c>
      <c r="EA267">
        <f ca="1"/>
      </c>
      <c r="EB267">
        <f ca="1"/>
      </c>
      <c r="EC267">
        <f ca="1"/>
      </c>
      <c r="ED267">
        <f ca="1"/>
      </c>
      <c r="EE267">
        <f ca="1"/>
      </c>
      <c r="EG267">
        <f ca="1"/>
      </c>
      <c r="EH267">
        <f ca="1"/>
      </c>
      <c r="EI267">
        <f ca="1"/>
      </c>
      <c r="EJ267">
        <f ca="1"/>
      </c>
      <c r="EK267">
        <f ca="1"/>
      </c>
      <c r="EL267">
        <f ca="1"/>
      </c>
      <c r="EM267">
        <f ca="1"/>
      </c>
      <c r="EN267">
        <f ca="1"/>
      </c>
      <c r="EO267">
        <f ca="1"/>
      </c>
      <c r="EP267">
        <f ca="1"/>
      </c>
      <c r="EQ267">
        <f ca="1"/>
      </c>
      <c r="ER267">
        <f ca="1"/>
      </c>
      <c r="ES267">
        <f ca="1"/>
      </c>
      <c r="ET267">
        <f ca="1"/>
      </c>
      <c r="EU267">
        <f ca="1"/>
      </c>
      <c r="EV267">
        <f ca="1"/>
      </c>
      <c r="EW267">
        <f ca="1"/>
      </c>
      <c r="EX267">
        <f ca="1"/>
      </c>
      <c r="EY267">
        <f ca="1"/>
      </c>
      <c r="EZ267">
        <f ca="1"/>
      </c>
      <c r="FA267">
        <f ca="1"/>
      </c>
      <c r="FB267">
        <f ca="1"/>
      </c>
      <c r="FC267">
        <f ca="1"/>
      </c>
      <c r="FD267">
        <f ca="1"/>
      </c>
      <c r="FE267">
        <f ca="1"/>
      </c>
      <c r="FF267">
        <f ca="1"/>
      </c>
      <c r="FG267">
        <f ca="1"/>
      </c>
      <c r="FH267">
        <f ca="1"/>
      </c>
      <c r="FI267">
        <f ca="1"/>
      </c>
      <c r="FJ267">
        <f ca="1"/>
      </c>
      <c r="FK267">
        <f ca="1"/>
      </c>
      <c r="FL267">
        <f ca="1"/>
      </c>
      <c r="FM267">
        <f ca="1"/>
      </c>
      <c r="FN267">
        <f ca="1"/>
      </c>
      <c r="FO267">
        <f ca="1"/>
      </c>
      <c r="FP267">
        <f ca="1"/>
      </c>
      <c r="FQ267">
        <f ca="1"/>
      </c>
      <c r="FR267">
        <f ca="1"/>
      </c>
      <c r="FS267">
        <f ca="1"/>
      </c>
      <c r="FT267">
        <f ca="1"/>
      </c>
      <c r="FU267">
        <f ca="1"/>
      </c>
      <c r="FV267">
        <f ca="1"/>
      </c>
      <c r="FW267">
        <f ca="1"/>
      </c>
      <c r="FX267">
        <f ca="1"/>
      </c>
      <c r="FY267">
        <f ca="1"/>
      </c>
      <c r="FZ267">
        <f ca="1"/>
      </c>
      <c r="GA267">
        <f ca="1"/>
      </c>
      <c r="GM267" s="7"/>
    </row>
    <row r="268" spans="41:195" x14ac:dyDescent="0.55000000000000004">
      <c r="AO268">
        <f ca="1"/>
      </c>
      <c r="AP268">
        <f ca="1"/>
      </c>
      <c r="AQ268">
        <f ca="1"/>
      </c>
      <c r="AR268">
        <f ca="1"/>
      </c>
      <c r="AS268">
        <f ca="1"/>
      </c>
      <c r="AT268">
        <f ca="1"/>
      </c>
      <c r="AU268">
        <f ca="1"/>
      </c>
      <c r="AV268">
        <f ca="1"/>
      </c>
      <c r="AW268">
        <f ca="1"/>
      </c>
      <c r="AX268">
        <f ca="1"/>
      </c>
      <c r="AY268">
        <f ca="1"/>
      </c>
      <c r="AZ268">
        <f ca="1"/>
      </c>
      <c r="BA268">
        <f ca="1"/>
      </c>
      <c r="BB268">
        <f ca="1"/>
      </c>
      <c r="BC268">
        <f ca="1"/>
      </c>
      <c r="BD268">
        <f ca="1"/>
      </c>
      <c r="BE268">
        <f ca="1"/>
      </c>
      <c r="BF268">
        <f ca="1"/>
      </c>
      <c r="BG268">
        <f ca="1"/>
      </c>
      <c r="BH268">
        <f ca="1"/>
      </c>
      <c r="BI268">
        <f ca="1"/>
      </c>
      <c r="BJ268">
        <f ca="1"/>
      </c>
      <c r="BK268">
        <f ca="1"/>
      </c>
      <c r="BL268">
        <f ca="1"/>
      </c>
      <c r="BM268">
        <f ca="1"/>
      </c>
      <c r="BN268">
        <f ca="1"/>
      </c>
      <c r="BO268">
        <f ca="1"/>
      </c>
      <c r="BP268">
        <f ca="1"/>
      </c>
      <c r="BQ268">
        <f ca="1"/>
      </c>
      <c r="BR268">
        <f ca="1"/>
      </c>
      <c r="BS268">
        <f ca="1"/>
      </c>
      <c r="BT268">
        <f ca="1"/>
      </c>
      <c r="BU268">
        <f ca="1"/>
      </c>
      <c r="BV268">
        <f ca="1"/>
      </c>
      <c r="BW268">
        <f ca="1"/>
      </c>
      <c r="BX268">
        <f ca="1"/>
      </c>
      <c r="BY268">
        <f ca="1"/>
      </c>
      <c r="BZ268">
        <f ca="1"/>
      </c>
      <c r="CA268">
        <f ca="1"/>
      </c>
      <c r="CB268">
        <f ca="1"/>
      </c>
      <c r="CC268">
        <f ca="1"/>
      </c>
      <c r="CD268">
        <f ca="1"/>
      </c>
      <c r="CE268">
        <f ca="1"/>
      </c>
      <c r="CF268">
        <f ca="1"/>
      </c>
      <c r="CG268">
        <f ca="1"/>
      </c>
      <c r="CH268">
        <f ca="1"/>
      </c>
      <c r="CI268">
        <f ca="1"/>
      </c>
      <c r="CK268">
        <f ca="1"/>
      </c>
      <c r="CL268">
        <f ca="1"/>
      </c>
      <c r="CM268">
        <f ca="1"/>
      </c>
      <c r="CN268">
        <f ca="1"/>
      </c>
      <c r="CO268">
        <f ca="1"/>
      </c>
      <c r="CP268">
        <f ca="1"/>
      </c>
      <c r="CQ268">
        <f ca="1"/>
      </c>
      <c r="CR268">
        <f ca="1"/>
      </c>
      <c r="CS268">
        <f ca="1"/>
      </c>
      <c r="CT268">
        <f ca="1"/>
      </c>
      <c r="CU268">
        <f ca="1"/>
      </c>
      <c r="CV268">
        <f ca="1"/>
      </c>
      <c r="CW268">
        <f ca="1"/>
      </c>
      <c r="CX268">
        <f ca="1"/>
      </c>
      <c r="CY268">
        <f ca="1"/>
      </c>
      <c r="CZ268">
        <f ca="1"/>
      </c>
      <c r="DA268">
        <f ca="1"/>
      </c>
      <c r="DB268">
        <f ca="1"/>
      </c>
      <c r="DC268">
        <f ca="1"/>
      </c>
      <c r="DD268">
        <f ca="1"/>
      </c>
      <c r="DE268">
        <f ca="1"/>
      </c>
      <c r="DF268">
        <f ca="1"/>
      </c>
      <c r="DG268">
        <f ca="1"/>
      </c>
      <c r="DH268">
        <f ca="1"/>
      </c>
      <c r="DI268">
        <f ca="1"/>
      </c>
      <c r="DJ268">
        <f ca="1"/>
      </c>
      <c r="DK268">
        <f ca="1"/>
      </c>
      <c r="DL268">
        <f ca="1"/>
      </c>
      <c r="DM268">
        <f ca="1"/>
      </c>
      <c r="DN268">
        <f ca="1"/>
      </c>
      <c r="DO268">
        <f ca="1"/>
      </c>
      <c r="DP268">
        <f ca="1"/>
      </c>
      <c r="DQ268">
        <f ca="1"/>
      </c>
      <c r="DR268">
        <f ca="1"/>
      </c>
      <c r="DS268">
        <f ca="1"/>
      </c>
      <c r="DT268">
        <f ca="1"/>
      </c>
      <c r="DU268">
        <f ca="1"/>
      </c>
      <c r="DV268">
        <f ca="1"/>
      </c>
      <c r="DW268">
        <f ca="1"/>
      </c>
      <c r="DX268">
        <f ca="1"/>
      </c>
      <c r="DY268">
        <f ca="1"/>
      </c>
      <c r="DZ268">
        <f ca="1"/>
      </c>
      <c r="EA268">
        <f ca="1"/>
      </c>
      <c r="EB268">
        <f ca="1"/>
      </c>
      <c r="EC268">
        <f ca="1"/>
      </c>
      <c r="ED268">
        <f ca="1"/>
      </c>
      <c r="EE268">
        <f ca="1"/>
      </c>
      <c r="EG268">
        <f ca="1"/>
      </c>
      <c r="EH268">
        <f ca="1"/>
      </c>
      <c r="EI268">
        <f ca="1"/>
      </c>
      <c r="EJ268">
        <f ca="1"/>
      </c>
      <c r="EK268">
        <f ca="1"/>
      </c>
      <c r="EL268">
        <f ca="1"/>
      </c>
      <c r="EM268">
        <f ca="1"/>
      </c>
      <c r="EN268">
        <f ca="1"/>
      </c>
      <c r="EO268">
        <f ca="1"/>
      </c>
      <c r="EP268">
        <f ca="1"/>
      </c>
      <c r="EQ268">
        <f ca="1"/>
      </c>
      <c r="ER268">
        <f ca="1"/>
      </c>
      <c r="ES268">
        <f ca="1"/>
      </c>
      <c r="ET268">
        <f ca="1"/>
      </c>
      <c r="EU268">
        <f ca="1"/>
      </c>
      <c r="EV268">
        <f ca="1"/>
      </c>
      <c r="EW268">
        <f ca="1"/>
      </c>
      <c r="EX268">
        <f ca="1"/>
      </c>
      <c r="EY268">
        <f ca="1"/>
      </c>
      <c r="EZ268">
        <f ca="1"/>
      </c>
      <c r="FA268">
        <f ca="1"/>
      </c>
      <c r="FB268">
        <f ca="1"/>
      </c>
      <c r="FC268">
        <f ca="1"/>
      </c>
      <c r="FD268">
        <f ca="1"/>
      </c>
      <c r="FE268">
        <f ca="1"/>
      </c>
      <c r="FF268">
        <f ca="1"/>
      </c>
      <c r="FG268">
        <f ca="1"/>
      </c>
      <c r="FH268">
        <f ca="1"/>
      </c>
      <c r="FI268">
        <f ca="1"/>
      </c>
      <c r="FJ268">
        <f ca="1"/>
      </c>
      <c r="FK268">
        <f ca="1"/>
      </c>
      <c r="FL268">
        <f ca="1"/>
      </c>
      <c r="FM268">
        <f ca="1"/>
      </c>
      <c r="FN268">
        <f ca="1"/>
      </c>
      <c r="FO268">
        <f ca="1"/>
      </c>
      <c r="FP268">
        <f ca="1"/>
      </c>
      <c r="FQ268">
        <f ca="1"/>
      </c>
      <c r="FR268">
        <f ca="1"/>
      </c>
      <c r="FS268">
        <f ca="1"/>
      </c>
      <c r="FT268">
        <f ca="1"/>
      </c>
      <c r="FU268">
        <f ca="1"/>
      </c>
      <c r="FV268">
        <f ca="1"/>
      </c>
      <c r="FW268">
        <f ca="1"/>
      </c>
      <c r="FX268">
        <f ca="1"/>
      </c>
      <c r="FY268">
        <f ca="1"/>
      </c>
      <c r="FZ268">
        <f ca="1"/>
      </c>
      <c r="GA268">
        <f ca="1"/>
      </c>
      <c r="GM268" s="7"/>
    </row>
    <row r="269" spans="41:195" x14ac:dyDescent="0.55000000000000004">
      <c r="AO269">
        <f ca="1"/>
      </c>
      <c r="AP269">
        <f ca="1"/>
      </c>
      <c r="AQ269">
        <f ca="1"/>
      </c>
      <c r="AR269">
        <f ca="1"/>
      </c>
      <c r="AS269">
        <f ca="1"/>
      </c>
      <c r="AT269">
        <f ca="1"/>
      </c>
      <c r="AU269">
        <f ca="1"/>
      </c>
      <c r="AV269">
        <f ca="1"/>
      </c>
      <c r="AW269">
        <f ca="1"/>
      </c>
      <c r="AX269">
        <f ca="1"/>
      </c>
      <c r="AY269">
        <f ca="1"/>
      </c>
      <c r="AZ269">
        <f ca="1"/>
      </c>
      <c r="BA269">
        <f ca="1"/>
      </c>
      <c r="BB269">
        <f ca="1"/>
      </c>
      <c r="BC269">
        <f ca="1"/>
      </c>
      <c r="BD269">
        <f ca="1"/>
      </c>
      <c r="BE269">
        <f ca="1"/>
      </c>
      <c r="BF269">
        <f ca="1"/>
      </c>
      <c r="BG269">
        <f ca="1"/>
      </c>
      <c r="BH269">
        <f ca="1"/>
      </c>
      <c r="BI269">
        <f ca="1"/>
      </c>
      <c r="BJ269">
        <f ca="1"/>
      </c>
      <c r="BK269">
        <f ca="1"/>
      </c>
      <c r="BL269">
        <f ca="1"/>
      </c>
      <c r="BM269">
        <f ca="1"/>
      </c>
      <c r="BN269">
        <f ca="1"/>
      </c>
      <c r="BO269">
        <f ca="1"/>
      </c>
      <c r="BP269">
        <f ca="1"/>
      </c>
      <c r="BQ269">
        <f ca="1"/>
      </c>
      <c r="BR269">
        <f ca="1"/>
      </c>
      <c r="BS269">
        <f ca="1"/>
      </c>
      <c r="BT269">
        <f ca="1"/>
      </c>
      <c r="BU269">
        <f ca="1"/>
      </c>
      <c r="BV269">
        <f ca="1"/>
      </c>
      <c r="BW269">
        <f ca="1"/>
      </c>
      <c r="BX269">
        <f ca="1"/>
      </c>
      <c r="BY269">
        <f ca="1"/>
      </c>
      <c r="BZ269">
        <f ca="1"/>
      </c>
      <c r="CA269">
        <f ca="1"/>
      </c>
      <c r="CB269">
        <f ca="1"/>
      </c>
      <c r="CC269">
        <f ca="1"/>
      </c>
      <c r="CD269">
        <f ca="1"/>
      </c>
      <c r="CE269">
        <f ca="1"/>
      </c>
      <c r="CF269">
        <f ca="1"/>
      </c>
      <c r="CG269">
        <f ca="1"/>
      </c>
      <c r="CH269">
        <f ca="1"/>
      </c>
      <c r="CI269">
        <f ca="1"/>
      </c>
      <c r="CK269">
        <f ca="1"/>
      </c>
      <c r="CL269">
        <f ca="1"/>
      </c>
      <c r="CM269">
        <f ca="1"/>
      </c>
      <c r="CN269">
        <f ca="1"/>
      </c>
      <c r="CO269">
        <f ca="1"/>
      </c>
      <c r="CP269">
        <f ca="1"/>
      </c>
      <c r="CQ269">
        <f ca="1"/>
      </c>
      <c r="CR269">
        <f ca="1"/>
      </c>
      <c r="CS269">
        <f ca="1"/>
      </c>
      <c r="CT269">
        <f ca="1"/>
      </c>
      <c r="CU269">
        <f ca="1"/>
      </c>
      <c r="CV269">
        <f ca="1"/>
      </c>
      <c r="CW269">
        <f ca="1"/>
      </c>
      <c r="CX269">
        <f ca="1"/>
      </c>
      <c r="CY269">
        <f ca="1"/>
      </c>
      <c r="CZ269">
        <f ca="1"/>
      </c>
      <c r="DA269">
        <f ca="1"/>
      </c>
      <c r="DB269">
        <f ca="1"/>
      </c>
      <c r="DC269">
        <f ca="1"/>
      </c>
      <c r="DD269">
        <f ca="1"/>
      </c>
      <c r="DE269">
        <f ca="1"/>
      </c>
      <c r="DF269">
        <f ca="1"/>
      </c>
      <c r="DG269">
        <f ca="1"/>
      </c>
      <c r="DH269">
        <f ca="1"/>
      </c>
      <c r="DI269">
        <f ca="1"/>
      </c>
      <c r="DJ269">
        <f ca="1"/>
      </c>
      <c r="DK269">
        <f ca="1"/>
      </c>
      <c r="DL269">
        <f ca="1"/>
      </c>
      <c r="DM269">
        <f ca="1"/>
      </c>
      <c r="DN269">
        <f ca="1"/>
      </c>
      <c r="DO269">
        <f ca="1"/>
      </c>
      <c r="DP269">
        <f ca="1"/>
      </c>
      <c r="DQ269">
        <f ca="1"/>
      </c>
      <c r="DR269">
        <f ca="1"/>
      </c>
      <c r="DS269">
        <f ca="1"/>
      </c>
      <c r="DT269">
        <f ca="1"/>
      </c>
      <c r="DU269">
        <f ca="1"/>
      </c>
      <c r="DV269">
        <f ca="1"/>
      </c>
      <c r="DW269">
        <f ca="1"/>
      </c>
      <c r="DX269">
        <f ca="1"/>
      </c>
      <c r="DY269">
        <f ca="1"/>
      </c>
      <c r="DZ269">
        <f ca="1"/>
      </c>
      <c r="EA269">
        <f ca="1"/>
      </c>
      <c r="EB269">
        <f ca="1"/>
      </c>
      <c r="EC269">
        <f ca="1"/>
      </c>
      <c r="ED269">
        <f ca="1"/>
      </c>
      <c r="EE269">
        <f ca="1"/>
      </c>
      <c r="EG269">
        <f ca="1"/>
      </c>
      <c r="EH269">
        <f ca="1"/>
      </c>
      <c r="EI269">
        <f ca="1"/>
      </c>
      <c r="EJ269">
        <f ca="1"/>
      </c>
      <c r="EK269">
        <f ca="1"/>
      </c>
      <c r="EL269">
        <f ca="1"/>
      </c>
      <c r="EM269">
        <f ca="1"/>
      </c>
      <c r="EN269">
        <f ca="1"/>
      </c>
      <c r="EO269">
        <f ca="1"/>
      </c>
      <c r="EP269">
        <f ca="1"/>
      </c>
      <c r="EQ269">
        <f ca="1"/>
      </c>
      <c r="ER269">
        <f ca="1"/>
      </c>
      <c r="ES269">
        <f ca="1"/>
      </c>
      <c r="ET269">
        <f ca="1"/>
      </c>
      <c r="EU269">
        <f ca="1"/>
      </c>
      <c r="EV269">
        <f ca="1"/>
      </c>
      <c r="EW269">
        <f ca="1"/>
      </c>
      <c r="EX269">
        <f ca="1"/>
      </c>
      <c r="EY269">
        <f ca="1"/>
      </c>
      <c r="EZ269">
        <f ca="1"/>
      </c>
      <c r="FA269">
        <f ca="1"/>
      </c>
      <c r="FB269">
        <f ca="1"/>
      </c>
      <c r="FC269">
        <f ca="1"/>
      </c>
      <c r="FD269">
        <f ca="1"/>
      </c>
      <c r="FE269">
        <f ca="1"/>
      </c>
      <c r="FF269">
        <f ca="1"/>
      </c>
      <c r="FG269">
        <f ca="1"/>
      </c>
      <c r="FH269">
        <f ca="1"/>
      </c>
      <c r="FI269">
        <f ca="1"/>
      </c>
      <c r="FJ269">
        <f ca="1"/>
      </c>
      <c r="FK269">
        <f ca="1"/>
      </c>
      <c r="FL269">
        <f ca="1"/>
      </c>
      <c r="FM269">
        <f ca="1"/>
      </c>
      <c r="FN269">
        <f ca="1"/>
      </c>
      <c r="FO269">
        <f ca="1"/>
      </c>
      <c r="FP269">
        <f ca="1"/>
      </c>
      <c r="FQ269">
        <f ca="1"/>
      </c>
      <c r="FR269">
        <f ca="1"/>
      </c>
      <c r="FS269">
        <f ca="1"/>
      </c>
      <c r="FT269">
        <f ca="1"/>
      </c>
      <c r="FU269">
        <f ca="1"/>
      </c>
      <c r="FV269">
        <f ca="1"/>
      </c>
      <c r="FW269">
        <f ca="1"/>
      </c>
      <c r="FX269">
        <f ca="1"/>
      </c>
      <c r="FY269">
        <f ca="1"/>
      </c>
      <c r="FZ269">
        <f ca="1"/>
      </c>
      <c r="GA269">
        <f ca="1"/>
      </c>
      <c r="GM269" s="7"/>
    </row>
    <row r="270" spans="41:195" x14ac:dyDescent="0.55000000000000004">
      <c r="AO270">
        <f ca="1"/>
      </c>
      <c r="AP270">
        <f ca="1"/>
      </c>
      <c r="AQ270">
        <f ca="1"/>
      </c>
      <c r="AR270">
        <f ca="1"/>
      </c>
      <c r="AS270">
        <f ca="1"/>
      </c>
      <c r="AT270">
        <f ca="1"/>
      </c>
      <c r="AU270">
        <f ca="1"/>
      </c>
      <c r="AV270">
        <f ca="1"/>
      </c>
      <c r="AW270">
        <f ca="1"/>
      </c>
      <c r="AX270">
        <f ca="1"/>
      </c>
      <c r="AY270">
        <f ca="1"/>
      </c>
      <c r="AZ270">
        <f ca="1"/>
      </c>
      <c r="BA270">
        <f ca="1"/>
      </c>
      <c r="BB270">
        <f ca="1"/>
      </c>
      <c r="BC270">
        <f ca="1"/>
      </c>
      <c r="BD270">
        <f ca="1"/>
      </c>
      <c r="BE270">
        <f ca="1"/>
      </c>
      <c r="BF270">
        <f ca="1"/>
      </c>
      <c r="BG270">
        <f ca="1"/>
      </c>
      <c r="BH270">
        <f ca="1"/>
      </c>
      <c r="BI270">
        <f ca="1"/>
      </c>
      <c r="BJ270">
        <f ca="1"/>
      </c>
      <c r="BK270">
        <f ca="1"/>
      </c>
      <c r="BL270">
        <f ca="1"/>
      </c>
      <c r="BM270">
        <f ca="1"/>
      </c>
      <c r="BN270">
        <f ca="1"/>
      </c>
      <c r="BO270">
        <f ca="1"/>
      </c>
      <c r="BP270">
        <f ca="1"/>
      </c>
      <c r="BQ270">
        <f ca="1"/>
      </c>
      <c r="BR270">
        <f ca="1"/>
      </c>
      <c r="BS270">
        <f ca="1"/>
      </c>
      <c r="BT270">
        <f ca="1"/>
      </c>
      <c r="BU270">
        <f ca="1"/>
      </c>
      <c r="BV270">
        <f ca="1"/>
      </c>
      <c r="BW270">
        <f ca="1"/>
      </c>
      <c r="BX270">
        <f ca="1"/>
      </c>
      <c r="BY270">
        <f ca="1"/>
      </c>
      <c r="BZ270">
        <f ca="1"/>
      </c>
      <c r="CA270">
        <f ca="1"/>
      </c>
      <c r="CB270">
        <f ca="1"/>
      </c>
      <c r="CC270">
        <f ca="1"/>
      </c>
      <c r="CD270">
        <f ca="1"/>
      </c>
      <c r="CE270">
        <f ca="1"/>
      </c>
      <c r="CF270">
        <f ca="1"/>
      </c>
      <c r="CG270">
        <f ca="1"/>
      </c>
      <c r="CH270">
        <f ca="1"/>
      </c>
      <c r="CI270">
        <f ca="1"/>
      </c>
      <c r="CK270">
        <f ca="1"/>
      </c>
      <c r="CL270">
        <f ca="1"/>
      </c>
      <c r="CM270">
        <f ca="1"/>
      </c>
      <c r="CN270">
        <f ca="1"/>
      </c>
      <c r="CO270">
        <f ca="1"/>
      </c>
      <c r="CP270">
        <f ca="1"/>
      </c>
      <c r="CQ270">
        <f ca="1"/>
      </c>
      <c r="CR270">
        <f ca="1"/>
      </c>
      <c r="CS270">
        <f ca="1"/>
      </c>
      <c r="CT270">
        <f ca="1"/>
      </c>
      <c r="CU270">
        <f ca="1"/>
      </c>
      <c r="CV270">
        <f ca="1"/>
      </c>
      <c r="CW270">
        <f ca="1"/>
      </c>
      <c r="CX270">
        <f ca="1"/>
      </c>
      <c r="CY270">
        <f ca="1"/>
      </c>
      <c r="CZ270">
        <f ca="1"/>
      </c>
      <c r="DA270">
        <f ca="1"/>
      </c>
      <c r="DB270">
        <f ca="1"/>
      </c>
      <c r="DC270">
        <f ca="1"/>
      </c>
      <c r="DD270">
        <f ca="1"/>
      </c>
      <c r="DE270">
        <f ca="1"/>
      </c>
      <c r="DF270">
        <f ca="1"/>
      </c>
      <c r="DG270">
        <f ca="1"/>
      </c>
      <c r="DH270">
        <f ca="1"/>
      </c>
      <c r="DI270">
        <f ca="1"/>
      </c>
      <c r="DJ270">
        <f ca="1"/>
      </c>
      <c r="DK270">
        <f ca="1"/>
      </c>
      <c r="DL270">
        <f ca="1"/>
      </c>
      <c r="DM270">
        <f ca="1"/>
      </c>
      <c r="DN270">
        <f ca="1"/>
      </c>
      <c r="DO270">
        <f ca="1"/>
      </c>
      <c r="DP270">
        <f ca="1"/>
      </c>
      <c r="DQ270">
        <f ca="1"/>
      </c>
      <c r="DR270">
        <f ca="1"/>
      </c>
      <c r="DS270">
        <f ca="1"/>
      </c>
      <c r="DT270">
        <f ca="1"/>
      </c>
      <c r="DU270">
        <f ca="1"/>
      </c>
      <c r="DV270">
        <f ca="1"/>
      </c>
      <c r="DW270">
        <f ca="1"/>
      </c>
      <c r="DX270">
        <f ca="1"/>
      </c>
      <c r="DY270">
        <f ca="1"/>
      </c>
      <c r="DZ270">
        <f ca="1"/>
      </c>
      <c r="EA270">
        <f ca="1"/>
      </c>
      <c r="EB270">
        <f ca="1"/>
      </c>
      <c r="EC270">
        <f ca="1"/>
      </c>
      <c r="ED270">
        <f ca="1"/>
      </c>
      <c r="EE270">
        <f ca="1"/>
      </c>
      <c r="EG270">
        <f ca="1"/>
      </c>
      <c r="EH270">
        <f ca="1"/>
      </c>
      <c r="EI270">
        <f ca="1"/>
      </c>
      <c r="EJ270">
        <f ca="1"/>
      </c>
      <c r="EK270">
        <f ca="1"/>
      </c>
      <c r="EL270">
        <f ca="1"/>
      </c>
      <c r="EM270">
        <f ca="1"/>
      </c>
      <c r="EN270">
        <f ca="1"/>
      </c>
      <c r="EO270">
        <f ca="1"/>
      </c>
      <c r="EP270">
        <f ca="1"/>
      </c>
      <c r="EQ270">
        <f ca="1"/>
      </c>
      <c r="ER270">
        <f ca="1"/>
      </c>
      <c r="ES270">
        <f ca="1"/>
      </c>
      <c r="ET270">
        <f ca="1"/>
      </c>
      <c r="EU270">
        <f ca="1"/>
      </c>
      <c r="EV270">
        <f ca="1"/>
      </c>
      <c r="EW270">
        <f ca="1"/>
      </c>
      <c r="EX270">
        <f ca="1"/>
      </c>
      <c r="EY270">
        <f ca="1"/>
      </c>
      <c r="EZ270">
        <f ca="1"/>
      </c>
      <c r="FA270">
        <f ca="1"/>
      </c>
      <c r="FB270">
        <f ca="1"/>
      </c>
      <c r="FC270">
        <f ca="1"/>
      </c>
      <c r="FD270">
        <f ca="1"/>
      </c>
      <c r="FE270">
        <f ca="1"/>
      </c>
      <c r="FF270">
        <f ca="1"/>
      </c>
      <c r="FG270">
        <f ca="1"/>
      </c>
      <c r="FH270">
        <f ca="1"/>
      </c>
      <c r="FI270">
        <f ca="1"/>
      </c>
      <c r="FJ270">
        <f ca="1"/>
      </c>
      <c r="FK270">
        <f ca="1"/>
      </c>
      <c r="FL270">
        <f ca="1"/>
      </c>
      <c r="FM270">
        <f ca="1"/>
      </c>
      <c r="FN270">
        <f ca="1"/>
      </c>
      <c r="FO270">
        <f ca="1"/>
      </c>
      <c r="FP270">
        <f ca="1"/>
      </c>
      <c r="FQ270">
        <f ca="1"/>
      </c>
      <c r="FR270">
        <f ca="1"/>
      </c>
      <c r="FS270">
        <f ca="1"/>
      </c>
      <c r="FT270">
        <f ca="1"/>
      </c>
      <c r="FU270">
        <f ca="1"/>
      </c>
      <c r="FV270">
        <f ca="1"/>
      </c>
      <c r="FW270">
        <f ca="1"/>
      </c>
      <c r="FX270">
        <f ca="1"/>
      </c>
      <c r="FY270">
        <f ca="1"/>
      </c>
      <c r="FZ270">
        <f ca="1"/>
      </c>
      <c r="GA270">
        <f ca="1"/>
      </c>
      <c r="GM270" s="7"/>
    </row>
    <row r="271" spans="41:195" x14ac:dyDescent="0.55000000000000004">
      <c r="AO271">
        <f ca="1"/>
      </c>
      <c r="AP271">
        <f ca="1"/>
      </c>
      <c r="AQ271">
        <f ca="1"/>
      </c>
      <c r="AR271">
        <f ca="1"/>
      </c>
      <c r="AS271">
        <f ca="1"/>
      </c>
      <c r="AT271">
        <f ca="1"/>
      </c>
      <c r="AU271">
        <f ca="1"/>
      </c>
      <c r="AV271">
        <f ca="1"/>
      </c>
      <c r="AW271">
        <f ca="1"/>
      </c>
      <c r="AX271">
        <f ca="1"/>
      </c>
      <c r="AY271">
        <f ca="1"/>
      </c>
      <c r="AZ271">
        <f ca="1"/>
      </c>
      <c r="BA271">
        <f ca="1"/>
      </c>
      <c r="BB271">
        <f ca="1"/>
      </c>
      <c r="BC271">
        <f ca="1"/>
      </c>
      <c r="BD271">
        <f ca="1"/>
      </c>
      <c r="BE271">
        <f ca="1"/>
      </c>
      <c r="BF271">
        <f ca="1"/>
      </c>
      <c r="BG271">
        <f ca="1"/>
      </c>
      <c r="BH271">
        <f ca="1"/>
      </c>
      <c r="BI271">
        <f ca="1"/>
      </c>
      <c r="BJ271">
        <f ca="1"/>
      </c>
      <c r="BK271">
        <f ca="1"/>
      </c>
      <c r="BL271">
        <f ca="1"/>
      </c>
      <c r="BM271">
        <f ca="1"/>
      </c>
      <c r="BN271">
        <f ca="1"/>
      </c>
      <c r="BO271">
        <f ca="1"/>
      </c>
      <c r="BP271">
        <f ca="1"/>
      </c>
      <c r="BQ271">
        <f ca="1"/>
      </c>
      <c r="BR271">
        <f ca="1"/>
      </c>
      <c r="BS271">
        <f ca="1"/>
      </c>
      <c r="BT271">
        <f ca="1"/>
      </c>
      <c r="BU271">
        <f ca="1"/>
      </c>
      <c r="BV271">
        <f ca="1"/>
      </c>
      <c r="BW271">
        <f ca="1"/>
      </c>
      <c r="BX271">
        <f ca="1"/>
      </c>
      <c r="BY271">
        <f ca="1"/>
      </c>
      <c r="BZ271">
        <f ca="1"/>
      </c>
      <c r="CA271">
        <f ca="1"/>
      </c>
      <c r="CB271">
        <f ca="1"/>
      </c>
      <c r="CC271">
        <f ca="1"/>
      </c>
      <c r="CD271">
        <f ca="1"/>
      </c>
      <c r="CE271">
        <f ca="1"/>
      </c>
      <c r="CF271">
        <f ca="1"/>
      </c>
      <c r="CG271">
        <f ca="1"/>
      </c>
      <c r="CH271">
        <f ca="1"/>
      </c>
      <c r="CI271">
        <f ca="1"/>
      </c>
      <c r="CK271">
        <f ca="1"/>
      </c>
      <c r="CL271">
        <f ca="1"/>
      </c>
      <c r="CM271">
        <f ca="1"/>
      </c>
      <c r="CN271">
        <f ca="1"/>
      </c>
      <c r="CO271">
        <f ca="1"/>
      </c>
      <c r="CP271">
        <f ca="1"/>
      </c>
      <c r="CQ271">
        <f ca="1"/>
      </c>
      <c r="CR271">
        <f ca="1"/>
      </c>
      <c r="CS271">
        <f ca="1"/>
      </c>
      <c r="CT271">
        <f ca="1"/>
      </c>
      <c r="CU271">
        <f ca="1"/>
      </c>
      <c r="CV271">
        <f ca="1"/>
      </c>
      <c r="CW271">
        <f ca="1"/>
      </c>
      <c r="CX271">
        <f ca="1"/>
      </c>
      <c r="CY271">
        <f ca="1"/>
      </c>
      <c r="CZ271">
        <f ca="1"/>
      </c>
      <c r="DA271">
        <f ca="1"/>
      </c>
      <c r="DB271">
        <f ca="1"/>
      </c>
      <c r="DC271">
        <f ca="1"/>
      </c>
      <c r="DD271">
        <f ca="1"/>
      </c>
      <c r="DE271">
        <f ca="1"/>
      </c>
      <c r="DF271">
        <f ca="1"/>
      </c>
      <c r="DG271">
        <f ca="1"/>
      </c>
      <c r="DH271">
        <f ca="1"/>
      </c>
      <c r="DI271">
        <f ca="1"/>
      </c>
      <c r="DJ271">
        <f ca="1"/>
      </c>
      <c r="DK271">
        <f ca="1"/>
      </c>
      <c r="DL271">
        <f ca="1"/>
      </c>
      <c r="DM271">
        <f ca="1"/>
      </c>
      <c r="DN271">
        <f ca="1"/>
      </c>
      <c r="DO271">
        <f ca="1"/>
      </c>
      <c r="DP271">
        <f ca="1"/>
      </c>
      <c r="DQ271">
        <f ca="1"/>
      </c>
      <c r="DR271">
        <f ca="1"/>
      </c>
      <c r="DS271">
        <f ca="1"/>
      </c>
      <c r="DT271">
        <f ca="1"/>
      </c>
      <c r="DU271">
        <f ca="1"/>
      </c>
      <c r="DV271">
        <f ca="1"/>
      </c>
      <c r="DW271">
        <f ca="1"/>
      </c>
      <c r="DX271">
        <f ca="1"/>
      </c>
      <c r="DY271">
        <f ca="1"/>
      </c>
      <c r="DZ271">
        <f ca="1"/>
      </c>
      <c r="EA271">
        <f ca="1"/>
      </c>
      <c r="EB271">
        <f ca="1"/>
      </c>
      <c r="EC271">
        <f ca="1"/>
      </c>
      <c r="ED271">
        <f ca="1"/>
      </c>
      <c r="EE271">
        <f ca="1"/>
      </c>
      <c r="EG271">
        <f ca="1"/>
      </c>
      <c r="EH271">
        <f ca="1"/>
      </c>
      <c r="EI271">
        <f ca="1"/>
      </c>
      <c r="EJ271">
        <f ca="1"/>
      </c>
      <c r="EK271">
        <f ca="1"/>
      </c>
      <c r="EL271">
        <f ca="1"/>
      </c>
      <c r="EM271">
        <f ca="1"/>
      </c>
      <c r="EN271">
        <f ca="1"/>
      </c>
      <c r="EO271">
        <f ca="1"/>
      </c>
      <c r="EP271">
        <f ca="1"/>
      </c>
      <c r="EQ271">
        <f ca="1"/>
      </c>
      <c r="ER271">
        <f ca="1"/>
      </c>
      <c r="ES271">
        <f ca="1"/>
      </c>
      <c r="ET271">
        <f ca="1"/>
      </c>
      <c r="EU271">
        <f ca="1"/>
      </c>
      <c r="EV271">
        <f ca="1"/>
      </c>
      <c r="EW271">
        <f ca="1"/>
      </c>
      <c r="EX271">
        <f ca="1"/>
      </c>
      <c r="EY271">
        <f ca="1"/>
      </c>
      <c r="EZ271">
        <f ca="1"/>
      </c>
      <c r="FA271">
        <f ca="1"/>
      </c>
      <c r="FB271">
        <f ca="1"/>
      </c>
      <c r="FC271">
        <f ca="1"/>
      </c>
      <c r="FD271">
        <f ca="1"/>
      </c>
      <c r="FE271">
        <f ca="1"/>
      </c>
      <c r="FF271">
        <f ca="1"/>
      </c>
      <c r="FG271">
        <f ca="1"/>
      </c>
      <c r="FH271">
        <f ca="1"/>
      </c>
      <c r="FI271">
        <f ca="1"/>
      </c>
      <c r="FJ271">
        <f ca="1"/>
      </c>
      <c r="FK271">
        <f ca="1"/>
      </c>
      <c r="FL271">
        <f ca="1"/>
      </c>
      <c r="FM271">
        <f ca="1"/>
      </c>
      <c r="FN271">
        <f ca="1"/>
      </c>
      <c r="FO271">
        <f ca="1"/>
      </c>
      <c r="FP271">
        <f ca="1"/>
      </c>
      <c r="FQ271">
        <f ca="1"/>
      </c>
      <c r="FR271">
        <f ca="1"/>
      </c>
      <c r="FS271">
        <f ca="1"/>
      </c>
      <c r="FT271">
        <f ca="1"/>
      </c>
      <c r="FU271">
        <f ca="1"/>
      </c>
      <c r="FV271">
        <f ca="1"/>
      </c>
      <c r="FW271">
        <f ca="1"/>
      </c>
      <c r="FX271">
        <f ca="1"/>
      </c>
      <c r="FY271">
        <f ca="1"/>
      </c>
      <c r="FZ271">
        <f ca="1"/>
      </c>
      <c r="GA271">
        <f ca="1"/>
      </c>
      <c r="GM271" s="7"/>
    </row>
    <row r="272" spans="41:195" x14ac:dyDescent="0.55000000000000004">
      <c r="AO272">
        <f ca="1"/>
      </c>
      <c r="AP272">
        <f ca="1"/>
      </c>
      <c r="AQ272">
        <f ca="1"/>
      </c>
      <c r="AR272">
        <f ca="1"/>
      </c>
      <c r="AS272">
        <f ca="1"/>
      </c>
      <c r="AT272">
        <f ca="1"/>
      </c>
      <c r="AU272">
        <f ca="1"/>
      </c>
      <c r="AV272">
        <f ca="1"/>
      </c>
      <c r="AW272">
        <f ca="1"/>
      </c>
      <c r="AX272">
        <f ca="1"/>
      </c>
      <c r="AY272">
        <f ca="1"/>
      </c>
      <c r="AZ272">
        <f ca="1"/>
      </c>
      <c r="BA272">
        <f ca="1"/>
      </c>
      <c r="BB272">
        <f ca="1"/>
      </c>
      <c r="BC272">
        <f ca="1"/>
      </c>
      <c r="BD272">
        <f ca="1"/>
      </c>
      <c r="BE272">
        <f ca="1"/>
      </c>
      <c r="BF272">
        <f ca="1"/>
      </c>
      <c r="BG272">
        <f ca="1"/>
      </c>
      <c r="BH272">
        <f ca="1"/>
      </c>
      <c r="BI272">
        <f ca="1"/>
      </c>
      <c r="BJ272">
        <f ca="1"/>
      </c>
      <c r="BK272">
        <f ca="1"/>
      </c>
      <c r="BL272">
        <f ca="1"/>
      </c>
      <c r="BM272">
        <f ca="1"/>
      </c>
      <c r="BN272">
        <f ca="1"/>
      </c>
      <c r="BO272">
        <f ca="1"/>
      </c>
      <c r="BP272">
        <f ca="1"/>
      </c>
      <c r="BQ272">
        <f ca="1"/>
      </c>
      <c r="BR272">
        <f ca="1"/>
      </c>
      <c r="BS272">
        <f ca="1"/>
      </c>
      <c r="BT272">
        <f ca="1"/>
      </c>
      <c r="BU272">
        <f ca="1"/>
      </c>
      <c r="BV272">
        <f ca="1"/>
      </c>
      <c r="BW272">
        <f ca="1"/>
      </c>
      <c r="BX272">
        <f ca="1"/>
      </c>
      <c r="BY272">
        <f ca="1"/>
      </c>
      <c r="BZ272">
        <f ca="1"/>
      </c>
      <c r="CA272">
        <f ca="1"/>
      </c>
      <c r="CB272">
        <f ca="1"/>
      </c>
      <c r="CC272">
        <f ca="1"/>
      </c>
      <c r="CD272">
        <f ca="1"/>
      </c>
      <c r="CE272">
        <f ca="1"/>
      </c>
      <c r="CF272">
        <f ca="1"/>
      </c>
      <c r="CG272">
        <f ca="1"/>
      </c>
      <c r="CH272">
        <f ca="1"/>
      </c>
      <c r="CI272">
        <f ca="1"/>
      </c>
      <c r="CK272">
        <f ca="1"/>
      </c>
      <c r="CL272">
        <f ca="1"/>
      </c>
      <c r="CM272">
        <f ca="1"/>
      </c>
      <c r="CN272">
        <f ca="1"/>
      </c>
      <c r="CO272">
        <f ca="1"/>
      </c>
      <c r="CP272">
        <f ca="1"/>
      </c>
      <c r="CQ272">
        <f ca="1"/>
      </c>
      <c r="CR272">
        <f ca="1"/>
      </c>
      <c r="CS272">
        <f ca="1"/>
      </c>
      <c r="CT272">
        <f ca="1"/>
      </c>
      <c r="CU272">
        <f ca="1"/>
      </c>
      <c r="CV272">
        <f ca="1"/>
      </c>
      <c r="CW272">
        <f ca="1"/>
      </c>
      <c r="CX272">
        <f ca="1"/>
      </c>
      <c r="CY272">
        <f ca="1"/>
      </c>
      <c r="CZ272">
        <f ca="1"/>
      </c>
      <c r="DA272">
        <f ca="1"/>
      </c>
      <c r="DB272">
        <f ca="1"/>
      </c>
      <c r="DC272">
        <f ca="1"/>
      </c>
      <c r="DD272">
        <f ca="1"/>
      </c>
      <c r="DE272">
        <f ca="1"/>
      </c>
      <c r="DF272">
        <f ca="1"/>
      </c>
      <c r="DG272">
        <f ca="1"/>
      </c>
      <c r="DH272">
        <f ca="1"/>
      </c>
      <c r="DI272">
        <f ca="1"/>
      </c>
      <c r="DJ272">
        <f ca="1"/>
      </c>
      <c r="DK272">
        <f ca="1"/>
      </c>
      <c r="DL272">
        <f ca="1"/>
      </c>
      <c r="DM272">
        <f ca="1"/>
      </c>
      <c r="DN272">
        <f ca="1"/>
      </c>
      <c r="DO272">
        <f ca="1"/>
      </c>
      <c r="DP272">
        <f ca="1"/>
      </c>
      <c r="DQ272">
        <f ca="1"/>
      </c>
      <c r="DR272">
        <f ca="1"/>
      </c>
      <c r="DS272">
        <f ca="1"/>
      </c>
      <c r="DT272">
        <f ca="1"/>
      </c>
      <c r="DU272">
        <f ca="1"/>
      </c>
      <c r="DV272">
        <f ca="1"/>
      </c>
      <c r="DW272">
        <f ca="1"/>
      </c>
      <c r="DX272">
        <f ca="1"/>
      </c>
      <c r="DY272">
        <f ca="1"/>
      </c>
      <c r="DZ272">
        <f ca="1"/>
      </c>
      <c r="EA272">
        <f ca="1"/>
      </c>
      <c r="EB272">
        <f ca="1"/>
      </c>
      <c r="EC272">
        <f ca="1"/>
      </c>
      <c r="ED272">
        <f ca="1"/>
      </c>
      <c r="EE272">
        <f ca="1"/>
      </c>
      <c r="EG272">
        <f ca="1"/>
      </c>
      <c r="EH272">
        <f ca="1"/>
      </c>
      <c r="EI272">
        <f ca="1"/>
      </c>
      <c r="EJ272">
        <f ca="1"/>
      </c>
      <c r="EK272">
        <f ca="1"/>
      </c>
      <c r="EL272">
        <f ca="1"/>
      </c>
      <c r="EM272">
        <f ca="1"/>
      </c>
      <c r="EN272">
        <f ca="1"/>
      </c>
      <c r="EO272">
        <f ca="1"/>
      </c>
      <c r="EP272">
        <f ca="1"/>
      </c>
      <c r="EQ272">
        <f ca="1"/>
      </c>
      <c r="ER272">
        <f ca="1"/>
      </c>
      <c r="ES272">
        <f ca="1"/>
      </c>
      <c r="ET272">
        <f ca="1"/>
      </c>
      <c r="EU272">
        <f ca="1"/>
      </c>
      <c r="EV272">
        <f ca="1"/>
      </c>
      <c r="EW272">
        <f ca="1"/>
      </c>
      <c r="EX272">
        <f ca="1"/>
      </c>
      <c r="EY272">
        <f ca="1"/>
      </c>
      <c r="EZ272">
        <f ca="1"/>
      </c>
      <c r="FA272">
        <f ca="1"/>
      </c>
      <c r="FB272">
        <f ca="1"/>
      </c>
      <c r="FC272">
        <f ca="1"/>
      </c>
      <c r="FD272">
        <f ca="1"/>
      </c>
      <c r="FE272">
        <f ca="1"/>
      </c>
      <c r="FF272">
        <f ca="1"/>
      </c>
      <c r="FG272">
        <f ca="1"/>
      </c>
      <c r="FH272">
        <f ca="1"/>
      </c>
      <c r="FI272">
        <f ca="1"/>
      </c>
      <c r="FJ272">
        <f ca="1"/>
      </c>
      <c r="FK272">
        <f ca="1"/>
      </c>
      <c r="FL272">
        <f ca="1"/>
      </c>
      <c r="FM272">
        <f ca="1"/>
      </c>
      <c r="FN272">
        <f ca="1"/>
      </c>
      <c r="FO272">
        <f ca="1"/>
      </c>
      <c r="FP272">
        <f ca="1"/>
      </c>
      <c r="FQ272">
        <f ca="1"/>
      </c>
      <c r="FR272">
        <f ca="1"/>
      </c>
      <c r="FS272">
        <f ca="1"/>
      </c>
      <c r="FT272">
        <f ca="1"/>
      </c>
      <c r="FU272">
        <f ca="1"/>
      </c>
      <c r="FV272">
        <f ca="1"/>
      </c>
      <c r="FW272">
        <f ca="1"/>
      </c>
      <c r="FX272">
        <f ca="1"/>
      </c>
      <c r="FY272">
        <f ca="1"/>
      </c>
      <c r="FZ272">
        <f ca="1"/>
      </c>
      <c r="GA272">
        <f ca="1"/>
      </c>
      <c r="GM272" s="7"/>
    </row>
    <row r="273" spans="41:195" x14ac:dyDescent="0.55000000000000004">
      <c r="AO273">
        <f ca="1"/>
      </c>
      <c r="AP273">
        <f ca="1"/>
      </c>
      <c r="AQ273">
        <f ca="1"/>
      </c>
      <c r="AR273">
        <f ca="1"/>
      </c>
      <c r="AS273">
        <f ca="1"/>
      </c>
      <c r="AT273">
        <f ca="1"/>
      </c>
      <c r="AU273">
        <f ca="1"/>
      </c>
      <c r="AV273">
        <f ca="1"/>
      </c>
      <c r="AW273">
        <f ca="1"/>
      </c>
      <c r="AX273">
        <f ca="1"/>
      </c>
      <c r="AY273">
        <f ca="1"/>
      </c>
      <c r="AZ273">
        <f ca="1"/>
      </c>
      <c r="BA273">
        <f ca="1"/>
      </c>
      <c r="BB273">
        <f ca="1"/>
      </c>
      <c r="BC273">
        <f ca="1"/>
      </c>
      <c r="BD273">
        <f ca="1"/>
      </c>
      <c r="BE273">
        <f ca="1"/>
      </c>
      <c r="BF273">
        <f ca="1"/>
      </c>
      <c r="BG273">
        <f ca="1"/>
      </c>
      <c r="BH273">
        <f ca="1"/>
      </c>
      <c r="BI273">
        <f ca="1"/>
      </c>
      <c r="BJ273">
        <f ca="1"/>
      </c>
      <c r="BK273">
        <f ca="1"/>
      </c>
      <c r="BL273">
        <f ca="1"/>
      </c>
      <c r="BM273">
        <f ca="1"/>
      </c>
      <c r="BN273">
        <f ca="1"/>
      </c>
      <c r="BO273">
        <f ca="1"/>
      </c>
      <c r="BP273">
        <f ca="1"/>
      </c>
      <c r="BQ273">
        <f ca="1"/>
      </c>
      <c r="BR273">
        <f ca="1"/>
      </c>
      <c r="BS273">
        <f ca="1"/>
      </c>
      <c r="BT273">
        <f ca="1"/>
      </c>
      <c r="BU273">
        <f ca="1"/>
      </c>
      <c r="BV273">
        <f ca="1"/>
      </c>
      <c r="BW273">
        <f ca="1"/>
      </c>
      <c r="BX273">
        <f ca="1"/>
      </c>
      <c r="BY273">
        <f ca="1"/>
      </c>
      <c r="BZ273">
        <f ca="1"/>
      </c>
      <c r="CA273">
        <f ca="1"/>
      </c>
      <c r="CB273">
        <f ca="1"/>
      </c>
      <c r="CC273">
        <f ca="1"/>
      </c>
      <c r="CD273">
        <f ca="1"/>
      </c>
      <c r="CE273">
        <f ca="1"/>
      </c>
      <c r="CF273">
        <f ca="1"/>
      </c>
      <c r="CG273">
        <f ca="1"/>
      </c>
      <c r="CH273">
        <f ca="1"/>
      </c>
      <c r="CI273">
        <f ca="1"/>
      </c>
      <c r="CK273">
        <f ca="1"/>
      </c>
      <c r="CL273">
        <f ca="1"/>
      </c>
      <c r="CM273">
        <f ca="1"/>
      </c>
      <c r="CN273">
        <f ca="1"/>
      </c>
      <c r="CO273">
        <f ca="1"/>
      </c>
      <c r="CP273">
        <f ca="1"/>
      </c>
      <c r="CQ273">
        <f ca="1"/>
      </c>
      <c r="CR273">
        <f ca="1"/>
      </c>
      <c r="CS273">
        <f ca="1"/>
      </c>
      <c r="CT273">
        <f ca="1"/>
      </c>
      <c r="CU273">
        <f ca="1"/>
      </c>
      <c r="CV273">
        <f ca="1"/>
      </c>
      <c r="CW273">
        <f ca="1"/>
      </c>
      <c r="CX273">
        <f ca="1"/>
      </c>
      <c r="CY273">
        <f ca="1"/>
      </c>
      <c r="CZ273">
        <f ca="1"/>
      </c>
      <c r="DA273">
        <f ca="1"/>
      </c>
      <c r="DB273">
        <f ca="1"/>
      </c>
      <c r="DC273">
        <f ca="1"/>
      </c>
      <c r="DD273">
        <f ca="1"/>
      </c>
      <c r="DE273">
        <f ca="1"/>
      </c>
      <c r="DF273">
        <f ca="1"/>
      </c>
      <c r="DG273">
        <f ca="1"/>
      </c>
      <c r="DH273">
        <f ca="1"/>
      </c>
      <c r="DI273">
        <f ca="1"/>
      </c>
      <c r="DJ273">
        <f ca="1"/>
      </c>
      <c r="DK273">
        <f ca="1"/>
      </c>
      <c r="DL273">
        <f ca="1"/>
      </c>
      <c r="DM273">
        <f ca="1"/>
      </c>
      <c r="DN273">
        <f ca="1"/>
      </c>
      <c r="DO273">
        <f ca="1"/>
      </c>
      <c r="DP273">
        <f ca="1"/>
      </c>
      <c r="DQ273">
        <f ca="1"/>
      </c>
      <c r="DR273">
        <f ca="1"/>
      </c>
      <c r="DS273">
        <f ca="1"/>
      </c>
      <c r="DT273">
        <f ca="1"/>
      </c>
      <c r="DU273">
        <f ca="1"/>
      </c>
      <c r="DV273">
        <f ca="1"/>
      </c>
      <c r="DW273">
        <f ca="1"/>
      </c>
      <c r="DX273">
        <f ca="1"/>
      </c>
      <c r="DY273">
        <f ca="1"/>
      </c>
      <c r="DZ273">
        <f ca="1"/>
      </c>
      <c r="EA273">
        <f ca="1"/>
      </c>
      <c r="EB273">
        <f ca="1"/>
      </c>
      <c r="EC273">
        <f ca="1"/>
      </c>
      <c r="ED273">
        <f ca="1"/>
      </c>
      <c r="EE273">
        <f ca="1"/>
      </c>
      <c r="EG273">
        <f ca="1"/>
      </c>
      <c r="EH273">
        <f ca="1"/>
      </c>
      <c r="EI273">
        <f ca="1"/>
      </c>
      <c r="EJ273">
        <f ca="1"/>
      </c>
      <c r="EK273">
        <f ca="1"/>
      </c>
      <c r="EL273">
        <f ca="1"/>
      </c>
      <c r="EM273">
        <f ca="1"/>
      </c>
      <c r="EN273">
        <f ca="1"/>
      </c>
      <c r="EO273">
        <f ca="1"/>
      </c>
      <c r="EP273">
        <f ca="1"/>
      </c>
      <c r="EQ273">
        <f ca="1"/>
      </c>
      <c r="ER273">
        <f ca="1"/>
      </c>
      <c r="ES273">
        <f ca="1"/>
      </c>
      <c r="ET273">
        <f ca="1"/>
      </c>
      <c r="EU273">
        <f ca="1"/>
      </c>
      <c r="EV273">
        <f ca="1"/>
      </c>
      <c r="EW273">
        <f ca="1"/>
      </c>
      <c r="EX273">
        <f ca="1"/>
      </c>
      <c r="EY273">
        <f ca="1"/>
      </c>
      <c r="EZ273">
        <f ca="1"/>
      </c>
      <c r="FA273">
        <f ca="1"/>
      </c>
      <c r="FB273">
        <f ca="1"/>
      </c>
      <c r="FC273">
        <f ca="1"/>
      </c>
      <c r="FD273">
        <f ca="1"/>
      </c>
      <c r="FE273">
        <f ca="1"/>
      </c>
      <c r="FF273">
        <f ca="1"/>
      </c>
      <c r="FG273">
        <f ca="1"/>
      </c>
      <c r="FH273">
        <f ca="1"/>
      </c>
      <c r="FI273">
        <f ca="1"/>
      </c>
      <c r="FJ273">
        <f ca="1"/>
      </c>
      <c r="FK273">
        <f ca="1"/>
      </c>
      <c r="FL273">
        <f ca="1"/>
      </c>
      <c r="FM273">
        <f ca="1"/>
      </c>
      <c r="FN273">
        <f ca="1"/>
      </c>
      <c r="FO273">
        <f ca="1"/>
      </c>
      <c r="FP273">
        <f ca="1"/>
      </c>
      <c r="FQ273">
        <f ca="1"/>
      </c>
      <c r="FR273">
        <f ca="1"/>
      </c>
      <c r="FS273">
        <f ca="1"/>
      </c>
      <c r="FT273">
        <f ca="1"/>
      </c>
      <c r="FU273">
        <f ca="1"/>
      </c>
      <c r="FV273">
        <f ca="1"/>
      </c>
      <c r="FW273">
        <f ca="1"/>
      </c>
      <c r="FX273">
        <f ca="1"/>
      </c>
      <c r="FY273">
        <f ca="1"/>
      </c>
      <c r="FZ273">
        <f ca="1"/>
      </c>
      <c r="GA273">
        <f ca="1"/>
      </c>
      <c r="GM273" s="7"/>
    </row>
    <row r="274" spans="41:195" x14ac:dyDescent="0.55000000000000004">
      <c r="AO274">
        <f ca="1"/>
      </c>
      <c r="AP274">
        <f ca="1"/>
      </c>
      <c r="AQ274">
        <f ca="1"/>
      </c>
      <c r="AR274">
        <f ca="1"/>
      </c>
      <c r="AS274">
        <f ca="1"/>
      </c>
      <c r="AT274">
        <f ca="1"/>
      </c>
      <c r="AU274">
        <f ca="1"/>
      </c>
      <c r="AV274">
        <f ca="1"/>
      </c>
      <c r="AW274">
        <f ca="1"/>
      </c>
      <c r="AX274">
        <f ca="1"/>
      </c>
      <c r="AY274">
        <f ca="1"/>
      </c>
      <c r="AZ274">
        <f ca="1"/>
      </c>
      <c r="BA274">
        <f ca="1"/>
      </c>
      <c r="BB274">
        <f ca="1"/>
      </c>
      <c r="BC274">
        <f ca="1"/>
      </c>
      <c r="BD274">
        <f ca="1"/>
      </c>
      <c r="BE274">
        <f ca="1"/>
      </c>
      <c r="BF274">
        <f ca="1"/>
      </c>
      <c r="BG274">
        <f ca="1"/>
      </c>
      <c r="BH274">
        <f ca="1"/>
      </c>
      <c r="BI274">
        <f ca="1"/>
      </c>
      <c r="BJ274">
        <f ca="1"/>
      </c>
      <c r="BK274">
        <f ca="1"/>
      </c>
      <c r="BL274">
        <f ca="1"/>
      </c>
      <c r="BM274">
        <f ca="1"/>
      </c>
      <c r="BN274">
        <f ca="1"/>
      </c>
      <c r="BO274">
        <f ca="1"/>
      </c>
      <c r="BP274">
        <f ca="1"/>
      </c>
      <c r="BQ274">
        <f ca="1"/>
      </c>
      <c r="BR274">
        <f ca="1"/>
      </c>
      <c r="BS274">
        <f ca="1"/>
      </c>
      <c r="BT274">
        <f ca="1"/>
      </c>
      <c r="BU274">
        <f ca="1"/>
      </c>
      <c r="BV274">
        <f ca="1"/>
      </c>
      <c r="BW274">
        <f ca="1"/>
      </c>
      <c r="BX274">
        <f ca="1"/>
      </c>
      <c r="BY274">
        <f ca="1"/>
      </c>
      <c r="BZ274">
        <f ca="1"/>
      </c>
      <c r="CA274">
        <f ca="1"/>
      </c>
      <c r="CB274">
        <f ca="1"/>
      </c>
      <c r="CC274">
        <f ca="1"/>
      </c>
      <c r="CD274">
        <f ca="1"/>
      </c>
      <c r="CE274">
        <f ca="1"/>
      </c>
      <c r="CF274">
        <f ca="1"/>
      </c>
      <c r="CG274">
        <f ca="1"/>
      </c>
      <c r="CH274">
        <f ca="1"/>
      </c>
      <c r="CI274">
        <f ca="1"/>
      </c>
      <c r="CK274">
        <f ca="1"/>
      </c>
      <c r="CL274">
        <f ca="1"/>
      </c>
      <c r="CM274">
        <f ca="1"/>
      </c>
      <c r="CN274">
        <f ca="1"/>
      </c>
      <c r="CO274">
        <f ca="1"/>
      </c>
      <c r="CP274">
        <f ca="1"/>
      </c>
      <c r="CQ274">
        <f ca="1"/>
      </c>
      <c r="CR274">
        <f ca="1"/>
      </c>
      <c r="CS274">
        <f ca="1"/>
      </c>
      <c r="CT274">
        <f ca="1"/>
      </c>
      <c r="CU274">
        <f ca="1"/>
      </c>
      <c r="CV274">
        <f ca="1"/>
      </c>
      <c r="CW274">
        <f ca="1"/>
      </c>
      <c r="CX274">
        <f ca="1"/>
      </c>
      <c r="CY274">
        <f ca="1"/>
      </c>
      <c r="CZ274">
        <f ca="1"/>
      </c>
      <c r="DA274">
        <f ca="1"/>
      </c>
      <c r="DB274">
        <f ca="1"/>
      </c>
      <c r="DC274">
        <f ca="1"/>
      </c>
      <c r="DD274">
        <f ca="1"/>
      </c>
      <c r="DE274">
        <f ca="1"/>
      </c>
      <c r="DF274">
        <f ca="1"/>
      </c>
      <c r="DG274">
        <f ca="1"/>
      </c>
      <c r="DH274">
        <f ca="1"/>
      </c>
      <c r="DI274">
        <f ca="1"/>
      </c>
      <c r="DJ274">
        <f ca="1"/>
      </c>
      <c r="DK274">
        <f ca="1"/>
      </c>
      <c r="DL274">
        <f ca="1"/>
      </c>
      <c r="DM274">
        <f ca="1"/>
      </c>
      <c r="DN274">
        <f ca="1"/>
      </c>
      <c r="DO274">
        <f ca="1"/>
      </c>
      <c r="DP274">
        <f ca="1"/>
      </c>
      <c r="DQ274">
        <f ca="1"/>
      </c>
      <c r="DR274">
        <f ca="1"/>
      </c>
      <c r="DS274">
        <f ca="1"/>
      </c>
      <c r="DT274">
        <f ca="1"/>
      </c>
      <c r="DU274">
        <f ca="1"/>
      </c>
      <c r="DV274">
        <f ca="1"/>
      </c>
      <c r="DW274">
        <f ca="1"/>
      </c>
      <c r="DX274">
        <f ca="1"/>
      </c>
      <c r="DY274">
        <f ca="1"/>
      </c>
      <c r="DZ274">
        <f ca="1"/>
      </c>
      <c r="EA274">
        <f ca="1"/>
      </c>
      <c r="EB274">
        <f ca="1"/>
      </c>
      <c r="EC274">
        <f ca="1"/>
      </c>
      <c r="ED274">
        <f ca="1"/>
      </c>
      <c r="EE274">
        <f ca="1"/>
      </c>
      <c r="EG274">
        <f ca="1"/>
      </c>
      <c r="EH274">
        <f ca="1"/>
      </c>
      <c r="EI274">
        <f ca="1"/>
      </c>
      <c r="EJ274">
        <f ca="1"/>
      </c>
      <c r="EK274">
        <f ca="1"/>
      </c>
      <c r="EL274">
        <f ca="1"/>
      </c>
      <c r="EM274">
        <f ca="1"/>
      </c>
      <c r="EN274">
        <f ca="1"/>
      </c>
      <c r="EO274">
        <f ca="1"/>
      </c>
      <c r="EP274">
        <f ca="1"/>
      </c>
      <c r="EQ274">
        <f ca="1"/>
      </c>
      <c r="ER274">
        <f ca="1"/>
      </c>
      <c r="ES274">
        <f ca="1"/>
      </c>
      <c r="ET274">
        <f ca="1"/>
      </c>
      <c r="EU274">
        <f ca="1"/>
      </c>
      <c r="EV274">
        <f ca="1"/>
      </c>
      <c r="EW274">
        <f ca="1"/>
      </c>
      <c r="EX274">
        <f ca="1"/>
      </c>
      <c r="EY274">
        <f ca="1"/>
      </c>
      <c r="EZ274">
        <f ca="1"/>
      </c>
      <c r="FA274">
        <f ca="1"/>
      </c>
      <c r="FB274">
        <f ca="1"/>
      </c>
      <c r="FC274">
        <f ca="1"/>
      </c>
      <c r="FD274">
        <f ca="1"/>
      </c>
      <c r="FE274">
        <f ca="1"/>
      </c>
      <c r="FF274">
        <f ca="1"/>
      </c>
      <c r="FG274">
        <f ca="1"/>
      </c>
      <c r="FH274">
        <f ca="1"/>
      </c>
      <c r="FI274">
        <f ca="1"/>
      </c>
      <c r="FJ274">
        <f ca="1"/>
      </c>
      <c r="FK274">
        <f ca="1"/>
      </c>
      <c r="FL274">
        <f ca="1"/>
      </c>
      <c r="FM274">
        <f ca="1"/>
      </c>
      <c r="FN274">
        <f ca="1"/>
      </c>
      <c r="FO274">
        <f ca="1"/>
      </c>
      <c r="FP274">
        <f ca="1"/>
      </c>
      <c r="FQ274">
        <f ca="1"/>
      </c>
      <c r="FR274">
        <f ca="1"/>
      </c>
      <c r="FS274">
        <f ca="1"/>
      </c>
      <c r="FT274">
        <f ca="1"/>
      </c>
      <c r="FU274">
        <f ca="1"/>
      </c>
      <c r="FV274">
        <f ca="1"/>
      </c>
      <c r="FW274">
        <f ca="1"/>
      </c>
      <c r="FX274">
        <f ca="1"/>
      </c>
      <c r="FY274">
        <f ca="1"/>
      </c>
      <c r="FZ274">
        <f ca="1"/>
      </c>
      <c r="GA274">
        <f ca="1"/>
      </c>
      <c r="GM274" s="7"/>
    </row>
    <row r="275" spans="41:195" x14ac:dyDescent="0.55000000000000004">
      <c r="AO275">
        <f ca="1"/>
      </c>
      <c r="AP275">
        <f ca="1"/>
      </c>
      <c r="AQ275">
        <f ca="1"/>
      </c>
      <c r="AR275">
        <f ca="1"/>
      </c>
      <c r="AS275">
        <f ca="1"/>
      </c>
      <c r="AT275">
        <f ca="1"/>
      </c>
      <c r="AU275">
        <f ca="1"/>
      </c>
      <c r="AV275">
        <f ca="1"/>
      </c>
      <c r="AW275">
        <f ca="1"/>
      </c>
      <c r="AX275">
        <f ca="1"/>
      </c>
      <c r="AY275">
        <f ca="1"/>
      </c>
      <c r="AZ275">
        <f ca="1"/>
      </c>
      <c r="BA275">
        <f ca="1"/>
      </c>
      <c r="BB275">
        <f ca="1"/>
      </c>
      <c r="BC275">
        <f ca="1"/>
      </c>
      <c r="BD275">
        <f ca="1"/>
      </c>
      <c r="BE275">
        <f ca="1"/>
      </c>
      <c r="BF275">
        <f ca="1"/>
      </c>
      <c r="BG275">
        <f ca="1"/>
      </c>
      <c r="BH275">
        <f ca="1"/>
      </c>
      <c r="BI275">
        <f ca="1"/>
      </c>
      <c r="BJ275">
        <f ca="1"/>
      </c>
      <c r="BK275">
        <f ca="1"/>
      </c>
      <c r="BL275">
        <f ca="1"/>
      </c>
      <c r="BM275">
        <f ca="1"/>
      </c>
      <c r="BN275">
        <f ca="1"/>
      </c>
      <c r="BO275">
        <f ca="1"/>
      </c>
      <c r="BP275">
        <f ca="1"/>
      </c>
      <c r="BQ275">
        <f ca="1"/>
      </c>
      <c r="BR275">
        <f ca="1"/>
      </c>
      <c r="BS275">
        <f ca="1"/>
      </c>
      <c r="BT275">
        <f ca="1"/>
      </c>
      <c r="BU275">
        <f ca="1"/>
      </c>
      <c r="BV275">
        <f ca="1"/>
      </c>
      <c r="BW275">
        <f ca="1"/>
      </c>
      <c r="BX275">
        <f ca="1"/>
      </c>
      <c r="BY275">
        <f ca="1"/>
      </c>
      <c r="BZ275">
        <f ca="1"/>
      </c>
      <c r="CA275">
        <f ca="1"/>
      </c>
      <c r="CB275">
        <f ca="1"/>
      </c>
      <c r="CC275">
        <f ca="1"/>
      </c>
      <c r="CD275">
        <f ca="1"/>
      </c>
      <c r="CE275">
        <f ca="1"/>
      </c>
      <c r="CF275">
        <f ca="1"/>
      </c>
      <c r="CG275">
        <f ca="1"/>
      </c>
      <c r="CH275">
        <f ca="1"/>
      </c>
      <c r="CI275">
        <f ca="1"/>
      </c>
      <c r="CK275">
        <f ca="1"/>
      </c>
      <c r="CL275">
        <f ca="1"/>
      </c>
      <c r="CM275">
        <f ca="1"/>
      </c>
      <c r="CN275">
        <f ca="1"/>
      </c>
      <c r="CO275">
        <f ca="1"/>
      </c>
      <c r="CP275">
        <f ca="1"/>
      </c>
      <c r="CQ275">
        <f ca="1"/>
      </c>
      <c r="CR275">
        <f ca="1"/>
      </c>
      <c r="CS275">
        <f ca="1"/>
      </c>
      <c r="CT275">
        <f ca="1"/>
      </c>
      <c r="CU275">
        <f ca="1"/>
      </c>
      <c r="CV275">
        <f ca="1"/>
      </c>
      <c r="CW275">
        <f ca="1"/>
      </c>
      <c r="CX275">
        <f ca="1"/>
      </c>
      <c r="CY275">
        <f ca="1"/>
      </c>
      <c r="CZ275">
        <f ca="1"/>
      </c>
      <c r="DA275">
        <f ca="1"/>
      </c>
      <c r="DB275">
        <f ca="1"/>
      </c>
      <c r="DC275">
        <f ca="1"/>
      </c>
      <c r="DD275">
        <f ca="1"/>
      </c>
      <c r="DE275">
        <f ca="1"/>
      </c>
      <c r="DF275">
        <f ca="1"/>
      </c>
      <c r="DG275">
        <f ca="1"/>
      </c>
      <c r="DH275">
        <f ca="1"/>
      </c>
      <c r="DI275">
        <f ca="1"/>
      </c>
      <c r="DJ275">
        <f ca="1"/>
      </c>
      <c r="DK275">
        <f ca="1"/>
      </c>
      <c r="DL275">
        <f ca="1"/>
      </c>
      <c r="DM275">
        <f ca="1"/>
      </c>
      <c r="DN275">
        <f ca="1"/>
      </c>
      <c r="DO275">
        <f ca="1"/>
      </c>
      <c r="DP275">
        <f ca="1"/>
      </c>
      <c r="DQ275">
        <f ca="1"/>
      </c>
      <c r="DR275">
        <f ca="1"/>
      </c>
      <c r="DS275">
        <f ca="1"/>
      </c>
      <c r="DT275">
        <f ca="1"/>
      </c>
      <c r="DU275">
        <f ca="1"/>
      </c>
      <c r="DV275">
        <f ca="1"/>
      </c>
      <c r="DW275">
        <f ca="1"/>
      </c>
      <c r="DX275">
        <f ca="1"/>
      </c>
      <c r="DY275">
        <f ca="1"/>
      </c>
      <c r="DZ275">
        <f ca="1"/>
      </c>
      <c r="EA275">
        <f ca="1"/>
      </c>
      <c r="EB275">
        <f ca="1"/>
      </c>
      <c r="EC275">
        <f ca="1"/>
      </c>
      <c r="ED275">
        <f ca="1"/>
      </c>
      <c r="EE275">
        <f ca="1"/>
      </c>
      <c r="EG275">
        <f ca="1"/>
      </c>
      <c r="EH275">
        <f ca="1"/>
      </c>
      <c r="EI275">
        <f ca="1"/>
      </c>
      <c r="EJ275">
        <f ca="1"/>
      </c>
      <c r="EK275">
        <f ca="1"/>
      </c>
      <c r="EL275">
        <f ca="1"/>
      </c>
      <c r="EM275">
        <f ca="1"/>
      </c>
      <c r="EN275">
        <f ca="1"/>
      </c>
      <c r="EO275">
        <f ca="1"/>
      </c>
      <c r="EP275">
        <f ca="1"/>
      </c>
      <c r="EQ275">
        <f ca="1"/>
      </c>
      <c r="ER275">
        <f ca="1"/>
      </c>
      <c r="ES275">
        <f ca="1"/>
      </c>
      <c r="ET275">
        <f ca="1"/>
      </c>
      <c r="EU275">
        <f ca="1"/>
      </c>
      <c r="EV275">
        <f ca="1"/>
      </c>
      <c r="EW275">
        <f ca="1"/>
      </c>
      <c r="EX275">
        <f ca="1"/>
      </c>
      <c r="EY275">
        <f ca="1"/>
      </c>
      <c r="EZ275">
        <f ca="1"/>
      </c>
      <c r="FA275">
        <f ca="1"/>
      </c>
      <c r="FB275">
        <f ca="1"/>
      </c>
      <c r="FC275">
        <f ca="1"/>
      </c>
      <c r="FD275">
        <f ca="1"/>
      </c>
      <c r="FE275">
        <f ca="1"/>
      </c>
      <c r="FF275">
        <f ca="1"/>
      </c>
      <c r="FG275">
        <f ca="1"/>
      </c>
      <c r="FH275">
        <f ca="1"/>
      </c>
      <c r="FI275">
        <f ca="1"/>
      </c>
      <c r="FJ275">
        <f ca="1"/>
      </c>
      <c r="FK275">
        <f ca="1"/>
      </c>
      <c r="FL275">
        <f ca="1"/>
      </c>
      <c r="FM275">
        <f ca="1"/>
      </c>
      <c r="FN275">
        <f ca="1"/>
      </c>
      <c r="FO275">
        <f ca="1"/>
      </c>
      <c r="FP275">
        <f ca="1"/>
      </c>
      <c r="FQ275">
        <f ca="1"/>
      </c>
      <c r="FR275">
        <f ca="1"/>
      </c>
      <c r="FS275">
        <f ca="1"/>
      </c>
      <c r="FT275">
        <f ca="1"/>
      </c>
      <c r="FU275">
        <f ca="1"/>
      </c>
      <c r="FV275">
        <f ca="1"/>
      </c>
      <c r="FW275">
        <f ca="1"/>
      </c>
      <c r="FX275">
        <f ca="1"/>
      </c>
      <c r="FY275">
        <f ca="1"/>
      </c>
      <c r="FZ275">
        <f ca="1"/>
      </c>
      <c r="GA275">
        <f ca="1"/>
      </c>
      <c r="GM275" s="7"/>
    </row>
    <row r="276" spans="41:195" x14ac:dyDescent="0.55000000000000004">
      <c r="AO276">
        <f ca="1"/>
      </c>
      <c r="AP276">
        <f ca="1"/>
      </c>
      <c r="AQ276">
        <f ca="1"/>
      </c>
      <c r="AR276">
        <f ca="1"/>
      </c>
      <c r="AS276">
        <f ca="1"/>
      </c>
      <c r="AT276">
        <f ca="1"/>
      </c>
      <c r="AU276">
        <f ca="1"/>
      </c>
      <c r="AV276">
        <f ca="1"/>
      </c>
      <c r="AW276">
        <f ca="1"/>
      </c>
      <c r="AX276">
        <f ca="1"/>
      </c>
      <c r="AY276">
        <f ca="1"/>
      </c>
      <c r="AZ276">
        <f ca="1"/>
      </c>
      <c r="BA276">
        <f ca="1"/>
      </c>
      <c r="BB276">
        <f ca="1"/>
      </c>
      <c r="BC276">
        <f ca="1"/>
      </c>
      <c r="BD276">
        <f ca="1"/>
      </c>
      <c r="BE276">
        <f ca="1"/>
      </c>
      <c r="BF276">
        <f ca="1"/>
      </c>
      <c r="BG276">
        <f ca="1"/>
      </c>
      <c r="BH276">
        <f ca="1"/>
      </c>
      <c r="BI276">
        <f ca="1"/>
      </c>
      <c r="BJ276">
        <f ca="1"/>
      </c>
      <c r="BK276">
        <f ca="1"/>
      </c>
      <c r="BL276">
        <f ca="1"/>
      </c>
      <c r="BM276">
        <f ca="1"/>
      </c>
      <c r="BN276">
        <f ca="1"/>
      </c>
      <c r="BO276">
        <f ca="1"/>
      </c>
      <c r="BP276">
        <f ca="1"/>
      </c>
      <c r="BQ276">
        <f ca="1"/>
      </c>
      <c r="BR276">
        <f ca="1"/>
      </c>
      <c r="BS276">
        <f ca="1"/>
      </c>
      <c r="BT276">
        <f ca="1"/>
      </c>
      <c r="BU276">
        <f ca="1"/>
      </c>
      <c r="BV276">
        <f ca="1"/>
      </c>
      <c r="BW276">
        <f ca="1"/>
      </c>
      <c r="BX276">
        <f ca="1"/>
      </c>
      <c r="BY276">
        <f ca="1"/>
      </c>
      <c r="BZ276">
        <f ca="1"/>
      </c>
      <c r="CA276">
        <f ca="1"/>
      </c>
      <c r="CB276">
        <f ca="1"/>
      </c>
      <c r="CC276">
        <f ca="1"/>
      </c>
      <c r="CD276">
        <f ca="1"/>
      </c>
      <c r="CE276">
        <f ca="1"/>
      </c>
      <c r="CF276">
        <f ca="1"/>
      </c>
      <c r="CG276">
        <f ca="1"/>
      </c>
      <c r="CH276">
        <f ca="1"/>
      </c>
      <c r="CI276">
        <f ca="1"/>
      </c>
      <c r="CK276">
        <f ca="1"/>
      </c>
      <c r="CL276">
        <f ca="1"/>
      </c>
      <c r="CM276">
        <f ca="1"/>
      </c>
      <c r="CN276">
        <f ca="1"/>
      </c>
      <c r="CO276">
        <f ca="1"/>
      </c>
      <c r="CP276">
        <f ca="1"/>
      </c>
      <c r="CQ276">
        <f ca="1"/>
      </c>
      <c r="CR276">
        <f ca="1"/>
      </c>
      <c r="CS276">
        <f ca="1"/>
      </c>
      <c r="CT276">
        <f ca="1"/>
      </c>
      <c r="CU276">
        <f ca="1"/>
      </c>
      <c r="CV276">
        <f ca="1"/>
      </c>
      <c r="CW276">
        <f ca="1"/>
      </c>
      <c r="CX276">
        <f ca="1"/>
      </c>
      <c r="CY276">
        <f ca="1"/>
      </c>
      <c r="CZ276">
        <f ca="1"/>
      </c>
      <c r="DA276">
        <f ca="1"/>
      </c>
      <c r="DB276">
        <f ca="1"/>
      </c>
      <c r="DC276">
        <f ca="1"/>
      </c>
      <c r="DD276">
        <f ca="1"/>
      </c>
      <c r="DE276">
        <f ca="1"/>
      </c>
      <c r="DF276">
        <f ca="1"/>
      </c>
      <c r="DG276">
        <f ca="1"/>
      </c>
      <c r="DH276">
        <f ca="1"/>
      </c>
      <c r="DI276">
        <f ca="1"/>
      </c>
      <c r="DJ276">
        <f ca="1"/>
      </c>
      <c r="DK276">
        <f ca="1"/>
      </c>
      <c r="DL276">
        <f ca="1"/>
      </c>
      <c r="DM276">
        <f ca="1"/>
      </c>
      <c r="DN276">
        <f ca="1"/>
      </c>
      <c r="DO276">
        <f ca="1"/>
      </c>
      <c r="DP276">
        <f ca="1"/>
      </c>
      <c r="DQ276">
        <f ca="1"/>
      </c>
      <c r="DR276">
        <f ca="1"/>
      </c>
      <c r="DS276">
        <f ca="1"/>
      </c>
      <c r="DT276">
        <f ca="1"/>
      </c>
      <c r="DU276">
        <f ca="1"/>
      </c>
      <c r="DV276">
        <f ca="1"/>
      </c>
      <c r="DW276">
        <f ca="1"/>
      </c>
      <c r="DX276">
        <f ca="1"/>
      </c>
      <c r="DY276">
        <f ca="1"/>
      </c>
      <c r="DZ276">
        <f ca="1"/>
      </c>
      <c r="EA276">
        <f ca="1"/>
      </c>
      <c r="EB276">
        <f ca="1"/>
      </c>
      <c r="EC276">
        <f ca="1"/>
      </c>
      <c r="ED276">
        <f ca="1"/>
      </c>
      <c r="EE276">
        <f ca="1"/>
      </c>
      <c r="EG276">
        <f ca="1"/>
      </c>
      <c r="EH276">
        <f ca="1"/>
      </c>
      <c r="EI276">
        <f ca="1"/>
      </c>
      <c r="EJ276">
        <f ca="1"/>
      </c>
      <c r="EK276">
        <f ca="1"/>
      </c>
      <c r="EL276">
        <f ca="1"/>
      </c>
      <c r="EM276">
        <f ca="1"/>
      </c>
      <c r="EN276">
        <f ca="1"/>
      </c>
      <c r="EO276">
        <f ca="1"/>
      </c>
      <c r="EP276">
        <f ca="1"/>
      </c>
      <c r="EQ276">
        <f ca="1"/>
      </c>
      <c r="ER276">
        <f ca="1"/>
      </c>
      <c r="ES276">
        <f ca="1"/>
      </c>
      <c r="ET276">
        <f ca="1"/>
      </c>
      <c r="EU276">
        <f ca="1"/>
      </c>
      <c r="EV276">
        <f ca="1"/>
      </c>
      <c r="EW276">
        <f ca="1"/>
      </c>
      <c r="EX276">
        <f ca="1"/>
      </c>
      <c r="EY276">
        <f ca="1"/>
      </c>
      <c r="EZ276">
        <f ca="1"/>
      </c>
      <c r="FA276">
        <f ca="1"/>
      </c>
      <c r="FB276">
        <f ca="1"/>
      </c>
      <c r="FC276">
        <f ca="1"/>
      </c>
      <c r="FD276">
        <f ca="1"/>
      </c>
      <c r="FE276">
        <f ca="1"/>
      </c>
      <c r="FF276">
        <f ca="1"/>
      </c>
      <c r="FG276">
        <f ca="1"/>
      </c>
      <c r="FH276">
        <f ca="1"/>
      </c>
      <c r="FI276">
        <f ca="1"/>
      </c>
      <c r="FJ276">
        <f ca="1"/>
      </c>
      <c r="FK276">
        <f ca="1"/>
      </c>
      <c r="FL276">
        <f ca="1"/>
      </c>
      <c r="FM276">
        <f ca="1"/>
      </c>
      <c r="FN276">
        <f ca="1"/>
      </c>
      <c r="FO276">
        <f ca="1"/>
      </c>
      <c r="FP276">
        <f ca="1"/>
      </c>
      <c r="FQ276">
        <f ca="1"/>
      </c>
      <c r="FR276">
        <f ca="1"/>
      </c>
      <c r="FS276">
        <f ca="1"/>
      </c>
      <c r="FT276">
        <f ca="1"/>
      </c>
      <c r="FU276">
        <f ca="1"/>
      </c>
      <c r="FV276">
        <f ca="1"/>
      </c>
      <c r="FW276">
        <f ca="1"/>
      </c>
      <c r="FX276">
        <f ca="1"/>
      </c>
      <c r="FY276">
        <f ca="1"/>
      </c>
      <c r="FZ276">
        <f ca="1"/>
      </c>
      <c r="GA276">
        <f ca="1"/>
      </c>
      <c r="GM276" s="7"/>
    </row>
    <row r="277" spans="41:195" x14ac:dyDescent="0.55000000000000004">
      <c r="AO277">
        <f ca="1"/>
      </c>
      <c r="AP277">
        <f ca="1"/>
      </c>
      <c r="AQ277">
        <f ca="1"/>
      </c>
      <c r="AR277">
        <f ca="1"/>
      </c>
      <c r="AS277">
        <f ca="1"/>
      </c>
      <c r="AT277">
        <f ca="1"/>
      </c>
      <c r="AU277">
        <f ca="1"/>
      </c>
      <c r="AV277">
        <f ca="1"/>
      </c>
      <c r="AW277">
        <f ca="1"/>
      </c>
      <c r="AX277">
        <f ca="1"/>
      </c>
      <c r="AY277">
        <f ca="1"/>
      </c>
      <c r="AZ277">
        <f ca="1"/>
      </c>
      <c r="BA277">
        <f ca="1"/>
      </c>
      <c r="BB277">
        <f ca="1"/>
      </c>
      <c r="BC277">
        <f ca="1"/>
      </c>
      <c r="BD277">
        <f ca="1"/>
      </c>
      <c r="BE277">
        <f ca="1"/>
      </c>
      <c r="BF277">
        <f ca="1"/>
      </c>
      <c r="BG277">
        <f ca="1"/>
      </c>
      <c r="BH277">
        <f ca="1"/>
      </c>
      <c r="BI277">
        <f ca="1"/>
      </c>
      <c r="BJ277">
        <f ca="1"/>
      </c>
      <c r="BK277">
        <f ca="1"/>
      </c>
      <c r="BL277">
        <f ca="1"/>
      </c>
      <c r="BM277">
        <f ca="1"/>
      </c>
      <c r="BN277">
        <f ca="1"/>
      </c>
      <c r="BO277">
        <f ca="1"/>
      </c>
      <c r="BP277">
        <f ca="1"/>
      </c>
      <c r="BQ277">
        <f ca="1"/>
      </c>
      <c r="BR277">
        <f ca="1"/>
      </c>
      <c r="BS277">
        <f ca="1"/>
      </c>
      <c r="BT277">
        <f ca="1"/>
      </c>
      <c r="BU277">
        <f ca="1"/>
      </c>
      <c r="BV277">
        <f ca="1"/>
      </c>
      <c r="BW277">
        <f ca="1"/>
      </c>
      <c r="BX277">
        <f ca="1"/>
      </c>
      <c r="BY277">
        <f ca="1"/>
      </c>
      <c r="BZ277">
        <f ca="1"/>
      </c>
      <c r="CA277">
        <f ca="1"/>
      </c>
      <c r="CB277">
        <f ca="1"/>
      </c>
      <c r="CC277">
        <f ca="1"/>
      </c>
      <c r="CD277">
        <f ca="1"/>
      </c>
      <c r="CE277">
        <f ca="1"/>
      </c>
      <c r="CF277">
        <f ca="1"/>
      </c>
      <c r="CG277">
        <f ca="1"/>
      </c>
      <c r="CH277">
        <f ca="1"/>
      </c>
      <c r="CI277">
        <f ca="1"/>
      </c>
      <c r="CK277">
        <f ca="1"/>
      </c>
      <c r="CL277">
        <f ca="1"/>
      </c>
      <c r="CM277">
        <f ca="1"/>
      </c>
      <c r="CN277">
        <f ca="1"/>
      </c>
      <c r="CO277">
        <f ca="1"/>
      </c>
      <c r="CP277">
        <f ca="1"/>
      </c>
      <c r="CQ277">
        <f ca="1"/>
      </c>
      <c r="CR277">
        <f ca="1"/>
      </c>
      <c r="CS277">
        <f ca="1"/>
      </c>
      <c r="CT277">
        <f ca="1"/>
      </c>
      <c r="CU277">
        <f ca="1"/>
      </c>
      <c r="CV277">
        <f ca="1"/>
      </c>
      <c r="CW277">
        <f ca="1"/>
      </c>
      <c r="CX277">
        <f ca="1"/>
      </c>
      <c r="CY277">
        <f ca="1"/>
      </c>
      <c r="CZ277">
        <f ca="1"/>
      </c>
      <c r="DA277">
        <f ca="1"/>
      </c>
      <c r="DB277">
        <f ca="1"/>
      </c>
      <c r="DC277">
        <f ca="1"/>
      </c>
      <c r="DD277">
        <f ca="1"/>
      </c>
      <c r="DE277">
        <f ca="1"/>
      </c>
      <c r="DF277">
        <f ca="1"/>
      </c>
      <c r="DG277">
        <f ca="1"/>
      </c>
      <c r="DH277">
        <f ca="1"/>
      </c>
      <c r="DI277">
        <f ca="1"/>
      </c>
      <c r="DJ277">
        <f ca="1"/>
      </c>
      <c r="DK277">
        <f ca="1"/>
      </c>
      <c r="DL277">
        <f ca="1"/>
      </c>
      <c r="DM277">
        <f ca="1"/>
      </c>
      <c r="DN277">
        <f ca="1"/>
      </c>
      <c r="DO277">
        <f ca="1"/>
      </c>
      <c r="DP277">
        <f ca="1"/>
      </c>
      <c r="DQ277">
        <f ca="1"/>
      </c>
      <c r="DR277">
        <f ca="1"/>
      </c>
      <c r="DS277">
        <f ca="1"/>
      </c>
      <c r="DT277">
        <f ca="1"/>
      </c>
      <c r="DU277">
        <f ca="1"/>
      </c>
      <c r="DV277">
        <f ca="1"/>
      </c>
      <c r="DW277">
        <f ca="1"/>
      </c>
      <c r="DX277">
        <f ca="1"/>
      </c>
      <c r="DY277">
        <f ca="1"/>
      </c>
      <c r="DZ277">
        <f ca="1"/>
      </c>
      <c r="EA277">
        <f ca="1"/>
      </c>
      <c r="EB277">
        <f ca="1"/>
      </c>
      <c r="EC277">
        <f ca="1"/>
      </c>
      <c r="ED277">
        <f ca="1"/>
      </c>
      <c r="EE277">
        <f ca="1"/>
      </c>
      <c r="EG277">
        <f ca="1"/>
      </c>
      <c r="EH277">
        <f ca="1"/>
      </c>
      <c r="EI277">
        <f ca="1"/>
      </c>
      <c r="EJ277">
        <f ca="1"/>
      </c>
      <c r="EK277">
        <f ca="1"/>
      </c>
      <c r="EL277">
        <f ca="1"/>
      </c>
      <c r="EM277">
        <f ca="1"/>
      </c>
      <c r="EN277">
        <f ca="1"/>
      </c>
      <c r="EO277">
        <f ca="1"/>
      </c>
      <c r="EP277">
        <f ca="1"/>
      </c>
      <c r="EQ277">
        <f ca="1"/>
      </c>
      <c r="ER277">
        <f ca="1"/>
      </c>
      <c r="ES277">
        <f ca="1"/>
      </c>
      <c r="ET277">
        <f ca="1"/>
      </c>
      <c r="EU277">
        <f ca="1"/>
      </c>
      <c r="EV277">
        <f ca="1"/>
      </c>
      <c r="EW277">
        <f ca="1"/>
      </c>
      <c r="EX277">
        <f ca="1"/>
      </c>
      <c r="EY277">
        <f ca="1"/>
      </c>
      <c r="EZ277">
        <f ca="1"/>
      </c>
      <c r="FA277">
        <f ca="1"/>
      </c>
      <c r="FB277">
        <f ca="1"/>
      </c>
      <c r="FC277">
        <f ca="1"/>
      </c>
      <c r="FD277">
        <f ca="1"/>
      </c>
      <c r="FE277">
        <f ca="1"/>
      </c>
      <c r="FF277">
        <f ca="1"/>
      </c>
      <c r="FG277">
        <f ca="1"/>
      </c>
      <c r="FH277">
        <f ca="1"/>
      </c>
      <c r="FI277">
        <f ca="1"/>
      </c>
      <c r="FJ277">
        <f ca="1"/>
      </c>
      <c r="FK277">
        <f ca="1"/>
      </c>
      <c r="FL277">
        <f ca="1"/>
      </c>
      <c r="FM277">
        <f ca="1"/>
      </c>
      <c r="FN277">
        <f ca="1"/>
      </c>
      <c r="FO277">
        <f ca="1"/>
      </c>
      <c r="FP277">
        <f ca="1"/>
      </c>
      <c r="FQ277">
        <f ca="1"/>
      </c>
      <c r="FR277">
        <f ca="1"/>
      </c>
      <c r="FS277">
        <f ca="1"/>
      </c>
      <c r="FT277">
        <f ca="1"/>
      </c>
      <c r="FU277">
        <f ca="1"/>
      </c>
      <c r="FV277">
        <f ca="1"/>
      </c>
      <c r="FW277">
        <f ca="1"/>
      </c>
      <c r="FX277">
        <f ca="1"/>
      </c>
      <c r="FY277">
        <f ca="1"/>
      </c>
      <c r="FZ277">
        <f ca="1"/>
      </c>
      <c r="GA277">
        <f ca="1"/>
      </c>
      <c r="GM277" s="7"/>
    </row>
    <row r="278" spans="41:195" x14ac:dyDescent="0.55000000000000004">
      <c r="AO278">
        <f ca="1"/>
      </c>
      <c r="AP278">
        <f ca="1"/>
      </c>
      <c r="AQ278">
        <f ca="1"/>
      </c>
      <c r="AR278">
        <f ca="1"/>
      </c>
      <c r="AS278">
        <f ca="1"/>
      </c>
      <c r="AT278">
        <f ca="1"/>
      </c>
      <c r="AU278">
        <f ca="1"/>
      </c>
      <c r="AV278">
        <f ca="1"/>
      </c>
      <c r="AW278">
        <f ca="1"/>
      </c>
      <c r="AX278">
        <f ca="1"/>
      </c>
      <c r="AY278">
        <f ca="1"/>
      </c>
      <c r="AZ278">
        <f ca="1"/>
      </c>
      <c r="BA278">
        <f ca="1"/>
      </c>
      <c r="BB278">
        <f ca="1"/>
      </c>
      <c r="BC278">
        <f ca="1"/>
      </c>
      <c r="BD278">
        <f ca="1"/>
      </c>
      <c r="BE278">
        <f ca="1"/>
      </c>
      <c r="BF278">
        <f ca="1"/>
      </c>
      <c r="BG278">
        <f ca="1"/>
      </c>
      <c r="BH278">
        <f ca="1"/>
      </c>
      <c r="BI278">
        <f ca="1"/>
      </c>
      <c r="BJ278">
        <f ca="1"/>
      </c>
      <c r="BK278">
        <f ca="1"/>
      </c>
      <c r="BL278">
        <f ca="1"/>
      </c>
      <c r="BM278">
        <f ca="1"/>
      </c>
      <c r="BN278">
        <f ca="1"/>
      </c>
      <c r="BO278">
        <f ca="1"/>
      </c>
      <c r="BP278">
        <f ca="1"/>
      </c>
      <c r="BQ278">
        <f ca="1"/>
      </c>
      <c r="BR278">
        <f ca="1"/>
      </c>
      <c r="BS278">
        <f ca="1"/>
      </c>
      <c r="BT278">
        <f ca="1"/>
      </c>
      <c r="BU278">
        <f ca="1"/>
      </c>
      <c r="BV278">
        <f ca="1"/>
      </c>
      <c r="BW278">
        <f ca="1"/>
      </c>
      <c r="BX278">
        <f ca="1"/>
      </c>
      <c r="BY278">
        <f ca="1"/>
      </c>
      <c r="BZ278">
        <f ca="1"/>
      </c>
      <c r="CA278">
        <f ca="1"/>
      </c>
      <c r="CB278">
        <f ca="1"/>
      </c>
      <c r="CC278">
        <f ca="1"/>
      </c>
      <c r="CD278">
        <f ca="1"/>
      </c>
      <c r="CE278">
        <f ca="1"/>
      </c>
      <c r="CF278">
        <f ca="1"/>
      </c>
      <c r="CG278">
        <f ca="1"/>
      </c>
      <c r="CH278">
        <f ca="1"/>
      </c>
      <c r="CI278">
        <f ca="1"/>
      </c>
      <c r="CK278">
        <f ca="1"/>
      </c>
      <c r="CL278">
        <f ca="1"/>
      </c>
      <c r="CM278">
        <f ca="1"/>
      </c>
      <c r="CN278">
        <f ca="1"/>
      </c>
      <c r="CO278">
        <f ca="1"/>
      </c>
      <c r="CP278">
        <f ca="1"/>
      </c>
      <c r="CQ278">
        <f ca="1"/>
      </c>
      <c r="CR278">
        <f ca="1"/>
      </c>
      <c r="CS278">
        <f ca="1"/>
      </c>
      <c r="CT278">
        <f ca="1"/>
      </c>
      <c r="CU278">
        <f ca="1"/>
      </c>
      <c r="CV278">
        <f ca="1"/>
      </c>
      <c r="CW278">
        <f ca="1"/>
      </c>
      <c r="CX278">
        <f ca="1"/>
      </c>
      <c r="CY278">
        <f ca="1"/>
      </c>
      <c r="CZ278">
        <f ca="1"/>
      </c>
      <c r="DA278">
        <f ca="1"/>
      </c>
      <c r="DB278">
        <f ca="1"/>
      </c>
      <c r="DC278">
        <f ca="1"/>
      </c>
      <c r="DD278">
        <f ca="1"/>
      </c>
      <c r="DE278">
        <f ca="1"/>
      </c>
      <c r="DF278">
        <f ca="1"/>
      </c>
      <c r="DG278">
        <f ca="1"/>
      </c>
      <c r="DH278">
        <f ca="1"/>
      </c>
      <c r="DI278">
        <f ca="1"/>
      </c>
      <c r="DJ278">
        <f ca="1"/>
      </c>
      <c r="DK278">
        <f ca="1"/>
      </c>
      <c r="DL278">
        <f ca="1"/>
      </c>
      <c r="DM278">
        <f ca="1"/>
      </c>
      <c r="DN278">
        <f ca="1"/>
      </c>
      <c r="DO278">
        <f ca="1"/>
      </c>
      <c r="DP278">
        <f ca="1"/>
      </c>
      <c r="DQ278">
        <f ca="1"/>
      </c>
      <c r="DR278">
        <f ca="1"/>
      </c>
      <c r="DS278">
        <f ca="1"/>
      </c>
      <c r="DT278">
        <f ca="1"/>
      </c>
      <c r="DU278">
        <f ca="1"/>
      </c>
      <c r="DV278">
        <f ca="1"/>
      </c>
      <c r="DW278">
        <f ca="1"/>
      </c>
      <c r="DX278">
        <f ca="1"/>
      </c>
      <c r="DY278">
        <f ca="1"/>
      </c>
      <c r="DZ278">
        <f ca="1"/>
      </c>
      <c r="EA278">
        <f ca="1"/>
      </c>
      <c r="EB278">
        <f ca="1"/>
      </c>
      <c r="EC278">
        <f ca="1"/>
      </c>
      <c r="ED278">
        <f ca="1"/>
      </c>
      <c r="EE278">
        <f ca="1"/>
      </c>
      <c r="EG278">
        <f ca="1"/>
      </c>
      <c r="EH278">
        <f ca="1"/>
      </c>
      <c r="EI278">
        <f ca="1"/>
      </c>
      <c r="EJ278">
        <f ca="1"/>
      </c>
      <c r="EK278">
        <f ca="1"/>
      </c>
      <c r="EL278">
        <f ca="1"/>
      </c>
      <c r="EM278">
        <f ca="1"/>
      </c>
      <c r="EN278">
        <f ca="1"/>
      </c>
      <c r="EO278">
        <f ca="1"/>
      </c>
      <c r="EP278">
        <f ca="1"/>
      </c>
      <c r="EQ278">
        <f ca="1"/>
      </c>
      <c r="ER278">
        <f ca="1"/>
      </c>
      <c r="ES278">
        <f ca="1"/>
      </c>
      <c r="ET278">
        <f ca="1"/>
      </c>
      <c r="EU278">
        <f ca="1"/>
      </c>
      <c r="EV278">
        <f ca="1"/>
      </c>
      <c r="EW278">
        <f ca="1"/>
      </c>
      <c r="EX278">
        <f ca="1"/>
      </c>
      <c r="EY278">
        <f ca="1"/>
      </c>
      <c r="EZ278">
        <f ca="1"/>
      </c>
      <c r="FA278">
        <f ca="1"/>
      </c>
      <c r="FB278">
        <f ca="1"/>
      </c>
      <c r="FC278">
        <f ca="1"/>
      </c>
      <c r="FD278">
        <f ca="1"/>
      </c>
      <c r="FE278">
        <f ca="1"/>
      </c>
      <c r="FF278">
        <f ca="1"/>
      </c>
      <c r="FG278">
        <f ca="1"/>
      </c>
      <c r="FH278">
        <f ca="1"/>
      </c>
      <c r="FI278">
        <f ca="1"/>
      </c>
      <c r="FJ278">
        <f ca="1"/>
      </c>
      <c r="FK278">
        <f ca="1"/>
      </c>
      <c r="FL278">
        <f ca="1"/>
      </c>
      <c r="FM278">
        <f ca="1"/>
      </c>
      <c r="FN278">
        <f ca="1"/>
      </c>
      <c r="FO278">
        <f ca="1"/>
      </c>
      <c r="FP278">
        <f ca="1"/>
      </c>
      <c r="FQ278">
        <f ca="1"/>
      </c>
      <c r="FR278">
        <f ca="1"/>
      </c>
      <c r="FS278">
        <f ca="1"/>
      </c>
      <c r="FT278">
        <f ca="1"/>
      </c>
      <c r="FU278">
        <f ca="1"/>
      </c>
      <c r="FV278">
        <f ca="1"/>
      </c>
      <c r="FW278">
        <f ca="1"/>
      </c>
      <c r="FX278">
        <f ca="1"/>
      </c>
      <c r="FY278">
        <f ca="1"/>
      </c>
      <c r="FZ278">
        <f ca="1"/>
      </c>
      <c r="GA278">
        <f ca="1"/>
      </c>
      <c r="GM278" s="7"/>
    </row>
    <row r="279" spans="41:195" x14ac:dyDescent="0.55000000000000004">
      <c r="AO279">
        <f ca="1"/>
      </c>
      <c r="AP279">
        <f ca="1"/>
      </c>
      <c r="AQ279">
        <f ca="1"/>
      </c>
      <c r="AR279">
        <f ca="1"/>
      </c>
      <c r="AS279">
        <f ca="1"/>
      </c>
      <c r="AT279">
        <f ca="1"/>
      </c>
      <c r="AU279">
        <f ca="1"/>
      </c>
      <c r="AV279">
        <f ca="1"/>
      </c>
      <c r="AW279">
        <f ca="1"/>
      </c>
      <c r="AX279">
        <f ca="1"/>
      </c>
      <c r="AY279">
        <f ca="1"/>
      </c>
      <c r="AZ279">
        <f ca="1"/>
      </c>
      <c r="BA279">
        <f ca="1"/>
      </c>
      <c r="BB279">
        <f ca="1"/>
      </c>
      <c r="BC279">
        <f ca="1"/>
      </c>
      <c r="BD279">
        <f ca="1"/>
      </c>
      <c r="BE279">
        <f ca="1"/>
      </c>
      <c r="BF279">
        <f ca="1"/>
      </c>
      <c r="BG279">
        <f ca="1"/>
      </c>
      <c r="BH279">
        <f ca="1"/>
      </c>
      <c r="BI279">
        <f ca="1"/>
      </c>
      <c r="BJ279">
        <f ca="1"/>
      </c>
      <c r="BK279">
        <f ca="1"/>
      </c>
      <c r="BL279">
        <f ca="1"/>
      </c>
      <c r="BM279">
        <f ca="1"/>
      </c>
      <c r="BN279">
        <f ca="1"/>
      </c>
      <c r="BO279">
        <f ca="1"/>
      </c>
      <c r="BP279">
        <f ca="1"/>
      </c>
      <c r="BQ279">
        <f ca="1"/>
      </c>
      <c r="BR279">
        <f ca="1"/>
      </c>
      <c r="BS279">
        <f ca="1"/>
      </c>
      <c r="BT279">
        <f ca="1"/>
      </c>
      <c r="BU279">
        <f ca="1"/>
      </c>
      <c r="BV279">
        <f ca="1"/>
      </c>
      <c r="BW279">
        <f ca="1"/>
      </c>
      <c r="BX279">
        <f ca="1"/>
      </c>
      <c r="BY279">
        <f ca="1"/>
      </c>
      <c r="BZ279">
        <f ca="1"/>
      </c>
      <c r="CA279">
        <f ca="1"/>
      </c>
      <c r="CB279">
        <f ca="1"/>
      </c>
      <c r="CC279">
        <f ca="1"/>
      </c>
      <c r="CD279">
        <f ca="1"/>
      </c>
      <c r="CE279">
        <f ca="1"/>
      </c>
      <c r="CF279">
        <f ca="1"/>
      </c>
      <c r="CG279">
        <f ca="1"/>
      </c>
      <c r="CH279">
        <f ca="1"/>
      </c>
      <c r="CI279">
        <f ca="1"/>
      </c>
      <c r="CK279">
        <f ca="1"/>
      </c>
      <c r="CL279">
        <f ca="1"/>
      </c>
      <c r="CM279">
        <f ca="1"/>
      </c>
      <c r="CN279">
        <f ca="1"/>
      </c>
      <c r="CO279">
        <f ca="1"/>
      </c>
      <c r="CP279">
        <f ca="1"/>
      </c>
      <c r="CQ279">
        <f ca="1"/>
      </c>
      <c r="CR279">
        <f ca="1"/>
      </c>
      <c r="CS279">
        <f ca="1"/>
      </c>
      <c r="CT279">
        <f ca="1"/>
      </c>
      <c r="CU279">
        <f ca="1"/>
      </c>
      <c r="CV279">
        <f ca="1"/>
      </c>
      <c r="CW279">
        <f ca="1"/>
      </c>
      <c r="CX279">
        <f ca="1"/>
      </c>
      <c r="CY279">
        <f ca="1"/>
      </c>
      <c r="CZ279">
        <f ca="1"/>
      </c>
      <c r="DA279">
        <f ca="1"/>
      </c>
      <c r="DB279">
        <f ca="1"/>
      </c>
      <c r="DC279">
        <f ca="1"/>
      </c>
      <c r="DD279">
        <f ca="1"/>
      </c>
      <c r="DE279">
        <f ca="1"/>
      </c>
      <c r="DF279">
        <f ca="1"/>
      </c>
      <c r="DG279">
        <f ca="1"/>
      </c>
      <c r="DH279">
        <f ca="1"/>
      </c>
      <c r="DI279">
        <f ca="1"/>
      </c>
      <c r="DJ279">
        <f ca="1"/>
      </c>
      <c r="DK279">
        <f ca="1"/>
      </c>
      <c r="DL279">
        <f ca="1"/>
      </c>
      <c r="DM279">
        <f ca="1"/>
      </c>
      <c r="DN279">
        <f ca="1"/>
      </c>
      <c r="DO279">
        <f ca="1"/>
      </c>
      <c r="DP279">
        <f ca="1"/>
      </c>
      <c r="DQ279">
        <f ca="1"/>
      </c>
      <c r="DR279">
        <f ca="1"/>
      </c>
      <c r="DS279">
        <f ca="1"/>
      </c>
      <c r="DT279">
        <f ca="1"/>
      </c>
      <c r="DU279">
        <f ca="1"/>
      </c>
      <c r="DV279">
        <f ca="1"/>
      </c>
      <c r="DW279">
        <f ca="1"/>
      </c>
      <c r="DX279">
        <f ca="1"/>
      </c>
      <c r="DY279">
        <f ca="1"/>
      </c>
      <c r="DZ279">
        <f ca="1"/>
      </c>
      <c r="EA279">
        <f ca="1"/>
      </c>
      <c r="EB279">
        <f ca="1"/>
      </c>
      <c r="EC279">
        <f ca="1"/>
      </c>
      <c r="ED279">
        <f ca="1"/>
      </c>
      <c r="EE279">
        <f ca="1"/>
      </c>
      <c r="EG279">
        <f ca="1"/>
      </c>
      <c r="EH279">
        <f ca="1"/>
      </c>
      <c r="EI279">
        <f ca="1"/>
      </c>
      <c r="EJ279">
        <f ca="1"/>
      </c>
      <c r="EK279">
        <f ca="1"/>
      </c>
      <c r="EL279">
        <f ca="1"/>
      </c>
      <c r="EM279">
        <f ca="1"/>
      </c>
      <c r="EN279">
        <f ca="1"/>
      </c>
      <c r="EO279">
        <f ca="1"/>
      </c>
      <c r="EP279">
        <f ca="1"/>
      </c>
      <c r="EQ279">
        <f ca="1"/>
      </c>
      <c r="ER279">
        <f ca="1"/>
      </c>
      <c r="ES279">
        <f ca="1"/>
      </c>
      <c r="ET279">
        <f ca="1"/>
      </c>
      <c r="EU279">
        <f ca="1"/>
      </c>
      <c r="EV279">
        <f ca="1"/>
      </c>
      <c r="EW279">
        <f ca="1"/>
      </c>
      <c r="EX279">
        <f ca="1"/>
      </c>
      <c r="EY279">
        <f ca="1"/>
      </c>
      <c r="EZ279">
        <f ca="1"/>
      </c>
      <c r="FA279">
        <f ca="1"/>
      </c>
      <c r="FB279">
        <f ca="1"/>
      </c>
      <c r="FC279">
        <f ca="1"/>
      </c>
      <c r="FD279">
        <f ca="1"/>
      </c>
      <c r="FE279">
        <f ca="1"/>
      </c>
      <c r="FF279">
        <f ca="1"/>
      </c>
      <c r="FG279">
        <f ca="1"/>
      </c>
      <c r="FH279">
        <f ca="1"/>
      </c>
      <c r="FI279">
        <f ca="1"/>
      </c>
      <c r="FJ279">
        <f ca="1"/>
      </c>
      <c r="FK279">
        <f ca="1"/>
      </c>
      <c r="FL279">
        <f ca="1"/>
      </c>
      <c r="FM279">
        <f ca="1"/>
      </c>
      <c r="FN279">
        <f ca="1"/>
      </c>
      <c r="FO279">
        <f ca="1"/>
      </c>
      <c r="FP279">
        <f ca="1"/>
      </c>
      <c r="FQ279">
        <f ca="1"/>
      </c>
      <c r="FR279">
        <f ca="1"/>
      </c>
      <c r="FS279">
        <f ca="1"/>
      </c>
      <c r="FT279">
        <f ca="1"/>
      </c>
      <c r="FU279">
        <f ca="1"/>
      </c>
      <c r="FV279">
        <f ca="1"/>
      </c>
      <c r="FW279">
        <f ca="1"/>
      </c>
      <c r="FX279">
        <f ca="1"/>
      </c>
      <c r="FY279">
        <f ca="1"/>
      </c>
      <c r="FZ279">
        <f ca="1"/>
      </c>
      <c r="GA279">
        <f ca="1"/>
      </c>
      <c r="GM279" s="7"/>
    </row>
    <row r="280" spans="41:195" x14ac:dyDescent="0.55000000000000004">
      <c r="AO280">
        <f ca="1"/>
      </c>
      <c r="AP280">
        <f ca="1"/>
      </c>
      <c r="AQ280">
        <f ca="1"/>
      </c>
      <c r="AR280">
        <f ca="1"/>
      </c>
      <c r="AS280">
        <f ca="1"/>
      </c>
      <c r="AT280">
        <f ca="1"/>
      </c>
      <c r="AU280">
        <f ca="1"/>
      </c>
      <c r="AV280">
        <f ca="1"/>
      </c>
      <c r="AW280">
        <f ca="1"/>
      </c>
      <c r="AX280">
        <f ca="1"/>
      </c>
      <c r="AY280">
        <f ca="1"/>
      </c>
      <c r="AZ280">
        <f ca="1"/>
      </c>
      <c r="BA280">
        <f ca="1"/>
      </c>
      <c r="BB280">
        <f ca="1"/>
      </c>
      <c r="BC280">
        <f ca="1"/>
      </c>
      <c r="BD280">
        <f ca="1"/>
      </c>
      <c r="BE280">
        <f ca="1"/>
      </c>
      <c r="BF280">
        <f ca="1"/>
      </c>
      <c r="BG280">
        <f ca="1"/>
      </c>
      <c r="BH280">
        <f ca="1"/>
      </c>
      <c r="BI280">
        <f ca="1"/>
      </c>
      <c r="BJ280">
        <f ca="1"/>
      </c>
      <c r="BK280">
        <f ca="1"/>
      </c>
      <c r="BL280">
        <f ca="1"/>
      </c>
      <c r="BM280">
        <f ca="1"/>
      </c>
      <c r="BN280">
        <f ca="1"/>
      </c>
      <c r="BO280">
        <f ca="1"/>
      </c>
      <c r="BP280">
        <f ca="1"/>
      </c>
      <c r="BQ280">
        <f ca="1"/>
      </c>
      <c r="BR280">
        <f ca="1"/>
      </c>
      <c r="BS280">
        <f ca="1"/>
      </c>
      <c r="BT280">
        <f ca="1"/>
      </c>
      <c r="BU280">
        <f ca="1"/>
      </c>
      <c r="BV280">
        <f ca="1"/>
      </c>
      <c r="BW280">
        <f ca="1"/>
      </c>
      <c r="BX280">
        <f ca="1"/>
      </c>
      <c r="BY280">
        <f ca="1"/>
      </c>
      <c r="BZ280">
        <f ca="1"/>
      </c>
      <c r="CA280">
        <f ca="1"/>
      </c>
      <c r="CB280">
        <f ca="1"/>
      </c>
      <c r="CC280">
        <f ca="1"/>
      </c>
      <c r="CD280">
        <f ca="1"/>
      </c>
      <c r="CE280">
        <f ca="1"/>
      </c>
      <c r="CF280">
        <f ca="1"/>
      </c>
      <c r="CG280">
        <f ca="1"/>
      </c>
      <c r="CH280">
        <f ca="1"/>
      </c>
      <c r="CI280">
        <f ca="1"/>
      </c>
      <c r="CK280">
        <f ca="1"/>
      </c>
      <c r="CL280">
        <f ca="1"/>
      </c>
      <c r="CM280">
        <f ca="1"/>
      </c>
      <c r="CN280">
        <f ca="1"/>
      </c>
      <c r="CO280">
        <f ca="1"/>
      </c>
      <c r="CP280">
        <f ca="1"/>
      </c>
      <c r="CQ280">
        <f ca="1"/>
      </c>
      <c r="CR280">
        <f ca="1"/>
      </c>
      <c r="CS280">
        <f ca="1"/>
      </c>
      <c r="CT280">
        <f ca="1"/>
      </c>
      <c r="CU280">
        <f ca="1"/>
      </c>
      <c r="CV280">
        <f ca="1"/>
      </c>
      <c r="CW280">
        <f ca="1"/>
      </c>
      <c r="CX280">
        <f ca="1"/>
      </c>
      <c r="CY280">
        <f ca="1"/>
      </c>
      <c r="CZ280">
        <f ca="1"/>
      </c>
      <c r="DA280">
        <f ca="1"/>
      </c>
      <c r="DB280">
        <f ca="1"/>
      </c>
      <c r="DC280">
        <f ca="1"/>
      </c>
      <c r="DD280">
        <f ca="1"/>
      </c>
      <c r="DE280">
        <f ca="1"/>
      </c>
      <c r="DF280">
        <f ca="1"/>
      </c>
      <c r="DG280">
        <f ca="1"/>
      </c>
      <c r="DH280">
        <f ca="1"/>
      </c>
      <c r="DI280">
        <f ca="1"/>
      </c>
      <c r="DJ280">
        <f ca="1"/>
      </c>
      <c r="DK280">
        <f ca="1"/>
      </c>
      <c r="DL280">
        <f ca="1"/>
      </c>
      <c r="DM280">
        <f ca="1"/>
      </c>
      <c r="DN280">
        <f ca="1"/>
      </c>
      <c r="DO280">
        <f ca="1"/>
      </c>
      <c r="DP280">
        <f ca="1"/>
      </c>
      <c r="DQ280">
        <f ca="1"/>
      </c>
      <c r="DR280">
        <f ca="1"/>
      </c>
      <c r="DS280">
        <f ca="1"/>
      </c>
      <c r="DT280">
        <f ca="1"/>
      </c>
      <c r="DU280">
        <f ca="1"/>
      </c>
      <c r="DV280">
        <f ca="1"/>
      </c>
      <c r="DW280">
        <f ca="1"/>
      </c>
      <c r="DX280">
        <f ca="1"/>
      </c>
      <c r="DY280">
        <f ca="1"/>
      </c>
      <c r="DZ280">
        <f ca="1"/>
      </c>
      <c r="EA280">
        <f ca="1"/>
      </c>
      <c r="EB280">
        <f ca="1"/>
      </c>
      <c r="EC280">
        <f ca="1"/>
      </c>
      <c r="ED280">
        <f ca="1"/>
      </c>
      <c r="EE280">
        <f ca="1"/>
      </c>
      <c r="EG280">
        <f ca="1"/>
      </c>
      <c r="EH280">
        <f ca="1"/>
      </c>
      <c r="EI280">
        <f ca="1"/>
      </c>
      <c r="EJ280">
        <f ca="1"/>
      </c>
      <c r="EK280">
        <f ca="1"/>
      </c>
      <c r="EL280">
        <f ca="1"/>
      </c>
      <c r="EM280">
        <f ca="1"/>
      </c>
      <c r="EN280">
        <f ca="1"/>
      </c>
      <c r="EO280">
        <f ca="1"/>
      </c>
      <c r="EP280">
        <f ca="1"/>
      </c>
      <c r="EQ280">
        <f ca="1"/>
      </c>
      <c r="ER280">
        <f ca="1"/>
      </c>
      <c r="ES280">
        <f ca="1"/>
      </c>
      <c r="ET280">
        <f ca="1"/>
      </c>
      <c r="EU280">
        <f ca="1"/>
      </c>
      <c r="EV280">
        <f ca="1"/>
      </c>
      <c r="EW280">
        <f ca="1"/>
      </c>
      <c r="EX280">
        <f ca="1"/>
      </c>
      <c r="EY280">
        <f ca="1"/>
      </c>
      <c r="EZ280">
        <f ca="1"/>
      </c>
      <c r="FA280">
        <f ca="1"/>
      </c>
      <c r="FB280">
        <f ca="1"/>
      </c>
      <c r="FC280">
        <f ca="1"/>
      </c>
      <c r="FD280">
        <f ca="1"/>
      </c>
      <c r="FE280">
        <f ca="1"/>
      </c>
      <c r="FF280">
        <f ca="1"/>
      </c>
      <c r="FG280">
        <f ca="1"/>
      </c>
      <c r="FH280">
        <f ca="1"/>
      </c>
      <c r="FI280">
        <f ca="1"/>
      </c>
      <c r="FJ280">
        <f ca="1"/>
      </c>
      <c r="FK280">
        <f ca="1"/>
      </c>
      <c r="FL280">
        <f ca="1"/>
      </c>
      <c r="FM280">
        <f ca="1"/>
      </c>
      <c r="FN280">
        <f ca="1"/>
      </c>
      <c r="FO280">
        <f ca="1"/>
      </c>
      <c r="FP280">
        <f ca="1"/>
      </c>
      <c r="FQ280">
        <f ca="1"/>
      </c>
      <c r="FR280">
        <f ca="1"/>
      </c>
      <c r="FS280">
        <f ca="1"/>
      </c>
      <c r="FT280">
        <f ca="1"/>
      </c>
      <c r="FU280">
        <f ca="1"/>
      </c>
      <c r="FV280">
        <f ca="1"/>
      </c>
      <c r="FW280">
        <f ca="1"/>
      </c>
      <c r="FX280">
        <f ca="1"/>
      </c>
      <c r="FY280">
        <f ca="1"/>
      </c>
      <c r="FZ280">
        <f ca="1"/>
      </c>
      <c r="GA280">
        <f ca="1"/>
      </c>
      <c r="GM280" s="7"/>
    </row>
    <row r="281" spans="41:195" x14ac:dyDescent="0.55000000000000004">
      <c r="AO281">
        <f ca="1"/>
      </c>
      <c r="AP281">
        <f ca="1"/>
      </c>
      <c r="AQ281">
        <f ca="1"/>
      </c>
      <c r="AR281">
        <f ca="1"/>
      </c>
      <c r="AS281">
        <f ca="1"/>
      </c>
      <c r="AT281">
        <f ca="1"/>
      </c>
      <c r="AU281">
        <f ca="1"/>
      </c>
      <c r="AV281">
        <f ca="1"/>
      </c>
      <c r="AW281">
        <f ca="1"/>
      </c>
      <c r="AX281">
        <f ca="1"/>
      </c>
      <c r="AY281">
        <f ca="1"/>
      </c>
      <c r="AZ281">
        <f ca="1"/>
      </c>
      <c r="BA281">
        <f ca="1"/>
      </c>
      <c r="BB281">
        <f ca="1"/>
      </c>
      <c r="BC281">
        <f ca="1"/>
      </c>
      <c r="BD281">
        <f ca="1"/>
      </c>
      <c r="BE281">
        <f ca="1"/>
      </c>
      <c r="BF281">
        <f ca="1"/>
      </c>
      <c r="BG281">
        <f ca="1"/>
      </c>
      <c r="BH281">
        <f ca="1"/>
      </c>
      <c r="BI281">
        <f ca="1"/>
      </c>
      <c r="BJ281">
        <f ca="1"/>
      </c>
      <c r="BK281">
        <f ca="1"/>
      </c>
      <c r="BL281">
        <f ca="1"/>
      </c>
      <c r="BM281">
        <f ca="1"/>
      </c>
      <c r="BN281">
        <f ca="1"/>
      </c>
      <c r="BO281">
        <f ca="1"/>
      </c>
      <c r="BP281">
        <f ca="1"/>
      </c>
      <c r="BQ281">
        <f ca="1"/>
      </c>
      <c r="BR281">
        <f ca="1"/>
      </c>
      <c r="BS281">
        <f ca="1"/>
      </c>
      <c r="BT281">
        <f ca="1"/>
      </c>
      <c r="BU281">
        <f ca="1"/>
      </c>
      <c r="BV281">
        <f ca="1"/>
      </c>
      <c r="BW281">
        <f ca="1"/>
      </c>
      <c r="BX281">
        <f ca="1"/>
      </c>
      <c r="BY281">
        <f ca="1"/>
      </c>
      <c r="BZ281">
        <f ca="1"/>
      </c>
      <c r="CA281">
        <f ca="1"/>
      </c>
      <c r="CB281">
        <f ca="1"/>
      </c>
      <c r="CC281">
        <f ca="1"/>
      </c>
      <c r="CD281">
        <f ca="1"/>
      </c>
      <c r="CE281">
        <f ca="1"/>
      </c>
      <c r="CF281">
        <f ca="1"/>
      </c>
      <c r="CG281">
        <f ca="1"/>
      </c>
      <c r="CH281">
        <f ca="1"/>
      </c>
      <c r="CI281">
        <f ca="1"/>
      </c>
      <c r="CK281">
        <f ca="1"/>
      </c>
      <c r="CL281">
        <f ca="1"/>
      </c>
      <c r="CM281">
        <f ca="1"/>
      </c>
      <c r="CN281">
        <f ca="1"/>
      </c>
      <c r="CO281">
        <f ca="1"/>
      </c>
      <c r="CP281">
        <f ca="1"/>
      </c>
      <c r="CQ281">
        <f ca="1"/>
      </c>
      <c r="CR281">
        <f ca="1"/>
      </c>
      <c r="CS281">
        <f ca="1"/>
      </c>
      <c r="CT281">
        <f ca="1"/>
      </c>
      <c r="CU281">
        <f ca="1"/>
      </c>
      <c r="CV281">
        <f ca="1"/>
      </c>
      <c r="CW281">
        <f ca="1"/>
      </c>
      <c r="CX281">
        <f ca="1"/>
      </c>
      <c r="CY281">
        <f ca="1"/>
      </c>
      <c r="CZ281">
        <f ca="1"/>
      </c>
      <c r="DA281">
        <f ca="1"/>
      </c>
      <c r="DB281">
        <f ca="1"/>
      </c>
      <c r="DC281">
        <f ca="1"/>
      </c>
      <c r="DD281">
        <f ca="1"/>
      </c>
      <c r="DE281">
        <f ca="1"/>
      </c>
      <c r="DF281">
        <f ca="1"/>
      </c>
      <c r="DG281">
        <f ca="1"/>
      </c>
      <c r="DH281">
        <f ca="1"/>
      </c>
      <c r="DI281">
        <f ca="1"/>
      </c>
      <c r="DJ281">
        <f ca="1"/>
      </c>
      <c r="DK281">
        <f ca="1"/>
      </c>
      <c r="DL281">
        <f ca="1"/>
      </c>
      <c r="DM281">
        <f ca="1"/>
      </c>
      <c r="DN281">
        <f ca="1"/>
      </c>
      <c r="DO281">
        <f ca="1"/>
      </c>
      <c r="DP281">
        <f ca="1"/>
      </c>
      <c r="DQ281">
        <f ca="1"/>
      </c>
      <c r="DR281">
        <f ca="1"/>
      </c>
      <c r="DS281">
        <f ca="1"/>
      </c>
      <c r="DT281">
        <f ca="1"/>
      </c>
      <c r="DU281">
        <f ca="1"/>
      </c>
      <c r="DV281">
        <f ca="1"/>
      </c>
      <c r="DW281">
        <f ca="1"/>
      </c>
      <c r="DX281">
        <f ca="1"/>
      </c>
      <c r="DY281">
        <f ca="1"/>
      </c>
      <c r="DZ281">
        <f ca="1"/>
      </c>
      <c r="EA281">
        <f ca="1"/>
      </c>
      <c r="EB281">
        <f ca="1"/>
      </c>
      <c r="EC281">
        <f ca="1"/>
      </c>
      <c r="ED281">
        <f ca="1"/>
      </c>
      <c r="EE281">
        <f ca="1"/>
      </c>
      <c r="EG281">
        <f ca="1"/>
      </c>
      <c r="EH281">
        <f ca="1"/>
      </c>
      <c r="EI281">
        <f ca="1"/>
      </c>
      <c r="EJ281">
        <f ca="1"/>
      </c>
      <c r="EK281">
        <f ca="1"/>
      </c>
      <c r="EL281">
        <f ca="1"/>
      </c>
      <c r="EM281">
        <f ca="1"/>
      </c>
      <c r="EN281">
        <f ca="1"/>
      </c>
      <c r="EO281">
        <f ca="1"/>
      </c>
      <c r="EP281">
        <f ca="1"/>
      </c>
      <c r="EQ281">
        <f ca="1"/>
      </c>
      <c r="ER281">
        <f ca="1"/>
      </c>
      <c r="ES281">
        <f ca="1"/>
      </c>
      <c r="ET281">
        <f ca="1"/>
      </c>
      <c r="EU281">
        <f ca="1"/>
      </c>
      <c r="EV281">
        <f ca="1"/>
      </c>
      <c r="EW281">
        <f ca="1"/>
      </c>
      <c r="EX281">
        <f ca="1"/>
      </c>
      <c r="EY281">
        <f ca="1"/>
      </c>
      <c r="EZ281">
        <f ca="1"/>
      </c>
      <c r="FA281">
        <f ca="1"/>
      </c>
      <c r="FB281">
        <f ca="1"/>
      </c>
      <c r="FC281">
        <f ca="1"/>
      </c>
      <c r="FD281">
        <f ca="1"/>
      </c>
      <c r="FE281">
        <f ca="1"/>
      </c>
      <c r="FF281">
        <f ca="1"/>
      </c>
      <c r="FG281">
        <f ca="1"/>
      </c>
      <c r="FH281">
        <f ca="1"/>
      </c>
      <c r="FI281">
        <f ca="1"/>
      </c>
      <c r="FJ281">
        <f ca="1"/>
      </c>
      <c r="FK281">
        <f ca="1"/>
      </c>
      <c r="FL281">
        <f ca="1"/>
      </c>
      <c r="FM281">
        <f ca="1"/>
      </c>
      <c r="FN281">
        <f ca="1"/>
      </c>
      <c r="FO281">
        <f ca="1"/>
      </c>
      <c r="FP281">
        <f ca="1"/>
      </c>
      <c r="FQ281">
        <f ca="1"/>
      </c>
      <c r="FR281">
        <f ca="1"/>
      </c>
      <c r="FS281">
        <f ca="1"/>
      </c>
      <c r="FT281">
        <f ca="1"/>
      </c>
      <c r="FU281">
        <f ca="1"/>
      </c>
      <c r="FV281">
        <f ca="1"/>
      </c>
      <c r="FW281">
        <f ca="1"/>
      </c>
      <c r="FX281">
        <f ca="1"/>
      </c>
      <c r="FY281">
        <f ca="1"/>
      </c>
      <c r="FZ281">
        <f ca="1"/>
      </c>
      <c r="GA281">
        <f ca="1"/>
      </c>
      <c r="GM281" s="7"/>
    </row>
    <row r="282" spans="41:195" x14ac:dyDescent="0.55000000000000004">
      <c r="AO282">
        <f ca="1"/>
      </c>
      <c r="AP282">
        <f ca="1"/>
      </c>
      <c r="AQ282">
        <f ca="1"/>
      </c>
      <c r="AR282">
        <f ca="1"/>
      </c>
      <c r="AS282">
        <f ca="1"/>
      </c>
      <c r="AT282">
        <f ca="1"/>
      </c>
      <c r="AU282">
        <f ca="1"/>
      </c>
      <c r="AV282">
        <f ca="1"/>
      </c>
      <c r="AW282">
        <f ca="1"/>
      </c>
      <c r="AX282">
        <f ca="1"/>
      </c>
      <c r="AY282">
        <f ca="1"/>
      </c>
      <c r="AZ282">
        <f ca="1"/>
      </c>
      <c r="BA282">
        <f ca="1"/>
      </c>
      <c r="BB282">
        <f ca="1"/>
      </c>
      <c r="BC282">
        <f ca="1"/>
      </c>
      <c r="BD282">
        <f ca="1"/>
      </c>
      <c r="BE282">
        <f ca="1"/>
      </c>
      <c r="BF282">
        <f ca="1"/>
      </c>
      <c r="BG282">
        <f ca="1"/>
      </c>
      <c r="BH282">
        <f ca="1"/>
      </c>
      <c r="BI282">
        <f ca="1"/>
      </c>
      <c r="BJ282">
        <f ca="1"/>
      </c>
      <c r="BK282">
        <f ca="1"/>
      </c>
      <c r="BL282">
        <f ca="1"/>
      </c>
      <c r="BM282">
        <f ca="1"/>
      </c>
      <c r="BN282">
        <f ca="1"/>
      </c>
      <c r="BO282">
        <f ca="1"/>
      </c>
      <c r="BP282">
        <f ca="1"/>
      </c>
      <c r="BQ282">
        <f ca="1"/>
      </c>
      <c r="BR282">
        <f ca="1"/>
      </c>
      <c r="BS282">
        <f ca="1"/>
      </c>
      <c r="BT282">
        <f ca="1"/>
      </c>
      <c r="BU282">
        <f ca="1"/>
      </c>
      <c r="BV282">
        <f ca="1"/>
      </c>
      <c r="BW282">
        <f ca="1"/>
      </c>
      <c r="BX282">
        <f ca="1"/>
      </c>
      <c r="BY282">
        <f ca="1"/>
      </c>
      <c r="BZ282">
        <f ca="1"/>
      </c>
      <c r="CA282">
        <f ca="1"/>
      </c>
      <c r="CB282">
        <f ca="1"/>
      </c>
      <c r="CC282">
        <f ca="1"/>
      </c>
      <c r="CD282">
        <f ca="1"/>
      </c>
      <c r="CE282">
        <f ca="1"/>
      </c>
      <c r="CF282">
        <f ca="1"/>
      </c>
      <c r="CG282">
        <f ca="1"/>
      </c>
      <c r="CH282">
        <f ca="1"/>
      </c>
      <c r="CI282">
        <f ca="1"/>
      </c>
      <c r="CK282">
        <f ca="1"/>
      </c>
      <c r="CL282">
        <f ca="1"/>
      </c>
      <c r="CM282">
        <f ca="1"/>
      </c>
      <c r="CN282">
        <f ca="1"/>
      </c>
      <c r="CO282">
        <f ca="1"/>
      </c>
      <c r="CP282">
        <f ca="1"/>
      </c>
      <c r="CQ282">
        <f ca="1"/>
      </c>
      <c r="CR282">
        <f ca="1"/>
      </c>
      <c r="CS282">
        <f ca="1"/>
      </c>
      <c r="CT282">
        <f ca="1"/>
      </c>
      <c r="CU282">
        <f ca="1"/>
      </c>
      <c r="CV282">
        <f ca="1"/>
      </c>
      <c r="CW282">
        <f ca="1"/>
      </c>
      <c r="CX282">
        <f ca="1"/>
      </c>
      <c r="CY282">
        <f ca="1"/>
      </c>
      <c r="CZ282">
        <f ca="1"/>
      </c>
      <c r="DA282">
        <f ca="1"/>
      </c>
      <c r="DB282">
        <f ca="1"/>
      </c>
      <c r="DC282">
        <f ca="1"/>
      </c>
      <c r="DD282">
        <f ca="1"/>
      </c>
      <c r="DE282">
        <f ca="1"/>
      </c>
      <c r="DF282">
        <f ca="1"/>
      </c>
      <c r="DG282">
        <f ca="1"/>
      </c>
      <c r="DH282">
        <f ca="1"/>
      </c>
      <c r="DI282">
        <f ca="1"/>
      </c>
      <c r="DJ282">
        <f ca="1"/>
      </c>
      <c r="DK282">
        <f ca="1"/>
      </c>
      <c r="DL282">
        <f ca="1"/>
      </c>
      <c r="DM282">
        <f ca="1"/>
      </c>
      <c r="DN282">
        <f ca="1"/>
      </c>
      <c r="DO282">
        <f ca="1"/>
      </c>
      <c r="DP282">
        <f ca="1"/>
      </c>
      <c r="DQ282">
        <f ca="1"/>
      </c>
      <c r="DR282">
        <f ca="1"/>
      </c>
      <c r="DS282">
        <f ca="1"/>
      </c>
      <c r="DT282">
        <f ca="1"/>
      </c>
      <c r="DU282">
        <f ca="1"/>
      </c>
      <c r="DV282">
        <f ca="1"/>
      </c>
      <c r="DW282">
        <f ca="1"/>
      </c>
      <c r="DX282">
        <f ca="1"/>
      </c>
      <c r="DY282">
        <f ca="1"/>
      </c>
      <c r="DZ282">
        <f ca="1"/>
      </c>
      <c r="EA282">
        <f ca="1"/>
      </c>
      <c r="EB282">
        <f ca="1"/>
      </c>
      <c r="EC282">
        <f ca="1"/>
      </c>
      <c r="ED282">
        <f ca="1"/>
      </c>
      <c r="EE282">
        <f ca="1"/>
      </c>
      <c r="EG282">
        <f ca="1"/>
      </c>
      <c r="EH282">
        <f ca="1"/>
      </c>
      <c r="EI282">
        <f ca="1"/>
      </c>
      <c r="EJ282">
        <f ca="1"/>
      </c>
      <c r="EK282">
        <f ca="1"/>
      </c>
      <c r="EL282">
        <f ca="1"/>
      </c>
      <c r="EM282">
        <f ca="1"/>
      </c>
      <c r="EN282">
        <f ca="1"/>
      </c>
      <c r="EO282">
        <f ca="1"/>
      </c>
      <c r="EP282">
        <f ca="1"/>
      </c>
      <c r="EQ282">
        <f ca="1"/>
      </c>
      <c r="ER282">
        <f ca="1"/>
      </c>
      <c r="ES282">
        <f ca="1"/>
      </c>
      <c r="ET282">
        <f ca="1"/>
      </c>
      <c r="EU282">
        <f ca="1"/>
      </c>
      <c r="EV282">
        <f ca="1"/>
      </c>
      <c r="EW282">
        <f ca="1"/>
      </c>
      <c r="EX282">
        <f ca="1"/>
      </c>
      <c r="EY282">
        <f ca="1"/>
      </c>
      <c r="EZ282">
        <f ca="1"/>
      </c>
      <c r="FA282">
        <f ca="1"/>
      </c>
      <c r="FB282">
        <f ca="1"/>
      </c>
      <c r="FC282">
        <f ca="1"/>
      </c>
      <c r="FD282">
        <f ca="1"/>
      </c>
      <c r="FE282">
        <f ca="1"/>
      </c>
      <c r="FF282">
        <f ca="1"/>
      </c>
      <c r="FG282">
        <f ca="1"/>
      </c>
      <c r="FH282">
        <f ca="1"/>
      </c>
      <c r="FI282">
        <f ca="1"/>
      </c>
      <c r="FJ282">
        <f ca="1"/>
      </c>
      <c r="FK282">
        <f ca="1"/>
      </c>
      <c r="FL282">
        <f ca="1"/>
      </c>
      <c r="FM282">
        <f ca="1"/>
      </c>
      <c r="FN282">
        <f ca="1"/>
      </c>
      <c r="FO282">
        <f ca="1"/>
      </c>
      <c r="FP282">
        <f ca="1"/>
      </c>
      <c r="FQ282">
        <f ca="1"/>
      </c>
      <c r="FR282">
        <f ca="1"/>
      </c>
      <c r="FS282">
        <f ca="1"/>
      </c>
      <c r="FT282">
        <f ca="1"/>
      </c>
      <c r="FU282">
        <f ca="1"/>
      </c>
      <c r="FV282">
        <f ca="1"/>
      </c>
      <c r="FW282">
        <f ca="1"/>
      </c>
      <c r="FX282">
        <f ca="1"/>
      </c>
      <c r="FY282">
        <f ca="1"/>
      </c>
      <c r="FZ282">
        <f ca="1"/>
      </c>
      <c r="GA282">
        <f ca="1"/>
      </c>
      <c r="GM282" s="7"/>
    </row>
    <row r="283" spans="41:195" x14ac:dyDescent="0.55000000000000004">
      <c r="AO283">
        <f ca="1"/>
      </c>
      <c r="AP283">
        <f ca="1"/>
      </c>
      <c r="AQ283">
        <f ca="1"/>
      </c>
      <c r="AR283">
        <f ca="1"/>
      </c>
      <c r="AS283">
        <f ca="1"/>
      </c>
      <c r="AT283">
        <f ca="1"/>
      </c>
      <c r="AU283">
        <f ca="1"/>
      </c>
      <c r="AV283">
        <f ca="1"/>
      </c>
      <c r="AW283">
        <f ca="1"/>
      </c>
      <c r="AX283">
        <f ca="1"/>
      </c>
      <c r="AY283">
        <f ca="1"/>
      </c>
      <c r="AZ283">
        <f ca="1"/>
      </c>
      <c r="BA283">
        <f ca="1"/>
      </c>
      <c r="BB283">
        <f ca="1"/>
      </c>
      <c r="BC283">
        <f ca="1"/>
      </c>
      <c r="BD283">
        <f ca="1"/>
      </c>
      <c r="BE283">
        <f ca="1"/>
      </c>
      <c r="BF283">
        <f ca="1"/>
      </c>
      <c r="BG283">
        <f ca="1"/>
      </c>
      <c r="BH283">
        <f ca="1"/>
      </c>
      <c r="BI283">
        <f ca="1"/>
      </c>
      <c r="BJ283">
        <f ca="1"/>
      </c>
      <c r="BK283">
        <f ca="1"/>
      </c>
      <c r="BL283">
        <f ca="1"/>
      </c>
      <c r="BM283">
        <f ca="1"/>
      </c>
      <c r="BN283">
        <f ca="1"/>
      </c>
      <c r="BO283">
        <f ca="1"/>
      </c>
      <c r="BP283">
        <f ca="1"/>
      </c>
      <c r="BQ283">
        <f ca="1"/>
      </c>
      <c r="BR283">
        <f ca="1"/>
      </c>
      <c r="BS283">
        <f ca="1"/>
      </c>
      <c r="BT283">
        <f ca="1"/>
      </c>
      <c r="BU283">
        <f ca="1"/>
      </c>
      <c r="BV283">
        <f ca="1"/>
      </c>
      <c r="BW283">
        <f ca="1"/>
      </c>
      <c r="BX283">
        <f ca="1"/>
      </c>
      <c r="BY283">
        <f ca="1"/>
      </c>
      <c r="BZ283">
        <f ca="1"/>
      </c>
      <c r="CA283">
        <f ca="1"/>
      </c>
      <c r="CB283">
        <f ca="1"/>
      </c>
      <c r="CC283">
        <f ca="1"/>
      </c>
      <c r="CD283">
        <f ca="1"/>
      </c>
      <c r="CE283">
        <f ca="1"/>
      </c>
      <c r="CF283">
        <f ca="1"/>
      </c>
      <c r="CG283">
        <f ca="1"/>
      </c>
      <c r="CH283">
        <f ca="1"/>
      </c>
      <c r="CI283">
        <f ca="1"/>
      </c>
      <c r="CK283">
        <f ca="1"/>
      </c>
      <c r="CL283">
        <f ca="1"/>
      </c>
      <c r="CM283">
        <f ca="1"/>
      </c>
      <c r="CN283">
        <f ca="1"/>
      </c>
      <c r="CO283">
        <f ca="1"/>
      </c>
      <c r="CP283">
        <f ca="1"/>
      </c>
      <c r="CQ283">
        <f ca="1"/>
      </c>
      <c r="CR283">
        <f ca="1"/>
      </c>
      <c r="CS283">
        <f ca="1"/>
      </c>
      <c r="CT283">
        <f ca="1"/>
      </c>
      <c r="CU283">
        <f ca="1"/>
      </c>
      <c r="CV283">
        <f ca="1"/>
      </c>
      <c r="CW283">
        <f ca="1"/>
      </c>
      <c r="CX283">
        <f ca="1"/>
      </c>
      <c r="CY283">
        <f ca="1"/>
      </c>
      <c r="CZ283">
        <f ca="1"/>
      </c>
      <c r="DA283">
        <f ca="1"/>
      </c>
      <c r="DB283">
        <f ca="1"/>
      </c>
      <c r="DC283">
        <f ca="1"/>
      </c>
      <c r="DD283">
        <f ca="1"/>
      </c>
      <c r="DE283">
        <f ca="1"/>
      </c>
      <c r="DF283">
        <f ca="1"/>
      </c>
      <c r="DG283">
        <f ca="1"/>
      </c>
      <c r="DH283">
        <f ca="1"/>
      </c>
      <c r="DI283">
        <f ca="1"/>
      </c>
      <c r="DJ283">
        <f ca="1"/>
      </c>
      <c r="DK283">
        <f ca="1"/>
      </c>
      <c r="DL283">
        <f ca="1"/>
      </c>
      <c r="DM283">
        <f ca="1"/>
      </c>
      <c r="DN283">
        <f ca="1"/>
      </c>
      <c r="DO283">
        <f ca="1"/>
      </c>
      <c r="DP283">
        <f ca="1"/>
      </c>
      <c r="DQ283">
        <f ca="1"/>
      </c>
      <c r="DR283">
        <f ca="1"/>
      </c>
      <c r="DS283">
        <f ca="1"/>
      </c>
      <c r="DT283">
        <f ca="1"/>
      </c>
      <c r="DU283">
        <f ca="1"/>
      </c>
      <c r="DV283">
        <f ca="1"/>
      </c>
      <c r="DW283">
        <f ca="1"/>
      </c>
      <c r="DX283">
        <f ca="1"/>
      </c>
      <c r="DY283">
        <f ca="1"/>
      </c>
      <c r="DZ283">
        <f ca="1"/>
      </c>
      <c r="EA283">
        <f ca="1"/>
      </c>
      <c r="EB283">
        <f ca="1"/>
      </c>
      <c r="EC283">
        <f ca="1"/>
      </c>
      <c r="ED283">
        <f ca="1"/>
      </c>
      <c r="EE283">
        <f ca="1"/>
      </c>
      <c r="EG283">
        <f ca="1"/>
      </c>
      <c r="EH283">
        <f ca="1"/>
      </c>
      <c r="EI283">
        <f ca="1"/>
      </c>
      <c r="EJ283">
        <f ca="1"/>
      </c>
      <c r="EK283">
        <f ca="1"/>
      </c>
      <c r="EL283">
        <f ca="1"/>
      </c>
      <c r="EM283">
        <f ca="1"/>
      </c>
      <c r="EN283">
        <f ca="1"/>
      </c>
      <c r="EO283">
        <f ca="1"/>
      </c>
      <c r="EP283">
        <f ca="1"/>
      </c>
      <c r="EQ283">
        <f ca="1"/>
      </c>
      <c r="ER283">
        <f ca="1"/>
      </c>
      <c r="ES283">
        <f ca="1"/>
      </c>
      <c r="ET283">
        <f ca="1"/>
      </c>
      <c r="EU283">
        <f ca="1"/>
      </c>
      <c r="EV283">
        <f ca="1"/>
      </c>
      <c r="EW283">
        <f ca="1"/>
      </c>
      <c r="EX283">
        <f ca="1"/>
      </c>
      <c r="EY283">
        <f ca="1"/>
      </c>
      <c r="EZ283">
        <f ca="1"/>
      </c>
      <c r="FA283">
        <f ca="1"/>
      </c>
      <c r="FB283">
        <f ca="1"/>
      </c>
      <c r="FC283">
        <f ca="1"/>
      </c>
      <c r="FD283">
        <f ca="1"/>
      </c>
      <c r="FE283">
        <f ca="1"/>
      </c>
      <c r="FF283">
        <f ca="1"/>
      </c>
      <c r="FG283">
        <f ca="1"/>
      </c>
      <c r="FH283">
        <f ca="1"/>
      </c>
      <c r="FI283">
        <f ca="1"/>
      </c>
      <c r="FJ283">
        <f ca="1"/>
      </c>
      <c r="FK283">
        <f ca="1"/>
      </c>
      <c r="FL283">
        <f ca="1"/>
      </c>
      <c r="FM283">
        <f ca="1"/>
      </c>
      <c r="FN283">
        <f ca="1"/>
      </c>
      <c r="FO283">
        <f ca="1"/>
      </c>
      <c r="FP283">
        <f ca="1"/>
      </c>
      <c r="FQ283">
        <f ca="1"/>
      </c>
      <c r="FR283">
        <f ca="1"/>
      </c>
      <c r="FS283">
        <f ca="1"/>
      </c>
      <c r="FT283">
        <f ca="1"/>
      </c>
      <c r="FU283">
        <f ca="1"/>
      </c>
      <c r="FV283">
        <f ca="1"/>
      </c>
      <c r="FW283">
        <f ca="1"/>
      </c>
      <c r="FX283">
        <f ca="1"/>
      </c>
      <c r="FY283">
        <f ca="1"/>
      </c>
      <c r="FZ283">
        <f ca="1"/>
      </c>
      <c r="GA283">
        <f ca="1"/>
      </c>
      <c r="GM283" s="7"/>
    </row>
    <row r="284" spans="41:195" x14ac:dyDescent="0.55000000000000004">
      <c r="AO284">
        <f ca="1"/>
      </c>
      <c r="AP284">
        <f ca="1"/>
      </c>
      <c r="AQ284">
        <f ca="1"/>
      </c>
      <c r="AR284">
        <f ca="1"/>
      </c>
      <c r="AS284">
        <f ca="1"/>
      </c>
      <c r="AT284">
        <f ca="1"/>
      </c>
      <c r="AU284">
        <f ca="1"/>
      </c>
      <c r="AV284">
        <f ca="1"/>
      </c>
      <c r="AW284">
        <f ca="1"/>
      </c>
      <c r="AX284">
        <f ca="1"/>
      </c>
      <c r="AY284">
        <f ca="1"/>
      </c>
      <c r="AZ284">
        <f ca="1"/>
      </c>
      <c r="BA284">
        <f ca="1"/>
      </c>
      <c r="BB284">
        <f ca="1"/>
      </c>
      <c r="BC284">
        <f ca="1"/>
      </c>
      <c r="BD284">
        <f ca="1"/>
      </c>
      <c r="BE284">
        <f ca="1"/>
      </c>
      <c r="BF284">
        <f ca="1"/>
      </c>
      <c r="BG284">
        <f ca="1"/>
      </c>
      <c r="BH284">
        <f ca="1"/>
      </c>
      <c r="BI284">
        <f ca="1"/>
      </c>
      <c r="BJ284">
        <f ca="1"/>
      </c>
      <c r="BK284">
        <f ca="1"/>
      </c>
      <c r="BL284">
        <f ca="1"/>
      </c>
      <c r="BM284">
        <f ca="1"/>
      </c>
      <c r="BN284">
        <f ca="1"/>
      </c>
      <c r="BO284">
        <f ca="1"/>
      </c>
      <c r="BP284">
        <f ca="1"/>
      </c>
      <c r="BQ284">
        <f ca="1"/>
      </c>
      <c r="BR284">
        <f ca="1"/>
      </c>
      <c r="BS284">
        <f ca="1"/>
      </c>
      <c r="BT284">
        <f ca="1"/>
      </c>
      <c r="BU284">
        <f ca="1"/>
      </c>
      <c r="BV284">
        <f ca="1"/>
      </c>
      <c r="BW284">
        <f ca="1"/>
      </c>
      <c r="BX284">
        <f ca="1"/>
      </c>
      <c r="BY284">
        <f ca="1"/>
      </c>
      <c r="BZ284">
        <f ca="1"/>
      </c>
      <c r="CA284">
        <f ca="1"/>
      </c>
      <c r="CB284">
        <f ca="1"/>
      </c>
      <c r="CC284">
        <f ca="1"/>
      </c>
      <c r="CD284">
        <f ca="1"/>
      </c>
      <c r="CE284">
        <f ca="1"/>
      </c>
      <c r="CF284">
        <f ca="1"/>
      </c>
      <c r="CG284">
        <f ca="1"/>
      </c>
      <c r="CH284">
        <f ca="1"/>
      </c>
      <c r="CI284">
        <f ca="1"/>
      </c>
      <c r="CK284">
        <f ca="1"/>
      </c>
      <c r="CL284">
        <f ca="1"/>
      </c>
      <c r="CM284">
        <f ca="1"/>
      </c>
      <c r="CN284">
        <f ca="1"/>
      </c>
      <c r="CO284">
        <f ca="1"/>
      </c>
      <c r="CP284">
        <f ca="1"/>
      </c>
      <c r="CQ284">
        <f ca="1"/>
      </c>
      <c r="CR284">
        <f ca="1"/>
      </c>
      <c r="CS284">
        <f ca="1"/>
      </c>
      <c r="CT284">
        <f ca="1"/>
      </c>
      <c r="CU284">
        <f ca="1"/>
      </c>
      <c r="CV284">
        <f ca="1"/>
      </c>
      <c r="CW284">
        <f ca="1"/>
      </c>
      <c r="CX284">
        <f ca="1"/>
      </c>
      <c r="CY284">
        <f ca="1"/>
      </c>
      <c r="CZ284">
        <f ca="1"/>
      </c>
      <c r="DA284">
        <f ca="1"/>
      </c>
      <c r="DB284">
        <f ca="1"/>
      </c>
      <c r="DC284">
        <f ca="1"/>
      </c>
      <c r="DD284">
        <f ca="1"/>
      </c>
      <c r="DE284">
        <f ca="1"/>
      </c>
      <c r="DF284">
        <f ca="1"/>
      </c>
      <c r="DG284">
        <f ca="1"/>
      </c>
      <c r="DH284">
        <f ca="1"/>
      </c>
      <c r="DI284">
        <f ca="1"/>
      </c>
      <c r="DJ284">
        <f ca="1"/>
      </c>
      <c r="DK284">
        <f ca="1"/>
      </c>
      <c r="DL284">
        <f ca="1"/>
      </c>
      <c r="DM284">
        <f ca="1"/>
      </c>
      <c r="DN284">
        <f ca="1"/>
      </c>
      <c r="DO284">
        <f ca="1"/>
      </c>
      <c r="DP284">
        <f ca="1"/>
      </c>
      <c r="DQ284">
        <f ca="1"/>
      </c>
      <c r="DR284">
        <f ca="1"/>
      </c>
      <c r="DS284">
        <f ca="1"/>
      </c>
      <c r="DT284">
        <f ca="1"/>
      </c>
      <c r="DU284">
        <f ca="1"/>
      </c>
      <c r="DV284">
        <f ca="1"/>
      </c>
      <c r="DW284">
        <f ca="1"/>
      </c>
      <c r="DX284">
        <f ca="1"/>
      </c>
      <c r="DY284">
        <f ca="1"/>
      </c>
      <c r="DZ284">
        <f ca="1"/>
      </c>
      <c r="EA284">
        <f ca="1"/>
      </c>
      <c r="EB284">
        <f ca="1"/>
      </c>
      <c r="EC284">
        <f ca="1"/>
      </c>
      <c r="ED284">
        <f ca="1"/>
      </c>
      <c r="EE284">
        <f ca="1"/>
      </c>
      <c r="EG284">
        <f ca="1"/>
      </c>
      <c r="EH284">
        <f ca="1"/>
      </c>
      <c r="EI284">
        <f ca="1"/>
      </c>
      <c r="EJ284">
        <f ca="1"/>
      </c>
      <c r="EK284">
        <f ca="1"/>
      </c>
      <c r="EL284">
        <f ca="1"/>
      </c>
      <c r="EM284">
        <f ca="1"/>
      </c>
      <c r="EN284">
        <f ca="1"/>
      </c>
      <c r="EO284">
        <f ca="1"/>
      </c>
      <c r="EP284">
        <f ca="1"/>
      </c>
      <c r="EQ284">
        <f ca="1"/>
      </c>
      <c r="ER284">
        <f ca="1"/>
      </c>
      <c r="ES284">
        <f ca="1"/>
      </c>
      <c r="ET284">
        <f ca="1"/>
      </c>
      <c r="EU284">
        <f ca="1"/>
      </c>
      <c r="EV284">
        <f ca="1"/>
      </c>
      <c r="EW284">
        <f ca="1"/>
      </c>
      <c r="EX284">
        <f ca="1"/>
      </c>
      <c r="EY284">
        <f ca="1"/>
      </c>
      <c r="EZ284">
        <f ca="1"/>
      </c>
      <c r="FA284">
        <f ca="1"/>
      </c>
      <c r="FB284">
        <f ca="1"/>
      </c>
      <c r="FC284">
        <f ca="1"/>
      </c>
      <c r="FD284">
        <f ca="1"/>
      </c>
      <c r="FE284">
        <f ca="1"/>
      </c>
      <c r="FF284">
        <f ca="1"/>
      </c>
      <c r="FG284">
        <f ca="1"/>
      </c>
      <c r="FH284">
        <f ca="1"/>
      </c>
      <c r="FI284">
        <f ca="1"/>
      </c>
      <c r="FJ284">
        <f ca="1"/>
      </c>
      <c r="FK284">
        <f ca="1"/>
      </c>
      <c r="FL284">
        <f ca="1"/>
      </c>
      <c r="FM284">
        <f ca="1"/>
      </c>
      <c r="FN284">
        <f ca="1"/>
      </c>
      <c r="FO284">
        <f ca="1"/>
      </c>
      <c r="FP284">
        <f ca="1"/>
      </c>
      <c r="FQ284">
        <f ca="1"/>
      </c>
      <c r="FR284">
        <f ca="1"/>
      </c>
      <c r="FS284">
        <f ca="1"/>
      </c>
      <c r="FT284">
        <f ca="1"/>
      </c>
      <c r="FU284">
        <f ca="1"/>
      </c>
      <c r="FV284">
        <f ca="1"/>
      </c>
      <c r="FW284">
        <f ca="1"/>
      </c>
      <c r="FX284">
        <f ca="1"/>
      </c>
      <c r="FY284">
        <f ca="1"/>
      </c>
      <c r="FZ284">
        <f ca="1"/>
      </c>
      <c r="GA284">
        <f ca="1"/>
      </c>
      <c r="GM284" s="7"/>
    </row>
    <row r="285" spans="41:195" x14ac:dyDescent="0.55000000000000004">
      <c r="AO285">
        <f ca="1"/>
      </c>
      <c r="AP285">
        <f ca="1"/>
      </c>
      <c r="AQ285">
        <f ca="1"/>
      </c>
      <c r="AR285">
        <f ca="1"/>
      </c>
      <c r="AS285">
        <f ca="1"/>
      </c>
      <c r="AT285">
        <f ca="1"/>
      </c>
      <c r="AU285">
        <f ca="1"/>
      </c>
      <c r="AV285">
        <f ca="1"/>
      </c>
      <c r="AW285">
        <f ca="1"/>
      </c>
      <c r="AX285">
        <f ca="1"/>
      </c>
      <c r="AY285">
        <f ca="1"/>
      </c>
      <c r="AZ285">
        <f ca="1"/>
      </c>
      <c r="BA285">
        <f ca="1"/>
      </c>
      <c r="BB285">
        <f ca="1"/>
      </c>
      <c r="BC285">
        <f ca="1"/>
      </c>
      <c r="BD285">
        <f ca="1"/>
      </c>
      <c r="BE285">
        <f ca="1"/>
      </c>
      <c r="BF285">
        <f ca="1"/>
      </c>
      <c r="BG285">
        <f ca="1"/>
      </c>
      <c r="BH285">
        <f ca="1"/>
      </c>
      <c r="BI285">
        <f ca="1"/>
      </c>
      <c r="BJ285">
        <f ca="1"/>
      </c>
      <c r="BK285">
        <f ca="1"/>
      </c>
      <c r="BL285">
        <f ca="1"/>
      </c>
      <c r="BM285">
        <f ca="1"/>
      </c>
      <c r="BN285">
        <f ca="1"/>
      </c>
      <c r="BO285">
        <f ca="1"/>
      </c>
      <c r="BP285">
        <f ca="1"/>
      </c>
      <c r="BQ285">
        <f ca="1"/>
      </c>
      <c r="BR285">
        <f ca="1"/>
      </c>
      <c r="BS285">
        <f ca="1"/>
      </c>
      <c r="BT285">
        <f ca="1"/>
      </c>
      <c r="BU285">
        <f ca="1"/>
      </c>
      <c r="BV285">
        <f ca="1"/>
      </c>
      <c r="BW285">
        <f ca="1"/>
      </c>
      <c r="BX285">
        <f ca="1"/>
      </c>
      <c r="BY285">
        <f ca="1"/>
      </c>
      <c r="BZ285">
        <f ca="1"/>
      </c>
      <c r="CA285">
        <f ca="1"/>
      </c>
      <c r="CB285">
        <f ca="1"/>
      </c>
      <c r="CC285">
        <f ca="1"/>
      </c>
      <c r="CD285">
        <f ca="1"/>
      </c>
      <c r="CE285">
        <f ca="1"/>
      </c>
      <c r="CF285">
        <f ca="1"/>
      </c>
      <c r="CG285">
        <f ca="1"/>
      </c>
      <c r="CH285">
        <f ca="1"/>
      </c>
      <c r="CI285">
        <f ca="1"/>
      </c>
      <c r="CK285">
        <f ca="1"/>
      </c>
      <c r="CL285">
        <f ca="1"/>
      </c>
      <c r="CM285">
        <f ca="1"/>
      </c>
      <c r="CN285">
        <f ca="1"/>
      </c>
      <c r="CO285">
        <f ca="1"/>
      </c>
      <c r="CP285">
        <f ca="1"/>
      </c>
      <c r="CQ285">
        <f ca="1"/>
      </c>
      <c r="CR285">
        <f ca="1"/>
      </c>
      <c r="CS285">
        <f ca="1"/>
      </c>
      <c r="CT285">
        <f ca="1"/>
      </c>
      <c r="CU285">
        <f ca="1"/>
      </c>
      <c r="CV285">
        <f ca="1"/>
      </c>
      <c r="CW285">
        <f ca="1"/>
      </c>
      <c r="CX285">
        <f ca="1"/>
      </c>
      <c r="CY285">
        <f ca="1"/>
      </c>
      <c r="CZ285">
        <f ca="1"/>
      </c>
      <c r="DA285">
        <f ca="1"/>
      </c>
      <c r="DB285">
        <f ca="1"/>
      </c>
      <c r="DC285">
        <f ca="1"/>
      </c>
      <c r="DD285">
        <f ca="1"/>
      </c>
      <c r="DE285">
        <f ca="1"/>
      </c>
      <c r="DF285">
        <f ca="1"/>
      </c>
      <c r="DG285">
        <f ca="1"/>
      </c>
      <c r="DH285">
        <f ca="1"/>
      </c>
      <c r="DI285">
        <f ca="1"/>
      </c>
      <c r="DJ285">
        <f ca="1"/>
      </c>
      <c r="DK285">
        <f ca="1"/>
      </c>
      <c r="DL285">
        <f ca="1"/>
      </c>
      <c r="DM285">
        <f ca="1"/>
      </c>
      <c r="DN285">
        <f ca="1"/>
      </c>
      <c r="DO285">
        <f ca="1"/>
      </c>
      <c r="DP285">
        <f ca="1"/>
      </c>
      <c r="DQ285">
        <f ca="1"/>
      </c>
      <c r="DR285">
        <f ca="1"/>
      </c>
      <c r="DS285">
        <f ca="1"/>
      </c>
      <c r="DT285">
        <f ca="1"/>
      </c>
      <c r="DU285">
        <f ca="1"/>
      </c>
      <c r="DV285">
        <f ca="1"/>
      </c>
      <c r="DW285">
        <f ca="1"/>
      </c>
      <c r="DX285">
        <f ca="1"/>
      </c>
      <c r="DY285">
        <f ca="1"/>
      </c>
      <c r="DZ285">
        <f ca="1"/>
      </c>
      <c r="EA285">
        <f ca="1"/>
      </c>
      <c r="EB285">
        <f ca="1"/>
      </c>
      <c r="EC285">
        <f ca="1"/>
      </c>
      <c r="ED285">
        <f ca="1"/>
      </c>
      <c r="EE285">
        <f ca="1"/>
      </c>
      <c r="EG285">
        <f ca="1"/>
      </c>
      <c r="EH285">
        <f ca="1"/>
      </c>
      <c r="EI285">
        <f ca="1"/>
      </c>
      <c r="EJ285">
        <f ca="1"/>
      </c>
      <c r="EK285">
        <f ca="1"/>
      </c>
      <c r="EL285">
        <f ca="1"/>
      </c>
      <c r="EM285">
        <f ca="1"/>
      </c>
      <c r="EN285">
        <f ca="1"/>
      </c>
      <c r="EO285">
        <f ca="1"/>
      </c>
      <c r="EP285">
        <f ca="1"/>
      </c>
      <c r="EQ285">
        <f ca="1"/>
      </c>
      <c r="ER285">
        <f ca="1"/>
      </c>
      <c r="ES285">
        <f ca="1"/>
      </c>
      <c r="ET285">
        <f ca="1"/>
      </c>
      <c r="EU285">
        <f ca="1"/>
      </c>
      <c r="EV285">
        <f ca="1"/>
      </c>
      <c r="EW285">
        <f ca="1"/>
      </c>
      <c r="EX285">
        <f ca="1"/>
      </c>
      <c r="EY285">
        <f ca="1"/>
      </c>
      <c r="EZ285">
        <f ca="1"/>
      </c>
      <c r="FA285">
        <f ca="1"/>
      </c>
      <c r="FB285">
        <f ca="1"/>
      </c>
      <c r="FC285">
        <f ca="1"/>
      </c>
      <c r="FD285">
        <f ca="1"/>
      </c>
      <c r="FE285">
        <f ca="1"/>
      </c>
      <c r="FF285">
        <f ca="1"/>
      </c>
      <c r="FG285">
        <f ca="1"/>
      </c>
      <c r="FH285">
        <f ca="1"/>
      </c>
      <c r="FI285">
        <f ca="1"/>
      </c>
      <c r="FJ285">
        <f ca="1"/>
      </c>
      <c r="FK285">
        <f ca="1"/>
      </c>
      <c r="FL285">
        <f ca="1"/>
      </c>
      <c r="FM285">
        <f ca="1"/>
      </c>
      <c r="FN285">
        <f ca="1"/>
      </c>
      <c r="FO285">
        <f ca="1"/>
      </c>
      <c r="FP285">
        <f ca="1"/>
      </c>
      <c r="FQ285">
        <f ca="1"/>
      </c>
      <c r="FR285">
        <f ca="1"/>
      </c>
      <c r="FS285">
        <f ca="1"/>
      </c>
      <c r="FT285">
        <f ca="1"/>
      </c>
      <c r="FU285">
        <f ca="1"/>
      </c>
      <c r="FV285">
        <f ca="1"/>
      </c>
      <c r="FW285">
        <f ca="1"/>
      </c>
      <c r="FX285">
        <f ca="1"/>
      </c>
      <c r="FY285">
        <f ca="1"/>
      </c>
      <c r="FZ285">
        <f ca="1"/>
      </c>
      <c r="GA285">
        <f ca="1"/>
      </c>
      <c r="GM285" s="7"/>
    </row>
    <row r="286" spans="41:195" x14ac:dyDescent="0.55000000000000004">
      <c r="AO286">
        <f ca="1"/>
      </c>
      <c r="AP286">
        <f ca="1"/>
      </c>
      <c r="AQ286">
        <f ca="1"/>
      </c>
      <c r="AR286">
        <f ca="1"/>
      </c>
      <c r="AS286">
        <f ca="1"/>
      </c>
      <c r="AT286">
        <f ca="1"/>
      </c>
      <c r="AU286">
        <f ca="1"/>
      </c>
      <c r="AV286">
        <f ca="1"/>
      </c>
      <c r="AW286">
        <f ca="1"/>
      </c>
      <c r="AX286">
        <f ca="1"/>
      </c>
      <c r="AY286">
        <f ca="1"/>
      </c>
      <c r="AZ286">
        <f ca="1"/>
      </c>
      <c r="BA286">
        <f ca="1"/>
      </c>
      <c r="BB286">
        <f ca="1"/>
      </c>
      <c r="BC286">
        <f ca="1"/>
      </c>
      <c r="BD286">
        <f ca="1"/>
      </c>
      <c r="BE286">
        <f ca="1"/>
      </c>
      <c r="BF286">
        <f ca="1"/>
      </c>
      <c r="BG286">
        <f ca="1"/>
      </c>
      <c r="BH286">
        <f ca="1"/>
      </c>
      <c r="BI286">
        <f ca="1"/>
      </c>
      <c r="BJ286">
        <f ca="1"/>
      </c>
      <c r="BK286">
        <f ca="1"/>
      </c>
      <c r="BL286">
        <f ca="1"/>
      </c>
      <c r="BM286">
        <f ca="1"/>
      </c>
      <c r="BN286">
        <f ca="1"/>
      </c>
      <c r="BO286">
        <f ca="1"/>
      </c>
      <c r="BP286">
        <f ca="1"/>
      </c>
      <c r="BQ286">
        <f ca="1"/>
      </c>
      <c r="BR286">
        <f ca="1"/>
      </c>
      <c r="BS286">
        <f ca="1"/>
      </c>
      <c r="BT286">
        <f ca="1"/>
      </c>
      <c r="BU286">
        <f ca="1"/>
      </c>
      <c r="BV286">
        <f ca="1"/>
      </c>
      <c r="BW286">
        <f ca="1"/>
      </c>
      <c r="BX286">
        <f ca="1"/>
      </c>
      <c r="BY286">
        <f ca="1"/>
      </c>
      <c r="BZ286">
        <f ca="1"/>
      </c>
      <c r="CA286">
        <f ca="1"/>
      </c>
      <c r="CB286">
        <f ca="1"/>
      </c>
      <c r="CC286">
        <f ca="1"/>
      </c>
      <c r="CD286">
        <f ca="1"/>
      </c>
      <c r="CE286">
        <f ca="1"/>
      </c>
      <c r="CF286">
        <f ca="1"/>
      </c>
      <c r="CG286">
        <f ca="1"/>
      </c>
      <c r="CH286">
        <f ca="1"/>
      </c>
      <c r="CI286">
        <f ca="1"/>
      </c>
      <c r="CK286">
        <f ca="1"/>
      </c>
      <c r="CL286">
        <f ca="1"/>
      </c>
      <c r="CM286">
        <f ca="1"/>
      </c>
      <c r="CN286">
        <f ca="1"/>
      </c>
      <c r="CO286">
        <f ca="1"/>
      </c>
      <c r="CP286">
        <f ca="1"/>
      </c>
      <c r="CQ286">
        <f ca="1"/>
      </c>
      <c r="CR286">
        <f ca="1"/>
      </c>
      <c r="CS286">
        <f ca="1"/>
      </c>
      <c r="CT286">
        <f ca="1"/>
      </c>
      <c r="CU286">
        <f ca="1"/>
      </c>
      <c r="CV286">
        <f ca="1"/>
      </c>
      <c r="CW286">
        <f ca="1"/>
      </c>
      <c r="CX286">
        <f ca="1"/>
      </c>
      <c r="CY286">
        <f ca="1"/>
      </c>
      <c r="CZ286">
        <f ca="1"/>
      </c>
      <c r="DA286">
        <f ca="1"/>
      </c>
      <c r="DB286">
        <f ca="1"/>
      </c>
      <c r="DC286">
        <f ca="1"/>
      </c>
      <c r="DD286">
        <f ca="1"/>
      </c>
      <c r="DE286">
        <f ca="1"/>
      </c>
      <c r="DF286">
        <f ca="1"/>
      </c>
      <c r="DG286">
        <f ca="1"/>
      </c>
      <c r="DH286">
        <f ca="1"/>
      </c>
      <c r="DI286">
        <f ca="1"/>
      </c>
      <c r="DJ286">
        <f ca="1"/>
      </c>
      <c r="DK286">
        <f ca="1"/>
      </c>
      <c r="DL286">
        <f ca="1"/>
      </c>
      <c r="DM286">
        <f ca="1"/>
      </c>
      <c r="DN286">
        <f ca="1"/>
      </c>
      <c r="DO286">
        <f ca="1"/>
      </c>
      <c r="DP286">
        <f ca="1"/>
      </c>
      <c r="DQ286">
        <f ca="1"/>
      </c>
      <c r="DR286">
        <f ca="1"/>
      </c>
      <c r="DS286">
        <f ca="1"/>
      </c>
      <c r="DT286">
        <f ca="1"/>
      </c>
      <c r="DU286">
        <f ca="1"/>
      </c>
      <c r="DV286">
        <f ca="1"/>
      </c>
      <c r="DW286">
        <f ca="1"/>
      </c>
      <c r="DX286">
        <f ca="1"/>
      </c>
      <c r="DY286">
        <f ca="1"/>
      </c>
      <c r="DZ286">
        <f ca="1"/>
      </c>
      <c r="EA286">
        <f ca="1"/>
      </c>
      <c r="EB286">
        <f ca="1"/>
      </c>
      <c r="EC286">
        <f ca="1"/>
      </c>
      <c r="ED286">
        <f ca="1"/>
      </c>
      <c r="EE286">
        <f ca="1"/>
      </c>
      <c r="EG286">
        <f ca="1"/>
      </c>
      <c r="EH286">
        <f ca="1"/>
      </c>
      <c r="EI286">
        <f ca="1"/>
      </c>
      <c r="EJ286">
        <f ca="1"/>
      </c>
      <c r="EK286">
        <f ca="1"/>
      </c>
      <c r="EL286">
        <f ca="1"/>
      </c>
      <c r="EM286">
        <f ca="1"/>
      </c>
      <c r="EN286">
        <f ca="1"/>
      </c>
      <c r="EO286">
        <f ca="1"/>
      </c>
      <c r="EP286">
        <f ca="1"/>
      </c>
      <c r="EQ286">
        <f ca="1"/>
      </c>
      <c r="ER286">
        <f ca="1"/>
      </c>
      <c r="ES286">
        <f ca="1"/>
      </c>
      <c r="ET286">
        <f ca="1"/>
      </c>
      <c r="EU286">
        <f ca="1"/>
      </c>
      <c r="EV286">
        <f ca="1"/>
      </c>
      <c r="EW286">
        <f ca="1"/>
      </c>
      <c r="EX286">
        <f ca="1"/>
      </c>
      <c r="EY286">
        <f ca="1"/>
      </c>
      <c r="EZ286">
        <f ca="1"/>
      </c>
      <c r="FA286">
        <f ca="1"/>
      </c>
      <c r="FB286">
        <f ca="1"/>
      </c>
      <c r="FC286">
        <f ca="1"/>
      </c>
      <c r="FD286">
        <f ca="1"/>
      </c>
      <c r="FE286">
        <f ca="1"/>
      </c>
      <c r="FF286">
        <f ca="1"/>
      </c>
      <c r="FG286">
        <f ca="1"/>
      </c>
      <c r="FH286">
        <f ca="1"/>
      </c>
      <c r="FI286">
        <f ca="1"/>
      </c>
      <c r="FJ286">
        <f ca="1"/>
      </c>
      <c r="FK286">
        <f ca="1"/>
      </c>
      <c r="FL286">
        <f ca="1"/>
      </c>
      <c r="FM286">
        <f ca="1"/>
      </c>
      <c r="FN286">
        <f ca="1"/>
      </c>
      <c r="FO286">
        <f ca="1"/>
      </c>
      <c r="FP286">
        <f ca="1"/>
      </c>
      <c r="FQ286">
        <f ca="1"/>
      </c>
      <c r="FR286">
        <f ca="1"/>
      </c>
      <c r="FS286">
        <f ca="1"/>
      </c>
      <c r="FT286">
        <f ca="1"/>
      </c>
      <c r="FU286">
        <f ca="1"/>
      </c>
      <c r="FV286">
        <f ca="1"/>
      </c>
      <c r="FW286">
        <f ca="1"/>
      </c>
      <c r="FX286">
        <f ca="1"/>
      </c>
      <c r="FY286">
        <f ca="1"/>
      </c>
      <c r="FZ286">
        <f ca="1"/>
      </c>
      <c r="GA286">
        <f ca="1"/>
      </c>
      <c r="GM286" s="7"/>
    </row>
    <row r="287" spans="41:195" x14ac:dyDescent="0.55000000000000004">
      <c r="AO287">
        <f ca="1"/>
      </c>
      <c r="AP287">
        <f ca="1"/>
      </c>
      <c r="AQ287">
        <f ca="1"/>
      </c>
      <c r="AR287">
        <f ca="1"/>
      </c>
      <c r="AS287">
        <f ca="1"/>
      </c>
      <c r="AT287">
        <f ca="1"/>
      </c>
      <c r="AU287">
        <f ca="1"/>
      </c>
      <c r="AV287">
        <f ca="1"/>
      </c>
      <c r="AW287">
        <f ca="1"/>
      </c>
      <c r="AX287">
        <f ca="1"/>
      </c>
      <c r="AY287">
        <f ca="1"/>
      </c>
      <c r="AZ287">
        <f ca="1"/>
      </c>
      <c r="BA287">
        <f ca="1"/>
      </c>
      <c r="BB287">
        <f ca="1"/>
      </c>
      <c r="BC287">
        <f ca="1"/>
      </c>
      <c r="BD287">
        <f ca="1"/>
      </c>
      <c r="BE287">
        <f ca="1"/>
      </c>
      <c r="BF287">
        <f ca="1"/>
      </c>
      <c r="BG287">
        <f ca="1"/>
      </c>
      <c r="BH287">
        <f ca="1"/>
      </c>
      <c r="BI287">
        <f ca="1"/>
      </c>
      <c r="BJ287">
        <f ca="1"/>
      </c>
      <c r="BK287">
        <f ca="1"/>
      </c>
      <c r="BL287">
        <f ca="1"/>
      </c>
      <c r="BM287">
        <f ca="1"/>
      </c>
      <c r="BN287">
        <f ca="1"/>
      </c>
      <c r="BO287">
        <f ca="1"/>
      </c>
      <c r="BP287">
        <f ca="1"/>
      </c>
      <c r="BQ287">
        <f ca="1"/>
      </c>
      <c r="BR287">
        <f ca="1"/>
      </c>
      <c r="BS287">
        <f ca="1"/>
      </c>
      <c r="BT287">
        <f ca="1"/>
      </c>
      <c r="BU287">
        <f ca="1"/>
      </c>
      <c r="BV287">
        <f ca="1"/>
      </c>
      <c r="BW287">
        <f ca="1"/>
      </c>
      <c r="BX287">
        <f ca="1"/>
      </c>
      <c r="BY287">
        <f ca="1"/>
      </c>
      <c r="BZ287">
        <f ca="1"/>
      </c>
      <c r="CA287">
        <f ca="1"/>
      </c>
      <c r="CB287">
        <f ca="1"/>
      </c>
      <c r="CC287">
        <f ca="1"/>
      </c>
      <c r="CD287">
        <f ca="1"/>
      </c>
      <c r="CE287">
        <f ca="1"/>
      </c>
      <c r="CF287">
        <f ca="1"/>
      </c>
      <c r="CG287">
        <f ca="1"/>
      </c>
      <c r="CH287">
        <f ca="1"/>
      </c>
      <c r="CI287">
        <f ca="1"/>
      </c>
      <c r="CK287">
        <f ca="1"/>
      </c>
      <c r="CL287">
        <f ca="1"/>
      </c>
      <c r="CM287">
        <f ca="1"/>
      </c>
      <c r="CN287">
        <f ca="1"/>
      </c>
      <c r="CO287">
        <f ca="1"/>
      </c>
      <c r="CP287">
        <f ca="1"/>
      </c>
      <c r="CQ287">
        <f ca="1"/>
      </c>
      <c r="CR287">
        <f ca="1"/>
      </c>
      <c r="CS287">
        <f ca="1"/>
      </c>
      <c r="CT287">
        <f ca="1"/>
      </c>
      <c r="CU287">
        <f ca="1"/>
      </c>
      <c r="CV287">
        <f ca="1"/>
      </c>
      <c r="CW287">
        <f ca="1"/>
      </c>
      <c r="CX287">
        <f ca="1"/>
      </c>
      <c r="CY287">
        <f ca="1"/>
      </c>
      <c r="CZ287">
        <f ca="1"/>
      </c>
      <c r="DA287">
        <f ca="1"/>
      </c>
      <c r="DB287">
        <f ca="1"/>
      </c>
      <c r="DC287">
        <f ca="1"/>
      </c>
      <c r="DD287">
        <f ca="1"/>
      </c>
      <c r="DE287">
        <f ca="1"/>
      </c>
      <c r="DF287">
        <f ca="1"/>
      </c>
      <c r="DG287">
        <f ca="1"/>
      </c>
      <c r="DH287">
        <f ca="1"/>
      </c>
      <c r="DI287">
        <f ca="1"/>
      </c>
      <c r="DJ287">
        <f ca="1"/>
      </c>
      <c r="DK287">
        <f ca="1"/>
      </c>
      <c r="DL287">
        <f ca="1"/>
      </c>
      <c r="DM287">
        <f ca="1"/>
      </c>
      <c r="DN287">
        <f ca="1"/>
      </c>
      <c r="DO287">
        <f ca="1"/>
      </c>
      <c r="DP287">
        <f ca="1"/>
      </c>
      <c r="DQ287">
        <f ca="1"/>
      </c>
      <c r="DR287">
        <f ca="1"/>
      </c>
      <c r="DS287">
        <f ca="1"/>
      </c>
      <c r="DT287">
        <f ca="1"/>
      </c>
      <c r="DU287">
        <f ca="1"/>
      </c>
      <c r="DV287">
        <f ca="1"/>
      </c>
      <c r="DW287">
        <f ca="1"/>
      </c>
      <c r="DX287">
        <f ca="1"/>
      </c>
      <c r="DY287">
        <f ca="1"/>
      </c>
      <c r="DZ287">
        <f ca="1"/>
      </c>
      <c r="EA287">
        <f ca="1"/>
      </c>
      <c r="EB287">
        <f ca="1"/>
      </c>
      <c r="EC287">
        <f ca="1"/>
      </c>
      <c r="ED287">
        <f ca="1"/>
      </c>
      <c r="EE287">
        <f ca="1"/>
      </c>
      <c r="EG287">
        <f ca="1"/>
      </c>
      <c r="EH287">
        <f ca="1"/>
      </c>
      <c r="EI287">
        <f ca="1"/>
      </c>
      <c r="EJ287">
        <f ca="1"/>
      </c>
      <c r="EK287">
        <f ca="1"/>
      </c>
      <c r="EL287">
        <f ca="1"/>
      </c>
      <c r="EM287">
        <f ca="1"/>
      </c>
      <c r="EN287">
        <f ca="1"/>
      </c>
      <c r="EO287">
        <f ca="1"/>
      </c>
      <c r="EP287">
        <f ca="1"/>
      </c>
      <c r="EQ287">
        <f ca="1"/>
      </c>
      <c r="ER287">
        <f ca="1"/>
      </c>
      <c r="ES287">
        <f ca="1"/>
      </c>
      <c r="ET287">
        <f ca="1"/>
      </c>
      <c r="EU287">
        <f ca="1"/>
      </c>
      <c r="EV287">
        <f ca="1"/>
      </c>
      <c r="EW287">
        <f ca="1"/>
      </c>
      <c r="EX287">
        <f ca="1"/>
      </c>
      <c r="EY287">
        <f ca="1"/>
      </c>
      <c r="EZ287">
        <f ca="1"/>
      </c>
      <c r="FA287">
        <f ca="1"/>
      </c>
      <c r="FB287">
        <f ca="1"/>
      </c>
      <c r="FC287">
        <f ca="1"/>
      </c>
      <c r="FD287">
        <f ca="1"/>
      </c>
      <c r="FE287">
        <f ca="1"/>
      </c>
      <c r="FF287">
        <f ca="1"/>
      </c>
      <c r="FG287">
        <f ca="1"/>
      </c>
      <c r="FH287">
        <f ca="1"/>
      </c>
      <c r="FI287">
        <f ca="1"/>
      </c>
      <c r="FJ287">
        <f ca="1"/>
      </c>
      <c r="FK287">
        <f ca="1"/>
      </c>
      <c r="FL287">
        <f ca="1"/>
      </c>
      <c r="FM287">
        <f ca="1"/>
      </c>
      <c r="FN287">
        <f ca="1"/>
      </c>
      <c r="FO287">
        <f ca="1"/>
      </c>
      <c r="FP287">
        <f ca="1"/>
      </c>
      <c r="FQ287">
        <f ca="1"/>
      </c>
      <c r="FR287">
        <f ca="1"/>
      </c>
      <c r="FS287">
        <f ca="1"/>
      </c>
      <c r="FT287">
        <f ca="1"/>
      </c>
      <c r="FU287">
        <f ca="1"/>
      </c>
      <c r="FV287">
        <f ca="1"/>
      </c>
      <c r="FW287">
        <f ca="1"/>
      </c>
      <c r="FX287">
        <f ca="1"/>
      </c>
      <c r="FY287">
        <f ca="1"/>
      </c>
      <c r="FZ287">
        <f ca="1"/>
      </c>
      <c r="GA287">
        <f ca="1"/>
      </c>
      <c r="GM287" s="7"/>
    </row>
    <row r="288" spans="41:195" x14ac:dyDescent="0.55000000000000004">
      <c r="AO288">
        <f ca="1"/>
      </c>
      <c r="AP288">
        <f ca="1"/>
      </c>
      <c r="AQ288">
        <f ca="1"/>
      </c>
      <c r="AR288">
        <f ca="1"/>
      </c>
      <c r="AS288">
        <f ca="1"/>
      </c>
      <c r="AT288">
        <f ca="1"/>
      </c>
      <c r="AU288">
        <f ca="1"/>
      </c>
      <c r="AV288">
        <f ca="1"/>
      </c>
      <c r="AW288">
        <f ca="1"/>
      </c>
      <c r="AX288">
        <f ca="1"/>
      </c>
      <c r="AY288">
        <f ca="1"/>
      </c>
      <c r="AZ288">
        <f ca="1"/>
      </c>
      <c r="BA288">
        <f ca="1"/>
      </c>
      <c r="BB288">
        <f ca="1"/>
      </c>
      <c r="BC288">
        <f ca="1"/>
      </c>
      <c r="BD288">
        <f ca="1"/>
      </c>
      <c r="BE288">
        <f ca="1"/>
      </c>
      <c r="BF288">
        <f ca="1"/>
      </c>
      <c r="BG288">
        <f ca="1"/>
      </c>
      <c r="BH288">
        <f ca="1"/>
      </c>
      <c r="BI288">
        <f ca="1"/>
      </c>
      <c r="BJ288">
        <f ca="1"/>
      </c>
      <c r="BK288">
        <f ca="1"/>
      </c>
      <c r="BL288">
        <f ca="1"/>
      </c>
      <c r="BM288">
        <f ca="1"/>
      </c>
      <c r="BN288">
        <f ca="1"/>
      </c>
      <c r="BO288">
        <f ca="1"/>
      </c>
      <c r="BP288">
        <f ca="1"/>
      </c>
      <c r="BQ288">
        <f ca="1"/>
      </c>
      <c r="BR288">
        <f ca="1"/>
      </c>
      <c r="BS288">
        <f ca="1"/>
      </c>
      <c r="BT288">
        <f ca="1"/>
      </c>
      <c r="BU288">
        <f ca="1"/>
      </c>
      <c r="BV288">
        <f ca="1"/>
      </c>
      <c r="BW288">
        <f ca="1"/>
      </c>
      <c r="BX288">
        <f ca="1"/>
      </c>
      <c r="BY288">
        <f ca="1"/>
      </c>
      <c r="BZ288">
        <f ca="1"/>
      </c>
      <c r="CA288">
        <f ca="1"/>
      </c>
      <c r="CB288">
        <f ca="1"/>
      </c>
      <c r="CC288">
        <f ca="1"/>
      </c>
      <c r="CD288">
        <f ca="1"/>
      </c>
      <c r="CE288">
        <f ca="1"/>
      </c>
      <c r="CF288">
        <f ca="1"/>
      </c>
      <c r="CG288">
        <f ca="1"/>
      </c>
      <c r="CH288">
        <f ca="1"/>
      </c>
      <c r="CI288">
        <f ca="1"/>
      </c>
      <c r="CK288">
        <f ca="1"/>
      </c>
      <c r="CL288">
        <f ca="1"/>
      </c>
      <c r="CM288">
        <f ca="1"/>
      </c>
      <c r="CN288">
        <f ca="1"/>
      </c>
      <c r="CO288">
        <f ca="1"/>
      </c>
      <c r="CP288">
        <f ca="1"/>
      </c>
      <c r="CQ288">
        <f ca="1"/>
      </c>
      <c r="CR288">
        <f ca="1"/>
      </c>
      <c r="CS288">
        <f ca="1"/>
      </c>
      <c r="CT288">
        <f ca="1"/>
      </c>
      <c r="CU288">
        <f ca="1"/>
      </c>
      <c r="CV288">
        <f ca="1"/>
      </c>
      <c r="CW288">
        <f ca="1"/>
      </c>
      <c r="CX288">
        <f ca="1"/>
      </c>
      <c r="CY288">
        <f ca="1"/>
      </c>
      <c r="CZ288">
        <f ca="1"/>
      </c>
      <c r="DA288">
        <f ca="1"/>
      </c>
      <c r="DB288">
        <f ca="1"/>
      </c>
      <c r="DC288">
        <f ca="1"/>
      </c>
      <c r="DD288">
        <f ca="1"/>
      </c>
      <c r="DE288">
        <f ca="1"/>
      </c>
      <c r="DF288">
        <f ca="1"/>
      </c>
      <c r="DG288">
        <f ca="1"/>
      </c>
      <c r="DH288">
        <f ca="1"/>
      </c>
      <c r="DI288">
        <f ca="1"/>
      </c>
      <c r="DJ288">
        <f ca="1"/>
      </c>
      <c r="DK288">
        <f ca="1"/>
      </c>
      <c r="DL288">
        <f ca="1"/>
      </c>
      <c r="DM288">
        <f ca="1"/>
      </c>
      <c r="DN288">
        <f ca="1"/>
      </c>
      <c r="DO288">
        <f ca="1"/>
      </c>
      <c r="DP288">
        <f ca="1"/>
      </c>
      <c r="DQ288">
        <f ca="1"/>
      </c>
      <c r="DR288">
        <f ca="1"/>
      </c>
      <c r="DS288">
        <f ca="1"/>
      </c>
      <c r="DT288">
        <f ca="1"/>
      </c>
      <c r="DU288">
        <f ca="1"/>
      </c>
      <c r="DV288">
        <f ca="1"/>
      </c>
      <c r="DW288">
        <f ca="1"/>
      </c>
      <c r="DX288">
        <f ca="1"/>
      </c>
      <c r="DY288">
        <f ca="1"/>
      </c>
      <c r="DZ288">
        <f ca="1"/>
      </c>
      <c r="EA288">
        <f ca="1"/>
      </c>
      <c r="EB288">
        <f ca="1"/>
      </c>
      <c r="EC288">
        <f ca="1"/>
      </c>
      <c r="ED288">
        <f ca="1"/>
      </c>
      <c r="EE288">
        <f ca="1"/>
      </c>
      <c r="EG288">
        <f ca="1"/>
      </c>
      <c r="EH288">
        <f ca="1"/>
      </c>
      <c r="EI288">
        <f ca="1"/>
      </c>
      <c r="EJ288">
        <f ca="1"/>
      </c>
      <c r="EK288">
        <f ca="1"/>
      </c>
      <c r="EL288">
        <f ca="1"/>
      </c>
      <c r="EM288">
        <f ca="1"/>
      </c>
      <c r="EN288">
        <f ca="1"/>
      </c>
      <c r="EO288">
        <f ca="1"/>
      </c>
      <c r="EP288">
        <f ca="1"/>
      </c>
      <c r="EQ288">
        <f ca="1"/>
      </c>
      <c r="ER288">
        <f ca="1"/>
      </c>
      <c r="ES288">
        <f ca="1"/>
      </c>
      <c r="ET288">
        <f ca="1"/>
      </c>
      <c r="EU288">
        <f ca="1"/>
      </c>
      <c r="EV288">
        <f ca="1"/>
      </c>
      <c r="EW288">
        <f ca="1"/>
      </c>
      <c r="EX288">
        <f ca="1"/>
      </c>
      <c r="EY288">
        <f ca="1"/>
      </c>
      <c r="EZ288">
        <f ca="1"/>
      </c>
      <c r="FA288">
        <f ca="1"/>
      </c>
      <c r="FB288">
        <f ca="1"/>
      </c>
      <c r="FC288">
        <f ca="1"/>
      </c>
      <c r="FD288">
        <f ca="1"/>
      </c>
      <c r="FE288">
        <f ca="1"/>
      </c>
      <c r="FF288">
        <f ca="1"/>
      </c>
      <c r="FG288">
        <f ca="1"/>
      </c>
      <c r="FH288">
        <f ca="1"/>
      </c>
      <c r="FI288">
        <f ca="1"/>
      </c>
      <c r="FJ288">
        <f ca="1"/>
      </c>
      <c r="FK288">
        <f ca="1"/>
      </c>
      <c r="FL288">
        <f ca="1"/>
      </c>
      <c r="FM288">
        <f ca="1"/>
      </c>
      <c r="FN288">
        <f ca="1"/>
      </c>
      <c r="FO288">
        <f ca="1"/>
      </c>
      <c r="FP288">
        <f ca="1"/>
      </c>
      <c r="FQ288">
        <f ca="1"/>
      </c>
      <c r="FR288">
        <f ca="1"/>
      </c>
      <c r="FS288">
        <f ca="1"/>
      </c>
      <c r="FT288">
        <f ca="1"/>
      </c>
      <c r="FU288">
        <f ca="1"/>
      </c>
      <c r="FV288">
        <f ca="1"/>
      </c>
      <c r="FW288">
        <f ca="1"/>
      </c>
      <c r="FX288">
        <f ca="1"/>
      </c>
      <c r="FY288">
        <f ca="1"/>
      </c>
      <c r="FZ288">
        <f ca="1"/>
      </c>
      <c r="GA288">
        <f ca="1"/>
      </c>
      <c r="GM288" s="7"/>
    </row>
    <row r="289" spans="41:195" x14ac:dyDescent="0.55000000000000004">
      <c r="AO289">
        <f ca="1"/>
      </c>
      <c r="AP289">
        <f ca="1"/>
      </c>
      <c r="AQ289">
        <f ca="1"/>
      </c>
      <c r="AR289">
        <f ca="1"/>
      </c>
      <c r="AS289">
        <f ca="1"/>
      </c>
      <c r="AT289">
        <f ca="1"/>
      </c>
      <c r="AU289">
        <f ca="1"/>
      </c>
      <c r="AV289">
        <f ca="1"/>
      </c>
      <c r="AW289">
        <f ca="1"/>
      </c>
      <c r="AX289">
        <f ca="1"/>
      </c>
      <c r="AY289">
        <f ca="1"/>
      </c>
      <c r="AZ289">
        <f ca="1"/>
      </c>
      <c r="BA289">
        <f ca="1"/>
      </c>
      <c r="BB289">
        <f ca="1"/>
      </c>
      <c r="BC289">
        <f ca="1"/>
      </c>
      <c r="BD289">
        <f ca="1"/>
      </c>
      <c r="BE289">
        <f ca="1"/>
      </c>
      <c r="BF289">
        <f ca="1"/>
      </c>
      <c r="BG289">
        <f ca="1"/>
      </c>
      <c r="BH289">
        <f ca="1"/>
      </c>
      <c r="BI289">
        <f ca="1"/>
      </c>
      <c r="BJ289">
        <f ca="1"/>
      </c>
      <c r="BK289">
        <f ca="1"/>
      </c>
      <c r="BL289">
        <f ca="1"/>
      </c>
      <c r="BM289">
        <f ca="1"/>
      </c>
      <c r="BN289">
        <f ca="1"/>
      </c>
      <c r="BO289">
        <f ca="1"/>
      </c>
      <c r="BP289">
        <f ca="1"/>
      </c>
      <c r="BQ289">
        <f ca="1"/>
      </c>
      <c r="BR289">
        <f ca="1"/>
      </c>
      <c r="BS289">
        <f ca="1"/>
      </c>
      <c r="BT289">
        <f ca="1"/>
      </c>
      <c r="BU289">
        <f ca="1"/>
      </c>
      <c r="BV289">
        <f ca="1"/>
      </c>
      <c r="BW289">
        <f ca="1"/>
      </c>
      <c r="BX289">
        <f ca="1"/>
      </c>
      <c r="BY289">
        <f ca="1"/>
      </c>
      <c r="BZ289">
        <f ca="1"/>
      </c>
      <c r="CA289">
        <f ca="1"/>
      </c>
      <c r="CB289">
        <f ca="1"/>
      </c>
      <c r="CC289">
        <f ca="1"/>
      </c>
      <c r="CD289">
        <f ca="1"/>
      </c>
      <c r="CE289">
        <f ca="1"/>
      </c>
      <c r="CF289">
        <f ca="1"/>
      </c>
      <c r="CG289">
        <f ca="1"/>
      </c>
      <c r="CH289">
        <f ca="1"/>
      </c>
      <c r="CI289">
        <f ca="1"/>
      </c>
      <c r="CK289">
        <f ca="1"/>
      </c>
      <c r="CL289">
        <f ca="1"/>
      </c>
      <c r="CM289">
        <f ca="1"/>
      </c>
      <c r="CN289">
        <f ca="1"/>
      </c>
      <c r="CO289">
        <f ca="1"/>
      </c>
      <c r="CP289">
        <f ca="1"/>
      </c>
      <c r="CQ289">
        <f ca="1"/>
      </c>
      <c r="CR289">
        <f ca="1"/>
      </c>
      <c r="CS289">
        <f ca="1"/>
      </c>
      <c r="CT289">
        <f ca="1"/>
      </c>
      <c r="CU289">
        <f ca="1"/>
      </c>
      <c r="CV289">
        <f ca="1"/>
      </c>
      <c r="CW289">
        <f ca="1"/>
      </c>
      <c r="CX289">
        <f ca="1"/>
      </c>
      <c r="CY289">
        <f ca="1"/>
      </c>
      <c r="CZ289">
        <f ca="1"/>
      </c>
      <c r="DA289">
        <f ca="1"/>
      </c>
      <c r="DB289">
        <f ca="1"/>
      </c>
      <c r="DC289">
        <f ca="1"/>
      </c>
      <c r="DD289">
        <f ca="1"/>
      </c>
      <c r="DE289">
        <f ca="1"/>
      </c>
      <c r="DF289">
        <f ca="1"/>
      </c>
      <c r="DG289">
        <f ca="1"/>
      </c>
      <c r="DH289">
        <f ca="1"/>
      </c>
      <c r="DI289">
        <f ca="1"/>
      </c>
      <c r="DJ289">
        <f ca="1"/>
      </c>
      <c r="DK289">
        <f ca="1"/>
      </c>
      <c r="DL289">
        <f ca="1"/>
      </c>
      <c r="DM289">
        <f ca="1"/>
      </c>
      <c r="DN289">
        <f ca="1"/>
      </c>
      <c r="DO289">
        <f ca="1"/>
      </c>
      <c r="DP289">
        <f ca="1"/>
      </c>
      <c r="DQ289">
        <f ca="1"/>
      </c>
      <c r="DR289">
        <f ca="1"/>
      </c>
      <c r="DS289">
        <f ca="1"/>
      </c>
      <c r="DT289">
        <f ca="1"/>
      </c>
      <c r="DU289">
        <f ca="1"/>
      </c>
      <c r="DV289">
        <f ca="1"/>
      </c>
      <c r="DW289">
        <f ca="1"/>
      </c>
      <c r="DX289">
        <f ca="1"/>
      </c>
      <c r="DY289">
        <f ca="1"/>
      </c>
      <c r="DZ289">
        <f ca="1"/>
      </c>
      <c r="EA289">
        <f ca="1"/>
      </c>
      <c r="EB289">
        <f ca="1"/>
      </c>
      <c r="EC289">
        <f ca="1"/>
      </c>
      <c r="ED289">
        <f ca="1"/>
      </c>
      <c r="EE289">
        <f ca="1"/>
      </c>
      <c r="EG289">
        <f ca="1"/>
      </c>
      <c r="EH289">
        <f ca="1"/>
      </c>
      <c r="EI289">
        <f ca="1"/>
      </c>
      <c r="EJ289">
        <f ca="1"/>
      </c>
      <c r="EK289">
        <f ca="1"/>
      </c>
      <c r="EL289">
        <f ca="1"/>
      </c>
      <c r="EM289">
        <f ca="1"/>
      </c>
      <c r="EN289">
        <f ca="1"/>
      </c>
      <c r="EO289">
        <f ca="1"/>
      </c>
      <c r="EP289">
        <f ca="1"/>
      </c>
      <c r="EQ289">
        <f ca="1"/>
      </c>
      <c r="ER289">
        <f ca="1"/>
      </c>
      <c r="ES289">
        <f ca="1"/>
      </c>
      <c r="ET289">
        <f ca="1"/>
      </c>
      <c r="EU289">
        <f ca="1"/>
      </c>
      <c r="EV289">
        <f ca="1"/>
      </c>
      <c r="EW289">
        <f ca="1"/>
      </c>
      <c r="EX289">
        <f ca="1"/>
      </c>
      <c r="EY289">
        <f ca="1"/>
      </c>
      <c r="EZ289">
        <f ca="1"/>
      </c>
      <c r="FA289">
        <f ca="1"/>
      </c>
      <c r="FB289">
        <f ca="1"/>
      </c>
      <c r="FC289">
        <f ca="1"/>
      </c>
      <c r="FD289">
        <f ca="1"/>
      </c>
      <c r="FE289">
        <f ca="1"/>
      </c>
      <c r="FF289">
        <f ca="1"/>
      </c>
      <c r="FG289">
        <f ca="1"/>
      </c>
      <c r="FH289">
        <f ca="1"/>
      </c>
      <c r="FI289">
        <f ca="1"/>
      </c>
      <c r="FJ289">
        <f ca="1"/>
      </c>
      <c r="FK289">
        <f ca="1"/>
      </c>
      <c r="FL289">
        <f ca="1"/>
      </c>
      <c r="FM289">
        <f ca="1"/>
      </c>
      <c r="FN289">
        <f ca="1"/>
      </c>
      <c r="FO289">
        <f ca="1"/>
      </c>
      <c r="FP289">
        <f ca="1"/>
      </c>
      <c r="FQ289">
        <f ca="1"/>
      </c>
      <c r="FR289">
        <f ca="1"/>
      </c>
      <c r="FS289">
        <f ca="1"/>
      </c>
      <c r="FT289">
        <f ca="1"/>
      </c>
      <c r="FU289">
        <f ca="1"/>
      </c>
      <c r="FV289">
        <f ca="1"/>
      </c>
      <c r="FW289">
        <f ca="1"/>
      </c>
      <c r="FX289">
        <f ca="1"/>
      </c>
      <c r="FY289">
        <f ca="1"/>
      </c>
      <c r="FZ289">
        <f ca="1"/>
      </c>
      <c r="GA289">
        <f ca="1"/>
      </c>
      <c r="GM289" s="7"/>
    </row>
    <row r="290" spans="41:195" x14ac:dyDescent="0.55000000000000004">
      <c r="AO290">
        <f ca="1"/>
      </c>
      <c r="AP290">
        <f ca="1"/>
      </c>
      <c r="AQ290">
        <f ca="1"/>
      </c>
      <c r="AR290">
        <f ca="1"/>
      </c>
      <c r="AS290">
        <f ca="1"/>
      </c>
      <c r="AT290">
        <f ca="1"/>
      </c>
      <c r="AU290">
        <f ca="1"/>
      </c>
      <c r="AV290">
        <f ca="1"/>
      </c>
      <c r="AW290">
        <f ca="1"/>
      </c>
      <c r="AX290">
        <f ca="1"/>
      </c>
      <c r="AY290">
        <f ca="1"/>
      </c>
      <c r="AZ290">
        <f ca="1"/>
      </c>
      <c r="BA290">
        <f ca="1"/>
      </c>
      <c r="BB290">
        <f ca="1"/>
      </c>
      <c r="BC290">
        <f ca="1"/>
      </c>
      <c r="BD290">
        <f ca="1"/>
      </c>
      <c r="BE290">
        <f ca="1"/>
      </c>
      <c r="BF290">
        <f ca="1"/>
      </c>
      <c r="BG290">
        <f ca="1"/>
      </c>
      <c r="BH290">
        <f ca="1"/>
      </c>
      <c r="BI290">
        <f ca="1"/>
      </c>
      <c r="BJ290">
        <f ca="1"/>
      </c>
      <c r="BK290">
        <f ca="1"/>
      </c>
      <c r="BL290">
        <f ca="1"/>
      </c>
      <c r="BM290">
        <f ca="1"/>
      </c>
      <c r="BN290">
        <f ca="1"/>
      </c>
      <c r="BO290">
        <f ca="1"/>
      </c>
      <c r="BP290">
        <f ca="1"/>
      </c>
      <c r="BQ290">
        <f ca="1"/>
      </c>
      <c r="BR290">
        <f ca="1"/>
      </c>
      <c r="BS290">
        <f ca="1"/>
      </c>
      <c r="BT290">
        <f ca="1"/>
      </c>
      <c r="BU290">
        <f ca="1"/>
      </c>
      <c r="BV290">
        <f ca="1"/>
      </c>
      <c r="BW290">
        <f ca="1"/>
      </c>
      <c r="BX290">
        <f ca="1"/>
      </c>
      <c r="BY290">
        <f ca="1"/>
      </c>
      <c r="BZ290">
        <f ca="1"/>
      </c>
      <c r="CA290">
        <f ca="1"/>
      </c>
      <c r="CB290">
        <f ca="1"/>
      </c>
      <c r="CC290">
        <f ca="1"/>
      </c>
      <c r="CD290">
        <f ca="1"/>
      </c>
      <c r="CE290">
        <f ca="1"/>
      </c>
      <c r="CF290">
        <f ca="1"/>
      </c>
      <c r="CG290">
        <f ca="1"/>
      </c>
      <c r="CH290">
        <f ca="1"/>
      </c>
      <c r="CI290">
        <f ca="1"/>
      </c>
      <c r="CK290">
        <f ca="1"/>
      </c>
      <c r="CL290">
        <f ca="1"/>
      </c>
      <c r="CM290">
        <f ca="1"/>
      </c>
      <c r="CN290">
        <f ca="1"/>
      </c>
      <c r="CO290">
        <f ca="1"/>
      </c>
      <c r="CP290">
        <f ca="1"/>
      </c>
      <c r="CQ290">
        <f ca="1"/>
      </c>
      <c r="CR290">
        <f ca="1"/>
      </c>
      <c r="CS290">
        <f ca="1"/>
      </c>
      <c r="CT290">
        <f ca="1"/>
      </c>
      <c r="CU290">
        <f ca="1"/>
      </c>
      <c r="CV290">
        <f ca="1"/>
      </c>
      <c r="CW290">
        <f ca="1"/>
      </c>
      <c r="CX290">
        <f ca="1"/>
      </c>
      <c r="CY290">
        <f ca="1"/>
      </c>
      <c r="CZ290">
        <f ca="1"/>
      </c>
      <c r="DA290">
        <f ca="1"/>
      </c>
      <c r="DB290">
        <f ca="1"/>
      </c>
      <c r="DC290">
        <f ca="1"/>
      </c>
      <c r="DD290">
        <f ca="1"/>
      </c>
      <c r="DE290">
        <f ca="1"/>
      </c>
      <c r="DF290">
        <f ca="1"/>
      </c>
      <c r="DG290">
        <f ca="1"/>
      </c>
      <c r="DH290">
        <f ca="1"/>
      </c>
      <c r="DI290">
        <f ca="1"/>
      </c>
      <c r="DJ290">
        <f ca="1"/>
      </c>
      <c r="DK290">
        <f ca="1"/>
      </c>
      <c r="DL290">
        <f ca="1"/>
      </c>
      <c r="DM290">
        <f ca="1"/>
      </c>
      <c r="DN290">
        <f ca="1"/>
      </c>
      <c r="DO290">
        <f ca="1"/>
      </c>
      <c r="DP290">
        <f ca="1"/>
      </c>
      <c r="DQ290">
        <f ca="1"/>
      </c>
      <c r="DR290">
        <f ca="1"/>
      </c>
      <c r="DS290">
        <f ca="1"/>
      </c>
      <c r="DT290">
        <f ca="1"/>
      </c>
      <c r="DU290">
        <f ca="1"/>
      </c>
      <c r="DV290">
        <f ca="1"/>
      </c>
      <c r="DW290">
        <f ca="1"/>
      </c>
      <c r="DX290">
        <f ca="1"/>
      </c>
      <c r="DY290">
        <f ca="1"/>
      </c>
      <c r="DZ290">
        <f ca="1"/>
      </c>
      <c r="EA290">
        <f ca="1"/>
      </c>
      <c r="EB290">
        <f ca="1"/>
      </c>
      <c r="EC290">
        <f ca="1"/>
      </c>
      <c r="ED290">
        <f ca="1"/>
      </c>
      <c r="EE290">
        <f ca="1"/>
      </c>
      <c r="EG290">
        <f ca="1"/>
      </c>
      <c r="EH290">
        <f ca="1"/>
      </c>
      <c r="EI290">
        <f ca="1"/>
      </c>
      <c r="EJ290">
        <f ca="1"/>
      </c>
      <c r="EK290">
        <f ca="1"/>
      </c>
      <c r="EL290">
        <f ca="1"/>
      </c>
      <c r="EM290">
        <f ca="1"/>
      </c>
      <c r="EN290">
        <f ca="1"/>
      </c>
      <c r="EO290">
        <f ca="1"/>
      </c>
      <c r="EP290">
        <f ca="1"/>
      </c>
      <c r="EQ290">
        <f ca="1"/>
      </c>
      <c r="ER290">
        <f ca="1"/>
      </c>
      <c r="ES290">
        <f ca="1"/>
      </c>
      <c r="ET290">
        <f ca="1"/>
      </c>
      <c r="EU290">
        <f ca="1"/>
      </c>
      <c r="EV290">
        <f ca="1"/>
      </c>
      <c r="EW290">
        <f ca="1"/>
      </c>
      <c r="EX290">
        <f ca="1"/>
      </c>
      <c r="EY290">
        <f ca="1"/>
      </c>
      <c r="EZ290">
        <f ca="1"/>
      </c>
      <c r="FA290">
        <f ca="1"/>
      </c>
      <c r="FB290">
        <f ca="1"/>
      </c>
      <c r="FC290">
        <f ca="1"/>
      </c>
      <c r="FD290">
        <f ca="1"/>
      </c>
      <c r="FE290">
        <f ca="1"/>
      </c>
      <c r="FF290">
        <f ca="1"/>
      </c>
      <c r="FG290">
        <f ca="1"/>
      </c>
      <c r="FH290">
        <f ca="1"/>
      </c>
      <c r="FI290">
        <f ca="1"/>
      </c>
      <c r="FJ290">
        <f ca="1"/>
      </c>
      <c r="FK290">
        <f ca="1"/>
      </c>
      <c r="FL290">
        <f ca="1"/>
      </c>
      <c r="FM290">
        <f ca="1"/>
      </c>
      <c r="FN290">
        <f ca="1"/>
      </c>
      <c r="FO290">
        <f ca="1"/>
      </c>
      <c r="FP290">
        <f ca="1"/>
      </c>
      <c r="FQ290">
        <f ca="1"/>
      </c>
      <c r="FR290">
        <f ca="1"/>
      </c>
      <c r="FS290">
        <f ca="1"/>
      </c>
      <c r="FT290">
        <f ca="1"/>
      </c>
      <c r="FU290">
        <f ca="1"/>
      </c>
      <c r="FV290">
        <f ca="1"/>
      </c>
      <c r="FW290">
        <f ca="1"/>
      </c>
      <c r="FX290">
        <f ca="1"/>
      </c>
      <c r="FY290">
        <f ca="1"/>
      </c>
      <c r="FZ290">
        <f ca="1"/>
      </c>
      <c r="GA290">
        <f ca="1"/>
      </c>
      <c r="GM290" s="7"/>
    </row>
    <row r="291" spans="41:195" x14ac:dyDescent="0.55000000000000004">
      <c r="AO291">
        <f ca="1"/>
      </c>
      <c r="AP291">
        <f ca="1"/>
      </c>
      <c r="AQ291">
        <f ca="1"/>
      </c>
      <c r="AR291">
        <f ca="1"/>
      </c>
      <c r="AS291">
        <f ca="1"/>
      </c>
      <c r="AT291">
        <f ca="1"/>
      </c>
      <c r="AU291">
        <f ca="1"/>
      </c>
      <c r="AV291">
        <f ca="1"/>
      </c>
      <c r="AW291">
        <f ca="1"/>
      </c>
      <c r="AX291">
        <f ca="1"/>
      </c>
      <c r="AY291">
        <f ca="1"/>
      </c>
      <c r="AZ291">
        <f ca="1"/>
      </c>
      <c r="BA291">
        <f ca="1"/>
      </c>
      <c r="BB291">
        <f ca="1"/>
      </c>
      <c r="BC291">
        <f ca="1"/>
      </c>
      <c r="BD291">
        <f ca="1"/>
      </c>
      <c r="BE291">
        <f ca="1"/>
      </c>
      <c r="BF291">
        <f ca="1"/>
      </c>
      <c r="BG291">
        <f ca="1"/>
      </c>
      <c r="BH291">
        <f ca="1"/>
      </c>
      <c r="BI291">
        <f ca="1"/>
      </c>
      <c r="BJ291">
        <f ca="1"/>
      </c>
      <c r="BK291">
        <f ca="1"/>
      </c>
      <c r="BL291">
        <f ca="1"/>
      </c>
      <c r="BM291">
        <f ca="1"/>
      </c>
      <c r="BN291">
        <f ca="1"/>
      </c>
      <c r="BO291">
        <f ca="1"/>
      </c>
      <c r="BP291">
        <f ca="1"/>
      </c>
      <c r="BQ291">
        <f ca="1"/>
      </c>
      <c r="BR291">
        <f ca="1"/>
      </c>
      <c r="BS291">
        <f ca="1"/>
      </c>
      <c r="BT291">
        <f ca="1"/>
      </c>
      <c r="BU291">
        <f ca="1"/>
      </c>
      <c r="BV291">
        <f ca="1"/>
      </c>
      <c r="BW291">
        <f ca="1"/>
      </c>
      <c r="BX291">
        <f ca="1"/>
      </c>
      <c r="BY291">
        <f ca="1"/>
      </c>
      <c r="BZ291">
        <f ca="1"/>
      </c>
      <c r="CA291">
        <f ca="1"/>
      </c>
      <c r="CB291">
        <f ca="1"/>
      </c>
      <c r="CC291">
        <f ca="1"/>
      </c>
      <c r="CD291">
        <f ca="1"/>
      </c>
      <c r="CE291">
        <f ca="1"/>
      </c>
      <c r="CF291">
        <f ca="1"/>
      </c>
      <c r="CG291">
        <f ca="1"/>
      </c>
      <c r="CH291">
        <f ca="1"/>
      </c>
      <c r="CI291">
        <f ca="1"/>
      </c>
      <c r="CK291">
        <f ca="1"/>
      </c>
      <c r="CL291">
        <f ca="1"/>
      </c>
      <c r="CM291">
        <f ca="1"/>
      </c>
      <c r="CN291">
        <f ca="1"/>
      </c>
      <c r="CO291">
        <f ca="1"/>
      </c>
      <c r="CP291">
        <f ca="1"/>
      </c>
      <c r="CQ291">
        <f ca="1"/>
      </c>
      <c r="CR291">
        <f ca="1"/>
      </c>
      <c r="CS291">
        <f ca="1"/>
      </c>
      <c r="CT291">
        <f ca="1"/>
      </c>
      <c r="CU291">
        <f ca="1"/>
      </c>
      <c r="CV291">
        <f ca="1"/>
      </c>
      <c r="CW291">
        <f ca="1"/>
      </c>
      <c r="CX291">
        <f ca="1"/>
      </c>
      <c r="CY291">
        <f ca="1"/>
      </c>
      <c r="CZ291">
        <f ca="1"/>
      </c>
      <c r="DA291">
        <f ca="1"/>
      </c>
      <c r="DB291">
        <f ca="1"/>
      </c>
      <c r="DC291">
        <f ca="1"/>
      </c>
      <c r="DD291">
        <f ca="1"/>
      </c>
      <c r="DE291">
        <f ca="1"/>
      </c>
      <c r="DF291">
        <f ca="1"/>
      </c>
      <c r="DG291">
        <f ca="1"/>
      </c>
      <c r="DH291">
        <f ca="1"/>
      </c>
      <c r="DI291">
        <f ca="1"/>
      </c>
      <c r="DJ291">
        <f ca="1"/>
      </c>
      <c r="DK291">
        <f ca="1"/>
      </c>
      <c r="DL291">
        <f ca="1"/>
      </c>
      <c r="DM291">
        <f ca="1"/>
      </c>
      <c r="DN291">
        <f ca="1"/>
      </c>
      <c r="DO291">
        <f ca="1"/>
      </c>
      <c r="DP291">
        <f ca="1"/>
      </c>
      <c r="DQ291">
        <f ca="1"/>
      </c>
      <c r="DR291">
        <f ca="1"/>
      </c>
      <c r="DS291">
        <f ca="1"/>
      </c>
      <c r="DT291">
        <f ca="1"/>
      </c>
      <c r="DU291">
        <f ca="1"/>
      </c>
      <c r="DV291">
        <f ca="1"/>
      </c>
      <c r="DW291">
        <f ca="1"/>
      </c>
      <c r="DX291">
        <f ca="1"/>
      </c>
      <c r="DY291">
        <f ca="1"/>
      </c>
      <c r="DZ291">
        <f ca="1"/>
      </c>
      <c r="EA291">
        <f ca="1"/>
      </c>
      <c r="EB291">
        <f ca="1"/>
      </c>
      <c r="EC291">
        <f ca="1"/>
      </c>
      <c r="ED291">
        <f ca="1"/>
      </c>
      <c r="EE291">
        <f ca="1"/>
      </c>
      <c r="EG291">
        <f ca="1"/>
      </c>
      <c r="EH291">
        <f ca="1"/>
      </c>
      <c r="EI291">
        <f ca="1"/>
      </c>
      <c r="EJ291">
        <f ca="1"/>
      </c>
      <c r="EK291">
        <f ca="1"/>
      </c>
      <c r="EL291">
        <f ca="1"/>
      </c>
      <c r="EM291">
        <f ca="1"/>
      </c>
      <c r="EN291">
        <f ca="1"/>
      </c>
      <c r="EO291">
        <f ca="1"/>
      </c>
      <c r="EP291">
        <f ca="1"/>
      </c>
      <c r="EQ291">
        <f ca="1"/>
      </c>
      <c r="ER291">
        <f ca="1"/>
      </c>
      <c r="ES291">
        <f ca="1"/>
      </c>
      <c r="ET291">
        <f ca="1"/>
      </c>
      <c r="EU291">
        <f ca="1"/>
      </c>
      <c r="EV291">
        <f ca="1"/>
      </c>
      <c r="EW291">
        <f ca="1"/>
      </c>
      <c r="EX291">
        <f ca="1"/>
      </c>
      <c r="EY291">
        <f ca="1"/>
      </c>
      <c r="EZ291">
        <f ca="1"/>
      </c>
      <c r="FA291">
        <f ca="1"/>
      </c>
      <c r="FB291">
        <f ca="1"/>
      </c>
      <c r="FC291">
        <f ca="1"/>
      </c>
      <c r="FD291">
        <f ca="1"/>
      </c>
      <c r="FE291">
        <f ca="1"/>
      </c>
      <c r="FF291">
        <f ca="1"/>
      </c>
      <c r="FG291">
        <f ca="1"/>
      </c>
      <c r="FH291">
        <f ca="1"/>
      </c>
      <c r="FI291">
        <f ca="1"/>
      </c>
      <c r="FJ291">
        <f ca="1"/>
      </c>
      <c r="FK291">
        <f ca="1"/>
      </c>
      <c r="FL291">
        <f ca="1"/>
      </c>
      <c r="FM291">
        <f ca="1"/>
      </c>
      <c r="FN291">
        <f ca="1"/>
      </c>
      <c r="FO291">
        <f ca="1"/>
      </c>
      <c r="FP291">
        <f ca="1"/>
      </c>
      <c r="FQ291">
        <f ca="1"/>
      </c>
      <c r="FR291">
        <f ca="1"/>
      </c>
      <c r="FS291">
        <f ca="1"/>
      </c>
      <c r="FT291">
        <f ca="1"/>
      </c>
      <c r="FU291">
        <f ca="1"/>
      </c>
      <c r="FV291">
        <f ca="1"/>
      </c>
      <c r="FW291">
        <f ca="1"/>
      </c>
      <c r="FX291">
        <f ca="1"/>
      </c>
      <c r="FY291">
        <f ca="1"/>
      </c>
      <c r="FZ291">
        <f ca="1"/>
      </c>
      <c r="GA291">
        <f ca="1"/>
      </c>
      <c r="GM291" s="7"/>
    </row>
    <row r="292" spans="41:195" x14ac:dyDescent="0.55000000000000004">
      <c r="AO292">
        <f ca="1"/>
      </c>
      <c r="AP292">
        <f ca="1"/>
      </c>
      <c r="AQ292">
        <f ca="1"/>
      </c>
      <c r="AR292">
        <f ca="1"/>
      </c>
      <c r="AS292">
        <f ca="1"/>
      </c>
      <c r="AT292">
        <f ca="1"/>
      </c>
      <c r="AU292">
        <f ca="1"/>
      </c>
      <c r="AV292">
        <f ca="1"/>
      </c>
      <c r="AW292">
        <f ca="1"/>
      </c>
      <c r="AX292">
        <f ca="1"/>
      </c>
      <c r="AY292">
        <f ca="1"/>
      </c>
      <c r="AZ292">
        <f ca="1"/>
      </c>
      <c r="BA292">
        <f ca="1"/>
      </c>
      <c r="BB292">
        <f ca="1"/>
      </c>
      <c r="BC292">
        <f ca="1"/>
      </c>
      <c r="BD292">
        <f ca="1"/>
      </c>
      <c r="BE292">
        <f ca="1"/>
      </c>
      <c r="BF292">
        <f ca="1"/>
      </c>
      <c r="BG292">
        <f ca="1"/>
      </c>
      <c r="BH292">
        <f ca="1"/>
      </c>
      <c r="BI292">
        <f ca="1"/>
      </c>
      <c r="BJ292">
        <f ca="1"/>
      </c>
      <c r="BK292">
        <f ca="1"/>
      </c>
      <c r="BL292">
        <f ca="1"/>
      </c>
      <c r="BM292">
        <f ca="1"/>
      </c>
      <c r="BN292">
        <f ca="1"/>
      </c>
      <c r="BO292">
        <f ca="1"/>
      </c>
      <c r="BP292">
        <f ca="1"/>
      </c>
      <c r="BQ292">
        <f ca="1"/>
      </c>
      <c r="BR292">
        <f ca="1"/>
      </c>
      <c r="BS292">
        <f ca="1"/>
      </c>
      <c r="BT292">
        <f ca="1"/>
      </c>
      <c r="BU292">
        <f ca="1"/>
      </c>
      <c r="BV292">
        <f ca="1"/>
      </c>
      <c r="BW292">
        <f ca="1"/>
      </c>
      <c r="BX292">
        <f ca="1"/>
      </c>
      <c r="BY292">
        <f ca="1"/>
      </c>
      <c r="BZ292">
        <f ca="1"/>
      </c>
      <c r="CA292">
        <f ca="1"/>
      </c>
      <c r="CB292">
        <f ca="1"/>
      </c>
      <c r="CC292">
        <f ca="1"/>
      </c>
      <c r="CD292">
        <f ca="1"/>
      </c>
      <c r="CE292">
        <f ca="1"/>
      </c>
      <c r="CF292">
        <f ca="1"/>
      </c>
      <c r="CG292">
        <f ca="1"/>
      </c>
      <c r="CH292">
        <f ca="1"/>
      </c>
      <c r="CI292">
        <f ca="1"/>
      </c>
      <c r="CK292">
        <f ca="1"/>
      </c>
      <c r="CL292">
        <f ca="1"/>
      </c>
      <c r="CM292">
        <f ca="1"/>
      </c>
      <c r="CN292">
        <f ca="1"/>
      </c>
      <c r="CO292">
        <f ca="1"/>
      </c>
      <c r="CP292">
        <f ca="1"/>
      </c>
      <c r="CQ292">
        <f ca="1"/>
      </c>
      <c r="CR292">
        <f ca="1"/>
      </c>
      <c r="CS292">
        <f ca="1"/>
      </c>
      <c r="CT292">
        <f ca="1"/>
      </c>
      <c r="CU292">
        <f ca="1"/>
      </c>
      <c r="CV292">
        <f ca="1"/>
      </c>
      <c r="CW292">
        <f ca="1"/>
      </c>
      <c r="CX292">
        <f ca="1"/>
      </c>
      <c r="CY292">
        <f ca="1"/>
      </c>
      <c r="CZ292">
        <f ca="1"/>
      </c>
      <c r="DA292">
        <f ca="1"/>
      </c>
      <c r="DB292">
        <f ca="1"/>
      </c>
      <c r="DC292">
        <f ca="1"/>
      </c>
      <c r="DD292">
        <f ca="1"/>
      </c>
      <c r="DE292">
        <f ca="1"/>
      </c>
      <c r="DF292">
        <f ca="1"/>
      </c>
      <c r="DG292">
        <f ca="1"/>
      </c>
      <c r="DH292">
        <f ca="1"/>
      </c>
      <c r="DI292">
        <f ca="1"/>
      </c>
      <c r="DJ292">
        <f ca="1"/>
      </c>
      <c r="DK292">
        <f ca="1"/>
      </c>
      <c r="DL292">
        <f ca="1"/>
      </c>
      <c r="DM292">
        <f ca="1"/>
      </c>
      <c r="DN292">
        <f ca="1"/>
      </c>
      <c r="DO292">
        <f ca="1"/>
      </c>
      <c r="DP292">
        <f ca="1"/>
      </c>
      <c r="DQ292">
        <f ca="1"/>
      </c>
      <c r="DR292">
        <f ca="1"/>
      </c>
      <c r="DS292">
        <f ca="1"/>
      </c>
      <c r="DT292">
        <f ca="1"/>
      </c>
      <c r="DU292">
        <f ca="1"/>
      </c>
      <c r="DV292">
        <f ca="1"/>
      </c>
      <c r="DW292">
        <f ca="1"/>
      </c>
      <c r="DX292">
        <f ca="1"/>
      </c>
      <c r="DY292">
        <f ca="1"/>
      </c>
      <c r="DZ292">
        <f ca="1"/>
      </c>
      <c r="EA292">
        <f ca="1"/>
      </c>
      <c r="EB292">
        <f ca="1"/>
      </c>
      <c r="EC292">
        <f ca="1"/>
      </c>
      <c r="ED292">
        <f ca="1"/>
      </c>
      <c r="EE292">
        <f ca="1"/>
      </c>
      <c r="EG292">
        <f ca="1"/>
      </c>
      <c r="EH292">
        <f ca="1"/>
      </c>
      <c r="EI292">
        <f ca="1"/>
      </c>
      <c r="EJ292">
        <f ca="1"/>
      </c>
      <c r="EK292">
        <f ca="1"/>
      </c>
      <c r="EL292">
        <f ca="1"/>
      </c>
      <c r="EM292">
        <f ca="1"/>
      </c>
      <c r="EN292">
        <f ca="1"/>
      </c>
      <c r="EO292">
        <f ca="1"/>
      </c>
      <c r="EP292">
        <f ca="1"/>
      </c>
      <c r="EQ292">
        <f ca="1"/>
      </c>
      <c r="ER292">
        <f ca="1"/>
      </c>
      <c r="ES292">
        <f ca="1"/>
      </c>
      <c r="ET292">
        <f ca="1"/>
      </c>
      <c r="EU292">
        <f ca="1"/>
      </c>
      <c r="EV292">
        <f ca="1"/>
      </c>
      <c r="EW292">
        <f ca="1"/>
      </c>
      <c r="EX292">
        <f ca="1"/>
      </c>
      <c r="EY292">
        <f ca="1"/>
      </c>
      <c r="EZ292">
        <f ca="1"/>
      </c>
      <c r="FA292">
        <f ca="1"/>
      </c>
      <c r="FB292">
        <f ca="1"/>
      </c>
      <c r="FC292">
        <f ca="1"/>
      </c>
      <c r="FD292">
        <f ca="1"/>
      </c>
      <c r="FE292">
        <f ca="1"/>
      </c>
      <c r="FF292">
        <f ca="1"/>
      </c>
      <c r="FG292">
        <f ca="1"/>
      </c>
      <c r="FH292">
        <f ca="1"/>
      </c>
      <c r="FI292">
        <f ca="1"/>
      </c>
      <c r="FJ292">
        <f ca="1"/>
      </c>
      <c r="FK292">
        <f ca="1"/>
      </c>
      <c r="FL292">
        <f ca="1"/>
      </c>
      <c r="FM292">
        <f ca="1"/>
      </c>
      <c r="FN292">
        <f ca="1"/>
      </c>
      <c r="FO292">
        <f ca="1"/>
      </c>
      <c r="FP292">
        <f ca="1"/>
      </c>
      <c r="FQ292">
        <f ca="1"/>
      </c>
      <c r="FR292">
        <f ca="1"/>
      </c>
      <c r="FS292">
        <f ca="1"/>
      </c>
      <c r="FT292">
        <f ca="1"/>
      </c>
      <c r="FU292">
        <f ca="1"/>
      </c>
      <c r="FV292">
        <f ca="1"/>
      </c>
      <c r="FW292">
        <f ca="1"/>
      </c>
      <c r="FX292">
        <f ca="1"/>
      </c>
      <c r="FY292">
        <f ca="1"/>
      </c>
      <c r="FZ292">
        <f ca="1"/>
      </c>
      <c r="GA292">
        <f ca="1"/>
      </c>
      <c r="GM292" s="7"/>
    </row>
    <row r="293" spans="41:195" x14ac:dyDescent="0.55000000000000004">
      <c r="AO293">
        <f ca="1"/>
      </c>
      <c r="AP293">
        <f ca="1"/>
      </c>
      <c r="AQ293">
        <f ca="1"/>
      </c>
      <c r="AR293">
        <f ca="1"/>
      </c>
      <c r="AS293">
        <f ca="1"/>
      </c>
      <c r="AT293">
        <f ca="1"/>
      </c>
      <c r="AU293">
        <f ca="1"/>
      </c>
      <c r="AV293">
        <f ca="1"/>
      </c>
      <c r="AW293">
        <f ca="1"/>
      </c>
      <c r="AX293">
        <f ca="1"/>
      </c>
      <c r="AY293">
        <f ca="1"/>
      </c>
      <c r="AZ293">
        <f ca="1"/>
      </c>
      <c r="BA293">
        <f ca="1"/>
      </c>
      <c r="BB293">
        <f ca="1"/>
      </c>
      <c r="BC293">
        <f ca="1"/>
      </c>
      <c r="BD293">
        <f ca="1"/>
      </c>
      <c r="BE293">
        <f ca="1"/>
      </c>
      <c r="BF293">
        <f ca="1"/>
      </c>
      <c r="BG293">
        <f ca="1"/>
      </c>
      <c r="BH293">
        <f ca="1"/>
      </c>
      <c r="BI293">
        <f ca="1"/>
      </c>
      <c r="BJ293">
        <f ca="1"/>
      </c>
      <c r="BK293">
        <f ca="1"/>
      </c>
      <c r="BL293">
        <f ca="1"/>
      </c>
      <c r="BM293">
        <f ca="1"/>
      </c>
      <c r="BN293">
        <f ca="1"/>
      </c>
      <c r="BO293">
        <f ca="1"/>
      </c>
      <c r="BP293">
        <f ca="1"/>
      </c>
      <c r="BQ293">
        <f ca="1"/>
      </c>
      <c r="BR293">
        <f ca="1"/>
      </c>
      <c r="BS293">
        <f ca="1"/>
      </c>
      <c r="BT293">
        <f ca="1"/>
      </c>
      <c r="BU293">
        <f ca="1"/>
      </c>
      <c r="BV293">
        <f ca="1"/>
      </c>
      <c r="BW293">
        <f ca="1"/>
      </c>
      <c r="BX293">
        <f ca="1"/>
      </c>
      <c r="BY293">
        <f ca="1"/>
      </c>
      <c r="BZ293">
        <f ca="1"/>
      </c>
      <c r="CA293">
        <f ca="1"/>
      </c>
      <c r="CB293">
        <f ca="1"/>
      </c>
      <c r="CC293">
        <f ca="1"/>
      </c>
      <c r="CD293">
        <f ca="1"/>
      </c>
      <c r="CE293">
        <f ca="1"/>
      </c>
      <c r="CF293">
        <f ca="1"/>
      </c>
      <c r="CG293">
        <f ca="1"/>
      </c>
      <c r="CH293">
        <f ca="1"/>
      </c>
      <c r="CI293">
        <f ca="1"/>
      </c>
      <c r="CK293">
        <f ca="1"/>
      </c>
      <c r="CL293">
        <f ca="1"/>
      </c>
      <c r="CM293">
        <f ca="1"/>
      </c>
      <c r="CN293">
        <f ca="1"/>
      </c>
      <c r="CO293">
        <f ca="1"/>
      </c>
      <c r="CP293">
        <f ca="1"/>
      </c>
      <c r="CQ293">
        <f ca="1"/>
      </c>
      <c r="CR293">
        <f ca="1"/>
      </c>
      <c r="CS293">
        <f ca="1"/>
      </c>
      <c r="CT293">
        <f ca="1"/>
      </c>
      <c r="CU293">
        <f ca="1"/>
      </c>
      <c r="CV293">
        <f ca="1"/>
      </c>
      <c r="CW293">
        <f ca="1"/>
      </c>
      <c r="CX293">
        <f ca="1"/>
      </c>
      <c r="CY293">
        <f ca="1"/>
      </c>
      <c r="CZ293">
        <f ca="1"/>
      </c>
      <c r="DA293">
        <f ca="1"/>
      </c>
      <c r="DB293">
        <f ca="1"/>
      </c>
      <c r="DC293">
        <f ca="1"/>
      </c>
      <c r="DD293">
        <f ca="1"/>
      </c>
      <c r="DE293">
        <f ca="1"/>
      </c>
      <c r="DF293">
        <f ca="1"/>
      </c>
      <c r="DG293">
        <f ca="1"/>
      </c>
      <c r="DH293">
        <f ca="1"/>
      </c>
      <c r="DI293">
        <f ca="1"/>
      </c>
      <c r="DJ293">
        <f ca="1"/>
      </c>
      <c r="DK293">
        <f ca="1"/>
      </c>
      <c r="DL293">
        <f ca="1"/>
      </c>
      <c r="DM293">
        <f ca="1"/>
      </c>
      <c r="DN293">
        <f ca="1"/>
      </c>
      <c r="DO293">
        <f ca="1"/>
      </c>
      <c r="DP293">
        <f ca="1"/>
      </c>
      <c r="DQ293">
        <f ca="1"/>
      </c>
      <c r="DR293">
        <f ca="1"/>
      </c>
      <c r="DS293">
        <f ca="1"/>
      </c>
      <c r="DT293">
        <f ca="1"/>
      </c>
      <c r="DU293">
        <f ca="1"/>
      </c>
      <c r="DV293">
        <f ca="1"/>
      </c>
      <c r="DW293">
        <f ca="1"/>
      </c>
      <c r="DX293">
        <f ca="1"/>
      </c>
      <c r="DY293">
        <f ca="1"/>
      </c>
      <c r="DZ293">
        <f ca="1"/>
      </c>
      <c r="EA293">
        <f ca="1"/>
      </c>
      <c r="EB293">
        <f ca="1"/>
      </c>
      <c r="EC293">
        <f ca="1"/>
      </c>
      <c r="ED293">
        <f ca="1"/>
      </c>
      <c r="EE293">
        <f ca="1"/>
      </c>
      <c r="EG293">
        <f ca="1"/>
      </c>
      <c r="EH293">
        <f ca="1"/>
      </c>
      <c r="EI293">
        <f ca="1"/>
      </c>
      <c r="EJ293">
        <f ca="1"/>
      </c>
      <c r="EK293">
        <f ca="1"/>
      </c>
      <c r="EL293">
        <f ca="1"/>
      </c>
      <c r="EM293">
        <f ca="1"/>
      </c>
      <c r="EN293">
        <f ca="1"/>
      </c>
      <c r="EO293">
        <f ca="1"/>
      </c>
      <c r="EP293">
        <f ca="1"/>
      </c>
      <c r="EQ293">
        <f ca="1"/>
      </c>
      <c r="ER293">
        <f ca="1"/>
      </c>
      <c r="ES293">
        <f ca="1"/>
      </c>
      <c r="ET293">
        <f ca="1"/>
      </c>
      <c r="EU293">
        <f ca="1"/>
      </c>
      <c r="EV293">
        <f ca="1"/>
      </c>
      <c r="EW293">
        <f ca="1"/>
      </c>
      <c r="EX293">
        <f ca="1"/>
      </c>
      <c r="EY293">
        <f ca="1"/>
      </c>
      <c r="EZ293">
        <f ca="1"/>
      </c>
      <c r="FA293">
        <f ca="1"/>
      </c>
      <c r="FB293">
        <f ca="1"/>
      </c>
      <c r="FC293">
        <f ca="1"/>
      </c>
      <c r="FD293">
        <f ca="1"/>
      </c>
      <c r="FE293">
        <f ca="1"/>
      </c>
      <c r="FF293">
        <f ca="1"/>
      </c>
      <c r="FG293">
        <f ca="1"/>
      </c>
      <c r="FH293">
        <f ca="1"/>
      </c>
      <c r="FI293">
        <f ca="1"/>
      </c>
      <c r="FJ293">
        <f ca="1"/>
      </c>
      <c r="FK293">
        <f ca="1"/>
      </c>
      <c r="FL293">
        <f ca="1"/>
      </c>
      <c r="FM293">
        <f ca="1"/>
      </c>
      <c r="FN293">
        <f ca="1"/>
      </c>
      <c r="FO293">
        <f ca="1"/>
      </c>
      <c r="FP293">
        <f ca="1"/>
      </c>
      <c r="FQ293">
        <f ca="1"/>
      </c>
      <c r="FR293">
        <f ca="1"/>
      </c>
      <c r="FS293">
        <f ca="1"/>
      </c>
      <c r="FT293">
        <f ca="1"/>
      </c>
      <c r="FU293">
        <f ca="1"/>
      </c>
      <c r="FV293">
        <f ca="1"/>
      </c>
      <c r="FW293">
        <f ca="1"/>
      </c>
      <c r="FX293">
        <f ca="1"/>
      </c>
      <c r="FY293">
        <f ca="1"/>
      </c>
      <c r="FZ293">
        <f ca="1"/>
      </c>
      <c r="GA293">
        <f ca="1"/>
      </c>
      <c r="GM293" s="7"/>
    </row>
    <row r="294" spans="41:195" x14ac:dyDescent="0.55000000000000004">
      <c r="AO294">
        <f ca="1"/>
      </c>
      <c r="AP294">
        <f ca="1"/>
      </c>
      <c r="AQ294">
        <f ca="1"/>
      </c>
      <c r="AR294">
        <f ca="1"/>
      </c>
      <c r="AS294">
        <f ca="1"/>
      </c>
      <c r="AT294">
        <f ca="1"/>
      </c>
      <c r="AU294">
        <f ca="1"/>
      </c>
      <c r="AV294">
        <f ca="1"/>
      </c>
      <c r="AW294">
        <f ca="1"/>
      </c>
      <c r="AX294">
        <f ca="1"/>
      </c>
      <c r="AY294">
        <f ca="1"/>
      </c>
      <c r="AZ294">
        <f ca="1"/>
      </c>
      <c r="BA294">
        <f ca="1"/>
      </c>
      <c r="BB294">
        <f ca="1"/>
      </c>
      <c r="BC294">
        <f ca="1"/>
      </c>
      <c r="BD294">
        <f ca="1"/>
      </c>
      <c r="BE294">
        <f ca="1"/>
      </c>
      <c r="BF294">
        <f ca="1"/>
      </c>
      <c r="BG294">
        <f ca="1"/>
      </c>
      <c r="BH294">
        <f ca="1"/>
      </c>
      <c r="BI294">
        <f ca="1"/>
      </c>
      <c r="BJ294">
        <f ca="1"/>
      </c>
      <c r="BK294">
        <f ca="1"/>
      </c>
      <c r="BL294">
        <f ca="1"/>
      </c>
      <c r="BM294">
        <f ca="1"/>
      </c>
      <c r="BN294">
        <f ca="1"/>
      </c>
      <c r="BO294">
        <f ca="1"/>
      </c>
      <c r="BP294">
        <f ca="1"/>
      </c>
      <c r="BQ294">
        <f ca="1"/>
      </c>
      <c r="BR294">
        <f ca="1"/>
      </c>
      <c r="BS294">
        <f ca="1"/>
      </c>
      <c r="BT294">
        <f ca="1"/>
      </c>
      <c r="BU294">
        <f ca="1"/>
      </c>
      <c r="BV294">
        <f ca="1"/>
      </c>
      <c r="BW294">
        <f ca="1"/>
      </c>
      <c r="BX294">
        <f ca="1"/>
      </c>
      <c r="BY294">
        <f ca="1"/>
      </c>
      <c r="BZ294">
        <f ca="1"/>
      </c>
      <c r="CA294">
        <f ca="1"/>
      </c>
      <c r="CB294">
        <f ca="1"/>
      </c>
      <c r="CC294">
        <f ca="1"/>
      </c>
      <c r="CD294">
        <f ca="1"/>
      </c>
      <c r="CE294">
        <f ca="1"/>
      </c>
      <c r="CF294">
        <f ca="1"/>
      </c>
      <c r="CG294">
        <f ca="1"/>
      </c>
      <c r="CH294">
        <f ca="1"/>
      </c>
      <c r="CI294">
        <f ca="1"/>
      </c>
      <c r="CK294">
        <f ca="1"/>
      </c>
      <c r="CL294">
        <f ca="1"/>
      </c>
      <c r="CM294">
        <f ca="1"/>
      </c>
      <c r="CN294">
        <f ca="1"/>
      </c>
      <c r="CO294">
        <f ca="1"/>
      </c>
      <c r="CP294">
        <f ca="1"/>
      </c>
      <c r="CQ294">
        <f ca="1"/>
      </c>
      <c r="CR294">
        <f ca="1"/>
      </c>
      <c r="CS294">
        <f ca="1"/>
      </c>
      <c r="CT294">
        <f ca="1"/>
      </c>
      <c r="CU294">
        <f ca="1"/>
      </c>
      <c r="CV294">
        <f ca="1"/>
      </c>
      <c r="CW294">
        <f ca="1"/>
      </c>
      <c r="CX294">
        <f ca="1"/>
      </c>
      <c r="CY294">
        <f ca="1"/>
      </c>
      <c r="CZ294">
        <f ca="1"/>
      </c>
      <c r="DA294">
        <f ca="1"/>
      </c>
      <c r="DB294">
        <f ca="1"/>
      </c>
      <c r="DC294">
        <f ca="1"/>
      </c>
      <c r="DD294">
        <f ca="1"/>
      </c>
      <c r="DE294">
        <f ca="1"/>
      </c>
      <c r="DF294">
        <f ca="1"/>
      </c>
      <c r="DG294">
        <f ca="1"/>
      </c>
      <c r="DH294">
        <f ca="1"/>
      </c>
      <c r="DI294">
        <f ca="1"/>
      </c>
      <c r="DJ294">
        <f ca="1"/>
      </c>
      <c r="DK294">
        <f ca="1"/>
      </c>
      <c r="DL294">
        <f ca="1"/>
      </c>
      <c r="DM294">
        <f ca="1"/>
      </c>
      <c r="DN294">
        <f ca="1"/>
      </c>
      <c r="DO294">
        <f ca="1"/>
      </c>
      <c r="DP294">
        <f ca="1"/>
      </c>
      <c r="DQ294">
        <f ca="1"/>
      </c>
      <c r="DR294">
        <f ca="1"/>
      </c>
      <c r="DS294">
        <f ca="1"/>
      </c>
      <c r="DT294">
        <f ca="1"/>
      </c>
      <c r="DU294">
        <f ca="1"/>
      </c>
      <c r="DV294">
        <f ca="1"/>
      </c>
      <c r="DW294">
        <f ca="1"/>
      </c>
      <c r="DX294">
        <f ca="1"/>
      </c>
      <c r="DY294">
        <f ca="1"/>
      </c>
      <c r="DZ294">
        <f ca="1"/>
      </c>
      <c r="EA294">
        <f ca="1"/>
      </c>
      <c r="EB294">
        <f ca="1"/>
      </c>
      <c r="EC294">
        <f ca="1"/>
      </c>
      <c r="ED294">
        <f ca="1"/>
      </c>
      <c r="EE294">
        <f ca="1"/>
      </c>
      <c r="EG294">
        <f ca="1"/>
      </c>
      <c r="EH294">
        <f ca="1"/>
      </c>
      <c r="EI294">
        <f ca="1"/>
      </c>
      <c r="EJ294">
        <f ca="1"/>
      </c>
      <c r="EK294">
        <f ca="1"/>
      </c>
      <c r="EL294">
        <f ca="1"/>
      </c>
      <c r="EM294">
        <f ca="1"/>
      </c>
      <c r="EN294">
        <f ca="1"/>
      </c>
      <c r="EO294">
        <f ca="1"/>
      </c>
      <c r="EP294">
        <f ca="1"/>
      </c>
      <c r="EQ294">
        <f ca="1"/>
      </c>
      <c r="ER294">
        <f ca="1"/>
      </c>
      <c r="ES294">
        <f ca="1"/>
      </c>
      <c r="ET294">
        <f ca="1"/>
      </c>
      <c r="EU294">
        <f ca="1"/>
      </c>
      <c r="EV294">
        <f ca="1"/>
      </c>
      <c r="EW294">
        <f ca="1"/>
      </c>
      <c r="EX294">
        <f ca="1"/>
      </c>
      <c r="EY294">
        <f ca="1"/>
      </c>
      <c r="EZ294">
        <f ca="1"/>
      </c>
      <c r="FA294">
        <f ca="1"/>
      </c>
      <c r="FB294">
        <f ca="1"/>
      </c>
      <c r="FC294">
        <f ca="1"/>
      </c>
      <c r="FD294">
        <f ca="1"/>
      </c>
      <c r="FE294">
        <f ca="1"/>
      </c>
      <c r="FF294">
        <f ca="1"/>
      </c>
      <c r="FG294">
        <f ca="1"/>
      </c>
      <c r="FH294">
        <f ca="1"/>
      </c>
      <c r="FI294">
        <f ca="1"/>
      </c>
      <c r="FJ294">
        <f ca="1"/>
      </c>
      <c r="FK294">
        <f ca="1"/>
      </c>
      <c r="FL294">
        <f ca="1"/>
      </c>
      <c r="FM294">
        <f ca="1"/>
      </c>
      <c r="FN294">
        <f ca="1"/>
      </c>
      <c r="FO294">
        <f ca="1"/>
      </c>
      <c r="FP294">
        <f ca="1"/>
      </c>
      <c r="FQ294">
        <f ca="1"/>
      </c>
      <c r="FR294">
        <f ca="1"/>
      </c>
      <c r="FS294">
        <f ca="1"/>
      </c>
      <c r="FT294">
        <f ca="1"/>
      </c>
      <c r="FU294">
        <f ca="1"/>
      </c>
      <c r="FV294">
        <f ca="1"/>
      </c>
      <c r="FW294">
        <f ca="1"/>
      </c>
      <c r="FX294">
        <f ca="1"/>
      </c>
      <c r="FY294">
        <f ca="1"/>
      </c>
      <c r="FZ294">
        <f ca="1"/>
      </c>
      <c r="GA294">
        <f ca="1"/>
      </c>
      <c r="GM294" s="7"/>
    </row>
    <row r="295" spans="41:195" x14ac:dyDescent="0.55000000000000004">
      <c r="AO295">
        <f ca="1"/>
      </c>
      <c r="AP295">
        <f ca="1"/>
      </c>
      <c r="AQ295">
        <f ca="1"/>
      </c>
      <c r="AR295">
        <f ca="1"/>
      </c>
      <c r="AS295">
        <f ca="1"/>
      </c>
      <c r="AT295">
        <f ca="1"/>
      </c>
      <c r="AU295">
        <f ca="1"/>
      </c>
      <c r="AV295">
        <f ca="1"/>
      </c>
      <c r="AW295">
        <f ca="1"/>
      </c>
      <c r="AX295">
        <f ca="1"/>
      </c>
      <c r="AY295">
        <f ca="1"/>
      </c>
      <c r="AZ295">
        <f ca="1"/>
      </c>
      <c r="BA295">
        <f ca="1"/>
      </c>
      <c r="BB295">
        <f ca="1"/>
      </c>
      <c r="BC295">
        <f ca="1"/>
      </c>
      <c r="BD295">
        <f ca="1"/>
      </c>
      <c r="BE295">
        <f ca="1"/>
      </c>
      <c r="BF295">
        <f ca="1"/>
      </c>
      <c r="BG295">
        <f ca="1"/>
      </c>
      <c r="BH295">
        <f ca="1"/>
      </c>
      <c r="BI295">
        <f ca="1"/>
      </c>
      <c r="BJ295">
        <f ca="1"/>
      </c>
      <c r="BK295">
        <f ca="1"/>
      </c>
      <c r="BL295">
        <f ca="1"/>
      </c>
      <c r="BM295">
        <f ca="1"/>
      </c>
      <c r="BN295">
        <f ca="1"/>
      </c>
      <c r="BO295">
        <f ca="1"/>
      </c>
      <c r="BP295">
        <f ca="1"/>
      </c>
      <c r="BQ295">
        <f ca="1"/>
      </c>
      <c r="BR295">
        <f ca="1"/>
      </c>
      <c r="BS295">
        <f ca="1"/>
      </c>
      <c r="BT295">
        <f ca="1"/>
      </c>
      <c r="BU295">
        <f ca="1"/>
      </c>
      <c r="BV295">
        <f ca="1"/>
      </c>
      <c r="BW295">
        <f ca="1"/>
      </c>
      <c r="BX295">
        <f ca="1"/>
      </c>
      <c r="BY295">
        <f ca="1"/>
      </c>
      <c r="BZ295">
        <f ca="1"/>
      </c>
      <c r="CA295">
        <f ca="1"/>
      </c>
      <c r="CB295">
        <f ca="1"/>
      </c>
      <c r="CC295">
        <f ca="1"/>
      </c>
      <c r="CD295">
        <f ca="1"/>
      </c>
      <c r="CE295">
        <f ca="1"/>
      </c>
      <c r="CF295">
        <f ca="1"/>
      </c>
      <c r="CG295">
        <f ca="1"/>
      </c>
      <c r="CH295">
        <f ca="1"/>
      </c>
      <c r="CI295">
        <f ca="1"/>
      </c>
      <c r="CK295">
        <f ca="1"/>
      </c>
      <c r="CL295">
        <f ca="1"/>
      </c>
      <c r="CM295">
        <f ca="1"/>
      </c>
      <c r="CN295">
        <f ca="1"/>
      </c>
      <c r="CO295">
        <f ca="1"/>
      </c>
      <c r="CP295">
        <f ca="1"/>
      </c>
      <c r="CQ295">
        <f ca="1"/>
      </c>
      <c r="CR295">
        <f ca="1"/>
      </c>
      <c r="CS295">
        <f ca="1"/>
      </c>
      <c r="CT295">
        <f ca="1"/>
      </c>
      <c r="CU295">
        <f ca="1"/>
      </c>
      <c r="CV295">
        <f ca="1"/>
      </c>
      <c r="CW295">
        <f ca="1"/>
      </c>
      <c r="CX295">
        <f ca="1"/>
      </c>
      <c r="CY295">
        <f ca="1"/>
      </c>
      <c r="CZ295">
        <f ca="1"/>
      </c>
      <c r="DA295">
        <f ca="1"/>
      </c>
      <c r="DB295">
        <f ca="1"/>
      </c>
      <c r="DC295">
        <f ca="1"/>
      </c>
      <c r="DD295">
        <f ca="1"/>
      </c>
      <c r="DE295">
        <f ca="1"/>
      </c>
      <c r="DF295">
        <f ca="1"/>
      </c>
      <c r="DG295">
        <f ca="1"/>
      </c>
      <c r="DH295">
        <f ca="1"/>
      </c>
      <c r="DI295">
        <f ca="1"/>
      </c>
      <c r="DJ295">
        <f ca="1"/>
      </c>
      <c r="DK295">
        <f ca="1"/>
      </c>
      <c r="DL295">
        <f ca="1"/>
      </c>
      <c r="DM295">
        <f ca="1"/>
      </c>
      <c r="DN295">
        <f ca="1"/>
      </c>
      <c r="DO295">
        <f ca="1"/>
      </c>
      <c r="DP295">
        <f ca="1"/>
      </c>
      <c r="DQ295">
        <f ca="1"/>
      </c>
      <c r="DR295">
        <f ca="1"/>
      </c>
      <c r="DS295">
        <f ca="1"/>
      </c>
      <c r="DT295">
        <f ca="1"/>
      </c>
      <c r="DU295">
        <f ca="1"/>
      </c>
      <c r="DV295">
        <f ca="1"/>
      </c>
      <c r="DW295">
        <f ca="1"/>
      </c>
      <c r="DX295">
        <f ca="1"/>
      </c>
      <c r="DY295">
        <f ca="1"/>
      </c>
      <c r="DZ295">
        <f ca="1"/>
      </c>
      <c r="EA295">
        <f ca="1"/>
      </c>
      <c r="EB295">
        <f ca="1"/>
      </c>
      <c r="EC295">
        <f ca="1"/>
      </c>
      <c r="ED295">
        <f ca="1"/>
      </c>
      <c r="EE295">
        <f ca="1"/>
      </c>
      <c r="EG295">
        <f ca="1"/>
      </c>
      <c r="EH295">
        <f ca="1"/>
      </c>
      <c r="EI295">
        <f ca="1"/>
      </c>
      <c r="EJ295">
        <f ca="1"/>
      </c>
      <c r="EK295">
        <f ca="1"/>
      </c>
      <c r="EL295">
        <f ca="1"/>
      </c>
      <c r="EM295">
        <f ca="1"/>
      </c>
      <c r="EN295">
        <f ca="1"/>
      </c>
      <c r="EO295">
        <f ca="1"/>
      </c>
      <c r="EP295">
        <f ca="1"/>
      </c>
      <c r="EQ295">
        <f ca="1"/>
      </c>
      <c r="ER295">
        <f ca="1"/>
      </c>
      <c r="ES295">
        <f ca="1"/>
      </c>
      <c r="ET295">
        <f ca="1"/>
      </c>
      <c r="EU295">
        <f ca="1"/>
      </c>
      <c r="EV295">
        <f ca="1"/>
      </c>
      <c r="EW295">
        <f ca="1"/>
      </c>
      <c r="EX295">
        <f ca="1"/>
      </c>
      <c r="EY295">
        <f ca="1"/>
      </c>
      <c r="EZ295">
        <f ca="1"/>
      </c>
      <c r="FA295">
        <f ca="1"/>
      </c>
      <c r="FB295">
        <f ca="1"/>
      </c>
      <c r="FC295">
        <f ca="1"/>
      </c>
      <c r="FD295">
        <f ca="1"/>
      </c>
      <c r="FE295">
        <f ca="1"/>
      </c>
      <c r="FF295">
        <f ca="1"/>
      </c>
      <c r="FG295">
        <f ca="1"/>
      </c>
      <c r="FH295">
        <f ca="1"/>
      </c>
      <c r="FI295">
        <f ca="1"/>
      </c>
      <c r="FJ295">
        <f ca="1"/>
      </c>
      <c r="FK295">
        <f ca="1"/>
      </c>
      <c r="FL295">
        <f ca="1"/>
      </c>
      <c r="FM295">
        <f ca="1"/>
      </c>
      <c r="FN295">
        <f ca="1"/>
      </c>
      <c r="FO295">
        <f ca="1"/>
      </c>
      <c r="FP295">
        <f ca="1"/>
      </c>
      <c r="FQ295">
        <f ca="1"/>
      </c>
      <c r="FR295">
        <f ca="1"/>
      </c>
      <c r="FS295">
        <f ca="1"/>
      </c>
      <c r="FT295">
        <f ca="1"/>
      </c>
      <c r="FU295">
        <f ca="1"/>
      </c>
      <c r="FV295">
        <f ca="1"/>
      </c>
      <c r="FW295">
        <f ca="1"/>
      </c>
      <c r="FX295">
        <f ca="1"/>
      </c>
      <c r="FY295">
        <f ca="1"/>
      </c>
      <c r="FZ295">
        <f ca="1"/>
      </c>
      <c r="GA295">
        <f ca="1"/>
      </c>
      <c r="GM295" s="7"/>
    </row>
    <row r="296" spans="41:195" x14ac:dyDescent="0.55000000000000004">
      <c r="AO296">
        <f ca="1"/>
      </c>
      <c r="AP296">
        <f ca="1"/>
      </c>
      <c r="AQ296">
        <f ca="1"/>
      </c>
      <c r="AR296">
        <f ca="1"/>
      </c>
      <c r="AS296">
        <f ca="1"/>
      </c>
      <c r="AT296">
        <f ca="1"/>
      </c>
      <c r="AU296">
        <f ca="1"/>
      </c>
      <c r="AV296">
        <f ca="1"/>
      </c>
      <c r="AW296">
        <f ca="1"/>
      </c>
      <c r="AX296">
        <f ca="1"/>
      </c>
      <c r="AY296">
        <f ca="1"/>
      </c>
      <c r="AZ296">
        <f ca="1"/>
      </c>
      <c r="BA296">
        <f ca="1"/>
      </c>
      <c r="BB296">
        <f ca="1"/>
      </c>
      <c r="BC296">
        <f ca="1"/>
      </c>
      <c r="BD296">
        <f ca="1"/>
      </c>
      <c r="BE296">
        <f ca="1"/>
      </c>
      <c r="BF296">
        <f ca="1"/>
      </c>
      <c r="BG296">
        <f ca="1"/>
      </c>
      <c r="BH296">
        <f ca="1"/>
      </c>
      <c r="BI296">
        <f ca="1"/>
      </c>
      <c r="BJ296">
        <f ca="1"/>
      </c>
      <c r="BK296">
        <f ca="1"/>
      </c>
      <c r="BL296">
        <f ca="1"/>
      </c>
      <c r="BM296">
        <f ca="1"/>
      </c>
      <c r="BN296">
        <f ca="1"/>
      </c>
      <c r="BO296">
        <f ca="1"/>
      </c>
      <c r="BP296">
        <f ca="1"/>
      </c>
      <c r="BQ296">
        <f ca="1"/>
      </c>
      <c r="BR296">
        <f ca="1"/>
      </c>
      <c r="BS296">
        <f ca="1"/>
      </c>
      <c r="BT296">
        <f ca="1"/>
      </c>
      <c r="BU296">
        <f ca="1"/>
      </c>
      <c r="BV296">
        <f ca="1"/>
      </c>
      <c r="BW296">
        <f ca="1"/>
      </c>
      <c r="BX296">
        <f ca="1"/>
      </c>
      <c r="BY296">
        <f ca="1"/>
      </c>
      <c r="BZ296">
        <f ca="1"/>
      </c>
      <c r="CA296">
        <f ca="1"/>
      </c>
      <c r="CB296">
        <f ca="1"/>
      </c>
      <c r="CC296">
        <f ca="1"/>
      </c>
      <c r="CD296">
        <f ca="1"/>
      </c>
      <c r="CE296">
        <f ca="1"/>
      </c>
      <c r="CF296">
        <f ca="1"/>
      </c>
      <c r="CG296">
        <f ca="1"/>
      </c>
      <c r="CH296">
        <f ca="1"/>
      </c>
      <c r="CI296">
        <f ca="1"/>
      </c>
      <c r="CK296">
        <f ca="1"/>
      </c>
      <c r="CL296">
        <f ca="1"/>
      </c>
      <c r="CM296">
        <f ca="1"/>
      </c>
      <c r="CN296">
        <f ca="1"/>
      </c>
      <c r="CO296">
        <f ca="1"/>
      </c>
      <c r="CP296">
        <f ca="1"/>
      </c>
      <c r="CQ296">
        <f ca="1"/>
      </c>
      <c r="CR296">
        <f ca="1"/>
      </c>
      <c r="CS296">
        <f ca="1"/>
      </c>
      <c r="CT296">
        <f ca="1"/>
      </c>
      <c r="CU296">
        <f ca="1"/>
      </c>
      <c r="CV296">
        <f ca="1"/>
      </c>
      <c r="CW296">
        <f ca="1"/>
      </c>
      <c r="CX296">
        <f ca="1"/>
      </c>
      <c r="CY296">
        <f ca="1"/>
      </c>
      <c r="CZ296">
        <f ca="1"/>
      </c>
      <c r="DA296">
        <f ca="1"/>
      </c>
      <c r="DB296">
        <f ca="1"/>
      </c>
      <c r="DC296">
        <f ca="1"/>
      </c>
      <c r="DD296">
        <f ca="1"/>
      </c>
      <c r="DE296">
        <f ca="1"/>
      </c>
      <c r="DF296">
        <f ca="1"/>
      </c>
      <c r="DG296">
        <f ca="1"/>
      </c>
      <c r="DH296">
        <f ca="1"/>
      </c>
      <c r="DI296">
        <f ca="1"/>
      </c>
      <c r="DJ296">
        <f ca="1"/>
      </c>
      <c r="DK296">
        <f ca="1"/>
      </c>
      <c r="DL296">
        <f ca="1"/>
      </c>
      <c r="DM296">
        <f ca="1"/>
      </c>
      <c r="DN296">
        <f ca="1"/>
      </c>
      <c r="DO296">
        <f ca="1"/>
      </c>
      <c r="DP296">
        <f ca="1"/>
      </c>
      <c r="DQ296">
        <f ca="1"/>
      </c>
      <c r="DR296">
        <f ca="1"/>
      </c>
      <c r="DS296">
        <f ca="1"/>
      </c>
      <c r="DT296">
        <f ca="1"/>
      </c>
      <c r="DU296">
        <f ca="1"/>
      </c>
      <c r="DV296">
        <f ca="1"/>
      </c>
      <c r="DW296">
        <f ca="1"/>
      </c>
      <c r="DX296">
        <f ca="1"/>
      </c>
      <c r="DY296">
        <f ca="1"/>
      </c>
      <c r="DZ296">
        <f ca="1"/>
      </c>
      <c r="EA296">
        <f ca="1"/>
      </c>
      <c r="EB296">
        <f ca="1"/>
      </c>
      <c r="EC296">
        <f ca="1"/>
      </c>
      <c r="ED296">
        <f ca="1"/>
      </c>
      <c r="EE296">
        <f ca="1"/>
      </c>
      <c r="EG296">
        <f ca="1"/>
      </c>
      <c r="EH296">
        <f ca="1"/>
      </c>
      <c r="EI296">
        <f ca="1"/>
      </c>
      <c r="EJ296">
        <f ca="1"/>
      </c>
      <c r="EK296">
        <f ca="1"/>
      </c>
      <c r="EL296">
        <f ca="1"/>
      </c>
      <c r="EM296">
        <f ca="1"/>
      </c>
      <c r="EN296">
        <f ca="1"/>
      </c>
      <c r="EO296">
        <f ca="1"/>
      </c>
      <c r="EP296">
        <f ca="1"/>
      </c>
      <c r="EQ296">
        <f ca="1"/>
      </c>
      <c r="ER296">
        <f ca="1"/>
      </c>
      <c r="ES296">
        <f ca="1"/>
      </c>
      <c r="ET296">
        <f ca="1"/>
      </c>
      <c r="EU296">
        <f ca="1"/>
      </c>
      <c r="EV296">
        <f ca="1"/>
      </c>
      <c r="EW296">
        <f ca="1"/>
      </c>
      <c r="EX296">
        <f ca="1"/>
      </c>
      <c r="EY296">
        <f ca="1"/>
      </c>
      <c r="EZ296">
        <f ca="1"/>
      </c>
      <c r="FA296">
        <f ca="1"/>
      </c>
      <c r="FB296">
        <f ca="1"/>
      </c>
      <c r="FC296">
        <f ca="1"/>
      </c>
      <c r="FD296">
        <f ca="1"/>
      </c>
      <c r="FE296">
        <f ca="1"/>
      </c>
      <c r="FF296">
        <f ca="1"/>
      </c>
      <c r="FG296">
        <f ca="1"/>
      </c>
      <c r="FH296">
        <f ca="1"/>
      </c>
      <c r="FI296">
        <f ca="1"/>
      </c>
      <c r="FJ296">
        <f ca="1"/>
      </c>
      <c r="FK296">
        <f ca="1"/>
      </c>
      <c r="FL296">
        <f ca="1"/>
      </c>
      <c r="FM296">
        <f ca="1"/>
      </c>
      <c r="FN296">
        <f ca="1"/>
      </c>
      <c r="FO296">
        <f ca="1"/>
      </c>
      <c r="FP296">
        <f ca="1"/>
      </c>
      <c r="FQ296">
        <f ca="1"/>
      </c>
      <c r="FR296">
        <f ca="1"/>
      </c>
      <c r="FS296">
        <f ca="1"/>
      </c>
      <c r="FT296">
        <f ca="1"/>
      </c>
      <c r="FU296">
        <f ca="1"/>
      </c>
      <c r="FV296">
        <f ca="1"/>
      </c>
      <c r="FW296">
        <f ca="1"/>
      </c>
      <c r="FX296">
        <f ca="1"/>
      </c>
      <c r="FY296">
        <f ca="1"/>
      </c>
      <c r="FZ296">
        <f ca="1"/>
      </c>
      <c r="GA296">
        <f ca="1"/>
      </c>
      <c r="GM296" s="7"/>
    </row>
    <row r="297" spans="41:195" x14ac:dyDescent="0.55000000000000004">
      <c r="AO297">
        <f ca="1"/>
      </c>
      <c r="AP297">
        <f ca="1"/>
      </c>
      <c r="AQ297">
        <f ca="1"/>
      </c>
      <c r="AR297">
        <f ca="1"/>
      </c>
      <c r="AS297">
        <f ca="1"/>
      </c>
      <c r="AT297">
        <f ca="1"/>
      </c>
      <c r="AU297">
        <f ca="1"/>
      </c>
      <c r="AV297">
        <f ca="1"/>
      </c>
      <c r="AW297">
        <f ca="1"/>
      </c>
      <c r="AX297">
        <f ca="1"/>
      </c>
      <c r="AY297">
        <f ca="1"/>
      </c>
      <c r="AZ297">
        <f ca="1"/>
      </c>
      <c r="BA297">
        <f ca="1"/>
      </c>
      <c r="BB297">
        <f ca="1"/>
      </c>
      <c r="BC297">
        <f ca="1"/>
      </c>
      <c r="BD297">
        <f ca="1"/>
      </c>
      <c r="BE297">
        <f ca="1"/>
      </c>
      <c r="BF297">
        <f ca="1"/>
      </c>
      <c r="BG297">
        <f ca="1"/>
      </c>
      <c r="BH297">
        <f ca="1"/>
      </c>
      <c r="BI297">
        <f ca="1"/>
      </c>
      <c r="BJ297">
        <f ca="1"/>
      </c>
      <c r="BK297">
        <f ca="1"/>
      </c>
      <c r="BL297">
        <f ca="1"/>
      </c>
      <c r="BM297">
        <f ca="1"/>
      </c>
      <c r="BN297">
        <f ca="1"/>
      </c>
      <c r="BO297">
        <f ca="1"/>
      </c>
      <c r="BP297">
        <f ca="1"/>
      </c>
      <c r="BQ297">
        <f ca="1"/>
      </c>
      <c r="BR297">
        <f ca="1"/>
      </c>
      <c r="BS297">
        <f ca="1"/>
      </c>
      <c r="BT297">
        <f ca="1"/>
      </c>
      <c r="BU297">
        <f ca="1"/>
      </c>
      <c r="BV297">
        <f ca="1"/>
      </c>
      <c r="BW297">
        <f ca="1"/>
      </c>
      <c r="BX297">
        <f ca="1"/>
      </c>
      <c r="BY297">
        <f ca="1"/>
      </c>
      <c r="BZ297">
        <f ca="1"/>
      </c>
      <c r="CA297">
        <f ca="1"/>
      </c>
      <c r="CB297">
        <f ca="1"/>
      </c>
      <c r="CC297">
        <f ca="1"/>
      </c>
      <c r="CD297">
        <f ca="1"/>
      </c>
      <c r="CE297">
        <f ca="1"/>
      </c>
      <c r="CF297">
        <f ca="1"/>
      </c>
      <c r="CG297">
        <f ca="1"/>
      </c>
      <c r="CH297">
        <f ca="1"/>
      </c>
      <c r="CI297">
        <f ca="1"/>
      </c>
      <c r="CK297">
        <f ca="1"/>
      </c>
      <c r="CL297">
        <f ca="1"/>
      </c>
      <c r="CM297">
        <f ca="1"/>
      </c>
      <c r="CN297">
        <f ca="1"/>
      </c>
      <c r="CO297">
        <f ca="1"/>
      </c>
      <c r="CP297">
        <f ca="1"/>
      </c>
      <c r="CQ297">
        <f ca="1"/>
      </c>
      <c r="CR297">
        <f ca="1"/>
      </c>
      <c r="CS297">
        <f ca="1"/>
      </c>
      <c r="CT297">
        <f ca="1"/>
      </c>
      <c r="CU297">
        <f ca="1"/>
      </c>
      <c r="CV297">
        <f ca="1"/>
      </c>
      <c r="CW297">
        <f ca="1"/>
      </c>
      <c r="CX297">
        <f ca="1"/>
      </c>
      <c r="CY297">
        <f ca="1"/>
      </c>
      <c r="CZ297">
        <f ca="1"/>
      </c>
      <c r="DA297">
        <f ca="1"/>
      </c>
      <c r="DB297">
        <f ca="1"/>
      </c>
      <c r="DC297">
        <f ca="1"/>
      </c>
      <c r="DD297">
        <f ca="1"/>
      </c>
      <c r="DE297">
        <f ca="1"/>
      </c>
      <c r="DF297">
        <f ca="1"/>
      </c>
      <c r="DG297">
        <f ca="1"/>
      </c>
      <c r="DH297">
        <f ca="1"/>
      </c>
      <c r="DI297">
        <f ca="1"/>
      </c>
      <c r="DJ297">
        <f ca="1"/>
      </c>
      <c r="DK297">
        <f ca="1"/>
      </c>
      <c r="DL297">
        <f ca="1"/>
      </c>
      <c r="DM297">
        <f ca="1"/>
      </c>
      <c r="DN297">
        <f ca="1"/>
      </c>
      <c r="DO297">
        <f ca="1"/>
      </c>
      <c r="DP297">
        <f ca="1"/>
      </c>
      <c r="DQ297">
        <f ca="1"/>
      </c>
      <c r="DR297">
        <f ca="1"/>
      </c>
      <c r="DS297">
        <f ca="1"/>
      </c>
      <c r="DT297">
        <f ca="1"/>
      </c>
      <c r="DU297">
        <f ca="1"/>
      </c>
      <c r="DV297">
        <f ca="1"/>
      </c>
      <c r="DW297">
        <f ca="1"/>
      </c>
      <c r="DX297">
        <f ca="1"/>
      </c>
      <c r="DY297">
        <f ca="1"/>
      </c>
      <c r="DZ297">
        <f ca="1"/>
      </c>
      <c r="EA297">
        <f ca="1"/>
      </c>
      <c r="EB297">
        <f ca="1"/>
      </c>
      <c r="EC297">
        <f ca="1"/>
      </c>
      <c r="ED297">
        <f ca="1"/>
      </c>
      <c r="EE297">
        <f ca="1"/>
      </c>
      <c r="EG297">
        <f ca="1"/>
      </c>
      <c r="EH297">
        <f ca="1"/>
      </c>
      <c r="EI297">
        <f ca="1"/>
      </c>
      <c r="EJ297">
        <f ca="1"/>
      </c>
      <c r="EK297">
        <f ca="1"/>
      </c>
      <c r="EL297">
        <f ca="1"/>
      </c>
      <c r="EM297">
        <f ca="1"/>
      </c>
      <c r="EN297">
        <f ca="1"/>
      </c>
      <c r="EO297">
        <f ca="1"/>
      </c>
      <c r="EP297">
        <f ca="1"/>
      </c>
      <c r="EQ297">
        <f ca="1"/>
      </c>
      <c r="ER297">
        <f ca="1"/>
      </c>
      <c r="ES297">
        <f ca="1"/>
      </c>
      <c r="ET297">
        <f ca="1"/>
      </c>
      <c r="EU297">
        <f ca="1"/>
      </c>
      <c r="EV297">
        <f ca="1"/>
      </c>
      <c r="EW297">
        <f ca="1"/>
      </c>
      <c r="EX297">
        <f ca="1"/>
      </c>
      <c r="EY297">
        <f ca="1"/>
      </c>
      <c r="EZ297">
        <f ca="1"/>
      </c>
      <c r="FA297">
        <f ca="1"/>
      </c>
      <c r="FB297">
        <f ca="1"/>
      </c>
      <c r="FC297">
        <f ca="1"/>
      </c>
      <c r="FD297">
        <f ca="1"/>
      </c>
      <c r="FE297">
        <f ca="1"/>
      </c>
      <c r="FF297">
        <f ca="1"/>
      </c>
      <c r="FG297">
        <f ca="1"/>
      </c>
      <c r="FH297">
        <f ca="1"/>
      </c>
      <c r="FI297">
        <f ca="1"/>
      </c>
      <c r="FJ297">
        <f ca="1"/>
      </c>
      <c r="FK297">
        <f ca="1"/>
      </c>
      <c r="FL297">
        <f ca="1"/>
      </c>
      <c r="FM297">
        <f ca="1"/>
      </c>
      <c r="FN297">
        <f ca="1"/>
      </c>
      <c r="FO297">
        <f ca="1"/>
      </c>
      <c r="FP297">
        <f ca="1"/>
      </c>
      <c r="FQ297">
        <f ca="1"/>
      </c>
      <c r="FR297">
        <f ca="1"/>
      </c>
      <c r="FS297">
        <f ca="1"/>
      </c>
      <c r="FT297">
        <f ca="1"/>
      </c>
      <c r="FU297">
        <f ca="1"/>
      </c>
      <c r="FV297">
        <f ca="1"/>
      </c>
      <c r="FW297">
        <f ca="1"/>
      </c>
      <c r="FX297">
        <f ca="1"/>
      </c>
      <c r="FY297">
        <f ca="1"/>
      </c>
      <c r="FZ297">
        <f ca="1"/>
      </c>
      <c r="GA297">
        <f ca="1"/>
      </c>
      <c r="GM297" s="7"/>
    </row>
    <row r="298" spans="41:195" x14ac:dyDescent="0.55000000000000004">
      <c r="AO298">
        <f ca="1"/>
      </c>
      <c r="AP298">
        <f ca="1"/>
      </c>
      <c r="AQ298">
        <f ca="1"/>
      </c>
      <c r="AR298">
        <f ca="1"/>
      </c>
      <c r="AS298">
        <f ca="1"/>
      </c>
      <c r="AT298">
        <f ca="1"/>
      </c>
      <c r="AU298">
        <f ca="1"/>
      </c>
      <c r="AV298">
        <f ca="1"/>
      </c>
      <c r="AW298">
        <f ca="1"/>
      </c>
      <c r="AX298">
        <f ca="1"/>
      </c>
      <c r="AY298">
        <f ca="1"/>
      </c>
      <c r="AZ298">
        <f ca="1"/>
      </c>
      <c r="BA298">
        <f ca="1"/>
      </c>
      <c r="BB298">
        <f ca="1"/>
      </c>
      <c r="BC298">
        <f ca="1"/>
      </c>
      <c r="BD298">
        <f ca="1"/>
      </c>
      <c r="BE298">
        <f ca="1"/>
      </c>
      <c r="BF298">
        <f ca="1"/>
      </c>
      <c r="BG298">
        <f ca="1"/>
      </c>
      <c r="BH298">
        <f ca="1"/>
      </c>
      <c r="BI298">
        <f ca="1"/>
      </c>
      <c r="BJ298">
        <f ca="1"/>
      </c>
      <c r="BK298">
        <f ca="1"/>
      </c>
      <c r="BL298">
        <f ca="1"/>
      </c>
      <c r="BM298">
        <f ca="1"/>
      </c>
      <c r="BN298">
        <f ca="1"/>
      </c>
      <c r="BO298">
        <f ca="1"/>
      </c>
      <c r="BP298">
        <f ca="1"/>
      </c>
      <c r="BQ298">
        <f ca="1"/>
      </c>
      <c r="BR298">
        <f ca="1"/>
      </c>
      <c r="BS298">
        <f ca="1"/>
      </c>
      <c r="BT298">
        <f ca="1"/>
      </c>
      <c r="BU298">
        <f ca="1"/>
      </c>
      <c r="BV298">
        <f ca="1"/>
      </c>
      <c r="BW298">
        <f ca="1"/>
      </c>
      <c r="BX298">
        <f ca="1"/>
      </c>
      <c r="BY298">
        <f ca="1"/>
      </c>
      <c r="BZ298">
        <f ca="1"/>
      </c>
      <c r="CA298">
        <f ca="1"/>
      </c>
      <c r="CB298">
        <f ca="1"/>
      </c>
      <c r="CC298">
        <f ca="1"/>
      </c>
      <c r="CD298">
        <f ca="1"/>
      </c>
      <c r="CE298">
        <f ca="1"/>
      </c>
      <c r="CF298">
        <f ca="1"/>
      </c>
      <c r="CG298">
        <f ca="1"/>
      </c>
      <c r="CH298">
        <f ca="1"/>
      </c>
      <c r="CI298">
        <f ca="1"/>
      </c>
      <c r="CK298">
        <f ca="1"/>
      </c>
      <c r="CL298">
        <f ca="1"/>
      </c>
      <c r="CM298">
        <f ca="1"/>
      </c>
      <c r="CN298">
        <f ca="1"/>
      </c>
      <c r="CO298">
        <f ca="1"/>
      </c>
      <c r="CP298">
        <f ca="1"/>
      </c>
      <c r="CQ298">
        <f ca="1"/>
      </c>
      <c r="CR298">
        <f ca="1"/>
      </c>
      <c r="CS298">
        <f ca="1"/>
      </c>
      <c r="CT298">
        <f ca="1"/>
      </c>
      <c r="CU298">
        <f ca="1"/>
      </c>
      <c r="CV298">
        <f ca="1"/>
      </c>
      <c r="CW298">
        <f ca="1"/>
      </c>
      <c r="CX298">
        <f ca="1"/>
      </c>
      <c r="CY298">
        <f ca="1"/>
      </c>
      <c r="CZ298">
        <f ca="1"/>
      </c>
      <c r="DA298">
        <f ca="1"/>
      </c>
      <c r="DB298">
        <f ca="1"/>
      </c>
      <c r="DC298">
        <f ca="1"/>
      </c>
      <c r="DD298">
        <f ca="1"/>
      </c>
      <c r="DE298">
        <f ca="1"/>
      </c>
      <c r="DF298">
        <f ca="1"/>
      </c>
      <c r="DG298">
        <f ca="1"/>
      </c>
      <c r="DH298">
        <f ca="1"/>
      </c>
      <c r="DI298">
        <f ca="1"/>
      </c>
      <c r="DJ298">
        <f ca="1"/>
      </c>
      <c r="DK298">
        <f ca="1"/>
      </c>
      <c r="DL298">
        <f ca="1"/>
      </c>
      <c r="DM298">
        <f ca="1"/>
      </c>
      <c r="DN298">
        <f ca="1"/>
      </c>
      <c r="DO298">
        <f ca="1"/>
      </c>
      <c r="DP298">
        <f ca="1"/>
      </c>
      <c r="DQ298">
        <f ca="1"/>
      </c>
      <c r="DR298">
        <f ca="1"/>
      </c>
      <c r="DS298">
        <f ca="1"/>
      </c>
      <c r="DT298">
        <f ca="1"/>
      </c>
      <c r="DU298">
        <f ca="1"/>
      </c>
      <c r="DV298">
        <f ca="1"/>
      </c>
      <c r="DW298">
        <f ca="1"/>
      </c>
      <c r="DX298">
        <f ca="1"/>
      </c>
      <c r="DY298">
        <f ca="1"/>
      </c>
      <c r="DZ298">
        <f ca="1"/>
      </c>
      <c r="EA298">
        <f ca="1"/>
      </c>
      <c r="EB298">
        <f ca="1"/>
      </c>
      <c r="EC298">
        <f ca="1"/>
      </c>
      <c r="ED298">
        <f ca="1"/>
      </c>
      <c r="EE298">
        <f ca="1"/>
      </c>
      <c r="EG298">
        <f ca="1"/>
      </c>
      <c r="EH298">
        <f ca="1"/>
      </c>
      <c r="EI298">
        <f ca="1"/>
      </c>
      <c r="EJ298">
        <f ca="1"/>
      </c>
      <c r="EK298">
        <f ca="1"/>
      </c>
      <c r="EL298">
        <f ca="1"/>
      </c>
      <c r="EM298">
        <f ca="1"/>
      </c>
      <c r="EN298">
        <f ca="1"/>
      </c>
      <c r="EO298">
        <f ca="1"/>
      </c>
      <c r="EP298">
        <f ca="1"/>
      </c>
      <c r="EQ298">
        <f ca="1"/>
      </c>
      <c r="ER298">
        <f ca="1"/>
      </c>
      <c r="ES298">
        <f ca="1"/>
      </c>
      <c r="ET298">
        <f ca="1"/>
      </c>
      <c r="EU298">
        <f ca="1"/>
      </c>
      <c r="EV298">
        <f ca="1"/>
      </c>
      <c r="EW298">
        <f ca="1"/>
      </c>
      <c r="EX298">
        <f ca="1"/>
      </c>
      <c r="EY298">
        <f ca="1"/>
      </c>
      <c r="EZ298">
        <f ca="1"/>
      </c>
      <c r="FA298">
        <f ca="1"/>
      </c>
      <c r="FB298">
        <f ca="1"/>
      </c>
      <c r="FC298">
        <f ca="1"/>
      </c>
      <c r="FD298">
        <f ca="1"/>
      </c>
      <c r="FE298">
        <f ca="1"/>
      </c>
      <c r="FF298">
        <f ca="1"/>
      </c>
      <c r="FG298">
        <f ca="1"/>
      </c>
      <c r="FH298">
        <f ca="1"/>
      </c>
      <c r="FI298">
        <f ca="1"/>
      </c>
      <c r="FJ298">
        <f ca="1"/>
      </c>
      <c r="FK298">
        <f ca="1"/>
      </c>
      <c r="FL298">
        <f ca="1"/>
      </c>
      <c r="FM298">
        <f ca="1"/>
      </c>
      <c r="FN298">
        <f ca="1"/>
      </c>
      <c r="FO298">
        <f ca="1"/>
      </c>
      <c r="FP298">
        <f ca="1"/>
      </c>
      <c r="FQ298">
        <f ca="1"/>
      </c>
      <c r="FR298">
        <f ca="1"/>
      </c>
      <c r="FS298">
        <f ca="1"/>
      </c>
      <c r="FT298">
        <f ca="1"/>
      </c>
      <c r="FU298">
        <f ca="1"/>
      </c>
      <c r="FV298">
        <f ca="1"/>
      </c>
      <c r="FW298">
        <f ca="1"/>
      </c>
      <c r="FX298">
        <f ca="1"/>
      </c>
      <c r="FY298">
        <f ca="1"/>
      </c>
      <c r="FZ298">
        <f ca="1"/>
      </c>
      <c r="GA298">
        <f ca="1"/>
      </c>
      <c r="GM298" s="7"/>
    </row>
    <row r="299" spans="41:195" x14ac:dyDescent="0.55000000000000004">
      <c r="AO299">
        <f ca="1"/>
      </c>
      <c r="AP299">
        <f ca="1"/>
      </c>
      <c r="AQ299">
        <f ca="1"/>
      </c>
      <c r="AR299">
        <f ca="1"/>
      </c>
      <c r="AS299">
        <f ca="1"/>
      </c>
      <c r="AT299">
        <f ca="1"/>
      </c>
      <c r="AU299">
        <f ca="1"/>
      </c>
      <c r="AV299">
        <f ca="1"/>
      </c>
      <c r="AW299">
        <f ca="1"/>
      </c>
      <c r="AX299">
        <f ca="1"/>
      </c>
      <c r="AY299">
        <f ca="1"/>
      </c>
      <c r="AZ299">
        <f ca="1"/>
      </c>
      <c r="BA299">
        <f ca="1"/>
      </c>
      <c r="BB299">
        <f ca="1"/>
      </c>
      <c r="BC299">
        <f ca="1"/>
      </c>
      <c r="BD299">
        <f ca="1"/>
      </c>
      <c r="BE299">
        <f ca="1"/>
      </c>
      <c r="BF299">
        <f ca="1"/>
      </c>
      <c r="BG299">
        <f ca="1"/>
      </c>
      <c r="BH299">
        <f ca="1"/>
      </c>
      <c r="BI299">
        <f ca="1"/>
      </c>
      <c r="BJ299">
        <f ca="1"/>
      </c>
      <c r="BK299">
        <f ca="1"/>
      </c>
      <c r="BL299">
        <f ca="1"/>
      </c>
      <c r="BM299">
        <f ca="1"/>
      </c>
      <c r="BN299">
        <f ca="1"/>
      </c>
      <c r="BO299">
        <f ca="1"/>
      </c>
      <c r="BP299">
        <f ca="1"/>
      </c>
      <c r="BQ299">
        <f ca="1"/>
      </c>
      <c r="BR299">
        <f ca="1"/>
      </c>
      <c r="BS299">
        <f ca="1"/>
      </c>
      <c r="BT299">
        <f ca="1"/>
      </c>
      <c r="BU299">
        <f ca="1"/>
      </c>
      <c r="BV299">
        <f ca="1"/>
      </c>
      <c r="BW299">
        <f ca="1"/>
      </c>
      <c r="BX299">
        <f ca="1"/>
      </c>
      <c r="BY299">
        <f ca="1"/>
      </c>
      <c r="BZ299">
        <f ca="1"/>
      </c>
      <c r="CA299">
        <f ca="1"/>
      </c>
      <c r="CB299">
        <f ca="1"/>
      </c>
      <c r="CC299">
        <f ca="1"/>
      </c>
      <c r="CD299">
        <f ca="1"/>
      </c>
      <c r="CE299">
        <f ca="1"/>
      </c>
      <c r="CF299">
        <f ca="1"/>
      </c>
      <c r="CG299">
        <f ca="1"/>
      </c>
      <c r="CH299">
        <f ca="1"/>
      </c>
      <c r="CI299">
        <f ca="1"/>
      </c>
      <c r="CK299">
        <f ca="1"/>
      </c>
      <c r="CL299">
        <f ca="1"/>
      </c>
      <c r="CM299">
        <f ca="1"/>
      </c>
      <c r="CN299">
        <f ca="1"/>
      </c>
      <c r="CO299">
        <f ca="1"/>
      </c>
      <c r="CP299">
        <f ca="1"/>
      </c>
      <c r="CQ299">
        <f ca="1"/>
      </c>
      <c r="CR299">
        <f ca="1"/>
      </c>
      <c r="CS299">
        <f ca="1"/>
      </c>
      <c r="CT299">
        <f ca="1"/>
      </c>
      <c r="CU299">
        <f ca="1"/>
      </c>
      <c r="CV299">
        <f ca="1"/>
      </c>
      <c r="CW299">
        <f ca="1"/>
      </c>
      <c r="CX299">
        <f ca="1"/>
      </c>
      <c r="CY299">
        <f ca="1"/>
      </c>
      <c r="CZ299">
        <f ca="1"/>
      </c>
      <c r="DA299">
        <f ca="1"/>
      </c>
      <c r="DB299">
        <f ca="1"/>
      </c>
      <c r="DC299">
        <f ca="1"/>
      </c>
      <c r="DD299">
        <f ca="1"/>
      </c>
      <c r="DE299">
        <f ca="1"/>
      </c>
      <c r="DF299">
        <f ca="1"/>
      </c>
      <c r="DG299">
        <f ca="1"/>
      </c>
      <c r="DH299">
        <f ca="1"/>
      </c>
      <c r="DI299">
        <f ca="1"/>
      </c>
      <c r="DJ299">
        <f ca="1"/>
      </c>
      <c r="DK299">
        <f ca="1"/>
      </c>
      <c r="DL299">
        <f ca="1"/>
      </c>
      <c r="DM299">
        <f ca="1"/>
      </c>
      <c r="DN299">
        <f ca="1"/>
      </c>
      <c r="DO299">
        <f ca="1"/>
      </c>
      <c r="DP299">
        <f ca="1"/>
      </c>
      <c r="DQ299">
        <f ca="1"/>
      </c>
      <c r="DR299">
        <f ca="1"/>
      </c>
      <c r="DS299">
        <f ca="1"/>
      </c>
      <c r="DT299">
        <f ca="1"/>
      </c>
      <c r="DU299">
        <f ca="1"/>
      </c>
      <c r="DV299">
        <f ca="1"/>
      </c>
      <c r="DW299">
        <f ca="1"/>
      </c>
      <c r="DX299">
        <f ca="1"/>
      </c>
      <c r="DY299">
        <f ca="1"/>
      </c>
      <c r="DZ299">
        <f ca="1"/>
      </c>
      <c r="EA299">
        <f ca="1"/>
      </c>
      <c r="EB299">
        <f ca="1"/>
      </c>
      <c r="EC299">
        <f ca="1"/>
      </c>
      <c r="ED299">
        <f ca="1"/>
      </c>
      <c r="EE299">
        <f ca="1"/>
      </c>
      <c r="EG299">
        <f ca="1"/>
      </c>
      <c r="EH299">
        <f ca="1"/>
      </c>
      <c r="EI299">
        <f ca="1"/>
      </c>
      <c r="EJ299">
        <f ca="1"/>
      </c>
      <c r="EK299">
        <f ca="1"/>
      </c>
      <c r="EL299">
        <f ca="1"/>
      </c>
      <c r="EM299">
        <f ca="1"/>
      </c>
      <c r="EN299">
        <f ca="1"/>
      </c>
      <c r="EO299">
        <f ca="1"/>
      </c>
      <c r="EP299">
        <f ca="1"/>
      </c>
      <c r="EQ299">
        <f ca="1"/>
      </c>
      <c r="ER299">
        <f ca="1"/>
      </c>
      <c r="ES299">
        <f ca="1"/>
      </c>
      <c r="ET299">
        <f ca="1"/>
      </c>
      <c r="EU299">
        <f ca="1"/>
      </c>
      <c r="EV299">
        <f ca="1"/>
      </c>
      <c r="EW299">
        <f ca="1"/>
      </c>
      <c r="EX299">
        <f ca="1"/>
      </c>
      <c r="EY299">
        <f ca="1"/>
      </c>
      <c r="EZ299">
        <f ca="1"/>
      </c>
      <c r="FA299">
        <f ca="1"/>
      </c>
      <c r="FB299">
        <f ca="1"/>
      </c>
      <c r="FC299">
        <f ca="1"/>
      </c>
      <c r="FD299">
        <f ca="1"/>
      </c>
      <c r="FE299">
        <f ca="1"/>
      </c>
      <c r="FF299">
        <f ca="1"/>
      </c>
      <c r="FG299">
        <f ca="1"/>
      </c>
      <c r="FH299">
        <f ca="1"/>
      </c>
      <c r="FI299">
        <f ca="1"/>
      </c>
      <c r="FJ299">
        <f ca="1"/>
      </c>
      <c r="FK299">
        <f ca="1"/>
      </c>
      <c r="FL299">
        <f ca="1"/>
      </c>
      <c r="FM299">
        <f ca="1"/>
      </c>
      <c r="FN299">
        <f ca="1"/>
      </c>
      <c r="FO299">
        <f ca="1"/>
      </c>
      <c r="FP299">
        <f ca="1"/>
      </c>
      <c r="FQ299">
        <f ca="1"/>
      </c>
      <c r="FR299">
        <f ca="1"/>
      </c>
      <c r="FS299">
        <f ca="1"/>
      </c>
      <c r="FT299">
        <f ca="1"/>
      </c>
      <c r="FU299">
        <f ca="1"/>
      </c>
      <c r="FV299">
        <f ca="1"/>
      </c>
      <c r="FW299">
        <f ca="1"/>
      </c>
      <c r="FX299">
        <f ca="1"/>
      </c>
      <c r="FY299">
        <f ca="1"/>
      </c>
      <c r="FZ299">
        <f ca="1"/>
      </c>
      <c r="GA299">
        <f ca="1"/>
      </c>
      <c r="GM299" s="7"/>
    </row>
    <row r="300" spans="41:195" x14ac:dyDescent="0.55000000000000004">
      <c r="AO300">
        <f ca="1"/>
      </c>
      <c r="AP300">
        <f ca="1"/>
      </c>
      <c r="AQ300">
        <f ca="1"/>
      </c>
      <c r="AR300">
        <f ca="1"/>
      </c>
      <c r="AS300">
        <f ca="1"/>
      </c>
      <c r="AT300">
        <f ca="1"/>
      </c>
      <c r="AU300">
        <f ca="1"/>
      </c>
      <c r="AV300">
        <f ca="1"/>
      </c>
      <c r="AW300">
        <f ca="1"/>
      </c>
      <c r="AX300">
        <f ca="1"/>
      </c>
      <c r="AY300">
        <f ca="1"/>
      </c>
      <c r="AZ300">
        <f ca="1"/>
      </c>
      <c r="BA300">
        <f ca="1"/>
      </c>
      <c r="BB300">
        <f ca="1"/>
      </c>
      <c r="BC300">
        <f ca="1"/>
      </c>
      <c r="BD300">
        <f ca="1"/>
      </c>
      <c r="BE300">
        <f ca="1"/>
      </c>
      <c r="BF300">
        <f ca="1"/>
      </c>
      <c r="BG300">
        <f ca="1"/>
      </c>
      <c r="BH300">
        <f ca="1"/>
      </c>
      <c r="BI300">
        <f ca="1"/>
      </c>
      <c r="BJ300">
        <f ca="1"/>
      </c>
      <c r="BK300">
        <f ca="1"/>
      </c>
      <c r="BL300">
        <f ca="1"/>
      </c>
      <c r="BM300">
        <f ca="1"/>
      </c>
      <c r="BN300">
        <f ca="1"/>
      </c>
      <c r="BO300">
        <f ca="1"/>
      </c>
      <c r="BP300">
        <f ca="1"/>
      </c>
      <c r="BQ300">
        <f ca="1"/>
      </c>
      <c r="BR300">
        <f ca="1"/>
      </c>
      <c r="BS300">
        <f ca="1"/>
      </c>
      <c r="BT300">
        <f ca="1"/>
      </c>
      <c r="BU300">
        <f ca="1"/>
      </c>
      <c r="BV300">
        <f ca="1"/>
      </c>
      <c r="BW300">
        <f ca="1"/>
      </c>
      <c r="BX300">
        <f ca="1"/>
      </c>
      <c r="BY300">
        <f ca="1"/>
      </c>
      <c r="BZ300">
        <f ca="1"/>
      </c>
      <c r="CA300">
        <f ca="1"/>
      </c>
      <c r="CB300">
        <f ca="1"/>
      </c>
      <c r="CC300">
        <f ca="1"/>
      </c>
      <c r="CD300">
        <f ca="1"/>
      </c>
      <c r="CE300">
        <f ca="1"/>
      </c>
      <c r="CF300">
        <f ca="1"/>
      </c>
      <c r="CG300">
        <f ca="1"/>
      </c>
      <c r="CH300">
        <f ca="1"/>
      </c>
      <c r="CI300">
        <f ca="1"/>
      </c>
      <c r="CK300">
        <f ca="1"/>
      </c>
      <c r="CL300">
        <f ca="1"/>
      </c>
      <c r="CM300">
        <f ca="1"/>
      </c>
      <c r="CN300">
        <f ca="1"/>
      </c>
      <c r="CO300">
        <f ca="1"/>
      </c>
      <c r="CP300">
        <f ca="1"/>
      </c>
      <c r="CQ300">
        <f ca="1"/>
      </c>
      <c r="CR300">
        <f ca="1"/>
      </c>
      <c r="CS300">
        <f ca="1"/>
      </c>
      <c r="CT300">
        <f ca="1"/>
      </c>
      <c r="CU300">
        <f ca="1"/>
      </c>
      <c r="CV300">
        <f ca="1"/>
      </c>
      <c r="CW300">
        <f ca="1"/>
      </c>
      <c r="CX300">
        <f ca="1"/>
      </c>
      <c r="CY300">
        <f ca="1"/>
      </c>
      <c r="CZ300">
        <f ca="1"/>
      </c>
      <c r="DA300">
        <f ca="1"/>
      </c>
      <c r="DB300">
        <f ca="1"/>
      </c>
      <c r="DC300">
        <f ca="1"/>
      </c>
      <c r="DD300">
        <f ca="1"/>
      </c>
      <c r="DE300">
        <f ca="1"/>
      </c>
      <c r="DF300">
        <f ca="1"/>
      </c>
      <c r="DG300">
        <f ca="1"/>
      </c>
      <c r="DH300">
        <f ca="1"/>
      </c>
      <c r="DI300">
        <f ca="1"/>
      </c>
      <c r="DJ300">
        <f ca="1"/>
      </c>
      <c r="DK300">
        <f ca="1"/>
      </c>
      <c r="DL300">
        <f ca="1"/>
      </c>
      <c r="DM300">
        <f ca="1"/>
      </c>
      <c r="DN300">
        <f ca="1"/>
      </c>
      <c r="DO300">
        <f ca="1"/>
      </c>
      <c r="DP300">
        <f ca="1"/>
      </c>
      <c r="DQ300">
        <f ca="1"/>
      </c>
      <c r="DR300">
        <f ca="1"/>
      </c>
      <c r="DS300">
        <f ca="1"/>
      </c>
      <c r="DT300">
        <f ca="1"/>
      </c>
      <c r="DU300">
        <f ca="1"/>
      </c>
      <c r="DV300">
        <f ca="1"/>
      </c>
      <c r="DW300">
        <f ca="1"/>
      </c>
      <c r="DX300">
        <f ca="1"/>
      </c>
      <c r="DY300">
        <f ca="1"/>
      </c>
      <c r="DZ300">
        <f ca="1"/>
      </c>
      <c r="EA300">
        <f ca="1"/>
      </c>
      <c r="EB300">
        <f ca="1"/>
      </c>
      <c r="EC300">
        <f ca="1"/>
      </c>
      <c r="ED300">
        <f ca="1"/>
      </c>
      <c r="EE300">
        <f ca="1"/>
      </c>
      <c r="EG300">
        <f ca="1"/>
      </c>
      <c r="EH300">
        <f ca="1"/>
      </c>
      <c r="EI300">
        <f ca="1"/>
      </c>
      <c r="EJ300">
        <f ca="1"/>
      </c>
      <c r="EK300">
        <f ca="1"/>
      </c>
      <c r="EL300">
        <f ca="1"/>
      </c>
      <c r="EM300">
        <f ca="1"/>
      </c>
      <c r="EN300">
        <f ca="1"/>
      </c>
      <c r="EO300">
        <f ca="1"/>
      </c>
      <c r="EP300">
        <f ca="1"/>
      </c>
      <c r="EQ300">
        <f ca="1"/>
      </c>
      <c r="ER300">
        <f ca="1"/>
      </c>
      <c r="ES300">
        <f ca="1"/>
      </c>
      <c r="ET300">
        <f ca="1"/>
      </c>
      <c r="EU300">
        <f ca="1"/>
      </c>
      <c r="EV300">
        <f ca="1"/>
      </c>
      <c r="EW300">
        <f ca="1"/>
      </c>
      <c r="EX300">
        <f ca="1"/>
      </c>
      <c r="EY300">
        <f ca="1"/>
      </c>
      <c r="EZ300">
        <f ca="1"/>
      </c>
      <c r="FA300">
        <f ca="1"/>
      </c>
      <c r="FB300">
        <f ca="1"/>
      </c>
      <c r="FC300">
        <f ca="1"/>
      </c>
      <c r="FD300">
        <f ca="1"/>
      </c>
      <c r="FE300">
        <f ca="1"/>
      </c>
      <c r="FF300">
        <f ca="1"/>
      </c>
      <c r="FG300">
        <f ca="1"/>
      </c>
      <c r="FH300">
        <f ca="1"/>
      </c>
      <c r="FI300">
        <f ca="1"/>
      </c>
      <c r="FJ300">
        <f ca="1"/>
      </c>
      <c r="FK300">
        <f ca="1"/>
      </c>
      <c r="FL300">
        <f ca="1"/>
      </c>
      <c r="FM300">
        <f ca="1"/>
      </c>
      <c r="FN300">
        <f ca="1"/>
      </c>
      <c r="FO300">
        <f ca="1"/>
      </c>
      <c r="FP300">
        <f ca="1"/>
      </c>
      <c r="FQ300">
        <f ca="1"/>
      </c>
      <c r="FR300">
        <f ca="1"/>
      </c>
      <c r="FS300">
        <f ca="1"/>
      </c>
      <c r="FT300">
        <f ca="1"/>
      </c>
      <c r="FU300">
        <f ca="1"/>
      </c>
      <c r="FV300">
        <f ca="1"/>
      </c>
      <c r="FW300">
        <f ca="1"/>
      </c>
      <c r="FX300">
        <f ca="1"/>
      </c>
      <c r="FY300">
        <f ca="1"/>
      </c>
      <c r="FZ300">
        <f ca="1"/>
      </c>
      <c r="GA300">
        <f ca="1"/>
      </c>
      <c r="GM300" s="7"/>
    </row>
    <row r="301" spans="41:195" x14ac:dyDescent="0.55000000000000004">
      <c r="AO301">
        <f ca="1"/>
      </c>
      <c r="AP301">
        <f ca="1"/>
      </c>
      <c r="AQ301">
        <f ca="1"/>
      </c>
      <c r="AR301">
        <f ca="1"/>
      </c>
      <c r="AS301">
        <f ca="1"/>
      </c>
      <c r="AT301">
        <f ca="1"/>
      </c>
      <c r="AU301">
        <f ca="1"/>
      </c>
      <c r="AV301">
        <f ca="1"/>
      </c>
      <c r="AW301">
        <f ca="1"/>
      </c>
      <c r="AX301">
        <f ca="1"/>
      </c>
      <c r="AY301">
        <f ca="1"/>
      </c>
      <c r="AZ301">
        <f ca="1"/>
      </c>
      <c r="BA301">
        <f ca="1"/>
      </c>
      <c r="BB301">
        <f ca="1"/>
      </c>
      <c r="BC301">
        <f ca="1"/>
      </c>
      <c r="BD301">
        <f ca="1"/>
      </c>
      <c r="BE301">
        <f ca="1"/>
      </c>
      <c r="BF301">
        <f ca="1"/>
      </c>
      <c r="BG301">
        <f ca="1"/>
      </c>
      <c r="BH301">
        <f ca="1"/>
      </c>
      <c r="BI301">
        <f ca="1"/>
      </c>
      <c r="BJ301">
        <f ca="1"/>
      </c>
      <c r="BK301">
        <f ca="1"/>
      </c>
      <c r="BL301">
        <f ca="1"/>
      </c>
      <c r="BM301">
        <f ca="1"/>
      </c>
      <c r="BN301">
        <f ca="1"/>
      </c>
      <c r="BO301">
        <f ca="1"/>
      </c>
      <c r="BP301">
        <f ca="1"/>
      </c>
      <c r="BQ301">
        <f ca="1"/>
      </c>
      <c r="BR301">
        <f ca="1"/>
      </c>
      <c r="BS301">
        <f ca="1"/>
      </c>
      <c r="BT301">
        <f ca="1"/>
      </c>
      <c r="BU301">
        <f ca="1"/>
      </c>
      <c r="BV301">
        <f ca="1"/>
      </c>
      <c r="BW301">
        <f ca="1"/>
      </c>
      <c r="BX301">
        <f ca="1"/>
      </c>
      <c r="BY301">
        <f ca="1"/>
      </c>
      <c r="BZ301">
        <f ca="1"/>
      </c>
      <c r="CA301">
        <f ca="1"/>
      </c>
      <c r="CB301">
        <f ca="1"/>
      </c>
      <c r="CC301">
        <f ca="1"/>
      </c>
      <c r="CD301">
        <f ca="1"/>
      </c>
      <c r="CE301">
        <f ca="1"/>
      </c>
      <c r="CF301">
        <f ca="1"/>
      </c>
      <c r="CG301">
        <f ca="1"/>
      </c>
      <c r="CH301">
        <f ca="1"/>
      </c>
      <c r="CI301">
        <f ca="1"/>
      </c>
      <c r="CK301">
        <f ca="1"/>
      </c>
      <c r="CL301">
        <f ca="1"/>
      </c>
      <c r="CM301">
        <f ca="1"/>
      </c>
      <c r="CN301">
        <f ca="1"/>
      </c>
      <c r="CO301">
        <f ca="1"/>
      </c>
      <c r="CP301">
        <f ca="1"/>
      </c>
      <c r="CQ301">
        <f ca="1"/>
      </c>
      <c r="CR301">
        <f ca="1"/>
      </c>
      <c r="CS301">
        <f ca="1"/>
      </c>
      <c r="CT301">
        <f ca="1"/>
      </c>
      <c r="CU301">
        <f ca="1"/>
      </c>
      <c r="CV301">
        <f ca="1"/>
      </c>
      <c r="CW301">
        <f ca="1"/>
      </c>
      <c r="CX301">
        <f ca="1"/>
      </c>
      <c r="CY301">
        <f ca="1"/>
      </c>
      <c r="CZ301">
        <f ca="1"/>
      </c>
      <c r="DA301">
        <f ca="1"/>
      </c>
      <c r="DB301">
        <f ca="1"/>
      </c>
      <c r="DC301">
        <f ca="1"/>
      </c>
      <c r="DD301">
        <f ca="1"/>
      </c>
      <c r="DE301">
        <f ca="1"/>
      </c>
      <c r="DF301">
        <f ca="1"/>
      </c>
      <c r="DG301">
        <f ca="1"/>
      </c>
      <c r="DH301">
        <f ca="1"/>
      </c>
      <c r="DI301">
        <f ca="1"/>
      </c>
      <c r="DJ301">
        <f ca="1"/>
      </c>
      <c r="DK301">
        <f ca="1"/>
      </c>
      <c r="DL301">
        <f ca="1"/>
      </c>
      <c r="DM301">
        <f ca="1"/>
      </c>
      <c r="DN301">
        <f ca="1"/>
      </c>
      <c r="DO301">
        <f ca="1"/>
      </c>
      <c r="DP301">
        <f ca="1"/>
      </c>
      <c r="DQ301">
        <f ca="1"/>
      </c>
      <c r="DR301">
        <f ca="1"/>
      </c>
      <c r="DS301">
        <f ca="1"/>
      </c>
      <c r="DT301">
        <f ca="1"/>
      </c>
      <c r="DU301">
        <f ca="1"/>
      </c>
      <c r="DV301">
        <f ca="1"/>
      </c>
      <c r="DW301">
        <f ca="1"/>
      </c>
      <c r="DX301">
        <f ca="1"/>
      </c>
      <c r="DY301">
        <f ca="1"/>
      </c>
      <c r="DZ301">
        <f ca="1"/>
      </c>
      <c r="EA301">
        <f ca="1"/>
      </c>
      <c r="EB301">
        <f ca="1"/>
      </c>
      <c r="EC301">
        <f ca="1"/>
      </c>
      <c r="ED301">
        <f ca="1"/>
      </c>
      <c r="EE301">
        <f ca="1"/>
      </c>
      <c r="EG301">
        <f ca="1"/>
      </c>
      <c r="EH301">
        <f ca="1"/>
      </c>
      <c r="EI301">
        <f ca="1"/>
      </c>
      <c r="EJ301">
        <f ca="1"/>
      </c>
      <c r="EK301">
        <f ca="1"/>
      </c>
      <c r="EL301">
        <f ca="1"/>
      </c>
      <c r="EM301">
        <f ca="1"/>
      </c>
      <c r="EN301">
        <f ca="1"/>
      </c>
      <c r="EO301">
        <f ca="1"/>
      </c>
      <c r="EP301">
        <f ca="1"/>
      </c>
      <c r="EQ301">
        <f ca="1"/>
      </c>
      <c r="ER301">
        <f ca="1"/>
      </c>
      <c r="ES301">
        <f ca="1"/>
      </c>
      <c r="ET301">
        <f ca="1"/>
      </c>
      <c r="EU301">
        <f ca="1"/>
      </c>
      <c r="EV301">
        <f ca="1"/>
      </c>
      <c r="EW301">
        <f ca="1"/>
      </c>
      <c r="EX301">
        <f ca="1"/>
      </c>
      <c r="EY301">
        <f ca="1"/>
      </c>
      <c r="EZ301">
        <f ca="1"/>
      </c>
      <c r="FA301">
        <f ca="1"/>
      </c>
      <c r="FB301">
        <f ca="1"/>
      </c>
      <c r="FC301">
        <f ca="1"/>
      </c>
      <c r="FD301">
        <f ca="1"/>
      </c>
      <c r="FE301">
        <f ca="1"/>
      </c>
      <c r="FF301">
        <f ca="1"/>
      </c>
      <c r="FG301">
        <f ca="1"/>
      </c>
      <c r="FH301">
        <f ca="1"/>
      </c>
      <c r="FI301">
        <f ca="1"/>
      </c>
      <c r="FJ301">
        <f ca="1"/>
      </c>
      <c r="FK301">
        <f ca="1"/>
      </c>
      <c r="FL301">
        <f ca="1"/>
      </c>
      <c r="FM301">
        <f ca="1"/>
      </c>
      <c r="FN301">
        <f ca="1"/>
      </c>
      <c r="FO301">
        <f ca="1"/>
      </c>
      <c r="FP301">
        <f ca="1"/>
      </c>
      <c r="FQ301">
        <f ca="1"/>
      </c>
      <c r="FR301">
        <f ca="1"/>
      </c>
      <c r="FS301">
        <f ca="1"/>
      </c>
      <c r="FT301">
        <f ca="1"/>
      </c>
      <c r="FU301">
        <f ca="1"/>
      </c>
      <c r="FV301">
        <f ca="1"/>
      </c>
      <c r="FW301">
        <f ca="1"/>
      </c>
      <c r="FX301">
        <f ca="1"/>
      </c>
      <c r="FY301">
        <f ca="1"/>
      </c>
      <c r="FZ301">
        <f ca="1"/>
      </c>
      <c r="GA301">
        <f ca="1"/>
      </c>
      <c r="GM301" s="7"/>
    </row>
    <row r="302" spans="41:195" x14ac:dyDescent="0.55000000000000004">
      <c r="AO302">
        <f ca="1"/>
      </c>
      <c r="AP302">
        <f ca="1"/>
      </c>
      <c r="AQ302">
        <f ca="1"/>
      </c>
      <c r="AR302">
        <f ca="1"/>
      </c>
      <c r="AS302">
        <f ca="1"/>
      </c>
      <c r="AT302">
        <f ca="1"/>
      </c>
      <c r="AU302">
        <f ca="1"/>
      </c>
      <c r="AV302">
        <f ca="1"/>
      </c>
      <c r="AW302">
        <f ca="1"/>
      </c>
      <c r="AX302">
        <f ca="1"/>
      </c>
      <c r="AY302">
        <f ca="1"/>
      </c>
      <c r="AZ302">
        <f ca="1"/>
      </c>
      <c r="BA302">
        <f ca="1"/>
      </c>
      <c r="BB302">
        <f ca="1"/>
      </c>
      <c r="BC302">
        <f ca="1"/>
      </c>
      <c r="BD302">
        <f ca="1"/>
      </c>
      <c r="BE302">
        <f ca="1"/>
      </c>
      <c r="BF302">
        <f ca="1"/>
      </c>
      <c r="BG302">
        <f ca="1"/>
      </c>
      <c r="BH302">
        <f ca="1"/>
      </c>
      <c r="BI302">
        <f ca="1"/>
      </c>
      <c r="BJ302">
        <f ca="1"/>
      </c>
      <c r="BK302">
        <f ca="1"/>
      </c>
      <c r="BL302">
        <f ca="1"/>
      </c>
      <c r="BM302">
        <f ca="1"/>
      </c>
      <c r="BN302">
        <f ca="1"/>
      </c>
      <c r="BO302">
        <f ca="1"/>
      </c>
      <c r="BP302">
        <f ca="1"/>
      </c>
      <c r="BQ302">
        <f ca="1"/>
      </c>
      <c r="BR302">
        <f ca="1"/>
      </c>
      <c r="BS302">
        <f ca="1"/>
      </c>
      <c r="BT302">
        <f ca="1"/>
      </c>
      <c r="BU302">
        <f ca="1"/>
      </c>
      <c r="BV302">
        <f ca="1"/>
      </c>
      <c r="BW302">
        <f ca="1"/>
      </c>
      <c r="BX302">
        <f ca="1"/>
      </c>
      <c r="BY302">
        <f ca="1"/>
      </c>
      <c r="BZ302">
        <f ca="1"/>
      </c>
      <c r="CA302">
        <f ca="1"/>
      </c>
      <c r="CB302">
        <f ca="1"/>
      </c>
      <c r="CC302">
        <f ca="1"/>
      </c>
      <c r="CD302">
        <f ca="1"/>
      </c>
      <c r="CE302">
        <f ca="1"/>
      </c>
      <c r="CF302">
        <f ca="1"/>
      </c>
      <c r="CG302">
        <f ca="1"/>
      </c>
      <c r="CH302">
        <f ca="1"/>
      </c>
      <c r="CI302">
        <f ca="1"/>
      </c>
      <c r="CK302">
        <f ca="1"/>
      </c>
      <c r="CL302">
        <f ca="1"/>
      </c>
      <c r="CM302">
        <f ca="1"/>
      </c>
      <c r="CN302">
        <f ca="1"/>
      </c>
      <c r="CO302">
        <f ca="1"/>
      </c>
      <c r="CP302">
        <f ca="1"/>
      </c>
      <c r="CQ302">
        <f ca="1"/>
      </c>
      <c r="CR302">
        <f ca="1"/>
      </c>
      <c r="CS302">
        <f ca="1"/>
      </c>
      <c r="CT302">
        <f ca="1"/>
      </c>
      <c r="CU302">
        <f ca="1"/>
      </c>
      <c r="CV302">
        <f ca="1"/>
      </c>
      <c r="CW302">
        <f ca="1"/>
      </c>
      <c r="CX302">
        <f ca="1"/>
      </c>
      <c r="CY302">
        <f ca="1"/>
      </c>
      <c r="CZ302">
        <f ca="1"/>
      </c>
      <c r="DA302">
        <f ca="1"/>
      </c>
      <c r="DB302">
        <f ca="1"/>
      </c>
      <c r="DC302">
        <f ca="1"/>
      </c>
      <c r="DD302">
        <f ca="1"/>
      </c>
      <c r="DE302">
        <f ca="1"/>
      </c>
      <c r="DF302">
        <f ca="1"/>
      </c>
      <c r="DG302">
        <f ca="1"/>
      </c>
      <c r="DH302">
        <f ca="1"/>
      </c>
      <c r="DI302">
        <f ca="1"/>
      </c>
      <c r="DJ302">
        <f ca="1"/>
      </c>
      <c r="DK302">
        <f ca="1"/>
      </c>
      <c r="DL302">
        <f ca="1"/>
      </c>
      <c r="DM302">
        <f ca="1"/>
      </c>
      <c r="DN302">
        <f ca="1"/>
      </c>
      <c r="DO302">
        <f ca="1"/>
      </c>
      <c r="DP302">
        <f ca="1"/>
      </c>
      <c r="DQ302">
        <f ca="1"/>
      </c>
      <c r="DR302">
        <f ca="1"/>
      </c>
      <c r="DS302">
        <f ca="1"/>
      </c>
      <c r="DT302">
        <f ca="1"/>
      </c>
      <c r="DU302">
        <f ca="1"/>
      </c>
      <c r="DV302">
        <f ca="1"/>
      </c>
      <c r="DW302">
        <f ca="1"/>
      </c>
      <c r="DX302">
        <f ca="1"/>
      </c>
      <c r="DY302">
        <f ca="1"/>
      </c>
      <c r="DZ302">
        <f ca="1"/>
      </c>
      <c r="EA302">
        <f ca="1"/>
      </c>
      <c r="EB302">
        <f ca="1"/>
      </c>
      <c r="EC302">
        <f ca="1"/>
      </c>
      <c r="ED302">
        <f ca="1"/>
      </c>
      <c r="EE302">
        <f ca="1"/>
      </c>
      <c r="EG302">
        <f ca="1"/>
      </c>
      <c r="EH302">
        <f ca="1"/>
      </c>
      <c r="EI302">
        <f ca="1"/>
      </c>
      <c r="EJ302">
        <f ca="1"/>
      </c>
      <c r="EK302">
        <f ca="1"/>
      </c>
      <c r="EL302">
        <f ca="1"/>
      </c>
      <c r="EM302">
        <f ca="1"/>
      </c>
      <c r="EN302">
        <f ca="1"/>
      </c>
      <c r="EO302">
        <f ca="1"/>
      </c>
      <c r="EP302">
        <f ca="1"/>
      </c>
      <c r="EQ302">
        <f ca="1"/>
      </c>
      <c r="ER302">
        <f ca="1"/>
      </c>
      <c r="ES302">
        <f ca="1"/>
      </c>
      <c r="ET302">
        <f ca="1"/>
      </c>
      <c r="EU302">
        <f ca="1"/>
      </c>
      <c r="EV302">
        <f ca="1"/>
      </c>
      <c r="EW302">
        <f ca="1"/>
      </c>
      <c r="EX302">
        <f ca="1"/>
      </c>
      <c r="EY302">
        <f ca="1"/>
      </c>
      <c r="EZ302">
        <f ca="1"/>
      </c>
      <c r="FA302">
        <f ca="1"/>
      </c>
      <c r="FB302">
        <f ca="1"/>
      </c>
      <c r="FC302">
        <f ca="1"/>
      </c>
      <c r="FD302">
        <f ca="1"/>
      </c>
      <c r="FE302">
        <f ca="1"/>
      </c>
      <c r="FF302">
        <f ca="1"/>
      </c>
      <c r="FG302">
        <f ca="1"/>
      </c>
      <c r="FH302">
        <f ca="1"/>
      </c>
      <c r="FI302">
        <f ca="1"/>
      </c>
      <c r="FJ302">
        <f ca="1"/>
      </c>
      <c r="FK302">
        <f ca="1"/>
      </c>
      <c r="FL302">
        <f ca="1"/>
      </c>
      <c r="FM302">
        <f ca="1"/>
      </c>
      <c r="FN302">
        <f ca="1"/>
      </c>
      <c r="FO302">
        <f ca="1"/>
      </c>
      <c r="FP302">
        <f ca="1"/>
      </c>
      <c r="FQ302">
        <f ca="1"/>
      </c>
      <c r="FR302">
        <f ca="1"/>
      </c>
      <c r="FS302">
        <f ca="1"/>
      </c>
      <c r="FT302">
        <f ca="1"/>
      </c>
      <c r="FU302">
        <f ca="1"/>
      </c>
      <c r="FV302">
        <f ca="1"/>
      </c>
      <c r="FW302">
        <f ca="1"/>
      </c>
      <c r="FX302">
        <f ca="1"/>
      </c>
      <c r="FY302">
        <f ca="1"/>
      </c>
      <c r="FZ302">
        <f ca="1"/>
      </c>
      <c r="GA302">
        <f ca="1"/>
      </c>
      <c r="GM302" s="7"/>
    </row>
    <row r="303" spans="41:195" x14ac:dyDescent="0.55000000000000004">
      <c r="AO303">
        <f ca="1"/>
      </c>
      <c r="AP303">
        <f ca="1"/>
      </c>
      <c r="AQ303">
        <f ca="1"/>
      </c>
      <c r="AR303">
        <f ca="1"/>
      </c>
      <c r="AS303">
        <f ca="1"/>
      </c>
      <c r="AT303">
        <f ca="1"/>
      </c>
      <c r="AU303">
        <f ca="1"/>
      </c>
      <c r="AV303">
        <f ca="1"/>
      </c>
      <c r="AW303">
        <f ca="1"/>
      </c>
      <c r="AX303">
        <f ca="1"/>
      </c>
      <c r="AY303">
        <f ca="1"/>
      </c>
      <c r="AZ303">
        <f ca="1"/>
      </c>
      <c r="BA303">
        <f ca="1"/>
      </c>
      <c r="BB303">
        <f ca="1"/>
      </c>
      <c r="BC303">
        <f ca="1"/>
      </c>
      <c r="BD303">
        <f ca="1"/>
      </c>
      <c r="BE303">
        <f ca="1"/>
      </c>
      <c r="BF303">
        <f ca="1"/>
      </c>
      <c r="BG303">
        <f ca="1"/>
      </c>
      <c r="BH303">
        <f ca="1"/>
      </c>
      <c r="BI303">
        <f ca="1"/>
      </c>
      <c r="BJ303">
        <f ca="1"/>
      </c>
      <c r="BK303">
        <f ca="1"/>
      </c>
      <c r="BL303">
        <f ca="1"/>
      </c>
      <c r="BM303">
        <f ca="1"/>
      </c>
      <c r="BN303">
        <f ca="1"/>
      </c>
      <c r="BO303">
        <f ca="1"/>
      </c>
      <c r="BP303">
        <f ca="1"/>
      </c>
      <c r="BQ303">
        <f ca="1"/>
      </c>
      <c r="BR303">
        <f ca="1"/>
      </c>
      <c r="BS303">
        <f ca="1"/>
      </c>
      <c r="BT303">
        <f ca="1"/>
      </c>
      <c r="BU303">
        <f ca="1"/>
      </c>
      <c r="BV303">
        <f ca="1"/>
      </c>
      <c r="BW303">
        <f ca="1"/>
      </c>
      <c r="BX303">
        <f ca="1"/>
      </c>
      <c r="BY303">
        <f ca="1"/>
      </c>
      <c r="BZ303">
        <f ca="1"/>
      </c>
      <c r="CA303">
        <f ca="1"/>
      </c>
      <c r="CB303">
        <f ca="1"/>
      </c>
      <c r="CC303">
        <f ca="1"/>
      </c>
      <c r="CD303">
        <f ca="1"/>
      </c>
      <c r="CE303">
        <f ca="1"/>
      </c>
      <c r="CF303">
        <f ca="1"/>
      </c>
      <c r="CG303">
        <f ca="1"/>
      </c>
      <c r="CH303">
        <f ca="1"/>
      </c>
      <c r="CI303">
        <f ca="1"/>
      </c>
      <c r="CK303">
        <f ca="1"/>
      </c>
      <c r="CL303">
        <f ca="1"/>
      </c>
      <c r="CM303">
        <f ca="1"/>
      </c>
      <c r="CN303">
        <f ca="1"/>
      </c>
      <c r="CO303">
        <f ca="1"/>
      </c>
      <c r="CP303">
        <f ca="1"/>
      </c>
      <c r="CQ303">
        <f ca="1"/>
      </c>
      <c r="CR303">
        <f ca="1"/>
      </c>
      <c r="CS303">
        <f ca="1"/>
      </c>
      <c r="CT303">
        <f ca="1"/>
      </c>
      <c r="CU303">
        <f ca="1"/>
      </c>
      <c r="CV303">
        <f ca="1"/>
      </c>
      <c r="CW303">
        <f ca="1"/>
      </c>
      <c r="CX303">
        <f ca="1"/>
      </c>
      <c r="CY303">
        <f ca="1"/>
      </c>
      <c r="CZ303">
        <f ca="1"/>
      </c>
      <c r="DA303">
        <f ca="1"/>
      </c>
      <c r="DB303">
        <f ca="1"/>
      </c>
      <c r="DC303">
        <f ca="1"/>
      </c>
      <c r="DD303">
        <f ca="1"/>
      </c>
      <c r="DE303">
        <f ca="1"/>
      </c>
      <c r="DF303">
        <f ca="1"/>
      </c>
      <c r="DG303">
        <f ca="1"/>
      </c>
      <c r="DH303">
        <f ca="1"/>
      </c>
      <c r="DI303">
        <f ca="1"/>
      </c>
      <c r="DJ303">
        <f ca="1"/>
      </c>
      <c r="DK303">
        <f ca="1"/>
      </c>
      <c r="DL303">
        <f ca="1"/>
      </c>
      <c r="DM303">
        <f ca="1"/>
      </c>
      <c r="DN303">
        <f ca="1"/>
      </c>
      <c r="DO303">
        <f ca="1"/>
      </c>
      <c r="DP303">
        <f ca="1"/>
      </c>
      <c r="DQ303">
        <f ca="1"/>
      </c>
      <c r="DR303">
        <f ca="1"/>
      </c>
      <c r="DS303">
        <f ca="1"/>
      </c>
      <c r="DT303">
        <f ca="1"/>
      </c>
      <c r="DU303">
        <f ca="1"/>
      </c>
      <c r="DV303">
        <f ca="1"/>
      </c>
      <c r="DW303">
        <f ca="1"/>
      </c>
      <c r="DX303">
        <f ca="1"/>
      </c>
      <c r="DY303">
        <f ca="1"/>
      </c>
      <c r="DZ303">
        <f ca="1"/>
      </c>
      <c r="EA303">
        <f ca="1"/>
      </c>
      <c r="EB303">
        <f ca="1"/>
      </c>
      <c r="EC303">
        <f ca="1"/>
      </c>
      <c r="ED303">
        <f ca="1"/>
      </c>
      <c r="EE303">
        <f ca="1"/>
      </c>
      <c r="EG303">
        <f ca="1"/>
      </c>
      <c r="EH303">
        <f ca="1"/>
      </c>
      <c r="EI303">
        <f ca="1"/>
      </c>
      <c r="EJ303">
        <f ca="1"/>
      </c>
      <c r="EK303">
        <f ca="1"/>
      </c>
      <c r="EL303">
        <f ca="1"/>
      </c>
      <c r="EM303">
        <f ca="1"/>
      </c>
      <c r="EN303">
        <f ca="1"/>
      </c>
      <c r="EO303">
        <f ca="1"/>
      </c>
      <c r="EP303">
        <f ca="1"/>
      </c>
      <c r="EQ303">
        <f ca="1"/>
      </c>
      <c r="ER303">
        <f ca="1"/>
      </c>
      <c r="ES303">
        <f ca="1"/>
      </c>
      <c r="ET303">
        <f ca="1"/>
      </c>
      <c r="EU303">
        <f ca="1"/>
      </c>
      <c r="EV303">
        <f ca="1"/>
      </c>
      <c r="EW303">
        <f ca="1"/>
      </c>
      <c r="EX303">
        <f ca="1"/>
      </c>
      <c r="EY303">
        <f ca="1"/>
      </c>
      <c r="EZ303">
        <f ca="1"/>
      </c>
      <c r="FA303">
        <f ca="1"/>
      </c>
      <c r="FB303">
        <f ca="1"/>
      </c>
      <c r="FC303">
        <f ca="1"/>
      </c>
      <c r="FD303">
        <f ca="1"/>
      </c>
      <c r="FE303">
        <f ca="1"/>
      </c>
      <c r="FF303">
        <f ca="1"/>
      </c>
      <c r="FG303">
        <f ca="1"/>
      </c>
      <c r="FH303">
        <f ca="1"/>
      </c>
      <c r="FI303">
        <f ca="1"/>
      </c>
      <c r="FJ303">
        <f ca="1"/>
      </c>
      <c r="FK303">
        <f ca="1"/>
      </c>
      <c r="FL303">
        <f ca="1"/>
      </c>
      <c r="FM303">
        <f ca="1"/>
      </c>
      <c r="FN303">
        <f ca="1"/>
      </c>
      <c r="FO303">
        <f ca="1"/>
      </c>
      <c r="FP303">
        <f ca="1"/>
      </c>
      <c r="FQ303">
        <f ca="1"/>
      </c>
      <c r="FR303">
        <f ca="1"/>
      </c>
      <c r="FS303">
        <f ca="1"/>
      </c>
      <c r="FT303">
        <f ca="1"/>
      </c>
      <c r="FU303">
        <f ca="1"/>
      </c>
      <c r="FV303">
        <f ca="1"/>
      </c>
      <c r="FW303">
        <f ca="1"/>
      </c>
      <c r="FX303">
        <f ca="1"/>
      </c>
      <c r="FY303">
        <f ca="1"/>
      </c>
      <c r="FZ303">
        <f ca="1"/>
      </c>
      <c r="GA303">
        <f ca="1"/>
      </c>
      <c r="GM303" s="7"/>
    </row>
    <row r="304" spans="41:195" x14ac:dyDescent="0.55000000000000004">
      <c r="AO304">
        <f ca="1"/>
      </c>
      <c r="AP304">
        <f ca="1"/>
      </c>
      <c r="AQ304">
        <f ca="1"/>
      </c>
      <c r="AR304">
        <f ca="1"/>
      </c>
      <c r="AS304">
        <f ca="1"/>
      </c>
      <c r="AT304">
        <f ca="1"/>
      </c>
      <c r="AU304">
        <f ca="1"/>
      </c>
      <c r="AV304">
        <f ca="1"/>
      </c>
      <c r="AW304">
        <f ca="1"/>
      </c>
      <c r="AX304">
        <f ca="1"/>
      </c>
      <c r="AY304">
        <f ca="1"/>
      </c>
      <c r="AZ304">
        <f ca="1"/>
      </c>
      <c r="BA304">
        <f ca="1"/>
      </c>
      <c r="BB304">
        <f ca="1"/>
      </c>
      <c r="BC304">
        <f ca="1"/>
      </c>
      <c r="BD304">
        <f ca="1"/>
      </c>
      <c r="BE304">
        <f ca="1"/>
      </c>
      <c r="BF304">
        <f ca="1"/>
      </c>
      <c r="BG304">
        <f ca="1"/>
      </c>
      <c r="BH304">
        <f ca="1"/>
      </c>
      <c r="BI304">
        <f ca="1"/>
      </c>
      <c r="BJ304">
        <f ca="1"/>
      </c>
      <c r="BK304">
        <f ca="1"/>
      </c>
      <c r="BL304">
        <f ca="1"/>
      </c>
      <c r="BM304">
        <f ca="1"/>
      </c>
      <c r="BN304">
        <f ca="1"/>
      </c>
      <c r="BO304">
        <f ca="1"/>
      </c>
      <c r="BP304">
        <f ca="1"/>
      </c>
      <c r="BQ304">
        <f ca="1"/>
      </c>
      <c r="BR304">
        <f ca="1"/>
      </c>
      <c r="BS304">
        <f ca="1"/>
      </c>
      <c r="BT304">
        <f ca="1"/>
      </c>
      <c r="BU304">
        <f ca="1"/>
      </c>
      <c r="BV304">
        <f ca="1"/>
      </c>
      <c r="BW304">
        <f ca="1"/>
      </c>
      <c r="BX304">
        <f ca="1"/>
      </c>
      <c r="BY304">
        <f ca="1"/>
      </c>
      <c r="BZ304">
        <f ca="1"/>
      </c>
      <c r="CA304">
        <f ca="1"/>
      </c>
      <c r="CB304">
        <f ca="1"/>
      </c>
      <c r="CC304">
        <f ca="1"/>
      </c>
      <c r="CD304">
        <f ca="1"/>
      </c>
      <c r="CE304">
        <f ca="1"/>
      </c>
      <c r="CF304">
        <f ca="1"/>
      </c>
      <c r="CG304">
        <f ca="1"/>
      </c>
      <c r="CH304">
        <f ca="1"/>
      </c>
      <c r="CI304">
        <f ca="1"/>
      </c>
      <c r="CK304">
        <f ca="1"/>
      </c>
      <c r="CL304">
        <f ca="1"/>
      </c>
      <c r="CM304">
        <f ca="1"/>
      </c>
      <c r="CN304">
        <f ca="1"/>
      </c>
      <c r="CO304">
        <f ca="1"/>
      </c>
      <c r="CP304">
        <f ca="1"/>
      </c>
      <c r="CQ304">
        <f ca="1"/>
      </c>
      <c r="CR304">
        <f ca="1"/>
      </c>
      <c r="CS304">
        <f ca="1"/>
      </c>
      <c r="CT304">
        <f ca="1"/>
      </c>
      <c r="CU304">
        <f ca="1"/>
      </c>
      <c r="CV304">
        <f ca="1"/>
      </c>
      <c r="CW304">
        <f ca="1"/>
      </c>
      <c r="CX304">
        <f ca="1"/>
      </c>
      <c r="CY304">
        <f ca="1"/>
      </c>
      <c r="CZ304">
        <f ca="1"/>
      </c>
      <c r="DA304">
        <f ca="1"/>
      </c>
      <c r="DB304">
        <f ca="1"/>
      </c>
      <c r="DC304">
        <f ca="1"/>
      </c>
      <c r="DD304">
        <f ca="1"/>
      </c>
      <c r="DE304">
        <f ca="1"/>
      </c>
      <c r="DF304">
        <f ca="1"/>
      </c>
      <c r="DG304">
        <f ca="1"/>
      </c>
      <c r="DH304">
        <f ca="1"/>
      </c>
      <c r="DI304">
        <f ca="1"/>
      </c>
      <c r="DJ304">
        <f ca="1"/>
      </c>
      <c r="DK304">
        <f ca="1"/>
      </c>
      <c r="DL304">
        <f ca="1"/>
      </c>
      <c r="DM304">
        <f ca="1"/>
      </c>
      <c r="DN304">
        <f ca="1"/>
      </c>
      <c r="DO304">
        <f ca="1"/>
      </c>
      <c r="DP304">
        <f ca="1"/>
      </c>
      <c r="DQ304">
        <f ca="1"/>
      </c>
      <c r="DR304">
        <f ca="1"/>
      </c>
      <c r="DS304">
        <f ca="1"/>
      </c>
      <c r="DT304">
        <f ca="1"/>
      </c>
      <c r="DU304">
        <f ca="1"/>
      </c>
      <c r="DV304">
        <f ca="1"/>
      </c>
      <c r="DW304">
        <f ca="1"/>
      </c>
      <c r="DX304">
        <f ca="1"/>
      </c>
      <c r="DY304">
        <f ca="1"/>
      </c>
      <c r="DZ304">
        <f ca="1"/>
      </c>
      <c r="EA304">
        <f ca="1"/>
      </c>
      <c r="EB304">
        <f ca="1"/>
      </c>
      <c r="EC304">
        <f ca="1"/>
      </c>
      <c r="ED304">
        <f ca="1"/>
      </c>
      <c r="EE304">
        <f ca="1"/>
      </c>
      <c r="EG304">
        <f ca="1"/>
      </c>
      <c r="EH304">
        <f ca="1"/>
      </c>
      <c r="EI304">
        <f ca="1"/>
      </c>
      <c r="EJ304">
        <f ca="1"/>
      </c>
      <c r="EK304">
        <f ca="1"/>
      </c>
      <c r="EL304">
        <f ca="1"/>
      </c>
      <c r="EM304">
        <f ca="1"/>
      </c>
      <c r="EN304">
        <f ca="1"/>
      </c>
      <c r="EO304">
        <f ca="1"/>
      </c>
      <c r="EP304">
        <f ca="1"/>
      </c>
      <c r="EQ304">
        <f ca="1"/>
      </c>
      <c r="ER304">
        <f ca="1"/>
      </c>
      <c r="ES304">
        <f ca="1"/>
      </c>
      <c r="ET304">
        <f ca="1"/>
      </c>
      <c r="EU304">
        <f ca="1"/>
      </c>
      <c r="EV304">
        <f ca="1"/>
      </c>
      <c r="EW304">
        <f ca="1"/>
      </c>
      <c r="EX304">
        <f ca="1"/>
      </c>
      <c r="EY304">
        <f ca="1"/>
      </c>
      <c r="EZ304">
        <f ca="1"/>
      </c>
      <c r="FA304">
        <f ca="1"/>
      </c>
      <c r="FB304">
        <f ca="1"/>
      </c>
      <c r="FC304">
        <f ca="1"/>
      </c>
      <c r="FD304">
        <f ca="1"/>
      </c>
      <c r="FE304">
        <f ca="1"/>
      </c>
      <c r="FF304">
        <f ca="1"/>
      </c>
      <c r="FG304">
        <f ca="1"/>
      </c>
      <c r="FH304">
        <f ca="1"/>
      </c>
      <c r="FI304">
        <f ca="1"/>
      </c>
      <c r="FJ304">
        <f ca="1"/>
      </c>
      <c r="FK304">
        <f ca="1"/>
      </c>
      <c r="FL304">
        <f ca="1"/>
      </c>
      <c r="FM304">
        <f ca="1"/>
      </c>
      <c r="FN304">
        <f ca="1"/>
      </c>
      <c r="FO304">
        <f ca="1"/>
      </c>
      <c r="FP304">
        <f ca="1"/>
      </c>
      <c r="FQ304">
        <f ca="1"/>
      </c>
      <c r="FR304">
        <f ca="1"/>
      </c>
      <c r="FS304">
        <f ca="1"/>
      </c>
      <c r="FT304">
        <f ca="1"/>
      </c>
      <c r="FU304">
        <f ca="1"/>
      </c>
      <c r="FV304">
        <f ca="1"/>
      </c>
      <c r="FW304">
        <f ca="1"/>
      </c>
      <c r="FX304">
        <f ca="1"/>
      </c>
      <c r="FY304">
        <f ca="1"/>
      </c>
      <c r="FZ304">
        <f ca="1"/>
      </c>
      <c r="GA304">
        <f ca="1"/>
      </c>
      <c r="GM304" s="7"/>
    </row>
    <row r="305" spans="41:195" x14ac:dyDescent="0.55000000000000004">
      <c r="AO305">
        <f ca="1"/>
      </c>
      <c r="AP305">
        <f ca="1"/>
      </c>
      <c r="AQ305">
        <f ca="1"/>
      </c>
      <c r="AR305">
        <f ca="1"/>
      </c>
      <c r="AS305">
        <f ca="1"/>
      </c>
      <c r="AT305">
        <f ca="1"/>
      </c>
      <c r="AU305">
        <f ca="1"/>
      </c>
      <c r="AV305">
        <f ca="1"/>
      </c>
      <c r="AW305">
        <f ca="1"/>
      </c>
      <c r="AX305">
        <f ca="1"/>
      </c>
      <c r="AY305">
        <f ca="1"/>
      </c>
      <c r="AZ305">
        <f ca="1"/>
      </c>
      <c r="BA305">
        <f ca="1"/>
      </c>
      <c r="BB305">
        <f ca="1"/>
      </c>
      <c r="BC305">
        <f ca="1"/>
      </c>
      <c r="BD305">
        <f ca="1"/>
      </c>
      <c r="BE305">
        <f ca="1"/>
      </c>
      <c r="BF305">
        <f ca="1"/>
      </c>
      <c r="BG305">
        <f ca="1"/>
      </c>
      <c r="BH305">
        <f ca="1"/>
      </c>
      <c r="BI305">
        <f ca="1"/>
      </c>
      <c r="BJ305">
        <f ca="1"/>
      </c>
      <c r="BK305">
        <f ca="1"/>
      </c>
      <c r="BL305">
        <f ca="1"/>
      </c>
      <c r="BM305">
        <f ca="1"/>
      </c>
      <c r="BN305">
        <f ca="1"/>
      </c>
      <c r="BO305">
        <f ca="1"/>
      </c>
      <c r="BP305">
        <f ca="1"/>
      </c>
      <c r="BQ305">
        <f ca="1"/>
      </c>
      <c r="BR305">
        <f ca="1"/>
      </c>
      <c r="BS305">
        <f ca="1"/>
      </c>
      <c r="BT305">
        <f ca="1"/>
      </c>
      <c r="BU305">
        <f ca="1"/>
      </c>
      <c r="BV305">
        <f ca="1"/>
      </c>
      <c r="BW305">
        <f ca="1"/>
      </c>
      <c r="BX305">
        <f ca="1"/>
      </c>
      <c r="BY305">
        <f ca="1"/>
      </c>
      <c r="BZ305">
        <f ca="1"/>
      </c>
      <c r="CA305">
        <f ca="1"/>
      </c>
      <c r="CB305">
        <f ca="1"/>
      </c>
      <c r="CC305">
        <f ca="1"/>
      </c>
      <c r="CD305">
        <f ca="1"/>
      </c>
      <c r="CE305">
        <f ca="1"/>
      </c>
      <c r="CF305">
        <f ca="1"/>
      </c>
      <c r="CG305">
        <f ca="1"/>
      </c>
      <c r="CH305">
        <f ca="1"/>
      </c>
      <c r="CI305">
        <f ca="1"/>
      </c>
      <c r="CK305">
        <f ca="1"/>
      </c>
      <c r="CL305">
        <f ca="1"/>
      </c>
      <c r="CM305">
        <f ca="1"/>
      </c>
      <c r="CN305">
        <f ca="1"/>
      </c>
      <c r="CO305">
        <f ca="1"/>
      </c>
      <c r="CP305">
        <f ca="1"/>
      </c>
      <c r="CQ305">
        <f ca="1"/>
      </c>
      <c r="CR305">
        <f ca="1"/>
      </c>
      <c r="CS305">
        <f ca="1"/>
      </c>
      <c r="CT305">
        <f ca="1"/>
      </c>
      <c r="CU305">
        <f ca="1"/>
      </c>
      <c r="CV305">
        <f ca="1"/>
      </c>
      <c r="CW305">
        <f ca="1"/>
      </c>
      <c r="CX305">
        <f ca="1"/>
      </c>
      <c r="CY305">
        <f ca="1"/>
      </c>
      <c r="CZ305">
        <f ca="1"/>
      </c>
      <c r="DA305">
        <f ca="1"/>
      </c>
      <c r="DB305">
        <f ca="1"/>
      </c>
      <c r="DC305">
        <f ca="1"/>
      </c>
      <c r="DD305">
        <f ca="1"/>
      </c>
      <c r="DE305">
        <f ca="1"/>
      </c>
      <c r="DF305">
        <f ca="1"/>
      </c>
      <c r="DG305">
        <f ca="1"/>
      </c>
      <c r="DH305">
        <f ca="1"/>
      </c>
      <c r="DI305">
        <f ca="1"/>
      </c>
      <c r="DJ305">
        <f ca="1"/>
      </c>
      <c r="DK305">
        <f ca="1"/>
      </c>
      <c r="DL305">
        <f ca="1"/>
      </c>
      <c r="DM305">
        <f ca="1"/>
      </c>
      <c r="DN305">
        <f ca="1"/>
      </c>
      <c r="DO305">
        <f ca="1"/>
      </c>
      <c r="DP305">
        <f ca="1"/>
      </c>
      <c r="DQ305">
        <f ca="1"/>
      </c>
      <c r="DR305">
        <f ca="1"/>
      </c>
      <c r="DS305">
        <f ca="1"/>
      </c>
      <c r="DT305">
        <f ca="1"/>
      </c>
      <c r="DU305">
        <f ca="1"/>
      </c>
      <c r="DV305">
        <f ca="1"/>
      </c>
      <c r="DW305">
        <f ca="1"/>
      </c>
      <c r="DX305">
        <f ca="1"/>
      </c>
      <c r="DY305">
        <f ca="1"/>
      </c>
      <c r="DZ305">
        <f ca="1"/>
      </c>
      <c r="EA305">
        <f ca="1"/>
      </c>
      <c r="EB305">
        <f ca="1"/>
      </c>
      <c r="EC305">
        <f ca="1"/>
      </c>
      <c r="ED305">
        <f ca="1"/>
      </c>
      <c r="EE305">
        <f ca="1"/>
      </c>
      <c r="EG305">
        <f ca="1"/>
      </c>
      <c r="EH305">
        <f ca="1"/>
      </c>
      <c r="EI305">
        <f ca="1"/>
      </c>
      <c r="EJ305">
        <f ca="1"/>
      </c>
      <c r="EK305">
        <f ca="1"/>
      </c>
      <c r="EL305">
        <f ca="1"/>
      </c>
      <c r="EM305">
        <f ca="1"/>
      </c>
      <c r="EN305">
        <f ca="1"/>
      </c>
      <c r="EO305">
        <f ca="1"/>
      </c>
      <c r="EP305">
        <f ca="1"/>
      </c>
      <c r="EQ305">
        <f ca="1"/>
      </c>
      <c r="ER305">
        <f ca="1"/>
      </c>
      <c r="ES305">
        <f ca="1"/>
      </c>
      <c r="ET305">
        <f ca="1"/>
      </c>
      <c r="EU305">
        <f ca="1"/>
      </c>
      <c r="EV305">
        <f ca="1"/>
      </c>
      <c r="EW305">
        <f ca="1"/>
      </c>
      <c r="EX305">
        <f ca="1"/>
      </c>
      <c r="EY305">
        <f ca="1"/>
      </c>
      <c r="EZ305">
        <f ca="1"/>
      </c>
      <c r="FA305">
        <f ca="1"/>
      </c>
      <c r="FB305">
        <f ca="1"/>
      </c>
      <c r="FC305">
        <f ca="1"/>
      </c>
      <c r="FD305">
        <f ca="1"/>
      </c>
      <c r="FE305">
        <f ca="1"/>
      </c>
      <c r="FF305">
        <f ca="1"/>
      </c>
      <c r="FG305">
        <f ca="1"/>
      </c>
      <c r="FH305">
        <f ca="1"/>
      </c>
      <c r="FI305">
        <f ca="1"/>
      </c>
      <c r="FJ305">
        <f ca="1"/>
      </c>
      <c r="FK305">
        <f ca="1"/>
      </c>
      <c r="FL305">
        <f ca="1"/>
      </c>
      <c r="FM305">
        <f ca="1"/>
      </c>
      <c r="FN305">
        <f ca="1"/>
      </c>
      <c r="FO305">
        <f ca="1"/>
      </c>
      <c r="FP305">
        <f ca="1"/>
      </c>
      <c r="FQ305">
        <f ca="1"/>
      </c>
      <c r="FR305">
        <f ca="1"/>
      </c>
      <c r="FS305">
        <f ca="1"/>
      </c>
      <c r="FT305">
        <f ca="1"/>
      </c>
      <c r="FU305">
        <f ca="1"/>
      </c>
      <c r="FV305">
        <f ca="1"/>
      </c>
      <c r="FW305">
        <f ca="1"/>
      </c>
      <c r="FX305">
        <f ca="1"/>
      </c>
      <c r="FY305">
        <f ca="1"/>
      </c>
      <c r="FZ305">
        <f ca="1"/>
      </c>
      <c r="GA305">
        <f ca="1"/>
      </c>
      <c r="GM305" s="7"/>
    </row>
    <row r="306" spans="41:195" x14ac:dyDescent="0.55000000000000004">
      <c r="AO306">
        <f ca="1"/>
      </c>
      <c r="AP306">
        <f ca="1"/>
      </c>
      <c r="AQ306">
        <f ca="1"/>
      </c>
      <c r="AR306">
        <f ca="1"/>
      </c>
      <c r="AS306">
        <f ca="1"/>
      </c>
      <c r="AT306">
        <f ca="1"/>
      </c>
      <c r="AU306">
        <f ca="1"/>
      </c>
      <c r="AV306">
        <f ca="1"/>
      </c>
      <c r="AW306">
        <f ca="1"/>
      </c>
      <c r="AX306">
        <f ca="1"/>
      </c>
      <c r="AY306">
        <f ca="1"/>
      </c>
      <c r="AZ306">
        <f ca="1"/>
      </c>
      <c r="BA306">
        <f ca="1"/>
      </c>
      <c r="BB306">
        <f ca="1"/>
      </c>
      <c r="BC306">
        <f ca="1"/>
      </c>
      <c r="BD306">
        <f ca="1"/>
      </c>
      <c r="BE306">
        <f ca="1"/>
      </c>
      <c r="BF306">
        <f ca="1"/>
      </c>
      <c r="BG306">
        <f ca="1"/>
      </c>
      <c r="BH306">
        <f ca="1"/>
      </c>
      <c r="BI306">
        <f ca="1"/>
      </c>
      <c r="BJ306">
        <f ca="1"/>
      </c>
      <c r="BK306">
        <f ca="1"/>
      </c>
      <c r="BL306">
        <f ca="1"/>
      </c>
      <c r="BM306">
        <f ca="1"/>
      </c>
      <c r="BN306">
        <f ca="1"/>
      </c>
      <c r="BO306">
        <f ca="1"/>
      </c>
      <c r="BP306">
        <f ca="1"/>
      </c>
      <c r="BQ306">
        <f ca="1"/>
      </c>
      <c r="BR306">
        <f ca="1"/>
      </c>
      <c r="BS306">
        <f ca="1"/>
      </c>
      <c r="BT306">
        <f ca="1"/>
      </c>
      <c r="BU306">
        <f ca="1"/>
      </c>
      <c r="BV306">
        <f ca="1"/>
      </c>
      <c r="BW306">
        <f ca="1"/>
      </c>
      <c r="BX306">
        <f ca="1"/>
      </c>
      <c r="BY306">
        <f ca="1"/>
      </c>
      <c r="BZ306">
        <f ca="1"/>
      </c>
      <c r="CA306">
        <f ca="1"/>
      </c>
      <c r="CB306">
        <f ca="1"/>
      </c>
      <c r="CC306">
        <f ca="1"/>
      </c>
      <c r="CD306">
        <f ca="1"/>
      </c>
      <c r="CE306">
        <f ca="1"/>
      </c>
      <c r="CF306">
        <f ca="1"/>
      </c>
      <c r="CG306">
        <f ca="1"/>
      </c>
      <c r="CH306">
        <f ca="1"/>
      </c>
      <c r="CI306">
        <f ca="1"/>
      </c>
      <c r="CK306">
        <f ca="1"/>
      </c>
      <c r="CL306">
        <f ca="1"/>
      </c>
      <c r="CM306">
        <f ca="1"/>
      </c>
      <c r="CN306">
        <f ca="1"/>
      </c>
      <c r="CO306">
        <f ca="1"/>
      </c>
      <c r="CP306">
        <f ca="1"/>
      </c>
      <c r="CQ306">
        <f ca="1"/>
      </c>
      <c r="CR306">
        <f ca="1"/>
      </c>
      <c r="CS306">
        <f ca="1"/>
      </c>
      <c r="CT306">
        <f ca="1"/>
      </c>
      <c r="CU306">
        <f ca="1"/>
      </c>
      <c r="CV306">
        <f ca="1"/>
      </c>
      <c r="CW306">
        <f ca="1"/>
      </c>
      <c r="CX306">
        <f ca="1"/>
      </c>
      <c r="CY306">
        <f ca="1"/>
      </c>
      <c r="CZ306">
        <f ca="1"/>
      </c>
      <c r="DA306">
        <f ca="1"/>
      </c>
      <c r="DB306">
        <f ca="1"/>
      </c>
      <c r="DC306">
        <f ca="1"/>
      </c>
      <c r="DD306">
        <f ca="1"/>
      </c>
      <c r="DE306">
        <f ca="1"/>
      </c>
      <c r="DF306">
        <f ca="1"/>
      </c>
      <c r="DG306">
        <f ca="1"/>
      </c>
      <c r="DH306">
        <f ca="1"/>
      </c>
      <c r="DI306">
        <f ca="1"/>
      </c>
      <c r="DJ306">
        <f ca="1"/>
      </c>
      <c r="DK306">
        <f ca="1"/>
      </c>
      <c r="DL306">
        <f ca="1"/>
      </c>
      <c r="DM306">
        <f ca="1"/>
      </c>
      <c r="DN306">
        <f ca="1"/>
      </c>
      <c r="DO306">
        <f ca="1"/>
      </c>
      <c r="DP306">
        <f ca="1"/>
      </c>
      <c r="DQ306">
        <f ca="1"/>
      </c>
      <c r="DR306">
        <f ca="1"/>
      </c>
      <c r="DS306">
        <f ca="1"/>
      </c>
      <c r="DT306">
        <f ca="1"/>
      </c>
      <c r="DU306">
        <f ca="1"/>
      </c>
      <c r="DV306">
        <f ca="1"/>
      </c>
      <c r="DW306">
        <f ca="1"/>
      </c>
      <c r="DX306">
        <f ca="1"/>
      </c>
      <c r="DY306">
        <f ca="1"/>
      </c>
      <c r="DZ306">
        <f ca="1"/>
      </c>
      <c r="EA306">
        <f ca="1"/>
      </c>
      <c r="EB306">
        <f ca="1"/>
      </c>
      <c r="EC306">
        <f ca="1"/>
      </c>
      <c r="ED306">
        <f ca="1"/>
      </c>
      <c r="EE306">
        <f ca="1"/>
      </c>
      <c r="EG306">
        <f ca="1"/>
      </c>
      <c r="EH306">
        <f ca="1"/>
      </c>
      <c r="EI306">
        <f ca="1"/>
      </c>
      <c r="EJ306">
        <f ca="1"/>
      </c>
      <c r="EK306">
        <f ca="1"/>
      </c>
      <c r="EL306">
        <f ca="1"/>
      </c>
      <c r="EM306">
        <f ca="1"/>
      </c>
      <c r="EN306">
        <f ca="1"/>
      </c>
      <c r="EO306">
        <f ca="1"/>
      </c>
      <c r="EP306">
        <f ca="1"/>
      </c>
      <c r="EQ306">
        <f ca="1"/>
      </c>
      <c r="ER306">
        <f ca="1"/>
      </c>
      <c r="ES306">
        <f ca="1"/>
      </c>
      <c r="ET306">
        <f ca="1"/>
      </c>
      <c r="EU306">
        <f ca="1"/>
      </c>
      <c r="EV306">
        <f ca="1"/>
      </c>
      <c r="EW306">
        <f ca="1"/>
      </c>
      <c r="EX306">
        <f ca="1"/>
      </c>
      <c r="EY306">
        <f ca="1"/>
      </c>
      <c r="EZ306">
        <f ca="1"/>
      </c>
      <c r="FA306">
        <f ca="1"/>
      </c>
      <c r="FB306">
        <f ca="1"/>
      </c>
      <c r="FC306">
        <f ca="1"/>
      </c>
      <c r="FD306">
        <f ca="1"/>
      </c>
      <c r="FE306">
        <f ca="1"/>
      </c>
      <c r="FF306">
        <f ca="1"/>
      </c>
      <c r="FG306">
        <f ca="1"/>
      </c>
      <c r="FH306">
        <f ca="1"/>
      </c>
      <c r="FI306">
        <f ca="1"/>
      </c>
      <c r="FJ306">
        <f ca="1"/>
      </c>
      <c r="FK306">
        <f ca="1"/>
      </c>
      <c r="FL306">
        <f ca="1"/>
      </c>
      <c r="FM306">
        <f ca="1"/>
      </c>
      <c r="FN306">
        <f ca="1"/>
      </c>
      <c r="FO306">
        <f ca="1"/>
      </c>
      <c r="FP306">
        <f ca="1"/>
      </c>
      <c r="FQ306">
        <f ca="1"/>
      </c>
      <c r="FR306">
        <f ca="1"/>
      </c>
      <c r="FS306">
        <f ca="1"/>
      </c>
      <c r="FT306">
        <f ca="1"/>
      </c>
      <c r="FU306">
        <f ca="1"/>
      </c>
      <c r="FV306">
        <f ca="1"/>
      </c>
      <c r="FW306">
        <f ca="1"/>
      </c>
      <c r="FX306">
        <f ca="1"/>
      </c>
      <c r="FY306">
        <f ca="1"/>
      </c>
      <c r="FZ306">
        <f ca="1"/>
      </c>
      <c r="GA306">
        <f ca="1"/>
      </c>
      <c r="GM306" s="7"/>
    </row>
    <row r="307" spans="41:195" x14ac:dyDescent="0.55000000000000004">
      <c r="AO307">
        <f ca="1"/>
      </c>
      <c r="AP307">
        <f ca="1"/>
      </c>
      <c r="AQ307">
        <f ca="1"/>
      </c>
      <c r="AR307">
        <f ca="1"/>
      </c>
      <c r="AS307">
        <f ca="1"/>
      </c>
      <c r="AT307">
        <f ca="1"/>
      </c>
      <c r="AU307">
        <f ca="1"/>
      </c>
      <c r="AV307">
        <f ca="1"/>
      </c>
      <c r="AW307">
        <f ca="1"/>
      </c>
      <c r="AX307">
        <f ca="1"/>
      </c>
      <c r="AY307">
        <f ca="1"/>
      </c>
      <c r="AZ307">
        <f ca="1"/>
      </c>
      <c r="BA307">
        <f ca="1"/>
      </c>
      <c r="BB307">
        <f ca="1"/>
      </c>
      <c r="BC307">
        <f ca="1"/>
      </c>
      <c r="BD307">
        <f ca="1"/>
      </c>
      <c r="BE307">
        <f ca="1"/>
      </c>
      <c r="BF307">
        <f ca="1"/>
      </c>
      <c r="BG307">
        <f ca="1"/>
      </c>
      <c r="BH307">
        <f ca="1"/>
      </c>
      <c r="BI307">
        <f ca="1"/>
      </c>
      <c r="BJ307">
        <f ca="1"/>
      </c>
      <c r="BK307">
        <f ca="1"/>
      </c>
      <c r="BL307">
        <f ca="1"/>
      </c>
      <c r="BM307">
        <f ca="1"/>
      </c>
      <c r="BN307">
        <f ca="1"/>
      </c>
      <c r="BO307">
        <f ca="1"/>
      </c>
      <c r="BP307">
        <f ca="1"/>
      </c>
      <c r="BQ307">
        <f ca="1"/>
      </c>
      <c r="BR307">
        <f ca="1"/>
      </c>
      <c r="BS307">
        <f ca="1"/>
      </c>
      <c r="BT307">
        <f ca="1"/>
      </c>
      <c r="BU307">
        <f ca="1"/>
      </c>
      <c r="BV307">
        <f ca="1"/>
      </c>
      <c r="BW307">
        <f ca="1"/>
      </c>
      <c r="BX307">
        <f ca="1"/>
      </c>
      <c r="BY307">
        <f ca="1"/>
      </c>
      <c r="BZ307">
        <f ca="1"/>
      </c>
      <c r="CA307">
        <f ca="1"/>
      </c>
      <c r="CB307">
        <f ca="1"/>
      </c>
      <c r="CC307">
        <f ca="1"/>
      </c>
      <c r="CD307">
        <f ca="1"/>
      </c>
      <c r="CE307">
        <f ca="1"/>
      </c>
      <c r="CF307">
        <f ca="1"/>
      </c>
      <c r="CG307">
        <f ca="1"/>
      </c>
      <c r="CH307">
        <f ca="1"/>
      </c>
      <c r="CI307">
        <f ca="1"/>
      </c>
      <c r="CK307">
        <f ca="1"/>
      </c>
      <c r="CL307">
        <f ca="1"/>
      </c>
      <c r="CM307">
        <f ca="1"/>
      </c>
      <c r="CN307">
        <f ca="1"/>
      </c>
      <c r="CO307">
        <f ca="1"/>
      </c>
      <c r="CP307">
        <f ca="1"/>
      </c>
      <c r="CQ307">
        <f ca="1"/>
      </c>
      <c r="CR307">
        <f ca="1"/>
      </c>
      <c r="CS307">
        <f ca="1"/>
      </c>
      <c r="CT307">
        <f ca="1"/>
      </c>
      <c r="CU307">
        <f ca="1"/>
      </c>
      <c r="CV307">
        <f ca="1"/>
      </c>
      <c r="CW307">
        <f ca="1"/>
      </c>
      <c r="CX307">
        <f ca="1"/>
      </c>
      <c r="CY307">
        <f ca="1"/>
      </c>
      <c r="CZ307">
        <f ca="1"/>
      </c>
      <c r="DA307">
        <f ca="1"/>
      </c>
      <c r="DB307">
        <f ca="1"/>
      </c>
      <c r="DC307">
        <f ca="1"/>
      </c>
      <c r="DD307">
        <f ca="1"/>
      </c>
      <c r="DE307">
        <f ca="1"/>
      </c>
      <c r="DF307">
        <f ca="1"/>
      </c>
      <c r="DG307">
        <f ca="1"/>
      </c>
      <c r="DH307">
        <f ca="1"/>
      </c>
      <c r="DI307">
        <f ca="1"/>
      </c>
      <c r="DJ307">
        <f ca="1"/>
      </c>
      <c r="DK307">
        <f ca="1"/>
      </c>
      <c r="DL307">
        <f ca="1"/>
      </c>
      <c r="DM307">
        <f ca="1"/>
      </c>
      <c r="DN307">
        <f ca="1"/>
      </c>
      <c r="DO307">
        <f ca="1"/>
      </c>
      <c r="DP307">
        <f ca="1"/>
      </c>
      <c r="DQ307">
        <f ca="1"/>
      </c>
      <c r="DR307">
        <f ca="1"/>
      </c>
      <c r="DS307">
        <f ca="1"/>
      </c>
      <c r="DT307">
        <f ca="1"/>
      </c>
      <c r="DU307">
        <f ca="1"/>
      </c>
      <c r="DV307">
        <f ca="1"/>
      </c>
      <c r="DW307">
        <f ca="1"/>
      </c>
      <c r="DX307">
        <f ca="1"/>
      </c>
      <c r="DY307">
        <f ca="1"/>
      </c>
      <c r="DZ307">
        <f ca="1"/>
      </c>
      <c r="EA307">
        <f ca="1"/>
      </c>
      <c r="EB307">
        <f ca="1"/>
      </c>
      <c r="EC307">
        <f ca="1"/>
      </c>
      <c r="ED307">
        <f ca="1"/>
      </c>
      <c r="EE307">
        <f ca="1"/>
      </c>
      <c r="EG307">
        <f ca="1"/>
      </c>
      <c r="EH307">
        <f ca="1"/>
      </c>
      <c r="EI307">
        <f ca="1"/>
      </c>
      <c r="EJ307">
        <f ca="1"/>
      </c>
      <c r="EK307">
        <f ca="1"/>
      </c>
      <c r="EL307">
        <f ca="1"/>
      </c>
      <c r="EM307">
        <f ca="1"/>
      </c>
      <c r="EN307">
        <f ca="1"/>
      </c>
      <c r="EO307">
        <f ca="1"/>
      </c>
      <c r="EP307">
        <f ca="1"/>
      </c>
      <c r="EQ307">
        <f ca="1"/>
      </c>
      <c r="ER307">
        <f ca="1"/>
      </c>
      <c r="ES307">
        <f ca="1"/>
      </c>
      <c r="ET307">
        <f ca="1"/>
      </c>
      <c r="EU307">
        <f ca="1"/>
      </c>
      <c r="EV307">
        <f ca="1"/>
      </c>
      <c r="EW307">
        <f ca="1"/>
      </c>
      <c r="EX307">
        <f ca="1"/>
      </c>
      <c r="EY307">
        <f ca="1"/>
      </c>
      <c r="EZ307">
        <f ca="1"/>
      </c>
      <c r="FA307">
        <f ca="1"/>
      </c>
      <c r="FB307">
        <f ca="1"/>
      </c>
      <c r="FC307">
        <f ca="1"/>
      </c>
      <c r="FD307">
        <f ca="1"/>
      </c>
      <c r="FE307">
        <f ca="1"/>
      </c>
      <c r="FF307">
        <f ca="1"/>
      </c>
      <c r="FG307">
        <f ca="1"/>
      </c>
      <c r="FH307">
        <f ca="1"/>
      </c>
      <c r="FI307">
        <f ca="1"/>
      </c>
      <c r="FJ307">
        <f ca="1"/>
      </c>
      <c r="FK307">
        <f ca="1"/>
      </c>
      <c r="FL307">
        <f ca="1"/>
      </c>
      <c r="FM307">
        <f ca="1"/>
      </c>
      <c r="FN307">
        <f ca="1"/>
      </c>
      <c r="FO307">
        <f ca="1"/>
      </c>
      <c r="FP307">
        <f ca="1"/>
      </c>
      <c r="FQ307">
        <f ca="1"/>
      </c>
      <c r="FR307">
        <f ca="1"/>
      </c>
      <c r="FS307">
        <f ca="1"/>
      </c>
      <c r="FT307">
        <f ca="1"/>
      </c>
      <c r="FU307">
        <f ca="1"/>
      </c>
      <c r="FV307">
        <f ca="1"/>
      </c>
      <c r="FW307">
        <f ca="1"/>
      </c>
      <c r="FX307">
        <f ca="1"/>
      </c>
      <c r="FY307">
        <f ca="1"/>
      </c>
      <c r="FZ307">
        <f ca="1"/>
      </c>
      <c r="GA307">
        <f ca="1"/>
      </c>
      <c r="GM307" s="7"/>
    </row>
    <row r="308" spans="41:195" x14ac:dyDescent="0.55000000000000004">
      <c r="AO308">
        <f ca="1"/>
      </c>
      <c r="AP308">
        <f ca="1"/>
      </c>
      <c r="AQ308">
        <f ca="1"/>
      </c>
      <c r="AR308">
        <f ca="1"/>
      </c>
      <c r="AS308">
        <f ca="1"/>
      </c>
      <c r="AT308">
        <f ca="1"/>
      </c>
      <c r="AU308">
        <f ca="1"/>
      </c>
      <c r="AV308">
        <f ca="1"/>
      </c>
      <c r="AW308">
        <f ca="1"/>
      </c>
      <c r="AX308">
        <f ca="1"/>
      </c>
      <c r="AY308">
        <f ca="1"/>
      </c>
      <c r="AZ308">
        <f ca="1"/>
      </c>
      <c r="BA308">
        <f ca="1"/>
      </c>
      <c r="BB308">
        <f ca="1"/>
      </c>
      <c r="BC308">
        <f ca="1"/>
      </c>
      <c r="BD308">
        <f ca="1"/>
      </c>
      <c r="BE308">
        <f ca="1"/>
      </c>
      <c r="BF308">
        <f ca="1"/>
      </c>
      <c r="BG308">
        <f ca="1"/>
      </c>
      <c r="BH308">
        <f ca="1"/>
      </c>
      <c r="BI308">
        <f ca="1"/>
      </c>
      <c r="BJ308">
        <f ca="1"/>
      </c>
      <c r="BK308">
        <f ca="1"/>
      </c>
      <c r="BL308">
        <f ca="1"/>
      </c>
      <c r="BM308">
        <f ca="1"/>
      </c>
      <c r="BN308">
        <f ca="1"/>
      </c>
      <c r="BO308">
        <f ca="1"/>
      </c>
      <c r="BP308">
        <f ca="1"/>
      </c>
      <c r="BQ308">
        <f ca="1"/>
      </c>
      <c r="BR308">
        <f ca="1"/>
      </c>
      <c r="BS308">
        <f ca="1"/>
      </c>
      <c r="BT308">
        <f ca="1"/>
      </c>
      <c r="BU308">
        <f ca="1"/>
      </c>
      <c r="BV308">
        <f ca="1"/>
      </c>
      <c r="BW308">
        <f ca="1"/>
      </c>
      <c r="BX308">
        <f ca="1"/>
      </c>
      <c r="BY308">
        <f ca="1"/>
      </c>
      <c r="BZ308">
        <f ca="1"/>
      </c>
      <c r="CA308">
        <f ca="1"/>
      </c>
      <c r="CB308">
        <f ca="1"/>
      </c>
      <c r="CC308">
        <f ca="1"/>
      </c>
      <c r="CD308">
        <f ca="1"/>
      </c>
      <c r="CE308">
        <f ca="1"/>
      </c>
      <c r="CF308">
        <f ca="1"/>
      </c>
      <c r="CG308">
        <f ca="1"/>
      </c>
      <c r="CH308">
        <f ca="1"/>
      </c>
      <c r="CI308">
        <f ca="1"/>
      </c>
      <c r="CK308">
        <f ca="1"/>
      </c>
      <c r="CL308">
        <f ca="1"/>
      </c>
      <c r="CM308">
        <f ca="1"/>
      </c>
      <c r="CN308">
        <f ca="1"/>
      </c>
      <c r="CO308">
        <f ca="1"/>
      </c>
      <c r="CP308">
        <f ca="1"/>
      </c>
      <c r="CQ308">
        <f ca="1"/>
      </c>
      <c r="CR308">
        <f ca="1"/>
      </c>
      <c r="CS308">
        <f ca="1"/>
      </c>
      <c r="CT308">
        <f ca="1"/>
      </c>
      <c r="CU308">
        <f ca="1"/>
      </c>
      <c r="CV308">
        <f ca="1"/>
      </c>
      <c r="CW308">
        <f ca="1"/>
      </c>
      <c r="CX308">
        <f ca="1"/>
      </c>
      <c r="CY308">
        <f ca="1"/>
      </c>
      <c r="CZ308">
        <f ca="1"/>
      </c>
      <c r="DA308">
        <f ca="1"/>
      </c>
      <c r="DB308">
        <f ca="1"/>
      </c>
      <c r="DC308">
        <f ca="1"/>
      </c>
      <c r="DD308">
        <f ca="1"/>
      </c>
      <c r="DE308">
        <f ca="1"/>
      </c>
      <c r="DF308">
        <f ca="1"/>
      </c>
      <c r="DG308">
        <f ca="1"/>
      </c>
      <c r="DH308">
        <f ca="1"/>
      </c>
      <c r="DI308">
        <f ca="1"/>
      </c>
      <c r="DJ308">
        <f ca="1"/>
      </c>
      <c r="DK308">
        <f ca="1"/>
      </c>
      <c r="DL308">
        <f ca="1"/>
      </c>
      <c r="DM308">
        <f ca="1"/>
      </c>
      <c r="DN308">
        <f ca="1"/>
      </c>
      <c r="DO308">
        <f ca="1"/>
      </c>
      <c r="DP308">
        <f ca="1"/>
      </c>
      <c r="DQ308">
        <f ca="1"/>
      </c>
      <c r="DR308">
        <f ca="1"/>
      </c>
      <c r="DS308">
        <f ca="1"/>
      </c>
      <c r="DT308">
        <f ca="1"/>
      </c>
      <c r="DU308">
        <f ca="1"/>
      </c>
      <c r="DV308">
        <f ca="1"/>
      </c>
      <c r="DW308">
        <f ca="1"/>
      </c>
      <c r="DX308">
        <f ca="1"/>
      </c>
      <c r="DY308">
        <f ca="1"/>
      </c>
      <c r="DZ308">
        <f ca="1"/>
      </c>
      <c r="EA308">
        <f ca="1"/>
      </c>
      <c r="EB308">
        <f ca="1"/>
      </c>
      <c r="EC308">
        <f ca="1"/>
      </c>
      <c r="ED308">
        <f ca="1"/>
      </c>
      <c r="EE308">
        <f ca="1"/>
      </c>
      <c r="EG308">
        <f ca="1"/>
      </c>
      <c r="EH308">
        <f ca="1"/>
      </c>
      <c r="EI308">
        <f ca="1"/>
      </c>
      <c r="EJ308">
        <f ca="1"/>
      </c>
      <c r="EK308">
        <f ca="1"/>
      </c>
      <c r="EL308">
        <f ca="1"/>
      </c>
      <c r="EM308">
        <f ca="1"/>
      </c>
      <c r="EN308">
        <f ca="1"/>
      </c>
      <c r="EO308">
        <f ca="1"/>
      </c>
      <c r="EP308">
        <f ca="1"/>
      </c>
      <c r="EQ308">
        <f ca="1"/>
      </c>
      <c r="ER308">
        <f ca="1"/>
      </c>
      <c r="ES308">
        <f ca="1"/>
      </c>
      <c r="ET308">
        <f ca="1"/>
      </c>
      <c r="EU308">
        <f ca="1"/>
      </c>
      <c r="EV308">
        <f ca="1"/>
      </c>
      <c r="EW308">
        <f ca="1"/>
      </c>
      <c r="EX308">
        <f ca="1"/>
      </c>
      <c r="EY308">
        <f ca="1"/>
      </c>
      <c r="EZ308">
        <f ca="1"/>
      </c>
      <c r="FA308">
        <f ca="1"/>
      </c>
      <c r="FB308">
        <f ca="1"/>
      </c>
      <c r="FC308">
        <f ca="1"/>
      </c>
      <c r="FD308">
        <f ca="1"/>
      </c>
      <c r="FE308">
        <f ca="1"/>
      </c>
      <c r="FF308">
        <f ca="1"/>
      </c>
      <c r="FG308">
        <f ca="1"/>
      </c>
      <c r="FH308">
        <f ca="1"/>
      </c>
      <c r="FI308">
        <f ca="1"/>
      </c>
      <c r="FJ308">
        <f ca="1"/>
      </c>
      <c r="FK308">
        <f ca="1"/>
      </c>
      <c r="FL308">
        <f ca="1"/>
      </c>
      <c r="FM308">
        <f ca="1"/>
      </c>
      <c r="FN308">
        <f ca="1"/>
      </c>
      <c r="FO308">
        <f ca="1"/>
      </c>
      <c r="FP308">
        <f ca="1"/>
      </c>
      <c r="FQ308">
        <f ca="1"/>
      </c>
      <c r="FR308">
        <f ca="1"/>
      </c>
      <c r="FS308">
        <f ca="1"/>
      </c>
      <c r="FT308">
        <f ca="1"/>
      </c>
      <c r="FU308">
        <f ca="1"/>
      </c>
      <c r="FV308">
        <f ca="1"/>
      </c>
      <c r="FW308">
        <f ca="1"/>
      </c>
      <c r="FX308">
        <f ca="1"/>
      </c>
      <c r="FY308">
        <f ca="1"/>
      </c>
      <c r="FZ308">
        <f ca="1"/>
      </c>
      <c r="GA308">
        <f ca="1"/>
      </c>
      <c r="GM308" s="7"/>
    </row>
    <row r="309" spans="41:195" x14ac:dyDescent="0.55000000000000004">
      <c r="AO309">
        <f ca="1"/>
      </c>
      <c r="AP309">
        <f ca="1"/>
      </c>
      <c r="AQ309">
        <f ca="1"/>
      </c>
      <c r="AR309">
        <f ca="1"/>
      </c>
      <c r="AS309">
        <f ca="1"/>
      </c>
      <c r="AT309">
        <f ca="1"/>
      </c>
      <c r="AU309">
        <f ca="1"/>
      </c>
      <c r="AV309">
        <f ca="1"/>
      </c>
      <c r="AW309">
        <f ca="1"/>
      </c>
      <c r="AX309">
        <f ca="1"/>
      </c>
      <c r="AY309">
        <f ca="1"/>
      </c>
      <c r="AZ309">
        <f ca="1"/>
      </c>
      <c r="BA309">
        <f ca="1"/>
      </c>
      <c r="BB309">
        <f ca="1"/>
      </c>
      <c r="BC309">
        <f ca="1"/>
      </c>
      <c r="BD309">
        <f ca="1"/>
      </c>
      <c r="BE309">
        <f ca="1"/>
      </c>
      <c r="BF309">
        <f ca="1"/>
      </c>
      <c r="BG309">
        <f ca="1"/>
      </c>
      <c r="BH309">
        <f ca="1"/>
      </c>
      <c r="BI309">
        <f ca="1"/>
      </c>
      <c r="BJ309">
        <f ca="1"/>
      </c>
      <c r="BK309">
        <f ca="1"/>
      </c>
      <c r="BL309">
        <f ca="1"/>
      </c>
      <c r="BM309">
        <f ca="1"/>
      </c>
      <c r="BN309">
        <f ca="1"/>
      </c>
      <c r="BO309">
        <f ca="1"/>
      </c>
      <c r="BP309">
        <f ca="1"/>
      </c>
      <c r="BQ309">
        <f ca="1"/>
      </c>
      <c r="BR309">
        <f ca="1"/>
      </c>
      <c r="BS309">
        <f ca="1"/>
      </c>
      <c r="BT309">
        <f ca="1"/>
      </c>
      <c r="BU309">
        <f ca="1"/>
      </c>
      <c r="BV309">
        <f ca="1"/>
      </c>
      <c r="BW309">
        <f ca="1"/>
      </c>
      <c r="BX309">
        <f ca="1"/>
      </c>
      <c r="BY309">
        <f ca="1"/>
      </c>
      <c r="BZ309">
        <f ca="1"/>
      </c>
      <c r="CA309">
        <f ca="1"/>
      </c>
      <c r="CB309">
        <f ca="1"/>
      </c>
      <c r="CC309">
        <f ca="1"/>
      </c>
      <c r="CD309">
        <f ca="1"/>
      </c>
      <c r="CE309">
        <f ca="1"/>
      </c>
      <c r="CF309">
        <f ca="1"/>
      </c>
      <c r="CG309">
        <f ca="1"/>
      </c>
      <c r="CH309">
        <f ca="1"/>
      </c>
      <c r="CI309">
        <f ca="1"/>
      </c>
      <c r="CK309">
        <f ca="1"/>
      </c>
      <c r="CL309">
        <f ca="1"/>
      </c>
      <c r="CM309">
        <f ca="1"/>
      </c>
      <c r="CN309">
        <f ca="1"/>
      </c>
      <c r="CO309">
        <f ca="1"/>
      </c>
      <c r="CP309">
        <f ca="1"/>
      </c>
      <c r="CQ309">
        <f ca="1"/>
      </c>
      <c r="CR309">
        <f ca="1"/>
      </c>
      <c r="CS309">
        <f ca="1"/>
      </c>
      <c r="CT309">
        <f ca="1"/>
      </c>
      <c r="CU309">
        <f ca="1"/>
      </c>
      <c r="CV309">
        <f ca="1"/>
      </c>
      <c r="CW309">
        <f ca="1"/>
      </c>
      <c r="CX309">
        <f ca="1"/>
      </c>
      <c r="CY309">
        <f ca="1"/>
      </c>
      <c r="CZ309">
        <f ca="1"/>
      </c>
      <c r="DA309">
        <f ca="1"/>
      </c>
      <c r="DB309">
        <f ca="1"/>
      </c>
      <c r="DC309">
        <f ca="1"/>
      </c>
      <c r="DD309">
        <f ca="1"/>
      </c>
      <c r="DE309">
        <f ca="1"/>
      </c>
      <c r="DF309">
        <f ca="1"/>
      </c>
      <c r="DG309">
        <f ca="1"/>
      </c>
      <c r="DH309">
        <f ca="1"/>
      </c>
      <c r="DI309">
        <f ca="1"/>
      </c>
      <c r="DJ309">
        <f ca="1"/>
      </c>
      <c r="DK309">
        <f ca="1"/>
      </c>
      <c r="DL309">
        <f ca="1"/>
      </c>
      <c r="DM309">
        <f ca="1"/>
      </c>
      <c r="DN309">
        <f ca="1"/>
      </c>
      <c r="DO309">
        <f ca="1"/>
      </c>
      <c r="DP309">
        <f ca="1"/>
      </c>
      <c r="DQ309">
        <f ca="1"/>
      </c>
      <c r="DR309">
        <f ca="1"/>
      </c>
      <c r="DS309">
        <f ca="1"/>
      </c>
      <c r="DT309">
        <f ca="1"/>
      </c>
      <c r="DU309">
        <f ca="1"/>
      </c>
      <c r="DV309">
        <f ca="1"/>
      </c>
      <c r="DW309">
        <f ca="1"/>
      </c>
      <c r="DX309">
        <f ca="1"/>
      </c>
      <c r="DY309">
        <f ca="1"/>
      </c>
      <c r="DZ309">
        <f ca="1"/>
      </c>
      <c r="EA309">
        <f ca="1"/>
      </c>
      <c r="EB309">
        <f ca="1"/>
      </c>
      <c r="EC309">
        <f ca="1"/>
      </c>
      <c r="ED309">
        <f ca="1"/>
      </c>
      <c r="EE309">
        <f ca="1"/>
      </c>
      <c r="EG309">
        <f ca="1"/>
      </c>
      <c r="EH309">
        <f ca="1"/>
      </c>
      <c r="EI309">
        <f ca="1"/>
      </c>
      <c r="EJ309">
        <f ca="1"/>
      </c>
      <c r="EK309">
        <f ca="1"/>
      </c>
      <c r="EL309">
        <f ca="1"/>
      </c>
      <c r="EM309">
        <f ca="1"/>
      </c>
      <c r="EN309">
        <f ca="1"/>
      </c>
      <c r="EO309">
        <f ca="1"/>
      </c>
      <c r="EP309">
        <f ca="1"/>
      </c>
      <c r="EQ309">
        <f ca="1"/>
      </c>
      <c r="ER309">
        <f ca="1"/>
      </c>
      <c r="ES309">
        <f ca="1"/>
      </c>
      <c r="ET309">
        <f ca="1"/>
      </c>
      <c r="EU309">
        <f ca="1"/>
      </c>
      <c r="EV309">
        <f ca="1"/>
      </c>
      <c r="EW309">
        <f ca="1"/>
      </c>
      <c r="EX309">
        <f ca="1"/>
      </c>
      <c r="EY309">
        <f ca="1"/>
      </c>
      <c r="EZ309">
        <f ca="1"/>
      </c>
      <c r="FA309">
        <f ca="1"/>
      </c>
      <c r="FB309">
        <f ca="1"/>
      </c>
      <c r="FC309">
        <f ca="1"/>
      </c>
      <c r="FD309">
        <f ca="1"/>
      </c>
      <c r="FE309">
        <f ca="1"/>
      </c>
      <c r="FF309">
        <f ca="1"/>
      </c>
      <c r="FG309">
        <f ca="1"/>
      </c>
      <c r="FH309">
        <f ca="1"/>
      </c>
      <c r="FI309">
        <f ca="1"/>
      </c>
      <c r="FJ309">
        <f ca="1"/>
      </c>
      <c r="FK309">
        <f ca="1"/>
      </c>
      <c r="FL309">
        <f ca="1"/>
      </c>
      <c r="FM309">
        <f ca="1"/>
      </c>
      <c r="FN309">
        <f ca="1"/>
      </c>
      <c r="FO309">
        <f ca="1"/>
      </c>
      <c r="FP309">
        <f ca="1"/>
      </c>
      <c r="FQ309">
        <f ca="1"/>
      </c>
      <c r="FR309">
        <f ca="1"/>
      </c>
      <c r="FS309">
        <f ca="1"/>
      </c>
      <c r="FT309">
        <f ca="1"/>
      </c>
      <c r="FU309">
        <f ca="1"/>
      </c>
      <c r="FV309">
        <f ca="1"/>
      </c>
      <c r="FW309">
        <f ca="1"/>
      </c>
      <c r="FX309">
        <f ca="1"/>
      </c>
      <c r="FY309">
        <f ca="1"/>
      </c>
      <c r="FZ309">
        <f ca="1"/>
      </c>
      <c r="GA309">
        <f ca="1"/>
      </c>
      <c r="GM309" s="7"/>
    </row>
    <row r="310" spans="41:195" x14ac:dyDescent="0.55000000000000004">
      <c r="AO310">
        <f ca="1"/>
      </c>
      <c r="AP310">
        <f ca="1"/>
      </c>
      <c r="AQ310">
        <f ca="1"/>
      </c>
      <c r="AR310">
        <f ca="1"/>
      </c>
      <c r="AS310">
        <f ca="1"/>
      </c>
      <c r="AT310">
        <f ca="1"/>
      </c>
      <c r="AU310">
        <f ca="1"/>
      </c>
      <c r="AV310">
        <f ca="1"/>
      </c>
      <c r="AW310">
        <f ca="1"/>
      </c>
      <c r="AX310">
        <f ca="1"/>
      </c>
      <c r="AY310">
        <f ca="1"/>
      </c>
      <c r="AZ310">
        <f ca="1"/>
      </c>
      <c r="BA310">
        <f ca="1"/>
      </c>
      <c r="BB310">
        <f ca="1"/>
      </c>
      <c r="BC310">
        <f ca="1"/>
      </c>
      <c r="BD310">
        <f ca="1"/>
      </c>
      <c r="BE310">
        <f ca="1"/>
      </c>
      <c r="BF310">
        <f ca="1"/>
      </c>
      <c r="BG310">
        <f ca="1"/>
      </c>
      <c r="BH310">
        <f ca="1"/>
      </c>
      <c r="BI310">
        <f ca="1"/>
      </c>
      <c r="BJ310">
        <f ca="1"/>
      </c>
      <c r="BK310">
        <f ca="1"/>
      </c>
      <c r="BL310">
        <f ca="1"/>
      </c>
      <c r="BM310">
        <f ca="1"/>
      </c>
      <c r="BN310">
        <f ca="1"/>
      </c>
      <c r="BO310">
        <f ca="1"/>
      </c>
      <c r="BP310">
        <f ca="1"/>
      </c>
      <c r="BQ310">
        <f ca="1"/>
      </c>
      <c r="BR310">
        <f ca="1"/>
      </c>
      <c r="BS310">
        <f ca="1"/>
      </c>
      <c r="BT310">
        <f ca="1"/>
      </c>
      <c r="BU310">
        <f ca="1"/>
      </c>
      <c r="BV310">
        <f ca="1"/>
      </c>
      <c r="BW310">
        <f ca="1"/>
      </c>
      <c r="BX310">
        <f ca="1"/>
      </c>
      <c r="BY310">
        <f ca="1"/>
      </c>
      <c r="BZ310">
        <f ca="1"/>
      </c>
      <c r="CA310">
        <f ca="1"/>
      </c>
      <c r="CB310">
        <f ca="1"/>
      </c>
      <c r="CC310">
        <f ca="1"/>
      </c>
      <c r="CD310">
        <f ca="1"/>
      </c>
      <c r="CE310">
        <f ca="1"/>
      </c>
      <c r="CF310">
        <f ca="1"/>
      </c>
      <c r="CG310">
        <f ca="1"/>
      </c>
      <c r="CH310">
        <f ca="1"/>
      </c>
      <c r="CI310">
        <f ca="1"/>
      </c>
      <c r="CK310">
        <f ca="1"/>
      </c>
      <c r="CL310">
        <f ca="1"/>
      </c>
      <c r="CM310">
        <f ca="1"/>
      </c>
      <c r="CN310">
        <f ca="1"/>
      </c>
      <c r="CO310">
        <f ca="1"/>
      </c>
      <c r="CP310">
        <f ca="1"/>
      </c>
      <c r="CQ310">
        <f ca="1"/>
      </c>
      <c r="CR310">
        <f ca="1"/>
      </c>
      <c r="CS310">
        <f ca="1"/>
      </c>
      <c r="CT310">
        <f ca="1"/>
      </c>
      <c r="CU310">
        <f ca="1"/>
      </c>
      <c r="CV310">
        <f ca="1"/>
      </c>
      <c r="CW310">
        <f ca="1"/>
      </c>
      <c r="CX310">
        <f ca="1"/>
      </c>
      <c r="CY310">
        <f ca="1"/>
      </c>
      <c r="CZ310">
        <f ca="1"/>
      </c>
      <c r="DA310">
        <f ca="1"/>
      </c>
      <c r="DB310">
        <f ca="1"/>
      </c>
      <c r="DC310">
        <f ca="1"/>
      </c>
      <c r="DD310">
        <f ca="1"/>
      </c>
      <c r="DE310">
        <f ca="1"/>
      </c>
      <c r="DF310">
        <f ca="1"/>
      </c>
      <c r="DG310">
        <f ca="1"/>
      </c>
      <c r="DH310">
        <f ca="1"/>
      </c>
      <c r="DI310">
        <f ca="1"/>
      </c>
      <c r="DJ310">
        <f ca="1"/>
      </c>
      <c r="DK310">
        <f ca="1"/>
      </c>
      <c r="DL310">
        <f ca="1"/>
      </c>
      <c r="DM310">
        <f ca="1"/>
      </c>
      <c r="DN310">
        <f ca="1"/>
      </c>
      <c r="DO310">
        <f ca="1"/>
      </c>
      <c r="DP310">
        <f ca="1"/>
      </c>
      <c r="DQ310">
        <f ca="1"/>
      </c>
      <c r="DR310">
        <f ca="1"/>
      </c>
      <c r="DS310">
        <f ca="1"/>
      </c>
      <c r="DT310">
        <f ca="1"/>
      </c>
      <c r="DU310">
        <f ca="1"/>
      </c>
      <c r="DV310">
        <f ca="1"/>
      </c>
      <c r="DW310">
        <f ca="1"/>
      </c>
      <c r="DX310">
        <f ca="1"/>
      </c>
      <c r="DY310">
        <f ca="1"/>
      </c>
      <c r="DZ310">
        <f ca="1"/>
      </c>
      <c r="EA310">
        <f ca="1"/>
      </c>
      <c r="EB310">
        <f ca="1"/>
      </c>
      <c r="EC310">
        <f ca="1"/>
      </c>
      <c r="ED310">
        <f ca="1"/>
      </c>
      <c r="EE310">
        <f ca="1"/>
      </c>
      <c r="EG310">
        <f ca="1"/>
      </c>
      <c r="EH310">
        <f ca="1"/>
      </c>
      <c r="EI310">
        <f ca="1"/>
      </c>
      <c r="EJ310">
        <f ca="1"/>
      </c>
      <c r="EK310">
        <f ca="1"/>
      </c>
      <c r="EL310">
        <f ca="1"/>
      </c>
      <c r="EM310">
        <f ca="1"/>
      </c>
      <c r="EN310">
        <f ca="1"/>
      </c>
      <c r="EO310">
        <f ca="1"/>
      </c>
      <c r="EP310">
        <f ca="1"/>
      </c>
      <c r="EQ310">
        <f ca="1"/>
      </c>
      <c r="ER310">
        <f ca="1"/>
      </c>
      <c r="ES310">
        <f ca="1"/>
      </c>
      <c r="ET310">
        <f ca="1"/>
      </c>
      <c r="EU310">
        <f ca="1"/>
      </c>
      <c r="EV310">
        <f ca="1"/>
      </c>
      <c r="EW310">
        <f ca="1"/>
      </c>
      <c r="EX310">
        <f ca="1"/>
      </c>
      <c r="EY310">
        <f ca="1"/>
      </c>
      <c r="EZ310">
        <f ca="1"/>
      </c>
      <c r="FA310">
        <f ca="1"/>
      </c>
      <c r="FB310">
        <f ca="1"/>
      </c>
      <c r="FC310">
        <f ca="1"/>
      </c>
      <c r="FD310">
        <f ca="1"/>
      </c>
      <c r="FE310">
        <f ca="1"/>
      </c>
      <c r="FF310">
        <f ca="1"/>
      </c>
      <c r="FG310">
        <f ca="1"/>
      </c>
      <c r="FH310">
        <f ca="1"/>
      </c>
      <c r="FI310">
        <f ca="1"/>
      </c>
      <c r="FJ310">
        <f ca="1"/>
      </c>
      <c r="FK310">
        <f ca="1"/>
      </c>
      <c r="FL310">
        <f ca="1"/>
      </c>
      <c r="FM310">
        <f ca="1"/>
      </c>
      <c r="FN310">
        <f ca="1"/>
      </c>
      <c r="FO310">
        <f ca="1"/>
      </c>
      <c r="FP310">
        <f ca="1"/>
      </c>
      <c r="FQ310">
        <f ca="1"/>
      </c>
      <c r="FR310">
        <f ca="1"/>
      </c>
      <c r="FS310">
        <f ca="1"/>
      </c>
      <c r="FT310">
        <f ca="1"/>
      </c>
      <c r="FU310">
        <f ca="1"/>
      </c>
      <c r="FV310">
        <f ca="1"/>
      </c>
      <c r="FW310">
        <f ca="1"/>
      </c>
      <c r="FX310">
        <f ca="1"/>
      </c>
      <c r="FY310">
        <f ca="1"/>
      </c>
      <c r="FZ310">
        <f ca="1"/>
      </c>
      <c r="GA310">
        <f ca="1"/>
      </c>
      <c r="GM310" s="7"/>
    </row>
    <row r="311" spans="41:195" x14ac:dyDescent="0.55000000000000004">
      <c r="AO311">
        <f ca="1"/>
      </c>
      <c r="AP311">
        <f ca="1"/>
      </c>
      <c r="AQ311">
        <f ca="1"/>
      </c>
      <c r="AR311">
        <f ca="1"/>
      </c>
      <c r="AS311">
        <f ca="1"/>
      </c>
      <c r="AT311">
        <f ca="1"/>
      </c>
      <c r="AU311">
        <f ca="1"/>
      </c>
      <c r="AV311">
        <f ca="1"/>
      </c>
      <c r="AW311">
        <f ca="1"/>
      </c>
      <c r="AX311">
        <f ca="1"/>
      </c>
      <c r="AY311">
        <f ca="1"/>
      </c>
      <c r="AZ311">
        <f ca="1"/>
      </c>
      <c r="BA311">
        <f ca="1"/>
      </c>
      <c r="BB311">
        <f ca="1"/>
      </c>
      <c r="BC311">
        <f ca="1"/>
      </c>
      <c r="BD311">
        <f ca="1"/>
      </c>
      <c r="BE311">
        <f ca="1"/>
      </c>
      <c r="BF311">
        <f ca="1"/>
      </c>
      <c r="BG311">
        <f ca="1"/>
      </c>
      <c r="BH311">
        <f ca="1"/>
      </c>
      <c r="BI311">
        <f ca="1"/>
      </c>
      <c r="BJ311">
        <f ca="1"/>
      </c>
      <c r="BK311">
        <f ca="1"/>
      </c>
      <c r="BL311">
        <f ca="1"/>
      </c>
      <c r="BM311">
        <f ca="1"/>
      </c>
      <c r="BN311">
        <f ca="1"/>
      </c>
      <c r="BO311">
        <f ca="1"/>
      </c>
      <c r="BP311">
        <f ca="1"/>
      </c>
      <c r="BQ311">
        <f ca="1"/>
      </c>
      <c r="BR311">
        <f ca="1"/>
      </c>
      <c r="BS311">
        <f ca="1"/>
      </c>
      <c r="BT311">
        <f ca="1"/>
      </c>
      <c r="BU311">
        <f ca="1"/>
      </c>
      <c r="BV311">
        <f ca="1"/>
      </c>
      <c r="BW311">
        <f ca="1"/>
      </c>
      <c r="BX311">
        <f ca="1"/>
      </c>
      <c r="BY311">
        <f ca="1"/>
      </c>
      <c r="BZ311">
        <f ca="1"/>
      </c>
      <c r="CA311">
        <f ca="1"/>
      </c>
      <c r="CB311">
        <f ca="1"/>
      </c>
      <c r="CC311">
        <f ca="1"/>
      </c>
      <c r="CD311">
        <f ca="1"/>
      </c>
      <c r="CE311">
        <f ca="1"/>
      </c>
      <c r="CF311">
        <f ca="1"/>
      </c>
      <c r="CG311">
        <f ca="1"/>
      </c>
      <c r="CH311">
        <f ca="1"/>
      </c>
      <c r="CI311">
        <f ca="1"/>
      </c>
      <c r="CK311">
        <f ca="1"/>
      </c>
      <c r="CL311">
        <f ca="1"/>
      </c>
      <c r="CM311">
        <f ca="1"/>
      </c>
      <c r="CN311">
        <f ca="1"/>
      </c>
      <c r="CO311">
        <f ca="1"/>
      </c>
      <c r="CP311">
        <f ca="1"/>
      </c>
      <c r="CQ311">
        <f ca="1"/>
      </c>
      <c r="CR311">
        <f ca="1"/>
      </c>
      <c r="CS311">
        <f ca="1"/>
      </c>
      <c r="CT311">
        <f ca="1"/>
      </c>
      <c r="CU311">
        <f ca="1"/>
      </c>
      <c r="CV311">
        <f ca="1"/>
      </c>
      <c r="CW311">
        <f ca="1"/>
      </c>
      <c r="CX311">
        <f ca="1"/>
      </c>
      <c r="CY311">
        <f ca="1"/>
      </c>
      <c r="CZ311">
        <f ca="1"/>
      </c>
      <c r="DA311">
        <f ca="1"/>
      </c>
      <c r="DB311">
        <f ca="1"/>
      </c>
      <c r="DC311">
        <f ca="1"/>
      </c>
      <c r="DD311">
        <f ca="1"/>
      </c>
      <c r="DE311">
        <f ca="1"/>
      </c>
      <c r="DF311">
        <f ca="1"/>
      </c>
      <c r="DG311">
        <f ca="1"/>
      </c>
      <c r="DH311">
        <f ca="1"/>
      </c>
      <c r="DI311">
        <f ca="1"/>
      </c>
      <c r="DJ311">
        <f ca="1"/>
      </c>
      <c r="DK311">
        <f ca="1"/>
      </c>
      <c r="DL311">
        <f ca="1"/>
      </c>
      <c r="DM311">
        <f ca="1"/>
      </c>
      <c r="DN311">
        <f ca="1"/>
      </c>
      <c r="DO311">
        <f ca="1"/>
      </c>
      <c r="DP311">
        <f ca="1"/>
      </c>
      <c r="DQ311">
        <f ca="1"/>
      </c>
      <c r="DR311">
        <f ca="1"/>
      </c>
      <c r="DS311">
        <f ca="1"/>
      </c>
      <c r="DT311">
        <f ca="1"/>
      </c>
      <c r="DU311">
        <f ca="1"/>
      </c>
      <c r="DV311">
        <f ca="1"/>
      </c>
      <c r="DW311">
        <f ca="1"/>
      </c>
      <c r="DX311">
        <f ca="1"/>
      </c>
      <c r="DY311">
        <f ca="1"/>
      </c>
      <c r="DZ311">
        <f ca="1"/>
      </c>
      <c r="EA311">
        <f ca="1"/>
      </c>
      <c r="EB311">
        <f ca="1"/>
      </c>
      <c r="EC311">
        <f ca="1"/>
      </c>
      <c r="ED311">
        <f ca="1"/>
      </c>
      <c r="EE311">
        <f ca="1"/>
      </c>
      <c r="EG311">
        <f ca="1"/>
      </c>
      <c r="EH311">
        <f ca="1"/>
      </c>
      <c r="EI311">
        <f ca="1"/>
      </c>
      <c r="EJ311">
        <f ca="1"/>
      </c>
      <c r="EK311">
        <f ca="1"/>
      </c>
      <c r="EL311">
        <f ca="1"/>
      </c>
      <c r="EM311">
        <f ca="1"/>
      </c>
      <c r="EN311">
        <f ca="1"/>
      </c>
      <c r="EO311">
        <f ca="1"/>
      </c>
      <c r="EP311">
        <f ca="1"/>
      </c>
      <c r="EQ311">
        <f ca="1"/>
      </c>
      <c r="ER311">
        <f ca="1"/>
      </c>
      <c r="ES311">
        <f ca="1"/>
      </c>
      <c r="ET311">
        <f ca="1"/>
      </c>
      <c r="EU311">
        <f ca="1"/>
      </c>
      <c r="EV311">
        <f ca="1"/>
      </c>
      <c r="EW311">
        <f ca="1"/>
      </c>
      <c r="EX311">
        <f ca="1"/>
      </c>
      <c r="EY311">
        <f ca="1"/>
      </c>
      <c r="EZ311">
        <f ca="1"/>
      </c>
      <c r="FA311">
        <f ca="1"/>
      </c>
      <c r="FB311">
        <f ca="1"/>
      </c>
      <c r="FC311">
        <f ca="1"/>
      </c>
      <c r="FD311">
        <f ca="1"/>
      </c>
      <c r="FE311">
        <f ca="1"/>
      </c>
      <c r="FF311">
        <f ca="1"/>
      </c>
      <c r="FG311">
        <f ca="1"/>
      </c>
      <c r="FH311">
        <f ca="1"/>
      </c>
      <c r="FI311">
        <f ca="1"/>
      </c>
      <c r="FJ311">
        <f ca="1"/>
      </c>
      <c r="FK311">
        <f ca="1"/>
      </c>
      <c r="FL311">
        <f ca="1"/>
      </c>
      <c r="FM311">
        <f ca="1"/>
      </c>
      <c r="FN311">
        <f ca="1"/>
      </c>
      <c r="FO311">
        <f ca="1"/>
      </c>
      <c r="FP311">
        <f ca="1"/>
      </c>
      <c r="FQ311">
        <f ca="1"/>
      </c>
      <c r="FR311">
        <f ca="1"/>
      </c>
      <c r="FS311">
        <f ca="1"/>
      </c>
      <c r="FT311">
        <f ca="1"/>
      </c>
      <c r="FU311">
        <f ca="1"/>
      </c>
      <c r="FV311">
        <f ca="1"/>
      </c>
      <c r="FW311">
        <f ca="1"/>
      </c>
      <c r="FX311">
        <f ca="1"/>
      </c>
      <c r="FY311">
        <f ca="1"/>
      </c>
      <c r="FZ311">
        <f ca="1"/>
      </c>
      <c r="GA311">
        <f ca="1"/>
      </c>
      <c r="GM311" s="7"/>
    </row>
    <row r="312" spans="41:195" x14ac:dyDescent="0.55000000000000004">
      <c r="AO312">
        <f ca="1"/>
      </c>
      <c r="AP312">
        <f ca="1"/>
      </c>
      <c r="AQ312">
        <f ca="1"/>
      </c>
      <c r="AR312">
        <f ca="1"/>
      </c>
      <c r="AS312">
        <f ca="1"/>
      </c>
      <c r="AT312">
        <f ca="1"/>
      </c>
      <c r="AU312">
        <f ca="1"/>
      </c>
      <c r="AV312">
        <f ca="1"/>
      </c>
      <c r="AW312">
        <f ca="1"/>
      </c>
      <c r="AX312">
        <f ca="1"/>
      </c>
      <c r="AY312">
        <f ca="1"/>
      </c>
      <c r="AZ312">
        <f ca="1"/>
      </c>
      <c r="BA312">
        <f ca="1"/>
      </c>
      <c r="BB312">
        <f ca="1"/>
      </c>
      <c r="BC312">
        <f ca="1"/>
      </c>
      <c r="BD312">
        <f ca="1"/>
      </c>
      <c r="BE312">
        <f ca="1"/>
      </c>
      <c r="BF312">
        <f ca="1"/>
      </c>
      <c r="BG312">
        <f ca="1"/>
      </c>
      <c r="BH312">
        <f ca="1"/>
      </c>
      <c r="BI312">
        <f ca="1"/>
      </c>
      <c r="BJ312">
        <f ca="1"/>
      </c>
      <c r="BK312">
        <f ca="1"/>
      </c>
      <c r="BL312">
        <f ca="1"/>
      </c>
      <c r="BM312">
        <f ca="1"/>
      </c>
      <c r="BN312">
        <f ca="1"/>
      </c>
      <c r="BO312">
        <f ca="1"/>
      </c>
      <c r="BP312">
        <f ca="1"/>
      </c>
      <c r="BQ312">
        <f ca="1"/>
      </c>
      <c r="BR312">
        <f ca="1"/>
      </c>
      <c r="BS312">
        <f ca="1"/>
      </c>
      <c r="BT312">
        <f ca="1"/>
      </c>
      <c r="BU312">
        <f ca="1"/>
      </c>
      <c r="BV312">
        <f ca="1"/>
      </c>
      <c r="BW312">
        <f ca="1"/>
      </c>
      <c r="BX312">
        <f ca="1"/>
      </c>
      <c r="BY312">
        <f ca="1"/>
      </c>
      <c r="BZ312">
        <f ca="1"/>
      </c>
      <c r="CA312">
        <f ca="1"/>
      </c>
      <c r="CB312">
        <f ca="1"/>
      </c>
      <c r="CC312">
        <f ca="1"/>
      </c>
      <c r="CD312">
        <f ca="1"/>
      </c>
      <c r="CE312">
        <f ca="1"/>
      </c>
      <c r="CF312">
        <f ca="1"/>
      </c>
      <c r="CG312">
        <f ca="1"/>
      </c>
      <c r="CH312">
        <f ca="1"/>
      </c>
      <c r="CI312">
        <f ca="1"/>
      </c>
      <c r="CK312">
        <f ca="1"/>
      </c>
      <c r="CL312">
        <f ca="1"/>
      </c>
      <c r="CM312">
        <f ca="1"/>
      </c>
      <c r="CN312">
        <f ca="1"/>
      </c>
      <c r="CO312">
        <f ca="1"/>
      </c>
      <c r="CP312">
        <f ca="1"/>
      </c>
      <c r="CQ312">
        <f ca="1"/>
      </c>
      <c r="CR312">
        <f ca="1"/>
      </c>
      <c r="CS312">
        <f ca="1"/>
      </c>
      <c r="CT312">
        <f ca="1"/>
      </c>
      <c r="CU312">
        <f ca="1"/>
      </c>
      <c r="CV312">
        <f ca="1"/>
      </c>
      <c r="CW312">
        <f ca="1"/>
      </c>
      <c r="CX312">
        <f ca="1"/>
      </c>
      <c r="CY312">
        <f ca="1"/>
      </c>
      <c r="CZ312">
        <f ca="1"/>
      </c>
      <c r="DA312">
        <f ca="1"/>
      </c>
      <c r="DB312">
        <f ca="1"/>
      </c>
      <c r="DC312">
        <f ca="1"/>
      </c>
      <c r="DD312">
        <f ca="1"/>
      </c>
      <c r="DE312">
        <f ca="1"/>
      </c>
      <c r="DF312">
        <f ca="1"/>
      </c>
      <c r="DG312">
        <f ca="1"/>
      </c>
      <c r="DH312">
        <f ca="1"/>
      </c>
      <c r="DI312">
        <f ca="1"/>
      </c>
      <c r="DJ312">
        <f ca="1"/>
      </c>
      <c r="DK312">
        <f ca="1"/>
      </c>
      <c r="DL312">
        <f ca="1"/>
      </c>
      <c r="DM312">
        <f ca="1"/>
      </c>
      <c r="DN312">
        <f ca="1"/>
      </c>
      <c r="DO312">
        <f ca="1"/>
      </c>
      <c r="DP312">
        <f ca="1"/>
      </c>
      <c r="DQ312">
        <f ca="1"/>
      </c>
      <c r="DR312">
        <f ca="1"/>
      </c>
      <c r="DS312">
        <f ca="1"/>
      </c>
      <c r="DT312">
        <f ca="1"/>
      </c>
      <c r="DU312">
        <f ca="1"/>
      </c>
      <c r="DV312">
        <f ca="1"/>
      </c>
      <c r="DW312">
        <f ca="1"/>
      </c>
      <c r="DX312">
        <f ca="1"/>
      </c>
      <c r="DY312">
        <f ca="1"/>
      </c>
      <c r="DZ312">
        <f ca="1"/>
      </c>
      <c r="EA312">
        <f ca="1"/>
      </c>
      <c r="EB312">
        <f ca="1"/>
      </c>
      <c r="EC312">
        <f ca="1"/>
      </c>
      <c r="ED312">
        <f ca="1"/>
      </c>
      <c r="EE312">
        <f ca="1"/>
      </c>
      <c r="EG312">
        <f ca="1"/>
      </c>
      <c r="EH312">
        <f ca="1"/>
      </c>
      <c r="EI312">
        <f ca="1"/>
      </c>
      <c r="EJ312">
        <f ca="1"/>
      </c>
      <c r="EK312">
        <f ca="1"/>
      </c>
      <c r="EL312">
        <f ca="1"/>
      </c>
      <c r="EM312">
        <f ca="1"/>
      </c>
      <c r="EN312">
        <f ca="1"/>
      </c>
      <c r="EO312">
        <f ca="1"/>
      </c>
      <c r="EP312">
        <f ca="1"/>
      </c>
      <c r="EQ312">
        <f ca="1"/>
      </c>
      <c r="ER312">
        <f ca="1"/>
      </c>
      <c r="ES312">
        <f ca="1"/>
      </c>
      <c r="ET312">
        <f ca="1"/>
      </c>
      <c r="EU312">
        <f ca="1"/>
      </c>
      <c r="EV312">
        <f ca="1"/>
      </c>
      <c r="EW312">
        <f ca="1"/>
      </c>
      <c r="EX312">
        <f ca="1"/>
      </c>
      <c r="EY312">
        <f ca="1"/>
      </c>
      <c r="EZ312">
        <f ca="1"/>
      </c>
      <c r="FA312">
        <f ca="1"/>
      </c>
      <c r="FB312">
        <f ca="1"/>
      </c>
      <c r="FC312">
        <f ca="1"/>
      </c>
      <c r="FD312">
        <f ca="1"/>
      </c>
      <c r="FE312">
        <f ca="1"/>
      </c>
      <c r="FF312">
        <f ca="1"/>
      </c>
      <c r="FG312">
        <f ca="1"/>
      </c>
      <c r="FH312">
        <f ca="1"/>
      </c>
      <c r="FI312">
        <f ca="1"/>
      </c>
      <c r="FJ312">
        <f ca="1"/>
      </c>
      <c r="FK312">
        <f ca="1"/>
      </c>
      <c r="FL312">
        <f ca="1"/>
      </c>
      <c r="FM312">
        <f ca="1"/>
      </c>
      <c r="FN312">
        <f ca="1"/>
      </c>
      <c r="FO312">
        <f ca="1"/>
      </c>
      <c r="FP312">
        <f ca="1"/>
      </c>
      <c r="FQ312">
        <f ca="1"/>
      </c>
      <c r="FR312">
        <f ca="1"/>
      </c>
      <c r="FS312">
        <f ca="1"/>
      </c>
      <c r="FT312">
        <f ca="1"/>
      </c>
      <c r="FU312">
        <f ca="1"/>
      </c>
      <c r="FV312">
        <f ca="1"/>
      </c>
      <c r="FW312">
        <f ca="1"/>
      </c>
      <c r="FX312">
        <f ca="1"/>
      </c>
      <c r="FY312">
        <f ca="1"/>
      </c>
      <c r="FZ312">
        <f ca="1"/>
      </c>
      <c r="GA312">
        <f ca="1"/>
      </c>
      <c r="GM312" s="7"/>
    </row>
    <row r="313" spans="41:195" x14ac:dyDescent="0.55000000000000004">
      <c r="AO313">
        <f ca="1"/>
      </c>
      <c r="AP313">
        <f ca="1"/>
      </c>
      <c r="AQ313">
        <f ca="1"/>
      </c>
      <c r="AR313">
        <f ca="1"/>
      </c>
      <c r="AS313">
        <f ca="1"/>
      </c>
      <c r="AT313">
        <f ca="1"/>
      </c>
      <c r="AU313">
        <f ca="1"/>
      </c>
      <c r="AV313">
        <f ca="1"/>
      </c>
      <c r="AW313">
        <f ca="1"/>
      </c>
      <c r="AX313">
        <f ca="1"/>
      </c>
      <c r="AY313">
        <f ca="1"/>
      </c>
      <c r="AZ313">
        <f ca="1"/>
      </c>
      <c r="BA313">
        <f ca="1"/>
      </c>
      <c r="BB313">
        <f ca="1"/>
      </c>
      <c r="BC313">
        <f ca="1"/>
      </c>
      <c r="BD313">
        <f ca="1"/>
      </c>
      <c r="BE313">
        <f ca="1"/>
      </c>
      <c r="BF313">
        <f ca="1"/>
      </c>
      <c r="BG313">
        <f ca="1"/>
      </c>
      <c r="BH313">
        <f ca="1"/>
      </c>
      <c r="BI313">
        <f ca="1"/>
      </c>
      <c r="BJ313">
        <f ca="1"/>
      </c>
      <c r="BK313">
        <f ca="1"/>
      </c>
      <c r="BL313">
        <f ca="1"/>
      </c>
      <c r="BM313">
        <f ca="1"/>
      </c>
      <c r="BN313">
        <f ca="1"/>
      </c>
      <c r="BO313">
        <f ca="1"/>
      </c>
      <c r="BP313">
        <f ca="1"/>
      </c>
      <c r="BQ313">
        <f ca="1"/>
      </c>
      <c r="BR313">
        <f ca="1"/>
      </c>
      <c r="BS313">
        <f ca="1"/>
      </c>
      <c r="BT313">
        <f ca="1"/>
      </c>
      <c r="BU313">
        <f ca="1"/>
      </c>
      <c r="BV313">
        <f ca="1"/>
      </c>
      <c r="BW313">
        <f ca="1"/>
      </c>
      <c r="BX313">
        <f ca="1"/>
      </c>
      <c r="BY313">
        <f ca="1"/>
      </c>
      <c r="BZ313">
        <f ca="1"/>
      </c>
      <c r="CA313">
        <f ca="1"/>
      </c>
      <c r="CB313">
        <f ca="1"/>
      </c>
      <c r="CC313">
        <f ca="1"/>
      </c>
      <c r="CD313">
        <f ca="1"/>
      </c>
      <c r="CE313">
        <f ca="1"/>
      </c>
      <c r="CF313">
        <f ca="1"/>
      </c>
      <c r="CG313">
        <f ca="1"/>
      </c>
      <c r="CH313">
        <f ca="1"/>
      </c>
      <c r="CI313">
        <f ca="1"/>
      </c>
      <c r="CK313">
        <f ca="1"/>
      </c>
      <c r="CL313">
        <f ca="1"/>
      </c>
      <c r="CM313">
        <f ca="1"/>
      </c>
      <c r="CN313">
        <f ca="1"/>
      </c>
      <c r="CO313">
        <f ca="1"/>
      </c>
      <c r="CP313">
        <f ca="1"/>
      </c>
      <c r="CQ313">
        <f ca="1"/>
      </c>
      <c r="CR313">
        <f ca="1"/>
      </c>
      <c r="CS313">
        <f ca="1"/>
      </c>
      <c r="CT313">
        <f ca="1"/>
      </c>
      <c r="CU313">
        <f ca="1"/>
      </c>
      <c r="CV313">
        <f ca="1"/>
      </c>
      <c r="CW313">
        <f ca="1"/>
      </c>
      <c r="CX313">
        <f ca="1"/>
      </c>
      <c r="CY313">
        <f ca="1"/>
      </c>
      <c r="CZ313">
        <f ca="1"/>
      </c>
      <c r="DA313">
        <f ca="1"/>
      </c>
      <c r="DB313">
        <f ca="1"/>
      </c>
      <c r="DC313">
        <f ca="1"/>
      </c>
      <c r="DD313">
        <f ca="1"/>
      </c>
      <c r="DE313">
        <f ca="1"/>
      </c>
      <c r="DF313">
        <f ca="1"/>
      </c>
      <c r="DG313">
        <f ca="1"/>
      </c>
      <c r="DH313">
        <f ca="1"/>
      </c>
      <c r="DI313">
        <f ca="1"/>
      </c>
      <c r="DJ313">
        <f ca="1"/>
      </c>
      <c r="DK313">
        <f ca="1"/>
      </c>
      <c r="DL313">
        <f ca="1"/>
      </c>
      <c r="DM313">
        <f ca="1"/>
      </c>
      <c r="DN313">
        <f ca="1"/>
      </c>
      <c r="DO313">
        <f ca="1"/>
      </c>
      <c r="DP313">
        <f ca="1"/>
      </c>
      <c r="DQ313">
        <f ca="1"/>
      </c>
      <c r="DR313">
        <f ca="1"/>
      </c>
      <c r="DS313">
        <f ca="1"/>
      </c>
      <c r="DT313">
        <f ca="1"/>
      </c>
      <c r="DU313">
        <f ca="1"/>
      </c>
      <c r="DV313">
        <f ca="1"/>
      </c>
      <c r="DW313">
        <f ca="1"/>
      </c>
      <c r="DX313">
        <f ca="1"/>
      </c>
      <c r="DY313">
        <f ca="1"/>
      </c>
      <c r="DZ313">
        <f ca="1"/>
      </c>
      <c r="EA313">
        <f ca="1"/>
      </c>
      <c r="EB313">
        <f ca="1"/>
      </c>
      <c r="EC313">
        <f ca="1"/>
      </c>
      <c r="ED313">
        <f ca="1"/>
      </c>
      <c r="EE313">
        <f ca="1"/>
      </c>
      <c r="EG313">
        <f ca="1"/>
      </c>
      <c r="EH313">
        <f ca="1"/>
      </c>
      <c r="EI313">
        <f ca="1"/>
      </c>
      <c r="EJ313">
        <f ca="1"/>
      </c>
      <c r="EK313">
        <f ca="1"/>
      </c>
      <c r="EL313">
        <f ca="1"/>
      </c>
      <c r="EM313">
        <f ca="1"/>
      </c>
      <c r="EN313">
        <f ca="1"/>
      </c>
      <c r="EO313">
        <f ca="1"/>
      </c>
      <c r="EP313">
        <f ca="1"/>
      </c>
      <c r="EQ313">
        <f ca="1"/>
      </c>
      <c r="ER313">
        <f ca="1"/>
      </c>
      <c r="ES313">
        <f ca="1"/>
      </c>
      <c r="ET313">
        <f ca="1"/>
      </c>
      <c r="EU313">
        <f ca="1"/>
      </c>
      <c r="EV313">
        <f ca="1"/>
      </c>
      <c r="EW313">
        <f ca="1"/>
      </c>
      <c r="EX313">
        <f ca="1"/>
      </c>
      <c r="EY313">
        <f ca="1"/>
      </c>
      <c r="EZ313">
        <f ca="1"/>
      </c>
      <c r="FA313">
        <f ca="1"/>
      </c>
      <c r="FB313">
        <f ca="1"/>
      </c>
      <c r="FC313">
        <f ca="1"/>
      </c>
      <c r="FD313">
        <f ca="1"/>
      </c>
      <c r="FE313">
        <f ca="1"/>
      </c>
      <c r="FF313">
        <f ca="1"/>
      </c>
      <c r="FG313">
        <f ca="1"/>
      </c>
      <c r="FH313">
        <f ca="1"/>
      </c>
      <c r="FI313">
        <f ca="1"/>
      </c>
      <c r="FJ313">
        <f ca="1"/>
      </c>
      <c r="FK313">
        <f ca="1"/>
      </c>
      <c r="FL313">
        <f ca="1"/>
      </c>
      <c r="FM313">
        <f ca="1"/>
      </c>
      <c r="FN313">
        <f ca="1"/>
      </c>
      <c r="FO313">
        <f ca="1"/>
      </c>
      <c r="FP313">
        <f ca="1"/>
      </c>
      <c r="FQ313">
        <f ca="1"/>
      </c>
      <c r="FR313">
        <f ca="1"/>
      </c>
      <c r="FS313">
        <f ca="1"/>
      </c>
      <c r="FT313">
        <f ca="1"/>
      </c>
      <c r="FU313">
        <f ca="1"/>
      </c>
      <c r="FV313">
        <f ca="1"/>
      </c>
      <c r="FW313">
        <f ca="1"/>
      </c>
      <c r="FX313">
        <f ca="1"/>
      </c>
      <c r="FY313">
        <f ca="1"/>
      </c>
      <c r="FZ313">
        <f ca="1"/>
      </c>
      <c r="GA313">
        <f ca="1"/>
      </c>
      <c r="GM313" s="7"/>
    </row>
    <row r="314" spans="41:195" x14ac:dyDescent="0.55000000000000004">
      <c r="AO314">
        <f ca="1"/>
      </c>
      <c r="AP314">
        <f ca="1"/>
      </c>
      <c r="AQ314">
        <f ca="1"/>
      </c>
      <c r="AR314">
        <f ca="1"/>
      </c>
      <c r="AS314">
        <f ca="1"/>
      </c>
      <c r="AT314">
        <f ca="1"/>
      </c>
      <c r="AU314">
        <f ca="1"/>
      </c>
      <c r="AV314">
        <f ca="1"/>
      </c>
      <c r="AW314">
        <f ca="1"/>
      </c>
      <c r="AX314">
        <f ca="1"/>
      </c>
      <c r="AY314">
        <f ca="1"/>
      </c>
      <c r="AZ314">
        <f ca="1"/>
      </c>
      <c r="BA314">
        <f ca="1"/>
      </c>
      <c r="BB314">
        <f ca="1"/>
      </c>
      <c r="BC314">
        <f ca="1"/>
      </c>
      <c r="BD314">
        <f ca="1"/>
      </c>
      <c r="BE314">
        <f ca="1"/>
      </c>
      <c r="BF314">
        <f ca="1"/>
      </c>
      <c r="BG314">
        <f ca="1"/>
      </c>
      <c r="BH314">
        <f ca="1"/>
      </c>
      <c r="BI314">
        <f ca="1"/>
      </c>
      <c r="BJ314">
        <f ca="1"/>
      </c>
      <c r="BK314">
        <f ca="1"/>
      </c>
      <c r="BL314">
        <f ca="1"/>
      </c>
      <c r="BM314">
        <f ca="1"/>
      </c>
      <c r="BN314">
        <f ca="1"/>
      </c>
      <c r="BO314">
        <f ca="1"/>
      </c>
      <c r="BP314">
        <f ca="1"/>
      </c>
      <c r="BQ314">
        <f ca="1"/>
      </c>
      <c r="BR314">
        <f ca="1"/>
      </c>
      <c r="BS314">
        <f ca="1"/>
      </c>
      <c r="BT314">
        <f ca="1"/>
      </c>
      <c r="BU314">
        <f ca="1"/>
      </c>
      <c r="BV314">
        <f ca="1"/>
      </c>
      <c r="BW314">
        <f ca="1"/>
      </c>
      <c r="BX314">
        <f ca="1"/>
      </c>
      <c r="BY314">
        <f ca="1"/>
      </c>
      <c r="BZ314">
        <f ca="1"/>
      </c>
      <c r="CA314">
        <f ca="1"/>
      </c>
      <c r="CB314">
        <f ca="1"/>
      </c>
      <c r="CC314">
        <f ca="1"/>
      </c>
      <c r="CD314">
        <f ca="1"/>
      </c>
      <c r="CE314">
        <f ca="1"/>
      </c>
      <c r="CF314">
        <f ca="1"/>
      </c>
      <c r="CG314">
        <f ca="1"/>
      </c>
      <c r="CH314">
        <f ca="1"/>
      </c>
      <c r="CI314">
        <f ca="1"/>
      </c>
      <c r="CK314">
        <f ca="1"/>
      </c>
      <c r="CL314">
        <f ca="1"/>
      </c>
      <c r="CM314">
        <f ca="1"/>
      </c>
      <c r="CN314">
        <f ca="1"/>
      </c>
      <c r="CO314">
        <f ca="1"/>
      </c>
      <c r="CP314">
        <f ca="1"/>
      </c>
      <c r="CQ314">
        <f ca="1"/>
      </c>
      <c r="CR314">
        <f ca="1"/>
      </c>
      <c r="CS314">
        <f ca="1"/>
      </c>
      <c r="CT314">
        <f ca="1"/>
      </c>
      <c r="CU314">
        <f ca="1"/>
      </c>
      <c r="CV314">
        <f ca="1"/>
      </c>
      <c r="CW314">
        <f ca="1"/>
      </c>
      <c r="CX314">
        <f ca="1"/>
      </c>
      <c r="CY314">
        <f ca="1"/>
      </c>
      <c r="CZ314">
        <f ca="1"/>
      </c>
      <c r="DA314">
        <f ca="1"/>
      </c>
      <c r="DB314">
        <f ca="1"/>
      </c>
      <c r="DC314">
        <f ca="1"/>
      </c>
      <c r="DD314">
        <f ca="1"/>
      </c>
      <c r="DE314">
        <f ca="1"/>
      </c>
      <c r="DF314">
        <f ca="1"/>
      </c>
      <c r="DG314">
        <f ca="1"/>
      </c>
      <c r="DH314">
        <f ca="1"/>
      </c>
      <c r="DI314">
        <f ca="1"/>
      </c>
      <c r="DJ314">
        <f ca="1"/>
      </c>
      <c r="DK314">
        <f ca="1"/>
      </c>
      <c r="DL314">
        <f ca="1"/>
      </c>
      <c r="DM314">
        <f ca="1"/>
      </c>
      <c r="DN314">
        <f ca="1"/>
      </c>
      <c r="DO314">
        <f ca="1"/>
      </c>
      <c r="DP314">
        <f ca="1"/>
      </c>
      <c r="DQ314">
        <f ca="1"/>
      </c>
      <c r="DR314">
        <f ca="1"/>
      </c>
      <c r="DS314">
        <f ca="1"/>
      </c>
      <c r="DT314">
        <f ca="1"/>
      </c>
      <c r="DU314">
        <f ca="1"/>
      </c>
      <c r="DV314">
        <f ca="1"/>
      </c>
      <c r="DW314">
        <f ca="1"/>
      </c>
      <c r="DX314">
        <f ca="1"/>
      </c>
      <c r="DY314">
        <f ca="1"/>
      </c>
      <c r="DZ314">
        <f ca="1"/>
      </c>
      <c r="EA314">
        <f ca="1"/>
      </c>
      <c r="EB314">
        <f ca="1"/>
      </c>
      <c r="EC314">
        <f ca="1"/>
      </c>
      <c r="ED314">
        <f ca="1"/>
      </c>
      <c r="EE314">
        <f ca="1"/>
      </c>
      <c r="EG314">
        <f ca="1"/>
      </c>
      <c r="EH314">
        <f ca="1"/>
      </c>
      <c r="EI314">
        <f ca="1"/>
      </c>
      <c r="EJ314">
        <f ca="1"/>
      </c>
      <c r="EK314">
        <f ca="1"/>
      </c>
      <c r="EL314">
        <f ca="1"/>
      </c>
      <c r="EM314">
        <f ca="1"/>
      </c>
      <c r="EN314">
        <f ca="1"/>
      </c>
      <c r="EO314">
        <f ca="1"/>
      </c>
      <c r="EP314">
        <f ca="1"/>
      </c>
      <c r="EQ314">
        <f ca="1"/>
      </c>
      <c r="ER314">
        <f ca="1"/>
      </c>
      <c r="ES314">
        <f ca="1"/>
      </c>
      <c r="ET314">
        <f ca="1"/>
      </c>
      <c r="EU314">
        <f ca="1"/>
      </c>
      <c r="EV314">
        <f ca="1"/>
      </c>
      <c r="EW314">
        <f ca="1"/>
      </c>
      <c r="EX314">
        <f ca="1"/>
      </c>
      <c r="EY314">
        <f ca="1"/>
      </c>
      <c r="EZ314">
        <f ca="1"/>
      </c>
      <c r="FA314">
        <f ca="1"/>
      </c>
      <c r="FB314">
        <f ca="1"/>
      </c>
      <c r="FC314">
        <f ca="1"/>
      </c>
      <c r="FD314">
        <f ca="1"/>
      </c>
      <c r="FE314">
        <f ca="1"/>
      </c>
      <c r="FF314">
        <f ca="1"/>
      </c>
      <c r="FG314">
        <f ca="1"/>
      </c>
      <c r="FH314">
        <f ca="1"/>
      </c>
      <c r="FI314">
        <f ca="1"/>
      </c>
      <c r="FJ314">
        <f ca="1"/>
      </c>
      <c r="FK314">
        <f ca="1"/>
      </c>
      <c r="FL314">
        <f ca="1"/>
      </c>
      <c r="FM314">
        <f ca="1"/>
      </c>
      <c r="FN314">
        <f ca="1"/>
      </c>
      <c r="FO314">
        <f ca="1"/>
      </c>
      <c r="FP314">
        <f ca="1"/>
      </c>
      <c r="FQ314">
        <f ca="1"/>
      </c>
      <c r="FR314">
        <f ca="1"/>
      </c>
      <c r="FS314">
        <f ca="1"/>
      </c>
      <c r="FT314">
        <f ca="1"/>
      </c>
      <c r="FU314">
        <f ca="1"/>
      </c>
      <c r="FV314">
        <f ca="1"/>
      </c>
      <c r="FW314">
        <f ca="1"/>
      </c>
      <c r="FX314">
        <f ca="1"/>
      </c>
      <c r="FY314">
        <f ca="1"/>
      </c>
      <c r="FZ314">
        <f ca="1"/>
      </c>
      <c r="GA314">
        <f ca="1"/>
      </c>
      <c r="GM314" s="7"/>
    </row>
    <row r="315" spans="41:195" x14ac:dyDescent="0.55000000000000004">
      <c r="AO315">
        <f ca="1"/>
      </c>
      <c r="AP315">
        <f ca="1"/>
      </c>
      <c r="AQ315">
        <f ca="1"/>
      </c>
      <c r="AR315">
        <f ca="1"/>
      </c>
      <c r="AS315">
        <f ca="1"/>
      </c>
      <c r="AT315">
        <f ca="1"/>
      </c>
      <c r="AU315">
        <f ca="1"/>
      </c>
      <c r="AV315">
        <f ca="1"/>
      </c>
      <c r="AW315">
        <f ca="1"/>
      </c>
      <c r="AX315">
        <f ca="1"/>
      </c>
      <c r="AY315">
        <f ca="1"/>
      </c>
      <c r="AZ315">
        <f ca="1"/>
      </c>
      <c r="BA315">
        <f ca="1"/>
      </c>
      <c r="BB315">
        <f ca="1"/>
      </c>
      <c r="BC315">
        <f ca="1"/>
      </c>
      <c r="BD315">
        <f ca="1"/>
      </c>
      <c r="BE315">
        <f ca="1"/>
      </c>
      <c r="BF315">
        <f ca="1"/>
      </c>
      <c r="BG315">
        <f ca="1"/>
      </c>
      <c r="BH315">
        <f ca="1"/>
      </c>
      <c r="BI315">
        <f ca="1"/>
      </c>
      <c r="BJ315">
        <f ca="1"/>
      </c>
      <c r="BK315">
        <f ca="1"/>
      </c>
      <c r="BL315">
        <f ca="1"/>
      </c>
      <c r="BM315">
        <f ca="1"/>
      </c>
      <c r="BN315">
        <f ca="1"/>
      </c>
      <c r="BO315">
        <f ca="1"/>
      </c>
      <c r="BP315">
        <f ca="1"/>
      </c>
      <c r="BQ315">
        <f ca="1"/>
      </c>
      <c r="BR315">
        <f ca="1"/>
      </c>
      <c r="BS315">
        <f ca="1"/>
      </c>
      <c r="BT315">
        <f ca="1"/>
      </c>
      <c r="BU315">
        <f ca="1"/>
      </c>
      <c r="BV315">
        <f ca="1"/>
      </c>
      <c r="BW315">
        <f ca="1"/>
      </c>
      <c r="BX315">
        <f ca="1"/>
      </c>
      <c r="BY315">
        <f ca="1"/>
      </c>
      <c r="BZ315">
        <f ca="1"/>
      </c>
      <c r="CA315">
        <f ca="1"/>
      </c>
      <c r="CB315">
        <f ca="1"/>
      </c>
      <c r="CC315">
        <f ca="1"/>
      </c>
      <c r="CD315">
        <f ca="1"/>
      </c>
      <c r="CE315">
        <f ca="1"/>
      </c>
      <c r="CF315">
        <f ca="1"/>
      </c>
      <c r="CG315">
        <f ca="1"/>
      </c>
      <c r="CH315">
        <f ca="1"/>
      </c>
      <c r="CI315">
        <f ca="1"/>
      </c>
      <c r="CK315">
        <f ca="1"/>
      </c>
      <c r="CL315">
        <f ca="1"/>
      </c>
      <c r="CM315">
        <f ca="1"/>
      </c>
      <c r="CN315">
        <f ca="1"/>
      </c>
      <c r="CO315">
        <f ca="1"/>
      </c>
      <c r="CP315">
        <f ca="1"/>
      </c>
      <c r="CQ315">
        <f ca="1"/>
      </c>
      <c r="CR315">
        <f ca="1"/>
      </c>
      <c r="CS315">
        <f ca="1"/>
      </c>
      <c r="CT315">
        <f ca="1"/>
      </c>
      <c r="CU315">
        <f ca="1"/>
      </c>
      <c r="CV315">
        <f ca="1"/>
      </c>
      <c r="CW315">
        <f ca="1"/>
      </c>
      <c r="CX315">
        <f ca="1"/>
      </c>
      <c r="CY315">
        <f ca="1"/>
      </c>
      <c r="CZ315">
        <f ca="1"/>
      </c>
      <c r="DA315">
        <f ca="1"/>
      </c>
      <c r="DB315">
        <f ca="1"/>
      </c>
      <c r="DC315">
        <f ca="1"/>
      </c>
      <c r="DD315">
        <f ca="1"/>
      </c>
      <c r="DE315">
        <f ca="1"/>
      </c>
      <c r="DF315">
        <f ca="1"/>
      </c>
      <c r="DG315">
        <f ca="1"/>
      </c>
      <c r="DH315">
        <f ca="1"/>
      </c>
      <c r="DI315">
        <f ca="1"/>
      </c>
      <c r="DJ315">
        <f ca="1"/>
      </c>
      <c r="DK315">
        <f ca="1"/>
      </c>
      <c r="DL315">
        <f ca="1"/>
      </c>
      <c r="DM315">
        <f ca="1"/>
      </c>
      <c r="DN315">
        <f ca="1"/>
      </c>
      <c r="DO315">
        <f ca="1"/>
      </c>
      <c r="DP315">
        <f ca="1"/>
      </c>
      <c r="DQ315">
        <f ca="1"/>
      </c>
      <c r="DR315">
        <f ca="1"/>
      </c>
      <c r="DS315">
        <f ca="1"/>
      </c>
      <c r="DT315">
        <f ca="1"/>
      </c>
      <c r="DU315">
        <f ca="1"/>
      </c>
      <c r="DV315">
        <f ca="1"/>
      </c>
      <c r="DW315">
        <f ca="1"/>
      </c>
      <c r="DX315">
        <f ca="1"/>
      </c>
      <c r="DY315">
        <f ca="1"/>
      </c>
      <c r="DZ315">
        <f ca="1"/>
      </c>
      <c r="EA315">
        <f ca="1"/>
      </c>
      <c r="EB315">
        <f ca="1"/>
      </c>
      <c r="EC315">
        <f ca="1"/>
      </c>
      <c r="ED315">
        <f ca="1"/>
      </c>
      <c r="EE315">
        <f ca="1"/>
      </c>
      <c r="EG315">
        <f ca="1"/>
      </c>
      <c r="EH315">
        <f ca="1"/>
      </c>
      <c r="EI315">
        <f ca="1"/>
      </c>
      <c r="EJ315">
        <f ca="1"/>
      </c>
      <c r="EK315">
        <f ca="1"/>
      </c>
      <c r="EL315">
        <f ca="1"/>
      </c>
      <c r="EM315">
        <f ca="1"/>
      </c>
      <c r="EN315">
        <f ca="1"/>
      </c>
      <c r="EO315">
        <f ca="1"/>
      </c>
      <c r="EP315">
        <f ca="1"/>
      </c>
      <c r="EQ315">
        <f ca="1"/>
      </c>
      <c r="ER315">
        <f ca="1"/>
      </c>
      <c r="ES315">
        <f ca="1"/>
      </c>
      <c r="ET315">
        <f ca="1"/>
      </c>
      <c r="EU315">
        <f ca="1"/>
      </c>
      <c r="EV315">
        <f ca="1"/>
      </c>
      <c r="EW315">
        <f ca="1"/>
      </c>
      <c r="EX315">
        <f ca="1"/>
      </c>
      <c r="EY315">
        <f ca="1"/>
      </c>
      <c r="EZ315">
        <f ca="1"/>
      </c>
      <c r="FA315">
        <f ca="1"/>
      </c>
      <c r="FB315">
        <f ca="1"/>
      </c>
      <c r="FC315">
        <f ca="1"/>
      </c>
      <c r="FD315">
        <f ca="1"/>
      </c>
      <c r="FE315">
        <f ca="1"/>
      </c>
      <c r="FF315">
        <f ca="1"/>
      </c>
      <c r="FG315">
        <f ca="1"/>
      </c>
      <c r="FH315">
        <f ca="1"/>
      </c>
      <c r="FI315">
        <f ca="1"/>
      </c>
      <c r="FJ315">
        <f ca="1"/>
      </c>
      <c r="FK315">
        <f ca="1"/>
      </c>
      <c r="FL315">
        <f ca="1"/>
      </c>
      <c r="FM315">
        <f ca="1"/>
      </c>
      <c r="FN315">
        <f ca="1"/>
      </c>
      <c r="FO315">
        <f ca="1"/>
      </c>
      <c r="FP315">
        <f ca="1"/>
      </c>
      <c r="FQ315">
        <f ca="1"/>
      </c>
      <c r="FR315">
        <f ca="1"/>
      </c>
      <c r="FS315">
        <f ca="1"/>
      </c>
      <c r="FT315">
        <f ca="1"/>
      </c>
      <c r="FU315">
        <f ca="1"/>
      </c>
      <c r="FV315">
        <f ca="1"/>
      </c>
      <c r="FW315">
        <f ca="1"/>
      </c>
      <c r="FX315">
        <f ca="1"/>
      </c>
      <c r="FY315">
        <f ca="1"/>
      </c>
      <c r="FZ315">
        <f ca="1"/>
      </c>
      <c r="GA315">
        <f ca="1"/>
      </c>
      <c r="GM315" s="7"/>
    </row>
    <row r="316" spans="41:195" x14ac:dyDescent="0.55000000000000004">
      <c r="AO316">
        <f ca="1"/>
      </c>
      <c r="AP316">
        <f ca="1"/>
      </c>
      <c r="AQ316">
        <f ca="1"/>
      </c>
      <c r="AR316">
        <f ca="1"/>
      </c>
      <c r="AS316">
        <f ca="1"/>
      </c>
      <c r="AT316">
        <f ca="1"/>
      </c>
      <c r="AU316">
        <f ca="1"/>
      </c>
      <c r="AV316">
        <f ca="1"/>
      </c>
      <c r="AW316">
        <f ca="1"/>
      </c>
      <c r="AX316">
        <f ca="1"/>
      </c>
      <c r="AY316">
        <f ca="1"/>
      </c>
      <c r="AZ316">
        <f ca="1"/>
      </c>
      <c r="BA316">
        <f ca="1"/>
      </c>
      <c r="BB316">
        <f ca="1"/>
      </c>
      <c r="BC316">
        <f ca="1"/>
      </c>
      <c r="BD316">
        <f ca="1"/>
      </c>
      <c r="BE316">
        <f ca="1"/>
      </c>
      <c r="BF316">
        <f ca="1"/>
      </c>
      <c r="BG316">
        <f ca="1"/>
      </c>
      <c r="BH316">
        <f ca="1"/>
      </c>
      <c r="BI316">
        <f ca="1"/>
      </c>
      <c r="BJ316">
        <f ca="1"/>
      </c>
      <c r="BK316">
        <f ca="1"/>
      </c>
      <c r="BL316">
        <f ca="1"/>
      </c>
      <c r="BM316">
        <f ca="1"/>
      </c>
      <c r="BN316">
        <f ca="1"/>
      </c>
      <c r="BO316">
        <f ca="1"/>
      </c>
      <c r="BP316">
        <f ca="1"/>
      </c>
      <c r="BQ316">
        <f ca="1"/>
      </c>
      <c r="BR316">
        <f ca="1"/>
      </c>
      <c r="BS316">
        <f ca="1"/>
      </c>
      <c r="BT316">
        <f ca="1"/>
      </c>
      <c r="BU316">
        <f ca="1"/>
      </c>
      <c r="BV316">
        <f ca="1"/>
      </c>
      <c r="BW316">
        <f ca="1"/>
      </c>
      <c r="BX316">
        <f ca="1"/>
      </c>
      <c r="BY316">
        <f ca="1"/>
      </c>
      <c r="BZ316">
        <f ca="1"/>
      </c>
      <c r="CA316">
        <f ca="1"/>
      </c>
      <c r="CB316">
        <f ca="1"/>
      </c>
      <c r="CC316">
        <f ca="1"/>
      </c>
      <c r="CD316">
        <f ca="1"/>
      </c>
      <c r="CE316">
        <f ca="1"/>
      </c>
      <c r="CF316">
        <f ca="1"/>
      </c>
      <c r="CG316">
        <f ca="1"/>
      </c>
      <c r="CH316">
        <f ca="1"/>
      </c>
      <c r="CI316">
        <f ca="1"/>
      </c>
      <c r="CK316">
        <f ca="1"/>
      </c>
      <c r="CL316">
        <f ca="1"/>
      </c>
      <c r="CM316">
        <f ca="1"/>
      </c>
      <c r="CN316">
        <f ca="1"/>
      </c>
      <c r="CO316">
        <f ca="1"/>
      </c>
      <c r="CP316">
        <f ca="1"/>
      </c>
      <c r="CQ316">
        <f ca="1"/>
      </c>
      <c r="CR316">
        <f ca="1"/>
      </c>
      <c r="CS316">
        <f ca="1"/>
      </c>
      <c r="CT316">
        <f ca="1"/>
      </c>
      <c r="CU316">
        <f ca="1"/>
      </c>
      <c r="CV316">
        <f ca="1"/>
      </c>
      <c r="CW316">
        <f ca="1"/>
      </c>
      <c r="CX316">
        <f ca="1"/>
      </c>
      <c r="CY316">
        <f ca="1"/>
      </c>
      <c r="CZ316">
        <f ca="1"/>
      </c>
      <c r="DA316">
        <f ca="1"/>
      </c>
      <c r="DB316">
        <f ca="1"/>
      </c>
      <c r="DC316">
        <f ca="1"/>
      </c>
      <c r="DD316">
        <f ca="1"/>
      </c>
      <c r="DE316">
        <f ca="1"/>
      </c>
      <c r="DF316">
        <f ca="1"/>
      </c>
      <c r="DG316">
        <f ca="1"/>
      </c>
      <c r="DH316">
        <f ca="1"/>
      </c>
      <c r="DI316">
        <f ca="1"/>
      </c>
      <c r="DJ316">
        <f ca="1"/>
      </c>
      <c r="DK316">
        <f ca="1"/>
      </c>
      <c r="DL316">
        <f ca="1"/>
      </c>
      <c r="DM316">
        <f ca="1"/>
      </c>
      <c r="DN316">
        <f ca="1"/>
      </c>
      <c r="DO316">
        <f ca="1"/>
      </c>
      <c r="DP316">
        <f ca="1"/>
      </c>
      <c r="DQ316">
        <f ca="1"/>
      </c>
      <c r="DR316">
        <f ca="1"/>
      </c>
      <c r="DS316">
        <f ca="1"/>
      </c>
      <c r="DT316">
        <f ca="1"/>
      </c>
      <c r="DU316">
        <f ca="1"/>
      </c>
      <c r="DV316">
        <f ca="1"/>
      </c>
      <c r="DW316">
        <f ca="1"/>
      </c>
      <c r="DX316">
        <f ca="1"/>
      </c>
      <c r="DY316">
        <f ca="1"/>
      </c>
      <c r="DZ316">
        <f ca="1"/>
      </c>
      <c r="EA316">
        <f ca="1"/>
      </c>
      <c r="EB316">
        <f ca="1"/>
      </c>
      <c r="EC316">
        <f ca="1"/>
      </c>
      <c r="ED316">
        <f ca="1"/>
      </c>
      <c r="EE316">
        <f ca="1"/>
      </c>
      <c r="EG316">
        <f ca="1"/>
      </c>
      <c r="EH316">
        <f ca="1"/>
      </c>
      <c r="EI316">
        <f ca="1"/>
      </c>
      <c r="EJ316">
        <f ca="1"/>
      </c>
      <c r="EK316">
        <f ca="1"/>
      </c>
      <c r="EL316">
        <f ca="1"/>
      </c>
      <c r="EM316">
        <f ca="1"/>
      </c>
      <c r="EN316">
        <f ca="1"/>
      </c>
      <c r="EO316">
        <f ca="1"/>
      </c>
      <c r="EP316">
        <f ca="1"/>
      </c>
      <c r="EQ316">
        <f ca="1"/>
      </c>
      <c r="ER316">
        <f ca="1"/>
      </c>
      <c r="ES316">
        <f ca="1"/>
      </c>
      <c r="ET316">
        <f ca="1"/>
      </c>
      <c r="EU316">
        <f ca="1"/>
      </c>
      <c r="EV316">
        <f ca="1"/>
      </c>
      <c r="EW316">
        <f ca="1"/>
      </c>
      <c r="EX316">
        <f ca="1"/>
      </c>
      <c r="EY316">
        <f ca="1"/>
      </c>
      <c r="EZ316">
        <f ca="1"/>
      </c>
      <c r="FA316">
        <f ca="1"/>
      </c>
      <c r="FB316">
        <f ca="1"/>
      </c>
      <c r="FC316">
        <f ca="1"/>
      </c>
      <c r="FD316">
        <f ca="1"/>
      </c>
      <c r="FE316">
        <f ca="1"/>
      </c>
      <c r="FF316">
        <f ca="1"/>
      </c>
      <c r="FG316">
        <f ca="1"/>
      </c>
      <c r="FH316">
        <f ca="1"/>
      </c>
      <c r="FI316">
        <f ca="1"/>
      </c>
      <c r="FJ316">
        <f ca="1"/>
      </c>
      <c r="FK316">
        <f ca="1"/>
      </c>
      <c r="FL316">
        <f ca="1"/>
      </c>
      <c r="FM316">
        <f ca="1"/>
      </c>
      <c r="FN316">
        <f ca="1"/>
      </c>
      <c r="FO316">
        <f ca="1"/>
      </c>
      <c r="FP316">
        <f ca="1"/>
      </c>
      <c r="FQ316">
        <f ca="1"/>
      </c>
      <c r="FR316">
        <f ca="1"/>
      </c>
      <c r="FS316">
        <f ca="1"/>
      </c>
      <c r="FT316">
        <f ca="1"/>
      </c>
      <c r="FU316">
        <f ca="1"/>
      </c>
      <c r="FV316">
        <f ca="1"/>
      </c>
      <c r="FW316">
        <f ca="1"/>
      </c>
      <c r="FX316">
        <f ca="1"/>
      </c>
      <c r="FY316">
        <f ca="1"/>
      </c>
      <c r="FZ316">
        <f ca="1"/>
      </c>
      <c r="GA316">
        <f ca="1"/>
      </c>
      <c r="GM316" s="7"/>
    </row>
    <row r="317" spans="41:195" x14ac:dyDescent="0.55000000000000004">
      <c r="AO317">
        <f ca="1"/>
      </c>
      <c r="AP317">
        <f ca="1"/>
      </c>
      <c r="AQ317">
        <f ca="1"/>
      </c>
      <c r="AR317">
        <f ca="1"/>
      </c>
      <c r="AS317">
        <f ca="1"/>
      </c>
      <c r="AT317">
        <f ca="1"/>
      </c>
      <c r="AU317">
        <f ca="1"/>
      </c>
      <c r="AV317">
        <f ca="1"/>
      </c>
      <c r="AW317">
        <f ca="1"/>
      </c>
      <c r="AX317">
        <f ca="1"/>
      </c>
      <c r="AY317">
        <f ca="1"/>
      </c>
      <c r="AZ317">
        <f ca="1"/>
      </c>
      <c r="BA317">
        <f ca="1"/>
      </c>
      <c r="BB317">
        <f ca="1"/>
      </c>
      <c r="BC317">
        <f ca="1"/>
      </c>
      <c r="BD317">
        <f ca="1"/>
      </c>
      <c r="BE317">
        <f ca="1"/>
      </c>
      <c r="BF317">
        <f ca="1"/>
      </c>
      <c r="BG317">
        <f ca="1"/>
      </c>
      <c r="BH317">
        <f ca="1"/>
      </c>
      <c r="BI317">
        <f ca="1"/>
      </c>
      <c r="BJ317">
        <f ca="1"/>
      </c>
      <c r="BK317">
        <f ca="1"/>
      </c>
      <c r="BL317">
        <f ca="1"/>
      </c>
      <c r="BM317">
        <f ca="1"/>
      </c>
      <c r="BN317">
        <f ca="1"/>
      </c>
      <c r="BO317">
        <f ca="1"/>
      </c>
      <c r="BP317">
        <f ca="1"/>
      </c>
      <c r="BQ317">
        <f ca="1"/>
      </c>
      <c r="BR317">
        <f ca="1"/>
      </c>
      <c r="BS317">
        <f ca="1"/>
      </c>
      <c r="BT317">
        <f ca="1"/>
      </c>
      <c r="BU317">
        <f ca="1"/>
      </c>
      <c r="BV317">
        <f ca="1"/>
      </c>
      <c r="BW317">
        <f ca="1"/>
      </c>
      <c r="BX317">
        <f ca="1"/>
      </c>
      <c r="BY317">
        <f ca="1"/>
      </c>
      <c r="BZ317">
        <f ca="1"/>
      </c>
      <c r="CA317">
        <f ca="1"/>
      </c>
      <c r="CB317">
        <f ca="1"/>
      </c>
      <c r="CC317">
        <f ca="1"/>
      </c>
      <c r="CD317">
        <f ca="1"/>
      </c>
      <c r="CE317">
        <f ca="1"/>
      </c>
      <c r="CF317">
        <f ca="1"/>
      </c>
      <c r="CG317">
        <f ca="1"/>
      </c>
      <c r="CH317">
        <f ca="1"/>
      </c>
      <c r="CI317">
        <f ca="1"/>
      </c>
      <c r="CK317">
        <f ca="1"/>
      </c>
      <c r="CL317">
        <f ca="1"/>
      </c>
      <c r="CM317">
        <f ca="1"/>
      </c>
      <c r="CN317">
        <f ca="1"/>
      </c>
      <c r="CO317">
        <f ca="1"/>
      </c>
      <c r="CP317">
        <f ca="1"/>
      </c>
      <c r="CQ317">
        <f ca="1"/>
      </c>
      <c r="CR317">
        <f ca="1"/>
      </c>
      <c r="CS317">
        <f ca="1"/>
      </c>
      <c r="CT317">
        <f ca="1"/>
      </c>
      <c r="CU317">
        <f ca="1"/>
      </c>
      <c r="CV317">
        <f ca="1"/>
      </c>
      <c r="CW317">
        <f ca="1"/>
      </c>
      <c r="CX317">
        <f ca="1"/>
      </c>
      <c r="CY317">
        <f ca="1"/>
      </c>
      <c r="CZ317">
        <f ca="1"/>
      </c>
      <c r="DA317">
        <f ca="1"/>
      </c>
      <c r="DB317">
        <f ca="1"/>
      </c>
      <c r="DC317">
        <f ca="1"/>
      </c>
      <c r="DD317">
        <f ca="1"/>
      </c>
      <c r="DE317">
        <f ca="1"/>
      </c>
      <c r="DF317">
        <f ca="1"/>
      </c>
      <c r="DG317">
        <f ca="1"/>
      </c>
      <c r="DH317">
        <f ca="1"/>
      </c>
      <c r="DI317">
        <f ca="1"/>
      </c>
      <c r="DJ317">
        <f ca="1"/>
      </c>
      <c r="DK317">
        <f ca="1"/>
      </c>
      <c r="DL317">
        <f ca="1"/>
      </c>
      <c r="DM317">
        <f ca="1"/>
      </c>
      <c r="DN317">
        <f ca="1"/>
      </c>
      <c r="DO317">
        <f ca="1"/>
      </c>
      <c r="DP317">
        <f ca="1"/>
      </c>
      <c r="DQ317">
        <f ca="1"/>
      </c>
      <c r="DR317">
        <f ca="1"/>
      </c>
      <c r="DS317">
        <f ca="1"/>
      </c>
      <c r="DT317">
        <f ca="1"/>
      </c>
      <c r="DU317">
        <f ca="1"/>
      </c>
      <c r="DV317">
        <f ca="1"/>
      </c>
      <c r="DW317">
        <f ca="1"/>
      </c>
      <c r="DX317">
        <f ca="1"/>
      </c>
      <c r="DY317">
        <f ca="1"/>
      </c>
      <c r="DZ317">
        <f ca="1"/>
      </c>
      <c r="EA317">
        <f ca="1"/>
      </c>
      <c r="EB317">
        <f ca="1"/>
      </c>
      <c r="EC317">
        <f ca="1"/>
      </c>
      <c r="ED317">
        <f ca="1"/>
      </c>
      <c r="EE317">
        <f ca="1"/>
      </c>
      <c r="EG317">
        <f ca="1"/>
      </c>
      <c r="EH317">
        <f ca="1"/>
      </c>
      <c r="EI317">
        <f ca="1"/>
      </c>
      <c r="EJ317">
        <f ca="1"/>
      </c>
      <c r="EK317">
        <f ca="1"/>
      </c>
      <c r="EL317">
        <f ca="1"/>
      </c>
      <c r="EM317">
        <f ca="1"/>
      </c>
      <c r="EN317">
        <f ca="1"/>
      </c>
      <c r="EO317">
        <f ca="1"/>
      </c>
      <c r="EP317">
        <f ca="1"/>
      </c>
      <c r="EQ317">
        <f ca="1"/>
      </c>
      <c r="ER317">
        <f ca="1"/>
      </c>
      <c r="ES317">
        <f ca="1"/>
      </c>
      <c r="ET317">
        <f ca="1"/>
      </c>
      <c r="EU317">
        <f ca="1"/>
      </c>
      <c r="EV317">
        <f ca="1"/>
      </c>
      <c r="EW317">
        <f ca="1"/>
      </c>
      <c r="EX317">
        <f ca="1"/>
      </c>
      <c r="EY317">
        <f ca="1"/>
      </c>
      <c r="EZ317">
        <f ca="1"/>
      </c>
      <c r="FA317">
        <f ca="1"/>
      </c>
      <c r="FB317">
        <f ca="1"/>
      </c>
      <c r="FC317">
        <f ca="1"/>
      </c>
      <c r="FD317">
        <f ca="1"/>
      </c>
      <c r="FE317">
        <f ca="1"/>
      </c>
      <c r="FF317">
        <f ca="1"/>
      </c>
      <c r="FG317">
        <f ca="1"/>
      </c>
      <c r="FH317">
        <f ca="1"/>
      </c>
      <c r="FI317">
        <f ca="1"/>
      </c>
      <c r="FJ317">
        <f ca="1"/>
      </c>
      <c r="FK317">
        <f ca="1"/>
      </c>
      <c r="FL317">
        <f ca="1"/>
      </c>
      <c r="FM317">
        <f ca="1"/>
      </c>
      <c r="FN317">
        <f ca="1"/>
      </c>
      <c r="FO317">
        <f ca="1"/>
      </c>
      <c r="FP317">
        <f ca="1"/>
      </c>
      <c r="FQ317">
        <f ca="1"/>
      </c>
      <c r="FR317">
        <f ca="1"/>
      </c>
      <c r="FS317">
        <f ca="1"/>
      </c>
      <c r="FT317">
        <f ca="1"/>
      </c>
      <c r="FU317">
        <f ca="1"/>
      </c>
      <c r="FV317">
        <f ca="1"/>
      </c>
      <c r="FW317">
        <f ca="1"/>
      </c>
      <c r="FX317">
        <f ca="1"/>
      </c>
      <c r="FY317">
        <f ca="1"/>
      </c>
      <c r="FZ317">
        <f ca="1"/>
      </c>
      <c r="GA317">
        <f ca="1"/>
      </c>
      <c r="GM317" s="7"/>
    </row>
    <row r="318" spans="41:195" x14ac:dyDescent="0.55000000000000004">
      <c r="AO318">
        <f ca="1"/>
      </c>
      <c r="AP318">
        <f ca="1"/>
      </c>
      <c r="AQ318">
        <f ca="1"/>
      </c>
      <c r="AR318">
        <f ca="1"/>
      </c>
      <c r="AS318">
        <f ca="1"/>
      </c>
      <c r="AT318">
        <f ca="1"/>
      </c>
      <c r="AU318">
        <f ca="1"/>
      </c>
      <c r="AV318">
        <f ca="1"/>
      </c>
      <c r="AW318">
        <f ca="1"/>
      </c>
      <c r="AX318">
        <f ca="1"/>
      </c>
      <c r="AY318">
        <f ca="1"/>
      </c>
      <c r="AZ318">
        <f ca="1"/>
      </c>
      <c r="BA318">
        <f ca="1"/>
      </c>
      <c r="BB318">
        <f ca="1"/>
      </c>
      <c r="BC318">
        <f ca="1"/>
      </c>
      <c r="BD318">
        <f ca="1"/>
      </c>
      <c r="BE318">
        <f ca="1"/>
      </c>
      <c r="BF318">
        <f ca="1"/>
      </c>
      <c r="BG318">
        <f ca="1"/>
      </c>
      <c r="BH318">
        <f ca="1"/>
      </c>
      <c r="BI318">
        <f ca="1"/>
      </c>
      <c r="BJ318">
        <f ca="1"/>
      </c>
      <c r="BK318">
        <f ca="1"/>
      </c>
      <c r="BL318">
        <f ca="1"/>
      </c>
      <c r="BM318">
        <f ca="1"/>
      </c>
      <c r="BN318">
        <f ca="1"/>
      </c>
      <c r="BO318">
        <f ca="1"/>
      </c>
      <c r="BP318">
        <f ca="1"/>
      </c>
      <c r="BQ318">
        <f ca="1"/>
      </c>
      <c r="BR318">
        <f ca="1"/>
      </c>
      <c r="BS318">
        <f ca="1"/>
      </c>
      <c r="BT318">
        <f ca="1"/>
      </c>
      <c r="BU318">
        <f ca="1"/>
      </c>
      <c r="BV318">
        <f ca="1"/>
      </c>
      <c r="BW318">
        <f ca="1"/>
      </c>
      <c r="BX318">
        <f ca="1"/>
      </c>
      <c r="BY318">
        <f ca="1"/>
      </c>
      <c r="BZ318">
        <f ca="1"/>
      </c>
      <c r="CA318">
        <f ca="1"/>
      </c>
      <c r="CB318">
        <f ca="1"/>
      </c>
      <c r="CC318">
        <f ca="1"/>
      </c>
      <c r="CD318">
        <f ca="1"/>
      </c>
      <c r="CE318">
        <f ca="1"/>
      </c>
      <c r="CF318">
        <f ca="1"/>
      </c>
      <c r="CG318">
        <f ca="1"/>
      </c>
      <c r="CH318">
        <f ca="1"/>
      </c>
      <c r="CI318">
        <f ca="1"/>
      </c>
      <c r="CK318">
        <f ca="1"/>
      </c>
      <c r="CL318">
        <f ca="1"/>
      </c>
      <c r="CM318">
        <f ca="1"/>
      </c>
      <c r="CN318">
        <f ca="1"/>
      </c>
      <c r="CO318">
        <f ca="1"/>
      </c>
      <c r="CP318">
        <f ca="1"/>
      </c>
      <c r="CQ318">
        <f ca="1"/>
      </c>
      <c r="CR318">
        <f ca="1"/>
      </c>
      <c r="CS318">
        <f ca="1"/>
      </c>
      <c r="CT318">
        <f ca="1"/>
      </c>
      <c r="CU318">
        <f ca="1"/>
      </c>
      <c r="CV318">
        <f ca="1"/>
      </c>
      <c r="CW318">
        <f ca="1"/>
      </c>
      <c r="CX318">
        <f ca="1"/>
      </c>
      <c r="CY318">
        <f ca="1"/>
      </c>
      <c r="CZ318">
        <f ca="1"/>
      </c>
      <c r="DA318">
        <f ca="1"/>
      </c>
      <c r="DB318">
        <f ca="1"/>
      </c>
      <c r="DC318">
        <f ca="1"/>
      </c>
      <c r="DD318">
        <f ca="1"/>
      </c>
      <c r="DE318">
        <f ca="1"/>
      </c>
      <c r="DF318">
        <f ca="1"/>
      </c>
      <c r="DG318">
        <f ca="1"/>
      </c>
      <c r="DH318">
        <f ca="1"/>
      </c>
      <c r="DI318">
        <f ca="1"/>
      </c>
      <c r="DJ318">
        <f ca="1"/>
      </c>
      <c r="DK318">
        <f ca="1"/>
      </c>
      <c r="DL318">
        <f ca="1"/>
      </c>
      <c r="DM318">
        <f ca="1"/>
      </c>
      <c r="DN318">
        <f ca="1"/>
      </c>
      <c r="DO318">
        <f ca="1"/>
      </c>
      <c r="DP318">
        <f ca="1"/>
      </c>
      <c r="DQ318">
        <f ca="1"/>
      </c>
      <c r="DR318">
        <f ca="1"/>
      </c>
      <c r="DS318">
        <f ca="1"/>
      </c>
      <c r="DT318">
        <f ca="1"/>
      </c>
      <c r="DU318">
        <f ca="1"/>
      </c>
      <c r="DV318">
        <f ca="1"/>
      </c>
      <c r="DW318">
        <f ca="1"/>
      </c>
      <c r="DX318">
        <f ca="1"/>
      </c>
      <c r="DY318">
        <f ca="1"/>
      </c>
      <c r="DZ318">
        <f ca="1"/>
      </c>
      <c r="EA318">
        <f ca="1"/>
      </c>
      <c r="EB318">
        <f ca="1"/>
      </c>
      <c r="EC318">
        <f ca="1"/>
      </c>
      <c r="ED318">
        <f ca="1"/>
      </c>
      <c r="EE318">
        <f ca="1"/>
      </c>
      <c r="EG318">
        <f ca="1"/>
      </c>
      <c r="EH318">
        <f ca="1"/>
      </c>
      <c r="EI318">
        <f ca="1"/>
      </c>
      <c r="EJ318">
        <f ca="1"/>
      </c>
      <c r="EK318">
        <f ca="1"/>
      </c>
      <c r="EL318">
        <f ca="1"/>
      </c>
      <c r="EM318">
        <f ca="1"/>
      </c>
      <c r="EN318">
        <f ca="1"/>
      </c>
      <c r="EO318">
        <f ca="1"/>
      </c>
      <c r="EP318">
        <f ca="1"/>
      </c>
      <c r="EQ318">
        <f ca="1"/>
      </c>
      <c r="ER318">
        <f ca="1"/>
      </c>
      <c r="ES318">
        <f ca="1"/>
      </c>
      <c r="ET318">
        <f ca="1"/>
      </c>
      <c r="EU318">
        <f ca="1"/>
      </c>
      <c r="EV318">
        <f ca="1"/>
      </c>
      <c r="EW318">
        <f ca="1"/>
      </c>
      <c r="EX318">
        <f ca="1"/>
      </c>
      <c r="EY318">
        <f ca="1"/>
      </c>
      <c r="EZ318">
        <f ca="1"/>
      </c>
      <c r="FA318">
        <f ca="1"/>
      </c>
      <c r="FB318">
        <f ca="1"/>
      </c>
      <c r="FC318">
        <f ca="1"/>
      </c>
      <c r="FD318">
        <f ca="1"/>
      </c>
      <c r="FE318">
        <f ca="1"/>
      </c>
      <c r="FF318">
        <f ca="1"/>
      </c>
      <c r="FG318">
        <f ca="1"/>
      </c>
      <c r="FH318">
        <f ca="1"/>
      </c>
      <c r="FI318">
        <f ca="1"/>
      </c>
      <c r="FJ318">
        <f ca="1"/>
      </c>
      <c r="FK318">
        <f ca="1"/>
      </c>
      <c r="FL318">
        <f ca="1"/>
      </c>
      <c r="FM318">
        <f ca="1"/>
      </c>
      <c r="FN318">
        <f ca="1"/>
      </c>
      <c r="FO318">
        <f ca="1"/>
      </c>
      <c r="FP318">
        <f ca="1"/>
      </c>
      <c r="FQ318">
        <f ca="1"/>
      </c>
      <c r="FR318">
        <f ca="1"/>
      </c>
      <c r="FS318">
        <f ca="1"/>
      </c>
      <c r="FT318">
        <f ca="1"/>
      </c>
      <c r="FU318">
        <f ca="1"/>
      </c>
      <c r="FV318">
        <f ca="1"/>
      </c>
      <c r="FW318">
        <f ca="1"/>
      </c>
      <c r="FX318">
        <f ca="1"/>
      </c>
      <c r="FY318">
        <f ca="1"/>
      </c>
      <c r="FZ318">
        <f ca="1"/>
      </c>
      <c r="GA318">
        <f ca="1"/>
      </c>
      <c r="GM318" s="7"/>
    </row>
    <row r="319" spans="41:195" x14ac:dyDescent="0.55000000000000004">
      <c r="AO319">
        <f ca="1"/>
      </c>
      <c r="AP319">
        <f ca="1"/>
      </c>
      <c r="AQ319">
        <f ca="1"/>
      </c>
      <c r="AR319">
        <f ca="1"/>
      </c>
      <c r="AS319">
        <f ca="1"/>
      </c>
      <c r="AT319">
        <f ca="1"/>
      </c>
      <c r="AU319">
        <f ca="1"/>
      </c>
      <c r="AV319">
        <f ca="1"/>
      </c>
      <c r="AW319">
        <f ca="1"/>
      </c>
      <c r="AX319">
        <f ca="1"/>
      </c>
      <c r="AY319">
        <f ca="1"/>
      </c>
      <c r="AZ319">
        <f ca="1"/>
      </c>
      <c r="BA319">
        <f ca="1"/>
      </c>
      <c r="BB319">
        <f ca="1"/>
      </c>
      <c r="BC319">
        <f ca="1"/>
      </c>
      <c r="BD319">
        <f ca="1"/>
      </c>
      <c r="BE319">
        <f ca="1"/>
      </c>
      <c r="BF319">
        <f ca="1"/>
      </c>
      <c r="BG319">
        <f ca="1"/>
      </c>
      <c r="BH319">
        <f ca="1"/>
      </c>
      <c r="BI319">
        <f ca="1"/>
      </c>
      <c r="BJ319">
        <f ca="1"/>
      </c>
      <c r="BK319">
        <f ca="1"/>
      </c>
      <c r="BL319">
        <f ca="1"/>
      </c>
      <c r="BM319">
        <f ca="1"/>
      </c>
      <c r="BN319">
        <f ca="1"/>
      </c>
      <c r="BO319">
        <f ca="1"/>
      </c>
      <c r="BP319">
        <f ca="1"/>
      </c>
      <c r="BQ319">
        <f ca="1"/>
      </c>
      <c r="BR319">
        <f ca="1"/>
      </c>
      <c r="BS319">
        <f ca="1"/>
      </c>
      <c r="BT319">
        <f ca="1"/>
      </c>
      <c r="BU319">
        <f ca="1"/>
      </c>
      <c r="BV319">
        <f ca="1"/>
      </c>
      <c r="BW319">
        <f ca="1"/>
      </c>
      <c r="BX319">
        <f ca="1"/>
      </c>
      <c r="BY319">
        <f ca="1"/>
      </c>
      <c r="BZ319">
        <f ca="1"/>
      </c>
      <c r="CA319">
        <f ca="1"/>
      </c>
      <c r="CB319">
        <f ca="1"/>
      </c>
      <c r="CC319">
        <f ca="1"/>
      </c>
      <c r="CD319">
        <f ca="1"/>
      </c>
      <c r="CE319">
        <f ca="1"/>
      </c>
      <c r="CF319">
        <f ca="1"/>
      </c>
      <c r="CG319">
        <f ca="1"/>
      </c>
      <c r="CH319">
        <f ca="1"/>
      </c>
      <c r="CI319">
        <f ca="1"/>
      </c>
      <c r="CK319">
        <f ca="1"/>
      </c>
      <c r="CL319">
        <f ca="1"/>
      </c>
      <c r="CM319">
        <f ca="1"/>
      </c>
      <c r="CN319">
        <f ca="1"/>
      </c>
      <c r="CO319">
        <f ca="1"/>
      </c>
      <c r="CP319">
        <f ca="1"/>
      </c>
      <c r="CQ319">
        <f ca="1"/>
      </c>
      <c r="CR319">
        <f ca="1"/>
      </c>
      <c r="CS319">
        <f ca="1"/>
      </c>
      <c r="CT319">
        <f ca="1"/>
      </c>
      <c r="CU319">
        <f ca="1"/>
      </c>
      <c r="CV319">
        <f ca="1"/>
      </c>
      <c r="CW319">
        <f ca="1"/>
      </c>
      <c r="CX319">
        <f ca="1"/>
      </c>
      <c r="CY319">
        <f ca="1"/>
      </c>
      <c r="CZ319">
        <f ca="1"/>
      </c>
      <c r="DA319">
        <f ca="1"/>
      </c>
      <c r="DB319">
        <f ca="1"/>
      </c>
      <c r="DC319">
        <f ca="1"/>
      </c>
      <c r="DD319">
        <f ca="1"/>
      </c>
      <c r="DE319">
        <f ca="1"/>
      </c>
      <c r="DF319">
        <f ca="1"/>
      </c>
      <c r="DG319">
        <f ca="1"/>
      </c>
      <c r="DH319">
        <f ca="1"/>
      </c>
      <c r="DI319">
        <f ca="1"/>
      </c>
      <c r="DJ319">
        <f ca="1"/>
      </c>
      <c r="DK319">
        <f ca="1"/>
      </c>
      <c r="DL319">
        <f ca="1"/>
      </c>
      <c r="DM319">
        <f ca="1"/>
      </c>
      <c r="DN319">
        <f ca="1"/>
      </c>
      <c r="DO319">
        <f ca="1"/>
      </c>
      <c r="DP319">
        <f ca="1"/>
      </c>
      <c r="DQ319">
        <f ca="1"/>
      </c>
      <c r="DR319">
        <f ca="1"/>
      </c>
      <c r="DS319">
        <f ca="1"/>
      </c>
      <c r="DT319">
        <f ca="1"/>
      </c>
      <c r="DU319">
        <f ca="1"/>
      </c>
      <c r="DV319">
        <f ca="1"/>
      </c>
      <c r="DW319">
        <f ca="1"/>
      </c>
      <c r="DX319">
        <f ca="1"/>
      </c>
      <c r="DY319">
        <f ca="1"/>
      </c>
      <c r="DZ319">
        <f ca="1"/>
      </c>
      <c r="EA319">
        <f ca="1"/>
      </c>
      <c r="EB319">
        <f ca="1"/>
      </c>
      <c r="EC319">
        <f ca="1"/>
      </c>
      <c r="ED319">
        <f ca="1"/>
      </c>
      <c r="EE319">
        <f ca="1"/>
      </c>
      <c r="EG319">
        <f ca="1"/>
      </c>
      <c r="EH319">
        <f ca="1"/>
      </c>
      <c r="EI319">
        <f ca="1"/>
      </c>
      <c r="EJ319">
        <f ca="1"/>
      </c>
      <c r="EK319">
        <f ca="1"/>
      </c>
      <c r="EL319">
        <f ca="1"/>
      </c>
      <c r="EM319">
        <f ca="1"/>
      </c>
      <c r="EN319">
        <f ca="1"/>
      </c>
      <c r="EO319">
        <f ca="1"/>
      </c>
      <c r="EP319">
        <f ca="1"/>
      </c>
      <c r="EQ319">
        <f ca="1"/>
      </c>
      <c r="ER319">
        <f ca="1"/>
      </c>
      <c r="ES319">
        <f ca="1"/>
      </c>
      <c r="ET319">
        <f ca="1"/>
      </c>
      <c r="EU319">
        <f ca="1"/>
      </c>
      <c r="EV319">
        <f ca="1"/>
      </c>
      <c r="EW319">
        <f ca="1"/>
      </c>
      <c r="EX319">
        <f ca="1"/>
      </c>
      <c r="EY319">
        <f ca="1"/>
      </c>
      <c r="EZ319">
        <f ca="1"/>
      </c>
      <c r="FA319">
        <f ca="1"/>
      </c>
      <c r="FB319">
        <f ca="1"/>
      </c>
      <c r="FC319">
        <f ca="1"/>
      </c>
      <c r="FD319">
        <f ca="1"/>
      </c>
      <c r="FE319">
        <f ca="1"/>
      </c>
      <c r="FF319">
        <f ca="1"/>
      </c>
      <c r="FG319">
        <f ca="1"/>
      </c>
      <c r="FH319">
        <f ca="1"/>
      </c>
      <c r="FI319">
        <f ca="1"/>
      </c>
      <c r="FJ319">
        <f ca="1"/>
      </c>
      <c r="FK319">
        <f ca="1"/>
      </c>
      <c r="FL319">
        <f ca="1"/>
      </c>
      <c r="FM319">
        <f ca="1"/>
      </c>
      <c r="FN319">
        <f ca="1"/>
      </c>
      <c r="FO319">
        <f ca="1"/>
      </c>
      <c r="FP319">
        <f ca="1"/>
      </c>
      <c r="FQ319">
        <f ca="1"/>
      </c>
      <c r="FR319">
        <f ca="1"/>
      </c>
      <c r="FS319">
        <f ca="1"/>
      </c>
      <c r="FT319">
        <f ca="1"/>
      </c>
      <c r="FU319">
        <f ca="1"/>
      </c>
      <c r="FV319">
        <f ca="1"/>
      </c>
      <c r="FW319">
        <f ca="1"/>
      </c>
      <c r="FX319">
        <f ca="1"/>
      </c>
      <c r="FY319">
        <f ca="1"/>
      </c>
      <c r="FZ319">
        <f ca="1"/>
      </c>
      <c r="GA319">
        <f ca="1"/>
      </c>
      <c r="GM319" s="7"/>
    </row>
    <row r="320" spans="41:195" x14ac:dyDescent="0.55000000000000004">
      <c r="AO320">
        <f ca="1"/>
      </c>
      <c r="AP320">
        <f ca="1"/>
      </c>
      <c r="AQ320">
        <f ca="1"/>
      </c>
      <c r="AR320">
        <f ca="1"/>
      </c>
      <c r="AS320">
        <f ca="1"/>
      </c>
      <c r="AT320">
        <f ca="1"/>
      </c>
      <c r="AU320">
        <f ca="1"/>
      </c>
      <c r="AV320">
        <f ca="1"/>
      </c>
      <c r="AW320">
        <f ca="1"/>
      </c>
      <c r="AX320">
        <f ca="1"/>
      </c>
      <c r="AY320">
        <f ca="1"/>
      </c>
      <c r="AZ320">
        <f ca="1"/>
      </c>
      <c r="BA320">
        <f ca="1"/>
      </c>
      <c r="BB320">
        <f ca="1"/>
      </c>
      <c r="BC320">
        <f ca="1"/>
      </c>
      <c r="BD320">
        <f ca="1"/>
      </c>
      <c r="BE320">
        <f ca="1"/>
      </c>
      <c r="BF320">
        <f ca="1"/>
      </c>
      <c r="BG320">
        <f ca="1"/>
      </c>
      <c r="BH320">
        <f ca="1"/>
      </c>
      <c r="BI320">
        <f ca="1"/>
      </c>
      <c r="BJ320">
        <f ca="1"/>
      </c>
      <c r="BK320">
        <f ca="1"/>
      </c>
      <c r="BL320">
        <f ca="1"/>
      </c>
      <c r="BM320">
        <f ca="1"/>
      </c>
      <c r="BN320">
        <f ca="1"/>
      </c>
      <c r="BO320">
        <f ca="1"/>
      </c>
      <c r="BP320">
        <f ca="1"/>
      </c>
      <c r="BQ320">
        <f ca="1"/>
      </c>
      <c r="BR320">
        <f ca="1"/>
      </c>
      <c r="BS320">
        <f ca="1"/>
      </c>
      <c r="BT320">
        <f ca="1"/>
      </c>
      <c r="BU320">
        <f ca="1"/>
      </c>
      <c r="BV320">
        <f ca="1"/>
      </c>
      <c r="BW320">
        <f ca="1"/>
      </c>
      <c r="BX320">
        <f ca="1"/>
      </c>
      <c r="BY320">
        <f ca="1"/>
      </c>
      <c r="BZ320">
        <f ca="1"/>
      </c>
      <c r="CA320">
        <f ca="1"/>
      </c>
      <c r="CB320">
        <f ca="1"/>
      </c>
      <c r="CC320">
        <f ca="1"/>
      </c>
      <c r="CD320">
        <f ca="1"/>
      </c>
      <c r="CE320">
        <f ca="1"/>
      </c>
      <c r="CF320">
        <f ca="1"/>
      </c>
      <c r="CG320">
        <f ca="1"/>
      </c>
      <c r="CH320">
        <f ca="1"/>
      </c>
      <c r="CI320">
        <f ca="1"/>
      </c>
      <c r="CK320">
        <f ca="1"/>
      </c>
      <c r="CL320">
        <f ca="1"/>
      </c>
      <c r="CM320">
        <f ca="1"/>
      </c>
      <c r="CN320">
        <f ca="1"/>
      </c>
      <c r="CO320">
        <f ca="1"/>
      </c>
      <c r="CP320">
        <f ca="1"/>
      </c>
      <c r="CQ320">
        <f ca="1"/>
      </c>
      <c r="CR320">
        <f ca="1"/>
      </c>
      <c r="CS320">
        <f ca="1"/>
      </c>
      <c r="CT320">
        <f ca="1"/>
      </c>
      <c r="CU320">
        <f ca="1"/>
      </c>
      <c r="CV320">
        <f ca="1"/>
      </c>
      <c r="CW320">
        <f ca="1"/>
      </c>
      <c r="CX320">
        <f ca="1"/>
      </c>
      <c r="CY320">
        <f ca="1"/>
      </c>
      <c r="CZ320">
        <f ca="1"/>
      </c>
      <c r="DA320">
        <f ca="1"/>
      </c>
      <c r="DB320">
        <f ca="1"/>
      </c>
      <c r="DC320">
        <f ca="1"/>
      </c>
      <c r="DD320">
        <f ca="1"/>
      </c>
      <c r="DE320">
        <f ca="1"/>
      </c>
      <c r="DF320">
        <f ca="1"/>
      </c>
      <c r="DG320">
        <f ca="1"/>
      </c>
      <c r="DH320">
        <f ca="1"/>
      </c>
      <c r="DI320">
        <f ca="1"/>
      </c>
      <c r="DJ320">
        <f ca="1"/>
      </c>
      <c r="DK320">
        <f ca="1"/>
      </c>
      <c r="DL320">
        <f ca="1"/>
      </c>
      <c r="DM320">
        <f ca="1"/>
      </c>
      <c r="DN320">
        <f ca="1"/>
      </c>
      <c r="DO320">
        <f ca="1"/>
      </c>
      <c r="DP320">
        <f ca="1"/>
      </c>
      <c r="DQ320">
        <f ca="1"/>
      </c>
      <c r="DR320">
        <f ca="1"/>
      </c>
      <c r="DS320">
        <f ca="1"/>
      </c>
      <c r="DT320">
        <f ca="1"/>
      </c>
      <c r="DU320">
        <f ca="1"/>
      </c>
      <c r="DV320">
        <f ca="1"/>
      </c>
      <c r="DW320">
        <f ca="1"/>
      </c>
      <c r="DX320">
        <f ca="1"/>
      </c>
      <c r="DY320">
        <f ca="1"/>
      </c>
      <c r="DZ320">
        <f ca="1"/>
      </c>
      <c r="EA320">
        <f ca="1"/>
      </c>
      <c r="EB320">
        <f ca="1"/>
      </c>
      <c r="EC320">
        <f ca="1"/>
      </c>
      <c r="ED320">
        <f ca="1"/>
      </c>
      <c r="EE320">
        <f ca="1"/>
      </c>
      <c r="EG320">
        <f ca="1"/>
      </c>
      <c r="EH320">
        <f ca="1"/>
      </c>
      <c r="EI320">
        <f ca="1"/>
      </c>
      <c r="EJ320">
        <f ca="1"/>
      </c>
      <c r="EK320">
        <f ca="1"/>
      </c>
      <c r="EL320">
        <f ca="1"/>
      </c>
      <c r="EM320">
        <f ca="1"/>
      </c>
      <c r="EN320">
        <f ca="1"/>
      </c>
      <c r="EO320">
        <f ca="1"/>
      </c>
      <c r="EP320">
        <f ca="1"/>
      </c>
      <c r="EQ320">
        <f ca="1"/>
      </c>
      <c r="ER320">
        <f ca="1"/>
      </c>
      <c r="ES320">
        <f ca="1"/>
      </c>
      <c r="ET320">
        <f ca="1"/>
      </c>
      <c r="EU320">
        <f ca="1"/>
      </c>
      <c r="EV320">
        <f ca="1"/>
      </c>
      <c r="EW320">
        <f ca="1"/>
      </c>
      <c r="EX320">
        <f ca="1"/>
      </c>
      <c r="EY320">
        <f ca="1"/>
      </c>
      <c r="EZ320">
        <f ca="1"/>
      </c>
      <c r="FA320">
        <f ca="1"/>
      </c>
      <c r="FB320">
        <f ca="1"/>
      </c>
      <c r="FC320">
        <f ca="1"/>
      </c>
      <c r="FD320">
        <f ca="1"/>
      </c>
      <c r="FE320">
        <f ca="1"/>
      </c>
      <c r="FF320">
        <f ca="1"/>
      </c>
      <c r="FG320">
        <f ca="1"/>
      </c>
      <c r="FH320">
        <f ca="1"/>
      </c>
      <c r="FI320">
        <f ca="1"/>
      </c>
      <c r="FJ320">
        <f ca="1"/>
      </c>
      <c r="FK320">
        <f ca="1"/>
      </c>
      <c r="FL320">
        <f ca="1"/>
      </c>
      <c r="FM320">
        <f ca="1"/>
      </c>
      <c r="FN320">
        <f ca="1"/>
      </c>
      <c r="FO320">
        <f ca="1"/>
      </c>
      <c r="FP320">
        <f ca="1"/>
      </c>
      <c r="FQ320">
        <f ca="1"/>
      </c>
      <c r="FR320">
        <f ca="1"/>
      </c>
      <c r="FS320">
        <f ca="1"/>
      </c>
      <c r="FT320">
        <f ca="1"/>
      </c>
      <c r="FU320">
        <f ca="1"/>
      </c>
      <c r="FV320">
        <f ca="1"/>
      </c>
      <c r="FW320">
        <f ca="1"/>
      </c>
      <c r="FX320">
        <f ca="1"/>
      </c>
      <c r="FY320">
        <f ca="1"/>
      </c>
      <c r="FZ320">
        <f ca="1"/>
      </c>
      <c r="GA320">
        <f ca="1"/>
      </c>
      <c r="GM320" s="7"/>
    </row>
    <row r="321" spans="41:195" x14ac:dyDescent="0.55000000000000004">
      <c r="AO321">
        <f ca="1"/>
      </c>
      <c r="AP321">
        <f ca="1"/>
      </c>
      <c r="AQ321">
        <f ca="1"/>
      </c>
      <c r="AR321">
        <f ca="1"/>
      </c>
      <c r="AS321">
        <f ca="1"/>
      </c>
      <c r="AT321">
        <f ca="1"/>
      </c>
      <c r="AU321">
        <f ca="1"/>
      </c>
      <c r="AV321">
        <f ca="1"/>
      </c>
      <c r="AW321">
        <f ca="1"/>
      </c>
      <c r="AX321">
        <f ca="1"/>
      </c>
      <c r="AY321">
        <f ca="1"/>
      </c>
      <c r="AZ321">
        <f ca="1"/>
      </c>
      <c r="BA321">
        <f ca="1"/>
      </c>
      <c r="BB321">
        <f ca="1"/>
      </c>
      <c r="BC321">
        <f ca="1"/>
      </c>
      <c r="BD321">
        <f ca="1"/>
      </c>
      <c r="BE321">
        <f ca="1"/>
      </c>
      <c r="BF321">
        <f ca="1"/>
      </c>
      <c r="BG321">
        <f ca="1"/>
      </c>
      <c r="BH321">
        <f ca="1"/>
      </c>
      <c r="BI321">
        <f ca="1"/>
      </c>
      <c r="BJ321">
        <f ca="1"/>
      </c>
      <c r="BK321">
        <f ca="1"/>
      </c>
      <c r="BL321">
        <f ca="1"/>
      </c>
      <c r="BM321">
        <f ca="1"/>
      </c>
      <c r="BN321">
        <f ca="1"/>
      </c>
      <c r="BO321">
        <f ca="1"/>
      </c>
      <c r="BP321">
        <f ca="1"/>
      </c>
      <c r="BQ321">
        <f ca="1"/>
      </c>
      <c r="BR321">
        <f ca="1"/>
      </c>
      <c r="BS321">
        <f ca="1"/>
      </c>
      <c r="BT321">
        <f ca="1"/>
      </c>
      <c r="BU321">
        <f ca="1"/>
      </c>
      <c r="BV321">
        <f ca="1"/>
      </c>
      <c r="BW321">
        <f ca="1"/>
      </c>
      <c r="BX321">
        <f ca="1"/>
      </c>
      <c r="BY321">
        <f ca="1"/>
      </c>
      <c r="BZ321">
        <f ca="1"/>
      </c>
      <c r="CA321">
        <f ca="1"/>
      </c>
      <c r="CB321">
        <f ca="1"/>
      </c>
      <c r="CC321">
        <f ca="1"/>
      </c>
      <c r="CD321">
        <f ca="1"/>
      </c>
      <c r="CE321">
        <f ca="1"/>
      </c>
      <c r="CF321">
        <f ca="1"/>
      </c>
      <c r="CG321">
        <f ca="1"/>
      </c>
      <c r="CH321">
        <f ca="1"/>
      </c>
      <c r="CI321">
        <f ca="1"/>
      </c>
      <c r="CK321">
        <f ca="1"/>
      </c>
      <c r="CL321">
        <f ca="1"/>
      </c>
      <c r="CM321">
        <f ca="1"/>
      </c>
      <c r="CN321">
        <f ca="1"/>
      </c>
      <c r="CO321">
        <f ca="1"/>
      </c>
      <c r="CP321">
        <f ca="1"/>
      </c>
      <c r="CQ321">
        <f ca="1"/>
      </c>
      <c r="CR321">
        <f ca="1"/>
      </c>
      <c r="CS321">
        <f ca="1"/>
      </c>
      <c r="CT321">
        <f ca="1"/>
      </c>
      <c r="CU321">
        <f ca="1"/>
      </c>
      <c r="CV321">
        <f ca="1"/>
      </c>
      <c r="CW321">
        <f ca="1"/>
      </c>
      <c r="CX321">
        <f ca="1"/>
      </c>
      <c r="CY321">
        <f ca="1"/>
      </c>
      <c r="CZ321">
        <f ca="1"/>
      </c>
      <c r="DA321">
        <f ca="1"/>
      </c>
      <c r="DB321">
        <f ca="1"/>
      </c>
      <c r="DC321">
        <f ca="1"/>
      </c>
      <c r="DD321">
        <f ca="1"/>
      </c>
      <c r="DE321">
        <f ca="1"/>
      </c>
      <c r="DF321">
        <f ca="1"/>
      </c>
      <c r="DG321">
        <f ca="1"/>
      </c>
      <c r="DH321">
        <f ca="1"/>
      </c>
      <c r="DI321">
        <f ca="1"/>
      </c>
      <c r="DJ321">
        <f ca="1"/>
      </c>
      <c r="DK321">
        <f ca="1"/>
      </c>
      <c r="DL321">
        <f ca="1"/>
      </c>
      <c r="DM321">
        <f ca="1"/>
      </c>
      <c r="DN321">
        <f ca="1"/>
      </c>
      <c r="DO321">
        <f ca="1"/>
      </c>
      <c r="DP321">
        <f ca="1"/>
      </c>
      <c r="DQ321">
        <f ca="1"/>
      </c>
      <c r="DR321">
        <f ca="1"/>
      </c>
      <c r="DS321">
        <f ca="1"/>
      </c>
      <c r="DT321">
        <f ca="1"/>
      </c>
      <c r="DU321">
        <f ca="1"/>
      </c>
      <c r="DV321">
        <f ca="1"/>
      </c>
      <c r="DW321">
        <f ca="1"/>
      </c>
      <c r="DX321">
        <f ca="1"/>
      </c>
      <c r="DY321">
        <f ca="1"/>
      </c>
      <c r="DZ321">
        <f ca="1"/>
      </c>
      <c r="EA321">
        <f ca="1"/>
      </c>
      <c r="EB321">
        <f ca="1"/>
      </c>
      <c r="EC321">
        <f ca="1"/>
      </c>
      <c r="ED321">
        <f ca="1"/>
      </c>
      <c r="EE321">
        <f ca="1"/>
      </c>
      <c r="EG321">
        <f ca="1"/>
      </c>
      <c r="EH321">
        <f ca="1"/>
      </c>
      <c r="EI321">
        <f ca="1"/>
      </c>
      <c r="EJ321">
        <f ca="1"/>
      </c>
      <c r="EK321">
        <f ca="1"/>
      </c>
      <c r="EL321">
        <f ca="1"/>
      </c>
      <c r="EM321">
        <f ca="1"/>
      </c>
      <c r="EN321">
        <f ca="1"/>
      </c>
      <c r="EO321">
        <f ca="1"/>
      </c>
      <c r="EP321">
        <f ca="1"/>
      </c>
      <c r="EQ321">
        <f ca="1"/>
      </c>
      <c r="ER321">
        <f ca="1"/>
      </c>
      <c r="ES321">
        <f ca="1"/>
      </c>
      <c r="ET321">
        <f ca="1"/>
      </c>
      <c r="EU321">
        <f ca="1"/>
      </c>
      <c r="EV321">
        <f ca="1"/>
      </c>
      <c r="EW321">
        <f ca="1"/>
      </c>
      <c r="EX321">
        <f ca="1"/>
      </c>
      <c r="EY321">
        <f ca="1"/>
      </c>
      <c r="EZ321">
        <f ca="1"/>
      </c>
      <c r="FA321">
        <f ca="1"/>
      </c>
      <c r="FB321">
        <f ca="1"/>
      </c>
      <c r="FC321">
        <f ca="1"/>
      </c>
      <c r="FD321">
        <f ca="1"/>
      </c>
      <c r="FE321">
        <f ca="1"/>
      </c>
      <c r="FF321">
        <f ca="1"/>
      </c>
      <c r="FG321">
        <f ca="1"/>
      </c>
      <c r="FH321">
        <f ca="1"/>
      </c>
      <c r="FI321">
        <f ca="1"/>
      </c>
      <c r="FJ321">
        <f ca="1"/>
      </c>
      <c r="FK321">
        <f ca="1"/>
      </c>
      <c r="FL321">
        <f ca="1"/>
      </c>
      <c r="FM321">
        <f ca="1"/>
      </c>
      <c r="FN321">
        <f ca="1"/>
      </c>
      <c r="FO321">
        <f ca="1"/>
      </c>
      <c r="FP321">
        <f ca="1"/>
      </c>
      <c r="FQ321">
        <f ca="1"/>
      </c>
      <c r="FR321">
        <f ca="1"/>
      </c>
      <c r="FS321">
        <f ca="1"/>
      </c>
      <c r="FT321">
        <f ca="1"/>
      </c>
      <c r="FU321">
        <f ca="1"/>
      </c>
      <c r="FV321">
        <f ca="1"/>
      </c>
      <c r="FW321">
        <f ca="1"/>
      </c>
      <c r="FX321">
        <f ca="1"/>
      </c>
      <c r="FY321">
        <f ca="1"/>
      </c>
      <c r="FZ321">
        <f ca="1"/>
      </c>
      <c r="GA321">
        <f ca="1"/>
      </c>
      <c r="GM321" s="7"/>
    </row>
    <row r="322" spans="41:195" x14ac:dyDescent="0.55000000000000004">
      <c r="AO322">
        <f ca="1"/>
      </c>
      <c r="AP322">
        <f ca="1"/>
      </c>
      <c r="AQ322">
        <f ca="1"/>
      </c>
      <c r="AR322">
        <f ca="1"/>
      </c>
      <c r="AS322">
        <f ca="1"/>
      </c>
      <c r="AT322">
        <f ca="1"/>
      </c>
      <c r="AU322">
        <f ca="1"/>
      </c>
      <c r="AV322">
        <f ca="1"/>
      </c>
      <c r="AW322">
        <f ca="1"/>
      </c>
      <c r="AX322">
        <f ca="1"/>
      </c>
      <c r="AY322">
        <f ca="1"/>
      </c>
      <c r="AZ322">
        <f ca="1"/>
      </c>
      <c r="BA322">
        <f ca="1"/>
      </c>
      <c r="BB322">
        <f ca="1"/>
      </c>
      <c r="BC322">
        <f ca="1"/>
      </c>
      <c r="BD322">
        <f ca="1"/>
      </c>
      <c r="BE322">
        <f ca="1"/>
      </c>
      <c r="BF322">
        <f ca="1"/>
      </c>
      <c r="BG322">
        <f ca="1"/>
      </c>
      <c r="BH322">
        <f ca="1"/>
      </c>
      <c r="BI322">
        <f ca="1"/>
      </c>
      <c r="BJ322">
        <f ca="1"/>
      </c>
      <c r="BK322">
        <f ca="1"/>
      </c>
      <c r="BL322">
        <f ca="1"/>
      </c>
      <c r="BM322">
        <f ca="1"/>
      </c>
      <c r="BN322">
        <f ca="1"/>
      </c>
      <c r="BO322">
        <f ca="1"/>
      </c>
      <c r="BP322">
        <f ca="1"/>
      </c>
      <c r="BQ322">
        <f ca="1"/>
      </c>
      <c r="BR322">
        <f ca="1"/>
      </c>
      <c r="BS322">
        <f ca="1"/>
      </c>
      <c r="BT322">
        <f ca="1"/>
      </c>
      <c r="BU322">
        <f ca="1"/>
      </c>
      <c r="BV322">
        <f ca="1"/>
      </c>
      <c r="BW322">
        <f ca="1"/>
      </c>
      <c r="BX322">
        <f ca="1"/>
      </c>
      <c r="BY322">
        <f ca="1"/>
      </c>
      <c r="BZ322">
        <f ca="1"/>
      </c>
      <c r="CA322">
        <f ca="1"/>
      </c>
      <c r="CB322">
        <f ca="1"/>
      </c>
      <c r="CC322">
        <f ca="1"/>
      </c>
      <c r="CD322">
        <f ca="1"/>
      </c>
      <c r="CE322">
        <f ca="1"/>
      </c>
      <c r="CF322">
        <f ca="1"/>
      </c>
      <c r="CG322">
        <f ca="1"/>
      </c>
      <c r="CH322">
        <f ca="1"/>
      </c>
      <c r="CI322">
        <f ca="1"/>
      </c>
      <c r="CK322">
        <f ca="1"/>
      </c>
      <c r="CL322">
        <f ca="1"/>
      </c>
      <c r="CM322">
        <f ca="1"/>
      </c>
      <c r="CN322">
        <f ca="1"/>
      </c>
      <c r="CO322">
        <f ca="1"/>
      </c>
      <c r="CP322">
        <f ca="1"/>
      </c>
      <c r="CQ322">
        <f ca="1"/>
      </c>
      <c r="CR322">
        <f ca="1"/>
      </c>
      <c r="CS322">
        <f ca="1"/>
      </c>
      <c r="CT322">
        <f ca="1"/>
      </c>
      <c r="CU322">
        <f ca="1"/>
      </c>
      <c r="CV322">
        <f ca="1"/>
      </c>
      <c r="CW322">
        <f ca="1"/>
      </c>
      <c r="CX322">
        <f ca="1"/>
      </c>
      <c r="CY322">
        <f ca="1"/>
      </c>
      <c r="CZ322">
        <f ca="1"/>
      </c>
      <c r="DA322">
        <f ca="1"/>
      </c>
      <c r="DB322">
        <f ca="1"/>
      </c>
      <c r="DC322">
        <f ca="1"/>
      </c>
      <c r="DD322">
        <f ca="1"/>
      </c>
      <c r="DE322">
        <f ca="1"/>
      </c>
      <c r="DF322">
        <f ca="1"/>
      </c>
      <c r="DG322">
        <f ca="1"/>
      </c>
      <c r="DH322">
        <f ca="1"/>
      </c>
      <c r="DI322">
        <f ca="1"/>
      </c>
      <c r="DJ322">
        <f ca="1"/>
      </c>
      <c r="DK322">
        <f ca="1"/>
      </c>
      <c r="DL322">
        <f ca="1"/>
      </c>
      <c r="DM322">
        <f ca="1"/>
      </c>
      <c r="DN322">
        <f ca="1"/>
      </c>
      <c r="DO322">
        <f ca="1"/>
      </c>
      <c r="DP322">
        <f ca="1"/>
      </c>
      <c r="DQ322">
        <f ca="1"/>
      </c>
      <c r="DR322">
        <f ca="1"/>
      </c>
      <c r="DS322">
        <f ca="1"/>
      </c>
      <c r="DT322">
        <f ca="1"/>
      </c>
      <c r="DU322">
        <f ca="1"/>
      </c>
      <c r="DV322">
        <f ca="1"/>
      </c>
      <c r="DW322">
        <f ca="1"/>
      </c>
      <c r="DX322">
        <f ca="1"/>
      </c>
      <c r="DY322">
        <f ca="1"/>
      </c>
      <c r="DZ322">
        <f ca="1"/>
      </c>
      <c r="EA322">
        <f ca="1"/>
      </c>
      <c r="EB322">
        <f ca="1"/>
      </c>
      <c r="EC322">
        <f ca="1"/>
      </c>
      <c r="ED322">
        <f ca="1"/>
      </c>
      <c r="EE322">
        <f ca="1"/>
      </c>
      <c r="EG322">
        <f ca="1"/>
      </c>
      <c r="EH322">
        <f ca="1"/>
      </c>
      <c r="EI322">
        <f ca="1"/>
      </c>
      <c r="EJ322">
        <f ca="1"/>
      </c>
      <c r="EK322">
        <f ca="1"/>
      </c>
      <c r="EL322">
        <f ca="1"/>
      </c>
      <c r="EM322">
        <f ca="1"/>
      </c>
      <c r="EN322">
        <f ca="1"/>
      </c>
      <c r="EO322">
        <f ca="1"/>
      </c>
      <c r="EP322">
        <f ca="1"/>
      </c>
      <c r="EQ322">
        <f ca="1"/>
      </c>
      <c r="ER322">
        <f ca="1"/>
      </c>
      <c r="ES322">
        <f ca="1"/>
      </c>
      <c r="ET322">
        <f ca="1"/>
      </c>
      <c r="EU322">
        <f ca="1"/>
      </c>
      <c r="EV322">
        <f ca="1"/>
      </c>
      <c r="EW322">
        <f ca="1"/>
      </c>
      <c r="EX322">
        <f ca="1"/>
      </c>
      <c r="EY322">
        <f ca="1"/>
      </c>
      <c r="EZ322">
        <f ca="1"/>
      </c>
      <c r="FA322">
        <f ca="1"/>
      </c>
      <c r="FB322">
        <f ca="1"/>
      </c>
      <c r="FC322">
        <f ca="1"/>
      </c>
      <c r="FD322">
        <f ca="1"/>
      </c>
      <c r="FE322">
        <f ca="1"/>
      </c>
      <c r="FF322">
        <f ca="1"/>
      </c>
      <c r="FG322">
        <f ca="1"/>
      </c>
      <c r="FH322">
        <f ca="1"/>
      </c>
      <c r="FI322">
        <f ca="1"/>
      </c>
      <c r="FJ322">
        <f ca="1"/>
      </c>
      <c r="FK322">
        <f ca="1"/>
      </c>
      <c r="FL322">
        <f ca="1"/>
      </c>
      <c r="FM322">
        <f ca="1"/>
      </c>
      <c r="FN322">
        <f ca="1"/>
      </c>
      <c r="FO322">
        <f ca="1"/>
      </c>
      <c r="FP322">
        <f ca="1"/>
      </c>
      <c r="FQ322">
        <f ca="1"/>
      </c>
      <c r="FR322">
        <f ca="1"/>
      </c>
      <c r="FS322">
        <f ca="1"/>
      </c>
      <c r="FT322">
        <f ca="1"/>
      </c>
      <c r="FU322">
        <f ca="1"/>
      </c>
      <c r="FV322">
        <f ca="1"/>
      </c>
      <c r="FW322">
        <f ca="1"/>
      </c>
      <c r="FX322">
        <f ca="1"/>
      </c>
      <c r="FY322">
        <f ca="1"/>
      </c>
      <c r="FZ322">
        <f ca="1"/>
      </c>
      <c r="GA322">
        <f ca="1"/>
      </c>
      <c r="GM322" s="7"/>
    </row>
    <row r="323" spans="41:195" x14ac:dyDescent="0.55000000000000004">
      <c r="AO323">
        <f ca="1"/>
      </c>
      <c r="AP323">
        <f ca="1"/>
      </c>
      <c r="AQ323">
        <f ca="1"/>
      </c>
      <c r="AR323">
        <f ca="1"/>
      </c>
      <c r="AS323">
        <f ca="1"/>
      </c>
      <c r="AT323">
        <f ca="1"/>
      </c>
      <c r="AU323">
        <f ca="1"/>
      </c>
      <c r="AV323">
        <f ca="1"/>
      </c>
      <c r="AW323">
        <f ca="1"/>
      </c>
      <c r="AX323">
        <f ca="1"/>
      </c>
      <c r="AY323">
        <f ca="1"/>
      </c>
      <c r="AZ323">
        <f ca="1"/>
      </c>
      <c r="BA323">
        <f ca="1"/>
      </c>
      <c r="BB323">
        <f ca="1"/>
      </c>
      <c r="BC323">
        <f ca="1"/>
      </c>
      <c r="BD323">
        <f ca="1"/>
      </c>
      <c r="BE323">
        <f ca="1"/>
      </c>
      <c r="BF323">
        <f ca="1"/>
      </c>
      <c r="BG323">
        <f ca="1"/>
      </c>
      <c r="BH323">
        <f ca="1"/>
      </c>
      <c r="BI323">
        <f ca="1"/>
      </c>
      <c r="BJ323">
        <f ca="1"/>
      </c>
      <c r="BK323">
        <f ca="1"/>
      </c>
      <c r="BL323">
        <f ca="1"/>
      </c>
      <c r="BM323">
        <f ca="1"/>
      </c>
      <c r="BN323">
        <f ca="1"/>
      </c>
      <c r="BO323">
        <f ca="1"/>
      </c>
      <c r="BP323">
        <f ca="1"/>
      </c>
      <c r="BQ323">
        <f ca="1"/>
      </c>
      <c r="BR323">
        <f ca="1"/>
      </c>
      <c r="BS323">
        <f ca="1"/>
      </c>
      <c r="BT323">
        <f ca="1"/>
      </c>
      <c r="BU323">
        <f ca="1"/>
      </c>
      <c r="BV323">
        <f ca="1"/>
      </c>
      <c r="BW323">
        <f ca="1"/>
      </c>
      <c r="BX323">
        <f ca="1"/>
      </c>
      <c r="BY323">
        <f ca="1"/>
      </c>
      <c r="BZ323">
        <f ca="1"/>
      </c>
      <c r="CA323">
        <f ca="1"/>
      </c>
      <c r="CB323">
        <f ca="1"/>
      </c>
      <c r="CC323">
        <f ca="1"/>
      </c>
      <c r="CD323">
        <f ca="1"/>
      </c>
      <c r="CE323">
        <f ca="1"/>
      </c>
      <c r="CF323">
        <f ca="1"/>
      </c>
      <c r="CG323">
        <f ca="1"/>
      </c>
      <c r="CH323">
        <f ca="1"/>
      </c>
      <c r="CI323">
        <f ca="1"/>
      </c>
      <c r="CK323">
        <f ca="1"/>
      </c>
      <c r="CL323">
        <f ca="1"/>
      </c>
      <c r="CM323">
        <f ca="1"/>
      </c>
      <c r="CN323">
        <f ca="1"/>
      </c>
      <c r="CO323">
        <f ca="1"/>
      </c>
      <c r="CP323">
        <f ca="1"/>
      </c>
      <c r="CQ323">
        <f ca="1"/>
      </c>
      <c r="CR323">
        <f ca="1"/>
      </c>
      <c r="CS323">
        <f ca="1"/>
      </c>
      <c r="CT323">
        <f ca="1"/>
      </c>
      <c r="CU323">
        <f ca="1"/>
      </c>
      <c r="CV323">
        <f ca="1"/>
      </c>
      <c r="CW323">
        <f ca="1"/>
      </c>
      <c r="CX323">
        <f ca="1"/>
      </c>
      <c r="CY323">
        <f ca="1"/>
      </c>
      <c r="CZ323">
        <f ca="1"/>
      </c>
      <c r="DA323">
        <f ca="1"/>
      </c>
      <c r="DB323">
        <f ca="1"/>
      </c>
      <c r="DC323">
        <f ca="1"/>
      </c>
      <c r="DD323">
        <f ca="1"/>
      </c>
      <c r="DE323">
        <f ca="1"/>
      </c>
      <c r="DF323">
        <f ca="1"/>
      </c>
      <c r="DG323">
        <f ca="1"/>
      </c>
      <c r="DH323">
        <f ca="1"/>
      </c>
      <c r="DI323">
        <f ca="1"/>
      </c>
      <c r="DJ323">
        <f ca="1"/>
      </c>
      <c r="DK323">
        <f ca="1"/>
      </c>
      <c r="DL323">
        <f ca="1"/>
      </c>
      <c r="DM323">
        <f ca="1"/>
      </c>
      <c r="DN323">
        <f ca="1"/>
      </c>
      <c r="DO323">
        <f ca="1"/>
      </c>
      <c r="DP323">
        <f ca="1"/>
      </c>
      <c r="DQ323">
        <f ca="1"/>
      </c>
      <c r="DR323">
        <f ca="1"/>
      </c>
      <c r="DS323">
        <f ca="1"/>
      </c>
      <c r="DT323">
        <f ca="1"/>
      </c>
      <c r="DU323">
        <f ca="1"/>
      </c>
      <c r="DV323">
        <f ca="1"/>
      </c>
      <c r="DW323">
        <f ca="1"/>
      </c>
      <c r="DX323">
        <f ca="1"/>
      </c>
      <c r="DY323">
        <f ca="1"/>
      </c>
      <c r="DZ323">
        <f ca="1"/>
      </c>
      <c r="EA323">
        <f ca="1"/>
      </c>
      <c r="EB323">
        <f ca="1"/>
      </c>
      <c r="EC323">
        <f ca="1"/>
      </c>
      <c r="ED323">
        <f ca="1"/>
      </c>
      <c r="EE323">
        <f ca="1"/>
      </c>
      <c r="EG323">
        <f ca="1"/>
      </c>
      <c r="EH323">
        <f ca="1"/>
      </c>
      <c r="EI323">
        <f ca="1"/>
      </c>
      <c r="EJ323">
        <f ca="1"/>
      </c>
      <c r="EK323">
        <f ca="1"/>
      </c>
      <c r="EL323">
        <f ca="1"/>
      </c>
      <c r="EM323">
        <f ca="1"/>
      </c>
      <c r="EN323">
        <f ca="1"/>
      </c>
      <c r="EO323">
        <f ca="1"/>
      </c>
      <c r="EP323">
        <f ca="1"/>
      </c>
      <c r="EQ323">
        <f ca="1"/>
      </c>
      <c r="ER323">
        <f ca="1"/>
      </c>
      <c r="ES323">
        <f ca="1"/>
      </c>
      <c r="ET323">
        <f ca="1"/>
      </c>
      <c r="EU323">
        <f ca="1"/>
      </c>
      <c r="EV323">
        <f ca="1"/>
      </c>
      <c r="EW323">
        <f ca="1"/>
      </c>
      <c r="EX323">
        <f ca="1"/>
      </c>
      <c r="EY323">
        <f ca="1"/>
      </c>
      <c r="EZ323">
        <f ca="1"/>
      </c>
      <c r="FA323">
        <f ca="1"/>
      </c>
      <c r="FB323">
        <f ca="1"/>
      </c>
      <c r="FC323">
        <f ca="1"/>
      </c>
      <c r="FD323">
        <f ca="1"/>
      </c>
      <c r="FE323">
        <f ca="1"/>
      </c>
      <c r="FF323">
        <f ca="1"/>
      </c>
      <c r="FG323">
        <f ca="1"/>
      </c>
      <c r="FH323">
        <f ca="1"/>
      </c>
      <c r="FI323">
        <f ca="1"/>
      </c>
      <c r="FJ323">
        <f ca="1"/>
      </c>
      <c r="FK323">
        <f ca="1"/>
      </c>
      <c r="FL323">
        <f ca="1"/>
      </c>
      <c r="FM323">
        <f ca="1"/>
      </c>
      <c r="FN323">
        <f ca="1"/>
      </c>
      <c r="FO323">
        <f ca="1"/>
      </c>
      <c r="FP323">
        <f ca="1"/>
      </c>
      <c r="FQ323">
        <f ca="1"/>
      </c>
      <c r="FR323">
        <f ca="1"/>
      </c>
      <c r="FS323">
        <f ca="1"/>
      </c>
      <c r="FT323">
        <f ca="1"/>
      </c>
      <c r="FU323">
        <f ca="1"/>
      </c>
      <c r="FV323">
        <f ca="1"/>
      </c>
      <c r="FW323">
        <f ca="1"/>
      </c>
      <c r="FX323">
        <f ca="1"/>
      </c>
      <c r="FY323">
        <f ca="1"/>
      </c>
      <c r="FZ323">
        <f ca="1"/>
      </c>
      <c r="GA323">
        <f ca="1"/>
      </c>
      <c r="GM323" s="7"/>
    </row>
    <row r="324" spans="41:195" x14ac:dyDescent="0.55000000000000004">
      <c r="AO324">
        <f ca="1"/>
      </c>
      <c r="AP324">
        <f ca="1"/>
      </c>
      <c r="AQ324">
        <f ca="1"/>
      </c>
      <c r="AR324">
        <f ca="1"/>
      </c>
      <c r="AS324">
        <f ca="1"/>
      </c>
      <c r="AT324">
        <f ca="1"/>
      </c>
      <c r="AU324">
        <f ca="1"/>
      </c>
      <c r="AV324">
        <f ca="1"/>
      </c>
      <c r="AW324">
        <f ca="1"/>
      </c>
      <c r="AX324">
        <f ca="1"/>
      </c>
      <c r="AY324">
        <f ca="1"/>
      </c>
      <c r="AZ324">
        <f ca="1"/>
      </c>
      <c r="BA324">
        <f ca="1"/>
      </c>
      <c r="BB324">
        <f ca="1"/>
      </c>
      <c r="BC324">
        <f ca="1"/>
      </c>
      <c r="BD324">
        <f ca="1"/>
      </c>
      <c r="BE324">
        <f ca="1"/>
      </c>
      <c r="BF324">
        <f ca="1"/>
      </c>
      <c r="BG324">
        <f ca="1"/>
      </c>
      <c r="BH324">
        <f ca="1"/>
      </c>
      <c r="BI324">
        <f ca="1"/>
      </c>
      <c r="BJ324">
        <f ca="1"/>
      </c>
      <c r="BK324">
        <f ca="1"/>
      </c>
      <c r="BL324">
        <f ca="1"/>
      </c>
      <c r="BM324">
        <f ca="1"/>
      </c>
      <c r="BN324">
        <f ca="1"/>
      </c>
      <c r="BO324">
        <f ca="1"/>
      </c>
      <c r="BP324">
        <f ca="1"/>
      </c>
      <c r="BQ324">
        <f ca="1"/>
      </c>
      <c r="BR324">
        <f ca="1"/>
      </c>
      <c r="BS324">
        <f ca="1"/>
      </c>
      <c r="BT324">
        <f ca="1"/>
      </c>
      <c r="BU324">
        <f ca="1"/>
      </c>
      <c r="BV324">
        <f ca="1"/>
      </c>
      <c r="BW324">
        <f ca="1"/>
      </c>
      <c r="BX324">
        <f ca="1"/>
      </c>
      <c r="BY324">
        <f ca="1"/>
      </c>
      <c r="BZ324">
        <f ca="1"/>
      </c>
      <c r="CA324">
        <f ca="1"/>
      </c>
      <c r="CB324">
        <f ca="1"/>
      </c>
      <c r="CC324">
        <f ca="1"/>
      </c>
      <c r="CD324">
        <f ca="1"/>
      </c>
      <c r="CE324">
        <f ca="1"/>
      </c>
      <c r="CF324">
        <f ca="1"/>
      </c>
      <c r="CG324">
        <f ca="1"/>
      </c>
      <c r="CH324">
        <f ca="1"/>
      </c>
      <c r="CI324">
        <f ca="1"/>
      </c>
      <c r="CK324">
        <f ca="1"/>
      </c>
      <c r="CL324">
        <f ca="1"/>
      </c>
      <c r="CM324">
        <f ca="1"/>
      </c>
      <c r="CN324">
        <f ca="1"/>
      </c>
      <c r="CO324">
        <f ca="1"/>
      </c>
      <c r="CP324">
        <f ca="1"/>
      </c>
      <c r="CQ324">
        <f ca="1"/>
      </c>
      <c r="CR324">
        <f ca="1"/>
      </c>
      <c r="CS324">
        <f ca="1"/>
      </c>
      <c r="CT324">
        <f ca="1"/>
      </c>
      <c r="CU324">
        <f ca="1"/>
      </c>
      <c r="CV324">
        <f ca="1"/>
      </c>
      <c r="CW324">
        <f ca="1"/>
      </c>
      <c r="CX324">
        <f ca="1"/>
      </c>
      <c r="CY324">
        <f ca="1"/>
      </c>
      <c r="CZ324">
        <f ca="1"/>
      </c>
      <c r="DA324">
        <f ca="1"/>
      </c>
      <c r="DB324">
        <f ca="1"/>
      </c>
      <c r="DC324">
        <f ca="1"/>
      </c>
      <c r="DD324">
        <f ca="1"/>
      </c>
      <c r="DE324">
        <f ca="1"/>
      </c>
      <c r="DF324">
        <f ca="1"/>
      </c>
      <c r="DG324">
        <f ca="1"/>
      </c>
      <c r="DH324">
        <f ca="1"/>
      </c>
      <c r="DI324">
        <f ca="1"/>
      </c>
      <c r="DJ324">
        <f ca="1"/>
      </c>
      <c r="DK324">
        <f ca="1"/>
      </c>
      <c r="DL324">
        <f ca="1"/>
      </c>
      <c r="DM324">
        <f ca="1"/>
      </c>
      <c r="DN324">
        <f ca="1"/>
      </c>
      <c r="DO324">
        <f ca="1"/>
      </c>
      <c r="DP324">
        <f ca="1"/>
      </c>
      <c r="DQ324">
        <f ca="1"/>
      </c>
      <c r="DR324">
        <f ca="1"/>
      </c>
      <c r="DS324">
        <f ca="1"/>
      </c>
      <c r="DT324">
        <f ca="1"/>
      </c>
      <c r="DU324">
        <f ca="1"/>
      </c>
      <c r="DV324">
        <f ca="1"/>
      </c>
      <c r="DW324">
        <f ca="1"/>
      </c>
      <c r="DX324">
        <f ca="1"/>
      </c>
      <c r="DY324">
        <f ca="1"/>
      </c>
      <c r="DZ324">
        <f ca="1"/>
      </c>
      <c r="EA324">
        <f ca="1"/>
      </c>
      <c r="EB324">
        <f ca="1"/>
      </c>
      <c r="EC324">
        <f ca="1"/>
      </c>
      <c r="ED324">
        <f ca="1"/>
      </c>
      <c r="EE324">
        <f ca="1"/>
      </c>
      <c r="EG324">
        <f ca="1"/>
      </c>
      <c r="EH324">
        <f ca="1"/>
      </c>
      <c r="EI324">
        <f ca="1"/>
      </c>
      <c r="EJ324">
        <f ca="1"/>
      </c>
      <c r="EK324">
        <f ca="1"/>
      </c>
      <c r="EL324">
        <f ca="1"/>
      </c>
      <c r="EM324">
        <f ca="1"/>
      </c>
      <c r="EN324">
        <f ca="1"/>
      </c>
      <c r="EO324">
        <f ca="1"/>
      </c>
      <c r="EP324">
        <f ca="1"/>
      </c>
      <c r="EQ324">
        <f ca="1"/>
      </c>
      <c r="ER324">
        <f ca="1"/>
      </c>
      <c r="ES324">
        <f ca="1"/>
      </c>
      <c r="ET324">
        <f ca="1"/>
      </c>
      <c r="EU324">
        <f ca="1"/>
      </c>
      <c r="EV324">
        <f ca="1"/>
      </c>
      <c r="EW324">
        <f ca="1"/>
      </c>
      <c r="EX324">
        <f ca="1"/>
      </c>
      <c r="EY324">
        <f ca="1"/>
      </c>
      <c r="EZ324">
        <f ca="1"/>
      </c>
      <c r="FA324">
        <f ca="1"/>
      </c>
      <c r="FB324">
        <f ca="1"/>
      </c>
      <c r="FC324">
        <f ca="1"/>
      </c>
      <c r="FD324">
        <f ca="1"/>
      </c>
      <c r="FE324">
        <f ca="1"/>
      </c>
      <c r="FF324">
        <f ca="1"/>
      </c>
      <c r="FG324">
        <f ca="1"/>
      </c>
      <c r="FH324">
        <f ca="1"/>
      </c>
      <c r="FI324">
        <f ca="1"/>
      </c>
      <c r="FJ324">
        <f ca="1"/>
      </c>
      <c r="FK324">
        <f ca="1"/>
      </c>
      <c r="FL324">
        <f ca="1"/>
      </c>
      <c r="FM324">
        <f ca="1"/>
      </c>
      <c r="FN324">
        <f ca="1"/>
      </c>
      <c r="FO324">
        <f ca="1"/>
      </c>
      <c r="FP324">
        <f ca="1"/>
      </c>
      <c r="FQ324">
        <f ca="1"/>
      </c>
      <c r="FR324">
        <f ca="1"/>
      </c>
      <c r="FS324">
        <f ca="1"/>
      </c>
      <c r="FT324">
        <f ca="1"/>
      </c>
      <c r="FU324">
        <f ca="1"/>
      </c>
      <c r="FV324">
        <f ca="1"/>
      </c>
      <c r="FW324">
        <f ca="1"/>
      </c>
      <c r="FX324">
        <f ca="1"/>
      </c>
      <c r="FY324">
        <f ca="1"/>
      </c>
      <c r="FZ324">
        <f ca="1"/>
      </c>
      <c r="GA324">
        <f ca="1"/>
      </c>
      <c r="GM324" s="7"/>
    </row>
    <row r="325" spans="41:195" x14ac:dyDescent="0.55000000000000004">
      <c r="AO325">
        <f ca="1"/>
      </c>
      <c r="AP325">
        <f ca="1"/>
      </c>
      <c r="AQ325">
        <f ca="1"/>
      </c>
      <c r="AR325">
        <f ca="1"/>
      </c>
      <c r="AS325">
        <f ca="1"/>
      </c>
      <c r="AT325">
        <f ca="1"/>
      </c>
      <c r="AU325">
        <f ca="1"/>
      </c>
      <c r="AV325">
        <f ca="1"/>
      </c>
      <c r="AW325">
        <f ca="1"/>
      </c>
      <c r="AX325">
        <f ca="1"/>
      </c>
      <c r="AY325">
        <f ca="1"/>
      </c>
      <c r="AZ325">
        <f ca="1"/>
      </c>
      <c r="BA325">
        <f ca="1"/>
      </c>
      <c r="BB325">
        <f ca="1"/>
      </c>
      <c r="BC325">
        <f ca="1"/>
      </c>
      <c r="BD325">
        <f ca="1"/>
      </c>
      <c r="BE325">
        <f ca="1"/>
      </c>
      <c r="BF325">
        <f ca="1"/>
      </c>
      <c r="BG325">
        <f ca="1"/>
      </c>
      <c r="BH325">
        <f ca="1"/>
      </c>
      <c r="BI325">
        <f ca="1"/>
      </c>
      <c r="BJ325">
        <f ca="1"/>
      </c>
      <c r="BK325">
        <f ca="1"/>
      </c>
      <c r="BL325">
        <f ca="1"/>
      </c>
      <c r="BM325">
        <f ca="1"/>
      </c>
      <c r="BN325">
        <f ca="1"/>
      </c>
      <c r="BO325">
        <f ca="1"/>
      </c>
      <c r="BP325">
        <f ca="1"/>
      </c>
      <c r="BQ325">
        <f ca="1"/>
      </c>
      <c r="BR325">
        <f ca="1"/>
      </c>
      <c r="BS325">
        <f ca="1"/>
      </c>
      <c r="BT325">
        <f ca="1"/>
      </c>
      <c r="BU325">
        <f ca="1"/>
      </c>
      <c r="BV325">
        <f ca="1"/>
      </c>
      <c r="BW325">
        <f ca="1"/>
      </c>
      <c r="BX325">
        <f ca="1"/>
      </c>
      <c r="BY325">
        <f ca="1"/>
      </c>
      <c r="BZ325">
        <f ca="1"/>
      </c>
      <c r="CA325">
        <f ca="1"/>
      </c>
      <c r="CB325">
        <f ca="1"/>
      </c>
      <c r="CC325">
        <f ca="1"/>
      </c>
      <c r="CD325">
        <f ca="1"/>
      </c>
      <c r="CE325">
        <f ca="1"/>
      </c>
      <c r="CF325">
        <f ca="1"/>
      </c>
      <c r="CG325">
        <f ca="1"/>
      </c>
      <c r="CH325">
        <f ca="1"/>
      </c>
      <c r="CI325">
        <f ca="1"/>
      </c>
      <c r="CK325">
        <f ca="1"/>
      </c>
      <c r="CL325">
        <f ca="1"/>
      </c>
      <c r="CM325">
        <f ca="1"/>
      </c>
      <c r="CN325">
        <f ca="1"/>
      </c>
      <c r="CO325">
        <f ca="1"/>
      </c>
      <c r="CP325">
        <f ca="1"/>
      </c>
      <c r="CQ325">
        <f ca="1"/>
      </c>
      <c r="CR325">
        <f ca="1"/>
      </c>
      <c r="CS325">
        <f ca="1"/>
      </c>
      <c r="CT325">
        <f ca="1"/>
      </c>
      <c r="CU325">
        <f ca="1"/>
      </c>
      <c r="CV325">
        <f ca="1"/>
      </c>
      <c r="CW325">
        <f ca="1"/>
      </c>
      <c r="CX325">
        <f ca="1"/>
      </c>
      <c r="CY325">
        <f ca="1"/>
      </c>
      <c r="CZ325">
        <f ca="1"/>
      </c>
      <c r="DA325">
        <f ca="1"/>
      </c>
      <c r="DB325">
        <f ca="1"/>
      </c>
      <c r="DC325">
        <f ca="1"/>
      </c>
      <c r="DD325">
        <f ca="1"/>
      </c>
      <c r="DE325">
        <f ca="1"/>
      </c>
      <c r="DF325">
        <f ca="1"/>
      </c>
      <c r="DG325">
        <f ca="1"/>
      </c>
      <c r="DH325">
        <f ca="1"/>
      </c>
      <c r="DI325">
        <f ca="1"/>
      </c>
      <c r="DJ325">
        <f ca="1"/>
      </c>
      <c r="DK325">
        <f ca="1"/>
      </c>
      <c r="DL325">
        <f ca="1"/>
      </c>
      <c r="DM325">
        <f ca="1"/>
      </c>
      <c r="DN325">
        <f ca="1"/>
      </c>
      <c r="DO325">
        <f ca="1"/>
      </c>
      <c r="DP325">
        <f ca="1"/>
      </c>
      <c r="DQ325">
        <f ca="1"/>
      </c>
      <c r="DR325">
        <f ca="1"/>
      </c>
      <c r="DS325">
        <f ca="1"/>
      </c>
      <c r="DT325">
        <f ca="1"/>
      </c>
      <c r="DU325">
        <f ca="1"/>
      </c>
      <c r="DV325">
        <f ca="1"/>
      </c>
      <c r="DW325">
        <f ca="1"/>
      </c>
      <c r="DX325">
        <f ca="1"/>
      </c>
      <c r="DY325">
        <f ca="1"/>
      </c>
      <c r="DZ325">
        <f ca="1"/>
      </c>
      <c r="EA325">
        <f ca="1"/>
      </c>
      <c r="EB325">
        <f ca="1"/>
      </c>
      <c r="EC325">
        <f ca="1"/>
      </c>
      <c r="ED325">
        <f ca="1"/>
      </c>
      <c r="EE325">
        <f ca="1"/>
      </c>
      <c r="EG325">
        <f ca="1"/>
      </c>
      <c r="EH325">
        <f ca="1"/>
      </c>
      <c r="EI325">
        <f ca="1"/>
      </c>
      <c r="EJ325">
        <f ca="1"/>
      </c>
      <c r="EK325">
        <f ca="1"/>
      </c>
      <c r="EL325">
        <f ca="1"/>
      </c>
      <c r="EM325">
        <f ca="1"/>
      </c>
      <c r="EN325">
        <f ca="1"/>
      </c>
      <c r="EO325">
        <f ca="1"/>
      </c>
      <c r="EP325">
        <f ca="1"/>
      </c>
      <c r="EQ325">
        <f ca="1"/>
      </c>
      <c r="ER325">
        <f ca="1"/>
      </c>
      <c r="ES325">
        <f ca="1"/>
      </c>
      <c r="ET325">
        <f ca="1"/>
      </c>
      <c r="EU325">
        <f ca="1"/>
      </c>
      <c r="EV325">
        <f ca="1"/>
      </c>
      <c r="EW325">
        <f ca="1"/>
      </c>
      <c r="EX325">
        <f ca="1"/>
      </c>
      <c r="EY325">
        <f ca="1"/>
      </c>
      <c r="EZ325">
        <f ca="1"/>
      </c>
      <c r="FA325">
        <f ca="1"/>
      </c>
      <c r="FB325">
        <f ca="1"/>
      </c>
      <c r="FC325">
        <f ca="1"/>
      </c>
      <c r="FD325">
        <f ca="1"/>
      </c>
      <c r="FE325">
        <f ca="1"/>
      </c>
      <c r="FF325">
        <f ca="1"/>
      </c>
      <c r="FG325">
        <f ca="1"/>
      </c>
      <c r="FH325">
        <f ca="1"/>
      </c>
      <c r="FI325">
        <f ca="1"/>
      </c>
      <c r="FJ325">
        <f ca="1"/>
      </c>
      <c r="FK325">
        <f ca="1"/>
      </c>
      <c r="FL325">
        <f ca="1"/>
      </c>
      <c r="FM325">
        <f ca="1"/>
      </c>
      <c r="FN325">
        <f ca="1"/>
      </c>
      <c r="FO325">
        <f ca="1"/>
      </c>
      <c r="FP325">
        <f ca="1"/>
      </c>
      <c r="FQ325">
        <f ca="1"/>
      </c>
      <c r="FR325">
        <f ca="1"/>
      </c>
      <c r="FS325">
        <f ca="1"/>
      </c>
      <c r="FT325">
        <f ca="1"/>
      </c>
      <c r="FU325">
        <f ca="1"/>
      </c>
      <c r="FV325">
        <f ca="1"/>
      </c>
      <c r="FW325">
        <f ca="1"/>
      </c>
      <c r="FX325">
        <f ca="1"/>
      </c>
      <c r="FY325">
        <f ca="1"/>
      </c>
      <c r="FZ325">
        <f ca="1"/>
      </c>
      <c r="GA325">
        <f ca="1"/>
      </c>
      <c r="GM325" s="7"/>
    </row>
    <row r="326" spans="41:195" x14ac:dyDescent="0.55000000000000004">
      <c r="AO326">
        <f ca="1"/>
      </c>
      <c r="AP326">
        <f ca="1"/>
      </c>
      <c r="AQ326">
        <f ca="1"/>
      </c>
      <c r="AR326">
        <f ca="1"/>
      </c>
      <c r="AS326">
        <f ca="1"/>
      </c>
      <c r="AT326">
        <f ca="1"/>
      </c>
      <c r="AU326">
        <f ca="1"/>
      </c>
      <c r="AV326">
        <f ca="1"/>
      </c>
      <c r="AW326">
        <f ca="1"/>
      </c>
      <c r="AX326">
        <f ca="1"/>
      </c>
      <c r="AY326">
        <f ca="1"/>
      </c>
      <c r="AZ326">
        <f ca="1"/>
      </c>
      <c r="BA326">
        <f ca="1"/>
      </c>
      <c r="BB326">
        <f ca="1"/>
      </c>
      <c r="BC326">
        <f ca="1"/>
      </c>
      <c r="BD326">
        <f ca="1"/>
      </c>
      <c r="BE326">
        <f ca="1"/>
      </c>
      <c r="BF326">
        <f ca="1"/>
      </c>
      <c r="BG326">
        <f ca="1"/>
      </c>
      <c r="BH326">
        <f ca="1"/>
      </c>
      <c r="BI326">
        <f ca="1"/>
      </c>
      <c r="BJ326">
        <f ca="1"/>
      </c>
      <c r="BK326">
        <f ca="1"/>
      </c>
      <c r="BL326">
        <f ca="1"/>
      </c>
      <c r="BM326">
        <f ca="1"/>
      </c>
      <c r="BN326">
        <f ca="1"/>
      </c>
      <c r="BO326">
        <f ca="1"/>
      </c>
      <c r="BP326">
        <f ca="1"/>
      </c>
      <c r="BQ326">
        <f ca="1"/>
      </c>
      <c r="BR326">
        <f ca="1"/>
      </c>
      <c r="BS326">
        <f ca="1"/>
      </c>
      <c r="BT326">
        <f ca="1"/>
      </c>
      <c r="BU326">
        <f ca="1"/>
      </c>
      <c r="BV326">
        <f ca="1"/>
      </c>
      <c r="BW326">
        <f ca="1"/>
      </c>
      <c r="BX326">
        <f ca="1"/>
      </c>
      <c r="BY326">
        <f ca="1"/>
      </c>
      <c r="BZ326">
        <f ca="1"/>
      </c>
      <c r="CA326">
        <f ca="1"/>
      </c>
      <c r="CB326">
        <f ca="1"/>
      </c>
      <c r="CC326">
        <f ca="1"/>
      </c>
      <c r="CD326">
        <f ca="1"/>
      </c>
      <c r="CE326">
        <f ca="1"/>
      </c>
      <c r="CF326">
        <f ca="1"/>
      </c>
      <c r="CG326">
        <f ca="1"/>
      </c>
      <c r="CH326">
        <f ca="1"/>
      </c>
      <c r="CI326">
        <f ca="1"/>
      </c>
      <c r="CK326">
        <f ca="1"/>
      </c>
      <c r="CL326">
        <f ca="1"/>
      </c>
      <c r="CM326">
        <f ca="1"/>
      </c>
      <c r="CN326">
        <f ca="1"/>
      </c>
      <c r="CO326">
        <f ca="1"/>
      </c>
      <c r="CP326">
        <f ca="1"/>
      </c>
      <c r="CQ326">
        <f ca="1"/>
      </c>
      <c r="CR326">
        <f ca="1"/>
      </c>
      <c r="CS326">
        <f ca="1"/>
      </c>
      <c r="CT326">
        <f ca="1"/>
      </c>
      <c r="CU326">
        <f ca="1"/>
      </c>
      <c r="CV326">
        <f ca="1"/>
      </c>
      <c r="CW326">
        <f ca="1"/>
      </c>
      <c r="CX326">
        <f ca="1"/>
      </c>
      <c r="CY326">
        <f ca="1"/>
      </c>
      <c r="CZ326">
        <f ca="1"/>
      </c>
      <c r="DA326">
        <f ca="1"/>
      </c>
      <c r="DB326">
        <f ca="1"/>
      </c>
      <c r="DC326">
        <f ca="1"/>
      </c>
      <c r="DD326">
        <f ca="1"/>
      </c>
      <c r="DE326">
        <f ca="1"/>
      </c>
      <c r="DF326">
        <f ca="1"/>
      </c>
      <c r="DG326">
        <f ca="1"/>
      </c>
      <c r="DH326">
        <f ca="1"/>
      </c>
      <c r="DI326">
        <f ca="1"/>
      </c>
      <c r="DJ326">
        <f ca="1"/>
      </c>
      <c r="DK326">
        <f ca="1"/>
      </c>
      <c r="DL326">
        <f ca="1"/>
      </c>
      <c r="DM326">
        <f ca="1"/>
      </c>
      <c r="DN326">
        <f ca="1"/>
      </c>
      <c r="DO326">
        <f ca="1"/>
      </c>
      <c r="DP326">
        <f ca="1"/>
      </c>
      <c r="DQ326">
        <f ca="1"/>
      </c>
      <c r="DR326">
        <f ca="1"/>
      </c>
      <c r="DS326">
        <f ca="1"/>
      </c>
      <c r="DT326">
        <f ca="1"/>
      </c>
      <c r="DU326">
        <f ca="1"/>
      </c>
      <c r="DV326">
        <f ca="1"/>
      </c>
      <c r="DW326">
        <f ca="1"/>
      </c>
      <c r="DX326">
        <f ca="1"/>
      </c>
      <c r="DY326">
        <f ca="1"/>
      </c>
      <c r="DZ326">
        <f ca="1"/>
      </c>
      <c r="EA326">
        <f ca="1"/>
      </c>
      <c r="EB326">
        <f ca="1"/>
      </c>
      <c r="EC326">
        <f ca="1"/>
      </c>
      <c r="ED326">
        <f ca="1"/>
      </c>
      <c r="EE326">
        <f ca="1"/>
      </c>
      <c r="EG326">
        <f ca="1"/>
      </c>
      <c r="EH326">
        <f ca="1"/>
      </c>
      <c r="EI326">
        <f ca="1"/>
      </c>
      <c r="EJ326">
        <f ca="1"/>
      </c>
      <c r="EK326">
        <f ca="1"/>
      </c>
      <c r="EL326">
        <f ca="1"/>
      </c>
      <c r="EM326">
        <f ca="1"/>
      </c>
      <c r="EN326">
        <f ca="1"/>
      </c>
      <c r="EO326">
        <f ca="1"/>
      </c>
      <c r="EP326">
        <f ca="1"/>
      </c>
      <c r="EQ326">
        <f ca="1"/>
      </c>
      <c r="ER326">
        <f ca="1"/>
      </c>
      <c r="ES326">
        <f ca="1"/>
      </c>
      <c r="ET326">
        <f ca="1"/>
      </c>
      <c r="EU326">
        <f ca="1"/>
      </c>
      <c r="EV326">
        <f ca="1"/>
      </c>
      <c r="EW326">
        <f ca="1"/>
      </c>
      <c r="EX326">
        <f ca="1"/>
      </c>
      <c r="EY326">
        <f ca="1"/>
      </c>
      <c r="EZ326">
        <f ca="1"/>
      </c>
      <c r="FA326">
        <f ca="1"/>
      </c>
      <c r="FB326">
        <f ca="1"/>
      </c>
      <c r="FC326">
        <f ca="1"/>
      </c>
      <c r="FD326">
        <f ca="1"/>
      </c>
      <c r="FE326">
        <f ca="1"/>
      </c>
      <c r="FF326">
        <f ca="1"/>
      </c>
      <c r="FG326">
        <f ca="1"/>
      </c>
      <c r="FH326">
        <f ca="1"/>
      </c>
      <c r="FI326">
        <f ca="1"/>
      </c>
      <c r="FJ326">
        <f ca="1"/>
      </c>
      <c r="FK326">
        <f ca="1"/>
      </c>
      <c r="FL326">
        <f ca="1"/>
      </c>
      <c r="FM326">
        <f ca="1"/>
      </c>
      <c r="FN326">
        <f ca="1"/>
      </c>
      <c r="FO326">
        <f ca="1"/>
      </c>
      <c r="FP326">
        <f ca="1"/>
      </c>
      <c r="FQ326">
        <f ca="1"/>
      </c>
      <c r="FR326">
        <f ca="1"/>
      </c>
      <c r="FS326">
        <f ca="1"/>
      </c>
      <c r="FT326">
        <f ca="1"/>
      </c>
      <c r="FU326">
        <f ca="1"/>
      </c>
      <c r="FV326">
        <f ca="1"/>
      </c>
      <c r="FW326">
        <f ca="1"/>
      </c>
      <c r="FX326">
        <f ca="1"/>
      </c>
      <c r="FY326">
        <f ca="1"/>
      </c>
      <c r="FZ326">
        <f ca="1"/>
      </c>
      <c r="GA326">
        <f ca="1"/>
      </c>
      <c r="GM326" s="7"/>
    </row>
    <row r="327" spans="41:195" x14ac:dyDescent="0.55000000000000004">
      <c r="AO327">
        <f ca="1"/>
      </c>
      <c r="AP327">
        <f ca="1"/>
      </c>
      <c r="AQ327">
        <f ca="1"/>
      </c>
      <c r="AR327">
        <f ca="1"/>
      </c>
      <c r="AS327">
        <f ca="1"/>
      </c>
      <c r="AT327">
        <f ca="1"/>
      </c>
      <c r="AU327">
        <f ca="1"/>
      </c>
      <c r="AV327">
        <f ca="1"/>
      </c>
      <c r="AW327">
        <f ca="1"/>
      </c>
      <c r="AX327">
        <f ca="1"/>
      </c>
      <c r="AY327">
        <f ca="1"/>
      </c>
      <c r="AZ327">
        <f ca="1"/>
      </c>
      <c r="BA327">
        <f ca="1"/>
      </c>
      <c r="BB327">
        <f ca="1"/>
      </c>
      <c r="BC327">
        <f ca="1"/>
      </c>
      <c r="BD327">
        <f ca="1"/>
      </c>
      <c r="BE327">
        <f ca="1"/>
      </c>
      <c r="BF327">
        <f ca="1"/>
      </c>
      <c r="BG327">
        <f ca="1"/>
      </c>
      <c r="BH327">
        <f ca="1"/>
      </c>
      <c r="BI327">
        <f ca="1"/>
      </c>
      <c r="BJ327">
        <f ca="1"/>
      </c>
      <c r="BK327">
        <f ca="1"/>
      </c>
      <c r="BL327">
        <f ca="1"/>
      </c>
      <c r="BM327">
        <f ca="1"/>
      </c>
      <c r="BN327">
        <f ca="1"/>
      </c>
      <c r="BO327">
        <f ca="1"/>
      </c>
      <c r="BP327">
        <f ca="1"/>
      </c>
      <c r="BQ327">
        <f ca="1"/>
      </c>
      <c r="BR327">
        <f ca="1"/>
      </c>
      <c r="BS327">
        <f ca="1"/>
      </c>
      <c r="BT327">
        <f ca="1"/>
      </c>
      <c r="BU327">
        <f ca="1"/>
      </c>
      <c r="BV327">
        <f ca="1"/>
      </c>
      <c r="BW327">
        <f ca="1"/>
      </c>
      <c r="BX327">
        <f ca="1"/>
      </c>
      <c r="BY327">
        <f ca="1"/>
      </c>
      <c r="BZ327">
        <f ca="1"/>
      </c>
      <c r="CA327">
        <f ca="1"/>
      </c>
      <c r="CB327">
        <f ca="1"/>
      </c>
      <c r="CC327">
        <f ca="1"/>
      </c>
      <c r="CD327">
        <f ca="1"/>
      </c>
      <c r="CE327">
        <f ca="1"/>
      </c>
      <c r="CF327">
        <f ca="1"/>
      </c>
      <c r="CG327">
        <f ca="1"/>
      </c>
      <c r="CH327">
        <f ca="1"/>
      </c>
      <c r="CI327">
        <f ca="1"/>
      </c>
      <c r="CK327">
        <f ca="1"/>
      </c>
      <c r="CL327">
        <f ca="1"/>
      </c>
      <c r="CM327">
        <f ca="1"/>
      </c>
      <c r="CN327">
        <f ca="1"/>
      </c>
      <c r="CO327">
        <f ca="1"/>
      </c>
      <c r="CP327">
        <f ca="1"/>
      </c>
      <c r="CQ327">
        <f ca="1"/>
      </c>
      <c r="CR327">
        <f ca="1"/>
      </c>
      <c r="CS327">
        <f ca="1"/>
      </c>
      <c r="CT327">
        <f ca="1"/>
      </c>
      <c r="CU327">
        <f ca="1"/>
      </c>
      <c r="CV327">
        <f ca="1"/>
      </c>
      <c r="CW327">
        <f ca="1"/>
      </c>
      <c r="CX327">
        <f ca="1"/>
      </c>
      <c r="CY327">
        <f ca="1"/>
      </c>
      <c r="CZ327">
        <f ca="1"/>
      </c>
      <c r="DA327">
        <f ca="1"/>
      </c>
      <c r="DB327">
        <f ca="1"/>
      </c>
      <c r="DC327">
        <f ca="1"/>
      </c>
      <c r="DD327">
        <f ca="1"/>
      </c>
      <c r="DE327">
        <f ca="1"/>
      </c>
      <c r="DF327">
        <f ca="1"/>
      </c>
      <c r="DG327">
        <f ca="1"/>
      </c>
      <c r="DH327">
        <f ca="1"/>
      </c>
      <c r="DI327">
        <f ca="1"/>
      </c>
      <c r="DJ327">
        <f ca="1"/>
      </c>
      <c r="DK327">
        <f ca="1"/>
      </c>
      <c r="DL327">
        <f ca="1"/>
      </c>
      <c r="DM327">
        <f ca="1"/>
      </c>
      <c r="DN327">
        <f ca="1"/>
      </c>
      <c r="DO327">
        <f ca="1"/>
      </c>
      <c r="DP327">
        <f ca="1"/>
      </c>
      <c r="DQ327">
        <f ca="1"/>
      </c>
      <c r="DR327">
        <f ca="1"/>
      </c>
      <c r="DS327">
        <f ca="1"/>
      </c>
      <c r="DT327">
        <f ca="1"/>
      </c>
      <c r="DU327">
        <f ca="1"/>
      </c>
      <c r="DV327">
        <f ca="1"/>
      </c>
      <c r="DW327">
        <f ca="1"/>
      </c>
      <c r="DX327">
        <f ca="1"/>
      </c>
      <c r="DY327">
        <f ca="1"/>
      </c>
      <c r="DZ327">
        <f ca="1"/>
      </c>
      <c r="EA327">
        <f ca="1"/>
      </c>
      <c r="EB327">
        <f ca="1"/>
      </c>
      <c r="EC327">
        <f ca="1"/>
      </c>
      <c r="ED327">
        <f ca="1"/>
      </c>
      <c r="EE327">
        <f ca="1"/>
      </c>
      <c r="EG327">
        <f ca="1"/>
      </c>
      <c r="EH327">
        <f ca="1"/>
      </c>
      <c r="EI327">
        <f ca="1"/>
      </c>
      <c r="EJ327">
        <f ca="1"/>
      </c>
      <c r="EK327">
        <f ca="1"/>
      </c>
      <c r="EL327">
        <f ca="1"/>
      </c>
      <c r="EM327">
        <f ca="1"/>
      </c>
      <c r="EN327">
        <f ca="1"/>
      </c>
      <c r="EO327">
        <f ca="1"/>
      </c>
      <c r="EP327">
        <f ca="1"/>
      </c>
      <c r="EQ327">
        <f ca="1"/>
      </c>
      <c r="ER327">
        <f ca="1"/>
      </c>
      <c r="ES327">
        <f ca="1"/>
      </c>
      <c r="ET327">
        <f ca="1"/>
      </c>
      <c r="EU327">
        <f ca="1"/>
      </c>
      <c r="EV327">
        <f ca="1"/>
      </c>
      <c r="EW327">
        <f ca="1"/>
      </c>
      <c r="EX327">
        <f ca="1"/>
      </c>
      <c r="EY327">
        <f ca="1"/>
      </c>
      <c r="EZ327">
        <f ca="1"/>
      </c>
      <c r="FA327">
        <f ca="1"/>
      </c>
      <c r="FB327">
        <f ca="1"/>
      </c>
      <c r="FC327">
        <f ca="1"/>
      </c>
      <c r="FD327">
        <f ca="1"/>
      </c>
      <c r="FE327">
        <f ca="1"/>
      </c>
      <c r="FF327">
        <f ca="1"/>
      </c>
      <c r="FG327">
        <f ca="1"/>
      </c>
      <c r="FH327">
        <f ca="1"/>
      </c>
      <c r="FI327">
        <f ca="1"/>
      </c>
      <c r="FJ327">
        <f ca="1"/>
      </c>
      <c r="FK327">
        <f ca="1"/>
      </c>
      <c r="FL327">
        <f ca="1"/>
      </c>
      <c r="FM327">
        <f ca="1"/>
      </c>
      <c r="FN327">
        <f ca="1"/>
      </c>
      <c r="FO327">
        <f ca="1"/>
      </c>
      <c r="FP327">
        <f ca="1"/>
      </c>
      <c r="FQ327">
        <f ca="1"/>
      </c>
      <c r="FR327">
        <f ca="1"/>
      </c>
      <c r="FS327">
        <f ca="1"/>
      </c>
      <c r="FT327">
        <f ca="1"/>
      </c>
      <c r="FU327">
        <f ca="1"/>
      </c>
      <c r="FV327">
        <f ca="1"/>
      </c>
      <c r="FW327">
        <f ca="1"/>
      </c>
      <c r="FX327">
        <f ca="1"/>
      </c>
      <c r="FY327">
        <f ca="1"/>
      </c>
      <c r="FZ327">
        <f ca="1"/>
      </c>
      <c r="GA327">
        <f ca="1"/>
      </c>
      <c r="GM327" s="7"/>
    </row>
    <row r="328" spans="41:195" x14ac:dyDescent="0.55000000000000004">
      <c r="AO328">
        <f ca="1"/>
      </c>
      <c r="AP328">
        <f ca="1"/>
      </c>
      <c r="AQ328">
        <f ca="1"/>
      </c>
      <c r="AR328">
        <f ca="1"/>
      </c>
      <c r="AS328">
        <f ca="1"/>
      </c>
      <c r="AT328">
        <f ca="1"/>
      </c>
      <c r="AU328">
        <f ca="1"/>
      </c>
      <c r="AV328">
        <f ca="1"/>
      </c>
      <c r="AW328">
        <f ca="1"/>
      </c>
      <c r="AX328">
        <f ca="1"/>
      </c>
      <c r="AY328">
        <f ca="1"/>
      </c>
      <c r="AZ328">
        <f ca="1"/>
      </c>
      <c r="BA328">
        <f ca="1"/>
      </c>
      <c r="BB328">
        <f ca="1"/>
      </c>
      <c r="BC328">
        <f ca="1"/>
      </c>
      <c r="BD328">
        <f ca="1"/>
      </c>
      <c r="BE328">
        <f ca="1"/>
      </c>
      <c r="BF328">
        <f ca="1"/>
      </c>
      <c r="BG328">
        <f ca="1"/>
      </c>
      <c r="BH328">
        <f ca="1"/>
      </c>
      <c r="BI328">
        <f ca="1"/>
      </c>
      <c r="BJ328">
        <f ca="1"/>
      </c>
      <c r="BK328">
        <f ca="1"/>
      </c>
      <c r="BL328">
        <f ca="1"/>
      </c>
      <c r="BM328">
        <f ca="1"/>
      </c>
      <c r="BN328">
        <f ca="1"/>
      </c>
      <c r="BO328">
        <f ca="1"/>
      </c>
      <c r="BP328">
        <f ca="1"/>
      </c>
      <c r="BQ328">
        <f ca="1"/>
      </c>
      <c r="BR328">
        <f ca="1"/>
      </c>
      <c r="BS328">
        <f ca="1"/>
      </c>
      <c r="BT328">
        <f ca="1"/>
      </c>
      <c r="BU328">
        <f ca="1"/>
      </c>
      <c r="BV328">
        <f ca="1"/>
      </c>
      <c r="BW328">
        <f ca="1"/>
      </c>
      <c r="BX328">
        <f ca="1"/>
      </c>
      <c r="BY328">
        <f ca="1"/>
      </c>
      <c r="BZ328">
        <f ca="1"/>
      </c>
      <c r="CA328">
        <f ca="1"/>
      </c>
      <c r="CB328">
        <f ca="1"/>
      </c>
      <c r="CC328">
        <f ca="1"/>
      </c>
      <c r="CD328">
        <f ca="1"/>
      </c>
      <c r="CE328">
        <f ca="1"/>
      </c>
      <c r="CF328">
        <f ca="1"/>
      </c>
      <c r="CG328">
        <f ca="1"/>
      </c>
      <c r="CH328">
        <f ca="1"/>
      </c>
      <c r="CI328">
        <f ca="1"/>
      </c>
      <c r="CK328">
        <f ca="1"/>
      </c>
      <c r="CL328">
        <f ca="1"/>
      </c>
      <c r="CM328">
        <f ca="1"/>
      </c>
      <c r="CN328">
        <f ca="1"/>
      </c>
      <c r="CO328">
        <f ca="1"/>
      </c>
      <c r="CP328">
        <f ca="1"/>
      </c>
      <c r="CQ328">
        <f ca="1"/>
      </c>
      <c r="CR328">
        <f ca="1"/>
      </c>
      <c r="CS328">
        <f ca="1"/>
      </c>
      <c r="CT328">
        <f ca="1"/>
      </c>
      <c r="CU328">
        <f ca="1"/>
      </c>
      <c r="CV328">
        <f ca="1"/>
      </c>
      <c r="CW328">
        <f ca="1"/>
      </c>
      <c r="CX328">
        <f ca="1"/>
      </c>
      <c r="CY328">
        <f ca="1"/>
      </c>
      <c r="CZ328">
        <f ca="1"/>
      </c>
      <c r="DA328">
        <f ca="1"/>
      </c>
      <c r="DB328">
        <f ca="1"/>
      </c>
      <c r="DC328">
        <f ca="1"/>
      </c>
      <c r="DD328">
        <f ca="1"/>
      </c>
      <c r="DE328">
        <f ca="1"/>
      </c>
      <c r="DF328">
        <f ca="1"/>
      </c>
      <c r="DG328">
        <f ca="1"/>
      </c>
      <c r="DH328">
        <f ca="1"/>
      </c>
      <c r="DI328">
        <f ca="1"/>
      </c>
      <c r="DJ328">
        <f ca="1"/>
      </c>
      <c r="DK328">
        <f ca="1"/>
      </c>
      <c r="DL328">
        <f ca="1"/>
      </c>
      <c r="DM328">
        <f ca="1"/>
      </c>
      <c r="DN328">
        <f ca="1"/>
      </c>
      <c r="DO328">
        <f ca="1"/>
      </c>
      <c r="DP328">
        <f ca="1"/>
      </c>
      <c r="DQ328">
        <f ca="1"/>
      </c>
      <c r="DR328">
        <f ca="1"/>
      </c>
      <c r="DS328">
        <f ca="1"/>
      </c>
      <c r="DT328">
        <f ca="1"/>
      </c>
      <c r="DU328">
        <f ca="1"/>
      </c>
      <c r="DV328">
        <f ca="1"/>
      </c>
      <c r="DW328">
        <f ca="1"/>
      </c>
      <c r="DX328">
        <f ca="1"/>
      </c>
      <c r="DY328">
        <f ca="1"/>
      </c>
      <c r="DZ328">
        <f ca="1"/>
      </c>
      <c r="EA328">
        <f ca="1"/>
      </c>
      <c r="EB328">
        <f ca="1"/>
      </c>
      <c r="EC328">
        <f ca="1"/>
      </c>
      <c r="ED328">
        <f ca="1"/>
      </c>
      <c r="EE328">
        <f ca="1"/>
      </c>
      <c r="EG328">
        <f ca="1"/>
      </c>
      <c r="EH328">
        <f ca="1"/>
      </c>
      <c r="EI328">
        <f ca="1"/>
      </c>
      <c r="EJ328">
        <f ca="1"/>
      </c>
      <c r="EK328">
        <f ca="1"/>
      </c>
      <c r="EL328">
        <f ca="1"/>
      </c>
      <c r="EM328">
        <f ca="1"/>
      </c>
      <c r="EN328">
        <f ca="1"/>
      </c>
      <c r="EO328">
        <f ca="1"/>
      </c>
      <c r="EP328">
        <f ca="1"/>
      </c>
      <c r="EQ328">
        <f ca="1"/>
      </c>
      <c r="ER328">
        <f ca="1"/>
      </c>
      <c r="ES328">
        <f ca="1"/>
      </c>
      <c r="ET328">
        <f ca="1"/>
      </c>
      <c r="EU328">
        <f ca="1"/>
      </c>
      <c r="EV328">
        <f ca="1"/>
      </c>
      <c r="EW328">
        <f ca="1"/>
      </c>
      <c r="EX328">
        <f ca="1"/>
      </c>
      <c r="EY328">
        <f ca="1"/>
      </c>
      <c r="EZ328">
        <f ca="1"/>
      </c>
      <c r="FA328">
        <f ca="1"/>
      </c>
      <c r="FB328">
        <f ca="1"/>
      </c>
      <c r="FC328">
        <f ca="1"/>
      </c>
      <c r="FD328">
        <f ca="1"/>
      </c>
      <c r="FE328">
        <f ca="1"/>
      </c>
      <c r="FF328">
        <f ca="1"/>
      </c>
      <c r="FG328">
        <f ca="1"/>
      </c>
      <c r="FH328">
        <f ca="1"/>
      </c>
      <c r="FI328">
        <f ca="1"/>
      </c>
      <c r="FJ328">
        <f ca="1"/>
      </c>
      <c r="FK328">
        <f ca="1"/>
      </c>
      <c r="FL328">
        <f ca="1"/>
      </c>
      <c r="FM328">
        <f ca="1"/>
      </c>
      <c r="FN328">
        <f ca="1"/>
      </c>
      <c r="FO328">
        <f ca="1"/>
      </c>
      <c r="FP328">
        <f ca="1"/>
      </c>
      <c r="FQ328">
        <f ca="1"/>
      </c>
      <c r="FR328">
        <f ca="1"/>
      </c>
      <c r="FS328">
        <f ca="1"/>
      </c>
      <c r="FT328">
        <f ca="1"/>
      </c>
      <c r="FU328">
        <f ca="1"/>
      </c>
      <c r="FV328">
        <f ca="1"/>
      </c>
      <c r="FW328">
        <f ca="1"/>
      </c>
      <c r="FX328">
        <f ca="1"/>
      </c>
      <c r="FY328">
        <f ca="1"/>
      </c>
      <c r="FZ328">
        <f ca="1"/>
      </c>
      <c r="GA328">
        <f ca="1"/>
      </c>
      <c r="GM328" s="7"/>
    </row>
    <row r="329" spans="41:195" x14ac:dyDescent="0.55000000000000004">
      <c r="AO329">
        <f ca="1"/>
      </c>
      <c r="AP329">
        <f ca="1"/>
      </c>
      <c r="AQ329">
        <f ca="1"/>
      </c>
      <c r="AR329">
        <f ca="1"/>
      </c>
      <c r="AS329">
        <f ca="1"/>
      </c>
      <c r="AT329">
        <f ca="1"/>
      </c>
      <c r="AU329">
        <f ca="1"/>
      </c>
      <c r="AV329">
        <f ca="1"/>
      </c>
      <c r="AW329">
        <f ca="1"/>
      </c>
      <c r="AX329">
        <f ca="1"/>
      </c>
      <c r="AY329">
        <f ca="1"/>
      </c>
      <c r="AZ329">
        <f ca="1"/>
      </c>
      <c r="BA329">
        <f ca="1"/>
      </c>
      <c r="BB329">
        <f ca="1"/>
      </c>
      <c r="BC329">
        <f ca="1"/>
      </c>
      <c r="BD329">
        <f ca="1"/>
      </c>
      <c r="BE329">
        <f ca="1"/>
      </c>
      <c r="BF329">
        <f ca="1"/>
      </c>
      <c r="BG329">
        <f ca="1"/>
      </c>
      <c r="BH329">
        <f ca="1"/>
      </c>
      <c r="BI329">
        <f ca="1"/>
      </c>
      <c r="BJ329">
        <f ca="1"/>
      </c>
      <c r="BK329">
        <f ca="1"/>
      </c>
      <c r="BL329">
        <f ca="1"/>
      </c>
      <c r="BM329">
        <f ca="1"/>
      </c>
      <c r="BN329">
        <f ca="1"/>
      </c>
      <c r="BO329">
        <f ca="1"/>
      </c>
      <c r="BP329">
        <f ca="1"/>
      </c>
      <c r="BQ329">
        <f ca="1"/>
      </c>
      <c r="BR329">
        <f ca="1"/>
      </c>
      <c r="BS329">
        <f ca="1"/>
      </c>
      <c r="BT329">
        <f ca="1"/>
      </c>
      <c r="BU329">
        <f ca="1"/>
      </c>
      <c r="BV329">
        <f ca="1"/>
      </c>
      <c r="BW329">
        <f ca="1"/>
      </c>
      <c r="BX329">
        <f ca="1"/>
      </c>
      <c r="BY329">
        <f ca="1"/>
      </c>
      <c r="BZ329">
        <f ca="1"/>
      </c>
      <c r="CA329">
        <f ca="1"/>
      </c>
      <c r="CB329">
        <f ca="1"/>
      </c>
      <c r="CC329">
        <f ca="1"/>
      </c>
      <c r="CD329">
        <f ca="1"/>
      </c>
      <c r="CE329">
        <f ca="1"/>
      </c>
      <c r="CF329">
        <f ca="1"/>
      </c>
      <c r="CG329">
        <f ca="1"/>
      </c>
      <c r="CH329">
        <f ca="1"/>
      </c>
      <c r="CI329">
        <f ca="1"/>
      </c>
      <c r="CK329">
        <f ca="1"/>
      </c>
      <c r="CL329">
        <f ca="1"/>
      </c>
      <c r="CM329">
        <f ca="1"/>
      </c>
      <c r="CN329">
        <f ca="1"/>
      </c>
      <c r="CO329">
        <f ca="1"/>
      </c>
      <c r="CP329">
        <f ca="1"/>
      </c>
      <c r="CQ329">
        <f ca="1"/>
      </c>
      <c r="CR329">
        <f ca="1"/>
      </c>
      <c r="CS329">
        <f ca="1"/>
      </c>
      <c r="CT329">
        <f ca="1"/>
      </c>
      <c r="CU329">
        <f ca="1"/>
      </c>
      <c r="CV329">
        <f ca="1"/>
      </c>
      <c r="CW329">
        <f ca="1"/>
      </c>
      <c r="CX329">
        <f ca="1"/>
      </c>
      <c r="CY329">
        <f ca="1"/>
      </c>
      <c r="CZ329">
        <f ca="1"/>
      </c>
      <c r="DA329">
        <f ca="1"/>
      </c>
      <c r="DB329">
        <f ca="1"/>
      </c>
      <c r="DC329">
        <f ca="1"/>
      </c>
      <c r="DD329">
        <f ca="1"/>
      </c>
      <c r="DE329">
        <f ca="1"/>
      </c>
      <c r="DF329">
        <f ca="1"/>
      </c>
      <c r="DG329">
        <f ca="1"/>
      </c>
      <c r="DH329">
        <f ca="1"/>
      </c>
      <c r="DI329">
        <f ca="1"/>
      </c>
      <c r="DJ329">
        <f ca="1"/>
      </c>
      <c r="DK329">
        <f ca="1"/>
      </c>
      <c r="DL329">
        <f ca="1"/>
      </c>
      <c r="DM329">
        <f ca="1"/>
      </c>
      <c r="DN329">
        <f ca="1"/>
      </c>
      <c r="DO329">
        <f ca="1"/>
      </c>
      <c r="DP329">
        <f ca="1"/>
      </c>
      <c r="DQ329">
        <f ca="1"/>
      </c>
      <c r="DR329">
        <f ca="1"/>
      </c>
      <c r="DS329">
        <f ca="1"/>
      </c>
      <c r="DT329">
        <f ca="1"/>
      </c>
      <c r="DU329">
        <f ca="1"/>
      </c>
      <c r="DV329">
        <f ca="1"/>
      </c>
      <c r="DW329">
        <f ca="1"/>
      </c>
      <c r="DX329">
        <f ca="1"/>
      </c>
      <c r="DY329">
        <f ca="1"/>
      </c>
      <c r="DZ329">
        <f ca="1"/>
      </c>
      <c r="EA329">
        <f ca="1"/>
      </c>
      <c r="EB329">
        <f ca="1"/>
      </c>
      <c r="EC329">
        <f ca="1"/>
      </c>
      <c r="ED329">
        <f ca="1"/>
      </c>
      <c r="EE329">
        <f ca="1"/>
      </c>
      <c r="EG329">
        <f ca="1"/>
      </c>
      <c r="EH329">
        <f ca="1"/>
      </c>
      <c r="EI329">
        <f ca="1"/>
      </c>
      <c r="EJ329">
        <f ca="1"/>
      </c>
      <c r="EK329">
        <f ca="1"/>
      </c>
      <c r="EL329">
        <f ca="1"/>
      </c>
      <c r="EM329">
        <f ca="1"/>
      </c>
      <c r="EN329">
        <f ca="1"/>
      </c>
      <c r="EO329">
        <f ca="1"/>
      </c>
      <c r="EP329">
        <f ca="1"/>
      </c>
      <c r="EQ329">
        <f ca="1"/>
      </c>
      <c r="ER329">
        <f ca="1"/>
      </c>
      <c r="ES329">
        <f ca="1"/>
      </c>
      <c r="ET329">
        <f ca="1"/>
      </c>
      <c r="EU329">
        <f ca="1"/>
      </c>
      <c r="EV329">
        <f ca="1"/>
      </c>
      <c r="EW329">
        <f ca="1"/>
      </c>
      <c r="EX329">
        <f ca="1"/>
      </c>
      <c r="EY329">
        <f ca="1"/>
      </c>
      <c r="EZ329">
        <f ca="1"/>
      </c>
      <c r="FA329">
        <f ca="1"/>
      </c>
      <c r="FB329">
        <f ca="1"/>
      </c>
      <c r="FC329">
        <f ca="1"/>
      </c>
      <c r="FD329">
        <f ca="1"/>
      </c>
      <c r="FE329">
        <f ca="1"/>
      </c>
      <c r="FF329">
        <f ca="1"/>
      </c>
      <c r="FG329">
        <f ca="1"/>
      </c>
      <c r="FH329">
        <f ca="1"/>
      </c>
      <c r="FI329">
        <f ca="1"/>
      </c>
      <c r="FJ329">
        <f ca="1"/>
      </c>
      <c r="FK329">
        <f ca="1"/>
      </c>
      <c r="FL329">
        <f ca="1"/>
      </c>
      <c r="FM329">
        <f ca="1"/>
      </c>
      <c r="FN329">
        <f ca="1"/>
      </c>
      <c r="FO329">
        <f ca="1"/>
      </c>
      <c r="FP329">
        <f ca="1"/>
      </c>
      <c r="FQ329">
        <f ca="1"/>
      </c>
      <c r="FR329">
        <f ca="1"/>
      </c>
      <c r="FS329">
        <f ca="1"/>
      </c>
      <c r="FT329">
        <f ca="1"/>
      </c>
      <c r="FU329">
        <f ca="1"/>
      </c>
      <c r="FV329">
        <f ca="1"/>
      </c>
      <c r="FW329">
        <f ca="1"/>
      </c>
      <c r="FX329">
        <f ca="1"/>
      </c>
      <c r="FY329">
        <f ca="1"/>
      </c>
      <c r="FZ329">
        <f ca="1"/>
      </c>
      <c r="GA329">
        <f ca="1"/>
      </c>
      <c r="GM329" s="7"/>
    </row>
    <row r="330" spans="41:195" x14ac:dyDescent="0.55000000000000004">
      <c r="AO330">
        <f ca="1"/>
      </c>
      <c r="AP330">
        <f ca="1"/>
      </c>
      <c r="AQ330">
        <f ca="1"/>
      </c>
      <c r="AR330">
        <f ca="1"/>
      </c>
      <c r="AS330">
        <f ca="1"/>
      </c>
      <c r="AT330">
        <f ca="1"/>
      </c>
      <c r="AU330">
        <f ca="1"/>
      </c>
      <c r="AV330">
        <f ca="1"/>
      </c>
      <c r="AW330">
        <f ca="1"/>
      </c>
      <c r="AX330">
        <f ca="1"/>
      </c>
      <c r="AY330">
        <f ca="1"/>
      </c>
      <c r="AZ330">
        <f ca="1"/>
      </c>
      <c r="BA330">
        <f ca="1"/>
      </c>
      <c r="BB330">
        <f ca="1"/>
      </c>
      <c r="BC330">
        <f ca="1"/>
      </c>
      <c r="BD330">
        <f ca="1"/>
      </c>
      <c r="BE330">
        <f ca="1"/>
      </c>
      <c r="BF330">
        <f ca="1"/>
      </c>
      <c r="BG330">
        <f ca="1"/>
      </c>
      <c r="BH330">
        <f ca="1"/>
      </c>
      <c r="BI330">
        <f ca="1"/>
      </c>
      <c r="BJ330">
        <f ca="1"/>
      </c>
      <c r="BK330">
        <f ca="1"/>
      </c>
      <c r="BL330">
        <f ca="1"/>
      </c>
      <c r="BM330">
        <f ca="1"/>
      </c>
      <c r="BN330">
        <f ca="1"/>
      </c>
      <c r="BO330">
        <f ca="1"/>
      </c>
      <c r="BP330">
        <f ca="1"/>
      </c>
      <c r="BQ330">
        <f ca="1"/>
      </c>
      <c r="BR330">
        <f ca="1"/>
      </c>
      <c r="BS330">
        <f ca="1"/>
      </c>
      <c r="BT330">
        <f ca="1"/>
      </c>
      <c r="BU330">
        <f ca="1"/>
      </c>
      <c r="BV330">
        <f ca="1"/>
      </c>
      <c r="BW330">
        <f ca="1"/>
      </c>
      <c r="BX330">
        <f ca="1"/>
      </c>
      <c r="BY330">
        <f ca="1"/>
      </c>
      <c r="BZ330">
        <f ca="1"/>
      </c>
      <c r="CA330">
        <f ca="1"/>
      </c>
      <c r="CB330">
        <f ca="1"/>
      </c>
      <c r="CC330">
        <f ca="1"/>
      </c>
      <c r="CD330">
        <f ca="1"/>
      </c>
      <c r="CE330">
        <f ca="1"/>
      </c>
      <c r="CF330">
        <f ca="1"/>
      </c>
      <c r="CG330">
        <f ca="1"/>
      </c>
      <c r="CH330">
        <f ca="1"/>
      </c>
      <c r="CI330">
        <f ca="1"/>
      </c>
      <c r="CK330">
        <f ca="1"/>
      </c>
      <c r="CL330">
        <f ca="1"/>
      </c>
      <c r="CM330">
        <f ca="1"/>
      </c>
      <c r="CN330">
        <f ca="1"/>
      </c>
      <c r="CO330">
        <f ca="1"/>
      </c>
      <c r="CP330">
        <f ca="1"/>
      </c>
      <c r="CQ330">
        <f ca="1"/>
      </c>
      <c r="CR330">
        <f ca="1"/>
      </c>
      <c r="CS330">
        <f ca="1"/>
      </c>
      <c r="CT330">
        <f ca="1"/>
      </c>
      <c r="CU330">
        <f ca="1"/>
      </c>
      <c r="CV330">
        <f ca="1"/>
      </c>
      <c r="CW330">
        <f ca="1"/>
      </c>
      <c r="CX330">
        <f ca="1"/>
      </c>
      <c r="CY330">
        <f ca="1"/>
      </c>
      <c r="CZ330">
        <f ca="1"/>
      </c>
      <c r="DA330">
        <f ca="1"/>
      </c>
      <c r="DB330">
        <f ca="1"/>
      </c>
      <c r="DC330">
        <f ca="1"/>
      </c>
      <c r="DD330">
        <f ca="1"/>
      </c>
      <c r="DE330">
        <f ca="1"/>
      </c>
      <c r="DF330">
        <f ca="1"/>
      </c>
      <c r="DG330">
        <f ca="1"/>
      </c>
      <c r="DH330">
        <f ca="1"/>
      </c>
      <c r="DI330">
        <f ca="1"/>
      </c>
      <c r="DJ330">
        <f ca="1"/>
      </c>
      <c r="DK330">
        <f ca="1"/>
      </c>
      <c r="DL330">
        <f ca="1"/>
      </c>
      <c r="DM330">
        <f ca="1"/>
      </c>
      <c r="DN330">
        <f ca="1"/>
      </c>
      <c r="DO330">
        <f ca="1"/>
      </c>
      <c r="DP330">
        <f ca="1"/>
      </c>
      <c r="DQ330">
        <f ca="1"/>
      </c>
      <c r="DR330">
        <f ca="1"/>
      </c>
      <c r="DS330">
        <f ca="1"/>
      </c>
      <c r="DT330">
        <f ca="1"/>
      </c>
      <c r="DU330">
        <f ca="1"/>
      </c>
      <c r="DV330">
        <f ca="1"/>
      </c>
      <c r="DW330">
        <f ca="1"/>
      </c>
      <c r="DX330">
        <f ca="1"/>
      </c>
      <c r="DY330">
        <f ca="1"/>
      </c>
      <c r="DZ330">
        <f ca="1"/>
      </c>
      <c r="EA330">
        <f ca="1"/>
      </c>
      <c r="EB330">
        <f ca="1"/>
      </c>
      <c r="EC330">
        <f ca="1"/>
      </c>
      <c r="ED330">
        <f ca="1"/>
      </c>
      <c r="EE330">
        <f ca="1"/>
      </c>
      <c r="EG330">
        <f ca="1"/>
      </c>
      <c r="EH330">
        <f ca="1"/>
      </c>
      <c r="EI330">
        <f ca="1"/>
      </c>
      <c r="EJ330">
        <f ca="1"/>
      </c>
      <c r="EK330">
        <f ca="1"/>
      </c>
      <c r="EL330">
        <f ca="1"/>
      </c>
      <c r="EM330">
        <f ca="1"/>
      </c>
      <c r="EN330">
        <f ca="1"/>
      </c>
      <c r="EO330">
        <f ca="1"/>
      </c>
      <c r="EP330">
        <f ca="1"/>
      </c>
      <c r="EQ330">
        <f ca="1"/>
      </c>
      <c r="ER330">
        <f ca="1"/>
      </c>
      <c r="ES330">
        <f ca="1"/>
      </c>
      <c r="ET330">
        <f ca="1"/>
      </c>
      <c r="EU330">
        <f ca="1"/>
      </c>
      <c r="EV330">
        <f ca="1"/>
      </c>
      <c r="EW330">
        <f ca="1"/>
      </c>
      <c r="EX330">
        <f ca="1"/>
      </c>
      <c r="EY330">
        <f ca="1"/>
      </c>
      <c r="EZ330">
        <f ca="1"/>
      </c>
      <c r="FA330">
        <f ca="1"/>
      </c>
      <c r="FB330">
        <f ca="1"/>
      </c>
      <c r="FC330">
        <f ca="1"/>
      </c>
      <c r="FD330">
        <f ca="1"/>
      </c>
      <c r="FE330">
        <f ca="1"/>
      </c>
      <c r="FF330">
        <f ca="1"/>
      </c>
      <c r="FG330">
        <f ca="1"/>
      </c>
      <c r="FH330">
        <f ca="1"/>
      </c>
      <c r="FI330">
        <f ca="1"/>
      </c>
      <c r="FJ330">
        <f ca="1"/>
      </c>
      <c r="FK330">
        <f ca="1"/>
      </c>
      <c r="FL330">
        <f ca="1"/>
      </c>
      <c r="FM330">
        <f ca="1"/>
      </c>
      <c r="FN330">
        <f ca="1"/>
      </c>
      <c r="FO330">
        <f ca="1"/>
      </c>
      <c r="FP330">
        <f ca="1"/>
      </c>
      <c r="FQ330">
        <f ca="1"/>
      </c>
      <c r="FR330">
        <f ca="1"/>
      </c>
      <c r="FS330">
        <f ca="1"/>
      </c>
      <c r="FT330">
        <f ca="1"/>
      </c>
      <c r="FU330">
        <f ca="1"/>
      </c>
      <c r="FV330">
        <f ca="1"/>
      </c>
      <c r="FW330">
        <f ca="1"/>
      </c>
      <c r="FX330">
        <f ca="1"/>
      </c>
      <c r="FY330">
        <f ca="1"/>
      </c>
      <c r="FZ330">
        <f ca="1"/>
      </c>
      <c r="GA330">
        <f ca="1"/>
      </c>
      <c r="GM330" s="7"/>
    </row>
    <row r="331" spans="41:195" x14ac:dyDescent="0.55000000000000004">
      <c r="AO331">
        <f ca="1"/>
      </c>
      <c r="AP331">
        <f ca="1"/>
      </c>
      <c r="AQ331">
        <f ca="1"/>
      </c>
      <c r="AR331">
        <f ca="1"/>
      </c>
      <c r="AS331">
        <f ca="1"/>
      </c>
      <c r="AT331">
        <f ca="1"/>
      </c>
      <c r="AU331">
        <f ca="1"/>
      </c>
      <c r="AV331">
        <f ca="1"/>
      </c>
      <c r="AW331">
        <f ca="1"/>
      </c>
      <c r="AX331">
        <f ca="1"/>
      </c>
      <c r="AY331">
        <f ca="1"/>
      </c>
      <c r="AZ331">
        <f ca="1"/>
      </c>
      <c r="BA331">
        <f ca="1"/>
      </c>
      <c r="BB331">
        <f ca="1"/>
      </c>
      <c r="BC331">
        <f ca="1"/>
      </c>
      <c r="BD331">
        <f ca="1"/>
      </c>
      <c r="BE331">
        <f ca="1"/>
      </c>
      <c r="BF331">
        <f ca="1"/>
      </c>
      <c r="BG331">
        <f ca="1"/>
      </c>
      <c r="BH331">
        <f ca="1"/>
      </c>
      <c r="BI331">
        <f ca="1"/>
      </c>
      <c r="BJ331">
        <f ca="1"/>
      </c>
      <c r="BK331">
        <f ca="1"/>
      </c>
      <c r="BL331">
        <f ca="1"/>
      </c>
      <c r="BM331">
        <f ca="1"/>
      </c>
      <c r="BN331">
        <f ca="1"/>
      </c>
      <c r="BO331">
        <f ca="1"/>
      </c>
      <c r="BP331">
        <f ca="1"/>
      </c>
      <c r="BQ331">
        <f ca="1"/>
      </c>
      <c r="BR331">
        <f ca="1"/>
      </c>
      <c r="BS331">
        <f ca="1"/>
      </c>
      <c r="BT331">
        <f ca="1"/>
      </c>
      <c r="BU331">
        <f ca="1"/>
      </c>
      <c r="BV331">
        <f ca="1"/>
      </c>
      <c r="BW331">
        <f ca="1"/>
      </c>
      <c r="BX331">
        <f ca="1"/>
      </c>
      <c r="BY331">
        <f ca="1"/>
      </c>
      <c r="BZ331">
        <f ca="1"/>
      </c>
      <c r="CA331">
        <f ca="1"/>
      </c>
      <c r="CB331">
        <f ca="1"/>
      </c>
      <c r="CC331">
        <f ca="1"/>
      </c>
      <c r="CD331">
        <f ca="1"/>
      </c>
      <c r="CE331">
        <f ca="1"/>
      </c>
      <c r="CF331">
        <f ca="1"/>
      </c>
      <c r="CG331">
        <f ca="1"/>
      </c>
      <c r="CH331">
        <f ca="1"/>
      </c>
      <c r="CI331">
        <f ca="1"/>
      </c>
      <c r="CK331">
        <f ca="1"/>
      </c>
      <c r="CL331">
        <f ca="1"/>
      </c>
      <c r="CM331">
        <f ca="1"/>
      </c>
      <c r="CN331">
        <f ca="1"/>
      </c>
      <c r="CO331">
        <f ca="1"/>
      </c>
      <c r="CP331">
        <f ca="1"/>
      </c>
      <c r="CQ331">
        <f ca="1"/>
      </c>
      <c r="CR331">
        <f ca="1"/>
      </c>
      <c r="CS331">
        <f ca="1"/>
      </c>
      <c r="CT331">
        <f ca="1"/>
      </c>
      <c r="CU331">
        <f ca="1"/>
      </c>
      <c r="CV331">
        <f ca="1"/>
      </c>
      <c r="CW331">
        <f ca="1"/>
      </c>
      <c r="CX331">
        <f ca="1"/>
      </c>
      <c r="CY331">
        <f ca="1"/>
      </c>
      <c r="CZ331">
        <f ca="1"/>
      </c>
      <c r="DA331">
        <f ca="1"/>
      </c>
      <c r="DB331">
        <f ca="1"/>
      </c>
      <c r="DC331">
        <f ca="1"/>
      </c>
      <c r="DD331">
        <f ca="1"/>
      </c>
      <c r="DE331">
        <f ca="1"/>
      </c>
      <c r="DF331">
        <f ca="1"/>
      </c>
      <c r="DG331">
        <f ca="1"/>
      </c>
      <c r="DH331">
        <f ca="1"/>
      </c>
      <c r="DI331">
        <f ca="1"/>
      </c>
      <c r="DJ331">
        <f ca="1"/>
      </c>
      <c r="DK331">
        <f ca="1"/>
      </c>
      <c r="DL331">
        <f ca="1"/>
      </c>
      <c r="DM331">
        <f ca="1"/>
      </c>
      <c r="DN331">
        <f ca="1"/>
      </c>
      <c r="DO331">
        <f ca="1"/>
      </c>
      <c r="DP331">
        <f ca="1"/>
      </c>
      <c r="DQ331">
        <f ca="1"/>
      </c>
      <c r="DR331">
        <f ca="1"/>
      </c>
      <c r="DS331">
        <f ca="1"/>
      </c>
      <c r="DT331">
        <f ca="1"/>
      </c>
      <c r="DU331">
        <f ca="1"/>
      </c>
      <c r="DV331">
        <f ca="1"/>
      </c>
      <c r="DW331">
        <f ca="1"/>
      </c>
      <c r="DX331">
        <f ca="1"/>
      </c>
      <c r="DY331">
        <f ca="1"/>
      </c>
      <c r="DZ331">
        <f ca="1"/>
      </c>
      <c r="EA331">
        <f ca="1"/>
      </c>
      <c r="EB331">
        <f ca="1"/>
      </c>
      <c r="EC331">
        <f ca="1"/>
      </c>
      <c r="ED331">
        <f ca="1"/>
      </c>
      <c r="EE331">
        <f ca="1"/>
      </c>
      <c r="EG331">
        <f ca="1"/>
      </c>
      <c r="EH331">
        <f ca="1"/>
      </c>
      <c r="EI331">
        <f ca="1"/>
      </c>
      <c r="EJ331">
        <f ca="1"/>
      </c>
      <c r="EK331">
        <f ca="1"/>
      </c>
      <c r="EL331">
        <f ca="1"/>
      </c>
      <c r="EM331">
        <f ca="1"/>
      </c>
      <c r="EN331">
        <f ca="1"/>
      </c>
      <c r="EO331">
        <f ca="1"/>
      </c>
      <c r="EP331">
        <f ca="1"/>
      </c>
      <c r="EQ331">
        <f ca="1"/>
      </c>
      <c r="ER331">
        <f ca="1"/>
      </c>
      <c r="ES331">
        <f ca="1"/>
      </c>
      <c r="ET331">
        <f ca="1"/>
      </c>
      <c r="EU331">
        <f ca="1"/>
      </c>
      <c r="EV331">
        <f ca="1"/>
      </c>
      <c r="EW331">
        <f ca="1"/>
      </c>
      <c r="EX331">
        <f ca="1"/>
      </c>
      <c r="EY331">
        <f ca="1"/>
      </c>
      <c r="EZ331">
        <f ca="1"/>
      </c>
      <c r="FA331">
        <f ca="1"/>
      </c>
      <c r="FB331">
        <f ca="1"/>
      </c>
      <c r="FC331">
        <f ca="1"/>
      </c>
      <c r="FD331">
        <f ca="1"/>
      </c>
      <c r="FE331">
        <f ca="1"/>
      </c>
      <c r="FF331">
        <f ca="1"/>
      </c>
      <c r="FG331">
        <f ca="1"/>
      </c>
      <c r="FH331">
        <f ca="1"/>
      </c>
      <c r="FI331">
        <f ca="1"/>
      </c>
      <c r="FJ331">
        <f ca="1"/>
      </c>
      <c r="FK331">
        <f ca="1"/>
      </c>
      <c r="FL331">
        <f ca="1"/>
      </c>
      <c r="FM331">
        <f ca="1"/>
      </c>
      <c r="FN331">
        <f ca="1"/>
      </c>
      <c r="FO331">
        <f ca="1"/>
      </c>
      <c r="FP331">
        <f ca="1"/>
      </c>
      <c r="FQ331">
        <f ca="1"/>
      </c>
      <c r="FR331">
        <f ca="1"/>
      </c>
      <c r="FS331">
        <f ca="1"/>
      </c>
      <c r="FT331">
        <f ca="1"/>
      </c>
      <c r="FU331">
        <f ca="1"/>
      </c>
      <c r="FV331">
        <f ca="1"/>
      </c>
      <c r="FW331">
        <f ca="1"/>
      </c>
      <c r="FX331">
        <f ca="1"/>
      </c>
      <c r="FY331">
        <f ca="1"/>
      </c>
      <c r="FZ331">
        <f ca="1"/>
      </c>
      <c r="GA331">
        <f ca="1"/>
      </c>
      <c r="GM331" s="7"/>
    </row>
    <row r="332" spans="41:195" x14ac:dyDescent="0.55000000000000004">
      <c r="AO332">
        <f ca="1"/>
      </c>
      <c r="AP332">
        <f ca="1"/>
      </c>
      <c r="AQ332">
        <f ca="1"/>
      </c>
      <c r="AR332">
        <f ca="1"/>
      </c>
      <c r="AS332">
        <f ca="1"/>
      </c>
      <c r="AT332">
        <f ca="1"/>
      </c>
      <c r="AU332">
        <f ca="1"/>
      </c>
      <c r="AV332">
        <f ca="1"/>
      </c>
      <c r="AW332">
        <f ca="1"/>
      </c>
      <c r="AX332">
        <f ca="1"/>
      </c>
      <c r="AY332">
        <f ca="1"/>
      </c>
      <c r="AZ332">
        <f ca="1"/>
      </c>
      <c r="BA332">
        <f ca="1"/>
      </c>
      <c r="BB332">
        <f ca="1"/>
      </c>
      <c r="BC332">
        <f ca="1"/>
      </c>
      <c r="BD332">
        <f ca="1"/>
      </c>
      <c r="BE332">
        <f ca="1"/>
      </c>
      <c r="BF332">
        <f ca="1"/>
      </c>
      <c r="BG332">
        <f ca="1"/>
      </c>
      <c r="BH332">
        <f ca="1"/>
      </c>
      <c r="BI332">
        <f ca="1"/>
      </c>
      <c r="BJ332">
        <f ca="1"/>
      </c>
      <c r="BK332">
        <f ca="1"/>
      </c>
      <c r="BL332">
        <f ca="1"/>
      </c>
      <c r="BM332">
        <f ca="1"/>
      </c>
      <c r="BN332">
        <f ca="1"/>
      </c>
      <c r="BO332">
        <f ca="1"/>
      </c>
      <c r="BP332">
        <f ca="1"/>
      </c>
      <c r="BQ332">
        <f ca="1"/>
      </c>
      <c r="BR332">
        <f ca="1"/>
      </c>
      <c r="BS332">
        <f ca="1"/>
      </c>
      <c r="BT332">
        <f ca="1"/>
      </c>
      <c r="BU332">
        <f ca="1"/>
      </c>
      <c r="BV332">
        <f ca="1"/>
      </c>
      <c r="BW332">
        <f ca="1"/>
      </c>
      <c r="BX332">
        <f ca="1"/>
      </c>
      <c r="BY332">
        <f ca="1"/>
      </c>
      <c r="BZ332">
        <f ca="1"/>
      </c>
      <c r="CA332">
        <f ca="1"/>
      </c>
      <c r="CB332">
        <f ca="1"/>
      </c>
      <c r="CC332">
        <f ca="1"/>
      </c>
      <c r="CD332">
        <f ca="1"/>
      </c>
      <c r="CE332">
        <f ca="1"/>
      </c>
      <c r="CF332">
        <f ca="1"/>
      </c>
      <c r="CG332">
        <f ca="1"/>
      </c>
      <c r="CH332">
        <f ca="1"/>
      </c>
      <c r="CI332">
        <f ca="1"/>
      </c>
      <c r="CK332">
        <f ca="1"/>
      </c>
      <c r="CL332">
        <f ca="1"/>
      </c>
      <c r="CM332">
        <f ca="1"/>
      </c>
      <c r="CN332">
        <f ca="1"/>
      </c>
      <c r="CO332">
        <f ca="1"/>
      </c>
      <c r="CP332">
        <f ca="1"/>
      </c>
      <c r="CQ332">
        <f ca="1"/>
      </c>
      <c r="CR332">
        <f ca="1"/>
      </c>
      <c r="CS332">
        <f ca="1"/>
      </c>
      <c r="CT332">
        <f ca="1"/>
      </c>
      <c r="CU332">
        <f ca="1"/>
      </c>
      <c r="CV332">
        <f ca="1"/>
      </c>
      <c r="CW332">
        <f ca="1"/>
      </c>
      <c r="CX332">
        <f ca="1"/>
      </c>
      <c r="CY332">
        <f ca="1"/>
      </c>
      <c r="CZ332">
        <f ca="1"/>
      </c>
      <c r="DA332">
        <f ca="1"/>
      </c>
      <c r="DB332">
        <f ca="1"/>
      </c>
      <c r="DC332">
        <f ca="1"/>
      </c>
      <c r="DD332">
        <f ca="1"/>
      </c>
      <c r="DE332">
        <f ca="1"/>
      </c>
      <c r="DF332">
        <f ca="1"/>
      </c>
      <c r="DG332">
        <f ca="1"/>
      </c>
      <c r="DH332">
        <f ca="1"/>
      </c>
      <c r="DI332">
        <f ca="1"/>
      </c>
      <c r="DJ332">
        <f ca="1"/>
      </c>
      <c r="DK332">
        <f ca="1"/>
      </c>
      <c r="DL332">
        <f ca="1"/>
      </c>
      <c r="DM332">
        <f ca="1"/>
      </c>
      <c r="DN332">
        <f ca="1"/>
      </c>
      <c r="DO332">
        <f ca="1"/>
      </c>
      <c r="DP332">
        <f ca="1"/>
      </c>
      <c r="DQ332">
        <f ca="1"/>
      </c>
      <c r="DR332">
        <f ca="1"/>
      </c>
      <c r="DS332">
        <f ca="1"/>
      </c>
      <c r="DT332">
        <f ca="1"/>
      </c>
      <c r="DU332">
        <f ca="1"/>
      </c>
      <c r="DV332">
        <f ca="1"/>
      </c>
      <c r="DW332">
        <f ca="1"/>
      </c>
      <c r="DX332">
        <f ca="1"/>
      </c>
      <c r="DY332">
        <f ca="1"/>
      </c>
      <c r="DZ332">
        <f ca="1"/>
      </c>
      <c r="EA332">
        <f ca="1"/>
      </c>
      <c r="EB332">
        <f ca="1"/>
      </c>
      <c r="EC332">
        <f ca="1"/>
      </c>
      <c r="ED332">
        <f ca="1"/>
      </c>
      <c r="EE332">
        <f ca="1"/>
      </c>
      <c r="EG332">
        <f ca="1"/>
      </c>
      <c r="EH332">
        <f ca="1"/>
      </c>
      <c r="EI332">
        <f ca="1"/>
      </c>
      <c r="EJ332">
        <f ca="1"/>
      </c>
      <c r="EK332">
        <f ca="1"/>
      </c>
      <c r="EL332">
        <f ca="1"/>
      </c>
      <c r="EM332">
        <f ca="1"/>
      </c>
      <c r="EN332">
        <f ca="1"/>
      </c>
      <c r="EO332">
        <f ca="1"/>
      </c>
      <c r="EP332">
        <f ca="1"/>
      </c>
      <c r="EQ332">
        <f ca="1"/>
      </c>
      <c r="ER332">
        <f ca="1"/>
      </c>
      <c r="ES332">
        <f ca="1"/>
      </c>
      <c r="ET332">
        <f ca="1"/>
      </c>
      <c r="EU332">
        <f ca="1"/>
      </c>
      <c r="EV332">
        <f ca="1"/>
      </c>
      <c r="EW332">
        <f ca="1"/>
      </c>
      <c r="EX332">
        <f ca="1"/>
      </c>
      <c r="EY332">
        <f ca="1"/>
      </c>
      <c r="EZ332">
        <f ca="1"/>
      </c>
      <c r="FA332">
        <f ca="1"/>
      </c>
      <c r="FB332">
        <f ca="1"/>
      </c>
      <c r="FC332">
        <f ca="1"/>
      </c>
      <c r="FD332">
        <f ca="1"/>
      </c>
      <c r="FE332">
        <f ca="1"/>
      </c>
      <c r="FF332">
        <f ca="1"/>
      </c>
      <c r="FG332">
        <f ca="1"/>
      </c>
      <c r="FH332">
        <f ca="1"/>
      </c>
      <c r="FI332">
        <f ca="1"/>
      </c>
      <c r="FJ332">
        <f ca="1"/>
      </c>
      <c r="FK332">
        <f ca="1"/>
      </c>
      <c r="FL332">
        <f ca="1"/>
      </c>
      <c r="FM332">
        <f ca="1"/>
      </c>
      <c r="FN332">
        <f ca="1"/>
      </c>
      <c r="FO332">
        <f ca="1"/>
      </c>
      <c r="FP332">
        <f ca="1"/>
      </c>
      <c r="FQ332">
        <f ca="1"/>
      </c>
      <c r="FR332">
        <f ca="1"/>
      </c>
      <c r="FS332">
        <f ca="1"/>
      </c>
      <c r="FT332">
        <f ca="1"/>
      </c>
      <c r="FU332">
        <f ca="1"/>
      </c>
      <c r="FV332">
        <f ca="1"/>
      </c>
      <c r="FW332">
        <f ca="1"/>
      </c>
      <c r="FX332">
        <f ca="1"/>
      </c>
      <c r="FY332">
        <f ca="1"/>
      </c>
      <c r="FZ332">
        <f ca="1"/>
      </c>
      <c r="GA332">
        <f ca="1"/>
      </c>
      <c r="GM332" s="7"/>
    </row>
    <row r="333" spans="41:195" x14ac:dyDescent="0.55000000000000004">
      <c r="AO333">
        <f ca="1"/>
      </c>
      <c r="AP333">
        <f ca="1"/>
      </c>
      <c r="AQ333">
        <f ca="1"/>
      </c>
      <c r="AR333">
        <f ca="1"/>
      </c>
      <c r="AS333">
        <f ca="1"/>
      </c>
      <c r="AT333">
        <f ca="1"/>
      </c>
      <c r="AU333">
        <f ca="1"/>
      </c>
      <c r="AV333">
        <f ca="1"/>
      </c>
      <c r="AW333">
        <f ca="1"/>
      </c>
      <c r="AX333">
        <f ca="1"/>
      </c>
      <c r="AY333">
        <f ca="1"/>
      </c>
      <c r="AZ333">
        <f ca="1"/>
      </c>
      <c r="BA333">
        <f ca="1"/>
      </c>
      <c r="BB333">
        <f ca="1"/>
      </c>
      <c r="BC333">
        <f ca="1"/>
      </c>
      <c r="BD333">
        <f ca="1"/>
      </c>
      <c r="BE333">
        <f ca="1"/>
      </c>
      <c r="BF333">
        <f ca="1"/>
      </c>
      <c r="BG333">
        <f ca="1"/>
      </c>
      <c r="BH333">
        <f ca="1"/>
      </c>
      <c r="BI333">
        <f ca="1"/>
      </c>
      <c r="BJ333">
        <f ca="1"/>
      </c>
      <c r="BK333">
        <f ca="1"/>
      </c>
      <c r="BL333">
        <f ca="1"/>
      </c>
      <c r="BM333">
        <f ca="1"/>
      </c>
      <c r="BN333">
        <f ca="1"/>
      </c>
      <c r="BO333">
        <f ca="1"/>
      </c>
      <c r="BP333">
        <f ca="1"/>
      </c>
      <c r="BQ333">
        <f ca="1"/>
      </c>
      <c r="BR333">
        <f ca="1"/>
      </c>
      <c r="BS333">
        <f ca="1"/>
      </c>
      <c r="BT333">
        <f ca="1"/>
      </c>
      <c r="BU333">
        <f ca="1"/>
      </c>
      <c r="BV333">
        <f ca="1"/>
      </c>
      <c r="BW333">
        <f ca="1"/>
      </c>
      <c r="BX333">
        <f ca="1"/>
      </c>
      <c r="BY333">
        <f ca="1"/>
      </c>
      <c r="BZ333">
        <f ca="1"/>
      </c>
      <c r="CA333">
        <f ca="1"/>
      </c>
      <c r="CB333">
        <f ca="1"/>
      </c>
      <c r="CC333">
        <f ca="1"/>
      </c>
      <c r="CD333">
        <f ca="1"/>
      </c>
      <c r="CE333">
        <f ca="1"/>
      </c>
      <c r="CF333">
        <f ca="1"/>
      </c>
      <c r="CG333">
        <f ca="1"/>
      </c>
      <c r="CH333">
        <f ca="1"/>
      </c>
      <c r="CI333">
        <f ca="1"/>
      </c>
      <c r="CK333">
        <f ca="1"/>
      </c>
      <c r="CL333">
        <f ca="1"/>
      </c>
      <c r="CM333">
        <f ca="1"/>
      </c>
      <c r="CN333">
        <f ca="1"/>
      </c>
      <c r="CO333">
        <f ca="1"/>
      </c>
      <c r="CP333">
        <f ca="1"/>
      </c>
      <c r="CQ333">
        <f ca="1"/>
      </c>
      <c r="CR333">
        <f ca="1"/>
      </c>
      <c r="CS333">
        <f ca="1"/>
      </c>
      <c r="CT333">
        <f ca="1"/>
      </c>
      <c r="CU333">
        <f ca="1"/>
      </c>
      <c r="CV333">
        <f ca="1"/>
      </c>
      <c r="CW333">
        <f ca="1"/>
      </c>
      <c r="CX333">
        <f ca="1"/>
      </c>
      <c r="CY333">
        <f ca="1"/>
      </c>
      <c r="CZ333">
        <f ca="1"/>
      </c>
      <c r="DA333">
        <f ca="1"/>
      </c>
      <c r="DB333">
        <f ca="1"/>
      </c>
      <c r="DC333">
        <f ca="1"/>
      </c>
      <c r="DD333">
        <f ca="1"/>
      </c>
      <c r="DE333">
        <f ca="1"/>
      </c>
      <c r="DF333">
        <f ca="1"/>
      </c>
      <c r="DG333">
        <f ca="1"/>
      </c>
      <c r="DH333">
        <f ca="1"/>
      </c>
      <c r="DI333">
        <f ca="1"/>
      </c>
      <c r="DJ333">
        <f ca="1"/>
      </c>
      <c r="DK333">
        <f ca="1"/>
      </c>
      <c r="DL333">
        <f ca="1"/>
      </c>
      <c r="DM333">
        <f ca="1"/>
      </c>
      <c r="DN333">
        <f ca="1"/>
      </c>
      <c r="DO333">
        <f ca="1"/>
      </c>
      <c r="DP333">
        <f ca="1"/>
      </c>
      <c r="DQ333">
        <f ca="1"/>
      </c>
      <c r="DR333">
        <f ca="1"/>
      </c>
      <c r="DS333">
        <f ca="1"/>
      </c>
      <c r="DT333">
        <f ca="1"/>
      </c>
      <c r="DU333">
        <f ca="1"/>
      </c>
      <c r="DV333">
        <f ca="1"/>
      </c>
      <c r="DW333">
        <f ca="1"/>
      </c>
      <c r="DX333">
        <f ca="1"/>
      </c>
      <c r="DY333">
        <f ca="1"/>
      </c>
      <c r="DZ333">
        <f ca="1"/>
      </c>
      <c r="EA333">
        <f ca="1"/>
      </c>
      <c r="EB333">
        <f ca="1"/>
      </c>
      <c r="EC333">
        <f ca="1"/>
      </c>
      <c r="ED333">
        <f ca="1"/>
      </c>
      <c r="EE333">
        <f ca="1"/>
      </c>
      <c r="EG333">
        <f ca="1"/>
      </c>
      <c r="EH333">
        <f ca="1"/>
      </c>
      <c r="EI333">
        <f ca="1"/>
      </c>
      <c r="EJ333">
        <f ca="1"/>
      </c>
      <c r="EK333">
        <f ca="1"/>
      </c>
      <c r="EL333">
        <f ca="1"/>
      </c>
      <c r="EM333">
        <f ca="1"/>
      </c>
      <c r="EN333">
        <f ca="1"/>
      </c>
      <c r="EO333">
        <f ca="1"/>
      </c>
      <c r="EP333">
        <f ca="1"/>
      </c>
      <c r="EQ333">
        <f ca="1"/>
      </c>
      <c r="ER333">
        <f ca="1"/>
      </c>
      <c r="ES333">
        <f ca="1"/>
      </c>
      <c r="ET333">
        <f ca="1"/>
      </c>
      <c r="EU333">
        <f ca="1"/>
      </c>
      <c r="EV333">
        <f ca="1"/>
      </c>
      <c r="EW333">
        <f ca="1"/>
      </c>
      <c r="EX333">
        <f ca="1"/>
      </c>
      <c r="EY333">
        <f ca="1"/>
      </c>
      <c r="EZ333">
        <f ca="1"/>
      </c>
      <c r="FA333">
        <f ca="1"/>
      </c>
      <c r="FB333">
        <f ca="1"/>
      </c>
      <c r="FC333">
        <f ca="1"/>
      </c>
      <c r="FD333">
        <f ca="1"/>
      </c>
      <c r="FE333">
        <f ca="1"/>
      </c>
      <c r="FF333">
        <f ca="1"/>
      </c>
      <c r="FG333">
        <f ca="1"/>
      </c>
      <c r="FH333">
        <f ca="1"/>
      </c>
      <c r="FI333">
        <f ca="1"/>
      </c>
      <c r="FJ333">
        <f ca="1"/>
      </c>
      <c r="FK333">
        <f ca="1"/>
      </c>
      <c r="FL333">
        <f ca="1"/>
      </c>
      <c r="FM333">
        <f ca="1"/>
      </c>
      <c r="FN333">
        <f ca="1"/>
      </c>
      <c r="FO333">
        <f ca="1"/>
      </c>
      <c r="FP333">
        <f ca="1"/>
      </c>
      <c r="FQ333">
        <f ca="1"/>
      </c>
      <c r="FR333">
        <f ca="1"/>
      </c>
      <c r="FS333">
        <f ca="1"/>
      </c>
      <c r="FT333">
        <f ca="1"/>
      </c>
      <c r="FU333">
        <f ca="1"/>
      </c>
      <c r="FV333">
        <f ca="1"/>
      </c>
      <c r="FW333">
        <f ca="1"/>
      </c>
      <c r="FX333">
        <f ca="1"/>
      </c>
      <c r="FY333">
        <f ca="1"/>
      </c>
      <c r="FZ333">
        <f ca="1"/>
      </c>
      <c r="GA333">
        <f ca="1"/>
      </c>
      <c r="GM333" s="7"/>
    </row>
    <row r="334" spans="41:195" x14ac:dyDescent="0.55000000000000004">
      <c r="AO334">
        <f ca="1"/>
      </c>
      <c r="AP334">
        <f ca="1"/>
      </c>
      <c r="AQ334">
        <f ca="1"/>
      </c>
      <c r="AR334">
        <f ca="1"/>
      </c>
      <c r="AS334">
        <f ca="1"/>
      </c>
      <c r="AT334">
        <f ca="1"/>
      </c>
      <c r="AU334">
        <f ca="1"/>
      </c>
      <c r="AV334">
        <f ca="1"/>
      </c>
      <c r="AW334">
        <f ca="1"/>
      </c>
      <c r="AX334">
        <f ca="1"/>
      </c>
      <c r="AY334">
        <f ca="1"/>
      </c>
      <c r="AZ334">
        <f ca="1"/>
      </c>
      <c r="BA334">
        <f ca="1"/>
      </c>
      <c r="BB334">
        <f ca="1"/>
      </c>
      <c r="BC334">
        <f ca="1"/>
      </c>
      <c r="BD334">
        <f ca="1"/>
      </c>
      <c r="BE334">
        <f ca="1"/>
      </c>
      <c r="BF334">
        <f ca="1"/>
      </c>
      <c r="BG334">
        <f ca="1"/>
      </c>
      <c r="BH334">
        <f ca="1"/>
      </c>
      <c r="BI334">
        <f ca="1"/>
      </c>
      <c r="BJ334">
        <f ca="1"/>
      </c>
      <c r="BK334">
        <f ca="1"/>
      </c>
      <c r="BL334">
        <f ca="1"/>
      </c>
      <c r="BM334">
        <f ca="1"/>
      </c>
      <c r="BN334">
        <f ca="1"/>
      </c>
      <c r="BO334">
        <f ca="1"/>
      </c>
      <c r="BP334">
        <f ca="1"/>
      </c>
      <c r="BQ334">
        <f ca="1"/>
      </c>
      <c r="BR334">
        <f ca="1"/>
      </c>
      <c r="BS334">
        <f ca="1"/>
      </c>
      <c r="BT334">
        <f ca="1"/>
      </c>
      <c r="BU334">
        <f ca="1"/>
      </c>
      <c r="BV334">
        <f ca="1"/>
      </c>
      <c r="BW334">
        <f ca="1"/>
      </c>
      <c r="BX334">
        <f ca="1"/>
      </c>
      <c r="BY334">
        <f ca="1"/>
      </c>
      <c r="BZ334">
        <f ca="1"/>
      </c>
      <c r="CA334">
        <f ca="1"/>
      </c>
      <c r="CB334">
        <f ca="1"/>
      </c>
      <c r="CC334">
        <f ca="1"/>
      </c>
      <c r="CD334">
        <f ca="1"/>
      </c>
      <c r="CE334">
        <f ca="1"/>
      </c>
      <c r="CF334">
        <f ca="1"/>
      </c>
      <c r="CG334">
        <f ca="1"/>
      </c>
      <c r="CH334">
        <f ca="1"/>
      </c>
      <c r="CI334">
        <f ca="1"/>
      </c>
      <c r="CK334">
        <f ca="1"/>
      </c>
      <c r="CL334">
        <f ca="1"/>
      </c>
      <c r="CM334">
        <f ca="1"/>
      </c>
      <c r="CN334">
        <f ca="1"/>
      </c>
      <c r="CO334">
        <f ca="1"/>
      </c>
      <c r="CP334">
        <f ca="1"/>
      </c>
      <c r="CQ334">
        <f ca="1"/>
      </c>
      <c r="CR334">
        <f ca="1"/>
      </c>
      <c r="CS334">
        <f ca="1"/>
      </c>
      <c r="CT334">
        <f ca="1"/>
      </c>
      <c r="CU334">
        <f ca="1"/>
      </c>
      <c r="CV334">
        <f ca="1"/>
      </c>
      <c r="CW334">
        <f ca="1"/>
      </c>
      <c r="CX334">
        <f ca="1"/>
      </c>
      <c r="CY334">
        <f ca="1"/>
      </c>
      <c r="CZ334">
        <f ca="1"/>
      </c>
      <c r="DA334">
        <f ca="1"/>
      </c>
      <c r="DB334">
        <f ca="1"/>
      </c>
      <c r="DC334">
        <f ca="1"/>
      </c>
      <c r="DD334">
        <f ca="1"/>
      </c>
      <c r="DE334">
        <f ca="1"/>
      </c>
      <c r="DF334">
        <f ca="1"/>
      </c>
      <c r="DG334">
        <f ca="1"/>
      </c>
      <c r="DH334">
        <f ca="1"/>
      </c>
      <c r="DI334">
        <f ca="1"/>
      </c>
      <c r="DJ334">
        <f ca="1"/>
      </c>
      <c r="DK334">
        <f ca="1"/>
      </c>
      <c r="DL334">
        <f ca="1"/>
      </c>
      <c r="DM334">
        <f ca="1"/>
      </c>
      <c r="DN334">
        <f ca="1"/>
      </c>
      <c r="DO334">
        <f ca="1"/>
      </c>
      <c r="DP334">
        <f ca="1"/>
      </c>
      <c r="DQ334">
        <f ca="1"/>
      </c>
      <c r="DR334">
        <f ca="1"/>
      </c>
      <c r="DS334">
        <f ca="1"/>
      </c>
      <c r="DT334">
        <f ca="1"/>
      </c>
      <c r="DU334">
        <f ca="1"/>
      </c>
      <c r="DV334">
        <f ca="1"/>
      </c>
      <c r="DW334">
        <f ca="1"/>
      </c>
      <c r="DX334">
        <f ca="1"/>
      </c>
      <c r="DY334">
        <f ca="1"/>
      </c>
      <c r="DZ334">
        <f ca="1"/>
      </c>
      <c r="EA334">
        <f ca="1"/>
      </c>
      <c r="EB334">
        <f ca="1"/>
      </c>
      <c r="EC334">
        <f ca="1"/>
      </c>
      <c r="ED334">
        <f ca="1"/>
      </c>
      <c r="EE334">
        <f ca="1"/>
      </c>
      <c r="EG334">
        <f ca="1"/>
      </c>
      <c r="EH334">
        <f ca="1"/>
      </c>
      <c r="EI334">
        <f ca="1"/>
      </c>
      <c r="EJ334">
        <f ca="1"/>
      </c>
      <c r="EK334">
        <f ca="1"/>
      </c>
      <c r="EL334">
        <f ca="1"/>
      </c>
      <c r="EM334">
        <f ca="1"/>
      </c>
      <c r="EN334">
        <f ca="1"/>
      </c>
      <c r="EO334">
        <f ca="1"/>
      </c>
      <c r="EP334">
        <f ca="1"/>
      </c>
      <c r="EQ334">
        <f ca="1"/>
      </c>
      <c r="ER334">
        <f ca="1"/>
      </c>
      <c r="ES334">
        <f ca="1"/>
      </c>
      <c r="ET334">
        <f ca="1"/>
      </c>
      <c r="EU334">
        <f ca="1"/>
      </c>
      <c r="EV334">
        <f ca="1"/>
      </c>
      <c r="EW334">
        <f ca="1"/>
      </c>
      <c r="EX334">
        <f ca="1"/>
      </c>
      <c r="EY334">
        <f ca="1"/>
      </c>
      <c r="EZ334">
        <f ca="1"/>
      </c>
      <c r="FA334">
        <f ca="1"/>
      </c>
      <c r="FB334">
        <f ca="1"/>
      </c>
      <c r="FC334">
        <f ca="1"/>
      </c>
      <c r="FD334">
        <f ca="1"/>
      </c>
      <c r="FE334">
        <f ca="1"/>
      </c>
      <c r="FF334">
        <f ca="1"/>
      </c>
      <c r="FG334">
        <f ca="1"/>
      </c>
      <c r="FH334">
        <f ca="1"/>
      </c>
      <c r="FI334">
        <f ca="1"/>
      </c>
      <c r="FJ334">
        <f ca="1"/>
      </c>
      <c r="FK334">
        <f ca="1"/>
      </c>
      <c r="FL334">
        <f ca="1"/>
      </c>
      <c r="FM334">
        <f ca="1"/>
      </c>
      <c r="FN334">
        <f ca="1"/>
      </c>
      <c r="FO334">
        <f ca="1"/>
      </c>
      <c r="FP334">
        <f ca="1"/>
      </c>
      <c r="FQ334">
        <f ca="1"/>
      </c>
      <c r="FR334">
        <f ca="1"/>
      </c>
      <c r="FS334">
        <f ca="1"/>
      </c>
      <c r="FT334">
        <f ca="1"/>
      </c>
      <c r="FU334">
        <f ca="1"/>
      </c>
      <c r="FV334">
        <f ca="1"/>
      </c>
      <c r="FW334">
        <f ca="1"/>
      </c>
      <c r="FX334">
        <f ca="1"/>
      </c>
      <c r="FY334">
        <f ca="1"/>
      </c>
      <c r="FZ334">
        <f ca="1"/>
      </c>
      <c r="GA334">
        <f ca="1"/>
      </c>
      <c r="GM334" s="7"/>
    </row>
    <row r="335" spans="41:195" x14ac:dyDescent="0.55000000000000004">
      <c r="AO335">
        <f ca="1"/>
      </c>
      <c r="AP335">
        <f ca="1"/>
      </c>
      <c r="AQ335">
        <f ca="1"/>
      </c>
      <c r="AR335">
        <f ca="1"/>
      </c>
      <c r="AS335">
        <f ca="1"/>
      </c>
      <c r="AT335">
        <f ca="1"/>
      </c>
      <c r="AU335">
        <f ca="1"/>
      </c>
      <c r="AV335">
        <f ca="1"/>
      </c>
      <c r="AW335">
        <f ca="1"/>
      </c>
      <c r="AX335">
        <f ca="1"/>
      </c>
      <c r="AY335">
        <f ca="1"/>
      </c>
      <c r="AZ335">
        <f ca="1"/>
      </c>
      <c r="BA335">
        <f ca="1"/>
      </c>
      <c r="BB335">
        <f ca="1"/>
      </c>
      <c r="BC335">
        <f ca="1"/>
      </c>
      <c r="BD335">
        <f ca="1"/>
      </c>
      <c r="BE335">
        <f ca="1"/>
      </c>
      <c r="BF335">
        <f ca="1"/>
      </c>
      <c r="BG335">
        <f ca="1"/>
      </c>
      <c r="BH335">
        <f ca="1"/>
      </c>
      <c r="BI335">
        <f ca="1"/>
      </c>
      <c r="BJ335">
        <f ca="1"/>
      </c>
      <c r="BK335">
        <f ca="1"/>
      </c>
      <c r="BL335">
        <f ca="1"/>
      </c>
      <c r="BM335">
        <f ca="1"/>
      </c>
      <c r="BN335">
        <f ca="1"/>
      </c>
      <c r="BO335">
        <f ca="1"/>
      </c>
      <c r="BP335">
        <f ca="1"/>
      </c>
      <c r="BQ335">
        <f ca="1"/>
      </c>
      <c r="BR335">
        <f ca="1"/>
      </c>
      <c r="BS335">
        <f ca="1"/>
      </c>
      <c r="BT335">
        <f ca="1"/>
      </c>
      <c r="BU335">
        <f ca="1"/>
      </c>
      <c r="BV335">
        <f ca="1"/>
      </c>
      <c r="BW335">
        <f ca="1"/>
      </c>
      <c r="BX335">
        <f ca="1"/>
      </c>
      <c r="BY335">
        <f ca="1"/>
      </c>
      <c r="BZ335">
        <f ca="1"/>
      </c>
      <c r="CA335">
        <f ca="1"/>
      </c>
      <c r="CB335">
        <f ca="1"/>
      </c>
      <c r="CC335">
        <f ca="1"/>
      </c>
      <c r="CD335">
        <f ca="1"/>
      </c>
      <c r="CE335">
        <f ca="1"/>
      </c>
      <c r="CF335">
        <f ca="1"/>
      </c>
      <c r="CG335">
        <f ca="1"/>
      </c>
      <c r="CH335">
        <f ca="1"/>
      </c>
      <c r="CI335">
        <f ca="1"/>
      </c>
      <c r="CK335">
        <f ca="1"/>
      </c>
      <c r="CL335">
        <f ca="1"/>
      </c>
      <c r="CM335">
        <f ca="1"/>
      </c>
      <c r="CN335">
        <f ca="1"/>
      </c>
      <c r="CO335">
        <f ca="1"/>
      </c>
      <c r="CP335">
        <f ca="1"/>
      </c>
      <c r="CQ335">
        <f ca="1"/>
      </c>
      <c r="CR335">
        <f ca="1"/>
      </c>
      <c r="CS335">
        <f ca="1"/>
      </c>
      <c r="CT335">
        <f ca="1"/>
      </c>
      <c r="CU335">
        <f ca="1"/>
      </c>
      <c r="CV335">
        <f ca="1"/>
      </c>
      <c r="CW335">
        <f ca="1"/>
      </c>
      <c r="CX335">
        <f ca="1"/>
      </c>
      <c r="CY335">
        <f ca="1"/>
      </c>
      <c r="CZ335">
        <f ca="1"/>
      </c>
      <c r="DA335">
        <f ca="1"/>
      </c>
      <c r="DB335">
        <f ca="1"/>
      </c>
      <c r="DC335">
        <f ca="1"/>
      </c>
      <c r="DD335">
        <f ca="1"/>
      </c>
      <c r="DE335">
        <f ca="1"/>
      </c>
      <c r="DF335">
        <f ca="1"/>
      </c>
      <c r="DG335">
        <f ca="1"/>
      </c>
      <c r="DH335">
        <f ca="1"/>
      </c>
      <c r="DI335">
        <f ca="1"/>
      </c>
      <c r="DJ335">
        <f ca="1"/>
      </c>
      <c r="DK335">
        <f ca="1"/>
      </c>
      <c r="DL335">
        <f ca="1"/>
      </c>
      <c r="DM335">
        <f ca="1"/>
      </c>
      <c r="DN335">
        <f ca="1"/>
      </c>
      <c r="DO335">
        <f ca="1"/>
      </c>
      <c r="DP335">
        <f ca="1"/>
      </c>
      <c r="DQ335">
        <f ca="1"/>
      </c>
      <c r="DR335">
        <f ca="1"/>
      </c>
      <c r="DS335">
        <f ca="1"/>
      </c>
      <c r="DT335">
        <f ca="1"/>
      </c>
      <c r="DU335">
        <f ca="1"/>
      </c>
      <c r="DV335">
        <f ca="1"/>
      </c>
      <c r="DW335">
        <f ca="1"/>
      </c>
      <c r="DX335">
        <f ca="1"/>
      </c>
      <c r="DY335">
        <f ca="1"/>
      </c>
      <c r="DZ335">
        <f ca="1"/>
      </c>
      <c r="EA335">
        <f ca="1"/>
      </c>
      <c r="EB335">
        <f ca="1"/>
      </c>
      <c r="EC335">
        <f ca="1"/>
      </c>
      <c r="ED335">
        <f ca="1"/>
      </c>
      <c r="EE335">
        <f ca="1"/>
      </c>
      <c r="EG335">
        <f ca="1"/>
      </c>
      <c r="EH335">
        <f ca="1"/>
      </c>
      <c r="EI335">
        <f ca="1"/>
      </c>
      <c r="EJ335">
        <f ca="1"/>
      </c>
      <c r="EK335">
        <f ca="1"/>
      </c>
      <c r="EL335">
        <f ca="1"/>
      </c>
      <c r="EM335">
        <f ca="1"/>
      </c>
      <c r="EN335">
        <f ca="1"/>
      </c>
      <c r="EO335">
        <f ca="1"/>
      </c>
      <c r="EP335">
        <f ca="1"/>
      </c>
      <c r="EQ335">
        <f ca="1"/>
      </c>
      <c r="ER335">
        <f ca="1"/>
      </c>
      <c r="ES335">
        <f ca="1"/>
      </c>
      <c r="ET335">
        <f ca="1"/>
      </c>
      <c r="EU335">
        <f ca="1"/>
      </c>
      <c r="EV335">
        <f ca="1"/>
      </c>
      <c r="EW335">
        <f ca="1"/>
      </c>
      <c r="EX335">
        <f ca="1"/>
      </c>
      <c r="EY335">
        <f ca="1"/>
      </c>
      <c r="EZ335">
        <f ca="1"/>
      </c>
      <c r="FA335">
        <f ca="1"/>
      </c>
      <c r="FB335">
        <f ca="1"/>
      </c>
      <c r="FC335">
        <f ca="1"/>
      </c>
      <c r="FD335">
        <f ca="1"/>
      </c>
      <c r="FE335">
        <f ca="1"/>
      </c>
      <c r="FF335">
        <f ca="1"/>
      </c>
      <c r="FG335">
        <f ca="1"/>
      </c>
      <c r="FH335">
        <f ca="1"/>
      </c>
      <c r="FI335">
        <f ca="1"/>
      </c>
      <c r="FJ335">
        <f ca="1"/>
      </c>
      <c r="FK335">
        <f ca="1"/>
      </c>
      <c r="FL335">
        <f ca="1"/>
      </c>
      <c r="FM335">
        <f ca="1"/>
      </c>
      <c r="FN335">
        <f ca="1"/>
      </c>
      <c r="FO335">
        <f ca="1"/>
      </c>
      <c r="FP335">
        <f ca="1"/>
      </c>
      <c r="FQ335">
        <f ca="1"/>
      </c>
      <c r="FR335">
        <f ca="1"/>
      </c>
      <c r="FS335">
        <f ca="1"/>
      </c>
      <c r="FT335">
        <f ca="1"/>
      </c>
      <c r="FU335">
        <f ca="1"/>
      </c>
      <c r="FV335">
        <f ca="1"/>
      </c>
      <c r="FW335">
        <f ca="1"/>
      </c>
      <c r="FX335">
        <f ca="1"/>
      </c>
      <c r="FY335">
        <f ca="1"/>
      </c>
      <c r="FZ335">
        <f ca="1"/>
      </c>
      <c r="GA335">
        <f ca="1"/>
      </c>
      <c r="GM335" s="7"/>
    </row>
    <row r="336" spans="41:195" x14ac:dyDescent="0.55000000000000004">
      <c r="AO336">
        <f ca="1"/>
      </c>
      <c r="AP336">
        <f ca="1"/>
      </c>
      <c r="AQ336">
        <f ca="1"/>
      </c>
      <c r="AR336">
        <f ca="1"/>
      </c>
      <c r="AS336">
        <f ca="1"/>
      </c>
      <c r="AT336">
        <f ca="1"/>
      </c>
      <c r="AU336">
        <f ca="1"/>
      </c>
      <c r="AV336">
        <f ca="1"/>
      </c>
      <c r="AW336">
        <f ca="1"/>
      </c>
      <c r="AX336">
        <f ca="1"/>
      </c>
      <c r="AY336">
        <f ca="1"/>
      </c>
      <c r="AZ336">
        <f ca="1"/>
      </c>
      <c r="BA336">
        <f ca="1"/>
      </c>
      <c r="BB336">
        <f ca="1"/>
      </c>
      <c r="BC336">
        <f ca="1"/>
      </c>
      <c r="BD336">
        <f ca="1"/>
      </c>
      <c r="BE336">
        <f ca="1"/>
      </c>
      <c r="BF336">
        <f ca="1"/>
      </c>
      <c r="BG336">
        <f ca="1"/>
      </c>
      <c r="BH336">
        <f ca="1"/>
      </c>
      <c r="BI336">
        <f ca="1"/>
      </c>
      <c r="BJ336">
        <f ca="1"/>
      </c>
      <c r="BK336">
        <f ca="1"/>
      </c>
      <c r="BL336">
        <f ca="1"/>
      </c>
      <c r="BM336">
        <f ca="1"/>
      </c>
      <c r="BN336">
        <f ca="1"/>
      </c>
      <c r="BO336">
        <f ca="1"/>
      </c>
      <c r="BP336">
        <f ca="1"/>
      </c>
      <c r="BQ336">
        <f ca="1"/>
      </c>
      <c r="BR336">
        <f ca="1"/>
      </c>
      <c r="BS336">
        <f ca="1"/>
      </c>
      <c r="BT336">
        <f ca="1"/>
      </c>
      <c r="BU336">
        <f ca="1"/>
      </c>
      <c r="BV336">
        <f ca="1"/>
      </c>
      <c r="BW336">
        <f ca="1"/>
      </c>
      <c r="BX336">
        <f ca="1"/>
      </c>
      <c r="BY336">
        <f ca="1"/>
      </c>
      <c r="BZ336">
        <f ca="1"/>
      </c>
      <c r="CA336">
        <f ca="1"/>
      </c>
      <c r="CB336">
        <f ca="1"/>
      </c>
      <c r="CC336">
        <f ca="1"/>
      </c>
      <c r="CD336">
        <f ca="1"/>
      </c>
      <c r="CE336">
        <f ca="1"/>
      </c>
      <c r="CF336">
        <f ca="1"/>
      </c>
      <c r="CG336">
        <f ca="1"/>
      </c>
      <c r="CH336">
        <f ca="1"/>
      </c>
      <c r="CI336">
        <f ca="1"/>
      </c>
      <c r="CK336">
        <f ca="1"/>
      </c>
      <c r="CL336">
        <f ca="1"/>
      </c>
      <c r="CM336">
        <f ca="1"/>
      </c>
      <c r="CN336">
        <f ca="1"/>
      </c>
      <c r="CO336">
        <f ca="1"/>
      </c>
      <c r="CP336">
        <f ca="1"/>
      </c>
      <c r="CQ336">
        <f ca="1"/>
      </c>
      <c r="CR336">
        <f ca="1"/>
      </c>
      <c r="CS336">
        <f ca="1"/>
      </c>
      <c r="CT336">
        <f ca="1"/>
      </c>
      <c r="CU336">
        <f ca="1"/>
      </c>
      <c r="CV336">
        <f ca="1"/>
      </c>
      <c r="CW336">
        <f ca="1"/>
      </c>
      <c r="CX336">
        <f ca="1"/>
      </c>
      <c r="CY336">
        <f ca="1"/>
      </c>
      <c r="CZ336">
        <f ca="1"/>
      </c>
      <c r="DA336">
        <f ca="1"/>
      </c>
      <c r="DB336">
        <f ca="1"/>
      </c>
      <c r="DC336">
        <f ca="1"/>
      </c>
      <c r="DD336">
        <f ca="1"/>
      </c>
      <c r="DE336">
        <f ca="1"/>
      </c>
      <c r="DF336">
        <f ca="1"/>
      </c>
      <c r="DG336">
        <f ca="1"/>
      </c>
      <c r="DH336">
        <f ca="1"/>
      </c>
      <c r="DI336">
        <f ca="1"/>
      </c>
      <c r="DJ336">
        <f ca="1"/>
      </c>
      <c r="DK336">
        <f ca="1"/>
      </c>
      <c r="DL336">
        <f ca="1"/>
      </c>
      <c r="DM336">
        <f ca="1"/>
      </c>
      <c r="DN336">
        <f ca="1"/>
      </c>
      <c r="DO336">
        <f ca="1"/>
      </c>
      <c r="DP336">
        <f ca="1"/>
      </c>
      <c r="DQ336">
        <f ca="1"/>
      </c>
      <c r="DR336">
        <f ca="1"/>
      </c>
      <c r="DS336">
        <f ca="1"/>
      </c>
      <c r="DT336">
        <f ca="1"/>
      </c>
      <c r="DU336">
        <f ca="1"/>
      </c>
      <c r="DV336">
        <f ca="1"/>
      </c>
      <c r="DW336">
        <f ca="1"/>
      </c>
      <c r="DX336">
        <f ca="1"/>
      </c>
      <c r="DY336">
        <f ca="1"/>
      </c>
      <c r="DZ336">
        <f ca="1"/>
      </c>
      <c r="EA336">
        <f ca="1"/>
      </c>
      <c r="EB336">
        <f ca="1"/>
      </c>
      <c r="EC336">
        <f ca="1"/>
      </c>
      <c r="ED336">
        <f ca="1"/>
      </c>
      <c r="EE336">
        <f ca="1"/>
      </c>
      <c r="EG336">
        <f ca="1"/>
      </c>
      <c r="EH336">
        <f ca="1"/>
      </c>
      <c r="EI336">
        <f ca="1"/>
      </c>
      <c r="EJ336">
        <f ca="1"/>
      </c>
      <c r="EK336">
        <f ca="1"/>
      </c>
      <c r="EL336">
        <f ca="1"/>
      </c>
      <c r="EM336">
        <f ca="1"/>
      </c>
      <c r="EN336">
        <f ca="1"/>
      </c>
      <c r="EO336">
        <f ca="1"/>
      </c>
      <c r="EP336">
        <f ca="1"/>
      </c>
      <c r="EQ336">
        <f ca="1"/>
      </c>
      <c r="ER336">
        <f ca="1"/>
      </c>
      <c r="ES336">
        <f ca="1"/>
      </c>
      <c r="ET336">
        <f ca="1"/>
      </c>
      <c r="EU336">
        <f ca="1"/>
      </c>
      <c r="EV336">
        <f ca="1"/>
      </c>
      <c r="EW336">
        <f ca="1"/>
      </c>
      <c r="EX336">
        <f ca="1"/>
      </c>
      <c r="EY336">
        <f ca="1"/>
      </c>
      <c r="EZ336">
        <f ca="1"/>
      </c>
      <c r="FA336">
        <f ca="1"/>
      </c>
      <c r="FB336">
        <f ca="1"/>
      </c>
      <c r="FC336">
        <f ca="1"/>
      </c>
      <c r="FD336">
        <f ca="1"/>
      </c>
      <c r="FE336">
        <f ca="1"/>
      </c>
      <c r="FF336">
        <f ca="1"/>
      </c>
      <c r="FG336">
        <f ca="1"/>
      </c>
      <c r="FH336">
        <f ca="1"/>
      </c>
      <c r="FI336">
        <f ca="1"/>
      </c>
      <c r="FJ336">
        <f ca="1"/>
      </c>
      <c r="FK336">
        <f ca="1"/>
      </c>
      <c r="FL336">
        <f ca="1"/>
      </c>
      <c r="FM336">
        <f ca="1"/>
      </c>
      <c r="FN336">
        <f ca="1"/>
      </c>
      <c r="FO336">
        <f ca="1"/>
      </c>
      <c r="FP336">
        <f ca="1"/>
      </c>
      <c r="FQ336">
        <f ca="1"/>
      </c>
      <c r="FR336">
        <f ca="1"/>
      </c>
      <c r="FS336">
        <f ca="1"/>
      </c>
      <c r="FT336">
        <f ca="1"/>
      </c>
      <c r="FU336">
        <f ca="1"/>
      </c>
      <c r="FV336">
        <f ca="1"/>
      </c>
      <c r="FW336">
        <f ca="1"/>
      </c>
      <c r="FX336">
        <f ca="1"/>
      </c>
      <c r="FY336">
        <f ca="1"/>
      </c>
      <c r="FZ336">
        <f ca="1"/>
      </c>
      <c r="GA336">
        <f ca="1"/>
      </c>
      <c r="GM336" s="7"/>
    </row>
    <row r="337" spans="41:195" x14ac:dyDescent="0.55000000000000004">
      <c r="AO337">
        <f ca="1"/>
      </c>
      <c r="AP337">
        <f ca="1"/>
      </c>
      <c r="AQ337">
        <f ca="1"/>
      </c>
      <c r="AR337">
        <f ca="1"/>
      </c>
      <c r="AS337">
        <f ca="1"/>
      </c>
      <c r="AT337">
        <f ca="1"/>
      </c>
      <c r="AU337">
        <f ca="1"/>
      </c>
      <c r="AV337">
        <f ca="1"/>
      </c>
      <c r="AW337">
        <f ca="1"/>
      </c>
      <c r="AX337">
        <f ca="1"/>
      </c>
      <c r="AY337">
        <f ca="1"/>
      </c>
      <c r="AZ337">
        <f ca="1"/>
      </c>
      <c r="BA337">
        <f ca="1"/>
      </c>
      <c r="BB337">
        <f ca="1"/>
      </c>
      <c r="BC337">
        <f ca="1"/>
      </c>
      <c r="BD337">
        <f ca="1"/>
      </c>
      <c r="BE337">
        <f ca="1"/>
      </c>
      <c r="BF337">
        <f ca="1"/>
      </c>
      <c r="BG337">
        <f ca="1"/>
      </c>
      <c r="BH337">
        <f ca="1"/>
      </c>
      <c r="BI337">
        <f ca="1"/>
      </c>
      <c r="BJ337">
        <f ca="1"/>
      </c>
      <c r="BK337">
        <f ca="1"/>
      </c>
      <c r="BL337">
        <f ca="1"/>
      </c>
      <c r="BM337">
        <f ca="1"/>
      </c>
      <c r="BN337">
        <f ca="1"/>
      </c>
      <c r="BO337">
        <f ca="1"/>
      </c>
      <c r="BP337">
        <f ca="1"/>
      </c>
      <c r="BQ337">
        <f ca="1"/>
      </c>
      <c r="BR337">
        <f ca="1"/>
      </c>
      <c r="BS337">
        <f ca="1"/>
      </c>
      <c r="BT337">
        <f ca="1"/>
      </c>
      <c r="BU337">
        <f ca="1"/>
      </c>
      <c r="BV337">
        <f ca="1"/>
      </c>
      <c r="BW337">
        <f ca="1"/>
      </c>
      <c r="BX337">
        <f ca="1"/>
      </c>
      <c r="BY337">
        <f ca="1"/>
      </c>
      <c r="BZ337">
        <f ca="1"/>
      </c>
      <c r="CA337">
        <f ca="1"/>
      </c>
      <c r="CB337">
        <f ca="1"/>
      </c>
      <c r="CC337">
        <f ca="1"/>
      </c>
      <c r="CD337">
        <f ca="1"/>
      </c>
      <c r="CE337">
        <f ca="1"/>
      </c>
      <c r="CF337">
        <f ca="1"/>
      </c>
      <c r="CG337">
        <f ca="1"/>
      </c>
      <c r="CH337">
        <f ca="1"/>
      </c>
      <c r="CI337">
        <f ca="1"/>
      </c>
      <c r="CK337">
        <f ca="1"/>
      </c>
      <c r="CL337">
        <f ca="1"/>
      </c>
      <c r="CM337">
        <f ca="1"/>
      </c>
      <c r="CN337">
        <f ca="1"/>
      </c>
      <c r="CO337">
        <f ca="1"/>
      </c>
      <c r="CP337">
        <f ca="1"/>
      </c>
      <c r="CQ337">
        <f ca="1"/>
      </c>
      <c r="CR337">
        <f ca="1"/>
      </c>
      <c r="CS337">
        <f ca="1"/>
      </c>
      <c r="CT337">
        <f ca="1"/>
      </c>
      <c r="CU337">
        <f ca="1"/>
      </c>
      <c r="CV337">
        <f ca="1"/>
      </c>
      <c r="CW337">
        <f ca="1"/>
      </c>
      <c r="CX337">
        <f ca="1"/>
      </c>
      <c r="CY337">
        <f ca="1"/>
      </c>
      <c r="CZ337">
        <f ca="1"/>
      </c>
      <c r="DA337">
        <f ca="1"/>
      </c>
      <c r="DB337">
        <f ca="1"/>
      </c>
      <c r="DC337">
        <f ca="1"/>
      </c>
      <c r="DD337">
        <f ca="1"/>
      </c>
      <c r="DE337">
        <f ca="1"/>
      </c>
      <c r="DF337">
        <f ca="1"/>
      </c>
      <c r="DG337">
        <f ca="1"/>
      </c>
      <c r="DH337">
        <f ca="1"/>
      </c>
      <c r="DI337">
        <f ca="1"/>
      </c>
      <c r="DJ337">
        <f ca="1"/>
      </c>
      <c r="DK337">
        <f ca="1"/>
      </c>
      <c r="DL337">
        <f ca="1"/>
      </c>
      <c r="DM337">
        <f ca="1"/>
      </c>
      <c r="DN337">
        <f ca="1"/>
      </c>
      <c r="DO337">
        <f ca="1"/>
      </c>
      <c r="DP337">
        <f ca="1"/>
      </c>
      <c r="DQ337">
        <f ca="1"/>
      </c>
      <c r="DR337">
        <f ca="1"/>
      </c>
      <c r="DS337">
        <f ca="1"/>
      </c>
      <c r="DT337">
        <f ca="1"/>
      </c>
      <c r="DU337">
        <f ca="1"/>
      </c>
      <c r="DV337">
        <f ca="1"/>
      </c>
      <c r="DW337">
        <f ca="1"/>
      </c>
      <c r="DX337">
        <f ca="1"/>
      </c>
      <c r="DY337">
        <f ca="1"/>
      </c>
      <c r="DZ337">
        <f ca="1"/>
      </c>
      <c r="EA337">
        <f ca="1"/>
      </c>
      <c r="EB337">
        <f ca="1"/>
      </c>
      <c r="EC337">
        <f ca="1"/>
      </c>
      <c r="ED337">
        <f ca="1"/>
      </c>
      <c r="EE337">
        <f ca="1"/>
      </c>
      <c r="EG337">
        <f ca="1"/>
      </c>
      <c r="EH337">
        <f ca="1"/>
      </c>
      <c r="EI337">
        <f ca="1"/>
      </c>
      <c r="EJ337">
        <f ca="1"/>
      </c>
      <c r="EK337">
        <f ca="1"/>
      </c>
      <c r="EL337">
        <f ca="1"/>
      </c>
      <c r="EM337">
        <f ca="1"/>
      </c>
      <c r="EN337">
        <f ca="1"/>
      </c>
      <c r="EO337">
        <f ca="1"/>
      </c>
      <c r="EP337">
        <f ca="1"/>
      </c>
      <c r="EQ337">
        <f ca="1"/>
      </c>
      <c r="ER337">
        <f ca="1"/>
      </c>
      <c r="ES337">
        <f ca="1"/>
      </c>
      <c r="ET337">
        <f ca="1"/>
      </c>
      <c r="EU337">
        <f ca="1"/>
      </c>
      <c r="EV337">
        <f ca="1"/>
      </c>
      <c r="EW337">
        <f ca="1"/>
      </c>
      <c r="EX337">
        <f ca="1"/>
      </c>
      <c r="EY337">
        <f ca="1"/>
      </c>
      <c r="EZ337">
        <f ca="1"/>
      </c>
      <c r="FA337">
        <f ca="1"/>
      </c>
      <c r="FB337">
        <f ca="1"/>
      </c>
      <c r="FC337">
        <f ca="1"/>
      </c>
      <c r="FD337">
        <f ca="1"/>
      </c>
      <c r="FE337">
        <f ca="1"/>
      </c>
      <c r="FF337">
        <f ca="1"/>
      </c>
      <c r="FG337">
        <f ca="1"/>
      </c>
      <c r="FH337">
        <f ca="1"/>
      </c>
      <c r="FI337">
        <f ca="1"/>
      </c>
      <c r="FJ337">
        <f ca="1"/>
      </c>
      <c r="FK337">
        <f ca="1"/>
      </c>
      <c r="FL337">
        <f ca="1"/>
      </c>
      <c r="FM337">
        <f ca="1"/>
      </c>
      <c r="FN337">
        <f ca="1"/>
      </c>
      <c r="FO337">
        <f ca="1"/>
      </c>
      <c r="FP337">
        <f ca="1"/>
      </c>
      <c r="FQ337">
        <f ca="1"/>
      </c>
      <c r="FR337">
        <f ca="1"/>
      </c>
      <c r="FS337">
        <f ca="1"/>
      </c>
      <c r="FT337">
        <f ca="1"/>
      </c>
      <c r="FU337">
        <f ca="1"/>
      </c>
      <c r="FV337">
        <f ca="1"/>
      </c>
      <c r="FW337">
        <f ca="1"/>
      </c>
      <c r="FX337">
        <f ca="1"/>
      </c>
      <c r="FY337">
        <f ca="1"/>
      </c>
      <c r="FZ337">
        <f ca="1"/>
      </c>
      <c r="GA337">
        <f ca="1"/>
      </c>
      <c r="GM337" s="7"/>
    </row>
    <row r="338" spans="41:195" x14ac:dyDescent="0.55000000000000004">
      <c r="AO338">
        <f ca="1"/>
      </c>
      <c r="AP338">
        <f ca="1"/>
      </c>
      <c r="AQ338">
        <f ca="1"/>
      </c>
      <c r="AR338">
        <f ca="1"/>
      </c>
      <c r="AS338">
        <f ca="1"/>
      </c>
      <c r="AT338">
        <f ca="1"/>
      </c>
      <c r="AU338">
        <f ca="1"/>
      </c>
      <c r="AV338">
        <f ca="1"/>
      </c>
      <c r="AW338">
        <f ca="1"/>
      </c>
      <c r="AX338">
        <f ca="1"/>
      </c>
      <c r="AY338">
        <f ca="1"/>
      </c>
      <c r="AZ338">
        <f ca="1"/>
      </c>
      <c r="BA338">
        <f ca="1"/>
      </c>
      <c r="BB338">
        <f ca="1"/>
      </c>
      <c r="BC338">
        <f ca="1"/>
      </c>
      <c r="BD338">
        <f ca="1"/>
      </c>
      <c r="BE338">
        <f ca="1"/>
      </c>
      <c r="BF338">
        <f ca="1"/>
      </c>
      <c r="BG338">
        <f ca="1"/>
      </c>
      <c r="BH338">
        <f ca="1"/>
      </c>
      <c r="BI338">
        <f ca="1"/>
      </c>
      <c r="BJ338">
        <f ca="1"/>
      </c>
      <c r="BK338">
        <f ca="1"/>
      </c>
      <c r="BL338">
        <f ca="1"/>
      </c>
      <c r="BM338">
        <f ca="1"/>
      </c>
      <c r="BN338">
        <f ca="1"/>
      </c>
      <c r="BO338">
        <f ca="1"/>
      </c>
      <c r="BP338">
        <f ca="1"/>
      </c>
      <c r="BQ338">
        <f ca="1"/>
      </c>
      <c r="BR338">
        <f ca="1"/>
      </c>
      <c r="BS338">
        <f ca="1"/>
      </c>
      <c r="BT338">
        <f ca="1"/>
      </c>
      <c r="BU338">
        <f ca="1"/>
      </c>
      <c r="BV338">
        <f ca="1"/>
      </c>
      <c r="BW338">
        <f ca="1"/>
      </c>
      <c r="BX338">
        <f ca="1"/>
      </c>
      <c r="BY338">
        <f ca="1"/>
      </c>
      <c r="BZ338">
        <f ca="1"/>
      </c>
      <c r="CA338">
        <f ca="1"/>
      </c>
      <c r="CB338">
        <f ca="1"/>
      </c>
      <c r="CC338">
        <f ca="1"/>
      </c>
      <c r="CD338">
        <f ca="1"/>
      </c>
      <c r="CE338">
        <f ca="1"/>
      </c>
      <c r="CF338">
        <f ca="1"/>
      </c>
      <c r="CG338">
        <f ca="1"/>
      </c>
      <c r="CH338">
        <f ca="1"/>
      </c>
      <c r="CI338">
        <f ca="1"/>
      </c>
      <c r="CK338">
        <f ca="1"/>
      </c>
      <c r="CL338">
        <f ca="1"/>
      </c>
      <c r="CM338">
        <f ca="1"/>
      </c>
      <c r="CN338">
        <f ca="1"/>
      </c>
      <c r="CO338">
        <f ca="1"/>
      </c>
      <c r="CP338">
        <f ca="1"/>
      </c>
      <c r="CQ338">
        <f ca="1"/>
      </c>
      <c r="CR338">
        <f ca="1"/>
      </c>
      <c r="CS338">
        <f ca="1"/>
      </c>
      <c r="CT338">
        <f ca="1"/>
      </c>
      <c r="CU338">
        <f ca="1"/>
      </c>
      <c r="CV338">
        <f ca="1"/>
      </c>
      <c r="CW338">
        <f ca="1"/>
      </c>
      <c r="CX338">
        <f ca="1"/>
      </c>
      <c r="CY338">
        <f ca="1"/>
      </c>
      <c r="CZ338">
        <f ca="1"/>
      </c>
      <c r="DA338">
        <f ca="1"/>
      </c>
      <c r="DB338">
        <f ca="1"/>
      </c>
      <c r="DC338">
        <f ca="1"/>
      </c>
      <c r="DD338">
        <f ca="1"/>
      </c>
      <c r="DE338">
        <f ca="1"/>
      </c>
      <c r="DF338">
        <f ca="1"/>
      </c>
      <c r="DG338">
        <f ca="1"/>
      </c>
      <c r="DH338">
        <f ca="1"/>
      </c>
      <c r="DI338">
        <f ca="1"/>
      </c>
      <c r="DJ338">
        <f ca="1"/>
      </c>
      <c r="DK338">
        <f ca="1"/>
      </c>
      <c r="DL338">
        <f ca="1"/>
      </c>
      <c r="DM338">
        <f ca="1"/>
      </c>
      <c r="DN338">
        <f ca="1"/>
      </c>
      <c r="DO338">
        <f ca="1"/>
      </c>
      <c r="DP338">
        <f ca="1"/>
      </c>
      <c r="DQ338">
        <f ca="1"/>
      </c>
      <c r="DR338">
        <f ca="1"/>
      </c>
      <c r="DS338">
        <f ca="1"/>
      </c>
      <c r="DT338">
        <f ca="1"/>
      </c>
      <c r="DU338">
        <f ca="1"/>
      </c>
      <c r="DV338">
        <f ca="1"/>
      </c>
      <c r="DW338">
        <f ca="1"/>
      </c>
      <c r="DX338">
        <f ca="1"/>
      </c>
      <c r="DY338">
        <f ca="1"/>
      </c>
      <c r="DZ338">
        <f ca="1"/>
      </c>
      <c r="EA338">
        <f ca="1"/>
      </c>
      <c r="EB338">
        <f ca="1"/>
      </c>
      <c r="EC338">
        <f ca="1"/>
      </c>
      <c r="ED338">
        <f ca="1"/>
      </c>
      <c r="EE338">
        <f ca="1"/>
      </c>
      <c r="EG338">
        <f ca="1"/>
      </c>
      <c r="EH338">
        <f ca="1"/>
      </c>
      <c r="EI338">
        <f ca="1"/>
      </c>
      <c r="EJ338">
        <f ca="1"/>
      </c>
      <c r="EK338">
        <f ca="1"/>
      </c>
      <c r="EL338">
        <f ca="1"/>
      </c>
      <c r="EM338">
        <f ca="1"/>
      </c>
      <c r="EN338">
        <f ca="1"/>
      </c>
      <c r="EO338">
        <f ca="1"/>
      </c>
      <c r="EP338">
        <f ca="1"/>
      </c>
      <c r="EQ338">
        <f ca="1"/>
      </c>
      <c r="ER338">
        <f ca="1"/>
      </c>
      <c r="ES338">
        <f ca="1"/>
      </c>
      <c r="ET338">
        <f ca="1"/>
      </c>
      <c r="EU338">
        <f ca="1"/>
      </c>
      <c r="EV338">
        <f ca="1"/>
      </c>
      <c r="EW338">
        <f ca="1"/>
      </c>
      <c r="EX338">
        <f ca="1"/>
      </c>
      <c r="EY338">
        <f ca="1"/>
      </c>
      <c r="EZ338">
        <f ca="1"/>
      </c>
      <c r="FA338">
        <f ca="1"/>
      </c>
      <c r="FB338">
        <f ca="1"/>
      </c>
      <c r="FC338">
        <f ca="1"/>
      </c>
      <c r="FD338">
        <f ca="1"/>
      </c>
      <c r="FE338">
        <f ca="1"/>
      </c>
      <c r="FF338">
        <f ca="1"/>
      </c>
      <c r="FG338">
        <f ca="1"/>
      </c>
      <c r="FH338">
        <f ca="1"/>
      </c>
      <c r="FI338">
        <f ca="1"/>
      </c>
      <c r="FJ338">
        <f ca="1"/>
      </c>
      <c r="FK338">
        <f ca="1"/>
      </c>
      <c r="FL338">
        <f ca="1"/>
      </c>
      <c r="FM338">
        <f ca="1"/>
      </c>
      <c r="FN338">
        <f ca="1"/>
      </c>
      <c r="FO338">
        <f ca="1"/>
      </c>
      <c r="FP338">
        <f ca="1"/>
      </c>
      <c r="FQ338">
        <f ca="1"/>
      </c>
      <c r="FR338">
        <f ca="1"/>
      </c>
      <c r="FS338">
        <f ca="1"/>
      </c>
      <c r="FT338">
        <f ca="1"/>
      </c>
      <c r="FU338">
        <f ca="1"/>
      </c>
      <c r="FV338">
        <f ca="1"/>
      </c>
      <c r="FW338">
        <f ca="1"/>
      </c>
      <c r="FX338">
        <f ca="1"/>
      </c>
      <c r="FY338">
        <f ca="1"/>
      </c>
      <c r="FZ338">
        <f ca="1"/>
      </c>
      <c r="GA338">
        <f ca="1"/>
      </c>
      <c r="GM338" s="7"/>
    </row>
    <row r="339" spans="41:195" x14ac:dyDescent="0.55000000000000004">
      <c r="AO339">
        <f ca="1"/>
      </c>
      <c r="AP339">
        <f ca="1"/>
      </c>
      <c r="AQ339">
        <f ca="1"/>
      </c>
      <c r="AR339">
        <f ca="1"/>
      </c>
      <c r="AS339">
        <f ca="1"/>
      </c>
      <c r="AT339">
        <f ca="1"/>
      </c>
      <c r="AU339">
        <f ca="1"/>
      </c>
      <c r="AV339">
        <f ca="1"/>
      </c>
      <c r="AW339">
        <f ca="1"/>
      </c>
      <c r="AX339">
        <f ca="1"/>
      </c>
      <c r="AY339">
        <f ca="1"/>
      </c>
      <c r="AZ339">
        <f ca="1"/>
      </c>
      <c r="BA339">
        <f ca="1"/>
      </c>
      <c r="BB339">
        <f ca="1"/>
      </c>
      <c r="BC339">
        <f ca="1"/>
      </c>
      <c r="BD339">
        <f ca="1"/>
      </c>
      <c r="BE339">
        <f ca="1"/>
      </c>
      <c r="BF339">
        <f ca="1"/>
      </c>
      <c r="BG339">
        <f ca="1"/>
      </c>
      <c r="BH339">
        <f ca="1"/>
      </c>
      <c r="BI339">
        <f ca="1"/>
      </c>
      <c r="BJ339">
        <f ca="1"/>
      </c>
      <c r="BK339">
        <f ca="1"/>
      </c>
      <c r="BL339">
        <f ca="1"/>
      </c>
      <c r="BM339">
        <f ca="1"/>
      </c>
      <c r="BN339">
        <f ca="1"/>
      </c>
      <c r="BO339">
        <f ca="1"/>
      </c>
      <c r="BP339">
        <f ca="1"/>
      </c>
      <c r="BQ339">
        <f ca="1"/>
      </c>
      <c r="BR339">
        <f ca="1"/>
      </c>
      <c r="BS339">
        <f ca="1"/>
      </c>
      <c r="BT339">
        <f ca="1"/>
      </c>
      <c r="BU339">
        <f ca="1"/>
      </c>
      <c r="BV339">
        <f ca="1"/>
      </c>
      <c r="BW339">
        <f ca="1"/>
      </c>
      <c r="BX339">
        <f ca="1"/>
      </c>
      <c r="BY339">
        <f ca="1"/>
      </c>
      <c r="BZ339">
        <f ca="1"/>
      </c>
      <c r="CA339">
        <f ca="1"/>
      </c>
      <c r="CB339">
        <f ca="1"/>
      </c>
      <c r="CC339">
        <f ca="1"/>
      </c>
      <c r="CD339">
        <f ca="1"/>
      </c>
      <c r="CE339">
        <f ca="1"/>
      </c>
      <c r="CF339">
        <f ca="1"/>
      </c>
      <c r="CG339">
        <f ca="1"/>
      </c>
      <c r="CH339">
        <f ca="1"/>
      </c>
      <c r="CI339">
        <f ca="1"/>
      </c>
      <c r="CK339">
        <f ca="1"/>
      </c>
      <c r="CL339">
        <f ca="1"/>
      </c>
      <c r="CM339">
        <f ca="1"/>
      </c>
      <c r="CN339">
        <f ca="1"/>
      </c>
      <c r="CO339">
        <f ca="1"/>
      </c>
      <c r="CP339">
        <f ca="1"/>
      </c>
      <c r="CQ339">
        <f ca="1"/>
      </c>
      <c r="CR339">
        <f ca="1"/>
      </c>
      <c r="CS339">
        <f ca="1"/>
      </c>
      <c r="CT339">
        <f ca="1"/>
      </c>
      <c r="CU339">
        <f ca="1"/>
      </c>
      <c r="CV339">
        <f ca="1"/>
      </c>
      <c r="CW339">
        <f ca="1"/>
      </c>
      <c r="CX339">
        <f ca="1"/>
      </c>
      <c r="CY339">
        <f ca="1"/>
      </c>
      <c r="CZ339">
        <f ca="1"/>
      </c>
      <c r="DA339">
        <f ca="1"/>
      </c>
      <c r="DB339">
        <f ca="1"/>
      </c>
      <c r="DC339">
        <f ca="1"/>
      </c>
      <c r="DD339">
        <f ca="1"/>
      </c>
      <c r="DE339">
        <f ca="1"/>
      </c>
      <c r="DF339">
        <f ca="1"/>
      </c>
      <c r="DG339">
        <f ca="1"/>
      </c>
      <c r="DH339">
        <f ca="1"/>
      </c>
      <c r="DI339">
        <f ca="1"/>
      </c>
      <c r="DJ339">
        <f ca="1"/>
      </c>
      <c r="DK339">
        <f ca="1"/>
      </c>
      <c r="DL339">
        <f ca="1"/>
      </c>
      <c r="DM339">
        <f ca="1"/>
      </c>
      <c r="DN339">
        <f ca="1"/>
      </c>
      <c r="DO339">
        <f ca="1"/>
      </c>
      <c r="DP339">
        <f ca="1"/>
      </c>
      <c r="DQ339">
        <f ca="1"/>
      </c>
      <c r="DR339">
        <f ca="1"/>
      </c>
      <c r="DS339">
        <f ca="1"/>
      </c>
      <c r="DT339">
        <f ca="1"/>
      </c>
      <c r="DU339">
        <f ca="1"/>
      </c>
      <c r="DV339">
        <f ca="1"/>
      </c>
      <c r="DW339">
        <f ca="1"/>
      </c>
      <c r="DX339">
        <f ca="1"/>
      </c>
      <c r="DY339">
        <f ca="1"/>
      </c>
      <c r="DZ339">
        <f ca="1"/>
      </c>
      <c r="EA339">
        <f ca="1"/>
      </c>
      <c r="EB339">
        <f ca="1"/>
      </c>
      <c r="EC339">
        <f ca="1"/>
      </c>
      <c r="ED339">
        <f ca="1"/>
      </c>
      <c r="EE339">
        <f ca="1"/>
      </c>
      <c r="EG339">
        <f ca="1"/>
      </c>
      <c r="EH339">
        <f ca="1"/>
      </c>
      <c r="EI339">
        <f ca="1"/>
      </c>
      <c r="EJ339">
        <f ca="1"/>
      </c>
      <c r="EK339">
        <f ca="1"/>
      </c>
      <c r="EL339">
        <f ca="1"/>
      </c>
      <c r="EM339">
        <f ca="1"/>
      </c>
      <c r="EN339">
        <f ca="1"/>
      </c>
      <c r="EO339">
        <f ca="1"/>
      </c>
      <c r="EP339">
        <f ca="1"/>
      </c>
      <c r="EQ339">
        <f ca="1"/>
      </c>
      <c r="ER339">
        <f ca="1"/>
      </c>
      <c r="ES339">
        <f ca="1"/>
      </c>
      <c r="ET339">
        <f ca="1"/>
      </c>
      <c r="EU339">
        <f ca="1"/>
      </c>
      <c r="EV339">
        <f ca="1"/>
      </c>
      <c r="EW339">
        <f ca="1"/>
      </c>
      <c r="EX339">
        <f ca="1"/>
      </c>
      <c r="EY339">
        <f ca="1"/>
      </c>
      <c r="EZ339">
        <f ca="1"/>
      </c>
      <c r="FA339">
        <f ca="1"/>
      </c>
      <c r="FB339">
        <f ca="1"/>
      </c>
      <c r="FC339">
        <f ca="1"/>
      </c>
      <c r="FD339">
        <f ca="1"/>
      </c>
      <c r="FE339">
        <f ca="1"/>
      </c>
      <c r="FF339">
        <f ca="1"/>
      </c>
      <c r="FG339">
        <f ca="1"/>
      </c>
      <c r="FH339">
        <f ca="1"/>
      </c>
      <c r="FI339">
        <f ca="1"/>
      </c>
      <c r="FJ339">
        <f ca="1"/>
      </c>
      <c r="FK339">
        <f ca="1"/>
      </c>
      <c r="FL339">
        <f ca="1"/>
      </c>
      <c r="FM339">
        <f ca="1"/>
      </c>
      <c r="FN339">
        <f ca="1"/>
      </c>
      <c r="FO339">
        <f ca="1"/>
      </c>
      <c r="FP339">
        <f ca="1"/>
      </c>
      <c r="FQ339">
        <f ca="1"/>
      </c>
      <c r="FR339">
        <f ca="1"/>
      </c>
      <c r="FS339">
        <f ca="1"/>
      </c>
      <c r="FT339">
        <f ca="1"/>
      </c>
      <c r="FU339">
        <f ca="1"/>
      </c>
      <c r="FV339">
        <f ca="1"/>
      </c>
      <c r="FW339">
        <f ca="1"/>
      </c>
      <c r="FX339">
        <f ca="1"/>
      </c>
      <c r="FY339">
        <f ca="1"/>
      </c>
      <c r="FZ339">
        <f ca="1"/>
      </c>
      <c r="GA339">
        <f ca="1"/>
      </c>
      <c r="GM339" s="7"/>
    </row>
    <row r="340" spans="41:195" x14ac:dyDescent="0.55000000000000004">
      <c r="AO340">
        <f ca="1"/>
      </c>
      <c r="AP340">
        <f ca="1"/>
      </c>
      <c r="AQ340">
        <f ca="1"/>
      </c>
      <c r="AR340">
        <f ca="1"/>
      </c>
      <c r="AS340">
        <f ca="1"/>
      </c>
      <c r="AT340">
        <f ca="1"/>
      </c>
      <c r="AU340">
        <f ca="1"/>
      </c>
      <c r="AV340">
        <f ca="1"/>
      </c>
      <c r="AW340">
        <f ca="1"/>
      </c>
      <c r="AX340">
        <f ca="1"/>
      </c>
      <c r="AY340">
        <f ca="1"/>
      </c>
      <c r="AZ340">
        <f ca="1"/>
      </c>
      <c r="BA340">
        <f ca="1"/>
      </c>
      <c r="BB340">
        <f ca="1"/>
      </c>
      <c r="BC340">
        <f ca="1"/>
      </c>
      <c r="BD340">
        <f ca="1"/>
      </c>
      <c r="BE340">
        <f ca="1"/>
      </c>
      <c r="BF340">
        <f ca="1"/>
      </c>
      <c r="BG340">
        <f ca="1"/>
      </c>
      <c r="BH340">
        <f ca="1"/>
      </c>
      <c r="BI340">
        <f ca="1"/>
      </c>
      <c r="BJ340">
        <f ca="1"/>
      </c>
      <c r="BK340">
        <f ca="1"/>
      </c>
      <c r="BL340">
        <f ca="1"/>
      </c>
      <c r="BM340">
        <f ca="1"/>
      </c>
      <c r="BN340">
        <f ca="1"/>
      </c>
      <c r="BO340">
        <f ca="1"/>
      </c>
      <c r="BP340">
        <f ca="1"/>
      </c>
      <c r="BQ340">
        <f ca="1"/>
      </c>
      <c r="BR340">
        <f ca="1"/>
      </c>
      <c r="BS340">
        <f ca="1"/>
      </c>
      <c r="BT340">
        <f ca="1"/>
      </c>
      <c r="BU340">
        <f ca="1"/>
      </c>
      <c r="BV340">
        <f ca="1"/>
      </c>
      <c r="BW340">
        <f ca="1"/>
      </c>
      <c r="BX340">
        <f ca="1"/>
      </c>
      <c r="BY340">
        <f ca="1"/>
      </c>
      <c r="BZ340">
        <f ca="1"/>
      </c>
      <c r="CA340">
        <f ca="1"/>
      </c>
      <c r="CB340">
        <f ca="1"/>
      </c>
      <c r="CC340">
        <f ca="1"/>
      </c>
      <c r="CD340">
        <f ca="1"/>
      </c>
      <c r="CE340">
        <f ca="1"/>
      </c>
      <c r="CF340">
        <f ca="1"/>
      </c>
      <c r="CG340">
        <f ca="1"/>
      </c>
      <c r="CH340">
        <f ca="1"/>
      </c>
      <c r="CI340">
        <f ca="1"/>
      </c>
      <c r="CK340">
        <f ca="1"/>
      </c>
      <c r="CL340">
        <f ca="1"/>
      </c>
      <c r="CM340">
        <f ca="1"/>
      </c>
      <c r="CN340">
        <f ca="1"/>
      </c>
      <c r="CO340">
        <f ca="1"/>
      </c>
      <c r="CP340">
        <f ca="1"/>
      </c>
      <c r="CQ340">
        <f ca="1"/>
      </c>
      <c r="CR340">
        <f ca="1"/>
      </c>
      <c r="CS340">
        <f ca="1"/>
      </c>
      <c r="CT340">
        <f ca="1"/>
      </c>
      <c r="CU340">
        <f ca="1"/>
      </c>
      <c r="CV340">
        <f ca="1"/>
      </c>
      <c r="CW340">
        <f ca="1"/>
      </c>
      <c r="CX340">
        <f ca="1"/>
      </c>
      <c r="CY340">
        <f ca="1"/>
      </c>
      <c r="CZ340">
        <f ca="1"/>
      </c>
      <c r="DA340">
        <f ca="1"/>
      </c>
      <c r="DB340">
        <f ca="1"/>
      </c>
      <c r="DC340">
        <f ca="1"/>
      </c>
      <c r="DD340">
        <f ca="1"/>
      </c>
      <c r="DE340">
        <f ca="1"/>
      </c>
      <c r="DF340">
        <f ca="1"/>
      </c>
      <c r="DG340">
        <f ca="1"/>
      </c>
      <c r="DH340">
        <f ca="1"/>
      </c>
      <c r="DI340">
        <f ca="1"/>
      </c>
      <c r="DJ340">
        <f ca="1"/>
      </c>
      <c r="DK340">
        <f ca="1"/>
      </c>
      <c r="DL340">
        <f ca="1"/>
      </c>
      <c r="DM340">
        <f ca="1"/>
      </c>
      <c r="DN340">
        <f ca="1"/>
      </c>
      <c r="DO340">
        <f ca="1"/>
      </c>
      <c r="DP340">
        <f ca="1"/>
      </c>
      <c r="DQ340">
        <f ca="1"/>
      </c>
      <c r="DR340">
        <f ca="1"/>
      </c>
      <c r="DS340">
        <f ca="1"/>
      </c>
      <c r="DT340">
        <f ca="1"/>
      </c>
      <c r="DU340">
        <f ca="1"/>
      </c>
      <c r="DV340">
        <f ca="1"/>
      </c>
      <c r="DW340">
        <f ca="1"/>
      </c>
      <c r="DX340">
        <f ca="1"/>
      </c>
      <c r="DY340">
        <f ca="1"/>
      </c>
      <c r="DZ340">
        <f ca="1"/>
      </c>
      <c r="EA340">
        <f ca="1"/>
      </c>
      <c r="EB340">
        <f ca="1"/>
      </c>
      <c r="EC340">
        <f ca="1"/>
      </c>
      <c r="ED340">
        <f ca="1"/>
      </c>
      <c r="EE340">
        <f ca="1"/>
      </c>
      <c r="EG340">
        <f ca="1"/>
      </c>
      <c r="EH340">
        <f ca="1"/>
      </c>
      <c r="EI340">
        <f ca="1"/>
      </c>
      <c r="EJ340">
        <f ca="1"/>
      </c>
      <c r="EK340">
        <f ca="1"/>
      </c>
      <c r="EL340">
        <f ca="1"/>
      </c>
      <c r="EM340">
        <f ca="1"/>
      </c>
      <c r="EN340">
        <f ca="1"/>
      </c>
      <c r="EO340">
        <f ca="1"/>
      </c>
      <c r="EP340">
        <f ca="1"/>
      </c>
      <c r="EQ340">
        <f ca="1"/>
      </c>
      <c r="ER340">
        <f ca="1"/>
      </c>
      <c r="ES340">
        <f ca="1"/>
      </c>
      <c r="ET340">
        <f ca="1"/>
      </c>
      <c r="EU340">
        <f ca="1"/>
      </c>
      <c r="EV340">
        <f ca="1"/>
      </c>
      <c r="EW340">
        <f ca="1"/>
      </c>
      <c r="EX340">
        <f ca="1"/>
      </c>
      <c r="EY340">
        <f ca="1"/>
      </c>
      <c r="EZ340">
        <f ca="1"/>
      </c>
      <c r="FA340">
        <f ca="1"/>
      </c>
      <c r="FB340">
        <f ca="1"/>
      </c>
      <c r="FC340">
        <f ca="1"/>
      </c>
      <c r="FD340">
        <f ca="1"/>
      </c>
      <c r="FE340">
        <f ca="1"/>
      </c>
      <c r="FF340">
        <f ca="1"/>
      </c>
      <c r="FG340">
        <f ca="1"/>
      </c>
      <c r="FH340">
        <f ca="1"/>
      </c>
      <c r="FI340">
        <f ca="1"/>
      </c>
      <c r="FJ340">
        <f ca="1"/>
      </c>
      <c r="FK340">
        <f ca="1"/>
      </c>
      <c r="FL340">
        <f ca="1"/>
      </c>
      <c r="FM340">
        <f ca="1"/>
      </c>
      <c r="FN340">
        <f ca="1"/>
      </c>
      <c r="FO340">
        <f ca="1"/>
      </c>
      <c r="FP340">
        <f ca="1"/>
      </c>
      <c r="FQ340">
        <f ca="1"/>
      </c>
      <c r="FR340">
        <f ca="1"/>
      </c>
      <c r="FS340">
        <f ca="1"/>
      </c>
      <c r="FT340">
        <f ca="1"/>
      </c>
      <c r="FU340">
        <f ca="1"/>
      </c>
      <c r="FV340">
        <f ca="1"/>
      </c>
      <c r="FW340">
        <f ca="1"/>
      </c>
      <c r="FX340">
        <f ca="1"/>
      </c>
      <c r="FY340">
        <f ca="1"/>
      </c>
      <c r="FZ340">
        <f ca="1"/>
      </c>
      <c r="GA340">
        <f ca="1"/>
      </c>
      <c r="GM340" s="7"/>
    </row>
    <row r="341" spans="41:195" x14ac:dyDescent="0.55000000000000004">
      <c r="AO341">
        <f ca="1"/>
      </c>
      <c r="AP341">
        <f ca="1"/>
      </c>
      <c r="AQ341">
        <f ca="1"/>
      </c>
      <c r="AR341">
        <f ca="1"/>
      </c>
      <c r="AS341">
        <f ca="1"/>
      </c>
      <c r="AT341">
        <f ca="1"/>
      </c>
      <c r="AU341">
        <f ca="1"/>
      </c>
      <c r="AV341">
        <f ca="1"/>
      </c>
      <c r="AW341">
        <f ca="1"/>
      </c>
      <c r="AX341">
        <f ca="1"/>
      </c>
      <c r="AY341">
        <f ca="1"/>
      </c>
      <c r="AZ341">
        <f ca="1"/>
      </c>
      <c r="BA341">
        <f ca="1"/>
      </c>
      <c r="BB341">
        <f ca="1"/>
      </c>
      <c r="BC341">
        <f ca="1"/>
      </c>
      <c r="BD341">
        <f ca="1"/>
      </c>
      <c r="BE341">
        <f ca="1"/>
      </c>
      <c r="BF341">
        <f ca="1"/>
      </c>
      <c r="BG341">
        <f ca="1"/>
      </c>
      <c r="BH341">
        <f ca="1"/>
      </c>
      <c r="BI341">
        <f ca="1"/>
      </c>
      <c r="BJ341">
        <f ca="1"/>
      </c>
      <c r="BK341">
        <f ca="1"/>
      </c>
      <c r="BL341">
        <f ca="1"/>
      </c>
      <c r="BM341">
        <f ca="1"/>
      </c>
      <c r="BN341">
        <f ca="1"/>
      </c>
      <c r="BO341">
        <f ca="1"/>
      </c>
      <c r="BP341">
        <f ca="1"/>
      </c>
      <c r="BQ341">
        <f ca="1"/>
      </c>
      <c r="BR341">
        <f ca="1"/>
      </c>
      <c r="BS341">
        <f ca="1"/>
      </c>
      <c r="BT341">
        <f ca="1"/>
      </c>
      <c r="BU341">
        <f ca="1"/>
      </c>
      <c r="BV341">
        <f ca="1"/>
      </c>
      <c r="BW341">
        <f ca="1"/>
      </c>
      <c r="BX341">
        <f ca="1"/>
      </c>
      <c r="BY341">
        <f ca="1"/>
      </c>
      <c r="BZ341">
        <f ca="1"/>
      </c>
      <c r="CA341">
        <f ca="1"/>
      </c>
      <c r="CB341">
        <f ca="1"/>
      </c>
      <c r="CC341">
        <f ca="1"/>
      </c>
      <c r="CD341">
        <f ca="1"/>
      </c>
      <c r="CE341">
        <f ca="1"/>
      </c>
      <c r="CF341">
        <f ca="1"/>
      </c>
      <c r="CG341">
        <f ca="1"/>
      </c>
      <c r="CH341">
        <f ca="1"/>
      </c>
      <c r="CI341">
        <f ca="1"/>
      </c>
      <c r="CK341">
        <f ca="1"/>
      </c>
      <c r="CL341">
        <f ca="1"/>
      </c>
      <c r="CM341">
        <f ca="1"/>
      </c>
      <c r="CN341">
        <f ca="1"/>
      </c>
      <c r="CO341">
        <f ca="1"/>
      </c>
      <c r="CP341">
        <f ca="1"/>
      </c>
      <c r="CQ341">
        <f ca="1"/>
      </c>
      <c r="CR341">
        <f ca="1"/>
      </c>
      <c r="CS341">
        <f ca="1"/>
      </c>
      <c r="CT341">
        <f ca="1"/>
      </c>
      <c r="CU341">
        <f ca="1"/>
      </c>
      <c r="CV341">
        <f ca="1"/>
      </c>
      <c r="CW341">
        <f ca="1"/>
      </c>
      <c r="CX341">
        <f ca="1"/>
      </c>
      <c r="CY341">
        <f ca="1"/>
      </c>
      <c r="CZ341">
        <f ca="1"/>
      </c>
      <c r="DA341">
        <f ca="1"/>
      </c>
      <c r="DB341">
        <f ca="1"/>
      </c>
      <c r="DC341">
        <f ca="1"/>
      </c>
      <c r="DD341">
        <f ca="1"/>
      </c>
      <c r="DE341">
        <f ca="1"/>
      </c>
      <c r="DF341">
        <f ca="1"/>
      </c>
      <c r="DG341">
        <f ca="1"/>
      </c>
      <c r="DH341">
        <f ca="1"/>
      </c>
      <c r="DI341">
        <f ca="1"/>
      </c>
      <c r="DJ341">
        <f ca="1"/>
      </c>
      <c r="DK341">
        <f ca="1"/>
      </c>
      <c r="DL341">
        <f ca="1"/>
      </c>
      <c r="DM341">
        <f ca="1"/>
      </c>
      <c r="DN341">
        <f ca="1"/>
      </c>
      <c r="DO341">
        <f ca="1"/>
      </c>
      <c r="DP341">
        <f ca="1"/>
      </c>
      <c r="DQ341">
        <f ca="1"/>
      </c>
      <c r="DR341">
        <f ca="1"/>
      </c>
      <c r="DS341">
        <f ca="1"/>
      </c>
      <c r="DT341">
        <f ca="1"/>
      </c>
      <c r="DU341">
        <f ca="1"/>
      </c>
      <c r="DV341">
        <f ca="1"/>
      </c>
      <c r="DW341">
        <f ca="1"/>
      </c>
      <c r="DX341">
        <f ca="1"/>
      </c>
      <c r="DY341">
        <f ca="1"/>
      </c>
      <c r="DZ341">
        <f ca="1"/>
      </c>
      <c r="EA341">
        <f ca="1"/>
      </c>
      <c r="EB341">
        <f ca="1"/>
      </c>
      <c r="EC341">
        <f ca="1"/>
      </c>
      <c r="ED341">
        <f ca="1"/>
      </c>
      <c r="EE341">
        <f ca="1"/>
      </c>
      <c r="EG341">
        <f ca="1"/>
      </c>
      <c r="EH341">
        <f ca="1"/>
      </c>
      <c r="EI341">
        <f ca="1"/>
      </c>
      <c r="EJ341">
        <f ca="1"/>
      </c>
      <c r="EK341">
        <f ca="1"/>
      </c>
      <c r="EL341">
        <f ca="1"/>
      </c>
      <c r="EM341">
        <f ca="1"/>
      </c>
      <c r="EN341">
        <f ca="1"/>
      </c>
      <c r="EO341">
        <f ca="1"/>
      </c>
      <c r="EP341">
        <f ca="1"/>
      </c>
      <c r="EQ341">
        <f ca="1"/>
      </c>
      <c r="ER341">
        <f ca="1"/>
      </c>
      <c r="ES341">
        <f ca="1"/>
      </c>
      <c r="ET341">
        <f ca="1"/>
      </c>
      <c r="EU341">
        <f ca="1"/>
      </c>
      <c r="EV341">
        <f ca="1"/>
      </c>
      <c r="EW341">
        <f ca="1"/>
      </c>
      <c r="EX341">
        <f ca="1"/>
      </c>
      <c r="EY341">
        <f ca="1"/>
      </c>
      <c r="EZ341">
        <f ca="1"/>
      </c>
      <c r="FA341">
        <f ca="1"/>
      </c>
      <c r="FB341">
        <f ca="1"/>
      </c>
      <c r="FC341">
        <f ca="1"/>
      </c>
      <c r="FD341">
        <f ca="1"/>
      </c>
      <c r="FE341">
        <f ca="1"/>
      </c>
      <c r="FF341">
        <f ca="1"/>
      </c>
      <c r="FG341">
        <f ca="1"/>
      </c>
      <c r="FH341">
        <f ca="1"/>
      </c>
      <c r="FI341">
        <f ca="1"/>
      </c>
      <c r="FJ341">
        <f ca="1"/>
      </c>
      <c r="FK341">
        <f ca="1"/>
      </c>
      <c r="FL341">
        <f ca="1"/>
      </c>
      <c r="FM341">
        <f ca="1"/>
      </c>
      <c r="FN341">
        <f ca="1"/>
      </c>
      <c r="FO341">
        <f ca="1"/>
      </c>
      <c r="FP341">
        <f ca="1"/>
      </c>
      <c r="FQ341">
        <f ca="1"/>
      </c>
      <c r="FR341">
        <f ca="1"/>
      </c>
      <c r="FS341">
        <f ca="1"/>
      </c>
      <c r="FT341">
        <f ca="1"/>
      </c>
      <c r="FU341">
        <f ca="1"/>
      </c>
      <c r="FV341">
        <f ca="1"/>
      </c>
      <c r="FW341">
        <f ca="1"/>
      </c>
      <c r="FX341">
        <f ca="1"/>
      </c>
      <c r="FY341">
        <f ca="1"/>
      </c>
      <c r="FZ341">
        <f ca="1"/>
      </c>
      <c r="GA341">
        <f ca="1"/>
      </c>
      <c r="GM341" s="7"/>
    </row>
    <row r="342" spans="41:195" x14ac:dyDescent="0.55000000000000004">
      <c r="AO342">
        <f ca="1"/>
      </c>
      <c r="AP342">
        <f ca="1"/>
      </c>
      <c r="AQ342">
        <f ca="1"/>
      </c>
      <c r="AR342">
        <f ca="1"/>
      </c>
      <c r="AS342">
        <f ca="1"/>
      </c>
      <c r="AT342">
        <f ca="1"/>
      </c>
      <c r="AU342">
        <f ca="1"/>
      </c>
      <c r="AV342">
        <f ca="1"/>
      </c>
      <c r="AW342">
        <f ca="1"/>
      </c>
      <c r="AX342">
        <f ca="1"/>
      </c>
      <c r="AY342">
        <f ca="1"/>
      </c>
      <c r="AZ342">
        <f ca="1"/>
      </c>
      <c r="BA342">
        <f ca="1"/>
      </c>
      <c r="BB342">
        <f ca="1"/>
      </c>
      <c r="BC342">
        <f ca="1"/>
      </c>
      <c r="BD342">
        <f ca="1"/>
      </c>
      <c r="BE342">
        <f ca="1"/>
      </c>
      <c r="BF342">
        <f ca="1"/>
      </c>
      <c r="BG342">
        <f ca="1"/>
      </c>
      <c r="BH342">
        <f ca="1"/>
      </c>
      <c r="BI342">
        <f ca="1"/>
      </c>
      <c r="BJ342">
        <f ca="1"/>
      </c>
      <c r="BK342">
        <f ca="1"/>
      </c>
      <c r="BL342">
        <f ca="1"/>
      </c>
      <c r="BM342">
        <f ca="1"/>
      </c>
      <c r="BN342">
        <f ca="1"/>
      </c>
      <c r="BO342">
        <f ca="1"/>
      </c>
      <c r="BP342">
        <f ca="1"/>
      </c>
      <c r="BQ342">
        <f ca="1"/>
      </c>
      <c r="BR342">
        <f ca="1"/>
      </c>
      <c r="BS342">
        <f ca="1"/>
      </c>
      <c r="BT342">
        <f ca="1"/>
      </c>
      <c r="BU342">
        <f ca="1"/>
      </c>
      <c r="BV342">
        <f ca="1"/>
      </c>
      <c r="BW342">
        <f ca="1"/>
      </c>
      <c r="BX342">
        <f ca="1"/>
      </c>
      <c r="BY342">
        <f ca="1"/>
      </c>
      <c r="BZ342">
        <f ca="1"/>
      </c>
      <c r="CA342">
        <f ca="1"/>
      </c>
      <c r="CB342">
        <f ca="1"/>
      </c>
      <c r="CC342">
        <f ca="1"/>
      </c>
      <c r="CD342">
        <f ca="1"/>
      </c>
      <c r="CE342">
        <f ca="1"/>
      </c>
      <c r="CF342">
        <f ca="1"/>
      </c>
      <c r="CG342">
        <f ca="1"/>
      </c>
      <c r="CH342">
        <f ca="1"/>
      </c>
      <c r="CI342">
        <f ca="1"/>
      </c>
      <c r="CK342">
        <f ca="1"/>
      </c>
      <c r="CL342">
        <f ca="1"/>
      </c>
      <c r="CM342">
        <f ca="1"/>
      </c>
      <c r="CN342">
        <f ca="1"/>
      </c>
      <c r="CO342">
        <f ca="1"/>
      </c>
      <c r="CP342">
        <f ca="1"/>
      </c>
      <c r="CQ342">
        <f ca="1"/>
      </c>
      <c r="CR342">
        <f ca="1"/>
      </c>
      <c r="CS342">
        <f ca="1"/>
      </c>
      <c r="CT342">
        <f ca="1"/>
      </c>
      <c r="CU342">
        <f ca="1"/>
      </c>
      <c r="CV342">
        <f ca="1"/>
      </c>
      <c r="CW342">
        <f ca="1"/>
      </c>
      <c r="CX342">
        <f ca="1"/>
      </c>
      <c r="CY342">
        <f ca="1"/>
      </c>
      <c r="CZ342">
        <f ca="1"/>
      </c>
      <c r="DA342">
        <f ca="1"/>
      </c>
      <c r="DB342">
        <f ca="1"/>
      </c>
      <c r="DC342">
        <f ca="1"/>
      </c>
      <c r="DD342">
        <f ca="1"/>
      </c>
      <c r="DE342">
        <f ca="1"/>
      </c>
      <c r="DF342">
        <f ca="1"/>
      </c>
      <c r="DG342">
        <f ca="1"/>
      </c>
      <c r="DH342">
        <f ca="1"/>
      </c>
      <c r="DI342">
        <f ca="1"/>
      </c>
      <c r="DJ342">
        <f ca="1"/>
      </c>
      <c r="DK342">
        <f ca="1"/>
      </c>
      <c r="DL342">
        <f ca="1"/>
      </c>
      <c r="DM342">
        <f ca="1"/>
      </c>
      <c r="DN342">
        <f ca="1"/>
      </c>
      <c r="DO342">
        <f ca="1"/>
      </c>
      <c r="DP342">
        <f ca="1"/>
      </c>
      <c r="DQ342">
        <f ca="1"/>
      </c>
      <c r="DR342">
        <f ca="1"/>
      </c>
      <c r="DS342">
        <f ca="1"/>
      </c>
      <c r="DT342">
        <f ca="1"/>
      </c>
      <c r="DU342">
        <f ca="1"/>
      </c>
      <c r="DV342">
        <f ca="1"/>
      </c>
      <c r="DW342">
        <f ca="1"/>
      </c>
      <c r="DX342">
        <f ca="1"/>
      </c>
      <c r="DY342">
        <f ca="1"/>
      </c>
      <c r="DZ342">
        <f ca="1"/>
      </c>
      <c r="EA342">
        <f ca="1"/>
      </c>
      <c r="EB342">
        <f ca="1"/>
      </c>
      <c r="EC342">
        <f ca="1"/>
      </c>
      <c r="ED342">
        <f ca="1"/>
      </c>
      <c r="EE342">
        <f ca="1"/>
      </c>
      <c r="EG342">
        <f ca="1"/>
      </c>
      <c r="EH342">
        <f ca="1"/>
      </c>
      <c r="EI342">
        <f ca="1"/>
      </c>
      <c r="EJ342">
        <f ca="1"/>
      </c>
      <c r="EK342">
        <f ca="1"/>
      </c>
      <c r="EL342">
        <f ca="1"/>
      </c>
      <c r="EM342">
        <f ca="1"/>
      </c>
      <c r="EN342">
        <f ca="1"/>
      </c>
      <c r="EO342">
        <f ca="1"/>
      </c>
      <c r="EP342">
        <f ca="1"/>
      </c>
      <c r="EQ342">
        <f ca="1"/>
      </c>
      <c r="ER342">
        <f ca="1"/>
      </c>
      <c r="ES342">
        <f ca="1"/>
      </c>
      <c r="ET342">
        <f ca="1"/>
      </c>
      <c r="EU342">
        <f ca="1"/>
      </c>
      <c r="EV342">
        <f ca="1"/>
      </c>
      <c r="EW342">
        <f ca="1"/>
      </c>
      <c r="EX342">
        <f ca="1"/>
      </c>
      <c r="EY342">
        <f ca="1"/>
      </c>
      <c r="EZ342">
        <f ca="1"/>
      </c>
      <c r="FA342">
        <f ca="1"/>
      </c>
      <c r="FB342">
        <f ca="1"/>
      </c>
      <c r="FC342">
        <f ca="1"/>
      </c>
      <c r="FD342">
        <f ca="1"/>
      </c>
      <c r="FE342">
        <f ca="1"/>
      </c>
      <c r="FF342">
        <f ca="1"/>
      </c>
      <c r="FG342">
        <f ca="1"/>
      </c>
      <c r="FH342">
        <f ca="1"/>
      </c>
      <c r="FI342">
        <f ca="1"/>
      </c>
      <c r="FJ342">
        <f ca="1"/>
      </c>
      <c r="FK342">
        <f ca="1"/>
      </c>
      <c r="FL342">
        <f ca="1"/>
      </c>
      <c r="FM342">
        <f ca="1"/>
      </c>
      <c r="FN342">
        <f ca="1"/>
      </c>
      <c r="FO342">
        <f ca="1"/>
      </c>
      <c r="FP342">
        <f ca="1"/>
      </c>
      <c r="FQ342">
        <f ca="1"/>
      </c>
      <c r="FR342">
        <f ca="1"/>
      </c>
      <c r="FS342">
        <f ca="1"/>
      </c>
      <c r="FT342">
        <f ca="1"/>
      </c>
      <c r="FU342">
        <f ca="1"/>
      </c>
      <c r="FV342">
        <f ca="1"/>
      </c>
      <c r="FW342">
        <f ca="1"/>
      </c>
      <c r="FX342">
        <f ca="1"/>
      </c>
      <c r="FY342">
        <f ca="1"/>
      </c>
      <c r="FZ342">
        <f ca="1"/>
      </c>
      <c r="GA342">
        <f ca="1"/>
      </c>
      <c r="GM342" s="7"/>
    </row>
    <row r="343" spans="41:195" x14ac:dyDescent="0.55000000000000004">
      <c r="AO343">
        <f ca="1"/>
      </c>
      <c r="AP343">
        <f ca="1"/>
      </c>
      <c r="AQ343">
        <f ca="1"/>
      </c>
      <c r="AR343">
        <f ca="1"/>
      </c>
      <c r="AS343">
        <f ca="1"/>
      </c>
      <c r="AT343">
        <f ca="1"/>
      </c>
      <c r="AU343">
        <f ca="1"/>
      </c>
      <c r="AV343">
        <f ca="1"/>
      </c>
      <c r="AW343">
        <f ca="1"/>
      </c>
      <c r="AX343">
        <f ca="1"/>
      </c>
      <c r="AY343">
        <f ca="1"/>
      </c>
      <c r="AZ343">
        <f ca="1"/>
      </c>
      <c r="BA343">
        <f ca="1"/>
      </c>
      <c r="BB343">
        <f ca="1"/>
      </c>
      <c r="BC343">
        <f ca="1"/>
      </c>
      <c r="BD343">
        <f ca="1"/>
      </c>
      <c r="BE343">
        <f ca="1"/>
      </c>
      <c r="BF343">
        <f ca="1"/>
      </c>
      <c r="BG343">
        <f ca="1"/>
      </c>
      <c r="BH343">
        <f ca="1"/>
      </c>
      <c r="BI343">
        <f ca="1"/>
      </c>
      <c r="BJ343">
        <f ca="1"/>
      </c>
      <c r="BK343">
        <f ca="1"/>
      </c>
      <c r="BL343">
        <f ca="1"/>
      </c>
      <c r="BM343">
        <f ca="1"/>
      </c>
      <c r="BN343">
        <f ca="1"/>
      </c>
      <c r="BO343">
        <f ca="1"/>
      </c>
      <c r="BP343">
        <f ca="1"/>
      </c>
      <c r="BQ343">
        <f ca="1"/>
      </c>
      <c r="BR343">
        <f ca="1"/>
      </c>
      <c r="BS343">
        <f ca="1"/>
      </c>
      <c r="BT343">
        <f ca="1"/>
      </c>
      <c r="BU343">
        <f ca="1"/>
      </c>
      <c r="BV343">
        <f ca="1"/>
      </c>
      <c r="BW343">
        <f ca="1"/>
      </c>
      <c r="BX343">
        <f ca="1"/>
      </c>
      <c r="BY343">
        <f ca="1"/>
      </c>
      <c r="BZ343">
        <f ca="1"/>
      </c>
      <c r="CA343">
        <f ca="1"/>
      </c>
      <c r="CB343">
        <f ca="1"/>
      </c>
      <c r="CC343">
        <f ca="1"/>
      </c>
      <c r="CD343">
        <f ca="1"/>
      </c>
      <c r="CE343">
        <f ca="1"/>
      </c>
      <c r="CF343">
        <f ca="1"/>
      </c>
      <c r="CG343">
        <f ca="1"/>
      </c>
      <c r="CH343">
        <f ca="1"/>
      </c>
      <c r="CI343">
        <f ca="1"/>
      </c>
      <c r="CK343">
        <f ca="1"/>
      </c>
      <c r="CL343">
        <f ca="1"/>
      </c>
      <c r="CM343">
        <f ca="1"/>
      </c>
      <c r="CN343">
        <f ca="1"/>
      </c>
      <c r="CO343">
        <f ca="1"/>
      </c>
      <c r="CP343">
        <f ca="1"/>
      </c>
      <c r="CQ343">
        <f ca="1"/>
      </c>
      <c r="CR343">
        <f ca="1"/>
      </c>
      <c r="CS343">
        <f ca="1"/>
      </c>
      <c r="CT343">
        <f ca="1"/>
      </c>
      <c r="CU343">
        <f ca="1"/>
      </c>
      <c r="CV343">
        <f ca="1"/>
      </c>
      <c r="CW343">
        <f ca="1"/>
      </c>
      <c r="CX343">
        <f ca="1"/>
      </c>
      <c r="CY343">
        <f ca="1"/>
      </c>
      <c r="CZ343">
        <f ca="1"/>
      </c>
      <c r="DA343">
        <f ca="1"/>
      </c>
      <c r="DB343">
        <f ca="1"/>
      </c>
      <c r="DC343">
        <f ca="1"/>
      </c>
      <c r="DD343">
        <f ca="1"/>
      </c>
      <c r="DE343">
        <f ca="1"/>
      </c>
      <c r="DF343">
        <f ca="1"/>
      </c>
      <c r="DG343">
        <f ca="1"/>
      </c>
      <c r="DH343">
        <f ca="1"/>
      </c>
      <c r="DI343">
        <f ca="1"/>
      </c>
      <c r="DJ343">
        <f ca="1"/>
      </c>
      <c r="DK343">
        <f ca="1"/>
      </c>
      <c r="DL343">
        <f ca="1"/>
      </c>
      <c r="DM343">
        <f ca="1"/>
      </c>
      <c r="DN343">
        <f ca="1"/>
      </c>
      <c r="DO343">
        <f ca="1"/>
      </c>
      <c r="DP343">
        <f ca="1"/>
      </c>
      <c r="DQ343">
        <f ca="1"/>
      </c>
      <c r="DR343">
        <f ca="1"/>
      </c>
      <c r="DS343">
        <f ca="1"/>
      </c>
      <c r="DT343">
        <f ca="1"/>
      </c>
      <c r="DU343">
        <f ca="1"/>
      </c>
      <c r="DV343">
        <f ca="1"/>
      </c>
      <c r="DW343">
        <f ca="1"/>
      </c>
      <c r="DX343">
        <f ca="1"/>
      </c>
      <c r="DY343">
        <f ca="1"/>
      </c>
      <c r="DZ343">
        <f ca="1"/>
      </c>
      <c r="EA343">
        <f ca="1"/>
      </c>
      <c r="EB343">
        <f ca="1"/>
      </c>
      <c r="EC343">
        <f ca="1"/>
      </c>
      <c r="ED343">
        <f ca="1"/>
      </c>
      <c r="EE343">
        <f ca="1"/>
      </c>
      <c r="EG343">
        <f ca="1"/>
      </c>
      <c r="EH343">
        <f ca="1"/>
      </c>
      <c r="EI343">
        <f ca="1"/>
      </c>
      <c r="EJ343">
        <f ca="1"/>
      </c>
      <c r="EK343">
        <f ca="1"/>
      </c>
      <c r="EL343">
        <f ca="1"/>
      </c>
      <c r="EM343">
        <f ca="1"/>
      </c>
      <c r="EN343">
        <f ca="1"/>
      </c>
      <c r="EO343">
        <f ca="1"/>
      </c>
      <c r="EP343">
        <f ca="1"/>
      </c>
      <c r="EQ343">
        <f ca="1"/>
      </c>
      <c r="ER343">
        <f ca="1"/>
      </c>
      <c r="ES343">
        <f ca="1"/>
      </c>
      <c r="ET343">
        <f ca="1"/>
      </c>
      <c r="EU343">
        <f ca="1"/>
      </c>
      <c r="EV343">
        <f ca="1"/>
      </c>
      <c r="EW343">
        <f ca="1"/>
      </c>
      <c r="EX343">
        <f ca="1"/>
      </c>
      <c r="EY343">
        <f ca="1"/>
      </c>
      <c r="EZ343">
        <f ca="1"/>
      </c>
      <c r="FA343">
        <f ca="1"/>
      </c>
      <c r="FB343">
        <f ca="1"/>
      </c>
      <c r="FC343">
        <f ca="1"/>
      </c>
      <c r="FD343">
        <f ca="1"/>
      </c>
      <c r="FE343">
        <f ca="1"/>
      </c>
      <c r="FF343">
        <f ca="1"/>
      </c>
      <c r="FG343">
        <f ca="1"/>
      </c>
      <c r="FH343">
        <f ca="1"/>
      </c>
      <c r="FI343">
        <f ca="1"/>
      </c>
      <c r="FJ343">
        <f ca="1"/>
      </c>
      <c r="FK343">
        <f ca="1"/>
      </c>
      <c r="FL343">
        <f ca="1"/>
      </c>
      <c r="FM343">
        <f ca="1"/>
      </c>
      <c r="FN343">
        <f ca="1"/>
      </c>
      <c r="FO343">
        <f ca="1"/>
      </c>
      <c r="FP343">
        <f ca="1"/>
      </c>
      <c r="FQ343">
        <f ca="1"/>
      </c>
      <c r="FR343">
        <f ca="1"/>
      </c>
      <c r="FS343">
        <f ca="1"/>
      </c>
      <c r="FT343">
        <f ca="1"/>
      </c>
      <c r="FU343">
        <f ca="1"/>
      </c>
      <c r="FV343">
        <f ca="1"/>
      </c>
      <c r="FW343">
        <f ca="1"/>
      </c>
      <c r="FX343">
        <f ca="1"/>
      </c>
      <c r="FY343">
        <f ca="1"/>
      </c>
      <c r="FZ343">
        <f ca="1"/>
      </c>
      <c r="GA343">
        <f ca="1"/>
      </c>
      <c r="GM343" s="7"/>
    </row>
    <row r="344" spans="41:195" x14ac:dyDescent="0.55000000000000004">
      <c r="AO344">
        <f ca="1"/>
      </c>
      <c r="AP344">
        <f ca="1"/>
      </c>
      <c r="AQ344">
        <f ca="1"/>
      </c>
      <c r="AR344">
        <f ca="1"/>
      </c>
      <c r="AS344">
        <f ca="1"/>
      </c>
      <c r="AT344">
        <f ca="1"/>
      </c>
      <c r="AU344">
        <f ca="1"/>
      </c>
      <c r="AV344">
        <f ca="1"/>
      </c>
      <c r="AW344">
        <f ca="1"/>
      </c>
      <c r="AX344">
        <f ca="1"/>
      </c>
      <c r="AY344">
        <f ca="1"/>
      </c>
      <c r="AZ344">
        <f ca="1"/>
      </c>
      <c r="BA344">
        <f ca="1"/>
      </c>
      <c r="BB344">
        <f ca="1"/>
      </c>
      <c r="BC344">
        <f ca="1"/>
      </c>
      <c r="BD344">
        <f ca="1"/>
      </c>
      <c r="BE344">
        <f ca="1"/>
      </c>
      <c r="BF344">
        <f ca="1"/>
      </c>
      <c r="BG344">
        <f ca="1"/>
      </c>
      <c r="BH344">
        <f ca="1"/>
      </c>
      <c r="BI344">
        <f ca="1"/>
      </c>
      <c r="BJ344">
        <f ca="1"/>
      </c>
      <c r="BK344">
        <f ca="1"/>
      </c>
      <c r="BL344">
        <f ca="1"/>
      </c>
      <c r="BM344">
        <f ca="1"/>
      </c>
      <c r="BN344">
        <f ca="1"/>
      </c>
      <c r="BO344">
        <f ca="1"/>
      </c>
      <c r="BP344">
        <f ca="1"/>
      </c>
      <c r="BQ344">
        <f ca="1"/>
      </c>
      <c r="BR344">
        <f ca="1"/>
      </c>
      <c r="BS344">
        <f ca="1"/>
      </c>
      <c r="BT344">
        <f ca="1"/>
      </c>
      <c r="BU344">
        <f ca="1"/>
      </c>
      <c r="BV344">
        <f ca="1"/>
      </c>
      <c r="BW344">
        <f ca="1"/>
      </c>
      <c r="BX344">
        <f ca="1"/>
      </c>
      <c r="BY344">
        <f ca="1"/>
      </c>
      <c r="BZ344">
        <f ca="1"/>
      </c>
      <c r="CA344">
        <f ca="1"/>
      </c>
      <c r="CB344">
        <f ca="1"/>
      </c>
      <c r="CC344">
        <f ca="1"/>
      </c>
      <c r="CD344">
        <f ca="1"/>
      </c>
      <c r="CE344">
        <f ca="1"/>
      </c>
      <c r="CF344">
        <f ca="1"/>
      </c>
      <c r="CG344">
        <f ca="1"/>
      </c>
      <c r="CH344">
        <f ca="1"/>
      </c>
      <c r="CI344">
        <f ca="1"/>
      </c>
      <c r="CK344">
        <f ca="1"/>
      </c>
      <c r="CL344">
        <f ca="1"/>
      </c>
      <c r="CM344">
        <f ca="1"/>
      </c>
      <c r="CN344">
        <f ca="1"/>
      </c>
      <c r="CO344">
        <f ca="1"/>
      </c>
      <c r="CP344">
        <f ca="1"/>
      </c>
      <c r="CQ344">
        <f ca="1"/>
      </c>
      <c r="CR344">
        <f ca="1"/>
      </c>
      <c r="CS344">
        <f ca="1"/>
      </c>
      <c r="CT344">
        <f ca="1"/>
      </c>
      <c r="CU344">
        <f ca="1"/>
      </c>
      <c r="CV344">
        <f ca="1"/>
      </c>
      <c r="CW344">
        <f ca="1"/>
      </c>
      <c r="CX344">
        <f ca="1"/>
      </c>
      <c r="CY344">
        <f ca="1"/>
      </c>
      <c r="CZ344">
        <f ca="1"/>
      </c>
      <c r="DA344">
        <f ca="1"/>
      </c>
      <c r="DB344">
        <f ca="1"/>
      </c>
      <c r="DC344">
        <f ca="1"/>
      </c>
      <c r="DD344">
        <f ca="1"/>
      </c>
      <c r="DE344">
        <f ca="1"/>
      </c>
      <c r="DF344">
        <f ca="1"/>
      </c>
      <c r="DG344">
        <f ca="1"/>
      </c>
      <c r="DH344">
        <f ca="1"/>
      </c>
      <c r="DI344">
        <f ca="1"/>
      </c>
      <c r="DJ344">
        <f ca="1"/>
      </c>
      <c r="DK344">
        <f ca="1"/>
      </c>
      <c r="DL344">
        <f ca="1"/>
      </c>
      <c r="DM344">
        <f ca="1"/>
      </c>
      <c r="DN344">
        <f ca="1"/>
      </c>
      <c r="DO344">
        <f ca="1"/>
      </c>
      <c r="DP344">
        <f ca="1"/>
      </c>
      <c r="DQ344">
        <f ca="1"/>
      </c>
      <c r="DR344">
        <f ca="1"/>
      </c>
      <c r="DS344">
        <f ca="1"/>
      </c>
      <c r="DT344">
        <f ca="1"/>
      </c>
      <c r="DU344">
        <f ca="1"/>
      </c>
      <c r="DV344">
        <f ca="1"/>
      </c>
      <c r="DW344">
        <f ca="1"/>
      </c>
      <c r="DX344">
        <f ca="1"/>
      </c>
      <c r="DY344">
        <f ca="1"/>
      </c>
      <c r="DZ344">
        <f ca="1"/>
      </c>
      <c r="EA344">
        <f ca="1"/>
      </c>
      <c r="EB344">
        <f ca="1"/>
      </c>
      <c r="EC344">
        <f ca="1"/>
      </c>
      <c r="ED344">
        <f ca="1"/>
      </c>
      <c r="EE344">
        <f ca="1"/>
      </c>
      <c r="EG344">
        <f ca="1"/>
      </c>
      <c r="EH344">
        <f ca="1"/>
      </c>
      <c r="EI344">
        <f ca="1"/>
      </c>
      <c r="EJ344">
        <f ca="1"/>
      </c>
      <c r="EK344">
        <f ca="1"/>
      </c>
      <c r="EL344">
        <f ca="1"/>
      </c>
      <c r="EM344">
        <f ca="1"/>
      </c>
      <c r="EN344">
        <f ca="1"/>
      </c>
      <c r="EO344">
        <f ca="1"/>
      </c>
      <c r="EP344">
        <f ca="1"/>
      </c>
      <c r="EQ344">
        <f ca="1"/>
      </c>
      <c r="ER344">
        <f ca="1"/>
      </c>
      <c r="ES344">
        <f ca="1"/>
      </c>
      <c r="ET344">
        <f ca="1"/>
      </c>
      <c r="EU344">
        <f ca="1"/>
      </c>
      <c r="EV344">
        <f ca="1"/>
      </c>
      <c r="EW344">
        <f ca="1"/>
      </c>
      <c r="EX344">
        <f ca="1"/>
      </c>
      <c r="EY344">
        <f ca="1"/>
      </c>
      <c r="EZ344">
        <f ca="1"/>
      </c>
      <c r="FA344">
        <f ca="1"/>
      </c>
      <c r="FB344">
        <f ca="1"/>
      </c>
      <c r="FC344">
        <f ca="1"/>
      </c>
      <c r="FD344">
        <f ca="1"/>
      </c>
      <c r="FE344">
        <f ca="1"/>
      </c>
      <c r="FF344">
        <f ca="1"/>
      </c>
      <c r="FG344">
        <f ca="1"/>
      </c>
      <c r="FH344">
        <f ca="1"/>
      </c>
      <c r="FI344">
        <f ca="1"/>
      </c>
      <c r="FJ344">
        <f ca="1"/>
      </c>
      <c r="FK344">
        <f ca="1"/>
      </c>
      <c r="FL344">
        <f ca="1"/>
      </c>
      <c r="FM344">
        <f ca="1"/>
      </c>
      <c r="FN344">
        <f ca="1"/>
      </c>
      <c r="FO344">
        <f ca="1"/>
      </c>
      <c r="FP344">
        <f ca="1"/>
      </c>
      <c r="FQ344">
        <f ca="1"/>
      </c>
      <c r="FR344">
        <f ca="1"/>
      </c>
      <c r="FS344">
        <f ca="1"/>
      </c>
      <c r="FT344">
        <f ca="1"/>
      </c>
      <c r="FU344">
        <f ca="1"/>
      </c>
      <c r="FV344">
        <f ca="1"/>
      </c>
      <c r="FW344">
        <f ca="1"/>
      </c>
      <c r="FX344">
        <f ca="1"/>
      </c>
      <c r="FY344">
        <f ca="1"/>
      </c>
      <c r="FZ344">
        <f ca="1"/>
      </c>
      <c r="GA344">
        <f ca="1"/>
      </c>
      <c r="GM344" s="7"/>
    </row>
    <row r="345" spans="41:195" x14ac:dyDescent="0.55000000000000004">
      <c r="AO345">
        <f ca="1"/>
      </c>
      <c r="AP345">
        <f ca="1"/>
      </c>
      <c r="AQ345">
        <f ca="1"/>
      </c>
      <c r="AR345">
        <f ca="1"/>
      </c>
      <c r="AS345">
        <f ca="1"/>
      </c>
      <c r="AT345">
        <f ca="1"/>
      </c>
      <c r="AU345">
        <f ca="1"/>
      </c>
      <c r="AV345">
        <f ca="1"/>
      </c>
      <c r="AW345">
        <f ca="1"/>
      </c>
      <c r="AX345">
        <f ca="1"/>
      </c>
      <c r="AY345">
        <f ca="1"/>
      </c>
      <c r="AZ345">
        <f ca="1"/>
      </c>
      <c r="BA345">
        <f ca="1"/>
      </c>
      <c r="BB345">
        <f ca="1"/>
      </c>
      <c r="BC345">
        <f ca="1"/>
      </c>
      <c r="BD345">
        <f ca="1"/>
      </c>
      <c r="BE345">
        <f ca="1"/>
      </c>
      <c r="BF345">
        <f ca="1"/>
      </c>
      <c r="BG345">
        <f ca="1"/>
      </c>
      <c r="BH345">
        <f ca="1"/>
      </c>
      <c r="BI345">
        <f ca="1"/>
      </c>
      <c r="BJ345">
        <f ca="1"/>
      </c>
      <c r="BK345">
        <f ca="1"/>
      </c>
      <c r="BL345">
        <f ca="1"/>
      </c>
      <c r="BM345">
        <f ca="1"/>
      </c>
      <c r="BN345">
        <f ca="1"/>
      </c>
      <c r="BO345">
        <f ca="1"/>
      </c>
      <c r="BP345">
        <f ca="1"/>
      </c>
      <c r="BQ345">
        <f ca="1"/>
      </c>
      <c r="BR345">
        <f ca="1"/>
      </c>
      <c r="BS345">
        <f ca="1"/>
      </c>
      <c r="BT345">
        <f ca="1"/>
      </c>
      <c r="BU345">
        <f ca="1"/>
      </c>
      <c r="BV345">
        <f ca="1"/>
      </c>
      <c r="BW345">
        <f ca="1"/>
      </c>
      <c r="BX345">
        <f ca="1"/>
      </c>
      <c r="BY345">
        <f ca="1"/>
      </c>
      <c r="BZ345">
        <f ca="1"/>
      </c>
      <c r="CA345">
        <f ca="1"/>
      </c>
      <c r="CB345">
        <f ca="1"/>
      </c>
      <c r="CC345">
        <f ca="1"/>
      </c>
      <c r="CD345">
        <f ca="1"/>
      </c>
      <c r="CE345">
        <f ca="1"/>
      </c>
      <c r="CF345">
        <f ca="1"/>
      </c>
      <c r="CG345">
        <f ca="1"/>
      </c>
      <c r="CH345">
        <f ca="1"/>
      </c>
      <c r="CI345">
        <f ca="1"/>
      </c>
      <c r="CK345">
        <f ca="1"/>
      </c>
      <c r="CL345">
        <f ca="1"/>
      </c>
      <c r="CM345">
        <f ca="1"/>
      </c>
      <c r="CN345">
        <f ca="1"/>
      </c>
      <c r="CO345">
        <f ca="1"/>
      </c>
      <c r="CP345">
        <f ca="1"/>
      </c>
      <c r="CQ345">
        <f ca="1"/>
      </c>
      <c r="CR345">
        <f ca="1"/>
      </c>
      <c r="CS345">
        <f ca="1"/>
      </c>
      <c r="CT345">
        <f ca="1"/>
      </c>
      <c r="CU345">
        <f ca="1"/>
      </c>
      <c r="CV345">
        <f ca="1"/>
      </c>
      <c r="CW345">
        <f ca="1"/>
      </c>
      <c r="CX345">
        <f ca="1"/>
      </c>
      <c r="CY345">
        <f ca="1"/>
      </c>
      <c r="CZ345">
        <f ca="1"/>
      </c>
      <c r="DA345">
        <f ca="1"/>
      </c>
      <c r="DB345">
        <f ca="1"/>
      </c>
      <c r="DC345">
        <f ca="1"/>
      </c>
      <c r="DD345">
        <f ca="1"/>
      </c>
      <c r="DE345">
        <f ca="1"/>
      </c>
      <c r="DF345">
        <f ca="1"/>
      </c>
      <c r="DG345">
        <f ca="1"/>
      </c>
      <c r="DH345">
        <f ca="1"/>
      </c>
      <c r="DI345">
        <f ca="1"/>
      </c>
      <c r="DJ345">
        <f ca="1"/>
      </c>
      <c r="DK345">
        <f ca="1"/>
      </c>
      <c r="DL345">
        <f ca="1"/>
      </c>
      <c r="DM345">
        <f ca="1"/>
      </c>
      <c r="DN345">
        <f ca="1"/>
      </c>
      <c r="DO345">
        <f ca="1"/>
      </c>
      <c r="DP345">
        <f ca="1"/>
      </c>
      <c r="DQ345">
        <f ca="1"/>
      </c>
      <c r="DR345">
        <f ca="1"/>
      </c>
      <c r="DS345">
        <f ca="1"/>
      </c>
      <c r="DT345">
        <f ca="1"/>
      </c>
      <c r="DU345">
        <f ca="1"/>
      </c>
      <c r="DV345">
        <f ca="1"/>
      </c>
      <c r="DW345">
        <f ca="1"/>
      </c>
      <c r="DX345">
        <f ca="1"/>
      </c>
      <c r="DY345">
        <f ca="1"/>
      </c>
      <c r="DZ345">
        <f ca="1"/>
      </c>
      <c r="EA345">
        <f ca="1"/>
      </c>
      <c r="EB345">
        <f ca="1"/>
      </c>
      <c r="EC345">
        <f ca="1"/>
      </c>
      <c r="ED345">
        <f ca="1"/>
      </c>
      <c r="EE345">
        <f ca="1"/>
      </c>
      <c r="EG345">
        <f ca="1"/>
      </c>
      <c r="EH345">
        <f ca="1"/>
      </c>
      <c r="EI345">
        <f ca="1"/>
      </c>
      <c r="EJ345">
        <f ca="1"/>
      </c>
      <c r="EK345">
        <f ca="1"/>
      </c>
      <c r="EL345">
        <f ca="1"/>
      </c>
      <c r="EM345">
        <f ca="1"/>
      </c>
      <c r="EN345">
        <f ca="1"/>
      </c>
      <c r="EO345">
        <f ca="1"/>
      </c>
      <c r="EP345">
        <f ca="1"/>
      </c>
      <c r="EQ345">
        <f ca="1"/>
      </c>
      <c r="ER345">
        <f ca="1"/>
      </c>
      <c r="ES345">
        <f ca="1"/>
      </c>
      <c r="ET345">
        <f ca="1"/>
      </c>
      <c r="EU345">
        <f ca="1"/>
      </c>
      <c r="EV345">
        <f ca="1"/>
      </c>
      <c r="EW345">
        <f ca="1"/>
      </c>
      <c r="EX345">
        <f ca="1"/>
      </c>
      <c r="EY345">
        <f ca="1"/>
      </c>
      <c r="EZ345">
        <f ca="1"/>
      </c>
      <c r="FA345">
        <f ca="1"/>
      </c>
      <c r="FB345">
        <f ca="1"/>
      </c>
      <c r="FC345">
        <f ca="1"/>
      </c>
      <c r="FD345">
        <f ca="1"/>
      </c>
      <c r="FE345">
        <f ca="1"/>
      </c>
      <c r="FF345">
        <f ca="1"/>
      </c>
      <c r="FG345">
        <f ca="1"/>
      </c>
      <c r="FH345">
        <f ca="1"/>
      </c>
      <c r="FI345">
        <f ca="1"/>
      </c>
      <c r="FJ345">
        <f ca="1"/>
      </c>
      <c r="FK345">
        <f ca="1"/>
      </c>
      <c r="FL345">
        <f ca="1"/>
      </c>
      <c r="FM345">
        <f ca="1"/>
      </c>
      <c r="FN345">
        <f ca="1"/>
      </c>
      <c r="FO345">
        <f ca="1"/>
      </c>
      <c r="FP345">
        <f ca="1"/>
      </c>
      <c r="FQ345">
        <f ca="1"/>
      </c>
      <c r="FR345">
        <f ca="1"/>
      </c>
      <c r="FS345">
        <f ca="1"/>
      </c>
      <c r="FT345">
        <f ca="1"/>
      </c>
      <c r="FU345">
        <f ca="1"/>
      </c>
      <c r="FV345">
        <f ca="1"/>
      </c>
      <c r="FW345">
        <f ca="1"/>
      </c>
      <c r="FX345">
        <f ca="1"/>
      </c>
      <c r="FY345">
        <f ca="1"/>
      </c>
      <c r="FZ345">
        <f ca="1"/>
      </c>
      <c r="GA345">
        <f ca="1"/>
      </c>
      <c r="GM345" s="7"/>
    </row>
    <row r="346" spans="41:195" x14ac:dyDescent="0.55000000000000004">
      <c r="AO346">
        <f ca="1"/>
      </c>
      <c r="AP346">
        <f ca="1"/>
      </c>
      <c r="AQ346">
        <f ca="1"/>
      </c>
      <c r="AR346">
        <f ca="1"/>
      </c>
      <c r="AS346">
        <f ca="1"/>
      </c>
      <c r="AT346">
        <f ca="1"/>
      </c>
      <c r="AU346">
        <f ca="1"/>
      </c>
      <c r="AV346">
        <f ca="1"/>
      </c>
      <c r="AW346">
        <f ca="1"/>
      </c>
      <c r="AX346">
        <f ca="1"/>
      </c>
      <c r="AY346">
        <f ca="1"/>
      </c>
      <c r="AZ346">
        <f ca="1"/>
      </c>
      <c r="BA346">
        <f ca="1"/>
      </c>
      <c r="BB346">
        <f ca="1"/>
      </c>
      <c r="BC346">
        <f ca="1"/>
      </c>
      <c r="BD346">
        <f ca="1"/>
      </c>
      <c r="BE346">
        <f ca="1"/>
      </c>
      <c r="BF346">
        <f ca="1"/>
      </c>
      <c r="BG346">
        <f ca="1"/>
      </c>
      <c r="BH346">
        <f ca="1"/>
      </c>
      <c r="BI346">
        <f ca="1"/>
      </c>
      <c r="BJ346">
        <f ca="1"/>
      </c>
      <c r="BK346">
        <f ca="1"/>
      </c>
      <c r="BL346">
        <f ca="1"/>
      </c>
      <c r="BM346">
        <f ca="1"/>
      </c>
      <c r="BN346">
        <f ca="1"/>
      </c>
      <c r="BO346">
        <f ca="1"/>
      </c>
      <c r="BP346">
        <f ca="1"/>
      </c>
      <c r="BQ346">
        <f ca="1"/>
      </c>
      <c r="BR346">
        <f ca="1"/>
      </c>
      <c r="BS346">
        <f ca="1"/>
      </c>
      <c r="BT346">
        <f ca="1"/>
      </c>
      <c r="BU346">
        <f ca="1"/>
      </c>
      <c r="BV346">
        <f ca="1"/>
      </c>
      <c r="BW346">
        <f ca="1"/>
      </c>
      <c r="BX346">
        <f ca="1"/>
      </c>
      <c r="BY346">
        <f ca="1"/>
      </c>
      <c r="BZ346">
        <f ca="1"/>
      </c>
      <c r="CA346">
        <f ca="1"/>
      </c>
      <c r="CB346">
        <f ca="1"/>
      </c>
      <c r="CC346">
        <f ca="1"/>
      </c>
      <c r="CD346">
        <f ca="1"/>
      </c>
      <c r="CE346">
        <f ca="1"/>
      </c>
      <c r="CF346">
        <f ca="1"/>
      </c>
      <c r="CG346">
        <f ca="1"/>
      </c>
      <c r="CH346">
        <f ca="1"/>
      </c>
      <c r="CI346">
        <f ca="1"/>
      </c>
      <c r="CK346">
        <f ca="1"/>
      </c>
      <c r="CL346">
        <f ca="1"/>
      </c>
      <c r="CM346">
        <f ca="1"/>
      </c>
      <c r="CN346">
        <f ca="1"/>
      </c>
      <c r="CO346">
        <f ca="1"/>
      </c>
      <c r="CP346">
        <f ca="1"/>
      </c>
      <c r="CQ346">
        <f ca="1"/>
      </c>
      <c r="CR346">
        <f ca="1"/>
      </c>
      <c r="CS346">
        <f ca="1"/>
      </c>
      <c r="CT346">
        <f ca="1"/>
      </c>
      <c r="CU346">
        <f ca="1"/>
      </c>
      <c r="CV346">
        <f ca="1"/>
      </c>
      <c r="CW346">
        <f ca="1"/>
      </c>
      <c r="CX346">
        <f ca="1"/>
      </c>
      <c r="CY346">
        <f ca="1"/>
      </c>
      <c r="CZ346">
        <f ca="1"/>
      </c>
      <c r="DA346">
        <f ca="1"/>
      </c>
      <c r="DB346">
        <f ca="1"/>
      </c>
      <c r="DC346">
        <f ca="1"/>
      </c>
      <c r="DD346">
        <f ca="1"/>
      </c>
      <c r="DE346">
        <f ca="1"/>
      </c>
      <c r="DF346">
        <f ca="1"/>
      </c>
      <c r="DG346">
        <f ca="1"/>
      </c>
      <c r="DH346">
        <f ca="1"/>
      </c>
      <c r="DI346">
        <f ca="1"/>
      </c>
      <c r="DJ346">
        <f ca="1"/>
      </c>
      <c r="DK346">
        <f ca="1"/>
      </c>
      <c r="DL346">
        <f ca="1"/>
      </c>
      <c r="DM346">
        <f ca="1"/>
      </c>
      <c r="DN346">
        <f ca="1"/>
      </c>
      <c r="DO346">
        <f ca="1"/>
      </c>
      <c r="DP346">
        <f ca="1"/>
      </c>
      <c r="DQ346">
        <f ca="1"/>
      </c>
      <c r="DR346">
        <f ca="1"/>
      </c>
      <c r="DS346">
        <f ca="1"/>
      </c>
      <c r="DT346">
        <f ca="1"/>
      </c>
      <c r="DU346">
        <f ca="1"/>
      </c>
      <c r="DV346">
        <f ca="1"/>
      </c>
      <c r="DW346">
        <f ca="1"/>
      </c>
      <c r="DX346">
        <f ca="1"/>
      </c>
      <c r="DY346">
        <f ca="1"/>
      </c>
      <c r="DZ346">
        <f ca="1"/>
      </c>
      <c r="EA346">
        <f ca="1"/>
      </c>
      <c r="EB346">
        <f ca="1"/>
      </c>
      <c r="EC346">
        <f ca="1"/>
      </c>
      <c r="ED346">
        <f ca="1"/>
      </c>
      <c r="EE346">
        <f ca="1"/>
      </c>
      <c r="EG346">
        <f ca="1"/>
      </c>
      <c r="EH346">
        <f ca="1"/>
      </c>
      <c r="EI346">
        <f ca="1"/>
      </c>
      <c r="EJ346">
        <f ca="1"/>
      </c>
      <c r="EK346">
        <f ca="1"/>
      </c>
      <c r="EL346">
        <f ca="1"/>
      </c>
      <c r="EM346">
        <f ca="1"/>
      </c>
      <c r="EN346">
        <f ca="1"/>
      </c>
      <c r="EO346">
        <f ca="1"/>
      </c>
      <c r="EP346">
        <f ca="1"/>
      </c>
      <c r="EQ346">
        <f ca="1"/>
      </c>
      <c r="ER346">
        <f ca="1"/>
      </c>
      <c r="ES346">
        <f ca="1"/>
      </c>
      <c r="ET346">
        <f ca="1"/>
      </c>
      <c r="EU346">
        <f ca="1"/>
      </c>
      <c r="EV346">
        <f ca="1"/>
      </c>
      <c r="EW346">
        <f ca="1"/>
      </c>
      <c r="EX346">
        <f ca="1"/>
      </c>
      <c r="EY346">
        <f ca="1"/>
      </c>
      <c r="EZ346">
        <f ca="1"/>
      </c>
      <c r="FA346">
        <f ca="1"/>
      </c>
      <c r="FB346">
        <f ca="1"/>
      </c>
      <c r="FC346">
        <f ca="1"/>
      </c>
      <c r="FD346">
        <f ca="1"/>
      </c>
      <c r="FE346">
        <f ca="1"/>
      </c>
      <c r="FF346">
        <f ca="1"/>
      </c>
      <c r="FG346">
        <f ca="1"/>
      </c>
      <c r="FH346">
        <f ca="1"/>
      </c>
      <c r="FI346">
        <f ca="1"/>
      </c>
      <c r="FJ346">
        <f ca="1"/>
      </c>
      <c r="FK346">
        <f ca="1"/>
      </c>
      <c r="FL346">
        <f ca="1"/>
      </c>
      <c r="FM346">
        <f ca="1"/>
      </c>
      <c r="FN346">
        <f ca="1"/>
      </c>
      <c r="FO346">
        <f ca="1"/>
      </c>
      <c r="FP346">
        <f ca="1"/>
      </c>
      <c r="FQ346">
        <f ca="1"/>
      </c>
      <c r="FR346">
        <f ca="1"/>
      </c>
      <c r="FS346">
        <f ca="1"/>
      </c>
      <c r="FT346">
        <f ca="1"/>
      </c>
      <c r="FU346">
        <f ca="1"/>
      </c>
      <c r="FV346">
        <f ca="1"/>
      </c>
      <c r="FW346">
        <f ca="1"/>
      </c>
      <c r="FX346">
        <f ca="1"/>
      </c>
      <c r="FY346">
        <f ca="1"/>
      </c>
      <c r="FZ346">
        <f ca="1"/>
      </c>
      <c r="GA346">
        <f ca="1"/>
      </c>
      <c r="GM346" s="7"/>
    </row>
    <row r="347" spans="41:195" x14ac:dyDescent="0.55000000000000004">
      <c r="AO347">
        <f ca="1"/>
      </c>
      <c r="AP347">
        <f ca="1"/>
      </c>
      <c r="AQ347">
        <f ca="1"/>
      </c>
      <c r="AR347">
        <f ca="1"/>
      </c>
      <c r="AS347">
        <f ca="1"/>
      </c>
      <c r="AT347">
        <f ca="1"/>
      </c>
      <c r="AU347">
        <f ca="1"/>
      </c>
      <c r="AV347">
        <f ca="1"/>
      </c>
      <c r="AW347">
        <f ca="1"/>
      </c>
      <c r="AX347">
        <f ca="1"/>
      </c>
      <c r="AY347">
        <f ca="1"/>
      </c>
      <c r="AZ347">
        <f ca="1"/>
      </c>
      <c r="BA347">
        <f ca="1"/>
      </c>
      <c r="BB347">
        <f ca="1"/>
      </c>
      <c r="BC347">
        <f ca="1"/>
      </c>
      <c r="BD347">
        <f ca="1"/>
      </c>
      <c r="BE347">
        <f ca="1"/>
      </c>
      <c r="BF347">
        <f ca="1"/>
      </c>
      <c r="BG347">
        <f ca="1"/>
      </c>
      <c r="BH347">
        <f ca="1"/>
      </c>
      <c r="BI347">
        <f ca="1"/>
      </c>
      <c r="BJ347">
        <f ca="1"/>
      </c>
      <c r="BK347">
        <f ca="1"/>
      </c>
      <c r="BL347">
        <f ca="1"/>
      </c>
      <c r="BM347">
        <f ca="1"/>
      </c>
      <c r="BN347">
        <f ca="1"/>
      </c>
      <c r="BO347">
        <f ca="1"/>
      </c>
      <c r="BP347">
        <f ca="1"/>
      </c>
      <c r="BQ347">
        <f ca="1"/>
      </c>
      <c r="BR347">
        <f ca="1"/>
      </c>
      <c r="BS347">
        <f ca="1"/>
      </c>
      <c r="BT347">
        <f ca="1"/>
      </c>
      <c r="BU347">
        <f ca="1"/>
      </c>
      <c r="BV347">
        <f ca="1"/>
      </c>
      <c r="BW347">
        <f ca="1"/>
      </c>
      <c r="BX347">
        <f ca="1"/>
      </c>
      <c r="BY347">
        <f ca="1"/>
      </c>
      <c r="BZ347">
        <f ca="1"/>
      </c>
      <c r="CA347">
        <f ca="1"/>
      </c>
      <c r="CB347">
        <f ca="1"/>
      </c>
      <c r="CC347">
        <f ca="1"/>
      </c>
      <c r="CD347">
        <f ca="1"/>
      </c>
      <c r="CE347">
        <f ca="1"/>
      </c>
      <c r="CF347">
        <f ca="1"/>
      </c>
      <c r="CG347">
        <f ca="1"/>
      </c>
      <c r="CH347">
        <f ca="1"/>
      </c>
      <c r="CI347">
        <f ca="1"/>
      </c>
      <c r="CK347">
        <f ca="1"/>
      </c>
      <c r="CL347">
        <f ca="1"/>
      </c>
      <c r="CM347">
        <f ca="1"/>
      </c>
      <c r="CN347">
        <f ca="1"/>
      </c>
      <c r="CO347">
        <f ca="1"/>
      </c>
      <c r="CP347">
        <f ca="1"/>
      </c>
      <c r="CQ347">
        <f ca="1"/>
      </c>
      <c r="CR347">
        <f ca="1"/>
      </c>
      <c r="CS347">
        <f ca="1"/>
      </c>
      <c r="CT347">
        <f ca="1"/>
      </c>
      <c r="CU347">
        <f ca="1"/>
      </c>
      <c r="CV347">
        <f ca="1"/>
      </c>
      <c r="CW347">
        <f ca="1"/>
      </c>
      <c r="CX347">
        <f ca="1"/>
      </c>
      <c r="CY347">
        <f ca="1"/>
      </c>
      <c r="CZ347">
        <f ca="1"/>
      </c>
      <c r="DA347">
        <f ca="1"/>
      </c>
      <c r="DB347">
        <f ca="1"/>
      </c>
      <c r="DC347">
        <f ca="1"/>
      </c>
      <c r="DD347">
        <f ca="1"/>
      </c>
      <c r="DE347">
        <f ca="1"/>
      </c>
      <c r="DF347">
        <f ca="1"/>
      </c>
      <c r="DG347">
        <f ca="1"/>
      </c>
      <c r="DH347">
        <f ca="1"/>
      </c>
      <c r="DI347">
        <f ca="1"/>
      </c>
      <c r="DJ347">
        <f ca="1"/>
      </c>
      <c r="DK347">
        <f ca="1"/>
      </c>
      <c r="DL347">
        <f ca="1"/>
      </c>
      <c r="DM347">
        <f ca="1"/>
      </c>
      <c r="DN347">
        <f ca="1"/>
      </c>
      <c r="DO347">
        <f ca="1"/>
      </c>
      <c r="DP347">
        <f ca="1"/>
      </c>
      <c r="DQ347">
        <f ca="1"/>
      </c>
      <c r="DR347">
        <f ca="1"/>
      </c>
      <c r="DS347">
        <f ca="1"/>
      </c>
      <c r="DT347">
        <f ca="1"/>
      </c>
      <c r="DU347">
        <f ca="1"/>
      </c>
      <c r="DV347">
        <f ca="1"/>
      </c>
      <c r="DW347">
        <f ca="1"/>
      </c>
      <c r="DX347">
        <f ca="1"/>
      </c>
      <c r="DY347">
        <f ca="1"/>
      </c>
      <c r="DZ347">
        <f ca="1"/>
      </c>
      <c r="EA347">
        <f ca="1"/>
      </c>
      <c r="EB347">
        <f ca="1"/>
      </c>
      <c r="EC347">
        <f ca="1"/>
      </c>
      <c r="ED347">
        <f ca="1"/>
      </c>
      <c r="EE347">
        <f ca="1"/>
      </c>
      <c r="EG347">
        <f ca="1"/>
      </c>
      <c r="EH347">
        <f ca="1"/>
      </c>
      <c r="EI347">
        <f ca="1"/>
      </c>
      <c r="EJ347">
        <f ca="1"/>
      </c>
      <c r="EK347">
        <f ca="1"/>
      </c>
      <c r="EL347">
        <f ca="1"/>
      </c>
      <c r="EM347">
        <f ca="1"/>
      </c>
      <c r="EN347">
        <f ca="1"/>
      </c>
      <c r="EO347">
        <f ca="1"/>
      </c>
      <c r="EP347">
        <f ca="1"/>
      </c>
      <c r="EQ347">
        <f ca="1"/>
      </c>
      <c r="ER347">
        <f ca="1"/>
      </c>
      <c r="ES347">
        <f ca="1"/>
      </c>
      <c r="ET347">
        <f ca="1"/>
      </c>
      <c r="EU347">
        <f ca="1"/>
      </c>
      <c r="EV347">
        <f ca="1"/>
      </c>
      <c r="EW347">
        <f ca="1"/>
      </c>
      <c r="EX347">
        <f ca="1"/>
      </c>
      <c r="EY347">
        <f ca="1"/>
      </c>
      <c r="EZ347">
        <f ca="1"/>
      </c>
      <c r="FA347">
        <f ca="1"/>
      </c>
      <c r="FB347">
        <f ca="1"/>
      </c>
      <c r="FC347">
        <f ca="1"/>
      </c>
      <c r="FD347">
        <f ca="1"/>
      </c>
      <c r="FE347">
        <f ca="1"/>
      </c>
      <c r="FF347">
        <f ca="1"/>
      </c>
      <c r="FG347">
        <f ca="1"/>
      </c>
      <c r="FH347">
        <f ca="1"/>
      </c>
      <c r="FI347">
        <f ca="1"/>
      </c>
      <c r="FJ347">
        <f ca="1"/>
      </c>
      <c r="FK347">
        <f ca="1"/>
      </c>
      <c r="FL347">
        <f ca="1"/>
      </c>
      <c r="FM347">
        <f ca="1"/>
      </c>
      <c r="FN347">
        <f ca="1"/>
      </c>
      <c r="FO347">
        <f ca="1"/>
      </c>
      <c r="FP347">
        <f ca="1"/>
      </c>
      <c r="FQ347">
        <f ca="1"/>
      </c>
      <c r="FR347">
        <f ca="1"/>
      </c>
      <c r="FS347">
        <f ca="1"/>
      </c>
      <c r="FT347">
        <f ca="1"/>
      </c>
      <c r="FU347">
        <f ca="1"/>
      </c>
      <c r="FV347">
        <f ca="1"/>
      </c>
      <c r="FW347">
        <f ca="1"/>
      </c>
      <c r="FX347">
        <f ca="1"/>
      </c>
      <c r="FY347">
        <f ca="1"/>
      </c>
      <c r="FZ347">
        <f ca="1"/>
      </c>
      <c r="GA347">
        <f ca="1"/>
      </c>
      <c r="GM347" s="7"/>
    </row>
    <row r="348" spans="41:195" x14ac:dyDescent="0.55000000000000004">
      <c r="AO348">
        <f ca="1"/>
      </c>
      <c r="AP348">
        <f ca="1"/>
      </c>
      <c r="AQ348">
        <f ca="1"/>
      </c>
      <c r="AR348">
        <f ca="1"/>
      </c>
      <c r="AS348">
        <f ca="1"/>
      </c>
      <c r="AT348">
        <f ca="1"/>
      </c>
      <c r="AU348">
        <f ca="1"/>
      </c>
      <c r="AV348">
        <f ca="1"/>
      </c>
      <c r="AW348">
        <f ca="1"/>
      </c>
      <c r="AX348">
        <f ca="1"/>
      </c>
      <c r="AY348">
        <f ca="1"/>
      </c>
      <c r="AZ348">
        <f ca="1"/>
      </c>
      <c r="BA348">
        <f ca="1"/>
      </c>
      <c r="BB348">
        <f ca="1"/>
      </c>
      <c r="BC348">
        <f ca="1"/>
      </c>
      <c r="BD348">
        <f ca="1"/>
      </c>
      <c r="BE348">
        <f ca="1"/>
      </c>
      <c r="BF348">
        <f ca="1"/>
      </c>
      <c r="BG348">
        <f ca="1"/>
      </c>
      <c r="BH348">
        <f ca="1"/>
      </c>
      <c r="BI348">
        <f ca="1"/>
      </c>
      <c r="BJ348">
        <f ca="1"/>
      </c>
      <c r="BK348">
        <f ca="1"/>
      </c>
      <c r="BL348">
        <f ca="1"/>
      </c>
      <c r="BM348">
        <f ca="1"/>
      </c>
      <c r="BN348">
        <f ca="1"/>
      </c>
      <c r="BO348">
        <f ca="1"/>
      </c>
      <c r="BP348">
        <f ca="1"/>
      </c>
      <c r="BQ348">
        <f ca="1"/>
      </c>
      <c r="BR348">
        <f ca="1"/>
      </c>
      <c r="BS348">
        <f ca="1"/>
      </c>
      <c r="BT348">
        <f ca="1"/>
      </c>
      <c r="BU348">
        <f ca="1"/>
      </c>
      <c r="BV348">
        <f ca="1"/>
      </c>
      <c r="BW348">
        <f ca="1"/>
      </c>
      <c r="BX348">
        <f ca="1"/>
      </c>
      <c r="BY348">
        <f ca="1"/>
      </c>
      <c r="BZ348">
        <f ca="1"/>
      </c>
      <c r="CA348">
        <f ca="1"/>
      </c>
      <c r="CB348">
        <f ca="1"/>
      </c>
      <c r="CC348">
        <f ca="1"/>
      </c>
      <c r="CD348">
        <f ca="1"/>
      </c>
      <c r="CE348">
        <f ca="1"/>
      </c>
      <c r="CF348">
        <f ca="1"/>
      </c>
      <c r="CG348">
        <f ca="1"/>
      </c>
      <c r="CH348">
        <f ca="1"/>
      </c>
      <c r="CI348">
        <f ca="1"/>
      </c>
      <c r="CK348">
        <f ca="1"/>
      </c>
      <c r="CL348">
        <f ca="1"/>
      </c>
      <c r="CM348">
        <f ca="1"/>
      </c>
      <c r="CN348">
        <f ca="1"/>
      </c>
      <c r="CO348">
        <f ca="1"/>
      </c>
      <c r="CP348">
        <f ca="1"/>
      </c>
      <c r="CQ348">
        <f ca="1"/>
      </c>
      <c r="CR348">
        <f ca="1"/>
      </c>
      <c r="CS348">
        <f ca="1"/>
      </c>
      <c r="CT348">
        <f ca="1"/>
      </c>
      <c r="CU348">
        <f ca="1"/>
      </c>
      <c r="CV348">
        <f ca="1"/>
      </c>
      <c r="CW348">
        <f ca="1"/>
      </c>
      <c r="CX348">
        <f ca="1"/>
      </c>
      <c r="CY348">
        <f ca="1"/>
      </c>
      <c r="CZ348">
        <f ca="1"/>
      </c>
      <c r="DA348">
        <f ca="1"/>
      </c>
      <c r="DB348">
        <f ca="1"/>
      </c>
      <c r="DC348">
        <f ca="1"/>
      </c>
      <c r="DD348">
        <f ca="1"/>
      </c>
      <c r="DE348">
        <f ca="1"/>
      </c>
      <c r="DF348">
        <f ca="1"/>
      </c>
      <c r="DG348">
        <f ca="1"/>
      </c>
      <c r="DH348">
        <f ca="1"/>
      </c>
      <c r="DI348">
        <f ca="1"/>
      </c>
      <c r="DJ348">
        <f ca="1"/>
      </c>
      <c r="DK348">
        <f ca="1"/>
      </c>
      <c r="DL348">
        <f ca="1"/>
      </c>
      <c r="DM348">
        <f ca="1"/>
      </c>
      <c r="DN348">
        <f ca="1"/>
      </c>
      <c r="DO348">
        <f ca="1"/>
      </c>
      <c r="DP348">
        <f ca="1"/>
      </c>
      <c r="DQ348">
        <f ca="1"/>
      </c>
      <c r="DR348">
        <f ca="1"/>
      </c>
      <c r="DS348">
        <f ca="1"/>
      </c>
      <c r="DT348">
        <f ca="1"/>
      </c>
      <c r="DU348">
        <f ca="1"/>
      </c>
      <c r="DV348">
        <f ca="1"/>
      </c>
      <c r="DW348">
        <f ca="1"/>
      </c>
      <c r="DX348">
        <f ca="1"/>
      </c>
      <c r="DY348">
        <f ca="1"/>
      </c>
      <c r="DZ348">
        <f ca="1"/>
      </c>
      <c r="EA348">
        <f ca="1"/>
      </c>
      <c r="EB348">
        <f ca="1"/>
      </c>
      <c r="EC348">
        <f ca="1"/>
      </c>
      <c r="ED348">
        <f ca="1"/>
      </c>
      <c r="EE348">
        <f ca="1"/>
      </c>
      <c r="EG348">
        <f ca="1"/>
      </c>
      <c r="EH348">
        <f ca="1"/>
      </c>
      <c r="EI348">
        <f ca="1"/>
      </c>
      <c r="EJ348">
        <f ca="1"/>
      </c>
      <c r="EK348">
        <f ca="1"/>
      </c>
      <c r="EL348">
        <f ca="1"/>
      </c>
      <c r="EM348">
        <f ca="1"/>
      </c>
      <c r="EN348">
        <f ca="1"/>
      </c>
      <c r="EO348">
        <f ca="1"/>
      </c>
      <c r="EP348">
        <f ca="1"/>
      </c>
      <c r="EQ348">
        <f ca="1"/>
      </c>
      <c r="ER348">
        <f ca="1"/>
      </c>
      <c r="ES348">
        <f ca="1"/>
      </c>
      <c r="ET348">
        <f ca="1"/>
      </c>
      <c r="EU348">
        <f ca="1"/>
      </c>
      <c r="EV348">
        <f ca="1"/>
      </c>
      <c r="EW348">
        <f ca="1"/>
      </c>
      <c r="EX348">
        <f ca="1"/>
      </c>
      <c r="EY348">
        <f ca="1"/>
      </c>
      <c r="EZ348">
        <f ca="1"/>
      </c>
      <c r="FA348">
        <f ca="1"/>
      </c>
      <c r="FB348">
        <f ca="1"/>
      </c>
      <c r="FC348">
        <f ca="1"/>
      </c>
      <c r="FD348">
        <f ca="1"/>
      </c>
      <c r="FE348">
        <f ca="1"/>
      </c>
      <c r="FF348">
        <f ca="1"/>
      </c>
      <c r="FG348">
        <f ca="1"/>
      </c>
      <c r="FH348">
        <f ca="1"/>
      </c>
      <c r="FI348">
        <f ca="1"/>
      </c>
      <c r="FJ348">
        <f ca="1"/>
      </c>
      <c r="FK348">
        <f ca="1"/>
      </c>
      <c r="FL348">
        <f ca="1"/>
      </c>
      <c r="FM348">
        <f ca="1"/>
      </c>
      <c r="FN348">
        <f ca="1"/>
      </c>
      <c r="FO348">
        <f ca="1"/>
      </c>
      <c r="FP348">
        <f ca="1"/>
      </c>
      <c r="FQ348">
        <f ca="1"/>
      </c>
      <c r="FR348">
        <f ca="1"/>
      </c>
      <c r="FS348">
        <f ca="1"/>
      </c>
      <c r="FT348">
        <f ca="1"/>
      </c>
      <c r="FU348">
        <f ca="1"/>
      </c>
      <c r="FV348">
        <f ca="1"/>
      </c>
      <c r="FW348">
        <f ca="1"/>
      </c>
      <c r="FX348">
        <f ca="1"/>
      </c>
      <c r="FY348">
        <f ca="1"/>
      </c>
      <c r="FZ348">
        <f ca="1"/>
      </c>
      <c r="GA348">
        <f ca="1"/>
      </c>
      <c r="GM348" s="7"/>
    </row>
    <row r="349" spans="41:195" x14ac:dyDescent="0.55000000000000004">
      <c r="AO349">
        <f ca="1"/>
      </c>
      <c r="AP349">
        <f ca="1"/>
      </c>
      <c r="AQ349">
        <f ca="1"/>
      </c>
      <c r="AR349">
        <f ca="1"/>
      </c>
      <c r="AS349">
        <f ca="1"/>
      </c>
      <c r="AT349">
        <f ca="1"/>
      </c>
      <c r="AU349">
        <f ca="1"/>
      </c>
      <c r="AV349">
        <f ca="1"/>
      </c>
      <c r="AW349">
        <f ca="1"/>
      </c>
      <c r="AX349">
        <f ca="1"/>
      </c>
      <c r="AY349">
        <f ca="1"/>
      </c>
      <c r="AZ349">
        <f ca="1"/>
      </c>
      <c r="BA349">
        <f ca="1"/>
      </c>
      <c r="BB349">
        <f ca="1"/>
      </c>
      <c r="BC349">
        <f ca="1"/>
      </c>
      <c r="BD349">
        <f ca="1"/>
      </c>
      <c r="BE349">
        <f ca="1"/>
      </c>
      <c r="BF349">
        <f ca="1"/>
      </c>
      <c r="BG349">
        <f ca="1"/>
      </c>
      <c r="BH349">
        <f ca="1"/>
      </c>
      <c r="BI349">
        <f ca="1"/>
      </c>
      <c r="BJ349">
        <f ca="1"/>
      </c>
      <c r="BK349">
        <f ca="1"/>
      </c>
      <c r="BL349">
        <f ca="1"/>
      </c>
      <c r="BM349">
        <f ca="1"/>
      </c>
      <c r="BN349">
        <f ca="1"/>
      </c>
      <c r="BO349">
        <f ca="1"/>
      </c>
      <c r="BP349">
        <f ca="1"/>
      </c>
      <c r="BQ349">
        <f ca="1"/>
      </c>
      <c r="BR349">
        <f ca="1"/>
      </c>
      <c r="BS349">
        <f ca="1"/>
      </c>
      <c r="BT349">
        <f ca="1"/>
      </c>
      <c r="BU349">
        <f ca="1"/>
      </c>
      <c r="BV349">
        <f ca="1"/>
      </c>
      <c r="BW349">
        <f ca="1"/>
      </c>
      <c r="BX349">
        <f ca="1"/>
      </c>
      <c r="BY349">
        <f ca="1"/>
      </c>
      <c r="BZ349">
        <f ca="1"/>
      </c>
      <c r="CA349">
        <f ca="1"/>
      </c>
      <c r="CB349">
        <f ca="1"/>
      </c>
      <c r="CC349">
        <f ca="1"/>
      </c>
      <c r="CD349">
        <f ca="1"/>
      </c>
      <c r="CE349">
        <f ca="1"/>
      </c>
      <c r="CF349">
        <f ca="1"/>
      </c>
      <c r="CG349">
        <f ca="1"/>
      </c>
      <c r="CH349">
        <f ca="1"/>
      </c>
      <c r="CI349">
        <f ca="1"/>
      </c>
      <c r="CK349">
        <f ca="1"/>
      </c>
      <c r="CL349">
        <f ca="1"/>
      </c>
      <c r="CM349">
        <f ca="1"/>
      </c>
      <c r="CN349">
        <f ca="1"/>
      </c>
      <c r="CO349">
        <f ca="1"/>
      </c>
      <c r="CP349">
        <f ca="1"/>
      </c>
      <c r="CQ349">
        <f ca="1"/>
      </c>
      <c r="CR349">
        <f ca="1"/>
      </c>
      <c r="CS349">
        <f ca="1"/>
      </c>
      <c r="CT349">
        <f ca="1"/>
      </c>
      <c r="CU349">
        <f ca="1"/>
      </c>
      <c r="CV349">
        <f ca="1"/>
      </c>
      <c r="CW349">
        <f ca="1"/>
      </c>
      <c r="CX349">
        <f ca="1"/>
      </c>
      <c r="CY349">
        <f ca="1"/>
      </c>
      <c r="CZ349">
        <f ca="1"/>
      </c>
      <c r="DA349">
        <f ca="1"/>
      </c>
      <c r="DB349">
        <f ca="1"/>
      </c>
      <c r="DC349">
        <f ca="1"/>
      </c>
      <c r="DD349">
        <f ca="1"/>
      </c>
      <c r="DE349">
        <f ca="1"/>
      </c>
      <c r="DF349">
        <f ca="1"/>
      </c>
      <c r="DG349">
        <f ca="1"/>
      </c>
      <c r="DH349">
        <f ca="1"/>
      </c>
      <c r="DI349">
        <f ca="1"/>
      </c>
      <c r="DJ349">
        <f ca="1"/>
      </c>
      <c r="DK349">
        <f ca="1"/>
      </c>
      <c r="DL349">
        <f ca="1"/>
      </c>
      <c r="DM349">
        <f ca="1"/>
      </c>
      <c r="DN349">
        <f ca="1"/>
      </c>
      <c r="DO349">
        <f ca="1"/>
      </c>
      <c r="DP349">
        <f ca="1"/>
      </c>
      <c r="DQ349">
        <f ca="1"/>
      </c>
      <c r="DR349">
        <f ca="1"/>
      </c>
      <c r="DS349">
        <f ca="1"/>
      </c>
      <c r="DT349">
        <f ca="1"/>
      </c>
      <c r="DU349">
        <f ca="1"/>
      </c>
      <c r="DV349">
        <f ca="1"/>
      </c>
      <c r="DW349">
        <f ca="1"/>
      </c>
      <c r="DX349">
        <f ca="1"/>
      </c>
      <c r="DY349">
        <f ca="1"/>
      </c>
      <c r="DZ349">
        <f ca="1"/>
      </c>
      <c r="EA349">
        <f ca="1"/>
      </c>
      <c r="EB349">
        <f ca="1"/>
      </c>
      <c r="EC349">
        <f ca="1"/>
      </c>
      <c r="ED349">
        <f ca="1"/>
      </c>
      <c r="EE349">
        <f ca="1"/>
      </c>
      <c r="EG349">
        <f ca="1"/>
      </c>
      <c r="EH349">
        <f ca="1"/>
      </c>
      <c r="EI349">
        <f ca="1"/>
      </c>
      <c r="EJ349">
        <f ca="1"/>
      </c>
      <c r="EK349">
        <f ca="1"/>
      </c>
      <c r="EL349">
        <f ca="1"/>
      </c>
      <c r="EM349">
        <f ca="1"/>
      </c>
      <c r="EN349">
        <f ca="1"/>
      </c>
      <c r="EO349">
        <f ca="1"/>
      </c>
      <c r="EP349">
        <f ca="1"/>
      </c>
      <c r="EQ349">
        <f ca="1"/>
      </c>
      <c r="ER349">
        <f ca="1"/>
      </c>
      <c r="ES349">
        <f ca="1"/>
      </c>
      <c r="ET349">
        <f ca="1"/>
      </c>
      <c r="EU349">
        <f ca="1"/>
      </c>
      <c r="EV349">
        <f ca="1"/>
      </c>
      <c r="EW349">
        <f ca="1"/>
      </c>
      <c r="EX349">
        <f ca="1"/>
      </c>
      <c r="EY349">
        <f ca="1"/>
      </c>
      <c r="EZ349">
        <f ca="1"/>
      </c>
      <c r="FA349">
        <f ca="1"/>
      </c>
      <c r="FB349">
        <f ca="1"/>
      </c>
      <c r="FC349">
        <f ca="1"/>
      </c>
      <c r="FD349">
        <f ca="1"/>
      </c>
      <c r="FE349">
        <f ca="1"/>
      </c>
      <c r="FF349">
        <f ca="1"/>
      </c>
      <c r="FG349">
        <f ca="1"/>
      </c>
      <c r="FH349">
        <f ca="1"/>
      </c>
      <c r="FI349">
        <f ca="1"/>
      </c>
      <c r="FJ349">
        <f ca="1"/>
      </c>
      <c r="FK349">
        <f ca="1"/>
      </c>
      <c r="FL349">
        <f ca="1"/>
      </c>
      <c r="FM349">
        <f ca="1"/>
      </c>
      <c r="FN349">
        <f ca="1"/>
      </c>
      <c r="FO349">
        <f ca="1"/>
      </c>
      <c r="FP349">
        <f ca="1"/>
      </c>
      <c r="FQ349">
        <f ca="1"/>
      </c>
      <c r="FR349">
        <f ca="1"/>
      </c>
      <c r="FS349">
        <f ca="1"/>
      </c>
      <c r="FT349">
        <f ca="1"/>
      </c>
      <c r="FU349">
        <f ca="1"/>
      </c>
      <c r="FV349">
        <f ca="1"/>
      </c>
      <c r="FW349">
        <f ca="1"/>
      </c>
      <c r="FX349">
        <f ca="1"/>
      </c>
      <c r="FY349">
        <f ca="1"/>
      </c>
      <c r="FZ349">
        <f ca="1"/>
      </c>
      <c r="GA349">
        <f ca="1"/>
      </c>
      <c r="GM349" s="7"/>
    </row>
    <row r="350" spans="41:195" x14ac:dyDescent="0.55000000000000004">
      <c r="AO350">
        <f ca="1"/>
      </c>
      <c r="AP350">
        <f ca="1"/>
      </c>
      <c r="AQ350">
        <f ca="1"/>
      </c>
      <c r="AR350">
        <f ca="1"/>
      </c>
      <c r="AS350">
        <f ca="1"/>
      </c>
      <c r="AT350">
        <f ca="1"/>
      </c>
      <c r="AU350">
        <f ca="1"/>
      </c>
      <c r="AV350">
        <f ca="1"/>
      </c>
      <c r="AW350">
        <f ca="1"/>
      </c>
      <c r="AX350">
        <f ca="1"/>
      </c>
      <c r="AY350">
        <f ca="1"/>
      </c>
      <c r="AZ350">
        <f ca="1"/>
      </c>
      <c r="BA350">
        <f ca="1"/>
      </c>
      <c r="BB350">
        <f ca="1"/>
      </c>
      <c r="BC350">
        <f ca="1"/>
      </c>
      <c r="BD350">
        <f ca="1"/>
      </c>
      <c r="BE350">
        <f ca="1"/>
      </c>
      <c r="BF350">
        <f ca="1"/>
      </c>
      <c r="BG350">
        <f ca="1"/>
      </c>
      <c r="BH350">
        <f ca="1"/>
      </c>
      <c r="BI350">
        <f ca="1"/>
      </c>
      <c r="BJ350">
        <f ca="1"/>
      </c>
      <c r="BK350">
        <f ca="1"/>
      </c>
      <c r="BL350">
        <f ca="1"/>
      </c>
      <c r="BM350">
        <f ca="1"/>
      </c>
      <c r="BN350">
        <f ca="1"/>
      </c>
      <c r="BO350">
        <f ca="1"/>
      </c>
      <c r="BP350">
        <f ca="1"/>
      </c>
      <c r="BQ350">
        <f ca="1"/>
      </c>
      <c r="BR350">
        <f ca="1"/>
      </c>
      <c r="BS350">
        <f ca="1"/>
      </c>
      <c r="BT350">
        <f ca="1"/>
      </c>
      <c r="BU350">
        <f ca="1"/>
      </c>
      <c r="BV350">
        <f ca="1"/>
      </c>
      <c r="BW350">
        <f ca="1"/>
      </c>
      <c r="BX350">
        <f ca="1"/>
      </c>
      <c r="BY350">
        <f ca="1"/>
      </c>
      <c r="BZ350">
        <f ca="1"/>
      </c>
      <c r="CA350">
        <f ca="1"/>
      </c>
      <c r="CB350">
        <f ca="1"/>
      </c>
      <c r="CC350">
        <f ca="1"/>
      </c>
      <c r="CD350">
        <f ca="1"/>
      </c>
      <c r="CE350">
        <f ca="1"/>
      </c>
      <c r="CF350">
        <f ca="1"/>
      </c>
      <c r="CG350">
        <f ca="1"/>
      </c>
      <c r="CH350">
        <f ca="1"/>
      </c>
      <c r="CI350">
        <f ca="1"/>
      </c>
      <c r="CK350">
        <f ca="1"/>
      </c>
      <c r="CL350">
        <f ca="1"/>
      </c>
      <c r="CM350">
        <f ca="1"/>
      </c>
      <c r="CN350">
        <f ca="1"/>
      </c>
      <c r="CO350">
        <f ca="1"/>
      </c>
      <c r="CP350">
        <f ca="1"/>
      </c>
      <c r="CQ350">
        <f ca="1"/>
      </c>
      <c r="CR350">
        <f ca="1"/>
      </c>
      <c r="CS350">
        <f ca="1"/>
      </c>
      <c r="CT350">
        <f ca="1"/>
      </c>
      <c r="CU350">
        <f ca="1"/>
      </c>
      <c r="CV350">
        <f ca="1"/>
      </c>
      <c r="CW350">
        <f ca="1"/>
      </c>
      <c r="CX350">
        <f ca="1"/>
      </c>
      <c r="CY350">
        <f ca="1"/>
      </c>
      <c r="CZ350">
        <f ca="1"/>
      </c>
      <c r="DA350">
        <f ca="1"/>
      </c>
      <c r="DB350">
        <f ca="1"/>
      </c>
      <c r="DC350">
        <f ca="1"/>
      </c>
      <c r="DD350">
        <f ca="1"/>
      </c>
      <c r="DE350">
        <f ca="1"/>
      </c>
      <c r="DF350">
        <f ca="1"/>
      </c>
      <c r="DG350">
        <f ca="1"/>
      </c>
      <c r="DH350">
        <f ca="1"/>
      </c>
      <c r="DI350">
        <f ca="1"/>
      </c>
      <c r="DJ350">
        <f ca="1"/>
      </c>
      <c r="DK350">
        <f ca="1"/>
      </c>
      <c r="DL350">
        <f ca="1"/>
      </c>
      <c r="DM350">
        <f ca="1"/>
      </c>
      <c r="DN350">
        <f ca="1"/>
      </c>
      <c r="DO350">
        <f ca="1"/>
      </c>
      <c r="DP350">
        <f ca="1"/>
      </c>
      <c r="DQ350">
        <f ca="1"/>
      </c>
      <c r="DR350">
        <f ca="1"/>
      </c>
      <c r="DS350">
        <f ca="1"/>
      </c>
      <c r="DT350">
        <f ca="1"/>
      </c>
      <c r="DU350">
        <f ca="1"/>
      </c>
      <c r="DV350">
        <f ca="1"/>
      </c>
      <c r="DW350">
        <f ca="1"/>
      </c>
      <c r="DX350">
        <f ca="1"/>
      </c>
      <c r="DY350">
        <f ca="1"/>
      </c>
      <c r="DZ350">
        <f ca="1"/>
      </c>
      <c r="EA350">
        <f ca="1"/>
      </c>
      <c r="EB350">
        <f ca="1"/>
      </c>
      <c r="EC350">
        <f ca="1"/>
      </c>
      <c r="ED350">
        <f ca="1"/>
      </c>
      <c r="EE350">
        <f ca="1"/>
      </c>
      <c r="EG350">
        <f ca="1"/>
      </c>
      <c r="EH350">
        <f ca="1"/>
      </c>
      <c r="EI350">
        <f ca="1"/>
      </c>
      <c r="EJ350">
        <f ca="1"/>
      </c>
      <c r="EK350">
        <f ca="1"/>
      </c>
      <c r="EL350">
        <f ca="1"/>
      </c>
      <c r="EM350">
        <f ca="1"/>
      </c>
      <c r="EN350">
        <f ca="1"/>
      </c>
      <c r="EO350">
        <f ca="1"/>
      </c>
      <c r="EP350">
        <f ca="1"/>
      </c>
      <c r="EQ350">
        <f ca="1"/>
      </c>
      <c r="ER350">
        <f ca="1"/>
      </c>
      <c r="ES350">
        <f ca="1"/>
      </c>
      <c r="ET350">
        <f ca="1"/>
      </c>
      <c r="EU350">
        <f ca="1"/>
      </c>
      <c r="EV350">
        <f ca="1"/>
      </c>
      <c r="EW350">
        <f ca="1"/>
      </c>
      <c r="EX350">
        <f ca="1"/>
      </c>
      <c r="EY350">
        <f ca="1"/>
      </c>
      <c r="EZ350">
        <f ca="1"/>
      </c>
      <c r="FA350">
        <f ca="1"/>
      </c>
      <c r="FB350">
        <f ca="1"/>
      </c>
      <c r="FC350">
        <f ca="1"/>
      </c>
      <c r="FD350">
        <f ca="1"/>
      </c>
      <c r="FE350">
        <f ca="1"/>
      </c>
      <c r="FF350">
        <f ca="1"/>
      </c>
      <c r="FG350">
        <f ca="1"/>
      </c>
      <c r="FH350">
        <f ca="1"/>
      </c>
      <c r="FI350">
        <f ca="1"/>
      </c>
      <c r="FJ350">
        <f ca="1"/>
      </c>
      <c r="FK350">
        <f ca="1"/>
      </c>
      <c r="FL350">
        <f ca="1"/>
      </c>
      <c r="FM350">
        <f ca="1"/>
      </c>
      <c r="FN350">
        <f ca="1"/>
      </c>
      <c r="FO350">
        <f ca="1"/>
      </c>
      <c r="FP350">
        <f ca="1"/>
      </c>
      <c r="FQ350">
        <f ca="1"/>
      </c>
      <c r="FR350">
        <f ca="1"/>
      </c>
      <c r="FS350">
        <f ca="1"/>
      </c>
      <c r="FT350">
        <f ca="1"/>
      </c>
      <c r="FU350">
        <f ca="1"/>
      </c>
      <c r="FV350">
        <f ca="1"/>
      </c>
      <c r="FW350">
        <f ca="1"/>
      </c>
      <c r="FX350">
        <f ca="1"/>
      </c>
      <c r="FY350">
        <f ca="1"/>
      </c>
      <c r="FZ350">
        <f ca="1"/>
      </c>
      <c r="GA350">
        <f ca="1"/>
      </c>
      <c r="GM350" s="7"/>
    </row>
    <row r="351" spans="41:195" x14ac:dyDescent="0.55000000000000004">
      <c r="AO351">
        <f ca="1"/>
      </c>
      <c r="AP351">
        <f ca="1"/>
      </c>
      <c r="AQ351">
        <f ca="1"/>
      </c>
      <c r="AR351">
        <f ca="1"/>
      </c>
      <c r="AS351">
        <f ca="1"/>
      </c>
      <c r="AT351">
        <f ca="1"/>
      </c>
      <c r="AU351">
        <f ca="1"/>
      </c>
      <c r="AV351">
        <f ca="1"/>
      </c>
      <c r="AW351">
        <f ca="1"/>
      </c>
      <c r="AX351">
        <f ca="1"/>
      </c>
      <c r="AY351">
        <f ca="1"/>
      </c>
      <c r="AZ351">
        <f ca="1"/>
      </c>
      <c r="BA351">
        <f ca="1"/>
      </c>
      <c r="BB351">
        <f ca="1"/>
      </c>
      <c r="BC351">
        <f ca="1"/>
      </c>
      <c r="BD351">
        <f ca="1"/>
      </c>
      <c r="BE351">
        <f ca="1"/>
      </c>
      <c r="BF351">
        <f ca="1"/>
      </c>
      <c r="BG351">
        <f ca="1"/>
      </c>
      <c r="BH351">
        <f ca="1"/>
      </c>
      <c r="BI351">
        <f ca="1"/>
      </c>
      <c r="BJ351">
        <f ca="1"/>
      </c>
      <c r="BK351">
        <f ca="1"/>
      </c>
      <c r="BL351">
        <f ca="1"/>
      </c>
      <c r="BM351">
        <f ca="1"/>
      </c>
      <c r="BN351">
        <f ca="1"/>
      </c>
      <c r="BO351">
        <f ca="1"/>
      </c>
      <c r="BP351">
        <f ca="1"/>
      </c>
      <c r="BQ351">
        <f ca="1"/>
      </c>
      <c r="BR351">
        <f ca="1"/>
      </c>
      <c r="BS351">
        <f ca="1"/>
      </c>
      <c r="BT351">
        <f ca="1"/>
      </c>
      <c r="BU351">
        <f ca="1"/>
      </c>
      <c r="BV351">
        <f ca="1"/>
      </c>
      <c r="BW351">
        <f ca="1"/>
      </c>
      <c r="BX351">
        <f ca="1"/>
      </c>
      <c r="BY351">
        <f ca="1"/>
      </c>
      <c r="BZ351">
        <f ca="1"/>
      </c>
      <c r="CA351">
        <f ca="1"/>
      </c>
      <c r="CB351">
        <f ca="1"/>
      </c>
      <c r="CC351">
        <f ca="1"/>
      </c>
      <c r="CD351">
        <f ca="1"/>
      </c>
      <c r="CE351">
        <f ca="1"/>
      </c>
      <c r="CF351">
        <f ca="1"/>
      </c>
      <c r="CG351">
        <f ca="1"/>
      </c>
      <c r="CH351">
        <f ca="1"/>
      </c>
      <c r="CI351">
        <f ca="1"/>
      </c>
      <c r="CK351">
        <f ca="1"/>
      </c>
      <c r="CL351">
        <f ca="1"/>
      </c>
      <c r="CM351">
        <f ca="1"/>
      </c>
      <c r="CN351">
        <f ca="1"/>
      </c>
      <c r="CO351">
        <f ca="1"/>
      </c>
      <c r="CP351">
        <f ca="1"/>
      </c>
      <c r="CQ351">
        <f ca="1"/>
      </c>
      <c r="CR351">
        <f ca="1"/>
      </c>
      <c r="CS351">
        <f ca="1"/>
      </c>
      <c r="CT351">
        <f ca="1"/>
      </c>
      <c r="CU351">
        <f ca="1"/>
      </c>
      <c r="CV351">
        <f ca="1"/>
      </c>
      <c r="CW351">
        <f ca="1"/>
      </c>
      <c r="CX351">
        <f ca="1"/>
      </c>
      <c r="CY351">
        <f ca="1"/>
      </c>
      <c r="CZ351">
        <f ca="1"/>
      </c>
      <c r="DA351">
        <f ca="1"/>
      </c>
      <c r="DB351">
        <f ca="1"/>
      </c>
      <c r="DC351">
        <f ca="1"/>
      </c>
      <c r="DD351">
        <f ca="1"/>
      </c>
      <c r="DE351">
        <f ca="1"/>
      </c>
      <c r="DF351">
        <f ca="1"/>
      </c>
      <c r="DG351">
        <f ca="1"/>
      </c>
      <c r="DH351">
        <f ca="1"/>
      </c>
      <c r="DI351">
        <f ca="1"/>
      </c>
      <c r="DJ351">
        <f ca="1"/>
      </c>
      <c r="DK351">
        <f ca="1"/>
      </c>
      <c r="DL351">
        <f ca="1"/>
      </c>
      <c r="DM351">
        <f ca="1"/>
      </c>
      <c r="DN351">
        <f ca="1"/>
      </c>
      <c r="DO351">
        <f ca="1"/>
      </c>
      <c r="DP351">
        <f ca="1"/>
      </c>
      <c r="DQ351">
        <f ca="1"/>
      </c>
      <c r="DR351">
        <f ca="1"/>
      </c>
      <c r="DS351">
        <f ca="1"/>
      </c>
      <c r="DT351">
        <f ca="1"/>
      </c>
      <c r="DU351">
        <f ca="1"/>
      </c>
      <c r="DV351">
        <f ca="1"/>
      </c>
      <c r="DW351">
        <f ca="1"/>
      </c>
      <c r="DX351">
        <f ca="1"/>
      </c>
      <c r="DY351">
        <f ca="1"/>
      </c>
      <c r="DZ351">
        <f ca="1"/>
      </c>
      <c r="EA351">
        <f ca="1"/>
      </c>
      <c r="EB351">
        <f ca="1"/>
      </c>
      <c r="EC351">
        <f ca="1"/>
      </c>
      <c r="ED351">
        <f ca="1"/>
      </c>
      <c r="EE351">
        <f ca="1"/>
      </c>
      <c r="EG351">
        <f ca="1"/>
      </c>
      <c r="EH351">
        <f ca="1"/>
      </c>
      <c r="EI351">
        <f ca="1"/>
      </c>
      <c r="EJ351">
        <f ca="1"/>
      </c>
      <c r="EK351">
        <f ca="1"/>
      </c>
      <c r="EL351">
        <f ca="1"/>
      </c>
      <c r="EM351">
        <f ca="1"/>
      </c>
      <c r="EN351">
        <f ca="1"/>
      </c>
      <c r="EO351">
        <f ca="1"/>
      </c>
      <c r="EP351">
        <f ca="1"/>
      </c>
      <c r="EQ351">
        <f ca="1"/>
      </c>
      <c r="ER351">
        <f ca="1"/>
      </c>
      <c r="ES351">
        <f ca="1"/>
      </c>
      <c r="ET351">
        <f ca="1"/>
      </c>
      <c r="EU351">
        <f ca="1"/>
      </c>
      <c r="EV351">
        <f ca="1"/>
      </c>
      <c r="EW351">
        <f ca="1"/>
      </c>
      <c r="EX351">
        <f ca="1"/>
      </c>
      <c r="EY351">
        <f ca="1"/>
      </c>
      <c r="EZ351">
        <f ca="1"/>
      </c>
      <c r="FA351">
        <f ca="1"/>
      </c>
      <c r="FB351">
        <f ca="1"/>
      </c>
      <c r="FC351">
        <f ca="1"/>
      </c>
      <c r="FD351">
        <f ca="1"/>
      </c>
      <c r="FE351">
        <f ca="1"/>
      </c>
      <c r="FF351">
        <f ca="1"/>
      </c>
      <c r="FG351">
        <f ca="1"/>
      </c>
      <c r="FH351">
        <f ca="1"/>
      </c>
      <c r="FI351">
        <f ca="1"/>
      </c>
      <c r="FJ351">
        <f ca="1"/>
      </c>
      <c r="FK351">
        <f ca="1"/>
      </c>
      <c r="FL351">
        <f ca="1"/>
      </c>
      <c r="FM351">
        <f ca="1"/>
      </c>
      <c r="FN351">
        <f ca="1"/>
      </c>
      <c r="FO351">
        <f ca="1"/>
      </c>
      <c r="FP351">
        <f ca="1"/>
      </c>
      <c r="FQ351">
        <f ca="1"/>
      </c>
      <c r="FR351">
        <f ca="1"/>
      </c>
      <c r="FS351">
        <f ca="1"/>
      </c>
      <c r="FT351">
        <f ca="1"/>
      </c>
      <c r="FU351">
        <f ca="1"/>
      </c>
      <c r="FV351">
        <f ca="1"/>
      </c>
      <c r="FW351">
        <f ca="1"/>
      </c>
      <c r="FX351">
        <f ca="1"/>
      </c>
      <c r="FY351">
        <f ca="1"/>
      </c>
      <c r="FZ351">
        <f ca="1"/>
      </c>
      <c r="GA351">
        <f ca="1"/>
      </c>
      <c r="GM351" s="7"/>
    </row>
    <row r="352" spans="41:195" x14ac:dyDescent="0.55000000000000004">
      <c r="AO352">
        <f ca="1"/>
      </c>
      <c r="AP352">
        <f ca="1"/>
      </c>
      <c r="AQ352">
        <f ca="1"/>
      </c>
      <c r="AR352">
        <f ca="1"/>
      </c>
      <c r="AS352">
        <f ca="1"/>
      </c>
      <c r="AT352">
        <f ca="1"/>
      </c>
      <c r="AU352">
        <f ca="1"/>
      </c>
      <c r="AV352">
        <f ca="1"/>
      </c>
      <c r="AW352">
        <f ca="1"/>
      </c>
      <c r="AX352">
        <f ca="1"/>
      </c>
      <c r="AY352">
        <f ca="1"/>
      </c>
      <c r="AZ352">
        <f ca="1"/>
      </c>
      <c r="BA352">
        <f ca="1"/>
      </c>
      <c r="BB352">
        <f ca="1"/>
      </c>
      <c r="BC352">
        <f ca="1"/>
      </c>
      <c r="BD352">
        <f ca="1"/>
      </c>
      <c r="BE352">
        <f ca="1"/>
      </c>
      <c r="BF352">
        <f ca="1"/>
      </c>
      <c r="BG352">
        <f ca="1"/>
      </c>
      <c r="BH352">
        <f ca="1"/>
      </c>
      <c r="BI352">
        <f ca="1"/>
      </c>
      <c r="BJ352">
        <f ca="1"/>
      </c>
      <c r="BK352">
        <f ca="1"/>
      </c>
      <c r="BL352">
        <f ca="1"/>
      </c>
      <c r="BM352">
        <f ca="1"/>
      </c>
      <c r="BN352">
        <f ca="1"/>
      </c>
      <c r="BO352">
        <f ca="1"/>
      </c>
      <c r="BP352">
        <f ca="1"/>
      </c>
      <c r="BQ352">
        <f ca="1"/>
      </c>
      <c r="BR352">
        <f ca="1"/>
      </c>
      <c r="BS352">
        <f ca="1"/>
      </c>
      <c r="BT352">
        <f ca="1"/>
      </c>
      <c r="BU352">
        <f ca="1"/>
      </c>
      <c r="BV352">
        <f ca="1"/>
      </c>
      <c r="BW352">
        <f ca="1"/>
      </c>
      <c r="BX352">
        <f ca="1"/>
      </c>
      <c r="BY352">
        <f ca="1"/>
      </c>
      <c r="BZ352">
        <f ca="1"/>
      </c>
      <c r="CA352">
        <f ca="1"/>
      </c>
      <c r="CB352">
        <f ca="1"/>
      </c>
      <c r="CC352">
        <f ca="1"/>
      </c>
      <c r="CD352">
        <f ca="1"/>
      </c>
      <c r="CE352">
        <f ca="1"/>
      </c>
      <c r="CF352">
        <f ca="1"/>
      </c>
      <c r="CG352">
        <f ca="1"/>
      </c>
      <c r="CH352">
        <f ca="1"/>
      </c>
      <c r="CI352">
        <f ca="1"/>
      </c>
      <c r="CK352">
        <f ca="1"/>
      </c>
      <c r="CL352">
        <f ca="1"/>
      </c>
      <c r="CM352">
        <f ca="1"/>
      </c>
      <c r="CN352">
        <f ca="1"/>
      </c>
      <c r="CO352">
        <f ca="1"/>
      </c>
      <c r="CP352">
        <f ca="1"/>
      </c>
      <c r="CQ352">
        <f ca="1"/>
      </c>
      <c r="CR352">
        <f ca="1"/>
      </c>
      <c r="CS352">
        <f ca="1"/>
      </c>
      <c r="CT352">
        <f ca="1"/>
      </c>
      <c r="CU352">
        <f ca="1"/>
      </c>
      <c r="CV352">
        <f ca="1"/>
      </c>
      <c r="CW352">
        <f ca="1"/>
      </c>
      <c r="CX352">
        <f ca="1"/>
      </c>
      <c r="CY352">
        <f ca="1"/>
      </c>
      <c r="CZ352">
        <f ca="1"/>
      </c>
      <c r="DA352">
        <f ca="1"/>
      </c>
      <c r="DB352">
        <f ca="1"/>
      </c>
      <c r="DC352">
        <f ca="1"/>
      </c>
      <c r="DD352">
        <f ca="1"/>
      </c>
      <c r="DE352">
        <f ca="1"/>
      </c>
      <c r="DF352">
        <f ca="1"/>
      </c>
      <c r="DG352">
        <f ca="1"/>
      </c>
      <c r="DH352">
        <f ca="1"/>
      </c>
      <c r="DI352">
        <f ca="1"/>
      </c>
      <c r="DJ352">
        <f ca="1"/>
      </c>
      <c r="DK352">
        <f ca="1"/>
      </c>
      <c r="DL352">
        <f ca="1"/>
      </c>
      <c r="DM352">
        <f ca="1"/>
      </c>
      <c r="DN352">
        <f ca="1"/>
      </c>
      <c r="DO352">
        <f ca="1"/>
      </c>
      <c r="DP352">
        <f ca="1"/>
      </c>
      <c r="DQ352">
        <f ca="1"/>
      </c>
      <c r="DR352">
        <f ca="1"/>
      </c>
      <c r="DS352">
        <f ca="1"/>
      </c>
      <c r="DT352">
        <f ca="1"/>
      </c>
      <c r="DU352">
        <f ca="1"/>
      </c>
      <c r="DV352">
        <f ca="1"/>
      </c>
      <c r="DW352">
        <f ca="1"/>
      </c>
      <c r="DX352">
        <f ca="1"/>
      </c>
      <c r="DY352">
        <f ca="1"/>
      </c>
      <c r="DZ352">
        <f ca="1"/>
      </c>
      <c r="EA352">
        <f ca="1"/>
      </c>
      <c r="EB352">
        <f ca="1"/>
      </c>
      <c r="EC352">
        <f ca="1"/>
      </c>
      <c r="ED352">
        <f ca="1"/>
      </c>
      <c r="EE352">
        <f ca="1"/>
      </c>
      <c r="EG352">
        <f ca="1"/>
      </c>
      <c r="EH352">
        <f ca="1"/>
      </c>
      <c r="EI352">
        <f ca="1"/>
      </c>
      <c r="EJ352">
        <f ca="1"/>
      </c>
      <c r="EK352">
        <f ca="1"/>
      </c>
      <c r="EL352">
        <f ca="1"/>
      </c>
      <c r="EM352">
        <f ca="1"/>
      </c>
      <c r="EN352">
        <f ca="1"/>
      </c>
      <c r="EO352">
        <f ca="1"/>
      </c>
      <c r="EP352">
        <f ca="1"/>
      </c>
      <c r="EQ352">
        <f ca="1"/>
      </c>
      <c r="ER352">
        <f ca="1"/>
      </c>
      <c r="ES352">
        <f ca="1"/>
      </c>
      <c r="ET352">
        <f ca="1"/>
      </c>
      <c r="EU352">
        <f ca="1"/>
      </c>
      <c r="EV352">
        <f ca="1"/>
      </c>
      <c r="EW352">
        <f ca="1"/>
      </c>
      <c r="EX352">
        <f ca="1"/>
      </c>
      <c r="EY352">
        <f ca="1"/>
      </c>
      <c r="EZ352">
        <f ca="1"/>
      </c>
      <c r="FA352">
        <f ca="1"/>
      </c>
      <c r="FB352">
        <f ca="1"/>
      </c>
      <c r="FC352">
        <f ca="1"/>
      </c>
      <c r="FD352">
        <f ca="1"/>
      </c>
      <c r="FE352">
        <f ca="1"/>
      </c>
      <c r="FF352">
        <f ca="1"/>
      </c>
      <c r="FG352">
        <f ca="1"/>
      </c>
      <c r="FH352">
        <f ca="1"/>
      </c>
      <c r="FI352">
        <f ca="1"/>
      </c>
      <c r="FJ352">
        <f ca="1"/>
      </c>
      <c r="FK352">
        <f ca="1"/>
      </c>
      <c r="FL352">
        <f ca="1"/>
      </c>
      <c r="FM352">
        <f ca="1"/>
      </c>
      <c r="FN352">
        <f ca="1"/>
      </c>
      <c r="FO352">
        <f ca="1"/>
      </c>
      <c r="FP352">
        <f ca="1"/>
      </c>
      <c r="FQ352">
        <f ca="1"/>
      </c>
      <c r="FR352">
        <f ca="1"/>
      </c>
      <c r="FS352">
        <f ca="1"/>
      </c>
      <c r="FT352">
        <f ca="1"/>
      </c>
      <c r="FU352">
        <f ca="1"/>
      </c>
      <c r="FV352">
        <f ca="1"/>
      </c>
      <c r="FW352">
        <f ca="1"/>
      </c>
      <c r="FX352">
        <f ca="1"/>
      </c>
      <c r="FY352">
        <f ca="1"/>
      </c>
      <c r="FZ352">
        <f ca="1"/>
      </c>
      <c r="GA352">
        <f ca="1"/>
      </c>
      <c r="GM352" s="7"/>
    </row>
    <row r="353" spans="41:195" x14ac:dyDescent="0.55000000000000004">
      <c r="AO353">
        <f ca="1"/>
      </c>
      <c r="AP353">
        <f ca="1"/>
      </c>
      <c r="AQ353">
        <f ca="1"/>
      </c>
      <c r="AR353">
        <f ca="1"/>
      </c>
      <c r="AS353">
        <f ca="1"/>
      </c>
      <c r="AT353">
        <f ca="1"/>
      </c>
      <c r="AU353">
        <f ca="1"/>
      </c>
      <c r="AV353">
        <f ca="1"/>
      </c>
      <c r="AW353">
        <f ca="1"/>
      </c>
      <c r="AX353">
        <f ca="1"/>
      </c>
      <c r="AY353">
        <f ca="1"/>
      </c>
      <c r="AZ353">
        <f ca="1"/>
      </c>
      <c r="BA353">
        <f ca="1"/>
      </c>
      <c r="BB353">
        <f ca="1"/>
      </c>
      <c r="BC353">
        <f ca="1"/>
      </c>
      <c r="BD353">
        <f ca="1"/>
      </c>
      <c r="BE353">
        <f ca="1"/>
      </c>
      <c r="BF353">
        <f ca="1"/>
      </c>
      <c r="BG353">
        <f ca="1"/>
      </c>
      <c r="BH353">
        <f ca="1"/>
      </c>
      <c r="BI353">
        <f ca="1"/>
      </c>
      <c r="BJ353">
        <f ca="1"/>
      </c>
      <c r="BK353">
        <f ca="1"/>
      </c>
      <c r="BL353">
        <f ca="1"/>
      </c>
      <c r="BM353">
        <f ca="1"/>
      </c>
      <c r="BN353">
        <f ca="1"/>
      </c>
      <c r="BO353">
        <f ca="1"/>
      </c>
      <c r="BP353">
        <f ca="1"/>
      </c>
      <c r="BQ353">
        <f ca="1"/>
      </c>
      <c r="BR353">
        <f ca="1"/>
      </c>
      <c r="BS353">
        <f ca="1"/>
      </c>
      <c r="BT353">
        <f ca="1"/>
      </c>
      <c r="BU353">
        <f ca="1"/>
      </c>
      <c r="BV353">
        <f ca="1"/>
      </c>
      <c r="BW353">
        <f ca="1"/>
      </c>
      <c r="BX353">
        <f ca="1"/>
      </c>
      <c r="BY353">
        <f ca="1"/>
      </c>
      <c r="BZ353">
        <f ca="1"/>
      </c>
      <c r="CA353">
        <f ca="1"/>
      </c>
      <c r="CB353">
        <f ca="1"/>
      </c>
      <c r="CC353">
        <f ca="1"/>
      </c>
      <c r="CD353">
        <f ca="1"/>
      </c>
      <c r="CE353">
        <f ca="1"/>
      </c>
      <c r="CF353">
        <f ca="1"/>
      </c>
      <c r="CG353">
        <f ca="1"/>
      </c>
      <c r="CH353">
        <f ca="1"/>
      </c>
      <c r="CI353">
        <f ca="1"/>
      </c>
      <c r="CK353">
        <f ca="1"/>
      </c>
      <c r="CL353">
        <f ca="1"/>
      </c>
      <c r="CM353">
        <f ca="1"/>
      </c>
      <c r="CN353">
        <f ca="1"/>
      </c>
      <c r="CO353">
        <f ca="1"/>
      </c>
      <c r="CP353">
        <f ca="1"/>
      </c>
      <c r="CQ353">
        <f ca="1"/>
      </c>
      <c r="CR353">
        <f ca="1"/>
      </c>
      <c r="CS353">
        <f ca="1"/>
      </c>
      <c r="CT353">
        <f ca="1"/>
      </c>
      <c r="CU353">
        <f ca="1"/>
      </c>
      <c r="CV353">
        <f ca="1"/>
      </c>
      <c r="CW353">
        <f ca="1"/>
      </c>
      <c r="CX353">
        <f ca="1"/>
      </c>
      <c r="CY353">
        <f ca="1"/>
      </c>
      <c r="CZ353">
        <f ca="1"/>
      </c>
      <c r="DA353">
        <f ca="1"/>
      </c>
      <c r="DB353">
        <f ca="1"/>
      </c>
      <c r="DC353">
        <f ca="1"/>
      </c>
      <c r="DD353">
        <f ca="1"/>
      </c>
      <c r="DE353">
        <f ca="1"/>
      </c>
      <c r="DF353">
        <f ca="1"/>
      </c>
      <c r="DG353">
        <f ca="1"/>
      </c>
      <c r="DH353">
        <f ca="1"/>
      </c>
      <c r="DI353">
        <f ca="1"/>
      </c>
      <c r="DJ353">
        <f ca="1"/>
      </c>
      <c r="DK353">
        <f ca="1"/>
      </c>
      <c r="DL353">
        <f ca="1"/>
      </c>
      <c r="DM353">
        <f ca="1"/>
      </c>
      <c r="DN353">
        <f ca="1"/>
      </c>
      <c r="DO353">
        <f ca="1"/>
      </c>
      <c r="DP353">
        <f ca="1"/>
      </c>
      <c r="DQ353">
        <f ca="1"/>
      </c>
      <c r="DR353">
        <f ca="1"/>
      </c>
      <c r="DS353">
        <f ca="1"/>
      </c>
      <c r="DT353">
        <f ca="1"/>
      </c>
      <c r="DU353">
        <f ca="1"/>
      </c>
      <c r="DV353">
        <f ca="1"/>
      </c>
      <c r="DW353">
        <f ca="1"/>
      </c>
      <c r="DX353">
        <f ca="1"/>
      </c>
      <c r="DY353">
        <f ca="1"/>
      </c>
      <c r="DZ353">
        <f ca="1"/>
      </c>
      <c r="EA353">
        <f ca="1"/>
      </c>
      <c r="EB353">
        <f ca="1"/>
      </c>
      <c r="EC353">
        <f ca="1"/>
      </c>
      <c r="ED353">
        <f ca="1"/>
      </c>
      <c r="EE353">
        <f ca="1"/>
      </c>
      <c r="EG353">
        <f ca="1"/>
      </c>
      <c r="EH353">
        <f ca="1"/>
      </c>
      <c r="EI353">
        <f ca="1"/>
      </c>
      <c r="EJ353">
        <f ca="1"/>
      </c>
      <c r="EK353">
        <f ca="1"/>
      </c>
      <c r="EL353">
        <f ca="1"/>
      </c>
      <c r="EM353">
        <f ca="1"/>
      </c>
      <c r="EN353">
        <f ca="1"/>
      </c>
      <c r="EO353">
        <f ca="1"/>
      </c>
      <c r="EP353">
        <f ca="1"/>
      </c>
      <c r="EQ353">
        <f ca="1"/>
      </c>
      <c r="ER353">
        <f ca="1"/>
      </c>
      <c r="ES353">
        <f ca="1"/>
      </c>
      <c r="ET353">
        <f ca="1"/>
      </c>
      <c r="EU353">
        <f ca="1"/>
      </c>
      <c r="EV353">
        <f ca="1"/>
      </c>
      <c r="EW353">
        <f ca="1"/>
      </c>
      <c r="EX353">
        <f ca="1"/>
      </c>
      <c r="EY353">
        <f ca="1"/>
      </c>
      <c r="EZ353">
        <f ca="1"/>
      </c>
      <c r="FA353">
        <f ca="1"/>
      </c>
      <c r="FB353">
        <f ca="1"/>
      </c>
      <c r="FC353">
        <f ca="1"/>
      </c>
      <c r="FD353">
        <f ca="1"/>
      </c>
      <c r="FE353">
        <f ca="1"/>
      </c>
      <c r="FF353">
        <f ca="1"/>
      </c>
      <c r="FG353">
        <f ca="1"/>
      </c>
      <c r="FH353">
        <f ca="1"/>
      </c>
      <c r="FI353">
        <f ca="1"/>
      </c>
      <c r="FJ353">
        <f ca="1"/>
      </c>
      <c r="FK353">
        <f ca="1"/>
      </c>
      <c r="FL353">
        <f ca="1"/>
      </c>
      <c r="FM353">
        <f ca="1"/>
      </c>
      <c r="FN353">
        <f ca="1"/>
      </c>
      <c r="FO353">
        <f ca="1"/>
      </c>
      <c r="FP353">
        <f ca="1"/>
      </c>
      <c r="FQ353">
        <f ca="1"/>
      </c>
      <c r="FR353">
        <f ca="1"/>
      </c>
      <c r="FS353">
        <f ca="1"/>
      </c>
      <c r="FT353">
        <f ca="1"/>
      </c>
      <c r="FU353">
        <f ca="1"/>
      </c>
      <c r="FV353">
        <f ca="1"/>
      </c>
      <c r="FW353">
        <f ca="1"/>
      </c>
      <c r="FX353">
        <f ca="1"/>
      </c>
      <c r="FY353">
        <f ca="1"/>
      </c>
      <c r="FZ353">
        <f ca="1"/>
      </c>
      <c r="GA353">
        <f ca="1"/>
      </c>
      <c r="GM353" s="7"/>
    </row>
    <row r="354" spans="41:195" x14ac:dyDescent="0.55000000000000004">
      <c r="AO354">
        <f ca="1"/>
      </c>
      <c r="AP354">
        <f ca="1"/>
      </c>
      <c r="AQ354">
        <f ca="1"/>
      </c>
      <c r="AR354">
        <f ca="1"/>
      </c>
      <c r="AS354">
        <f ca="1"/>
      </c>
      <c r="AT354">
        <f ca="1"/>
      </c>
      <c r="AU354">
        <f ca="1"/>
      </c>
      <c r="AV354">
        <f ca="1"/>
      </c>
      <c r="AW354">
        <f ca="1"/>
      </c>
      <c r="AX354">
        <f ca="1"/>
      </c>
      <c r="AY354">
        <f ca="1"/>
      </c>
      <c r="AZ354">
        <f ca="1"/>
      </c>
      <c r="BA354">
        <f ca="1"/>
      </c>
      <c r="BB354">
        <f ca="1"/>
      </c>
      <c r="BC354">
        <f ca="1"/>
      </c>
      <c r="BD354">
        <f ca="1"/>
      </c>
      <c r="BE354">
        <f ca="1"/>
      </c>
      <c r="BF354">
        <f ca="1"/>
      </c>
      <c r="BG354">
        <f ca="1"/>
      </c>
      <c r="BH354">
        <f ca="1"/>
      </c>
      <c r="BI354">
        <f ca="1"/>
      </c>
      <c r="BJ354">
        <f ca="1"/>
      </c>
      <c r="BK354">
        <f ca="1"/>
      </c>
      <c r="BL354">
        <f ca="1"/>
      </c>
      <c r="BM354">
        <f ca="1"/>
      </c>
      <c r="BN354">
        <f ca="1"/>
      </c>
      <c r="BO354">
        <f ca="1"/>
      </c>
      <c r="BP354">
        <f ca="1"/>
      </c>
      <c r="BQ354">
        <f ca="1"/>
      </c>
      <c r="BR354">
        <f ca="1"/>
      </c>
      <c r="BS354">
        <f ca="1"/>
      </c>
      <c r="BT354">
        <f ca="1"/>
      </c>
      <c r="BU354">
        <f ca="1"/>
      </c>
      <c r="BV354">
        <f ca="1"/>
      </c>
      <c r="BW354">
        <f ca="1"/>
      </c>
      <c r="BX354">
        <f ca="1"/>
      </c>
      <c r="BY354">
        <f ca="1"/>
      </c>
      <c r="BZ354">
        <f ca="1"/>
      </c>
      <c r="CA354">
        <f ca="1"/>
      </c>
      <c r="CB354">
        <f ca="1"/>
      </c>
      <c r="CC354">
        <f ca="1"/>
      </c>
      <c r="CD354">
        <f ca="1"/>
      </c>
      <c r="CE354">
        <f ca="1"/>
      </c>
      <c r="CF354">
        <f ca="1"/>
      </c>
      <c r="CG354">
        <f ca="1"/>
      </c>
      <c r="CH354">
        <f ca="1"/>
      </c>
      <c r="CI354">
        <f ca="1"/>
      </c>
      <c r="CK354">
        <f ca="1"/>
      </c>
      <c r="CL354">
        <f ca="1"/>
      </c>
      <c r="CM354">
        <f ca="1"/>
      </c>
      <c r="CN354">
        <f ca="1"/>
      </c>
      <c r="CO354">
        <f ca="1"/>
      </c>
      <c r="CP354">
        <f ca="1"/>
      </c>
      <c r="CQ354">
        <f ca="1"/>
      </c>
      <c r="CR354">
        <f ca="1"/>
      </c>
      <c r="CS354">
        <f ca="1"/>
      </c>
      <c r="CT354">
        <f ca="1"/>
      </c>
      <c r="CU354">
        <f ca="1"/>
      </c>
      <c r="CV354">
        <f ca="1"/>
      </c>
      <c r="CW354">
        <f ca="1"/>
      </c>
      <c r="CX354">
        <f ca="1"/>
      </c>
      <c r="CY354">
        <f ca="1"/>
      </c>
      <c r="CZ354">
        <f ca="1"/>
      </c>
      <c r="DA354">
        <f ca="1"/>
      </c>
      <c r="DB354">
        <f ca="1"/>
      </c>
      <c r="DC354">
        <f ca="1"/>
      </c>
      <c r="DD354">
        <f ca="1"/>
      </c>
      <c r="DE354">
        <f ca="1"/>
      </c>
      <c r="DF354">
        <f ca="1"/>
      </c>
      <c r="DG354">
        <f ca="1"/>
      </c>
      <c r="DH354">
        <f ca="1"/>
      </c>
      <c r="DI354">
        <f ca="1"/>
      </c>
      <c r="DJ354">
        <f ca="1"/>
      </c>
      <c r="DK354">
        <f ca="1"/>
      </c>
      <c r="DL354">
        <f ca="1"/>
      </c>
      <c r="DM354">
        <f ca="1"/>
      </c>
      <c r="DN354">
        <f ca="1"/>
      </c>
      <c r="DO354">
        <f ca="1"/>
      </c>
      <c r="DP354">
        <f ca="1"/>
      </c>
      <c r="DQ354">
        <f ca="1"/>
      </c>
      <c r="DR354">
        <f ca="1"/>
      </c>
      <c r="DS354">
        <f ca="1"/>
      </c>
      <c r="DT354">
        <f ca="1"/>
      </c>
      <c r="DU354">
        <f ca="1"/>
      </c>
      <c r="DV354">
        <f ca="1"/>
      </c>
      <c r="DW354">
        <f ca="1"/>
      </c>
      <c r="DX354">
        <f ca="1"/>
      </c>
      <c r="DY354">
        <f ca="1"/>
      </c>
      <c r="DZ354">
        <f ca="1"/>
      </c>
      <c r="EA354">
        <f ca="1"/>
      </c>
      <c r="EB354">
        <f ca="1"/>
      </c>
      <c r="EC354">
        <f ca="1"/>
      </c>
      <c r="ED354">
        <f ca="1"/>
      </c>
      <c r="EE354">
        <f ca="1"/>
      </c>
      <c r="EG354">
        <f ca="1"/>
      </c>
      <c r="EH354">
        <f ca="1"/>
      </c>
      <c r="EI354">
        <f ca="1"/>
      </c>
      <c r="EJ354">
        <f ca="1"/>
      </c>
      <c r="EK354">
        <f ca="1"/>
      </c>
      <c r="EL354">
        <f ca="1"/>
      </c>
      <c r="EM354">
        <f ca="1"/>
      </c>
      <c r="EN354">
        <f ca="1"/>
      </c>
      <c r="EO354">
        <f ca="1"/>
      </c>
      <c r="EP354">
        <f ca="1"/>
      </c>
      <c r="EQ354">
        <f ca="1"/>
      </c>
      <c r="ER354">
        <f ca="1"/>
      </c>
      <c r="ES354">
        <f ca="1"/>
      </c>
      <c r="ET354">
        <f ca="1"/>
      </c>
      <c r="EU354">
        <f ca="1"/>
      </c>
      <c r="EV354">
        <f ca="1"/>
      </c>
      <c r="EW354">
        <f ca="1"/>
      </c>
      <c r="EX354">
        <f ca="1"/>
      </c>
      <c r="EY354">
        <f ca="1"/>
      </c>
      <c r="EZ354">
        <f ca="1"/>
      </c>
      <c r="FA354">
        <f ca="1"/>
      </c>
      <c r="FB354">
        <f ca="1"/>
      </c>
      <c r="FC354">
        <f ca="1"/>
      </c>
      <c r="FD354">
        <f ca="1"/>
      </c>
      <c r="FE354">
        <f ca="1"/>
      </c>
      <c r="FF354">
        <f ca="1"/>
      </c>
      <c r="FG354">
        <f ca="1"/>
      </c>
      <c r="FH354">
        <f ca="1"/>
      </c>
      <c r="FI354">
        <f ca="1"/>
      </c>
      <c r="FJ354">
        <f ca="1"/>
      </c>
      <c r="FK354">
        <f ca="1"/>
      </c>
      <c r="FL354">
        <f ca="1"/>
      </c>
      <c r="FM354">
        <f ca="1"/>
      </c>
      <c r="FN354">
        <f ca="1"/>
      </c>
      <c r="FO354">
        <f ca="1"/>
      </c>
      <c r="FP354">
        <f ca="1"/>
      </c>
      <c r="FQ354">
        <f ca="1"/>
      </c>
      <c r="FR354">
        <f ca="1"/>
      </c>
      <c r="FS354">
        <f ca="1"/>
      </c>
      <c r="FT354">
        <f ca="1"/>
      </c>
      <c r="FU354">
        <f ca="1"/>
      </c>
      <c r="FV354">
        <f ca="1"/>
      </c>
      <c r="FW354">
        <f ca="1"/>
      </c>
      <c r="FX354">
        <f ca="1"/>
      </c>
      <c r="FY354">
        <f ca="1"/>
      </c>
      <c r="FZ354">
        <f ca="1"/>
      </c>
      <c r="GA354">
        <f ca="1"/>
      </c>
      <c r="GM354" s="7"/>
    </row>
    <row r="355" spans="41:195" x14ac:dyDescent="0.55000000000000004">
      <c r="AO355">
        <f ca="1"/>
      </c>
      <c r="AP355">
        <f ca="1"/>
      </c>
      <c r="AQ355">
        <f ca="1"/>
      </c>
      <c r="AR355">
        <f ca="1"/>
      </c>
      <c r="AS355">
        <f ca="1"/>
      </c>
      <c r="AT355">
        <f ca="1"/>
      </c>
      <c r="AU355">
        <f ca="1"/>
      </c>
      <c r="AV355">
        <f ca="1"/>
      </c>
      <c r="AW355">
        <f ca="1"/>
      </c>
      <c r="AX355">
        <f ca="1"/>
      </c>
      <c r="AY355">
        <f ca="1"/>
      </c>
      <c r="AZ355">
        <f ca="1"/>
      </c>
      <c r="BA355">
        <f ca="1"/>
      </c>
      <c r="BB355">
        <f ca="1"/>
      </c>
      <c r="BC355">
        <f ca="1"/>
      </c>
      <c r="BD355">
        <f ca="1"/>
      </c>
      <c r="BE355">
        <f ca="1"/>
      </c>
      <c r="BF355">
        <f ca="1"/>
      </c>
      <c r="BG355">
        <f ca="1"/>
      </c>
      <c r="BH355">
        <f ca="1"/>
      </c>
      <c r="BI355">
        <f ca="1"/>
      </c>
      <c r="BJ355">
        <f ca="1"/>
      </c>
      <c r="BK355">
        <f ca="1"/>
      </c>
      <c r="BL355">
        <f ca="1"/>
      </c>
      <c r="BM355">
        <f ca="1"/>
      </c>
      <c r="BN355">
        <f ca="1"/>
      </c>
      <c r="BO355">
        <f ca="1"/>
      </c>
      <c r="BP355">
        <f ca="1"/>
      </c>
      <c r="BQ355">
        <f ca="1"/>
      </c>
      <c r="BR355">
        <f ca="1"/>
      </c>
      <c r="BS355">
        <f ca="1"/>
      </c>
      <c r="BT355">
        <f ca="1"/>
      </c>
      <c r="BU355">
        <f ca="1"/>
      </c>
      <c r="BV355">
        <f ca="1"/>
      </c>
      <c r="BW355">
        <f ca="1"/>
      </c>
      <c r="BX355">
        <f ca="1"/>
      </c>
      <c r="BY355">
        <f ca="1"/>
      </c>
      <c r="BZ355">
        <f ca="1"/>
      </c>
      <c r="CA355">
        <f ca="1"/>
      </c>
      <c r="CB355">
        <f ca="1"/>
      </c>
      <c r="CC355">
        <f ca="1"/>
      </c>
      <c r="CD355">
        <f ca="1"/>
      </c>
      <c r="CE355">
        <f ca="1"/>
      </c>
      <c r="CF355">
        <f ca="1"/>
      </c>
      <c r="CG355">
        <f ca="1"/>
      </c>
      <c r="CH355">
        <f ca="1"/>
      </c>
      <c r="CI355">
        <f ca="1"/>
      </c>
      <c r="CK355">
        <f ca="1"/>
      </c>
      <c r="CL355">
        <f ca="1"/>
      </c>
      <c r="CM355">
        <f ca="1"/>
      </c>
      <c r="CN355">
        <f ca="1"/>
      </c>
      <c r="CO355">
        <f ca="1"/>
      </c>
      <c r="CP355">
        <f ca="1"/>
      </c>
      <c r="CQ355">
        <f ca="1"/>
      </c>
      <c r="CR355">
        <f ca="1"/>
      </c>
      <c r="CS355">
        <f ca="1"/>
      </c>
      <c r="CT355">
        <f ca="1"/>
      </c>
      <c r="CU355">
        <f ca="1"/>
      </c>
      <c r="CV355">
        <f ca="1"/>
      </c>
      <c r="CW355">
        <f ca="1"/>
      </c>
      <c r="CX355">
        <f ca="1"/>
      </c>
      <c r="CY355">
        <f ca="1"/>
      </c>
      <c r="CZ355">
        <f ca="1"/>
      </c>
      <c r="DA355">
        <f ca="1"/>
      </c>
      <c r="DB355">
        <f ca="1"/>
      </c>
      <c r="DC355">
        <f ca="1"/>
      </c>
      <c r="DD355">
        <f ca="1"/>
      </c>
      <c r="DE355">
        <f ca="1"/>
      </c>
      <c r="DF355">
        <f ca="1"/>
      </c>
      <c r="DG355">
        <f ca="1"/>
      </c>
      <c r="DH355">
        <f ca="1"/>
      </c>
      <c r="DI355">
        <f ca="1"/>
      </c>
      <c r="DJ355">
        <f ca="1"/>
      </c>
      <c r="DK355">
        <f ca="1"/>
      </c>
      <c r="DL355">
        <f ca="1"/>
      </c>
      <c r="DM355">
        <f ca="1"/>
      </c>
      <c r="DN355">
        <f ca="1"/>
      </c>
      <c r="DO355">
        <f ca="1"/>
      </c>
      <c r="DP355">
        <f ca="1"/>
      </c>
      <c r="DQ355">
        <f ca="1"/>
      </c>
      <c r="DR355">
        <f ca="1"/>
      </c>
      <c r="DS355">
        <f ca="1"/>
      </c>
      <c r="DT355">
        <f ca="1"/>
      </c>
      <c r="DU355">
        <f ca="1"/>
      </c>
      <c r="DV355">
        <f ca="1"/>
      </c>
      <c r="DW355">
        <f ca="1"/>
      </c>
      <c r="DX355">
        <f ca="1"/>
      </c>
      <c r="DY355">
        <f ca="1"/>
      </c>
      <c r="DZ355">
        <f ca="1"/>
      </c>
      <c r="EA355">
        <f ca="1"/>
      </c>
      <c r="EB355">
        <f ca="1"/>
      </c>
      <c r="EC355">
        <f ca="1"/>
      </c>
      <c r="ED355">
        <f ca="1"/>
      </c>
      <c r="EE355">
        <f ca="1"/>
      </c>
      <c r="EG355">
        <f ca="1"/>
      </c>
      <c r="EH355">
        <f ca="1"/>
      </c>
      <c r="EI355">
        <f ca="1"/>
      </c>
      <c r="EJ355">
        <f ca="1"/>
      </c>
      <c r="EK355">
        <f ca="1"/>
      </c>
      <c r="EL355">
        <f ca="1"/>
      </c>
      <c r="EM355">
        <f ca="1"/>
      </c>
      <c r="EN355">
        <f ca="1"/>
      </c>
      <c r="EO355">
        <f ca="1"/>
      </c>
      <c r="EP355">
        <f ca="1"/>
      </c>
      <c r="EQ355">
        <f ca="1"/>
      </c>
      <c r="ER355">
        <f ca="1"/>
      </c>
      <c r="ES355">
        <f ca="1"/>
      </c>
      <c r="ET355">
        <f ca="1"/>
      </c>
      <c r="EU355">
        <f ca="1"/>
      </c>
      <c r="EV355">
        <f ca="1"/>
      </c>
      <c r="EW355">
        <f ca="1"/>
      </c>
      <c r="EX355">
        <f ca="1"/>
      </c>
      <c r="EY355">
        <f ca="1"/>
      </c>
      <c r="EZ355">
        <f ca="1"/>
      </c>
      <c r="FA355">
        <f ca="1"/>
      </c>
      <c r="FB355">
        <f ca="1"/>
      </c>
      <c r="FC355">
        <f ca="1"/>
      </c>
      <c r="FD355">
        <f ca="1"/>
      </c>
      <c r="FE355">
        <f ca="1"/>
      </c>
      <c r="FF355">
        <f ca="1"/>
      </c>
      <c r="FG355">
        <f ca="1"/>
      </c>
      <c r="FH355">
        <f ca="1"/>
      </c>
      <c r="FI355">
        <f ca="1"/>
      </c>
      <c r="FJ355">
        <f ca="1"/>
      </c>
      <c r="FK355">
        <f ca="1"/>
      </c>
      <c r="FL355">
        <f ca="1"/>
      </c>
      <c r="FM355">
        <f ca="1"/>
      </c>
      <c r="FN355">
        <f ca="1"/>
      </c>
      <c r="FO355">
        <f ca="1"/>
      </c>
      <c r="FP355">
        <f ca="1"/>
      </c>
      <c r="FQ355">
        <f ca="1"/>
      </c>
      <c r="FR355">
        <f ca="1"/>
      </c>
      <c r="FS355">
        <f ca="1"/>
      </c>
      <c r="FT355">
        <f ca="1"/>
      </c>
      <c r="FU355">
        <f ca="1"/>
      </c>
      <c r="FV355">
        <f ca="1"/>
      </c>
      <c r="FW355">
        <f ca="1"/>
      </c>
      <c r="FX355">
        <f ca="1"/>
      </c>
      <c r="FY355">
        <f ca="1"/>
      </c>
      <c r="FZ355">
        <f ca="1"/>
      </c>
      <c r="GA355">
        <f ca="1"/>
      </c>
      <c r="GM355" s="7"/>
    </row>
    <row r="356" spans="41:195" x14ac:dyDescent="0.55000000000000004">
      <c r="AO356">
        <f ca="1"/>
      </c>
      <c r="AP356">
        <f ca="1"/>
      </c>
      <c r="AQ356">
        <f ca="1"/>
      </c>
      <c r="AR356">
        <f ca="1"/>
      </c>
      <c r="AS356">
        <f ca="1"/>
      </c>
      <c r="AT356">
        <f ca="1"/>
      </c>
      <c r="AU356">
        <f ca="1"/>
      </c>
      <c r="AV356">
        <f ca="1"/>
      </c>
      <c r="AW356">
        <f ca="1"/>
      </c>
      <c r="AX356">
        <f ca="1"/>
      </c>
      <c r="AY356">
        <f ca="1"/>
      </c>
      <c r="AZ356">
        <f ca="1"/>
      </c>
      <c r="BA356">
        <f ca="1"/>
      </c>
      <c r="BB356">
        <f ca="1"/>
      </c>
      <c r="BC356">
        <f ca="1"/>
      </c>
      <c r="BD356">
        <f ca="1"/>
      </c>
      <c r="BE356">
        <f ca="1"/>
      </c>
      <c r="BF356">
        <f ca="1"/>
      </c>
      <c r="BG356">
        <f ca="1"/>
      </c>
      <c r="BH356">
        <f ca="1"/>
      </c>
      <c r="BI356">
        <f ca="1"/>
      </c>
      <c r="BJ356">
        <f ca="1"/>
      </c>
      <c r="BK356">
        <f ca="1"/>
      </c>
      <c r="BL356">
        <f ca="1"/>
      </c>
      <c r="BM356">
        <f ca="1"/>
      </c>
      <c r="BN356">
        <f ca="1"/>
      </c>
      <c r="BO356">
        <f ca="1"/>
      </c>
      <c r="BP356">
        <f ca="1"/>
      </c>
      <c r="BQ356">
        <f ca="1"/>
      </c>
      <c r="BR356">
        <f ca="1"/>
      </c>
      <c r="BS356">
        <f ca="1"/>
      </c>
      <c r="BT356">
        <f ca="1"/>
      </c>
      <c r="BU356">
        <f ca="1"/>
      </c>
      <c r="BV356">
        <f ca="1"/>
      </c>
      <c r="BW356">
        <f ca="1"/>
      </c>
      <c r="BX356">
        <f ca="1"/>
      </c>
      <c r="BY356">
        <f ca="1"/>
      </c>
      <c r="BZ356">
        <f ca="1"/>
      </c>
      <c r="CA356">
        <f ca="1"/>
      </c>
      <c r="CB356">
        <f ca="1"/>
      </c>
      <c r="CC356">
        <f ca="1"/>
      </c>
      <c r="CD356">
        <f ca="1"/>
      </c>
      <c r="CE356">
        <f ca="1"/>
      </c>
      <c r="CF356">
        <f ca="1"/>
      </c>
      <c r="CG356">
        <f ca="1"/>
      </c>
      <c r="CH356">
        <f ca="1"/>
      </c>
      <c r="CI356">
        <f ca="1"/>
      </c>
      <c r="CK356">
        <f ca="1"/>
      </c>
      <c r="CL356">
        <f ca="1"/>
      </c>
      <c r="CM356">
        <f ca="1"/>
      </c>
      <c r="CN356">
        <f ca="1"/>
      </c>
      <c r="CO356">
        <f ca="1"/>
      </c>
      <c r="CP356">
        <f ca="1"/>
      </c>
      <c r="CQ356">
        <f ca="1"/>
      </c>
      <c r="CR356">
        <f ca="1"/>
      </c>
      <c r="CS356">
        <f ca="1"/>
      </c>
      <c r="CT356">
        <f ca="1"/>
      </c>
      <c r="CU356">
        <f ca="1"/>
      </c>
      <c r="CV356">
        <f ca="1"/>
      </c>
      <c r="CW356">
        <f ca="1"/>
      </c>
      <c r="CX356">
        <f ca="1"/>
      </c>
      <c r="CY356">
        <f ca="1"/>
      </c>
      <c r="CZ356">
        <f ca="1"/>
      </c>
      <c r="DA356">
        <f ca="1"/>
      </c>
      <c r="DB356">
        <f ca="1"/>
      </c>
      <c r="DC356">
        <f ca="1"/>
      </c>
      <c r="DD356">
        <f ca="1"/>
      </c>
      <c r="DE356">
        <f ca="1"/>
      </c>
      <c r="DF356">
        <f ca="1"/>
      </c>
      <c r="DG356">
        <f ca="1"/>
      </c>
      <c r="DH356">
        <f ca="1"/>
      </c>
      <c r="DI356">
        <f ca="1"/>
      </c>
      <c r="DJ356">
        <f ca="1"/>
      </c>
      <c r="DK356">
        <f ca="1"/>
      </c>
      <c r="DL356">
        <f ca="1"/>
      </c>
      <c r="DM356">
        <f ca="1"/>
      </c>
      <c r="DN356">
        <f ca="1"/>
      </c>
      <c r="DO356">
        <f ca="1"/>
      </c>
      <c r="DP356">
        <f ca="1"/>
      </c>
      <c r="DQ356">
        <f ca="1"/>
      </c>
      <c r="DR356">
        <f ca="1"/>
      </c>
      <c r="DS356">
        <f ca="1"/>
      </c>
      <c r="DT356">
        <f ca="1"/>
      </c>
      <c r="DU356">
        <f ca="1"/>
      </c>
      <c r="DV356">
        <f ca="1"/>
      </c>
      <c r="DW356">
        <f ca="1"/>
      </c>
      <c r="DX356">
        <f ca="1"/>
      </c>
      <c r="DY356">
        <f ca="1"/>
      </c>
      <c r="DZ356">
        <f ca="1"/>
      </c>
      <c r="EA356">
        <f ca="1"/>
      </c>
      <c r="EB356">
        <f ca="1"/>
      </c>
      <c r="EC356">
        <f ca="1"/>
      </c>
      <c r="ED356">
        <f ca="1"/>
      </c>
      <c r="EE356">
        <f ca="1"/>
      </c>
      <c r="EG356">
        <f ca="1"/>
      </c>
      <c r="EH356">
        <f ca="1"/>
      </c>
      <c r="EI356">
        <f ca="1"/>
      </c>
      <c r="EJ356">
        <f ca="1"/>
      </c>
      <c r="EK356">
        <f ca="1"/>
      </c>
      <c r="EL356">
        <f ca="1"/>
      </c>
      <c r="EM356">
        <f ca="1"/>
      </c>
      <c r="EN356">
        <f ca="1"/>
      </c>
      <c r="EO356">
        <f ca="1"/>
      </c>
      <c r="EP356">
        <f ca="1"/>
      </c>
      <c r="EQ356">
        <f ca="1"/>
      </c>
      <c r="ER356">
        <f ca="1"/>
      </c>
      <c r="ES356">
        <f ca="1"/>
      </c>
      <c r="ET356">
        <f ca="1"/>
      </c>
      <c r="EU356">
        <f ca="1"/>
      </c>
      <c r="EV356">
        <f ca="1"/>
      </c>
      <c r="EW356">
        <f ca="1"/>
      </c>
      <c r="EX356">
        <f ca="1"/>
      </c>
      <c r="EY356">
        <f ca="1"/>
      </c>
      <c r="EZ356">
        <f ca="1"/>
      </c>
      <c r="FA356">
        <f ca="1"/>
      </c>
      <c r="FB356">
        <f ca="1"/>
      </c>
      <c r="FC356">
        <f ca="1"/>
      </c>
      <c r="FD356">
        <f ca="1"/>
      </c>
      <c r="FE356">
        <f ca="1"/>
      </c>
      <c r="FF356">
        <f ca="1"/>
      </c>
      <c r="FG356">
        <f ca="1"/>
      </c>
      <c r="FH356">
        <f ca="1"/>
      </c>
      <c r="FI356">
        <f ca="1"/>
      </c>
      <c r="FJ356">
        <f ca="1"/>
      </c>
      <c r="FK356">
        <f ca="1"/>
      </c>
      <c r="FL356">
        <f ca="1"/>
      </c>
      <c r="FM356">
        <f ca="1"/>
      </c>
      <c r="FN356">
        <f ca="1"/>
      </c>
      <c r="FO356">
        <f ca="1"/>
      </c>
      <c r="FP356">
        <f ca="1"/>
      </c>
      <c r="FQ356">
        <f ca="1"/>
      </c>
      <c r="FR356">
        <f ca="1"/>
      </c>
      <c r="FS356">
        <f ca="1"/>
      </c>
      <c r="FT356">
        <f ca="1"/>
      </c>
      <c r="FU356">
        <f ca="1"/>
      </c>
      <c r="FV356">
        <f ca="1"/>
      </c>
      <c r="FW356">
        <f ca="1"/>
      </c>
      <c r="FX356">
        <f ca="1"/>
      </c>
      <c r="FY356">
        <f ca="1"/>
      </c>
      <c r="FZ356">
        <f ca="1"/>
      </c>
      <c r="GA356">
        <f ca="1"/>
      </c>
      <c r="GM356" s="7"/>
    </row>
    <row r="357" spans="41:195" x14ac:dyDescent="0.55000000000000004">
      <c r="AO357">
        <f ca="1"/>
      </c>
      <c r="AP357">
        <f ca="1"/>
      </c>
      <c r="AQ357">
        <f ca="1"/>
      </c>
      <c r="AR357">
        <f ca="1"/>
      </c>
      <c r="AS357">
        <f ca="1"/>
      </c>
      <c r="AT357">
        <f ca="1"/>
      </c>
      <c r="AU357">
        <f ca="1"/>
      </c>
      <c r="AV357">
        <f ca="1"/>
      </c>
      <c r="AW357">
        <f ca="1"/>
      </c>
      <c r="AX357">
        <f ca="1"/>
      </c>
      <c r="AY357">
        <f ca="1"/>
      </c>
      <c r="AZ357">
        <f ca="1"/>
      </c>
      <c r="BA357">
        <f ca="1"/>
      </c>
      <c r="BB357">
        <f ca="1"/>
      </c>
      <c r="BC357">
        <f ca="1"/>
      </c>
      <c r="BD357">
        <f ca="1"/>
      </c>
      <c r="BE357">
        <f ca="1"/>
      </c>
      <c r="BF357">
        <f ca="1"/>
      </c>
      <c r="BG357">
        <f ca="1"/>
      </c>
      <c r="BH357">
        <f ca="1"/>
      </c>
      <c r="BI357">
        <f ca="1"/>
      </c>
      <c r="BJ357">
        <f ca="1"/>
      </c>
      <c r="BK357">
        <f ca="1"/>
      </c>
      <c r="BL357">
        <f ca="1"/>
      </c>
      <c r="BM357">
        <f ca="1"/>
      </c>
      <c r="BN357">
        <f ca="1"/>
      </c>
      <c r="BO357">
        <f ca="1"/>
      </c>
      <c r="BP357">
        <f ca="1"/>
      </c>
      <c r="BQ357">
        <f ca="1"/>
      </c>
      <c r="BR357">
        <f ca="1"/>
      </c>
      <c r="BS357">
        <f ca="1"/>
      </c>
      <c r="BT357">
        <f ca="1"/>
      </c>
      <c r="BU357">
        <f ca="1"/>
      </c>
      <c r="BV357">
        <f ca="1"/>
      </c>
      <c r="BW357">
        <f ca="1"/>
      </c>
      <c r="BX357">
        <f ca="1"/>
      </c>
      <c r="BY357">
        <f ca="1"/>
      </c>
      <c r="BZ357">
        <f ca="1"/>
      </c>
      <c r="CA357">
        <f ca="1"/>
      </c>
      <c r="CB357">
        <f ca="1"/>
      </c>
      <c r="CC357">
        <f ca="1"/>
      </c>
      <c r="CD357">
        <f ca="1"/>
      </c>
      <c r="CE357">
        <f ca="1"/>
      </c>
      <c r="CF357">
        <f ca="1"/>
      </c>
      <c r="CG357">
        <f ca="1"/>
      </c>
      <c r="CH357">
        <f ca="1"/>
      </c>
      <c r="CI357">
        <f ca="1"/>
      </c>
      <c r="CK357">
        <f ca="1"/>
      </c>
      <c r="CL357">
        <f ca="1"/>
      </c>
      <c r="CM357">
        <f ca="1"/>
      </c>
      <c r="CN357">
        <f ca="1"/>
      </c>
      <c r="CO357">
        <f ca="1"/>
      </c>
      <c r="CP357">
        <f ca="1"/>
      </c>
      <c r="CQ357">
        <f ca="1"/>
      </c>
      <c r="CR357">
        <f ca="1"/>
      </c>
      <c r="CS357">
        <f ca="1"/>
      </c>
      <c r="CT357">
        <f ca="1"/>
      </c>
      <c r="CU357">
        <f ca="1"/>
      </c>
      <c r="CV357">
        <f ca="1"/>
      </c>
      <c r="CW357">
        <f ca="1"/>
      </c>
      <c r="CX357">
        <f ca="1"/>
      </c>
      <c r="CY357">
        <f ca="1"/>
      </c>
      <c r="CZ357">
        <f ca="1"/>
      </c>
      <c r="DA357">
        <f ca="1"/>
      </c>
      <c r="DB357">
        <f ca="1"/>
      </c>
      <c r="DC357">
        <f ca="1"/>
      </c>
      <c r="DD357">
        <f ca="1"/>
      </c>
      <c r="DE357">
        <f ca="1"/>
      </c>
      <c r="DF357">
        <f ca="1"/>
      </c>
      <c r="DG357">
        <f ca="1"/>
      </c>
      <c r="DH357">
        <f ca="1"/>
      </c>
      <c r="DI357">
        <f ca="1"/>
      </c>
      <c r="DJ357">
        <f ca="1"/>
      </c>
      <c r="DK357">
        <f ca="1"/>
      </c>
      <c r="DL357">
        <f ca="1"/>
      </c>
      <c r="DM357">
        <f ca="1"/>
      </c>
      <c r="DN357">
        <f ca="1"/>
      </c>
      <c r="DO357">
        <f ca="1"/>
      </c>
      <c r="DP357">
        <f ca="1"/>
      </c>
      <c r="DQ357">
        <f ca="1"/>
      </c>
      <c r="DR357">
        <f ca="1"/>
      </c>
      <c r="DS357">
        <f ca="1"/>
      </c>
      <c r="DT357">
        <f ca="1"/>
      </c>
      <c r="DU357">
        <f ca="1"/>
      </c>
      <c r="DV357">
        <f ca="1"/>
      </c>
      <c r="DW357">
        <f ca="1"/>
      </c>
      <c r="DX357">
        <f ca="1"/>
      </c>
      <c r="DY357">
        <f ca="1"/>
      </c>
      <c r="DZ357">
        <f ca="1"/>
      </c>
      <c r="EA357">
        <f ca="1"/>
      </c>
      <c r="EB357">
        <f ca="1"/>
      </c>
      <c r="EC357">
        <f ca="1"/>
      </c>
      <c r="ED357">
        <f ca="1"/>
      </c>
      <c r="EE357">
        <f ca="1"/>
      </c>
      <c r="EG357">
        <f ca="1"/>
      </c>
      <c r="EH357">
        <f ca="1"/>
      </c>
      <c r="EI357">
        <f ca="1"/>
      </c>
      <c r="EJ357">
        <f ca="1"/>
      </c>
      <c r="EK357">
        <f ca="1"/>
      </c>
      <c r="EL357">
        <f ca="1"/>
      </c>
      <c r="EM357">
        <f ca="1"/>
      </c>
      <c r="EN357">
        <f ca="1"/>
      </c>
      <c r="EO357">
        <f ca="1"/>
      </c>
      <c r="EP357">
        <f ca="1"/>
      </c>
      <c r="EQ357">
        <f ca="1"/>
      </c>
      <c r="ER357">
        <f ca="1"/>
      </c>
      <c r="ES357">
        <f ca="1"/>
      </c>
      <c r="ET357">
        <f ca="1"/>
      </c>
      <c r="EU357">
        <f ca="1"/>
      </c>
      <c r="EV357">
        <f ca="1"/>
      </c>
      <c r="EW357">
        <f ca="1"/>
      </c>
      <c r="EX357">
        <f ca="1"/>
      </c>
      <c r="EY357">
        <f ca="1"/>
      </c>
      <c r="EZ357">
        <f ca="1"/>
      </c>
      <c r="FA357">
        <f ca="1"/>
      </c>
      <c r="FB357">
        <f ca="1"/>
      </c>
      <c r="FC357">
        <f ca="1"/>
      </c>
      <c r="FD357">
        <f ca="1"/>
      </c>
      <c r="FE357">
        <f ca="1"/>
      </c>
      <c r="FF357">
        <f ca="1"/>
      </c>
      <c r="FG357">
        <f ca="1"/>
      </c>
      <c r="FH357">
        <f ca="1"/>
      </c>
      <c r="FI357">
        <f ca="1"/>
      </c>
      <c r="FJ357">
        <f ca="1"/>
      </c>
      <c r="FK357">
        <f ca="1"/>
      </c>
      <c r="FL357">
        <f ca="1"/>
      </c>
      <c r="FM357">
        <f ca="1"/>
      </c>
      <c r="FN357">
        <f ca="1"/>
      </c>
      <c r="FO357">
        <f ca="1"/>
      </c>
      <c r="FP357">
        <f ca="1"/>
      </c>
      <c r="FQ357">
        <f ca="1"/>
      </c>
      <c r="FR357">
        <f ca="1"/>
      </c>
      <c r="FS357">
        <f ca="1"/>
      </c>
      <c r="FT357">
        <f ca="1"/>
      </c>
      <c r="FU357">
        <f ca="1"/>
      </c>
      <c r="FV357">
        <f ca="1"/>
      </c>
      <c r="FW357">
        <f ca="1"/>
      </c>
      <c r="FX357">
        <f ca="1"/>
      </c>
      <c r="FY357">
        <f ca="1"/>
      </c>
      <c r="FZ357">
        <f ca="1"/>
      </c>
      <c r="GA357">
        <f ca="1"/>
      </c>
      <c r="GM357" s="7"/>
    </row>
    <row r="358" spans="41:195" x14ac:dyDescent="0.55000000000000004">
      <c r="AO358">
        <f ca="1"/>
      </c>
      <c r="AP358">
        <f ca="1"/>
      </c>
      <c r="AQ358">
        <f ca="1"/>
      </c>
      <c r="AR358">
        <f ca="1"/>
      </c>
      <c r="AS358">
        <f ca="1"/>
      </c>
      <c r="AT358">
        <f ca="1"/>
      </c>
      <c r="AU358">
        <f ca="1"/>
      </c>
      <c r="AV358">
        <f ca="1"/>
      </c>
      <c r="AW358">
        <f ca="1"/>
      </c>
      <c r="AX358">
        <f ca="1"/>
      </c>
      <c r="AY358">
        <f ca="1"/>
      </c>
      <c r="AZ358">
        <f ca="1"/>
      </c>
      <c r="BA358">
        <f ca="1"/>
      </c>
      <c r="BB358">
        <f ca="1"/>
      </c>
      <c r="BC358">
        <f ca="1"/>
      </c>
      <c r="BD358">
        <f ca="1"/>
      </c>
      <c r="BE358">
        <f ca="1"/>
      </c>
      <c r="BF358">
        <f ca="1"/>
      </c>
      <c r="BG358">
        <f ca="1"/>
      </c>
      <c r="BH358">
        <f ca="1"/>
      </c>
      <c r="BI358">
        <f ca="1"/>
      </c>
      <c r="BJ358">
        <f ca="1"/>
      </c>
      <c r="BK358">
        <f ca="1"/>
      </c>
      <c r="BL358">
        <f ca="1"/>
      </c>
      <c r="BM358">
        <f ca="1"/>
      </c>
      <c r="BN358">
        <f ca="1"/>
      </c>
      <c r="BO358">
        <f ca="1"/>
      </c>
      <c r="BP358">
        <f ca="1"/>
      </c>
      <c r="BQ358">
        <f ca="1"/>
      </c>
      <c r="BR358">
        <f ca="1"/>
      </c>
      <c r="BS358">
        <f ca="1"/>
      </c>
      <c r="BT358">
        <f ca="1"/>
      </c>
      <c r="BU358">
        <f ca="1"/>
      </c>
      <c r="BV358">
        <f ca="1"/>
      </c>
      <c r="BW358">
        <f ca="1"/>
      </c>
      <c r="BX358">
        <f ca="1"/>
      </c>
      <c r="BY358">
        <f ca="1"/>
      </c>
      <c r="BZ358">
        <f ca="1"/>
      </c>
      <c r="CA358">
        <f ca="1"/>
      </c>
      <c r="CB358">
        <f ca="1"/>
      </c>
      <c r="CC358">
        <f ca="1"/>
      </c>
      <c r="CD358">
        <f ca="1"/>
      </c>
      <c r="CE358">
        <f ca="1"/>
      </c>
      <c r="CF358">
        <f ca="1"/>
      </c>
      <c r="CG358">
        <f ca="1"/>
      </c>
      <c r="CH358">
        <f ca="1"/>
      </c>
      <c r="CI358">
        <f ca="1"/>
      </c>
      <c r="CK358">
        <f ca="1"/>
      </c>
      <c r="CL358">
        <f ca="1"/>
      </c>
      <c r="CM358">
        <f ca="1"/>
      </c>
      <c r="CN358">
        <f ca="1"/>
      </c>
      <c r="CO358">
        <f ca="1"/>
      </c>
      <c r="CP358">
        <f ca="1"/>
      </c>
      <c r="CQ358">
        <f ca="1"/>
      </c>
      <c r="CR358">
        <f ca="1"/>
      </c>
      <c r="CS358">
        <f ca="1"/>
      </c>
      <c r="CT358">
        <f ca="1"/>
      </c>
      <c r="CU358">
        <f ca="1"/>
      </c>
      <c r="CV358">
        <f ca="1"/>
      </c>
      <c r="CW358">
        <f ca="1"/>
      </c>
      <c r="CX358">
        <f ca="1"/>
      </c>
      <c r="CY358">
        <f ca="1"/>
      </c>
      <c r="CZ358">
        <f ca="1"/>
      </c>
      <c r="DA358">
        <f ca="1"/>
      </c>
      <c r="DB358">
        <f ca="1"/>
      </c>
      <c r="DC358">
        <f ca="1"/>
      </c>
      <c r="DD358">
        <f ca="1"/>
      </c>
      <c r="DE358">
        <f ca="1"/>
      </c>
      <c r="DF358">
        <f ca="1"/>
      </c>
      <c r="DG358">
        <f ca="1"/>
      </c>
      <c r="DH358">
        <f ca="1"/>
      </c>
      <c r="DI358">
        <f ca="1"/>
      </c>
      <c r="DJ358">
        <f ca="1"/>
      </c>
      <c r="DK358">
        <f ca="1"/>
      </c>
      <c r="DL358">
        <f ca="1"/>
      </c>
      <c r="DM358">
        <f ca="1"/>
      </c>
      <c r="DN358">
        <f ca="1"/>
      </c>
      <c r="DO358">
        <f ca="1"/>
      </c>
      <c r="DP358">
        <f ca="1"/>
      </c>
      <c r="DQ358">
        <f ca="1"/>
      </c>
      <c r="DR358">
        <f ca="1"/>
      </c>
      <c r="DS358">
        <f ca="1"/>
      </c>
      <c r="DT358">
        <f ca="1"/>
      </c>
      <c r="DU358">
        <f ca="1"/>
      </c>
      <c r="DV358">
        <f ca="1"/>
      </c>
      <c r="DW358">
        <f ca="1"/>
      </c>
      <c r="DX358">
        <f ca="1"/>
      </c>
      <c r="DY358">
        <f ca="1"/>
      </c>
      <c r="DZ358">
        <f ca="1"/>
      </c>
      <c r="EA358">
        <f ca="1"/>
      </c>
      <c r="EB358">
        <f ca="1"/>
      </c>
      <c r="EC358">
        <f ca="1"/>
      </c>
      <c r="ED358">
        <f ca="1"/>
      </c>
      <c r="EE358">
        <f ca="1"/>
      </c>
      <c r="EG358">
        <f ca="1"/>
      </c>
      <c r="EH358">
        <f ca="1"/>
      </c>
      <c r="EI358">
        <f ca="1"/>
      </c>
      <c r="EJ358">
        <f ca="1"/>
      </c>
      <c r="EK358">
        <f ca="1"/>
      </c>
      <c r="EL358">
        <f ca="1"/>
      </c>
      <c r="EM358">
        <f ca="1"/>
      </c>
      <c r="EN358">
        <f ca="1"/>
      </c>
      <c r="EO358">
        <f ca="1"/>
      </c>
      <c r="EP358">
        <f ca="1"/>
      </c>
      <c r="EQ358">
        <f ca="1"/>
      </c>
      <c r="ER358">
        <f ca="1"/>
      </c>
      <c r="ES358">
        <f ca="1"/>
      </c>
      <c r="ET358">
        <f ca="1"/>
      </c>
      <c r="EU358">
        <f ca="1"/>
      </c>
      <c r="EV358">
        <f ca="1"/>
      </c>
      <c r="EW358">
        <f ca="1"/>
      </c>
      <c r="EX358">
        <f ca="1"/>
      </c>
      <c r="EY358">
        <f ca="1"/>
      </c>
      <c r="EZ358">
        <f ca="1"/>
      </c>
      <c r="FA358">
        <f ca="1"/>
      </c>
      <c r="FB358">
        <f ca="1"/>
      </c>
      <c r="FC358">
        <f ca="1"/>
      </c>
      <c r="FD358">
        <f ca="1"/>
      </c>
      <c r="FE358">
        <f ca="1"/>
      </c>
      <c r="FF358">
        <f ca="1"/>
      </c>
      <c r="FG358">
        <f ca="1"/>
      </c>
      <c r="FH358">
        <f ca="1"/>
      </c>
      <c r="FI358">
        <f ca="1"/>
      </c>
      <c r="FJ358">
        <f ca="1"/>
      </c>
      <c r="FK358">
        <f ca="1"/>
      </c>
      <c r="FL358">
        <f ca="1"/>
      </c>
      <c r="FM358">
        <f ca="1"/>
      </c>
      <c r="FN358">
        <f ca="1"/>
      </c>
      <c r="FO358">
        <f ca="1"/>
      </c>
      <c r="FP358">
        <f ca="1"/>
      </c>
      <c r="FQ358">
        <f ca="1"/>
      </c>
      <c r="FR358">
        <f ca="1"/>
      </c>
      <c r="FS358">
        <f ca="1"/>
      </c>
      <c r="FT358">
        <f ca="1"/>
      </c>
      <c r="FU358">
        <f ca="1"/>
      </c>
      <c r="FV358">
        <f ca="1"/>
      </c>
      <c r="FW358">
        <f ca="1"/>
      </c>
      <c r="FX358">
        <f ca="1"/>
      </c>
      <c r="FY358">
        <f ca="1"/>
      </c>
      <c r="FZ358">
        <f ca="1"/>
      </c>
      <c r="GA358">
        <f ca="1"/>
      </c>
      <c r="GM358" s="7"/>
    </row>
    <row r="359" spans="41:195" x14ac:dyDescent="0.55000000000000004">
      <c r="AO359">
        <f ca="1"/>
      </c>
      <c r="AP359">
        <f ca="1"/>
      </c>
      <c r="AQ359">
        <f ca="1"/>
      </c>
      <c r="AR359">
        <f ca="1"/>
      </c>
      <c r="AS359">
        <f ca="1"/>
      </c>
      <c r="AT359">
        <f ca="1"/>
      </c>
      <c r="AU359">
        <f ca="1"/>
      </c>
      <c r="AV359">
        <f ca="1"/>
      </c>
      <c r="AW359">
        <f ca="1"/>
      </c>
      <c r="AX359">
        <f ca="1"/>
      </c>
      <c r="AY359">
        <f ca="1"/>
      </c>
      <c r="AZ359">
        <f ca="1"/>
      </c>
      <c r="BA359">
        <f ca="1"/>
      </c>
      <c r="BB359">
        <f ca="1"/>
      </c>
      <c r="BC359">
        <f ca="1"/>
      </c>
      <c r="BD359">
        <f ca="1"/>
      </c>
      <c r="BE359">
        <f ca="1"/>
      </c>
      <c r="BF359">
        <f ca="1"/>
      </c>
      <c r="BG359">
        <f ca="1"/>
      </c>
      <c r="BH359">
        <f ca="1"/>
      </c>
      <c r="BI359">
        <f ca="1"/>
      </c>
      <c r="BJ359">
        <f ca="1"/>
      </c>
      <c r="BK359">
        <f ca="1"/>
      </c>
      <c r="BL359">
        <f ca="1"/>
      </c>
      <c r="BM359">
        <f ca="1"/>
      </c>
      <c r="BN359">
        <f ca="1"/>
      </c>
      <c r="BO359">
        <f ca="1"/>
      </c>
      <c r="BP359">
        <f ca="1"/>
      </c>
      <c r="BQ359">
        <f ca="1"/>
      </c>
      <c r="BR359">
        <f ca="1"/>
      </c>
      <c r="BS359">
        <f ca="1"/>
      </c>
      <c r="BT359">
        <f ca="1"/>
      </c>
      <c r="BU359">
        <f ca="1"/>
      </c>
      <c r="BV359">
        <f ca="1"/>
      </c>
      <c r="BW359">
        <f ca="1"/>
      </c>
      <c r="BX359">
        <f ca="1"/>
      </c>
      <c r="BY359">
        <f ca="1"/>
      </c>
      <c r="BZ359">
        <f ca="1"/>
      </c>
      <c r="CA359">
        <f ca="1"/>
      </c>
      <c r="CB359">
        <f ca="1"/>
      </c>
      <c r="CC359">
        <f ca="1"/>
      </c>
      <c r="CD359">
        <f ca="1"/>
      </c>
      <c r="CE359">
        <f ca="1"/>
      </c>
      <c r="CF359">
        <f ca="1"/>
      </c>
      <c r="CG359">
        <f ca="1"/>
      </c>
      <c r="CH359">
        <f ca="1"/>
      </c>
      <c r="CI359">
        <f ca="1"/>
      </c>
      <c r="CK359">
        <f ca="1"/>
      </c>
      <c r="CL359">
        <f ca="1"/>
      </c>
      <c r="CM359">
        <f ca="1"/>
      </c>
      <c r="CN359">
        <f ca="1"/>
      </c>
      <c r="CO359">
        <f ca="1"/>
      </c>
      <c r="CP359">
        <f ca="1"/>
      </c>
      <c r="CQ359">
        <f ca="1"/>
      </c>
      <c r="CR359">
        <f ca="1"/>
      </c>
      <c r="CS359">
        <f ca="1"/>
      </c>
      <c r="CT359">
        <f ca="1"/>
      </c>
      <c r="CU359">
        <f ca="1"/>
      </c>
      <c r="CV359">
        <f ca="1"/>
      </c>
      <c r="CW359">
        <f ca="1"/>
      </c>
      <c r="CX359">
        <f ca="1"/>
      </c>
      <c r="CY359">
        <f ca="1"/>
      </c>
      <c r="CZ359">
        <f ca="1"/>
      </c>
      <c r="DA359">
        <f ca="1"/>
      </c>
      <c r="DB359">
        <f ca="1"/>
      </c>
      <c r="DC359">
        <f ca="1"/>
      </c>
      <c r="DD359">
        <f ca="1"/>
      </c>
      <c r="DE359">
        <f ca="1"/>
      </c>
      <c r="DF359">
        <f ca="1"/>
      </c>
      <c r="DG359">
        <f ca="1"/>
      </c>
      <c r="DH359">
        <f ca="1"/>
      </c>
      <c r="DI359">
        <f ca="1"/>
      </c>
      <c r="DJ359">
        <f ca="1"/>
      </c>
      <c r="DK359">
        <f ca="1"/>
      </c>
      <c r="DL359">
        <f ca="1"/>
      </c>
      <c r="DM359">
        <f ca="1"/>
      </c>
      <c r="DN359">
        <f ca="1"/>
      </c>
      <c r="DO359">
        <f ca="1"/>
      </c>
      <c r="DP359">
        <f ca="1"/>
      </c>
      <c r="DQ359">
        <f ca="1"/>
      </c>
      <c r="DR359">
        <f ca="1"/>
      </c>
      <c r="DS359">
        <f ca="1"/>
      </c>
      <c r="DT359">
        <f ca="1"/>
      </c>
      <c r="DU359">
        <f ca="1"/>
      </c>
      <c r="DV359">
        <f ca="1"/>
      </c>
      <c r="DW359">
        <f ca="1"/>
      </c>
      <c r="DX359">
        <f ca="1"/>
      </c>
      <c r="DY359">
        <f ca="1"/>
      </c>
      <c r="DZ359">
        <f ca="1"/>
      </c>
      <c r="EA359">
        <f ca="1"/>
      </c>
      <c r="EB359">
        <f ca="1"/>
      </c>
      <c r="EC359">
        <f ca="1"/>
      </c>
      <c r="ED359">
        <f ca="1"/>
      </c>
      <c r="EE359">
        <f ca="1"/>
      </c>
      <c r="EG359">
        <f ca="1"/>
      </c>
      <c r="EH359">
        <f ca="1"/>
      </c>
      <c r="EI359">
        <f ca="1"/>
      </c>
      <c r="EJ359">
        <f ca="1"/>
      </c>
      <c r="EK359">
        <f ca="1"/>
      </c>
      <c r="EL359">
        <f ca="1"/>
      </c>
      <c r="EM359">
        <f ca="1"/>
      </c>
      <c r="EN359">
        <f ca="1"/>
      </c>
      <c r="EO359">
        <f ca="1"/>
      </c>
      <c r="EP359">
        <f ca="1"/>
      </c>
      <c r="EQ359">
        <f ca="1"/>
      </c>
      <c r="ER359">
        <f ca="1"/>
      </c>
      <c r="ES359">
        <f ca="1"/>
      </c>
      <c r="ET359">
        <f ca="1"/>
      </c>
      <c r="EU359">
        <f ca="1"/>
      </c>
      <c r="EV359">
        <f ca="1"/>
      </c>
      <c r="EW359">
        <f ca="1"/>
      </c>
      <c r="EX359">
        <f ca="1"/>
      </c>
      <c r="EY359">
        <f ca="1"/>
      </c>
      <c r="EZ359">
        <f ca="1"/>
      </c>
      <c r="FA359">
        <f ca="1"/>
      </c>
      <c r="FB359">
        <f ca="1"/>
      </c>
      <c r="FC359">
        <f ca="1"/>
      </c>
      <c r="FD359">
        <f ca="1"/>
      </c>
      <c r="FE359">
        <f ca="1"/>
      </c>
      <c r="FF359">
        <f ca="1"/>
      </c>
      <c r="FG359">
        <f ca="1"/>
      </c>
      <c r="FH359">
        <f ca="1"/>
      </c>
      <c r="FI359">
        <f ca="1"/>
      </c>
      <c r="FJ359">
        <f ca="1"/>
      </c>
      <c r="FK359">
        <f ca="1"/>
      </c>
      <c r="FL359">
        <f ca="1"/>
      </c>
      <c r="FM359">
        <f ca="1"/>
      </c>
      <c r="FN359">
        <f ca="1"/>
      </c>
      <c r="FO359">
        <f ca="1"/>
      </c>
      <c r="FP359">
        <f ca="1"/>
      </c>
      <c r="FQ359">
        <f ca="1"/>
      </c>
      <c r="FR359">
        <f ca="1"/>
      </c>
      <c r="FS359">
        <f ca="1"/>
      </c>
      <c r="FT359">
        <f ca="1"/>
      </c>
      <c r="FU359">
        <f ca="1"/>
      </c>
      <c r="FV359">
        <f ca="1"/>
      </c>
      <c r="FW359">
        <f ca="1"/>
      </c>
      <c r="FX359">
        <f ca="1"/>
      </c>
      <c r="FY359">
        <f ca="1"/>
      </c>
      <c r="FZ359">
        <f ca="1"/>
      </c>
      <c r="GA359">
        <f ca="1"/>
      </c>
      <c r="GM359" s="7"/>
    </row>
    <row r="360" spans="41:195" x14ac:dyDescent="0.55000000000000004">
      <c r="AO360">
        <f ca="1"/>
      </c>
      <c r="AP360">
        <f ca="1"/>
      </c>
      <c r="AQ360">
        <f ca="1"/>
      </c>
      <c r="AR360">
        <f ca="1"/>
      </c>
      <c r="AS360">
        <f ca="1"/>
      </c>
      <c r="AT360">
        <f ca="1"/>
      </c>
      <c r="AU360">
        <f ca="1"/>
      </c>
      <c r="AV360">
        <f ca="1"/>
      </c>
      <c r="AW360">
        <f ca="1"/>
      </c>
      <c r="AX360">
        <f ca="1"/>
      </c>
      <c r="AY360">
        <f ca="1"/>
      </c>
      <c r="AZ360">
        <f ca="1"/>
      </c>
      <c r="BA360">
        <f ca="1"/>
      </c>
      <c r="BB360">
        <f ca="1"/>
      </c>
      <c r="BC360">
        <f ca="1"/>
      </c>
      <c r="BD360">
        <f ca="1"/>
      </c>
      <c r="BE360">
        <f ca="1"/>
      </c>
      <c r="BF360">
        <f ca="1"/>
      </c>
      <c r="BG360">
        <f ca="1"/>
      </c>
      <c r="BH360">
        <f ca="1"/>
      </c>
      <c r="BI360">
        <f ca="1"/>
      </c>
      <c r="BJ360">
        <f ca="1"/>
      </c>
      <c r="BK360">
        <f ca="1"/>
      </c>
      <c r="BL360">
        <f ca="1"/>
      </c>
      <c r="BM360">
        <f ca="1"/>
      </c>
      <c r="BN360">
        <f ca="1"/>
      </c>
      <c r="BO360">
        <f ca="1"/>
      </c>
      <c r="BP360">
        <f ca="1"/>
      </c>
      <c r="BQ360">
        <f ca="1"/>
      </c>
      <c r="BR360">
        <f ca="1"/>
      </c>
      <c r="BS360">
        <f ca="1"/>
      </c>
      <c r="BT360">
        <f ca="1"/>
      </c>
      <c r="BU360">
        <f ca="1"/>
      </c>
      <c r="BV360">
        <f ca="1"/>
      </c>
      <c r="BW360">
        <f ca="1"/>
      </c>
      <c r="BX360">
        <f ca="1"/>
      </c>
      <c r="BY360">
        <f ca="1"/>
      </c>
      <c r="BZ360">
        <f ca="1"/>
      </c>
      <c r="CA360">
        <f ca="1"/>
      </c>
      <c r="CB360">
        <f ca="1"/>
      </c>
      <c r="CC360">
        <f ca="1"/>
      </c>
      <c r="CD360">
        <f ca="1"/>
      </c>
      <c r="CE360">
        <f ca="1"/>
      </c>
      <c r="CF360">
        <f ca="1"/>
      </c>
      <c r="CG360">
        <f ca="1"/>
      </c>
      <c r="CH360">
        <f ca="1"/>
      </c>
      <c r="CI360">
        <f ca="1"/>
      </c>
      <c r="CK360">
        <f ca="1"/>
      </c>
      <c r="CL360">
        <f ca="1"/>
      </c>
      <c r="CM360">
        <f ca="1"/>
      </c>
      <c r="CN360">
        <f ca="1"/>
      </c>
      <c r="CO360">
        <f ca="1"/>
      </c>
      <c r="CP360">
        <f ca="1"/>
      </c>
      <c r="CQ360">
        <f ca="1"/>
      </c>
      <c r="CR360">
        <f ca="1"/>
      </c>
      <c r="CS360">
        <f ca="1"/>
      </c>
      <c r="CT360">
        <f ca="1"/>
      </c>
      <c r="CU360">
        <f ca="1"/>
      </c>
      <c r="CV360">
        <f ca="1"/>
      </c>
      <c r="CW360">
        <f ca="1"/>
      </c>
      <c r="CX360">
        <f ca="1"/>
      </c>
      <c r="CY360">
        <f ca="1"/>
      </c>
      <c r="CZ360">
        <f ca="1"/>
      </c>
      <c r="DA360">
        <f ca="1"/>
      </c>
      <c r="DB360">
        <f ca="1"/>
      </c>
      <c r="DC360">
        <f ca="1"/>
      </c>
      <c r="DD360">
        <f ca="1"/>
      </c>
      <c r="DE360">
        <f ca="1"/>
      </c>
      <c r="DF360">
        <f ca="1"/>
      </c>
      <c r="DG360">
        <f ca="1"/>
      </c>
      <c r="DH360">
        <f ca="1"/>
      </c>
      <c r="DI360">
        <f ca="1"/>
      </c>
      <c r="DJ360">
        <f ca="1"/>
      </c>
      <c r="DK360">
        <f ca="1"/>
      </c>
      <c r="DL360">
        <f ca="1"/>
      </c>
      <c r="DM360">
        <f ca="1"/>
      </c>
      <c r="DN360">
        <f ca="1"/>
      </c>
      <c r="DO360">
        <f ca="1"/>
      </c>
      <c r="DP360">
        <f ca="1"/>
      </c>
      <c r="DQ360">
        <f ca="1"/>
      </c>
      <c r="DR360">
        <f ca="1"/>
      </c>
      <c r="DS360">
        <f ca="1"/>
      </c>
      <c r="DT360">
        <f ca="1"/>
      </c>
      <c r="DU360">
        <f ca="1"/>
      </c>
      <c r="DV360">
        <f ca="1"/>
      </c>
      <c r="DW360">
        <f ca="1"/>
      </c>
      <c r="DX360">
        <f ca="1"/>
      </c>
      <c r="DY360">
        <f ca="1"/>
      </c>
      <c r="DZ360">
        <f ca="1"/>
      </c>
      <c r="EA360">
        <f ca="1"/>
      </c>
      <c r="EB360">
        <f ca="1"/>
      </c>
      <c r="EC360">
        <f ca="1"/>
      </c>
      <c r="ED360">
        <f ca="1"/>
      </c>
      <c r="EE360">
        <f ca="1"/>
      </c>
      <c r="EG360">
        <f ca="1"/>
      </c>
      <c r="EH360">
        <f ca="1"/>
      </c>
      <c r="EI360">
        <f ca="1"/>
      </c>
      <c r="EJ360">
        <f ca="1"/>
      </c>
      <c r="EK360">
        <f ca="1"/>
      </c>
      <c r="EL360">
        <f ca="1"/>
      </c>
      <c r="EM360">
        <f ca="1"/>
      </c>
      <c r="EN360">
        <f ca="1"/>
      </c>
      <c r="EO360">
        <f ca="1"/>
      </c>
      <c r="EP360">
        <f ca="1"/>
      </c>
      <c r="EQ360">
        <f ca="1"/>
      </c>
      <c r="ER360">
        <f ca="1"/>
      </c>
      <c r="ES360">
        <f ca="1"/>
      </c>
      <c r="ET360">
        <f ca="1"/>
      </c>
      <c r="EU360">
        <f ca="1"/>
      </c>
      <c r="EV360">
        <f ca="1"/>
      </c>
      <c r="EW360">
        <f ca="1"/>
      </c>
      <c r="EX360">
        <f ca="1"/>
      </c>
      <c r="EY360">
        <f ca="1"/>
      </c>
      <c r="EZ360">
        <f ca="1"/>
      </c>
      <c r="FA360">
        <f ca="1"/>
      </c>
      <c r="FB360">
        <f ca="1"/>
      </c>
      <c r="FC360">
        <f ca="1"/>
      </c>
      <c r="FD360">
        <f ca="1"/>
      </c>
      <c r="FE360">
        <f ca="1"/>
      </c>
      <c r="FF360">
        <f ca="1"/>
      </c>
      <c r="FG360">
        <f ca="1"/>
      </c>
      <c r="FH360">
        <f ca="1"/>
      </c>
      <c r="FI360">
        <f ca="1"/>
      </c>
      <c r="FJ360">
        <f ca="1"/>
      </c>
      <c r="FK360">
        <f ca="1"/>
      </c>
      <c r="FL360">
        <f ca="1"/>
      </c>
      <c r="FM360">
        <f ca="1"/>
      </c>
      <c r="FN360">
        <f ca="1"/>
      </c>
      <c r="FO360">
        <f ca="1"/>
      </c>
      <c r="FP360">
        <f ca="1"/>
      </c>
      <c r="FQ360">
        <f ca="1"/>
      </c>
      <c r="FR360">
        <f ca="1"/>
      </c>
      <c r="FS360">
        <f ca="1"/>
      </c>
      <c r="FT360">
        <f ca="1"/>
      </c>
      <c r="FU360">
        <f ca="1"/>
      </c>
      <c r="FV360">
        <f ca="1"/>
      </c>
      <c r="FW360">
        <f ca="1"/>
      </c>
      <c r="FX360">
        <f ca="1"/>
      </c>
      <c r="FY360">
        <f ca="1"/>
      </c>
      <c r="FZ360">
        <f ca="1"/>
      </c>
      <c r="GA360">
        <f ca="1"/>
      </c>
      <c r="GM360" s="7"/>
    </row>
    <row r="361" spans="41:195" x14ac:dyDescent="0.55000000000000004">
      <c r="AO361">
        <f ca="1"/>
      </c>
      <c r="AP361">
        <f ca="1"/>
      </c>
      <c r="AQ361">
        <f ca="1"/>
      </c>
      <c r="AR361">
        <f ca="1"/>
      </c>
      <c r="AS361">
        <f ca="1"/>
      </c>
      <c r="AT361">
        <f ca="1"/>
      </c>
      <c r="AU361">
        <f ca="1"/>
      </c>
      <c r="AV361">
        <f ca="1"/>
      </c>
      <c r="AW361">
        <f ca="1"/>
      </c>
      <c r="AX361">
        <f ca="1"/>
      </c>
      <c r="AY361">
        <f ca="1"/>
      </c>
      <c r="AZ361">
        <f ca="1"/>
      </c>
      <c r="BA361">
        <f ca="1"/>
      </c>
      <c r="BB361">
        <f ca="1"/>
      </c>
      <c r="BC361">
        <f ca="1"/>
      </c>
      <c r="BD361">
        <f ca="1"/>
      </c>
      <c r="BE361">
        <f ca="1"/>
      </c>
      <c r="BF361">
        <f ca="1"/>
      </c>
      <c r="BG361">
        <f ca="1"/>
      </c>
      <c r="BH361">
        <f ca="1"/>
      </c>
      <c r="BI361">
        <f ca="1"/>
      </c>
      <c r="BJ361">
        <f ca="1"/>
      </c>
      <c r="BK361">
        <f ca="1"/>
      </c>
      <c r="BL361">
        <f ca="1"/>
      </c>
      <c r="BM361">
        <f ca="1"/>
      </c>
      <c r="BN361">
        <f ca="1"/>
      </c>
      <c r="BO361">
        <f ca="1"/>
      </c>
      <c r="BP361">
        <f ca="1"/>
      </c>
      <c r="BQ361">
        <f ca="1"/>
      </c>
      <c r="BR361">
        <f ca="1"/>
      </c>
      <c r="BS361">
        <f ca="1"/>
      </c>
      <c r="BT361">
        <f ca="1"/>
      </c>
      <c r="BU361">
        <f ca="1"/>
      </c>
      <c r="BV361">
        <f ca="1"/>
      </c>
      <c r="BW361">
        <f ca="1"/>
      </c>
      <c r="BX361">
        <f ca="1"/>
      </c>
      <c r="BY361">
        <f ca="1"/>
      </c>
      <c r="BZ361">
        <f ca="1"/>
      </c>
      <c r="CA361">
        <f ca="1"/>
      </c>
      <c r="CB361">
        <f ca="1"/>
      </c>
      <c r="CC361">
        <f ca="1"/>
      </c>
      <c r="CD361">
        <f ca="1"/>
      </c>
      <c r="CE361">
        <f ca="1"/>
      </c>
      <c r="CF361">
        <f ca="1"/>
      </c>
      <c r="CG361">
        <f ca="1"/>
      </c>
      <c r="CH361">
        <f ca="1"/>
      </c>
      <c r="CI361">
        <f ca="1"/>
      </c>
      <c r="CK361">
        <f ca="1"/>
      </c>
      <c r="CL361">
        <f ca="1"/>
      </c>
      <c r="CM361">
        <f ca="1"/>
      </c>
      <c r="CN361">
        <f ca="1"/>
      </c>
      <c r="CO361">
        <f ca="1"/>
      </c>
      <c r="CP361">
        <f ca="1"/>
      </c>
      <c r="CQ361">
        <f ca="1"/>
      </c>
      <c r="CR361">
        <f ca="1"/>
      </c>
      <c r="CS361">
        <f ca="1"/>
      </c>
      <c r="CT361">
        <f ca="1"/>
      </c>
      <c r="CU361">
        <f ca="1"/>
      </c>
      <c r="CV361">
        <f ca="1"/>
      </c>
      <c r="CW361">
        <f ca="1"/>
      </c>
      <c r="CX361">
        <f ca="1"/>
      </c>
      <c r="CY361">
        <f ca="1"/>
      </c>
      <c r="CZ361">
        <f ca="1"/>
      </c>
      <c r="DA361">
        <f ca="1"/>
      </c>
      <c r="DB361">
        <f ca="1"/>
      </c>
      <c r="DC361">
        <f ca="1"/>
      </c>
      <c r="DD361">
        <f ca="1"/>
      </c>
      <c r="DE361">
        <f ca="1"/>
      </c>
      <c r="DF361">
        <f ca="1"/>
      </c>
      <c r="DG361">
        <f ca="1"/>
      </c>
      <c r="DH361">
        <f ca="1"/>
      </c>
      <c r="DI361">
        <f ca="1"/>
      </c>
      <c r="DJ361">
        <f ca="1"/>
      </c>
      <c r="DK361">
        <f ca="1"/>
      </c>
      <c r="DL361">
        <f ca="1"/>
      </c>
      <c r="DM361">
        <f ca="1"/>
      </c>
      <c r="DN361">
        <f ca="1"/>
      </c>
      <c r="DO361">
        <f ca="1"/>
      </c>
      <c r="DP361">
        <f ca="1"/>
      </c>
      <c r="DQ361">
        <f ca="1"/>
      </c>
      <c r="DR361">
        <f ca="1"/>
      </c>
      <c r="DS361">
        <f ca="1"/>
      </c>
      <c r="DT361">
        <f ca="1"/>
      </c>
      <c r="DU361">
        <f ca="1"/>
      </c>
      <c r="DV361">
        <f ca="1"/>
      </c>
      <c r="DW361">
        <f ca="1"/>
      </c>
      <c r="DX361">
        <f ca="1"/>
      </c>
      <c r="DY361">
        <f ca="1"/>
      </c>
      <c r="DZ361">
        <f ca="1"/>
      </c>
      <c r="EA361">
        <f ca="1"/>
      </c>
      <c r="EB361">
        <f ca="1"/>
      </c>
      <c r="EC361">
        <f ca="1"/>
      </c>
      <c r="ED361">
        <f ca="1"/>
      </c>
      <c r="EE361">
        <f ca="1"/>
      </c>
      <c r="EG361">
        <f ca="1"/>
      </c>
      <c r="EH361">
        <f ca="1"/>
      </c>
      <c r="EI361">
        <f ca="1"/>
      </c>
      <c r="EJ361">
        <f ca="1"/>
      </c>
      <c r="EK361">
        <f ca="1"/>
      </c>
      <c r="EL361">
        <f ca="1"/>
      </c>
      <c r="EM361">
        <f ca="1"/>
      </c>
      <c r="EN361">
        <f ca="1"/>
      </c>
      <c r="EO361">
        <f ca="1"/>
      </c>
      <c r="EP361">
        <f ca="1"/>
      </c>
      <c r="EQ361">
        <f ca="1"/>
      </c>
      <c r="ER361">
        <f ca="1"/>
      </c>
      <c r="ES361">
        <f ca="1"/>
      </c>
      <c r="ET361">
        <f ca="1"/>
      </c>
      <c r="EU361">
        <f ca="1"/>
      </c>
      <c r="EV361">
        <f ca="1"/>
      </c>
      <c r="EW361">
        <f ca="1"/>
      </c>
      <c r="EX361">
        <f ca="1"/>
      </c>
      <c r="EY361">
        <f ca="1"/>
      </c>
      <c r="EZ361">
        <f ca="1"/>
      </c>
      <c r="FA361">
        <f ca="1"/>
      </c>
      <c r="FB361">
        <f ca="1"/>
      </c>
      <c r="FC361">
        <f ca="1"/>
      </c>
      <c r="FD361">
        <f ca="1"/>
      </c>
      <c r="FE361">
        <f ca="1"/>
      </c>
      <c r="FF361">
        <f ca="1"/>
      </c>
      <c r="FG361">
        <f ca="1"/>
      </c>
      <c r="FH361">
        <f ca="1"/>
      </c>
      <c r="FI361">
        <f ca="1"/>
      </c>
      <c r="FJ361">
        <f ca="1"/>
      </c>
      <c r="FK361">
        <f ca="1"/>
      </c>
      <c r="FL361">
        <f ca="1"/>
      </c>
      <c r="FM361">
        <f ca="1"/>
      </c>
      <c r="FN361">
        <f ca="1"/>
      </c>
      <c r="FO361">
        <f ca="1"/>
      </c>
      <c r="FP361">
        <f ca="1"/>
      </c>
      <c r="FQ361">
        <f ca="1"/>
      </c>
      <c r="FR361">
        <f ca="1"/>
      </c>
      <c r="FS361">
        <f ca="1"/>
      </c>
      <c r="FT361">
        <f ca="1"/>
      </c>
      <c r="FU361">
        <f ca="1"/>
      </c>
      <c r="FV361">
        <f ca="1"/>
      </c>
      <c r="FW361">
        <f ca="1"/>
      </c>
      <c r="FX361">
        <f ca="1"/>
      </c>
      <c r="FY361">
        <f ca="1"/>
      </c>
      <c r="FZ361">
        <f ca="1"/>
      </c>
      <c r="GA361">
        <f ca="1"/>
      </c>
      <c r="GM361" s="7"/>
    </row>
    <row r="362" spans="41:195" x14ac:dyDescent="0.55000000000000004">
      <c r="AO362">
        <f ca="1"/>
      </c>
      <c r="AP362">
        <f ca="1"/>
      </c>
      <c r="AQ362">
        <f ca="1"/>
      </c>
      <c r="AR362">
        <f ca="1"/>
      </c>
      <c r="AS362">
        <f ca="1"/>
      </c>
      <c r="AT362">
        <f ca="1"/>
      </c>
      <c r="AU362">
        <f ca="1"/>
      </c>
      <c r="AV362">
        <f ca="1"/>
      </c>
      <c r="AW362">
        <f ca="1"/>
      </c>
      <c r="AX362">
        <f ca="1"/>
      </c>
      <c r="AY362">
        <f ca="1"/>
      </c>
      <c r="AZ362">
        <f ca="1"/>
      </c>
      <c r="BA362">
        <f ca="1"/>
      </c>
      <c r="BB362">
        <f ca="1"/>
      </c>
      <c r="BC362">
        <f ca="1"/>
      </c>
      <c r="BD362">
        <f ca="1"/>
      </c>
      <c r="BE362">
        <f ca="1"/>
      </c>
      <c r="BF362">
        <f ca="1"/>
      </c>
      <c r="BG362">
        <f ca="1"/>
      </c>
      <c r="BH362">
        <f ca="1"/>
      </c>
      <c r="BI362">
        <f ca="1"/>
      </c>
      <c r="BJ362">
        <f ca="1"/>
      </c>
      <c r="BK362">
        <f ca="1"/>
      </c>
      <c r="BL362">
        <f ca="1"/>
      </c>
      <c r="BM362">
        <f ca="1"/>
      </c>
      <c r="BN362">
        <f ca="1"/>
      </c>
      <c r="BO362">
        <f ca="1"/>
      </c>
      <c r="BP362">
        <f ca="1"/>
      </c>
      <c r="BQ362">
        <f ca="1"/>
      </c>
      <c r="BR362">
        <f ca="1"/>
      </c>
      <c r="BS362">
        <f ca="1"/>
      </c>
      <c r="BT362">
        <f ca="1"/>
      </c>
      <c r="BU362">
        <f ca="1"/>
      </c>
      <c r="BV362">
        <f ca="1"/>
      </c>
      <c r="BW362">
        <f ca="1"/>
      </c>
      <c r="BX362">
        <f ca="1"/>
      </c>
      <c r="BY362">
        <f ca="1"/>
      </c>
      <c r="BZ362">
        <f ca="1"/>
      </c>
      <c r="CA362">
        <f ca="1"/>
      </c>
      <c r="CB362">
        <f ca="1"/>
      </c>
      <c r="CC362">
        <f ca="1"/>
      </c>
      <c r="CD362">
        <f ca="1"/>
      </c>
      <c r="CE362">
        <f ca="1"/>
      </c>
      <c r="CF362">
        <f ca="1"/>
      </c>
      <c r="CG362">
        <f ca="1"/>
      </c>
      <c r="CH362">
        <f ca="1"/>
      </c>
      <c r="CI362">
        <f ca="1"/>
      </c>
      <c r="CK362">
        <f ca="1"/>
      </c>
      <c r="CL362">
        <f ca="1"/>
      </c>
      <c r="CM362">
        <f ca="1"/>
      </c>
      <c r="CN362">
        <f ca="1"/>
      </c>
      <c r="CO362">
        <f ca="1"/>
      </c>
      <c r="CP362">
        <f ca="1"/>
      </c>
      <c r="CQ362">
        <f ca="1"/>
      </c>
      <c r="CR362">
        <f ca="1"/>
      </c>
      <c r="CS362">
        <f ca="1"/>
      </c>
      <c r="CT362">
        <f ca="1"/>
      </c>
      <c r="CU362">
        <f ca="1"/>
      </c>
      <c r="CV362">
        <f ca="1"/>
      </c>
      <c r="CW362">
        <f ca="1"/>
      </c>
      <c r="CX362">
        <f ca="1"/>
      </c>
      <c r="CY362">
        <f ca="1"/>
      </c>
      <c r="CZ362">
        <f ca="1"/>
      </c>
      <c r="DA362">
        <f ca="1"/>
      </c>
      <c r="DB362">
        <f ca="1"/>
      </c>
      <c r="DC362">
        <f ca="1"/>
      </c>
      <c r="DD362">
        <f ca="1"/>
      </c>
      <c r="DE362">
        <f ca="1"/>
      </c>
      <c r="DF362">
        <f ca="1"/>
      </c>
      <c r="DG362">
        <f ca="1"/>
      </c>
      <c r="DH362">
        <f ca="1"/>
      </c>
      <c r="DI362">
        <f ca="1"/>
      </c>
      <c r="DJ362">
        <f ca="1"/>
      </c>
      <c r="DK362">
        <f ca="1"/>
      </c>
      <c r="DL362">
        <f ca="1"/>
      </c>
      <c r="DM362">
        <f ca="1"/>
      </c>
      <c r="DN362">
        <f ca="1"/>
      </c>
      <c r="DO362">
        <f ca="1"/>
      </c>
      <c r="DP362">
        <f ca="1"/>
      </c>
      <c r="DQ362">
        <f ca="1"/>
      </c>
      <c r="DR362">
        <f ca="1"/>
      </c>
      <c r="DS362">
        <f ca="1"/>
      </c>
      <c r="DT362">
        <f ca="1"/>
      </c>
      <c r="DU362">
        <f ca="1"/>
      </c>
      <c r="DV362">
        <f ca="1"/>
      </c>
      <c r="DW362">
        <f ca="1"/>
      </c>
      <c r="DX362">
        <f ca="1"/>
      </c>
      <c r="DY362">
        <f ca="1"/>
      </c>
      <c r="DZ362">
        <f ca="1"/>
      </c>
      <c r="EA362">
        <f ca="1"/>
      </c>
      <c r="EB362">
        <f ca="1"/>
      </c>
      <c r="EC362">
        <f ca="1"/>
      </c>
      <c r="ED362">
        <f ca="1"/>
      </c>
      <c r="EE362">
        <f ca="1"/>
      </c>
      <c r="EG362">
        <f ca="1"/>
      </c>
      <c r="EH362">
        <f ca="1"/>
      </c>
      <c r="EI362">
        <f ca="1"/>
      </c>
      <c r="EJ362">
        <f ca="1"/>
      </c>
      <c r="EK362">
        <f ca="1"/>
      </c>
      <c r="EL362">
        <f ca="1"/>
      </c>
      <c r="EM362">
        <f ca="1"/>
      </c>
      <c r="EN362">
        <f ca="1"/>
      </c>
      <c r="EO362">
        <f ca="1"/>
      </c>
      <c r="EP362">
        <f ca="1"/>
      </c>
      <c r="EQ362">
        <f ca="1"/>
      </c>
      <c r="ER362">
        <f ca="1"/>
      </c>
      <c r="ES362">
        <f ca="1"/>
      </c>
      <c r="ET362">
        <f ca="1"/>
      </c>
      <c r="EU362">
        <f ca="1"/>
      </c>
      <c r="EV362">
        <f ca="1"/>
      </c>
      <c r="EW362">
        <f ca="1"/>
      </c>
      <c r="EX362">
        <f ca="1"/>
      </c>
      <c r="EY362">
        <f ca="1"/>
      </c>
      <c r="EZ362">
        <f ca="1"/>
      </c>
      <c r="FA362">
        <f ca="1"/>
      </c>
      <c r="FB362">
        <f ca="1"/>
      </c>
      <c r="FC362">
        <f ca="1"/>
      </c>
      <c r="FD362">
        <f ca="1"/>
      </c>
      <c r="FE362">
        <f ca="1"/>
      </c>
      <c r="FF362">
        <f ca="1"/>
      </c>
      <c r="FG362">
        <f ca="1"/>
      </c>
      <c r="FH362">
        <f ca="1"/>
      </c>
      <c r="FI362">
        <f ca="1"/>
      </c>
      <c r="FJ362">
        <f ca="1"/>
      </c>
      <c r="FK362">
        <f ca="1"/>
      </c>
      <c r="FL362">
        <f ca="1"/>
      </c>
      <c r="FM362">
        <f ca="1"/>
      </c>
      <c r="FN362">
        <f ca="1"/>
      </c>
      <c r="FO362">
        <f ca="1"/>
      </c>
      <c r="FP362">
        <f ca="1"/>
      </c>
      <c r="FQ362">
        <f ca="1"/>
      </c>
      <c r="FR362">
        <f ca="1"/>
      </c>
      <c r="FS362">
        <f ca="1"/>
      </c>
      <c r="FT362">
        <f ca="1"/>
      </c>
      <c r="FU362">
        <f ca="1"/>
      </c>
      <c r="FV362">
        <f ca="1"/>
      </c>
      <c r="FW362">
        <f ca="1"/>
      </c>
      <c r="FX362">
        <f ca="1"/>
      </c>
      <c r="FY362">
        <f ca="1"/>
      </c>
      <c r="FZ362">
        <f ca="1"/>
      </c>
      <c r="GA362">
        <f ca="1"/>
      </c>
      <c r="GM362" s="7"/>
    </row>
    <row r="363" spans="41:195" x14ac:dyDescent="0.55000000000000004">
      <c r="AO363">
        <f ca="1"/>
      </c>
      <c r="AP363">
        <f ca="1"/>
      </c>
      <c r="AQ363">
        <f ca="1"/>
      </c>
      <c r="AR363">
        <f ca="1"/>
      </c>
      <c r="AS363">
        <f ca="1"/>
      </c>
      <c r="AT363">
        <f ca="1"/>
      </c>
      <c r="AU363">
        <f ca="1"/>
      </c>
      <c r="AV363">
        <f ca="1"/>
      </c>
      <c r="AW363">
        <f ca="1"/>
      </c>
      <c r="AX363">
        <f ca="1"/>
      </c>
      <c r="AY363">
        <f ca="1"/>
      </c>
      <c r="AZ363">
        <f ca="1"/>
      </c>
      <c r="BA363">
        <f ca="1"/>
      </c>
      <c r="BB363">
        <f ca="1"/>
      </c>
      <c r="BC363">
        <f ca="1"/>
      </c>
      <c r="BD363">
        <f ca="1"/>
      </c>
      <c r="BE363">
        <f ca="1"/>
      </c>
      <c r="BF363">
        <f ca="1"/>
      </c>
      <c r="BG363">
        <f ca="1"/>
      </c>
      <c r="BH363">
        <f ca="1"/>
      </c>
      <c r="BI363">
        <f ca="1"/>
      </c>
      <c r="BJ363">
        <f ca="1"/>
      </c>
      <c r="BK363">
        <f ca="1"/>
      </c>
      <c r="BL363">
        <f ca="1"/>
      </c>
      <c r="BM363">
        <f ca="1"/>
      </c>
      <c r="BN363">
        <f ca="1"/>
      </c>
      <c r="BO363">
        <f ca="1"/>
      </c>
      <c r="BP363">
        <f ca="1"/>
      </c>
      <c r="BQ363">
        <f ca="1"/>
      </c>
      <c r="BR363">
        <f ca="1"/>
      </c>
      <c r="BS363">
        <f ca="1"/>
      </c>
      <c r="BT363">
        <f ca="1"/>
      </c>
      <c r="BU363">
        <f ca="1"/>
      </c>
      <c r="BV363">
        <f ca="1"/>
      </c>
      <c r="BW363">
        <f ca="1"/>
      </c>
      <c r="BX363">
        <f ca="1"/>
      </c>
      <c r="BY363">
        <f ca="1"/>
      </c>
      <c r="BZ363">
        <f ca="1"/>
      </c>
      <c r="CA363">
        <f ca="1"/>
      </c>
      <c r="CB363">
        <f ca="1"/>
      </c>
      <c r="CC363">
        <f ca="1"/>
      </c>
      <c r="CD363">
        <f ca="1"/>
      </c>
      <c r="CE363">
        <f ca="1"/>
      </c>
      <c r="CF363">
        <f ca="1"/>
      </c>
      <c r="CG363">
        <f ca="1"/>
      </c>
      <c r="CH363">
        <f ca="1"/>
      </c>
      <c r="CI363">
        <f ca="1"/>
      </c>
      <c r="CK363">
        <f ca="1"/>
      </c>
      <c r="CL363">
        <f ca="1"/>
      </c>
      <c r="CM363">
        <f ca="1"/>
      </c>
      <c r="CN363">
        <f ca="1"/>
      </c>
      <c r="CO363">
        <f ca="1"/>
      </c>
      <c r="CP363">
        <f ca="1"/>
      </c>
      <c r="CQ363">
        <f ca="1"/>
      </c>
      <c r="CR363">
        <f ca="1"/>
      </c>
      <c r="CS363">
        <f ca="1"/>
      </c>
      <c r="CT363">
        <f ca="1"/>
      </c>
      <c r="CU363">
        <f ca="1"/>
      </c>
      <c r="CV363">
        <f ca="1"/>
      </c>
      <c r="CW363">
        <f ca="1"/>
      </c>
      <c r="CX363">
        <f ca="1"/>
      </c>
      <c r="CY363">
        <f ca="1"/>
      </c>
      <c r="CZ363">
        <f ca="1"/>
      </c>
      <c r="DA363">
        <f ca="1"/>
      </c>
      <c r="DB363">
        <f ca="1"/>
      </c>
      <c r="DC363">
        <f ca="1"/>
      </c>
      <c r="DD363">
        <f ca="1"/>
      </c>
      <c r="DE363">
        <f ca="1"/>
      </c>
      <c r="DF363">
        <f ca="1"/>
      </c>
      <c r="DG363">
        <f ca="1"/>
      </c>
      <c r="DH363">
        <f ca="1"/>
      </c>
      <c r="DI363">
        <f ca="1"/>
      </c>
      <c r="DJ363">
        <f ca="1"/>
      </c>
      <c r="DK363">
        <f ca="1"/>
      </c>
      <c r="DL363">
        <f ca="1"/>
      </c>
      <c r="DM363">
        <f ca="1"/>
      </c>
      <c r="DN363">
        <f ca="1"/>
      </c>
      <c r="DO363">
        <f ca="1"/>
      </c>
      <c r="DP363">
        <f ca="1"/>
      </c>
      <c r="DQ363">
        <f ca="1"/>
      </c>
      <c r="DR363">
        <f ca="1"/>
      </c>
      <c r="DS363">
        <f ca="1"/>
      </c>
      <c r="DT363">
        <f ca="1"/>
      </c>
      <c r="DU363">
        <f ca="1"/>
      </c>
      <c r="DV363">
        <f ca="1"/>
      </c>
      <c r="DW363">
        <f ca="1"/>
      </c>
      <c r="DX363">
        <f ca="1"/>
      </c>
      <c r="DY363">
        <f ca="1"/>
      </c>
      <c r="DZ363">
        <f ca="1"/>
      </c>
      <c r="EA363">
        <f ca="1"/>
      </c>
      <c r="EB363">
        <f ca="1"/>
      </c>
      <c r="EC363">
        <f ca="1"/>
      </c>
      <c r="ED363">
        <f ca="1"/>
      </c>
      <c r="EE363">
        <f ca="1"/>
      </c>
      <c r="EG363">
        <f ca="1"/>
      </c>
      <c r="EH363">
        <f ca="1"/>
      </c>
      <c r="EI363">
        <f ca="1"/>
      </c>
      <c r="EJ363">
        <f ca="1"/>
      </c>
      <c r="EK363">
        <f ca="1"/>
      </c>
      <c r="EL363">
        <f ca="1"/>
      </c>
      <c r="EM363">
        <f ca="1"/>
      </c>
      <c r="EN363">
        <f ca="1"/>
      </c>
      <c r="EO363">
        <f ca="1"/>
      </c>
      <c r="EP363">
        <f ca="1"/>
      </c>
      <c r="EQ363">
        <f ca="1"/>
      </c>
      <c r="ER363">
        <f ca="1"/>
      </c>
      <c r="ES363">
        <f ca="1"/>
      </c>
      <c r="ET363">
        <f ca="1"/>
      </c>
      <c r="EU363">
        <f ca="1"/>
      </c>
      <c r="EV363">
        <f ca="1"/>
      </c>
      <c r="EW363">
        <f ca="1"/>
      </c>
      <c r="EX363">
        <f ca="1"/>
      </c>
      <c r="EY363">
        <f ca="1"/>
      </c>
      <c r="EZ363">
        <f ca="1"/>
      </c>
      <c r="FA363">
        <f ca="1"/>
      </c>
      <c r="FB363">
        <f ca="1"/>
      </c>
      <c r="FC363">
        <f ca="1"/>
      </c>
      <c r="FD363">
        <f ca="1"/>
      </c>
      <c r="FE363">
        <f ca="1"/>
      </c>
      <c r="FF363">
        <f ca="1"/>
      </c>
      <c r="FG363">
        <f ca="1"/>
      </c>
      <c r="FH363">
        <f ca="1"/>
      </c>
      <c r="FI363">
        <f ca="1"/>
      </c>
      <c r="FJ363">
        <f ca="1"/>
      </c>
      <c r="FK363">
        <f ca="1"/>
      </c>
      <c r="FL363">
        <f ca="1"/>
      </c>
      <c r="FM363">
        <f ca="1"/>
      </c>
      <c r="FN363">
        <f ca="1"/>
      </c>
      <c r="FO363">
        <f ca="1"/>
      </c>
      <c r="FP363">
        <f ca="1"/>
      </c>
      <c r="FQ363">
        <f ca="1"/>
      </c>
      <c r="FR363">
        <f ca="1"/>
      </c>
      <c r="FS363">
        <f ca="1"/>
      </c>
      <c r="FT363">
        <f ca="1"/>
      </c>
      <c r="FU363">
        <f ca="1"/>
      </c>
      <c r="FV363">
        <f ca="1"/>
      </c>
      <c r="FW363">
        <f ca="1"/>
      </c>
      <c r="FX363">
        <f ca="1"/>
      </c>
      <c r="FY363">
        <f ca="1"/>
      </c>
      <c r="FZ363">
        <f ca="1"/>
      </c>
      <c r="GA363">
        <f ca="1"/>
      </c>
      <c r="GM363" s="7"/>
    </row>
    <row r="364" spans="41:195" x14ac:dyDescent="0.55000000000000004">
      <c r="AO364">
        <f ca="1"/>
      </c>
      <c r="AP364">
        <f ca="1"/>
      </c>
      <c r="AQ364">
        <f ca="1"/>
      </c>
      <c r="AR364">
        <f ca="1"/>
      </c>
      <c r="AS364">
        <f ca="1"/>
      </c>
      <c r="AT364">
        <f ca="1"/>
      </c>
      <c r="AU364">
        <f ca="1"/>
      </c>
      <c r="AV364">
        <f ca="1"/>
      </c>
      <c r="AW364">
        <f ca="1"/>
      </c>
      <c r="AX364">
        <f ca="1"/>
      </c>
      <c r="AY364">
        <f ca="1"/>
      </c>
      <c r="AZ364">
        <f ca="1"/>
      </c>
      <c r="BA364">
        <f ca="1"/>
      </c>
      <c r="BB364">
        <f ca="1"/>
      </c>
      <c r="BC364">
        <f ca="1"/>
      </c>
      <c r="BD364">
        <f ca="1"/>
      </c>
      <c r="BE364">
        <f ca="1"/>
      </c>
      <c r="BF364">
        <f ca="1"/>
      </c>
      <c r="BG364">
        <f ca="1"/>
      </c>
      <c r="BH364">
        <f ca="1"/>
      </c>
      <c r="BI364">
        <f ca="1"/>
      </c>
      <c r="BJ364">
        <f ca="1"/>
      </c>
      <c r="BK364">
        <f ca="1"/>
      </c>
      <c r="BL364">
        <f ca="1"/>
      </c>
      <c r="BM364">
        <f ca="1"/>
      </c>
      <c r="BN364">
        <f ca="1"/>
      </c>
      <c r="BO364">
        <f ca="1"/>
      </c>
      <c r="BP364">
        <f ca="1"/>
      </c>
      <c r="BQ364">
        <f ca="1"/>
      </c>
      <c r="BR364">
        <f ca="1"/>
      </c>
      <c r="BS364">
        <f ca="1"/>
      </c>
      <c r="BT364">
        <f ca="1"/>
      </c>
      <c r="BU364">
        <f ca="1"/>
      </c>
      <c r="BV364">
        <f ca="1"/>
      </c>
      <c r="BW364">
        <f ca="1"/>
      </c>
      <c r="BX364">
        <f ca="1"/>
      </c>
      <c r="BY364">
        <f ca="1"/>
      </c>
      <c r="BZ364">
        <f ca="1"/>
      </c>
      <c r="CA364">
        <f ca="1"/>
      </c>
      <c r="CB364">
        <f ca="1"/>
      </c>
      <c r="CC364">
        <f ca="1"/>
      </c>
      <c r="CD364">
        <f ca="1"/>
      </c>
      <c r="CE364">
        <f ca="1"/>
      </c>
      <c r="CF364">
        <f ca="1"/>
      </c>
      <c r="CG364">
        <f ca="1"/>
      </c>
      <c r="CH364">
        <f ca="1"/>
      </c>
      <c r="CI364">
        <f ca="1"/>
      </c>
      <c r="CK364">
        <f ca="1"/>
      </c>
      <c r="CL364">
        <f ca="1"/>
      </c>
      <c r="CM364">
        <f ca="1"/>
      </c>
      <c r="CN364">
        <f ca="1"/>
      </c>
      <c r="CO364">
        <f ca="1"/>
      </c>
      <c r="CP364">
        <f ca="1"/>
      </c>
      <c r="CQ364">
        <f ca="1"/>
      </c>
      <c r="CR364">
        <f ca="1"/>
      </c>
      <c r="CS364">
        <f ca="1"/>
      </c>
      <c r="CT364">
        <f ca="1"/>
      </c>
      <c r="CU364">
        <f ca="1"/>
      </c>
      <c r="CV364">
        <f ca="1"/>
      </c>
      <c r="CW364">
        <f ca="1"/>
      </c>
      <c r="CX364">
        <f ca="1"/>
      </c>
      <c r="CY364">
        <f ca="1"/>
      </c>
      <c r="CZ364">
        <f ca="1"/>
      </c>
      <c r="DA364">
        <f ca="1"/>
      </c>
      <c r="DB364">
        <f ca="1"/>
      </c>
      <c r="DC364">
        <f ca="1"/>
      </c>
      <c r="DD364">
        <f ca="1"/>
      </c>
      <c r="DE364">
        <f ca="1"/>
      </c>
      <c r="DF364">
        <f ca="1"/>
      </c>
      <c r="DG364">
        <f ca="1"/>
      </c>
      <c r="DH364">
        <f ca="1"/>
      </c>
      <c r="DI364">
        <f ca="1"/>
      </c>
      <c r="DJ364">
        <f ca="1"/>
      </c>
      <c r="DK364">
        <f ca="1"/>
      </c>
      <c r="DL364">
        <f ca="1"/>
      </c>
      <c r="DM364">
        <f ca="1"/>
      </c>
      <c r="DN364">
        <f ca="1"/>
      </c>
      <c r="DO364">
        <f ca="1"/>
      </c>
      <c r="DP364">
        <f ca="1"/>
      </c>
      <c r="DQ364">
        <f ca="1"/>
      </c>
      <c r="DR364">
        <f ca="1"/>
      </c>
      <c r="DS364">
        <f ca="1"/>
      </c>
      <c r="DT364">
        <f ca="1"/>
      </c>
      <c r="DU364">
        <f ca="1"/>
      </c>
      <c r="DV364">
        <f ca="1"/>
      </c>
      <c r="DW364">
        <f ca="1"/>
      </c>
      <c r="DX364">
        <f ca="1"/>
      </c>
      <c r="DY364">
        <f ca="1"/>
      </c>
      <c r="DZ364">
        <f ca="1"/>
      </c>
      <c r="EA364">
        <f ca="1"/>
      </c>
      <c r="EB364">
        <f ca="1"/>
      </c>
      <c r="EC364">
        <f ca="1"/>
      </c>
      <c r="ED364">
        <f ca="1"/>
      </c>
      <c r="EE364">
        <f ca="1"/>
      </c>
      <c r="EG364">
        <f ca="1"/>
      </c>
      <c r="EH364">
        <f ca="1"/>
      </c>
      <c r="EI364">
        <f ca="1"/>
      </c>
      <c r="EJ364">
        <f ca="1"/>
      </c>
      <c r="EK364">
        <f ca="1"/>
      </c>
      <c r="EL364">
        <f ca="1"/>
      </c>
      <c r="EM364">
        <f ca="1"/>
      </c>
      <c r="EN364">
        <f ca="1"/>
      </c>
      <c r="EO364">
        <f ca="1"/>
      </c>
      <c r="EP364">
        <f ca="1"/>
      </c>
      <c r="EQ364">
        <f ca="1"/>
      </c>
      <c r="ER364">
        <f ca="1"/>
      </c>
      <c r="ES364">
        <f ca="1"/>
      </c>
      <c r="ET364">
        <f ca="1"/>
      </c>
      <c r="EU364">
        <f ca="1"/>
      </c>
      <c r="EV364">
        <f ca="1"/>
      </c>
      <c r="EW364">
        <f ca="1"/>
      </c>
      <c r="EX364">
        <f ca="1"/>
      </c>
      <c r="EY364">
        <f ca="1"/>
      </c>
      <c r="EZ364">
        <f ca="1"/>
      </c>
      <c r="FA364">
        <f ca="1"/>
      </c>
      <c r="FB364">
        <f ca="1"/>
      </c>
      <c r="FC364">
        <f ca="1"/>
      </c>
      <c r="FD364">
        <f ca="1"/>
      </c>
      <c r="FE364">
        <f ca="1"/>
      </c>
      <c r="FF364">
        <f ca="1"/>
      </c>
      <c r="FG364">
        <f ca="1"/>
      </c>
      <c r="FH364">
        <f ca="1"/>
      </c>
      <c r="FI364">
        <f ca="1"/>
      </c>
      <c r="FJ364">
        <f ca="1"/>
      </c>
      <c r="FK364">
        <f ca="1"/>
      </c>
      <c r="FL364">
        <f ca="1"/>
      </c>
      <c r="FM364">
        <f ca="1"/>
      </c>
      <c r="FN364">
        <f ca="1"/>
      </c>
      <c r="FO364">
        <f ca="1"/>
      </c>
      <c r="FP364">
        <f ca="1"/>
      </c>
      <c r="FQ364">
        <f ca="1"/>
      </c>
      <c r="FR364">
        <f ca="1"/>
      </c>
      <c r="FS364">
        <f ca="1"/>
      </c>
      <c r="FT364">
        <f ca="1"/>
      </c>
      <c r="FU364">
        <f ca="1"/>
      </c>
      <c r="FV364">
        <f ca="1"/>
      </c>
      <c r="FW364">
        <f ca="1"/>
      </c>
      <c r="FX364">
        <f ca="1"/>
      </c>
      <c r="FY364">
        <f ca="1"/>
      </c>
      <c r="FZ364">
        <f ca="1"/>
      </c>
      <c r="GA364">
        <f ca="1"/>
      </c>
      <c r="GM364" s="7"/>
    </row>
    <row r="365" spans="41:195" x14ac:dyDescent="0.55000000000000004">
      <c r="AO365">
        <f ca="1"/>
      </c>
      <c r="AP365">
        <f ca="1"/>
      </c>
      <c r="AQ365">
        <f ca="1"/>
      </c>
      <c r="AR365">
        <f ca="1"/>
      </c>
      <c r="AS365">
        <f ca="1"/>
      </c>
      <c r="AT365">
        <f ca="1"/>
      </c>
      <c r="AU365">
        <f ca="1"/>
      </c>
      <c r="AV365">
        <f ca="1"/>
      </c>
      <c r="AW365">
        <f ca="1"/>
      </c>
      <c r="AX365">
        <f ca="1"/>
      </c>
      <c r="AY365">
        <f ca="1"/>
      </c>
      <c r="AZ365">
        <f ca="1"/>
      </c>
      <c r="BA365">
        <f ca="1"/>
      </c>
      <c r="BB365">
        <f ca="1"/>
      </c>
      <c r="BC365">
        <f ca="1"/>
      </c>
      <c r="BD365">
        <f ca="1"/>
      </c>
      <c r="BE365">
        <f ca="1"/>
      </c>
      <c r="BF365">
        <f ca="1"/>
      </c>
      <c r="BG365">
        <f ca="1"/>
      </c>
      <c r="BH365">
        <f ca="1"/>
      </c>
      <c r="BI365">
        <f ca="1"/>
      </c>
      <c r="BJ365">
        <f ca="1"/>
      </c>
      <c r="BK365">
        <f ca="1"/>
      </c>
      <c r="BL365">
        <f ca="1"/>
      </c>
      <c r="BM365">
        <f ca="1"/>
      </c>
      <c r="BN365">
        <f ca="1"/>
      </c>
      <c r="BO365">
        <f ca="1"/>
      </c>
      <c r="BP365">
        <f ca="1"/>
      </c>
      <c r="BQ365">
        <f ca="1"/>
      </c>
      <c r="BR365">
        <f ca="1"/>
      </c>
      <c r="BS365">
        <f ca="1"/>
      </c>
      <c r="BT365">
        <f ca="1"/>
      </c>
      <c r="BU365">
        <f ca="1"/>
      </c>
      <c r="BV365">
        <f ca="1"/>
      </c>
      <c r="BW365">
        <f ca="1"/>
      </c>
      <c r="BX365">
        <f ca="1"/>
      </c>
      <c r="BY365">
        <f ca="1"/>
      </c>
      <c r="BZ365">
        <f ca="1"/>
      </c>
      <c r="CA365">
        <f ca="1"/>
      </c>
      <c r="CB365">
        <f ca="1"/>
      </c>
      <c r="CC365">
        <f ca="1"/>
      </c>
      <c r="CD365">
        <f ca="1"/>
      </c>
      <c r="CE365">
        <f ca="1"/>
      </c>
      <c r="CF365">
        <f ca="1"/>
      </c>
      <c r="CG365">
        <f ca="1"/>
      </c>
      <c r="CH365">
        <f ca="1"/>
      </c>
      <c r="CI365">
        <f ca="1"/>
      </c>
      <c r="CK365">
        <f ca="1"/>
      </c>
      <c r="CL365">
        <f ca="1"/>
      </c>
      <c r="CM365">
        <f ca="1"/>
      </c>
      <c r="CN365">
        <f ca="1"/>
      </c>
      <c r="CO365">
        <f ca="1"/>
      </c>
      <c r="CP365">
        <f ca="1"/>
      </c>
      <c r="CQ365">
        <f ca="1"/>
      </c>
      <c r="CR365">
        <f ca="1"/>
      </c>
      <c r="CS365">
        <f ca="1"/>
      </c>
      <c r="CT365">
        <f ca="1"/>
      </c>
      <c r="CU365">
        <f ca="1"/>
      </c>
      <c r="CV365">
        <f ca="1"/>
      </c>
      <c r="CW365">
        <f ca="1"/>
      </c>
      <c r="CX365">
        <f ca="1"/>
      </c>
      <c r="CY365">
        <f ca="1"/>
      </c>
      <c r="CZ365">
        <f ca="1"/>
      </c>
      <c r="DA365">
        <f ca="1"/>
      </c>
      <c r="DB365">
        <f ca="1"/>
      </c>
      <c r="DC365">
        <f ca="1"/>
      </c>
      <c r="DD365">
        <f ca="1"/>
      </c>
      <c r="DE365">
        <f ca="1"/>
      </c>
      <c r="DF365">
        <f ca="1"/>
      </c>
      <c r="DG365">
        <f ca="1"/>
      </c>
      <c r="DH365">
        <f ca="1"/>
      </c>
      <c r="DI365">
        <f ca="1"/>
      </c>
      <c r="DJ365">
        <f ca="1"/>
      </c>
      <c r="DK365">
        <f ca="1"/>
      </c>
      <c r="DL365">
        <f ca="1"/>
      </c>
      <c r="DM365">
        <f ca="1"/>
      </c>
      <c r="DN365">
        <f ca="1"/>
      </c>
      <c r="DO365">
        <f ca="1"/>
      </c>
      <c r="DP365">
        <f ca="1"/>
      </c>
      <c r="DQ365">
        <f ca="1"/>
      </c>
      <c r="DR365">
        <f ca="1"/>
      </c>
      <c r="DS365">
        <f ca="1"/>
      </c>
      <c r="DT365">
        <f ca="1"/>
      </c>
      <c r="DU365">
        <f ca="1"/>
      </c>
      <c r="DV365">
        <f ca="1"/>
      </c>
      <c r="DW365">
        <f ca="1"/>
      </c>
      <c r="DX365">
        <f ca="1"/>
      </c>
      <c r="DY365">
        <f ca="1"/>
      </c>
      <c r="DZ365">
        <f ca="1"/>
      </c>
      <c r="EA365">
        <f ca="1"/>
      </c>
      <c r="EB365">
        <f ca="1"/>
      </c>
      <c r="EC365">
        <f ca="1"/>
      </c>
      <c r="ED365">
        <f ca="1"/>
      </c>
      <c r="EE365">
        <f ca="1"/>
      </c>
      <c r="EG365">
        <f ca="1"/>
      </c>
      <c r="EH365">
        <f ca="1"/>
      </c>
      <c r="EI365">
        <f ca="1"/>
      </c>
      <c r="EJ365">
        <f ca="1"/>
      </c>
      <c r="EK365">
        <f ca="1"/>
      </c>
      <c r="EL365">
        <f ca="1"/>
      </c>
      <c r="EM365">
        <f ca="1"/>
      </c>
      <c r="EN365">
        <f ca="1"/>
      </c>
      <c r="EO365">
        <f ca="1"/>
      </c>
      <c r="EP365">
        <f ca="1"/>
      </c>
      <c r="EQ365">
        <f ca="1"/>
      </c>
      <c r="ER365">
        <f ca="1"/>
      </c>
      <c r="ES365">
        <f ca="1"/>
      </c>
      <c r="ET365">
        <f ca="1"/>
      </c>
      <c r="EU365">
        <f ca="1"/>
      </c>
      <c r="EV365">
        <f ca="1"/>
      </c>
      <c r="EW365">
        <f ca="1"/>
      </c>
      <c r="EX365">
        <f ca="1"/>
      </c>
      <c r="EY365">
        <f ca="1"/>
      </c>
      <c r="EZ365">
        <f ca="1"/>
      </c>
      <c r="FA365">
        <f ca="1"/>
      </c>
      <c r="FB365">
        <f ca="1"/>
      </c>
      <c r="FC365">
        <f ca="1"/>
      </c>
      <c r="FD365">
        <f ca="1"/>
      </c>
      <c r="FE365">
        <f ca="1"/>
      </c>
      <c r="FF365">
        <f ca="1"/>
      </c>
      <c r="FG365">
        <f ca="1"/>
      </c>
      <c r="FH365">
        <f ca="1"/>
      </c>
      <c r="FI365">
        <f ca="1"/>
      </c>
      <c r="FJ365">
        <f ca="1"/>
      </c>
      <c r="FK365">
        <f ca="1"/>
      </c>
      <c r="FL365">
        <f ca="1"/>
      </c>
      <c r="FM365">
        <f ca="1"/>
      </c>
      <c r="FN365">
        <f ca="1"/>
      </c>
      <c r="FO365">
        <f ca="1"/>
      </c>
      <c r="FP365">
        <f ca="1"/>
      </c>
      <c r="FQ365">
        <f ca="1"/>
      </c>
      <c r="FR365">
        <f ca="1"/>
      </c>
      <c r="FS365">
        <f ca="1"/>
      </c>
      <c r="FT365">
        <f ca="1"/>
      </c>
      <c r="FU365">
        <f ca="1"/>
      </c>
      <c r="FV365">
        <f ca="1"/>
      </c>
      <c r="FW365">
        <f ca="1"/>
      </c>
      <c r="FX365">
        <f ca="1"/>
      </c>
      <c r="FY365">
        <f ca="1"/>
      </c>
      <c r="FZ365">
        <f ca="1"/>
      </c>
      <c r="GA365">
        <f ca="1"/>
      </c>
      <c r="GM365" s="7"/>
    </row>
    <row r="366" spans="41:195" x14ac:dyDescent="0.55000000000000004">
      <c r="AO366">
        <f ca="1"/>
      </c>
      <c r="AP366">
        <f ca="1"/>
      </c>
      <c r="AQ366">
        <f ca="1"/>
      </c>
      <c r="AR366">
        <f ca="1"/>
      </c>
      <c r="AS366">
        <f ca="1"/>
      </c>
      <c r="AT366">
        <f ca="1"/>
      </c>
      <c r="AU366">
        <f ca="1"/>
      </c>
      <c r="AV366">
        <f ca="1"/>
      </c>
      <c r="AW366">
        <f ca="1"/>
      </c>
      <c r="AX366">
        <f ca="1"/>
      </c>
      <c r="AY366">
        <f ca="1"/>
      </c>
      <c r="AZ366">
        <f ca="1"/>
      </c>
      <c r="BA366">
        <f ca="1"/>
      </c>
      <c r="BB366">
        <f ca="1"/>
      </c>
      <c r="BC366">
        <f ca="1"/>
      </c>
      <c r="BD366">
        <f ca="1"/>
      </c>
      <c r="BE366">
        <f ca="1"/>
      </c>
      <c r="BF366">
        <f ca="1"/>
      </c>
      <c r="BG366">
        <f ca="1"/>
      </c>
      <c r="BH366">
        <f ca="1"/>
      </c>
      <c r="BI366">
        <f ca="1"/>
      </c>
      <c r="BJ366">
        <f ca="1"/>
      </c>
      <c r="BK366">
        <f ca="1"/>
      </c>
      <c r="BL366">
        <f ca="1"/>
      </c>
      <c r="BM366">
        <f ca="1"/>
      </c>
      <c r="BN366">
        <f ca="1"/>
      </c>
      <c r="BO366">
        <f ca="1"/>
      </c>
      <c r="BP366">
        <f ca="1"/>
      </c>
      <c r="BQ366">
        <f ca="1"/>
      </c>
      <c r="BR366">
        <f ca="1"/>
      </c>
      <c r="BS366">
        <f ca="1"/>
      </c>
      <c r="BT366">
        <f ca="1"/>
      </c>
      <c r="BU366">
        <f ca="1"/>
      </c>
      <c r="BV366">
        <f ca="1"/>
      </c>
      <c r="BW366">
        <f ca="1"/>
      </c>
      <c r="BX366">
        <f ca="1"/>
      </c>
      <c r="BY366">
        <f ca="1"/>
      </c>
      <c r="BZ366">
        <f ca="1"/>
      </c>
      <c r="CA366">
        <f ca="1"/>
      </c>
      <c r="CB366">
        <f ca="1"/>
      </c>
      <c r="CC366">
        <f ca="1"/>
      </c>
      <c r="CD366">
        <f ca="1"/>
      </c>
      <c r="CE366">
        <f ca="1"/>
      </c>
      <c r="CF366">
        <f ca="1"/>
      </c>
      <c r="CG366">
        <f ca="1"/>
      </c>
      <c r="CH366">
        <f ca="1"/>
      </c>
      <c r="CI366">
        <f ca="1"/>
      </c>
      <c r="CK366">
        <f ca="1"/>
      </c>
      <c r="CL366">
        <f ca="1"/>
      </c>
      <c r="CM366">
        <f ca="1"/>
      </c>
      <c r="CN366">
        <f ca="1"/>
      </c>
      <c r="CO366">
        <f ca="1"/>
      </c>
      <c r="CP366">
        <f ca="1"/>
      </c>
      <c r="CQ366">
        <f ca="1"/>
      </c>
      <c r="CR366">
        <f ca="1"/>
      </c>
      <c r="CS366">
        <f ca="1"/>
      </c>
      <c r="CT366">
        <f ca="1"/>
      </c>
      <c r="CU366">
        <f ca="1"/>
      </c>
      <c r="CV366">
        <f ca="1"/>
      </c>
      <c r="CW366">
        <f ca="1"/>
      </c>
      <c r="CX366">
        <f ca="1"/>
      </c>
      <c r="CY366">
        <f ca="1"/>
      </c>
      <c r="CZ366">
        <f ca="1"/>
      </c>
      <c r="DA366">
        <f ca="1"/>
      </c>
      <c r="DB366">
        <f ca="1"/>
      </c>
      <c r="DC366">
        <f ca="1"/>
      </c>
      <c r="DD366">
        <f ca="1"/>
      </c>
      <c r="DE366">
        <f ca="1"/>
      </c>
      <c r="DF366">
        <f ca="1"/>
      </c>
      <c r="DG366">
        <f ca="1"/>
      </c>
      <c r="DH366">
        <f ca="1"/>
      </c>
      <c r="DI366">
        <f ca="1"/>
      </c>
      <c r="DJ366">
        <f ca="1"/>
      </c>
      <c r="DK366">
        <f ca="1"/>
      </c>
      <c r="DL366">
        <f ca="1"/>
      </c>
      <c r="DM366">
        <f ca="1"/>
      </c>
      <c r="DN366">
        <f ca="1"/>
      </c>
      <c r="DO366">
        <f ca="1"/>
      </c>
      <c r="DP366">
        <f ca="1"/>
      </c>
      <c r="DQ366">
        <f ca="1"/>
      </c>
      <c r="DR366">
        <f ca="1"/>
      </c>
      <c r="DS366">
        <f ca="1"/>
      </c>
      <c r="DT366">
        <f ca="1"/>
      </c>
      <c r="DU366">
        <f ca="1"/>
      </c>
      <c r="DV366">
        <f ca="1"/>
      </c>
      <c r="DW366">
        <f ca="1"/>
      </c>
      <c r="DX366">
        <f ca="1"/>
      </c>
      <c r="DY366">
        <f ca="1"/>
      </c>
      <c r="DZ366">
        <f ca="1"/>
      </c>
      <c r="EA366">
        <f ca="1"/>
      </c>
      <c r="EB366">
        <f ca="1"/>
      </c>
      <c r="EC366">
        <f ca="1"/>
      </c>
      <c r="ED366">
        <f ca="1"/>
      </c>
      <c r="EE366">
        <f ca="1"/>
      </c>
      <c r="EG366">
        <f ca="1"/>
      </c>
      <c r="EH366">
        <f ca="1"/>
      </c>
      <c r="EI366">
        <f ca="1"/>
      </c>
      <c r="EJ366">
        <f ca="1"/>
      </c>
      <c r="EK366">
        <f ca="1"/>
      </c>
      <c r="EL366">
        <f ca="1"/>
      </c>
      <c r="EM366">
        <f ca="1"/>
      </c>
      <c r="EN366">
        <f ca="1"/>
      </c>
      <c r="EO366">
        <f ca="1"/>
      </c>
      <c r="EP366">
        <f ca="1"/>
      </c>
      <c r="EQ366">
        <f ca="1"/>
      </c>
      <c r="ER366">
        <f ca="1"/>
      </c>
      <c r="ES366">
        <f ca="1"/>
      </c>
      <c r="ET366">
        <f ca="1"/>
      </c>
      <c r="EU366">
        <f ca="1"/>
      </c>
      <c r="EV366">
        <f ca="1"/>
      </c>
      <c r="EW366">
        <f ca="1"/>
      </c>
      <c r="EX366">
        <f ca="1"/>
      </c>
      <c r="EY366">
        <f ca="1"/>
      </c>
      <c r="EZ366">
        <f ca="1"/>
      </c>
      <c r="FA366">
        <f ca="1"/>
      </c>
      <c r="FB366">
        <f ca="1"/>
      </c>
      <c r="FC366">
        <f ca="1"/>
      </c>
      <c r="FD366">
        <f ca="1"/>
      </c>
      <c r="FE366">
        <f ca="1"/>
      </c>
      <c r="FF366">
        <f ca="1"/>
      </c>
      <c r="FG366">
        <f ca="1"/>
      </c>
      <c r="FH366">
        <f ca="1"/>
      </c>
      <c r="FI366">
        <f ca="1"/>
      </c>
      <c r="FJ366">
        <f ca="1"/>
      </c>
      <c r="FK366">
        <f ca="1"/>
      </c>
      <c r="FL366">
        <f ca="1"/>
      </c>
      <c r="FM366">
        <f ca="1"/>
      </c>
      <c r="FN366">
        <f ca="1"/>
      </c>
      <c r="FO366">
        <f ca="1"/>
      </c>
      <c r="FP366">
        <f ca="1"/>
      </c>
      <c r="FQ366">
        <f ca="1"/>
      </c>
      <c r="FR366">
        <f ca="1"/>
      </c>
      <c r="FS366">
        <f ca="1"/>
      </c>
      <c r="FT366">
        <f ca="1"/>
      </c>
      <c r="FU366">
        <f ca="1"/>
      </c>
      <c r="FV366">
        <f ca="1"/>
      </c>
      <c r="FW366">
        <f ca="1"/>
      </c>
      <c r="FX366">
        <f ca="1"/>
      </c>
      <c r="FY366">
        <f ca="1"/>
      </c>
      <c r="FZ366">
        <f ca="1"/>
      </c>
      <c r="GA366">
        <f ca="1"/>
      </c>
      <c r="GM366" s="7"/>
    </row>
    <row r="367" spans="41:195" x14ac:dyDescent="0.55000000000000004">
      <c r="AO367">
        <f ca="1"/>
      </c>
      <c r="AP367">
        <f ca="1"/>
      </c>
      <c r="AQ367">
        <f ca="1"/>
      </c>
      <c r="AR367">
        <f ca="1"/>
      </c>
      <c r="AS367">
        <f ca="1"/>
      </c>
      <c r="AT367">
        <f ca="1"/>
      </c>
      <c r="AU367">
        <f ca="1"/>
      </c>
      <c r="AV367">
        <f ca="1"/>
      </c>
      <c r="AW367">
        <f ca="1"/>
      </c>
      <c r="AX367">
        <f ca="1"/>
      </c>
      <c r="AY367">
        <f ca="1"/>
      </c>
      <c r="AZ367">
        <f ca="1"/>
      </c>
      <c r="BA367">
        <f ca="1"/>
      </c>
      <c r="BB367">
        <f ca="1"/>
      </c>
      <c r="BC367">
        <f ca="1"/>
      </c>
      <c r="BD367">
        <f ca="1"/>
      </c>
      <c r="BE367">
        <f ca="1"/>
      </c>
      <c r="BF367">
        <f ca="1"/>
      </c>
      <c r="BG367">
        <f ca="1"/>
      </c>
      <c r="BH367">
        <f ca="1"/>
      </c>
      <c r="BI367">
        <f ca="1"/>
      </c>
      <c r="BJ367">
        <f ca="1"/>
      </c>
      <c r="BK367">
        <f ca="1"/>
      </c>
      <c r="BL367">
        <f ca="1"/>
      </c>
      <c r="BM367">
        <f ca="1"/>
      </c>
      <c r="BN367">
        <f ca="1"/>
      </c>
      <c r="BO367">
        <f ca="1"/>
      </c>
      <c r="BP367">
        <f ca="1"/>
      </c>
      <c r="BQ367">
        <f ca="1"/>
      </c>
      <c r="BR367">
        <f ca="1"/>
      </c>
      <c r="BS367">
        <f ca="1"/>
      </c>
      <c r="BT367">
        <f ca="1"/>
      </c>
      <c r="BU367">
        <f ca="1"/>
      </c>
      <c r="BV367">
        <f ca="1"/>
      </c>
      <c r="BW367">
        <f ca="1"/>
      </c>
      <c r="BX367">
        <f ca="1"/>
      </c>
      <c r="BY367">
        <f ca="1"/>
      </c>
      <c r="BZ367">
        <f ca="1"/>
      </c>
      <c r="CA367">
        <f ca="1"/>
      </c>
      <c r="CB367">
        <f ca="1"/>
      </c>
      <c r="CC367">
        <f ca="1"/>
      </c>
      <c r="CD367">
        <f ca="1"/>
      </c>
      <c r="CE367">
        <f ca="1"/>
      </c>
      <c r="CF367">
        <f ca="1"/>
      </c>
      <c r="CG367">
        <f ca="1"/>
      </c>
      <c r="CH367">
        <f ca="1"/>
      </c>
      <c r="CI367">
        <f ca="1"/>
      </c>
      <c r="CK367">
        <f ca="1"/>
      </c>
      <c r="CL367">
        <f ca="1"/>
      </c>
      <c r="CM367">
        <f ca="1"/>
      </c>
      <c r="CN367">
        <f ca="1"/>
      </c>
      <c r="CO367">
        <f ca="1"/>
      </c>
      <c r="CP367">
        <f ca="1"/>
      </c>
      <c r="CQ367">
        <f ca="1"/>
      </c>
      <c r="CR367">
        <f ca="1"/>
      </c>
      <c r="CS367">
        <f ca="1"/>
      </c>
      <c r="CT367">
        <f ca="1"/>
      </c>
      <c r="CU367">
        <f ca="1"/>
      </c>
      <c r="CV367">
        <f ca="1"/>
      </c>
      <c r="CW367">
        <f ca="1"/>
      </c>
      <c r="CX367">
        <f ca="1"/>
      </c>
      <c r="CY367">
        <f ca="1"/>
      </c>
      <c r="CZ367">
        <f ca="1"/>
      </c>
      <c r="DA367">
        <f ca="1"/>
      </c>
      <c r="DB367">
        <f ca="1"/>
      </c>
      <c r="DC367">
        <f ca="1"/>
      </c>
      <c r="DD367">
        <f ca="1"/>
      </c>
      <c r="DE367">
        <f ca="1"/>
      </c>
      <c r="DF367">
        <f ca="1"/>
      </c>
      <c r="DG367">
        <f ca="1"/>
      </c>
      <c r="DH367">
        <f ca="1"/>
      </c>
      <c r="DI367">
        <f ca="1"/>
      </c>
      <c r="DJ367">
        <f ca="1"/>
      </c>
      <c r="DK367">
        <f ca="1"/>
      </c>
      <c r="DL367">
        <f ca="1"/>
      </c>
      <c r="DM367">
        <f ca="1"/>
      </c>
      <c r="DN367">
        <f ca="1"/>
      </c>
      <c r="DO367">
        <f ca="1"/>
      </c>
      <c r="DP367">
        <f ca="1"/>
      </c>
      <c r="DQ367">
        <f ca="1"/>
      </c>
      <c r="DR367">
        <f ca="1"/>
      </c>
      <c r="DS367">
        <f ca="1"/>
      </c>
      <c r="DT367">
        <f ca="1"/>
      </c>
      <c r="DU367">
        <f ca="1"/>
      </c>
      <c r="DV367">
        <f ca="1"/>
      </c>
      <c r="DW367">
        <f ca="1"/>
      </c>
      <c r="DX367">
        <f ca="1"/>
      </c>
      <c r="DY367">
        <f ca="1"/>
      </c>
      <c r="DZ367">
        <f ca="1"/>
      </c>
      <c r="EA367">
        <f ca="1"/>
      </c>
      <c r="EB367">
        <f ca="1"/>
      </c>
      <c r="EC367">
        <f ca="1"/>
      </c>
      <c r="ED367">
        <f ca="1"/>
      </c>
      <c r="EE367">
        <f ca="1"/>
      </c>
      <c r="EG367">
        <f ca="1"/>
      </c>
      <c r="EH367">
        <f ca="1"/>
      </c>
      <c r="EI367">
        <f ca="1"/>
      </c>
      <c r="EJ367">
        <f ca="1"/>
      </c>
      <c r="EK367">
        <f ca="1"/>
      </c>
      <c r="EL367">
        <f ca="1"/>
      </c>
      <c r="EM367">
        <f ca="1"/>
      </c>
      <c r="EN367">
        <f ca="1"/>
      </c>
      <c r="EO367">
        <f ca="1"/>
      </c>
      <c r="EP367">
        <f ca="1"/>
      </c>
      <c r="EQ367">
        <f ca="1"/>
      </c>
      <c r="ER367">
        <f ca="1"/>
      </c>
      <c r="ES367">
        <f ca="1"/>
      </c>
      <c r="ET367">
        <f ca="1"/>
      </c>
      <c r="EU367">
        <f ca="1"/>
      </c>
      <c r="EV367">
        <f ca="1"/>
      </c>
      <c r="EW367">
        <f ca="1"/>
      </c>
      <c r="EX367">
        <f ca="1"/>
      </c>
      <c r="EY367">
        <f ca="1"/>
      </c>
      <c r="EZ367">
        <f ca="1"/>
      </c>
      <c r="FA367">
        <f ca="1"/>
      </c>
      <c r="FB367">
        <f ca="1"/>
      </c>
      <c r="FC367">
        <f ca="1"/>
      </c>
      <c r="FD367">
        <f ca="1"/>
      </c>
      <c r="FE367">
        <f ca="1"/>
      </c>
      <c r="FF367">
        <f ca="1"/>
      </c>
      <c r="FG367">
        <f ca="1"/>
      </c>
      <c r="FH367">
        <f ca="1"/>
      </c>
      <c r="FI367">
        <f ca="1"/>
      </c>
      <c r="FJ367">
        <f ca="1"/>
      </c>
      <c r="FK367">
        <f ca="1"/>
      </c>
      <c r="FL367">
        <f ca="1"/>
      </c>
      <c r="FM367">
        <f ca="1"/>
      </c>
      <c r="FN367">
        <f ca="1"/>
      </c>
      <c r="FO367">
        <f ca="1"/>
      </c>
      <c r="FP367">
        <f ca="1"/>
      </c>
      <c r="FQ367">
        <f ca="1"/>
      </c>
      <c r="FR367">
        <f ca="1"/>
      </c>
      <c r="FS367">
        <f ca="1"/>
      </c>
      <c r="FT367">
        <f ca="1"/>
      </c>
      <c r="FU367">
        <f ca="1"/>
      </c>
      <c r="FV367">
        <f ca="1"/>
      </c>
      <c r="FW367">
        <f ca="1"/>
      </c>
      <c r="FX367">
        <f ca="1"/>
      </c>
      <c r="FY367">
        <f ca="1"/>
      </c>
      <c r="FZ367">
        <f ca="1"/>
      </c>
      <c r="GA367">
        <f ca="1"/>
      </c>
      <c r="GM367" s="7"/>
    </row>
    <row r="368" spans="41:195" x14ac:dyDescent="0.55000000000000004">
      <c r="AO368">
        <f ca="1"/>
      </c>
      <c r="AP368">
        <f ca="1"/>
      </c>
      <c r="AQ368">
        <f ca="1"/>
      </c>
      <c r="AR368">
        <f ca="1"/>
      </c>
      <c r="AS368">
        <f ca="1"/>
      </c>
      <c r="AT368">
        <f ca="1"/>
      </c>
      <c r="AU368">
        <f ca="1"/>
      </c>
      <c r="AV368">
        <f ca="1"/>
      </c>
      <c r="AW368">
        <f ca="1"/>
      </c>
      <c r="AX368">
        <f ca="1"/>
      </c>
      <c r="AY368">
        <f ca="1"/>
      </c>
      <c r="AZ368">
        <f ca="1"/>
      </c>
      <c r="BA368">
        <f ca="1"/>
      </c>
      <c r="BB368">
        <f ca="1"/>
      </c>
      <c r="BC368">
        <f ca="1"/>
      </c>
      <c r="BD368">
        <f ca="1"/>
      </c>
      <c r="BE368">
        <f ca="1"/>
      </c>
      <c r="BF368">
        <f ca="1"/>
      </c>
      <c r="BG368">
        <f ca="1"/>
      </c>
      <c r="BH368">
        <f ca="1"/>
      </c>
      <c r="BI368">
        <f ca="1"/>
      </c>
      <c r="BJ368">
        <f ca="1"/>
      </c>
      <c r="BK368">
        <f ca="1"/>
      </c>
      <c r="BL368">
        <f ca="1"/>
      </c>
      <c r="BM368">
        <f ca="1"/>
      </c>
      <c r="BN368">
        <f ca="1"/>
      </c>
      <c r="BO368">
        <f ca="1"/>
      </c>
      <c r="BP368">
        <f ca="1"/>
      </c>
      <c r="BQ368">
        <f ca="1"/>
      </c>
      <c r="BR368">
        <f ca="1"/>
      </c>
      <c r="BS368">
        <f ca="1"/>
      </c>
      <c r="BT368">
        <f ca="1"/>
      </c>
      <c r="BU368">
        <f ca="1"/>
      </c>
      <c r="BV368">
        <f ca="1"/>
      </c>
      <c r="BW368">
        <f ca="1"/>
      </c>
      <c r="BX368">
        <f ca="1"/>
      </c>
      <c r="BY368">
        <f ca="1"/>
      </c>
      <c r="BZ368">
        <f ca="1"/>
      </c>
      <c r="CA368">
        <f ca="1"/>
      </c>
      <c r="CB368">
        <f ca="1"/>
      </c>
      <c r="CC368">
        <f ca="1"/>
      </c>
      <c r="CD368">
        <f ca="1"/>
      </c>
      <c r="CE368">
        <f ca="1"/>
      </c>
      <c r="CF368">
        <f ca="1"/>
      </c>
      <c r="CG368">
        <f ca="1"/>
      </c>
      <c r="CH368">
        <f ca="1"/>
      </c>
      <c r="CI368">
        <f ca="1"/>
      </c>
      <c r="CK368">
        <f ca="1"/>
      </c>
      <c r="CL368">
        <f ca="1"/>
      </c>
      <c r="CM368">
        <f ca="1"/>
      </c>
      <c r="CN368">
        <f ca="1"/>
      </c>
      <c r="CO368">
        <f ca="1"/>
      </c>
      <c r="CP368">
        <f ca="1"/>
      </c>
      <c r="CQ368">
        <f ca="1"/>
      </c>
      <c r="CR368">
        <f ca="1"/>
      </c>
      <c r="CS368">
        <f ca="1"/>
      </c>
      <c r="CT368">
        <f ca="1"/>
      </c>
      <c r="CU368">
        <f ca="1"/>
      </c>
      <c r="CV368">
        <f ca="1"/>
      </c>
      <c r="CW368">
        <f ca="1"/>
      </c>
      <c r="CX368">
        <f ca="1"/>
      </c>
      <c r="CY368">
        <f ca="1"/>
      </c>
      <c r="CZ368">
        <f ca="1"/>
      </c>
      <c r="DA368">
        <f ca="1"/>
      </c>
      <c r="DB368">
        <f ca="1"/>
      </c>
      <c r="DC368">
        <f ca="1"/>
      </c>
      <c r="DD368">
        <f ca="1"/>
      </c>
      <c r="DE368">
        <f ca="1"/>
      </c>
      <c r="DF368">
        <f ca="1"/>
      </c>
      <c r="DG368">
        <f ca="1"/>
      </c>
      <c r="DH368">
        <f ca="1"/>
      </c>
      <c r="DI368">
        <f ca="1"/>
      </c>
      <c r="DJ368">
        <f ca="1"/>
      </c>
      <c r="DK368">
        <f ca="1"/>
      </c>
      <c r="DL368">
        <f ca="1"/>
      </c>
      <c r="DM368">
        <f ca="1"/>
      </c>
      <c r="DN368">
        <f ca="1"/>
      </c>
      <c r="DO368">
        <f ca="1"/>
      </c>
      <c r="DP368">
        <f ca="1"/>
      </c>
      <c r="DQ368">
        <f ca="1"/>
      </c>
      <c r="DR368">
        <f ca="1"/>
      </c>
      <c r="DS368">
        <f ca="1"/>
      </c>
      <c r="DT368">
        <f ca="1"/>
      </c>
      <c r="DU368">
        <f ca="1"/>
      </c>
      <c r="DV368">
        <f ca="1"/>
      </c>
      <c r="DW368">
        <f ca="1"/>
      </c>
      <c r="DX368">
        <f ca="1"/>
      </c>
      <c r="DY368">
        <f ca="1"/>
      </c>
      <c r="DZ368">
        <f ca="1"/>
      </c>
      <c r="EA368">
        <f ca="1"/>
      </c>
      <c r="EB368">
        <f ca="1"/>
      </c>
      <c r="EC368">
        <f ca="1"/>
      </c>
      <c r="ED368">
        <f ca="1"/>
      </c>
      <c r="EE368">
        <f ca="1"/>
      </c>
      <c r="EG368">
        <f ca="1"/>
      </c>
      <c r="EH368">
        <f ca="1"/>
      </c>
      <c r="EI368">
        <f ca="1"/>
      </c>
      <c r="EJ368">
        <f ca="1"/>
      </c>
      <c r="EK368">
        <f ca="1"/>
      </c>
      <c r="EL368">
        <f ca="1"/>
      </c>
      <c r="EM368">
        <f ca="1"/>
      </c>
      <c r="EN368">
        <f ca="1"/>
      </c>
      <c r="EO368">
        <f ca="1"/>
      </c>
      <c r="EP368">
        <f ca="1"/>
      </c>
      <c r="EQ368">
        <f ca="1"/>
      </c>
      <c r="ER368">
        <f ca="1"/>
      </c>
      <c r="ES368">
        <f ca="1"/>
      </c>
      <c r="ET368">
        <f ca="1"/>
      </c>
      <c r="EU368">
        <f ca="1"/>
      </c>
      <c r="EV368">
        <f ca="1"/>
      </c>
      <c r="EW368">
        <f ca="1"/>
      </c>
      <c r="EX368">
        <f ca="1"/>
      </c>
      <c r="EY368">
        <f ca="1"/>
      </c>
      <c r="EZ368">
        <f ca="1"/>
      </c>
      <c r="FA368">
        <f ca="1"/>
      </c>
      <c r="FB368">
        <f ca="1"/>
      </c>
      <c r="FC368">
        <f ca="1"/>
      </c>
      <c r="FD368">
        <f ca="1"/>
      </c>
      <c r="FE368">
        <f ca="1"/>
      </c>
      <c r="FF368">
        <f ca="1"/>
      </c>
      <c r="FG368">
        <f ca="1"/>
      </c>
      <c r="FH368">
        <f ca="1"/>
      </c>
      <c r="FI368">
        <f ca="1"/>
      </c>
      <c r="FJ368">
        <f ca="1"/>
      </c>
      <c r="FK368">
        <f ca="1"/>
      </c>
      <c r="FL368">
        <f ca="1"/>
      </c>
      <c r="FM368">
        <f ca="1"/>
      </c>
      <c r="FN368">
        <f ca="1"/>
      </c>
      <c r="FO368">
        <f ca="1"/>
      </c>
      <c r="FP368">
        <f ca="1"/>
      </c>
      <c r="FQ368">
        <f ca="1"/>
      </c>
      <c r="FR368">
        <f ca="1"/>
      </c>
      <c r="FS368">
        <f ca="1"/>
      </c>
      <c r="FT368">
        <f ca="1"/>
      </c>
      <c r="FU368">
        <f ca="1"/>
      </c>
      <c r="FV368">
        <f ca="1"/>
      </c>
      <c r="FW368">
        <f ca="1"/>
      </c>
      <c r="FX368">
        <f ca="1"/>
      </c>
      <c r="FY368">
        <f ca="1"/>
      </c>
      <c r="FZ368">
        <f ca="1"/>
      </c>
      <c r="GA368">
        <f ca="1"/>
      </c>
      <c r="GM368" s="7"/>
    </row>
    <row r="369" spans="41:195" x14ac:dyDescent="0.55000000000000004">
      <c r="AO369">
        <f ca="1"/>
      </c>
      <c r="AP369">
        <f ca="1"/>
      </c>
      <c r="AQ369">
        <f ca="1"/>
      </c>
      <c r="AR369">
        <f ca="1"/>
      </c>
      <c r="AS369">
        <f ca="1"/>
      </c>
      <c r="AT369">
        <f ca="1"/>
      </c>
      <c r="AU369">
        <f ca="1"/>
      </c>
      <c r="AV369">
        <f ca="1"/>
      </c>
      <c r="AW369">
        <f ca="1"/>
      </c>
      <c r="AX369">
        <f ca="1"/>
      </c>
      <c r="AY369">
        <f ca="1"/>
      </c>
      <c r="AZ369">
        <f ca="1"/>
      </c>
      <c r="BA369">
        <f ca="1"/>
      </c>
      <c r="BB369">
        <f ca="1"/>
      </c>
      <c r="BC369">
        <f ca="1"/>
      </c>
      <c r="BD369">
        <f ca="1"/>
      </c>
      <c r="BE369">
        <f ca="1"/>
      </c>
      <c r="BF369">
        <f ca="1"/>
      </c>
      <c r="BG369">
        <f ca="1"/>
      </c>
      <c r="BH369">
        <f ca="1"/>
      </c>
      <c r="BI369">
        <f ca="1"/>
      </c>
      <c r="BJ369">
        <f ca="1"/>
      </c>
      <c r="BK369">
        <f ca="1"/>
      </c>
      <c r="BL369">
        <f ca="1"/>
      </c>
      <c r="BM369">
        <f ca="1"/>
      </c>
      <c r="BN369">
        <f ca="1"/>
      </c>
      <c r="BO369">
        <f ca="1"/>
      </c>
      <c r="BP369">
        <f ca="1"/>
      </c>
      <c r="BQ369">
        <f ca="1"/>
      </c>
      <c r="BR369">
        <f ca="1"/>
      </c>
      <c r="BS369">
        <f ca="1"/>
      </c>
      <c r="BT369">
        <f ca="1"/>
      </c>
      <c r="BU369">
        <f ca="1"/>
      </c>
      <c r="BV369">
        <f ca="1"/>
      </c>
      <c r="BW369">
        <f ca="1"/>
      </c>
      <c r="BX369">
        <f ca="1"/>
      </c>
      <c r="BY369">
        <f ca="1"/>
      </c>
      <c r="BZ369">
        <f ca="1"/>
      </c>
      <c r="CA369">
        <f ca="1"/>
      </c>
      <c r="CB369">
        <f ca="1"/>
      </c>
      <c r="CC369">
        <f ca="1"/>
      </c>
      <c r="CD369">
        <f ca="1"/>
      </c>
      <c r="CE369">
        <f ca="1"/>
      </c>
      <c r="CF369">
        <f ca="1"/>
      </c>
      <c r="CG369">
        <f ca="1"/>
      </c>
      <c r="CH369">
        <f ca="1"/>
      </c>
      <c r="CI369">
        <f ca="1"/>
      </c>
      <c r="CK369">
        <f ca="1"/>
      </c>
      <c r="CL369">
        <f ca="1"/>
      </c>
      <c r="CM369">
        <f ca="1"/>
      </c>
      <c r="CN369">
        <f ca="1"/>
      </c>
      <c r="CO369">
        <f ca="1"/>
      </c>
      <c r="CP369">
        <f ca="1"/>
      </c>
      <c r="CQ369">
        <f ca="1"/>
      </c>
      <c r="CR369">
        <f ca="1"/>
      </c>
      <c r="CS369">
        <f ca="1"/>
      </c>
      <c r="CT369">
        <f ca="1"/>
      </c>
      <c r="CU369">
        <f ca="1"/>
      </c>
      <c r="CV369">
        <f ca="1"/>
      </c>
      <c r="CW369">
        <f ca="1"/>
      </c>
      <c r="CX369">
        <f ca="1"/>
      </c>
      <c r="CY369">
        <f ca="1"/>
      </c>
      <c r="CZ369">
        <f ca="1"/>
      </c>
      <c r="DA369">
        <f ca="1"/>
      </c>
      <c r="DB369">
        <f ca="1"/>
      </c>
      <c r="DC369">
        <f ca="1"/>
      </c>
      <c r="DD369">
        <f ca="1"/>
      </c>
      <c r="DE369">
        <f ca="1"/>
      </c>
      <c r="DF369">
        <f ca="1"/>
      </c>
      <c r="DG369">
        <f ca="1"/>
      </c>
      <c r="DH369">
        <f ca="1"/>
      </c>
      <c r="DI369">
        <f ca="1"/>
      </c>
      <c r="DJ369">
        <f ca="1"/>
      </c>
      <c r="DK369">
        <f ca="1"/>
      </c>
      <c r="DL369">
        <f ca="1"/>
      </c>
      <c r="DM369">
        <f ca="1"/>
      </c>
      <c r="DN369">
        <f ca="1"/>
      </c>
      <c r="DO369">
        <f ca="1"/>
      </c>
      <c r="DP369">
        <f ca="1"/>
      </c>
      <c r="DQ369">
        <f ca="1"/>
      </c>
      <c r="DR369">
        <f ca="1"/>
      </c>
      <c r="DS369">
        <f ca="1"/>
      </c>
      <c r="DT369">
        <f ca="1"/>
      </c>
      <c r="DU369">
        <f ca="1"/>
      </c>
      <c r="DV369">
        <f ca="1"/>
      </c>
      <c r="DW369">
        <f ca="1"/>
      </c>
      <c r="DX369">
        <f ca="1"/>
      </c>
      <c r="DY369">
        <f ca="1"/>
      </c>
      <c r="DZ369">
        <f ca="1"/>
      </c>
      <c r="EA369">
        <f ca="1"/>
      </c>
      <c r="EB369">
        <f ca="1"/>
      </c>
      <c r="EC369">
        <f ca="1"/>
      </c>
      <c r="ED369">
        <f ca="1"/>
      </c>
      <c r="EE369">
        <f ca="1"/>
      </c>
      <c r="EG369">
        <f ca="1"/>
      </c>
      <c r="EH369">
        <f ca="1"/>
      </c>
      <c r="EI369">
        <f ca="1"/>
      </c>
      <c r="EJ369">
        <f ca="1"/>
      </c>
      <c r="EK369">
        <f ca="1"/>
      </c>
      <c r="EL369">
        <f ca="1"/>
      </c>
      <c r="EM369">
        <f ca="1"/>
      </c>
      <c r="EN369">
        <f ca="1"/>
      </c>
      <c r="EO369">
        <f ca="1"/>
      </c>
      <c r="EP369">
        <f ca="1"/>
      </c>
      <c r="EQ369">
        <f ca="1"/>
      </c>
      <c r="ER369">
        <f ca="1"/>
      </c>
      <c r="ES369">
        <f ca="1"/>
      </c>
      <c r="ET369">
        <f ca="1"/>
      </c>
      <c r="EU369">
        <f ca="1"/>
      </c>
      <c r="EV369">
        <f ca="1"/>
      </c>
      <c r="EW369">
        <f ca="1"/>
      </c>
      <c r="EX369">
        <f ca="1"/>
      </c>
      <c r="EY369">
        <f ca="1"/>
      </c>
      <c r="EZ369">
        <f ca="1"/>
      </c>
      <c r="FA369">
        <f ca="1"/>
      </c>
      <c r="FB369">
        <f ca="1"/>
      </c>
      <c r="FC369">
        <f ca="1"/>
      </c>
      <c r="FD369">
        <f ca="1"/>
      </c>
      <c r="FE369">
        <f ca="1"/>
      </c>
      <c r="FF369">
        <f ca="1"/>
      </c>
      <c r="FG369">
        <f ca="1"/>
      </c>
      <c r="FH369">
        <f ca="1"/>
      </c>
      <c r="FI369">
        <f ca="1"/>
      </c>
      <c r="FJ369">
        <f ca="1"/>
      </c>
      <c r="FK369">
        <f ca="1"/>
      </c>
      <c r="FL369">
        <f ca="1"/>
      </c>
      <c r="FM369">
        <f ca="1"/>
      </c>
      <c r="FN369">
        <f ca="1"/>
      </c>
      <c r="FO369">
        <f ca="1"/>
      </c>
      <c r="FP369">
        <f ca="1"/>
      </c>
      <c r="FQ369">
        <f ca="1"/>
      </c>
      <c r="FR369">
        <f ca="1"/>
      </c>
      <c r="FS369">
        <f ca="1"/>
      </c>
      <c r="FT369">
        <f ca="1"/>
      </c>
      <c r="FU369">
        <f ca="1"/>
      </c>
      <c r="FV369">
        <f ca="1"/>
      </c>
      <c r="FW369">
        <f ca="1"/>
      </c>
      <c r="FX369">
        <f ca="1"/>
      </c>
      <c r="FY369">
        <f ca="1"/>
      </c>
      <c r="FZ369">
        <f ca="1"/>
      </c>
      <c r="GA369">
        <f ca="1"/>
      </c>
      <c r="GM369" s="7"/>
    </row>
    <row r="370" spans="41:195" x14ac:dyDescent="0.55000000000000004">
      <c r="AO370">
        <f ca="1"/>
      </c>
      <c r="AP370">
        <f ca="1"/>
      </c>
      <c r="AQ370">
        <f ca="1"/>
      </c>
      <c r="AR370">
        <f ca="1"/>
      </c>
      <c r="AS370">
        <f ca="1"/>
      </c>
      <c r="AT370">
        <f ca="1"/>
      </c>
      <c r="AU370">
        <f ca="1"/>
      </c>
      <c r="AV370">
        <f ca="1"/>
      </c>
      <c r="AW370">
        <f ca="1"/>
      </c>
      <c r="AX370">
        <f ca="1"/>
      </c>
      <c r="AY370">
        <f ca="1"/>
      </c>
      <c r="AZ370">
        <f ca="1"/>
      </c>
      <c r="BA370">
        <f ca="1"/>
      </c>
      <c r="BB370">
        <f ca="1"/>
      </c>
      <c r="BC370">
        <f ca="1"/>
      </c>
      <c r="BD370">
        <f ca="1"/>
      </c>
      <c r="BE370">
        <f ca="1"/>
      </c>
      <c r="BF370">
        <f ca="1"/>
      </c>
      <c r="BG370">
        <f ca="1"/>
      </c>
      <c r="BH370">
        <f ca="1"/>
      </c>
      <c r="BI370">
        <f ca="1"/>
      </c>
      <c r="BJ370">
        <f ca="1"/>
      </c>
      <c r="BK370">
        <f ca="1"/>
      </c>
      <c r="BL370">
        <f ca="1"/>
      </c>
      <c r="BM370">
        <f ca="1"/>
      </c>
      <c r="BN370">
        <f ca="1"/>
      </c>
      <c r="BO370">
        <f ca="1"/>
      </c>
      <c r="BP370">
        <f ca="1"/>
      </c>
      <c r="BQ370">
        <f ca="1"/>
      </c>
      <c r="BR370">
        <f ca="1"/>
      </c>
      <c r="BS370">
        <f ca="1"/>
      </c>
      <c r="BT370">
        <f ca="1"/>
      </c>
      <c r="BU370">
        <f ca="1"/>
      </c>
      <c r="BV370">
        <f ca="1"/>
      </c>
      <c r="BW370">
        <f ca="1"/>
      </c>
      <c r="BX370">
        <f ca="1"/>
      </c>
      <c r="BY370">
        <f ca="1"/>
      </c>
      <c r="BZ370">
        <f ca="1"/>
      </c>
      <c r="CA370">
        <f ca="1"/>
      </c>
      <c r="CB370">
        <f ca="1"/>
      </c>
      <c r="CC370">
        <f ca="1"/>
      </c>
      <c r="CD370">
        <f ca="1"/>
      </c>
      <c r="CE370">
        <f ca="1"/>
      </c>
      <c r="CF370">
        <f ca="1"/>
      </c>
      <c r="CG370">
        <f ca="1"/>
      </c>
      <c r="CH370">
        <f ca="1"/>
      </c>
      <c r="CI370">
        <f ca="1"/>
      </c>
      <c r="CK370">
        <f ca="1"/>
      </c>
      <c r="CL370">
        <f ca="1"/>
      </c>
      <c r="CM370">
        <f ca="1"/>
      </c>
      <c r="CN370">
        <f ca="1"/>
      </c>
      <c r="CO370">
        <f ca="1"/>
      </c>
      <c r="CP370">
        <f ca="1"/>
      </c>
      <c r="CQ370">
        <f ca="1"/>
      </c>
      <c r="CR370">
        <f ca="1"/>
      </c>
      <c r="CS370">
        <f ca="1"/>
      </c>
      <c r="CT370">
        <f ca="1"/>
      </c>
      <c r="CU370">
        <f ca="1"/>
      </c>
      <c r="CV370">
        <f ca="1"/>
      </c>
      <c r="CW370">
        <f ca="1"/>
      </c>
      <c r="CX370">
        <f ca="1"/>
      </c>
      <c r="CY370">
        <f ca="1"/>
      </c>
      <c r="CZ370">
        <f ca="1"/>
      </c>
      <c r="DA370">
        <f ca="1"/>
      </c>
      <c r="DB370">
        <f ca="1"/>
      </c>
      <c r="DC370">
        <f ca="1"/>
      </c>
      <c r="DD370">
        <f ca="1"/>
      </c>
      <c r="DE370">
        <f ca="1"/>
      </c>
      <c r="DF370">
        <f ca="1"/>
      </c>
      <c r="DG370">
        <f ca="1"/>
      </c>
      <c r="DH370">
        <f ca="1"/>
      </c>
      <c r="DI370">
        <f ca="1"/>
      </c>
      <c r="DJ370">
        <f ca="1"/>
      </c>
      <c r="DK370">
        <f ca="1"/>
      </c>
      <c r="DL370">
        <f ca="1"/>
      </c>
      <c r="DM370">
        <f ca="1"/>
      </c>
      <c r="DN370">
        <f ca="1"/>
      </c>
      <c r="DO370">
        <f ca="1"/>
      </c>
      <c r="DP370">
        <f ca="1"/>
      </c>
      <c r="DQ370">
        <f ca="1"/>
      </c>
      <c r="DR370">
        <f ca="1"/>
      </c>
      <c r="DS370">
        <f ca="1"/>
      </c>
      <c r="DT370">
        <f ca="1"/>
      </c>
      <c r="DU370">
        <f ca="1"/>
      </c>
      <c r="DV370">
        <f ca="1"/>
      </c>
      <c r="DW370">
        <f ca="1"/>
      </c>
      <c r="DX370">
        <f ca="1"/>
      </c>
      <c r="DY370">
        <f ca="1"/>
      </c>
      <c r="DZ370">
        <f ca="1"/>
      </c>
      <c r="EA370">
        <f ca="1"/>
      </c>
      <c r="EB370">
        <f ca="1"/>
      </c>
      <c r="EC370">
        <f ca="1"/>
      </c>
      <c r="ED370">
        <f ca="1"/>
      </c>
      <c r="EE370">
        <f ca="1"/>
      </c>
      <c r="EG370">
        <f ca="1"/>
      </c>
      <c r="EH370">
        <f ca="1"/>
      </c>
      <c r="EI370">
        <f ca="1"/>
      </c>
      <c r="EJ370">
        <f ca="1"/>
      </c>
      <c r="EK370">
        <f ca="1"/>
      </c>
      <c r="EL370">
        <f ca="1"/>
      </c>
      <c r="EM370">
        <f ca="1"/>
      </c>
      <c r="EN370">
        <f ca="1"/>
      </c>
      <c r="EO370">
        <f ca="1"/>
      </c>
      <c r="EP370">
        <f ca="1"/>
      </c>
      <c r="EQ370">
        <f ca="1"/>
      </c>
      <c r="ER370">
        <f ca="1"/>
      </c>
      <c r="ES370">
        <f ca="1"/>
      </c>
      <c r="ET370">
        <f ca="1"/>
      </c>
      <c r="EU370">
        <f ca="1"/>
      </c>
      <c r="EV370">
        <f ca="1"/>
      </c>
      <c r="EW370">
        <f ca="1"/>
      </c>
      <c r="EX370">
        <f ca="1"/>
      </c>
      <c r="EY370">
        <f ca="1"/>
      </c>
      <c r="EZ370">
        <f ca="1"/>
      </c>
      <c r="FA370">
        <f ca="1"/>
      </c>
      <c r="FB370">
        <f ca="1"/>
      </c>
      <c r="FC370">
        <f ca="1"/>
      </c>
      <c r="FD370">
        <f ca="1"/>
      </c>
      <c r="FE370">
        <f ca="1"/>
      </c>
      <c r="FF370">
        <f ca="1"/>
      </c>
      <c r="FG370">
        <f ca="1"/>
      </c>
      <c r="FH370">
        <f ca="1"/>
      </c>
      <c r="FI370">
        <f ca="1"/>
      </c>
      <c r="FJ370">
        <f ca="1"/>
      </c>
      <c r="FK370">
        <f ca="1"/>
      </c>
      <c r="FL370">
        <f ca="1"/>
      </c>
      <c r="FM370">
        <f ca="1"/>
      </c>
      <c r="FN370">
        <f ca="1"/>
      </c>
      <c r="FO370">
        <f ca="1"/>
      </c>
      <c r="FP370">
        <f ca="1"/>
      </c>
      <c r="FQ370">
        <f ca="1"/>
      </c>
      <c r="FR370">
        <f ca="1"/>
      </c>
      <c r="FS370">
        <f ca="1"/>
      </c>
      <c r="FT370">
        <f ca="1"/>
      </c>
      <c r="FU370">
        <f ca="1"/>
      </c>
      <c r="FV370">
        <f ca="1"/>
      </c>
      <c r="FW370">
        <f ca="1"/>
      </c>
      <c r="FX370">
        <f ca="1"/>
      </c>
      <c r="FY370">
        <f ca="1"/>
      </c>
      <c r="FZ370">
        <f ca="1"/>
      </c>
      <c r="GA370">
        <f ca="1"/>
      </c>
      <c r="GM370" s="7"/>
    </row>
    <row r="371" spans="41:195" x14ac:dyDescent="0.55000000000000004">
      <c r="AO371">
        <f ca="1"/>
      </c>
      <c r="AP371">
        <f ca="1"/>
      </c>
      <c r="AQ371">
        <f ca="1"/>
      </c>
      <c r="AR371">
        <f ca="1"/>
      </c>
      <c r="AS371">
        <f ca="1"/>
      </c>
      <c r="AT371">
        <f ca="1"/>
      </c>
      <c r="AU371">
        <f ca="1"/>
      </c>
      <c r="AV371">
        <f ca="1"/>
      </c>
      <c r="AW371">
        <f ca="1"/>
      </c>
      <c r="AX371">
        <f ca="1"/>
      </c>
      <c r="AY371">
        <f ca="1"/>
      </c>
      <c r="AZ371">
        <f ca="1"/>
      </c>
      <c r="BA371">
        <f ca="1"/>
      </c>
      <c r="BB371">
        <f ca="1"/>
      </c>
      <c r="BC371">
        <f ca="1"/>
      </c>
      <c r="BD371">
        <f ca="1"/>
      </c>
      <c r="BE371">
        <f ca="1"/>
      </c>
      <c r="BF371">
        <f ca="1"/>
      </c>
      <c r="BG371">
        <f ca="1"/>
      </c>
      <c r="BH371">
        <f ca="1"/>
      </c>
      <c r="BI371">
        <f ca="1"/>
      </c>
      <c r="BJ371">
        <f ca="1"/>
      </c>
      <c r="BK371">
        <f ca="1"/>
      </c>
      <c r="BL371">
        <f ca="1"/>
      </c>
      <c r="BM371">
        <f ca="1"/>
      </c>
      <c r="BN371">
        <f ca="1"/>
      </c>
      <c r="BO371">
        <f ca="1"/>
      </c>
      <c r="BP371">
        <f ca="1"/>
      </c>
      <c r="BQ371">
        <f ca="1"/>
      </c>
      <c r="BR371">
        <f ca="1"/>
      </c>
      <c r="BS371">
        <f ca="1"/>
      </c>
      <c r="BT371">
        <f ca="1"/>
      </c>
      <c r="BU371">
        <f ca="1"/>
      </c>
      <c r="BV371">
        <f ca="1"/>
      </c>
      <c r="BW371">
        <f ca="1"/>
      </c>
      <c r="BX371">
        <f ca="1"/>
      </c>
      <c r="BY371">
        <f ca="1"/>
      </c>
      <c r="BZ371">
        <f ca="1"/>
      </c>
      <c r="CA371">
        <f ca="1"/>
      </c>
      <c r="CB371">
        <f ca="1"/>
      </c>
      <c r="CC371">
        <f ca="1"/>
      </c>
      <c r="CD371">
        <f ca="1"/>
      </c>
      <c r="CE371">
        <f ca="1"/>
      </c>
      <c r="CF371">
        <f ca="1"/>
      </c>
      <c r="CG371">
        <f ca="1"/>
      </c>
      <c r="CH371">
        <f ca="1"/>
      </c>
      <c r="CI371">
        <f ca="1"/>
      </c>
      <c r="CK371">
        <f ca="1"/>
      </c>
      <c r="CL371">
        <f ca="1"/>
      </c>
      <c r="CM371">
        <f ca="1"/>
      </c>
      <c r="CN371">
        <f ca="1"/>
      </c>
      <c r="CO371">
        <f ca="1"/>
      </c>
      <c r="CP371">
        <f ca="1"/>
      </c>
      <c r="CQ371">
        <f ca="1"/>
      </c>
      <c r="CR371">
        <f ca="1"/>
      </c>
      <c r="CS371">
        <f ca="1"/>
      </c>
      <c r="CT371">
        <f ca="1"/>
      </c>
      <c r="CU371">
        <f ca="1"/>
      </c>
      <c r="CV371">
        <f ca="1"/>
      </c>
      <c r="CW371">
        <f ca="1"/>
      </c>
      <c r="CX371">
        <f ca="1"/>
      </c>
      <c r="CY371">
        <f ca="1"/>
      </c>
      <c r="CZ371">
        <f ca="1"/>
      </c>
      <c r="DA371">
        <f ca="1"/>
      </c>
      <c r="DB371">
        <f ca="1"/>
      </c>
      <c r="DC371">
        <f ca="1"/>
      </c>
      <c r="DD371">
        <f ca="1"/>
      </c>
      <c r="DE371">
        <f ca="1"/>
      </c>
      <c r="DF371">
        <f ca="1"/>
      </c>
      <c r="DG371">
        <f ca="1"/>
      </c>
      <c r="DH371">
        <f ca="1"/>
      </c>
      <c r="DI371">
        <f ca="1"/>
      </c>
      <c r="DJ371">
        <f ca="1"/>
      </c>
      <c r="DK371">
        <f ca="1"/>
      </c>
      <c r="DL371">
        <f ca="1"/>
      </c>
      <c r="DM371">
        <f ca="1"/>
      </c>
      <c r="DN371">
        <f ca="1"/>
      </c>
      <c r="DO371">
        <f ca="1"/>
      </c>
      <c r="DP371">
        <f ca="1"/>
      </c>
      <c r="DQ371">
        <f ca="1"/>
      </c>
      <c r="DR371">
        <f ca="1"/>
      </c>
      <c r="DS371">
        <f ca="1"/>
      </c>
      <c r="DT371">
        <f ca="1"/>
      </c>
      <c r="DU371">
        <f ca="1"/>
      </c>
      <c r="DV371">
        <f ca="1"/>
      </c>
      <c r="DW371">
        <f ca="1"/>
      </c>
      <c r="DX371">
        <f ca="1"/>
      </c>
      <c r="DY371">
        <f ca="1"/>
      </c>
      <c r="DZ371">
        <f ca="1"/>
      </c>
      <c r="EA371">
        <f ca="1"/>
      </c>
      <c r="EB371">
        <f ca="1"/>
      </c>
      <c r="EC371">
        <f ca="1"/>
      </c>
      <c r="ED371">
        <f ca="1"/>
      </c>
      <c r="EE371">
        <f ca="1"/>
      </c>
      <c r="EG371">
        <f ca="1"/>
      </c>
      <c r="EH371">
        <f ca="1"/>
      </c>
      <c r="EI371">
        <f ca="1"/>
      </c>
      <c r="EJ371">
        <f ca="1"/>
      </c>
      <c r="EK371">
        <f ca="1"/>
      </c>
      <c r="EL371">
        <f ca="1"/>
      </c>
      <c r="EM371">
        <f ca="1"/>
      </c>
      <c r="EN371">
        <f ca="1"/>
      </c>
      <c r="EO371">
        <f ca="1"/>
      </c>
      <c r="EP371">
        <f ca="1"/>
      </c>
      <c r="EQ371">
        <f ca="1"/>
      </c>
      <c r="ER371">
        <f ca="1"/>
      </c>
      <c r="ES371">
        <f ca="1"/>
      </c>
      <c r="ET371">
        <f ca="1"/>
      </c>
      <c r="EU371">
        <f ca="1"/>
      </c>
      <c r="EV371">
        <f ca="1"/>
      </c>
      <c r="EW371">
        <f ca="1"/>
      </c>
      <c r="EX371">
        <f ca="1"/>
      </c>
      <c r="EY371">
        <f ca="1"/>
      </c>
      <c r="EZ371">
        <f ca="1"/>
      </c>
      <c r="FA371">
        <f ca="1"/>
      </c>
      <c r="FB371">
        <f ca="1"/>
      </c>
      <c r="FC371">
        <f ca="1"/>
      </c>
      <c r="FD371">
        <f ca="1"/>
      </c>
      <c r="FE371">
        <f ca="1"/>
      </c>
      <c r="FF371">
        <f ca="1"/>
      </c>
      <c r="FG371">
        <f ca="1"/>
      </c>
      <c r="FH371">
        <f ca="1"/>
      </c>
      <c r="FI371">
        <f ca="1"/>
      </c>
      <c r="FJ371">
        <f ca="1"/>
      </c>
      <c r="FK371">
        <f ca="1"/>
      </c>
      <c r="FL371">
        <f ca="1"/>
      </c>
      <c r="FM371">
        <f ca="1"/>
      </c>
      <c r="FN371">
        <f ca="1"/>
      </c>
      <c r="FO371">
        <f ca="1"/>
      </c>
      <c r="FP371">
        <f ca="1"/>
      </c>
      <c r="FQ371">
        <f ca="1"/>
      </c>
      <c r="FR371">
        <f ca="1"/>
      </c>
      <c r="FS371">
        <f ca="1"/>
      </c>
      <c r="FT371">
        <f ca="1"/>
      </c>
      <c r="FU371">
        <f ca="1"/>
      </c>
      <c r="FV371">
        <f ca="1"/>
      </c>
      <c r="FW371">
        <f ca="1"/>
      </c>
      <c r="FX371">
        <f ca="1"/>
      </c>
      <c r="FY371">
        <f ca="1"/>
      </c>
      <c r="FZ371">
        <f ca="1"/>
      </c>
      <c r="GA371">
        <f ca="1"/>
      </c>
      <c r="GM371" s="7"/>
    </row>
    <row r="372" spans="41:195" x14ac:dyDescent="0.55000000000000004">
      <c r="AO372">
        <f ca="1"/>
      </c>
      <c r="AP372">
        <f ca="1"/>
      </c>
      <c r="AQ372">
        <f ca="1"/>
      </c>
      <c r="AR372">
        <f ca="1"/>
      </c>
      <c r="AS372">
        <f ca="1"/>
      </c>
      <c r="AT372">
        <f ca="1"/>
      </c>
      <c r="AU372">
        <f ca="1"/>
      </c>
      <c r="AV372">
        <f ca="1"/>
      </c>
      <c r="AW372">
        <f ca="1"/>
      </c>
      <c r="AX372">
        <f ca="1"/>
      </c>
      <c r="AY372">
        <f ca="1"/>
      </c>
      <c r="AZ372">
        <f ca="1"/>
      </c>
      <c r="BA372">
        <f ca="1"/>
      </c>
      <c r="BB372">
        <f ca="1"/>
      </c>
      <c r="BC372">
        <f ca="1"/>
      </c>
      <c r="BD372">
        <f ca="1"/>
      </c>
      <c r="BE372">
        <f ca="1"/>
      </c>
      <c r="BF372">
        <f ca="1"/>
      </c>
      <c r="BG372">
        <f ca="1"/>
      </c>
      <c r="BH372">
        <f ca="1"/>
      </c>
      <c r="BI372">
        <f ca="1"/>
      </c>
      <c r="BJ372">
        <f ca="1"/>
      </c>
      <c r="BK372">
        <f ca="1"/>
      </c>
      <c r="BL372">
        <f ca="1"/>
      </c>
      <c r="BM372">
        <f ca="1"/>
      </c>
      <c r="BN372">
        <f ca="1"/>
      </c>
      <c r="BO372">
        <f ca="1"/>
      </c>
      <c r="BP372">
        <f ca="1"/>
      </c>
      <c r="BQ372">
        <f ca="1"/>
      </c>
      <c r="BR372">
        <f ca="1"/>
      </c>
      <c r="BS372">
        <f ca="1"/>
      </c>
      <c r="BT372">
        <f ca="1"/>
      </c>
      <c r="BU372">
        <f ca="1"/>
      </c>
      <c r="BV372">
        <f ca="1"/>
      </c>
      <c r="BW372">
        <f ca="1"/>
      </c>
      <c r="BX372">
        <f ca="1"/>
      </c>
      <c r="BY372">
        <f ca="1"/>
      </c>
      <c r="BZ372">
        <f ca="1"/>
      </c>
      <c r="CA372">
        <f ca="1"/>
      </c>
      <c r="CB372">
        <f ca="1"/>
      </c>
      <c r="CC372">
        <f ca="1"/>
      </c>
      <c r="CD372">
        <f ca="1"/>
      </c>
      <c r="CE372">
        <f ca="1"/>
      </c>
      <c r="CF372">
        <f ca="1"/>
      </c>
      <c r="CG372">
        <f ca="1"/>
      </c>
      <c r="CH372">
        <f ca="1"/>
      </c>
      <c r="CI372">
        <f ca="1"/>
      </c>
      <c r="CK372">
        <f ca="1"/>
      </c>
      <c r="CL372">
        <f ca="1"/>
      </c>
      <c r="CM372">
        <f ca="1"/>
      </c>
      <c r="CN372">
        <f ca="1"/>
      </c>
      <c r="CO372">
        <f ca="1"/>
      </c>
      <c r="CP372">
        <f ca="1"/>
      </c>
      <c r="CQ372">
        <f ca="1"/>
      </c>
      <c r="CR372">
        <f ca="1"/>
      </c>
      <c r="CS372">
        <f ca="1"/>
      </c>
      <c r="CT372">
        <f ca="1"/>
      </c>
      <c r="CU372">
        <f ca="1"/>
      </c>
      <c r="CV372">
        <f ca="1"/>
      </c>
      <c r="CW372">
        <f ca="1"/>
      </c>
      <c r="CX372">
        <f ca="1"/>
      </c>
      <c r="CY372">
        <f ca="1"/>
      </c>
      <c r="CZ372">
        <f ca="1"/>
      </c>
      <c r="DA372">
        <f ca="1"/>
      </c>
      <c r="DB372">
        <f ca="1"/>
      </c>
      <c r="DC372">
        <f ca="1"/>
      </c>
      <c r="DD372">
        <f ca="1"/>
      </c>
      <c r="DE372">
        <f ca="1"/>
      </c>
      <c r="DF372">
        <f ca="1"/>
      </c>
      <c r="DG372">
        <f ca="1"/>
      </c>
      <c r="DH372">
        <f ca="1"/>
      </c>
      <c r="DI372">
        <f ca="1"/>
      </c>
      <c r="DJ372">
        <f ca="1"/>
      </c>
      <c r="DK372">
        <f ca="1"/>
      </c>
      <c r="DL372">
        <f ca="1"/>
      </c>
      <c r="DM372">
        <f ca="1"/>
      </c>
      <c r="DN372">
        <f ca="1"/>
      </c>
      <c r="DO372">
        <f ca="1"/>
      </c>
      <c r="DP372">
        <f ca="1"/>
      </c>
      <c r="DQ372">
        <f ca="1"/>
      </c>
      <c r="DR372">
        <f ca="1"/>
      </c>
      <c r="DS372">
        <f ca="1"/>
      </c>
      <c r="DT372">
        <f ca="1"/>
      </c>
      <c r="DU372">
        <f ca="1"/>
      </c>
      <c r="DV372">
        <f ca="1"/>
      </c>
      <c r="DW372">
        <f ca="1"/>
      </c>
      <c r="DX372">
        <f ca="1"/>
      </c>
      <c r="DY372">
        <f ca="1"/>
      </c>
      <c r="DZ372">
        <f ca="1"/>
      </c>
      <c r="EA372">
        <f ca="1"/>
      </c>
      <c r="EB372">
        <f ca="1"/>
      </c>
      <c r="EC372">
        <f ca="1"/>
      </c>
      <c r="ED372">
        <f ca="1"/>
      </c>
      <c r="EE372">
        <f ca="1"/>
      </c>
      <c r="EG372">
        <f ca="1"/>
      </c>
      <c r="EH372">
        <f ca="1"/>
      </c>
      <c r="EI372">
        <f ca="1"/>
      </c>
      <c r="EJ372">
        <f ca="1"/>
      </c>
      <c r="EK372">
        <f ca="1"/>
      </c>
      <c r="EL372">
        <f ca="1"/>
      </c>
      <c r="EM372">
        <f ca="1"/>
      </c>
      <c r="EN372">
        <f ca="1"/>
      </c>
      <c r="EO372">
        <f ca="1"/>
      </c>
      <c r="EP372">
        <f ca="1"/>
      </c>
      <c r="EQ372">
        <f ca="1"/>
      </c>
      <c r="ER372">
        <f ca="1"/>
      </c>
      <c r="ES372">
        <f ca="1"/>
      </c>
      <c r="ET372">
        <f ca="1"/>
      </c>
      <c r="EU372">
        <f ca="1"/>
      </c>
      <c r="EV372">
        <f ca="1"/>
      </c>
      <c r="EW372">
        <f ca="1"/>
      </c>
      <c r="EX372">
        <f ca="1"/>
      </c>
      <c r="EY372">
        <f ca="1"/>
      </c>
      <c r="EZ372">
        <f ca="1"/>
      </c>
      <c r="FA372">
        <f ca="1"/>
      </c>
      <c r="FB372">
        <f ca="1"/>
      </c>
      <c r="FC372">
        <f ca="1"/>
      </c>
      <c r="FD372">
        <f ca="1"/>
      </c>
      <c r="FE372">
        <f ca="1"/>
      </c>
      <c r="FF372">
        <f ca="1"/>
      </c>
      <c r="FG372">
        <f ca="1"/>
      </c>
      <c r="FH372">
        <f ca="1"/>
      </c>
      <c r="FI372">
        <f ca="1"/>
      </c>
      <c r="FJ372">
        <f ca="1"/>
      </c>
      <c r="FK372">
        <f ca="1"/>
      </c>
      <c r="FL372">
        <f ca="1"/>
      </c>
      <c r="FM372">
        <f ca="1"/>
      </c>
      <c r="FN372">
        <f ca="1"/>
      </c>
      <c r="FO372">
        <f ca="1"/>
      </c>
      <c r="FP372">
        <f ca="1"/>
      </c>
      <c r="FQ372">
        <f ca="1"/>
      </c>
      <c r="FR372">
        <f ca="1"/>
      </c>
      <c r="FS372">
        <f ca="1"/>
      </c>
      <c r="FT372">
        <f ca="1"/>
      </c>
      <c r="FU372">
        <f ca="1"/>
      </c>
      <c r="FV372">
        <f ca="1"/>
      </c>
      <c r="FW372">
        <f ca="1"/>
      </c>
      <c r="FX372">
        <f ca="1"/>
      </c>
      <c r="FY372">
        <f ca="1"/>
      </c>
      <c r="FZ372">
        <f ca="1"/>
      </c>
      <c r="GA372">
        <f ca="1"/>
      </c>
      <c r="GM372" s="7"/>
    </row>
    <row r="373" spans="41:195" x14ac:dyDescent="0.55000000000000004">
      <c r="AO373">
        <f ca="1"/>
      </c>
      <c r="AP373">
        <f ca="1"/>
      </c>
      <c r="AQ373">
        <f ca="1"/>
      </c>
      <c r="AR373">
        <f ca="1"/>
      </c>
      <c r="AS373">
        <f ca="1"/>
      </c>
      <c r="AT373">
        <f ca="1"/>
      </c>
      <c r="AU373">
        <f ca="1"/>
      </c>
      <c r="AV373">
        <f ca="1"/>
      </c>
      <c r="AW373">
        <f ca="1"/>
      </c>
      <c r="AX373">
        <f ca="1"/>
      </c>
      <c r="AY373">
        <f ca="1"/>
      </c>
      <c r="AZ373">
        <f ca="1"/>
      </c>
      <c r="BA373">
        <f ca="1"/>
      </c>
      <c r="BB373">
        <f ca="1"/>
      </c>
      <c r="BC373">
        <f ca="1"/>
      </c>
      <c r="BD373">
        <f ca="1"/>
      </c>
      <c r="BE373">
        <f ca="1"/>
      </c>
      <c r="BF373">
        <f ca="1"/>
      </c>
      <c r="BG373">
        <f ca="1"/>
      </c>
      <c r="BH373">
        <f ca="1"/>
      </c>
      <c r="BI373">
        <f ca="1"/>
      </c>
      <c r="BJ373">
        <f ca="1"/>
      </c>
      <c r="BK373">
        <f ca="1"/>
      </c>
      <c r="BL373">
        <f ca="1"/>
      </c>
      <c r="BM373">
        <f ca="1"/>
      </c>
      <c r="BN373">
        <f ca="1"/>
      </c>
      <c r="BO373">
        <f ca="1"/>
      </c>
      <c r="BP373">
        <f ca="1"/>
      </c>
      <c r="BQ373">
        <f ca="1"/>
      </c>
      <c r="BR373">
        <f ca="1"/>
      </c>
      <c r="BS373">
        <f ca="1"/>
      </c>
      <c r="BT373">
        <f ca="1"/>
      </c>
      <c r="BU373">
        <f ca="1"/>
      </c>
      <c r="BV373">
        <f ca="1"/>
      </c>
      <c r="BW373">
        <f ca="1"/>
      </c>
      <c r="BX373">
        <f ca="1"/>
      </c>
      <c r="BY373">
        <f ca="1"/>
      </c>
      <c r="BZ373">
        <f ca="1"/>
      </c>
      <c r="CA373">
        <f ca="1"/>
      </c>
      <c r="CB373">
        <f ca="1"/>
      </c>
      <c r="CC373">
        <f ca="1"/>
      </c>
      <c r="CD373">
        <f ca="1"/>
      </c>
      <c r="CE373">
        <f ca="1"/>
      </c>
      <c r="CF373">
        <f ca="1"/>
      </c>
      <c r="CG373">
        <f ca="1"/>
      </c>
      <c r="CH373">
        <f ca="1"/>
      </c>
      <c r="CI373">
        <f ca="1"/>
      </c>
      <c r="CK373">
        <f ca="1"/>
      </c>
      <c r="CL373">
        <f ca="1"/>
      </c>
      <c r="CM373">
        <f ca="1"/>
      </c>
      <c r="CN373">
        <f ca="1"/>
      </c>
      <c r="CO373">
        <f ca="1"/>
      </c>
      <c r="CP373">
        <f ca="1"/>
      </c>
      <c r="CQ373">
        <f ca="1"/>
      </c>
      <c r="CR373">
        <f ca="1"/>
      </c>
      <c r="CS373">
        <f ca="1"/>
      </c>
      <c r="CT373">
        <f ca="1"/>
      </c>
      <c r="CU373">
        <f ca="1"/>
      </c>
      <c r="CV373">
        <f ca="1"/>
      </c>
      <c r="CW373">
        <f ca="1"/>
      </c>
      <c r="CX373">
        <f ca="1"/>
      </c>
      <c r="CY373">
        <f ca="1"/>
      </c>
      <c r="CZ373">
        <f ca="1"/>
      </c>
      <c r="DA373">
        <f ca="1"/>
      </c>
      <c r="DB373">
        <f ca="1"/>
      </c>
      <c r="DC373">
        <f ca="1"/>
      </c>
      <c r="DD373">
        <f ca="1"/>
      </c>
      <c r="DE373">
        <f ca="1"/>
      </c>
      <c r="DF373">
        <f ca="1"/>
      </c>
      <c r="DG373">
        <f ca="1"/>
      </c>
      <c r="DH373">
        <f ca="1"/>
      </c>
      <c r="DI373">
        <f ca="1"/>
      </c>
      <c r="DJ373">
        <f ca="1"/>
      </c>
      <c r="DK373">
        <f ca="1"/>
      </c>
      <c r="DL373">
        <f ca="1"/>
      </c>
      <c r="DM373">
        <f ca="1"/>
      </c>
      <c r="DN373">
        <f ca="1"/>
      </c>
      <c r="DO373">
        <f ca="1"/>
      </c>
      <c r="DP373">
        <f ca="1"/>
      </c>
      <c r="DQ373">
        <f ca="1"/>
      </c>
      <c r="DR373">
        <f ca="1"/>
      </c>
      <c r="DS373">
        <f ca="1"/>
      </c>
      <c r="DT373">
        <f ca="1"/>
      </c>
      <c r="DU373">
        <f ca="1"/>
      </c>
      <c r="DV373">
        <f ca="1"/>
      </c>
      <c r="DW373">
        <f ca="1"/>
      </c>
      <c r="DX373">
        <f ca="1"/>
      </c>
      <c r="DY373">
        <f ca="1"/>
      </c>
      <c r="DZ373">
        <f ca="1"/>
      </c>
      <c r="EA373">
        <f ca="1"/>
      </c>
      <c r="EB373">
        <f ca="1"/>
      </c>
      <c r="EC373">
        <f ca="1"/>
      </c>
      <c r="ED373">
        <f ca="1"/>
      </c>
      <c r="EE373">
        <f ca="1"/>
      </c>
      <c r="EG373">
        <f ca="1"/>
      </c>
      <c r="EH373">
        <f ca="1"/>
      </c>
      <c r="EI373">
        <f ca="1"/>
      </c>
      <c r="EJ373">
        <f ca="1"/>
      </c>
      <c r="EK373">
        <f ca="1"/>
      </c>
      <c r="EL373">
        <f ca="1"/>
      </c>
      <c r="EM373">
        <f ca="1"/>
      </c>
      <c r="EN373">
        <f ca="1"/>
      </c>
      <c r="EO373">
        <f ca="1"/>
      </c>
      <c r="EP373">
        <f ca="1"/>
      </c>
      <c r="EQ373">
        <f ca="1"/>
      </c>
      <c r="ER373">
        <f ca="1"/>
      </c>
      <c r="ES373">
        <f ca="1"/>
      </c>
      <c r="ET373">
        <f ca="1"/>
      </c>
      <c r="EU373">
        <f ca="1"/>
      </c>
      <c r="EV373">
        <f ca="1"/>
      </c>
      <c r="EW373">
        <f ca="1"/>
      </c>
      <c r="EX373">
        <f ca="1"/>
      </c>
      <c r="EY373">
        <f ca="1"/>
      </c>
      <c r="EZ373">
        <f ca="1"/>
      </c>
      <c r="FA373">
        <f ca="1"/>
      </c>
      <c r="FB373">
        <f ca="1"/>
      </c>
      <c r="FC373">
        <f ca="1"/>
      </c>
      <c r="FD373">
        <f ca="1"/>
      </c>
      <c r="FE373">
        <f ca="1"/>
      </c>
      <c r="FF373">
        <f ca="1"/>
      </c>
      <c r="FG373">
        <f ca="1"/>
      </c>
      <c r="FH373">
        <f ca="1"/>
      </c>
      <c r="FI373">
        <f ca="1"/>
      </c>
      <c r="FJ373">
        <f ca="1"/>
      </c>
      <c r="FK373">
        <f ca="1"/>
      </c>
      <c r="FL373">
        <f ca="1"/>
      </c>
      <c r="FM373">
        <f ca="1"/>
      </c>
      <c r="FN373">
        <f ca="1"/>
      </c>
      <c r="FO373">
        <f ca="1"/>
      </c>
      <c r="FP373">
        <f ca="1"/>
      </c>
      <c r="FQ373">
        <f ca="1"/>
      </c>
      <c r="FR373">
        <f ca="1"/>
      </c>
      <c r="FS373">
        <f ca="1"/>
      </c>
      <c r="FT373">
        <f ca="1"/>
      </c>
      <c r="FU373">
        <f ca="1"/>
      </c>
      <c r="FV373">
        <f ca="1"/>
      </c>
      <c r="FW373">
        <f ca="1"/>
      </c>
      <c r="FX373">
        <f ca="1"/>
      </c>
      <c r="FY373">
        <f ca="1"/>
      </c>
      <c r="FZ373">
        <f ca="1"/>
      </c>
      <c r="GA373">
        <f ca="1"/>
      </c>
      <c r="GM373" s="7"/>
    </row>
    <row r="374" spans="41:195" x14ac:dyDescent="0.55000000000000004">
      <c r="AO374">
        <f ca="1"/>
      </c>
      <c r="AP374">
        <f ca="1"/>
      </c>
      <c r="AQ374">
        <f ca="1"/>
      </c>
      <c r="AR374">
        <f ca="1"/>
      </c>
      <c r="AS374">
        <f ca="1"/>
      </c>
      <c r="AT374">
        <f ca="1"/>
      </c>
      <c r="AU374">
        <f ca="1"/>
      </c>
      <c r="AV374">
        <f ca="1"/>
      </c>
      <c r="AW374">
        <f ca="1"/>
      </c>
      <c r="AX374">
        <f ca="1"/>
      </c>
      <c r="AY374">
        <f ca="1"/>
      </c>
      <c r="AZ374">
        <f ca="1"/>
      </c>
      <c r="BA374">
        <f ca="1"/>
      </c>
      <c r="BB374">
        <f ca="1"/>
      </c>
      <c r="BC374">
        <f ca="1"/>
      </c>
      <c r="BD374">
        <f ca="1"/>
      </c>
      <c r="BE374">
        <f ca="1"/>
      </c>
      <c r="BF374">
        <f ca="1"/>
      </c>
      <c r="BG374">
        <f ca="1"/>
      </c>
      <c r="BH374">
        <f ca="1"/>
      </c>
      <c r="BI374">
        <f ca="1"/>
      </c>
      <c r="BJ374">
        <f ca="1"/>
      </c>
      <c r="BK374">
        <f ca="1"/>
      </c>
      <c r="BL374">
        <f ca="1"/>
      </c>
      <c r="BM374">
        <f ca="1"/>
      </c>
      <c r="BN374">
        <f ca="1"/>
      </c>
      <c r="BO374">
        <f ca="1"/>
      </c>
      <c r="BP374">
        <f ca="1"/>
      </c>
      <c r="BQ374">
        <f ca="1"/>
      </c>
      <c r="BR374">
        <f ca="1"/>
      </c>
      <c r="BS374">
        <f ca="1"/>
      </c>
      <c r="BT374">
        <f ca="1"/>
      </c>
      <c r="BU374">
        <f ca="1"/>
      </c>
      <c r="BV374">
        <f ca="1"/>
      </c>
      <c r="BW374">
        <f ca="1"/>
      </c>
      <c r="BX374">
        <f ca="1"/>
      </c>
      <c r="BY374">
        <f ca="1"/>
      </c>
      <c r="BZ374">
        <f ca="1"/>
      </c>
      <c r="CA374">
        <f ca="1"/>
      </c>
      <c r="CB374">
        <f ca="1"/>
      </c>
      <c r="CC374">
        <f ca="1"/>
      </c>
      <c r="CD374">
        <f ca="1"/>
      </c>
      <c r="CE374">
        <f ca="1"/>
      </c>
      <c r="CF374">
        <f ca="1"/>
      </c>
      <c r="CG374">
        <f ca="1"/>
      </c>
      <c r="CH374">
        <f ca="1"/>
      </c>
      <c r="CI374">
        <f ca="1"/>
      </c>
      <c r="CK374">
        <f ca="1"/>
      </c>
      <c r="CL374">
        <f ca="1"/>
      </c>
      <c r="CM374">
        <f ca="1"/>
      </c>
      <c r="CN374">
        <f ca="1"/>
      </c>
      <c r="CO374">
        <f ca="1"/>
      </c>
      <c r="CP374">
        <f ca="1"/>
      </c>
      <c r="CQ374">
        <f ca="1"/>
      </c>
      <c r="CR374">
        <f ca="1"/>
      </c>
      <c r="CS374">
        <f ca="1"/>
      </c>
      <c r="CT374">
        <f ca="1"/>
      </c>
      <c r="CU374">
        <f ca="1"/>
      </c>
      <c r="CV374">
        <f ca="1"/>
      </c>
      <c r="CW374">
        <f ca="1"/>
      </c>
      <c r="CX374">
        <f ca="1"/>
      </c>
      <c r="CY374">
        <f ca="1"/>
      </c>
      <c r="CZ374">
        <f ca="1"/>
      </c>
      <c r="DA374">
        <f ca="1"/>
      </c>
      <c r="DB374">
        <f ca="1"/>
      </c>
      <c r="DC374">
        <f ca="1"/>
      </c>
      <c r="DD374">
        <f ca="1"/>
      </c>
      <c r="DE374">
        <f ca="1"/>
      </c>
      <c r="DF374">
        <f ca="1"/>
      </c>
      <c r="DG374">
        <f ca="1"/>
      </c>
      <c r="DH374">
        <f ca="1"/>
      </c>
      <c r="DI374">
        <f ca="1"/>
      </c>
      <c r="DJ374">
        <f ca="1"/>
      </c>
      <c r="DK374">
        <f ca="1"/>
      </c>
      <c r="DL374">
        <f ca="1"/>
      </c>
      <c r="DM374">
        <f ca="1"/>
      </c>
      <c r="DN374">
        <f ca="1"/>
      </c>
      <c r="DO374">
        <f ca="1"/>
      </c>
      <c r="DP374">
        <f ca="1"/>
      </c>
      <c r="DQ374">
        <f ca="1"/>
      </c>
      <c r="DR374">
        <f ca="1"/>
      </c>
      <c r="DS374">
        <f ca="1"/>
      </c>
      <c r="DT374">
        <f ca="1"/>
      </c>
      <c r="DU374">
        <f ca="1"/>
      </c>
      <c r="DV374">
        <f ca="1"/>
      </c>
      <c r="DW374">
        <f ca="1"/>
      </c>
      <c r="DX374">
        <f ca="1"/>
      </c>
      <c r="DY374">
        <f ca="1"/>
      </c>
      <c r="DZ374">
        <f ca="1"/>
      </c>
      <c r="EA374">
        <f ca="1"/>
      </c>
      <c r="EB374">
        <f ca="1"/>
      </c>
      <c r="EC374">
        <f ca="1"/>
      </c>
      <c r="ED374">
        <f ca="1"/>
      </c>
      <c r="EE374">
        <f ca="1"/>
      </c>
      <c r="EG374">
        <f ca="1"/>
      </c>
      <c r="EH374">
        <f ca="1"/>
      </c>
      <c r="EI374">
        <f ca="1"/>
      </c>
      <c r="EJ374">
        <f ca="1"/>
      </c>
      <c r="EK374">
        <f ca="1"/>
      </c>
      <c r="EL374">
        <f ca="1"/>
      </c>
      <c r="EM374">
        <f ca="1"/>
      </c>
      <c r="EN374">
        <f ca="1"/>
      </c>
      <c r="EO374">
        <f ca="1"/>
      </c>
      <c r="EP374">
        <f ca="1"/>
      </c>
      <c r="EQ374">
        <f ca="1"/>
      </c>
      <c r="ER374">
        <f ca="1"/>
      </c>
      <c r="ES374">
        <f ca="1"/>
      </c>
      <c r="ET374">
        <f ca="1"/>
      </c>
      <c r="EU374">
        <f ca="1"/>
      </c>
      <c r="EV374">
        <f ca="1"/>
      </c>
      <c r="EW374">
        <f ca="1"/>
      </c>
      <c r="EX374">
        <f ca="1"/>
      </c>
      <c r="EY374">
        <f ca="1"/>
      </c>
      <c r="EZ374">
        <f ca="1"/>
      </c>
      <c r="FA374">
        <f ca="1"/>
      </c>
      <c r="FB374">
        <f ca="1"/>
      </c>
      <c r="FC374">
        <f ca="1"/>
      </c>
      <c r="FD374">
        <f ca="1"/>
      </c>
      <c r="FE374">
        <f ca="1"/>
      </c>
      <c r="FF374">
        <f ca="1"/>
      </c>
      <c r="FG374">
        <f ca="1"/>
      </c>
      <c r="FH374">
        <f ca="1"/>
      </c>
      <c r="FI374">
        <f ca="1"/>
      </c>
      <c r="FJ374">
        <f ca="1"/>
      </c>
      <c r="FK374">
        <f ca="1"/>
      </c>
      <c r="FL374">
        <f ca="1"/>
      </c>
      <c r="FM374">
        <f ca="1"/>
      </c>
      <c r="FN374">
        <f ca="1"/>
      </c>
      <c r="FO374">
        <f ca="1"/>
      </c>
      <c r="FP374">
        <f ca="1"/>
      </c>
      <c r="FQ374">
        <f ca="1"/>
      </c>
      <c r="FR374">
        <f ca="1"/>
      </c>
      <c r="FS374">
        <f ca="1"/>
      </c>
      <c r="FT374">
        <f ca="1"/>
      </c>
      <c r="FU374">
        <f ca="1"/>
      </c>
      <c r="FV374">
        <f ca="1"/>
      </c>
      <c r="FW374">
        <f ca="1"/>
      </c>
      <c r="FX374">
        <f ca="1"/>
      </c>
      <c r="FY374">
        <f ca="1"/>
      </c>
      <c r="FZ374">
        <f ca="1"/>
      </c>
      <c r="GA374">
        <f ca="1"/>
      </c>
      <c r="GM374" s="7"/>
    </row>
    <row r="375" spans="41:195" x14ac:dyDescent="0.55000000000000004">
      <c r="AO375">
        <f ca="1"/>
      </c>
      <c r="AP375">
        <f ca="1"/>
      </c>
      <c r="AQ375">
        <f ca="1"/>
      </c>
      <c r="AR375">
        <f ca="1"/>
      </c>
      <c r="AS375">
        <f ca="1"/>
      </c>
      <c r="AT375">
        <f ca="1"/>
      </c>
      <c r="AU375">
        <f ca="1"/>
      </c>
      <c r="AV375">
        <f ca="1"/>
      </c>
      <c r="AW375">
        <f ca="1"/>
      </c>
      <c r="AX375">
        <f ca="1"/>
      </c>
      <c r="AY375">
        <f ca="1"/>
      </c>
      <c r="AZ375">
        <f ca="1"/>
      </c>
      <c r="BA375">
        <f ca="1"/>
      </c>
      <c r="BB375">
        <f ca="1"/>
      </c>
      <c r="BC375">
        <f ca="1"/>
      </c>
      <c r="BD375">
        <f ca="1"/>
      </c>
      <c r="BE375">
        <f ca="1"/>
      </c>
      <c r="BF375">
        <f ca="1"/>
      </c>
      <c r="BG375">
        <f ca="1"/>
      </c>
      <c r="BH375">
        <f ca="1"/>
      </c>
      <c r="BI375">
        <f ca="1"/>
      </c>
      <c r="BJ375">
        <f ca="1"/>
      </c>
      <c r="BK375">
        <f ca="1"/>
      </c>
      <c r="BL375">
        <f ca="1"/>
      </c>
      <c r="BM375">
        <f ca="1"/>
      </c>
      <c r="BN375">
        <f ca="1"/>
      </c>
      <c r="BO375">
        <f ca="1"/>
      </c>
      <c r="BP375">
        <f ca="1"/>
      </c>
      <c r="BQ375">
        <f ca="1"/>
      </c>
      <c r="BR375">
        <f ca="1"/>
      </c>
      <c r="BS375">
        <f ca="1"/>
      </c>
      <c r="BT375">
        <f ca="1"/>
      </c>
      <c r="BU375">
        <f ca="1"/>
      </c>
      <c r="BV375">
        <f ca="1"/>
      </c>
      <c r="BW375">
        <f ca="1"/>
      </c>
      <c r="BX375">
        <f ca="1"/>
      </c>
      <c r="BY375">
        <f ca="1"/>
      </c>
      <c r="BZ375">
        <f ca="1"/>
      </c>
      <c r="CA375">
        <f ca="1"/>
      </c>
      <c r="CB375">
        <f ca="1"/>
      </c>
      <c r="CC375">
        <f ca="1"/>
      </c>
      <c r="CD375">
        <f ca="1"/>
      </c>
      <c r="CE375">
        <f ca="1"/>
      </c>
      <c r="CF375">
        <f ca="1"/>
      </c>
      <c r="CG375">
        <f ca="1"/>
      </c>
      <c r="CH375">
        <f ca="1"/>
      </c>
      <c r="CI375">
        <f ca="1"/>
      </c>
      <c r="CK375">
        <f ca="1"/>
      </c>
      <c r="CL375">
        <f ca="1"/>
      </c>
      <c r="CM375">
        <f ca="1"/>
      </c>
      <c r="CN375">
        <f ca="1"/>
      </c>
      <c r="CO375">
        <f ca="1"/>
      </c>
      <c r="CP375">
        <f ca="1"/>
      </c>
      <c r="CQ375">
        <f ca="1"/>
      </c>
      <c r="CR375">
        <f ca="1"/>
      </c>
      <c r="CS375">
        <f ca="1"/>
      </c>
      <c r="CT375">
        <f ca="1"/>
      </c>
      <c r="CU375">
        <f ca="1"/>
      </c>
      <c r="CV375">
        <f ca="1"/>
      </c>
      <c r="CW375">
        <f ca="1"/>
      </c>
      <c r="CX375">
        <f ca="1"/>
      </c>
      <c r="CY375">
        <f ca="1"/>
      </c>
      <c r="CZ375">
        <f ca="1"/>
      </c>
      <c r="DA375">
        <f ca="1"/>
      </c>
      <c r="DB375">
        <f ca="1"/>
      </c>
      <c r="DC375">
        <f ca="1"/>
      </c>
      <c r="DD375">
        <f ca="1"/>
      </c>
      <c r="DE375">
        <f ca="1"/>
      </c>
      <c r="DF375">
        <f ca="1"/>
      </c>
      <c r="DG375">
        <f ca="1"/>
      </c>
      <c r="DH375">
        <f ca="1"/>
      </c>
      <c r="DI375">
        <f ca="1"/>
      </c>
      <c r="DJ375">
        <f ca="1"/>
      </c>
      <c r="DK375">
        <f ca="1"/>
      </c>
      <c r="DL375">
        <f ca="1"/>
      </c>
      <c r="DM375">
        <f ca="1"/>
      </c>
      <c r="DN375">
        <f ca="1"/>
      </c>
      <c r="DO375">
        <f ca="1"/>
      </c>
      <c r="DP375">
        <f ca="1"/>
      </c>
      <c r="DQ375">
        <f ca="1"/>
      </c>
      <c r="DR375">
        <f ca="1"/>
      </c>
      <c r="DS375">
        <f ca="1"/>
      </c>
      <c r="DT375">
        <f ca="1"/>
      </c>
      <c r="DU375">
        <f ca="1"/>
      </c>
      <c r="DV375">
        <f ca="1"/>
      </c>
      <c r="DW375">
        <f ca="1"/>
      </c>
      <c r="DX375">
        <f ca="1"/>
      </c>
      <c r="DY375">
        <f ca="1"/>
      </c>
      <c r="DZ375">
        <f ca="1"/>
      </c>
      <c r="EA375">
        <f ca="1"/>
      </c>
      <c r="EB375">
        <f ca="1"/>
      </c>
      <c r="EC375">
        <f ca="1"/>
      </c>
      <c r="ED375">
        <f ca="1"/>
      </c>
      <c r="EE375">
        <f ca="1"/>
      </c>
      <c r="EG375">
        <f ca="1"/>
      </c>
      <c r="EH375">
        <f ca="1"/>
      </c>
      <c r="EI375">
        <f ca="1"/>
      </c>
      <c r="EJ375">
        <f ca="1"/>
      </c>
      <c r="EK375">
        <f ca="1"/>
      </c>
      <c r="EL375">
        <f ca="1"/>
      </c>
      <c r="EM375">
        <f ca="1"/>
      </c>
      <c r="EN375">
        <f ca="1"/>
      </c>
      <c r="EO375">
        <f ca="1"/>
      </c>
      <c r="EP375">
        <f ca="1"/>
      </c>
      <c r="EQ375">
        <f ca="1"/>
      </c>
      <c r="ER375">
        <f ca="1"/>
      </c>
      <c r="ES375">
        <f ca="1"/>
      </c>
      <c r="ET375">
        <f ca="1"/>
      </c>
      <c r="EU375">
        <f ca="1"/>
      </c>
      <c r="EV375">
        <f ca="1"/>
      </c>
      <c r="EW375">
        <f ca="1"/>
      </c>
      <c r="EX375">
        <f ca="1"/>
      </c>
      <c r="EY375">
        <f ca="1"/>
      </c>
      <c r="EZ375">
        <f ca="1"/>
      </c>
      <c r="FA375">
        <f ca="1"/>
      </c>
      <c r="FB375">
        <f ca="1"/>
      </c>
      <c r="FC375">
        <f ca="1"/>
      </c>
      <c r="FD375">
        <f ca="1"/>
      </c>
      <c r="FE375">
        <f ca="1"/>
      </c>
      <c r="FF375">
        <f ca="1"/>
      </c>
      <c r="FG375">
        <f ca="1"/>
      </c>
      <c r="FH375">
        <f ca="1"/>
      </c>
      <c r="FI375">
        <f ca="1"/>
      </c>
      <c r="FJ375">
        <f ca="1"/>
      </c>
      <c r="FK375">
        <f ca="1"/>
      </c>
      <c r="FL375">
        <f ca="1"/>
      </c>
      <c r="FM375">
        <f ca="1"/>
      </c>
      <c r="FN375">
        <f ca="1"/>
      </c>
      <c r="FO375">
        <f ca="1"/>
      </c>
      <c r="FP375">
        <f ca="1"/>
      </c>
      <c r="FQ375">
        <f ca="1"/>
      </c>
      <c r="FR375">
        <f ca="1"/>
      </c>
      <c r="FS375">
        <f ca="1"/>
      </c>
      <c r="FT375">
        <f ca="1"/>
      </c>
      <c r="FU375">
        <f ca="1"/>
      </c>
      <c r="FV375">
        <f ca="1"/>
      </c>
      <c r="FW375">
        <f ca="1"/>
      </c>
      <c r="FX375">
        <f ca="1"/>
      </c>
      <c r="FY375">
        <f ca="1"/>
      </c>
      <c r="FZ375">
        <f ca="1"/>
      </c>
      <c r="GA375">
        <f ca="1"/>
      </c>
      <c r="GM375" s="7"/>
    </row>
    <row r="376" spans="41:195" x14ac:dyDescent="0.55000000000000004">
      <c r="AO376">
        <f ca="1"/>
      </c>
      <c r="AP376">
        <f ca="1"/>
      </c>
      <c r="AQ376">
        <f ca="1"/>
      </c>
      <c r="AR376">
        <f ca="1"/>
      </c>
      <c r="AS376">
        <f ca="1"/>
      </c>
      <c r="AT376">
        <f ca="1"/>
      </c>
      <c r="AU376">
        <f ca="1"/>
      </c>
      <c r="AV376">
        <f ca="1"/>
      </c>
      <c r="AW376">
        <f ca="1"/>
      </c>
      <c r="AX376">
        <f ca="1"/>
      </c>
      <c r="AY376">
        <f ca="1"/>
      </c>
      <c r="AZ376">
        <f ca="1"/>
      </c>
      <c r="BA376">
        <f ca="1"/>
      </c>
      <c r="BB376">
        <f ca="1"/>
      </c>
      <c r="BC376">
        <f ca="1"/>
      </c>
      <c r="BD376">
        <f ca="1"/>
      </c>
      <c r="BE376">
        <f ca="1"/>
      </c>
      <c r="BF376">
        <f ca="1"/>
      </c>
      <c r="BG376">
        <f ca="1"/>
      </c>
      <c r="BH376">
        <f ca="1"/>
      </c>
      <c r="BI376">
        <f ca="1"/>
      </c>
      <c r="BJ376">
        <f ca="1"/>
      </c>
      <c r="BK376">
        <f ca="1"/>
      </c>
      <c r="BL376">
        <f ca="1"/>
      </c>
      <c r="BM376">
        <f ca="1"/>
      </c>
      <c r="BN376">
        <f ca="1"/>
      </c>
      <c r="BO376">
        <f ca="1"/>
      </c>
      <c r="BP376">
        <f ca="1"/>
      </c>
      <c r="BQ376">
        <f ca="1"/>
      </c>
      <c r="BR376">
        <f ca="1"/>
      </c>
      <c r="BS376">
        <f ca="1"/>
      </c>
      <c r="BT376">
        <f ca="1"/>
      </c>
      <c r="BU376">
        <f ca="1"/>
      </c>
      <c r="BV376">
        <f ca="1"/>
      </c>
      <c r="BW376">
        <f ca="1"/>
      </c>
      <c r="BX376">
        <f ca="1"/>
      </c>
      <c r="BY376">
        <f ca="1"/>
      </c>
      <c r="BZ376">
        <f ca="1"/>
      </c>
      <c r="CA376">
        <f ca="1"/>
      </c>
      <c r="CB376">
        <f ca="1"/>
      </c>
      <c r="CC376">
        <f ca="1"/>
      </c>
      <c r="CD376">
        <f ca="1"/>
      </c>
      <c r="CE376">
        <f ca="1"/>
      </c>
      <c r="CF376">
        <f ca="1"/>
      </c>
      <c r="CG376">
        <f ca="1"/>
      </c>
      <c r="CH376">
        <f ca="1"/>
      </c>
      <c r="CI376">
        <f ca="1"/>
      </c>
      <c r="CK376">
        <f ca="1"/>
      </c>
      <c r="CL376">
        <f ca="1"/>
      </c>
      <c r="CM376">
        <f ca="1"/>
      </c>
      <c r="CN376">
        <f ca="1"/>
      </c>
      <c r="CO376">
        <f ca="1"/>
      </c>
      <c r="CP376">
        <f ca="1"/>
      </c>
      <c r="CQ376">
        <f ca="1"/>
      </c>
      <c r="CR376">
        <f ca="1"/>
      </c>
      <c r="CS376">
        <f ca="1"/>
      </c>
      <c r="CT376">
        <f ca="1"/>
      </c>
      <c r="CU376">
        <f ca="1"/>
      </c>
      <c r="CV376">
        <f ca="1"/>
      </c>
      <c r="CW376">
        <f ca="1"/>
      </c>
      <c r="CX376">
        <f ca="1"/>
      </c>
      <c r="CY376">
        <f ca="1"/>
      </c>
      <c r="CZ376">
        <f ca="1"/>
      </c>
      <c r="DA376">
        <f ca="1"/>
      </c>
      <c r="DB376">
        <f ca="1"/>
      </c>
      <c r="DC376">
        <f ca="1"/>
      </c>
      <c r="DD376">
        <f ca="1"/>
      </c>
      <c r="DE376">
        <f ca="1"/>
      </c>
      <c r="DF376">
        <f ca="1"/>
      </c>
      <c r="DG376">
        <f ca="1"/>
      </c>
      <c r="DH376">
        <f ca="1"/>
      </c>
      <c r="DI376">
        <f ca="1"/>
      </c>
      <c r="DJ376">
        <f ca="1"/>
      </c>
      <c r="DK376">
        <f ca="1"/>
      </c>
      <c r="DL376">
        <f ca="1"/>
      </c>
      <c r="DM376">
        <f ca="1"/>
      </c>
      <c r="DN376">
        <f ca="1"/>
      </c>
      <c r="DO376">
        <f ca="1"/>
      </c>
      <c r="DP376">
        <f ca="1"/>
      </c>
      <c r="DQ376">
        <f ca="1"/>
      </c>
      <c r="DR376">
        <f ca="1"/>
      </c>
      <c r="DS376">
        <f ca="1"/>
      </c>
      <c r="DT376">
        <f ca="1"/>
      </c>
      <c r="DU376">
        <f ca="1"/>
      </c>
      <c r="DV376">
        <f ca="1"/>
      </c>
      <c r="DW376">
        <f ca="1"/>
      </c>
      <c r="DX376">
        <f ca="1"/>
      </c>
      <c r="DY376">
        <f ca="1"/>
      </c>
      <c r="DZ376">
        <f ca="1"/>
      </c>
      <c r="EA376">
        <f ca="1"/>
      </c>
      <c r="EB376">
        <f ca="1"/>
      </c>
      <c r="EC376">
        <f ca="1"/>
      </c>
      <c r="ED376">
        <f ca="1"/>
      </c>
      <c r="EE376">
        <f ca="1"/>
      </c>
      <c r="EG376">
        <f ca="1"/>
      </c>
      <c r="EH376">
        <f ca="1"/>
      </c>
      <c r="EI376">
        <f ca="1"/>
      </c>
      <c r="EJ376">
        <f ca="1"/>
      </c>
      <c r="EK376">
        <f ca="1"/>
      </c>
      <c r="EL376">
        <f ca="1"/>
      </c>
      <c r="EM376">
        <f ca="1"/>
      </c>
      <c r="EN376">
        <f ca="1"/>
      </c>
      <c r="EO376">
        <f ca="1"/>
      </c>
      <c r="EP376">
        <f ca="1"/>
      </c>
      <c r="EQ376">
        <f ca="1"/>
      </c>
      <c r="ER376">
        <f ca="1"/>
      </c>
      <c r="ES376">
        <f ca="1"/>
      </c>
      <c r="ET376">
        <f ca="1"/>
      </c>
      <c r="EU376">
        <f ca="1"/>
      </c>
      <c r="EV376">
        <f ca="1"/>
      </c>
      <c r="EW376">
        <f ca="1"/>
      </c>
      <c r="EX376">
        <f ca="1"/>
      </c>
      <c r="EY376">
        <f ca="1"/>
      </c>
      <c r="EZ376">
        <f ca="1"/>
      </c>
      <c r="FA376">
        <f ca="1"/>
      </c>
      <c r="FB376">
        <f ca="1"/>
      </c>
      <c r="FC376">
        <f ca="1"/>
      </c>
      <c r="FD376">
        <f ca="1"/>
      </c>
      <c r="FE376">
        <f ca="1"/>
      </c>
      <c r="FF376">
        <f ca="1"/>
      </c>
      <c r="FG376">
        <f ca="1"/>
      </c>
      <c r="FH376">
        <f ca="1"/>
      </c>
      <c r="FI376">
        <f ca="1"/>
      </c>
      <c r="FJ376">
        <f ca="1"/>
      </c>
      <c r="FK376">
        <f ca="1"/>
      </c>
      <c r="FL376">
        <f ca="1"/>
      </c>
      <c r="FM376">
        <f ca="1"/>
      </c>
      <c r="FN376">
        <f ca="1"/>
      </c>
      <c r="FO376">
        <f ca="1"/>
      </c>
      <c r="FP376">
        <f ca="1"/>
      </c>
      <c r="FQ376">
        <f ca="1"/>
      </c>
      <c r="FR376">
        <f ca="1"/>
      </c>
      <c r="FS376">
        <f ca="1"/>
      </c>
      <c r="FT376">
        <f ca="1"/>
      </c>
      <c r="FU376">
        <f ca="1"/>
      </c>
      <c r="FV376">
        <f ca="1"/>
      </c>
      <c r="FW376">
        <f ca="1"/>
      </c>
      <c r="FX376">
        <f ca="1"/>
      </c>
      <c r="FY376">
        <f ca="1"/>
      </c>
      <c r="FZ376">
        <f ca="1"/>
      </c>
      <c r="GA376">
        <f ca="1"/>
      </c>
      <c r="GM376" s="7"/>
    </row>
    <row r="377" spans="41:195" x14ac:dyDescent="0.55000000000000004">
      <c r="AO377">
        <f ca="1"/>
      </c>
      <c r="AP377">
        <f ca="1"/>
      </c>
      <c r="AQ377">
        <f ca="1"/>
      </c>
      <c r="AR377">
        <f ca="1"/>
      </c>
      <c r="AS377">
        <f ca="1"/>
      </c>
      <c r="AT377">
        <f ca="1"/>
      </c>
      <c r="AU377">
        <f ca="1"/>
      </c>
      <c r="AV377">
        <f ca="1"/>
      </c>
      <c r="AW377">
        <f ca="1"/>
      </c>
      <c r="AX377">
        <f ca="1"/>
      </c>
      <c r="AY377">
        <f ca="1"/>
      </c>
      <c r="AZ377">
        <f ca="1"/>
      </c>
      <c r="BA377">
        <f ca="1"/>
      </c>
      <c r="BB377">
        <f ca="1"/>
      </c>
      <c r="BC377">
        <f ca="1"/>
      </c>
      <c r="BD377">
        <f ca="1"/>
      </c>
      <c r="BE377">
        <f ca="1"/>
      </c>
      <c r="BF377">
        <f ca="1"/>
      </c>
      <c r="BG377">
        <f ca="1"/>
      </c>
      <c r="BH377">
        <f ca="1"/>
      </c>
      <c r="BI377">
        <f ca="1"/>
      </c>
      <c r="BJ377">
        <f ca="1"/>
      </c>
      <c r="BK377">
        <f ca="1"/>
      </c>
      <c r="BL377">
        <f ca="1"/>
      </c>
      <c r="BM377">
        <f ca="1"/>
      </c>
      <c r="BN377">
        <f ca="1"/>
      </c>
      <c r="BO377">
        <f ca="1"/>
      </c>
      <c r="BP377">
        <f ca="1"/>
      </c>
      <c r="BQ377">
        <f ca="1"/>
      </c>
      <c r="BR377">
        <f ca="1"/>
      </c>
      <c r="BS377">
        <f ca="1"/>
      </c>
      <c r="BT377">
        <f ca="1"/>
      </c>
      <c r="BU377">
        <f ca="1"/>
      </c>
      <c r="BV377">
        <f ca="1"/>
      </c>
      <c r="BW377">
        <f ca="1"/>
      </c>
      <c r="BX377">
        <f ca="1"/>
      </c>
      <c r="BY377">
        <f ca="1"/>
      </c>
      <c r="BZ377">
        <f ca="1"/>
      </c>
      <c r="CA377">
        <f ca="1"/>
      </c>
      <c r="CB377">
        <f ca="1"/>
      </c>
      <c r="CC377">
        <f ca="1"/>
      </c>
      <c r="CD377">
        <f ca="1"/>
      </c>
      <c r="CE377">
        <f ca="1"/>
      </c>
      <c r="CF377">
        <f ca="1"/>
      </c>
      <c r="CG377">
        <f ca="1"/>
      </c>
      <c r="CH377">
        <f ca="1"/>
      </c>
      <c r="CI377">
        <f ca="1"/>
      </c>
      <c r="CK377">
        <f ca="1"/>
      </c>
      <c r="CL377">
        <f ca="1"/>
      </c>
      <c r="CM377">
        <f ca="1"/>
      </c>
      <c r="CN377">
        <f ca="1"/>
      </c>
      <c r="CO377">
        <f ca="1"/>
      </c>
      <c r="CP377">
        <f ca="1"/>
      </c>
      <c r="CQ377">
        <f ca="1"/>
      </c>
      <c r="CR377">
        <f ca="1"/>
      </c>
      <c r="CS377">
        <f ca="1"/>
      </c>
      <c r="CT377">
        <f ca="1"/>
      </c>
      <c r="CU377">
        <f ca="1"/>
      </c>
      <c r="CV377">
        <f ca="1"/>
      </c>
      <c r="CW377">
        <f ca="1"/>
      </c>
      <c r="CX377">
        <f ca="1"/>
      </c>
      <c r="CY377">
        <f ca="1"/>
      </c>
      <c r="CZ377">
        <f ca="1"/>
      </c>
      <c r="DA377">
        <f ca="1"/>
      </c>
      <c r="DB377">
        <f ca="1"/>
      </c>
      <c r="DC377">
        <f ca="1"/>
      </c>
      <c r="DD377">
        <f ca="1"/>
      </c>
      <c r="DE377">
        <f ca="1"/>
      </c>
      <c r="DF377">
        <f ca="1"/>
      </c>
      <c r="DG377">
        <f ca="1"/>
      </c>
      <c r="DH377">
        <f ca="1"/>
      </c>
      <c r="DI377">
        <f ca="1"/>
      </c>
      <c r="DJ377">
        <f ca="1"/>
      </c>
      <c r="DK377">
        <f ca="1"/>
      </c>
      <c r="DL377">
        <f ca="1"/>
      </c>
      <c r="DM377">
        <f ca="1"/>
      </c>
      <c r="DN377">
        <f ca="1"/>
      </c>
      <c r="DO377">
        <f ca="1"/>
      </c>
      <c r="DP377">
        <f ca="1"/>
      </c>
      <c r="DQ377">
        <f ca="1"/>
      </c>
      <c r="DR377">
        <f ca="1"/>
      </c>
      <c r="DS377">
        <f ca="1"/>
      </c>
      <c r="DT377">
        <f ca="1"/>
      </c>
      <c r="DU377">
        <f ca="1"/>
      </c>
      <c r="DV377">
        <f ca="1"/>
      </c>
      <c r="DW377">
        <f ca="1"/>
      </c>
      <c r="DX377">
        <f ca="1"/>
      </c>
      <c r="DY377">
        <f ca="1"/>
      </c>
      <c r="DZ377">
        <f ca="1"/>
      </c>
      <c r="EA377">
        <f ca="1"/>
      </c>
      <c r="EB377">
        <f ca="1"/>
      </c>
      <c r="EC377">
        <f ca="1"/>
      </c>
      <c r="ED377">
        <f ca="1"/>
      </c>
      <c r="EE377">
        <f ca="1"/>
      </c>
      <c r="EG377">
        <f ca="1"/>
      </c>
      <c r="EH377">
        <f ca="1"/>
      </c>
      <c r="EI377">
        <f ca="1"/>
      </c>
      <c r="EJ377">
        <f ca="1"/>
      </c>
      <c r="EK377">
        <f ca="1"/>
      </c>
      <c r="EL377">
        <f ca="1"/>
      </c>
      <c r="EM377">
        <f ca="1"/>
      </c>
      <c r="EN377">
        <f ca="1"/>
      </c>
      <c r="EO377">
        <f ca="1"/>
      </c>
      <c r="EP377">
        <f ca="1"/>
      </c>
      <c r="EQ377">
        <f ca="1"/>
      </c>
      <c r="ER377">
        <f ca="1"/>
      </c>
      <c r="ES377">
        <f ca="1"/>
      </c>
      <c r="ET377">
        <f ca="1"/>
      </c>
      <c r="EU377">
        <f ca="1"/>
      </c>
      <c r="EV377">
        <f ca="1"/>
      </c>
      <c r="EW377">
        <f ca="1"/>
      </c>
      <c r="EX377">
        <f ca="1"/>
      </c>
      <c r="EY377">
        <f ca="1"/>
      </c>
      <c r="EZ377">
        <f ca="1"/>
      </c>
      <c r="FA377">
        <f ca="1"/>
      </c>
      <c r="FB377">
        <f ca="1"/>
      </c>
      <c r="FC377">
        <f ca="1"/>
      </c>
      <c r="FD377">
        <f ca="1"/>
      </c>
      <c r="FE377">
        <f ca="1"/>
      </c>
      <c r="FF377">
        <f ca="1"/>
      </c>
      <c r="FG377">
        <f ca="1"/>
      </c>
      <c r="FH377">
        <f ca="1"/>
      </c>
      <c r="FI377">
        <f ca="1"/>
      </c>
      <c r="FJ377">
        <f ca="1"/>
      </c>
      <c r="FK377">
        <f ca="1"/>
      </c>
      <c r="FL377">
        <f ca="1"/>
      </c>
      <c r="FM377">
        <f ca="1"/>
      </c>
      <c r="FN377">
        <f ca="1"/>
      </c>
      <c r="FO377">
        <f ca="1"/>
      </c>
      <c r="FP377">
        <f ca="1"/>
      </c>
      <c r="FQ377">
        <f ca="1"/>
      </c>
      <c r="FR377">
        <f ca="1"/>
      </c>
      <c r="FS377">
        <f ca="1"/>
      </c>
      <c r="FT377">
        <f ca="1"/>
      </c>
      <c r="FU377">
        <f ca="1"/>
      </c>
      <c r="FV377">
        <f ca="1"/>
      </c>
      <c r="FW377">
        <f ca="1"/>
      </c>
      <c r="FX377">
        <f ca="1"/>
      </c>
      <c r="FY377">
        <f ca="1"/>
      </c>
      <c r="FZ377">
        <f ca="1"/>
      </c>
      <c r="GA377">
        <f ca="1"/>
      </c>
      <c r="GM377" s="7"/>
    </row>
    <row r="378" spans="41:195" x14ac:dyDescent="0.55000000000000004">
      <c r="AO378">
        <f ca="1"/>
      </c>
      <c r="AP378">
        <f ca="1"/>
      </c>
      <c r="AQ378">
        <f ca="1"/>
      </c>
      <c r="AR378">
        <f ca="1"/>
      </c>
      <c r="AS378">
        <f ca="1"/>
      </c>
      <c r="AT378">
        <f ca="1"/>
      </c>
      <c r="AU378">
        <f ca="1"/>
      </c>
      <c r="AV378">
        <f ca="1"/>
      </c>
      <c r="AW378">
        <f ca="1"/>
      </c>
      <c r="AX378">
        <f ca="1"/>
      </c>
      <c r="AY378">
        <f ca="1"/>
      </c>
      <c r="AZ378">
        <f ca="1"/>
      </c>
      <c r="BA378">
        <f ca="1"/>
      </c>
      <c r="BB378">
        <f ca="1"/>
      </c>
      <c r="BC378">
        <f ca="1"/>
      </c>
      <c r="BD378">
        <f ca="1"/>
      </c>
      <c r="BE378">
        <f ca="1"/>
      </c>
      <c r="BF378">
        <f ca="1"/>
      </c>
      <c r="BG378">
        <f ca="1"/>
      </c>
      <c r="BH378">
        <f ca="1"/>
      </c>
      <c r="BI378">
        <f ca="1"/>
      </c>
      <c r="BJ378">
        <f ca="1"/>
      </c>
      <c r="BK378">
        <f ca="1"/>
      </c>
      <c r="BL378">
        <f ca="1"/>
      </c>
      <c r="BM378">
        <f ca="1"/>
      </c>
      <c r="BN378">
        <f ca="1"/>
      </c>
      <c r="BO378">
        <f ca="1"/>
      </c>
      <c r="BP378">
        <f ca="1"/>
      </c>
      <c r="BQ378">
        <f ca="1"/>
      </c>
      <c r="BR378">
        <f ca="1"/>
      </c>
      <c r="BS378">
        <f ca="1"/>
      </c>
      <c r="BT378">
        <f ca="1"/>
      </c>
      <c r="BU378">
        <f ca="1"/>
      </c>
      <c r="BV378">
        <f ca="1"/>
      </c>
      <c r="BW378">
        <f ca="1"/>
      </c>
      <c r="BX378">
        <f ca="1"/>
      </c>
      <c r="BY378">
        <f ca="1"/>
      </c>
      <c r="BZ378">
        <f ca="1"/>
      </c>
      <c r="CA378">
        <f ca="1"/>
      </c>
      <c r="CB378">
        <f ca="1"/>
      </c>
      <c r="CC378">
        <f ca="1"/>
      </c>
      <c r="CD378">
        <f ca="1"/>
      </c>
      <c r="CE378">
        <f ca="1"/>
      </c>
      <c r="CF378">
        <f ca="1"/>
      </c>
      <c r="CG378">
        <f ca="1"/>
      </c>
      <c r="CH378">
        <f ca="1"/>
      </c>
      <c r="CI378">
        <f ca="1"/>
      </c>
      <c r="CK378">
        <f ca="1"/>
      </c>
      <c r="CL378">
        <f ca="1"/>
      </c>
      <c r="CM378">
        <f ca="1"/>
      </c>
      <c r="CN378">
        <f ca="1"/>
      </c>
      <c r="CO378">
        <f ca="1"/>
      </c>
      <c r="CP378">
        <f ca="1"/>
      </c>
      <c r="CQ378">
        <f ca="1"/>
      </c>
      <c r="CR378">
        <f ca="1"/>
      </c>
      <c r="CS378">
        <f ca="1"/>
      </c>
      <c r="CT378">
        <f ca="1"/>
      </c>
      <c r="CU378">
        <f ca="1"/>
      </c>
      <c r="CV378">
        <f ca="1"/>
      </c>
      <c r="CW378">
        <f ca="1"/>
      </c>
      <c r="CX378">
        <f ca="1"/>
      </c>
      <c r="CY378">
        <f ca="1"/>
      </c>
      <c r="CZ378">
        <f ca="1"/>
      </c>
      <c r="DA378">
        <f ca="1"/>
      </c>
      <c r="DB378">
        <f ca="1"/>
      </c>
      <c r="DC378">
        <f ca="1"/>
      </c>
      <c r="DD378">
        <f ca="1"/>
      </c>
      <c r="DE378">
        <f ca="1"/>
      </c>
      <c r="DF378">
        <f ca="1"/>
      </c>
      <c r="DG378">
        <f ca="1"/>
      </c>
      <c r="DH378">
        <f ca="1"/>
      </c>
      <c r="DI378">
        <f ca="1"/>
      </c>
      <c r="DJ378">
        <f ca="1"/>
      </c>
      <c r="DK378">
        <f ca="1"/>
      </c>
      <c r="DL378">
        <f ca="1"/>
      </c>
      <c r="DM378">
        <f ca="1"/>
      </c>
      <c r="DN378">
        <f ca="1"/>
      </c>
      <c r="DO378">
        <f ca="1"/>
      </c>
      <c r="DP378">
        <f ca="1"/>
      </c>
      <c r="DQ378">
        <f ca="1"/>
      </c>
      <c r="DR378">
        <f ca="1"/>
      </c>
      <c r="DS378">
        <f ca="1"/>
      </c>
      <c r="DT378">
        <f ca="1"/>
      </c>
      <c r="DU378">
        <f ca="1"/>
      </c>
      <c r="DV378">
        <f ca="1"/>
      </c>
      <c r="DW378">
        <f ca="1"/>
      </c>
      <c r="DX378">
        <f ca="1"/>
      </c>
      <c r="DY378">
        <f ca="1"/>
      </c>
      <c r="DZ378">
        <f ca="1"/>
      </c>
      <c r="EA378">
        <f ca="1"/>
      </c>
      <c r="EB378">
        <f ca="1"/>
      </c>
      <c r="EC378">
        <f ca="1"/>
      </c>
      <c r="ED378">
        <f ca="1"/>
      </c>
      <c r="EE378">
        <f ca="1"/>
      </c>
      <c r="EG378">
        <f ca="1"/>
      </c>
      <c r="EH378">
        <f ca="1"/>
      </c>
      <c r="EI378">
        <f ca="1"/>
      </c>
      <c r="EJ378">
        <f ca="1"/>
      </c>
      <c r="EK378">
        <f ca="1"/>
      </c>
      <c r="EL378">
        <f ca="1"/>
      </c>
      <c r="EM378">
        <f ca="1"/>
      </c>
      <c r="EN378">
        <f ca="1"/>
      </c>
      <c r="EO378">
        <f ca="1"/>
      </c>
      <c r="EP378">
        <f ca="1"/>
      </c>
      <c r="EQ378">
        <f ca="1"/>
      </c>
      <c r="ER378">
        <f ca="1"/>
      </c>
      <c r="ES378">
        <f ca="1"/>
      </c>
      <c r="ET378">
        <f ca="1"/>
      </c>
      <c r="EU378">
        <f ca="1"/>
      </c>
      <c r="EV378">
        <f ca="1"/>
      </c>
      <c r="EW378">
        <f ca="1"/>
      </c>
      <c r="EX378">
        <f ca="1"/>
      </c>
      <c r="EY378">
        <f ca="1"/>
      </c>
      <c r="EZ378">
        <f ca="1"/>
      </c>
      <c r="FA378">
        <f ca="1"/>
      </c>
      <c r="FB378">
        <f ca="1"/>
      </c>
      <c r="FC378">
        <f ca="1"/>
      </c>
      <c r="FD378">
        <f ca="1"/>
      </c>
      <c r="FE378">
        <f ca="1"/>
      </c>
      <c r="FF378">
        <f ca="1"/>
      </c>
      <c r="FG378">
        <f ca="1"/>
      </c>
      <c r="FH378">
        <f ca="1"/>
      </c>
      <c r="FI378">
        <f ca="1"/>
      </c>
      <c r="FJ378">
        <f ca="1"/>
      </c>
      <c r="FK378">
        <f ca="1"/>
      </c>
      <c r="FL378">
        <f ca="1"/>
      </c>
      <c r="FM378">
        <f ca="1"/>
      </c>
      <c r="FN378">
        <f ca="1"/>
      </c>
      <c r="FO378">
        <f ca="1"/>
      </c>
      <c r="FP378">
        <f ca="1"/>
      </c>
      <c r="FQ378">
        <f ca="1"/>
      </c>
      <c r="FR378">
        <f ca="1"/>
      </c>
      <c r="FS378">
        <f ca="1"/>
      </c>
      <c r="FT378">
        <f ca="1"/>
      </c>
      <c r="FU378">
        <f ca="1"/>
      </c>
      <c r="FV378">
        <f ca="1"/>
      </c>
      <c r="FW378">
        <f ca="1"/>
      </c>
      <c r="FX378">
        <f ca="1"/>
      </c>
      <c r="FY378">
        <f ca="1"/>
      </c>
      <c r="FZ378">
        <f ca="1"/>
      </c>
      <c r="GA378">
        <f ca="1"/>
      </c>
      <c r="GM378" s="7"/>
    </row>
    <row r="379" spans="41:195" x14ac:dyDescent="0.55000000000000004">
      <c r="AO379">
        <f ca="1"/>
      </c>
      <c r="AP379">
        <f ca="1"/>
      </c>
      <c r="AQ379">
        <f ca="1"/>
      </c>
      <c r="AR379">
        <f ca="1"/>
      </c>
      <c r="AS379">
        <f ca="1"/>
      </c>
      <c r="AT379">
        <f ca="1"/>
      </c>
      <c r="AU379">
        <f ca="1"/>
      </c>
      <c r="AV379">
        <f ca="1"/>
      </c>
      <c r="AW379">
        <f ca="1"/>
      </c>
      <c r="AX379">
        <f ca="1"/>
      </c>
      <c r="AY379">
        <f ca="1"/>
      </c>
      <c r="AZ379">
        <f ca="1"/>
      </c>
      <c r="BA379">
        <f ca="1"/>
      </c>
      <c r="BB379">
        <f ca="1"/>
      </c>
      <c r="BC379">
        <f ca="1"/>
      </c>
      <c r="BD379">
        <f ca="1"/>
      </c>
      <c r="BE379">
        <f ca="1"/>
      </c>
      <c r="BF379">
        <f ca="1"/>
      </c>
      <c r="BG379">
        <f ca="1"/>
      </c>
      <c r="BH379">
        <f ca="1"/>
      </c>
      <c r="BI379">
        <f ca="1"/>
      </c>
      <c r="BJ379">
        <f ca="1"/>
      </c>
      <c r="BK379">
        <f ca="1"/>
      </c>
      <c r="BL379">
        <f ca="1"/>
      </c>
      <c r="BM379">
        <f ca="1"/>
      </c>
      <c r="BN379">
        <f ca="1"/>
      </c>
      <c r="BO379">
        <f ca="1"/>
      </c>
      <c r="BP379">
        <f ca="1"/>
      </c>
      <c r="BQ379">
        <f ca="1"/>
      </c>
      <c r="BR379">
        <f ca="1"/>
      </c>
      <c r="BS379">
        <f ca="1"/>
      </c>
      <c r="BT379">
        <f ca="1"/>
      </c>
      <c r="BU379">
        <f ca="1"/>
      </c>
      <c r="BV379">
        <f ca="1"/>
      </c>
      <c r="BW379">
        <f ca="1"/>
      </c>
      <c r="BX379">
        <f ca="1"/>
      </c>
      <c r="BY379">
        <f ca="1"/>
      </c>
      <c r="BZ379">
        <f ca="1"/>
      </c>
      <c r="CA379">
        <f ca="1"/>
      </c>
      <c r="CB379">
        <f ca="1"/>
      </c>
      <c r="CC379">
        <f ca="1"/>
      </c>
      <c r="CD379">
        <f ca="1"/>
      </c>
      <c r="CE379">
        <f ca="1"/>
      </c>
      <c r="CF379">
        <f ca="1"/>
      </c>
      <c r="CG379">
        <f ca="1"/>
      </c>
      <c r="CH379">
        <f ca="1"/>
      </c>
      <c r="CI379">
        <f ca="1"/>
      </c>
      <c r="CK379">
        <f ca="1"/>
      </c>
      <c r="CL379">
        <f ca="1"/>
      </c>
      <c r="CM379">
        <f ca="1"/>
      </c>
      <c r="CN379">
        <f ca="1"/>
      </c>
      <c r="CO379">
        <f ca="1"/>
      </c>
      <c r="CP379">
        <f ca="1"/>
      </c>
      <c r="CQ379">
        <f ca="1"/>
      </c>
      <c r="CR379">
        <f ca="1"/>
      </c>
      <c r="CS379">
        <f ca="1"/>
      </c>
      <c r="CT379">
        <f ca="1"/>
      </c>
      <c r="CU379">
        <f ca="1"/>
      </c>
      <c r="CV379">
        <f ca="1"/>
      </c>
      <c r="CW379">
        <f ca="1"/>
      </c>
      <c r="CX379">
        <f ca="1"/>
      </c>
      <c r="CY379">
        <f ca="1"/>
      </c>
      <c r="CZ379">
        <f ca="1"/>
      </c>
      <c r="DA379">
        <f ca="1"/>
      </c>
      <c r="DB379">
        <f ca="1"/>
      </c>
      <c r="DC379">
        <f ca="1"/>
      </c>
      <c r="DD379">
        <f ca="1"/>
      </c>
      <c r="DE379">
        <f ca="1"/>
      </c>
      <c r="DF379">
        <f ca="1"/>
      </c>
      <c r="DG379">
        <f ca="1"/>
      </c>
      <c r="DH379">
        <f ca="1"/>
      </c>
      <c r="DI379">
        <f ca="1"/>
      </c>
      <c r="DJ379">
        <f ca="1"/>
      </c>
      <c r="DK379">
        <f ca="1"/>
      </c>
      <c r="DL379">
        <f ca="1"/>
      </c>
      <c r="DM379">
        <f ca="1"/>
      </c>
      <c r="DN379">
        <f ca="1"/>
      </c>
      <c r="DO379">
        <f ca="1"/>
      </c>
      <c r="DP379">
        <f ca="1"/>
      </c>
      <c r="DQ379">
        <f ca="1"/>
      </c>
      <c r="DR379">
        <f ca="1"/>
      </c>
      <c r="DS379">
        <f ca="1"/>
      </c>
      <c r="DT379">
        <f ca="1"/>
      </c>
      <c r="DU379">
        <f ca="1"/>
      </c>
      <c r="DV379">
        <f ca="1"/>
      </c>
      <c r="DW379">
        <f ca="1"/>
      </c>
      <c r="DX379">
        <f ca="1"/>
      </c>
      <c r="DY379">
        <f ca="1"/>
      </c>
      <c r="DZ379">
        <f ca="1"/>
      </c>
      <c r="EA379">
        <f ca="1"/>
      </c>
      <c r="EB379">
        <f ca="1"/>
      </c>
      <c r="EC379">
        <f ca="1"/>
      </c>
      <c r="ED379">
        <f ca="1"/>
      </c>
      <c r="EE379">
        <f ca="1"/>
      </c>
      <c r="EG379">
        <f ca="1"/>
      </c>
      <c r="EH379">
        <f ca="1"/>
      </c>
      <c r="EI379">
        <f ca="1"/>
      </c>
      <c r="EJ379">
        <f ca="1"/>
      </c>
      <c r="EK379">
        <f ca="1"/>
      </c>
      <c r="EL379">
        <f ca="1"/>
      </c>
      <c r="EM379">
        <f ca="1"/>
      </c>
      <c r="EN379">
        <f ca="1"/>
      </c>
      <c r="EO379">
        <f ca="1"/>
      </c>
      <c r="EP379">
        <f ca="1"/>
      </c>
      <c r="EQ379">
        <f ca="1"/>
      </c>
      <c r="ER379">
        <f ca="1"/>
      </c>
      <c r="ES379">
        <f ca="1"/>
      </c>
      <c r="ET379">
        <f ca="1"/>
      </c>
      <c r="EU379">
        <f ca="1"/>
      </c>
      <c r="EV379">
        <f ca="1"/>
      </c>
      <c r="EW379">
        <f ca="1"/>
      </c>
      <c r="EX379">
        <f ca="1"/>
      </c>
      <c r="EY379">
        <f ca="1"/>
      </c>
      <c r="EZ379">
        <f ca="1"/>
      </c>
      <c r="FA379">
        <f ca="1"/>
      </c>
      <c r="FB379">
        <f ca="1"/>
      </c>
      <c r="FC379">
        <f ca="1"/>
      </c>
      <c r="FD379">
        <f ca="1"/>
      </c>
      <c r="FE379">
        <f ca="1"/>
      </c>
      <c r="FF379">
        <f ca="1"/>
      </c>
      <c r="FG379">
        <f ca="1"/>
      </c>
      <c r="FH379">
        <f ca="1"/>
      </c>
      <c r="FI379">
        <f ca="1"/>
      </c>
      <c r="FJ379">
        <f ca="1"/>
      </c>
      <c r="FK379">
        <f ca="1"/>
      </c>
      <c r="FL379">
        <f ca="1"/>
      </c>
      <c r="FM379">
        <f ca="1"/>
      </c>
      <c r="FN379">
        <f ca="1"/>
      </c>
      <c r="FO379">
        <f ca="1"/>
      </c>
      <c r="FP379">
        <f ca="1"/>
      </c>
      <c r="FQ379">
        <f ca="1"/>
      </c>
      <c r="FR379">
        <f ca="1"/>
      </c>
      <c r="FS379">
        <f ca="1"/>
      </c>
      <c r="FT379">
        <f ca="1"/>
      </c>
      <c r="FU379">
        <f ca="1"/>
      </c>
      <c r="FV379">
        <f ca="1"/>
      </c>
      <c r="FW379">
        <f ca="1"/>
      </c>
      <c r="FX379">
        <f ca="1"/>
      </c>
      <c r="FY379">
        <f ca="1"/>
      </c>
      <c r="FZ379">
        <f ca="1"/>
      </c>
      <c r="GA379">
        <f ca="1"/>
      </c>
      <c r="GM379" s="7"/>
    </row>
    <row r="380" spans="41:195" x14ac:dyDescent="0.55000000000000004">
      <c r="AO380">
        <f ca="1"/>
      </c>
      <c r="AP380">
        <f ca="1"/>
      </c>
      <c r="AQ380">
        <f ca="1"/>
      </c>
      <c r="AR380">
        <f ca="1"/>
      </c>
      <c r="AS380">
        <f ca="1"/>
      </c>
      <c r="AT380">
        <f ca="1"/>
      </c>
      <c r="AU380">
        <f ca="1"/>
      </c>
      <c r="AV380">
        <f ca="1"/>
      </c>
      <c r="AW380">
        <f ca="1"/>
      </c>
      <c r="AX380">
        <f ca="1"/>
      </c>
      <c r="AY380">
        <f ca="1"/>
      </c>
      <c r="AZ380">
        <f ca="1"/>
      </c>
      <c r="BA380">
        <f ca="1"/>
      </c>
      <c r="BB380">
        <f ca="1"/>
      </c>
      <c r="BC380">
        <f ca="1"/>
      </c>
      <c r="BD380">
        <f ca="1"/>
      </c>
      <c r="BE380">
        <f ca="1"/>
      </c>
      <c r="BF380">
        <f ca="1"/>
      </c>
      <c r="BG380">
        <f ca="1"/>
      </c>
      <c r="BH380">
        <f ca="1"/>
      </c>
      <c r="BI380">
        <f ca="1"/>
      </c>
      <c r="BJ380">
        <f ca="1"/>
      </c>
      <c r="BK380">
        <f ca="1"/>
      </c>
      <c r="BL380">
        <f ca="1"/>
      </c>
      <c r="BM380">
        <f ca="1"/>
      </c>
      <c r="BN380">
        <f ca="1"/>
      </c>
      <c r="BO380">
        <f ca="1"/>
      </c>
      <c r="BP380">
        <f ca="1"/>
      </c>
      <c r="BQ380">
        <f ca="1"/>
      </c>
      <c r="BR380">
        <f ca="1"/>
      </c>
      <c r="BS380">
        <f ca="1"/>
      </c>
      <c r="BT380">
        <f ca="1"/>
      </c>
      <c r="BU380">
        <f ca="1"/>
      </c>
      <c r="BV380">
        <f ca="1"/>
      </c>
      <c r="BW380">
        <f ca="1"/>
      </c>
      <c r="BX380">
        <f ca="1"/>
      </c>
      <c r="BY380">
        <f ca="1"/>
      </c>
      <c r="BZ380">
        <f ca="1"/>
      </c>
      <c r="CA380">
        <f ca="1"/>
      </c>
      <c r="CB380">
        <f ca="1"/>
      </c>
      <c r="CC380">
        <f ca="1"/>
      </c>
      <c r="CD380">
        <f ca="1"/>
      </c>
      <c r="CE380">
        <f ca="1"/>
      </c>
      <c r="CF380">
        <f ca="1"/>
      </c>
      <c r="CG380">
        <f ca="1"/>
      </c>
      <c r="CH380">
        <f ca="1"/>
      </c>
      <c r="CI380">
        <f ca="1"/>
      </c>
      <c r="CK380">
        <f ca="1"/>
      </c>
      <c r="CL380">
        <f ca="1"/>
      </c>
      <c r="CM380">
        <f ca="1"/>
      </c>
      <c r="CN380">
        <f ca="1"/>
      </c>
      <c r="CO380">
        <f ca="1"/>
      </c>
      <c r="CP380">
        <f ca="1"/>
      </c>
      <c r="CQ380">
        <f ca="1"/>
      </c>
      <c r="CR380">
        <f ca="1"/>
      </c>
      <c r="CS380">
        <f ca="1"/>
      </c>
      <c r="CT380">
        <f ca="1"/>
      </c>
      <c r="CU380">
        <f ca="1"/>
      </c>
      <c r="CV380">
        <f ca="1"/>
      </c>
      <c r="CW380">
        <f ca="1"/>
      </c>
      <c r="CX380">
        <f ca="1"/>
      </c>
      <c r="CY380">
        <f ca="1"/>
      </c>
      <c r="CZ380">
        <f ca="1"/>
      </c>
      <c r="DA380">
        <f ca="1"/>
      </c>
      <c r="DB380">
        <f ca="1"/>
      </c>
      <c r="DC380">
        <f ca="1"/>
      </c>
      <c r="DD380">
        <f ca="1"/>
      </c>
      <c r="DE380">
        <f ca="1"/>
      </c>
      <c r="DF380">
        <f ca="1"/>
      </c>
      <c r="DG380">
        <f ca="1"/>
      </c>
      <c r="DH380">
        <f ca="1"/>
      </c>
      <c r="DI380">
        <f ca="1"/>
      </c>
      <c r="DJ380">
        <f ca="1"/>
      </c>
      <c r="DK380">
        <f ca="1"/>
      </c>
      <c r="DL380">
        <f ca="1"/>
      </c>
      <c r="DM380">
        <f ca="1"/>
      </c>
      <c r="DN380">
        <f ca="1"/>
      </c>
      <c r="DO380">
        <f ca="1"/>
      </c>
      <c r="DP380">
        <f ca="1"/>
      </c>
      <c r="DQ380">
        <f ca="1"/>
      </c>
      <c r="DR380">
        <f ca="1"/>
      </c>
      <c r="DS380">
        <f ca="1"/>
      </c>
      <c r="DT380">
        <f ca="1"/>
      </c>
      <c r="DU380">
        <f ca="1"/>
      </c>
      <c r="DV380">
        <f ca="1"/>
      </c>
      <c r="DW380">
        <f ca="1"/>
      </c>
      <c r="DX380">
        <f ca="1"/>
      </c>
      <c r="DY380">
        <f ca="1"/>
      </c>
      <c r="DZ380">
        <f ca="1"/>
      </c>
      <c r="EA380">
        <f ca="1"/>
      </c>
      <c r="EB380">
        <f ca="1"/>
      </c>
      <c r="EC380">
        <f ca="1"/>
      </c>
      <c r="ED380">
        <f ca="1"/>
      </c>
      <c r="EE380">
        <f ca="1"/>
      </c>
      <c r="EG380">
        <f ca="1"/>
      </c>
      <c r="EH380">
        <f ca="1"/>
      </c>
      <c r="EI380">
        <f ca="1"/>
      </c>
      <c r="EJ380">
        <f ca="1"/>
      </c>
      <c r="EK380">
        <f ca="1"/>
      </c>
      <c r="EL380">
        <f ca="1"/>
      </c>
      <c r="EM380">
        <f ca="1"/>
      </c>
      <c r="EN380">
        <f ca="1"/>
      </c>
      <c r="EO380">
        <f ca="1"/>
      </c>
      <c r="EP380">
        <f ca="1"/>
      </c>
      <c r="EQ380">
        <f ca="1"/>
      </c>
      <c r="ER380">
        <f ca="1"/>
      </c>
      <c r="ES380">
        <f ca="1"/>
      </c>
      <c r="ET380">
        <f ca="1"/>
      </c>
      <c r="EU380">
        <f ca="1"/>
      </c>
      <c r="EV380">
        <f ca="1"/>
      </c>
      <c r="EW380">
        <f ca="1"/>
      </c>
      <c r="EX380">
        <f ca="1"/>
      </c>
      <c r="EY380">
        <f ca="1"/>
      </c>
      <c r="EZ380">
        <f ca="1"/>
      </c>
      <c r="FA380">
        <f ca="1"/>
      </c>
      <c r="FB380">
        <f ca="1"/>
      </c>
      <c r="FC380">
        <f ca="1"/>
      </c>
      <c r="FD380">
        <f ca="1"/>
      </c>
      <c r="FE380">
        <f ca="1"/>
      </c>
      <c r="FF380">
        <f ca="1"/>
      </c>
      <c r="FG380">
        <f ca="1"/>
      </c>
      <c r="FH380">
        <f ca="1"/>
      </c>
      <c r="FI380">
        <f ca="1"/>
      </c>
      <c r="FJ380">
        <f ca="1"/>
      </c>
      <c r="FK380">
        <f ca="1"/>
      </c>
      <c r="FL380">
        <f ca="1"/>
      </c>
      <c r="FM380">
        <f ca="1"/>
      </c>
      <c r="FN380">
        <f ca="1"/>
      </c>
      <c r="FO380">
        <f ca="1"/>
      </c>
      <c r="FP380">
        <f ca="1"/>
      </c>
      <c r="FQ380">
        <f ca="1"/>
      </c>
      <c r="FR380">
        <f ca="1"/>
      </c>
      <c r="FS380">
        <f ca="1"/>
      </c>
      <c r="FT380">
        <f ca="1"/>
      </c>
      <c r="FU380">
        <f ca="1"/>
      </c>
      <c r="FV380">
        <f ca="1"/>
      </c>
      <c r="FW380">
        <f ca="1"/>
      </c>
      <c r="FX380">
        <f ca="1"/>
      </c>
      <c r="FY380">
        <f ca="1"/>
      </c>
      <c r="FZ380">
        <f ca="1"/>
      </c>
      <c r="GA380">
        <f ca="1"/>
      </c>
      <c r="GM380" s="7"/>
    </row>
    <row r="381" spans="41:195" x14ac:dyDescent="0.55000000000000004">
      <c r="AO381">
        <f ca="1"/>
      </c>
      <c r="AP381">
        <f ca="1"/>
      </c>
      <c r="AQ381">
        <f ca="1"/>
      </c>
      <c r="AR381">
        <f ca="1"/>
      </c>
      <c r="AS381">
        <f ca="1"/>
      </c>
      <c r="AT381">
        <f ca="1"/>
      </c>
      <c r="AU381">
        <f ca="1"/>
      </c>
      <c r="AV381">
        <f ca="1"/>
      </c>
      <c r="AW381">
        <f ca="1"/>
      </c>
      <c r="AX381">
        <f ca="1"/>
      </c>
      <c r="AY381">
        <f ca="1"/>
      </c>
      <c r="AZ381">
        <f ca="1"/>
      </c>
      <c r="BA381">
        <f ca="1"/>
      </c>
      <c r="BB381">
        <f ca="1"/>
      </c>
      <c r="BC381">
        <f ca="1"/>
      </c>
      <c r="BD381">
        <f ca="1"/>
      </c>
      <c r="BE381">
        <f ca="1"/>
      </c>
      <c r="BF381">
        <f ca="1"/>
      </c>
      <c r="BG381">
        <f ca="1"/>
      </c>
      <c r="BH381">
        <f ca="1"/>
      </c>
      <c r="BI381">
        <f ca="1"/>
      </c>
      <c r="BJ381">
        <f ca="1"/>
      </c>
      <c r="BK381">
        <f ca="1"/>
      </c>
      <c r="BL381">
        <f ca="1"/>
      </c>
      <c r="BM381">
        <f ca="1"/>
      </c>
      <c r="BN381">
        <f ca="1"/>
      </c>
      <c r="BO381">
        <f ca="1"/>
      </c>
      <c r="BP381">
        <f ca="1"/>
      </c>
      <c r="BQ381">
        <f ca="1"/>
      </c>
      <c r="BR381">
        <f ca="1"/>
      </c>
      <c r="BS381">
        <f ca="1"/>
      </c>
      <c r="BT381">
        <f ca="1"/>
      </c>
      <c r="BU381">
        <f ca="1"/>
      </c>
      <c r="BV381">
        <f ca="1"/>
      </c>
      <c r="BW381">
        <f ca="1"/>
      </c>
      <c r="BX381">
        <f ca="1"/>
      </c>
      <c r="BY381">
        <f ca="1"/>
      </c>
      <c r="BZ381">
        <f ca="1"/>
      </c>
      <c r="CA381">
        <f ca="1"/>
      </c>
      <c r="CB381">
        <f ca="1"/>
      </c>
      <c r="CC381">
        <f ca="1"/>
      </c>
      <c r="CD381">
        <f ca="1"/>
      </c>
      <c r="CE381">
        <f ca="1"/>
      </c>
      <c r="CF381">
        <f ca="1"/>
      </c>
      <c r="CG381">
        <f ca="1"/>
      </c>
      <c r="CH381">
        <f ca="1"/>
      </c>
      <c r="CI381">
        <f ca="1"/>
      </c>
      <c r="CK381">
        <f ca="1"/>
      </c>
      <c r="CL381">
        <f ca="1"/>
      </c>
      <c r="CM381">
        <f ca="1"/>
      </c>
      <c r="CN381">
        <f ca="1"/>
      </c>
      <c r="CO381">
        <f ca="1"/>
      </c>
      <c r="CP381">
        <f ca="1"/>
      </c>
      <c r="CQ381">
        <f ca="1"/>
      </c>
      <c r="CR381">
        <f ca="1"/>
      </c>
      <c r="CS381">
        <f ca="1"/>
      </c>
      <c r="CT381">
        <f ca="1"/>
      </c>
      <c r="CU381">
        <f ca="1"/>
      </c>
      <c r="CV381">
        <f ca="1"/>
      </c>
      <c r="CW381">
        <f ca="1"/>
      </c>
      <c r="CX381">
        <f ca="1"/>
      </c>
      <c r="CY381">
        <f ca="1"/>
      </c>
      <c r="CZ381">
        <f ca="1"/>
      </c>
      <c r="DA381">
        <f ca="1"/>
      </c>
      <c r="DB381">
        <f ca="1"/>
      </c>
      <c r="DC381">
        <f ca="1"/>
      </c>
      <c r="DD381">
        <f ca="1"/>
      </c>
      <c r="DE381">
        <f ca="1"/>
      </c>
      <c r="DF381">
        <f ca="1"/>
      </c>
      <c r="DG381">
        <f ca="1"/>
      </c>
      <c r="DH381">
        <f ca="1"/>
      </c>
      <c r="DI381">
        <f ca="1"/>
      </c>
      <c r="DJ381">
        <f ca="1"/>
      </c>
      <c r="DK381">
        <f ca="1"/>
      </c>
      <c r="DL381">
        <f ca="1"/>
      </c>
      <c r="DM381">
        <f ca="1"/>
      </c>
      <c r="DN381">
        <f ca="1"/>
      </c>
      <c r="DO381">
        <f ca="1"/>
      </c>
      <c r="DP381">
        <f ca="1"/>
      </c>
      <c r="DQ381">
        <f ca="1"/>
      </c>
      <c r="DR381">
        <f ca="1"/>
      </c>
      <c r="DS381">
        <f ca="1"/>
      </c>
      <c r="DT381">
        <f ca="1"/>
      </c>
      <c r="DU381">
        <f ca="1"/>
      </c>
      <c r="DV381">
        <f ca="1"/>
      </c>
      <c r="DW381">
        <f ca="1"/>
      </c>
      <c r="DX381">
        <f ca="1"/>
      </c>
      <c r="DY381">
        <f ca="1"/>
      </c>
      <c r="DZ381">
        <f ca="1"/>
      </c>
      <c r="EA381">
        <f ca="1"/>
      </c>
      <c r="EB381">
        <f ca="1"/>
      </c>
      <c r="EC381">
        <f ca="1"/>
      </c>
      <c r="ED381">
        <f ca="1"/>
      </c>
      <c r="EE381">
        <f ca="1"/>
      </c>
      <c r="EG381">
        <f ca="1"/>
      </c>
      <c r="EH381">
        <f ca="1"/>
      </c>
      <c r="EI381">
        <f ca="1"/>
      </c>
      <c r="EJ381">
        <f ca="1"/>
      </c>
      <c r="EK381">
        <f ca="1"/>
      </c>
      <c r="EL381">
        <f ca="1"/>
      </c>
      <c r="EM381">
        <f ca="1"/>
      </c>
      <c r="EN381">
        <f ca="1"/>
      </c>
      <c r="EO381">
        <f ca="1"/>
      </c>
      <c r="EP381">
        <f ca="1"/>
      </c>
      <c r="EQ381">
        <f ca="1"/>
      </c>
      <c r="ER381">
        <f ca="1"/>
      </c>
      <c r="ES381">
        <f ca="1"/>
      </c>
      <c r="ET381">
        <f ca="1"/>
      </c>
      <c r="EU381">
        <f ca="1"/>
      </c>
      <c r="EV381">
        <f ca="1"/>
      </c>
      <c r="EW381">
        <f ca="1"/>
      </c>
      <c r="EX381">
        <f ca="1"/>
      </c>
      <c r="EY381">
        <f ca="1"/>
      </c>
      <c r="EZ381">
        <f ca="1"/>
      </c>
      <c r="FA381">
        <f ca="1"/>
      </c>
      <c r="FB381">
        <f ca="1"/>
      </c>
      <c r="FC381">
        <f ca="1"/>
      </c>
      <c r="FD381">
        <f ca="1"/>
      </c>
      <c r="FE381">
        <f ca="1"/>
      </c>
      <c r="FF381">
        <f ca="1"/>
      </c>
      <c r="FG381">
        <f ca="1"/>
      </c>
      <c r="FH381">
        <f ca="1"/>
      </c>
      <c r="FI381">
        <f ca="1"/>
      </c>
      <c r="FJ381">
        <f ca="1"/>
      </c>
      <c r="FK381">
        <f ca="1"/>
      </c>
      <c r="FL381">
        <f ca="1"/>
      </c>
      <c r="FM381">
        <f ca="1"/>
      </c>
      <c r="FN381">
        <f ca="1"/>
      </c>
      <c r="FO381">
        <f ca="1"/>
      </c>
      <c r="FP381">
        <f ca="1"/>
      </c>
      <c r="FQ381">
        <f ca="1"/>
      </c>
      <c r="FR381">
        <f ca="1"/>
      </c>
      <c r="FS381">
        <f ca="1"/>
      </c>
      <c r="FT381">
        <f ca="1"/>
      </c>
      <c r="FU381">
        <f ca="1"/>
      </c>
      <c r="FV381">
        <f ca="1"/>
      </c>
      <c r="FW381">
        <f ca="1"/>
      </c>
      <c r="FX381">
        <f ca="1"/>
      </c>
      <c r="FY381">
        <f ca="1"/>
      </c>
      <c r="FZ381">
        <f ca="1"/>
      </c>
      <c r="GA381">
        <f ca="1"/>
      </c>
      <c r="GM381" s="7"/>
    </row>
    <row r="382" spans="41:195" x14ac:dyDescent="0.55000000000000004">
      <c r="AO382">
        <f ca="1"/>
      </c>
      <c r="AP382">
        <f ca="1"/>
      </c>
      <c r="AQ382">
        <f ca="1"/>
      </c>
      <c r="AR382">
        <f ca="1"/>
      </c>
      <c r="AS382">
        <f ca="1"/>
      </c>
      <c r="AT382">
        <f ca="1"/>
      </c>
      <c r="AU382">
        <f ca="1"/>
      </c>
      <c r="AV382">
        <f ca="1"/>
      </c>
      <c r="AW382">
        <f ca="1"/>
      </c>
      <c r="AX382">
        <f ca="1"/>
      </c>
      <c r="AY382">
        <f ca="1"/>
      </c>
      <c r="AZ382">
        <f ca="1"/>
      </c>
      <c r="BA382">
        <f ca="1"/>
      </c>
      <c r="BB382">
        <f ca="1"/>
      </c>
      <c r="BC382">
        <f ca="1"/>
      </c>
      <c r="BD382">
        <f ca="1"/>
      </c>
      <c r="BE382">
        <f ca="1"/>
      </c>
      <c r="BF382">
        <f ca="1"/>
      </c>
      <c r="BG382">
        <f ca="1"/>
      </c>
      <c r="BH382">
        <f ca="1"/>
      </c>
      <c r="BI382">
        <f ca="1"/>
      </c>
      <c r="BJ382">
        <f ca="1"/>
      </c>
      <c r="BK382">
        <f ca="1"/>
      </c>
      <c r="BL382">
        <f ca="1"/>
      </c>
      <c r="BM382">
        <f ca="1"/>
      </c>
      <c r="BN382">
        <f ca="1"/>
      </c>
      <c r="BO382">
        <f ca="1"/>
      </c>
      <c r="BP382">
        <f ca="1"/>
      </c>
      <c r="BQ382">
        <f ca="1"/>
      </c>
      <c r="BR382">
        <f ca="1"/>
      </c>
      <c r="BS382">
        <f ca="1"/>
      </c>
      <c r="BT382">
        <f ca="1"/>
      </c>
      <c r="BU382">
        <f ca="1"/>
      </c>
      <c r="BV382">
        <f ca="1"/>
      </c>
      <c r="BW382">
        <f ca="1"/>
      </c>
      <c r="BX382">
        <f ca="1"/>
      </c>
      <c r="BY382">
        <f ca="1"/>
      </c>
      <c r="BZ382">
        <f ca="1"/>
      </c>
      <c r="CA382">
        <f ca="1"/>
      </c>
      <c r="CB382">
        <f ca="1"/>
      </c>
      <c r="CC382">
        <f ca="1"/>
      </c>
      <c r="CD382">
        <f ca="1"/>
      </c>
      <c r="CE382">
        <f ca="1"/>
      </c>
      <c r="CF382">
        <f ca="1"/>
      </c>
      <c r="CG382">
        <f ca="1"/>
      </c>
      <c r="CH382">
        <f ca="1"/>
      </c>
      <c r="CI382">
        <f ca="1"/>
      </c>
      <c r="CK382">
        <f ca="1"/>
      </c>
      <c r="CL382">
        <f ca="1"/>
      </c>
      <c r="CM382">
        <f ca="1"/>
      </c>
      <c r="CN382">
        <f ca="1"/>
      </c>
      <c r="CO382">
        <f ca="1"/>
      </c>
      <c r="CP382">
        <f ca="1"/>
      </c>
      <c r="CQ382">
        <f ca="1"/>
      </c>
      <c r="CR382">
        <f ca="1"/>
      </c>
      <c r="CS382">
        <f ca="1"/>
      </c>
      <c r="CT382">
        <f ca="1"/>
      </c>
      <c r="CU382">
        <f ca="1"/>
      </c>
      <c r="CV382">
        <f ca="1"/>
      </c>
      <c r="CW382">
        <f ca="1"/>
      </c>
      <c r="CX382">
        <f ca="1"/>
      </c>
      <c r="CY382">
        <f ca="1"/>
      </c>
      <c r="CZ382">
        <f ca="1"/>
      </c>
      <c r="DA382">
        <f ca="1"/>
      </c>
      <c r="DB382">
        <f ca="1"/>
      </c>
      <c r="DC382">
        <f ca="1"/>
      </c>
      <c r="DD382">
        <f ca="1"/>
      </c>
      <c r="DE382">
        <f ca="1"/>
      </c>
      <c r="DF382">
        <f ca="1"/>
      </c>
      <c r="DG382">
        <f ca="1"/>
      </c>
      <c r="DH382">
        <f ca="1"/>
      </c>
      <c r="DI382">
        <f ca="1"/>
      </c>
      <c r="DJ382">
        <f ca="1"/>
      </c>
      <c r="DK382">
        <f ca="1"/>
      </c>
      <c r="DL382">
        <f ca="1"/>
      </c>
      <c r="DM382">
        <f ca="1"/>
      </c>
      <c r="DN382">
        <f ca="1"/>
      </c>
      <c r="DO382">
        <f ca="1"/>
      </c>
      <c r="DP382">
        <f ca="1"/>
      </c>
      <c r="DQ382">
        <f ca="1"/>
      </c>
      <c r="DR382">
        <f ca="1"/>
      </c>
      <c r="DS382">
        <f ca="1"/>
      </c>
      <c r="DT382">
        <f ca="1"/>
      </c>
      <c r="DU382">
        <f ca="1"/>
      </c>
      <c r="DV382">
        <f ca="1"/>
      </c>
      <c r="DW382">
        <f ca="1"/>
      </c>
      <c r="DX382">
        <f ca="1"/>
      </c>
      <c r="DY382">
        <f ca="1"/>
      </c>
      <c r="DZ382">
        <f ca="1"/>
      </c>
      <c r="EA382">
        <f ca="1"/>
      </c>
      <c r="EB382">
        <f ca="1"/>
      </c>
      <c r="EC382">
        <f ca="1"/>
      </c>
      <c r="ED382">
        <f ca="1"/>
      </c>
      <c r="EE382">
        <f ca="1"/>
      </c>
      <c r="EG382">
        <f ca="1"/>
      </c>
      <c r="EH382">
        <f ca="1"/>
      </c>
      <c r="EI382">
        <f ca="1"/>
      </c>
      <c r="EJ382">
        <f ca="1"/>
      </c>
      <c r="EK382">
        <f ca="1"/>
      </c>
      <c r="EL382">
        <f ca="1"/>
      </c>
      <c r="EM382">
        <f ca="1"/>
      </c>
      <c r="EN382">
        <f ca="1"/>
      </c>
      <c r="EO382">
        <f ca="1"/>
      </c>
      <c r="EP382">
        <f ca="1"/>
      </c>
      <c r="EQ382">
        <f ca="1"/>
      </c>
      <c r="ER382">
        <f ca="1"/>
      </c>
      <c r="ES382">
        <f ca="1"/>
      </c>
      <c r="ET382">
        <f ca="1"/>
      </c>
      <c r="EU382">
        <f ca="1"/>
      </c>
      <c r="EV382">
        <f ca="1"/>
      </c>
      <c r="EW382">
        <f ca="1"/>
      </c>
      <c r="EX382">
        <f ca="1"/>
      </c>
      <c r="EY382">
        <f ca="1"/>
      </c>
      <c r="EZ382">
        <f ca="1"/>
      </c>
      <c r="FA382">
        <f ca="1"/>
      </c>
      <c r="FB382">
        <f ca="1"/>
      </c>
      <c r="FC382">
        <f ca="1"/>
      </c>
      <c r="FD382">
        <f ca="1"/>
      </c>
      <c r="FE382">
        <f ca="1"/>
      </c>
      <c r="FF382">
        <f ca="1"/>
      </c>
      <c r="FG382">
        <f ca="1"/>
      </c>
      <c r="FH382">
        <f ca="1"/>
      </c>
      <c r="FI382">
        <f ca="1"/>
      </c>
      <c r="FJ382">
        <f ca="1"/>
      </c>
      <c r="FK382">
        <f ca="1"/>
      </c>
      <c r="FL382">
        <f ca="1"/>
      </c>
      <c r="FM382">
        <f ca="1"/>
      </c>
      <c r="FN382">
        <f ca="1"/>
      </c>
      <c r="FO382">
        <f ca="1"/>
      </c>
      <c r="FP382">
        <f ca="1"/>
      </c>
      <c r="FQ382">
        <f ca="1"/>
      </c>
      <c r="FR382">
        <f ca="1"/>
      </c>
      <c r="FS382">
        <f ca="1"/>
      </c>
      <c r="FT382">
        <f ca="1"/>
      </c>
      <c r="FU382">
        <f ca="1"/>
      </c>
      <c r="FV382">
        <f ca="1"/>
      </c>
      <c r="FW382">
        <f ca="1"/>
      </c>
      <c r="FX382">
        <f ca="1"/>
      </c>
      <c r="FY382">
        <f ca="1"/>
      </c>
      <c r="FZ382">
        <f ca="1"/>
      </c>
      <c r="GA382">
        <f ca="1"/>
      </c>
      <c r="GM382" s="7"/>
    </row>
    <row r="383" spans="41:195" x14ac:dyDescent="0.55000000000000004">
      <c r="AO383">
        <f ca="1"/>
      </c>
      <c r="AP383">
        <f ca="1"/>
      </c>
      <c r="AQ383">
        <f ca="1"/>
      </c>
      <c r="AR383">
        <f ca="1"/>
      </c>
      <c r="AS383">
        <f ca="1"/>
      </c>
      <c r="AT383">
        <f ca="1"/>
      </c>
      <c r="AU383">
        <f ca="1"/>
      </c>
      <c r="AV383">
        <f ca="1"/>
      </c>
      <c r="AW383">
        <f ca="1"/>
      </c>
      <c r="AX383">
        <f ca="1"/>
      </c>
      <c r="AY383">
        <f ca="1"/>
      </c>
      <c r="AZ383">
        <f ca="1"/>
      </c>
      <c r="BA383">
        <f ca="1"/>
      </c>
      <c r="BB383">
        <f ca="1"/>
      </c>
      <c r="BC383">
        <f ca="1"/>
      </c>
      <c r="BD383">
        <f ca="1"/>
      </c>
      <c r="BE383">
        <f ca="1"/>
      </c>
      <c r="BF383">
        <f ca="1"/>
      </c>
      <c r="BG383">
        <f ca="1"/>
      </c>
      <c r="BH383">
        <f ca="1"/>
      </c>
      <c r="BI383">
        <f ca="1"/>
      </c>
      <c r="BJ383">
        <f ca="1"/>
      </c>
      <c r="BK383">
        <f ca="1"/>
      </c>
      <c r="BL383">
        <f ca="1"/>
      </c>
      <c r="BM383">
        <f ca="1"/>
      </c>
      <c r="BN383">
        <f ca="1"/>
      </c>
      <c r="BO383">
        <f ca="1"/>
      </c>
      <c r="BP383">
        <f ca="1"/>
      </c>
      <c r="BQ383">
        <f ca="1"/>
      </c>
      <c r="BR383">
        <f ca="1"/>
      </c>
      <c r="BS383">
        <f ca="1"/>
      </c>
      <c r="BT383">
        <f ca="1"/>
      </c>
      <c r="BU383">
        <f ca="1"/>
      </c>
      <c r="BV383">
        <f ca="1"/>
      </c>
      <c r="BW383">
        <f ca="1"/>
      </c>
      <c r="BX383">
        <f ca="1"/>
      </c>
      <c r="BY383">
        <f ca="1"/>
      </c>
      <c r="BZ383">
        <f ca="1"/>
      </c>
      <c r="CA383">
        <f ca="1"/>
      </c>
      <c r="CB383">
        <f ca="1"/>
      </c>
      <c r="CC383">
        <f ca="1"/>
      </c>
      <c r="CD383">
        <f ca="1"/>
      </c>
      <c r="CE383">
        <f ca="1"/>
      </c>
      <c r="CF383">
        <f ca="1"/>
      </c>
      <c r="CG383">
        <f ca="1"/>
      </c>
      <c r="CH383">
        <f ca="1"/>
      </c>
      <c r="CI383">
        <f ca="1"/>
      </c>
      <c r="CK383">
        <f ca="1"/>
      </c>
      <c r="CL383">
        <f ca="1"/>
      </c>
      <c r="CM383">
        <f ca="1"/>
      </c>
      <c r="CN383">
        <f ca="1"/>
      </c>
      <c r="CO383">
        <f ca="1"/>
      </c>
      <c r="CP383">
        <f ca="1"/>
      </c>
      <c r="CQ383">
        <f ca="1"/>
      </c>
      <c r="CR383">
        <f ca="1"/>
      </c>
      <c r="CS383">
        <f ca="1"/>
      </c>
      <c r="CT383">
        <f ca="1"/>
      </c>
      <c r="CU383">
        <f ca="1"/>
      </c>
      <c r="CV383">
        <f ca="1"/>
      </c>
      <c r="CW383">
        <f ca="1"/>
      </c>
      <c r="CX383">
        <f ca="1"/>
      </c>
      <c r="CY383">
        <f ca="1"/>
      </c>
      <c r="CZ383">
        <f ca="1"/>
      </c>
      <c r="DA383">
        <f ca="1"/>
      </c>
      <c r="DB383">
        <f ca="1"/>
      </c>
      <c r="DC383">
        <f ca="1"/>
      </c>
      <c r="DD383">
        <f ca="1"/>
      </c>
      <c r="DE383">
        <f ca="1"/>
      </c>
      <c r="DF383">
        <f ca="1"/>
      </c>
      <c r="DG383">
        <f ca="1"/>
      </c>
      <c r="DH383">
        <f ca="1"/>
      </c>
      <c r="DI383">
        <f ca="1"/>
      </c>
      <c r="DJ383">
        <f ca="1"/>
      </c>
      <c r="DK383">
        <f ca="1"/>
      </c>
      <c r="DL383">
        <f ca="1"/>
      </c>
      <c r="DM383">
        <f ca="1"/>
      </c>
      <c r="DN383">
        <f ca="1"/>
      </c>
      <c r="DO383">
        <f ca="1"/>
      </c>
      <c r="DP383">
        <f ca="1"/>
      </c>
      <c r="DQ383">
        <f ca="1"/>
      </c>
      <c r="DR383">
        <f ca="1"/>
      </c>
      <c r="DS383">
        <f ca="1"/>
      </c>
      <c r="DT383">
        <f ca="1"/>
      </c>
      <c r="DU383">
        <f ca="1"/>
      </c>
      <c r="DV383">
        <f ca="1"/>
      </c>
      <c r="DW383">
        <f ca="1"/>
      </c>
      <c r="DX383">
        <f ca="1"/>
      </c>
      <c r="DY383">
        <f ca="1"/>
      </c>
      <c r="DZ383">
        <f ca="1"/>
      </c>
      <c r="EA383">
        <f ca="1"/>
      </c>
      <c r="EB383">
        <f ca="1"/>
      </c>
      <c r="EC383">
        <f ca="1"/>
      </c>
      <c r="ED383">
        <f ca="1"/>
      </c>
      <c r="EE383">
        <f ca="1"/>
      </c>
      <c r="EG383">
        <f ca="1"/>
      </c>
      <c r="EH383">
        <f ca="1"/>
      </c>
      <c r="EI383">
        <f ca="1"/>
      </c>
      <c r="EJ383">
        <f ca="1"/>
      </c>
      <c r="EK383">
        <f ca="1"/>
      </c>
      <c r="EL383">
        <f ca="1"/>
      </c>
      <c r="EM383">
        <f ca="1"/>
      </c>
      <c r="EN383">
        <f ca="1"/>
      </c>
      <c r="EO383">
        <f ca="1"/>
      </c>
      <c r="EP383">
        <f ca="1"/>
      </c>
      <c r="EQ383">
        <f ca="1"/>
      </c>
      <c r="ER383">
        <f ca="1"/>
      </c>
      <c r="ES383">
        <f ca="1"/>
      </c>
      <c r="ET383">
        <f ca="1"/>
      </c>
      <c r="EU383">
        <f ca="1"/>
      </c>
      <c r="EV383">
        <f ca="1"/>
      </c>
      <c r="EW383">
        <f ca="1"/>
      </c>
      <c r="EX383">
        <f ca="1"/>
      </c>
      <c r="EY383">
        <f ca="1"/>
      </c>
      <c r="EZ383">
        <f ca="1"/>
      </c>
      <c r="FA383">
        <f ca="1"/>
      </c>
      <c r="FB383">
        <f ca="1"/>
      </c>
      <c r="FC383">
        <f ca="1"/>
      </c>
      <c r="FD383">
        <f ca="1"/>
      </c>
      <c r="FE383">
        <f ca="1"/>
      </c>
      <c r="FF383">
        <f ca="1"/>
      </c>
      <c r="FG383">
        <f ca="1"/>
      </c>
      <c r="FH383">
        <f ca="1"/>
      </c>
      <c r="FI383">
        <f ca="1"/>
      </c>
      <c r="FJ383">
        <f ca="1"/>
      </c>
      <c r="FK383">
        <f ca="1"/>
      </c>
      <c r="FL383">
        <f ca="1"/>
      </c>
      <c r="FM383">
        <f ca="1"/>
      </c>
      <c r="FN383">
        <f ca="1"/>
      </c>
      <c r="FO383">
        <f ca="1"/>
      </c>
      <c r="FP383">
        <f ca="1"/>
      </c>
      <c r="FQ383">
        <f ca="1"/>
      </c>
      <c r="FR383">
        <f ca="1"/>
      </c>
      <c r="FS383">
        <f ca="1"/>
      </c>
      <c r="FT383">
        <f ca="1"/>
      </c>
      <c r="FU383">
        <f ca="1"/>
      </c>
      <c r="FV383">
        <f ca="1"/>
      </c>
      <c r="FW383">
        <f ca="1"/>
      </c>
      <c r="FX383">
        <f ca="1"/>
      </c>
      <c r="FY383">
        <f ca="1"/>
      </c>
      <c r="FZ383">
        <f ca="1"/>
      </c>
      <c r="GA383">
        <f ca="1"/>
      </c>
      <c r="GM383" s="7"/>
    </row>
    <row r="384" spans="41:195" x14ac:dyDescent="0.55000000000000004">
      <c r="AO384">
        <f ca="1"/>
      </c>
      <c r="AP384">
        <f ca="1"/>
      </c>
      <c r="AQ384">
        <f ca="1"/>
      </c>
      <c r="AR384">
        <f ca="1"/>
      </c>
      <c r="AS384">
        <f ca="1"/>
      </c>
      <c r="AT384">
        <f ca="1"/>
      </c>
      <c r="AU384">
        <f ca="1"/>
      </c>
      <c r="AV384">
        <f ca="1"/>
      </c>
      <c r="AW384">
        <f ca="1"/>
      </c>
      <c r="AX384">
        <f ca="1"/>
      </c>
      <c r="AY384">
        <f ca="1"/>
      </c>
      <c r="AZ384">
        <f ca="1"/>
      </c>
      <c r="BA384">
        <f ca="1"/>
      </c>
      <c r="BB384">
        <f ca="1"/>
      </c>
      <c r="BC384">
        <f ca="1"/>
      </c>
      <c r="BD384">
        <f ca="1"/>
      </c>
      <c r="BE384">
        <f ca="1"/>
      </c>
      <c r="BF384">
        <f ca="1"/>
      </c>
      <c r="BG384">
        <f ca="1"/>
      </c>
      <c r="BH384">
        <f ca="1"/>
      </c>
      <c r="BI384">
        <f ca="1"/>
      </c>
      <c r="BJ384">
        <f ca="1"/>
      </c>
      <c r="BK384">
        <f ca="1"/>
      </c>
      <c r="BL384">
        <f ca="1"/>
      </c>
      <c r="BM384">
        <f ca="1"/>
      </c>
      <c r="BN384">
        <f ca="1"/>
      </c>
      <c r="BO384">
        <f ca="1"/>
      </c>
      <c r="BP384">
        <f ca="1"/>
      </c>
      <c r="BQ384">
        <f ca="1"/>
      </c>
      <c r="BR384">
        <f ca="1"/>
      </c>
      <c r="BS384">
        <f ca="1"/>
      </c>
      <c r="BT384">
        <f ca="1"/>
      </c>
      <c r="BU384">
        <f ca="1"/>
      </c>
      <c r="BV384">
        <f ca="1"/>
      </c>
      <c r="BW384">
        <f ca="1"/>
      </c>
      <c r="BX384">
        <f ca="1"/>
      </c>
      <c r="BY384">
        <f ca="1"/>
      </c>
      <c r="BZ384">
        <f ca="1"/>
      </c>
      <c r="CA384">
        <f ca="1"/>
      </c>
      <c r="CB384">
        <f ca="1"/>
      </c>
      <c r="CC384">
        <f ca="1"/>
      </c>
      <c r="CD384">
        <f ca="1"/>
      </c>
      <c r="CE384">
        <f ca="1"/>
      </c>
      <c r="CF384">
        <f ca="1"/>
      </c>
      <c r="CG384">
        <f ca="1"/>
      </c>
      <c r="CH384">
        <f ca="1"/>
      </c>
      <c r="CI384">
        <f ca="1"/>
      </c>
      <c r="CK384">
        <f ca="1"/>
      </c>
      <c r="CL384">
        <f ca="1"/>
      </c>
      <c r="CM384">
        <f ca="1"/>
      </c>
      <c r="CN384">
        <f ca="1"/>
      </c>
      <c r="CO384">
        <f ca="1"/>
      </c>
      <c r="CP384">
        <f ca="1"/>
      </c>
      <c r="CQ384">
        <f ca="1"/>
      </c>
      <c r="CR384">
        <f ca="1"/>
      </c>
      <c r="CS384">
        <f ca="1"/>
      </c>
      <c r="CT384">
        <f ca="1"/>
      </c>
      <c r="CU384">
        <f ca="1"/>
      </c>
      <c r="CV384">
        <f ca="1"/>
      </c>
      <c r="CW384">
        <f ca="1"/>
      </c>
      <c r="CX384">
        <f ca="1"/>
      </c>
      <c r="CY384">
        <f ca="1"/>
      </c>
      <c r="CZ384">
        <f ca="1"/>
      </c>
      <c r="DA384">
        <f ca="1"/>
      </c>
      <c r="DB384">
        <f ca="1"/>
      </c>
      <c r="DC384">
        <f ca="1"/>
      </c>
      <c r="DD384">
        <f ca="1"/>
      </c>
      <c r="DE384">
        <f ca="1"/>
      </c>
      <c r="DF384">
        <f ca="1"/>
      </c>
      <c r="DG384">
        <f ca="1"/>
      </c>
      <c r="DH384">
        <f ca="1"/>
      </c>
      <c r="DI384">
        <f ca="1"/>
      </c>
      <c r="DJ384">
        <f ca="1"/>
      </c>
      <c r="DK384">
        <f ca="1"/>
      </c>
      <c r="DL384">
        <f ca="1"/>
      </c>
      <c r="DM384">
        <f ca="1"/>
      </c>
      <c r="DN384">
        <f ca="1"/>
      </c>
      <c r="DO384">
        <f ca="1"/>
      </c>
      <c r="DP384">
        <f ca="1"/>
      </c>
      <c r="DQ384">
        <f ca="1"/>
      </c>
      <c r="DR384">
        <f ca="1"/>
      </c>
      <c r="DS384">
        <f ca="1"/>
      </c>
      <c r="DT384">
        <f ca="1"/>
      </c>
      <c r="DU384">
        <f ca="1"/>
      </c>
      <c r="DV384">
        <f ca="1"/>
      </c>
      <c r="DW384">
        <f ca="1"/>
      </c>
      <c r="DX384">
        <f ca="1"/>
      </c>
      <c r="DY384">
        <f ca="1"/>
      </c>
      <c r="DZ384">
        <f ca="1"/>
      </c>
      <c r="EA384">
        <f ca="1"/>
      </c>
      <c r="EB384">
        <f ca="1"/>
      </c>
      <c r="EC384">
        <f ca="1"/>
      </c>
      <c r="ED384">
        <f ca="1"/>
      </c>
      <c r="EE384">
        <f ca="1"/>
      </c>
      <c r="EG384">
        <f ca="1"/>
      </c>
      <c r="EH384">
        <f ca="1"/>
      </c>
      <c r="EI384">
        <f ca="1"/>
      </c>
      <c r="EJ384">
        <f ca="1"/>
      </c>
      <c r="EK384">
        <f ca="1"/>
      </c>
      <c r="EL384">
        <f ca="1"/>
      </c>
      <c r="EM384">
        <f ca="1"/>
      </c>
      <c r="EN384">
        <f ca="1"/>
      </c>
      <c r="EO384">
        <f ca="1"/>
      </c>
      <c r="EP384">
        <f ca="1"/>
      </c>
      <c r="EQ384">
        <f ca="1"/>
      </c>
      <c r="ER384">
        <f ca="1"/>
      </c>
      <c r="ES384">
        <f ca="1"/>
      </c>
      <c r="ET384">
        <f ca="1"/>
      </c>
      <c r="EU384">
        <f ca="1"/>
      </c>
      <c r="EV384">
        <f ca="1"/>
      </c>
      <c r="EW384">
        <f ca="1"/>
      </c>
      <c r="EX384">
        <f ca="1"/>
      </c>
      <c r="EY384">
        <f ca="1"/>
      </c>
      <c r="EZ384">
        <f ca="1"/>
      </c>
      <c r="FA384">
        <f ca="1"/>
      </c>
      <c r="FB384">
        <f ca="1"/>
      </c>
      <c r="FC384">
        <f ca="1"/>
      </c>
      <c r="FD384">
        <f ca="1"/>
      </c>
      <c r="FE384">
        <f ca="1"/>
      </c>
      <c r="FF384">
        <f ca="1"/>
      </c>
      <c r="FG384">
        <f ca="1"/>
      </c>
      <c r="FH384">
        <f ca="1"/>
      </c>
      <c r="FI384">
        <f ca="1"/>
      </c>
      <c r="FJ384">
        <f ca="1"/>
      </c>
      <c r="FK384">
        <f ca="1"/>
      </c>
      <c r="FL384">
        <f ca="1"/>
      </c>
      <c r="FM384">
        <f ca="1"/>
      </c>
      <c r="FN384">
        <f ca="1"/>
      </c>
      <c r="FO384">
        <f ca="1"/>
      </c>
      <c r="FP384">
        <f ca="1"/>
      </c>
      <c r="FQ384">
        <f ca="1"/>
      </c>
      <c r="FR384">
        <f ca="1"/>
      </c>
      <c r="FS384">
        <f ca="1"/>
      </c>
      <c r="FT384">
        <f ca="1"/>
      </c>
      <c r="FU384">
        <f ca="1"/>
      </c>
      <c r="FV384">
        <f ca="1"/>
      </c>
      <c r="FW384">
        <f ca="1"/>
      </c>
      <c r="FX384">
        <f ca="1"/>
      </c>
      <c r="FY384">
        <f ca="1"/>
      </c>
      <c r="FZ384">
        <f ca="1"/>
      </c>
      <c r="GA384">
        <f ca="1"/>
      </c>
      <c r="GM384" s="7"/>
    </row>
    <row r="385" spans="41:195" x14ac:dyDescent="0.55000000000000004">
      <c r="AO385">
        <f ca="1"/>
      </c>
      <c r="AP385">
        <f ca="1"/>
      </c>
      <c r="AQ385">
        <f ca="1"/>
      </c>
      <c r="AR385">
        <f ca="1"/>
      </c>
      <c r="AS385">
        <f ca="1"/>
      </c>
      <c r="AT385">
        <f ca="1"/>
      </c>
      <c r="AU385">
        <f ca="1"/>
      </c>
      <c r="AV385">
        <f ca="1"/>
      </c>
      <c r="AW385">
        <f ca="1"/>
      </c>
      <c r="AX385">
        <f ca="1"/>
      </c>
      <c r="AY385">
        <f ca="1"/>
      </c>
      <c r="AZ385">
        <f ca="1"/>
      </c>
      <c r="BA385">
        <f ca="1"/>
      </c>
      <c r="BB385">
        <f ca="1"/>
      </c>
      <c r="BC385">
        <f ca="1"/>
      </c>
      <c r="BD385">
        <f ca="1"/>
      </c>
      <c r="BE385">
        <f ca="1"/>
      </c>
      <c r="BF385">
        <f ca="1"/>
      </c>
      <c r="BG385">
        <f ca="1"/>
      </c>
      <c r="BH385">
        <f ca="1"/>
      </c>
      <c r="BI385">
        <f ca="1"/>
      </c>
      <c r="BJ385">
        <f ca="1"/>
      </c>
      <c r="BK385">
        <f ca="1"/>
      </c>
      <c r="BL385">
        <f ca="1"/>
      </c>
      <c r="BM385">
        <f ca="1"/>
      </c>
      <c r="BN385">
        <f ca="1"/>
      </c>
      <c r="BO385">
        <f ca="1"/>
      </c>
      <c r="BP385">
        <f ca="1"/>
      </c>
      <c r="BQ385">
        <f ca="1"/>
      </c>
      <c r="BR385">
        <f ca="1"/>
      </c>
      <c r="BS385">
        <f ca="1"/>
      </c>
      <c r="BT385">
        <f ca="1"/>
      </c>
      <c r="BU385">
        <f ca="1"/>
      </c>
      <c r="BV385">
        <f ca="1"/>
      </c>
      <c r="BW385">
        <f ca="1"/>
      </c>
      <c r="BX385">
        <f ca="1"/>
      </c>
      <c r="BY385">
        <f ca="1"/>
      </c>
      <c r="BZ385">
        <f ca="1"/>
      </c>
      <c r="CA385">
        <f ca="1"/>
      </c>
      <c r="CB385">
        <f ca="1"/>
      </c>
      <c r="CC385">
        <f ca="1"/>
      </c>
      <c r="CD385">
        <f ca="1"/>
      </c>
      <c r="CE385">
        <f ca="1"/>
      </c>
      <c r="CF385">
        <f ca="1"/>
      </c>
      <c r="CG385">
        <f ca="1"/>
      </c>
      <c r="CH385">
        <f ca="1"/>
      </c>
      <c r="CI385">
        <f ca="1"/>
      </c>
      <c r="CK385">
        <f ca="1"/>
      </c>
      <c r="CL385">
        <f ca="1"/>
      </c>
      <c r="CM385">
        <f ca="1"/>
      </c>
      <c r="CN385">
        <f ca="1"/>
      </c>
      <c r="CO385">
        <f ca="1"/>
      </c>
      <c r="CP385">
        <f ca="1"/>
      </c>
      <c r="CQ385">
        <f ca="1"/>
      </c>
      <c r="CR385">
        <f ca="1"/>
      </c>
      <c r="CS385">
        <f ca="1"/>
      </c>
      <c r="CT385">
        <f ca="1"/>
      </c>
      <c r="CU385">
        <f ca="1"/>
      </c>
      <c r="CV385">
        <f ca="1"/>
      </c>
      <c r="CW385">
        <f ca="1"/>
      </c>
      <c r="CX385">
        <f ca="1"/>
      </c>
      <c r="CY385">
        <f ca="1"/>
      </c>
      <c r="CZ385">
        <f ca="1"/>
      </c>
      <c r="DA385">
        <f ca="1"/>
      </c>
      <c r="DB385">
        <f ca="1"/>
      </c>
      <c r="DC385">
        <f ca="1"/>
      </c>
      <c r="DD385">
        <f ca="1"/>
      </c>
      <c r="DE385">
        <f ca="1"/>
      </c>
      <c r="DF385">
        <f ca="1"/>
      </c>
      <c r="DG385">
        <f ca="1"/>
      </c>
      <c r="DH385">
        <f ca="1"/>
      </c>
      <c r="DI385">
        <f ca="1"/>
      </c>
      <c r="DJ385">
        <f ca="1"/>
      </c>
      <c r="DK385">
        <f ca="1"/>
      </c>
      <c r="DL385">
        <f ca="1"/>
      </c>
      <c r="DM385">
        <f ca="1"/>
      </c>
      <c r="DN385">
        <f ca="1"/>
      </c>
      <c r="DO385">
        <f ca="1"/>
      </c>
      <c r="DP385">
        <f ca="1"/>
      </c>
      <c r="DQ385">
        <f ca="1"/>
      </c>
      <c r="DR385">
        <f ca="1"/>
      </c>
      <c r="DS385">
        <f ca="1"/>
      </c>
      <c r="DT385">
        <f ca="1"/>
      </c>
      <c r="DU385">
        <f ca="1"/>
      </c>
      <c r="DV385">
        <f ca="1"/>
      </c>
      <c r="DW385">
        <f ca="1"/>
      </c>
      <c r="DX385">
        <f ca="1"/>
      </c>
      <c r="DY385">
        <f ca="1"/>
      </c>
      <c r="DZ385">
        <f ca="1"/>
      </c>
      <c r="EA385">
        <f ca="1"/>
      </c>
      <c r="EB385">
        <f ca="1"/>
      </c>
      <c r="EC385">
        <f ca="1"/>
      </c>
      <c r="ED385">
        <f ca="1"/>
      </c>
      <c r="EE385">
        <f ca="1"/>
      </c>
      <c r="EG385">
        <f ca="1"/>
      </c>
      <c r="EH385">
        <f ca="1"/>
      </c>
      <c r="EI385">
        <f ca="1"/>
      </c>
      <c r="EJ385">
        <f ca="1"/>
      </c>
      <c r="EK385">
        <f ca="1"/>
      </c>
      <c r="EL385">
        <f ca="1"/>
      </c>
      <c r="EM385">
        <f ca="1"/>
      </c>
      <c r="EN385">
        <f ca="1"/>
      </c>
      <c r="EO385">
        <f ca="1"/>
      </c>
      <c r="EP385">
        <f ca="1"/>
      </c>
      <c r="EQ385">
        <f ca="1"/>
      </c>
      <c r="ER385">
        <f ca="1"/>
      </c>
      <c r="ES385">
        <f ca="1"/>
      </c>
      <c r="ET385">
        <f ca="1"/>
      </c>
      <c r="EU385">
        <f ca="1"/>
      </c>
      <c r="EV385">
        <f ca="1"/>
      </c>
      <c r="EW385">
        <f ca="1"/>
      </c>
      <c r="EX385">
        <f ca="1"/>
      </c>
      <c r="EY385">
        <f ca="1"/>
      </c>
      <c r="EZ385">
        <f ca="1"/>
      </c>
      <c r="FA385">
        <f ca="1"/>
      </c>
      <c r="FB385">
        <f ca="1"/>
      </c>
      <c r="FC385">
        <f ca="1"/>
      </c>
      <c r="FD385">
        <f ca="1"/>
      </c>
      <c r="FE385">
        <f ca="1"/>
      </c>
      <c r="FF385">
        <f ca="1"/>
      </c>
      <c r="FG385">
        <f ca="1"/>
      </c>
      <c r="FH385">
        <f ca="1"/>
      </c>
      <c r="FI385">
        <f ca="1"/>
      </c>
      <c r="FJ385">
        <f ca="1"/>
      </c>
      <c r="FK385">
        <f ca="1"/>
      </c>
      <c r="FL385">
        <f ca="1"/>
      </c>
      <c r="FM385">
        <f ca="1"/>
      </c>
      <c r="FN385">
        <f ca="1"/>
      </c>
      <c r="FO385">
        <f ca="1"/>
      </c>
      <c r="FP385">
        <f ca="1"/>
      </c>
      <c r="FQ385">
        <f ca="1"/>
      </c>
      <c r="FR385">
        <f ca="1"/>
      </c>
      <c r="FS385">
        <f ca="1"/>
      </c>
      <c r="FT385">
        <f ca="1"/>
      </c>
      <c r="FU385">
        <f ca="1"/>
      </c>
      <c r="FV385">
        <f ca="1"/>
      </c>
      <c r="FW385">
        <f ca="1"/>
      </c>
      <c r="FX385">
        <f ca="1"/>
      </c>
      <c r="FY385">
        <f ca="1"/>
      </c>
      <c r="FZ385">
        <f ca="1"/>
      </c>
      <c r="GA385">
        <f ca="1"/>
      </c>
      <c r="GM385" s="7"/>
    </row>
    <row r="386" spans="41:195" x14ac:dyDescent="0.55000000000000004">
      <c r="AO386">
        <f ca="1"/>
      </c>
      <c r="AP386">
        <f ca="1"/>
      </c>
      <c r="AQ386">
        <f ca="1"/>
      </c>
      <c r="AR386">
        <f ca="1"/>
      </c>
      <c r="AS386">
        <f ca="1"/>
      </c>
      <c r="AT386">
        <f ca="1"/>
      </c>
      <c r="AU386">
        <f ca="1"/>
      </c>
      <c r="AV386">
        <f ca="1"/>
      </c>
      <c r="AW386">
        <f ca="1"/>
      </c>
      <c r="AX386">
        <f ca="1"/>
      </c>
      <c r="AY386">
        <f ca="1"/>
      </c>
      <c r="AZ386">
        <f ca="1"/>
      </c>
      <c r="BA386">
        <f ca="1"/>
      </c>
      <c r="BB386">
        <f ca="1"/>
      </c>
      <c r="BC386">
        <f ca="1"/>
      </c>
      <c r="BD386">
        <f ca="1"/>
      </c>
      <c r="BE386">
        <f ca="1"/>
      </c>
      <c r="BF386">
        <f ca="1"/>
      </c>
      <c r="BG386">
        <f ca="1"/>
      </c>
      <c r="BH386">
        <f ca="1"/>
      </c>
      <c r="BI386">
        <f ca="1"/>
      </c>
      <c r="BJ386">
        <f ca="1"/>
      </c>
      <c r="BK386">
        <f ca="1"/>
      </c>
      <c r="BL386">
        <f ca="1"/>
      </c>
      <c r="BM386">
        <f ca="1"/>
      </c>
      <c r="BN386">
        <f ca="1"/>
      </c>
      <c r="BO386">
        <f ca="1"/>
      </c>
      <c r="BP386">
        <f ca="1"/>
      </c>
      <c r="BQ386">
        <f ca="1"/>
      </c>
      <c r="BR386">
        <f ca="1"/>
      </c>
      <c r="BS386">
        <f ca="1"/>
      </c>
      <c r="BT386">
        <f ca="1"/>
      </c>
      <c r="BU386">
        <f ca="1"/>
      </c>
      <c r="BV386">
        <f ca="1"/>
      </c>
      <c r="BW386">
        <f ca="1"/>
      </c>
      <c r="BX386">
        <f ca="1"/>
      </c>
      <c r="BY386">
        <f ca="1"/>
      </c>
      <c r="BZ386">
        <f ca="1"/>
      </c>
      <c r="CA386">
        <f ca="1"/>
      </c>
      <c r="CB386">
        <f ca="1"/>
      </c>
      <c r="CC386">
        <f ca="1"/>
      </c>
      <c r="CD386">
        <f ca="1"/>
      </c>
      <c r="CE386">
        <f ca="1"/>
      </c>
      <c r="CF386">
        <f ca="1"/>
      </c>
      <c r="CG386">
        <f ca="1"/>
      </c>
      <c r="CH386">
        <f ca="1"/>
      </c>
      <c r="CI386">
        <f ca="1"/>
      </c>
      <c r="CK386">
        <f ca="1"/>
      </c>
      <c r="CL386">
        <f ca="1"/>
      </c>
      <c r="CM386">
        <f ca="1"/>
      </c>
      <c r="CN386">
        <f ca="1"/>
      </c>
      <c r="CO386">
        <f ca="1"/>
      </c>
      <c r="CP386">
        <f ca="1"/>
      </c>
      <c r="CQ386">
        <f ca="1"/>
      </c>
      <c r="CR386">
        <f ca="1"/>
      </c>
      <c r="CS386">
        <f ca="1"/>
      </c>
      <c r="CT386">
        <f ca="1"/>
      </c>
      <c r="CU386">
        <f ca="1"/>
      </c>
      <c r="CV386">
        <f ca="1"/>
      </c>
      <c r="CW386">
        <f ca="1"/>
      </c>
      <c r="CX386">
        <f ca="1"/>
      </c>
      <c r="CY386">
        <f ca="1"/>
      </c>
      <c r="CZ386">
        <f ca="1"/>
      </c>
      <c r="DA386">
        <f ca="1"/>
      </c>
      <c r="DB386">
        <f ca="1"/>
      </c>
      <c r="DC386">
        <f ca="1"/>
      </c>
      <c r="DD386">
        <f ca="1"/>
      </c>
      <c r="DE386">
        <f ca="1"/>
      </c>
      <c r="DF386">
        <f ca="1"/>
      </c>
      <c r="DG386">
        <f ca="1"/>
      </c>
      <c r="DH386">
        <f ca="1"/>
      </c>
      <c r="DI386">
        <f ca="1"/>
      </c>
      <c r="DJ386">
        <f ca="1"/>
      </c>
      <c r="DK386">
        <f ca="1"/>
      </c>
      <c r="DL386">
        <f ca="1"/>
      </c>
      <c r="DM386">
        <f ca="1"/>
      </c>
      <c r="DN386">
        <f ca="1"/>
      </c>
      <c r="DO386">
        <f ca="1"/>
      </c>
      <c r="DP386">
        <f ca="1"/>
      </c>
      <c r="DQ386">
        <f ca="1"/>
      </c>
      <c r="DR386">
        <f ca="1"/>
      </c>
      <c r="DS386">
        <f ca="1"/>
      </c>
      <c r="DT386">
        <f ca="1"/>
      </c>
      <c r="DU386">
        <f ca="1"/>
      </c>
      <c r="DV386">
        <f ca="1"/>
      </c>
      <c r="DW386">
        <f ca="1"/>
      </c>
      <c r="DX386">
        <f ca="1"/>
      </c>
      <c r="DY386">
        <f ca="1"/>
      </c>
      <c r="DZ386">
        <f ca="1"/>
      </c>
      <c r="EA386">
        <f ca="1"/>
      </c>
      <c r="EB386">
        <f ca="1"/>
      </c>
      <c r="EC386">
        <f ca="1"/>
      </c>
      <c r="ED386">
        <f ca="1"/>
      </c>
      <c r="EE386">
        <f ca="1"/>
      </c>
      <c r="EG386">
        <f ca="1"/>
      </c>
      <c r="EH386">
        <f ca="1"/>
      </c>
      <c r="EI386">
        <f ca="1"/>
      </c>
      <c r="EJ386">
        <f ca="1"/>
      </c>
      <c r="EK386">
        <f ca="1"/>
      </c>
      <c r="EL386">
        <f ca="1"/>
      </c>
      <c r="EM386">
        <f ca="1"/>
      </c>
      <c r="EN386">
        <f ca="1"/>
      </c>
      <c r="EO386">
        <f ca="1"/>
      </c>
      <c r="EP386">
        <f ca="1"/>
      </c>
      <c r="EQ386">
        <f ca="1"/>
      </c>
      <c r="ER386">
        <f ca="1"/>
      </c>
      <c r="ES386">
        <f ca="1"/>
      </c>
      <c r="ET386">
        <f ca="1"/>
      </c>
      <c r="EU386">
        <f ca="1"/>
      </c>
      <c r="EV386">
        <f ca="1"/>
      </c>
      <c r="EW386">
        <f ca="1"/>
      </c>
      <c r="EX386">
        <f ca="1"/>
      </c>
      <c r="EY386">
        <f ca="1"/>
      </c>
      <c r="EZ386">
        <f ca="1"/>
      </c>
      <c r="FA386">
        <f ca="1"/>
      </c>
      <c r="FB386">
        <f ca="1"/>
      </c>
      <c r="FC386">
        <f ca="1"/>
      </c>
      <c r="FD386">
        <f ca="1"/>
      </c>
      <c r="FE386">
        <f ca="1"/>
      </c>
      <c r="FF386">
        <f ca="1"/>
      </c>
      <c r="FG386">
        <f ca="1"/>
      </c>
      <c r="FH386">
        <f ca="1"/>
      </c>
      <c r="FI386">
        <f ca="1"/>
      </c>
      <c r="FJ386">
        <f ca="1"/>
      </c>
      <c r="FK386">
        <f ca="1"/>
      </c>
      <c r="FL386">
        <f ca="1"/>
      </c>
      <c r="FM386">
        <f ca="1"/>
      </c>
      <c r="FN386">
        <f ca="1"/>
      </c>
      <c r="FO386">
        <f ca="1"/>
      </c>
      <c r="FP386">
        <f ca="1"/>
      </c>
      <c r="FQ386">
        <f ca="1"/>
      </c>
      <c r="FR386">
        <f ca="1"/>
      </c>
      <c r="FS386">
        <f ca="1"/>
      </c>
      <c r="FT386">
        <f ca="1"/>
      </c>
      <c r="FU386">
        <f ca="1"/>
      </c>
      <c r="FV386">
        <f ca="1"/>
      </c>
      <c r="FW386">
        <f ca="1"/>
      </c>
      <c r="FX386">
        <f ca="1"/>
      </c>
      <c r="FY386">
        <f ca="1"/>
      </c>
      <c r="FZ386">
        <f ca="1"/>
      </c>
      <c r="GA386">
        <f ca="1"/>
      </c>
      <c r="GM386" s="7"/>
    </row>
    <row r="387" spans="41:195" x14ac:dyDescent="0.55000000000000004">
      <c r="AO387">
        <f ca="1"/>
      </c>
      <c r="AP387">
        <f ca="1"/>
      </c>
      <c r="AQ387">
        <f ca="1"/>
      </c>
      <c r="AR387">
        <f ca="1"/>
      </c>
      <c r="AS387">
        <f ca="1"/>
      </c>
      <c r="AT387">
        <f ca="1"/>
      </c>
      <c r="AU387">
        <f ca="1"/>
      </c>
      <c r="AV387">
        <f ca="1"/>
      </c>
      <c r="AW387">
        <f ca="1"/>
      </c>
      <c r="AX387">
        <f ca="1"/>
      </c>
      <c r="AY387">
        <f ca="1"/>
      </c>
      <c r="AZ387">
        <f ca="1"/>
      </c>
      <c r="BA387">
        <f ca="1"/>
      </c>
      <c r="BB387">
        <f ca="1"/>
      </c>
      <c r="BC387">
        <f ca="1"/>
      </c>
      <c r="BD387">
        <f ca="1"/>
      </c>
      <c r="BE387">
        <f ca="1"/>
      </c>
      <c r="BF387">
        <f ca="1"/>
      </c>
      <c r="BG387">
        <f ca="1"/>
      </c>
      <c r="BH387">
        <f ca="1"/>
      </c>
      <c r="BI387">
        <f ca="1"/>
      </c>
      <c r="BJ387">
        <f ca="1"/>
      </c>
      <c r="BK387">
        <f ca="1"/>
      </c>
      <c r="BL387">
        <f ca="1"/>
      </c>
      <c r="BM387">
        <f ca="1"/>
      </c>
      <c r="BN387">
        <f ca="1"/>
      </c>
      <c r="BO387">
        <f ca="1"/>
      </c>
      <c r="BP387">
        <f ca="1"/>
      </c>
      <c r="BQ387">
        <f ca="1"/>
      </c>
      <c r="BR387">
        <f ca="1"/>
      </c>
      <c r="BS387">
        <f ca="1"/>
      </c>
      <c r="BT387">
        <f ca="1"/>
      </c>
      <c r="BU387">
        <f ca="1"/>
      </c>
      <c r="BV387">
        <f ca="1"/>
      </c>
      <c r="BW387">
        <f ca="1"/>
      </c>
      <c r="BX387">
        <f ca="1"/>
      </c>
      <c r="BY387">
        <f ca="1"/>
      </c>
      <c r="BZ387">
        <f ca="1"/>
      </c>
      <c r="CA387">
        <f ca="1"/>
      </c>
      <c r="CB387">
        <f ca="1"/>
      </c>
      <c r="CC387">
        <f ca="1"/>
      </c>
      <c r="CD387">
        <f ca="1"/>
      </c>
      <c r="CE387">
        <f ca="1"/>
      </c>
      <c r="CF387">
        <f ca="1"/>
      </c>
      <c r="CG387">
        <f ca="1"/>
      </c>
      <c r="CH387">
        <f ca="1"/>
      </c>
      <c r="CI387">
        <f ca="1"/>
      </c>
      <c r="CK387">
        <f ca="1"/>
      </c>
      <c r="CL387">
        <f ca="1"/>
      </c>
      <c r="CM387">
        <f ca="1"/>
      </c>
      <c r="CN387">
        <f ca="1"/>
      </c>
      <c r="CO387">
        <f ca="1"/>
      </c>
      <c r="CP387">
        <f ca="1"/>
      </c>
      <c r="CQ387">
        <f ca="1"/>
      </c>
      <c r="CR387">
        <f ca="1"/>
      </c>
      <c r="CS387">
        <f ca="1"/>
      </c>
      <c r="CT387">
        <f ca="1"/>
      </c>
      <c r="CU387">
        <f ca="1"/>
      </c>
      <c r="CV387">
        <f ca="1"/>
      </c>
      <c r="CW387">
        <f ca="1"/>
      </c>
      <c r="CX387">
        <f ca="1"/>
      </c>
      <c r="CY387">
        <f ca="1"/>
      </c>
      <c r="CZ387">
        <f ca="1"/>
      </c>
      <c r="DA387">
        <f ca="1"/>
      </c>
      <c r="DB387">
        <f ca="1"/>
      </c>
      <c r="DC387">
        <f ca="1"/>
      </c>
      <c r="DD387">
        <f ca="1"/>
      </c>
      <c r="DE387">
        <f ca="1"/>
      </c>
      <c r="DF387">
        <f ca="1"/>
      </c>
      <c r="DG387">
        <f ca="1"/>
      </c>
      <c r="DH387">
        <f ca="1"/>
      </c>
      <c r="DI387">
        <f ca="1"/>
      </c>
      <c r="DJ387">
        <f ca="1"/>
      </c>
      <c r="DK387">
        <f ca="1"/>
      </c>
      <c r="DL387">
        <f ca="1"/>
      </c>
      <c r="DM387">
        <f ca="1"/>
      </c>
      <c r="DN387">
        <f ca="1"/>
      </c>
      <c r="DO387">
        <f ca="1"/>
      </c>
      <c r="DP387">
        <f ca="1"/>
      </c>
      <c r="DQ387">
        <f ca="1"/>
      </c>
      <c r="DR387">
        <f ca="1"/>
      </c>
      <c r="DS387">
        <f ca="1"/>
      </c>
      <c r="DT387">
        <f ca="1"/>
      </c>
      <c r="DU387">
        <f ca="1"/>
      </c>
      <c r="DV387">
        <f ca="1"/>
      </c>
      <c r="DW387">
        <f ca="1"/>
      </c>
      <c r="DX387">
        <f ca="1"/>
      </c>
      <c r="DY387">
        <f ca="1"/>
      </c>
      <c r="DZ387">
        <f ca="1"/>
      </c>
      <c r="EA387">
        <f ca="1"/>
      </c>
      <c r="EB387">
        <f ca="1"/>
      </c>
      <c r="EC387">
        <f ca="1"/>
      </c>
      <c r="ED387">
        <f ca="1"/>
      </c>
      <c r="EE387">
        <f ca="1"/>
      </c>
      <c r="EG387">
        <f ca="1"/>
      </c>
      <c r="EH387">
        <f ca="1"/>
      </c>
      <c r="EI387">
        <f ca="1"/>
      </c>
      <c r="EJ387">
        <f ca="1"/>
      </c>
      <c r="EK387">
        <f ca="1"/>
      </c>
      <c r="EL387">
        <f ca="1"/>
      </c>
      <c r="EM387">
        <f ca="1"/>
      </c>
      <c r="EN387">
        <f ca="1"/>
      </c>
      <c r="EO387">
        <f ca="1"/>
      </c>
      <c r="EP387">
        <f ca="1"/>
      </c>
      <c r="EQ387">
        <f ca="1"/>
      </c>
      <c r="ER387">
        <f ca="1"/>
      </c>
      <c r="ES387">
        <f ca="1"/>
      </c>
      <c r="ET387">
        <f ca="1"/>
      </c>
      <c r="EU387">
        <f ca="1"/>
      </c>
      <c r="EV387">
        <f ca="1"/>
      </c>
      <c r="EW387">
        <f ca="1"/>
      </c>
      <c r="EX387">
        <f ca="1"/>
      </c>
      <c r="EY387">
        <f ca="1"/>
      </c>
      <c r="EZ387">
        <f ca="1"/>
      </c>
      <c r="FA387">
        <f ca="1"/>
      </c>
      <c r="FB387">
        <f ca="1"/>
      </c>
      <c r="FC387">
        <f ca="1"/>
      </c>
      <c r="FD387">
        <f ca="1"/>
      </c>
      <c r="FE387">
        <f ca="1"/>
      </c>
      <c r="FF387">
        <f ca="1"/>
      </c>
      <c r="FG387">
        <f ca="1"/>
      </c>
      <c r="FH387">
        <f ca="1"/>
      </c>
      <c r="FI387">
        <f ca="1"/>
      </c>
      <c r="FJ387">
        <f ca="1"/>
      </c>
      <c r="FK387">
        <f ca="1"/>
      </c>
      <c r="FL387">
        <f ca="1"/>
      </c>
      <c r="FM387">
        <f ca="1"/>
      </c>
      <c r="FN387">
        <f ca="1"/>
      </c>
      <c r="FO387">
        <f ca="1"/>
      </c>
      <c r="FP387">
        <f ca="1"/>
      </c>
      <c r="FQ387">
        <f ca="1"/>
      </c>
      <c r="FR387">
        <f ca="1"/>
      </c>
      <c r="FS387">
        <f ca="1"/>
      </c>
      <c r="FT387">
        <f ca="1"/>
      </c>
      <c r="FU387">
        <f ca="1"/>
      </c>
      <c r="FV387">
        <f ca="1"/>
      </c>
      <c r="FW387">
        <f ca="1"/>
      </c>
      <c r="FX387">
        <f ca="1"/>
      </c>
      <c r="FY387">
        <f ca="1"/>
      </c>
      <c r="FZ387">
        <f ca="1"/>
      </c>
      <c r="GA387">
        <f ca="1"/>
      </c>
      <c r="GM387" s="7"/>
    </row>
    <row r="388" spans="41:195" x14ac:dyDescent="0.55000000000000004">
      <c r="AO388">
        <f ca="1"/>
      </c>
      <c r="AP388">
        <f ca="1"/>
      </c>
      <c r="AQ388">
        <f ca="1"/>
      </c>
      <c r="AR388">
        <f ca="1"/>
      </c>
      <c r="AS388">
        <f ca="1"/>
      </c>
      <c r="AT388">
        <f ca="1"/>
      </c>
      <c r="AU388">
        <f ca="1"/>
      </c>
      <c r="AV388">
        <f ca="1"/>
      </c>
      <c r="AW388">
        <f ca="1"/>
      </c>
      <c r="AX388">
        <f ca="1"/>
      </c>
      <c r="AY388">
        <f ca="1"/>
      </c>
      <c r="AZ388">
        <f ca="1"/>
      </c>
      <c r="BA388">
        <f ca="1"/>
      </c>
      <c r="BB388">
        <f ca="1"/>
      </c>
      <c r="BC388">
        <f ca="1"/>
      </c>
      <c r="BD388">
        <f ca="1"/>
      </c>
      <c r="BE388">
        <f ca="1"/>
      </c>
      <c r="BF388">
        <f ca="1"/>
      </c>
      <c r="BG388">
        <f ca="1"/>
      </c>
      <c r="BH388">
        <f ca="1"/>
      </c>
      <c r="BI388">
        <f ca="1"/>
      </c>
      <c r="BJ388">
        <f ca="1"/>
      </c>
      <c r="BK388">
        <f ca="1"/>
      </c>
      <c r="BL388">
        <f ca="1"/>
      </c>
      <c r="BM388">
        <f ca="1"/>
      </c>
      <c r="BN388">
        <f ca="1"/>
      </c>
      <c r="BO388">
        <f ca="1"/>
      </c>
      <c r="BP388">
        <f ca="1"/>
      </c>
      <c r="BQ388">
        <f ca="1"/>
      </c>
      <c r="BR388">
        <f ca="1"/>
      </c>
      <c r="BS388">
        <f ca="1"/>
      </c>
      <c r="BT388">
        <f ca="1"/>
      </c>
      <c r="BU388">
        <f ca="1"/>
      </c>
      <c r="BV388">
        <f ca="1"/>
      </c>
      <c r="BW388">
        <f ca="1"/>
      </c>
      <c r="BX388">
        <f ca="1"/>
      </c>
      <c r="BY388">
        <f ca="1"/>
      </c>
      <c r="BZ388">
        <f ca="1"/>
      </c>
      <c r="CA388">
        <f ca="1"/>
      </c>
      <c r="CB388">
        <f ca="1"/>
      </c>
      <c r="CC388">
        <f ca="1"/>
      </c>
      <c r="CD388">
        <f ca="1"/>
      </c>
      <c r="CE388">
        <f ca="1"/>
      </c>
      <c r="CF388">
        <f ca="1"/>
      </c>
      <c r="CG388">
        <f ca="1"/>
      </c>
      <c r="CH388">
        <f ca="1"/>
      </c>
      <c r="CI388">
        <f ca="1"/>
      </c>
      <c r="CK388">
        <f ca="1"/>
      </c>
      <c r="CL388">
        <f ca="1"/>
      </c>
      <c r="CM388">
        <f ca="1"/>
      </c>
      <c r="CN388">
        <f ca="1"/>
      </c>
      <c r="CO388">
        <f ca="1"/>
      </c>
      <c r="CP388">
        <f ca="1"/>
      </c>
      <c r="CQ388">
        <f ca="1"/>
      </c>
      <c r="CR388">
        <f ca="1"/>
      </c>
      <c r="CS388">
        <f ca="1"/>
      </c>
      <c r="CT388">
        <f ca="1"/>
      </c>
      <c r="CU388">
        <f ca="1"/>
      </c>
      <c r="CV388">
        <f ca="1"/>
      </c>
      <c r="CW388">
        <f ca="1"/>
      </c>
      <c r="CX388">
        <f ca="1"/>
      </c>
      <c r="CY388">
        <f ca="1"/>
      </c>
      <c r="CZ388">
        <f ca="1"/>
      </c>
      <c r="DA388">
        <f ca="1"/>
      </c>
      <c r="DB388">
        <f ca="1"/>
      </c>
      <c r="DC388">
        <f ca="1"/>
      </c>
      <c r="DD388">
        <f ca="1"/>
      </c>
      <c r="DE388">
        <f ca="1"/>
      </c>
      <c r="DF388">
        <f ca="1"/>
      </c>
      <c r="DG388">
        <f ca="1"/>
      </c>
      <c r="DH388">
        <f ca="1"/>
      </c>
      <c r="DI388">
        <f ca="1"/>
      </c>
      <c r="DJ388">
        <f ca="1"/>
      </c>
      <c r="DK388">
        <f ca="1"/>
      </c>
      <c r="DL388">
        <f ca="1"/>
      </c>
      <c r="DM388">
        <f ca="1"/>
      </c>
      <c r="DN388">
        <f ca="1"/>
      </c>
      <c r="DO388">
        <f ca="1"/>
      </c>
      <c r="DP388">
        <f ca="1"/>
      </c>
      <c r="DQ388">
        <f ca="1"/>
      </c>
      <c r="DR388">
        <f ca="1"/>
      </c>
      <c r="DS388">
        <f ca="1"/>
      </c>
      <c r="DT388">
        <f ca="1"/>
      </c>
      <c r="DU388">
        <f ca="1"/>
      </c>
      <c r="DV388">
        <f ca="1"/>
      </c>
      <c r="DW388">
        <f ca="1"/>
      </c>
      <c r="DX388">
        <f ca="1"/>
      </c>
      <c r="DY388">
        <f ca="1"/>
      </c>
      <c r="DZ388">
        <f ca="1"/>
      </c>
      <c r="EA388">
        <f ca="1"/>
      </c>
      <c r="EB388">
        <f ca="1"/>
      </c>
      <c r="EC388">
        <f ca="1"/>
      </c>
      <c r="ED388">
        <f ca="1"/>
      </c>
      <c r="EE388">
        <f ca="1"/>
      </c>
      <c r="EG388">
        <f ca="1"/>
      </c>
      <c r="EH388">
        <f ca="1"/>
      </c>
      <c r="EI388">
        <f ca="1"/>
      </c>
      <c r="EJ388">
        <f ca="1"/>
      </c>
      <c r="EK388">
        <f ca="1"/>
      </c>
      <c r="EL388">
        <f ca="1"/>
      </c>
      <c r="EM388">
        <f ca="1"/>
      </c>
      <c r="EN388">
        <f ca="1"/>
      </c>
      <c r="EO388">
        <f ca="1"/>
      </c>
      <c r="EP388">
        <f ca="1"/>
      </c>
      <c r="EQ388">
        <f ca="1"/>
      </c>
      <c r="ER388">
        <f ca="1"/>
      </c>
      <c r="ES388">
        <f ca="1"/>
      </c>
      <c r="ET388">
        <f ca="1"/>
      </c>
      <c r="EU388">
        <f ca="1"/>
      </c>
      <c r="EV388">
        <f ca="1"/>
      </c>
      <c r="EW388">
        <f ca="1"/>
      </c>
      <c r="EX388">
        <f ca="1"/>
      </c>
      <c r="EY388">
        <f ca="1"/>
      </c>
      <c r="EZ388">
        <f ca="1"/>
      </c>
      <c r="FA388">
        <f ca="1"/>
      </c>
      <c r="FB388">
        <f ca="1"/>
      </c>
      <c r="FC388">
        <f ca="1"/>
      </c>
      <c r="FD388">
        <f ca="1"/>
      </c>
      <c r="FE388">
        <f ca="1"/>
      </c>
      <c r="FF388">
        <f ca="1"/>
      </c>
      <c r="FG388">
        <f ca="1"/>
      </c>
      <c r="FH388">
        <f ca="1"/>
      </c>
      <c r="FI388">
        <f ca="1"/>
      </c>
      <c r="FJ388">
        <f ca="1"/>
      </c>
      <c r="FK388">
        <f ca="1"/>
      </c>
      <c r="FL388">
        <f ca="1"/>
      </c>
      <c r="FM388">
        <f ca="1"/>
      </c>
      <c r="FN388">
        <f ca="1"/>
      </c>
      <c r="FO388">
        <f ca="1"/>
      </c>
      <c r="FP388">
        <f ca="1"/>
      </c>
      <c r="FQ388">
        <f ca="1"/>
      </c>
      <c r="FR388">
        <f ca="1"/>
      </c>
      <c r="FS388">
        <f ca="1"/>
      </c>
      <c r="FT388">
        <f ca="1"/>
      </c>
      <c r="FU388">
        <f ca="1"/>
      </c>
      <c r="FV388">
        <f ca="1"/>
      </c>
      <c r="FW388">
        <f ca="1"/>
      </c>
      <c r="FX388">
        <f ca="1"/>
      </c>
      <c r="FY388">
        <f ca="1"/>
      </c>
      <c r="FZ388">
        <f ca="1"/>
      </c>
      <c r="GA388">
        <f ca="1"/>
      </c>
      <c r="GM388" s="7"/>
    </row>
    <row r="389" spans="41:195" x14ac:dyDescent="0.55000000000000004">
      <c r="AO389">
        <f ca="1"/>
      </c>
      <c r="AP389">
        <f ca="1"/>
      </c>
      <c r="AQ389">
        <f ca="1"/>
      </c>
      <c r="AR389">
        <f ca="1"/>
      </c>
      <c r="AS389">
        <f ca="1"/>
      </c>
      <c r="AT389">
        <f ca="1"/>
      </c>
      <c r="AU389">
        <f ca="1"/>
      </c>
      <c r="AV389">
        <f ca="1"/>
      </c>
      <c r="AW389">
        <f ca="1"/>
      </c>
      <c r="AX389">
        <f ca="1"/>
      </c>
      <c r="AY389">
        <f ca="1"/>
      </c>
      <c r="AZ389">
        <f ca="1"/>
      </c>
      <c r="BA389">
        <f ca="1"/>
      </c>
      <c r="BB389">
        <f ca="1"/>
      </c>
      <c r="BC389">
        <f ca="1"/>
      </c>
      <c r="BD389">
        <f ca="1"/>
      </c>
      <c r="BE389">
        <f ca="1"/>
      </c>
      <c r="BF389">
        <f ca="1"/>
      </c>
      <c r="BG389">
        <f ca="1"/>
      </c>
      <c r="BH389">
        <f ca="1"/>
      </c>
      <c r="BI389">
        <f ca="1"/>
      </c>
      <c r="BJ389">
        <f ca="1"/>
      </c>
      <c r="BK389">
        <f ca="1"/>
      </c>
      <c r="BL389">
        <f ca="1"/>
      </c>
      <c r="BM389">
        <f ca="1"/>
      </c>
      <c r="BN389">
        <f ca="1"/>
      </c>
      <c r="BO389">
        <f ca="1"/>
      </c>
      <c r="BP389">
        <f ca="1"/>
      </c>
      <c r="BQ389">
        <f ca="1"/>
      </c>
      <c r="BR389">
        <f ca="1"/>
      </c>
      <c r="BS389">
        <f ca="1"/>
      </c>
      <c r="BT389">
        <f ca="1"/>
      </c>
      <c r="BU389">
        <f ca="1"/>
      </c>
      <c r="BV389">
        <f ca="1"/>
      </c>
      <c r="BW389">
        <f ca="1"/>
      </c>
      <c r="BX389">
        <f ca="1"/>
      </c>
      <c r="BY389">
        <f ca="1"/>
      </c>
      <c r="BZ389">
        <f ca="1"/>
      </c>
      <c r="CA389">
        <f ca="1"/>
      </c>
      <c r="CB389">
        <f ca="1"/>
      </c>
      <c r="CC389">
        <f ca="1"/>
      </c>
      <c r="CD389">
        <f ca="1"/>
      </c>
      <c r="CE389">
        <f ca="1"/>
      </c>
      <c r="CF389">
        <f ca="1"/>
      </c>
      <c r="CG389">
        <f ca="1"/>
      </c>
      <c r="CH389">
        <f ca="1"/>
      </c>
      <c r="CI389">
        <f ca="1"/>
      </c>
      <c r="CK389">
        <f ca="1"/>
      </c>
      <c r="CL389">
        <f ca="1"/>
      </c>
      <c r="CM389">
        <f ca="1"/>
      </c>
      <c r="CN389">
        <f ca="1"/>
      </c>
      <c r="CO389">
        <f ca="1"/>
      </c>
      <c r="CP389">
        <f ca="1"/>
      </c>
      <c r="CQ389">
        <f ca="1"/>
      </c>
      <c r="CR389">
        <f ca="1"/>
      </c>
      <c r="CS389">
        <f ca="1"/>
      </c>
      <c r="CT389">
        <f ca="1"/>
      </c>
      <c r="CU389">
        <f ca="1"/>
      </c>
      <c r="CV389">
        <f ca="1"/>
      </c>
      <c r="CW389">
        <f ca="1"/>
      </c>
      <c r="CX389">
        <f ca="1"/>
      </c>
      <c r="CY389">
        <f ca="1"/>
      </c>
      <c r="CZ389">
        <f ca="1"/>
      </c>
      <c r="DA389">
        <f ca="1"/>
      </c>
      <c r="DB389">
        <f ca="1"/>
      </c>
      <c r="DC389">
        <f ca="1"/>
      </c>
      <c r="DD389">
        <f ca="1"/>
      </c>
      <c r="DE389">
        <f ca="1"/>
      </c>
      <c r="DF389">
        <f ca="1"/>
      </c>
      <c r="DG389">
        <f ca="1"/>
      </c>
      <c r="DH389">
        <f ca="1"/>
      </c>
      <c r="DI389">
        <f ca="1"/>
      </c>
      <c r="DJ389">
        <f ca="1"/>
      </c>
      <c r="DK389">
        <f ca="1"/>
      </c>
      <c r="DL389">
        <f ca="1"/>
      </c>
      <c r="DM389">
        <f ca="1"/>
      </c>
      <c r="DN389">
        <f ca="1"/>
      </c>
      <c r="DO389">
        <f ca="1"/>
      </c>
      <c r="DP389">
        <f ca="1"/>
      </c>
      <c r="DQ389">
        <f ca="1"/>
      </c>
      <c r="DR389">
        <f ca="1"/>
      </c>
      <c r="DS389">
        <f ca="1"/>
      </c>
      <c r="DT389">
        <f ca="1"/>
      </c>
      <c r="DU389">
        <f ca="1"/>
      </c>
      <c r="DV389">
        <f ca="1"/>
      </c>
      <c r="DW389">
        <f ca="1"/>
      </c>
      <c r="DX389">
        <f ca="1"/>
      </c>
      <c r="DY389">
        <f ca="1"/>
      </c>
      <c r="DZ389">
        <f ca="1"/>
      </c>
      <c r="EA389">
        <f ca="1"/>
      </c>
      <c r="EB389">
        <f ca="1"/>
      </c>
      <c r="EC389">
        <f ca="1"/>
      </c>
      <c r="ED389">
        <f ca="1"/>
      </c>
      <c r="EE389">
        <f ca="1"/>
      </c>
      <c r="EG389">
        <f ca="1"/>
      </c>
      <c r="EH389">
        <f ca="1"/>
      </c>
      <c r="EI389">
        <f ca="1"/>
      </c>
      <c r="EJ389">
        <f ca="1"/>
      </c>
      <c r="EK389">
        <f ca="1"/>
      </c>
      <c r="EL389">
        <f ca="1"/>
      </c>
      <c r="EM389">
        <f ca="1"/>
      </c>
      <c r="EN389">
        <f ca="1"/>
      </c>
      <c r="EO389">
        <f ca="1"/>
      </c>
      <c r="EP389">
        <f ca="1"/>
      </c>
      <c r="EQ389">
        <f ca="1"/>
      </c>
      <c r="ER389">
        <f ca="1"/>
      </c>
      <c r="ES389">
        <f ca="1"/>
      </c>
      <c r="ET389">
        <f ca="1"/>
      </c>
      <c r="EU389">
        <f ca="1"/>
      </c>
      <c r="EV389">
        <f ca="1"/>
      </c>
      <c r="EW389">
        <f ca="1"/>
      </c>
      <c r="EX389">
        <f ca="1"/>
      </c>
      <c r="EY389">
        <f ca="1"/>
      </c>
      <c r="EZ389">
        <f ca="1"/>
      </c>
      <c r="FA389">
        <f ca="1"/>
      </c>
      <c r="FB389">
        <f ca="1"/>
      </c>
      <c r="FC389">
        <f ca="1"/>
      </c>
      <c r="FD389">
        <f ca="1"/>
      </c>
      <c r="FE389">
        <f ca="1"/>
      </c>
      <c r="FF389">
        <f ca="1"/>
      </c>
      <c r="FG389">
        <f ca="1"/>
      </c>
      <c r="FH389">
        <f ca="1"/>
      </c>
      <c r="FI389">
        <f ca="1"/>
      </c>
      <c r="FJ389">
        <f ca="1"/>
      </c>
      <c r="FK389">
        <f ca="1"/>
      </c>
      <c r="FL389">
        <f ca="1"/>
      </c>
      <c r="FM389">
        <f ca="1"/>
      </c>
      <c r="FN389">
        <f ca="1"/>
      </c>
      <c r="FO389">
        <f ca="1"/>
      </c>
      <c r="FP389">
        <f ca="1"/>
      </c>
      <c r="FQ389">
        <f ca="1"/>
      </c>
      <c r="FR389">
        <f ca="1"/>
      </c>
      <c r="FS389">
        <f ca="1"/>
      </c>
      <c r="FT389">
        <f ca="1"/>
      </c>
      <c r="FU389">
        <f ca="1"/>
      </c>
      <c r="FV389">
        <f ca="1"/>
      </c>
      <c r="FW389">
        <f ca="1"/>
      </c>
      <c r="FX389">
        <f ca="1"/>
      </c>
      <c r="FY389">
        <f ca="1"/>
      </c>
      <c r="FZ389">
        <f ca="1"/>
      </c>
      <c r="GA389">
        <f ca="1"/>
      </c>
      <c r="GM389" s="7"/>
    </row>
    <row r="390" spans="41:195" x14ac:dyDescent="0.55000000000000004">
      <c r="AO390">
        <f ca="1"/>
      </c>
      <c r="AP390">
        <f ca="1"/>
      </c>
      <c r="AQ390">
        <f ca="1"/>
      </c>
      <c r="AR390">
        <f ca="1"/>
      </c>
      <c r="AS390">
        <f ca="1"/>
      </c>
      <c r="AT390">
        <f ca="1"/>
      </c>
      <c r="AU390">
        <f ca="1"/>
      </c>
      <c r="AV390">
        <f ca="1"/>
      </c>
      <c r="AW390">
        <f ca="1"/>
      </c>
      <c r="AX390">
        <f ca="1"/>
      </c>
      <c r="AY390">
        <f ca="1"/>
      </c>
      <c r="AZ390">
        <f ca="1"/>
      </c>
      <c r="BA390">
        <f ca="1"/>
      </c>
      <c r="BB390">
        <f ca="1"/>
      </c>
      <c r="BC390">
        <f ca="1"/>
      </c>
      <c r="BD390">
        <f ca="1"/>
      </c>
      <c r="BE390">
        <f ca="1"/>
      </c>
      <c r="BF390">
        <f ca="1"/>
      </c>
      <c r="BG390">
        <f ca="1"/>
      </c>
      <c r="BH390">
        <f ca="1"/>
      </c>
      <c r="BI390">
        <f ca="1"/>
      </c>
      <c r="BJ390">
        <f ca="1"/>
      </c>
      <c r="BK390">
        <f ca="1"/>
      </c>
      <c r="BL390">
        <f ca="1"/>
      </c>
      <c r="BM390">
        <f ca="1"/>
      </c>
      <c r="BN390">
        <f ca="1"/>
      </c>
      <c r="BO390">
        <f ca="1"/>
      </c>
      <c r="BP390">
        <f ca="1"/>
      </c>
      <c r="BQ390">
        <f ca="1"/>
      </c>
      <c r="BR390">
        <f ca="1"/>
      </c>
      <c r="BS390">
        <f ca="1"/>
      </c>
      <c r="BT390">
        <f ca="1"/>
      </c>
      <c r="BU390">
        <f ca="1"/>
      </c>
      <c r="BV390">
        <f ca="1"/>
      </c>
      <c r="BW390">
        <f ca="1"/>
      </c>
      <c r="BX390">
        <f ca="1"/>
      </c>
      <c r="BY390">
        <f ca="1"/>
      </c>
      <c r="BZ390">
        <f ca="1"/>
      </c>
      <c r="CA390">
        <f ca="1"/>
      </c>
      <c r="CB390">
        <f ca="1"/>
      </c>
      <c r="CC390">
        <f ca="1"/>
      </c>
      <c r="CD390">
        <f ca="1"/>
      </c>
      <c r="CE390">
        <f ca="1"/>
      </c>
      <c r="CF390">
        <f ca="1"/>
      </c>
      <c r="CG390">
        <f ca="1"/>
      </c>
      <c r="CH390">
        <f ca="1"/>
      </c>
      <c r="CI390">
        <f ca="1"/>
      </c>
      <c r="CK390">
        <f ca="1"/>
      </c>
      <c r="CL390">
        <f ca="1"/>
      </c>
      <c r="CM390">
        <f ca="1"/>
      </c>
      <c r="CN390">
        <f ca="1"/>
      </c>
      <c r="CO390">
        <f ca="1"/>
      </c>
      <c r="CP390">
        <f ca="1"/>
      </c>
      <c r="CQ390">
        <f ca="1"/>
      </c>
      <c r="CR390">
        <f ca="1"/>
      </c>
      <c r="CS390">
        <f ca="1"/>
      </c>
      <c r="CT390">
        <f ca="1"/>
      </c>
      <c r="CU390">
        <f ca="1"/>
      </c>
      <c r="CV390">
        <f ca="1"/>
      </c>
      <c r="CW390">
        <f ca="1"/>
      </c>
      <c r="CX390">
        <f ca="1"/>
      </c>
      <c r="CY390">
        <f ca="1"/>
      </c>
      <c r="CZ390">
        <f ca="1"/>
      </c>
      <c r="DA390">
        <f ca="1"/>
      </c>
      <c r="DB390">
        <f ca="1"/>
      </c>
      <c r="DC390">
        <f ca="1"/>
      </c>
      <c r="DD390">
        <f ca="1"/>
      </c>
      <c r="DE390">
        <f ca="1"/>
      </c>
      <c r="DF390">
        <f ca="1"/>
      </c>
      <c r="DG390">
        <f ca="1"/>
      </c>
      <c r="DH390">
        <f ca="1"/>
      </c>
      <c r="DI390">
        <f ca="1"/>
      </c>
      <c r="DJ390">
        <f ca="1"/>
      </c>
      <c r="DK390">
        <f ca="1"/>
      </c>
      <c r="DL390">
        <f ca="1"/>
      </c>
      <c r="DM390">
        <f ca="1"/>
      </c>
      <c r="DN390">
        <f ca="1"/>
      </c>
      <c r="DO390">
        <f ca="1"/>
      </c>
      <c r="DP390">
        <f ca="1"/>
      </c>
      <c r="DQ390">
        <f ca="1"/>
      </c>
      <c r="DR390">
        <f ca="1"/>
      </c>
      <c r="DS390">
        <f ca="1"/>
      </c>
      <c r="DT390">
        <f ca="1"/>
      </c>
      <c r="DU390">
        <f ca="1"/>
      </c>
      <c r="DV390">
        <f ca="1"/>
      </c>
      <c r="DW390">
        <f ca="1"/>
      </c>
      <c r="DX390">
        <f ca="1"/>
      </c>
      <c r="DY390">
        <f ca="1"/>
      </c>
      <c r="DZ390">
        <f ca="1"/>
      </c>
      <c r="EA390">
        <f ca="1"/>
      </c>
      <c r="EB390">
        <f ca="1"/>
      </c>
      <c r="EC390">
        <f ca="1"/>
      </c>
      <c r="ED390">
        <f ca="1"/>
      </c>
      <c r="EE390">
        <f ca="1"/>
      </c>
      <c r="EG390">
        <f ca="1"/>
      </c>
      <c r="EH390">
        <f ca="1"/>
      </c>
      <c r="EI390">
        <f ca="1"/>
      </c>
      <c r="EJ390">
        <f ca="1"/>
      </c>
      <c r="EK390">
        <f ca="1"/>
      </c>
      <c r="EL390">
        <f ca="1"/>
      </c>
      <c r="EM390">
        <f ca="1"/>
      </c>
      <c r="EN390">
        <f ca="1"/>
      </c>
      <c r="EO390">
        <f ca="1"/>
      </c>
      <c r="EP390">
        <f ca="1"/>
      </c>
      <c r="EQ390">
        <f ca="1"/>
      </c>
      <c r="ER390">
        <f ca="1"/>
      </c>
      <c r="ES390">
        <f ca="1"/>
      </c>
      <c r="ET390">
        <f ca="1"/>
      </c>
      <c r="EU390">
        <f ca="1"/>
      </c>
      <c r="EV390">
        <f ca="1"/>
      </c>
      <c r="EW390">
        <f ca="1"/>
      </c>
      <c r="EX390">
        <f ca="1"/>
      </c>
      <c r="EY390">
        <f ca="1"/>
      </c>
      <c r="EZ390">
        <f ca="1"/>
      </c>
      <c r="FA390">
        <f ca="1"/>
      </c>
      <c r="FB390">
        <f ca="1"/>
      </c>
      <c r="FC390">
        <f ca="1"/>
      </c>
      <c r="FD390">
        <f ca="1"/>
      </c>
      <c r="FE390">
        <f ca="1"/>
      </c>
      <c r="FF390">
        <f ca="1"/>
      </c>
      <c r="FG390">
        <f ca="1"/>
      </c>
      <c r="FH390">
        <f ca="1"/>
      </c>
      <c r="FI390">
        <f ca="1"/>
      </c>
      <c r="FJ390">
        <f ca="1"/>
      </c>
      <c r="FK390">
        <f ca="1"/>
      </c>
      <c r="FL390">
        <f ca="1"/>
      </c>
      <c r="FM390">
        <f ca="1"/>
      </c>
      <c r="FN390">
        <f ca="1"/>
      </c>
      <c r="FO390">
        <f ca="1"/>
      </c>
      <c r="FP390">
        <f ca="1"/>
      </c>
      <c r="FQ390">
        <f ca="1"/>
      </c>
      <c r="FR390">
        <f ca="1"/>
      </c>
      <c r="FS390">
        <f ca="1"/>
      </c>
      <c r="FT390">
        <f ca="1"/>
      </c>
      <c r="FU390">
        <f ca="1"/>
      </c>
      <c r="FV390">
        <f ca="1"/>
      </c>
      <c r="FW390">
        <f ca="1"/>
      </c>
      <c r="FX390">
        <f ca="1"/>
      </c>
      <c r="FY390">
        <f ca="1"/>
      </c>
      <c r="FZ390">
        <f ca="1"/>
      </c>
      <c r="GA390">
        <f ca="1"/>
      </c>
      <c r="GM390" s="7"/>
    </row>
    <row r="391" spans="41:195" x14ac:dyDescent="0.55000000000000004">
      <c r="AO391">
        <f ca="1"/>
      </c>
      <c r="AP391">
        <f ca="1"/>
      </c>
      <c r="AQ391">
        <f ca="1"/>
      </c>
      <c r="AR391">
        <f ca="1"/>
      </c>
      <c r="AS391">
        <f ca="1"/>
      </c>
      <c r="AT391">
        <f ca="1"/>
      </c>
      <c r="AU391">
        <f ca="1"/>
      </c>
      <c r="AV391">
        <f ca="1"/>
      </c>
      <c r="AW391">
        <f ca="1"/>
      </c>
      <c r="AX391">
        <f ca="1"/>
      </c>
      <c r="AY391">
        <f ca="1"/>
      </c>
      <c r="AZ391">
        <f ca="1"/>
      </c>
      <c r="BA391">
        <f ca="1"/>
      </c>
      <c r="BB391">
        <f ca="1"/>
      </c>
      <c r="BC391">
        <f ca="1"/>
      </c>
      <c r="BD391">
        <f ca="1"/>
      </c>
      <c r="BE391">
        <f ca="1"/>
      </c>
      <c r="BF391">
        <f ca="1"/>
      </c>
      <c r="BG391">
        <f ca="1"/>
      </c>
      <c r="BH391">
        <f ca="1"/>
      </c>
      <c r="BI391">
        <f ca="1"/>
      </c>
      <c r="BJ391">
        <f ca="1"/>
      </c>
      <c r="BK391">
        <f ca="1"/>
      </c>
      <c r="BL391">
        <f ca="1"/>
      </c>
      <c r="BM391">
        <f ca="1"/>
      </c>
      <c r="BN391">
        <f ca="1"/>
      </c>
      <c r="BO391">
        <f ca="1"/>
      </c>
      <c r="BP391">
        <f ca="1"/>
      </c>
      <c r="BQ391">
        <f ca="1"/>
      </c>
      <c r="BR391">
        <f ca="1"/>
      </c>
      <c r="BS391">
        <f ca="1"/>
      </c>
      <c r="BT391">
        <f ca="1"/>
      </c>
      <c r="BU391">
        <f ca="1"/>
      </c>
      <c r="BV391">
        <f ca="1"/>
      </c>
      <c r="BW391">
        <f ca="1"/>
      </c>
      <c r="BX391">
        <f ca="1"/>
      </c>
      <c r="BY391">
        <f ca="1"/>
      </c>
      <c r="BZ391">
        <f ca="1"/>
      </c>
      <c r="CA391">
        <f ca="1"/>
      </c>
      <c r="CB391">
        <f ca="1"/>
      </c>
      <c r="CC391">
        <f ca="1"/>
      </c>
      <c r="CD391">
        <f ca="1"/>
      </c>
      <c r="CE391">
        <f ca="1"/>
      </c>
      <c r="CF391">
        <f ca="1"/>
      </c>
      <c r="CG391">
        <f ca="1"/>
      </c>
      <c r="CH391">
        <f ca="1"/>
      </c>
      <c r="CI391">
        <f ca="1"/>
      </c>
      <c r="CK391">
        <f ca="1"/>
      </c>
      <c r="CL391">
        <f ca="1"/>
      </c>
      <c r="CM391">
        <f ca="1"/>
      </c>
      <c r="CN391">
        <f ca="1"/>
      </c>
      <c r="CO391">
        <f ca="1"/>
      </c>
      <c r="CP391">
        <f ca="1"/>
      </c>
      <c r="CQ391">
        <f ca="1"/>
      </c>
      <c r="CR391">
        <f ca="1"/>
      </c>
      <c r="CS391">
        <f ca="1"/>
      </c>
      <c r="CT391">
        <f ca="1"/>
      </c>
      <c r="CU391">
        <f ca="1"/>
      </c>
      <c r="CV391">
        <f ca="1"/>
      </c>
      <c r="CW391">
        <f ca="1"/>
      </c>
      <c r="CX391">
        <f ca="1"/>
      </c>
      <c r="CY391">
        <f ca="1"/>
      </c>
      <c r="CZ391">
        <f ca="1"/>
      </c>
      <c r="DA391">
        <f ca="1"/>
      </c>
      <c r="DB391">
        <f ca="1"/>
      </c>
      <c r="DC391">
        <f ca="1"/>
      </c>
      <c r="DD391">
        <f ca="1"/>
      </c>
      <c r="DE391">
        <f ca="1"/>
      </c>
      <c r="DF391">
        <f ca="1"/>
      </c>
      <c r="DG391">
        <f ca="1"/>
      </c>
      <c r="DH391">
        <f ca="1"/>
      </c>
      <c r="DI391">
        <f ca="1"/>
      </c>
      <c r="DJ391">
        <f ca="1"/>
      </c>
      <c r="DK391">
        <f ca="1"/>
      </c>
      <c r="DL391">
        <f ca="1"/>
      </c>
      <c r="DM391">
        <f ca="1"/>
      </c>
      <c r="DN391">
        <f ca="1"/>
      </c>
      <c r="DO391">
        <f ca="1"/>
      </c>
      <c r="DP391">
        <f ca="1"/>
      </c>
      <c r="DQ391">
        <f ca="1"/>
      </c>
      <c r="DR391">
        <f ca="1"/>
      </c>
      <c r="DS391">
        <f ca="1"/>
      </c>
      <c r="DT391">
        <f ca="1"/>
      </c>
      <c r="DU391">
        <f ca="1"/>
      </c>
      <c r="DV391">
        <f ca="1"/>
      </c>
      <c r="DW391">
        <f ca="1"/>
      </c>
      <c r="DX391">
        <f ca="1"/>
      </c>
      <c r="DY391">
        <f ca="1"/>
      </c>
      <c r="DZ391">
        <f ca="1"/>
      </c>
      <c r="EA391">
        <f ca="1"/>
      </c>
      <c r="EB391">
        <f ca="1"/>
      </c>
      <c r="EC391">
        <f ca="1"/>
      </c>
      <c r="ED391">
        <f ca="1"/>
      </c>
      <c r="EE391">
        <f ca="1"/>
      </c>
      <c r="EG391">
        <f ca="1"/>
      </c>
      <c r="EH391">
        <f ca="1"/>
      </c>
      <c r="EI391">
        <f ca="1"/>
      </c>
      <c r="EJ391">
        <f ca="1"/>
      </c>
      <c r="EK391">
        <f ca="1"/>
      </c>
      <c r="EL391">
        <f ca="1"/>
      </c>
      <c r="EM391">
        <f ca="1"/>
      </c>
      <c r="EN391">
        <f ca="1"/>
      </c>
      <c r="EO391">
        <f ca="1"/>
      </c>
      <c r="EP391">
        <f ca="1"/>
      </c>
      <c r="EQ391">
        <f ca="1"/>
      </c>
      <c r="ER391">
        <f ca="1"/>
      </c>
      <c r="ES391">
        <f ca="1"/>
      </c>
      <c r="ET391">
        <f ca="1"/>
      </c>
      <c r="EU391">
        <f ca="1"/>
      </c>
      <c r="EV391">
        <f ca="1"/>
      </c>
      <c r="EW391">
        <f ca="1"/>
      </c>
      <c r="EX391">
        <f ca="1"/>
      </c>
      <c r="EY391">
        <f ca="1"/>
      </c>
      <c r="EZ391">
        <f ca="1"/>
      </c>
      <c r="FA391">
        <f ca="1"/>
      </c>
      <c r="FB391">
        <f ca="1"/>
      </c>
      <c r="FC391">
        <f ca="1"/>
      </c>
      <c r="FD391">
        <f ca="1"/>
      </c>
      <c r="FE391">
        <f ca="1"/>
      </c>
      <c r="FF391">
        <f ca="1"/>
      </c>
      <c r="FG391">
        <f ca="1"/>
      </c>
      <c r="FH391">
        <f ca="1"/>
      </c>
      <c r="FI391">
        <f ca="1"/>
      </c>
      <c r="FJ391">
        <f ca="1"/>
      </c>
      <c r="FK391">
        <f ca="1"/>
      </c>
      <c r="FL391">
        <f ca="1"/>
      </c>
      <c r="FM391">
        <f ca="1"/>
      </c>
      <c r="FN391">
        <f ca="1"/>
      </c>
      <c r="FO391">
        <f ca="1"/>
      </c>
      <c r="FP391">
        <f ca="1"/>
      </c>
      <c r="FQ391">
        <f ca="1"/>
      </c>
      <c r="FR391">
        <f ca="1"/>
      </c>
      <c r="FS391">
        <f ca="1"/>
      </c>
      <c r="FT391">
        <f ca="1"/>
      </c>
      <c r="FU391">
        <f ca="1"/>
      </c>
      <c r="FV391">
        <f ca="1"/>
      </c>
      <c r="FW391">
        <f ca="1"/>
      </c>
      <c r="FX391">
        <f ca="1"/>
      </c>
      <c r="FY391">
        <f ca="1"/>
      </c>
      <c r="FZ391">
        <f ca="1"/>
      </c>
      <c r="GA391">
        <f ca="1"/>
      </c>
      <c r="GM391" s="7"/>
    </row>
    <row r="392" spans="41:195" x14ac:dyDescent="0.55000000000000004">
      <c r="AO392">
        <f ca="1"/>
      </c>
      <c r="AP392">
        <f ca="1"/>
      </c>
      <c r="AQ392">
        <f ca="1"/>
      </c>
      <c r="AR392">
        <f ca="1"/>
      </c>
      <c r="AS392">
        <f ca="1"/>
      </c>
      <c r="AT392">
        <f ca="1"/>
      </c>
      <c r="AU392">
        <f ca="1"/>
      </c>
      <c r="AV392">
        <f ca="1"/>
      </c>
      <c r="AW392">
        <f ca="1"/>
      </c>
      <c r="AX392">
        <f ca="1"/>
      </c>
      <c r="AY392">
        <f ca="1"/>
      </c>
      <c r="AZ392">
        <f ca="1"/>
      </c>
      <c r="BA392">
        <f ca="1"/>
      </c>
      <c r="BB392">
        <f ca="1"/>
      </c>
      <c r="BC392">
        <f ca="1"/>
      </c>
      <c r="BD392">
        <f ca="1"/>
      </c>
      <c r="BE392">
        <f ca="1"/>
      </c>
      <c r="BF392">
        <f ca="1"/>
      </c>
      <c r="BG392">
        <f ca="1"/>
      </c>
      <c r="BH392">
        <f ca="1"/>
      </c>
      <c r="BI392">
        <f ca="1"/>
      </c>
      <c r="BJ392">
        <f ca="1"/>
      </c>
      <c r="BK392">
        <f ca="1"/>
      </c>
      <c r="BL392">
        <f ca="1"/>
      </c>
      <c r="BM392">
        <f ca="1"/>
      </c>
      <c r="BN392">
        <f ca="1"/>
      </c>
      <c r="BO392">
        <f ca="1"/>
      </c>
      <c r="BP392">
        <f ca="1"/>
      </c>
      <c r="BQ392">
        <f ca="1"/>
      </c>
      <c r="BR392">
        <f ca="1"/>
      </c>
      <c r="BS392">
        <f ca="1"/>
      </c>
      <c r="BT392">
        <f ca="1"/>
      </c>
      <c r="BU392">
        <f ca="1"/>
      </c>
      <c r="BV392">
        <f ca="1"/>
      </c>
      <c r="BW392">
        <f ca="1"/>
      </c>
      <c r="BX392">
        <f ca="1"/>
      </c>
      <c r="BY392">
        <f ca="1"/>
      </c>
      <c r="BZ392">
        <f ca="1"/>
      </c>
      <c r="CA392">
        <f ca="1"/>
      </c>
      <c r="CB392">
        <f ca="1"/>
      </c>
      <c r="CC392">
        <f ca="1"/>
      </c>
      <c r="CD392">
        <f ca="1"/>
      </c>
      <c r="CE392">
        <f ca="1"/>
      </c>
      <c r="CF392">
        <f ca="1"/>
      </c>
      <c r="CG392">
        <f ca="1"/>
      </c>
      <c r="CH392">
        <f ca="1"/>
      </c>
      <c r="CI392">
        <f ca="1"/>
      </c>
      <c r="CK392">
        <f ca="1"/>
      </c>
      <c r="CL392">
        <f ca="1"/>
      </c>
      <c r="CM392">
        <f ca="1"/>
      </c>
      <c r="CN392">
        <f ca="1"/>
      </c>
      <c r="CO392">
        <f ca="1"/>
      </c>
      <c r="CP392">
        <f ca="1"/>
      </c>
      <c r="CQ392">
        <f ca="1"/>
      </c>
      <c r="CR392">
        <f ca="1"/>
      </c>
      <c r="CS392">
        <f ca="1"/>
      </c>
      <c r="CT392">
        <f ca="1"/>
      </c>
      <c r="CU392">
        <f ca="1"/>
      </c>
      <c r="CV392">
        <f ca="1"/>
      </c>
      <c r="CW392">
        <f ca="1"/>
      </c>
      <c r="CX392">
        <f ca="1"/>
      </c>
      <c r="CY392">
        <f ca="1"/>
      </c>
      <c r="CZ392">
        <f ca="1"/>
      </c>
      <c r="DA392">
        <f ca="1"/>
      </c>
      <c r="DB392">
        <f ca="1"/>
      </c>
      <c r="DC392">
        <f ca="1"/>
      </c>
      <c r="DD392">
        <f ca="1"/>
      </c>
      <c r="DE392">
        <f ca="1"/>
      </c>
      <c r="DF392">
        <f ca="1"/>
      </c>
      <c r="DG392">
        <f ca="1"/>
      </c>
      <c r="DH392">
        <f ca="1"/>
      </c>
      <c r="DI392">
        <f ca="1"/>
      </c>
      <c r="DJ392">
        <f ca="1"/>
      </c>
      <c r="DK392">
        <f ca="1"/>
      </c>
      <c r="DL392">
        <f ca="1"/>
      </c>
      <c r="DM392">
        <f ca="1"/>
      </c>
      <c r="DN392">
        <f ca="1"/>
      </c>
      <c r="DO392">
        <f ca="1"/>
      </c>
      <c r="DP392">
        <f ca="1"/>
      </c>
      <c r="DQ392">
        <f ca="1"/>
      </c>
      <c r="DR392">
        <f ca="1"/>
      </c>
      <c r="DS392">
        <f ca="1"/>
      </c>
      <c r="DT392">
        <f ca="1"/>
      </c>
      <c r="DU392">
        <f ca="1"/>
      </c>
      <c r="DV392">
        <f ca="1"/>
      </c>
      <c r="DW392">
        <f ca="1"/>
      </c>
      <c r="DX392">
        <f ca="1"/>
      </c>
      <c r="DY392">
        <f ca="1"/>
      </c>
      <c r="DZ392">
        <f ca="1"/>
      </c>
      <c r="EA392">
        <f ca="1"/>
      </c>
      <c r="EB392">
        <f ca="1"/>
      </c>
      <c r="EC392">
        <f ca="1"/>
      </c>
      <c r="ED392">
        <f ca="1"/>
      </c>
      <c r="EE392">
        <f ca="1"/>
      </c>
      <c r="EG392">
        <f ca="1"/>
      </c>
      <c r="EH392">
        <f ca="1"/>
      </c>
      <c r="EI392">
        <f ca="1"/>
      </c>
      <c r="EJ392">
        <f ca="1"/>
      </c>
      <c r="EK392">
        <f ca="1"/>
      </c>
      <c r="EL392">
        <f ca="1"/>
      </c>
      <c r="EM392">
        <f ca="1"/>
      </c>
      <c r="EN392">
        <f ca="1"/>
      </c>
      <c r="EO392">
        <f ca="1"/>
      </c>
      <c r="EP392">
        <f ca="1"/>
      </c>
      <c r="EQ392">
        <f ca="1"/>
      </c>
      <c r="ER392">
        <f ca="1"/>
      </c>
      <c r="ES392">
        <f ca="1"/>
      </c>
      <c r="ET392">
        <f ca="1"/>
      </c>
      <c r="EU392">
        <f ca="1"/>
      </c>
      <c r="EV392">
        <f ca="1"/>
      </c>
      <c r="EW392">
        <f ca="1"/>
      </c>
      <c r="EX392">
        <f ca="1"/>
      </c>
      <c r="EY392">
        <f ca="1"/>
      </c>
      <c r="EZ392">
        <f ca="1"/>
      </c>
      <c r="FA392">
        <f ca="1"/>
      </c>
      <c r="FB392">
        <f ca="1"/>
      </c>
      <c r="FC392">
        <f ca="1"/>
      </c>
      <c r="FD392">
        <f ca="1"/>
      </c>
      <c r="FE392">
        <f ca="1"/>
      </c>
      <c r="FF392">
        <f ca="1"/>
      </c>
      <c r="FG392">
        <f ca="1"/>
      </c>
      <c r="FH392">
        <f ca="1"/>
      </c>
      <c r="FI392">
        <f ca="1"/>
      </c>
      <c r="FJ392">
        <f ca="1"/>
      </c>
      <c r="FK392">
        <f ca="1"/>
      </c>
      <c r="FL392">
        <f ca="1"/>
      </c>
      <c r="FM392">
        <f ca="1"/>
      </c>
      <c r="FN392">
        <f ca="1"/>
      </c>
      <c r="FO392">
        <f ca="1"/>
      </c>
      <c r="FP392">
        <f ca="1"/>
      </c>
      <c r="FQ392">
        <f ca="1"/>
      </c>
      <c r="FR392">
        <f ca="1"/>
      </c>
      <c r="FS392">
        <f ca="1"/>
      </c>
      <c r="FT392">
        <f ca="1"/>
      </c>
      <c r="FU392">
        <f ca="1"/>
      </c>
      <c r="FV392">
        <f ca="1"/>
      </c>
      <c r="FW392">
        <f ca="1"/>
      </c>
      <c r="FX392">
        <f ca="1"/>
      </c>
      <c r="FY392">
        <f ca="1"/>
      </c>
      <c r="FZ392">
        <f ca="1"/>
      </c>
      <c r="GA392">
        <f ca="1"/>
      </c>
      <c r="GM392" s="7"/>
    </row>
    <row r="393" spans="41:195" x14ac:dyDescent="0.55000000000000004">
      <c r="AO393">
        <f ca="1"/>
      </c>
      <c r="AP393">
        <f ca="1"/>
      </c>
      <c r="AQ393">
        <f ca="1"/>
      </c>
      <c r="AR393">
        <f ca="1"/>
      </c>
      <c r="AS393">
        <f ca="1"/>
      </c>
      <c r="AT393">
        <f ca="1"/>
      </c>
      <c r="AU393">
        <f ca="1"/>
      </c>
      <c r="AV393">
        <f ca="1"/>
      </c>
      <c r="AW393">
        <f ca="1"/>
      </c>
      <c r="AX393">
        <f ca="1"/>
      </c>
      <c r="AY393">
        <f ca="1"/>
      </c>
      <c r="AZ393">
        <f ca="1"/>
      </c>
      <c r="BA393">
        <f ca="1"/>
      </c>
      <c r="BB393">
        <f ca="1"/>
      </c>
      <c r="BC393">
        <f ca="1"/>
      </c>
      <c r="BD393">
        <f ca="1"/>
      </c>
      <c r="BE393">
        <f ca="1"/>
      </c>
      <c r="BF393">
        <f ca="1"/>
      </c>
      <c r="BG393">
        <f ca="1"/>
      </c>
      <c r="BH393">
        <f ca="1"/>
      </c>
      <c r="BI393">
        <f ca="1"/>
      </c>
      <c r="BJ393">
        <f ca="1"/>
      </c>
      <c r="BK393">
        <f ca="1"/>
      </c>
      <c r="BL393">
        <f ca="1"/>
      </c>
      <c r="BM393">
        <f ca="1"/>
      </c>
      <c r="BN393">
        <f ca="1"/>
      </c>
      <c r="BO393">
        <f ca="1"/>
      </c>
      <c r="BP393">
        <f ca="1"/>
      </c>
      <c r="BQ393">
        <f ca="1"/>
      </c>
      <c r="BR393">
        <f ca="1"/>
      </c>
      <c r="BS393">
        <f ca="1"/>
      </c>
      <c r="BT393">
        <f ca="1"/>
      </c>
      <c r="BU393">
        <f ca="1"/>
      </c>
      <c r="BV393">
        <f ca="1"/>
      </c>
      <c r="BW393">
        <f ca="1"/>
      </c>
      <c r="BX393">
        <f ca="1"/>
      </c>
      <c r="BY393">
        <f ca="1"/>
      </c>
      <c r="BZ393">
        <f ca="1"/>
      </c>
      <c r="CA393">
        <f ca="1"/>
      </c>
      <c r="CB393">
        <f ca="1"/>
      </c>
      <c r="CC393">
        <f ca="1"/>
      </c>
      <c r="CD393">
        <f ca="1"/>
      </c>
      <c r="CE393">
        <f ca="1"/>
      </c>
      <c r="CF393">
        <f ca="1"/>
      </c>
      <c r="CG393">
        <f ca="1"/>
      </c>
      <c r="CH393">
        <f ca="1"/>
      </c>
      <c r="CI393">
        <f ca="1"/>
      </c>
      <c r="CK393">
        <f ca="1"/>
      </c>
      <c r="CL393">
        <f ca="1"/>
      </c>
      <c r="CM393">
        <f ca="1"/>
      </c>
      <c r="CN393">
        <f ca="1"/>
      </c>
      <c r="CO393">
        <f ca="1"/>
      </c>
      <c r="CP393">
        <f ca="1"/>
      </c>
      <c r="CQ393">
        <f ca="1"/>
      </c>
      <c r="CR393">
        <f ca="1"/>
      </c>
      <c r="CS393">
        <f ca="1"/>
      </c>
      <c r="CT393">
        <f ca="1"/>
      </c>
      <c r="CU393">
        <f ca="1"/>
      </c>
      <c r="CV393">
        <f ca="1"/>
      </c>
      <c r="CW393">
        <f ca="1"/>
      </c>
      <c r="CX393">
        <f ca="1"/>
      </c>
      <c r="CY393">
        <f ca="1"/>
      </c>
      <c r="CZ393">
        <f ca="1"/>
      </c>
      <c r="DA393">
        <f ca="1"/>
      </c>
      <c r="DB393">
        <f ca="1"/>
      </c>
      <c r="DC393">
        <f ca="1"/>
      </c>
      <c r="DD393">
        <f ca="1"/>
      </c>
      <c r="DE393">
        <f ca="1"/>
      </c>
      <c r="DF393">
        <f ca="1"/>
      </c>
      <c r="DG393">
        <f ca="1"/>
      </c>
      <c r="DH393">
        <f ca="1"/>
      </c>
      <c r="DI393">
        <f ca="1"/>
      </c>
      <c r="DJ393">
        <f ca="1"/>
      </c>
      <c r="DK393">
        <f ca="1"/>
      </c>
      <c r="DL393">
        <f ca="1"/>
      </c>
      <c r="DM393">
        <f ca="1"/>
      </c>
      <c r="DN393">
        <f ca="1"/>
      </c>
      <c r="DO393">
        <f ca="1"/>
      </c>
      <c r="DP393">
        <f ca="1"/>
      </c>
      <c r="DQ393">
        <f ca="1"/>
      </c>
      <c r="DR393">
        <f ca="1"/>
      </c>
      <c r="DS393">
        <f ca="1"/>
      </c>
      <c r="DT393">
        <f ca="1"/>
      </c>
      <c r="DU393">
        <f ca="1"/>
      </c>
      <c r="DV393">
        <f ca="1"/>
      </c>
      <c r="DW393">
        <f ca="1"/>
      </c>
      <c r="DX393">
        <f ca="1"/>
      </c>
      <c r="DY393">
        <f ca="1"/>
      </c>
      <c r="DZ393">
        <f ca="1"/>
      </c>
      <c r="EA393">
        <f ca="1"/>
      </c>
      <c r="EB393">
        <f ca="1"/>
      </c>
      <c r="EC393">
        <f ca="1"/>
      </c>
      <c r="ED393">
        <f ca="1"/>
      </c>
      <c r="EE393">
        <f ca="1"/>
      </c>
      <c r="EG393">
        <f ca="1"/>
      </c>
      <c r="EH393">
        <f ca="1"/>
      </c>
      <c r="EI393">
        <f ca="1"/>
      </c>
      <c r="EJ393">
        <f ca="1"/>
      </c>
      <c r="EK393">
        <f ca="1"/>
      </c>
      <c r="EL393">
        <f ca="1"/>
      </c>
      <c r="EM393">
        <f ca="1"/>
      </c>
      <c r="EN393">
        <f ca="1"/>
      </c>
      <c r="EO393">
        <f ca="1"/>
      </c>
      <c r="EP393">
        <f ca="1"/>
      </c>
      <c r="EQ393">
        <f ca="1"/>
      </c>
      <c r="ER393">
        <f ca="1"/>
      </c>
      <c r="ES393">
        <f ca="1"/>
      </c>
      <c r="ET393">
        <f ca="1"/>
      </c>
      <c r="EU393">
        <f ca="1"/>
      </c>
      <c r="EV393">
        <f ca="1"/>
      </c>
      <c r="EW393">
        <f ca="1"/>
      </c>
      <c r="EX393">
        <f ca="1"/>
      </c>
      <c r="EY393">
        <f ca="1"/>
      </c>
      <c r="EZ393">
        <f ca="1"/>
      </c>
      <c r="FA393">
        <f ca="1"/>
      </c>
      <c r="FB393">
        <f ca="1"/>
      </c>
      <c r="FC393">
        <f ca="1"/>
      </c>
      <c r="FD393">
        <f ca="1"/>
      </c>
      <c r="FE393">
        <f ca="1"/>
      </c>
      <c r="FF393">
        <f ca="1"/>
      </c>
      <c r="FG393">
        <f ca="1"/>
      </c>
      <c r="FH393">
        <f ca="1"/>
      </c>
      <c r="FI393">
        <f ca="1"/>
      </c>
      <c r="FJ393">
        <f ca="1"/>
      </c>
      <c r="FK393">
        <f ca="1"/>
      </c>
      <c r="FL393">
        <f ca="1"/>
      </c>
      <c r="FM393">
        <f ca="1"/>
      </c>
      <c r="FN393">
        <f ca="1"/>
      </c>
      <c r="FO393">
        <f ca="1"/>
      </c>
      <c r="FP393">
        <f ca="1"/>
      </c>
      <c r="FQ393">
        <f ca="1"/>
      </c>
      <c r="FR393">
        <f ca="1"/>
      </c>
      <c r="FS393">
        <f ca="1"/>
      </c>
      <c r="FT393">
        <f ca="1"/>
      </c>
      <c r="FU393">
        <f ca="1"/>
      </c>
      <c r="FV393">
        <f ca="1"/>
      </c>
      <c r="FW393">
        <f ca="1"/>
      </c>
      <c r="FX393">
        <f ca="1"/>
      </c>
      <c r="FY393">
        <f ca="1"/>
      </c>
      <c r="FZ393">
        <f ca="1"/>
      </c>
      <c r="GA393">
        <f ca="1"/>
      </c>
      <c r="GM393" s="7"/>
    </row>
    <row r="394" spans="41:195" x14ac:dyDescent="0.55000000000000004">
      <c r="AO394">
        <f ca="1"/>
      </c>
      <c r="AP394">
        <f ca="1"/>
      </c>
      <c r="AQ394">
        <f ca="1"/>
      </c>
      <c r="AR394">
        <f ca="1"/>
      </c>
      <c r="AS394">
        <f ca="1"/>
      </c>
      <c r="AT394">
        <f ca="1"/>
      </c>
      <c r="AU394">
        <f ca="1"/>
      </c>
      <c r="AV394">
        <f ca="1"/>
      </c>
      <c r="AW394">
        <f ca="1"/>
      </c>
      <c r="AX394">
        <f ca="1"/>
      </c>
      <c r="AY394">
        <f ca="1"/>
      </c>
      <c r="AZ394">
        <f ca="1"/>
      </c>
      <c r="BA394">
        <f ca="1"/>
      </c>
      <c r="BB394">
        <f ca="1"/>
      </c>
      <c r="BC394">
        <f ca="1"/>
      </c>
      <c r="BD394">
        <f ca="1"/>
      </c>
      <c r="BE394">
        <f ca="1"/>
      </c>
      <c r="BF394">
        <f ca="1"/>
      </c>
      <c r="BG394">
        <f ca="1"/>
      </c>
      <c r="BH394">
        <f ca="1"/>
      </c>
      <c r="BI394">
        <f ca="1"/>
      </c>
      <c r="BJ394">
        <f ca="1"/>
      </c>
      <c r="BK394">
        <f ca="1"/>
      </c>
      <c r="BL394">
        <f ca="1"/>
      </c>
      <c r="BM394">
        <f ca="1"/>
      </c>
      <c r="BN394">
        <f ca="1"/>
      </c>
      <c r="BO394">
        <f ca="1"/>
      </c>
      <c r="BP394">
        <f ca="1"/>
      </c>
      <c r="BQ394">
        <f ca="1"/>
      </c>
      <c r="BR394">
        <f ca="1"/>
      </c>
      <c r="BS394">
        <f ca="1"/>
      </c>
      <c r="BT394">
        <f ca="1"/>
      </c>
      <c r="BU394">
        <f ca="1"/>
      </c>
      <c r="BV394">
        <f ca="1"/>
      </c>
      <c r="BW394">
        <f ca="1"/>
      </c>
      <c r="BX394">
        <f ca="1"/>
      </c>
      <c r="BY394">
        <f ca="1"/>
      </c>
      <c r="BZ394">
        <f ca="1"/>
      </c>
      <c r="CA394">
        <f ca="1"/>
      </c>
      <c r="CB394">
        <f ca="1"/>
      </c>
      <c r="CC394">
        <f ca="1"/>
      </c>
      <c r="CD394">
        <f ca="1"/>
      </c>
      <c r="CE394">
        <f ca="1"/>
      </c>
      <c r="CF394">
        <f ca="1"/>
      </c>
      <c r="CG394">
        <f ca="1"/>
      </c>
      <c r="CH394">
        <f ca="1"/>
      </c>
      <c r="CI394">
        <f ca="1"/>
      </c>
      <c r="CK394">
        <f ca="1"/>
      </c>
      <c r="CL394">
        <f ca="1"/>
      </c>
      <c r="CM394">
        <f ca="1"/>
      </c>
      <c r="CN394">
        <f ca="1"/>
      </c>
      <c r="CO394">
        <f ca="1"/>
      </c>
      <c r="CP394">
        <f ca="1"/>
      </c>
      <c r="CQ394">
        <f ca="1"/>
      </c>
      <c r="CR394">
        <f ca="1"/>
      </c>
      <c r="CS394">
        <f ca="1"/>
      </c>
      <c r="CT394">
        <f ca="1"/>
      </c>
      <c r="CU394">
        <f ca="1"/>
      </c>
      <c r="CV394">
        <f ca="1"/>
      </c>
      <c r="CW394">
        <f ca="1"/>
      </c>
      <c r="CX394">
        <f ca="1"/>
      </c>
      <c r="CY394">
        <f ca="1"/>
      </c>
      <c r="CZ394">
        <f ca="1"/>
      </c>
      <c r="DA394">
        <f ca="1"/>
      </c>
      <c r="DB394">
        <f ca="1"/>
      </c>
      <c r="DC394">
        <f ca="1"/>
      </c>
      <c r="DD394">
        <f ca="1"/>
      </c>
      <c r="DE394">
        <f ca="1"/>
      </c>
      <c r="DF394">
        <f ca="1"/>
      </c>
      <c r="DG394">
        <f ca="1"/>
      </c>
      <c r="DH394">
        <f ca="1"/>
      </c>
      <c r="DI394">
        <f ca="1"/>
      </c>
      <c r="DJ394">
        <f ca="1"/>
      </c>
      <c r="DK394">
        <f ca="1"/>
      </c>
      <c r="DL394">
        <f ca="1"/>
      </c>
      <c r="DM394">
        <f ca="1"/>
      </c>
      <c r="DN394">
        <f ca="1"/>
      </c>
      <c r="DO394">
        <f ca="1"/>
      </c>
      <c r="DP394">
        <f ca="1"/>
      </c>
      <c r="DQ394">
        <f ca="1"/>
      </c>
      <c r="DR394">
        <f ca="1"/>
      </c>
      <c r="DS394">
        <f ca="1"/>
      </c>
      <c r="DT394">
        <f ca="1"/>
      </c>
      <c r="DU394">
        <f ca="1"/>
      </c>
      <c r="DV394">
        <f ca="1"/>
      </c>
      <c r="DW394">
        <f ca="1"/>
      </c>
      <c r="DX394">
        <f ca="1"/>
      </c>
      <c r="DY394">
        <f ca="1"/>
      </c>
      <c r="DZ394">
        <f ca="1"/>
      </c>
      <c r="EA394">
        <f ca="1"/>
      </c>
      <c r="EB394">
        <f ca="1"/>
      </c>
      <c r="EC394">
        <f ca="1"/>
      </c>
      <c r="ED394">
        <f ca="1"/>
      </c>
      <c r="EE394">
        <f ca="1"/>
      </c>
      <c r="EG394">
        <f ca="1"/>
      </c>
      <c r="EH394">
        <f ca="1"/>
      </c>
      <c r="EI394">
        <f ca="1"/>
      </c>
      <c r="EJ394">
        <f ca="1"/>
      </c>
      <c r="EK394">
        <f ca="1"/>
      </c>
      <c r="EL394">
        <f ca="1"/>
      </c>
      <c r="EM394">
        <f ca="1"/>
      </c>
      <c r="EN394">
        <f ca="1"/>
      </c>
      <c r="EO394">
        <f ca="1"/>
      </c>
      <c r="EP394">
        <f ca="1"/>
      </c>
      <c r="EQ394">
        <f ca="1"/>
      </c>
      <c r="ER394">
        <f ca="1"/>
      </c>
      <c r="ES394">
        <f ca="1"/>
      </c>
      <c r="ET394">
        <f ca="1"/>
      </c>
      <c r="EU394">
        <f ca="1"/>
      </c>
      <c r="EV394">
        <f ca="1"/>
      </c>
      <c r="EW394">
        <f ca="1"/>
      </c>
      <c r="EX394">
        <f ca="1"/>
      </c>
      <c r="EY394">
        <f ca="1"/>
      </c>
      <c r="EZ394">
        <f ca="1"/>
      </c>
      <c r="FA394">
        <f ca="1"/>
      </c>
      <c r="FB394">
        <f ca="1"/>
      </c>
      <c r="FC394">
        <f ca="1"/>
      </c>
      <c r="FD394">
        <f ca="1"/>
      </c>
      <c r="FE394">
        <f ca="1"/>
      </c>
      <c r="FF394">
        <f ca="1"/>
      </c>
      <c r="FG394">
        <f ca="1"/>
      </c>
      <c r="FH394">
        <f ca="1"/>
      </c>
      <c r="FI394">
        <f ca="1"/>
      </c>
      <c r="FJ394">
        <f ca="1"/>
      </c>
      <c r="FK394">
        <f ca="1"/>
      </c>
      <c r="FL394">
        <f ca="1"/>
      </c>
      <c r="FM394">
        <f ca="1"/>
      </c>
      <c r="FN394">
        <f ca="1"/>
      </c>
      <c r="FO394">
        <f ca="1"/>
      </c>
      <c r="FP394">
        <f ca="1"/>
      </c>
      <c r="FQ394">
        <f ca="1"/>
      </c>
      <c r="FR394">
        <f ca="1"/>
      </c>
      <c r="FS394">
        <f ca="1"/>
      </c>
      <c r="FT394">
        <f ca="1"/>
      </c>
      <c r="FU394">
        <f ca="1"/>
      </c>
      <c r="FV394">
        <f ca="1"/>
      </c>
      <c r="FW394">
        <f ca="1"/>
      </c>
      <c r="FX394">
        <f ca="1"/>
      </c>
      <c r="FY394">
        <f ca="1"/>
      </c>
      <c r="FZ394">
        <f ca="1"/>
      </c>
      <c r="GA394">
        <f ca="1"/>
      </c>
      <c r="GM394" s="7"/>
    </row>
    <row r="395" spans="41:195" x14ac:dyDescent="0.55000000000000004">
      <c r="AO395">
        <f ca="1"/>
      </c>
      <c r="AP395">
        <f ca="1"/>
      </c>
      <c r="AQ395">
        <f ca="1"/>
      </c>
      <c r="AR395">
        <f ca="1"/>
      </c>
      <c r="AS395">
        <f ca="1"/>
      </c>
      <c r="AT395">
        <f ca="1"/>
      </c>
      <c r="AU395">
        <f ca="1"/>
      </c>
      <c r="AV395">
        <f ca="1"/>
      </c>
      <c r="AW395">
        <f ca="1"/>
      </c>
      <c r="AX395">
        <f ca="1"/>
      </c>
      <c r="AY395">
        <f ca="1"/>
      </c>
      <c r="AZ395">
        <f ca="1"/>
      </c>
      <c r="BA395">
        <f ca="1"/>
      </c>
      <c r="BB395">
        <f ca="1"/>
      </c>
      <c r="BC395">
        <f ca="1"/>
      </c>
      <c r="BD395">
        <f ca="1"/>
      </c>
      <c r="BE395">
        <f ca="1"/>
      </c>
      <c r="BF395">
        <f ca="1"/>
      </c>
      <c r="BG395">
        <f ca="1"/>
      </c>
      <c r="BH395">
        <f ca="1"/>
      </c>
      <c r="BI395">
        <f ca="1"/>
      </c>
      <c r="BJ395">
        <f ca="1"/>
      </c>
      <c r="BK395">
        <f ca="1"/>
      </c>
      <c r="BL395">
        <f ca="1"/>
      </c>
      <c r="BM395">
        <f ca="1"/>
      </c>
      <c r="BN395">
        <f ca="1"/>
      </c>
      <c r="BO395">
        <f ca="1"/>
      </c>
      <c r="BP395">
        <f ca="1"/>
      </c>
      <c r="BQ395">
        <f ca="1"/>
      </c>
      <c r="BR395">
        <f ca="1"/>
      </c>
      <c r="BS395">
        <f ca="1"/>
      </c>
      <c r="BT395">
        <f ca="1"/>
      </c>
      <c r="BU395">
        <f ca="1"/>
      </c>
      <c r="BV395">
        <f ca="1"/>
      </c>
      <c r="BW395">
        <f ca="1"/>
      </c>
      <c r="BX395">
        <f ca="1"/>
      </c>
      <c r="BY395">
        <f ca="1"/>
      </c>
      <c r="BZ395">
        <f ca="1"/>
      </c>
      <c r="CA395">
        <f ca="1"/>
      </c>
      <c r="CB395">
        <f ca="1"/>
      </c>
      <c r="CC395">
        <f ca="1"/>
      </c>
      <c r="CD395">
        <f ca="1"/>
      </c>
      <c r="CE395">
        <f ca="1"/>
      </c>
      <c r="CF395">
        <f ca="1"/>
      </c>
      <c r="CG395">
        <f ca="1"/>
      </c>
      <c r="CH395">
        <f ca="1"/>
      </c>
      <c r="CI395">
        <f ca="1"/>
      </c>
      <c r="CK395">
        <f ca="1"/>
      </c>
      <c r="CL395">
        <f ca="1"/>
      </c>
      <c r="CM395">
        <f ca="1"/>
      </c>
      <c r="CN395">
        <f ca="1"/>
      </c>
      <c r="CO395">
        <f ca="1"/>
      </c>
      <c r="CP395">
        <f ca="1"/>
      </c>
      <c r="CQ395">
        <f ca="1"/>
      </c>
      <c r="CR395">
        <f ca="1"/>
      </c>
      <c r="CS395">
        <f ca="1"/>
      </c>
      <c r="CT395">
        <f ca="1"/>
      </c>
      <c r="CU395">
        <f ca="1"/>
      </c>
      <c r="CV395">
        <f ca="1"/>
      </c>
      <c r="CW395">
        <f ca="1"/>
      </c>
      <c r="CX395">
        <f ca="1"/>
      </c>
      <c r="CY395">
        <f ca="1"/>
      </c>
      <c r="CZ395">
        <f ca="1"/>
      </c>
      <c r="DA395">
        <f ca="1"/>
      </c>
      <c r="DB395">
        <f ca="1"/>
      </c>
      <c r="DC395">
        <f ca="1"/>
      </c>
      <c r="DD395">
        <f ca="1"/>
      </c>
      <c r="DE395">
        <f ca="1"/>
      </c>
      <c r="DF395">
        <f ca="1"/>
      </c>
      <c r="DG395">
        <f ca="1"/>
      </c>
      <c r="DH395">
        <f ca="1"/>
      </c>
      <c r="DI395">
        <f ca="1"/>
      </c>
      <c r="DJ395">
        <f ca="1"/>
      </c>
      <c r="DK395">
        <f ca="1"/>
      </c>
      <c r="DL395">
        <f ca="1"/>
      </c>
      <c r="DM395">
        <f ca="1"/>
      </c>
      <c r="DN395">
        <f ca="1"/>
      </c>
      <c r="DO395">
        <f ca="1"/>
      </c>
      <c r="DP395">
        <f ca="1"/>
      </c>
      <c r="DQ395">
        <f ca="1"/>
      </c>
      <c r="DR395">
        <f ca="1"/>
      </c>
      <c r="DS395">
        <f ca="1"/>
      </c>
      <c r="DT395">
        <f ca="1"/>
      </c>
      <c r="DU395">
        <f ca="1"/>
      </c>
      <c r="DV395">
        <f ca="1"/>
      </c>
      <c r="DW395">
        <f ca="1"/>
      </c>
      <c r="DX395">
        <f ca="1"/>
      </c>
      <c r="DY395">
        <f ca="1"/>
      </c>
      <c r="DZ395">
        <f ca="1"/>
      </c>
      <c r="EA395">
        <f ca="1"/>
      </c>
      <c r="EB395">
        <f ca="1"/>
      </c>
      <c r="EC395">
        <f ca="1"/>
      </c>
      <c r="ED395">
        <f ca="1"/>
      </c>
      <c r="EE395">
        <f ca="1"/>
      </c>
      <c r="EG395">
        <f ca="1"/>
      </c>
      <c r="EH395">
        <f ca="1"/>
      </c>
      <c r="EI395">
        <f ca="1"/>
      </c>
      <c r="EJ395">
        <f ca="1"/>
      </c>
      <c r="EK395">
        <f ca="1"/>
      </c>
      <c r="EL395">
        <f ca="1"/>
      </c>
      <c r="EM395">
        <f ca="1"/>
      </c>
      <c r="EN395">
        <f ca="1"/>
      </c>
      <c r="EO395">
        <f ca="1"/>
      </c>
      <c r="EP395">
        <f ca="1"/>
      </c>
      <c r="EQ395">
        <f ca="1"/>
      </c>
      <c r="ER395">
        <f ca="1"/>
      </c>
      <c r="ES395">
        <f ca="1"/>
      </c>
      <c r="ET395">
        <f ca="1"/>
      </c>
      <c r="EU395">
        <f ca="1"/>
      </c>
      <c r="EV395">
        <f ca="1"/>
      </c>
      <c r="EW395">
        <f ca="1"/>
      </c>
      <c r="EX395">
        <f ca="1"/>
      </c>
      <c r="EY395">
        <f ca="1"/>
      </c>
      <c r="EZ395">
        <f ca="1"/>
      </c>
      <c r="FA395">
        <f ca="1"/>
      </c>
      <c r="FB395">
        <f ca="1"/>
      </c>
      <c r="FC395">
        <f ca="1"/>
      </c>
      <c r="FD395">
        <f ca="1"/>
      </c>
      <c r="FE395">
        <f ca="1"/>
      </c>
      <c r="FF395">
        <f ca="1"/>
      </c>
      <c r="FG395">
        <f ca="1"/>
      </c>
      <c r="FH395">
        <f ca="1"/>
      </c>
      <c r="FI395">
        <f ca="1"/>
      </c>
      <c r="FJ395">
        <f ca="1"/>
      </c>
      <c r="FK395">
        <f ca="1"/>
      </c>
      <c r="FL395">
        <f ca="1"/>
      </c>
      <c r="FM395">
        <f ca="1"/>
      </c>
      <c r="FN395">
        <f ca="1"/>
      </c>
      <c r="FO395">
        <f ca="1"/>
      </c>
      <c r="FP395">
        <f ca="1"/>
      </c>
      <c r="FQ395">
        <f ca="1"/>
      </c>
      <c r="FR395">
        <f ca="1"/>
      </c>
      <c r="FS395">
        <f ca="1"/>
      </c>
      <c r="FT395">
        <f ca="1"/>
      </c>
      <c r="FU395">
        <f ca="1"/>
      </c>
      <c r="FV395">
        <f ca="1"/>
      </c>
      <c r="FW395">
        <f ca="1"/>
      </c>
      <c r="FX395">
        <f ca="1"/>
      </c>
      <c r="FY395">
        <f ca="1"/>
      </c>
      <c r="FZ395">
        <f ca="1"/>
      </c>
      <c r="GA395">
        <f ca="1"/>
      </c>
      <c r="GM395" s="7"/>
    </row>
    <row r="396" spans="41:195" x14ac:dyDescent="0.55000000000000004">
      <c r="AO396">
        <f ca="1"/>
      </c>
      <c r="AP396">
        <f ca="1"/>
      </c>
      <c r="AQ396">
        <f ca="1"/>
      </c>
      <c r="AR396">
        <f ca="1"/>
      </c>
      <c r="AS396">
        <f ca="1"/>
      </c>
      <c r="AT396">
        <f ca="1"/>
      </c>
      <c r="AU396">
        <f ca="1"/>
      </c>
      <c r="AV396">
        <f ca="1"/>
      </c>
      <c r="AW396">
        <f ca="1"/>
      </c>
      <c r="AX396">
        <f ca="1"/>
      </c>
      <c r="AY396">
        <f ca="1"/>
      </c>
      <c r="AZ396">
        <f ca="1"/>
      </c>
      <c r="BA396">
        <f ca="1"/>
      </c>
      <c r="BB396">
        <f ca="1"/>
      </c>
      <c r="BC396">
        <f ca="1"/>
      </c>
      <c r="BD396">
        <f ca="1"/>
      </c>
      <c r="BE396">
        <f ca="1"/>
      </c>
      <c r="BF396">
        <f ca="1"/>
      </c>
      <c r="BG396">
        <f ca="1"/>
      </c>
      <c r="BH396">
        <f ca="1"/>
      </c>
      <c r="BI396">
        <f ca="1"/>
      </c>
      <c r="BJ396">
        <f ca="1"/>
      </c>
      <c r="BK396">
        <f ca="1"/>
      </c>
      <c r="BL396">
        <f ca="1"/>
      </c>
      <c r="BM396">
        <f ca="1"/>
      </c>
      <c r="BN396">
        <f ca="1"/>
      </c>
      <c r="BO396">
        <f ca="1"/>
      </c>
      <c r="BP396">
        <f ca="1"/>
      </c>
      <c r="BQ396">
        <f ca="1"/>
      </c>
      <c r="BR396">
        <f ca="1"/>
      </c>
      <c r="BS396">
        <f ca="1"/>
      </c>
      <c r="BT396">
        <f ca="1"/>
      </c>
      <c r="BU396">
        <f ca="1"/>
      </c>
      <c r="BV396">
        <f ca="1"/>
      </c>
      <c r="BW396">
        <f ca="1"/>
      </c>
      <c r="BX396">
        <f ca="1"/>
      </c>
      <c r="BY396">
        <f ca="1"/>
      </c>
      <c r="BZ396">
        <f ca="1"/>
      </c>
      <c r="CA396">
        <f ca="1"/>
      </c>
      <c r="CB396">
        <f ca="1"/>
      </c>
      <c r="CC396">
        <f ca="1"/>
      </c>
      <c r="CD396">
        <f ca="1"/>
      </c>
      <c r="CE396">
        <f ca="1"/>
      </c>
      <c r="CF396">
        <f ca="1"/>
      </c>
      <c r="CG396">
        <f ca="1"/>
      </c>
      <c r="CH396">
        <f ca="1"/>
      </c>
      <c r="CI396">
        <f ca="1"/>
      </c>
      <c r="CK396">
        <f ca="1"/>
      </c>
      <c r="CL396">
        <f ca="1"/>
      </c>
      <c r="CM396">
        <f ca="1"/>
      </c>
      <c r="CN396">
        <f ca="1"/>
      </c>
      <c r="CO396">
        <f ca="1"/>
      </c>
      <c r="CP396">
        <f ca="1"/>
      </c>
      <c r="CQ396">
        <f ca="1"/>
      </c>
      <c r="CR396">
        <f ca="1"/>
      </c>
      <c r="CS396">
        <f ca="1"/>
      </c>
      <c r="CT396">
        <f ca="1"/>
      </c>
      <c r="CU396">
        <f ca="1"/>
      </c>
      <c r="CV396">
        <f ca="1"/>
      </c>
      <c r="CW396">
        <f ca="1"/>
      </c>
      <c r="CX396">
        <f ca="1"/>
      </c>
      <c r="CY396">
        <f ca="1"/>
      </c>
      <c r="CZ396">
        <f ca="1"/>
      </c>
      <c r="DA396">
        <f ca="1"/>
      </c>
      <c r="DB396">
        <f ca="1"/>
      </c>
      <c r="DC396">
        <f ca="1"/>
      </c>
      <c r="DD396">
        <f ca="1"/>
      </c>
      <c r="DE396">
        <f ca="1"/>
      </c>
      <c r="DF396">
        <f ca="1"/>
      </c>
      <c r="DG396">
        <f ca="1"/>
      </c>
      <c r="DH396">
        <f ca="1"/>
      </c>
      <c r="DI396">
        <f ca="1"/>
      </c>
      <c r="DJ396">
        <f ca="1"/>
      </c>
      <c r="DK396">
        <f ca="1"/>
      </c>
      <c r="DL396">
        <f ca="1"/>
      </c>
      <c r="DM396">
        <f ca="1"/>
      </c>
      <c r="DN396">
        <f ca="1"/>
      </c>
      <c r="DO396">
        <f ca="1"/>
      </c>
      <c r="DP396">
        <f ca="1"/>
      </c>
      <c r="DQ396">
        <f ca="1"/>
      </c>
      <c r="DR396">
        <f ca="1"/>
      </c>
      <c r="DS396">
        <f ca="1"/>
      </c>
      <c r="DT396">
        <f ca="1"/>
      </c>
      <c r="DU396">
        <f ca="1"/>
      </c>
      <c r="DV396">
        <f ca="1"/>
      </c>
      <c r="DW396">
        <f ca="1"/>
      </c>
      <c r="DX396">
        <f ca="1"/>
      </c>
      <c r="DY396">
        <f ca="1"/>
      </c>
      <c r="DZ396">
        <f ca="1"/>
      </c>
      <c r="EA396">
        <f ca="1"/>
      </c>
      <c r="EB396">
        <f ca="1"/>
      </c>
      <c r="EC396">
        <f ca="1"/>
      </c>
      <c r="ED396">
        <f ca="1"/>
      </c>
      <c r="EE396">
        <f ca="1"/>
      </c>
      <c r="EG396">
        <f ca="1"/>
      </c>
      <c r="EH396">
        <f ca="1"/>
      </c>
      <c r="EI396">
        <f ca="1"/>
      </c>
      <c r="EJ396">
        <f ca="1"/>
      </c>
      <c r="EK396">
        <f ca="1"/>
      </c>
      <c r="EL396">
        <f ca="1"/>
      </c>
      <c r="EM396">
        <f ca="1"/>
      </c>
      <c r="EN396">
        <f ca="1"/>
      </c>
      <c r="EO396">
        <f ca="1"/>
      </c>
      <c r="EP396">
        <f ca="1"/>
      </c>
      <c r="EQ396">
        <f ca="1"/>
      </c>
      <c r="ER396">
        <f ca="1"/>
      </c>
      <c r="ES396">
        <f ca="1"/>
      </c>
      <c r="ET396">
        <f ca="1"/>
      </c>
      <c r="EU396">
        <f ca="1"/>
      </c>
      <c r="EV396">
        <f ca="1"/>
      </c>
      <c r="EW396">
        <f ca="1"/>
      </c>
      <c r="EX396">
        <f ca="1"/>
      </c>
      <c r="EY396">
        <f ca="1"/>
      </c>
      <c r="EZ396">
        <f ca="1"/>
      </c>
      <c r="FA396">
        <f ca="1"/>
      </c>
      <c r="FB396">
        <f ca="1"/>
      </c>
      <c r="FC396">
        <f ca="1"/>
      </c>
      <c r="FD396">
        <f ca="1"/>
      </c>
      <c r="FE396">
        <f ca="1"/>
      </c>
      <c r="FF396">
        <f ca="1"/>
      </c>
      <c r="FG396">
        <f ca="1"/>
      </c>
      <c r="FH396">
        <f ca="1"/>
      </c>
      <c r="FI396">
        <f ca="1"/>
      </c>
      <c r="FJ396">
        <f ca="1"/>
      </c>
      <c r="FK396">
        <f ca="1"/>
      </c>
      <c r="FL396">
        <f ca="1"/>
      </c>
      <c r="FM396">
        <f ca="1"/>
      </c>
      <c r="FN396">
        <f ca="1"/>
      </c>
      <c r="FO396">
        <f ca="1"/>
      </c>
      <c r="FP396">
        <f ca="1"/>
      </c>
      <c r="FQ396">
        <f ca="1"/>
      </c>
      <c r="FR396">
        <f ca="1"/>
      </c>
      <c r="FS396">
        <f ca="1"/>
      </c>
      <c r="FT396">
        <f ca="1"/>
      </c>
      <c r="FU396">
        <f ca="1"/>
      </c>
      <c r="FV396">
        <f ca="1"/>
      </c>
      <c r="FW396">
        <f ca="1"/>
      </c>
      <c r="FX396">
        <f ca="1"/>
      </c>
      <c r="FY396">
        <f ca="1"/>
      </c>
      <c r="FZ396">
        <f ca="1"/>
      </c>
      <c r="GA396">
        <f ca="1"/>
      </c>
      <c r="GM396" s="7"/>
    </row>
    <row r="397" spans="41:195" x14ac:dyDescent="0.55000000000000004">
      <c r="AO397">
        <f ca="1"/>
      </c>
      <c r="AP397">
        <f ca="1"/>
      </c>
      <c r="AQ397">
        <f ca="1"/>
      </c>
      <c r="AR397">
        <f ca="1"/>
      </c>
      <c r="AS397">
        <f ca="1"/>
      </c>
      <c r="AT397">
        <f ca="1"/>
      </c>
      <c r="AU397">
        <f ca="1"/>
      </c>
      <c r="AV397">
        <f ca="1"/>
      </c>
      <c r="AW397">
        <f ca="1"/>
      </c>
      <c r="AX397">
        <f ca="1"/>
      </c>
      <c r="AY397">
        <f ca="1"/>
      </c>
      <c r="AZ397">
        <f ca="1"/>
      </c>
      <c r="BA397">
        <f ca="1"/>
      </c>
      <c r="BB397">
        <f ca="1"/>
      </c>
      <c r="BC397">
        <f ca="1"/>
      </c>
      <c r="BD397">
        <f ca="1"/>
      </c>
      <c r="BE397">
        <f ca="1"/>
      </c>
      <c r="BF397">
        <f ca="1"/>
      </c>
      <c r="BG397">
        <f ca="1"/>
      </c>
      <c r="BH397">
        <f ca="1"/>
      </c>
      <c r="BI397">
        <f ca="1"/>
      </c>
      <c r="BJ397">
        <f ca="1"/>
      </c>
      <c r="BK397">
        <f ca="1"/>
      </c>
      <c r="BL397">
        <f ca="1"/>
      </c>
      <c r="BM397">
        <f ca="1"/>
      </c>
      <c r="BN397">
        <f ca="1"/>
      </c>
      <c r="BO397">
        <f ca="1"/>
      </c>
      <c r="BP397">
        <f ca="1"/>
      </c>
      <c r="BQ397">
        <f ca="1"/>
      </c>
      <c r="BR397">
        <f ca="1"/>
      </c>
      <c r="BS397">
        <f ca="1"/>
      </c>
      <c r="BT397">
        <f ca="1"/>
      </c>
      <c r="BU397">
        <f ca="1"/>
      </c>
      <c r="BV397">
        <f ca="1"/>
      </c>
      <c r="BW397">
        <f ca="1"/>
      </c>
      <c r="BX397">
        <f ca="1"/>
      </c>
      <c r="BY397">
        <f ca="1"/>
      </c>
      <c r="BZ397">
        <f ca="1"/>
      </c>
      <c r="CA397">
        <f ca="1"/>
      </c>
      <c r="CB397">
        <f ca="1"/>
      </c>
      <c r="CC397">
        <f ca="1"/>
      </c>
      <c r="CD397">
        <f ca="1"/>
      </c>
      <c r="CE397">
        <f ca="1"/>
      </c>
      <c r="CF397">
        <f ca="1"/>
      </c>
      <c r="CG397">
        <f ca="1"/>
      </c>
      <c r="CH397">
        <f ca="1"/>
      </c>
      <c r="CI397">
        <f ca="1"/>
      </c>
      <c r="CK397">
        <f ca="1"/>
      </c>
      <c r="CL397">
        <f ca="1"/>
      </c>
      <c r="CM397">
        <f ca="1"/>
      </c>
      <c r="CN397">
        <f ca="1"/>
      </c>
      <c r="CO397">
        <f ca="1"/>
      </c>
      <c r="CP397">
        <f ca="1"/>
      </c>
      <c r="CQ397">
        <f ca="1"/>
      </c>
      <c r="CR397">
        <f ca="1"/>
      </c>
      <c r="CS397">
        <f ca="1"/>
      </c>
      <c r="CT397">
        <f ca="1"/>
      </c>
      <c r="CU397">
        <f ca="1"/>
      </c>
      <c r="CV397">
        <f ca="1"/>
      </c>
      <c r="CW397">
        <f ca="1"/>
      </c>
      <c r="CX397">
        <f ca="1"/>
      </c>
      <c r="CY397">
        <f ca="1"/>
      </c>
      <c r="CZ397">
        <f ca="1"/>
      </c>
      <c r="DA397">
        <f ca="1"/>
      </c>
      <c r="DB397">
        <f ca="1"/>
      </c>
      <c r="DC397">
        <f ca="1"/>
      </c>
      <c r="DD397">
        <f ca="1"/>
      </c>
      <c r="DE397">
        <f ca="1"/>
      </c>
      <c r="DF397">
        <f ca="1"/>
      </c>
      <c r="DG397">
        <f ca="1"/>
      </c>
      <c r="DH397">
        <f ca="1"/>
      </c>
      <c r="DI397">
        <f ca="1"/>
      </c>
      <c r="DJ397">
        <f ca="1"/>
      </c>
      <c r="DK397">
        <f ca="1"/>
      </c>
      <c r="DL397">
        <f ca="1"/>
      </c>
      <c r="DM397">
        <f ca="1"/>
      </c>
      <c r="DN397">
        <f ca="1"/>
      </c>
      <c r="DO397">
        <f ca="1"/>
      </c>
      <c r="DP397">
        <f ca="1"/>
      </c>
      <c r="DQ397">
        <f ca="1"/>
      </c>
      <c r="DR397">
        <f ca="1"/>
      </c>
      <c r="DS397">
        <f ca="1"/>
      </c>
      <c r="DT397">
        <f ca="1"/>
      </c>
      <c r="DU397">
        <f ca="1"/>
      </c>
      <c r="DV397">
        <f ca="1"/>
      </c>
      <c r="DW397">
        <f ca="1"/>
      </c>
      <c r="DX397">
        <f ca="1"/>
      </c>
      <c r="DY397">
        <f ca="1"/>
      </c>
      <c r="DZ397">
        <f ca="1"/>
      </c>
      <c r="EA397">
        <f ca="1"/>
      </c>
      <c r="EB397">
        <f ca="1"/>
      </c>
      <c r="EC397">
        <f ca="1"/>
      </c>
      <c r="ED397">
        <f ca="1"/>
      </c>
      <c r="EE397">
        <f ca="1"/>
      </c>
      <c r="EG397">
        <f ca="1"/>
      </c>
      <c r="EH397">
        <f ca="1"/>
      </c>
      <c r="EI397">
        <f ca="1"/>
      </c>
      <c r="EJ397">
        <f ca="1"/>
      </c>
      <c r="EK397">
        <f ca="1"/>
      </c>
      <c r="EL397">
        <f ca="1"/>
      </c>
      <c r="EM397">
        <f ca="1"/>
      </c>
      <c r="EN397">
        <f ca="1"/>
      </c>
      <c r="EO397">
        <f ca="1"/>
      </c>
      <c r="EP397">
        <f ca="1"/>
      </c>
      <c r="EQ397">
        <f ca="1"/>
      </c>
      <c r="ER397">
        <f ca="1"/>
      </c>
      <c r="ES397">
        <f ca="1"/>
      </c>
      <c r="ET397">
        <f ca="1"/>
      </c>
      <c r="EU397">
        <f ca="1"/>
      </c>
      <c r="EV397">
        <f ca="1"/>
      </c>
      <c r="EW397">
        <f ca="1"/>
      </c>
      <c r="EX397">
        <f ca="1"/>
      </c>
      <c r="EY397">
        <f ca="1"/>
      </c>
      <c r="EZ397">
        <f ca="1"/>
      </c>
      <c r="FA397">
        <f ca="1"/>
      </c>
      <c r="FB397">
        <f ca="1"/>
      </c>
      <c r="FC397">
        <f ca="1"/>
      </c>
      <c r="FD397">
        <f ca="1"/>
      </c>
      <c r="FE397">
        <f ca="1"/>
      </c>
      <c r="FF397">
        <f ca="1"/>
      </c>
      <c r="FG397">
        <f ca="1"/>
      </c>
      <c r="FH397">
        <f ca="1"/>
      </c>
      <c r="FI397">
        <f ca="1"/>
      </c>
      <c r="FJ397">
        <f ca="1"/>
      </c>
      <c r="FK397">
        <f ca="1"/>
      </c>
      <c r="FL397">
        <f ca="1"/>
      </c>
      <c r="FM397">
        <f ca="1"/>
      </c>
      <c r="FN397">
        <f ca="1"/>
      </c>
      <c r="FO397">
        <f ca="1"/>
      </c>
      <c r="FP397">
        <f ca="1"/>
      </c>
      <c r="FQ397">
        <f ca="1"/>
      </c>
      <c r="FR397">
        <f ca="1"/>
      </c>
      <c r="FS397">
        <f ca="1"/>
      </c>
      <c r="FT397">
        <f ca="1"/>
      </c>
      <c r="FU397">
        <f ca="1"/>
      </c>
      <c r="FV397">
        <f ca="1"/>
      </c>
      <c r="FW397">
        <f ca="1"/>
      </c>
      <c r="FX397">
        <f ca="1"/>
      </c>
      <c r="FY397">
        <f ca="1"/>
      </c>
      <c r="FZ397">
        <f ca="1"/>
      </c>
      <c r="GA397">
        <f ca="1"/>
      </c>
      <c r="GM397" s="7"/>
    </row>
    <row r="398" spans="41:195" x14ac:dyDescent="0.55000000000000004">
      <c r="AO398">
        <f ca="1"/>
      </c>
      <c r="AP398">
        <f ca="1"/>
      </c>
      <c r="AQ398">
        <f ca="1"/>
      </c>
      <c r="AR398">
        <f ca="1"/>
      </c>
      <c r="AS398">
        <f ca="1"/>
      </c>
      <c r="AT398">
        <f ca="1"/>
      </c>
      <c r="AU398">
        <f ca="1"/>
      </c>
      <c r="AV398">
        <f ca="1"/>
      </c>
      <c r="AW398">
        <f ca="1"/>
      </c>
      <c r="AX398">
        <f ca="1"/>
      </c>
      <c r="AY398">
        <f ca="1"/>
      </c>
      <c r="AZ398">
        <f ca="1"/>
      </c>
      <c r="BA398">
        <f ca="1"/>
      </c>
      <c r="BB398">
        <f ca="1"/>
      </c>
      <c r="BC398">
        <f ca="1"/>
      </c>
      <c r="BD398">
        <f ca="1"/>
      </c>
      <c r="BE398">
        <f ca="1"/>
      </c>
      <c r="BF398">
        <f ca="1"/>
      </c>
      <c r="BG398">
        <f ca="1"/>
      </c>
      <c r="BH398">
        <f ca="1"/>
      </c>
      <c r="BI398">
        <f ca="1"/>
      </c>
      <c r="BJ398">
        <f ca="1"/>
      </c>
      <c r="BK398">
        <f ca="1"/>
      </c>
      <c r="BL398">
        <f ca="1"/>
      </c>
      <c r="BM398">
        <f ca="1"/>
      </c>
      <c r="BN398">
        <f ca="1"/>
      </c>
      <c r="BO398">
        <f ca="1"/>
      </c>
      <c r="BP398">
        <f ca="1"/>
      </c>
      <c r="BQ398">
        <f ca="1"/>
      </c>
      <c r="BR398">
        <f ca="1"/>
      </c>
      <c r="BS398">
        <f ca="1"/>
      </c>
      <c r="BT398">
        <f ca="1"/>
      </c>
      <c r="BU398">
        <f ca="1"/>
      </c>
      <c r="BV398">
        <f ca="1"/>
      </c>
      <c r="BW398">
        <f ca="1"/>
      </c>
      <c r="BX398">
        <f ca="1"/>
      </c>
      <c r="BY398">
        <f ca="1"/>
      </c>
      <c r="BZ398">
        <f ca="1"/>
      </c>
      <c r="CA398">
        <f ca="1"/>
      </c>
      <c r="CB398">
        <f ca="1"/>
      </c>
      <c r="CC398">
        <f ca="1"/>
      </c>
      <c r="CD398">
        <f ca="1"/>
      </c>
      <c r="CE398">
        <f ca="1"/>
      </c>
      <c r="CF398">
        <f ca="1"/>
      </c>
      <c r="CG398">
        <f ca="1"/>
      </c>
      <c r="CH398">
        <f ca="1"/>
      </c>
      <c r="CI398">
        <f ca="1"/>
      </c>
      <c r="CK398">
        <f ca="1"/>
      </c>
      <c r="CL398">
        <f ca="1"/>
      </c>
      <c r="CM398">
        <f ca="1"/>
      </c>
      <c r="CN398">
        <f ca="1"/>
      </c>
      <c r="CO398">
        <f ca="1"/>
      </c>
      <c r="CP398">
        <f ca="1"/>
      </c>
      <c r="CQ398">
        <f ca="1"/>
      </c>
      <c r="CR398">
        <f ca="1"/>
      </c>
      <c r="CS398">
        <f ca="1"/>
      </c>
      <c r="CT398">
        <f ca="1"/>
      </c>
      <c r="CU398">
        <f ca="1"/>
      </c>
      <c r="CV398">
        <f ca="1"/>
      </c>
      <c r="CW398">
        <f ca="1"/>
      </c>
      <c r="CX398">
        <f ca="1"/>
      </c>
      <c r="CY398">
        <f ca="1"/>
      </c>
      <c r="CZ398">
        <f ca="1"/>
      </c>
      <c r="DA398">
        <f ca="1"/>
      </c>
      <c r="DB398">
        <f ca="1"/>
      </c>
      <c r="DC398">
        <f ca="1"/>
      </c>
      <c r="DD398">
        <f ca="1"/>
      </c>
      <c r="DE398">
        <f ca="1"/>
      </c>
      <c r="DF398">
        <f ca="1"/>
      </c>
      <c r="DG398">
        <f ca="1"/>
      </c>
      <c r="DH398">
        <f ca="1"/>
      </c>
      <c r="DI398">
        <f ca="1"/>
      </c>
      <c r="DJ398">
        <f ca="1"/>
      </c>
      <c r="DK398">
        <f ca="1"/>
      </c>
      <c r="DL398">
        <f ca="1"/>
      </c>
      <c r="DM398">
        <f ca="1"/>
      </c>
      <c r="DN398">
        <f ca="1"/>
      </c>
      <c r="DO398">
        <f ca="1"/>
      </c>
      <c r="DP398">
        <f ca="1"/>
      </c>
      <c r="DQ398">
        <f ca="1"/>
      </c>
      <c r="DR398">
        <f ca="1"/>
      </c>
      <c r="DS398">
        <f ca="1"/>
      </c>
      <c r="DT398">
        <f ca="1"/>
      </c>
      <c r="DU398">
        <f ca="1"/>
      </c>
      <c r="DV398">
        <f ca="1"/>
      </c>
      <c r="DW398">
        <f ca="1"/>
      </c>
      <c r="DX398">
        <f ca="1"/>
      </c>
      <c r="DY398">
        <f ca="1"/>
      </c>
      <c r="DZ398">
        <f ca="1"/>
      </c>
      <c r="EA398">
        <f ca="1"/>
      </c>
      <c r="EB398">
        <f ca="1"/>
      </c>
      <c r="EC398">
        <f ca="1"/>
      </c>
      <c r="ED398">
        <f ca="1"/>
      </c>
      <c r="EE398">
        <f ca="1"/>
      </c>
      <c r="EG398">
        <f ca="1"/>
      </c>
      <c r="EH398">
        <f ca="1"/>
      </c>
      <c r="EI398">
        <f ca="1"/>
      </c>
      <c r="EJ398">
        <f ca="1"/>
      </c>
      <c r="EK398">
        <f ca="1"/>
      </c>
      <c r="EL398">
        <f ca="1"/>
      </c>
      <c r="EM398">
        <f ca="1"/>
      </c>
      <c r="EN398">
        <f ca="1"/>
      </c>
      <c r="EO398">
        <f ca="1"/>
      </c>
      <c r="EP398">
        <f ca="1"/>
      </c>
      <c r="EQ398">
        <f ca="1"/>
      </c>
      <c r="ER398">
        <f ca="1"/>
      </c>
      <c r="ES398">
        <f ca="1"/>
      </c>
      <c r="ET398">
        <f ca="1"/>
      </c>
      <c r="EU398">
        <f ca="1"/>
      </c>
      <c r="EV398">
        <f ca="1"/>
      </c>
      <c r="EW398">
        <f ca="1"/>
      </c>
      <c r="EX398">
        <f ca="1"/>
      </c>
      <c r="EY398">
        <f ca="1"/>
      </c>
      <c r="EZ398">
        <f ca="1"/>
      </c>
      <c r="FA398">
        <f ca="1"/>
      </c>
      <c r="FB398">
        <f ca="1"/>
      </c>
      <c r="FC398">
        <f ca="1"/>
      </c>
      <c r="FD398">
        <f ca="1"/>
      </c>
      <c r="FE398">
        <f ca="1"/>
      </c>
      <c r="FF398">
        <f ca="1"/>
      </c>
      <c r="FG398">
        <f ca="1"/>
      </c>
      <c r="FH398">
        <f ca="1"/>
      </c>
      <c r="FI398">
        <f ca="1"/>
      </c>
      <c r="FJ398">
        <f ca="1"/>
      </c>
      <c r="FK398">
        <f ca="1"/>
      </c>
      <c r="FL398">
        <f ca="1"/>
      </c>
      <c r="FM398">
        <f ca="1"/>
      </c>
      <c r="FN398">
        <f ca="1"/>
      </c>
      <c r="FO398">
        <f ca="1"/>
      </c>
      <c r="FP398">
        <f ca="1"/>
      </c>
      <c r="FQ398">
        <f ca="1"/>
      </c>
      <c r="FR398">
        <f ca="1"/>
      </c>
      <c r="FS398">
        <f ca="1"/>
      </c>
      <c r="FT398">
        <f ca="1"/>
      </c>
      <c r="FU398">
        <f ca="1"/>
      </c>
      <c r="FV398">
        <f ca="1"/>
      </c>
      <c r="FW398">
        <f ca="1"/>
      </c>
      <c r="FX398">
        <f ca="1"/>
      </c>
      <c r="FY398">
        <f ca="1"/>
      </c>
      <c r="FZ398">
        <f ca="1"/>
      </c>
      <c r="GA398">
        <f ca="1"/>
      </c>
      <c r="GM398" s="7"/>
    </row>
    <row r="399" spans="41:195" x14ac:dyDescent="0.55000000000000004">
      <c r="AO399">
        <f ca="1"/>
      </c>
      <c r="AP399">
        <f ca="1"/>
      </c>
      <c r="AQ399">
        <f ca="1"/>
      </c>
      <c r="AR399">
        <f ca="1"/>
      </c>
      <c r="AS399">
        <f ca="1"/>
      </c>
      <c r="AT399">
        <f ca="1"/>
      </c>
      <c r="AU399">
        <f ca="1"/>
      </c>
      <c r="AV399">
        <f ca="1"/>
      </c>
      <c r="AW399">
        <f ca="1"/>
      </c>
      <c r="AX399">
        <f ca="1"/>
      </c>
      <c r="AY399">
        <f ca="1"/>
      </c>
      <c r="AZ399">
        <f ca="1"/>
      </c>
      <c r="BA399">
        <f ca="1"/>
      </c>
      <c r="BB399">
        <f ca="1"/>
      </c>
      <c r="BC399">
        <f ca="1"/>
      </c>
      <c r="BD399">
        <f ca="1"/>
      </c>
      <c r="BE399">
        <f ca="1"/>
      </c>
      <c r="BF399">
        <f ca="1"/>
      </c>
      <c r="BG399">
        <f ca="1"/>
      </c>
      <c r="BH399">
        <f ca="1"/>
      </c>
      <c r="BI399">
        <f ca="1"/>
      </c>
      <c r="BJ399">
        <f ca="1"/>
      </c>
      <c r="BK399">
        <f ca="1"/>
      </c>
      <c r="BL399">
        <f ca="1"/>
      </c>
      <c r="BM399">
        <f ca="1"/>
      </c>
      <c r="BN399">
        <f ca="1"/>
      </c>
      <c r="BO399">
        <f ca="1"/>
      </c>
      <c r="BP399">
        <f ca="1"/>
      </c>
      <c r="BQ399">
        <f ca="1"/>
      </c>
      <c r="BR399">
        <f ca="1"/>
      </c>
      <c r="BS399">
        <f ca="1"/>
      </c>
      <c r="BT399">
        <f ca="1"/>
      </c>
      <c r="BU399">
        <f ca="1"/>
      </c>
      <c r="BV399">
        <f ca="1"/>
      </c>
      <c r="BW399">
        <f ca="1"/>
      </c>
      <c r="BX399">
        <f ca="1"/>
      </c>
      <c r="BY399">
        <f ca="1"/>
      </c>
      <c r="BZ399">
        <f ca="1"/>
      </c>
      <c r="CA399">
        <f ca="1"/>
      </c>
      <c r="CB399">
        <f ca="1"/>
      </c>
      <c r="CC399">
        <f ca="1"/>
      </c>
      <c r="CD399">
        <f ca="1"/>
      </c>
      <c r="CE399">
        <f ca="1"/>
      </c>
      <c r="CF399">
        <f ca="1"/>
      </c>
      <c r="CG399">
        <f ca="1"/>
      </c>
      <c r="CH399">
        <f ca="1"/>
      </c>
      <c r="CI399">
        <f ca="1"/>
      </c>
      <c r="CK399">
        <f ca="1"/>
      </c>
      <c r="CL399">
        <f ca="1"/>
      </c>
      <c r="CM399">
        <f ca="1"/>
      </c>
      <c r="CN399">
        <f ca="1"/>
      </c>
      <c r="CO399">
        <f ca="1"/>
      </c>
      <c r="CP399">
        <f ca="1"/>
      </c>
      <c r="CQ399">
        <f ca="1"/>
      </c>
      <c r="CR399">
        <f ca="1"/>
      </c>
      <c r="CS399">
        <f ca="1"/>
      </c>
      <c r="CT399">
        <f ca="1"/>
      </c>
      <c r="CU399">
        <f ca="1"/>
      </c>
      <c r="CV399">
        <f ca="1"/>
      </c>
      <c r="CW399">
        <f ca="1"/>
      </c>
      <c r="CX399">
        <f ca="1"/>
      </c>
      <c r="CY399">
        <f ca="1"/>
      </c>
      <c r="CZ399">
        <f ca="1"/>
      </c>
      <c r="DA399">
        <f ca="1"/>
      </c>
      <c r="DB399">
        <f ca="1"/>
      </c>
      <c r="DC399">
        <f ca="1"/>
      </c>
      <c r="DD399">
        <f ca="1"/>
      </c>
      <c r="DE399">
        <f ca="1"/>
      </c>
      <c r="DF399">
        <f ca="1"/>
      </c>
      <c r="DG399">
        <f ca="1"/>
      </c>
      <c r="DH399">
        <f ca="1"/>
      </c>
      <c r="DI399">
        <f ca="1"/>
      </c>
      <c r="DJ399">
        <f ca="1"/>
      </c>
      <c r="DK399">
        <f ca="1"/>
      </c>
      <c r="DL399">
        <f ca="1"/>
      </c>
      <c r="DM399">
        <f ca="1"/>
      </c>
      <c r="DN399">
        <f ca="1"/>
      </c>
      <c r="DO399">
        <f ca="1"/>
      </c>
      <c r="DP399">
        <f ca="1"/>
      </c>
      <c r="DQ399">
        <f ca="1"/>
      </c>
      <c r="DR399">
        <f ca="1"/>
      </c>
      <c r="DS399">
        <f ca="1"/>
      </c>
      <c r="DT399">
        <f ca="1"/>
      </c>
      <c r="DU399">
        <f ca="1"/>
      </c>
      <c r="DV399">
        <f ca="1"/>
      </c>
      <c r="DW399">
        <f ca="1"/>
      </c>
      <c r="DX399">
        <f ca="1"/>
      </c>
      <c r="DY399">
        <f ca="1"/>
      </c>
      <c r="DZ399">
        <f ca="1"/>
      </c>
      <c r="EA399">
        <f ca="1"/>
      </c>
      <c r="EB399">
        <f ca="1"/>
      </c>
      <c r="EC399">
        <f ca="1"/>
      </c>
      <c r="ED399">
        <f ca="1"/>
      </c>
      <c r="EE399">
        <f ca="1"/>
      </c>
      <c r="EG399">
        <f ca="1"/>
      </c>
      <c r="EH399">
        <f ca="1"/>
      </c>
      <c r="EI399">
        <f ca="1"/>
      </c>
      <c r="EJ399">
        <f ca="1"/>
      </c>
      <c r="EK399">
        <f ca="1"/>
      </c>
      <c r="EL399">
        <f ca="1"/>
      </c>
      <c r="EM399">
        <f ca="1"/>
      </c>
      <c r="EN399">
        <f ca="1"/>
      </c>
      <c r="EO399">
        <f ca="1"/>
      </c>
      <c r="EP399">
        <f ca="1"/>
      </c>
      <c r="EQ399">
        <f ca="1"/>
      </c>
      <c r="ER399">
        <f ca="1"/>
      </c>
      <c r="ES399">
        <f ca="1"/>
      </c>
      <c r="ET399">
        <f ca="1"/>
      </c>
      <c r="EU399">
        <f ca="1"/>
      </c>
      <c r="EV399">
        <f ca="1"/>
      </c>
      <c r="EW399">
        <f ca="1"/>
      </c>
      <c r="EX399">
        <f ca="1"/>
      </c>
      <c r="EY399">
        <f ca="1"/>
      </c>
      <c r="EZ399">
        <f ca="1"/>
      </c>
      <c r="FA399">
        <f ca="1"/>
      </c>
      <c r="FB399">
        <f ca="1"/>
      </c>
      <c r="FC399">
        <f ca="1"/>
      </c>
      <c r="FD399">
        <f ca="1"/>
      </c>
      <c r="FE399">
        <f ca="1"/>
      </c>
      <c r="FF399">
        <f ca="1"/>
      </c>
      <c r="FG399">
        <f ca="1"/>
      </c>
      <c r="FH399">
        <f ca="1"/>
      </c>
      <c r="FI399">
        <f ca="1"/>
      </c>
      <c r="FJ399">
        <f ca="1"/>
      </c>
      <c r="FK399">
        <f ca="1"/>
      </c>
      <c r="FL399">
        <f ca="1"/>
      </c>
      <c r="FM399">
        <f ca="1"/>
      </c>
      <c r="FN399">
        <f ca="1"/>
      </c>
      <c r="FO399">
        <f ca="1"/>
      </c>
      <c r="FP399">
        <f ca="1"/>
      </c>
      <c r="FQ399">
        <f ca="1"/>
      </c>
      <c r="FR399">
        <f ca="1"/>
      </c>
      <c r="FS399">
        <f ca="1"/>
      </c>
      <c r="FT399">
        <f ca="1"/>
      </c>
      <c r="FU399">
        <f ca="1"/>
      </c>
      <c r="FV399">
        <f ca="1"/>
      </c>
      <c r="FW399">
        <f ca="1"/>
      </c>
      <c r="FX399">
        <f ca="1"/>
      </c>
      <c r="FY399">
        <f ca="1"/>
      </c>
      <c r="FZ399">
        <f ca="1"/>
      </c>
      <c r="GA399">
        <f ca="1"/>
      </c>
      <c r="GM399" s="7"/>
    </row>
    <row r="400" spans="41:195" x14ac:dyDescent="0.55000000000000004">
      <c r="AO400">
        <f ca="1"/>
      </c>
      <c r="AP400">
        <f ca="1"/>
      </c>
      <c r="AQ400">
        <f ca="1"/>
      </c>
      <c r="AR400">
        <f ca="1"/>
      </c>
      <c r="AS400">
        <f ca="1"/>
      </c>
      <c r="AT400">
        <f ca="1"/>
      </c>
      <c r="AU400">
        <f ca="1"/>
      </c>
      <c r="AV400">
        <f ca="1"/>
      </c>
      <c r="AW400">
        <f ca="1"/>
      </c>
      <c r="AX400">
        <f ca="1"/>
      </c>
      <c r="AY400">
        <f ca="1"/>
      </c>
      <c r="AZ400">
        <f ca="1"/>
      </c>
      <c r="BA400">
        <f ca="1"/>
      </c>
      <c r="BB400">
        <f ca="1"/>
      </c>
      <c r="BC400">
        <f ca="1"/>
      </c>
      <c r="BD400">
        <f ca="1"/>
      </c>
      <c r="BE400">
        <f ca="1"/>
      </c>
      <c r="BF400">
        <f ca="1"/>
      </c>
      <c r="BG400">
        <f ca="1"/>
      </c>
      <c r="BH400">
        <f ca="1"/>
      </c>
      <c r="BI400">
        <f ca="1"/>
      </c>
      <c r="BJ400">
        <f ca="1"/>
      </c>
      <c r="BK400">
        <f ca="1"/>
      </c>
      <c r="BL400">
        <f ca="1"/>
      </c>
      <c r="BM400">
        <f ca="1"/>
      </c>
      <c r="BN400">
        <f ca="1"/>
      </c>
      <c r="BO400">
        <f ca="1"/>
      </c>
      <c r="BP400">
        <f ca="1"/>
      </c>
      <c r="BQ400">
        <f ca="1"/>
      </c>
      <c r="BR400">
        <f ca="1"/>
      </c>
      <c r="BS400">
        <f ca="1"/>
      </c>
      <c r="BT400">
        <f ca="1"/>
      </c>
      <c r="BU400">
        <f ca="1"/>
      </c>
      <c r="BV400">
        <f ca="1"/>
      </c>
      <c r="BW400">
        <f ca="1"/>
      </c>
      <c r="BX400">
        <f ca="1"/>
      </c>
      <c r="BY400">
        <f ca="1"/>
      </c>
      <c r="BZ400">
        <f ca="1"/>
      </c>
      <c r="CA400">
        <f ca="1"/>
      </c>
      <c r="CB400">
        <f ca="1"/>
      </c>
      <c r="CC400">
        <f ca="1"/>
      </c>
      <c r="CD400">
        <f ca="1"/>
      </c>
      <c r="CE400">
        <f ca="1"/>
      </c>
      <c r="CF400">
        <f ca="1"/>
      </c>
      <c r="CG400">
        <f ca="1"/>
      </c>
      <c r="CH400">
        <f ca="1"/>
      </c>
      <c r="CI400">
        <f ca="1"/>
      </c>
      <c r="CK400">
        <f ca="1"/>
      </c>
      <c r="CL400">
        <f ca="1"/>
      </c>
      <c r="CM400">
        <f ca="1"/>
      </c>
      <c r="CN400">
        <f ca="1"/>
      </c>
      <c r="CO400">
        <f ca="1"/>
      </c>
      <c r="CP400">
        <f ca="1"/>
      </c>
      <c r="CQ400">
        <f ca="1"/>
      </c>
      <c r="CR400">
        <f ca="1"/>
      </c>
      <c r="CS400">
        <f ca="1"/>
      </c>
      <c r="CT400">
        <f ca="1"/>
      </c>
      <c r="CU400">
        <f ca="1"/>
      </c>
      <c r="CV400">
        <f ca="1"/>
      </c>
      <c r="CW400">
        <f ca="1"/>
      </c>
      <c r="CX400">
        <f ca="1"/>
      </c>
      <c r="CY400">
        <f ca="1"/>
      </c>
      <c r="CZ400">
        <f ca="1"/>
      </c>
      <c r="DA400">
        <f ca="1"/>
      </c>
      <c r="DB400">
        <f ca="1"/>
      </c>
      <c r="DC400">
        <f ca="1"/>
      </c>
      <c r="DD400">
        <f ca="1"/>
      </c>
      <c r="DE400">
        <f ca="1"/>
      </c>
      <c r="DF400">
        <f ca="1"/>
      </c>
      <c r="DG400">
        <f ca="1"/>
      </c>
      <c r="DH400">
        <f ca="1"/>
      </c>
      <c r="DI400">
        <f ca="1"/>
      </c>
      <c r="DJ400">
        <f ca="1"/>
      </c>
      <c r="DK400">
        <f ca="1"/>
      </c>
      <c r="DL400">
        <f ca="1"/>
      </c>
      <c r="DM400">
        <f ca="1"/>
      </c>
      <c r="DN400">
        <f ca="1"/>
      </c>
      <c r="DO400">
        <f ca="1"/>
      </c>
      <c r="DP400">
        <f ca="1"/>
      </c>
      <c r="DQ400">
        <f ca="1"/>
      </c>
      <c r="DR400">
        <f ca="1"/>
      </c>
      <c r="DS400">
        <f ca="1"/>
      </c>
      <c r="DT400">
        <f ca="1"/>
      </c>
      <c r="DU400">
        <f ca="1"/>
      </c>
      <c r="DV400">
        <f ca="1"/>
      </c>
      <c r="DW400">
        <f ca="1"/>
      </c>
      <c r="DX400">
        <f ca="1"/>
      </c>
      <c r="DY400">
        <f ca="1"/>
      </c>
      <c r="DZ400">
        <f ca="1"/>
      </c>
      <c r="EA400">
        <f ca="1"/>
      </c>
      <c r="EB400">
        <f ca="1"/>
      </c>
      <c r="EC400">
        <f ca="1"/>
      </c>
      <c r="ED400">
        <f ca="1"/>
      </c>
      <c r="EE400">
        <f ca="1"/>
      </c>
      <c r="EG400">
        <f ca="1"/>
      </c>
      <c r="EH400">
        <f ca="1"/>
      </c>
      <c r="EI400">
        <f ca="1"/>
      </c>
      <c r="EJ400">
        <f ca="1"/>
      </c>
      <c r="EK400">
        <f ca="1"/>
      </c>
      <c r="EL400">
        <f ca="1"/>
      </c>
      <c r="EM400">
        <f ca="1"/>
      </c>
      <c r="EN400">
        <f ca="1"/>
      </c>
      <c r="EO400">
        <f ca="1"/>
      </c>
      <c r="EP400">
        <f ca="1"/>
      </c>
      <c r="EQ400">
        <f ca="1"/>
      </c>
      <c r="ER400">
        <f ca="1"/>
      </c>
      <c r="ES400">
        <f ca="1"/>
      </c>
      <c r="ET400">
        <f ca="1"/>
      </c>
      <c r="EU400">
        <f ca="1"/>
      </c>
      <c r="EV400">
        <f ca="1"/>
      </c>
      <c r="EW400">
        <f ca="1"/>
      </c>
      <c r="EX400">
        <f ca="1"/>
      </c>
      <c r="EY400">
        <f ca="1"/>
      </c>
      <c r="EZ400">
        <f ca="1"/>
      </c>
      <c r="FA400">
        <f ca="1"/>
      </c>
      <c r="FB400">
        <f ca="1"/>
      </c>
      <c r="FC400">
        <f ca="1"/>
      </c>
      <c r="FD400">
        <f ca="1"/>
      </c>
      <c r="FE400">
        <f ca="1"/>
      </c>
      <c r="FF400">
        <f ca="1"/>
      </c>
      <c r="FG400">
        <f ca="1"/>
      </c>
      <c r="FH400">
        <f ca="1"/>
      </c>
      <c r="FI400">
        <f ca="1"/>
      </c>
      <c r="FJ400">
        <f ca="1"/>
      </c>
      <c r="FK400">
        <f ca="1"/>
      </c>
      <c r="FL400">
        <f ca="1"/>
      </c>
      <c r="FM400">
        <f ca="1"/>
      </c>
      <c r="FN400">
        <f ca="1"/>
      </c>
      <c r="FO400">
        <f ca="1"/>
      </c>
      <c r="FP400">
        <f ca="1"/>
      </c>
      <c r="FQ400">
        <f ca="1"/>
      </c>
      <c r="FR400">
        <f ca="1"/>
      </c>
      <c r="FS400">
        <f ca="1"/>
      </c>
      <c r="FT400">
        <f ca="1"/>
      </c>
      <c r="FU400">
        <f ca="1"/>
      </c>
      <c r="FV400">
        <f ca="1"/>
      </c>
      <c r="FW400">
        <f ca="1"/>
      </c>
      <c r="FX400">
        <f ca="1"/>
      </c>
      <c r="FY400">
        <f ca="1"/>
      </c>
      <c r="FZ400">
        <f ca="1"/>
      </c>
      <c r="GA400">
        <f ca="1"/>
      </c>
      <c r="GM400" s="7"/>
    </row>
    <row r="401" spans="41:195" x14ac:dyDescent="0.55000000000000004">
      <c r="AO401">
        <f ca="1"/>
      </c>
      <c r="AP401">
        <f ca="1"/>
      </c>
      <c r="AQ401">
        <f ca="1"/>
      </c>
      <c r="AR401">
        <f ca="1"/>
      </c>
      <c r="AS401">
        <f ca="1"/>
      </c>
      <c r="AT401">
        <f ca="1"/>
      </c>
      <c r="AU401">
        <f ca="1"/>
      </c>
      <c r="AV401">
        <f ca="1"/>
      </c>
      <c r="AW401">
        <f ca="1"/>
      </c>
      <c r="AX401">
        <f ca="1"/>
      </c>
      <c r="AY401">
        <f ca="1"/>
      </c>
      <c r="AZ401">
        <f ca="1"/>
      </c>
      <c r="BA401">
        <f ca="1"/>
      </c>
      <c r="BB401">
        <f ca="1"/>
      </c>
      <c r="BC401">
        <f ca="1"/>
      </c>
      <c r="BD401">
        <f ca="1"/>
      </c>
      <c r="BE401">
        <f ca="1"/>
      </c>
      <c r="BF401">
        <f ca="1"/>
      </c>
      <c r="BG401">
        <f ca="1"/>
      </c>
      <c r="BH401">
        <f ca="1"/>
      </c>
      <c r="BI401">
        <f ca="1"/>
      </c>
      <c r="BJ401">
        <f ca="1"/>
      </c>
      <c r="BK401">
        <f ca="1"/>
      </c>
      <c r="BL401">
        <f ca="1"/>
      </c>
      <c r="BM401">
        <f ca="1"/>
      </c>
      <c r="BN401">
        <f ca="1"/>
      </c>
      <c r="BO401">
        <f ca="1"/>
      </c>
      <c r="BP401">
        <f ca="1"/>
      </c>
      <c r="BQ401">
        <f ca="1"/>
      </c>
      <c r="BR401">
        <f ca="1"/>
      </c>
      <c r="BS401">
        <f ca="1"/>
      </c>
      <c r="BT401">
        <f ca="1"/>
      </c>
      <c r="BU401">
        <f ca="1"/>
      </c>
      <c r="BV401">
        <f ca="1"/>
      </c>
      <c r="BW401">
        <f ca="1"/>
      </c>
      <c r="BX401">
        <f ca="1"/>
      </c>
      <c r="BY401">
        <f ca="1"/>
      </c>
      <c r="BZ401">
        <f ca="1"/>
      </c>
      <c r="CA401">
        <f ca="1"/>
      </c>
      <c r="CB401">
        <f ca="1"/>
      </c>
      <c r="CC401">
        <f ca="1"/>
      </c>
      <c r="CD401">
        <f ca="1"/>
      </c>
      <c r="CE401">
        <f ca="1"/>
      </c>
      <c r="CF401">
        <f ca="1"/>
      </c>
      <c r="CG401">
        <f ca="1"/>
      </c>
      <c r="CH401">
        <f ca="1"/>
      </c>
      <c r="CI401">
        <f ca="1"/>
      </c>
      <c r="CK401">
        <f ca="1"/>
      </c>
      <c r="CL401">
        <f ca="1"/>
      </c>
      <c r="CM401">
        <f ca="1"/>
      </c>
      <c r="CN401">
        <f ca="1"/>
      </c>
      <c r="CO401">
        <f ca="1"/>
      </c>
      <c r="CP401">
        <f ca="1"/>
      </c>
      <c r="CQ401">
        <f ca="1"/>
      </c>
      <c r="CR401">
        <f ca="1"/>
      </c>
      <c r="CS401">
        <f ca="1"/>
      </c>
      <c r="CT401">
        <f ca="1"/>
      </c>
      <c r="CU401">
        <f ca="1"/>
      </c>
      <c r="CV401">
        <f ca="1"/>
      </c>
      <c r="CW401">
        <f ca="1"/>
      </c>
      <c r="CX401">
        <f ca="1"/>
      </c>
      <c r="CY401">
        <f ca="1"/>
      </c>
      <c r="CZ401">
        <f ca="1"/>
      </c>
      <c r="DA401">
        <f ca="1"/>
      </c>
      <c r="DB401">
        <f ca="1"/>
      </c>
      <c r="DC401">
        <f ca="1"/>
      </c>
      <c r="DD401">
        <f ca="1"/>
      </c>
      <c r="DE401">
        <f ca="1"/>
      </c>
      <c r="DF401">
        <f ca="1"/>
      </c>
      <c r="DG401">
        <f ca="1"/>
      </c>
      <c r="DH401">
        <f ca="1"/>
      </c>
      <c r="DI401">
        <f ca="1"/>
      </c>
      <c r="DJ401">
        <f ca="1"/>
      </c>
      <c r="DK401">
        <f ca="1"/>
      </c>
      <c r="DL401">
        <f ca="1"/>
      </c>
      <c r="DM401">
        <f ca="1"/>
      </c>
      <c r="DN401">
        <f ca="1"/>
      </c>
      <c r="DO401">
        <f ca="1"/>
      </c>
      <c r="DP401">
        <f ca="1"/>
      </c>
      <c r="DQ401">
        <f ca="1"/>
      </c>
      <c r="DR401">
        <f ca="1"/>
      </c>
      <c r="DS401">
        <f ca="1"/>
      </c>
      <c r="DT401">
        <f ca="1"/>
      </c>
      <c r="DU401">
        <f ca="1"/>
      </c>
      <c r="DV401">
        <f ca="1"/>
      </c>
      <c r="DW401">
        <f ca="1"/>
      </c>
      <c r="DX401">
        <f ca="1"/>
      </c>
      <c r="DY401">
        <f ca="1"/>
      </c>
      <c r="DZ401">
        <f ca="1"/>
      </c>
      <c r="EA401">
        <f ca="1"/>
      </c>
      <c r="EB401">
        <f ca="1"/>
      </c>
      <c r="EC401">
        <f ca="1"/>
      </c>
      <c r="ED401">
        <f ca="1"/>
      </c>
      <c r="EE401">
        <f ca="1"/>
      </c>
      <c r="EG401">
        <f ca="1"/>
      </c>
      <c r="EH401">
        <f ca="1"/>
      </c>
      <c r="EI401">
        <f ca="1"/>
      </c>
      <c r="EJ401">
        <f ca="1"/>
      </c>
      <c r="EK401">
        <f ca="1"/>
      </c>
      <c r="EL401">
        <f ca="1"/>
      </c>
      <c r="EM401">
        <f ca="1"/>
      </c>
      <c r="EN401">
        <f ca="1"/>
      </c>
      <c r="EO401">
        <f ca="1"/>
      </c>
      <c r="EP401">
        <f ca="1"/>
      </c>
      <c r="EQ401">
        <f ca="1"/>
      </c>
      <c r="ER401">
        <f ca="1"/>
      </c>
      <c r="ES401">
        <f ca="1"/>
      </c>
      <c r="ET401">
        <f ca="1"/>
      </c>
      <c r="EU401">
        <f ca="1"/>
      </c>
      <c r="EV401">
        <f ca="1"/>
      </c>
      <c r="EW401">
        <f ca="1"/>
      </c>
      <c r="EX401">
        <f ca="1"/>
      </c>
      <c r="EY401">
        <f ca="1"/>
      </c>
      <c r="EZ401">
        <f ca="1"/>
      </c>
      <c r="FA401">
        <f ca="1"/>
      </c>
      <c r="FB401">
        <f ca="1"/>
      </c>
      <c r="FC401">
        <f ca="1"/>
      </c>
      <c r="FD401">
        <f ca="1"/>
      </c>
      <c r="FE401">
        <f ca="1"/>
      </c>
      <c r="FF401">
        <f ca="1"/>
      </c>
      <c r="FG401">
        <f ca="1"/>
      </c>
      <c r="FH401">
        <f ca="1"/>
      </c>
      <c r="FI401">
        <f ca="1"/>
      </c>
      <c r="FJ401">
        <f ca="1"/>
      </c>
      <c r="FK401">
        <f ca="1"/>
      </c>
      <c r="FL401">
        <f ca="1"/>
      </c>
      <c r="FM401">
        <f ca="1"/>
      </c>
      <c r="FN401">
        <f ca="1"/>
      </c>
      <c r="FO401">
        <f ca="1"/>
      </c>
      <c r="FP401">
        <f ca="1"/>
      </c>
      <c r="FQ401">
        <f ca="1"/>
      </c>
      <c r="FR401">
        <f ca="1"/>
      </c>
      <c r="FS401">
        <f ca="1"/>
      </c>
      <c r="FT401">
        <f ca="1"/>
      </c>
      <c r="FU401">
        <f ca="1"/>
      </c>
      <c r="FV401">
        <f ca="1"/>
      </c>
      <c r="FW401">
        <f ca="1"/>
      </c>
      <c r="FX401">
        <f ca="1"/>
      </c>
      <c r="FY401">
        <f ca="1"/>
      </c>
      <c r="FZ401">
        <f ca="1"/>
      </c>
      <c r="GA401">
        <f ca="1"/>
      </c>
      <c r="GM401" s="7"/>
    </row>
    <row r="402" spans="41:195" x14ac:dyDescent="0.55000000000000004">
      <c r="AO402">
        <f ca="1"/>
      </c>
      <c r="AP402">
        <f ca="1"/>
      </c>
      <c r="AQ402">
        <f ca="1"/>
      </c>
      <c r="AR402">
        <f ca="1"/>
      </c>
      <c r="AS402">
        <f ca="1"/>
      </c>
      <c r="AT402">
        <f ca="1"/>
      </c>
      <c r="AU402">
        <f ca="1"/>
      </c>
      <c r="AV402">
        <f ca="1"/>
      </c>
      <c r="AW402">
        <f ca="1"/>
      </c>
      <c r="AX402">
        <f ca="1"/>
      </c>
      <c r="AY402">
        <f ca="1"/>
      </c>
      <c r="AZ402">
        <f ca="1"/>
      </c>
      <c r="BA402">
        <f ca="1"/>
      </c>
      <c r="BB402">
        <f ca="1"/>
      </c>
      <c r="BC402">
        <f ca="1"/>
      </c>
      <c r="BD402">
        <f ca="1"/>
      </c>
      <c r="BE402">
        <f ca="1"/>
      </c>
      <c r="BF402">
        <f ca="1"/>
      </c>
      <c r="BG402">
        <f ca="1"/>
      </c>
      <c r="BH402">
        <f ca="1"/>
      </c>
      <c r="BI402">
        <f ca="1"/>
      </c>
      <c r="BJ402">
        <f ca="1"/>
      </c>
      <c r="BK402">
        <f ca="1"/>
      </c>
      <c r="BL402">
        <f ca="1"/>
      </c>
      <c r="BM402">
        <f ca="1"/>
      </c>
      <c r="BN402">
        <f ca="1"/>
      </c>
      <c r="BO402">
        <f ca="1"/>
      </c>
      <c r="BP402">
        <f ca="1"/>
      </c>
      <c r="BQ402">
        <f ca="1"/>
      </c>
      <c r="BR402">
        <f ca="1"/>
      </c>
      <c r="BS402">
        <f ca="1"/>
      </c>
      <c r="BT402">
        <f ca="1"/>
      </c>
      <c r="BU402">
        <f ca="1"/>
      </c>
      <c r="BV402">
        <f ca="1"/>
      </c>
      <c r="BW402">
        <f ca="1"/>
      </c>
      <c r="BX402">
        <f ca="1"/>
      </c>
      <c r="BY402">
        <f ca="1"/>
      </c>
      <c r="BZ402">
        <f ca="1"/>
      </c>
      <c r="CA402">
        <f ca="1"/>
      </c>
      <c r="CB402">
        <f ca="1"/>
      </c>
      <c r="CC402">
        <f ca="1"/>
      </c>
      <c r="CD402">
        <f ca="1"/>
      </c>
      <c r="CE402">
        <f ca="1"/>
      </c>
      <c r="CF402">
        <f ca="1"/>
      </c>
      <c r="CG402">
        <f ca="1"/>
      </c>
      <c r="CH402">
        <f ca="1"/>
      </c>
      <c r="CI402">
        <f ca="1"/>
      </c>
      <c r="CK402">
        <f ca="1"/>
      </c>
      <c r="CL402">
        <f ca="1"/>
      </c>
      <c r="CM402">
        <f ca="1"/>
      </c>
      <c r="CN402">
        <f ca="1"/>
      </c>
      <c r="CO402">
        <f ca="1"/>
      </c>
      <c r="CP402">
        <f ca="1"/>
      </c>
      <c r="CQ402">
        <f ca="1"/>
      </c>
      <c r="CR402">
        <f ca="1"/>
      </c>
      <c r="CS402">
        <f ca="1"/>
      </c>
      <c r="CT402">
        <f ca="1"/>
      </c>
      <c r="CU402">
        <f ca="1"/>
      </c>
      <c r="CV402">
        <f ca="1"/>
      </c>
      <c r="CW402">
        <f ca="1"/>
      </c>
      <c r="CX402">
        <f ca="1"/>
      </c>
      <c r="CY402">
        <f ca="1"/>
      </c>
      <c r="CZ402">
        <f ca="1"/>
      </c>
      <c r="DA402">
        <f ca="1"/>
      </c>
      <c r="DB402">
        <f ca="1"/>
      </c>
      <c r="DC402">
        <f ca="1"/>
      </c>
      <c r="DD402">
        <f ca="1"/>
      </c>
      <c r="DE402">
        <f ca="1"/>
      </c>
      <c r="DF402">
        <f ca="1"/>
      </c>
      <c r="DG402">
        <f ca="1"/>
      </c>
      <c r="DH402">
        <f ca="1"/>
      </c>
      <c r="DI402">
        <f ca="1"/>
      </c>
      <c r="DJ402">
        <f ca="1"/>
      </c>
      <c r="DK402">
        <f ca="1"/>
      </c>
      <c r="DL402">
        <f ca="1"/>
      </c>
      <c r="DM402">
        <f ca="1"/>
      </c>
      <c r="DN402">
        <f ca="1"/>
      </c>
      <c r="DO402">
        <f ca="1"/>
      </c>
      <c r="DP402">
        <f ca="1"/>
      </c>
      <c r="DQ402">
        <f ca="1"/>
      </c>
      <c r="DR402">
        <f ca="1"/>
      </c>
      <c r="DS402">
        <f ca="1"/>
      </c>
      <c r="DT402">
        <f ca="1"/>
      </c>
      <c r="DU402">
        <f ca="1"/>
      </c>
      <c r="DV402">
        <f ca="1"/>
      </c>
      <c r="DW402">
        <f ca="1"/>
      </c>
      <c r="DX402">
        <f ca="1"/>
      </c>
      <c r="DY402">
        <f ca="1"/>
      </c>
      <c r="DZ402">
        <f ca="1"/>
      </c>
      <c r="EA402">
        <f ca="1"/>
      </c>
      <c r="EB402">
        <f ca="1"/>
      </c>
      <c r="EC402">
        <f ca="1"/>
      </c>
      <c r="ED402">
        <f ca="1"/>
      </c>
      <c r="EE402">
        <f ca="1"/>
      </c>
      <c r="EG402">
        <f ca="1"/>
      </c>
      <c r="EH402">
        <f ca="1"/>
      </c>
      <c r="EI402">
        <f ca="1"/>
      </c>
      <c r="EJ402">
        <f ca="1"/>
      </c>
      <c r="EK402">
        <f ca="1"/>
      </c>
      <c r="EL402">
        <f ca="1"/>
      </c>
      <c r="EM402">
        <f ca="1"/>
      </c>
      <c r="EN402">
        <f ca="1"/>
      </c>
      <c r="EO402">
        <f ca="1"/>
      </c>
      <c r="EP402">
        <f ca="1"/>
      </c>
      <c r="EQ402">
        <f ca="1"/>
      </c>
      <c r="ER402">
        <f ca="1"/>
      </c>
      <c r="ES402">
        <f ca="1"/>
      </c>
      <c r="ET402">
        <f ca="1"/>
      </c>
      <c r="EU402">
        <f ca="1"/>
      </c>
      <c r="EV402">
        <f ca="1"/>
      </c>
      <c r="EW402">
        <f ca="1"/>
      </c>
      <c r="EX402">
        <f ca="1"/>
      </c>
      <c r="EY402">
        <f ca="1"/>
      </c>
      <c r="EZ402">
        <f ca="1"/>
      </c>
      <c r="FA402">
        <f ca="1"/>
      </c>
      <c r="FB402">
        <f ca="1"/>
      </c>
      <c r="FC402">
        <f ca="1"/>
      </c>
      <c r="FD402">
        <f ca="1"/>
      </c>
      <c r="FE402">
        <f ca="1"/>
      </c>
      <c r="FF402">
        <f ca="1"/>
      </c>
      <c r="FG402">
        <f ca="1"/>
      </c>
      <c r="FH402">
        <f ca="1"/>
      </c>
      <c r="FI402">
        <f ca="1"/>
      </c>
      <c r="FJ402">
        <f ca="1"/>
      </c>
      <c r="FK402">
        <f ca="1"/>
      </c>
      <c r="FL402">
        <f ca="1"/>
      </c>
      <c r="FM402">
        <f ca="1"/>
      </c>
      <c r="FN402">
        <f ca="1"/>
      </c>
      <c r="FO402">
        <f ca="1"/>
      </c>
      <c r="FP402">
        <f ca="1"/>
      </c>
      <c r="FQ402">
        <f ca="1"/>
      </c>
      <c r="FR402">
        <f ca="1"/>
      </c>
      <c r="FS402">
        <f ca="1"/>
      </c>
      <c r="FT402">
        <f ca="1"/>
      </c>
      <c r="FU402">
        <f ca="1"/>
      </c>
      <c r="FV402">
        <f ca="1"/>
      </c>
      <c r="FW402">
        <f ca="1"/>
      </c>
      <c r="FX402">
        <f ca="1"/>
      </c>
      <c r="FY402">
        <f ca="1"/>
      </c>
      <c r="FZ402">
        <f ca="1"/>
      </c>
      <c r="GA402">
        <f ca="1"/>
      </c>
      <c r="GM402" s="7"/>
    </row>
    <row r="403" spans="41:195" x14ac:dyDescent="0.55000000000000004">
      <c r="AO403">
        <f ca="1"/>
      </c>
      <c r="AP403">
        <f ca="1"/>
      </c>
      <c r="AQ403">
        <f ca="1"/>
      </c>
      <c r="AR403">
        <f ca="1"/>
      </c>
      <c r="AS403">
        <f ca="1"/>
      </c>
      <c r="AT403">
        <f ca="1"/>
      </c>
      <c r="AU403">
        <f ca="1"/>
      </c>
      <c r="AV403">
        <f ca="1"/>
      </c>
      <c r="AW403">
        <f ca="1"/>
      </c>
      <c r="AX403">
        <f ca="1"/>
      </c>
      <c r="AY403">
        <f ca="1"/>
      </c>
      <c r="AZ403">
        <f ca="1"/>
      </c>
      <c r="BA403">
        <f ca="1"/>
      </c>
      <c r="BB403">
        <f ca="1"/>
      </c>
      <c r="BC403">
        <f ca="1"/>
      </c>
      <c r="BD403">
        <f ca="1"/>
      </c>
      <c r="BE403">
        <f ca="1"/>
      </c>
      <c r="BF403">
        <f ca="1"/>
      </c>
      <c r="BG403">
        <f ca="1"/>
      </c>
      <c r="BH403">
        <f ca="1"/>
      </c>
      <c r="BI403">
        <f ca="1"/>
      </c>
      <c r="BJ403">
        <f ca="1"/>
      </c>
      <c r="BK403">
        <f ca="1"/>
      </c>
      <c r="BL403">
        <f ca="1"/>
      </c>
      <c r="BM403">
        <f ca="1"/>
      </c>
      <c r="BN403">
        <f ca="1"/>
      </c>
      <c r="BO403">
        <f ca="1"/>
      </c>
      <c r="BP403">
        <f ca="1"/>
      </c>
      <c r="BQ403">
        <f ca="1"/>
      </c>
      <c r="BR403">
        <f ca="1"/>
      </c>
      <c r="BS403">
        <f ca="1"/>
      </c>
      <c r="BT403">
        <f ca="1"/>
      </c>
      <c r="BU403">
        <f ca="1"/>
      </c>
      <c r="BV403">
        <f ca="1"/>
      </c>
      <c r="BW403">
        <f ca="1"/>
      </c>
      <c r="BX403">
        <f ca="1"/>
      </c>
      <c r="BY403">
        <f ca="1"/>
      </c>
      <c r="BZ403">
        <f ca="1"/>
      </c>
      <c r="CA403">
        <f ca="1"/>
      </c>
      <c r="CB403">
        <f ca="1"/>
      </c>
      <c r="CC403">
        <f ca="1"/>
      </c>
      <c r="CD403">
        <f ca="1"/>
      </c>
      <c r="CE403">
        <f ca="1"/>
      </c>
      <c r="CF403">
        <f ca="1"/>
      </c>
      <c r="CG403">
        <f ca="1"/>
      </c>
      <c r="CH403">
        <f ca="1"/>
      </c>
      <c r="CI403">
        <f ca="1"/>
      </c>
      <c r="CK403">
        <f ca="1"/>
      </c>
      <c r="CL403">
        <f ca="1"/>
      </c>
      <c r="CM403">
        <f ca="1"/>
      </c>
      <c r="CN403">
        <f ca="1"/>
      </c>
      <c r="CO403">
        <f ca="1"/>
      </c>
      <c r="CP403">
        <f ca="1"/>
      </c>
      <c r="CQ403">
        <f ca="1"/>
      </c>
      <c r="CR403">
        <f ca="1"/>
      </c>
      <c r="CS403">
        <f ca="1"/>
      </c>
      <c r="CT403">
        <f ca="1"/>
      </c>
      <c r="CU403">
        <f ca="1"/>
      </c>
      <c r="CV403">
        <f ca="1"/>
      </c>
      <c r="CW403">
        <f ca="1"/>
      </c>
      <c r="CX403">
        <f ca="1"/>
      </c>
      <c r="CY403">
        <f ca="1"/>
      </c>
      <c r="CZ403">
        <f ca="1"/>
      </c>
      <c r="DA403">
        <f ca="1"/>
      </c>
      <c r="DB403">
        <f ca="1"/>
      </c>
      <c r="DC403">
        <f ca="1"/>
      </c>
      <c r="DD403">
        <f ca="1"/>
      </c>
      <c r="DE403">
        <f ca="1"/>
      </c>
      <c r="DF403">
        <f ca="1"/>
      </c>
      <c r="DG403">
        <f ca="1"/>
      </c>
      <c r="DH403">
        <f ca="1"/>
      </c>
      <c r="DI403">
        <f ca="1"/>
      </c>
      <c r="DJ403">
        <f ca="1"/>
      </c>
      <c r="DK403">
        <f ca="1"/>
      </c>
      <c r="DL403">
        <f ca="1"/>
      </c>
      <c r="DM403">
        <f ca="1"/>
      </c>
      <c r="DN403">
        <f ca="1"/>
      </c>
      <c r="DO403">
        <f ca="1"/>
      </c>
      <c r="DP403">
        <f ca="1"/>
      </c>
      <c r="DQ403">
        <f ca="1"/>
      </c>
      <c r="DR403">
        <f ca="1"/>
      </c>
      <c r="DS403">
        <f ca="1"/>
      </c>
      <c r="DT403">
        <f ca="1"/>
      </c>
      <c r="DU403">
        <f ca="1"/>
      </c>
      <c r="DV403">
        <f ca="1"/>
      </c>
      <c r="DW403">
        <f ca="1"/>
      </c>
      <c r="DX403">
        <f ca="1"/>
      </c>
      <c r="DY403">
        <f ca="1"/>
      </c>
      <c r="DZ403">
        <f ca="1"/>
      </c>
      <c r="EA403">
        <f ca="1"/>
      </c>
      <c r="EB403">
        <f ca="1"/>
      </c>
      <c r="EC403">
        <f ca="1"/>
      </c>
      <c r="ED403">
        <f ca="1"/>
      </c>
      <c r="EE403">
        <f ca="1"/>
      </c>
      <c r="EG403">
        <f ca="1"/>
      </c>
      <c r="EH403">
        <f ca="1"/>
      </c>
      <c r="EI403">
        <f ca="1"/>
      </c>
      <c r="EJ403">
        <f ca="1"/>
      </c>
      <c r="EK403">
        <f ca="1"/>
      </c>
      <c r="EL403">
        <f ca="1"/>
      </c>
      <c r="EM403">
        <f ca="1"/>
      </c>
      <c r="EN403">
        <f ca="1"/>
      </c>
      <c r="EO403">
        <f ca="1"/>
      </c>
      <c r="EP403">
        <f ca="1"/>
      </c>
      <c r="EQ403">
        <f ca="1"/>
      </c>
      <c r="ER403">
        <f ca="1"/>
      </c>
      <c r="ES403">
        <f ca="1"/>
      </c>
      <c r="ET403">
        <f ca="1"/>
      </c>
      <c r="EU403">
        <f ca="1"/>
      </c>
      <c r="EV403">
        <f ca="1"/>
      </c>
      <c r="EW403">
        <f ca="1"/>
      </c>
      <c r="EX403">
        <f ca="1"/>
      </c>
      <c r="EY403">
        <f ca="1"/>
      </c>
      <c r="EZ403">
        <f ca="1"/>
      </c>
      <c r="FA403">
        <f ca="1"/>
      </c>
      <c r="FB403">
        <f ca="1"/>
      </c>
      <c r="FC403">
        <f ca="1"/>
      </c>
      <c r="FD403">
        <f ca="1"/>
      </c>
      <c r="FE403">
        <f ca="1"/>
      </c>
      <c r="FF403">
        <f ca="1"/>
      </c>
      <c r="FG403">
        <f ca="1"/>
      </c>
      <c r="FH403">
        <f ca="1"/>
      </c>
      <c r="FI403">
        <f ca="1"/>
      </c>
      <c r="FJ403">
        <f ca="1"/>
      </c>
      <c r="FK403">
        <f ca="1"/>
      </c>
      <c r="FL403">
        <f ca="1"/>
      </c>
      <c r="FM403">
        <f ca="1"/>
      </c>
      <c r="FN403">
        <f ca="1"/>
      </c>
      <c r="FO403">
        <f ca="1"/>
      </c>
      <c r="FP403">
        <f ca="1"/>
      </c>
      <c r="FQ403">
        <f ca="1"/>
      </c>
      <c r="FR403">
        <f ca="1"/>
      </c>
      <c r="FS403">
        <f ca="1"/>
      </c>
      <c r="FT403">
        <f ca="1"/>
      </c>
      <c r="FU403">
        <f ca="1"/>
      </c>
      <c r="FV403">
        <f ca="1"/>
      </c>
      <c r="FW403">
        <f ca="1"/>
      </c>
      <c r="FX403">
        <f ca="1"/>
      </c>
      <c r="FY403">
        <f ca="1"/>
      </c>
      <c r="FZ403">
        <f ca="1"/>
      </c>
      <c r="GA403">
        <f ca="1"/>
      </c>
      <c r="GM403" s="7"/>
    </row>
    <row r="404" spans="41:195" x14ac:dyDescent="0.55000000000000004">
      <c r="AO404">
        <f ca="1"/>
      </c>
      <c r="AP404">
        <f ca="1"/>
      </c>
      <c r="AQ404">
        <f ca="1"/>
      </c>
      <c r="AR404">
        <f ca="1"/>
      </c>
      <c r="AS404">
        <f ca="1"/>
      </c>
      <c r="AT404">
        <f ca="1"/>
      </c>
      <c r="AU404">
        <f ca="1"/>
      </c>
      <c r="AV404">
        <f ca="1"/>
      </c>
      <c r="AW404">
        <f ca="1"/>
      </c>
      <c r="AX404">
        <f ca="1"/>
      </c>
      <c r="AY404">
        <f ca="1"/>
      </c>
      <c r="AZ404">
        <f ca="1"/>
      </c>
      <c r="BA404">
        <f ca="1"/>
      </c>
      <c r="BB404">
        <f ca="1"/>
      </c>
      <c r="BC404">
        <f ca="1"/>
      </c>
      <c r="BD404">
        <f ca="1"/>
      </c>
      <c r="BE404">
        <f ca="1"/>
      </c>
      <c r="BF404">
        <f ca="1"/>
      </c>
      <c r="BG404">
        <f ca="1"/>
      </c>
      <c r="BH404">
        <f ca="1"/>
      </c>
      <c r="BI404">
        <f ca="1"/>
      </c>
      <c r="BJ404">
        <f ca="1"/>
      </c>
      <c r="BK404">
        <f ca="1"/>
      </c>
      <c r="BL404">
        <f ca="1"/>
      </c>
      <c r="BM404">
        <f ca="1"/>
      </c>
      <c r="BN404">
        <f ca="1"/>
      </c>
      <c r="BO404">
        <f ca="1"/>
      </c>
      <c r="BP404">
        <f ca="1"/>
      </c>
      <c r="BQ404">
        <f ca="1"/>
      </c>
      <c r="BR404">
        <f ca="1"/>
      </c>
      <c r="BS404">
        <f ca="1"/>
      </c>
      <c r="BT404">
        <f ca="1"/>
      </c>
      <c r="BU404">
        <f ca="1"/>
      </c>
      <c r="BV404">
        <f ca="1"/>
      </c>
      <c r="BW404">
        <f ca="1"/>
      </c>
      <c r="BX404">
        <f ca="1"/>
      </c>
      <c r="BY404">
        <f ca="1"/>
      </c>
      <c r="BZ404">
        <f ca="1"/>
      </c>
      <c r="CA404">
        <f ca="1"/>
      </c>
      <c r="CB404">
        <f ca="1"/>
      </c>
      <c r="CC404">
        <f ca="1"/>
      </c>
      <c r="CD404">
        <f ca="1"/>
      </c>
      <c r="CE404">
        <f ca="1"/>
      </c>
      <c r="CF404">
        <f ca="1"/>
      </c>
      <c r="CG404">
        <f ca="1"/>
      </c>
      <c r="CH404">
        <f ca="1"/>
      </c>
      <c r="CI404">
        <f ca="1"/>
      </c>
      <c r="CK404">
        <f ca="1"/>
      </c>
      <c r="CL404">
        <f ca="1"/>
      </c>
      <c r="CM404">
        <f ca="1"/>
      </c>
      <c r="CN404">
        <f ca="1"/>
      </c>
      <c r="CO404">
        <f ca="1"/>
      </c>
      <c r="CP404">
        <f ca="1"/>
      </c>
      <c r="CQ404">
        <f ca="1"/>
      </c>
      <c r="CR404">
        <f ca="1"/>
      </c>
      <c r="CS404">
        <f ca="1"/>
      </c>
      <c r="CT404">
        <f ca="1"/>
      </c>
      <c r="CU404">
        <f ca="1"/>
      </c>
      <c r="CV404">
        <f ca="1"/>
      </c>
      <c r="CW404">
        <f ca="1"/>
      </c>
      <c r="CX404">
        <f ca="1"/>
      </c>
      <c r="CY404">
        <f ca="1"/>
      </c>
      <c r="CZ404">
        <f ca="1"/>
      </c>
      <c r="DA404">
        <f ca="1"/>
      </c>
      <c r="DB404">
        <f ca="1"/>
      </c>
      <c r="DC404">
        <f ca="1"/>
      </c>
      <c r="DD404">
        <f ca="1"/>
      </c>
      <c r="DE404">
        <f ca="1"/>
      </c>
      <c r="DF404">
        <f ca="1"/>
      </c>
      <c r="DG404">
        <f ca="1"/>
      </c>
      <c r="DH404">
        <f ca="1"/>
      </c>
      <c r="DI404">
        <f ca="1"/>
      </c>
      <c r="DJ404">
        <f ca="1"/>
      </c>
      <c r="DK404">
        <f ca="1"/>
      </c>
      <c r="DL404">
        <f ca="1"/>
      </c>
      <c r="DM404">
        <f ca="1"/>
      </c>
      <c r="DN404">
        <f ca="1"/>
      </c>
      <c r="DO404">
        <f ca="1"/>
      </c>
      <c r="DP404">
        <f ca="1"/>
      </c>
      <c r="DQ404">
        <f ca="1"/>
      </c>
      <c r="DR404">
        <f ca="1"/>
      </c>
      <c r="DS404">
        <f ca="1"/>
      </c>
      <c r="DT404">
        <f ca="1"/>
      </c>
      <c r="DU404">
        <f ca="1"/>
      </c>
      <c r="DV404">
        <f ca="1"/>
      </c>
      <c r="DW404">
        <f ca="1"/>
      </c>
      <c r="DX404">
        <f ca="1"/>
      </c>
      <c r="DY404">
        <f ca="1"/>
      </c>
      <c r="DZ404">
        <f ca="1"/>
      </c>
      <c r="EA404">
        <f ca="1"/>
      </c>
      <c r="EB404">
        <f ca="1"/>
      </c>
      <c r="EC404">
        <f ca="1"/>
      </c>
      <c r="ED404">
        <f ca="1"/>
      </c>
      <c r="EE404">
        <f ca="1"/>
      </c>
      <c r="EG404">
        <f ca="1"/>
      </c>
      <c r="EH404">
        <f ca="1"/>
      </c>
      <c r="EI404">
        <f ca="1"/>
      </c>
      <c r="EJ404">
        <f ca="1"/>
      </c>
      <c r="EK404">
        <f ca="1"/>
      </c>
      <c r="EL404">
        <f ca="1"/>
      </c>
      <c r="EM404">
        <f ca="1"/>
      </c>
      <c r="EN404">
        <f ca="1"/>
      </c>
      <c r="EO404">
        <f ca="1"/>
      </c>
      <c r="EP404">
        <f ca="1"/>
      </c>
      <c r="EQ404">
        <f ca="1"/>
      </c>
      <c r="ER404">
        <f ca="1"/>
      </c>
      <c r="ES404">
        <f ca="1"/>
      </c>
      <c r="ET404">
        <f ca="1"/>
      </c>
      <c r="EU404">
        <f ca="1"/>
      </c>
      <c r="EV404">
        <f ca="1"/>
      </c>
      <c r="EW404">
        <f ca="1"/>
      </c>
      <c r="EX404">
        <f ca="1"/>
      </c>
      <c r="EY404">
        <f ca="1"/>
      </c>
      <c r="EZ404">
        <f ca="1"/>
      </c>
      <c r="FA404">
        <f ca="1"/>
      </c>
      <c r="FB404">
        <f ca="1"/>
      </c>
      <c r="FC404">
        <f ca="1"/>
      </c>
      <c r="FD404">
        <f ca="1"/>
      </c>
      <c r="FE404">
        <f ca="1"/>
      </c>
      <c r="FF404">
        <f ca="1"/>
      </c>
      <c r="FG404">
        <f ca="1"/>
      </c>
      <c r="FH404">
        <f ca="1"/>
      </c>
      <c r="FI404">
        <f ca="1"/>
      </c>
      <c r="FJ404">
        <f ca="1"/>
      </c>
      <c r="FK404">
        <f ca="1"/>
      </c>
      <c r="FL404">
        <f ca="1"/>
      </c>
      <c r="FM404">
        <f ca="1"/>
      </c>
      <c r="FN404">
        <f ca="1"/>
      </c>
      <c r="FO404">
        <f ca="1"/>
      </c>
      <c r="FP404">
        <f ca="1"/>
      </c>
      <c r="FQ404">
        <f ca="1"/>
      </c>
      <c r="FR404">
        <f ca="1"/>
      </c>
      <c r="FS404">
        <f ca="1"/>
      </c>
      <c r="FT404">
        <f ca="1"/>
      </c>
      <c r="FU404">
        <f ca="1"/>
      </c>
      <c r="FV404">
        <f ca="1"/>
      </c>
      <c r="FW404">
        <f ca="1"/>
      </c>
      <c r="FX404">
        <f ca="1"/>
      </c>
      <c r="FY404">
        <f ca="1"/>
      </c>
      <c r="FZ404">
        <f ca="1"/>
      </c>
      <c r="GA404">
        <f ca="1"/>
      </c>
      <c r="GM404" s="7"/>
    </row>
    <row r="405" spans="41:195" x14ac:dyDescent="0.55000000000000004">
      <c r="AO405">
        <f ca="1"/>
      </c>
      <c r="AP405">
        <f ca="1"/>
      </c>
      <c r="AQ405">
        <f ca="1"/>
      </c>
      <c r="AR405">
        <f ca="1"/>
      </c>
      <c r="AS405">
        <f ca="1"/>
      </c>
      <c r="AT405">
        <f ca="1"/>
      </c>
      <c r="AU405">
        <f ca="1"/>
      </c>
      <c r="AV405">
        <f ca="1"/>
      </c>
      <c r="AW405">
        <f ca="1"/>
      </c>
      <c r="AX405">
        <f ca="1"/>
      </c>
      <c r="AY405">
        <f ca="1"/>
      </c>
      <c r="AZ405">
        <f ca="1"/>
      </c>
      <c r="BA405">
        <f ca="1"/>
      </c>
      <c r="BB405">
        <f ca="1"/>
      </c>
      <c r="BC405">
        <f ca="1"/>
      </c>
      <c r="BD405">
        <f ca="1"/>
      </c>
      <c r="BE405">
        <f ca="1"/>
      </c>
      <c r="BF405">
        <f ca="1"/>
      </c>
      <c r="BG405">
        <f ca="1"/>
      </c>
      <c r="BH405">
        <f ca="1"/>
      </c>
      <c r="BI405">
        <f ca="1"/>
      </c>
      <c r="BJ405">
        <f ca="1"/>
      </c>
      <c r="BK405">
        <f ca="1"/>
      </c>
      <c r="BL405">
        <f ca="1"/>
      </c>
      <c r="BM405">
        <f ca="1"/>
      </c>
      <c r="BN405">
        <f ca="1"/>
      </c>
      <c r="BO405">
        <f ca="1"/>
      </c>
      <c r="BP405">
        <f ca="1"/>
      </c>
      <c r="BQ405">
        <f ca="1"/>
      </c>
      <c r="BR405">
        <f ca="1"/>
      </c>
      <c r="BS405">
        <f ca="1"/>
      </c>
      <c r="BT405">
        <f ca="1"/>
      </c>
      <c r="BU405">
        <f ca="1"/>
      </c>
      <c r="BV405">
        <f ca="1"/>
      </c>
      <c r="BW405">
        <f ca="1"/>
      </c>
      <c r="BX405">
        <f ca="1"/>
      </c>
      <c r="BY405">
        <f ca="1"/>
      </c>
      <c r="BZ405">
        <f ca="1"/>
      </c>
      <c r="CA405">
        <f ca="1"/>
      </c>
      <c r="CB405">
        <f ca="1"/>
      </c>
      <c r="CC405">
        <f ca="1"/>
      </c>
      <c r="CD405">
        <f ca="1"/>
      </c>
      <c r="CE405">
        <f ca="1"/>
      </c>
      <c r="CF405">
        <f ca="1"/>
      </c>
      <c r="CG405">
        <f ca="1"/>
      </c>
      <c r="CH405">
        <f ca="1"/>
      </c>
      <c r="CI405">
        <f ca="1"/>
      </c>
      <c r="CK405">
        <f ca="1"/>
      </c>
      <c r="CL405">
        <f ca="1"/>
      </c>
      <c r="CM405">
        <f ca="1"/>
      </c>
      <c r="CN405">
        <f ca="1"/>
      </c>
      <c r="CO405">
        <f ca="1"/>
      </c>
      <c r="CP405">
        <f ca="1"/>
      </c>
      <c r="CQ405">
        <f ca="1"/>
      </c>
      <c r="CR405">
        <f ca="1"/>
      </c>
      <c r="CS405">
        <f ca="1"/>
      </c>
      <c r="CT405">
        <f ca="1"/>
      </c>
      <c r="CU405">
        <f ca="1"/>
      </c>
      <c r="CV405">
        <f ca="1"/>
      </c>
      <c r="CW405">
        <f ca="1"/>
      </c>
      <c r="CX405">
        <f ca="1"/>
      </c>
      <c r="CY405">
        <f ca="1"/>
      </c>
      <c r="CZ405">
        <f ca="1"/>
      </c>
      <c r="DA405">
        <f ca="1"/>
      </c>
      <c r="DB405">
        <f ca="1"/>
      </c>
      <c r="DC405">
        <f ca="1"/>
      </c>
      <c r="DD405">
        <f ca="1"/>
      </c>
      <c r="DE405">
        <f ca="1"/>
      </c>
      <c r="DF405">
        <f ca="1"/>
      </c>
      <c r="DG405">
        <f ca="1"/>
      </c>
      <c r="DH405">
        <f ca="1"/>
      </c>
      <c r="DI405">
        <f ca="1"/>
      </c>
      <c r="DJ405">
        <f ca="1"/>
      </c>
      <c r="DK405">
        <f ca="1"/>
      </c>
      <c r="DL405">
        <f ca="1"/>
      </c>
      <c r="DM405">
        <f ca="1"/>
      </c>
      <c r="DN405">
        <f ca="1"/>
      </c>
      <c r="DO405">
        <f ca="1"/>
      </c>
      <c r="DP405">
        <f ca="1"/>
      </c>
      <c r="DQ405">
        <f ca="1"/>
      </c>
      <c r="DR405">
        <f ca="1"/>
      </c>
      <c r="DS405">
        <f ca="1"/>
      </c>
      <c r="DT405">
        <f ca="1"/>
      </c>
      <c r="DU405">
        <f ca="1"/>
      </c>
      <c r="DV405">
        <f ca="1"/>
      </c>
      <c r="DW405">
        <f ca="1"/>
      </c>
      <c r="DX405">
        <f ca="1"/>
      </c>
      <c r="DY405">
        <f ca="1"/>
      </c>
      <c r="DZ405">
        <f ca="1"/>
      </c>
      <c r="EA405">
        <f ca="1"/>
      </c>
      <c r="EB405">
        <f ca="1"/>
      </c>
      <c r="EC405">
        <f ca="1"/>
      </c>
      <c r="ED405">
        <f ca="1"/>
      </c>
      <c r="EE405">
        <f ca="1"/>
      </c>
      <c r="EG405">
        <f ca="1"/>
      </c>
      <c r="EH405">
        <f ca="1"/>
      </c>
      <c r="EI405">
        <f ca="1"/>
      </c>
      <c r="EJ405">
        <f ca="1"/>
      </c>
      <c r="EK405">
        <f ca="1"/>
      </c>
      <c r="EL405">
        <f ca="1"/>
      </c>
      <c r="EM405">
        <f ca="1"/>
      </c>
      <c r="EN405">
        <f ca="1"/>
      </c>
      <c r="EO405">
        <f ca="1"/>
      </c>
      <c r="EP405">
        <f ca="1"/>
      </c>
      <c r="EQ405">
        <f ca="1"/>
      </c>
      <c r="ER405">
        <f ca="1"/>
      </c>
      <c r="ES405">
        <f ca="1"/>
      </c>
      <c r="ET405">
        <f ca="1"/>
      </c>
      <c r="EU405">
        <f ca="1"/>
      </c>
      <c r="EV405">
        <f ca="1"/>
      </c>
      <c r="EW405">
        <f ca="1"/>
      </c>
      <c r="EX405">
        <f ca="1"/>
      </c>
      <c r="EY405">
        <f ca="1"/>
      </c>
      <c r="EZ405">
        <f ca="1"/>
      </c>
      <c r="FA405">
        <f ca="1"/>
      </c>
      <c r="FB405">
        <f ca="1"/>
      </c>
      <c r="FC405">
        <f ca="1"/>
      </c>
      <c r="FD405">
        <f ca="1"/>
      </c>
      <c r="FE405">
        <f ca="1"/>
      </c>
      <c r="FF405">
        <f ca="1"/>
      </c>
      <c r="FG405">
        <f ca="1"/>
      </c>
      <c r="FH405">
        <f ca="1"/>
      </c>
      <c r="FI405">
        <f ca="1"/>
      </c>
      <c r="FJ405">
        <f ca="1"/>
      </c>
      <c r="FK405">
        <f ca="1"/>
      </c>
      <c r="FL405">
        <f ca="1"/>
      </c>
      <c r="FM405">
        <f ca="1"/>
      </c>
      <c r="FN405">
        <f ca="1"/>
      </c>
      <c r="FO405">
        <f ca="1"/>
      </c>
      <c r="FP405">
        <f ca="1"/>
      </c>
      <c r="FQ405">
        <f ca="1"/>
      </c>
      <c r="FR405">
        <f ca="1"/>
      </c>
      <c r="FS405">
        <f ca="1"/>
      </c>
      <c r="FT405">
        <f ca="1"/>
      </c>
      <c r="FU405">
        <f ca="1"/>
      </c>
      <c r="FV405">
        <f ca="1"/>
      </c>
      <c r="FW405">
        <f ca="1"/>
      </c>
      <c r="FX405">
        <f ca="1"/>
      </c>
      <c r="FY405">
        <f ca="1"/>
      </c>
      <c r="FZ405">
        <f ca="1"/>
      </c>
      <c r="GA405">
        <f ca="1"/>
      </c>
      <c r="GM405" s="7"/>
    </row>
    <row r="406" spans="41:195" x14ac:dyDescent="0.55000000000000004">
      <c r="AO406">
        <f ca="1"/>
      </c>
      <c r="AP406">
        <f ca="1"/>
      </c>
      <c r="AQ406">
        <f ca="1"/>
      </c>
      <c r="AR406">
        <f ca="1"/>
      </c>
      <c r="AS406">
        <f ca="1"/>
      </c>
      <c r="AT406">
        <f ca="1"/>
      </c>
      <c r="AU406">
        <f ca="1"/>
      </c>
      <c r="AV406">
        <f ca="1"/>
      </c>
      <c r="AW406">
        <f ca="1"/>
      </c>
      <c r="AX406">
        <f ca="1"/>
      </c>
      <c r="AY406">
        <f ca="1"/>
      </c>
      <c r="AZ406">
        <f ca="1"/>
      </c>
      <c r="BA406">
        <f ca="1"/>
      </c>
      <c r="BB406">
        <f ca="1"/>
      </c>
      <c r="BC406">
        <f ca="1"/>
      </c>
      <c r="BD406">
        <f ca="1"/>
      </c>
      <c r="BE406">
        <f ca="1"/>
      </c>
      <c r="BF406">
        <f ca="1"/>
      </c>
      <c r="BG406">
        <f ca="1"/>
      </c>
      <c r="BH406">
        <f ca="1"/>
      </c>
      <c r="BI406">
        <f ca="1"/>
      </c>
      <c r="BJ406">
        <f ca="1"/>
      </c>
      <c r="BK406">
        <f ca="1"/>
      </c>
      <c r="BL406">
        <f ca="1"/>
      </c>
      <c r="BM406">
        <f ca="1"/>
      </c>
      <c r="BN406">
        <f ca="1"/>
      </c>
      <c r="BO406">
        <f ca="1"/>
      </c>
      <c r="BP406">
        <f ca="1"/>
      </c>
      <c r="BQ406">
        <f ca="1"/>
      </c>
      <c r="BR406">
        <f ca="1"/>
      </c>
      <c r="BS406">
        <f ca="1"/>
      </c>
      <c r="BT406">
        <f ca="1"/>
      </c>
      <c r="BU406">
        <f ca="1"/>
      </c>
      <c r="BV406">
        <f ca="1"/>
      </c>
      <c r="BW406">
        <f ca="1"/>
      </c>
      <c r="BX406">
        <f ca="1"/>
      </c>
      <c r="BY406">
        <f ca="1"/>
      </c>
      <c r="BZ406">
        <f ca="1"/>
      </c>
      <c r="CA406">
        <f ca="1"/>
      </c>
      <c r="CB406">
        <f ca="1"/>
      </c>
      <c r="CC406">
        <f ca="1"/>
      </c>
      <c r="CD406">
        <f ca="1"/>
      </c>
      <c r="CE406">
        <f ca="1"/>
      </c>
      <c r="CF406">
        <f ca="1"/>
      </c>
      <c r="CG406">
        <f ca="1"/>
      </c>
      <c r="CH406">
        <f ca="1"/>
      </c>
      <c r="CI406">
        <f ca="1"/>
      </c>
      <c r="CK406">
        <f ca="1"/>
      </c>
      <c r="CL406">
        <f ca="1"/>
      </c>
      <c r="CM406">
        <f ca="1"/>
      </c>
      <c r="CN406">
        <f ca="1"/>
      </c>
      <c r="CO406">
        <f ca="1"/>
      </c>
      <c r="CP406">
        <f ca="1"/>
      </c>
      <c r="CQ406">
        <f ca="1"/>
      </c>
      <c r="CR406">
        <f ca="1"/>
      </c>
      <c r="CS406">
        <f ca="1"/>
      </c>
      <c r="CT406">
        <f ca="1"/>
      </c>
      <c r="CU406">
        <f ca="1"/>
      </c>
      <c r="CV406">
        <f ca="1"/>
      </c>
      <c r="CW406">
        <f ca="1"/>
      </c>
      <c r="CX406">
        <f ca="1"/>
      </c>
      <c r="CY406">
        <f ca="1"/>
      </c>
      <c r="CZ406">
        <f ca="1"/>
      </c>
      <c r="DA406">
        <f ca="1"/>
      </c>
      <c r="DB406">
        <f ca="1"/>
      </c>
      <c r="DC406">
        <f ca="1"/>
      </c>
      <c r="DD406">
        <f ca="1"/>
      </c>
      <c r="DE406">
        <f ca="1"/>
      </c>
      <c r="DF406">
        <f ca="1"/>
      </c>
      <c r="DG406">
        <f ca="1"/>
      </c>
      <c r="DH406">
        <f ca="1"/>
      </c>
      <c r="DI406">
        <f ca="1"/>
      </c>
      <c r="DJ406">
        <f ca="1"/>
      </c>
      <c r="DK406">
        <f ca="1"/>
      </c>
      <c r="DL406">
        <f ca="1"/>
      </c>
      <c r="DM406">
        <f ca="1"/>
      </c>
      <c r="DN406">
        <f ca="1"/>
      </c>
      <c r="DO406">
        <f ca="1"/>
      </c>
      <c r="DP406">
        <f ca="1"/>
      </c>
      <c r="DQ406">
        <f ca="1"/>
      </c>
      <c r="DR406">
        <f ca="1"/>
      </c>
      <c r="DS406">
        <f ca="1"/>
      </c>
      <c r="DT406">
        <f ca="1"/>
      </c>
      <c r="DU406">
        <f ca="1"/>
      </c>
      <c r="DV406">
        <f ca="1"/>
      </c>
      <c r="DW406">
        <f ca="1"/>
      </c>
      <c r="DX406">
        <f ca="1"/>
      </c>
      <c r="DY406">
        <f ca="1"/>
      </c>
      <c r="DZ406">
        <f ca="1"/>
      </c>
      <c r="EA406">
        <f ca="1"/>
      </c>
      <c r="EB406">
        <f ca="1"/>
      </c>
      <c r="EC406">
        <f ca="1"/>
      </c>
      <c r="ED406">
        <f ca="1"/>
      </c>
      <c r="EE406">
        <f ca="1"/>
      </c>
      <c r="EG406">
        <f ca="1"/>
      </c>
      <c r="EH406">
        <f ca="1"/>
      </c>
      <c r="EI406">
        <f ca="1"/>
      </c>
      <c r="EJ406">
        <f ca="1"/>
      </c>
      <c r="EK406">
        <f ca="1"/>
      </c>
      <c r="EL406">
        <f ca="1"/>
      </c>
      <c r="EM406">
        <f ca="1"/>
      </c>
      <c r="EN406">
        <f ca="1"/>
      </c>
      <c r="EO406">
        <f ca="1"/>
      </c>
      <c r="EP406">
        <f ca="1"/>
      </c>
      <c r="EQ406">
        <f ca="1"/>
      </c>
      <c r="ER406">
        <f ca="1"/>
      </c>
      <c r="ES406">
        <f ca="1"/>
      </c>
      <c r="ET406">
        <f ca="1"/>
      </c>
      <c r="EU406">
        <f ca="1"/>
      </c>
      <c r="EV406">
        <f ca="1"/>
      </c>
      <c r="EW406">
        <f ca="1"/>
      </c>
      <c r="EX406">
        <f ca="1"/>
      </c>
      <c r="EY406">
        <f ca="1"/>
      </c>
      <c r="EZ406">
        <f ca="1"/>
      </c>
      <c r="FA406">
        <f ca="1"/>
      </c>
      <c r="FB406">
        <f ca="1"/>
      </c>
      <c r="FC406">
        <f ca="1"/>
      </c>
      <c r="FD406">
        <f ca="1"/>
      </c>
      <c r="FE406">
        <f ca="1"/>
      </c>
      <c r="FF406">
        <f ca="1"/>
      </c>
      <c r="FG406">
        <f ca="1"/>
      </c>
      <c r="FH406">
        <f ca="1"/>
      </c>
      <c r="FI406">
        <f ca="1"/>
      </c>
      <c r="FJ406">
        <f ca="1"/>
      </c>
      <c r="FK406">
        <f ca="1"/>
      </c>
      <c r="FL406">
        <f ca="1"/>
      </c>
      <c r="FM406">
        <f ca="1"/>
      </c>
      <c r="FN406">
        <f ca="1"/>
      </c>
      <c r="FO406">
        <f ca="1"/>
      </c>
      <c r="FP406">
        <f ca="1"/>
      </c>
      <c r="FQ406">
        <f ca="1"/>
      </c>
      <c r="FR406">
        <f ca="1"/>
      </c>
      <c r="FS406">
        <f ca="1"/>
      </c>
      <c r="FT406">
        <f ca="1"/>
      </c>
      <c r="FU406">
        <f ca="1"/>
      </c>
      <c r="FV406">
        <f ca="1"/>
      </c>
      <c r="FW406">
        <f ca="1"/>
      </c>
      <c r="FX406">
        <f ca="1"/>
      </c>
      <c r="FY406">
        <f ca="1"/>
      </c>
      <c r="FZ406">
        <f ca="1"/>
      </c>
      <c r="GA406">
        <f ca="1"/>
      </c>
      <c r="GM406" s="7"/>
    </row>
    <row r="407" spans="41:195" x14ac:dyDescent="0.55000000000000004">
      <c r="AO407">
        <f ca="1"/>
      </c>
      <c r="AP407">
        <f ca="1"/>
      </c>
      <c r="AQ407">
        <f ca="1"/>
      </c>
      <c r="AR407">
        <f ca="1"/>
      </c>
      <c r="AS407">
        <f ca="1"/>
      </c>
      <c r="AT407">
        <f ca="1"/>
      </c>
      <c r="AU407">
        <f ca="1"/>
      </c>
      <c r="AV407">
        <f ca="1"/>
      </c>
      <c r="AW407">
        <f ca="1"/>
      </c>
      <c r="AX407">
        <f ca="1"/>
      </c>
      <c r="AY407">
        <f ca="1"/>
      </c>
      <c r="AZ407">
        <f ca="1"/>
      </c>
      <c r="BA407">
        <f ca="1"/>
      </c>
      <c r="BB407">
        <f ca="1"/>
      </c>
      <c r="BC407">
        <f ca="1"/>
      </c>
      <c r="BD407">
        <f ca="1"/>
      </c>
      <c r="BE407">
        <f ca="1"/>
      </c>
      <c r="BF407">
        <f ca="1"/>
      </c>
      <c r="BG407">
        <f ca="1"/>
      </c>
      <c r="BH407">
        <f ca="1"/>
      </c>
      <c r="BI407">
        <f ca="1"/>
      </c>
      <c r="BJ407">
        <f ca="1"/>
      </c>
      <c r="BK407">
        <f ca="1"/>
      </c>
      <c r="BL407">
        <f ca="1"/>
      </c>
      <c r="BM407">
        <f ca="1"/>
      </c>
      <c r="BN407">
        <f ca="1"/>
      </c>
      <c r="BO407">
        <f ca="1"/>
      </c>
      <c r="BP407">
        <f ca="1"/>
      </c>
      <c r="BQ407">
        <f ca="1"/>
      </c>
      <c r="BR407">
        <f ca="1"/>
      </c>
      <c r="BS407">
        <f ca="1"/>
      </c>
      <c r="BT407">
        <f ca="1"/>
      </c>
      <c r="BU407">
        <f ca="1"/>
      </c>
      <c r="BV407">
        <f ca="1"/>
      </c>
      <c r="BW407">
        <f ca="1"/>
      </c>
      <c r="BX407">
        <f ca="1"/>
      </c>
      <c r="BY407">
        <f ca="1"/>
      </c>
      <c r="BZ407">
        <f ca="1"/>
      </c>
      <c r="CA407">
        <f ca="1"/>
      </c>
      <c r="CB407">
        <f ca="1"/>
      </c>
      <c r="CC407">
        <f ca="1"/>
      </c>
      <c r="CD407">
        <f ca="1"/>
      </c>
      <c r="CE407">
        <f ca="1"/>
      </c>
      <c r="CF407">
        <f ca="1"/>
      </c>
      <c r="CG407">
        <f ca="1"/>
      </c>
      <c r="CH407">
        <f ca="1"/>
      </c>
      <c r="CI407">
        <f ca="1"/>
      </c>
      <c r="CK407">
        <f ca="1"/>
      </c>
      <c r="CL407">
        <f ca="1"/>
      </c>
      <c r="CM407">
        <f ca="1"/>
      </c>
      <c r="CN407">
        <f ca="1"/>
      </c>
      <c r="CO407">
        <f ca="1"/>
      </c>
      <c r="CP407">
        <f ca="1"/>
      </c>
      <c r="CQ407">
        <f ca="1"/>
      </c>
      <c r="CR407">
        <f ca="1"/>
      </c>
      <c r="CS407">
        <f ca="1"/>
      </c>
      <c r="CT407">
        <f ca="1"/>
      </c>
      <c r="CU407">
        <f ca="1"/>
      </c>
      <c r="CV407">
        <f ca="1"/>
      </c>
      <c r="CW407">
        <f ca="1"/>
      </c>
      <c r="CX407">
        <f ca="1"/>
      </c>
      <c r="CY407">
        <f ca="1"/>
      </c>
      <c r="CZ407">
        <f ca="1"/>
      </c>
      <c r="DA407">
        <f ca="1"/>
      </c>
      <c r="DB407">
        <f ca="1"/>
      </c>
      <c r="DC407">
        <f ca="1"/>
      </c>
      <c r="DD407">
        <f ca="1"/>
      </c>
      <c r="DE407">
        <f ca="1"/>
      </c>
      <c r="DF407">
        <f ca="1"/>
      </c>
      <c r="DG407">
        <f ca="1"/>
      </c>
      <c r="DH407">
        <f ca="1"/>
      </c>
      <c r="DI407">
        <f ca="1"/>
      </c>
      <c r="DJ407">
        <f ca="1"/>
      </c>
      <c r="DK407">
        <f ca="1"/>
      </c>
      <c r="DL407">
        <f ca="1"/>
      </c>
      <c r="DM407">
        <f ca="1"/>
      </c>
      <c r="DN407">
        <f ca="1"/>
      </c>
      <c r="DO407">
        <f ca="1"/>
      </c>
      <c r="DP407">
        <f ca="1"/>
      </c>
      <c r="DQ407">
        <f ca="1"/>
      </c>
      <c r="DR407">
        <f ca="1"/>
      </c>
      <c r="DS407">
        <f ca="1"/>
      </c>
      <c r="DT407">
        <f ca="1"/>
      </c>
      <c r="DU407">
        <f ca="1"/>
      </c>
      <c r="DV407">
        <f ca="1"/>
      </c>
      <c r="DW407">
        <f ca="1"/>
      </c>
      <c r="DX407">
        <f ca="1"/>
      </c>
      <c r="DY407">
        <f ca="1"/>
      </c>
      <c r="DZ407">
        <f ca="1"/>
      </c>
      <c r="EA407">
        <f ca="1"/>
      </c>
      <c r="EB407">
        <f ca="1"/>
      </c>
      <c r="EC407">
        <f ca="1"/>
      </c>
      <c r="ED407">
        <f ca="1"/>
      </c>
      <c r="EE407">
        <f ca="1"/>
      </c>
      <c r="EG407">
        <f ca="1"/>
      </c>
      <c r="EH407">
        <f ca="1"/>
      </c>
      <c r="EI407">
        <f ca="1"/>
      </c>
      <c r="EJ407">
        <f ca="1"/>
      </c>
      <c r="EK407">
        <f ca="1"/>
      </c>
      <c r="EL407">
        <f ca="1"/>
      </c>
      <c r="EM407">
        <f ca="1"/>
      </c>
      <c r="EN407">
        <f ca="1"/>
      </c>
      <c r="EO407">
        <f ca="1"/>
      </c>
      <c r="EP407">
        <f ca="1"/>
      </c>
      <c r="EQ407">
        <f ca="1"/>
      </c>
      <c r="ER407">
        <f ca="1"/>
      </c>
      <c r="ES407">
        <f ca="1"/>
      </c>
      <c r="ET407">
        <f ca="1"/>
      </c>
      <c r="EU407">
        <f ca="1"/>
      </c>
      <c r="EV407">
        <f ca="1"/>
      </c>
      <c r="EW407">
        <f ca="1"/>
      </c>
      <c r="EX407">
        <f ca="1"/>
      </c>
      <c r="EY407">
        <f ca="1"/>
      </c>
      <c r="EZ407">
        <f ca="1"/>
      </c>
      <c r="FA407">
        <f ca="1"/>
      </c>
      <c r="FB407">
        <f ca="1"/>
      </c>
      <c r="FC407">
        <f ca="1"/>
      </c>
      <c r="FD407">
        <f ca="1"/>
      </c>
      <c r="FE407">
        <f ca="1"/>
      </c>
      <c r="FF407">
        <f ca="1"/>
      </c>
      <c r="FG407">
        <f ca="1"/>
      </c>
      <c r="FH407">
        <f ca="1"/>
      </c>
      <c r="FI407">
        <f ca="1"/>
      </c>
      <c r="FJ407">
        <f ca="1"/>
      </c>
      <c r="FK407">
        <f ca="1"/>
      </c>
      <c r="FL407">
        <f ca="1"/>
      </c>
      <c r="FM407">
        <f ca="1"/>
      </c>
      <c r="FN407">
        <f ca="1"/>
      </c>
      <c r="FO407">
        <f ca="1"/>
      </c>
      <c r="FP407">
        <f ca="1"/>
      </c>
      <c r="FQ407">
        <f ca="1"/>
      </c>
      <c r="FR407">
        <f ca="1"/>
      </c>
      <c r="FS407">
        <f ca="1"/>
      </c>
      <c r="FT407">
        <f ca="1"/>
      </c>
      <c r="FU407">
        <f ca="1"/>
      </c>
      <c r="FV407">
        <f ca="1"/>
      </c>
      <c r="FW407">
        <f ca="1"/>
      </c>
      <c r="FX407">
        <f ca="1"/>
      </c>
      <c r="FY407">
        <f ca="1"/>
      </c>
      <c r="FZ407">
        <f ca="1"/>
      </c>
      <c r="GA407">
        <f ca="1"/>
      </c>
      <c r="GM407" s="7"/>
    </row>
    <row r="408" spans="41:195" x14ac:dyDescent="0.55000000000000004">
      <c r="AO408">
        <f ca="1"/>
      </c>
      <c r="AP408">
        <f ca="1"/>
      </c>
      <c r="AQ408">
        <f ca="1"/>
      </c>
      <c r="AR408">
        <f ca="1"/>
      </c>
      <c r="AS408">
        <f ca="1"/>
      </c>
      <c r="AT408">
        <f ca="1"/>
      </c>
      <c r="AU408">
        <f ca="1"/>
      </c>
      <c r="AV408">
        <f ca="1"/>
      </c>
      <c r="AW408">
        <f ca="1"/>
      </c>
      <c r="AX408">
        <f ca="1"/>
      </c>
      <c r="AY408">
        <f ca="1"/>
      </c>
      <c r="AZ408">
        <f ca="1"/>
      </c>
      <c r="BA408">
        <f ca="1"/>
      </c>
      <c r="BB408">
        <f ca="1"/>
      </c>
      <c r="BC408">
        <f ca="1"/>
      </c>
      <c r="BD408">
        <f ca="1"/>
      </c>
      <c r="BE408">
        <f ca="1"/>
      </c>
      <c r="BF408">
        <f ca="1"/>
      </c>
      <c r="BG408">
        <f ca="1"/>
      </c>
      <c r="BH408">
        <f ca="1"/>
      </c>
      <c r="BI408">
        <f ca="1"/>
      </c>
      <c r="BJ408">
        <f ca="1"/>
      </c>
      <c r="BK408">
        <f ca="1"/>
      </c>
      <c r="BL408">
        <f ca="1"/>
      </c>
      <c r="BM408">
        <f ca="1"/>
      </c>
      <c r="BN408">
        <f ca="1"/>
      </c>
      <c r="BO408">
        <f ca="1"/>
      </c>
      <c r="BP408">
        <f ca="1"/>
      </c>
      <c r="BQ408">
        <f ca="1"/>
      </c>
      <c r="BR408">
        <f ca="1"/>
      </c>
      <c r="BS408">
        <f ca="1"/>
      </c>
      <c r="BT408">
        <f ca="1"/>
      </c>
      <c r="BU408">
        <f ca="1"/>
      </c>
      <c r="BV408">
        <f ca="1"/>
      </c>
      <c r="BW408">
        <f ca="1"/>
      </c>
      <c r="BX408">
        <f ca="1"/>
      </c>
      <c r="BY408">
        <f ca="1"/>
      </c>
      <c r="BZ408">
        <f ca="1"/>
      </c>
      <c r="CA408">
        <f ca="1"/>
      </c>
      <c r="CB408">
        <f ca="1"/>
      </c>
      <c r="CC408">
        <f ca="1"/>
      </c>
      <c r="CD408">
        <f ca="1"/>
      </c>
      <c r="CE408">
        <f ca="1"/>
      </c>
      <c r="CF408">
        <f ca="1"/>
      </c>
      <c r="CG408">
        <f ca="1"/>
      </c>
      <c r="CH408">
        <f ca="1"/>
      </c>
      <c r="CI408">
        <f ca="1"/>
      </c>
      <c r="CK408">
        <f ca="1"/>
      </c>
      <c r="CL408">
        <f ca="1"/>
      </c>
      <c r="CM408">
        <f ca="1"/>
      </c>
      <c r="CN408">
        <f ca="1"/>
      </c>
      <c r="CO408">
        <f ca="1"/>
      </c>
      <c r="CP408">
        <f ca="1"/>
      </c>
      <c r="CQ408">
        <f ca="1"/>
      </c>
      <c r="CR408">
        <f ca="1"/>
      </c>
      <c r="CS408">
        <f ca="1"/>
      </c>
      <c r="CT408">
        <f ca="1"/>
      </c>
      <c r="CU408">
        <f ca="1"/>
      </c>
      <c r="CV408">
        <f ca="1"/>
      </c>
      <c r="CW408">
        <f ca="1"/>
      </c>
      <c r="CX408">
        <f ca="1"/>
      </c>
      <c r="CY408">
        <f ca="1"/>
      </c>
      <c r="CZ408">
        <f ca="1"/>
      </c>
      <c r="DA408">
        <f ca="1"/>
      </c>
      <c r="DB408">
        <f ca="1"/>
      </c>
      <c r="DC408">
        <f ca="1"/>
      </c>
      <c r="DD408">
        <f ca="1"/>
      </c>
      <c r="DE408">
        <f ca="1"/>
      </c>
      <c r="DF408">
        <f ca="1"/>
      </c>
      <c r="DG408">
        <f ca="1"/>
      </c>
      <c r="DH408">
        <f ca="1"/>
      </c>
      <c r="DI408">
        <f ca="1"/>
      </c>
      <c r="DJ408">
        <f ca="1"/>
      </c>
      <c r="DK408">
        <f ca="1"/>
      </c>
      <c r="DL408">
        <f ca="1"/>
      </c>
      <c r="DM408">
        <f ca="1"/>
      </c>
      <c r="DN408">
        <f ca="1"/>
      </c>
      <c r="DO408">
        <f ca="1"/>
      </c>
      <c r="DP408">
        <f ca="1"/>
      </c>
      <c r="DQ408">
        <f ca="1"/>
      </c>
      <c r="DR408">
        <f ca="1"/>
      </c>
      <c r="DS408">
        <f ca="1"/>
      </c>
      <c r="DT408">
        <f ca="1"/>
      </c>
      <c r="DU408">
        <f ca="1"/>
      </c>
      <c r="DV408">
        <f ca="1"/>
      </c>
      <c r="DW408">
        <f ca="1"/>
      </c>
      <c r="DX408">
        <f ca="1"/>
      </c>
      <c r="DY408">
        <f ca="1"/>
      </c>
      <c r="DZ408">
        <f ca="1"/>
      </c>
      <c r="EA408">
        <f ca="1"/>
      </c>
      <c r="EB408">
        <f ca="1"/>
      </c>
      <c r="EC408">
        <f ca="1"/>
      </c>
      <c r="ED408">
        <f ca="1"/>
      </c>
      <c r="EE408">
        <f ca="1"/>
      </c>
      <c r="EG408">
        <f ca="1"/>
      </c>
      <c r="EH408">
        <f ca="1"/>
      </c>
      <c r="EI408">
        <f ca="1"/>
      </c>
      <c r="EJ408">
        <f ca="1"/>
      </c>
      <c r="EK408">
        <f ca="1"/>
      </c>
      <c r="EL408">
        <f ca="1"/>
      </c>
      <c r="EM408">
        <f ca="1"/>
      </c>
      <c r="EN408">
        <f ca="1"/>
      </c>
      <c r="EO408">
        <f ca="1"/>
      </c>
      <c r="EP408">
        <f ca="1"/>
      </c>
      <c r="EQ408">
        <f ca="1"/>
      </c>
      <c r="ER408">
        <f ca="1"/>
      </c>
      <c r="ES408">
        <f ca="1"/>
      </c>
      <c r="ET408">
        <f ca="1"/>
      </c>
      <c r="EU408">
        <f ca="1"/>
      </c>
      <c r="EV408">
        <f ca="1"/>
      </c>
      <c r="EW408">
        <f ca="1"/>
      </c>
      <c r="EX408">
        <f ca="1"/>
      </c>
      <c r="EY408">
        <f ca="1"/>
      </c>
      <c r="EZ408">
        <f ca="1"/>
      </c>
      <c r="FA408">
        <f ca="1"/>
      </c>
      <c r="FB408">
        <f ca="1"/>
      </c>
      <c r="FC408">
        <f ca="1"/>
      </c>
      <c r="FD408">
        <f ca="1"/>
      </c>
      <c r="FE408">
        <f ca="1"/>
      </c>
      <c r="FF408">
        <f ca="1"/>
      </c>
      <c r="FG408">
        <f ca="1"/>
      </c>
      <c r="FH408">
        <f ca="1"/>
      </c>
      <c r="FI408">
        <f ca="1"/>
      </c>
      <c r="FJ408">
        <f ca="1"/>
      </c>
      <c r="FK408">
        <f ca="1"/>
      </c>
      <c r="FL408">
        <f ca="1"/>
      </c>
      <c r="FM408">
        <f ca="1"/>
      </c>
      <c r="FN408">
        <f ca="1"/>
      </c>
      <c r="FO408">
        <f ca="1"/>
      </c>
      <c r="FP408">
        <f ca="1"/>
      </c>
      <c r="FQ408">
        <f ca="1"/>
      </c>
      <c r="FR408">
        <f ca="1"/>
      </c>
      <c r="FS408">
        <f ca="1"/>
      </c>
      <c r="FT408">
        <f ca="1"/>
      </c>
      <c r="FU408">
        <f ca="1"/>
      </c>
      <c r="FV408">
        <f ca="1"/>
      </c>
      <c r="FW408">
        <f ca="1"/>
      </c>
      <c r="FX408">
        <f ca="1"/>
      </c>
      <c r="FY408">
        <f ca="1"/>
      </c>
      <c r="FZ408">
        <f ca="1"/>
      </c>
      <c r="GA408">
        <f ca="1"/>
      </c>
      <c r="GM408" s="7"/>
    </row>
    <row r="409" spans="41:195" x14ac:dyDescent="0.55000000000000004">
      <c r="AO409">
        <f ca="1"/>
      </c>
      <c r="AP409">
        <f ca="1"/>
      </c>
      <c r="AQ409">
        <f ca="1"/>
      </c>
      <c r="AR409">
        <f ca="1"/>
      </c>
      <c r="AS409">
        <f ca="1"/>
      </c>
      <c r="AT409">
        <f ca="1"/>
      </c>
      <c r="AU409">
        <f ca="1"/>
      </c>
      <c r="AV409">
        <f ca="1"/>
      </c>
      <c r="AW409">
        <f ca="1"/>
      </c>
      <c r="AX409">
        <f ca="1"/>
      </c>
      <c r="AY409">
        <f ca="1"/>
      </c>
      <c r="AZ409">
        <f ca="1"/>
      </c>
      <c r="BA409">
        <f ca="1"/>
      </c>
      <c r="BB409">
        <f ca="1"/>
      </c>
      <c r="BC409">
        <f ca="1"/>
      </c>
      <c r="BD409">
        <f ca="1"/>
      </c>
      <c r="BE409">
        <f ca="1"/>
      </c>
      <c r="BF409">
        <f ca="1"/>
      </c>
      <c r="BG409">
        <f ca="1"/>
      </c>
      <c r="BH409">
        <f ca="1"/>
      </c>
      <c r="BI409">
        <f ca="1"/>
      </c>
      <c r="BJ409">
        <f ca="1"/>
      </c>
      <c r="BK409">
        <f ca="1"/>
      </c>
      <c r="BL409">
        <f ca="1"/>
      </c>
      <c r="BM409">
        <f ca="1"/>
      </c>
      <c r="BN409">
        <f ca="1"/>
      </c>
      <c r="BO409">
        <f ca="1"/>
      </c>
      <c r="BP409">
        <f ca="1"/>
      </c>
      <c r="BQ409">
        <f ca="1"/>
      </c>
      <c r="BR409">
        <f ca="1"/>
      </c>
      <c r="BS409">
        <f ca="1"/>
      </c>
      <c r="BT409">
        <f ca="1"/>
      </c>
      <c r="BU409">
        <f ca="1"/>
      </c>
      <c r="BV409">
        <f ca="1"/>
      </c>
      <c r="BW409">
        <f ca="1"/>
      </c>
      <c r="BX409">
        <f ca="1"/>
      </c>
      <c r="BY409">
        <f ca="1"/>
      </c>
      <c r="BZ409">
        <f ca="1"/>
      </c>
      <c r="CA409">
        <f ca="1"/>
      </c>
      <c r="CB409">
        <f ca="1"/>
      </c>
      <c r="CC409">
        <f ca="1"/>
      </c>
      <c r="CD409">
        <f ca="1"/>
      </c>
      <c r="CE409">
        <f ca="1"/>
      </c>
      <c r="CF409">
        <f ca="1"/>
      </c>
      <c r="CG409">
        <f ca="1"/>
      </c>
      <c r="CH409">
        <f ca="1"/>
      </c>
      <c r="CI409">
        <f ca="1"/>
      </c>
      <c r="CK409">
        <f ca="1"/>
      </c>
      <c r="CL409">
        <f ca="1"/>
      </c>
      <c r="CM409">
        <f ca="1"/>
      </c>
      <c r="CN409">
        <f ca="1"/>
      </c>
      <c r="CO409">
        <f ca="1"/>
      </c>
      <c r="CP409">
        <f ca="1"/>
      </c>
      <c r="CQ409">
        <f ca="1"/>
      </c>
      <c r="CR409">
        <f ca="1"/>
      </c>
      <c r="CS409">
        <f ca="1"/>
      </c>
      <c r="CT409">
        <f ca="1"/>
      </c>
      <c r="CU409">
        <f ca="1"/>
      </c>
      <c r="CV409">
        <f ca="1"/>
      </c>
      <c r="CW409">
        <f ca="1"/>
      </c>
      <c r="CX409">
        <f ca="1"/>
      </c>
      <c r="CY409">
        <f ca="1"/>
      </c>
      <c r="CZ409">
        <f ca="1"/>
      </c>
      <c r="DA409">
        <f ca="1"/>
      </c>
      <c r="DB409">
        <f ca="1"/>
      </c>
      <c r="DC409">
        <f ca="1"/>
      </c>
      <c r="DD409">
        <f ca="1"/>
      </c>
      <c r="DE409">
        <f ca="1"/>
      </c>
      <c r="DF409">
        <f ca="1"/>
      </c>
      <c r="DG409">
        <f ca="1"/>
      </c>
      <c r="DH409">
        <f ca="1"/>
      </c>
      <c r="DI409">
        <f ca="1"/>
      </c>
      <c r="DJ409">
        <f ca="1"/>
      </c>
      <c r="DK409">
        <f ca="1"/>
      </c>
      <c r="DL409">
        <f ca="1"/>
      </c>
      <c r="DM409">
        <f ca="1"/>
      </c>
      <c r="DN409">
        <f ca="1"/>
      </c>
      <c r="DO409">
        <f ca="1"/>
      </c>
      <c r="DP409">
        <f ca="1"/>
      </c>
      <c r="DQ409">
        <f ca="1"/>
      </c>
      <c r="DR409">
        <f ca="1"/>
      </c>
      <c r="DS409">
        <f ca="1"/>
      </c>
      <c r="DT409">
        <f ca="1"/>
      </c>
      <c r="DU409">
        <f ca="1"/>
      </c>
      <c r="DV409">
        <f ca="1"/>
      </c>
      <c r="DW409">
        <f ca="1"/>
      </c>
      <c r="DX409">
        <f ca="1"/>
      </c>
      <c r="DY409">
        <f ca="1"/>
      </c>
      <c r="DZ409">
        <f ca="1"/>
      </c>
      <c r="EA409">
        <f ca="1"/>
      </c>
      <c r="EB409">
        <f ca="1"/>
      </c>
      <c r="EC409">
        <f ca="1"/>
      </c>
      <c r="ED409">
        <f ca="1"/>
      </c>
      <c r="EE409">
        <f ca="1"/>
      </c>
      <c r="EG409">
        <f ca="1"/>
      </c>
      <c r="EH409">
        <f ca="1"/>
      </c>
      <c r="EI409">
        <f ca="1"/>
      </c>
      <c r="EJ409">
        <f ca="1"/>
      </c>
      <c r="EK409">
        <f ca="1"/>
      </c>
      <c r="EL409">
        <f ca="1"/>
      </c>
      <c r="EM409">
        <f ca="1"/>
      </c>
      <c r="EN409">
        <f ca="1"/>
      </c>
      <c r="EO409">
        <f ca="1"/>
      </c>
      <c r="EP409">
        <f ca="1"/>
      </c>
      <c r="EQ409">
        <f ca="1"/>
      </c>
      <c r="ER409">
        <f ca="1"/>
      </c>
      <c r="ES409">
        <f ca="1"/>
      </c>
      <c r="ET409">
        <f ca="1"/>
      </c>
      <c r="EU409">
        <f ca="1"/>
      </c>
      <c r="EV409">
        <f ca="1"/>
      </c>
      <c r="EW409">
        <f ca="1"/>
      </c>
      <c r="EX409">
        <f ca="1"/>
      </c>
      <c r="EY409">
        <f ca="1"/>
      </c>
      <c r="EZ409">
        <f ca="1"/>
      </c>
      <c r="FA409">
        <f ca="1"/>
      </c>
      <c r="FB409">
        <f ca="1"/>
      </c>
      <c r="FC409">
        <f ca="1"/>
      </c>
      <c r="FD409">
        <f ca="1"/>
      </c>
      <c r="FE409">
        <f ca="1"/>
      </c>
      <c r="FF409">
        <f ca="1"/>
      </c>
      <c r="FG409">
        <f ca="1"/>
      </c>
      <c r="FH409">
        <f ca="1"/>
      </c>
      <c r="FI409">
        <f ca="1"/>
      </c>
      <c r="FJ409">
        <f ca="1"/>
      </c>
      <c r="FK409">
        <f ca="1"/>
      </c>
      <c r="FL409">
        <f ca="1"/>
      </c>
      <c r="FM409">
        <f ca="1"/>
      </c>
      <c r="FN409">
        <f ca="1"/>
      </c>
      <c r="FO409">
        <f ca="1"/>
      </c>
      <c r="FP409">
        <f ca="1"/>
      </c>
      <c r="FQ409">
        <f ca="1"/>
      </c>
      <c r="FR409">
        <f ca="1"/>
      </c>
      <c r="FS409">
        <f ca="1"/>
      </c>
      <c r="FT409">
        <f ca="1"/>
      </c>
      <c r="FU409">
        <f ca="1"/>
      </c>
      <c r="FV409">
        <f ca="1"/>
      </c>
      <c r="FW409">
        <f ca="1"/>
      </c>
      <c r="FX409">
        <f ca="1"/>
      </c>
      <c r="FY409">
        <f ca="1"/>
      </c>
      <c r="FZ409">
        <f ca="1"/>
      </c>
      <c r="GA409">
        <f ca="1"/>
      </c>
      <c r="GM409" s="7"/>
    </row>
    <row r="410" spans="41:195" x14ac:dyDescent="0.55000000000000004">
      <c r="AO410">
        <f ca="1"/>
      </c>
      <c r="AP410">
        <f ca="1"/>
      </c>
      <c r="AQ410">
        <f ca="1"/>
      </c>
      <c r="AR410">
        <f ca="1"/>
      </c>
      <c r="AS410">
        <f ca="1"/>
      </c>
      <c r="AT410">
        <f ca="1"/>
      </c>
      <c r="AU410">
        <f ca="1"/>
      </c>
      <c r="AV410">
        <f ca="1"/>
      </c>
      <c r="AW410">
        <f ca="1"/>
      </c>
      <c r="AX410">
        <f ca="1"/>
      </c>
      <c r="AY410">
        <f ca="1"/>
      </c>
      <c r="AZ410">
        <f ca="1"/>
      </c>
      <c r="BA410">
        <f ca="1"/>
      </c>
      <c r="BB410">
        <f ca="1"/>
      </c>
      <c r="BC410">
        <f ca="1"/>
      </c>
      <c r="BD410">
        <f ca="1"/>
      </c>
      <c r="BE410">
        <f ca="1"/>
      </c>
      <c r="BF410">
        <f ca="1"/>
      </c>
      <c r="BG410">
        <f ca="1"/>
      </c>
      <c r="BH410">
        <f ca="1"/>
      </c>
      <c r="BI410">
        <f ca="1"/>
      </c>
      <c r="BJ410">
        <f ca="1"/>
      </c>
      <c r="BK410">
        <f ca="1"/>
      </c>
      <c r="BL410">
        <f ca="1"/>
      </c>
      <c r="BM410">
        <f ca="1"/>
      </c>
      <c r="BN410">
        <f ca="1"/>
      </c>
      <c r="BO410">
        <f ca="1"/>
      </c>
      <c r="BP410">
        <f ca="1"/>
      </c>
      <c r="BQ410">
        <f ca="1"/>
      </c>
      <c r="BR410">
        <f ca="1"/>
      </c>
      <c r="BS410">
        <f ca="1"/>
      </c>
      <c r="BT410">
        <f ca="1"/>
      </c>
      <c r="BU410">
        <f ca="1"/>
      </c>
      <c r="BV410">
        <f ca="1"/>
      </c>
      <c r="BW410">
        <f ca="1"/>
      </c>
      <c r="BX410">
        <f ca="1"/>
      </c>
      <c r="BY410">
        <f ca="1"/>
      </c>
      <c r="BZ410">
        <f ca="1"/>
      </c>
      <c r="CA410">
        <f ca="1"/>
      </c>
      <c r="CB410">
        <f ca="1"/>
      </c>
      <c r="CC410">
        <f ca="1"/>
      </c>
      <c r="CD410">
        <f ca="1"/>
      </c>
      <c r="CE410">
        <f ca="1"/>
      </c>
      <c r="CF410">
        <f ca="1"/>
      </c>
      <c r="CG410">
        <f ca="1"/>
      </c>
      <c r="CH410">
        <f ca="1"/>
      </c>
      <c r="CI410">
        <f ca="1"/>
      </c>
      <c r="CK410">
        <f ca="1"/>
      </c>
      <c r="CL410">
        <f ca="1"/>
      </c>
      <c r="CM410">
        <f ca="1"/>
      </c>
      <c r="CN410">
        <f ca="1"/>
      </c>
      <c r="CO410">
        <f ca="1"/>
      </c>
      <c r="CP410">
        <f ca="1"/>
      </c>
      <c r="CQ410">
        <f ca="1"/>
      </c>
      <c r="CR410">
        <f ca="1"/>
      </c>
      <c r="CS410">
        <f ca="1"/>
      </c>
      <c r="CT410">
        <f ca="1"/>
      </c>
      <c r="CU410">
        <f ca="1"/>
      </c>
      <c r="CV410">
        <f ca="1"/>
      </c>
      <c r="CW410">
        <f ca="1"/>
      </c>
      <c r="CX410">
        <f ca="1"/>
      </c>
      <c r="CY410">
        <f ca="1"/>
      </c>
      <c r="CZ410">
        <f ca="1"/>
      </c>
      <c r="DA410">
        <f ca="1"/>
      </c>
      <c r="DB410">
        <f ca="1"/>
      </c>
      <c r="DC410">
        <f ca="1"/>
      </c>
      <c r="DD410">
        <f ca="1"/>
      </c>
      <c r="DE410">
        <f ca="1"/>
      </c>
      <c r="DF410">
        <f ca="1"/>
      </c>
      <c r="DG410">
        <f ca="1"/>
      </c>
      <c r="DH410">
        <f ca="1"/>
      </c>
      <c r="DI410">
        <f ca="1"/>
      </c>
      <c r="DJ410">
        <f ca="1"/>
      </c>
      <c r="DK410">
        <f ca="1"/>
      </c>
      <c r="DL410">
        <f ca="1"/>
      </c>
      <c r="DM410">
        <f ca="1"/>
      </c>
      <c r="DN410">
        <f ca="1"/>
      </c>
      <c r="DO410">
        <f ca="1"/>
      </c>
      <c r="DP410">
        <f ca="1"/>
      </c>
      <c r="DQ410">
        <f ca="1"/>
      </c>
      <c r="DR410">
        <f ca="1"/>
      </c>
      <c r="DS410">
        <f ca="1"/>
      </c>
      <c r="DT410">
        <f ca="1"/>
      </c>
      <c r="DU410">
        <f ca="1"/>
      </c>
      <c r="DV410">
        <f ca="1"/>
      </c>
      <c r="DW410">
        <f ca="1"/>
      </c>
      <c r="DX410">
        <f ca="1"/>
      </c>
      <c r="DY410">
        <f ca="1"/>
      </c>
      <c r="DZ410">
        <f ca="1"/>
      </c>
      <c r="EA410">
        <f ca="1"/>
      </c>
      <c r="EB410">
        <f ca="1"/>
      </c>
      <c r="EC410">
        <f ca="1"/>
      </c>
      <c r="ED410">
        <f ca="1"/>
      </c>
      <c r="EE410">
        <f ca="1"/>
      </c>
      <c r="EG410">
        <f ca="1"/>
      </c>
      <c r="EH410">
        <f ca="1"/>
      </c>
      <c r="EI410">
        <f ca="1"/>
      </c>
      <c r="EJ410">
        <f ca="1"/>
      </c>
      <c r="EK410">
        <f ca="1"/>
      </c>
      <c r="EL410">
        <f ca="1"/>
      </c>
      <c r="EM410">
        <f ca="1"/>
      </c>
      <c r="EN410">
        <f ca="1"/>
      </c>
      <c r="EO410">
        <f ca="1"/>
      </c>
      <c r="EP410">
        <f ca="1"/>
      </c>
      <c r="EQ410">
        <f ca="1"/>
      </c>
      <c r="ER410">
        <f ca="1"/>
      </c>
      <c r="ES410">
        <f ca="1"/>
      </c>
      <c r="ET410">
        <f ca="1"/>
      </c>
      <c r="EU410">
        <f ca="1"/>
      </c>
      <c r="EV410">
        <f ca="1"/>
      </c>
      <c r="EW410">
        <f ca="1"/>
      </c>
      <c r="EX410">
        <f ca="1"/>
      </c>
      <c r="EY410">
        <f ca="1"/>
      </c>
      <c r="EZ410">
        <f ca="1"/>
      </c>
      <c r="FA410">
        <f ca="1"/>
      </c>
      <c r="FB410">
        <f ca="1"/>
      </c>
      <c r="FC410">
        <f ca="1"/>
      </c>
      <c r="FD410">
        <f ca="1"/>
      </c>
      <c r="FE410">
        <f ca="1"/>
      </c>
      <c r="FF410">
        <f ca="1"/>
      </c>
      <c r="FG410">
        <f ca="1"/>
      </c>
      <c r="FH410">
        <f ca="1"/>
      </c>
      <c r="FI410">
        <f ca="1"/>
      </c>
      <c r="FJ410">
        <f ca="1"/>
      </c>
      <c r="FK410">
        <f ca="1"/>
      </c>
      <c r="FL410">
        <f ca="1"/>
      </c>
      <c r="FM410">
        <f ca="1"/>
      </c>
      <c r="FN410">
        <f ca="1"/>
      </c>
      <c r="FO410">
        <f ca="1"/>
      </c>
      <c r="FP410">
        <f ca="1"/>
      </c>
      <c r="FQ410">
        <f ca="1"/>
      </c>
      <c r="FR410">
        <f ca="1"/>
      </c>
      <c r="FS410">
        <f ca="1"/>
      </c>
      <c r="FT410">
        <f ca="1"/>
      </c>
      <c r="FU410">
        <f ca="1"/>
      </c>
      <c r="FV410">
        <f ca="1"/>
      </c>
      <c r="FW410">
        <f ca="1"/>
      </c>
      <c r="FX410">
        <f ca="1"/>
      </c>
      <c r="FY410">
        <f ca="1"/>
      </c>
      <c r="FZ410">
        <f ca="1"/>
      </c>
      <c r="GA410">
        <f ca="1"/>
      </c>
      <c r="GM410" s="7"/>
    </row>
    <row r="411" spans="41:195" x14ac:dyDescent="0.55000000000000004">
      <c r="AO411">
        <f ca="1"/>
      </c>
      <c r="AP411">
        <f ca="1"/>
      </c>
      <c r="AQ411">
        <f ca="1"/>
      </c>
      <c r="AR411">
        <f ca="1"/>
      </c>
      <c r="AS411">
        <f ca="1"/>
      </c>
      <c r="AT411">
        <f ca="1"/>
      </c>
      <c r="AU411">
        <f ca="1"/>
      </c>
      <c r="AV411">
        <f ca="1"/>
      </c>
      <c r="AW411">
        <f ca="1"/>
      </c>
      <c r="AX411">
        <f ca="1"/>
      </c>
      <c r="AY411">
        <f ca="1"/>
      </c>
      <c r="AZ411">
        <f ca="1"/>
      </c>
      <c r="BA411">
        <f ca="1"/>
      </c>
      <c r="BB411">
        <f ca="1"/>
      </c>
      <c r="BC411">
        <f ca="1"/>
      </c>
      <c r="BD411">
        <f ca="1"/>
      </c>
      <c r="BE411">
        <f ca="1"/>
      </c>
      <c r="BF411">
        <f ca="1"/>
      </c>
      <c r="BG411">
        <f ca="1"/>
      </c>
      <c r="BH411">
        <f ca="1"/>
      </c>
      <c r="BI411">
        <f ca="1"/>
      </c>
      <c r="BJ411">
        <f ca="1"/>
      </c>
      <c r="BK411">
        <f ca="1"/>
      </c>
      <c r="BL411">
        <f ca="1"/>
      </c>
      <c r="BM411">
        <f ca="1"/>
      </c>
      <c r="BN411">
        <f ca="1"/>
      </c>
      <c r="BO411">
        <f ca="1"/>
      </c>
      <c r="BP411">
        <f ca="1"/>
      </c>
      <c r="BQ411">
        <f ca="1"/>
      </c>
      <c r="BR411">
        <f ca="1"/>
      </c>
      <c r="BS411">
        <f ca="1"/>
      </c>
      <c r="BT411">
        <f ca="1"/>
      </c>
      <c r="BU411">
        <f ca="1"/>
      </c>
      <c r="BV411">
        <f ca="1"/>
      </c>
      <c r="BW411">
        <f ca="1"/>
      </c>
      <c r="BX411">
        <f ca="1"/>
      </c>
      <c r="BY411">
        <f ca="1"/>
      </c>
      <c r="BZ411">
        <f ca="1"/>
      </c>
      <c r="CA411">
        <f ca="1"/>
      </c>
      <c r="CB411">
        <f ca="1"/>
      </c>
      <c r="CC411">
        <f ca="1"/>
      </c>
      <c r="CD411">
        <f ca="1"/>
      </c>
      <c r="CE411">
        <f ca="1"/>
      </c>
      <c r="CF411">
        <f ca="1"/>
      </c>
      <c r="CG411">
        <f ca="1"/>
      </c>
      <c r="CH411">
        <f ca="1"/>
      </c>
      <c r="CI411">
        <f ca="1"/>
      </c>
      <c r="CK411">
        <f ca="1"/>
      </c>
      <c r="CL411">
        <f ca="1"/>
      </c>
      <c r="CM411">
        <f ca="1"/>
      </c>
      <c r="CN411">
        <f ca="1"/>
      </c>
      <c r="CO411">
        <f ca="1"/>
      </c>
      <c r="CP411">
        <f ca="1"/>
      </c>
      <c r="CQ411">
        <f ca="1"/>
      </c>
      <c r="CR411">
        <f ca="1"/>
      </c>
      <c r="CS411">
        <f ca="1"/>
      </c>
      <c r="CT411">
        <f ca="1"/>
      </c>
      <c r="CU411">
        <f ca="1"/>
      </c>
      <c r="CV411">
        <f ca="1"/>
      </c>
      <c r="CW411">
        <f ca="1"/>
      </c>
      <c r="CX411">
        <f ca="1"/>
      </c>
      <c r="CY411">
        <f ca="1"/>
      </c>
      <c r="CZ411">
        <f ca="1"/>
      </c>
      <c r="DA411">
        <f ca="1"/>
      </c>
      <c r="DB411">
        <f ca="1"/>
      </c>
      <c r="DC411">
        <f ca="1"/>
      </c>
      <c r="DD411">
        <f ca="1"/>
      </c>
      <c r="DE411">
        <f ca="1"/>
      </c>
      <c r="DF411">
        <f ca="1"/>
      </c>
      <c r="DG411">
        <f ca="1"/>
      </c>
      <c r="DH411">
        <f ca="1"/>
      </c>
      <c r="DI411">
        <f ca="1"/>
      </c>
      <c r="DJ411">
        <f ca="1"/>
      </c>
      <c r="DK411">
        <f ca="1"/>
      </c>
      <c r="DL411">
        <f ca="1"/>
      </c>
      <c r="DM411">
        <f ca="1"/>
      </c>
      <c r="DN411">
        <f ca="1"/>
      </c>
      <c r="DO411">
        <f ca="1"/>
      </c>
      <c r="DP411">
        <f ca="1"/>
      </c>
      <c r="DQ411">
        <f ca="1"/>
      </c>
      <c r="DR411">
        <f ca="1"/>
      </c>
      <c r="DS411">
        <f ca="1"/>
      </c>
      <c r="DT411">
        <f ca="1"/>
      </c>
      <c r="DU411">
        <f ca="1"/>
      </c>
      <c r="DV411">
        <f ca="1"/>
      </c>
      <c r="DW411">
        <f ca="1"/>
      </c>
      <c r="DX411">
        <f ca="1"/>
      </c>
      <c r="DY411">
        <f ca="1"/>
      </c>
      <c r="DZ411">
        <f ca="1"/>
      </c>
      <c r="EA411">
        <f ca="1"/>
      </c>
      <c r="EB411">
        <f ca="1"/>
      </c>
      <c r="EC411">
        <f ca="1"/>
      </c>
      <c r="ED411">
        <f ca="1"/>
      </c>
      <c r="EE411">
        <f ca="1"/>
      </c>
      <c r="EG411">
        <f ca="1"/>
      </c>
      <c r="EH411">
        <f ca="1"/>
      </c>
      <c r="EI411">
        <f ca="1"/>
      </c>
      <c r="EJ411">
        <f ca="1"/>
      </c>
      <c r="EK411">
        <f ca="1"/>
      </c>
      <c r="EL411">
        <f ca="1"/>
      </c>
      <c r="EM411">
        <f ca="1"/>
      </c>
      <c r="EN411">
        <f ca="1"/>
      </c>
      <c r="EO411">
        <f ca="1"/>
      </c>
      <c r="EP411">
        <f ca="1"/>
      </c>
      <c r="EQ411">
        <f ca="1"/>
      </c>
      <c r="ER411">
        <f ca="1"/>
      </c>
      <c r="ES411">
        <f ca="1"/>
      </c>
      <c r="ET411">
        <f ca="1"/>
      </c>
      <c r="EU411">
        <f ca="1"/>
      </c>
      <c r="EV411">
        <f ca="1"/>
      </c>
      <c r="EW411">
        <f ca="1"/>
      </c>
      <c r="EX411">
        <f ca="1"/>
      </c>
      <c r="EY411">
        <f ca="1"/>
      </c>
      <c r="EZ411">
        <f ca="1"/>
      </c>
      <c r="FA411">
        <f ca="1"/>
      </c>
      <c r="FB411">
        <f ca="1"/>
      </c>
      <c r="FC411">
        <f ca="1"/>
      </c>
      <c r="FD411">
        <f ca="1"/>
      </c>
      <c r="FE411">
        <f ca="1"/>
      </c>
      <c r="FF411">
        <f ca="1"/>
      </c>
      <c r="FG411">
        <f ca="1"/>
      </c>
      <c r="FH411">
        <f ca="1"/>
      </c>
      <c r="FI411">
        <f ca="1"/>
      </c>
      <c r="FJ411">
        <f ca="1"/>
      </c>
      <c r="FK411">
        <f ca="1"/>
      </c>
      <c r="FL411">
        <f ca="1"/>
      </c>
      <c r="FM411">
        <f ca="1"/>
      </c>
      <c r="FN411">
        <f ca="1"/>
      </c>
      <c r="FO411">
        <f ca="1"/>
      </c>
      <c r="FP411">
        <f ca="1"/>
      </c>
      <c r="FQ411">
        <f ca="1"/>
      </c>
      <c r="FR411">
        <f ca="1"/>
      </c>
      <c r="FS411">
        <f ca="1"/>
      </c>
      <c r="FT411">
        <f ca="1"/>
      </c>
      <c r="FU411">
        <f ca="1"/>
      </c>
      <c r="FV411">
        <f ca="1"/>
      </c>
      <c r="FW411">
        <f ca="1"/>
      </c>
      <c r="FX411">
        <f ca="1"/>
      </c>
      <c r="FY411">
        <f ca="1"/>
      </c>
      <c r="FZ411">
        <f ca="1"/>
      </c>
      <c r="GA411">
        <f ca="1"/>
      </c>
      <c r="GM411" s="7"/>
    </row>
    <row r="412" spans="41:195" x14ac:dyDescent="0.55000000000000004">
      <c r="AO412">
        <f ca="1"/>
      </c>
      <c r="AP412">
        <f ca="1"/>
      </c>
      <c r="AQ412">
        <f ca="1"/>
      </c>
      <c r="AR412">
        <f ca="1"/>
      </c>
      <c r="AS412">
        <f ca="1"/>
      </c>
      <c r="AT412">
        <f ca="1"/>
      </c>
      <c r="AU412">
        <f ca="1"/>
      </c>
      <c r="AV412">
        <f ca="1"/>
      </c>
      <c r="AW412">
        <f ca="1"/>
      </c>
      <c r="AX412">
        <f ca="1"/>
      </c>
      <c r="AY412">
        <f ca="1"/>
      </c>
      <c r="AZ412">
        <f ca="1"/>
      </c>
      <c r="BA412">
        <f ca="1"/>
      </c>
      <c r="BB412">
        <f ca="1"/>
      </c>
      <c r="BC412">
        <f ca="1"/>
      </c>
      <c r="BD412">
        <f ca="1"/>
      </c>
      <c r="BE412">
        <f ca="1"/>
      </c>
      <c r="BF412">
        <f ca="1"/>
      </c>
      <c r="BG412">
        <f ca="1"/>
      </c>
      <c r="BH412">
        <f ca="1"/>
      </c>
      <c r="BI412">
        <f ca="1"/>
      </c>
      <c r="BJ412">
        <f ca="1"/>
      </c>
      <c r="BK412">
        <f ca="1"/>
      </c>
      <c r="BL412">
        <f ca="1"/>
      </c>
      <c r="BM412">
        <f ca="1"/>
      </c>
      <c r="BN412">
        <f ca="1"/>
      </c>
      <c r="BO412">
        <f ca="1"/>
      </c>
      <c r="BP412">
        <f ca="1"/>
      </c>
      <c r="BQ412">
        <f ca="1"/>
      </c>
      <c r="BR412">
        <f ca="1"/>
      </c>
      <c r="BS412">
        <f ca="1"/>
      </c>
      <c r="BT412">
        <f ca="1"/>
      </c>
      <c r="BU412">
        <f ca="1"/>
      </c>
      <c r="BV412">
        <f ca="1"/>
      </c>
      <c r="BW412">
        <f ca="1"/>
      </c>
      <c r="BX412">
        <f ca="1"/>
      </c>
      <c r="BY412">
        <f ca="1"/>
      </c>
      <c r="BZ412">
        <f ca="1"/>
      </c>
      <c r="CA412">
        <f ca="1"/>
      </c>
      <c r="CB412">
        <f ca="1"/>
      </c>
      <c r="CC412">
        <f ca="1"/>
      </c>
      <c r="CD412">
        <f ca="1"/>
      </c>
      <c r="CE412">
        <f ca="1"/>
      </c>
      <c r="CF412">
        <f ca="1"/>
      </c>
      <c r="CG412">
        <f ca="1"/>
      </c>
      <c r="CH412">
        <f ca="1"/>
      </c>
      <c r="CI412">
        <f ca="1"/>
      </c>
      <c r="CK412">
        <f ca="1"/>
      </c>
      <c r="CL412">
        <f ca="1"/>
      </c>
      <c r="CM412">
        <f ca="1"/>
      </c>
      <c r="CN412">
        <f ca="1"/>
      </c>
      <c r="CO412">
        <f ca="1"/>
      </c>
      <c r="CP412">
        <f ca="1"/>
      </c>
      <c r="CQ412">
        <f ca="1"/>
      </c>
      <c r="CR412">
        <f ca="1"/>
      </c>
      <c r="CS412">
        <f ca="1"/>
      </c>
      <c r="CT412">
        <f ca="1"/>
      </c>
      <c r="CU412">
        <f ca="1"/>
      </c>
      <c r="CV412">
        <f ca="1"/>
      </c>
      <c r="CW412">
        <f ca="1"/>
      </c>
      <c r="CX412">
        <f ca="1"/>
      </c>
      <c r="CY412">
        <f ca="1"/>
      </c>
      <c r="CZ412">
        <f ca="1"/>
      </c>
      <c r="DA412">
        <f ca="1"/>
      </c>
      <c r="DB412">
        <f ca="1"/>
      </c>
      <c r="DC412">
        <f ca="1"/>
      </c>
      <c r="DD412">
        <f ca="1"/>
      </c>
      <c r="DE412">
        <f ca="1"/>
      </c>
      <c r="DF412">
        <f ca="1"/>
      </c>
      <c r="DG412">
        <f ca="1"/>
      </c>
      <c r="DH412">
        <f ca="1"/>
      </c>
      <c r="DI412">
        <f ca="1"/>
      </c>
      <c r="DJ412">
        <f ca="1"/>
      </c>
      <c r="DK412">
        <f ca="1"/>
      </c>
      <c r="DL412">
        <f ca="1"/>
      </c>
      <c r="DM412">
        <f ca="1"/>
      </c>
      <c r="DN412">
        <f ca="1"/>
      </c>
      <c r="DO412">
        <f ca="1"/>
      </c>
      <c r="DP412">
        <f ca="1"/>
      </c>
      <c r="DQ412">
        <f ca="1"/>
      </c>
      <c r="DR412">
        <f ca="1"/>
      </c>
      <c r="DS412">
        <f ca="1"/>
      </c>
      <c r="DT412">
        <f ca="1"/>
      </c>
      <c r="DU412">
        <f ca="1"/>
      </c>
      <c r="DV412">
        <f ca="1"/>
      </c>
      <c r="DW412">
        <f ca="1"/>
      </c>
      <c r="DX412">
        <f ca="1"/>
      </c>
      <c r="DY412">
        <f ca="1"/>
      </c>
      <c r="DZ412">
        <f ca="1"/>
      </c>
      <c r="EA412">
        <f ca="1"/>
      </c>
      <c r="EB412">
        <f ca="1"/>
      </c>
      <c r="EC412">
        <f ca="1"/>
      </c>
      <c r="ED412">
        <f ca="1"/>
      </c>
      <c r="EE412">
        <f ca="1"/>
      </c>
      <c r="EG412">
        <f ca="1"/>
      </c>
      <c r="EH412">
        <f ca="1"/>
      </c>
      <c r="EI412">
        <f ca="1"/>
      </c>
      <c r="EJ412">
        <f ca="1"/>
      </c>
      <c r="EK412">
        <f ca="1"/>
      </c>
      <c r="EL412">
        <f ca="1"/>
      </c>
      <c r="EM412">
        <f ca="1"/>
      </c>
      <c r="EN412">
        <f ca="1"/>
      </c>
      <c r="EO412">
        <f ca="1"/>
      </c>
      <c r="EP412">
        <f ca="1"/>
      </c>
      <c r="EQ412">
        <f ca="1"/>
      </c>
      <c r="ER412">
        <f ca="1"/>
      </c>
      <c r="ES412">
        <f ca="1"/>
      </c>
      <c r="ET412">
        <f ca="1"/>
      </c>
      <c r="EU412">
        <f ca="1"/>
      </c>
      <c r="EV412">
        <f ca="1"/>
      </c>
      <c r="EW412">
        <f ca="1"/>
      </c>
      <c r="EX412">
        <f ca="1"/>
      </c>
      <c r="EY412">
        <f ca="1"/>
      </c>
      <c r="EZ412">
        <f ca="1"/>
      </c>
      <c r="FA412">
        <f ca="1"/>
      </c>
      <c r="FB412">
        <f ca="1"/>
      </c>
      <c r="FC412">
        <f ca="1"/>
      </c>
      <c r="FD412">
        <f ca="1"/>
      </c>
      <c r="FE412">
        <f ca="1"/>
      </c>
      <c r="FF412">
        <f ca="1"/>
      </c>
      <c r="FG412">
        <f ca="1"/>
      </c>
      <c r="FH412">
        <f ca="1"/>
      </c>
      <c r="FI412">
        <f ca="1"/>
      </c>
      <c r="FJ412">
        <f ca="1"/>
      </c>
      <c r="FK412">
        <f ca="1"/>
      </c>
      <c r="FL412">
        <f ca="1"/>
      </c>
      <c r="FM412">
        <f ca="1"/>
      </c>
      <c r="FN412">
        <f ca="1"/>
      </c>
      <c r="FO412">
        <f ca="1"/>
      </c>
      <c r="FP412">
        <f ca="1"/>
      </c>
      <c r="FQ412">
        <f ca="1"/>
      </c>
      <c r="FR412">
        <f ca="1"/>
      </c>
      <c r="FS412">
        <f ca="1"/>
      </c>
      <c r="FT412">
        <f ca="1"/>
      </c>
      <c r="FU412">
        <f ca="1"/>
      </c>
      <c r="FV412">
        <f ca="1"/>
      </c>
      <c r="FW412">
        <f ca="1"/>
      </c>
      <c r="FX412">
        <f ca="1"/>
      </c>
      <c r="FY412">
        <f ca="1"/>
      </c>
      <c r="FZ412">
        <f ca="1"/>
      </c>
      <c r="GA412">
        <f ca="1"/>
      </c>
      <c r="GM412" s="7"/>
    </row>
    <row r="413" spans="41:195" x14ac:dyDescent="0.55000000000000004">
      <c r="AO413">
        <f ca="1"/>
      </c>
      <c r="AP413">
        <f ca="1"/>
      </c>
      <c r="AQ413">
        <f ca="1"/>
      </c>
      <c r="AR413">
        <f ca="1"/>
      </c>
      <c r="AS413">
        <f ca="1"/>
      </c>
      <c r="AT413">
        <f ca="1"/>
      </c>
      <c r="AU413">
        <f ca="1"/>
      </c>
      <c r="AV413">
        <f ca="1"/>
      </c>
      <c r="AW413">
        <f ca="1"/>
      </c>
      <c r="AX413">
        <f ca="1"/>
      </c>
      <c r="AY413">
        <f ca="1"/>
      </c>
      <c r="AZ413">
        <f ca="1"/>
      </c>
      <c r="BA413">
        <f ca="1"/>
      </c>
      <c r="BB413">
        <f ca="1"/>
      </c>
      <c r="BC413">
        <f ca="1"/>
      </c>
      <c r="BD413">
        <f ca="1"/>
      </c>
      <c r="BE413">
        <f ca="1"/>
      </c>
      <c r="BF413">
        <f ca="1"/>
      </c>
      <c r="BG413">
        <f ca="1"/>
      </c>
      <c r="BH413">
        <f ca="1"/>
      </c>
      <c r="BI413">
        <f ca="1"/>
      </c>
      <c r="BJ413">
        <f ca="1"/>
      </c>
      <c r="BK413">
        <f ca="1"/>
      </c>
      <c r="BL413">
        <f ca="1"/>
      </c>
      <c r="BM413">
        <f ca="1"/>
      </c>
      <c r="BN413">
        <f ca="1"/>
      </c>
      <c r="BO413">
        <f ca="1"/>
      </c>
      <c r="BP413">
        <f ca="1"/>
      </c>
      <c r="BQ413">
        <f ca="1"/>
      </c>
      <c r="BR413">
        <f ca="1"/>
      </c>
      <c r="BS413">
        <f ca="1"/>
      </c>
      <c r="BT413">
        <f ca="1"/>
      </c>
      <c r="BU413">
        <f ca="1"/>
      </c>
      <c r="BV413">
        <f ca="1"/>
      </c>
      <c r="BW413">
        <f ca="1"/>
      </c>
      <c r="BX413">
        <f ca="1"/>
      </c>
      <c r="BY413">
        <f ca="1"/>
      </c>
      <c r="BZ413">
        <f ca="1"/>
      </c>
      <c r="CA413">
        <f ca="1"/>
      </c>
      <c r="CB413">
        <f ca="1"/>
      </c>
      <c r="CC413">
        <f ca="1"/>
      </c>
      <c r="CD413">
        <f ca="1"/>
      </c>
      <c r="CE413">
        <f ca="1"/>
      </c>
      <c r="CF413">
        <f ca="1"/>
      </c>
      <c r="CG413">
        <f ca="1"/>
      </c>
      <c r="CH413">
        <f ca="1"/>
      </c>
      <c r="CI413">
        <f ca="1"/>
      </c>
      <c r="CK413">
        <f ca="1"/>
      </c>
      <c r="CL413">
        <f ca="1"/>
      </c>
      <c r="CM413">
        <f ca="1"/>
      </c>
      <c r="CN413">
        <f ca="1"/>
      </c>
      <c r="CO413">
        <f ca="1"/>
      </c>
      <c r="CP413">
        <f ca="1"/>
      </c>
      <c r="CQ413">
        <f ca="1"/>
      </c>
      <c r="CR413">
        <f ca="1"/>
      </c>
      <c r="CS413">
        <f ca="1"/>
      </c>
      <c r="CT413">
        <f ca="1"/>
      </c>
      <c r="CU413">
        <f ca="1"/>
      </c>
      <c r="CV413">
        <f ca="1"/>
      </c>
      <c r="CW413">
        <f ca="1"/>
      </c>
      <c r="CX413">
        <f ca="1"/>
      </c>
      <c r="CY413">
        <f ca="1"/>
      </c>
      <c r="CZ413">
        <f ca="1"/>
      </c>
      <c r="DA413">
        <f ca="1"/>
      </c>
      <c r="DB413">
        <f ca="1"/>
      </c>
      <c r="DC413">
        <f ca="1"/>
      </c>
      <c r="DD413">
        <f ca="1"/>
      </c>
      <c r="DE413">
        <f ca="1"/>
      </c>
      <c r="DF413">
        <f ca="1"/>
      </c>
      <c r="DG413">
        <f ca="1"/>
      </c>
      <c r="DH413">
        <f ca="1"/>
      </c>
      <c r="DI413">
        <f ca="1"/>
      </c>
      <c r="DJ413">
        <f ca="1"/>
      </c>
      <c r="DK413">
        <f ca="1"/>
      </c>
      <c r="DL413">
        <f ca="1"/>
      </c>
      <c r="DM413">
        <f ca="1"/>
      </c>
      <c r="DN413">
        <f ca="1"/>
      </c>
      <c r="DO413">
        <f ca="1"/>
      </c>
      <c r="DP413">
        <f ca="1"/>
      </c>
      <c r="DQ413">
        <f ca="1"/>
      </c>
      <c r="DR413">
        <f ca="1"/>
      </c>
      <c r="DS413">
        <f ca="1"/>
      </c>
      <c r="DT413">
        <f ca="1"/>
      </c>
      <c r="DU413">
        <f ca="1"/>
      </c>
      <c r="DV413">
        <f ca="1"/>
      </c>
      <c r="DW413">
        <f ca="1"/>
      </c>
      <c r="DX413">
        <f ca="1"/>
      </c>
      <c r="DY413">
        <f ca="1"/>
      </c>
      <c r="DZ413">
        <f ca="1"/>
      </c>
      <c r="EA413">
        <f ca="1"/>
      </c>
      <c r="EB413">
        <f ca="1"/>
      </c>
      <c r="EC413">
        <f ca="1"/>
      </c>
      <c r="ED413">
        <f ca="1"/>
      </c>
      <c r="EE413">
        <f ca="1"/>
      </c>
      <c r="EG413">
        <f ca="1"/>
      </c>
      <c r="EH413">
        <f ca="1"/>
      </c>
      <c r="EI413">
        <f ca="1"/>
      </c>
      <c r="EJ413">
        <f ca="1"/>
      </c>
      <c r="EK413">
        <f ca="1"/>
      </c>
      <c r="EL413">
        <f ca="1"/>
      </c>
      <c r="EM413">
        <f ca="1"/>
      </c>
      <c r="EN413">
        <f ca="1"/>
      </c>
      <c r="EO413">
        <f ca="1"/>
      </c>
      <c r="EP413">
        <f ca="1"/>
      </c>
      <c r="EQ413">
        <f ca="1"/>
      </c>
      <c r="ER413">
        <f ca="1"/>
      </c>
      <c r="ES413">
        <f ca="1"/>
      </c>
      <c r="ET413">
        <f ca="1"/>
      </c>
      <c r="EU413">
        <f ca="1"/>
      </c>
      <c r="EV413">
        <f ca="1"/>
      </c>
      <c r="EW413">
        <f ca="1"/>
      </c>
      <c r="EX413">
        <f ca="1"/>
      </c>
      <c r="EY413">
        <f ca="1"/>
      </c>
      <c r="EZ413">
        <f ca="1"/>
      </c>
      <c r="FA413">
        <f ca="1"/>
      </c>
      <c r="FB413">
        <f ca="1"/>
      </c>
      <c r="FC413">
        <f ca="1"/>
      </c>
      <c r="FD413">
        <f ca="1"/>
      </c>
      <c r="FE413">
        <f ca="1"/>
      </c>
      <c r="FF413">
        <f ca="1"/>
      </c>
      <c r="FG413">
        <f ca="1"/>
      </c>
      <c r="FH413">
        <f ca="1"/>
      </c>
      <c r="FI413">
        <f ca="1"/>
      </c>
      <c r="FJ413">
        <f ca="1"/>
      </c>
      <c r="FK413">
        <f ca="1"/>
      </c>
      <c r="FL413">
        <f ca="1"/>
      </c>
      <c r="FM413">
        <f ca="1"/>
      </c>
      <c r="FN413">
        <f ca="1"/>
      </c>
      <c r="FO413">
        <f ca="1"/>
      </c>
      <c r="FP413">
        <f ca="1"/>
      </c>
      <c r="FQ413">
        <f ca="1"/>
      </c>
      <c r="FR413">
        <f ca="1"/>
      </c>
      <c r="FS413">
        <f ca="1"/>
      </c>
      <c r="FT413">
        <f ca="1"/>
      </c>
      <c r="FU413">
        <f ca="1"/>
      </c>
      <c r="FV413">
        <f ca="1"/>
      </c>
      <c r="FW413">
        <f ca="1"/>
      </c>
      <c r="FX413">
        <f ca="1"/>
      </c>
      <c r="FY413">
        <f ca="1"/>
      </c>
      <c r="FZ413">
        <f ca="1"/>
      </c>
      <c r="GA413">
        <f ca="1"/>
      </c>
      <c r="GM413" s="7"/>
    </row>
    <row r="414" spans="41:195" x14ac:dyDescent="0.55000000000000004">
      <c r="AO414">
        <f ca="1"/>
      </c>
      <c r="AP414">
        <f ca="1"/>
      </c>
      <c r="AQ414">
        <f ca="1"/>
      </c>
      <c r="AR414">
        <f ca="1"/>
      </c>
      <c r="AS414">
        <f ca="1"/>
      </c>
      <c r="AT414">
        <f ca="1"/>
      </c>
      <c r="AU414">
        <f ca="1"/>
      </c>
      <c r="AV414">
        <f ca="1"/>
      </c>
      <c r="AW414">
        <f ca="1"/>
      </c>
      <c r="AX414">
        <f ca="1"/>
      </c>
      <c r="AY414">
        <f ca="1"/>
      </c>
      <c r="AZ414">
        <f ca="1"/>
      </c>
      <c r="BA414">
        <f ca="1"/>
      </c>
      <c r="BB414">
        <f ca="1"/>
      </c>
      <c r="BC414">
        <f ca="1"/>
      </c>
      <c r="BD414">
        <f ca="1"/>
      </c>
      <c r="BE414">
        <f ca="1"/>
      </c>
      <c r="BF414">
        <f ca="1"/>
      </c>
      <c r="BG414">
        <f ca="1"/>
      </c>
      <c r="BH414">
        <f ca="1"/>
      </c>
      <c r="BI414">
        <f ca="1"/>
      </c>
      <c r="BJ414">
        <f ca="1"/>
      </c>
      <c r="BK414">
        <f ca="1"/>
      </c>
      <c r="BL414">
        <f ca="1"/>
      </c>
      <c r="BM414">
        <f ca="1"/>
      </c>
      <c r="BN414">
        <f ca="1"/>
      </c>
      <c r="BO414">
        <f ca="1"/>
      </c>
      <c r="BP414">
        <f ca="1"/>
      </c>
      <c r="BQ414">
        <f ca="1"/>
      </c>
      <c r="BR414">
        <f ca="1"/>
      </c>
      <c r="BS414">
        <f ca="1"/>
      </c>
      <c r="BT414">
        <f ca="1"/>
      </c>
      <c r="BU414">
        <f ca="1"/>
      </c>
      <c r="BV414">
        <f ca="1"/>
      </c>
      <c r="BW414">
        <f ca="1"/>
      </c>
      <c r="BX414">
        <f ca="1"/>
      </c>
      <c r="BY414">
        <f ca="1"/>
      </c>
      <c r="BZ414">
        <f ca="1"/>
      </c>
      <c r="CA414">
        <f ca="1"/>
      </c>
      <c r="CB414">
        <f ca="1"/>
      </c>
      <c r="CC414">
        <f ca="1"/>
      </c>
      <c r="CD414">
        <f ca="1"/>
      </c>
      <c r="CE414">
        <f ca="1"/>
      </c>
      <c r="CF414">
        <f ca="1"/>
      </c>
      <c r="CG414">
        <f ca="1"/>
      </c>
      <c r="CH414">
        <f ca="1"/>
      </c>
      <c r="CI414">
        <f ca="1"/>
      </c>
      <c r="CK414">
        <f ca="1"/>
      </c>
      <c r="CL414">
        <f ca="1"/>
      </c>
      <c r="CM414">
        <f ca="1"/>
      </c>
      <c r="CN414">
        <f ca="1"/>
      </c>
      <c r="CO414">
        <f ca="1"/>
      </c>
      <c r="CP414">
        <f ca="1"/>
      </c>
      <c r="CQ414">
        <f ca="1"/>
      </c>
      <c r="CR414">
        <f ca="1"/>
      </c>
      <c r="CS414">
        <f ca="1"/>
      </c>
      <c r="CT414">
        <f ca="1"/>
      </c>
      <c r="CU414">
        <f ca="1"/>
      </c>
      <c r="CV414">
        <f ca="1"/>
      </c>
      <c r="CW414">
        <f ca="1"/>
      </c>
      <c r="CX414">
        <f ca="1"/>
      </c>
      <c r="CY414">
        <f ca="1"/>
      </c>
      <c r="CZ414">
        <f ca="1"/>
      </c>
      <c r="DA414">
        <f ca="1"/>
      </c>
      <c r="DB414">
        <f ca="1"/>
      </c>
      <c r="DC414">
        <f ca="1"/>
      </c>
      <c r="DD414">
        <f ca="1"/>
      </c>
      <c r="DE414">
        <f ca="1"/>
      </c>
      <c r="DF414">
        <f ca="1"/>
      </c>
      <c r="DG414">
        <f ca="1"/>
      </c>
      <c r="DH414">
        <f ca="1"/>
      </c>
      <c r="DI414">
        <f ca="1"/>
      </c>
      <c r="DJ414">
        <f ca="1"/>
      </c>
      <c r="DK414">
        <f ca="1"/>
      </c>
      <c r="DL414">
        <f ca="1"/>
      </c>
      <c r="DM414">
        <f ca="1"/>
      </c>
      <c r="DN414">
        <f ca="1"/>
      </c>
      <c r="DO414">
        <f ca="1"/>
      </c>
      <c r="DP414">
        <f ca="1"/>
      </c>
      <c r="DQ414">
        <f ca="1"/>
      </c>
      <c r="DR414">
        <f ca="1"/>
      </c>
      <c r="DS414">
        <f ca="1"/>
      </c>
      <c r="DT414">
        <f ca="1"/>
      </c>
      <c r="DU414">
        <f ca="1"/>
      </c>
      <c r="DV414">
        <f ca="1"/>
      </c>
      <c r="DW414">
        <f ca="1"/>
      </c>
      <c r="DX414">
        <f ca="1"/>
      </c>
      <c r="DY414">
        <f ca="1"/>
      </c>
      <c r="DZ414">
        <f ca="1"/>
      </c>
      <c r="EA414">
        <f ca="1"/>
      </c>
      <c r="EB414">
        <f ca="1"/>
      </c>
      <c r="EC414">
        <f ca="1"/>
      </c>
      <c r="ED414">
        <f ca="1"/>
      </c>
      <c r="EE414">
        <f ca="1"/>
      </c>
      <c r="EG414">
        <f ca="1"/>
      </c>
      <c r="EH414">
        <f ca="1"/>
      </c>
      <c r="EI414">
        <f ca="1"/>
      </c>
      <c r="EJ414">
        <f ca="1"/>
      </c>
      <c r="EK414">
        <f ca="1"/>
      </c>
      <c r="EL414">
        <f ca="1"/>
      </c>
      <c r="EM414">
        <f ca="1"/>
      </c>
      <c r="EN414">
        <f ca="1"/>
      </c>
      <c r="EO414">
        <f ca="1"/>
      </c>
      <c r="EP414">
        <f ca="1"/>
      </c>
      <c r="EQ414">
        <f ca="1"/>
      </c>
      <c r="ER414">
        <f ca="1"/>
      </c>
      <c r="ES414">
        <f ca="1"/>
      </c>
      <c r="ET414">
        <f ca="1"/>
      </c>
      <c r="EU414">
        <f ca="1"/>
      </c>
      <c r="EV414">
        <f ca="1"/>
      </c>
      <c r="EW414">
        <f ca="1"/>
      </c>
      <c r="EX414">
        <f ca="1"/>
      </c>
      <c r="EY414">
        <f ca="1"/>
      </c>
      <c r="EZ414">
        <f ca="1"/>
      </c>
      <c r="FA414">
        <f ca="1"/>
      </c>
      <c r="FB414">
        <f ca="1"/>
      </c>
      <c r="FC414">
        <f ca="1"/>
      </c>
      <c r="FD414">
        <f ca="1"/>
      </c>
      <c r="FE414">
        <f ca="1"/>
      </c>
      <c r="FF414">
        <f ca="1"/>
      </c>
      <c r="FG414">
        <f ca="1"/>
      </c>
      <c r="FH414">
        <f ca="1"/>
      </c>
      <c r="FI414">
        <f ca="1"/>
      </c>
      <c r="FJ414">
        <f ca="1"/>
      </c>
      <c r="FK414">
        <f ca="1"/>
      </c>
      <c r="FL414">
        <f ca="1"/>
      </c>
      <c r="FM414">
        <f ca="1"/>
      </c>
      <c r="FN414">
        <f ca="1"/>
      </c>
      <c r="FO414">
        <f ca="1"/>
      </c>
      <c r="FP414">
        <f ca="1"/>
      </c>
      <c r="FQ414">
        <f ca="1"/>
      </c>
      <c r="FR414">
        <f ca="1"/>
      </c>
      <c r="FS414">
        <f ca="1"/>
      </c>
      <c r="FT414">
        <f ca="1"/>
      </c>
      <c r="FU414">
        <f ca="1"/>
      </c>
      <c r="FV414">
        <f ca="1"/>
      </c>
      <c r="FW414">
        <f ca="1"/>
      </c>
      <c r="FX414">
        <f ca="1"/>
      </c>
      <c r="FY414">
        <f ca="1"/>
      </c>
      <c r="FZ414">
        <f ca="1"/>
      </c>
      <c r="GA414">
        <f ca="1"/>
      </c>
      <c r="GM414" s="7"/>
    </row>
    <row r="415" spans="41:195" x14ac:dyDescent="0.55000000000000004">
      <c r="AO415">
        <f ca="1"/>
      </c>
      <c r="AP415">
        <f ca="1"/>
      </c>
      <c r="AQ415">
        <f ca="1"/>
      </c>
      <c r="AR415">
        <f ca="1"/>
      </c>
      <c r="AS415">
        <f ca="1"/>
      </c>
      <c r="AT415">
        <f ca="1"/>
      </c>
      <c r="AU415">
        <f ca="1"/>
      </c>
      <c r="AV415">
        <f ca="1"/>
      </c>
      <c r="AW415">
        <f ca="1"/>
      </c>
      <c r="AX415">
        <f ca="1"/>
      </c>
      <c r="AY415">
        <f ca="1"/>
      </c>
      <c r="AZ415">
        <f ca="1"/>
      </c>
      <c r="BA415">
        <f ca="1"/>
      </c>
      <c r="BB415">
        <f ca="1"/>
      </c>
      <c r="BC415">
        <f ca="1"/>
      </c>
      <c r="BD415">
        <f ca="1"/>
      </c>
      <c r="BE415">
        <f ca="1"/>
      </c>
      <c r="BF415">
        <f ca="1"/>
      </c>
      <c r="BG415">
        <f ca="1"/>
      </c>
      <c r="BH415">
        <f ca="1"/>
      </c>
      <c r="BI415">
        <f ca="1"/>
      </c>
      <c r="BJ415">
        <f ca="1"/>
      </c>
      <c r="BK415">
        <f ca="1"/>
      </c>
      <c r="BL415">
        <f ca="1"/>
      </c>
      <c r="BM415">
        <f ca="1"/>
      </c>
      <c r="BN415">
        <f ca="1"/>
      </c>
      <c r="BO415">
        <f ca="1"/>
      </c>
      <c r="BP415">
        <f ca="1"/>
      </c>
      <c r="BQ415">
        <f ca="1"/>
      </c>
      <c r="BR415">
        <f ca="1"/>
      </c>
      <c r="BS415">
        <f ca="1"/>
      </c>
      <c r="BT415">
        <f ca="1"/>
      </c>
      <c r="BU415">
        <f ca="1"/>
      </c>
      <c r="BV415">
        <f ca="1"/>
      </c>
      <c r="BW415">
        <f ca="1"/>
      </c>
      <c r="BX415">
        <f ca="1"/>
      </c>
      <c r="BY415">
        <f ca="1"/>
      </c>
      <c r="BZ415">
        <f ca="1"/>
      </c>
      <c r="CA415">
        <f ca="1"/>
      </c>
      <c r="CB415">
        <f ca="1"/>
      </c>
      <c r="CC415">
        <f ca="1"/>
      </c>
      <c r="CD415">
        <f ca="1"/>
      </c>
      <c r="CE415">
        <f ca="1"/>
      </c>
      <c r="CF415">
        <f ca="1"/>
      </c>
      <c r="CG415">
        <f ca="1"/>
      </c>
      <c r="CH415">
        <f ca="1"/>
      </c>
      <c r="CI415">
        <f ca="1"/>
      </c>
      <c r="CK415">
        <f ca="1"/>
      </c>
      <c r="CL415">
        <f ca="1"/>
      </c>
      <c r="CM415">
        <f ca="1"/>
      </c>
      <c r="CN415">
        <f ca="1"/>
      </c>
      <c r="CO415">
        <f ca="1"/>
      </c>
      <c r="CP415">
        <f ca="1"/>
      </c>
      <c r="CQ415">
        <f ca="1"/>
      </c>
      <c r="CR415">
        <f ca="1"/>
      </c>
      <c r="CS415">
        <f ca="1"/>
      </c>
      <c r="CT415">
        <f ca="1"/>
      </c>
      <c r="CU415">
        <f ca="1"/>
      </c>
      <c r="CV415">
        <f ca="1"/>
      </c>
      <c r="CW415">
        <f ca="1"/>
      </c>
      <c r="CX415">
        <f ca="1"/>
      </c>
      <c r="CY415">
        <f ca="1"/>
      </c>
      <c r="CZ415">
        <f ca="1"/>
      </c>
      <c r="DA415">
        <f ca="1"/>
      </c>
      <c r="DB415">
        <f ca="1"/>
      </c>
      <c r="DC415">
        <f ca="1"/>
      </c>
      <c r="DD415">
        <f ca="1"/>
      </c>
      <c r="DE415">
        <f ca="1"/>
      </c>
      <c r="DF415">
        <f ca="1"/>
      </c>
      <c r="DG415">
        <f ca="1"/>
      </c>
      <c r="DH415">
        <f ca="1"/>
      </c>
      <c r="DI415">
        <f ca="1"/>
      </c>
      <c r="DJ415">
        <f ca="1"/>
      </c>
      <c r="DK415">
        <f ca="1"/>
      </c>
      <c r="DL415">
        <f ca="1"/>
      </c>
      <c r="DM415">
        <f ca="1"/>
      </c>
      <c r="DN415">
        <f ca="1"/>
      </c>
      <c r="DO415">
        <f ca="1"/>
      </c>
      <c r="DP415">
        <f ca="1"/>
      </c>
      <c r="DQ415">
        <f ca="1"/>
      </c>
      <c r="DR415">
        <f ca="1"/>
      </c>
      <c r="DS415">
        <f ca="1"/>
      </c>
      <c r="DT415">
        <f ca="1"/>
      </c>
      <c r="DU415">
        <f ca="1"/>
      </c>
      <c r="DV415">
        <f ca="1"/>
      </c>
      <c r="DW415">
        <f ca="1"/>
      </c>
      <c r="DX415">
        <f ca="1"/>
      </c>
      <c r="DY415">
        <f ca="1"/>
      </c>
      <c r="DZ415">
        <f ca="1"/>
      </c>
      <c r="EA415">
        <f ca="1"/>
      </c>
      <c r="EB415">
        <f ca="1"/>
      </c>
      <c r="EC415">
        <f ca="1"/>
      </c>
      <c r="ED415">
        <f ca="1"/>
      </c>
      <c r="EE415">
        <f ca="1"/>
      </c>
      <c r="EG415">
        <f ca="1"/>
      </c>
      <c r="EH415">
        <f ca="1"/>
      </c>
      <c r="EI415">
        <f ca="1"/>
      </c>
      <c r="EJ415">
        <f ca="1"/>
      </c>
      <c r="EK415">
        <f ca="1"/>
      </c>
      <c r="EL415">
        <f ca="1"/>
      </c>
      <c r="EM415">
        <f ca="1"/>
      </c>
      <c r="EN415">
        <f ca="1"/>
      </c>
      <c r="EO415">
        <f ca="1"/>
      </c>
      <c r="EP415">
        <f ca="1"/>
      </c>
      <c r="EQ415">
        <f ca="1"/>
      </c>
      <c r="ER415">
        <f ca="1"/>
      </c>
      <c r="ES415">
        <f ca="1"/>
      </c>
      <c r="ET415">
        <f ca="1"/>
      </c>
      <c r="EU415">
        <f ca="1"/>
      </c>
      <c r="EV415">
        <f ca="1"/>
      </c>
      <c r="EW415">
        <f ca="1"/>
      </c>
      <c r="EX415">
        <f ca="1"/>
      </c>
      <c r="EY415">
        <f ca="1"/>
      </c>
      <c r="EZ415">
        <f ca="1"/>
      </c>
      <c r="FA415">
        <f ca="1"/>
      </c>
      <c r="FB415">
        <f ca="1"/>
      </c>
      <c r="FC415">
        <f ca="1"/>
      </c>
      <c r="FD415">
        <f ca="1"/>
      </c>
      <c r="FE415">
        <f ca="1"/>
      </c>
      <c r="FF415">
        <f ca="1"/>
      </c>
      <c r="FG415">
        <f ca="1"/>
      </c>
      <c r="FH415">
        <f ca="1"/>
      </c>
      <c r="FI415">
        <f ca="1"/>
      </c>
      <c r="FJ415">
        <f ca="1"/>
      </c>
      <c r="FK415">
        <f ca="1"/>
      </c>
      <c r="FL415">
        <f ca="1"/>
      </c>
      <c r="FM415">
        <f ca="1"/>
      </c>
      <c r="FN415">
        <f ca="1"/>
      </c>
      <c r="FO415">
        <f ca="1"/>
      </c>
      <c r="FP415">
        <f ca="1"/>
      </c>
      <c r="FQ415">
        <f ca="1"/>
      </c>
      <c r="FR415">
        <f ca="1"/>
      </c>
      <c r="FS415">
        <f ca="1"/>
      </c>
      <c r="FT415">
        <f ca="1"/>
      </c>
      <c r="FU415">
        <f ca="1"/>
      </c>
      <c r="FV415">
        <f ca="1"/>
      </c>
      <c r="FW415">
        <f ca="1"/>
      </c>
      <c r="FX415">
        <f ca="1"/>
      </c>
      <c r="FY415">
        <f ca="1"/>
      </c>
      <c r="FZ415">
        <f ca="1"/>
      </c>
      <c r="GA415">
        <f ca="1"/>
      </c>
      <c r="GM415" s="7"/>
    </row>
    <row r="416" spans="41:195" x14ac:dyDescent="0.55000000000000004">
      <c r="AO416">
        <f ca="1"/>
      </c>
      <c r="AP416">
        <f ca="1"/>
      </c>
      <c r="AQ416">
        <f ca="1"/>
      </c>
      <c r="AR416">
        <f ca="1"/>
      </c>
      <c r="AS416">
        <f ca="1"/>
      </c>
      <c r="AT416">
        <f ca="1"/>
      </c>
      <c r="AU416">
        <f ca="1"/>
      </c>
      <c r="AV416">
        <f ca="1"/>
      </c>
      <c r="AW416">
        <f ca="1"/>
      </c>
      <c r="AX416">
        <f ca="1"/>
      </c>
      <c r="AY416">
        <f ca="1"/>
      </c>
      <c r="AZ416">
        <f ca="1"/>
      </c>
      <c r="BA416">
        <f ca="1"/>
      </c>
      <c r="BB416">
        <f ca="1"/>
      </c>
      <c r="BC416">
        <f ca="1"/>
      </c>
      <c r="BD416">
        <f ca="1"/>
      </c>
      <c r="BE416">
        <f ca="1"/>
      </c>
      <c r="BF416">
        <f ca="1"/>
      </c>
      <c r="BG416">
        <f ca="1"/>
      </c>
      <c r="BH416">
        <f ca="1"/>
      </c>
      <c r="BI416">
        <f ca="1"/>
      </c>
      <c r="BJ416">
        <f ca="1"/>
      </c>
      <c r="BK416">
        <f ca="1"/>
      </c>
      <c r="BL416">
        <f ca="1"/>
      </c>
      <c r="BM416">
        <f ca="1"/>
      </c>
      <c r="BN416">
        <f ca="1"/>
      </c>
      <c r="BO416">
        <f ca="1"/>
      </c>
      <c r="BP416">
        <f ca="1"/>
      </c>
      <c r="BQ416">
        <f ca="1"/>
      </c>
      <c r="BR416">
        <f ca="1"/>
      </c>
      <c r="BS416">
        <f ca="1"/>
      </c>
      <c r="BT416">
        <f ca="1"/>
      </c>
      <c r="BU416">
        <f ca="1"/>
      </c>
      <c r="BV416">
        <f ca="1"/>
      </c>
      <c r="BW416">
        <f ca="1"/>
      </c>
      <c r="BX416">
        <f ca="1"/>
      </c>
      <c r="BY416">
        <f ca="1"/>
      </c>
      <c r="BZ416">
        <f ca="1"/>
      </c>
      <c r="CA416">
        <f ca="1"/>
      </c>
      <c r="CB416">
        <f ca="1"/>
      </c>
      <c r="CC416">
        <f ca="1"/>
      </c>
      <c r="CD416">
        <f ca="1"/>
      </c>
      <c r="CE416">
        <f ca="1"/>
      </c>
      <c r="CF416">
        <f ca="1"/>
      </c>
      <c r="CG416">
        <f ca="1"/>
      </c>
      <c r="CH416">
        <f ca="1"/>
      </c>
      <c r="CI416">
        <f ca="1"/>
      </c>
      <c r="CK416">
        <f ca="1"/>
      </c>
      <c r="CL416">
        <f ca="1"/>
      </c>
      <c r="CM416">
        <f ca="1"/>
      </c>
      <c r="CN416">
        <f ca="1"/>
      </c>
      <c r="CO416">
        <f ca="1"/>
      </c>
      <c r="CP416">
        <f ca="1"/>
      </c>
      <c r="CQ416">
        <f ca="1"/>
      </c>
      <c r="CR416">
        <f ca="1"/>
      </c>
      <c r="CS416">
        <f ca="1"/>
      </c>
      <c r="CT416">
        <f ca="1"/>
      </c>
      <c r="CU416">
        <f ca="1"/>
      </c>
      <c r="CV416">
        <f ca="1"/>
      </c>
      <c r="CW416">
        <f ca="1"/>
      </c>
      <c r="CX416">
        <f ca="1"/>
      </c>
      <c r="CY416">
        <f ca="1"/>
      </c>
      <c r="CZ416">
        <f ca="1"/>
      </c>
      <c r="DA416">
        <f ca="1"/>
      </c>
      <c r="DB416">
        <f ca="1"/>
      </c>
      <c r="DC416">
        <f ca="1"/>
      </c>
      <c r="DD416">
        <f ca="1"/>
      </c>
      <c r="DE416">
        <f ca="1"/>
      </c>
      <c r="DF416">
        <f ca="1"/>
      </c>
      <c r="DG416">
        <f ca="1"/>
      </c>
      <c r="DH416">
        <f ca="1"/>
      </c>
      <c r="DI416">
        <f ca="1"/>
      </c>
      <c r="DJ416">
        <f ca="1"/>
      </c>
      <c r="DK416">
        <f ca="1"/>
      </c>
      <c r="DL416">
        <f ca="1"/>
      </c>
      <c r="DM416">
        <f ca="1"/>
      </c>
      <c r="DN416">
        <f ca="1"/>
      </c>
      <c r="DO416">
        <f ca="1"/>
      </c>
      <c r="DP416">
        <f ca="1"/>
      </c>
      <c r="DQ416">
        <f ca="1"/>
      </c>
      <c r="DR416">
        <f ca="1"/>
      </c>
      <c r="DS416">
        <f ca="1"/>
      </c>
      <c r="DT416">
        <f ca="1"/>
      </c>
      <c r="DU416">
        <f ca="1"/>
      </c>
      <c r="DV416">
        <f ca="1"/>
      </c>
      <c r="DW416">
        <f ca="1"/>
      </c>
      <c r="DX416">
        <f ca="1"/>
      </c>
      <c r="DY416">
        <f ca="1"/>
      </c>
      <c r="DZ416">
        <f ca="1"/>
      </c>
      <c r="EA416">
        <f ca="1"/>
      </c>
      <c r="EB416">
        <f ca="1"/>
      </c>
      <c r="EC416">
        <f ca="1"/>
      </c>
      <c r="ED416">
        <f ca="1"/>
      </c>
      <c r="EE416">
        <f ca="1"/>
      </c>
      <c r="EG416">
        <f ca="1"/>
      </c>
      <c r="EH416">
        <f ca="1"/>
      </c>
      <c r="EI416">
        <f ca="1"/>
      </c>
      <c r="EJ416">
        <f ca="1"/>
      </c>
      <c r="EK416">
        <f ca="1"/>
      </c>
      <c r="EL416">
        <f ca="1"/>
      </c>
      <c r="EM416">
        <f ca="1"/>
      </c>
      <c r="EN416">
        <f ca="1"/>
      </c>
      <c r="EO416">
        <f ca="1"/>
      </c>
      <c r="EP416">
        <f ca="1"/>
      </c>
      <c r="EQ416">
        <f ca="1"/>
      </c>
      <c r="ER416">
        <f ca="1"/>
      </c>
      <c r="ES416">
        <f ca="1"/>
      </c>
      <c r="ET416">
        <f ca="1"/>
      </c>
      <c r="EU416">
        <f ca="1"/>
      </c>
      <c r="EV416">
        <f ca="1"/>
      </c>
      <c r="EW416">
        <f ca="1"/>
      </c>
      <c r="EX416">
        <f ca="1"/>
      </c>
      <c r="EY416">
        <f ca="1"/>
      </c>
      <c r="EZ416">
        <f ca="1"/>
      </c>
      <c r="FA416">
        <f ca="1"/>
      </c>
      <c r="FB416">
        <f ca="1"/>
      </c>
      <c r="FC416">
        <f ca="1"/>
      </c>
      <c r="FD416">
        <f ca="1"/>
      </c>
      <c r="FE416">
        <f ca="1"/>
      </c>
      <c r="FF416">
        <f ca="1"/>
      </c>
      <c r="FG416">
        <f ca="1"/>
      </c>
      <c r="FH416">
        <f ca="1"/>
      </c>
      <c r="FI416">
        <f ca="1"/>
      </c>
      <c r="FJ416">
        <f ca="1"/>
      </c>
      <c r="FK416">
        <f ca="1"/>
      </c>
      <c r="FL416">
        <f ca="1"/>
      </c>
      <c r="FM416">
        <f ca="1"/>
      </c>
      <c r="FN416">
        <f ca="1"/>
      </c>
      <c r="FO416">
        <f ca="1"/>
      </c>
      <c r="FP416">
        <f ca="1"/>
      </c>
      <c r="FQ416">
        <f ca="1"/>
      </c>
      <c r="FR416">
        <f ca="1"/>
      </c>
      <c r="FS416">
        <f ca="1"/>
      </c>
      <c r="FT416">
        <f ca="1"/>
      </c>
      <c r="FU416">
        <f ca="1"/>
      </c>
      <c r="FV416">
        <f ca="1"/>
      </c>
      <c r="FW416">
        <f ca="1"/>
      </c>
      <c r="FX416">
        <f ca="1"/>
      </c>
      <c r="FY416">
        <f ca="1"/>
      </c>
      <c r="FZ416">
        <f ca="1"/>
      </c>
      <c r="GA416">
        <f ca="1"/>
      </c>
      <c r="GM416" s="7"/>
    </row>
    <row r="417" spans="41:195" x14ac:dyDescent="0.55000000000000004">
      <c r="AO417">
        <f ca="1"/>
      </c>
      <c r="AP417">
        <f ca="1"/>
      </c>
      <c r="AQ417">
        <f ca="1"/>
      </c>
      <c r="AR417">
        <f ca="1"/>
      </c>
      <c r="AS417">
        <f ca="1"/>
      </c>
      <c r="AT417">
        <f ca="1"/>
      </c>
      <c r="AU417">
        <f ca="1"/>
      </c>
      <c r="AV417">
        <f ca="1"/>
      </c>
      <c r="AW417">
        <f ca="1"/>
      </c>
      <c r="AX417">
        <f ca="1"/>
      </c>
      <c r="AY417">
        <f ca="1"/>
      </c>
      <c r="AZ417">
        <f ca="1"/>
      </c>
      <c r="BA417">
        <f ca="1"/>
      </c>
      <c r="BB417">
        <f ca="1"/>
      </c>
      <c r="BC417">
        <f ca="1"/>
      </c>
      <c r="BD417">
        <f ca="1"/>
      </c>
      <c r="BE417">
        <f ca="1"/>
      </c>
      <c r="BF417">
        <f ca="1"/>
      </c>
      <c r="BG417">
        <f ca="1"/>
      </c>
      <c r="BH417">
        <f ca="1"/>
      </c>
      <c r="BI417">
        <f ca="1"/>
      </c>
      <c r="BJ417">
        <f ca="1"/>
      </c>
      <c r="BK417">
        <f ca="1"/>
      </c>
      <c r="BL417">
        <f ca="1"/>
      </c>
      <c r="BM417">
        <f ca="1"/>
      </c>
      <c r="BN417">
        <f ca="1"/>
      </c>
      <c r="BO417">
        <f ca="1"/>
      </c>
      <c r="BP417">
        <f ca="1"/>
      </c>
      <c r="BQ417">
        <f ca="1"/>
      </c>
      <c r="BR417">
        <f ca="1"/>
      </c>
      <c r="BS417">
        <f ca="1"/>
      </c>
      <c r="BT417">
        <f ca="1"/>
      </c>
      <c r="BU417">
        <f ca="1"/>
      </c>
      <c r="BV417">
        <f ca="1"/>
      </c>
      <c r="BW417">
        <f ca="1"/>
      </c>
      <c r="BX417">
        <f ca="1"/>
      </c>
      <c r="BY417">
        <f ca="1"/>
      </c>
      <c r="BZ417">
        <f ca="1"/>
      </c>
      <c r="CA417">
        <f ca="1"/>
      </c>
      <c r="CB417">
        <f ca="1"/>
      </c>
      <c r="CC417">
        <f ca="1"/>
      </c>
      <c r="CD417">
        <f ca="1"/>
      </c>
      <c r="CE417">
        <f ca="1"/>
      </c>
      <c r="CF417">
        <f ca="1"/>
      </c>
      <c r="CG417">
        <f ca="1"/>
      </c>
      <c r="CH417">
        <f ca="1"/>
      </c>
      <c r="CI417">
        <f ca="1"/>
      </c>
      <c r="CK417">
        <f ca="1"/>
      </c>
      <c r="CL417">
        <f ca="1"/>
      </c>
      <c r="CM417">
        <f ca="1"/>
      </c>
      <c r="CN417">
        <f ca="1"/>
      </c>
      <c r="CO417">
        <f ca="1"/>
      </c>
      <c r="CP417">
        <f ca="1"/>
      </c>
      <c r="CQ417">
        <f ca="1"/>
      </c>
      <c r="CR417">
        <f ca="1"/>
      </c>
      <c r="CS417">
        <f ca="1"/>
      </c>
      <c r="CT417">
        <f ca="1"/>
      </c>
      <c r="CU417">
        <f ca="1"/>
      </c>
      <c r="CV417">
        <f ca="1"/>
      </c>
      <c r="CW417">
        <f ca="1"/>
      </c>
      <c r="CX417">
        <f ca="1"/>
      </c>
      <c r="CY417">
        <f ca="1"/>
      </c>
      <c r="CZ417">
        <f ca="1"/>
      </c>
      <c r="DA417">
        <f ca="1"/>
      </c>
      <c r="DB417">
        <f ca="1"/>
      </c>
      <c r="DC417">
        <f ca="1"/>
      </c>
      <c r="DD417">
        <f ca="1"/>
      </c>
      <c r="DE417">
        <f ca="1"/>
      </c>
      <c r="DF417">
        <f ca="1"/>
      </c>
      <c r="DG417">
        <f ca="1"/>
      </c>
      <c r="DH417">
        <f ca="1"/>
      </c>
      <c r="DI417">
        <f ca="1"/>
      </c>
      <c r="DJ417">
        <f ca="1"/>
      </c>
      <c r="DK417">
        <f ca="1"/>
      </c>
      <c r="DL417">
        <f ca="1"/>
      </c>
      <c r="DM417">
        <f ca="1"/>
      </c>
      <c r="DN417">
        <f ca="1"/>
      </c>
      <c r="DO417">
        <f ca="1"/>
      </c>
      <c r="DP417">
        <f ca="1"/>
      </c>
      <c r="DQ417">
        <f ca="1"/>
      </c>
      <c r="DR417">
        <f ca="1"/>
      </c>
      <c r="DS417">
        <f ca="1"/>
      </c>
      <c r="DT417">
        <f ca="1"/>
      </c>
      <c r="DU417">
        <f ca="1"/>
      </c>
      <c r="DV417">
        <f ca="1"/>
      </c>
      <c r="DW417">
        <f ca="1"/>
      </c>
      <c r="DX417">
        <f ca="1"/>
      </c>
      <c r="DY417">
        <f ca="1"/>
      </c>
      <c r="DZ417">
        <f ca="1"/>
      </c>
      <c r="EA417">
        <f ca="1"/>
      </c>
      <c r="EB417">
        <f ca="1"/>
      </c>
      <c r="EC417">
        <f ca="1"/>
      </c>
      <c r="ED417">
        <f ca="1"/>
      </c>
      <c r="EE417">
        <f ca="1"/>
      </c>
      <c r="EG417">
        <f ca="1"/>
      </c>
      <c r="EH417">
        <f ca="1"/>
      </c>
      <c r="EI417">
        <f ca="1"/>
      </c>
      <c r="EJ417">
        <f ca="1"/>
      </c>
      <c r="EK417">
        <f ca="1"/>
      </c>
      <c r="EL417">
        <f ca="1"/>
      </c>
      <c r="EM417">
        <f ca="1"/>
      </c>
      <c r="EN417">
        <f ca="1"/>
      </c>
      <c r="EO417">
        <f ca="1"/>
      </c>
      <c r="EP417">
        <f ca="1"/>
      </c>
      <c r="EQ417">
        <f ca="1"/>
      </c>
      <c r="ER417">
        <f ca="1"/>
      </c>
      <c r="ES417">
        <f ca="1"/>
      </c>
      <c r="ET417">
        <f ca="1"/>
      </c>
      <c r="EU417">
        <f ca="1"/>
      </c>
      <c r="EV417">
        <f ca="1"/>
      </c>
      <c r="EW417">
        <f ca="1"/>
      </c>
      <c r="EX417">
        <f ca="1"/>
      </c>
      <c r="EY417">
        <f ca="1"/>
      </c>
      <c r="EZ417">
        <f ca="1"/>
      </c>
      <c r="FA417">
        <f ca="1"/>
      </c>
      <c r="FB417">
        <f ca="1"/>
      </c>
      <c r="FC417">
        <f ca="1"/>
      </c>
      <c r="FD417">
        <f ca="1"/>
      </c>
      <c r="FE417">
        <f ca="1"/>
      </c>
      <c r="FF417">
        <f ca="1"/>
      </c>
      <c r="FG417">
        <f ca="1"/>
      </c>
      <c r="FH417">
        <f ca="1"/>
      </c>
      <c r="FI417">
        <f ca="1"/>
      </c>
      <c r="FJ417">
        <f ca="1"/>
      </c>
      <c r="FK417">
        <f ca="1"/>
      </c>
      <c r="FL417">
        <f ca="1"/>
      </c>
      <c r="FM417">
        <f ca="1"/>
      </c>
      <c r="FN417">
        <f ca="1"/>
      </c>
      <c r="FO417">
        <f ca="1"/>
      </c>
      <c r="FP417">
        <f ca="1"/>
      </c>
      <c r="FQ417">
        <f ca="1"/>
      </c>
      <c r="FR417">
        <f ca="1"/>
      </c>
      <c r="FS417">
        <f ca="1"/>
      </c>
      <c r="FT417">
        <f ca="1"/>
      </c>
      <c r="FU417">
        <f ca="1"/>
      </c>
      <c r="FV417">
        <f ca="1"/>
      </c>
      <c r="FW417">
        <f ca="1"/>
      </c>
      <c r="FX417">
        <f ca="1"/>
      </c>
      <c r="FY417">
        <f ca="1"/>
      </c>
      <c r="FZ417">
        <f ca="1"/>
      </c>
      <c r="GA417">
        <f ca="1"/>
      </c>
      <c r="GM417" s="7"/>
    </row>
    <row r="418" spans="41:195" x14ac:dyDescent="0.55000000000000004">
      <c r="AO418">
        <f ca="1"/>
      </c>
      <c r="AP418">
        <f ca="1"/>
      </c>
      <c r="AQ418">
        <f ca="1"/>
      </c>
      <c r="AR418">
        <f ca="1"/>
      </c>
      <c r="AS418">
        <f ca="1"/>
      </c>
      <c r="AT418">
        <f ca="1"/>
      </c>
      <c r="AU418">
        <f ca="1"/>
      </c>
      <c r="AV418">
        <f ca="1"/>
      </c>
      <c r="AW418">
        <f ca="1"/>
      </c>
      <c r="AX418">
        <f ca="1"/>
      </c>
      <c r="AY418">
        <f ca="1"/>
      </c>
      <c r="AZ418">
        <f ca="1"/>
      </c>
      <c r="BA418">
        <f ca="1"/>
      </c>
      <c r="BB418">
        <f ca="1"/>
      </c>
      <c r="BC418">
        <f ca="1"/>
      </c>
      <c r="BD418">
        <f ca="1"/>
      </c>
      <c r="BE418">
        <f ca="1"/>
      </c>
      <c r="BF418">
        <f ca="1"/>
      </c>
      <c r="BG418">
        <f ca="1"/>
      </c>
      <c r="BH418">
        <f ca="1"/>
      </c>
      <c r="BI418">
        <f ca="1"/>
      </c>
      <c r="BJ418">
        <f ca="1"/>
      </c>
      <c r="BK418">
        <f ca="1"/>
      </c>
      <c r="BL418">
        <f ca="1"/>
      </c>
      <c r="BM418">
        <f ca="1"/>
      </c>
      <c r="BN418">
        <f ca="1"/>
      </c>
      <c r="BO418">
        <f ca="1"/>
      </c>
      <c r="BP418">
        <f ca="1"/>
      </c>
      <c r="BQ418">
        <f ca="1"/>
      </c>
      <c r="BR418">
        <f ca="1"/>
      </c>
      <c r="BS418">
        <f ca="1"/>
      </c>
      <c r="BT418">
        <f ca="1"/>
      </c>
      <c r="BU418">
        <f ca="1"/>
      </c>
      <c r="BV418">
        <f ca="1"/>
      </c>
      <c r="BW418">
        <f ca="1"/>
      </c>
      <c r="BX418">
        <f ca="1"/>
      </c>
      <c r="BY418">
        <f ca="1"/>
      </c>
      <c r="BZ418">
        <f ca="1"/>
      </c>
      <c r="CA418">
        <f ca="1"/>
      </c>
      <c r="CB418">
        <f ca="1"/>
      </c>
      <c r="CC418">
        <f ca="1"/>
      </c>
      <c r="CD418">
        <f ca="1"/>
      </c>
      <c r="CE418">
        <f ca="1"/>
      </c>
      <c r="CF418">
        <f ca="1"/>
      </c>
      <c r="CG418">
        <f ca="1"/>
      </c>
      <c r="CH418">
        <f ca="1"/>
      </c>
      <c r="CI418">
        <f ca="1"/>
      </c>
      <c r="CK418">
        <f ca="1"/>
      </c>
      <c r="CL418">
        <f ca="1"/>
      </c>
      <c r="CM418">
        <f ca="1"/>
      </c>
      <c r="CN418">
        <f ca="1"/>
      </c>
      <c r="CO418">
        <f ca="1"/>
      </c>
      <c r="CP418">
        <f ca="1"/>
      </c>
      <c r="CQ418">
        <f ca="1"/>
      </c>
      <c r="CR418">
        <f ca="1"/>
      </c>
      <c r="CS418">
        <f ca="1"/>
      </c>
      <c r="CT418">
        <f ca="1"/>
      </c>
      <c r="CU418">
        <f ca="1"/>
      </c>
      <c r="CV418">
        <f ca="1"/>
      </c>
      <c r="CW418">
        <f ca="1"/>
      </c>
      <c r="CX418">
        <f ca="1"/>
      </c>
      <c r="CY418">
        <f ca="1"/>
      </c>
      <c r="CZ418">
        <f ca="1"/>
      </c>
      <c r="DA418">
        <f ca="1"/>
      </c>
      <c r="DB418">
        <f ca="1"/>
      </c>
      <c r="DC418">
        <f ca="1"/>
      </c>
      <c r="DD418">
        <f ca="1"/>
      </c>
      <c r="DE418">
        <f ca="1"/>
      </c>
      <c r="DF418">
        <f ca="1"/>
      </c>
      <c r="DG418">
        <f ca="1"/>
      </c>
      <c r="DH418">
        <f ca="1"/>
      </c>
      <c r="DI418">
        <f ca="1"/>
      </c>
      <c r="DJ418">
        <f ca="1"/>
      </c>
      <c r="DK418">
        <f ca="1"/>
      </c>
      <c r="DL418">
        <f ca="1"/>
      </c>
      <c r="DM418">
        <f ca="1"/>
      </c>
      <c r="DN418">
        <f ca="1"/>
      </c>
      <c r="DO418">
        <f ca="1"/>
      </c>
      <c r="DP418">
        <f ca="1"/>
      </c>
      <c r="DQ418">
        <f ca="1"/>
      </c>
      <c r="DR418">
        <f ca="1"/>
      </c>
      <c r="DS418">
        <f ca="1"/>
      </c>
      <c r="DT418">
        <f ca="1"/>
      </c>
      <c r="DU418">
        <f ca="1"/>
      </c>
      <c r="DV418">
        <f ca="1"/>
      </c>
      <c r="DW418">
        <f ca="1"/>
      </c>
      <c r="DX418">
        <f ca="1"/>
      </c>
      <c r="DY418">
        <f ca="1"/>
      </c>
      <c r="DZ418">
        <f ca="1"/>
      </c>
      <c r="EA418">
        <f ca="1"/>
      </c>
      <c r="EB418">
        <f ca="1"/>
      </c>
      <c r="EC418">
        <f ca="1"/>
      </c>
      <c r="ED418">
        <f ca="1"/>
      </c>
      <c r="EE418">
        <f ca="1"/>
      </c>
      <c r="EG418">
        <f ca="1"/>
      </c>
      <c r="EH418">
        <f ca="1"/>
      </c>
      <c r="EI418">
        <f ca="1"/>
      </c>
      <c r="EJ418">
        <f ca="1"/>
      </c>
      <c r="EK418">
        <f ca="1"/>
      </c>
      <c r="EL418">
        <f ca="1"/>
      </c>
      <c r="EM418">
        <f ca="1"/>
      </c>
      <c r="EN418">
        <f ca="1"/>
      </c>
      <c r="EO418">
        <f ca="1"/>
      </c>
      <c r="EP418">
        <f ca="1"/>
      </c>
      <c r="EQ418">
        <f ca="1"/>
      </c>
      <c r="ER418">
        <f ca="1"/>
      </c>
      <c r="ES418">
        <f ca="1"/>
      </c>
      <c r="ET418">
        <f ca="1"/>
      </c>
      <c r="EU418">
        <f ca="1"/>
      </c>
      <c r="EV418">
        <f ca="1"/>
      </c>
      <c r="EW418">
        <f ca="1"/>
      </c>
      <c r="EX418">
        <f ca="1"/>
      </c>
      <c r="EY418">
        <f ca="1"/>
      </c>
      <c r="EZ418">
        <f ca="1"/>
      </c>
      <c r="FA418">
        <f ca="1"/>
      </c>
      <c r="FB418">
        <f ca="1"/>
      </c>
      <c r="FC418">
        <f ca="1"/>
      </c>
      <c r="FD418">
        <f ca="1"/>
      </c>
      <c r="FE418">
        <f ca="1"/>
      </c>
      <c r="FF418">
        <f ca="1"/>
      </c>
      <c r="FG418">
        <f ca="1"/>
      </c>
      <c r="FH418">
        <f ca="1"/>
      </c>
      <c r="FI418">
        <f ca="1"/>
      </c>
      <c r="FJ418">
        <f ca="1"/>
      </c>
      <c r="FK418">
        <f ca="1"/>
      </c>
      <c r="FL418">
        <f ca="1"/>
      </c>
      <c r="FM418">
        <f ca="1"/>
      </c>
      <c r="FN418">
        <f ca="1"/>
      </c>
      <c r="FO418">
        <f ca="1"/>
      </c>
      <c r="FP418">
        <f ca="1"/>
      </c>
      <c r="FQ418">
        <f ca="1"/>
      </c>
      <c r="FR418">
        <f ca="1"/>
      </c>
      <c r="FS418">
        <f ca="1"/>
      </c>
      <c r="FT418">
        <f ca="1"/>
      </c>
      <c r="FU418">
        <f ca="1"/>
      </c>
      <c r="FV418">
        <f ca="1"/>
      </c>
      <c r="FW418">
        <f ca="1"/>
      </c>
      <c r="FX418">
        <f ca="1"/>
      </c>
      <c r="FY418">
        <f ca="1"/>
      </c>
      <c r="FZ418">
        <f ca="1"/>
      </c>
      <c r="GA418">
        <f ca="1"/>
      </c>
      <c r="GM418" s="7"/>
    </row>
    <row r="419" spans="41:195" x14ac:dyDescent="0.55000000000000004">
      <c r="AO419">
        <f ca="1"/>
      </c>
      <c r="AP419">
        <f ca="1"/>
      </c>
      <c r="AQ419">
        <f ca="1"/>
      </c>
      <c r="AR419">
        <f ca="1"/>
      </c>
      <c r="AS419">
        <f ca="1"/>
      </c>
      <c r="AT419">
        <f ca="1"/>
      </c>
      <c r="AU419">
        <f ca="1"/>
      </c>
      <c r="AV419">
        <f ca="1"/>
      </c>
      <c r="AW419">
        <f ca="1"/>
      </c>
      <c r="AX419">
        <f ca="1"/>
      </c>
      <c r="AY419">
        <f ca="1"/>
      </c>
      <c r="AZ419">
        <f ca="1"/>
      </c>
      <c r="BA419">
        <f ca="1"/>
      </c>
      <c r="BB419">
        <f ca="1"/>
      </c>
      <c r="BC419">
        <f ca="1"/>
      </c>
      <c r="BD419">
        <f ca="1"/>
      </c>
      <c r="BE419">
        <f ca="1"/>
      </c>
      <c r="BF419">
        <f ca="1"/>
      </c>
      <c r="BG419">
        <f ca="1"/>
      </c>
      <c r="BH419">
        <f ca="1"/>
      </c>
      <c r="BI419">
        <f ca="1"/>
      </c>
      <c r="BJ419">
        <f ca="1"/>
      </c>
      <c r="BK419">
        <f ca="1"/>
      </c>
      <c r="BL419">
        <f ca="1"/>
      </c>
      <c r="BM419">
        <f ca="1"/>
      </c>
      <c r="BN419">
        <f ca="1"/>
      </c>
      <c r="BO419">
        <f ca="1"/>
      </c>
      <c r="BP419">
        <f ca="1"/>
      </c>
      <c r="BQ419">
        <f ca="1"/>
      </c>
      <c r="BR419">
        <f ca="1"/>
      </c>
      <c r="BS419">
        <f ca="1"/>
      </c>
      <c r="BT419">
        <f ca="1"/>
      </c>
      <c r="BU419">
        <f ca="1"/>
      </c>
      <c r="BV419">
        <f ca="1"/>
      </c>
      <c r="BW419">
        <f ca="1"/>
      </c>
      <c r="BX419">
        <f ca="1"/>
      </c>
      <c r="BY419">
        <f ca="1"/>
      </c>
      <c r="BZ419">
        <f ca="1"/>
      </c>
      <c r="CA419">
        <f ca="1"/>
      </c>
      <c r="CB419">
        <f ca="1"/>
      </c>
      <c r="CC419">
        <f ca="1"/>
      </c>
      <c r="CD419">
        <f ca="1"/>
      </c>
      <c r="CE419">
        <f ca="1"/>
      </c>
      <c r="CF419">
        <f ca="1"/>
      </c>
      <c r="CG419">
        <f ca="1"/>
      </c>
      <c r="CH419">
        <f ca="1"/>
      </c>
      <c r="CI419">
        <f ca="1"/>
      </c>
      <c r="CK419">
        <f ca="1"/>
      </c>
      <c r="CL419">
        <f ca="1"/>
      </c>
      <c r="CM419">
        <f ca="1"/>
      </c>
      <c r="CN419">
        <f ca="1"/>
      </c>
      <c r="CO419">
        <f ca="1"/>
      </c>
      <c r="CP419">
        <f ca="1"/>
      </c>
      <c r="CQ419">
        <f ca="1"/>
      </c>
      <c r="CR419">
        <f ca="1"/>
      </c>
      <c r="CS419">
        <f ca="1"/>
      </c>
      <c r="CT419">
        <f ca="1"/>
      </c>
      <c r="CU419">
        <f ca="1"/>
      </c>
      <c r="CV419">
        <f ca="1"/>
      </c>
      <c r="CW419">
        <f ca="1"/>
      </c>
      <c r="CX419">
        <f ca="1"/>
      </c>
      <c r="CY419">
        <f ca="1"/>
      </c>
      <c r="CZ419">
        <f ca="1"/>
      </c>
      <c r="DA419">
        <f ca="1"/>
      </c>
      <c r="DB419">
        <f ca="1"/>
      </c>
      <c r="DC419">
        <f ca="1"/>
      </c>
      <c r="DD419">
        <f ca="1"/>
      </c>
      <c r="DE419">
        <f ca="1"/>
      </c>
      <c r="DF419">
        <f ca="1"/>
      </c>
      <c r="DG419">
        <f ca="1"/>
      </c>
      <c r="DH419">
        <f ca="1"/>
      </c>
      <c r="DI419">
        <f ca="1"/>
      </c>
      <c r="DJ419">
        <f ca="1"/>
      </c>
      <c r="DK419">
        <f ca="1"/>
      </c>
      <c r="DL419">
        <f ca="1"/>
      </c>
      <c r="DM419">
        <f ca="1"/>
      </c>
      <c r="DN419">
        <f ca="1"/>
      </c>
      <c r="DO419">
        <f ca="1"/>
      </c>
      <c r="DP419">
        <f ca="1"/>
      </c>
      <c r="DQ419">
        <f ca="1"/>
      </c>
      <c r="DR419">
        <f ca="1"/>
      </c>
      <c r="DS419">
        <f ca="1"/>
      </c>
      <c r="DT419">
        <f ca="1"/>
      </c>
      <c r="DU419">
        <f ca="1"/>
      </c>
      <c r="DV419">
        <f ca="1"/>
      </c>
      <c r="DW419">
        <f ca="1"/>
      </c>
      <c r="DX419">
        <f ca="1"/>
      </c>
      <c r="DY419">
        <f ca="1"/>
      </c>
      <c r="DZ419">
        <f ca="1"/>
      </c>
      <c r="EA419">
        <f ca="1"/>
      </c>
      <c r="EB419">
        <f ca="1"/>
      </c>
      <c r="EC419">
        <f ca="1"/>
      </c>
      <c r="ED419">
        <f ca="1"/>
      </c>
      <c r="EE419">
        <f ca="1"/>
      </c>
      <c r="EG419">
        <f ca="1"/>
      </c>
      <c r="EH419">
        <f ca="1"/>
      </c>
      <c r="EI419">
        <f ca="1"/>
      </c>
      <c r="EJ419">
        <f ca="1"/>
      </c>
      <c r="EK419">
        <f ca="1"/>
      </c>
      <c r="EL419">
        <f ca="1"/>
      </c>
      <c r="EM419">
        <f ca="1"/>
      </c>
      <c r="EN419">
        <f ca="1"/>
      </c>
      <c r="EO419">
        <f ca="1"/>
      </c>
      <c r="EP419">
        <f ca="1"/>
      </c>
      <c r="EQ419">
        <f ca="1"/>
      </c>
      <c r="ER419">
        <f ca="1"/>
      </c>
      <c r="ES419">
        <f ca="1"/>
      </c>
      <c r="ET419">
        <f ca="1"/>
      </c>
      <c r="EU419">
        <f ca="1"/>
      </c>
      <c r="EV419">
        <f ca="1"/>
      </c>
      <c r="EW419">
        <f ca="1"/>
      </c>
      <c r="EX419">
        <f ca="1"/>
      </c>
      <c r="EY419">
        <f ca="1"/>
      </c>
      <c r="EZ419">
        <f ca="1"/>
      </c>
      <c r="FA419">
        <f ca="1"/>
      </c>
      <c r="FB419">
        <f ca="1"/>
      </c>
      <c r="FC419">
        <f ca="1"/>
      </c>
      <c r="FD419">
        <f ca="1"/>
      </c>
      <c r="FE419">
        <f ca="1"/>
      </c>
      <c r="FF419">
        <f ca="1"/>
      </c>
      <c r="FG419">
        <f ca="1"/>
      </c>
      <c r="FH419">
        <f ca="1"/>
      </c>
      <c r="FI419">
        <f ca="1"/>
      </c>
      <c r="FJ419">
        <f ca="1"/>
      </c>
      <c r="FK419">
        <f ca="1"/>
      </c>
      <c r="FL419">
        <f ca="1"/>
      </c>
      <c r="FM419">
        <f ca="1"/>
      </c>
      <c r="FN419">
        <f ca="1"/>
      </c>
      <c r="FO419">
        <f ca="1"/>
      </c>
      <c r="FP419">
        <f ca="1"/>
      </c>
      <c r="FQ419">
        <f ca="1"/>
      </c>
      <c r="FR419">
        <f ca="1"/>
      </c>
      <c r="FS419">
        <f ca="1"/>
      </c>
      <c r="FT419">
        <f ca="1"/>
      </c>
      <c r="FU419">
        <f ca="1"/>
      </c>
      <c r="FV419">
        <f ca="1"/>
      </c>
      <c r="FW419">
        <f ca="1"/>
      </c>
      <c r="FX419">
        <f ca="1"/>
      </c>
      <c r="FY419">
        <f ca="1"/>
      </c>
      <c r="FZ419">
        <f ca="1"/>
      </c>
      <c r="GA419">
        <f ca="1"/>
      </c>
      <c r="GM419" s="7"/>
    </row>
    <row r="420" spans="41:195" x14ac:dyDescent="0.55000000000000004">
      <c r="AO420">
        <f ca="1"/>
      </c>
      <c r="AP420">
        <f ca="1"/>
      </c>
      <c r="AQ420">
        <f ca="1"/>
      </c>
      <c r="AR420">
        <f ca="1"/>
      </c>
      <c r="AS420">
        <f ca="1"/>
      </c>
      <c r="AT420">
        <f ca="1"/>
      </c>
      <c r="AU420">
        <f ca="1"/>
      </c>
      <c r="AV420">
        <f ca="1"/>
      </c>
      <c r="AW420">
        <f ca="1"/>
      </c>
      <c r="AX420">
        <f ca="1"/>
      </c>
      <c r="AY420">
        <f ca="1"/>
      </c>
      <c r="AZ420">
        <f ca="1"/>
      </c>
      <c r="BA420">
        <f ca="1"/>
      </c>
      <c r="BB420">
        <f ca="1"/>
      </c>
      <c r="BC420">
        <f ca="1"/>
      </c>
      <c r="BD420">
        <f ca="1"/>
      </c>
      <c r="BE420">
        <f ca="1"/>
      </c>
      <c r="BF420">
        <f ca="1"/>
      </c>
      <c r="BG420">
        <f ca="1"/>
      </c>
      <c r="BH420">
        <f ca="1"/>
      </c>
      <c r="BI420">
        <f ca="1"/>
      </c>
      <c r="BJ420">
        <f ca="1"/>
      </c>
      <c r="BK420">
        <f ca="1"/>
      </c>
      <c r="BL420">
        <f ca="1"/>
      </c>
      <c r="BM420">
        <f ca="1"/>
      </c>
      <c r="BN420">
        <f ca="1"/>
      </c>
      <c r="BO420">
        <f ca="1"/>
      </c>
      <c r="BP420">
        <f ca="1"/>
      </c>
      <c r="BQ420">
        <f ca="1"/>
      </c>
      <c r="BR420">
        <f ca="1"/>
      </c>
      <c r="BS420">
        <f ca="1"/>
      </c>
      <c r="BT420">
        <f ca="1"/>
      </c>
      <c r="BU420">
        <f ca="1"/>
      </c>
      <c r="BV420">
        <f ca="1"/>
      </c>
      <c r="BW420">
        <f ca="1"/>
      </c>
      <c r="BX420">
        <f ca="1"/>
      </c>
      <c r="BY420">
        <f ca="1"/>
      </c>
      <c r="BZ420">
        <f ca="1"/>
      </c>
      <c r="CA420">
        <f ca="1"/>
      </c>
      <c r="CB420">
        <f ca="1"/>
      </c>
      <c r="CC420">
        <f ca="1"/>
      </c>
      <c r="CD420">
        <f ca="1"/>
      </c>
      <c r="CE420">
        <f ca="1"/>
      </c>
      <c r="CF420">
        <f ca="1"/>
      </c>
      <c r="CG420">
        <f ca="1"/>
      </c>
      <c r="CH420">
        <f ca="1"/>
      </c>
      <c r="CI420">
        <f ca="1"/>
      </c>
      <c r="CK420">
        <f ca="1"/>
      </c>
      <c r="CL420">
        <f ca="1"/>
      </c>
      <c r="CM420">
        <f ca="1"/>
      </c>
      <c r="CN420">
        <f ca="1"/>
      </c>
      <c r="CO420">
        <f ca="1"/>
      </c>
      <c r="CP420">
        <f ca="1"/>
      </c>
      <c r="CQ420">
        <f ca="1"/>
      </c>
      <c r="CR420">
        <f ca="1"/>
      </c>
      <c r="CS420">
        <f ca="1"/>
      </c>
      <c r="CT420">
        <f ca="1"/>
      </c>
      <c r="CU420">
        <f ca="1"/>
      </c>
      <c r="CV420">
        <f ca="1"/>
      </c>
      <c r="CW420">
        <f ca="1"/>
      </c>
      <c r="CX420">
        <f ca="1"/>
      </c>
      <c r="CY420">
        <f ca="1"/>
      </c>
      <c r="CZ420">
        <f ca="1"/>
      </c>
      <c r="DA420">
        <f ca="1"/>
      </c>
      <c r="DB420">
        <f ca="1"/>
      </c>
      <c r="DC420">
        <f ca="1"/>
      </c>
      <c r="DD420">
        <f ca="1"/>
      </c>
      <c r="DE420">
        <f ca="1"/>
      </c>
      <c r="DF420">
        <f ca="1"/>
      </c>
      <c r="DG420">
        <f ca="1"/>
      </c>
      <c r="DH420">
        <f ca="1"/>
      </c>
      <c r="DI420">
        <f ca="1"/>
      </c>
      <c r="DJ420">
        <f ca="1"/>
      </c>
      <c r="DK420">
        <f ca="1"/>
      </c>
      <c r="DL420">
        <f ca="1"/>
      </c>
      <c r="DM420">
        <f ca="1"/>
      </c>
      <c r="DN420">
        <f ca="1"/>
      </c>
      <c r="DO420">
        <f ca="1"/>
      </c>
      <c r="DP420">
        <f ca="1"/>
      </c>
      <c r="DQ420">
        <f ca="1"/>
      </c>
      <c r="DR420">
        <f ca="1"/>
      </c>
      <c r="DS420">
        <f ca="1"/>
      </c>
      <c r="DT420">
        <f ca="1"/>
      </c>
      <c r="DU420">
        <f ca="1"/>
      </c>
      <c r="DV420">
        <f ca="1"/>
      </c>
      <c r="DW420">
        <f ca="1"/>
      </c>
      <c r="DX420">
        <f ca="1"/>
      </c>
      <c r="DY420">
        <f ca="1"/>
      </c>
      <c r="DZ420">
        <f ca="1"/>
      </c>
      <c r="EA420">
        <f ca="1"/>
      </c>
      <c r="EB420">
        <f ca="1"/>
      </c>
      <c r="EC420">
        <f ca="1"/>
      </c>
      <c r="ED420">
        <f ca="1"/>
      </c>
      <c r="EE420">
        <f ca="1"/>
      </c>
      <c r="EG420">
        <f ca="1"/>
      </c>
      <c r="EH420">
        <f ca="1"/>
      </c>
      <c r="EI420">
        <f ca="1"/>
      </c>
      <c r="EJ420">
        <f ca="1"/>
      </c>
      <c r="EK420">
        <f ca="1"/>
      </c>
      <c r="EL420">
        <f ca="1"/>
      </c>
      <c r="EM420">
        <f ca="1"/>
      </c>
      <c r="EN420">
        <f ca="1"/>
      </c>
      <c r="EO420">
        <f ca="1"/>
      </c>
      <c r="EP420">
        <f ca="1"/>
      </c>
      <c r="EQ420">
        <f ca="1"/>
      </c>
      <c r="ER420">
        <f ca="1"/>
      </c>
      <c r="ES420">
        <f ca="1"/>
      </c>
      <c r="ET420">
        <f ca="1"/>
      </c>
      <c r="EU420">
        <f ca="1"/>
      </c>
      <c r="EV420">
        <f ca="1"/>
      </c>
      <c r="EW420">
        <f ca="1"/>
      </c>
      <c r="EX420">
        <f ca="1"/>
      </c>
      <c r="EY420">
        <f ca="1"/>
      </c>
      <c r="EZ420">
        <f ca="1"/>
      </c>
      <c r="FA420">
        <f ca="1"/>
      </c>
      <c r="FB420">
        <f ca="1"/>
      </c>
      <c r="FC420">
        <f ca="1"/>
      </c>
      <c r="FD420">
        <f ca="1"/>
      </c>
      <c r="FE420">
        <f ca="1"/>
      </c>
      <c r="FF420">
        <f ca="1"/>
      </c>
      <c r="FG420">
        <f ca="1"/>
      </c>
      <c r="FH420">
        <f ca="1"/>
      </c>
      <c r="FI420">
        <f ca="1"/>
      </c>
      <c r="FJ420">
        <f ca="1"/>
      </c>
      <c r="FK420">
        <f ca="1"/>
      </c>
      <c r="FL420">
        <f ca="1"/>
      </c>
      <c r="FM420">
        <f ca="1"/>
      </c>
      <c r="FN420">
        <f ca="1"/>
      </c>
      <c r="FO420">
        <f ca="1"/>
      </c>
      <c r="FP420">
        <f ca="1"/>
      </c>
      <c r="FQ420">
        <f ca="1"/>
      </c>
      <c r="FR420">
        <f ca="1"/>
      </c>
      <c r="FS420">
        <f ca="1"/>
      </c>
      <c r="FT420">
        <f ca="1"/>
      </c>
      <c r="FU420">
        <f ca="1"/>
      </c>
      <c r="FV420">
        <f ca="1"/>
      </c>
      <c r="FW420">
        <f ca="1"/>
      </c>
      <c r="FX420">
        <f ca="1"/>
      </c>
      <c r="FY420">
        <f ca="1"/>
      </c>
      <c r="FZ420">
        <f ca="1"/>
      </c>
      <c r="GA420">
        <f ca="1"/>
      </c>
      <c r="GM420" s="7"/>
    </row>
    <row r="421" spans="41:195" x14ac:dyDescent="0.55000000000000004">
      <c r="AO421">
        <f ca="1"/>
      </c>
      <c r="AP421">
        <f ca="1"/>
      </c>
      <c r="AQ421">
        <f ca="1"/>
      </c>
      <c r="AR421">
        <f ca="1"/>
      </c>
      <c r="AS421">
        <f ca="1"/>
      </c>
      <c r="AT421">
        <f ca="1"/>
      </c>
      <c r="AU421">
        <f ca="1"/>
      </c>
      <c r="AV421">
        <f ca="1"/>
      </c>
      <c r="AW421">
        <f ca="1"/>
      </c>
      <c r="AX421">
        <f ca="1"/>
      </c>
      <c r="AY421">
        <f ca="1"/>
      </c>
      <c r="AZ421">
        <f ca="1"/>
      </c>
      <c r="BA421">
        <f ca="1"/>
      </c>
      <c r="BB421">
        <f ca="1"/>
      </c>
      <c r="BC421">
        <f ca="1"/>
      </c>
      <c r="BD421">
        <f ca="1"/>
      </c>
      <c r="BE421">
        <f ca="1"/>
      </c>
      <c r="BF421">
        <f ca="1"/>
      </c>
      <c r="BG421">
        <f ca="1"/>
      </c>
      <c r="BH421">
        <f ca="1"/>
      </c>
      <c r="BI421">
        <f ca="1"/>
      </c>
      <c r="BJ421">
        <f ca="1"/>
      </c>
      <c r="BK421">
        <f ca="1"/>
      </c>
      <c r="BL421">
        <f ca="1"/>
      </c>
      <c r="BM421">
        <f ca="1"/>
      </c>
      <c r="BN421">
        <f ca="1"/>
      </c>
      <c r="BO421">
        <f ca="1"/>
      </c>
      <c r="BP421">
        <f ca="1"/>
      </c>
      <c r="BQ421">
        <f ca="1"/>
      </c>
      <c r="BR421">
        <f ca="1"/>
      </c>
      <c r="BS421">
        <f ca="1"/>
      </c>
      <c r="BT421">
        <f ca="1"/>
      </c>
      <c r="BU421">
        <f ca="1"/>
      </c>
      <c r="BV421">
        <f ca="1"/>
      </c>
      <c r="BW421">
        <f ca="1"/>
      </c>
      <c r="BX421">
        <f ca="1"/>
      </c>
      <c r="BY421">
        <f ca="1"/>
      </c>
      <c r="BZ421">
        <f ca="1"/>
      </c>
      <c r="CA421">
        <f ca="1"/>
      </c>
      <c r="CB421">
        <f ca="1"/>
      </c>
      <c r="CC421">
        <f ca="1"/>
      </c>
      <c r="CD421">
        <f ca="1"/>
      </c>
      <c r="CE421">
        <f ca="1"/>
      </c>
      <c r="CF421">
        <f ca="1"/>
      </c>
      <c r="CG421">
        <f ca="1"/>
      </c>
      <c r="CH421">
        <f ca="1"/>
      </c>
      <c r="CI421">
        <f ca="1"/>
      </c>
      <c r="CK421">
        <f ca="1"/>
      </c>
      <c r="CL421">
        <f ca="1"/>
      </c>
      <c r="CM421">
        <f ca="1"/>
      </c>
      <c r="CN421">
        <f ca="1"/>
      </c>
      <c r="CO421">
        <f ca="1"/>
      </c>
      <c r="CP421">
        <f ca="1"/>
      </c>
      <c r="CQ421">
        <f ca="1"/>
      </c>
      <c r="CR421">
        <f ca="1"/>
      </c>
      <c r="CS421">
        <f ca="1"/>
      </c>
      <c r="CT421">
        <f ca="1"/>
      </c>
      <c r="CU421">
        <f ca="1"/>
      </c>
      <c r="CV421">
        <f ca="1"/>
      </c>
      <c r="CW421">
        <f ca="1"/>
      </c>
      <c r="CX421">
        <f ca="1"/>
      </c>
      <c r="CY421">
        <f ca="1"/>
      </c>
      <c r="CZ421">
        <f ca="1"/>
      </c>
      <c r="DA421">
        <f ca="1"/>
      </c>
      <c r="DB421">
        <f ca="1"/>
      </c>
      <c r="DC421">
        <f ca="1"/>
      </c>
      <c r="DD421">
        <f ca="1"/>
      </c>
      <c r="DE421">
        <f ca="1"/>
      </c>
      <c r="DF421">
        <f ca="1"/>
      </c>
      <c r="DG421">
        <f ca="1"/>
      </c>
      <c r="DH421">
        <f ca="1"/>
      </c>
      <c r="DI421">
        <f ca="1"/>
      </c>
      <c r="DJ421">
        <f ca="1"/>
      </c>
      <c r="DK421">
        <f ca="1"/>
      </c>
      <c r="DL421">
        <f ca="1"/>
      </c>
      <c r="DM421">
        <f ca="1"/>
      </c>
      <c r="DN421">
        <f ca="1"/>
      </c>
      <c r="DO421">
        <f ca="1"/>
      </c>
      <c r="DP421">
        <f ca="1"/>
      </c>
      <c r="DQ421">
        <f ca="1"/>
      </c>
      <c r="DR421">
        <f ca="1"/>
      </c>
      <c r="DS421">
        <f ca="1"/>
      </c>
      <c r="DT421">
        <f ca="1"/>
      </c>
      <c r="DU421">
        <f ca="1"/>
      </c>
      <c r="DV421">
        <f ca="1"/>
      </c>
      <c r="DW421">
        <f ca="1"/>
      </c>
      <c r="DX421">
        <f ca="1"/>
      </c>
      <c r="DY421">
        <f ca="1"/>
      </c>
      <c r="DZ421">
        <f ca="1"/>
      </c>
      <c r="EA421">
        <f ca="1"/>
      </c>
      <c r="EB421">
        <f ca="1"/>
      </c>
      <c r="EC421">
        <f ca="1"/>
      </c>
      <c r="ED421">
        <f ca="1"/>
      </c>
      <c r="EE421">
        <f ca="1"/>
      </c>
      <c r="EG421">
        <f ca="1"/>
      </c>
      <c r="EH421">
        <f ca="1"/>
      </c>
      <c r="EI421">
        <f ca="1"/>
      </c>
      <c r="EJ421">
        <f ca="1"/>
      </c>
      <c r="EK421">
        <f ca="1"/>
      </c>
      <c r="EL421">
        <f ca="1"/>
      </c>
      <c r="EM421">
        <f ca="1"/>
      </c>
      <c r="EN421">
        <f ca="1"/>
      </c>
      <c r="EO421">
        <f ca="1"/>
      </c>
      <c r="EP421">
        <f ca="1"/>
      </c>
      <c r="EQ421">
        <f ca="1"/>
      </c>
      <c r="ER421">
        <f ca="1"/>
      </c>
      <c r="ES421">
        <f ca="1"/>
      </c>
      <c r="ET421">
        <f ca="1"/>
      </c>
      <c r="EU421">
        <f ca="1"/>
      </c>
      <c r="EV421">
        <f ca="1"/>
      </c>
      <c r="EW421">
        <f ca="1"/>
      </c>
      <c r="EX421">
        <f ca="1"/>
      </c>
      <c r="EY421">
        <f ca="1"/>
      </c>
      <c r="EZ421">
        <f ca="1"/>
      </c>
      <c r="FA421">
        <f ca="1"/>
      </c>
      <c r="FB421">
        <f ca="1"/>
      </c>
      <c r="FC421">
        <f ca="1"/>
      </c>
      <c r="FD421">
        <f ca="1"/>
      </c>
      <c r="FE421">
        <f ca="1"/>
      </c>
      <c r="FF421">
        <f ca="1"/>
      </c>
      <c r="FG421">
        <f ca="1"/>
      </c>
      <c r="FH421">
        <f ca="1"/>
      </c>
      <c r="FI421">
        <f ca="1"/>
      </c>
      <c r="FJ421">
        <f ca="1"/>
      </c>
      <c r="FK421">
        <f ca="1"/>
      </c>
      <c r="FL421">
        <f ca="1"/>
      </c>
      <c r="FM421">
        <f ca="1"/>
      </c>
      <c r="FN421">
        <f ca="1"/>
      </c>
      <c r="FO421">
        <f ca="1"/>
      </c>
      <c r="FP421">
        <f ca="1"/>
      </c>
      <c r="FQ421">
        <f ca="1"/>
      </c>
      <c r="FR421">
        <f ca="1"/>
      </c>
      <c r="FS421">
        <f ca="1"/>
      </c>
      <c r="FT421">
        <f ca="1"/>
      </c>
      <c r="FU421">
        <f ca="1"/>
      </c>
      <c r="FV421">
        <f ca="1"/>
      </c>
      <c r="FW421">
        <f ca="1"/>
      </c>
      <c r="FX421">
        <f ca="1"/>
      </c>
      <c r="FY421">
        <f ca="1"/>
      </c>
      <c r="FZ421">
        <f ca="1"/>
      </c>
      <c r="GA421">
        <f ca="1"/>
      </c>
      <c r="GM421" s="7"/>
    </row>
    <row r="422" spans="41:195" x14ac:dyDescent="0.55000000000000004">
      <c r="AO422">
        <f ca="1"/>
      </c>
      <c r="AP422">
        <f ca="1"/>
      </c>
      <c r="AQ422">
        <f ca="1"/>
      </c>
      <c r="AR422">
        <f ca="1"/>
      </c>
      <c r="AS422">
        <f ca="1"/>
      </c>
      <c r="AT422">
        <f ca="1"/>
      </c>
      <c r="AU422">
        <f ca="1"/>
      </c>
      <c r="AV422">
        <f ca="1"/>
      </c>
      <c r="AW422">
        <f ca="1"/>
      </c>
      <c r="AX422">
        <f ca="1"/>
      </c>
      <c r="AY422">
        <f ca="1"/>
      </c>
      <c r="AZ422">
        <f ca="1"/>
      </c>
      <c r="BA422">
        <f ca="1"/>
      </c>
      <c r="BB422">
        <f ca="1"/>
      </c>
      <c r="BC422">
        <f ca="1"/>
      </c>
      <c r="BD422">
        <f ca="1"/>
      </c>
      <c r="BE422">
        <f ca="1"/>
      </c>
      <c r="BF422">
        <f ca="1"/>
      </c>
      <c r="BG422">
        <f ca="1"/>
      </c>
      <c r="BH422">
        <f ca="1"/>
      </c>
      <c r="BI422">
        <f ca="1"/>
      </c>
      <c r="BJ422">
        <f ca="1"/>
      </c>
      <c r="BK422">
        <f ca="1"/>
      </c>
      <c r="BL422">
        <f ca="1"/>
      </c>
      <c r="BM422">
        <f ca="1"/>
      </c>
      <c r="BN422">
        <f ca="1"/>
      </c>
      <c r="BO422">
        <f ca="1"/>
      </c>
      <c r="BP422">
        <f ca="1"/>
      </c>
      <c r="BQ422">
        <f ca="1"/>
      </c>
      <c r="BR422">
        <f ca="1"/>
      </c>
      <c r="BS422">
        <f ca="1"/>
      </c>
      <c r="BT422">
        <f ca="1"/>
      </c>
      <c r="BU422">
        <f ca="1"/>
      </c>
      <c r="BV422">
        <f ca="1"/>
      </c>
      <c r="BW422">
        <f ca="1"/>
      </c>
      <c r="BX422">
        <f ca="1"/>
      </c>
      <c r="BY422">
        <f ca="1"/>
      </c>
      <c r="BZ422">
        <f ca="1"/>
      </c>
      <c r="CA422">
        <f ca="1"/>
      </c>
      <c r="CB422">
        <f ca="1"/>
      </c>
      <c r="CC422">
        <f ca="1"/>
      </c>
      <c r="CD422">
        <f ca="1"/>
      </c>
      <c r="CE422">
        <f ca="1"/>
      </c>
      <c r="CF422">
        <f ca="1"/>
      </c>
      <c r="CG422">
        <f ca="1"/>
      </c>
      <c r="CH422">
        <f ca="1"/>
      </c>
      <c r="CI422">
        <f ca="1"/>
      </c>
      <c r="CK422">
        <f ca="1"/>
      </c>
      <c r="CL422">
        <f ca="1"/>
      </c>
      <c r="CM422">
        <f ca="1"/>
      </c>
      <c r="CN422">
        <f ca="1"/>
      </c>
      <c r="CO422">
        <f ca="1"/>
      </c>
      <c r="CP422">
        <f ca="1"/>
      </c>
      <c r="CQ422">
        <f ca="1"/>
      </c>
      <c r="CR422">
        <f ca="1"/>
      </c>
      <c r="CS422">
        <f ca="1"/>
      </c>
      <c r="CT422">
        <f ca="1"/>
      </c>
      <c r="CU422">
        <f ca="1"/>
      </c>
      <c r="CV422">
        <f ca="1"/>
      </c>
      <c r="CW422">
        <f ca="1"/>
      </c>
      <c r="CX422">
        <f ca="1"/>
      </c>
      <c r="CY422">
        <f ca="1"/>
      </c>
      <c r="CZ422">
        <f ca="1"/>
      </c>
      <c r="DA422">
        <f ca="1"/>
      </c>
      <c r="DB422">
        <f ca="1"/>
      </c>
      <c r="DC422">
        <f ca="1"/>
      </c>
      <c r="DD422">
        <f ca="1"/>
      </c>
      <c r="DE422">
        <f ca="1"/>
      </c>
      <c r="DF422">
        <f ca="1"/>
      </c>
      <c r="DG422">
        <f ca="1"/>
      </c>
      <c r="DH422">
        <f ca="1"/>
      </c>
      <c r="DI422">
        <f ca="1"/>
      </c>
      <c r="DJ422">
        <f ca="1"/>
      </c>
      <c r="DK422">
        <f ca="1"/>
      </c>
      <c r="DL422">
        <f ca="1"/>
      </c>
      <c r="DM422">
        <f ca="1"/>
      </c>
      <c r="DN422">
        <f ca="1"/>
      </c>
      <c r="DO422">
        <f ca="1"/>
      </c>
      <c r="DP422">
        <f ca="1"/>
      </c>
      <c r="DQ422">
        <f ca="1"/>
      </c>
      <c r="DR422">
        <f ca="1"/>
      </c>
      <c r="DS422">
        <f ca="1"/>
      </c>
      <c r="DT422">
        <f ca="1"/>
      </c>
      <c r="DU422">
        <f ca="1"/>
      </c>
      <c r="DV422">
        <f ca="1"/>
      </c>
      <c r="DW422">
        <f ca="1"/>
      </c>
      <c r="DX422">
        <f ca="1"/>
      </c>
      <c r="DY422">
        <f ca="1"/>
      </c>
      <c r="DZ422">
        <f ca="1"/>
      </c>
      <c r="EA422">
        <f ca="1"/>
      </c>
      <c r="EB422">
        <f ca="1"/>
      </c>
      <c r="EC422">
        <f ca="1"/>
      </c>
      <c r="ED422">
        <f ca="1"/>
      </c>
      <c r="EE422">
        <f ca="1"/>
      </c>
      <c r="EG422">
        <f ca="1"/>
      </c>
      <c r="EH422">
        <f ca="1"/>
      </c>
      <c r="EI422">
        <f ca="1"/>
      </c>
      <c r="EJ422">
        <f ca="1"/>
      </c>
      <c r="EK422">
        <f ca="1"/>
      </c>
      <c r="EL422">
        <f ca="1"/>
      </c>
      <c r="EM422">
        <f ca="1"/>
      </c>
      <c r="EN422">
        <f ca="1"/>
      </c>
      <c r="EO422">
        <f ca="1"/>
      </c>
      <c r="EP422">
        <f ca="1"/>
      </c>
      <c r="EQ422">
        <f ca="1"/>
      </c>
      <c r="ER422">
        <f ca="1"/>
      </c>
      <c r="ES422">
        <f ca="1"/>
      </c>
      <c r="ET422">
        <f ca="1"/>
      </c>
      <c r="EU422">
        <f ca="1"/>
      </c>
      <c r="EV422">
        <f ca="1"/>
      </c>
      <c r="EW422">
        <f ca="1"/>
      </c>
      <c r="EX422">
        <f ca="1"/>
      </c>
      <c r="EY422">
        <f ca="1"/>
      </c>
      <c r="EZ422">
        <f ca="1"/>
      </c>
      <c r="FA422">
        <f ca="1"/>
      </c>
      <c r="FB422">
        <f ca="1"/>
      </c>
      <c r="FC422">
        <f ca="1"/>
      </c>
      <c r="FD422">
        <f ca="1"/>
      </c>
      <c r="FE422">
        <f ca="1"/>
      </c>
      <c r="FF422">
        <f ca="1"/>
      </c>
      <c r="FG422">
        <f ca="1"/>
      </c>
      <c r="FH422">
        <f ca="1"/>
      </c>
      <c r="FI422">
        <f ca="1"/>
      </c>
      <c r="FJ422">
        <f ca="1"/>
      </c>
      <c r="FK422">
        <f ca="1"/>
      </c>
      <c r="FL422">
        <f ca="1"/>
      </c>
      <c r="FM422">
        <f ca="1"/>
      </c>
      <c r="FN422">
        <f ca="1"/>
      </c>
      <c r="FO422">
        <f ca="1"/>
      </c>
      <c r="FP422">
        <f ca="1"/>
      </c>
      <c r="FQ422">
        <f ca="1"/>
      </c>
      <c r="FR422">
        <f ca="1"/>
      </c>
      <c r="FS422">
        <f ca="1"/>
      </c>
      <c r="FT422">
        <f ca="1"/>
      </c>
      <c r="FU422">
        <f ca="1"/>
      </c>
      <c r="FV422">
        <f ca="1"/>
      </c>
      <c r="FW422">
        <f ca="1"/>
      </c>
      <c r="FX422">
        <f ca="1"/>
      </c>
      <c r="FY422">
        <f ca="1"/>
      </c>
      <c r="FZ422">
        <f ca="1"/>
      </c>
      <c r="GA422">
        <f ca="1"/>
      </c>
      <c r="GM422" s="7"/>
    </row>
    <row r="423" spans="41:195" x14ac:dyDescent="0.55000000000000004">
      <c r="AO423">
        <f ca="1"/>
      </c>
      <c r="AP423">
        <f ca="1"/>
      </c>
      <c r="AQ423">
        <f ca="1"/>
      </c>
      <c r="AR423">
        <f ca="1"/>
      </c>
      <c r="AS423">
        <f ca="1"/>
      </c>
      <c r="AT423">
        <f ca="1"/>
      </c>
      <c r="AU423">
        <f ca="1"/>
      </c>
      <c r="AV423">
        <f ca="1"/>
      </c>
      <c r="AW423">
        <f ca="1"/>
      </c>
      <c r="AX423">
        <f ca="1"/>
      </c>
      <c r="AY423">
        <f ca="1"/>
      </c>
      <c r="AZ423">
        <f ca="1"/>
      </c>
      <c r="BA423">
        <f ca="1"/>
      </c>
      <c r="BB423">
        <f ca="1"/>
      </c>
      <c r="BC423">
        <f ca="1"/>
      </c>
      <c r="BD423">
        <f ca="1"/>
      </c>
      <c r="BE423">
        <f ca="1"/>
      </c>
      <c r="BF423">
        <f ca="1"/>
      </c>
      <c r="BG423">
        <f ca="1"/>
      </c>
      <c r="BH423">
        <f ca="1"/>
      </c>
      <c r="BI423">
        <f ca="1"/>
      </c>
      <c r="BJ423">
        <f ca="1"/>
      </c>
      <c r="BK423">
        <f ca="1"/>
      </c>
      <c r="BL423">
        <f ca="1"/>
      </c>
      <c r="BM423">
        <f ca="1"/>
      </c>
      <c r="BN423">
        <f ca="1"/>
      </c>
      <c r="BO423">
        <f ca="1"/>
      </c>
      <c r="BP423">
        <f ca="1"/>
      </c>
      <c r="BQ423">
        <f ca="1"/>
      </c>
      <c r="BR423">
        <f ca="1"/>
      </c>
      <c r="BS423">
        <f ca="1"/>
      </c>
      <c r="BT423">
        <f ca="1"/>
      </c>
      <c r="BU423">
        <f ca="1"/>
      </c>
      <c r="BV423">
        <f ca="1"/>
      </c>
      <c r="BW423">
        <f ca="1"/>
      </c>
      <c r="BX423">
        <f ca="1"/>
      </c>
      <c r="BY423">
        <f ca="1"/>
      </c>
      <c r="BZ423">
        <f ca="1"/>
      </c>
      <c r="CA423">
        <f ca="1"/>
      </c>
      <c r="CB423">
        <f ca="1"/>
      </c>
      <c r="CC423">
        <f ca="1"/>
      </c>
      <c r="CD423">
        <f ca="1"/>
      </c>
      <c r="CE423">
        <f ca="1"/>
      </c>
      <c r="CF423">
        <f ca="1"/>
      </c>
      <c r="CG423">
        <f ca="1"/>
      </c>
      <c r="CH423">
        <f ca="1"/>
      </c>
      <c r="CI423">
        <f ca="1"/>
      </c>
      <c r="CK423">
        <f ca="1"/>
      </c>
      <c r="CL423">
        <f ca="1"/>
      </c>
      <c r="CM423">
        <f ca="1"/>
      </c>
      <c r="CN423">
        <f ca="1"/>
      </c>
      <c r="CO423">
        <f ca="1"/>
      </c>
      <c r="CP423">
        <f ca="1"/>
      </c>
      <c r="CQ423">
        <f ca="1"/>
      </c>
      <c r="CR423">
        <f ca="1"/>
      </c>
      <c r="CS423">
        <f ca="1"/>
      </c>
      <c r="CT423">
        <f ca="1"/>
      </c>
      <c r="CU423">
        <f ca="1"/>
      </c>
      <c r="CV423">
        <f ca="1"/>
      </c>
      <c r="CW423">
        <f ca="1"/>
      </c>
      <c r="CX423">
        <f ca="1"/>
      </c>
      <c r="CY423">
        <f ca="1"/>
      </c>
      <c r="CZ423">
        <f ca="1"/>
      </c>
      <c r="DA423">
        <f ca="1"/>
      </c>
      <c r="DB423">
        <f ca="1"/>
      </c>
      <c r="DC423">
        <f ca="1"/>
      </c>
      <c r="DD423">
        <f ca="1"/>
      </c>
      <c r="DE423">
        <f ca="1"/>
      </c>
      <c r="DF423">
        <f ca="1"/>
      </c>
      <c r="DG423">
        <f ca="1"/>
      </c>
      <c r="DH423">
        <f ca="1"/>
      </c>
      <c r="DI423">
        <f ca="1"/>
      </c>
      <c r="DJ423">
        <f ca="1"/>
      </c>
      <c r="DK423">
        <f ca="1"/>
      </c>
      <c r="DL423">
        <f ca="1"/>
      </c>
      <c r="DM423">
        <f ca="1"/>
      </c>
      <c r="DN423">
        <f ca="1"/>
      </c>
      <c r="DO423">
        <f ca="1"/>
      </c>
      <c r="DP423">
        <f ca="1"/>
      </c>
      <c r="DQ423">
        <f ca="1"/>
      </c>
      <c r="DR423">
        <f ca="1"/>
      </c>
      <c r="DS423">
        <f ca="1"/>
      </c>
      <c r="DT423">
        <f ca="1"/>
      </c>
      <c r="DU423">
        <f ca="1"/>
      </c>
      <c r="DV423">
        <f ca="1"/>
      </c>
      <c r="DW423">
        <f ca="1"/>
      </c>
      <c r="DX423">
        <f ca="1"/>
      </c>
      <c r="DY423">
        <f ca="1"/>
      </c>
      <c r="DZ423">
        <f ca="1"/>
      </c>
      <c r="EA423">
        <f ca="1"/>
      </c>
      <c r="EB423">
        <f ca="1"/>
      </c>
      <c r="EC423">
        <f ca="1"/>
      </c>
      <c r="ED423">
        <f ca="1"/>
      </c>
      <c r="EE423">
        <f ca="1"/>
      </c>
      <c r="EG423">
        <f ca="1"/>
      </c>
      <c r="EH423">
        <f ca="1"/>
      </c>
      <c r="EI423">
        <f ca="1"/>
      </c>
      <c r="EJ423">
        <f ca="1"/>
      </c>
      <c r="EK423">
        <f ca="1"/>
      </c>
      <c r="EL423">
        <f ca="1"/>
      </c>
      <c r="EM423">
        <f ca="1"/>
      </c>
      <c r="EN423">
        <f ca="1"/>
      </c>
      <c r="EO423">
        <f ca="1"/>
      </c>
      <c r="EP423">
        <f ca="1"/>
      </c>
      <c r="EQ423">
        <f ca="1"/>
      </c>
      <c r="ER423">
        <f ca="1"/>
      </c>
      <c r="ES423">
        <f ca="1"/>
      </c>
      <c r="ET423">
        <f ca="1"/>
      </c>
      <c r="EU423">
        <f ca="1"/>
      </c>
      <c r="EV423">
        <f ca="1"/>
      </c>
      <c r="EW423">
        <f ca="1"/>
      </c>
      <c r="EX423">
        <f ca="1"/>
      </c>
      <c r="EY423">
        <f ca="1"/>
      </c>
      <c r="EZ423">
        <f ca="1"/>
      </c>
      <c r="FA423">
        <f ca="1"/>
      </c>
      <c r="FB423">
        <f ca="1"/>
      </c>
      <c r="FC423">
        <f ca="1"/>
      </c>
      <c r="FD423">
        <f ca="1"/>
      </c>
      <c r="FE423">
        <f ca="1"/>
      </c>
      <c r="FF423">
        <f ca="1"/>
      </c>
      <c r="FG423">
        <f ca="1"/>
      </c>
      <c r="FH423">
        <f ca="1"/>
      </c>
      <c r="FI423">
        <f ca="1"/>
      </c>
      <c r="FJ423">
        <f ca="1"/>
      </c>
      <c r="FK423">
        <f ca="1"/>
      </c>
      <c r="FL423">
        <f ca="1"/>
      </c>
      <c r="FM423">
        <f ca="1"/>
      </c>
      <c r="FN423">
        <f ca="1"/>
      </c>
      <c r="FO423">
        <f ca="1"/>
      </c>
      <c r="FP423">
        <f ca="1"/>
      </c>
      <c r="FQ423">
        <f ca="1"/>
      </c>
      <c r="FR423">
        <f ca="1"/>
      </c>
      <c r="FS423">
        <f ca="1"/>
      </c>
      <c r="FT423">
        <f ca="1"/>
      </c>
      <c r="FU423">
        <f ca="1"/>
      </c>
      <c r="FV423">
        <f ca="1"/>
      </c>
      <c r="FW423">
        <f ca="1"/>
      </c>
      <c r="FX423">
        <f ca="1"/>
      </c>
      <c r="FY423">
        <f ca="1"/>
      </c>
      <c r="FZ423">
        <f ca="1"/>
      </c>
      <c r="GA423">
        <f ca="1"/>
      </c>
      <c r="GM423" s="7"/>
    </row>
    <row r="424" spans="41:195" x14ac:dyDescent="0.55000000000000004">
      <c r="AO424">
        <f ca="1"/>
      </c>
      <c r="AP424">
        <f ca="1"/>
      </c>
      <c r="AQ424">
        <f ca="1"/>
      </c>
      <c r="AR424">
        <f ca="1"/>
      </c>
      <c r="AS424">
        <f ca="1"/>
      </c>
      <c r="AT424">
        <f ca="1"/>
      </c>
      <c r="AU424">
        <f ca="1"/>
      </c>
      <c r="AV424">
        <f ca="1"/>
      </c>
      <c r="AW424">
        <f ca="1"/>
      </c>
      <c r="AX424">
        <f ca="1"/>
      </c>
      <c r="AY424">
        <f ca="1"/>
      </c>
      <c r="AZ424">
        <f ca="1"/>
      </c>
      <c r="BA424">
        <f ca="1"/>
      </c>
      <c r="BB424">
        <f ca="1"/>
      </c>
      <c r="BC424">
        <f ca="1"/>
      </c>
      <c r="BD424">
        <f ca="1"/>
      </c>
      <c r="BE424">
        <f ca="1"/>
      </c>
      <c r="BF424">
        <f ca="1"/>
      </c>
      <c r="BG424">
        <f ca="1"/>
      </c>
      <c r="BH424">
        <f ca="1"/>
      </c>
      <c r="BI424">
        <f ca="1"/>
      </c>
      <c r="BJ424">
        <f ca="1"/>
      </c>
      <c r="BK424">
        <f ca="1"/>
      </c>
      <c r="BL424">
        <f ca="1"/>
      </c>
      <c r="BM424">
        <f ca="1"/>
      </c>
      <c r="BN424">
        <f ca="1"/>
      </c>
      <c r="BO424">
        <f ca="1"/>
      </c>
      <c r="BP424">
        <f ca="1"/>
      </c>
      <c r="BQ424">
        <f ca="1"/>
      </c>
      <c r="BR424">
        <f ca="1"/>
      </c>
      <c r="BS424">
        <f ca="1"/>
      </c>
      <c r="BT424">
        <f ca="1"/>
      </c>
      <c r="BU424">
        <f ca="1"/>
      </c>
      <c r="BV424">
        <f ca="1"/>
      </c>
      <c r="BW424">
        <f ca="1"/>
      </c>
      <c r="BX424">
        <f ca="1"/>
      </c>
      <c r="BY424">
        <f ca="1"/>
      </c>
      <c r="BZ424">
        <f ca="1"/>
      </c>
      <c r="CA424">
        <f ca="1"/>
      </c>
      <c r="CB424">
        <f ca="1"/>
      </c>
      <c r="CC424">
        <f ca="1"/>
      </c>
      <c r="CD424">
        <f ca="1"/>
      </c>
      <c r="CE424">
        <f ca="1"/>
      </c>
      <c r="CF424">
        <f ca="1"/>
      </c>
      <c r="CG424">
        <f ca="1"/>
      </c>
      <c r="CH424">
        <f ca="1"/>
      </c>
      <c r="CI424">
        <f ca="1"/>
      </c>
      <c r="CK424">
        <f ca="1"/>
      </c>
      <c r="CL424">
        <f ca="1"/>
      </c>
      <c r="CM424">
        <f ca="1"/>
      </c>
      <c r="CN424">
        <f ca="1"/>
      </c>
      <c r="CO424">
        <f ca="1"/>
      </c>
      <c r="CP424">
        <f ca="1"/>
      </c>
      <c r="CQ424">
        <f ca="1"/>
      </c>
      <c r="CR424">
        <f ca="1"/>
      </c>
      <c r="CS424">
        <f ca="1"/>
      </c>
      <c r="CT424">
        <f ca="1"/>
      </c>
      <c r="CU424">
        <f ca="1"/>
      </c>
      <c r="CV424">
        <f ca="1"/>
      </c>
      <c r="CW424">
        <f ca="1"/>
      </c>
      <c r="CX424">
        <f ca="1"/>
      </c>
      <c r="CY424">
        <f ca="1"/>
      </c>
      <c r="CZ424">
        <f ca="1"/>
      </c>
      <c r="DA424">
        <f ca="1"/>
      </c>
      <c r="DB424">
        <f ca="1"/>
      </c>
      <c r="DC424">
        <f ca="1"/>
      </c>
      <c r="DD424">
        <f ca="1"/>
      </c>
      <c r="DE424">
        <f ca="1"/>
      </c>
      <c r="DF424">
        <f ca="1"/>
      </c>
      <c r="DG424">
        <f ca="1"/>
      </c>
      <c r="DH424">
        <f ca="1"/>
      </c>
      <c r="DI424">
        <f ca="1"/>
      </c>
      <c r="DJ424">
        <f ca="1"/>
      </c>
      <c r="DK424">
        <f ca="1"/>
      </c>
      <c r="DL424">
        <f ca="1"/>
      </c>
      <c r="DM424">
        <f ca="1"/>
      </c>
      <c r="DN424">
        <f ca="1"/>
      </c>
      <c r="DO424">
        <f ca="1"/>
      </c>
      <c r="DP424">
        <f ca="1"/>
      </c>
      <c r="DQ424">
        <f ca="1"/>
      </c>
      <c r="DR424">
        <f ca="1"/>
      </c>
      <c r="DS424">
        <f ca="1"/>
      </c>
      <c r="DT424">
        <f ca="1"/>
      </c>
      <c r="DU424">
        <f ca="1"/>
      </c>
      <c r="DV424">
        <f ca="1"/>
      </c>
      <c r="DW424">
        <f ca="1"/>
      </c>
      <c r="DX424">
        <f ca="1"/>
      </c>
      <c r="DY424">
        <f ca="1"/>
      </c>
      <c r="DZ424">
        <f ca="1"/>
      </c>
      <c r="EA424">
        <f ca="1"/>
      </c>
      <c r="EB424">
        <f ca="1"/>
      </c>
      <c r="EC424">
        <f ca="1"/>
      </c>
      <c r="ED424">
        <f ca="1"/>
      </c>
      <c r="EE424">
        <f ca="1"/>
      </c>
      <c r="EG424">
        <f ca="1"/>
      </c>
      <c r="EH424">
        <f ca="1"/>
      </c>
      <c r="EI424">
        <f ca="1"/>
      </c>
      <c r="EJ424">
        <f ca="1"/>
      </c>
      <c r="EK424">
        <f ca="1"/>
      </c>
      <c r="EL424">
        <f ca="1"/>
      </c>
      <c r="EM424">
        <f ca="1"/>
      </c>
      <c r="EN424">
        <f ca="1"/>
      </c>
      <c r="EO424">
        <f ca="1"/>
      </c>
      <c r="EP424">
        <f ca="1"/>
      </c>
      <c r="EQ424">
        <f ca="1"/>
      </c>
      <c r="ER424">
        <f ca="1"/>
      </c>
      <c r="ES424">
        <f ca="1"/>
      </c>
      <c r="ET424">
        <f ca="1"/>
      </c>
      <c r="EU424">
        <f ca="1"/>
      </c>
      <c r="EV424">
        <f ca="1"/>
      </c>
      <c r="EW424">
        <f ca="1"/>
      </c>
      <c r="EX424">
        <f ca="1"/>
      </c>
      <c r="EY424">
        <f ca="1"/>
      </c>
      <c r="EZ424">
        <f ca="1"/>
      </c>
      <c r="FA424">
        <f ca="1"/>
      </c>
      <c r="FB424">
        <f ca="1"/>
      </c>
      <c r="FC424">
        <f ca="1"/>
      </c>
      <c r="FD424">
        <f ca="1"/>
      </c>
      <c r="FE424">
        <f ca="1"/>
      </c>
      <c r="FF424">
        <f ca="1"/>
      </c>
      <c r="FG424">
        <f ca="1"/>
      </c>
      <c r="FH424">
        <f ca="1"/>
      </c>
      <c r="FI424">
        <f ca="1"/>
      </c>
      <c r="FJ424">
        <f ca="1"/>
      </c>
      <c r="FK424">
        <f ca="1"/>
      </c>
      <c r="FL424">
        <f ca="1"/>
      </c>
      <c r="FM424">
        <f ca="1"/>
      </c>
      <c r="FN424">
        <f ca="1"/>
      </c>
      <c r="FO424">
        <f ca="1"/>
      </c>
      <c r="FP424">
        <f ca="1"/>
      </c>
      <c r="FQ424">
        <f ca="1"/>
      </c>
      <c r="FR424">
        <f ca="1"/>
      </c>
      <c r="FS424">
        <f ca="1"/>
      </c>
      <c r="FT424">
        <f ca="1"/>
      </c>
      <c r="FU424">
        <f ca="1"/>
      </c>
      <c r="FV424">
        <f ca="1"/>
      </c>
      <c r="FW424">
        <f ca="1"/>
      </c>
      <c r="FX424">
        <f ca="1"/>
      </c>
      <c r="FY424">
        <f ca="1"/>
      </c>
      <c r="FZ424">
        <f ca="1"/>
      </c>
      <c r="GA424">
        <f ca="1"/>
      </c>
      <c r="GM424" s="7"/>
    </row>
    <row r="425" spans="41:195" x14ac:dyDescent="0.55000000000000004">
      <c r="AO425">
        <f ca="1"/>
      </c>
      <c r="AP425">
        <f ca="1"/>
      </c>
      <c r="AQ425">
        <f ca="1"/>
      </c>
      <c r="AR425">
        <f ca="1"/>
      </c>
      <c r="AS425">
        <f ca="1"/>
      </c>
      <c r="AT425">
        <f ca="1"/>
      </c>
      <c r="AU425">
        <f ca="1"/>
      </c>
      <c r="AV425">
        <f ca="1"/>
      </c>
      <c r="AW425">
        <f ca="1"/>
      </c>
      <c r="AX425">
        <f ca="1"/>
      </c>
      <c r="AY425">
        <f ca="1"/>
      </c>
      <c r="AZ425">
        <f ca="1"/>
      </c>
      <c r="BA425">
        <f ca="1"/>
      </c>
      <c r="BB425">
        <f ca="1"/>
      </c>
      <c r="BC425">
        <f ca="1"/>
      </c>
      <c r="BD425">
        <f ca="1"/>
      </c>
      <c r="BE425">
        <f ca="1"/>
      </c>
      <c r="BF425">
        <f ca="1"/>
      </c>
      <c r="BG425">
        <f ca="1"/>
      </c>
      <c r="BH425">
        <f ca="1"/>
      </c>
      <c r="BI425">
        <f ca="1"/>
      </c>
      <c r="BJ425">
        <f ca="1"/>
      </c>
      <c r="BK425">
        <f ca="1"/>
      </c>
      <c r="BL425">
        <f ca="1"/>
      </c>
      <c r="BM425">
        <f ca="1"/>
      </c>
      <c r="BN425">
        <f ca="1"/>
      </c>
      <c r="BO425">
        <f ca="1"/>
      </c>
      <c r="BP425">
        <f ca="1"/>
      </c>
      <c r="BQ425">
        <f ca="1"/>
      </c>
      <c r="BR425">
        <f ca="1"/>
      </c>
      <c r="BS425">
        <f ca="1"/>
      </c>
      <c r="BT425">
        <f ca="1"/>
      </c>
      <c r="BU425">
        <f ca="1"/>
      </c>
      <c r="BV425">
        <f ca="1"/>
      </c>
      <c r="BW425">
        <f ca="1"/>
      </c>
      <c r="BX425">
        <f ca="1"/>
      </c>
      <c r="BY425">
        <f ca="1"/>
      </c>
      <c r="BZ425">
        <f ca="1"/>
      </c>
      <c r="CA425">
        <f ca="1"/>
      </c>
      <c r="CB425">
        <f ca="1"/>
      </c>
      <c r="CC425">
        <f ca="1"/>
      </c>
      <c r="CD425">
        <f ca="1"/>
      </c>
      <c r="CE425">
        <f ca="1"/>
      </c>
      <c r="CF425">
        <f ca="1"/>
      </c>
      <c r="CG425">
        <f ca="1"/>
      </c>
      <c r="CH425">
        <f ca="1"/>
      </c>
      <c r="CI425">
        <f ca="1"/>
      </c>
      <c r="CK425">
        <f ca="1"/>
      </c>
      <c r="CL425">
        <f ca="1"/>
      </c>
      <c r="CM425">
        <f ca="1"/>
      </c>
      <c r="CN425">
        <f ca="1"/>
      </c>
      <c r="CO425">
        <f ca="1"/>
      </c>
      <c r="CP425">
        <f ca="1"/>
      </c>
      <c r="CQ425">
        <f ca="1"/>
      </c>
      <c r="CR425">
        <f ca="1"/>
      </c>
      <c r="CS425">
        <f ca="1"/>
      </c>
      <c r="CT425">
        <f ca="1"/>
      </c>
      <c r="CU425">
        <f ca="1"/>
      </c>
      <c r="CV425">
        <f ca="1"/>
      </c>
      <c r="CW425">
        <f ca="1"/>
      </c>
      <c r="CX425">
        <f ca="1"/>
      </c>
      <c r="CY425">
        <f ca="1"/>
      </c>
      <c r="CZ425">
        <f ca="1"/>
      </c>
      <c r="DA425">
        <f ca="1"/>
      </c>
      <c r="DB425">
        <f ca="1"/>
      </c>
      <c r="DC425">
        <f ca="1"/>
      </c>
      <c r="DD425">
        <f ca="1"/>
      </c>
      <c r="DE425">
        <f ca="1"/>
      </c>
      <c r="DF425">
        <f ca="1"/>
      </c>
      <c r="DG425">
        <f ca="1"/>
      </c>
      <c r="DH425">
        <f ca="1"/>
      </c>
      <c r="DI425">
        <f ca="1"/>
      </c>
      <c r="DJ425">
        <f ca="1"/>
      </c>
      <c r="DK425">
        <f ca="1"/>
      </c>
      <c r="DL425">
        <f ca="1"/>
      </c>
      <c r="DM425">
        <f ca="1"/>
      </c>
      <c r="DN425">
        <f ca="1"/>
      </c>
      <c r="DO425">
        <f ca="1"/>
      </c>
      <c r="DP425">
        <f ca="1"/>
      </c>
      <c r="DQ425">
        <f ca="1"/>
      </c>
      <c r="DR425">
        <f ca="1"/>
      </c>
      <c r="DS425">
        <f ca="1"/>
      </c>
      <c r="DT425">
        <f ca="1"/>
      </c>
      <c r="DU425">
        <f ca="1"/>
      </c>
      <c r="DV425">
        <f ca="1"/>
      </c>
      <c r="DW425">
        <f ca="1"/>
      </c>
      <c r="DX425">
        <f ca="1"/>
      </c>
      <c r="DY425">
        <f ca="1"/>
      </c>
      <c r="DZ425">
        <f ca="1"/>
      </c>
      <c r="EA425">
        <f ca="1"/>
      </c>
      <c r="EB425">
        <f ca="1"/>
      </c>
      <c r="EC425">
        <f ca="1"/>
      </c>
      <c r="ED425">
        <f ca="1"/>
      </c>
      <c r="EE425">
        <f ca="1"/>
      </c>
      <c r="EG425">
        <f ca="1"/>
      </c>
      <c r="EH425">
        <f ca="1"/>
      </c>
      <c r="EI425">
        <f ca="1"/>
      </c>
      <c r="EJ425">
        <f ca="1"/>
      </c>
      <c r="EK425">
        <f ca="1"/>
      </c>
      <c r="EL425">
        <f ca="1"/>
      </c>
      <c r="EM425">
        <f ca="1"/>
      </c>
      <c r="EN425">
        <f ca="1"/>
      </c>
      <c r="EO425">
        <f ca="1"/>
      </c>
      <c r="EP425">
        <f ca="1"/>
      </c>
      <c r="EQ425">
        <f ca="1"/>
      </c>
      <c r="ER425">
        <f ca="1"/>
      </c>
      <c r="ES425">
        <f ca="1"/>
      </c>
      <c r="ET425">
        <f ca="1"/>
      </c>
      <c r="EU425">
        <f ca="1"/>
      </c>
      <c r="EV425">
        <f ca="1"/>
      </c>
      <c r="EW425">
        <f ca="1"/>
      </c>
      <c r="EX425">
        <f ca="1"/>
      </c>
      <c r="EY425">
        <f ca="1"/>
      </c>
      <c r="EZ425">
        <f ca="1"/>
      </c>
      <c r="FA425">
        <f ca="1"/>
      </c>
      <c r="FB425">
        <f ca="1"/>
      </c>
      <c r="FC425">
        <f ca="1"/>
      </c>
      <c r="FD425">
        <f ca="1"/>
      </c>
      <c r="FE425">
        <f ca="1"/>
      </c>
      <c r="FF425">
        <f ca="1"/>
      </c>
      <c r="FG425">
        <f ca="1"/>
      </c>
      <c r="FH425">
        <f ca="1"/>
      </c>
      <c r="FI425">
        <f ca="1"/>
      </c>
      <c r="FJ425">
        <f ca="1"/>
      </c>
      <c r="FK425">
        <f ca="1"/>
      </c>
      <c r="FL425">
        <f ca="1"/>
      </c>
      <c r="FM425">
        <f ca="1"/>
      </c>
      <c r="FN425">
        <f ca="1"/>
      </c>
      <c r="FO425">
        <f ca="1"/>
      </c>
      <c r="FP425">
        <f ca="1"/>
      </c>
      <c r="FQ425">
        <f ca="1"/>
      </c>
      <c r="FR425">
        <f ca="1"/>
      </c>
      <c r="FS425">
        <f ca="1"/>
      </c>
      <c r="FT425">
        <f ca="1"/>
      </c>
      <c r="FU425">
        <f ca="1"/>
      </c>
      <c r="FV425">
        <f ca="1"/>
      </c>
      <c r="FW425">
        <f ca="1"/>
      </c>
      <c r="FX425">
        <f ca="1"/>
      </c>
      <c r="FY425">
        <f ca="1"/>
      </c>
      <c r="FZ425">
        <f ca="1"/>
      </c>
      <c r="GA425">
        <f ca="1"/>
      </c>
      <c r="GM425" s="7"/>
    </row>
    <row r="426" spans="41:195" x14ac:dyDescent="0.55000000000000004">
      <c r="AO426">
        <f ca="1"/>
      </c>
      <c r="AP426">
        <f ca="1"/>
      </c>
      <c r="AQ426">
        <f ca="1"/>
      </c>
      <c r="AR426">
        <f ca="1"/>
      </c>
      <c r="AS426">
        <f ca="1"/>
      </c>
      <c r="AT426">
        <f ca="1"/>
      </c>
      <c r="AU426">
        <f ca="1"/>
      </c>
      <c r="AV426">
        <f ca="1"/>
      </c>
      <c r="AW426">
        <f ca="1"/>
      </c>
      <c r="AX426">
        <f ca="1"/>
      </c>
      <c r="AY426">
        <f ca="1"/>
      </c>
      <c r="AZ426">
        <f ca="1"/>
      </c>
      <c r="BA426">
        <f ca="1"/>
      </c>
      <c r="BB426">
        <f ca="1"/>
      </c>
      <c r="BC426">
        <f ca="1"/>
      </c>
      <c r="BD426">
        <f ca="1"/>
      </c>
      <c r="BE426">
        <f ca="1"/>
      </c>
      <c r="BF426">
        <f ca="1"/>
      </c>
      <c r="BG426">
        <f ca="1"/>
      </c>
      <c r="BH426">
        <f ca="1"/>
      </c>
      <c r="BI426">
        <f ca="1"/>
      </c>
      <c r="BJ426">
        <f ca="1"/>
      </c>
      <c r="BK426">
        <f ca="1"/>
      </c>
      <c r="BL426">
        <f ca="1"/>
      </c>
      <c r="BM426">
        <f ca="1"/>
      </c>
      <c r="BN426">
        <f ca="1"/>
      </c>
      <c r="BO426">
        <f ca="1"/>
      </c>
      <c r="BP426">
        <f ca="1"/>
      </c>
      <c r="BQ426">
        <f ca="1"/>
      </c>
      <c r="BR426">
        <f ca="1"/>
      </c>
      <c r="BS426">
        <f ca="1"/>
      </c>
      <c r="BT426">
        <f ca="1"/>
      </c>
      <c r="BU426">
        <f ca="1"/>
      </c>
      <c r="BV426">
        <f ca="1"/>
      </c>
      <c r="BW426">
        <f ca="1"/>
      </c>
      <c r="BX426">
        <f ca="1"/>
      </c>
      <c r="BY426">
        <f ca="1"/>
      </c>
      <c r="BZ426">
        <f ca="1"/>
      </c>
      <c r="CA426">
        <f ca="1"/>
      </c>
      <c r="CB426">
        <f ca="1"/>
      </c>
      <c r="CC426">
        <f ca="1"/>
      </c>
      <c r="CD426">
        <f ca="1"/>
      </c>
      <c r="CE426">
        <f ca="1"/>
      </c>
      <c r="CF426">
        <f ca="1"/>
      </c>
      <c r="CG426">
        <f ca="1"/>
      </c>
      <c r="CH426">
        <f ca="1"/>
      </c>
      <c r="CI426">
        <f ca="1"/>
      </c>
      <c r="CK426">
        <f ca="1"/>
      </c>
      <c r="CL426">
        <f ca="1"/>
      </c>
      <c r="CM426">
        <f ca="1"/>
      </c>
      <c r="CN426">
        <f ca="1"/>
      </c>
      <c r="CO426">
        <f ca="1"/>
      </c>
      <c r="CP426">
        <f ca="1"/>
      </c>
      <c r="CQ426">
        <f ca="1"/>
      </c>
      <c r="CR426">
        <f ca="1"/>
      </c>
      <c r="CS426">
        <f ca="1"/>
      </c>
      <c r="CT426">
        <f ca="1"/>
      </c>
      <c r="CU426">
        <f ca="1"/>
      </c>
      <c r="CV426">
        <f ca="1"/>
      </c>
      <c r="CW426">
        <f ca="1"/>
      </c>
      <c r="CX426">
        <f ca="1"/>
      </c>
      <c r="CY426">
        <f ca="1"/>
      </c>
      <c r="CZ426">
        <f ca="1"/>
      </c>
      <c r="DA426">
        <f ca="1"/>
      </c>
      <c r="DB426">
        <f ca="1"/>
      </c>
      <c r="DC426">
        <f ca="1"/>
      </c>
      <c r="DD426">
        <f ca="1"/>
      </c>
      <c r="DE426">
        <f ca="1"/>
      </c>
      <c r="DF426">
        <f ca="1"/>
      </c>
      <c r="DG426">
        <f ca="1"/>
      </c>
      <c r="DH426">
        <f ca="1"/>
      </c>
      <c r="DI426">
        <f ca="1"/>
      </c>
      <c r="DJ426">
        <f ca="1"/>
      </c>
      <c r="DK426">
        <f ca="1"/>
      </c>
      <c r="DL426">
        <f ca="1"/>
      </c>
      <c r="DM426">
        <f ca="1"/>
      </c>
      <c r="DN426">
        <f ca="1"/>
      </c>
      <c r="DO426">
        <f ca="1"/>
      </c>
      <c r="DP426">
        <f ca="1"/>
      </c>
      <c r="DQ426">
        <f ca="1"/>
      </c>
      <c r="DR426">
        <f ca="1"/>
      </c>
      <c r="DS426">
        <f ca="1"/>
      </c>
      <c r="DT426">
        <f ca="1"/>
      </c>
      <c r="DU426">
        <f ca="1"/>
      </c>
      <c r="DV426">
        <f ca="1"/>
      </c>
      <c r="DW426">
        <f ca="1"/>
      </c>
      <c r="DX426">
        <f ca="1"/>
      </c>
      <c r="DY426">
        <f ca="1"/>
      </c>
      <c r="DZ426">
        <f ca="1"/>
      </c>
      <c r="EA426">
        <f ca="1"/>
      </c>
      <c r="EB426">
        <f ca="1"/>
      </c>
      <c r="EC426">
        <f ca="1"/>
      </c>
      <c r="ED426">
        <f ca="1"/>
      </c>
      <c r="EE426">
        <f ca="1"/>
      </c>
      <c r="EG426">
        <f ca="1"/>
      </c>
      <c r="EH426">
        <f ca="1"/>
      </c>
      <c r="EI426">
        <f ca="1"/>
      </c>
      <c r="EJ426">
        <f ca="1"/>
      </c>
      <c r="EK426">
        <f ca="1"/>
      </c>
      <c r="EL426">
        <f ca="1"/>
      </c>
      <c r="EM426">
        <f ca="1"/>
      </c>
      <c r="EN426">
        <f ca="1"/>
      </c>
      <c r="EO426">
        <f ca="1"/>
      </c>
      <c r="EP426">
        <f ca="1"/>
      </c>
      <c r="EQ426">
        <f ca="1"/>
      </c>
      <c r="ER426">
        <f ca="1"/>
      </c>
      <c r="ES426">
        <f ca="1"/>
      </c>
      <c r="ET426">
        <f ca="1"/>
      </c>
      <c r="EU426">
        <f ca="1"/>
      </c>
      <c r="EV426">
        <f ca="1"/>
      </c>
      <c r="EW426">
        <f ca="1"/>
      </c>
      <c r="EX426">
        <f ca="1"/>
      </c>
      <c r="EY426">
        <f ca="1"/>
      </c>
      <c r="EZ426">
        <f ca="1"/>
      </c>
      <c r="FA426">
        <f ca="1"/>
      </c>
      <c r="FB426">
        <f ca="1"/>
      </c>
      <c r="FC426">
        <f ca="1"/>
      </c>
      <c r="FD426">
        <f ca="1"/>
      </c>
      <c r="FE426">
        <f ca="1"/>
      </c>
      <c r="FF426">
        <f ca="1"/>
      </c>
      <c r="FG426">
        <f ca="1"/>
      </c>
      <c r="FH426">
        <f ca="1"/>
      </c>
      <c r="FI426">
        <f ca="1"/>
      </c>
      <c r="FJ426">
        <f ca="1"/>
      </c>
      <c r="FK426">
        <f ca="1"/>
      </c>
      <c r="FL426">
        <f ca="1"/>
      </c>
      <c r="FM426">
        <f ca="1"/>
      </c>
      <c r="FN426">
        <f ca="1"/>
      </c>
      <c r="FO426">
        <f ca="1"/>
      </c>
      <c r="FP426">
        <f ca="1"/>
      </c>
      <c r="FQ426">
        <f ca="1"/>
      </c>
      <c r="FR426">
        <f ca="1"/>
      </c>
      <c r="FS426">
        <f ca="1"/>
      </c>
      <c r="FT426">
        <f ca="1"/>
      </c>
      <c r="FU426">
        <f ca="1"/>
      </c>
      <c r="FV426">
        <f ca="1"/>
      </c>
      <c r="FW426">
        <f ca="1"/>
      </c>
      <c r="FX426">
        <f ca="1"/>
      </c>
      <c r="FY426">
        <f ca="1"/>
      </c>
      <c r="FZ426">
        <f ca="1"/>
      </c>
      <c r="GA426">
        <f ca="1"/>
      </c>
      <c r="GM426" s="7"/>
    </row>
    <row r="427" spans="41:195" x14ac:dyDescent="0.55000000000000004">
      <c r="AO427">
        <f ca="1"/>
      </c>
      <c r="AP427">
        <f ca="1"/>
      </c>
      <c r="AQ427">
        <f ca="1"/>
      </c>
      <c r="AR427">
        <f ca="1"/>
      </c>
      <c r="AS427">
        <f ca="1"/>
      </c>
      <c r="AT427">
        <f ca="1"/>
      </c>
      <c r="AU427">
        <f ca="1"/>
      </c>
      <c r="AV427">
        <f ca="1"/>
      </c>
      <c r="AW427">
        <f ca="1"/>
      </c>
      <c r="AX427">
        <f ca="1"/>
      </c>
      <c r="AY427">
        <f ca="1"/>
      </c>
      <c r="AZ427">
        <f ca="1"/>
      </c>
      <c r="BA427">
        <f ca="1"/>
      </c>
      <c r="BB427">
        <f ca="1"/>
      </c>
      <c r="BC427">
        <f ca="1"/>
      </c>
      <c r="BD427">
        <f ca="1"/>
      </c>
      <c r="BE427">
        <f ca="1"/>
      </c>
      <c r="BF427">
        <f ca="1"/>
      </c>
      <c r="BG427">
        <f ca="1"/>
      </c>
      <c r="BH427">
        <f ca="1"/>
      </c>
      <c r="BI427">
        <f ca="1"/>
      </c>
      <c r="BJ427">
        <f ca="1"/>
      </c>
      <c r="BK427">
        <f ca="1"/>
      </c>
      <c r="BL427">
        <f ca="1"/>
      </c>
      <c r="BM427">
        <f ca="1"/>
      </c>
      <c r="BN427">
        <f ca="1"/>
      </c>
      <c r="BO427">
        <f ca="1"/>
      </c>
      <c r="BP427">
        <f ca="1"/>
      </c>
      <c r="BQ427">
        <f ca="1"/>
      </c>
      <c r="BR427">
        <f ca="1"/>
      </c>
      <c r="BS427">
        <f ca="1"/>
      </c>
      <c r="BT427">
        <f ca="1"/>
      </c>
      <c r="BU427">
        <f ca="1"/>
      </c>
      <c r="BV427">
        <f ca="1"/>
      </c>
      <c r="BW427">
        <f ca="1"/>
      </c>
      <c r="BX427">
        <f ca="1"/>
      </c>
      <c r="BY427">
        <f ca="1"/>
      </c>
      <c r="BZ427">
        <f ca="1"/>
      </c>
      <c r="CA427">
        <f ca="1"/>
      </c>
      <c r="CB427">
        <f ca="1"/>
      </c>
      <c r="CC427">
        <f ca="1"/>
      </c>
      <c r="CD427">
        <f ca="1"/>
      </c>
      <c r="CE427">
        <f ca="1"/>
      </c>
      <c r="CF427">
        <f ca="1"/>
      </c>
      <c r="CG427">
        <f ca="1"/>
      </c>
      <c r="CH427">
        <f ca="1"/>
      </c>
      <c r="CI427">
        <f ca="1"/>
      </c>
      <c r="CK427">
        <f ca="1"/>
      </c>
      <c r="CL427">
        <f ca="1"/>
      </c>
      <c r="CM427">
        <f ca="1"/>
      </c>
      <c r="CN427">
        <f ca="1"/>
      </c>
      <c r="CO427">
        <f ca="1"/>
      </c>
      <c r="CP427">
        <f ca="1"/>
      </c>
      <c r="CQ427">
        <f ca="1"/>
      </c>
      <c r="CR427">
        <f ca="1"/>
      </c>
      <c r="CS427">
        <f ca="1"/>
      </c>
      <c r="CT427">
        <f ca="1"/>
      </c>
      <c r="CU427">
        <f ca="1"/>
      </c>
      <c r="CV427">
        <f ca="1"/>
      </c>
      <c r="CW427">
        <f ca="1"/>
      </c>
      <c r="CX427">
        <f ca="1"/>
      </c>
      <c r="CY427">
        <f ca="1"/>
      </c>
      <c r="CZ427">
        <f ca="1"/>
      </c>
      <c r="DA427">
        <f ca="1"/>
      </c>
      <c r="DB427">
        <f ca="1"/>
      </c>
      <c r="DC427">
        <f ca="1"/>
      </c>
      <c r="DD427">
        <f ca="1"/>
      </c>
      <c r="DE427">
        <f ca="1"/>
      </c>
      <c r="DF427">
        <f ca="1"/>
      </c>
      <c r="DG427">
        <f ca="1"/>
      </c>
      <c r="DH427">
        <f ca="1"/>
      </c>
      <c r="DI427">
        <f ca="1"/>
      </c>
      <c r="DJ427">
        <f ca="1"/>
      </c>
      <c r="DK427">
        <f ca="1"/>
      </c>
      <c r="DL427">
        <f ca="1"/>
      </c>
      <c r="DM427">
        <f ca="1"/>
      </c>
      <c r="DN427">
        <f ca="1"/>
      </c>
      <c r="DO427">
        <f ca="1"/>
      </c>
      <c r="DP427">
        <f ca="1"/>
      </c>
      <c r="DQ427">
        <f ca="1"/>
      </c>
      <c r="DR427">
        <f ca="1"/>
      </c>
      <c r="DS427">
        <f ca="1"/>
      </c>
      <c r="DT427">
        <f ca="1"/>
      </c>
      <c r="DU427">
        <f ca="1"/>
      </c>
      <c r="DV427">
        <f ca="1"/>
      </c>
      <c r="DW427">
        <f ca="1"/>
      </c>
      <c r="DX427">
        <f ca="1"/>
      </c>
      <c r="DY427">
        <f ca="1"/>
      </c>
      <c r="DZ427">
        <f ca="1"/>
      </c>
      <c r="EA427">
        <f ca="1"/>
      </c>
      <c r="EB427">
        <f ca="1"/>
      </c>
      <c r="EC427">
        <f ca="1"/>
      </c>
      <c r="ED427">
        <f ca="1"/>
      </c>
      <c r="EE427">
        <f ca="1"/>
      </c>
      <c r="EG427">
        <f ca="1"/>
      </c>
      <c r="EH427">
        <f ca="1"/>
      </c>
      <c r="EI427">
        <f ca="1"/>
      </c>
      <c r="EJ427">
        <f ca="1"/>
      </c>
      <c r="EK427">
        <f ca="1"/>
      </c>
      <c r="EL427">
        <f ca="1"/>
      </c>
      <c r="EM427">
        <f ca="1"/>
      </c>
      <c r="EN427">
        <f ca="1"/>
      </c>
      <c r="EO427">
        <f ca="1"/>
      </c>
      <c r="EP427">
        <f ca="1"/>
      </c>
      <c r="EQ427">
        <f ca="1"/>
      </c>
      <c r="ER427">
        <f ca="1"/>
      </c>
      <c r="ES427">
        <f ca="1"/>
      </c>
      <c r="ET427">
        <f ca="1"/>
      </c>
      <c r="EU427">
        <f ca="1"/>
      </c>
      <c r="EV427">
        <f ca="1"/>
      </c>
      <c r="EW427">
        <f ca="1"/>
      </c>
      <c r="EX427">
        <f ca="1"/>
      </c>
      <c r="EY427">
        <f ca="1"/>
      </c>
      <c r="EZ427">
        <f ca="1"/>
      </c>
      <c r="FA427">
        <f ca="1"/>
      </c>
      <c r="FB427">
        <f ca="1"/>
      </c>
      <c r="FC427">
        <f ca="1"/>
      </c>
      <c r="FD427">
        <f ca="1"/>
      </c>
      <c r="FE427">
        <f ca="1"/>
      </c>
      <c r="FF427">
        <f ca="1"/>
      </c>
      <c r="FG427">
        <f ca="1"/>
      </c>
      <c r="FH427">
        <f ca="1"/>
      </c>
      <c r="FI427">
        <f ca="1"/>
      </c>
      <c r="FJ427">
        <f ca="1"/>
      </c>
      <c r="FK427">
        <f ca="1"/>
      </c>
      <c r="FL427">
        <f ca="1"/>
      </c>
      <c r="FM427">
        <f ca="1"/>
      </c>
      <c r="FN427">
        <f ca="1"/>
      </c>
      <c r="FO427">
        <f ca="1"/>
      </c>
      <c r="FP427">
        <f ca="1"/>
      </c>
      <c r="FQ427">
        <f ca="1"/>
      </c>
      <c r="FR427">
        <f ca="1"/>
      </c>
      <c r="FS427">
        <f ca="1"/>
      </c>
      <c r="FT427">
        <f ca="1"/>
      </c>
      <c r="FU427">
        <f ca="1"/>
      </c>
      <c r="FV427">
        <f ca="1"/>
      </c>
      <c r="FW427">
        <f ca="1"/>
      </c>
      <c r="FX427">
        <f ca="1"/>
      </c>
      <c r="FY427">
        <f ca="1"/>
      </c>
      <c r="FZ427">
        <f ca="1"/>
      </c>
      <c r="GA427">
        <f ca="1"/>
      </c>
      <c r="GM427" s="7"/>
    </row>
    <row r="428" spans="41:195" x14ac:dyDescent="0.55000000000000004">
      <c r="AO428">
        <f ca="1"/>
      </c>
      <c r="AP428">
        <f ca="1"/>
      </c>
      <c r="AQ428">
        <f ca="1"/>
      </c>
      <c r="AR428">
        <f ca="1"/>
      </c>
      <c r="AS428">
        <f ca="1"/>
      </c>
      <c r="AT428">
        <f ca="1"/>
      </c>
      <c r="AU428">
        <f ca="1"/>
      </c>
      <c r="AV428">
        <f ca="1"/>
      </c>
      <c r="AW428">
        <f ca="1"/>
      </c>
      <c r="AX428">
        <f ca="1"/>
      </c>
      <c r="AY428">
        <f ca="1"/>
      </c>
      <c r="AZ428">
        <f ca="1"/>
      </c>
      <c r="BA428">
        <f ca="1"/>
      </c>
      <c r="BB428">
        <f ca="1"/>
      </c>
      <c r="BC428">
        <f ca="1"/>
      </c>
      <c r="BD428">
        <f ca="1"/>
      </c>
      <c r="BE428">
        <f ca="1"/>
      </c>
      <c r="BF428">
        <f ca="1"/>
      </c>
      <c r="BG428">
        <f ca="1"/>
      </c>
      <c r="BH428">
        <f ca="1"/>
      </c>
      <c r="BI428">
        <f ca="1"/>
      </c>
      <c r="BJ428">
        <f ca="1"/>
      </c>
      <c r="BK428">
        <f ca="1"/>
      </c>
      <c r="BL428">
        <f ca="1"/>
      </c>
      <c r="BM428">
        <f ca="1"/>
      </c>
      <c r="BN428">
        <f ca="1"/>
      </c>
      <c r="BO428">
        <f ca="1"/>
      </c>
      <c r="BP428">
        <f ca="1"/>
      </c>
      <c r="BQ428">
        <f ca="1"/>
      </c>
      <c r="BR428">
        <f ca="1"/>
      </c>
      <c r="BS428">
        <f ca="1"/>
      </c>
      <c r="BT428">
        <f ca="1"/>
      </c>
      <c r="BU428">
        <f ca="1"/>
      </c>
      <c r="BV428">
        <f ca="1"/>
      </c>
      <c r="BW428">
        <f ca="1"/>
      </c>
      <c r="BX428">
        <f ca="1"/>
      </c>
      <c r="BY428">
        <f ca="1"/>
      </c>
      <c r="BZ428">
        <f ca="1"/>
      </c>
      <c r="CA428">
        <f ca="1"/>
      </c>
      <c r="CB428">
        <f ca="1"/>
      </c>
      <c r="CC428">
        <f ca="1"/>
      </c>
      <c r="CD428">
        <f ca="1"/>
      </c>
      <c r="CE428">
        <f ca="1"/>
      </c>
      <c r="CF428">
        <f ca="1"/>
      </c>
      <c r="CG428">
        <f ca="1"/>
      </c>
      <c r="CH428">
        <f ca="1"/>
      </c>
      <c r="CI428">
        <f ca="1"/>
      </c>
      <c r="CK428">
        <f ca="1"/>
      </c>
      <c r="CL428">
        <f ca="1"/>
      </c>
      <c r="CM428">
        <f ca="1"/>
      </c>
      <c r="CN428">
        <f ca="1"/>
      </c>
      <c r="CO428">
        <f ca="1"/>
      </c>
      <c r="CP428">
        <f ca="1"/>
      </c>
      <c r="CQ428">
        <f ca="1"/>
      </c>
      <c r="CR428">
        <f ca="1"/>
      </c>
      <c r="CS428">
        <f ca="1"/>
      </c>
      <c r="CT428">
        <f ca="1"/>
      </c>
      <c r="CU428">
        <f ca="1"/>
      </c>
      <c r="CV428">
        <f ca="1"/>
      </c>
      <c r="CW428">
        <f ca="1"/>
      </c>
      <c r="CX428">
        <f ca="1"/>
      </c>
      <c r="CY428">
        <f ca="1"/>
      </c>
      <c r="CZ428">
        <f ca="1"/>
      </c>
      <c r="DA428">
        <f ca="1"/>
      </c>
      <c r="DB428">
        <f ca="1"/>
      </c>
      <c r="DC428">
        <f ca="1"/>
      </c>
      <c r="DD428">
        <f ca="1"/>
      </c>
      <c r="DE428">
        <f ca="1"/>
      </c>
      <c r="DF428">
        <f ca="1"/>
      </c>
      <c r="DG428">
        <f ca="1"/>
      </c>
      <c r="DH428">
        <f ca="1"/>
      </c>
      <c r="DI428">
        <f ca="1"/>
      </c>
      <c r="DJ428">
        <f ca="1"/>
      </c>
      <c r="DK428">
        <f ca="1"/>
      </c>
      <c r="DL428">
        <f ca="1"/>
      </c>
      <c r="DM428">
        <f ca="1"/>
      </c>
      <c r="DN428">
        <f ca="1"/>
      </c>
      <c r="DO428">
        <f ca="1"/>
      </c>
      <c r="DP428">
        <f ca="1"/>
      </c>
      <c r="DQ428">
        <f ca="1"/>
      </c>
      <c r="DR428">
        <f ca="1"/>
      </c>
      <c r="DS428">
        <f ca="1"/>
      </c>
      <c r="DT428">
        <f ca="1"/>
      </c>
      <c r="DU428">
        <f ca="1"/>
      </c>
      <c r="DV428">
        <f ca="1"/>
      </c>
      <c r="DW428">
        <f ca="1"/>
      </c>
      <c r="DX428">
        <f ca="1"/>
      </c>
      <c r="DY428">
        <f ca="1"/>
      </c>
      <c r="DZ428">
        <f ca="1"/>
      </c>
      <c r="EA428">
        <f ca="1"/>
      </c>
      <c r="EB428">
        <f ca="1"/>
      </c>
      <c r="EC428">
        <f ca="1"/>
      </c>
      <c r="ED428">
        <f ca="1"/>
      </c>
      <c r="EE428">
        <f ca="1"/>
      </c>
      <c r="EG428">
        <f ca="1"/>
      </c>
      <c r="EH428">
        <f ca="1"/>
      </c>
      <c r="EI428">
        <f ca="1"/>
      </c>
      <c r="EJ428">
        <f ca="1"/>
      </c>
      <c r="EK428">
        <f ca="1"/>
      </c>
      <c r="EL428">
        <f ca="1"/>
      </c>
      <c r="EM428">
        <f ca="1"/>
      </c>
      <c r="EN428">
        <f ca="1"/>
      </c>
      <c r="EO428">
        <f ca="1"/>
      </c>
      <c r="EP428">
        <f ca="1"/>
      </c>
      <c r="EQ428">
        <f ca="1"/>
      </c>
      <c r="ER428">
        <f ca="1"/>
      </c>
      <c r="ES428">
        <f ca="1"/>
      </c>
      <c r="ET428">
        <f ca="1"/>
      </c>
      <c r="EU428">
        <f ca="1"/>
      </c>
      <c r="EV428">
        <f ca="1"/>
      </c>
      <c r="EW428">
        <f ca="1"/>
      </c>
      <c r="EX428">
        <f ca="1"/>
      </c>
      <c r="EY428">
        <f ca="1"/>
      </c>
      <c r="EZ428">
        <f ca="1"/>
      </c>
      <c r="FA428">
        <f ca="1"/>
      </c>
      <c r="FB428">
        <f ca="1"/>
      </c>
      <c r="FC428">
        <f ca="1"/>
      </c>
      <c r="FD428">
        <f ca="1"/>
      </c>
      <c r="FE428">
        <f ca="1"/>
      </c>
      <c r="FF428">
        <f ca="1"/>
      </c>
      <c r="FG428">
        <f ca="1"/>
      </c>
      <c r="FH428">
        <f ca="1"/>
      </c>
      <c r="FI428">
        <f ca="1"/>
      </c>
      <c r="FJ428">
        <f ca="1"/>
      </c>
      <c r="FK428">
        <f ca="1"/>
      </c>
      <c r="FL428">
        <f ca="1"/>
      </c>
      <c r="FM428">
        <f ca="1"/>
      </c>
      <c r="FN428">
        <f ca="1"/>
      </c>
      <c r="FO428">
        <f ca="1"/>
      </c>
      <c r="FP428">
        <f ca="1"/>
      </c>
      <c r="FQ428">
        <f ca="1"/>
      </c>
      <c r="FR428">
        <f ca="1"/>
      </c>
      <c r="FS428">
        <f ca="1"/>
      </c>
      <c r="FT428">
        <f ca="1"/>
      </c>
      <c r="FU428">
        <f ca="1"/>
      </c>
      <c r="FV428">
        <f ca="1"/>
      </c>
      <c r="FW428">
        <f ca="1"/>
      </c>
      <c r="FX428">
        <f ca="1"/>
      </c>
      <c r="FY428">
        <f ca="1"/>
      </c>
      <c r="FZ428">
        <f ca="1"/>
      </c>
      <c r="GA428">
        <f ca="1"/>
      </c>
      <c r="GM428" s="7"/>
    </row>
    <row r="429" spans="41:195" x14ac:dyDescent="0.55000000000000004">
      <c r="AO429">
        <f ca="1"/>
      </c>
      <c r="AP429">
        <f ca="1"/>
      </c>
      <c r="AQ429">
        <f ca="1"/>
      </c>
      <c r="AR429">
        <f ca="1"/>
      </c>
      <c r="AS429">
        <f ca="1"/>
      </c>
      <c r="AT429">
        <f ca="1"/>
      </c>
      <c r="AU429">
        <f ca="1"/>
      </c>
      <c r="AV429">
        <f ca="1"/>
      </c>
      <c r="AW429">
        <f ca="1"/>
      </c>
      <c r="AX429">
        <f ca="1"/>
      </c>
      <c r="AY429">
        <f ca="1"/>
      </c>
      <c r="AZ429">
        <f ca="1"/>
      </c>
      <c r="BA429">
        <f ca="1"/>
      </c>
      <c r="BB429">
        <f ca="1"/>
      </c>
      <c r="BC429">
        <f ca="1"/>
      </c>
      <c r="BD429">
        <f ca="1"/>
      </c>
      <c r="BE429">
        <f ca="1"/>
      </c>
      <c r="BF429">
        <f ca="1"/>
      </c>
      <c r="BG429">
        <f ca="1"/>
      </c>
      <c r="BH429">
        <f ca="1"/>
      </c>
      <c r="BI429">
        <f ca="1"/>
      </c>
      <c r="BJ429">
        <f ca="1"/>
      </c>
      <c r="BK429">
        <f ca="1"/>
      </c>
      <c r="BL429">
        <f ca="1"/>
      </c>
      <c r="BM429">
        <f ca="1"/>
      </c>
      <c r="BN429">
        <f ca="1"/>
      </c>
      <c r="BO429">
        <f ca="1"/>
      </c>
      <c r="BP429">
        <f ca="1"/>
      </c>
      <c r="BQ429">
        <f ca="1"/>
      </c>
      <c r="BR429">
        <f ca="1"/>
      </c>
      <c r="BS429">
        <f ca="1"/>
      </c>
      <c r="BT429">
        <f ca="1"/>
      </c>
      <c r="BU429">
        <f ca="1"/>
      </c>
      <c r="BV429">
        <f ca="1"/>
      </c>
      <c r="BW429">
        <f ca="1"/>
      </c>
      <c r="BX429">
        <f ca="1"/>
      </c>
      <c r="BY429">
        <f ca="1"/>
      </c>
      <c r="BZ429">
        <f ca="1"/>
      </c>
      <c r="CA429">
        <f ca="1"/>
      </c>
      <c r="CB429">
        <f ca="1"/>
      </c>
      <c r="CC429">
        <f ca="1"/>
      </c>
      <c r="CD429">
        <f ca="1"/>
      </c>
      <c r="CE429">
        <f ca="1"/>
      </c>
      <c r="CF429">
        <f ca="1"/>
      </c>
      <c r="CG429">
        <f ca="1"/>
      </c>
      <c r="CH429">
        <f ca="1"/>
      </c>
      <c r="CI429">
        <f ca="1"/>
      </c>
      <c r="CK429">
        <f ca="1"/>
      </c>
      <c r="CL429">
        <f ca="1"/>
      </c>
      <c r="CM429">
        <f ca="1"/>
      </c>
      <c r="CN429">
        <f ca="1"/>
      </c>
      <c r="CO429">
        <f ca="1"/>
      </c>
      <c r="CP429">
        <f ca="1"/>
      </c>
      <c r="CQ429">
        <f ca="1"/>
      </c>
      <c r="CR429">
        <f ca="1"/>
      </c>
      <c r="CS429">
        <f ca="1"/>
      </c>
      <c r="CT429">
        <f ca="1"/>
      </c>
      <c r="CU429">
        <f ca="1"/>
      </c>
      <c r="CV429">
        <f ca="1"/>
      </c>
      <c r="CW429">
        <f ca="1"/>
      </c>
      <c r="CX429">
        <f ca="1"/>
      </c>
      <c r="CY429">
        <f ca="1"/>
      </c>
      <c r="CZ429">
        <f ca="1"/>
      </c>
      <c r="DA429">
        <f ca="1"/>
      </c>
      <c r="DB429">
        <f ca="1"/>
      </c>
      <c r="DC429">
        <f ca="1"/>
      </c>
      <c r="DD429">
        <f ca="1"/>
      </c>
      <c r="DE429">
        <f ca="1"/>
      </c>
      <c r="DF429">
        <f ca="1"/>
      </c>
      <c r="DG429">
        <f ca="1"/>
      </c>
      <c r="DH429">
        <f ca="1"/>
      </c>
      <c r="DI429">
        <f ca="1"/>
      </c>
      <c r="DJ429">
        <f ca="1"/>
      </c>
      <c r="DK429">
        <f ca="1"/>
      </c>
      <c r="DL429">
        <f ca="1"/>
      </c>
      <c r="DM429">
        <f ca="1"/>
      </c>
      <c r="DN429">
        <f ca="1"/>
      </c>
      <c r="DO429">
        <f ca="1"/>
      </c>
      <c r="DP429">
        <f ca="1"/>
      </c>
      <c r="DQ429">
        <f ca="1"/>
      </c>
      <c r="DR429">
        <f ca="1"/>
      </c>
      <c r="DS429">
        <f ca="1"/>
      </c>
      <c r="DT429">
        <f ca="1"/>
      </c>
      <c r="DU429">
        <f ca="1"/>
      </c>
      <c r="DV429">
        <f ca="1"/>
      </c>
      <c r="DW429">
        <f ca="1"/>
      </c>
      <c r="DX429">
        <f ca="1"/>
      </c>
      <c r="DY429">
        <f ca="1"/>
      </c>
      <c r="DZ429">
        <f ca="1"/>
      </c>
      <c r="EA429">
        <f ca="1"/>
      </c>
      <c r="EB429">
        <f ca="1"/>
      </c>
      <c r="EC429">
        <f ca="1"/>
      </c>
      <c r="ED429">
        <f ca="1"/>
      </c>
      <c r="EE429">
        <f ca="1"/>
      </c>
      <c r="EG429">
        <f ca="1"/>
      </c>
      <c r="EH429">
        <f ca="1"/>
      </c>
      <c r="EI429">
        <f ca="1"/>
      </c>
      <c r="EJ429">
        <f ca="1"/>
      </c>
      <c r="EK429">
        <f ca="1"/>
      </c>
      <c r="EL429">
        <f ca="1"/>
      </c>
      <c r="EM429">
        <f ca="1"/>
      </c>
      <c r="EN429">
        <f ca="1"/>
      </c>
      <c r="EO429">
        <f ca="1"/>
      </c>
      <c r="EP429">
        <f ca="1"/>
      </c>
      <c r="EQ429">
        <f ca="1"/>
      </c>
      <c r="ER429">
        <f ca="1"/>
      </c>
      <c r="ES429">
        <f ca="1"/>
      </c>
      <c r="ET429">
        <f ca="1"/>
      </c>
      <c r="EU429">
        <f ca="1"/>
      </c>
      <c r="EV429">
        <f ca="1"/>
      </c>
      <c r="EW429">
        <f ca="1"/>
      </c>
      <c r="EX429">
        <f ca="1"/>
      </c>
      <c r="EY429">
        <f ca="1"/>
      </c>
      <c r="EZ429">
        <f ca="1"/>
      </c>
      <c r="FA429">
        <f ca="1"/>
      </c>
      <c r="FB429">
        <f ca="1"/>
      </c>
      <c r="FC429">
        <f ca="1"/>
      </c>
      <c r="FD429">
        <f ca="1"/>
      </c>
      <c r="FE429">
        <f ca="1"/>
      </c>
      <c r="FF429">
        <f ca="1"/>
      </c>
      <c r="FG429">
        <f ca="1"/>
      </c>
      <c r="FH429">
        <f ca="1"/>
      </c>
      <c r="FI429">
        <f ca="1"/>
      </c>
      <c r="FJ429">
        <f ca="1"/>
      </c>
      <c r="FK429">
        <f ca="1"/>
      </c>
      <c r="FL429">
        <f ca="1"/>
      </c>
      <c r="FM429">
        <f ca="1"/>
      </c>
      <c r="FN429">
        <f ca="1"/>
      </c>
      <c r="FO429">
        <f ca="1"/>
      </c>
      <c r="FP429">
        <f ca="1"/>
      </c>
      <c r="FQ429">
        <f ca="1"/>
      </c>
      <c r="FR429">
        <f ca="1"/>
      </c>
      <c r="FS429">
        <f ca="1"/>
      </c>
      <c r="FT429">
        <f ca="1"/>
      </c>
      <c r="FU429">
        <f ca="1"/>
      </c>
      <c r="FV429">
        <f ca="1"/>
      </c>
      <c r="FW429">
        <f ca="1"/>
      </c>
      <c r="FX429">
        <f ca="1"/>
      </c>
      <c r="FY429">
        <f ca="1"/>
      </c>
      <c r="FZ429">
        <f ca="1"/>
      </c>
      <c r="GA429">
        <f ca="1"/>
      </c>
      <c r="GM429" s="7"/>
    </row>
    <row r="430" spans="41:195" x14ac:dyDescent="0.55000000000000004">
      <c r="AO430">
        <f ca="1"/>
      </c>
      <c r="AP430">
        <f ca="1"/>
      </c>
      <c r="AQ430">
        <f ca="1"/>
      </c>
      <c r="AR430">
        <f ca="1"/>
      </c>
      <c r="AS430">
        <f ca="1"/>
      </c>
      <c r="AT430">
        <f ca="1"/>
      </c>
      <c r="AU430">
        <f ca="1"/>
      </c>
      <c r="AV430">
        <f ca="1"/>
      </c>
      <c r="AW430">
        <f ca="1"/>
      </c>
      <c r="AX430">
        <f ca="1"/>
      </c>
      <c r="AY430">
        <f ca="1"/>
      </c>
      <c r="AZ430">
        <f ca="1"/>
      </c>
      <c r="BA430">
        <f ca="1"/>
      </c>
      <c r="BB430">
        <f ca="1"/>
      </c>
      <c r="BC430">
        <f ca="1"/>
      </c>
      <c r="BD430">
        <f ca="1"/>
      </c>
      <c r="BE430">
        <f ca="1"/>
      </c>
      <c r="BF430">
        <f ca="1"/>
      </c>
      <c r="BG430">
        <f ca="1"/>
      </c>
      <c r="BH430">
        <f ca="1"/>
      </c>
      <c r="BI430">
        <f ca="1"/>
      </c>
      <c r="BJ430">
        <f ca="1"/>
      </c>
      <c r="BK430">
        <f ca="1"/>
      </c>
      <c r="BL430">
        <f ca="1"/>
      </c>
      <c r="BM430">
        <f ca="1"/>
      </c>
      <c r="BN430">
        <f ca="1"/>
      </c>
      <c r="BO430">
        <f ca="1"/>
      </c>
      <c r="BP430">
        <f ca="1"/>
      </c>
      <c r="BQ430">
        <f ca="1"/>
      </c>
      <c r="BR430">
        <f ca="1"/>
      </c>
      <c r="BS430">
        <f ca="1"/>
      </c>
      <c r="BT430">
        <f ca="1"/>
      </c>
      <c r="BU430">
        <f ca="1"/>
      </c>
      <c r="BV430">
        <f ca="1"/>
      </c>
      <c r="BW430">
        <f ca="1"/>
      </c>
      <c r="BX430">
        <f ca="1"/>
      </c>
      <c r="BY430">
        <f ca="1"/>
      </c>
      <c r="BZ430">
        <f ca="1"/>
      </c>
      <c r="CA430">
        <f ca="1"/>
      </c>
      <c r="CB430">
        <f ca="1"/>
      </c>
      <c r="CC430">
        <f ca="1"/>
      </c>
      <c r="CD430">
        <f ca="1"/>
      </c>
      <c r="CE430">
        <f ca="1"/>
      </c>
      <c r="CF430">
        <f ca="1"/>
      </c>
      <c r="CG430">
        <f ca="1"/>
      </c>
      <c r="CH430">
        <f ca="1"/>
      </c>
      <c r="CI430">
        <f ca="1"/>
      </c>
      <c r="CK430">
        <f ca="1"/>
      </c>
      <c r="CL430">
        <f ca="1"/>
      </c>
      <c r="CM430">
        <f ca="1"/>
      </c>
      <c r="CN430">
        <f ca="1"/>
      </c>
      <c r="CO430">
        <f ca="1"/>
      </c>
      <c r="CP430">
        <f ca="1"/>
      </c>
      <c r="CQ430">
        <f ca="1"/>
      </c>
      <c r="CR430">
        <f ca="1"/>
      </c>
      <c r="CS430">
        <f ca="1"/>
      </c>
      <c r="CT430">
        <f ca="1"/>
      </c>
      <c r="CU430">
        <f ca="1"/>
      </c>
      <c r="CV430">
        <f ca="1"/>
      </c>
      <c r="CW430">
        <f ca="1"/>
      </c>
      <c r="CX430">
        <f ca="1"/>
      </c>
      <c r="CY430">
        <f ca="1"/>
      </c>
      <c r="CZ430">
        <f ca="1"/>
      </c>
      <c r="DA430">
        <f ca="1"/>
      </c>
      <c r="DB430">
        <f ca="1"/>
      </c>
      <c r="DC430">
        <f ca="1"/>
      </c>
      <c r="DD430">
        <f ca="1"/>
      </c>
      <c r="DE430">
        <f ca="1"/>
      </c>
      <c r="DF430">
        <f ca="1"/>
      </c>
      <c r="DG430">
        <f ca="1"/>
      </c>
      <c r="DH430">
        <f ca="1"/>
      </c>
      <c r="DI430">
        <f ca="1"/>
      </c>
      <c r="DJ430">
        <f ca="1"/>
      </c>
      <c r="DK430">
        <f ca="1"/>
      </c>
      <c r="DL430">
        <f ca="1"/>
      </c>
      <c r="DM430">
        <f ca="1"/>
      </c>
      <c r="DN430">
        <f ca="1"/>
      </c>
      <c r="DO430">
        <f ca="1"/>
      </c>
      <c r="DP430">
        <f ca="1"/>
      </c>
      <c r="DQ430">
        <f ca="1"/>
      </c>
      <c r="DR430">
        <f ca="1"/>
      </c>
      <c r="DS430">
        <f ca="1"/>
      </c>
      <c r="DT430">
        <f ca="1"/>
      </c>
      <c r="DU430">
        <f ca="1"/>
      </c>
      <c r="DV430">
        <f ca="1"/>
      </c>
      <c r="DW430">
        <f ca="1"/>
      </c>
      <c r="DX430">
        <f ca="1"/>
      </c>
      <c r="DY430">
        <f ca="1"/>
      </c>
      <c r="DZ430">
        <f ca="1"/>
      </c>
      <c r="EA430">
        <f ca="1"/>
      </c>
      <c r="EB430">
        <f ca="1"/>
      </c>
      <c r="EC430">
        <f ca="1"/>
      </c>
      <c r="ED430">
        <f ca="1"/>
      </c>
      <c r="EE430">
        <f ca="1"/>
      </c>
      <c r="EG430">
        <f ca="1"/>
      </c>
      <c r="EH430">
        <f ca="1"/>
      </c>
      <c r="EI430">
        <f ca="1"/>
      </c>
      <c r="EJ430">
        <f ca="1"/>
      </c>
      <c r="EK430">
        <f ca="1"/>
      </c>
      <c r="EL430">
        <f ca="1"/>
      </c>
      <c r="EM430">
        <f ca="1"/>
      </c>
      <c r="EN430">
        <f ca="1"/>
      </c>
      <c r="EO430">
        <f ca="1"/>
      </c>
      <c r="EP430">
        <f ca="1"/>
      </c>
      <c r="EQ430">
        <f ca="1"/>
      </c>
      <c r="ER430">
        <f ca="1"/>
      </c>
      <c r="ES430">
        <f ca="1"/>
      </c>
      <c r="ET430">
        <f ca="1"/>
      </c>
      <c r="EU430">
        <f ca="1"/>
      </c>
      <c r="EV430">
        <f ca="1"/>
      </c>
      <c r="EW430">
        <f ca="1"/>
      </c>
      <c r="EX430">
        <f ca="1"/>
      </c>
      <c r="EY430">
        <f ca="1"/>
      </c>
      <c r="EZ430">
        <f ca="1"/>
      </c>
      <c r="FA430">
        <f ca="1"/>
      </c>
      <c r="FB430">
        <f ca="1"/>
      </c>
      <c r="FC430">
        <f ca="1"/>
      </c>
      <c r="FD430">
        <f ca="1"/>
      </c>
      <c r="FE430">
        <f ca="1"/>
      </c>
      <c r="FF430">
        <f ca="1"/>
      </c>
      <c r="FG430">
        <f ca="1"/>
      </c>
      <c r="FH430">
        <f ca="1"/>
      </c>
      <c r="FI430">
        <f ca="1"/>
      </c>
      <c r="FJ430">
        <f ca="1"/>
      </c>
      <c r="FK430">
        <f ca="1"/>
      </c>
      <c r="FL430">
        <f ca="1"/>
      </c>
      <c r="FM430">
        <f ca="1"/>
      </c>
      <c r="FN430">
        <f ca="1"/>
      </c>
      <c r="FO430">
        <f ca="1"/>
      </c>
      <c r="FP430">
        <f ca="1"/>
      </c>
      <c r="FQ430">
        <f ca="1"/>
      </c>
      <c r="FR430">
        <f ca="1"/>
      </c>
      <c r="FS430">
        <f ca="1"/>
      </c>
      <c r="FT430">
        <f ca="1"/>
      </c>
      <c r="FU430">
        <f ca="1"/>
      </c>
      <c r="FV430">
        <f ca="1"/>
      </c>
      <c r="FW430">
        <f ca="1"/>
      </c>
      <c r="FX430">
        <f ca="1"/>
      </c>
      <c r="FY430">
        <f ca="1"/>
      </c>
      <c r="FZ430">
        <f ca="1"/>
      </c>
      <c r="GA430">
        <f ca="1"/>
      </c>
      <c r="GM430" s="7"/>
    </row>
    <row r="431" spans="41:195" x14ac:dyDescent="0.55000000000000004">
      <c r="AO431">
        <f ca="1"/>
      </c>
      <c r="AP431">
        <f ca="1"/>
      </c>
      <c r="AQ431">
        <f ca="1"/>
      </c>
      <c r="AR431">
        <f ca="1"/>
      </c>
      <c r="AS431">
        <f ca="1"/>
      </c>
      <c r="AT431">
        <f ca="1"/>
      </c>
      <c r="AU431">
        <f ca="1"/>
      </c>
      <c r="AV431">
        <f ca="1"/>
      </c>
      <c r="AW431">
        <f ca="1"/>
      </c>
      <c r="AX431">
        <f ca="1"/>
      </c>
      <c r="AY431">
        <f ca="1"/>
      </c>
      <c r="AZ431">
        <f ca="1"/>
      </c>
      <c r="BA431">
        <f ca="1"/>
      </c>
      <c r="BB431">
        <f ca="1"/>
      </c>
      <c r="BC431">
        <f ca="1"/>
      </c>
      <c r="BD431">
        <f ca="1"/>
      </c>
      <c r="BE431">
        <f ca="1"/>
      </c>
      <c r="BF431">
        <f ca="1"/>
      </c>
      <c r="BG431">
        <f ca="1"/>
      </c>
      <c r="BH431">
        <f ca="1"/>
      </c>
      <c r="BI431">
        <f ca="1"/>
      </c>
      <c r="BJ431">
        <f ca="1"/>
      </c>
      <c r="BK431">
        <f ca="1"/>
      </c>
      <c r="BL431">
        <f ca="1"/>
      </c>
      <c r="BM431">
        <f ca="1"/>
      </c>
      <c r="BN431">
        <f ca="1"/>
      </c>
      <c r="BO431">
        <f ca="1"/>
      </c>
      <c r="BP431">
        <f ca="1"/>
      </c>
      <c r="BQ431">
        <f ca="1"/>
      </c>
      <c r="BR431">
        <f ca="1"/>
      </c>
      <c r="BS431">
        <f ca="1"/>
      </c>
      <c r="BT431">
        <f ca="1"/>
      </c>
      <c r="BU431">
        <f ca="1"/>
      </c>
      <c r="BV431">
        <f ca="1"/>
      </c>
      <c r="BW431">
        <f ca="1"/>
      </c>
      <c r="BX431">
        <f ca="1"/>
      </c>
      <c r="BY431">
        <f ca="1"/>
      </c>
      <c r="BZ431">
        <f ca="1"/>
      </c>
      <c r="CA431">
        <f ca="1"/>
      </c>
      <c r="CB431">
        <f ca="1"/>
      </c>
      <c r="CC431">
        <f ca="1"/>
      </c>
      <c r="CD431">
        <f ca="1"/>
      </c>
      <c r="CE431">
        <f ca="1"/>
      </c>
      <c r="CF431">
        <f ca="1"/>
      </c>
      <c r="CG431">
        <f ca="1"/>
      </c>
      <c r="CH431">
        <f ca="1"/>
      </c>
      <c r="CI431">
        <f ca="1"/>
      </c>
      <c r="CK431">
        <f ca="1"/>
      </c>
      <c r="CL431">
        <f ca="1"/>
      </c>
      <c r="CM431">
        <f ca="1"/>
      </c>
      <c r="CN431">
        <f ca="1"/>
      </c>
      <c r="CO431">
        <f ca="1"/>
      </c>
      <c r="CP431">
        <f ca="1"/>
      </c>
      <c r="CQ431">
        <f ca="1"/>
      </c>
      <c r="CR431">
        <f ca="1"/>
      </c>
      <c r="CS431">
        <f ca="1"/>
      </c>
      <c r="CT431">
        <f ca="1"/>
      </c>
      <c r="CU431">
        <f ca="1"/>
      </c>
      <c r="CV431">
        <f ca="1"/>
      </c>
      <c r="CW431">
        <f ca="1"/>
      </c>
      <c r="CX431">
        <f ca="1"/>
      </c>
      <c r="CY431">
        <f ca="1"/>
      </c>
      <c r="CZ431">
        <f ca="1"/>
      </c>
      <c r="DA431">
        <f ca="1"/>
      </c>
      <c r="DB431">
        <f ca="1"/>
      </c>
      <c r="DC431">
        <f ca="1"/>
      </c>
      <c r="DD431">
        <f ca="1"/>
      </c>
      <c r="DE431">
        <f ca="1"/>
      </c>
      <c r="DF431">
        <f ca="1"/>
      </c>
      <c r="DG431">
        <f ca="1"/>
      </c>
      <c r="DH431">
        <f ca="1"/>
      </c>
      <c r="DI431">
        <f ca="1"/>
      </c>
      <c r="DJ431">
        <f ca="1"/>
      </c>
      <c r="DK431">
        <f ca="1"/>
      </c>
      <c r="DL431">
        <f ca="1"/>
      </c>
      <c r="DM431">
        <f ca="1"/>
      </c>
      <c r="DN431">
        <f ca="1"/>
      </c>
      <c r="DO431">
        <f ca="1"/>
      </c>
      <c r="DP431">
        <f ca="1"/>
      </c>
      <c r="DQ431">
        <f ca="1"/>
      </c>
      <c r="DR431">
        <f ca="1"/>
      </c>
      <c r="DS431">
        <f ca="1"/>
      </c>
      <c r="DT431">
        <f ca="1"/>
      </c>
      <c r="DU431">
        <f ca="1"/>
      </c>
      <c r="DV431">
        <f ca="1"/>
      </c>
      <c r="DW431">
        <f ca="1"/>
      </c>
      <c r="DX431">
        <f ca="1"/>
      </c>
      <c r="DY431">
        <f ca="1"/>
      </c>
      <c r="DZ431">
        <f ca="1"/>
      </c>
      <c r="EA431">
        <f ca="1"/>
      </c>
      <c r="EB431">
        <f ca="1"/>
      </c>
      <c r="EC431">
        <f ca="1"/>
      </c>
      <c r="ED431">
        <f ca="1"/>
      </c>
      <c r="EE431">
        <f ca="1"/>
      </c>
      <c r="EG431">
        <f ca="1"/>
      </c>
      <c r="EH431">
        <f ca="1"/>
      </c>
      <c r="EI431">
        <f ca="1"/>
      </c>
      <c r="EJ431">
        <f ca="1"/>
      </c>
      <c r="EK431">
        <f ca="1"/>
      </c>
      <c r="EL431">
        <f ca="1"/>
      </c>
      <c r="EM431">
        <f ca="1"/>
      </c>
      <c r="EN431">
        <f ca="1"/>
      </c>
      <c r="EO431">
        <f ca="1"/>
      </c>
      <c r="EP431">
        <f ca="1"/>
      </c>
      <c r="EQ431">
        <f ca="1"/>
      </c>
      <c r="ER431">
        <f ca="1"/>
      </c>
      <c r="ES431">
        <f ca="1"/>
      </c>
      <c r="ET431">
        <f ca="1"/>
      </c>
      <c r="EU431">
        <f ca="1"/>
      </c>
      <c r="EV431">
        <f ca="1"/>
      </c>
      <c r="EW431">
        <f ca="1"/>
      </c>
      <c r="EX431">
        <f ca="1"/>
      </c>
      <c r="EY431">
        <f ca="1"/>
      </c>
      <c r="EZ431">
        <f ca="1"/>
      </c>
      <c r="FA431">
        <f ca="1"/>
      </c>
      <c r="FB431">
        <f ca="1"/>
      </c>
      <c r="FC431">
        <f ca="1"/>
      </c>
      <c r="FD431">
        <f ca="1"/>
      </c>
      <c r="FE431">
        <f ca="1"/>
      </c>
      <c r="FF431">
        <f ca="1"/>
      </c>
      <c r="FG431">
        <f ca="1"/>
      </c>
      <c r="FH431">
        <f ca="1"/>
      </c>
      <c r="FI431">
        <f ca="1"/>
      </c>
      <c r="FJ431">
        <f ca="1"/>
      </c>
      <c r="FK431">
        <f ca="1"/>
      </c>
      <c r="FL431">
        <f ca="1"/>
      </c>
      <c r="FM431">
        <f ca="1"/>
      </c>
      <c r="FN431">
        <f ca="1"/>
      </c>
      <c r="FO431">
        <f ca="1"/>
      </c>
      <c r="FP431">
        <f ca="1"/>
      </c>
      <c r="FQ431">
        <f ca="1"/>
      </c>
      <c r="FR431">
        <f ca="1"/>
      </c>
      <c r="FS431">
        <f ca="1"/>
      </c>
      <c r="FT431">
        <f ca="1"/>
      </c>
      <c r="FU431">
        <f ca="1"/>
      </c>
      <c r="FV431">
        <f ca="1"/>
      </c>
      <c r="FW431">
        <f ca="1"/>
      </c>
      <c r="FX431">
        <f ca="1"/>
      </c>
      <c r="FY431">
        <f ca="1"/>
      </c>
      <c r="FZ431">
        <f ca="1"/>
      </c>
      <c r="GA431">
        <f ca="1"/>
      </c>
      <c r="GM431" s="7"/>
    </row>
    <row r="432" spans="41:195" x14ac:dyDescent="0.55000000000000004">
      <c r="AO432">
        <f ca="1"/>
      </c>
      <c r="AP432">
        <f ca="1"/>
      </c>
      <c r="AQ432">
        <f ca="1"/>
      </c>
      <c r="AR432">
        <f ca="1"/>
      </c>
      <c r="AS432">
        <f ca="1"/>
      </c>
      <c r="AT432">
        <f ca="1"/>
      </c>
      <c r="AU432">
        <f ca="1"/>
      </c>
      <c r="AV432">
        <f ca="1"/>
      </c>
      <c r="AW432">
        <f ca="1"/>
      </c>
      <c r="AX432">
        <f ca="1"/>
      </c>
      <c r="AY432">
        <f ca="1"/>
      </c>
      <c r="AZ432">
        <f ca="1"/>
      </c>
      <c r="BA432">
        <f ca="1"/>
      </c>
      <c r="BB432">
        <f ca="1"/>
      </c>
      <c r="BC432">
        <f ca="1"/>
      </c>
      <c r="BD432">
        <f ca="1"/>
      </c>
      <c r="BE432">
        <f ca="1"/>
      </c>
      <c r="BF432">
        <f ca="1"/>
      </c>
      <c r="BG432">
        <f ca="1"/>
      </c>
      <c r="BH432">
        <f ca="1"/>
      </c>
      <c r="BI432">
        <f ca="1"/>
      </c>
      <c r="BJ432">
        <f ca="1"/>
      </c>
      <c r="BK432">
        <f ca="1"/>
      </c>
      <c r="BL432">
        <f ca="1"/>
      </c>
      <c r="BM432">
        <f ca="1"/>
      </c>
      <c r="BN432">
        <f ca="1"/>
      </c>
      <c r="BO432">
        <f ca="1"/>
      </c>
      <c r="BP432">
        <f ca="1"/>
      </c>
      <c r="BQ432">
        <f ca="1"/>
      </c>
      <c r="BR432">
        <f ca="1"/>
      </c>
      <c r="BS432">
        <f ca="1"/>
      </c>
      <c r="BT432">
        <f ca="1"/>
      </c>
      <c r="BU432">
        <f ca="1"/>
      </c>
      <c r="BV432">
        <f ca="1"/>
      </c>
      <c r="BW432">
        <f ca="1"/>
      </c>
      <c r="BX432">
        <f ca="1"/>
      </c>
      <c r="BY432">
        <f ca="1"/>
      </c>
      <c r="BZ432">
        <f ca="1"/>
      </c>
      <c r="CA432">
        <f ca="1"/>
      </c>
      <c r="CB432">
        <f ca="1"/>
      </c>
      <c r="CC432">
        <f ca="1"/>
      </c>
      <c r="CD432">
        <f ca="1"/>
      </c>
      <c r="CE432">
        <f ca="1"/>
      </c>
      <c r="CF432">
        <f ca="1"/>
      </c>
      <c r="CG432">
        <f ca="1"/>
      </c>
      <c r="CH432">
        <f ca="1"/>
      </c>
      <c r="CI432">
        <f ca="1"/>
      </c>
      <c r="CK432">
        <f ca="1"/>
      </c>
      <c r="CL432">
        <f ca="1"/>
      </c>
      <c r="CM432">
        <f ca="1"/>
      </c>
      <c r="CN432">
        <f ca="1"/>
      </c>
      <c r="CO432">
        <f ca="1"/>
      </c>
      <c r="CP432">
        <f ca="1"/>
      </c>
      <c r="CQ432">
        <f ca="1"/>
      </c>
      <c r="CR432">
        <f ca="1"/>
      </c>
      <c r="CS432">
        <f ca="1"/>
      </c>
      <c r="CT432">
        <f ca="1"/>
      </c>
      <c r="CU432">
        <f ca="1"/>
      </c>
      <c r="CV432">
        <f ca="1"/>
      </c>
      <c r="CW432">
        <f ca="1"/>
      </c>
      <c r="CX432">
        <f ca="1"/>
      </c>
      <c r="CY432">
        <f ca="1"/>
      </c>
      <c r="CZ432">
        <f ca="1"/>
      </c>
      <c r="DA432">
        <f ca="1"/>
      </c>
      <c r="DB432">
        <f ca="1"/>
      </c>
      <c r="DC432">
        <f ca="1"/>
      </c>
      <c r="DD432">
        <f ca="1"/>
      </c>
      <c r="DE432">
        <f ca="1"/>
      </c>
      <c r="DF432">
        <f ca="1"/>
      </c>
      <c r="DG432">
        <f ca="1"/>
      </c>
      <c r="DH432">
        <f ca="1"/>
      </c>
      <c r="DI432">
        <f ca="1"/>
      </c>
      <c r="DJ432">
        <f ca="1"/>
      </c>
      <c r="DK432">
        <f ca="1"/>
      </c>
      <c r="DL432">
        <f ca="1"/>
      </c>
      <c r="DM432">
        <f ca="1"/>
      </c>
      <c r="DN432">
        <f ca="1"/>
      </c>
      <c r="DO432">
        <f ca="1"/>
      </c>
      <c r="DP432">
        <f ca="1"/>
      </c>
      <c r="DQ432">
        <f ca="1"/>
      </c>
      <c r="DR432">
        <f ca="1"/>
      </c>
      <c r="DS432">
        <f ca="1"/>
      </c>
      <c r="DT432">
        <f ca="1"/>
      </c>
      <c r="DU432">
        <f ca="1"/>
      </c>
      <c r="DV432">
        <f ca="1"/>
      </c>
      <c r="DW432">
        <f ca="1"/>
      </c>
      <c r="DX432">
        <f ca="1"/>
      </c>
      <c r="DY432">
        <f ca="1"/>
      </c>
      <c r="DZ432">
        <f ca="1"/>
      </c>
      <c r="EA432">
        <f ca="1"/>
      </c>
      <c r="EB432">
        <f ca="1"/>
      </c>
      <c r="EC432">
        <f ca="1"/>
      </c>
      <c r="ED432">
        <f ca="1"/>
      </c>
      <c r="EE432">
        <f ca="1"/>
      </c>
      <c r="EG432">
        <f ca="1"/>
      </c>
      <c r="EH432">
        <f ca="1"/>
      </c>
      <c r="EI432">
        <f ca="1"/>
      </c>
      <c r="EJ432">
        <f ca="1"/>
      </c>
      <c r="EK432">
        <f ca="1"/>
      </c>
      <c r="EL432">
        <f ca="1"/>
      </c>
      <c r="EM432">
        <f ca="1"/>
      </c>
      <c r="EN432">
        <f ca="1"/>
      </c>
      <c r="EO432">
        <f ca="1"/>
      </c>
      <c r="EP432">
        <f ca="1"/>
      </c>
      <c r="EQ432">
        <f ca="1"/>
      </c>
      <c r="ER432">
        <f ca="1"/>
      </c>
      <c r="ES432">
        <f ca="1"/>
      </c>
      <c r="ET432">
        <f ca="1"/>
      </c>
      <c r="EU432">
        <f ca="1"/>
      </c>
      <c r="EV432">
        <f ca="1"/>
      </c>
      <c r="EW432">
        <f ca="1"/>
      </c>
      <c r="EX432">
        <f ca="1"/>
      </c>
      <c r="EY432">
        <f ca="1"/>
      </c>
      <c r="EZ432">
        <f ca="1"/>
      </c>
      <c r="FA432">
        <f ca="1"/>
      </c>
      <c r="FB432">
        <f ca="1"/>
      </c>
      <c r="FC432">
        <f ca="1"/>
      </c>
      <c r="FD432">
        <f ca="1"/>
      </c>
      <c r="FE432">
        <f ca="1"/>
      </c>
      <c r="FF432">
        <f ca="1"/>
      </c>
      <c r="FG432">
        <f ca="1"/>
      </c>
      <c r="FH432">
        <f ca="1"/>
      </c>
      <c r="FI432">
        <f ca="1"/>
      </c>
      <c r="FJ432">
        <f ca="1"/>
      </c>
      <c r="FK432">
        <f ca="1"/>
      </c>
      <c r="FL432">
        <f ca="1"/>
      </c>
      <c r="FM432">
        <f ca="1"/>
      </c>
      <c r="FN432">
        <f ca="1"/>
      </c>
      <c r="FO432">
        <f ca="1"/>
      </c>
      <c r="FP432">
        <f ca="1"/>
      </c>
      <c r="FQ432">
        <f ca="1"/>
      </c>
      <c r="FR432">
        <f ca="1"/>
      </c>
      <c r="FS432">
        <f ca="1"/>
      </c>
      <c r="FT432">
        <f ca="1"/>
      </c>
      <c r="FU432">
        <f ca="1"/>
      </c>
      <c r="FV432">
        <f ca="1"/>
      </c>
      <c r="FW432">
        <f ca="1"/>
      </c>
      <c r="FX432">
        <f ca="1"/>
      </c>
      <c r="FY432">
        <f ca="1"/>
      </c>
      <c r="FZ432">
        <f ca="1"/>
      </c>
      <c r="GA432">
        <f ca="1"/>
      </c>
      <c r="GM432" s="7"/>
    </row>
    <row r="433" spans="41:195" x14ac:dyDescent="0.55000000000000004">
      <c r="AO433">
        <f ca="1"/>
      </c>
      <c r="AP433">
        <f ca="1"/>
      </c>
      <c r="AQ433">
        <f ca="1"/>
      </c>
      <c r="AR433">
        <f ca="1"/>
      </c>
      <c r="AS433">
        <f ca="1"/>
      </c>
      <c r="AT433">
        <f ca="1"/>
      </c>
      <c r="AU433">
        <f ca="1"/>
      </c>
      <c r="AV433">
        <f ca="1"/>
      </c>
      <c r="AW433">
        <f ca="1"/>
      </c>
      <c r="AX433">
        <f ca="1"/>
      </c>
      <c r="AY433">
        <f ca="1"/>
      </c>
      <c r="AZ433">
        <f ca="1"/>
      </c>
      <c r="BA433">
        <f ca="1"/>
      </c>
      <c r="BB433">
        <f ca="1"/>
      </c>
      <c r="BC433">
        <f ca="1"/>
      </c>
      <c r="BD433">
        <f ca="1"/>
      </c>
      <c r="BE433">
        <f ca="1"/>
      </c>
      <c r="BF433">
        <f ca="1"/>
      </c>
      <c r="BG433">
        <f ca="1"/>
      </c>
      <c r="BH433">
        <f ca="1"/>
      </c>
      <c r="BI433">
        <f ca="1"/>
      </c>
      <c r="BJ433">
        <f ca="1"/>
      </c>
      <c r="BK433">
        <f ca="1"/>
      </c>
      <c r="BL433">
        <f ca="1"/>
      </c>
      <c r="BM433">
        <f ca="1"/>
      </c>
      <c r="BN433">
        <f ca="1"/>
      </c>
      <c r="BO433">
        <f ca="1"/>
      </c>
      <c r="BP433">
        <f ca="1"/>
      </c>
      <c r="BQ433">
        <f ca="1"/>
      </c>
      <c r="BR433">
        <f ca="1"/>
      </c>
      <c r="BS433">
        <f ca="1"/>
      </c>
      <c r="BT433">
        <f ca="1"/>
      </c>
      <c r="BU433">
        <f ca="1"/>
      </c>
      <c r="BV433">
        <f ca="1"/>
      </c>
      <c r="BW433">
        <f ca="1"/>
      </c>
      <c r="BX433">
        <f ca="1"/>
      </c>
      <c r="BY433">
        <f ca="1"/>
      </c>
      <c r="BZ433">
        <f ca="1"/>
      </c>
      <c r="CA433">
        <f ca="1"/>
      </c>
      <c r="CB433">
        <f ca="1"/>
      </c>
      <c r="CC433">
        <f ca="1"/>
      </c>
      <c r="CD433">
        <f ca="1"/>
      </c>
      <c r="CE433">
        <f ca="1"/>
      </c>
      <c r="CF433">
        <f ca="1"/>
      </c>
      <c r="CG433">
        <f ca="1"/>
      </c>
      <c r="CH433">
        <f ca="1"/>
      </c>
      <c r="CI433">
        <f ca="1"/>
      </c>
      <c r="CK433">
        <f ca="1"/>
      </c>
      <c r="CL433">
        <f ca="1"/>
      </c>
      <c r="CM433">
        <f ca="1"/>
      </c>
      <c r="CN433">
        <f ca="1"/>
      </c>
      <c r="CO433">
        <f ca="1"/>
      </c>
      <c r="CP433">
        <f ca="1"/>
      </c>
      <c r="CQ433">
        <f ca="1"/>
      </c>
      <c r="CR433">
        <f ca="1"/>
      </c>
      <c r="CS433">
        <f ca="1"/>
      </c>
      <c r="CT433">
        <f ca="1"/>
      </c>
      <c r="CU433">
        <f ca="1"/>
      </c>
      <c r="CV433">
        <f ca="1"/>
      </c>
      <c r="CW433">
        <f ca="1"/>
      </c>
      <c r="CX433">
        <f ca="1"/>
      </c>
      <c r="CY433">
        <f ca="1"/>
      </c>
      <c r="CZ433">
        <f ca="1"/>
      </c>
      <c r="DA433">
        <f ca="1"/>
      </c>
      <c r="DB433">
        <f ca="1"/>
      </c>
      <c r="DC433">
        <f ca="1"/>
      </c>
      <c r="DD433">
        <f ca="1"/>
      </c>
      <c r="DE433">
        <f ca="1"/>
      </c>
      <c r="DF433">
        <f ca="1"/>
      </c>
      <c r="DG433">
        <f ca="1"/>
      </c>
      <c r="DH433">
        <f ca="1"/>
      </c>
      <c r="DI433">
        <f ca="1"/>
      </c>
      <c r="DJ433">
        <f ca="1"/>
      </c>
      <c r="DK433">
        <f ca="1"/>
      </c>
      <c r="DL433">
        <f ca="1"/>
      </c>
      <c r="DM433">
        <f ca="1"/>
      </c>
      <c r="DN433">
        <f ca="1"/>
      </c>
      <c r="DO433">
        <f ca="1"/>
      </c>
      <c r="DP433">
        <f ca="1"/>
      </c>
      <c r="DQ433">
        <f ca="1"/>
      </c>
      <c r="DR433">
        <f ca="1"/>
      </c>
      <c r="DS433">
        <f ca="1"/>
      </c>
      <c r="DT433">
        <f ca="1"/>
      </c>
      <c r="DU433">
        <f ca="1"/>
      </c>
      <c r="DV433">
        <f ca="1"/>
      </c>
      <c r="DW433">
        <f ca="1"/>
      </c>
      <c r="DX433">
        <f ca="1"/>
      </c>
      <c r="DY433">
        <f ca="1"/>
      </c>
      <c r="DZ433">
        <f ca="1"/>
      </c>
      <c r="EA433">
        <f ca="1"/>
      </c>
      <c r="EB433">
        <f ca="1"/>
      </c>
      <c r="EC433">
        <f ca="1"/>
      </c>
      <c r="ED433">
        <f ca="1"/>
      </c>
      <c r="EE433">
        <f ca="1"/>
      </c>
      <c r="EG433">
        <f ca="1"/>
      </c>
      <c r="EH433">
        <f ca="1"/>
      </c>
      <c r="EI433">
        <f ca="1"/>
      </c>
      <c r="EJ433">
        <f ca="1"/>
      </c>
      <c r="EK433">
        <f ca="1"/>
      </c>
      <c r="EL433">
        <f ca="1"/>
      </c>
      <c r="EM433">
        <f ca="1"/>
      </c>
      <c r="EN433">
        <f ca="1"/>
      </c>
      <c r="EO433">
        <f ca="1"/>
      </c>
      <c r="EP433">
        <f ca="1"/>
      </c>
      <c r="EQ433">
        <f ca="1"/>
      </c>
      <c r="ER433">
        <f ca="1"/>
      </c>
      <c r="ES433">
        <f ca="1"/>
      </c>
      <c r="ET433">
        <f ca="1"/>
      </c>
      <c r="EU433">
        <f ca="1"/>
      </c>
      <c r="EV433">
        <f ca="1"/>
      </c>
      <c r="EW433">
        <f ca="1"/>
      </c>
      <c r="EX433">
        <f ca="1"/>
      </c>
      <c r="EY433">
        <f ca="1"/>
      </c>
      <c r="EZ433">
        <f ca="1"/>
      </c>
      <c r="FA433">
        <f ca="1"/>
      </c>
      <c r="FB433">
        <f ca="1"/>
      </c>
      <c r="FC433">
        <f ca="1"/>
      </c>
      <c r="FD433">
        <f ca="1"/>
      </c>
      <c r="FE433">
        <f ca="1"/>
      </c>
      <c r="FF433">
        <f ca="1"/>
      </c>
      <c r="FG433">
        <f ca="1"/>
      </c>
      <c r="FH433">
        <f ca="1"/>
      </c>
      <c r="FI433">
        <f ca="1"/>
      </c>
      <c r="FJ433">
        <f ca="1"/>
      </c>
      <c r="FK433">
        <f ca="1"/>
      </c>
      <c r="FL433">
        <f ca="1"/>
      </c>
      <c r="FM433">
        <f ca="1"/>
      </c>
      <c r="FN433">
        <f ca="1"/>
      </c>
      <c r="FO433">
        <f ca="1"/>
      </c>
      <c r="FP433">
        <f ca="1"/>
      </c>
      <c r="FQ433">
        <f ca="1"/>
      </c>
      <c r="FR433">
        <f ca="1"/>
      </c>
      <c r="FS433">
        <f ca="1"/>
      </c>
      <c r="FT433">
        <f ca="1"/>
      </c>
      <c r="FU433">
        <f ca="1"/>
      </c>
      <c r="FV433">
        <f ca="1"/>
      </c>
      <c r="FW433">
        <f ca="1"/>
      </c>
      <c r="FX433">
        <f ca="1"/>
      </c>
      <c r="FY433">
        <f ca="1"/>
      </c>
      <c r="FZ433">
        <f ca="1"/>
      </c>
      <c r="GA433">
        <f ca="1"/>
      </c>
      <c r="GM433" s="7"/>
    </row>
    <row r="434" spans="41:195" x14ac:dyDescent="0.55000000000000004">
      <c r="AO434">
        <f ca="1"/>
      </c>
      <c r="AP434">
        <f ca="1"/>
      </c>
      <c r="AQ434">
        <f ca="1"/>
      </c>
      <c r="AR434">
        <f ca="1"/>
      </c>
      <c r="AS434">
        <f ca="1"/>
      </c>
      <c r="AT434">
        <f ca="1"/>
      </c>
      <c r="AU434">
        <f ca="1"/>
      </c>
      <c r="AV434">
        <f ca="1"/>
      </c>
      <c r="AW434">
        <f ca="1"/>
      </c>
      <c r="AX434">
        <f ca="1"/>
      </c>
      <c r="AY434">
        <f ca="1"/>
      </c>
      <c r="AZ434">
        <f ca="1"/>
      </c>
      <c r="BA434">
        <f ca="1"/>
      </c>
      <c r="BB434">
        <f ca="1"/>
      </c>
      <c r="BC434">
        <f ca="1"/>
      </c>
      <c r="BD434">
        <f ca="1"/>
      </c>
      <c r="BE434">
        <f ca="1"/>
      </c>
      <c r="BF434">
        <f ca="1"/>
      </c>
      <c r="BG434">
        <f ca="1"/>
      </c>
      <c r="BH434">
        <f ca="1"/>
      </c>
      <c r="BI434">
        <f ca="1"/>
      </c>
      <c r="BJ434">
        <f ca="1"/>
      </c>
      <c r="BK434">
        <f ca="1"/>
      </c>
      <c r="BL434">
        <f ca="1"/>
      </c>
      <c r="BM434">
        <f ca="1"/>
      </c>
      <c r="BN434">
        <f ca="1"/>
      </c>
      <c r="BO434">
        <f ca="1"/>
      </c>
      <c r="BP434">
        <f ca="1"/>
      </c>
      <c r="BQ434">
        <f ca="1"/>
      </c>
      <c r="BR434">
        <f ca="1"/>
      </c>
      <c r="BS434">
        <f ca="1"/>
      </c>
      <c r="BT434">
        <f ca="1"/>
      </c>
      <c r="BU434">
        <f ca="1"/>
      </c>
      <c r="BV434">
        <f ca="1"/>
      </c>
      <c r="BW434">
        <f ca="1"/>
      </c>
      <c r="BX434">
        <f ca="1"/>
      </c>
      <c r="BY434">
        <f ca="1"/>
      </c>
      <c r="BZ434">
        <f ca="1"/>
      </c>
      <c r="CA434">
        <f ca="1"/>
      </c>
      <c r="CB434">
        <f ca="1"/>
      </c>
      <c r="CC434">
        <f ca="1"/>
      </c>
      <c r="CD434">
        <f ca="1"/>
      </c>
      <c r="CE434">
        <f ca="1"/>
      </c>
      <c r="CF434">
        <f ca="1"/>
      </c>
      <c r="CG434">
        <f ca="1"/>
      </c>
      <c r="CH434">
        <f ca="1"/>
      </c>
      <c r="CI434">
        <f ca="1"/>
      </c>
      <c r="CK434">
        <f ca="1"/>
      </c>
      <c r="CL434">
        <f ca="1"/>
      </c>
      <c r="CM434">
        <f ca="1"/>
      </c>
      <c r="CN434">
        <f ca="1"/>
      </c>
      <c r="CO434">
        <f ca="1"/>
      </c>
      <c r="CP434">
        <f ca="1"/>
      </c>
      <c r="CQ434">
        <f ca="1"/>
      </c>
      <c r="CR434">
        <f ca="1"/>
      </c>
      <c r="CS434">
        <f ca="1"/>
      </c>
      <c r="CT434">
        <f ca="1"/>
      </c>
      <c r="CU434">
        <f ca="1"/>
      </c>
      <c r="CV434">
        <f ca="1"/>
      </c>
      <c r="CW434">
        <f ca="1"/>
      </c>
      <c r="CX434">
        <f ca="1"/>
      </c>
      <c r="CY434">
        <f ca="1"/>
      </c>
      <c r="CZ434">
        <f ca="1"/>
      </c>
      <c r="DA434">
        <f ca="1"/>
      </c>
      <c r="DB434">
        <f ca="1"/>
      </c>
      <c r="DC434">
        <f ca="1"/>
      </c>
      <c r="DD434">
        <f ca="1"/>
      </c>
      <c r="DE434">
        <f ca="1"/>
      </c>
      <c r="DF434">
        <f ca="1"/>
      </c>
      <c r="DG434">
        <f ca="1"/>
      </c>
      <c r="DH434">
        <f ca="1"/>
      </c>
      <c r="DI434">
        <f ca="1"/>
      </c>
      <c r="DJ434">
        <f ca="1"/>
      </c>
      <c r="DK434">
        <f ca="1"/>
      </c>
      <c r="DL434">
        <f ca="1"/>
      </c>
      <c r="DM434">
        <f ca="1"/>
      </c>
      <c r="DN434">
        <f ca="1"/>
      </c>
      <c r="DO434">
        <f ca="1"/>
      </c>
      <c r="DP434">
        <f ca="1"/>
      </c>
      <c r="DQ434">
        <f ca="1"/>
      </c>
      <c r="DR434">
        <f ca="1"/>
      </c>
      <c r="DS434">
        <f ca="1"/>
      </c>
      <c r="DT434">
        <f ca="1"/>
      </c>
      <c r="DU434">
        <f ca="1"/>
      </c>
      <c r="DV434">
        <f ca="1"/>
      </c>
      <c r="DW434">
        <f ca="1"/>
      </c>
      <c r="DX434">
        <f ca="1"/>
      </c>
      <c r="DY434">
        <f ca="1"/>
      </c>
      <c r="DZ434">
        <f ca="1"/>
      </c>
      <c r="EA434">
        <f ca="1"/>
      </c>
      <c r="EB434">
        <f ca="1"/>
      </c>
      <c r="EC434">
        <f ca="1"/>
      </c>
      <c r="ED434">
        <f ca="1"/>
      </c>
      <c r="EE434">
        <f ca="1"/>
      </c>
      <c r="EG434">
        <f ca="1"/>
      </c>
      <c r="EH434">
        <f ca="1"/>
      </c>
      <c r="EI434">
        <f ca="1"/>
      </c>
      <c r="EJ434">
        <f ca="1"/>
      </c>
      <c r="EK434">
        <f ca="1"/>
      </c>
      <c r="EL434">
        <f ca="1"/>
      </c>
      <c r="EM434">
        <f ca="1"/>
      </c>
      <c r="EN434">
        <f ca="1"/>
      </c>
      <c r="EO434">
        <f ca="1"/>
      </c>
      <c r="EP434">
        <f ca="1"/>
      </c>
      <c r="EQ434">
        <f ca="1"/>
      </c>
      <c r="ER434">
        <f ca="1"/>
      </c>
      <c r="ES434">
        <f ca="1"/>
      </c>
      <c r="ET434">
        <f ca="1"/>
      </c>
      <c r="EU434">
        <f ca="1"/>
      </c>
      <c r="EV434">
        <f ca="1"/>
      </c>
      <c r="EW434">
        <f ca="1"/>
      </c>
      <c r="EX434">
        <f ca="1"/>
      </c>
      <c r="EY434">
        <f ca="1"/>
      </c>
      <c r="EZ434">
        <f ca="1"/>
      </c>
      <c r="FA434">
        <f ca="1"/>
      </c>
      <c r="FB434">
        <f ca="1"/>
      </c>
      <c r="FC434">
        <f ca="1"/>
      </c>
      <c r="FD434">
        <f ca="1"/>
      </c>
      <c r="FE434">
        <f ca="1"/>
      </c>
      <c r="FF434">
        <f ca="1"/>
      </c>
      <c r="FG434">
        <f ca="1"/>
      </c>
      <c r="FH434">
        <f ca="1"/>
      </c>
      <c r="FI434">
        <f ca="1"/>
      </c>
      <c r="FJ434">
        <f ca="1"/>
      </c>
      <c r="FK434">
        <f ca="1"/>
      </c>
      <c r="FL434">
        <f ca="1"/>
      </c>
      <c r="FM434">
        <f ca="1"/>
      </c>
      <c r="FN434">
        <f ca="1"/>
      </c>
      <c r="FO434">
        <f ca="1"/>
      </c>
      <c r="FP434">
        <f ca="1"/>
      </c>
      <c r="FQ434">
        <f ca="1"/>
      </c>
      <c r="FR434">
        <f ca="1"/>
      </c>
      <c r="FS434">
        <f ca="1"/>
      </c>
      <c r="FT434">
        <f ca="1"/>
      </c>
      <c r="FU434">
        <f ca="1"/>
      </c>
      <c r="FV434">
        <f ca="1"/>
      </c>
      <c r="FW434">
        <f ca="1"/>
      </c>
      <c r="FX434">
        <f ca="1"/>
      </c>
      <c r="FY434">
        <f ca="1"/>
      </c>
      <c r="FZ434">
        <f ca="1"/>
      </c>
      <c r="GA434">
        <f ca="1"/>
      </c>
      <c r="GM434" s="7"/>
    </row>
    <row r="435" spans="41:195" x14ac:dyDescent="0.55000000000000004">
      <c r="AO435">
        <f ca="1"/>
      </c>
      <c r="AP435">
        <f ca="1"/>
      </c>
      <c r="AQ435">
        <f ca="1"/>
      </c>
      <c r="AR435">
        <f ca="1"/>
      </c>
      <c r="AS435">
        <f ca="1"/>
      </c>
      <c r="AT435">
        <f ca="1"/>
      </c>
      <c r="AU435">
        <f ca="1"/>
      </c>
      <c r="AV435">
        <f ca="1"/>
      </c>
      <c r="AW435">
        <f ca="1"/>
      </c>
      <c r="AX435">
        <f ca="1"/>
      </c>
      <c r="AY435">
        <f ca="1"/>
      </c>
      <c r="AZ435">
        <f ca="1"/>
      </c>
      <c r="BA435">
        <f ca="1"/>
      </c>
      <c r="BB435">
        <f ca="1"/>
      </c>
      <c r="BC435">
        <f ca="1"/>
      </c>
      <c r="BD435">
        <f ca="1"/>
      </c>
      <c r="BE435">
        <f ca="1"/>
      </c>
      <c r="BF435">
        <f ca="1"/>
      </c>
      <c r="BG435">
        <f ca="1"/>
      </c>
      <c r="BH435">
        <f ca="1"/>
      </c>
      <c r="BI435">
        <f ca="1"/>
      </c>
      <c r="BJ435">
        <f ca="1"/>
      </c>
      <c r="BK435">
        <f ca="1"/>
      </c>
      <c r="BL435">
        <f ca="1"/>
      </c>
      <c r="BM435">
        <f ca="1"/>
      </c>
      <c r="BN435">
        <f ca="1"/>
      </c>
      <c r="BO435">
        <f ca="1"/>
      </c>
      <c r="BP435">
        <f ca="1"/>
      </c>
      <c r="BQ435">
        <f ca="1"/>
      </c>
      <c r="BR435">
        <f ca="1"/>
      </c>
      <c r="BS435">
        <f ca="1"/>
      </c>
      <c r="BT435">
        <f ca="1"/>
      </c>
      <c r="BU435">
        <f ca="1"/>
      </c>
      <c r="BV435">
        <f ca="1"/>
      </c>
      <c r="BW435">
        <f ca="1"/>
      </c>
      <c r="BX435">
        <f ca="1"/>
      </c>
      <c r="BY435">
        <f ca="1"/>
      </c>
      <c r="BZ435">
        <f ca="1"/>
      </c>
      <c r="CA435">
        <f ca="1"/>
      </c>
      <c r="CB435">
        <f ca="1"/>
      </c>
      <c r="CC435">
        <f ca="1"/>
      </c>
      <c r="CD435">
        <f ca="1"/>
      </c>
      <c r="CE435">
        <f ca="1"/>
      </c>
      <c r="CF435">
        <f ca="1"/>
      </c>
      <c r="CG435">
        <f ca="1"/>
      </c>
      <c r="CH435">
        <f ca="1"/>
      </c>
      <c r="CI435">
        <f ca="1"/>
      </c>
      <c r="CK435">
        <f ca="1"/>
      </c>
      <c r="CL435">
        <f ca="1"/>
      </c>
      <c r="CM435">
        <f ca="1"/>
      </c>
      <c r="CN435">
        <f ca="1"/>
      </c>
      <c r="CO435">
        <f ca="1"/>
      </c>
      <c r="CP435">
        <f ca="1"/>
      </c>
      <c r="CQ435">
        <f ca="1"/>
      </c>
      <c r="CR435">
        <f ca="1"/>
      </c>
      <c r="CS435">
        <f ca="1"/>
      </c>
      <c r="CT435">
        <f ca="1"/>
      </c>
      <c r="CU435">
        <f ca="1"/>
      </c>
      <c r="CV435">
        <f ca="1"/>
      </c>
      <c r="CW435">
        <f ca="1"/>
      </c>
      <c r="CX435">
        <f ca="1"/>
      </c>
      <c r="CY435">
        <f ca="1"/>
      </c>
      <c r="CZ435">
        <f ca="1"/>
      </c>
      <c r="DA435">
        <f ca="1"/>
      </c>
      <c r="DB435">
        <f ca="1"/>
      </c>
      <c r="DC435">
        <f ca="1"/>
      </c>
      <c r="DD435">
        <f ca="1"/>
      </c>
      <c r="DE435">
        <f ca="1"/>
      </c>
      <c r="DF435">
        <f ca="1"/>
      </c>
      <c r="DG435">
        <f ca="1"/>
      </c>
      <c r="DH435">
        <f ca="1"/>
      </c>
      <c r="DI435">
        <f ca="1"/>
      </c>
      <c r="DJ435">
        <f ca="1"/>
      </c>
      <c r="DK435">
        <f ca="1"/>
      </c>
      <c r="DL435">
        <f ca="1"/>
      </c>
      <c r="DM435">
        <f ca="1"/>
      </c>
      <c r="DN435">
        <f ca="1"/>
      </c>
      <c r="DO435">
        <f ca="1"/>
      </c>
      <c r="DP435">
        <f ca="1"/>
      </c>
      <c r="DQ435">
        <f ca="1"/>
      </c>
      <c r="DR435">
        <f ca="1"/>
      </c>
      <c r="DS435">
        <f ca="1"/>
      </c>
      <c r="DT435">
        <f ca="1"/>
      </c>
      <c r="DU435">
        <f ca="1"/>
      </c>
      <c r="DV435">
        <f ca="1"/>
      </c>
      <c r="DW435">
        <f ca="1"/>
      </c>
      <c r="DX435">
        <f ca="1"/>
      </c>
      <c r="DY435">
        <f ca="1"/>
      </c>
      <c r="DZ435">
        <f ca="1"/>
      </c>
      <c r="EA435">
        <f ca="1"/>
      </c>
      <c r="EB435">
        <f ca="1"/>
      </c>
      <c r="EC435">
        <f ca="1"/>
      </c>
      <c r="ED435">
        <f ca="1"/>
      </c>
      <c r="EE435">
        <f ca="1"/>
      </c>
      <c r="EG435">
        <f ca="1"/>
      </c>
      <c r="EH435">
        <f ca="1"/>
      </c>
      <c r="EI435">
        <f ca="1"/>
      </c>
      <c r="EJ435">
        <f ca="1"/>
      </c>
      <c r="EK435">
        <f ca="1"/>
      </c>
      <c r="EL435">
        <f ca="1"/>
      </c>
      <c r="EM435">
        <f ca="1"/>
      </c>
      <c r="EN435">
        <f ca="1"/>
      </c>
      <c r="EO435">
        <f ca="1"/>
      </c>
      <c r="EP435">
        <f ca="1"/>
      </c>
      <c r="EQ435">
        <f ca="1"/>
      </c>
      <c r="ER435">
        <f ca="1"/>
      </c>
      <c r="ES435">
        <f ca="1"/>
      </c>
      <c r="ET435">
        <f ca="1"/>
      </c>
      <c r="EU435">
        <f ca="1"/>
      </c>
      <c r="EV435">
        <f ca="1"/>
      </c>
      <c r="EW435">
        <f ca="1"/>
      </c>
      <c r="EX435">
        <f ca="1"/>
      </c>
      <c r="EY435">
        <f ca="1"/>
      </c>
      <c r="EZ435">
        <f ca="1"/>
      </c>
      <c r="FA435">
        <f ca="1"/>
      </c>
      <c r="FB435">
        <f ca="1"/>
      </c>
      <c r="FC435">
        <f ca="1"/>
      </c>
      <c r="FD435">
        <f ca="1"/>
      </c>
      <c r="FE435">
        <f ca="1"/>
      </c>
      <c r="FF435">
        <f ca="1"/>
      </c>
      <c r="FG435">
        <f ca="1"/>
      </c>
      <c r="FH435">
        <f ca="1"/>
      </c>
      <c r="FI435">
        <f ca="1"/>
      </c>
      <c r="FJ435">
        <f ca="1"/>
      </c>
      <c r="FK435">
        <f ca="1"/>
      </c>
      <c r="FL435">
        <f ca="1"/>
      </c>
      <c r="FM435">
        <f ca="1"/>
      </c>
      <c r="FN435">
        <f ca="1"/>
      </c>
      <c r="FO435">
        <f ca="1"/>
      </c>
      <c r="FP435">
        <f ca="1"/>
      </c>
      <c r="FQ435">
        <f ca="1"/>
      </c>
      <c r="FR435">
        <f ca="1"/>
      </c>
      <c r="FS435">
        <f ca="1"/>
      </c>
      <c r="FT435">
        <f ca="1"/>
      </c>
      <c r="FU435">
        <f ca="1"/>
      </c>
      <c r="FV435">
        <f ca="1"/>
      </c>
      <c r="FW435">
        <f ca="1"/>
      </c>
      <c r="FX435">
        <f ca="1"/>
      </c>
      <c r="FY435">
        <f ca="1"/>
      </c>
      <c r="FZ435">
        <f ca="1"/>
      </c>
      <c r="GA435">
        <f ca="1"/>
      </c>
      <c r="GM435" s="7"/>
    </row>
    <row r="436" spans="41:195" x14ac:dyDescent="0.55000000000000004">
      <c r="AO436">
        <f ca="1"/>
      </c>
      <c r="AP436">
        <f ca="1"/>
      </c>
      <c r="AQ436">
        <f ca="1"/>
      </c>
      <c r="AR436">
        <f ca="1"/>
      </c>
      <c r="AS436">
        <f ca="1"/>
      </c>
      <c r="AT436">
        <f ca="1"/>
      </c>
      <c r="AU436">
        <f ca="1"/>
      </c>
      <c r="AV436">
        <f ca="1"/>
      </c>
      <c r="AW436">
        <f ca="1"/>
      </c>
      <c r="AX436">
        <f ca="1"/>
      </c>
      <c r="AY436">
        <f ca="1"/>
      </c>
      <c r="AZ436">
        <f ca="1"/>
      </c>
      <c r="BA436">
        <f ca="1"/>
      </c>
      <c r="BB436">
        <f ca="1"/>
      </c>
      <c r="BC436">
        <f ca="1"/>
      </c>
      <c r="BD436">
        <f ca="1"/>
      </c>
      <c r="BE436">
        <f ca="1"/>
      </c>
      <c r="BF436">
        <f ca="1"/>
      </c>
      <c r="BG436">
        <f ca="1"/>
      </c>
      <c r="BH436">
        <f ca="1"/>
      </c>
      <c r="BI436">
        <f ca="1"/>
      </c>
      <c r="BJ436">
        <f ca="1"/>
      </c>
      <c r="BK436">
        <f ca="1"/>
      </c>
      <c r="BL436">
        <f ca="1"/>
      </c>
      <c r="BM436">
        <f ca="1"/>
      </c>
      <c r="BN436">
        <f ca="1"/>
      </c>
      <c r="BO436">
        <f ca="1"/>
      </c>
      <c r="BP436">
        <f ca="1"/>
      </c>
      <c r="BQ436">
        <f ca="1"/>
      </c>
      <c r="BR436">
        <f ca="1"/>
      </c>
      <c r="BS436">
        <f ca="1"/>
      </c>
      <c r="BT436">
        <f ca="1"/>
      </c>
      <c r="BU436">
        <f ca="1"/>
      </c>
      <c r="BV436">
        <f ca="1"/>
      </c>
      <c r="BW436">
        <f ca="1"/>
      </c>
      <c r="BX436">
        <f ca="1"/>
      </c>
      <c r="BY436">
        <f ca="1"/>
      </c>
      <c r="BZ436">
        <f ca="1"/>
      </c>
      <c r="CA436">
        <f ca="1"/>
      </c>
      <c r="CB436">
        <f ca="1"/>
      </c>
      <c r="CC436">
        <f ca="1"/>
      </c>
      <c r="CD436">
        <f ca="1"/>
      </c>
      <c r="CE436">
        <f ca="1"/>
      </c>
      <c r="CF436">
        <f ca="1"/>
      </c>
      <c r="CG436">
        <f ca="1"/>
      </c>
      <c r="CH436">
        <f ca="1"/>
      </c>
      <c r="CI436">
        <f ca="1"/>
      </c>
      <c r="CK436">
        <f ca="1"/>
      </c>
      <c r="CL436">
        <f ca="1"/>
      </c>
      <c r="CM436">
        <f ca="1"/>
      </c>
      <c r="CN436">
        <f ca="1"/>
      </c>
      <c r="CO436">
        <f ca="1"/>
      </c>
      <c r="CP436">
        <f ca="1"/>
      </c>
      <c r="CQ436">
        <f ca="1"/>
      </c>
      <c r="CR436">
        <f ca="1"/>
      </c>
      <c r="CS436">
        <f ca="1"/>
      </c>
      <c r="CT436">
        <f ca="1"/>
      </c>
      <c r="CU436">
        <f ca="1"/>
      </c>
      <c r="CV436">
        <f ca="1"/>
      </c>
      <c r="CW436">
        <f ca="1"/>
      </c>
      <c r="CX436">
        <f ca="1"/>
      </c>
      <c r="CY436">
        <f ca="1"/>
      </c>
      <c r="CZ436">
        <f ca="1"/>
      </c>
      <c r="DA436">
        <f ca="1"/>
      </c>
      <c r="DB436">
        <f ca="1"/>
      </c>
      <c r="DC436">
        <f ca="1"/>
      </c>
      <c r="DD436">
        <f ca="1"/>
      </c>
      <c r="DE436">
        <f ca="1"/>
      </c>
      <c r="DF436">
        <f ca="1"/>
      </c>
      <c r="DG436">
        <f ca="1"/>
      </c>
      <c r="DH436">
        <f ca="1"/>
      </c>
      <c r="DI436">
        <f ca="1"/>
      </c>
      <c r="DJ436">
        <f ca="1"/>
      </c>
      <c r="DK436">
        <f ca="1"/>
      </c>
      <c r="DL436">
        <f ca="1"/>
      </c>
      <c r="DM436">
        <f ca="1"/>
      </c>
      <c r="DN436">
        <f ca="1"/>
      </c>
      <c r="DO436">
        <f ca="1"/>
      </c>
      <c r="DP436">
        <f ca="1"/>
      </c>
      <c r="DQ436">
        <f ca="1"/>
      </c>
      <c r="DR436">
        <f ca="1"/>
      </c>
      <c r="DS436">
        <f ca="1"/>
      </c>
      <c r="DT436">
        <f ca="1"/>
      </c>
      <c r="DU436">
        <f ca="1"/>
      </c>
      <c r="DV436">
        <f ca="1"/>
      </c>
      <c r="DW436">
        <f ca="1"/>
      </c>
      <c r="DX436">
        <f ca="1"/>
      </c>
      <c r="DY436">
        <f ca="1"/>
      </c>
      <c r="DZ436">
        <f ca="1"/>
      </c>
      <c r="EA436">
        <f ca="1"/>
      </c>
      <c r="EB436">
        <f ca="1"/>
      </c>
      <c r="EC436">
        <f ca="1"/>
      </c>
      <c r="ED436">
        <f ca="1"/>
      </c>
      <c r="EE436">
        <f ca="1"/>
      </c>
      <c r="EG436">
        <f ca="1"/>
      </c>
      <c r="EH436">
        <f ca="1"/>
      </c>
      <c r="EI436">
        <f ca="1"/>
      </c>
      <c r="EJ436">
        <f ca="1"/>
      </c>
      <c r="EK436">
        <f ca="1"/>
      </c>
      <c r="EL436">
        <f ca="1"/>
      </c>
      <c r="EM436">
        <f ca="1"/>
      </c>
      <c r="EN436">
        <f ca="1"/>
      </c>
      <c r="EO436">
        <f ca="1"/>
      </c>
      <c r="EP436">
        <f ca="1"/>
      </c>
      <c r="EQ436">
        <f ca="1"/>
      </c>
      <c r="ER436">
        <f ca="1"/>
      </c>
      <c r="ES436">
        <f ca="1"/>
      </c>
      <c r="ET436">
        <f ca="1"/>
      </c>
      <c r="EU436">
        <f ca="1"/>
      </c>
      <c r="EV436">
        <f ca="1"/>
      </c>
      <c r="EW436">
        <f ca="1"/>
      </c>
      <c r="EX436">
        <f ca="1"/>
      </c>
      <c r="EY436">
        <f ca="1"/>
      </c>
      <c r="EZ436">
        <f ca="1"/>
      </c>
      <c r="FA436">
        <f ca="1"/>
      </c>
      <c r="FB436">
        <f ca="1"/>
      </c>
      <c r="FC436">
        <f ca="1"/>
      </c>
      <c r="FD436">
        <f ca="1"/>
      </c>
      <c r="FE436">
        <f ca="1"/>
      </c>
      <c r="FF436">
        <f ca="1"/>
      </c>
      <c r="FG436">
        <f ca="1"/>
      </c>
      <c r="FH436">
        <f ca="1"/>
      </c>
      <c r="FI436">
        <f ca="1"/>
      </c>
      <c r="FJ436">
        <f ca="1"/>
      </c>
      <c r="FK436">
        <f ca="1"/>
      </c>
      <c r="FL436">
        <f ca="1"/>
      </c>
      <c r="FM436">
        <f ca="1"/>
      </c>
      <c r="FN436">
        <f ca="1"/>
      </c>
      <c r="FO436">
        <f ca="1"/>
      </c>
      <c r="FP436">
        <f ca="1"/>
      </c>
      <c r="FQ436">
        <f ca="1"/>
      </c>
      <c r="FR436">
        <f ca="1"/>
      </c>
      <c r="FS436">
        <f ca="1"/>
      </c>
      <c r="FT436">
        <f ca="1"/>
      </c>
      <c r="FU436">
        <f ca="1"/>
      </c>
      <c r="FV436">
        <f ca="1"/>
      </c>
      <c r="FW436">
        <f ca="1"/>
      </c>
      <c r="FX436">
        <f ca="1"/>
      </c>
      <c r="FY436">
        <f ca="1"/>
      </c>
      <c r="FZ436">
        <f ca="1"/>
      </c>
      <c r="GA436">
        <f ca="1"/>
      </c>
      <c r="GM436" s="7"/>
    </row>
    <row r="437" spans="41:195" x14ac:dyDescent="0.55000000000000004">
      <c r="AO437">
        <f ca="1"/>
      </c>
      <c r="AP437">
        <f ca="1"/>
      </c>
      <c r="AQ437">
        <f ca="1"/>
      </c>
      <c r="AR437">
        <f ca="1"/>
      </c>
      <c r="AS437">
        <f ca="1"/>
      </c>
      <c r="AT437">
        <f ca="1"/>
      </c>
      <c r="AU437">
        <f ca="1"/>
      </c>
      <c r="AV437">
        <f ca="1"/>
      </c>
      <c r="AW437">
        <f ca="1"/>
      </c>
      <c r="AX437">
        <f ca="1"/>
      </c>
      <c r="AY437">
        <f ca="1"/>
      </c>
      <c r="AZ437">
        <f ca="1"/>
      </c>
      <c r="BA437">
        <f ca="1"/>
      </c>
      <c r="BB437">
        <f ca="1"/>
      </c>
      <c r="BC437">
        <f ca="1"/>
      </c>
      <c r="BD437">
        <f ca="1"/>
      </c>
      <c r="BE437">
        <f ca="1"/>
      </c>
      <c r="BF437">
        <f ca="1"/>
      </c>
      <c r="BG437">
        <f ca="1"/>
      </c>
      <c r="BH437">
        <f ca="1"/>
      </c>
      <c r="BI437">
        <f ca="1"/>
      </c>
      <c r="BJ437">
        <f ca="1"/>
      </c>
      <c r="BK437">
        <f ca="1"/>
      </c>
      <c r="BL437">
        <f ca="1"/>
      </c>
      <c r="BM437">
        <f ca="1"/>
      </c>
      <c r="BN437">
        <f ca="1"/>
      </c>
      <c r="BO437">
        <f ca="1"/>
      </c>
      <c r="BP437">
        <f ca="1"/>
      </c>
      <c r="BQ437">
        <f ca="1"/>
      </c>
      <c r="BR437">
        <f ca="1"/>
      </c>
      <c r="BS437">
        <f ca="1"/>
      </c>
      <c r="BT437">
        <f ca="1"/>
      </c>
      <c r="BU437">
        <f ca="1"/>
      </c>
      <c r="BV437">
        <f ca="1"/>
      </c>
      <c r="BW437">
        <f ca="1"/>
      </c>
      <c r="BX437">
        <f ca="1"/>
      </c>
      <c r="BY437">
        <f ca="1"/>
      </c>
      <c r="BZ437">
        <f ca="1"/>
      </c>
      <c r="CA437">
        <f ca="1"/>
      </c>
      <c r="CB437">
        <f ca="1"/>
      </c>
      <c r="CC437">
        <f ca="1"/>
      </c>
      <c r="CD437">
        <f ca="1"/>
      </c>
      <c r="CE437">
        <f ca="1"/>
      </c>
      <c r="CF437">
        <f ca="1"/>
      </c>
      <c r="CG437">
        <f ca="1"/>
      </c>
      <c r="CH437">
        <f ca="1"/>
      </c>
      <c r="CI437">
        <f ca="1"/>
      </c>
      <c r="CK437">
        <f ca="1"/>
      </c>
      <c r="CL437">
        <f ca="1"/>
      </c>
      <c r="CM437">
        <f ca="1"/>
      </c>
      <c r="CN437">
        <f ca="1"/>
      </c>
      <c r="CO437">
        <f ca="1"/>
      </c>
      <c r="CP437">
        <f ca="1"/>
      </c>
      <c r="CQ437">
        <f ca="1"/>
      </c>
      <c r="CR437">
        <f ca="1"/>
      </c>
      <c r="CS437">
        <f ca="1"/>
      </c>
      <c r="CT437">
        <f ca="1"/>
      </c>
      <c r="CU437">
        <f ca="1"/>
      </c>
      <c r="CV437">
        <f ca="1"/>
      </c>
      <c r="CW437">
        <f ca="1"/>
      </c>
      <c r="CX437">
        <f ca="1"/>
      </c>
      <c r="CY437">
        <f ca="1"/>
      </c>
      <c r="CZ437">
        <f ca="1"/>
      </c>
      <c r="DA437">
        <f ca="1"/>
      </c>
      <c r="DB437">
        <f ca="1"/>
      </c>
      <c r="DC437">
        <f ca="1"/>
      </c>
      <c r="DD437">
        <f ca="1"/>
      </c>
      <c r="DE437">
        <f ca="1"/>
      </c>
      <c r="DF437">
        <f ca="1"/>
      </c>
      <c r="DG437">
        <f ca="1"/>
      </c>
      <c r="DH437">
        <f ca="1"/>
      </c>
      <c r="DI437">
        <f ca="1"/>
      </c>
      <c r="DJ437">
        <f ca="1"/>
      </c>
      <c r="DK437">
        <f ca="1"/>
      </c>
      <c r="DL437">
        <f ca="1"/>
      </c>
      <c r="DM437">
        <f ca="1"/>
      </c>
      <c r="DN437">
        <f ca="1"/>
      </c>
      <c r="DO437">
        <f ca="1"/>
      </c>
      <c r="DP437">
        <f ca="1"/>
      </c>
      <c r="DQ437">
        <f ca="1"/>
      </c>
      <c r="DR437">
        <f ca="1"/>
      </c>
      <c r="DS437">
        <f ca="1"/>
      </c>
      <c r="DT437">
        <f ca="1"/>
      </c>
      <c r="DU437">
        <f ca="1"/>
      </c>
      <c r="DV437">
        <f ca="1"/>
      </c>
      <c r="DW437">
        <f ca="1"/>
      </c>
      <c r="DX437">
        <f ca="1"/>
      </c>
      <c r="DY437">
        <f ca="1"/>
      </c>
      <c r="DZ437">
        <f ca="1"/>
      </c>
      <c r="EA437">
        <f ca="1"/>
      </c>
      <c r="EB437">
        <f ca="1"/>
      </c>
      <c r="EC437">
        <f ca="1"/>
      </c>
      <c r="ED437">
        <f ca="1"/>
      </c>
      <c r="EE437">
        <f ca="1"/>
      </c>
      <c r="EG437">
        <f ca="1"/>
      </c>
      <c r="EH437">
        <f ca="1"/>
      </c>
      <c r="EI437">
        <f ca="1"/>
      </c>
      <c r="EJ437">
        <f ca="1"/>
      </c>
      <c r="EK437">
        <f ca="1"/>
      </c>
      <c r="EL437">
        <f ca="1"/>
      </c>
      <c r="EM437">
        <f ca="1"/>
      </c>
      <c r="EN437">
        <f ca="1"/>
      </c>
      <c r="EO437">
        <f ca="1"/>
      </c>
      <c r="EP437">
        <f ca="1"/>
      </c>
      <c r="EQ437">
        <f ca="1"/>
      </c>
      <c r="ER437">
        <f ca="1"/>
      </c>
      <c r="ES437">
        <f ca="1"/>
      </c>
      <c r="ET437">
        <f ca="1"/>
      </c>
      <c r="EU437">
        <f ca="1"/>
      </c>
      <c r="EV437">
        <f ca="1"/>
      </c>
      <c r="EW437">
        <f ca="1"/>
      </c>
      <c r="EX437">
        <f ca="1"/>
      </c>
      <c r="EY437">
        <f ca="1"/>
      </c>
      <c r="EZ437">
        <f ca="1"/>
      </c>
      <c r="FA437">
        <f ca="1"/>
      </c>
      <c r="FB437">
        <f ca="1"/>
      </c>
      <c r="FC437">
        <f ca="1"/>
      </c>
      <c r="FD437">
        <f ca="1"/>
      </c>
      <c r="FE437">
        <f ca="1"/>
      </c>
      <c r="FF437">
        <f ca="1"/>
      </c>
      <c r="FG437">
        <f ca="1"/>
      </c>
      <c r="FH437">
        <f ca="1"/>
      </c>
      <c r="FI437">
        <f ca="1"/>
      </c>
      <c r="FJ437">
        <f ca="1"/>
      </c>
      <c r="FK437">
        <f ca="1"/>
      </c>
      <c r="FL437">
        <f ca="1"/>
      </c>
      <c r="FM437">
        <f ca="1"/>
      </c>
      <c r="FN437">
        <f ca="1"/>
      </c>
      <c r="FO437">
        <f ca="1"/>
      </c>
      <c r="FP437">
        <f ca="1"/>
      </c>
      <c r="FQ437">
        <f ca="1"/>
      </c>
      <c r="FR437">
        <f ca="1"/>
      </c>
      <c r="FS437">
        <f ca="1"/>
      </c>
      <c r="FT437">
        <f ca="1"/>
      </c>
      <c r="FU437">
        <f ca="1"/>
      </c>
      <c r="FV437">
        <f ca="1"/>
      </c>
      <c r="FW437">
        <f ca="1"/>
      </c>
      <c r="FX437">
        <f ca="1"/>
      </c>
      <c r="FY437">
        <f ca="1"/>
      </c>
      <c r="FZ437">
        <f ca="1"/>
      </c>
      <c r="GA437">
        <f ca="1"/>
      </c>
      <c r="GM437" s="7"/>
    </row>
    <row r="438" spans="41:195" x14ac:dyDescent="0.55000000000000004">
      <c r="AO438">
        <f ca="1"/>
      </c>
      <c r="AP438">
        <f ca="1"/>
      </c>
      <c r="AQ438">
        <f ca="1"/>
      </c>
      <c r="AR438">
        <f ca="1"/>
      </c>
      <c r="AS438">
        <f ca="1"/>
      </c>
      <c r="AT438">
        <f ca="1"/>
      </c>
      <c r="AU438">
        <f ca="1"/>
      </c>
      <c r="AV438">
        <f ca="1"/>
      </c>
      <c r="AW438">
        <f ca="1"/>
      </c>
      <c r="AX438">
        <f ca="1"/>
      </c>
      <c r="AY438">
        <f ca="1"/>
      </c>
      <c r="AZ438">
        <f ca="1"/>
      </c>
      <c r="BA438">
        <f ca="1"/>
      </c>
      <c r="BB438">
        <f ca="1"/>
      </c>
      <c r="BC438">
        <f ca="1"/>
      </c>
      <c r="BD438">
        <f ca="1"/>
      </c>
      <c r="BE438">
        <f ca="1"/>
      </c>
      <c r="BF438">
        <f ca="1"/>
      </c>
      <c r="BG438">
        <f ca="1"/>
      </c>
      <c r="BH438">
        <f ca="1"/>
      </c>
      <c r="BI438">
        <f ca="1"/>
      </c>
      <c r="BJ438">
        <f ca="1"/>
      </c>
      <c r="BK438">
        <f ca="1"/>
      </c>
      <c r="BL438">
        <f ca="1"/>
      </c>
      <c r="BM438">
        <f ca="1"/>
      </c>
      <c r="BN438">
        <f ca="1"/>
      </c>
      <c r="BO438">
        <f ca="1"/>
      </c>
      <c r="BP438">
        <f ca="1"/>
      </c>
      <c r="BQ438">
        <f ca="1"/>
      </c>
      <c r="BR438">
        <f ca="1"/>
      </c>
      <c r="BS438">
        <f ca="1"/>
      </c>
      <c r="BT438">
        <f ca="1"/>
      </c>
      <c r="BU438">
        <f ca="1"/>
      </c>
      <c r="BV438">
        <f ca="1"/>
      </c>
      <c r="BW438">
        <f ca="1"/>
      </c>
      <c r="BX438">
        <f ca="1"/>
      </c>
      <c r="BY438">
        <f ca="1"/>
      </c>
      <c r="BZ438">
        <f ca="1"/>
      </c>
      <c r="CA438">
        <f ca="1"/>
      </c>
      <c r="CB438">
        <f ca="1"/>
      </c>
      <c r="CC438">
        <f ca="1"/>
      </c>
      <c r="CD438">
        <f ca="1"/>
      </c>
      <c r="CE438">
        <f ca="1"/>
      </c>
      <c r="CF438">
        <f ca="1"/>
      </c>
      <c r="CG438">
        <f ca="1"/>
      </c>
      <c r="CH438">
        <f ca="1"/>
      </c>
      <c r="CI438">
        <f ca="1"/>
      </c>
      <c r="CK438">
        <f ca="1"/>
      </c>
      <c r="CL438">
        <f ca="1"/>
      </c>
      <c r="CM438">
        <f ca="1"/>
      </c>
      <c r="CN438">
        <f ca="1"/>
      </c>
      <c r="CO438">
        <f ca="1"/>
      </c>
      <c r="CP438">
        <f ca="1"/>
      </c>
      <c r="CQ438">
        <f ca="1"/>
      </c>
      <c r="CR438">
        <f ca="1"/>
      </c>
      <c r="CS438">
        <f ca="1"/>
      </c>
      <c r="CT438">
        <f ca="1"/>
      </c>
      <c r="CU438">
        <f ca="1"/>
      </c>
      <c r="CV438">
        <f ca="1"/>
      </c>
      <c r="CW438">
        <f ca="1"/>
      </c>
      <c r="CX438">
        <f ca="1"/>
      </c>
      <c r="CY438">
        <f ca="1"/>
      </c>
      <c r="CZ438">
        <f ca="1"/>
      </c>
      <c r="DA438">
        <f ca="1"/>
      </c>
      <c r="DB438">
        <f ca="1"/>
      </c>
      <c r="DC438">
        <f ca="1"/>
      </c>
      <c r="DD438">
        <f ca="1"/>
      </c>
      <c r="DE438">
        <f ca="1"/>
      </c>
      <c r="DF438">
        <f ca="1"/>
      </c>
      <c r="DG438">
        <f ca="1"/>
      </c>
      <c r="DH438">
        <f ca="1"/>
      </c>
      <c r="DI438">
        <f ca="1"/>
      </c>
      <c r="DJ438">
        <f ca="1"/>
      </c>
      <c r="DK438">
        <f ca="1"/>
      </c>
      <c r="DL438">
        <f ca="1"/>
      </c>
      <c r="DM438">
        <f ca="1"/>
      </c>
      <c r="DN438">
        <f ca="1"/>
      </c>
      <c r="DO438">
        <f ca="1"/>
      </c>
      <c r="DP438">
        <f ca="1"/>
      </c>
      <c r="DQ438">
        <f ca="1"/>
      </c>
      <c r="DR438">
        <f ca="1"/>
      </c>
      <c r="DS438">
        <f ca="1"/>
      </c>
      <c r="DT438">
        <f ca="1"/>
      </c>
      <c r="DU438">
        <f ca="1"/>
      </c>
      <c r="DV438">
        <f ca="1"/>
      </c>
      <c r="DW438">
        <f ca="1"/>
      </c>
      <c r="DX438">
        <f ca="1"/>
      </c>
      <c r="DY438">
        <f ca="1"/>
      </c>
      <c r="DZ438">
        <f ca="1"/>
      </c>
      <c r="EA438">
        <f ca="1"/>
      </c>
      <c r="EB438">
        <f ca="1"/>
      </c>
      <c r="EC438">
        <f ca="1"/>
      </c>
      <c r="ED438">
        <f ca="1"/>
      </c>
      <c r="EE438">
        <f ca="1"/>
      </c>
      <c r="EG438">
        <f ca="1"/>
      </c>
      <c r="EH438">
        <f ca="1"/>
      </c>
      <c r="EI438">
        <f ca="1"/>
      </c>
      <c r="EJ438">
        <f ca="1"/>
      </c>
      <c r="EK438">
        <f ca="1"/>
      </c>
      <c r="EL438">
        <f ca="1"/>
      </c>
      <c r="EM438">
        <f ca="1"/>
      </c>
      <c r="EN438">
        <f ca="1"/>
      </c>
      <c r="EO438">
        <f ca="1"/>
      </c>
      <c r="EP438">
        <f ca="1"/>
      </c>
      <c r="EQ438">
        <f ca="1"/>
      </c>
      <c r="ER438">
        <f ca="1"/>
      </c>
      <c r="ES438">
        <f ca="1"/>
      </c>
      <c r="ET438">
        <f ca="1"/>
      </c>
      <c r="EU438">
        <f ca="1"/>
      </c>
      <c r="EV438">
        <f ca="1"/>
      </c>
      <c r="EW438">
        <f ca="1"/>
      </c>
      <c r="EX438">
        <f ca="1"/>
      </c>
      <c r="EY438">
        <f ca="1"/>
      </c>
      <c r="EZ438">
        <f ca="1"/>
      </c>
      <c r="FA438">
        <f ca="1"/>
      </c>
      <c r="FB438">
        <f ca="1"/>
      </c>
      <c r="FC438">
        <f ca="1"/>
      </c>
      <c r="FD438">
        <f ca="1"/>
      </c>
      <c r="FE438">
        <f ca="1"/>
      </c>
      <c r="FF438">
        <f ca="1"/>
      </c>
      <c r="FG438">
        <f ca="1"/>
      </c>
      <c r="FH438">
        <f ca="1"/>
      </c>
      <c r="FI438">
        <f ca="1"/>
      </c>
      <c r="FJ438">
        <f ca="1"/>
      </c>
      <c r="FK438">
        <f ca="1"/>
      </c>
      <c r="FL438">
        <f ca="1"/>
      </c>
      <c r="FM438">
        <f ca="1"/>
      </c>
      <c r="FN438">
        <f ca="1"/>
      </c>
      <c r="FO438">
        <f ca="1"/>
      </c>
      <c r="FP438">
        <f ca="1"/>
      </c>
      <c r="FQ438">
        <f ca="1"/>
      </c>
      <c r="FR438">
        <f ca="1"/>
      </c>
      <c r="FS438">
        <f ca="1"/>
      </c>
      <c r="FT438">
        <f ca="1"/>
      </c>
      <c r="FU438">
        <f ca="1"/>
      </c>
      <c r="FV438">
        <f ca="1"/>
      </c>
      <c r="FW438">
        <f ca="1"/>
      </c>
      <c r="FX438">
        <f ca="1"/>
      </c>
      <c r="FY438">
        <f ca="1"/>
      </c>
      <c r="FZ438">
        <f ca="1"/>
      </c>
      <c r="GA438">
        <f ca="1"/>
      </c>
      <c r="GM438" s="7"/>
    </row>
    <row r="439" spans="41:195" x14ac:dyDescent="0.55000000000000004">
      <c r="AO439">
        <f ca="1"/>
      </c>
      <c r="AP439">
        <f ca="1"/>
      </c>
      <c r="AQ439">
        <f ca="1"/>
      </c>
      <c r="AR439">
        <f ca="1"/>
      </c>
      <c r="AS439">
        <f ca="1"/>
      </c>
      <c r="AT439">
        <f ca="1"/>
      </c>
      <c r="AU439">
        <f ca="1"/>
      </c>
      <c r="AV439">
        <f ca="1"/>
      </c>
      <c r="AW439">
        <f ca="1"/>
      </c>
      <c r="AX439">
        <f ca="1"/>
      </c>
      <c r="AY439">
        <f ca="1"/>
      </c>
      <c r="AZ439">
        <f ca="1"/>
      </c>
      <c r="BA439">
        <f ca="1"/>
      </c>
      <c r="BB439">
        <f ca="1"/>
      </c>
      <c r="BC439">
        <f ca="1"/>
      </c>
      <c r="BD439">
        <f ca="1"/>
      </c>
      <c r="BE439">
        <f ca="1"/>
      </c>
      <c r="BF439">
        <f ca="1"/>
      </c>
      <c r="BG439">
        <f ca="1"/>
      </c>
      <c r="BH439">
        <f ca="1"/>
      </c>
      <c r="BI439">
        <f ca="1"/>
      </c>
      <c r="BJ439">
        <f ca="1"/>
      </c>
      <c r="BK439">
        <f ca="1"/>
      </c>
      <c r="BL439">
        <f ca="1"/>
      </c>
      <c r="BM439">
        <f ca="1"/>
      </c>
      <c r="BN439">
        <f ca="1"/>
      </c>
      <c r="BO439">
        <f ca="1"/>
      </c>
      <c r="BP439">
        <f ca="1"/>
      </c>
      <c r="BQ439">
        <f ca="1"/>
      </c>
      <c r="BR439">
        <f ca="1"/>
      </c>
      <c r="BS439">
        <f ca="1"/>
      </c>
      <c r="BT439">
        <f ca="1"/>
      </c>
      <c r="BU439">
        <f ca="1"/>
      </c>
      <c r="BV439">
        <f ca="1"/>
      </c>
      <c r="BW439">
        <f ca="1"/>
      </c>
      <c r="BX439">
        <f ca="1"/>
      </c>
      <c r="BY439">
        <f ca="1"/>
      </c>
      <c r="BZ439">
        <f ca="1"/>
      </c>
      <c r="CA439">
        <f ca="1"/>
      </c>
      <c r="CB439">
        <f ca="1"/>
      </c>
      <c r="CC439">
        <f ca="1"/>
      </c>
      <c r="CD439">
        <f ca="1"/>
      </c>
      <c r="CE439">
        <f ca="1"/>
      </c>
      <c r="CF439">
        <f ca="1"/>
      </c>
      <c r="CG439">
        <f ca="1"/>
      </c>
      <c r="CH439">
        <f ca="1"/>
      </c>
      <c r="CI439">
        <f ca="1"/>
      </c>
      <c r="CK439">
        <f ca="1"/>
      </c>
      <c r="CL439">
        <f ca="1"/>
      </c>
      <c r="CM439">
        <f ca="1"/>
      </c>
      <c r="CN439">
        <f ca="1"/>
      </c>
      <c r="CO439">
        <f ca="1"/>
      </c>
      <c r="CP439">
        <f ca="1"/>
      </c>
      <c r="CQ439">
        <f ca="1"/>
      </c>
      <c r="CR439">
        <f ca="1"/>
      </c>
      <c r="CS439">
        <f ca="1"/>
      </c>
      <c r="CT439">
        <f ca="1"/>
      </c>
      <c r="CU439">
        <f ca="1"/>
      </c>
      <c r="CV439">
        <f ca="1"/>
      </c>
      <c r="CW439">
        <f ca="1"/>
      </c>
      <c r="CX439">
        <f ca="1"/>
      </c>
      <c r="CY439">
        <f ca="1"/>
      </c>
      <c r="CZ439">
        <f ca="1"/>
      </c>
      <c r="DA439">
        <f ca="1"/>
      </c>
      <c r="DB439">
        <f ca="1"/>
      </c>
      <c r="DC439">
        <f ca="1"/>
      </c>
      <c r="DD439">
        <f ca="1"/>
      </c>
      <c r="DE439">
        <f ca="1"/>
      </c>
      <c r="DF439">
        <f ca="1"/>
      </c>
      <c r="DG439">
        <f ca="1"/>
      </c>
      <c r="DH439">
        <f ca="1"/>
      </c>
      <c r="DI439">
        <f ca="1"/>
      </c>
      <c r="DJ439">
        <f ca="1"/>
      </c>
      <c r="DK439">
        <f ca="1"/>
      </c>
      <c r="DL439">
        <f ca="1"/>
      </c>
      <c r="DM439">
        <f ca="1"/>
      </c>
      <c r="DN439">
        <f ca="1"/>
      </c>
      <c r="DO439">
        <f ca="1"/>
      </c>
      <c r="DP439">
        <f ca="1"/>
      </c>
      <c r="DQ439">
        <f ca="1"/>
      </c>
      <c r="DR439">
        <f ca="1"/>
      </c>
      <c r="DS439">
        <f ca="1"/>
      </c>
      <c r="DT439">
        <f ca="1"/>
      </c>
      <c r="DU439">
        <f ca="1"/>
      </c>
      <c r="DV439">
        <f ca="1"/>
      </c>
      <c r="DW439">
        <f ca="1"/>
      </c>
      <c r="DX439">
        <f ca="1"/>
      </c>
      <c r="DY439">
        <f ca="1"/>
      </c>
      <c r="DZ439">
        <f ca="1"/>
      </c>
      <c r="EA439">
        <f ca="1"/>
      </c>
      <c r="EB439">
        <f ca="1"/>
      </c>
      <c r="EC439">
        <f ca="1"/>
      </c>
      <c r="ED439">
        <f ca="1"/>
      </c>
      <c r="EE439">
        <f ca="1"/>
      </c>
      <c r="EG439">
        <f ca="1"/>
      </c>
      <c r="EH439">
        <f ca="1"/>
      </c>
      <c r="EI439">
        <f ca="1"/>
      </c>
      <c r="EJ439">
        <f ca="1"/>
      </c>
      <c r="EK439">
        <f ca="1"/>
      </c>
      <c r="EL439">
        <f ca="1"/>
      </c>
      <c r="EM439">
        <f ca="1"/>
      </c>
      <c r="EN439">
        <f ca="1"/>
      </c>
      <c r="EO439">
        <f ca="1"/>
      </c>
      <c r="EP439">
        <f ca="1"/>
      </c>
      <c r="EQ439">
        <f ca="1"/>
      </c>
      <c r="ER439">
        <f ca="1"/>
      </c>
      <c r="ES439">
        <f ca="1"/>
      </c>
      <c r="ET439">
        <f ca="1"/>
      </c>
      <c r="EU439">
        <f ca="1"/>
      </c>
      <c r="EV439">
        <f ca="1"/>
      </c>
      <c r="EW439">
        <f ca="1"/>
      </c>
      <c r="EX439">
        <f ca="1"/>
      </c>
      <c r="EY439">
        <f ca="1"/>
      </c>
      <c r="EZ439">
        <f ca="1"/>
      </c>
      <c r="FA439">
        <f ca="1"/>
      </c>
      <c r="FB439">
        <f ca="1"/>
      </c>
      <c r="FC439">
        <f ca="1"/>
      </c>
      <c r="FD439">
        <f ca="1"/>
      </c>
      <c r="FE439">
        <f ca="1"/>
      </c>
      <c r="FF439">
        <f ca="1"/>
      </c>
      <c r="FG439">
        <f ca="1"/>
      </c>
      <c r="FH439">
        <f ca="1"/>
      </c>
      <c r="FI439">
        <f ca="1"/>
      </c>
      <c r="FJ439">
        <f ca="1"/>
      </c>
      <c r="FK439">
        <f ca="1"/>
      </c>
      <c r="FL439">
        <f ca="1"/>
      </c>
      <c r="FM439">
        <f ca="1"/>
      </c>
      <c r="FN439">
        <f ca="1"/>
      </c>
      <c r="FO439">
        <f ca="1"/>
      </c>
      <c r="FP439">
        <f ca="1"/>
      </c>
      <c r="FQ439">
        <f ca="1"/>
      </c>
      <c r="FR439">
        <f ca="1"/>
      </c>
      <c r="FS439">
        <f ca="1"/>
      </c>
      <c r="FT439">
        <f ca="1"/>
      </c>
      <c r="FU439">
        <f ca="1"/>
      </c>
      <c r="FV439">
        <f ca="1"/>
      </c>
      <c r="FW439">
        <f ca="1"/>
      </c>
      <c r="FX439">
        <f ca="1"/>
      </c>
      <c r="FY439">
        <f ca="1"/>
      </c>
      <c r="FZ439">
        <f ca="1"/>
      </c>
      <c r="GA439">
        <f ca="1"/>
      </c>
      <c r="GM439" s="7"/>
    </row>
    <row r="440" spans="41:195" x14ac:dyDescent="0.55000000000000004">
      <c r="AO440">
        <f ca="1"/>
      </c>
      <c r="AP440">
        <f ca="1"/>
      </c>
      <c r="AQ440">
        <f ca="1"/>
      </c>
      <c r="AR440">
        <f ca="1"/>
      </c>
      <c r="AS440">
        <f ca="1"/>
      </c>
      <c r="AT440">
        <f ca="1"/>
      </c>
      <c r="AU440">
        <f ca="1"/>
      </c>
      <c r="AV440">
        <f ca="1"/>
      </c>
      <c r="AW440">
        <f ca="1"/>
      </c>
      <c r="AX440">
        <f ca="1"/>
      </c>
      <c r="AY440">
        <f ca="1"/>
      </c>
      <c r="AZ440">
        <f ca="1"/>
      </c>
      <c r="BA440">
        <f ca="1"/>
      </c>
      <c r="BB440">
        <f ca="1"/>
      </c>
      <c r="BC440">
        <f ca="1"/>
      </c>
      <c r="BD440">
        <f ca="1"/>
      </c>
      <c r="BE440">
        <f ca="1"/>
      </c>
      <c r="BF440">
        <f ca="1"/>
      </c>
      <c r="BG440">
        <f ca="1"/>
      </c>
      <c r="BH440">
        <f ca="1"/>
      </c>
      <c r="BI440">
        <f ca="1"/>
      </c>
      <c r="BJ440">
        <f ca="1"/>
      </c>
      <c r="BK440">
        <f ca="1"/>
      </c>
      <c r="BL440">
        <f ca="1"/>
      </c>
      <c r="BM440">
        <f ca="1"/>
      </c>
      <c r="BN440">
        <f ca="1"/>
      </c>
      <c r="BO440">
        <f ca="1"/>
      </c>
      <c r="BP440">
        <f ca="1"/>
      </c>
      <c r="BQ440">
        <f ca="1"/>
      </c>
      <c r="BR440">
        <f ca="1"/>
      </c>
      <c r="BS440">
        <f ca="1"/>
      </c>
      <c r="BT440">
        <f ca="1"/>
      </c>
      <c r="BU440">
        <f ca="1"/>
      </c>
      <c r="BV440">
        <f ca="1"/>
      </c>
      <c r="BW440">
        <f ca="1"/>
      </c>
      <c r="BX440">
        <f ca="1"/>
      </c>
      <c r="BY440">
        <f ca="1"/>
      </c>
      <c r="BZ440">
        <f ca="1"/>
      </c>
      <c r="CA440">
        <f ca="1"/>
      </c>
      <c r="CB440">
        <f ca="1"/>
      </c>
      <c r="CC440">
        <f ca="1"/>
      </c>
      <c r="CD440">
        <f ca="1"/>
      </c>
      <c r="CE440">
        <f ca="1"/>
      </c>
      <c r="CF440">
        <f ca="1"/>
      </c>
      <c r="CG440">
        <f ca="1"/>
      </c>
      <c r="CH440">
        <f ca="1"/>
      </c>
      <c r="CI440">
        <f ca="1"/>
      </c>
      <c r="CK440">
        <f ca="1"/>
      </c>
      <c r="CL440">
        <f ca="1"/>
      </c>
      <c r="CM440">
        <f ca="1"/>
      </c>
      <c r="CN440">
        <f ca="1"/>
      </c>
      <c r="CO440">
        <f ca="1"/>
      </c>
      <c r="CP440">
        <f ca="1"/>
      </c>
      <c r="CQ440">
        <f ca="1"/>
      </c>
      <c r="CR440">
        <f ca="1"/>
      </c>
      <c r="CS440">
        <f ca="1"/>
      </c>
      <c r="CT440">
        <f ca="1"/>
      </c>
      <c r="CU440">
        <f ca="1"/>
      </c>
      <c r="CV440">
        <f ca="1"/>
      </c>
      <c r="CW440">
        <f ca="1"/>
      </c>
      <c r="CX440">
        <f ca="1"/>
      </c>
      <c r="CY440">
        <f ca="1"/>
      </c>
      <c r="CZ440">
        <f ca="1"/>
      </c>
      <c r="DA440">
        <f ca="1"/>
      </c>
      <c r="DB440">
        <f ca="1"/>
      </c>
      <c r="DC440">
        <f ca="1"/>
      </c>
      <c r="DD440">
        <f ca="1"/>
      </c>
      <c r="DE440">
        <f ca="1"/>
      </c>
      <c r="DF440">
        <f ca="1"/>
      </c>
      <c r="DG440">
        <f ca="1"/>
      </c>
      <c r="DH440">
        <f ca="1"/>
      </c>
      <c r="DI440">
        <f ca="1"/>
      </c>
      <c r="DJ440">
        <f ca="1"/>
      </c>
      <c r="DK440">
        <f ca="1"/>
      </c>
      <c r="DL440">
        <f ca="1"/>
      </c>
      <c r="DM440">
        <f ca="1"/>
      </c>
      <c r="DN440">
        <f ca="1"/>
      </c>
      <c r="DO440">
        <f ca="1"/>
      </c>
      <c r="DP440">
        <f ca="1"/>
      </c>
      <c r="DQ440">
        <f ca="1"/>
      </c>
      <c r="DR440">
        <f ca="1"/>
      </c>
      <c r="DS440">
        <f ca="1"/>
      </c>
      <c r="DT440">
        <f ca="1"/>
      </c>
      <c r="DU440">
        <f ca="1"/>
      </c>
      <c r="DV440">
        <f ca="1"/>
      </c>
      <c r="DW440">
        <f ca="1"/>
      </c>
      <c r="DX440">
        <f ca="1"/>
      </c>
      <c r="DY440">
        <f ca="1"/>
      </c>
      <c r="DZ440">
        <f ca="1"/>
      </c>
      <c r="EA440">
        <f ca="1"/>
      </c>
      <c r="EB440">
        <f ca="1"/>
      </c>
      <c r="EC440">
        <f ca="1"/>
      </c>
      <c r="ED440">
        <f ca="1"/>
      </c>
      <c r="EE440">
        <f ca="1"/>
      </c>
      <c r="EG440">
        <f ca="1"/>
      </c>
      <c r="EH440">
        <f ca="1"/>
      </c>
      <c r="EI440">
        <f ca="1"/>
      </c>
      <c r="EJ440">
        <f ca="1"/>
      </c>
      <c r="EK440">
        <f ca="1"/>
      </c>
      <c r="EL440">
        <f ca="1"/>
      </c>
      <c r="EM440">
        <f ca="1"/>
      </c>
      <c r="EN440">
        <f ca="1"/>
      </c>
      <c r="EO440">
        <f ca="1"/>
      </c>
      <c r="EP440">
        <f ca="1"/>
      </c>
      <c r="EQ440">
        <f ca="1"/>
      </c>
      <c r="ER440">
        <f ca="1"/>
      </c>
      <c r="ES440">
        <f ca="1"/>
      </c>
      <c r="ET440">
        <f ca="1"/>
      </c>
      <c r="EU440">
        <f ca="1"/>
      </c>
      <c r="EV440">
        <f ca="1"/>
      </c>
      <c r="EW440">
        <f ca="1"/>
      </c>
      <c r="EX440">
        <f ca="1"/>
      </c>
      <c r="EY440">
        <f ca="1"/>
      </c>
      <c r="EZ440">
        <f ca="1"/>
      </c>
      <c r="FA440">
        <f ca="1"/>
      </c>
      <c r="FB440">
        <f ca="1"/>
      </c>
      <c r="FC440">
        <f ca="1"/>
      </c>
      <c r="FD440">
        <f ca="1"/>
      </c>
      <c r="FE440">
        <f ca="1"/>
      </c>
      <c r="FF440">
        <f ca="1"/>
      </c>
      <c r="FG440">
        <f ca="1"/>
      </c>
      <c r="FH440">
        <f ca="1"/>
      </c>
      <c r="FI440">
        <f ca="1"/>
      </c>
      <c r="FJ440">
        <f ca="1"/>
      </c>
      <c r="FK440">
        <f ca="1"/>
      </c>
      <c r="FL440">
        <f ca="1"/>
      </c>
      <c r="FM440">
        <f ca="1"/>
      </c>
      <c r="FN440">
        <f ca="1"/>
      </c>
      <c r="FO440">
        <f ca="1"/>
      </c>
      <c r="FP440">
        <f ca="1"/>
      </c>
      <c r="FQ440">
        <f ca="1"/>
      </c>
      <c r="FR440">
        <f ca="1"/>
      </c>
      <c r="FS440">
        <f ca="1"/>
      </c>
      <c r="FT440">
        <f ca="1"/>
      </c>
      <c r="FU440">
        <f ca="1"/>
      </c>
      <c r="FV440">
        <f ca="1"/>
      </c>
      <c r="FW440">
        <f ca="1"/>
      </c>
      <c r="FX440">
        <f ca="1"/>
      </c>
      <c r="FY440">
        <f ca="1"/>
      </c>
      <c r="FZ440">
        <f ca="1"/>
      </c>
      <c r="GA440">
        <f ca="1"/>
      </c>
      <c r="GM440" s="7"/>
    </row>
    <row r="441" spans="41:195" x14ac:dyDescent="0.55000000000000004">
      <c r="AO441">
        <f ca="1"/>
      </c>
      <c r="AP441">
        <f ca="1"/>
      </c>
      <c r="AQ441">
        <f ca="1"/>
      </c>
      <c r="AR441">
        <f ca="1"/>
      </c>
      <c r="AS441">
        <f ca="1"/>
      </c>
      <c r="AT441">
        <f ca="1"/>
      </c>
      <c r="AU441">
        <f ca="1"/>
      </c>
      <c r="AV441">
        <f ca="1"/>
      </c>
      <c r="AW441">
        <f ca="1"/>
      </c>
      <c r="AX441">
        <f ca="1"/>
      </c>
      <c r="AY441">
        <f ca="1"/>
      </c>
      <c r="AZ441">
        <f ca="1"/>
      </c>
      <c r="BA441">
        <f ca="1"/>
      </c>
      <c r="BB441">
        <f ca="1"/>
      </c>
      <c r="BC441">
        <f ca="1"/>
      </c>
      <c r="BD441">
        <f ca="1"/>
      </c>
      <c r="BE441">
        <f ca="1"/>
      </c>
      <c r="BF441">
        <f ca="1"/>
      </c>
      <c r="BG441">
        <f ca="1"/>
      </c>
      <c r="BH441">
        <f ca="1"/>
      </c>
      <c r="BI441">
        <f ca="1"/>
      </c>
      <c r="BJ441">
        <f ca="1"/>
      </c>
      <c r="BK441">
        <f ca="1"/>
      </c>
      <c r="BL441">
        <f ca="1"/>
      </c>
      <c r="BM441">
        <f ca="1"/>
      </c>
      <c r="BN441">
        <f ca="1"/>
      </c>
      <c r="BO441">
        <f ca="1"/>
      </c>
      <c r="BP441">
        <f ca="1"/>
      </c>
      <c r="BQ441">
        <f ca="1"/>
      </c>
      <c r="BR441">
        <f ca="1"/>
      </c>
      <c r="BS441">
        <f ca="1"/>
      </c>
      <c r="BT441">
        <f ca="1"/>
      </c>
      <c r="BU441">
        <f ca="1"/>
      </c>
      <c r="BV441">
        <f ca="1"/>
      </c>
      <c r="BW441">
        <f ca="1"/>
      </c>
      <c r="BX441">
        <f ca="1"/>
      </c>
      <c r="BY441">
        <f ca="1"/>
      </c>
      <c r="BZ441">
        <f ca="1"/>
      </c>
      <c r="CA441">
        <f ca="1"/>
      </c>
      <c r="CB441">
        <f ca="1"/>
      </c>
      <c r="CC441">
        <f ca="1"/>
      </c>
      <c r="CD441">
        <f ca="1"/>
      </c>
      <c r="CE441">
        <f ca="1"/>
      </c>
      <c r="CF441">
        <f ca="1"/>
      </c>
      <c r="CG441">
        <f ca="1"/>
      </c>
      <c r="CH441">
        <f ca="1"/>
      </c>
      <c r="CI441">
        <f ca="1"/>
      </c>
      <c r="CK441">
        <f ca="1"/>
      </c>
      <c r="CL441">
        <f ca="1"/>
      </c>
      <c r="CM441">
        <f ca="1"/>
      </c>
      <c r="CN441">
        <f ca="1"/>
      </c>
      <c r="CO441">
        <f ca="1"/>
      </c>
      <c r="CP441">
        <f ca="1"/>
      </c>
      <c r="CQ441">
        <f ca="1"/>
      </c>
      <c r="CR441">
        <f ca="1"/>
      </c>
      <c r="CS441">
        <f ca="1"/>
      </c>
      <c r="CT441">
        <f ca="1"/>
      </c>
      <c r="CU441">
        <f ca="1"/>
      </c>
      <c r="CV441">
        <f ca="1"/>
      </c>
      <c r="CW441">
        <f ca="1"/>
      </c>
      <c r="CX441">
        <f ca="1"/>
      </c>
      <c r="CY441">
        <f ca="1"/>
      </c>
      <c r="CZ441">
        <f ca="1"/>
      </c>
      <c r="DA441">
        <f ca="1"/>
      </c>
      <c r="DB441">
        <f ca="1"/>
      </c>
      <c r="DC441">
        <f ca="1"/>
      </c>
      <c r="DD441">
        <f ca="1"/>
      </c>
      <c r="DE441">
        <f ca="1"/>
      </c>
      <c r="DF441">
        <f ca="1"/>
      </c>
      <c r="DG441">
        <f ca="1"/>
      </c>
      <c r="DH441">
        <f ca="1"/>
      </c>
      <c r="DI441">
        <f ca="1"/>
      </c>
      <c r="DJ441">
        <f ca="1"/>
      </c>
      <c r="DK441">
        <f ca="1"/>
      </c>
      <c r="DL441">
        <f ca="1"/>
      </c>
      <c r="DM441">
        <f ca="1"/>
      </c>
      <c r="DN441">
        <f ca="1"/>
      </c>
      <c r="DO441">
        <f ca="1"/>
      </c>
      <c r="DP441">
        <f ca="1"/>
      </c>
      <c r="DQ441">
        <f ca="1"/>
      </c>
      <c r="DR441">
        <f ca="1"/>
      </c>
      <c r="DS441">
        <f ca="1"/>
      </c>
      <c r="DT441">
        <f ca="1"/>
      </c>
      <c r="DU441">
        <f ca="1"/>
      </c>
      <c r="DV441">
        <f ca="1"/>
      </c>
      <c r="DW441">
        <f ca="1"/>
      </c>
      <c r="DX441">
        <f ca="1"/>
      </c>
      <c r="DY441">
        <f ca="1"/>
      </c>
      <c r="DZ441">
        <f ca="1"/>
      </c>
      <c r="EA441">
        <f ca="1"/>
      </c>
      <c r="EB441">
        <f ca="1"/>
      </c>
      <c r="EC441">
        <f ca="1"/>
      </c>
      <c r="ED441">
        <f ca="1"/>
      </c>
      <c r="EE441">
        <f ca="1"/>
      </c>
      <c r="EG441">
        <f ca="1"/>
      </c>
      <c r="EH441">
        <f ca="1"/>
      </c>
      <c r="EI441">
        <f ca="1"/>
      </c>
      <c r="EJ441">
        <f ca="1"/>
      </c>
      <c r="EK441">
        <f ca="1"/>
      </c>
      <c r="EL441">
        <f ca="1"/>
      </c>
      <c r="EM441">
        <f ca="1"/>
      </c>
      <c r="EN441">
        <f ca="1"/>
      </c>
      <c r="EO441">
        <f ca="1"/>
      </c>
      <c r="EP441">
        <f ca="1"/>
      </c>
      <c r="EQ441">
        <f ca="1"/>
      </c>
      <c r="ER441">
        <f ca="1"/>
      </c>
      <c r="ES441">
        <f ca="1"/>
      </c>
      <c r="ET441">
        <f ca="1"/>
      </c>
      <c r="EU441">
        <f ca="1"/>
      </c>
      <c r="EV441">
        <f ca="1"/>
      </c>
      <c r="EW441">
        <f ca="1"/>
      </c>
      <c r="EX441">
        <f ca="1"/>
      </c>
      <c r="EY441">
        <f ca="1"/>
      </c>
      <c r="EZ441">
        <f ca="1"/>
      </c>
      <c r="FA441">
        <f ca="1"/>
      </c>
      <c r="FB441">
        <f ca="1"/>
      </c>
      <c r="FC441">
        <f ca="1"/>
      </c>
      <c r="FD441">
        <f ca="1"/>
      </c>
      <c r="FE441">
        <f ca="1"/>
      </c>
      <c r="FF441">
        <f ca="1"/>
      </c>
      <c r="FG441">
        <f ca="1"/>
      </c>
      <c r="FH441">
        <f ca="1"/>
      </c>
      <c r="FI441">
        <f ca="1"/>
      </c>
      <c r="FJ441">
        <f ca="1"/>
      </c>
      <c r="FK441">
        <f ca="1"/>
      </c>
      <c r="FL441">
        <f ca="1"/>
      </c>
      <c r="FM441">
        <f ca="1"/>
      </c>
      <c r="FN441">
        <f ca="1"/>
      </c>
      <c r="FO441">
        <f ca="1"/>
      </c>
      <c r="FP441">
        <f ca="1"/>
      </c>
      <c r="FQ441">
        <f ca="1"/>
      </c>
      <c r="FR441">
        <f ca="1"/>
      </c>
      <c r="FS441">
        <f ca="1"/>
      </c>
      <c r="FT441">
        <f ca="1"/>
      </c>
      <c r="FU441">
        <f ca="1"/>
      </c>
      <c r="FV441">
        <f ca="1"/>
      </c>
      <c r="FW441">
        <f ca="1"/>
      </c>
      <c r="FX441">
        <f ca="1"/>
      </c>
      <c r="FY441">
        <f ca="1"/>
      </c>
      <c r="FZ441">
        <f ca="1"/>
      </c>
      <c r="GA441">
        <f ca="1"/>
      </c>
      <c r="GM441" s="7"/>
    </row>
    <row r="442" spans="41:195" x14ac:dyDescent="0.55000000000000004">
      <c r="AO442">
        <f ca="1"/>
      </c>
      <c r="AP442">
        <f ca="1"/>
      </c>
      <c r="AQ442">
        <f ca="1"/>
      </c>
      <c r="AR442">
        <f ca="1"/>
      </c>
      <c r="AS442">
        <f ca="1"/>
      </c>
      <c r="AT442">
        <f ca="1"/>
      </c>
      <c r="AU442">
        <f ca="1"/>
      </c>
      <c r="AV442">
        <f ca="1"/>
      </c>
      <c r="AW442">
        <f ca="1"/>
      </c>
      <c r="AX442">
        <f ca="1"/>
      </c>
      <c r="AY442">
        <f ca="1"/>
      </c>
      <c r="AZ442">
        <f ca="1"/>
      </c>
      <c r="BA442">
        <f ca="1"/>
      </c>
      <c r="BB442">
        <f ca="1"/>
      </c>
      <c r="BC442">
        <f ca="1"/>
      </c>
      <c r="BD442">
        <f ca="1"/>
      </c>
      <c r="BE442">
        <f ca="1"/>
      </c>
      <c r="BF442">
        <f ca="1"/>
      </c>
      <c r="BG442">
        <f ca="1"/>
      </c>
      <c r="BH442">
        <f ca="1"/>
      </c>
      <c r="BI442">
        <f ca="1"/>
      </c>
      <c r="BJ442">
        <f ca="1"/>
      </c>
      <c r="BK442">
        <f ca="1"/>
      </c>
      <c r="BL442">
        <f ca="1"/>
      </c>
      <c r="BM442">
        <f ca="1"/>
      </c>
      <c r="BN442">
        <f ca="1"/>
      </c>
      <c r="BO442">
        <f ca="1"/>
      </c>
      <c r="BP442">
        <f ca="1"/>
      </c>
      <c r="BQ442">
        <f ca="1"/>
      </c>
      <c r="BR442">
        <f ca="1"/>
      </c>
      <c r="BS442">
        <f ca="1"/>
      </c>
      <c r="BT442">
        <f ca="1"/>
      </c>
      <c r="BU442">
        <f ca="1"/>
      </c>
      <c r="BV442">
        <f ca="1"/>
      </c>
      <c r="BW442">
        <f ca="1"/>
      </c>
      <c r="BX442">
        <f ca="1"/>
      </c>
      <c r="BY442">
        <f ca="1"/>
      </c>
      <c r="BZ442">
        <f ca="1"/>
      </c>
      <c r="CA442">
        <f ca="1"/>
      </c>
      <c r="CB442">
        <f ca="1"/>
      </c>
      <c r="CC442">
        <f ca="1"/>
      </c>
      <c r="CD442">
        <f ca="1"/>
      </c>
      <c r="CE442">
        <f ca="1"/>
      </c>
      <c r="CF442">
        <f ca="1"/>
      </c>
      <c r="CG442">
        <f ca="1"/>
      </c>
      <c r="CH442">
        <f ca="1"/>
      </c>
      <c r="CI442">
        <f ca="1"/>
      </c>
      <c r="CK442">
        <f ca="1"/>
      </c>
      <c r="CL442">
        <f ca="1"/>
      </c>
      <c r="CM442">
        <f ca="1"/>
      </c>
      <c r="CN442">
        <f ca="1"/>
      </c>
      <c r="CO442">
        <f ca="1"/>
      </c>
      <c r="CP442">
        <f ca="1"/>
      </c>
      <c r="CQ442">
        <f ca="1"/>
      </c>
      <c r="CR442">
        <f ca="1"/>
      </c>
      <c r="CS442">
        <f ca="1"/>
      </c>
      <c r="CT442">
        <f ca="1"/>
      </c>
      <c r="CU442">
        <f ca="1"/>
      </c>
      <c r="CV442">
        <f ca="1"/>
      </c>
      <c r="CW442">
        <f ca="1"/>
      </c>
      <c r="CX442">
        <f ca="1"/>
      </c>
      <c r="CY442">
        <f ca="1"/>
      </c>
      <c r="CZ442">
        <f ca="1"/>
      </c>
      <c r="DA442">
        <f ca="1"/>
      </c>
      <c r="DB442">
        <f ca="1"/>
      </c>
      <c r="DC442">
        <f ca="1"/>
      </c>
      <c r="DD442">
        <f ca="1"/>
      </c>
      <c r="DE442">
        <f ca="1"/>
      </c>
      <c r="DF442">
        <f ca="1"/>
      </c>
      <c r="DG442">
        <f ca="1"/>
      </c>
      <c r="DH442">
        <f ca="1"/>
      </c>
      <c r="DI442">
        <f ca="1"/>
      </c>
      <c r="DJ442">
        <f ca="1"/>
      </c>
      <c r="DK442">
        <f ca="1"/>
      </c>
      <c r="DL442">
        <f ca="1"/>
      </c>
      <c r="DM442">
        <f ca="1"/>
      </c>
      <c r="DN442">
        <f ca="1"/>
      </c>
      <c r="DO442">
        <f ca="1"/>
      </c>
      <c r="DP442">
        <f ca="1"/>
      </c>
      <c r="DQ442">
        <f ca="1"/>
      </c>
      <c r="DR442">
        <f ca="1"/>
      </c>
      <c r="DS442">
        <f ca="1"/>
      </c>
      <c r="DT442">
        <f ca="1"/>
      </c>
      <c r="DU442">
        <f ca="1"/>
      </c>
      <c r="DV442">
        <f ca="1"/>
      </c>
      <c r="DW442">
        <f ca="1"/>
      </c>
      <c r="DX442">
        <f ca="1"/>
      </c>
      <c r="DY442">
        <f ca="1"/>
      </c>
      <c r="DZ442">
        <f ca="1"/>
      </c>
      <c r="EA442">
        <f ca="1"/>
      </c>
      <c r="EB442">
        <f ca="1"/>
      </c>
      <c r="EC442">
        <f ca="1"/>
      </c>
      <c r="ED442">
        <f ca="1"/>
      </c>
      <c r="EE442">
        <f ca="1"/>
      </c>
      <c r="EG442">
        <f ca="1"/>
      </c>
      <c r="EH442">
        <f ca="1"/>
      </c>
      <c r="EI442">
        <f ca="1"/>
      </c>
      <c r="EJ442">
        <f ca="1"/>
      </c>
      <c r="EK442">
        <f ca="1"/>
      </c>
      <c r="EL442">
        <f ca="1"/>
      </c>
      <c r="EM442">
        <f ca="1"/>
      </c>
      <c r="EN442">
        <f ca="1"/>
      </c>
      <c r="EO442">
        <f ca="1"/>
      </c>
      <c r="EP442">
        <f ca="1"/>
      </c>
      <c r="EQ442">
        <f ca="1"/>
      </c>
      <c r="ER442">
        <f ca="1"/>
      </c>
      <c r="ES442">
        <f ca="1"/>
      </c>
      <c r="ET442">
        <f ca="1"/>
      </c>
      <c r="EU442">
        <f ca="1"/>
      </c>
      <c r="EV442">
        <f ca="1"/>
      </c>
      <c r="EW442">
        <f ca="1"/>
      </c>
      <c r="EX442">
        <f ca="1"/>
      </c>
      <c r="EY442">
        <f ca="1"/>
      </c>
      <c r="EZ442">
        <f ca="1"/>
      </c>
      <c r="FA442">
        <f ca="1"/>
      </c>
      <c r="FB442">
        <f ca="1"/>
      </c>
      <c r="FC442">
        <f ca="1"/>
      </c>
      <c r="FD442">
        <f ca="1"/>
      </c>
      <c r="FE442">
        <f ca="1"/>
      </c>
      <c r="FF442">
        <f ca="1"/>
      </c>
      <c r="FG442">
        <f ca="1"/>
      </c>
      <c r="FH442">
        <f ca="1"/>
      </c>
      <c r="FI442">
        <f ca="1"/>
      </c>
      <c r="FJ442">
        <f ca="1"/>
      </c>
      <c r="FK442">
        <f ca="1"/>
      </c>
      <c r="FL442">
        <f ca="1"/>
      </c>
      <c r="FM442">
        <f ca="1"/>
      </c>
      <c r="FN442">
        <f ca="1"/>
      </c>
      <c r="FO442">
        <f ca="1"/>
      </c>
      <c r="FP442">
        <f ca="1"/>
      </c>
      <c r="FQ442">
        <f ca="1"/>
      </c>
      <c r="FR442">
        <f ca="1"/>
      </c>
      <c r="FS442">
        <f ca="1"/>
      </c>
      <c r="FT442">
        <f ca="1"/>
      </c>
      <c r="FU442">
        <f ca="1"/>
      </c>
      <c r="FV442">
        <f ca="1"/>
      </c>
      <c r="FW442">
        <f ca="1"/>
      </c>
      <c r="FX442">
        <f ca="1"/>
      </c>
      <c r="FY442">
        <f ca="1"/>
      </c>
      <c r="FZ442">
        <f ca="1"/>
      </c>
      <c r="GA442">
        <f ca="1"/>
      </c>
      <c r="GM442" s="7"/>
    </row>
    <row r="443" spans="41:195" x14ac:dyDescent="0.55000000000000004">
      <c r="AO443">
        <f ca="1"/>
      </c>
      <c r="AP443">
        <f ca="1"/>
      </c>
      <c r="AQ443">
        <f ca="1"/>
      </c>
      <c r="AR443">
        <f ca="1"/>
      </c>
      <c r="AS443">
        <f ca="1"/>
      </c>
      <c r="AT443">
        <f ca="1"/>
      </c>
      <c r="AU443">
        <f ca="1"/>
      </c>
      <c r="AV443">
        <f ca="1"/>
      </c>
      <c r="AW443">
        <f ca="1"/>
      </c>
      <c r="AX443">
        <f ca="1"/>
      </c>
      <c r="AY443">
        <f ca="1"/>
      </c>
      <c r="AZ443">
        <f ca="1"/>
      </c>
      <c r="BA443">
        <f ca="1"/>
      </c>
      <c r="BB443">
        <f ca="1"/>
      </c>
      <c r="BC443">
        <f ca="1"/>
      </c>
      <c r="BD443">
        <f ca="1"/>
      </c>
      <c r="BE443">
        <f ca="1"/>
      </c>
      <c r="BF443">
        <f ca="1"/>
      </c>
      <c r="BG443">
        <f ca="1"/>
      </c>
      <c r="BH443">
        <f ca="1"/>
      </c>
      <c r="BI443">
        <f ca="1"/>
      </c>
      <c r="BJ443">
        <f ca="1"/>
      </c>
      <c r="BK443">
        <f ca="1"/>
      </c>
      <c r="BL443">
        <f ca="1"/>
      </c>
      <c r="BM443">
        <f ca="1"/>
      </c>
      <c r="BN443">
        <f ca="1"/>
      </c>
      <c r="BO443">
        <f ca="1"/>
      </c>
      <c r="BP443">
        <f ca="1"/>
      </c>
      <c r="BQ443">
        <f ca="1"/>
      </c>
      <c r="BR443">
        <f ca="1"/>
      </c>
      <c r="BS443">
        <f ca="1"/>
      </c>
      <c r="BT443">
        <f ca="1"/>
      </c>
      <c r="BU443">
        <f ca="1"/>
      </c>
      <c r="BV443">
        <f ca="1"/>
      </c>
      <c r="BW443">
        <f ca="1"/>
      </c>
      <c r="BX443">
        <f ca="1"/>
      </c>
      <c r="BY443">
        <f ca="1"/>
      </c>
      <c r="BZ443">
        <f ca="1"/>
      </c>
      <c r="CA443">
        <f ca="1"/>
      </c>
      <c r="CB443">
        <f ca="1"/>
      </c>
      <c r="CC443">
        <f ca="1"/>
      </c>
      <c r="CD443">
        <f ca="1"/>
      </c>
      <c r="CE443">
        <f ca="1"/>
      </c>
      <c r="CF443">
        <f ca="1"/>
      </c>
      <c r="CG443">
        <f ca="1"/>
      </c>
      <c r="CH443">
        <f ca="1"/>
      </c>
      <c r="CI443">
        <f ca="1"/>
      </c>
      <c r="CK443">
        <f ca="1"/>
      </c>
      <c r="CL443">
        <f ca="1"/>
      </c>
      <c r="CM443">
        <f ca="1"/>
      </c>
      <c r="CN443">
        <f ca="1"/>
      </c>
      <c r="CO443">
        <f ca="1"/>
      </c>
      <c r="CP443">
        <f ca="1"/>
      </c>
      <c r="CQ443">
        <f ca="1"/>
      </c>
      <c r="CR443">
        <f ca="1"/>
      </c>
      <c r="CS443">
        <f ca="1"/>
      </c>
      <c r="CT443">
        <f ca="1"/>
      </c>
      <c r="CU443">
        <f ca="1"/>
      </c>
      <c r="CV443">
        <f ca="1"/>
      </c>
      <c r="CW443">
        <f ca="1"/>
      </c>
      <c r="CX443">
        <f ca="1"/>
      </c>
      <c r="CY443">
        <f ca="1"/>
      </c>
      <c r="CZ443">
        <f ca="1"/>
      </c>
      <c r="DA443">
        <f ca="1"/>
      </c>
      <c r="DB443">
        <f ca="1"/>
      </c>
      <c r="DC443">
        <f ca="1"/>
      </c>
      <c r="DD443">
        <f ca="1"/>
      </c>
      <c r="DE443">
        <f ca="1"/>
      </c>
      <c r="DF443">
        <f ca="1"/>
      </c>
      <c r="DG443">
        <f ca="1"/>
      </c>
      <c r="DH443">
        <f ca="1"/>
      </c>
      <c r="DI443">
        <f ca="1"/>
      </c>
      <c r="DJ443">
        <f ca="1"/>
      </c>
      <c r="DK443">
        <f ca="1"/>
      </c>
      <c r="DL443">
        <f ca="1"/>
      </c>
      <c r="DM443">
        <f ca="1"/>
      </c>
      <c r="DN443">
        <f ca="1"/>
      </c>
      <c r="DO443">
        <f ca="1"/>
      </c>
      <c r="DP443">
        <f ca="1"/>
      </c>
      <c r="DQ443">
        <f ca="1"/>
      </c>
      <c r="DR443">
        <f ca="1"/>
      </c>
      <c r="DS443">
        <f ca="1"/>
      </c>
      <c r="DT443">
        <f ca="1"/>
      </c>
      <c r="DU443">
        <f ca="1"/>
      </c>
      <c r="DV443">
        <f ca="1"/>
      </c>
      <c r="DW443">
        <f ca="1"/>
      </c>
      <c r="DX443">
        <f ca="1"/>
      </c>
      <c r="DY443">
        <f ca="1"/>
      </c>
      <c r="DZ443">
        <f ca="1"/>
      </c>
      <c r="EA443">
        <f ca="1"/>
      </c>
      <c r="EB443">
        <f ca="1"/>
      </c>
      <c r="EC443">
        <f ca="1"/>
      </c>
      <c r="ED443">
        <f ca="1"/>
      </c>
      <c r="EE443">
        <f ca="1"/>
      </c>
      <c r="EG443">
        <f ca="1"/>
      </c>
      <c r="EH443">
        <f ca="1"/>
      </c>
      <c r="EI443">
        <f ca="1"/>
      </c>
      <c r="EJ443">
        <f ca="1"/>
      </c>
      <c r="EK443">
        <f ca="1"/>
      </c>
      <c r="EL443">
        <f ca="1"/>
      </c>
      <c r="EM443">
        <f ca="1"/>
      </c>
      <c r="EN443">
        <f ca="1"/>
      </c>
      <c r="EO443">
        <f ca="1"/>
      </c>
      <c r="EP443">
        <f ca="1"/>
      </c>
      <c r="EQ443">
        <f ca="1"/>
      </c>
      <c r="ER443">
        <f ca="1"/>
      </c>
      <c r="ES443">
        <f ca="1"/>
      </c>
      <c r="ET443">
        <f ca="1"/>
      </c>
      <c r="EU443">
        <f ca="1"/>
      </c>
      <c r="EV443">
        <f ca="1"/>
      </c>
      <c r="EW443">
        <f ca="1"/>
      </c>
      <c r="EX443">
        <f ca="1"/>
      </c>
      <c r="EY443">
        <f ca="1"/>
      </c>
      <c r="EZ443">
        <f ca="1"/>
      </c>
      <c r="FA443">
        <f ca="1"/>
      </c>
      <c r="FB443">
        <f ca="1"/>
      </c>
      <c r="FC443">
        <f ca="1"/>
      </c>
      <c r="FD443">
        <f ca="1"/>
      </c>
      <c r="FE443">
        <f ca="1"/>
      </c>
      <c r="FF443">
        <f ca="1"/>
      </c>
      <c r="FG443">
        <f ca="1"/>
      </c>
      <c r="FH443">
        <f ca="1"/>
      </c>
      <c r="FI443">
        <f ca="1"/>
      </c>
      <c r="FJ443">
        <f ca="1"/>
      </c>
      <c r="FK443">
        <f ca="1"/>
      </c>
      <c r="FL443">
        <f ca="1"/>
      </c>
      <c r="FM443">
        <f ca="1"/>
      </c>
      <c r="FN443">
        <f ca="1"/>
      </c>
      <c r="FO443">
        <f ca="1"/>
      </c>
      <c r="FP443">
        <f ca="1"/>
      </c>
      <c r="FQ443">
        <f ca="1"/>
      </c>
      <c r="FR443">
        <f ca="1"/>
      </c>
      <c r="FS443">
        <f ca="1"/>
      </c>
      <c r="FT443">
        <f ca="1"/>
      </c>
      <c r="FU443">
        <f ca="1"/>
      </c>
      <c r="FV443">
        <f ca="1"/>
      </c>
      <c r="FW443">
        <f ca="1"/>
      </c>
      <c r="FX443">
        <f ca="1"/>
      </c>
      <c r="FY443">
        <f ca="1"/>
      </c>
      <c r="FZ443">
        <f ca="1"/>
      </c>
      <c r="GA443">
        <f ca="1"/>
      </c>
      <c r="GM443" s="7"/>
    </row>
    <row r="444" spans="41:195" x14ac:dyDescent="0.55000000000000004">
      <c r="AO444">
        <f ca="1"/>
      </c>
      <c r="AP444">
        <f ca="1"/>
      </c>
      <c r="AQ444">
        <f ca="1"/>
      </c>
      <c r="AR444">
        <f ca="1"/>
      </c>
      <c r="AS444">
        <f ca="1"/>
      </c>
      <c r="AT444">
        <f ca="1"/>
      </c>
      <c r="AU444">
        <f ca="1"/>
      </c>
      <c r="AV444">
        <f ca="1"/>
      </c>
      <c r="AW444">
        <f ca="1"/>
      </c>
      <c r="AX444">
        <f ca="1"/>
      </c>
      <c r="AY444">
        <f ca="1"/>
      </c>
      <c r="AZ444">
        <f ca="1"/>
      </c>
      <c r="BA444">
        <f ca="1"/>
      </c>
      <c r="BB444">
        <f ca="1"/>
      </c>
      <c r="BC444">
        <f ca="1"/>
      </c>
      <c r="BD444">
        <f ca="1"/>
      </c>
      <c r="BE444">
        <f ca="1"/>
      </c>
      <c r="BF444">
        <f ca="1"/>
      </c>
      <c r="BG444">
        <f ca="1"/>
      </c>
      <c r="BH444">
        <f ca="1"/>
      </c>
      <c r="BI444">
        <f ca="1"/>
      </c>
      <c r="BJ444">
        <f ca="1"/>
      </c>
      <c r="BK444">
        <f ca="1"/>
      </c>
      <c r="BL444">
        <f ca="1"/>
      </c>
      <c r="BM444">
        <f ca="1"/>
      </c>
      <c r="BN444">
        <f ca="1"/>
      </c>
      <c r="BO444">
        <f ca="1"/>
      </c>
      <c r="BP444">
        <f ca="1"/>
      </c>
      <c r="BQ444">
        <f ca="1"/>
      </c>
      <c r="BR444">
        <f ca="1"/>
      </c>
      <c r="BS444">
        <f ca="1"/>
      </c>
      <c r="BT444">
        <f ca="1"/>
      </c>
      <c r="BU444">
        <f ca="1"/>
      </c>
      <c r="BV444">
        <f ca="1"/>
      </c>
      <c r="BW444">
        <f ca="1"/>
      </c>
      <c r="BX444">
        <f ca="1"/>
      </c>
      <c r="BY444">
        <f ca="1"/>
      </c>
      <c r="BZ444">
        <f ca="1"/>
      </c>
      <c r="CA444">
        <f ca="1"/>
      </c>
      <c r="CB444">
        <f ca="1"/>
      </c>
      <c r="CC444">
        <f ca="1"/>
      </c>
      <c r="CD444">
        <f ca="1"/>
      </c>
      <c r="CE444">
        <f ca="1"/>
      </c>
      <c r="CF444">
        <f ca="1"/>
      </c>
      <c r="CG444">
        <f ca="1"/>
      </c>
      <c r="CH444">
        <f ca="1"/>
      </c>
      <c r="CI444">
        <f ca="1"/>
      </c>
      <c r="CK444">
        <f ca="1"/>
      </c>
      <c r="CL444">
        <f ca="1"/>
      </c>
      <c r="CM444">
        <f ca="1"/>
      </c>
      <c r="CN444">
        <f ca="1"/>
      </c>
      <c r="CO444">
        <f ca="1"/>
      </c>
      <c r="CP444">
        <f ca="1"/>
      </c>
      <c r="CQ444">
        <f ca="1"/>
      </c>
      <c r="CR444">
        <f ca="1"/>
      </c>
      <c r="CS444">
        <f ca="1"/>
      </c>
      <c r="CT444">
        <f ca="1"/>
      </c>
      <c r="CU444">
        <f ca="1"/>
      </c>
      <c r="CV444">
        <f ca="1"/>
      </c>
      <c r="CW444">
        <f ca="1"/>
      </c>
      <c r="CX444">
        <f ca="1"/>
      </c>
      <c r="CY444">
        <f ca="1"/>
      </c>
      <c r="CZ444">
        <f ca="1"/>
      </c>
      <c r="DA444">
        <f ca="1"/>
      </c>
      <c r="DB444">
        <f ca="1"/>
      </c>
      <c r="DC444">
        <f ca="1"/>
      </c>
      <c r="DD444">
        <f ca="1"/>
      </c>
      <c r="DE444">
        <f ca="1"/>
      </c>
      <c r="DF444">
        <f ca="1"/>
      </c>
      <c r="DG444">
        <f ca="1"/>
      </c>
      <c r="DH444">
        <f ca="1"/>
      </c>
      <c r="DI444">
        <f ca="1"/>
      </c>
      <c r="DJ444">
        <f ca="1"/>
      </c>
      <c r="DK444">
        <f ca="1"/>
      </c>
      <c r="DL444">
        <f ca="1"/>
      </c>
      <c r="DM444">
        <f ca="1"/>
      </c>
      <c r="DN444">
        <f ca="1"/>
      </c>
      <c r="DO444">
        <f ca="1"/>
      </c>
      <c r="DP444">
        <f ca="1"/>
      </c>
      <c r="DQ444">
        <f ca="1"/>
      </c>
      <c r="DR444">
        <f ca="1"/>
      </c>
      <c r="DS444">
        <f ca="1"/>
      </c>
      <c r="DT444">
        <f ca="1"/>
      </c>
      <c r="DU444">
        <f ca="1"/>
      </c>
      <c r="DV444">
        <f ca="1"/>
      </c>
      <c r="DW444">
        <f ca="1"/>
      </c>
      <c r="DX444">
        <f ca="1"/>
      </c>
      <c r="DY444">
        <f ca="1"/>
      </c>
      <c r="DZ444">
        <f ca="1"/>
      </c>
      <c r="EA444">
        <f ca="1"/>
      </c>
      <c r="EB444">
        <f ca="1"/>
      </c>
      <c r="EC444">
        <f ca="1"/>
      </c>
      <c r="ED444">
        <f ca="1"/>
      </c>
      <c r="EE444">
        <f ca="1"/>
      </c>
      <c r="EG444">
        <f ca="1"/>
      </c>
      <c r="EH444">
        <f ca="1"/>
      </c>
      <c r="EI444">
        <f ca="1"/>
      </c>
      <c r="EJ444">
        <f ca="1"/>
      </c>
      <c r="EK444">
        <f ca="1"/>
      </c>
      <c r="EL444">
        <f ca="1"/>
      </c>
      <c r="EM444">
        <f ca="1"/>
      </c>
      <c r="EN444">
        <f ca="1"/>
      </c>
      <c r="EO444">
        <f ca="1"/>
      </c>
      <c r="EP444">
        <f ca="1"/>
      </c>
      <c r="EQ444">
        <f ca="1"/>
      </c>
      <c r="ER444">
        <f ca="1"/>
      </c>
      <c r="ES444">
        <f ca="1"/>
      </c>
      <c r="ET444">
        <f ca="1"/>
      </c>
      <c r="EU444">
        <f ca="1"/>
      </c>
      <c r="EV444">
        <f ca="1"/>
      </c>
      <c r="EW444">
        <f ca="1"/>
      </c>
      <c r="EX444">
        <f ca="1"/>
      </c>
      <c r="EY444">
        <f ca="1"/>
      </c>
      <c r="EZ444">
        <f ca="1"/>
      </c>
      <c r="FA444">
        <f ca="1"/>
      </c>
      <c r="FB444">
        <f ca="1"/>
      </c>
      <c r="FC444">
        <f ca="1"/>
      </c>
      <c r="FD444">
        <f ca="1"/>
      </c>
      <c r="FE444">
        <f ca="1"/>
      </c>
      <c r="FF444">
        <f ca="1"/>
      </c>
      <c r="FG444">
        <f ca="1"/>
      </c>
      <c r="FH444">
        <f ca="1"/>
      </c>
      <c r="FI444">
        <f ca="1"/>
      </c>
      <c r="FJ444">
        <f ca="1"/>
      </c>
      <c r="FK444">
        <f ca="1"/>
      </c>
      <c r="FL444">
        <f ca="1"/>
      </c>
      <c r="FM444">
        <f ca="1"/>
      </c>
      <c r="FN444">
        <f ca="1"/>
      </c>
      <c r="FO444">
        <f ca="1"/>
      </c>
      <c r="FP444">
        <f ca="1"/>
      </c>
      <c r="FQ444">
        <f ca="1"/>
      </c>
      <c r="FR444">
        <f ca="1"/>
      </c>
      <c r="FS444">
        <f ca="1"/>
      </c>
      <c r="FT444">
        <f ca="1"/>
      </c>
      <c r="FU444">
        <f ca="1"/>
      </c>
      <c r="FV444">
        <f ca="1"/>
      </c>
      <c r="FW444">
        <f ca="1"/>
      </c>
      <c r="FX444">
        <f ca="1"/>
      </c>
      <c r="FY444">
        <f ca="1"/>
      </c>
      <c r="FZ444">
        <f ca="1"/>
      </c>
      <c r="GA444">
        <f ca="1"/>
      </c>
      <c r="GM444" s="7"/>
    </row>
    <row r="445" spans="41:195" x14ac:dyDescent="0.55000000000000004">
      <c r="AO445">
        <f ca="1"/>
      </c>
      <c r="AP445">
        <f ca="1"/>
      </c>
      <c r="AQ445">
        <f ca="1"/>
      </c>
      <c r="AR445">
        <f ca="1"/>
      </c>
      <c r="AS445">
        <f ca="1"/>
      </c>
      <c r="AT445">
        <f ca="1"/>
      </c>
      <c r="AU445">
        <f ca="1"/>
      </c>
      <c r="AV445">
        <f ca="1"/>
      </c>
      <c r="AW445">
        <f ca="1"/>
      </c>
      <c r="AX445">
        <f ca="1"/>
      </c>
      <c r="AY445">
        <f ca="1"/>
      </c>
      <c r="AZ445">
        <f ca="1"/>
      </c>
      <c r="BA445">
        <f ca="1"/>
      </c>
      <c r="BB445">
        <f ca="1"/>
      </c>
      <c r="BC445">
        <f ca="1"/>
      </c>
      <c r="BD445">
        <f ca="1"/>
      </c>
      <c r="BE445">
        <f ca="1"/>
      </c>
      <c r="BF445">
        <f ca="1"/>
      </c>
      <c r="BG445">
        <f ca="1"/>
      </c>
      <c r="BH445">
        <f ca="1"/>
      </c>
      <c r="BI445">
        <f ca="1"/>
      </c>
      <c r="BJ445">
        <f ca="1"/>
      </c>
      <c r="BK445">
        <f ca="1"/>
      </c>
      <c r="BL445">
        <f ca="1"/>
      </c>
      <c r="BM445">
        <f ca="1"/>
      </c>
      <c r="BN445">
        <f ca="1"/>
      </c>
      <c r="BO445">
        <f ca="1"/>
      </c>
      <c r="BP445">
        <f ca="1"/>
      </c>
      <c r="BQ445">
        <f ca="1"/>
      </c>
      <c r="BR445">
        <f ca="1"/>
      </c>
      <c r="BS445">
        <f ca="1"/>
      </c>
      <c r="BT445">
        <f ca="1"/>
      </c>
      <c r="BU445">
        <f ca="1"/>
      </c>
      <c r="BV445">
        <f ca="1"/>
      </c>
      <c r="BW445">
        <f ca="1"/>
      </c>
      <c r="BX445">
        <f ca="1"/>
      </c>
      <c r="BY445">
        <f ca="1"/>
      </c>
      <c r="BZ445">
        <f ca="1"/>
      </c>
      <c r="CA445">
        <f ca="1"/>
      </c>
      <c r="CB445">
        <f ca="1"/>
      </c>
      <c r="CC445">
        <f ca="1"/>
      </c>
      <c r="CD445">
        <f ca="1"/>
      </c>
      <c r="CE445">
        <f ca="1"/>
      </c>
      <c r="CF445">
        <f ca="1"/>
      </c>
      <c r="CG445">
        <f ca="1"/>
      </c>
      <c r="CH445">
        <f ca="1"/>
      </c>
      <c r="CI445">
        <f ca="1"/>
      </c>
      <c r="CK445">
        <f ca="1"/>
      </c>
      <c r="CL445">
        <f ca="1"/>
      </c>
      <c r="CM445">
        <f ca="1"/>
      </c>
      <c r="CN445">
        <f ca="1"/>
      </c>
      <c r="CO445">
        <f ca="1"/>
      </c>
      <c r="CP445">
        <f ca="1"/>
      </c>
      <c r="CQ445">
        <f ca="1"/>
      </c>
      <c r="CR445">
        <f ca="1"/>
      </c>
      <c r="CS445">
        <f ca="1"/>
      </c>
      <c r="CT445">
        <f ca="1"/>
      </c>
      <c r="CU445">
        <f ca="1"/>
      </c>
      <c r="CV445">
        <f ca="1"/>
      </c>
      <c r="CW445">
        <f ca="1"/>
      </c>
      <c r="CX445">
        <f ca="1"/>
      </c>
      <c r="CY445">
        <f ca="1"/>
      </c>
      <c r="CZ445">
        <f ca="1"/>
      </c>
      <c r="DA445">
        <f ca="1"/>
      </c>
      <c r="DB445">
        <f ca="1"/>
      </c>
      <c r="DC445">
        <f ca="1"/>
      </c>
      <c r="DD445">
        <f ca="1"/>
      </c>
      <c r="DE445">
        <f ca="1"/>
      </c>
      <c r="DF445">
        <f ca="1"/>
      </c>
      <c r="DG445">
        <f ca="1"/>
      </c>
      <c r="DH445">
        <f ca="1"/>
      </c>
      <c r="DI445">
        <f ca="1"/>
      </c>
      <c r="DJ445">
        <f ca="1"/>
      </c>
      <c r="DK445">
        <f ca="1"/>
      </c>
      <c r="DL445">
        <f ca="1"/>
      </c>
      <c r="DM445">
        <f ca="1"/>
      </c>
      <c r="DN445">
        <f ca="1"/>
      </c>
      <c r="DO445">
        <f ca="1"/>
      </c>
      <c r="DP445">
        <f ca="1"/>
      </c>
      <c r="DQ445">
        <f ca="1"/>
      </c>
      <c r="DR445">
        <f ca="1"/>
      </c>
      <c r="DS445">
        <f ca="1"/>
      </c>
      <c r="DT445">
        <f ca="1"/>
      </c>
      <c r="DU445">
        <f ca="1"/>
      </c>
      <c r="DV445">
        <f ca="1"/>
      </c>
      <c r="DW445">
        <f ca="1"/>
      </c>
      <c r="DX445">
        <f ca="1"/>
      </c>
      <c r="DY445">
        <f ca="1"/>
      </c>
      <c r="DZ445">
        <f ca="1"/>
      </c>
      <c r="EA445">
        <f ca="1"/>
      </c>
      <c r="EB445">
        <f ca="1"/>
      </c>
      <c r="EC445">
        <f ca="1"/>
      </c>
      <c r="ED445">
        <f ca="1"/>
      </c>
      <c r="EE445">
        <f ca="1"/>
      </c>
      <c r="EG445">
        <f ca="1"/>
      </c>
      <c r="EH445">
        <f ca="1"/>
      </c>
      <c r="EI445">
        <f ca="1"/>
      </c>
      <c r="EJ445">
        <f ca="1"/>
      </c>
      <c r="EK445">
        <f ca="1"/>
      </c>
      <c r="EL445">
        <f ca="1"/>
      </c>
      <c r="EM445">
        <f ca="1"/>
      </c>
      <c r="EN445">
        <f ca="1"/>
      </c>
      <c r="EO445">
        <f ca="1"/>
      </c>
      <c r="EP445">
        <f ca="1"/>
      </c>
      <c r="EQ445">
        <f ca="1"/>
      </c>
      <c r="ER445">
        <f ca="1"/>
      </c>
      <c r="ES445">
        <f ca="1"/>
      </c>
      <c r="ET445">
        <f ca="1"/>
      </c>
      <c r="EU445">
        <f ca="1"/>
      </c>
      <c r="EV445">
        <f ca="1"/>
      </c>
      <c r="EW445">
        <f ca="1"/>
      </c>
      <c r="EX445">
        <f ca="1"/>
      </c>
      <c r="EY445">
        <f ca="1"/>
      </c>
      <c r="EZ445">
        <f ca="1"/>
      </c>
      <c r="FA445">
        <f ca="1"/>
      </c>
      <c r="FB445">
        <f ca="1"/>
      </c>
      <c r="FC445">
        <f ca="1"/>
      </c>
      <c r="FD445">
        <f ca="1"/>
      </c>
      <c r="FE445">
        <f ca="1"/>
      </c>
      <c r="FF445">
        <f ca="1"/>
      </c>
      <c r="FG445">
        <f ca="1"/>
      </c>
      <c r="FH445">
        <f ca="1"/>
      </c>
      <c r="FI445">
        <f ca="1"/>
      </c>
      <c r="FJ445">
        <f ca="1"/>
      </c>
      <c r="FK445">
        <f ca="1"/>
      </c>
      <c r="FL445">
        <f ca="1"/>
      </c>
      <c r="FM445">
        <f ca="1"/>
      </c>
      <c r="FN445">
        <f ca="1"/>
      </c>
      <c r="FO445">
        <f ca="1"/>
      </c>
      <c r="FP445">
        <f ca="1"/>
      </c>
      <c r="FQ445">
        <f ca="1"/>
      </c>
      <c r="FR445">
        <f ca="1"/>
      </c>
      <c r="FS445">
        <f ca="1"/>
      </c>
      <c r="FT445">
        <f ca="1"/>
      </c>
      <c r="FU445">
        <f ca="1"/>
      </c>
      <c r="FV445">
        <f ca="1"/>
      </c>
      <c r="FW445">
        <f ca="1"/>
      </c>
      <c r="FX445">
        <f ca="1"/>
      </c>
      <c r="FY445">
        <f ca="1"/>
      </c>
      <c r="FZ445">
        <f ca="1"/>
      </c>
      <c r="GA445">
        <f ca="1"/>
      </c>
      <c r="GM445" s="7"/>
    </row>
    <row r="446" spans="41:195" x14ac:dyDescent="0.55000000000000004">
      <c r="AO446">
        <f ca="1"/>
      </c>
      <c r="AP446">
        <f ca="1"/>
      </c>
      <c r="AQ446">
        <f ca="1"/>
      </c>
      <c r="AR446">
        <f ca="1"/>
      </c>
      <c r="AS446">
        <f ca="1"/>
      </c>
      <c r="AT446">
        <f ca="1"/>
      </c>
      <c r="AU446">
        <f ca="1"/>
      </c>
      <c r="AV446">
        <f ca="1"/>
      </c>
      <c r="AW446">
        <f ca="1"/>
      </c>
      <c r="AX446">
        <f ca="1"/>
      </c>
      <c r="AY446">
        <f ca="1"/>
      </c>
      <c r="AZ446">
        <f ca="1"/>
      </c>
      <c r="BA446">
        <f ca="1"/>
      </c>
      <c r="BB446">
        <f ca="1"/>
      </c>
      <c r="BC446">
        <f ca="1"/>
      </c>
      <c r="BD446">
        <f ca="1"/>
      </c>
      <c r="BE446">
        <f ca="1"/>
      </c>
      <c r="BF446">
        <f ca="1"/>
      </c>
      <c r="BG446">
        <f ca="1"/>
      </c>
      <c r="BH446">
        <f ca="1"/>
      </c>
      <c r="BI446">
        <f ca="1"/>
      </c>
      <c r="BJ446">
        <f ca="1"/>
      </c>
      <c r="BK446">
        <f ca="1"/>
      </c>
      <c r="BL446">
        <f ca="1"/>
      </c>
      <c r="BM446">
        <f ca="1"/>
      </c>
      <c r="BN446">
        <f ca="1"/>
      </c>
      <c r="BO446">
        <f ca="1"/>
      </c>
      <c r="BP446">
        <f ca="1"/>
      </c>
      <c r="BQ446">
        <f ca="1"/>
      </c>
      <c r="BR446">
        <f ca="1"/>
      </c>
      <c r="BS446">
        <f ca="1"/>
      </c>
      <c r="BT446">
        <f ca="1"/>
      </c>
      <c r="BU446">
        <f ca="1"/>
      </c>
      <c r="BV446">
        <f ca="1"/>
      </c>
      <c r="BW446">
        <f ca="1"/>
      </c>
      <c r="BX446">
        <f ca="1"/>
      </c>
      <c r="BY446">
        <f ca="1"/>
      </c>
      <c r="BZ446">
        <f ca="1"/>
      </c>
      <c r="CA446">
        <f ca="1"/>
      </c>
      <c r="CB446">
        <f ca="1"/>
      </c>
      <c r="CC446">
        <f ca="1"/>
      </c>
      <c r="CD446">
        <f ca="1"/>
      </c>
      <c r="CE446">
        <f ca="1"/>
      </c>
      <c r="CF446">
        <f ca="1"/>
      </c>
      <c r="CG446">
        <f ca="1"/>
      </c>
      <c r="CH446">
        <f ca="1"/>
      </c>
      <c r="CI446">
        <f ca="1"/>
      </c>
      <c r="CK446">
        <f ca="1"/>
      </c>
      <c r="CL446">
        <f ca="1"/>
      </c>
      <c r="CM446">
        <f ca="1"/>
      </c>
      <c r="CN446">
        <f ca="1"/>
      </c>
      <c r="CO446">
        <f ca="1"/>
      </c>
      <c r="CP446">
        <f ca="1"/>
      </c>
      <c r="CQ446">
        <f ca="1"/>
      </c>
      <c r="CR446">
        <f ca="1"/>
      </c>
      <c r="CS446">
        <f ca="1"/>
      </c>
      <c r="CT446">
        <f ca="1"/>
      </c>
      <c r="CU446">
        <f ca="1"/>
      </c>
      <c r="CV446">
        <f ca="1"/>
      </c>
      <c r="CW446">
        <f ca="1"/>
      </c>
      <c r="CX446">
        <f ca="1"/>
      </c>
      <c r="CY446">
        <f ca="1"/>
      </c>
      <c r="CZ446">
        <f ca="1"/>
      </c>
      <c r="DA446">
        <f ca="1"/>
      </c>
      <c r="DB446">
        <f ca="1"/>
      </c>
      <c r="DC446">
        <f ca="1"/>
      </c>
      <c r="DD446">
        <f ca="1"/>
      </c>
      <c r="DE446">
        <f ca="1"/>
      </c>
      <c r="DF446">
        <f ca="1"/>
      </c>
      <c r="DG446">
        <f ca="1"/>
      </c>
      <c r="DH446">
        <f ca="1"/>
      </c>
      <c r="DI446">
        <f ca="1"/>
      </c>
      <c r="DJ446">
        <f ca="1"/>
      </c>
      <c r="DK446">
        <f ca="1"/>
      </c>
      <c r="DL446">
        <f ca="1"/>
      </c>
      <c r="DM446">
        <f ca="1"/>
      </c>
      <c r="DN446">
        <f ca="1"/>
      </c>
      <c r="DO446">
        <f ca="1"/>
      </c>
      <c r="DP446">
        <f ca="1"/>
      </c>
      <c r="DQ446">
        <f ca="1"/>
      </c>
      <c r="DR446">
        <f ca="1"/>
      </c>
      <c r="DS446">
        <f ca="1"/>
      </c>
      <c r="DT446">
        <f ca="1"/>
      </c>
      <c r="DU446">
        <f ca="1"/>
      </c>
      <c r="DV446">
        <f ca="1"/>
      </c>
      <c r="DW446">
        <f ca="1"/>
      </c>
      <c r="DX446">
        <f ca="1"/>
      </c>
      <c r="DY446">
        <f ca="1"/>
      </c>
      <c r="DZ446">
        <f ca="1"/>
      </c>
      <c r="EA446">
        <f ca="1"/>
      </c>
      <c r="EB446">
        <f ca="1"/>
      </c>
      <c r="EC446">
        <f ca="1"/>
      </c>
      <c r="ED446">
        <f ca="1"/>
      </c>
      <c r="EE446">
        <f ca="1"/>
      </c>
      <c r="EG446">
        <f ca="1"/>
      </c>
      <c r="EH446">
        <f ca="1"/>
      </c>
      <c r="EI446">
        <f ca="1"/>
      </c>
      <c r="EJ446">
        <f ca="1"/>
      </c>
      <c r="EK446">
        <f ca="1"/>
      </c>
      <c r="EL446">
        <f ca="1"/>
      </c>
      <c r="EM446">
        <f ca="1"/>
      </c>
      <c r="EN446">
        <f ca="1"/>
      </c>
      <c r="EO446">
        <f ca="1"/>
      </c>
      <c r="EP446">
        <f ca="1"/>
      </c>
      <c r="EQ446">
        <f ca="1"/>
      </c>
      <c r="ER446">
        <f ca="1"/>
      </c>
      <c r="ES446">
        <f ca="1"/>
      </c>
      <c r="ET446">
        <f ca="1"/>
      </c>
      <c r="EU446">
        <f ca="1"/>
      </c>
      <c r="EV446">
        <f ca="1"/>
      </c>
      <c r="EW446">
        <f ca="1"/>
      </c>
      <c r="EX446">
        <f ca="1"/>
      </c>
      <c r="EY446">
        <f ca="1"/>
      </c>
      <c r="EZ446">
        <f ca="1"/>
      </c>
      <c r="FA446">
        <f ca="1"/>
      </c>
      <c r="FB446">
        <f ca="1"/>
      </c>
      <c r="FC446">
        <f ca="1"/>
      </c>
      <c r="FD446">
        <f ca="1"/>
      </c>
      <c r="FE446">
        <f ca="1"/>
      </c>
      <c r="FF446">
        <f ca="1"/>
      </c>
      <c r="FG446">
        <f ca="1"/>
      </c>
      <c r="FH446">
        <f ca="1"/>
      </c>
      <c r="FI446">
        <f ca="1"/>
      </c>
      <c r="FJ446">
        <f ca="1"/>
      </c>
      <c r="FK446">
        <f ca="1"/>
      </c>
      <c r="FL446">
        <f ca="1"/>
      </c>
      <c r="FM446">
        <f ca="1"/>
      </c>
      <c r="FN446">
        <f ca="1"/>
      </c>
      <c r="FO446">
        <f ca="1"/>
      </c>
      <c r="FP446">
        <f ca="1"/>
      </c>
      <c r="FQ446">
        <f ca="1"/>
      </c>
      <c r="FR446">
        <f ca="1"/>
      </c>
      <c r="FS446">
        <f ca="1"/>
      </c>
      <c r="FT446">
        <f ca="1"/>
      </c>
      <c r="FU446">
        <f ca="1"/>
      </c>
      <c r="FV446">
        <f ca="1"/>
      </c>
      <c r="FW446">
        <f ca="1"/>
      </c>
      <c r="FX446">
        <f ca="1"/>
      </c>
      <c r="FY446">
        <f ca="1"/>
      </c>
      <c r="FZ446">
        <f ca="1"/>
      </c>
      <c r="GA446">
        <f ca="1"/>
      </c>
      <c r="GM446" s="7"/>
    </row>
    <row r="447" spans="41:195" x14ac:dyDescent="0.55000000000000004">
      <c r="AO447">
        <f ca="1"/>
      </c>
      <c r="AP447">
        <f ca="1"/>
      </c>
      <c r="AQ447">
        <f ca="1"/>
      </c>
      <c r="AR447">
        <f ca="1"/>
      </c>
      <c r="AS447">
        <f ca="1"/>
      </c>
      <c r="AT447">
        <f ca="1"/>
      </c>
      <c r="AU447">
        <f ca="1"/>
      </c>
      <c r="AV447">
        <f ca="1"/>
      </c>
      <c r="AW447">
        <f ca="1"/>
      </c>
      <c r="AX447">
        <f ca="1"/>
      </c>
      <c r="AY447">
        <f ca="1"/>
      </c>
      <c r="AZ447">
        <f ca="1"/>
      </c>
      <c r="BA447">
        <f ca="1"/>
      </c>
      <c r="BB447">
        <f ca="1"/>
      </c>
      <c r="BC447">
        <f ca="1"/>
      </c>
      <c r="BD447">
        <f ca="1"/>
      </c>
      <c r="BE447">
        <f ca="1"/>
      </c>
      <c r="BF447">
        <f ca="1"/>
      </c>
      <c r="BG447">
        <f ca="1"/>
      </c>
      <c r="BH447">
        <f ca="1"/>
      </c>
      <c r="BI447">
        <f ca="1"/>
      </c>
      <c r="BJ447">
        <f ca="1"/>
      </c>
      <c r="BK447">
        <f ca="1"/>
      </c>
      <c r="BL447">
        <f ca="1"/>
      </c>
      <c r="BM447">
        <f ca="1"/>
      </c>
      <c r="BN447">
        <f ca="1"/>
      </c>
      <c r="BO447">
        <f ca="1"/>
      </c>
      <c r="BP447">
        <f ca="1"/>
      </c>
      <c r="BQ447">
        <f ca="1"/>
      </c>
      <c r="BR447">
        <f ca="1"/>
      </c>
      <c r="BS447">
        <f ca="1"/>
      </c>
      <c r="BT447">
        <f ca="1"/>
      </c>
      <c r="BU447">
        <f ca="1"/>
      </c>
      <c r="BV447">
        <f ca="1"/>
      </c>
      <c r="BW447">
        <f ca="1"/>
      </c>
      <c r="BX447">
        <f ca="1"/>
      </c>
      <c r="BY447">
        <f ca="1"/>
      </c>
      <c r="BZ447">
        <f ca="1"/>
      </c>
      <c r="CA447">
        <f ca="1"/>
      </c>
      <c r="CB447">
        <f ca="1"/>
      </c>
      <c r="CC447">
        <f ca="1"/>
      </c>
      <c r="CD447">
        <f ca="1"/>
      </c>
      <c r="CE447">
        <f ca="1"/>
      </c>
      <c r="CF447">
        <f ca="1"/>
      </c>
      <c r="CG447">
        <f ca="1"/>
      </c>
      <c r="CH447">
        <f ca="1"/>
      </c>
      <c r="CI447">
        <f ca="1"/>
      </c>
      <c r="CK447">
        <f ca="1"/>
      </c>
      <c r="CL447">
        <f ca="1"/>
      </c>
      <c r="CM447">
        <f ca="1"/>
      </c>
      <c r="CN447">
        <f ca="1"/>
      </c>
      <c r="CO447">
        <f ca="1"/>
      </c>
      <c r="CP447">
        <f ca="1"/>
      </c>
      <c r="CQ447">
        <f ca="1"/>
      </c>
      <c r="CR447">
        <f ca="1"/>
      </c>
      <c r="CS447">
        <f ca="1"/>
      </c>
      <c r="CT447">
        <f ca="1"/>
      </c>
      <c r="CU447">
        <f ca="1"/>
      </c>
      <c r="CV447">
        <f ca="1"/>
      </c>
      <c r="CW447">
        <f ca="1"/>
      </c>
      <c r="CX447">
        <f ca="1"/>
      </c>
      <c r="CY447">
        <f ca="1"/>
      </c>
      <c r="CZ447">
        <f ca="1"/>
      </c>
      <c r="DA447">
        <f ca="1"/>
      </c>
      <c r="DB447">
        <f ca="1"/>
      </c>
      <c r="DC447">
        <f ca="1"/>
      </c>
      <c r="DD447">
        <f ca="1"/>
      </c>
      <c r="DE447">
        <f ca="1"/>
      </c>
      <c r="DF447">
        <f ca="1"/>
      </c>
      <c r="DG447">
        <f ca="1"/>
      </c>
      <c r="DH447">
        <f ca="1"/>
      </c>
      <c r="DI447">
        <f ca="1"/>
      </c>
      <c r="DJ447">
        <f ca="1"/>
      </c>
      <c r="DK447">
        <f ca="1"/>
      </c>
      <c r="DL447">
        <f ca="1"/>
      </c>
      <c r="DM447">
        <f ca="1"/>
      </c>
      <c r="DN447">
        <f ca="1"/>
      </c>
      <c r="DO447">
        <f ca="1"/>
      </c>
      <c r="DP447">
        <f ca="1"/>
      </c>
      <c r="DQ447">
        <f ca="1"/>
      </c>
      <c r="DR447">
        <f ca="1"/>
      </c>
      <c r="DS447">
        <f ca="1"/>
      </c>
      <c r="DT447">
        <f ca="1"/>
      </c>
      <c r="DU447">
        <f ca="1"/>
      </c>
      <c r="DV447">
        <f ca="1"/>
      </c>
      <c r="DW447">
        <f ca="1"/>
      </c>
      <c r="DX447">
        <f ca="1"/>
      </c>
      <c r="DY447">
        <f ca="1"/>
      </c>
      <c r="DZ447">
        <f ca="1"/>
      </c>
      <c r="EA447">
        <f ca="1"/>
      </c>
      <c r="EB447">
        <f ca="1"/>
      </c>
      <c r="EC447">
        <f ca="1"/>
      </c>
      <c r="ED447">
        <f ca="1"/>
      </c>
      <c r="EE447">
        <f ca="1"/>
      </c>
      <c r="EG447">
        <f ca="1"/>
      </c>
      <c r="EH447">
        <f ca="1"/>
      </c>
      <c r="EI447">
        <f ca="1"/>
      </c>
      <c r="EJ447">
        <f ca="1"/>
      </c>
      <c r="EK447">
        <f ca="1"/>
      </c>
      <c r="EL447">
        <f ca="1"/>
      </c>
      <c r="EM447">
        <f ca="1"/>
      </c>
      <c r="EN447">
        <f ca="1"/>
      </c>
      <c r="EO447">
        <f ca="1"/>
      </c>
      <c r="EP447">
        <f ca="1"/>
      </c>
      <c r="EQ447">
        <f ca="1"/>
      </c>
      <c r="ER447">
        <f ca="1"/>
      </c>
      <c r="ES447">
        <f ca="1"/>
      </c>
      <c r="ET447">
        <f ca="1"/>
      </c>
      <c r="EU447">
        <f ca="1"/>
      </c>
      <c r="EV447">
        <f ca="1"/>
      </c>
      <c r="EW447">
        <f ca="1"/>
      </c>
      <c r="EX447">
        <f ca="1"/>
      </c>
      <c r="EY447">
        <f ca="1"/>
      </c>
      <c r="EZ447">
        <f ca="1"/>
      </c>
      <c r="FA447">
        <f ca="1"/>
      </c>
      <c r="FB447">
        <f ca="1"/>
      </c>
      <c r="FC447">
        <f ca="1"/>
      </c>
      <c r="FD447">
        <f ca="1"/>
      </c>
      <c r="FE447">
        <f ca="1"/>
      </c>
      <c r="FF447">
        <f ca="1"/>
      </c>
      <c r="FG447">
        <f ca="1"/>
      </c>
      <c r="FH447">
        <f ca="1"/>
      </c>
      <c r="FI447">
        <f ca="1"/>
      </c>
      <c r="FJ447">
        <f ca="1"/>
      </c>
      <c r="FK447">
        <f ca="1"/>
      </c>
      <c r="FL447">
        <f ca="1"/>
      </c>
      <c r="FM447">
        <f ca="1"/>
      </c>
      <c r="FN447">
        <f ca="1"/>
      </c>
      <c r="FO447">
        <f ca="1"/>
      </c>
      <c r="FP447">
        <f ca="1"/>
      </c>
      <c r="FQ447">
        <f ca="1"/>
      </c>
      <c r="FR447">
        <f ca="1"/>
      </c>
      <c r="FS447">
        <f ca="1"/>
      </c>
      <c r="FT447">
        <f ca="1"/>
      </c>
      <c r="FU447">
        <f ca="1"/>
      </c>
      <c r="FV447">
        <f ca="1"/>
      </c>
      <c r="FW447">
        <f ca="1"/>
      </c>
      <c r="FX447">
        <f ca="1"/>
      </c>
      <c r="FY447">
        <f ca="1"/>
      </c>
      <c r="FZ447">
        <f ca="1"/>
      </c>
      <c r="GA447">
        <f ca="1"/>
      </c>
      <c r="GM447" s="7"/>
    </row>
    <row r="448" spans="41:195" x14ac:dyDescent="0.55000000000000004">
      <c r="AO448">
        <f ca="1"/>
      </c>
      <c r="AP448">
        <f ca="1"/>
      </c>
      <c r="AQ448">
        <f ca="1"/>
      </c>
      <c r="AR448">
        <f ca="1"/>
      </c>
      <c r="AS448">
        <f ca="1"/>
      </c>
      <c r="AT448">
        <f ca="1"/>
      </c>
      <c r="AU448">
        <f ca="1"/>
      </c>
      <c r="AV448">
        <f ca="1"/>
      </c>
      <c r="AW448">
        <f ca="1"/>
      </c>
      <c r="AX448">
        <f ca="1"/>
      </c>
      <c r="AY448">
        <f ca="1"/>
      </c>
      <c r="AZ448">
        <f ca="1"/>
      </c>
      <c r="BA448">
        <f ca="1"/>
      </c>
      <c r="BB448">
        <f ca="1"/>
      </c>
      <c r="BC448">
        <f ca="1"/>
      </c>
      <c r="BD448">
        <f ca="1"/>
      </c>
      <c r="BE448">
        <f ca="1"/>
      </c>
      <c r="BF448">
        <f ca="1"/>
      </c>
      <c r="BG448">
        <f ca="1"/>
      </c>
      <c r="BH448">
        <f ca="1"/>
      </c>
      <c r="BI448">
        <f ca="1"/>
      </c>
      <c r="BJ448">
        <f ca="1"/>
      </c>
      <c r="BK448">
        <f ca="1"/>
      </c>
      <c r="BL448">
        <f ca="1"/>
      </c>
      <c r="BM448">
        <f ca="1"/>
      </c>
      <c r="BN448">
        <f ca="1"/>
      </c>
      <c r="BO448">
        <f ca="1"/>
      </c>
      <c r="BP448">
        <f ca="1"/>
      </c>
      <c r="BQ448">
        <f ca="1"/>
      </c>
      <c r="BR448">
        <f ca="1"/>
      </c>
      <c r="BS448">
        <f ca="1"/>
      </c>
      <c r="BT448">
        <f ca="1"/>
      </c>
      <c r="BU448">
        <f ca="1"/>
      </c>
      <c r="BV448">
        <f ca="1"/>
      </c>
      <c r="BW448">
        <f ca="1"/>
      </c>
      <c r="BX448">
        <f ca="1"/>
      </c>
      <c r="BY448">
        <f ca="1"/>
      </c>
      <c r="BZ448">
        <f ca="1"/>
      </c>
      <c r="CA448">
        <f ca="1"/>
      </c>
      <c r="CB448">
        <f ca="1"/>
      </c>
      <c r="CC448">
        <f ca="1"/>
      </c>
      <c r="CD448">
        <f ca="1"/>
      </c>
      <c r="CE448">
        <f ca="1"/>
      </c>
      <c r="CF448">
        <f ca="1"/>
      </c>
      <c r="CG448">
        <f ca="1"/>
      </c>
      <c r="CH448">
        <f ca="1"/>
      </c>
      <c r="CI448">
        <f ca="1"/>
      </c>
      <c r="CK448">
        <f ca="1"/>
      </c>
      <c r="CL448">
        <f ca="1"/>
      </c>
      <c r="CM448">
        <f ca="1"/>
      </c>
      <c r="CN448">
        <f ca="1"/>
      </c>
      <c r="CO448">
        <f ca="1"/>
      </c>
      <c r="CP448">
        <f ca="1"/>
      </c>
      <c r="CQ448">
        <f ca="1"/>
      </c>
      <c r="CR448">
        <f ca="1"/>
      </c>
      <c r="CS448">
        <f ca="1"/>
      </c>
      <c r="CT448">
        <f ca="1"/>
      </c>
      <c r="CU448">
        <f ca="1"/>
      </c>
      <c r="CV448">
        <f ca="1"/>
      </c>
      <c r="CW448">
        <f ca="1"/>
      </c>
      <c r="CX448">
        <f ca="1"/>
      </c>
      <c r="CY448">
        <f ca="1"/>
      </c>
      <c r="CZ448">
        <f ca="1"/>
      </c>
      <c r="DA448">
        <f ca="1"/>
      </c>
      <c r="DB448">
        <f ca="1"/>
      </c>
      <c r="DC448">
        <f ca="1"/>
      </c>
      <c r="DD448">
        <f ca="1"/>
      </c>
      <c r="DE448">
        <f ca="1"/>
      </c>
      <c r="DF448">
        <f ca="1"/>
      </c>
      <c r="DG448">
        <f ca="1"/>
      </c>
      <c r="DH448">
        <f ca="1"/>
      </c>
      <c r="DI448">
        <f ca="1"/>
      </c>
      <c r="DJ448">
        <f ca="1"/>
      </c>
      <c r="DK448">
        <f ca="1"/>
      </c>
      <c r="DL448">
        <f ca="1"/>
      </c>
      <c r="DM448">
        <f ca="1"/>
      </c>
      <c r="DN448">
        <f ca="1"/>
      </c>
      <c r="DO448">
        <f ca="1"/>
      </c>
      <c r="DP448">
        <f ca="1"/>
      </c>
      <c r="DQ448">
        <f ca="1"/>
      </c>
      <c r="DR448">
        <f ca="1"/>
      </c>
      <c r="DS448">
        <f ca="1"/>
      </c>
      <c r="DT448">
        <f ca="1"/>
      </c>
      <c r="DU448">
        <f ca="1"/>
      </c>
      <c r="DV448">
        <f ca="1"/>
      </c>
      <c r="DW448">
        <f ca="1"/>
      </c>
      <c r="DX448">
        <f ca="1"/>
      </c>
      <c r="DY448">
        <f ca="1"/>
      </c>
      <c r="DZ448">
        <f ca="1"/>
      </c>
      <c r="EA448">
        <f ca="1"/>
      </c>
      <c r="EB448">
        <f ca="1"/>
      </c>
      <c r="EC448">
        <f ca="1"/>
      </c>
      <c r="ED448">
        <f ca="1"/>
      </c>
      <c r="EE448">
        <f ca="1"/>
      </c>
      <c r="EG448">
        <f ca="1"/>
      </c>
      <c r="EH448">
        <f ca="1"/>
      </c>
      <c r="EI448">
        <f ca="1"/>
      </c>
      <c r="EJ448">
        <f ca="1"/>
      </c>
      <c r="EK448">
        <f ca="1"/>
      </c>
      <c r="EL448">
        <f ca="1"/>
      </c>
      <c r="EM448">
        <f ca="1"/>
      </c>
      <c r="EN448">
        <f ca="1"/>
      </c>
      <c r="EO448">
        <f ca="1"/>
      </c>
      <c r="EP448">
        <f ca="1"/>
      </c>
      <c r="EQ448">
        <f ca="1"/>
      </c>
      <c r="ER448">
        <f ca="1"/>
      </c>
      <c r="ES448">
        <f ca="1"/>
      </c>
      <c r="ET448">
        <f ca="1"/>
      </c>
      <c r="EU448">
        <f ca="1"/>
      </c>
      <c r="EV448">
        <f ca="1"/>
      </c>
      <c r="EW448">
        <f ca="1"/>
      </c>
      <c r="EX448">
        <f ca="1"/>
      </c>
      <c r="EY448">
        <f ca="1"/>
      </c>
      <c r="EZ448">
        <f ca="1"/>
      </c>
      <c r="FA448">
        <f ca="1"/>
      </c>
      <c r="FB448">
        <f ca="1"/>
      </c>
      <c r="FC448">
        <f ca="1"/>
      </c>
      <c r="FD448">
        <f ca="1"/>
      </c>
      <c r="FE448">
        <f ca="1"/>
      </c>
      <c r="FF448">
        <f ca="1"/>
      </c>
      <c r="FG448">
        <f ca="1"/>
      </c>
      <c r="FH448">
        <f ca="1"/>
      </c>
      <c r="FI448">
        <f ca="1"/>
      </c>
      <c r="FJ448">
        <f ca="1"/>
      </c>
      <c r="FK448">
        <f ca="1"/>
      </c>
      <c r="FL448">
        <f ca="1"/>
      </c>
      <c r="FM448">
        <f ca="1"/>
      </c>
      <c r="FN448">
        <f ca="1"/>
      </c>
      <c r="FO448">
        <f ca="1"/>
      </c>
      <c r="FP448">
        <f ca="1"/>
      </c>
      <c r="FQ448">
        <f ca="1"/>
      </c>
      <c r="FR448">
        <f ca="1"/>
      </c>
      <c r="FS448">
        <f ca="1"/>
      </c>
      <c r="FT448">
        <f ca="1"/>
      </c>
      <c r="FU448">
        <f ca="1"/>
      </c>
      <c r="FV448">
        <f ca="1"/>
      </c>
      <c r="FW448">
        <f ca="1"/>
      </c>
      <c r="FX448">
        <f ca="1"/>
      </c>
      <c r="FY448">
        <f ca="1"/>
      </c>
      <c r="FZ448">
        <f ca="1"/>
      </c>
      <c r="GA448">
        <f ca="1"/>
      </c>
      <c r="GM448" s="7"/>
    </row>
    <row r="449" spans="41:195" x14ac:dyDescent="0.55000000000000004">
      <c r="AO449">
        <f ca="1"/>
      </c>
      <c r="AP449">
        <f ca="1"/>
      </c>
      <c r="AQ449">
        <f ca="1"/>
      </c>
      <c r="AR449">
        <f ca="1"/>
      </c>
      <c r="AS449">
        <f ca="1"/>
      </c>
      <c r="AT449">
        <f ca="1"/>
      </c>
      <c r="AU449">
        <f ca="1"/>
      </c>
      <c r="AV449">
        <f ca="1"/>
      </c>
      <c r="AW449">
        <f ca="1"/>
      </c>
      <c r="AX449">
        <f ca="1"/>
      </c>
      <c r="AY449">
        <f ca="1"/>
      </c>
      <c r="AZ449">
        <f ca="1"/>
      </c>
      <c r="BA449">
        <f ca="1"/>
      </c>
      <c r="BB449">
        <f ca="1"/>
      </c>
      <c r="BC449">
        <f ca="1"/>
      </c>
      <c r="BD449">
        <f ca="1"/>
      </c>
      <c r="BE449">
        <f ca="1"/>
      </c>
      <c r="BF449">
        <f ca="1"/>
      </c>
      <c r="BG449">
        <f ca="1"/>
      </c>
      <c r="BH449">
        <f ca="1"/>
      </c>
      <c r="BI449">
        <f ca="1"/>
      </c>
      <c r="BJ449">
        <f ca="1"/>
      </c>
      <c r="BK449">
        <f ca="1"/>
      </c>
      <c r="BL449">
        <f ca="1"/>
      </c>
      <c r="BM449">
        <f ca="1"/>
      </c>
      <c r="BN449">
        <f ca="1"/>
      </c>
      <c r="BO449">
        <f ca="1"/>
      </c>
      <c r="BP449">
        <f ca="1"/>
      </c>
      <c r="BQ449">
        <f ca="1"/>
      </c>
      <c r="BR449">
        <f ca="1"/>
      </c>
      <c r="BS449">
        <f ca="1"/>
      </c>
      <c r="BT449">
        <f ca="1"/>
      </c>
      <c r="BU449">
        <f ca="1"/>
      </c>
      <c r="BV449">
        <f ca="1"/>
      </c>
      <c r="BW449">
        <f ca="1"/>
      </c>
      <c r="BX449">
        <f ca="1"/>
      </c>
      <c r="BY449">
        <f ca="1"/>
      </c>
      <c r="BZ449">
        <f ca="1"/>
      </c>
      <c r="CA449">
        <f ca="1"/>
      </c>
      <c r="CB449">
        <f ca="1"/>
      </c>
      <c r="CC449">
        <f ca="1"/>
      </c>
      <c r="CD449">
        <f ca="1"/>
      </c>
      <c r="CE449">
        <f ca="1"/>
      </c>
      <c r="CF449">
        <f ca="1"/>
      </c>
      <c r="CG449">
        <f ca="1"/>
      </c>
      <c r="CH449">
        <f ca="1"/>
      </c>
      <c r="CI449">
        <f ca="1"/>
      </c>
      <c r="CK449">
        <f ca="1"/>
      </c>
      <c r="CL449">
        <f ca="1"/>
      </c>
      <c r="CM449">
        <f ca="1"/>
      </c>
      <c r="CN449">
        <f ca="1"/>
      </c>
      <c r="CO449">
        <f ca="1"/>
      </c>
      <c r="CP449">
        <f ca="1"/>
      </c>
      <c r="CQ449">
        <f ca="1"/>
      </c>
      <c r="CR449">
        <f ca="1"/>
      </c>
      <c r="CS449">
        <f ca="1"/>
      </c>
      <c r="CT449">
        <f ca="1"/>
      </c>
      <c r="CU449">
        <f ca="1"/>
      </c>
      <c r="CV449">
        <f ca="1"/>
      </c>
      <c r="CW449">
        <f ca="1"/>
      </c>
      <c r="CX449">
        <f ca="1"/>
      </c>
      <c r="CY449">
        <f ca="1"/>
      </c>
      <c r="CZ449">
        <f ca="1"/>
      </c>
      <c r="DA449">
        <f ca="1"/>
      </c>
      <c r="DB449">
        <f ca="1"/>
      </c>
      <c r="DC449">
        <f ca="1"/>
      </c>
      <c r="DD449">
        <f ca="1"/>
      </c>
      <c r="DE449">
        <f ca="1"/>
      </c>
      <c r="DF449">
        <f ca="1"/>
      </c>
      <c r="DG449">
        <f ca="1"/>
      </c>
      <c r="DH449">
        <f ca="1"/>
      </c>
      <c r="DI449">
        <f ca="1"/>
      </c>
      <c r="DJ449">
        <f ca="1"/>
      </c>
      <c r="DK449">
        <f ca="1"/>
      </c>
      <c r="DL449">
        <f ca="1"/>
      </c>
      <c r="DM449">
        <f ca="1"/>
      </c>
      <c r="DN449">
        <f ca="1"/>
      </c>
      <c r="DO449">
        <f ca="1"/>
      </c>
      <c r="DP449">
        <f ca="1"/>
      </c>
      <c r="DQ449">
        <f ca="1"/>
      </c>
      <c r="DR449">
        <f ca="1"/>
      </c>
      <c r="DS449">
        <f ca="1"/>
      </c>
      <c r="DT449">
        <f ca="1"/>
      </c>
      <c r="DU449">
        <f ca="1"/>
      </c>
      <c r="DV449">
        <f ca="1"/>
      </c>
      <c r="DW449">
        <f ca="1"/>
      </c>
      <c r="DX449">
        <f ca="1"/>
      </c>
      <c r="DY449">
        <f ca="1"/>
      </c>
      <c r="DZ449">
        <f ca="1"/>
      </c>
      <c r="EA449">
        <f ca="1"/>
      </c>
      <c r="EB449">
        <f ca="1"/>
      </c>
      <c r="EC449">
        <f ca="1"/>
      </c>
      <c r="ED449">
        <f ca="1"/>
      </c>
      <c r="EE449">
        <f ca="1"/>
      </c>
      <c r="EG449">
        <f ca="1"/>
      </c>
      <c r="EH449">
        <f ca="1"/>
      </c>
      <c r="EI449">
        <f ca="1"/>
      </c>
      <c r="EJ449">
        <f ca="1"/>
      </c>
      <c r="EK449">
        <f ca="1"/>
      </c>
      <c r="EL449">
        <f ca="1"/>
      </c>
      <c r="EM449">
        <f ca="1"/>
      </c>
      <c r="EN449">
        <f ca="1"/>
      </c>
      <c r="EO449">
        <f ca="1"/>
      </c>
      <c r="EP449">
        <f ca="1"/>
      </c>
      <c r="EQ449">
        <f ca="1"/>
      </c>
      <c r="ER449">
        <f ca="1"/>
      </c>
      <c r="ES449">
        <f ca="1"/>
      </c>
      <c r="ET449">
        <f ca="1"/>
      </c>
      <c r="EU449">
        <f ca="1"/>
      </c>
      <c r="EV449">
        <f ca="1"/>
      </c>
      <c r="EW449">
        <f ca="1"/>
      </c>
      <c r="EX449">
        <f ca="1"/>
      </c>
      <c r="EY449">
        <f ca="1"/>
      </c>
      <c r="EZ449">
        <f ca="1"/>
      </c>
      <c r="FA449">
        <f ca="1"/>
      </c>
      <c r="FB449">
        <f ca="1"/>
      </c>
      <c r="FC449">
        <f ca="1"/>
      </c>
      <c r="FD449">
        <f ca="1"/>
      </c>
      <c r="FE449">
        <f ca="1"/>
      </c>
      <c r="FF449">
        <f ca="1"/>
      </c>
      <c r="FG449">
        <f ca="1"/>
      </c>
      <c r="FH449">
        <f ca="1"/>
      </c>
      <c r="FI449">
        <f ca="1"/>
      </c>
      <c r="FJ449">
        <f ca="1"/>
      </c>
      <c r="FK449">
        <f ca="1"/>
      </c>
      <c r="FL449">
        <f ca="1"/>
      </c>
      <c r="FM449">
        <f ca="1"/>
      </c>
      <c r="FN449">
        <f ca="1"/>
      </c>
      <c r="FO449">
        <f ca="1"/>
      </c>
      <c r="FP449">
        <f ca="1"/>
      </c>
      <c r="FQ449">
        <f ca="1"/>
      </c>
      <c r="FR449">
        <f ca="1"/>
      </c>
      <c r="FS449">
        <f ca="1"/>
      </c>
      <c r="FT449">
        <f ca="1"/>
      </c>
      <c r="FU449">
        <f ca="1"/>
      </c>
      <c r="FV449">
        <f ca="1"/>
      </c>
      <c r="FW449">
        <f ca="1"/>
      </c>
      <c r="FX449">
        <f ca="1"/>
      </c>
      <c r="FY449">
        <f ca="1"/>
      </c>
      <c r="FZ449">
        <f ca="1"/>
      </c>
      <c r="GA449">
        <f ca="1"/>
      </c>
      <c r="GM449" s="7"/>
    </row>
    <row r="450" spans="41:195" x14ac:dyDescent="0.55000000000000004">
      <c r="AO450">
        <f ca="1"/>
      </c>
      <c r="AP450">
        <f ca="1"/>
      </c>
      <c r="AQ450">
        <f ca="1"/>
      </c>
      <c r="AR450">
        <f ca="1"/>
      </c>
      <c r="AS450">
        <f ca="1"/>
      </c>
      <c r="AT450">
        <f ca="1"/>
      </c>
      <c r="AU450">
        <f ca="1"/>
      </c>
      <c r="AV450">
        <f ca="1"/>
      </c>
      <c r="AW450">
        <f ca="1"/>
      </c>
      <c r="AX450">
        <f ca="1"/>
      </c>
      <c r="AY450">
        <f ca="1"/>
      </c>
      <c r="AZ450">
        <f ca="1"/>
      </c>
      <c r="BA450">
        <f ca="1"/>
      </c>
      <c r="BB450">
        <f ca="1"/>
      </c>
      <c r="BC450">
        <f ca="1"/>
      </c>
      <c r="BD450">
        <f ca="1"/>
      </c>
      <c r="BE450">
        <f ca="1"/>
      </c>
      <c r="BF450">
        <f ca="1"/>
      </c>
      <c r="BG450">
        <f ca="1"/>
      </c>
      <c r="BH450">
        <f ca="1"/>
      </c>
      <c r="BI450">
        <f ca="1"/>
      </c>
      <c r="BJ450">
        <f ca="1"/>
      </c>
      <c r="BK450">
        <f ca="1"/>
      </c>
      <c r="BL450">
        <f ca="1"/>
      </c>
      <c r="BM450">
        <f ca="1"/>
      </c>
      <c r="BN450">
        <f ca="1"/>
      </c>
      <c r="BO450">
        <f ca="1"/>
      </c>
      <c r="BP450">
        <f ca="1"/>
      </c>
      <c r="BQ450">
        <f ca="1"/>
      </c>
      <c r="BR450">
        <f ca="1"/>
      </c>
      <c r="BS450">
        <f ca="1"/>
      </c>
      <c r="BT450">
        <f ca="1"/>
      </c>
      <c r="BU450">
        <f ca="1"/>
      </c>
      <c r="BV450">
        <f ca="1"/>
      </c>
      <c r="BW450">
        <f ca="1"/>
      </c>
      <c r="BX450">
        <f ca="1"/>
      </c>
      <c r="BY450">
        <f ca="1"/>
      </c>
      <c r="BZ450">
        <f ca="1"/>
      </c>
      <c r="CA450">
        <f ca="1"/>
      </c>
      <c r="CB450">
        <f ca="1"/>
      </c>
      <c r="CC450">
        <f ca="1"/>
      </c>
      <c r="CD450">
        <f ca="1"/>
      </c>
      <c r="CE450">
        <f ca="1"/>
      </c>
      <c r="CF450">
        <f ca="1"/>
      </c>
      <c r="CG450">
        <f ca="1"/>
      </c>
      <c r="CH450">
        <f ca="1"/>
      </c>
      <c r="CI450">
        <f ca="1"/>
      </c>
      <c r="CK450">
        <f ca="1"/>
      </c>
      <c r="CL450">
        <f ca="1"/>
      </c>
      <c r="CM450">
        <f ca="1"/>
      </c>
      <c r="CN450">
        <f ca="1"/>
      </c>
      <c r="CO450">
        <f ca="1"/>
      </c>
      <c r="CP450">
        <f ca="1"/>
      </c>
      <c r="CQ450">
        <f ca="1"/>
      </c>
      <c r="CR450">
        <f ca="1"/>
      </c>
      <c r="CS450">
        <f ca="1"/>
      </c>
      <c r="CT450">
        <f ca="1"/>
      </c>
      <c r="CU450">
        <f ca="1"/>
      </c>
      <c r="CV450">
        <f ca="1"/>
      </c>
      <c r="CW450">
        <f ca="1"/>
      </c>
      <c r="CX450">
        <f ca="1"/>
      </c>
      <c r="CY450">
        <f ca="1"/>
      </c>
      <c r="CZ450">
        <f ca="1"/>
      </c>
      <c r="DA450">
        <f ca="1"/>
      </c>
      <c r="DB450">
        <f ca="1"/>
      </c>
      <c r="DC450">
        <f ca="1"/>
      </c>
      <c r="DD450">
        <f ca="1"/>
      </c>
      <c r="DE450">
        <f ca="1"/>
      </c>
      <c r="DF450">
        <f ca="1"/>
      </c>
      <c r="DG450">
        <f ca="1"/>
      </c>
      <c r="DH450">
        <f ca="1"/>
      </c>
      <c r="DI450">
        <f ca="1"/>
      </c>
      <c r="DJ450">
        <f ca="1"/>
      </c>
      <c r="DK450">
        <f ca="1"/>
      </c>
      <c r="DL450">
        <f ca="1"/>
      </c>
      <c r="DM450">
        <f ca="1"/>
      </c>
      <c r="DN450">
        <f ca="1"/>
      </c>
      <c r="DO450">
        <f ca="1"/>
      </c>
      <c r="DP450">
        <f ca="1"/>
      </c>
      <c r="DQ450">
        <f ca="1"/>
      </c>
      <c r="DR450">
        <f ca="1"/>
      </c>
      <c r="DS450">
        <f ca="1"/>
      </c>
      <c r="DT450">
        <f ca="1"/>
      </c>
      <c r="DU450">
        <f ca="1"/>
      </c>
      <c r="DV450">
        <f ca="1"/>
      </c>
      <c r="DW450">
        <f ca="1"/>
      </c>
      <c r="DX450">
        <f ca="1"/>
      </c>
      <c r="DY450">
        <f ca="1"/>
      </c>
      <c r="DZ450">
        <f ca="1"/>
      </c>
      <c r="EA450">
        <f ca="1"/>
      </c>
      <c r="EB450">
        <f ca="1"/>
      </c>
      <c r="EC450">
        <f ca="1"/>
      </c>
      <c r="ED450">
        <f ca="1"/>
      </c>
      <c r="EE450">
        <f ca="1"/>
      </c>
      <c r="EG450">
        <f ca="1"/>
      </c>
      <c r="EH450">
        <f ca="1"/>
      </c>
      <c r="EI450">
        <f ca="1"/>
      </c>
      <c r="EJ450">
        <f ca="1"/>
      </c>
      <c r="EK450">
        <f ca="1"/>
      </c>
      <c r="EL450">
        <f ca="1"/>
      </c>
      <c r="EM450">
        <f ca="1"/>
      </c>
      <c r="EN450">
        <f ca="1"/>
      </c>
      <c r="EO450">
        <f ca="1"/>
      </c>
      <c r="EP450">
        <f ca="1"/>
      </c>
      <c r="EQ450">
        <f ca="1"/>
      </c>
      <c r="ER450">
        <f ca="1"/>
      </c>
      <c r="ES450">
        <f ca="1"/>
      </c>
      <c r="ET450">
        <f ca="1"/>
      </c>
      <c r="EU450">
        <f ca="1"/>
      </c>
      <c r="EV450">
        <f ca="1"/>
      </c>
      <c r="EW450">
        <f ca="1"/>
      </c>
      <c r="EX450">
        <f ca="1"/>
      </c>
      <c r="EY450">
        <f ca="1"/>
      </c>
      <c r="EZ450">
        <f ca="1"/>
      </c>
      <c r="FA450">
        <f ca="1"/>
      </c>
      <c r="FB450">
        <f ca="1"/>
      </c>
      <c r="FC450">
        <f ca="1"/>
      </c>
      <c r="FD450">
        <f ca="1"/>
      </c>
      <c r="FE450">
        <f ca="1"/>
      </c>
      <c r="FF450">
        <f ca="1"/>
      </c>
      <c r="FG450">
        <f ca="1"/>
      </c>
      <c r="FH450">
        <f ca="1"/>
      </c>
      <c r="FI450">
        <f ca="1"/>
      </c>
      <c r="FJ450">
        <f ca="1"/>
      </c>
      <c r="FK450">
        <f ca="1"/>
      </c>
      <c r="FL450">
        <f ca="1"/>
      </c>
      <c r="FM450">
        <f ca="1"/>
      </c>
      <c r="FN450">
        <f ca="1"/>
      </c>
      <c r="FO450">
        <f ca="1"/>
      </c>
      <c r="FP450">
        <f ca="1"/>
      </c>
      <c r="FQ450">
        <f ca="1"/>
      </c>
      <c r="FR450">
        <f ca="1"/>
      </c>
      <c r="FS450">
        <f ca="1"/>
      </c>
      <c r="FT450">
        <f ca="1"/>
      </c>
      <c r="FU450">
        <f ca="1"/>
      </c>
      <c r="FV450">
        <f ca="1"/>
      </c>
      <c r="FW450">
        <f ca="1"/>
      </c>
      <c r="FX450">
        <f ca="1"/>
      </c>
      <c r="FY450">
        <f ca="1"/>
      </c>
      <c r="FZ450">
        <f ca="1"/>
      </c>
      <c r="GA450">
        <f ca="1"/>
      </c>
      <c r="GM450" s="7"/>
    </row>
    <row r="451" spans="41:195" x14ac:dyDescent="0.55000000000000004">
      <c r="AO451">
        <f ca="1"/>
      </c>
      <c r="AP451">
        <f ca="1"/>
      </c>
      <c r="AQ451">
        <f ca="1"/>
      </c>
      <c r="AR451">
        <f ca="1"/>
      </c>
      <c r="AS451">
        <f ca="1"/>
      </c>
      <c r="AT451">
        <f ca="1"/>
      </c>
      <c r="AU451">
        <f ca="1"/>
      </c>
      <c r="AV451">
        <f ca="1"/>
      </c>
      <c r="AW451">
        <f ca="1"/>
      </c>
      <c r="AX451">
        <f ca="1"/>
      </c>
      <c r="AY451">
        <f ca="1"/>
      </c>
      <c r="AZ451">
        <f ca="1"/>
      </c>
      <c r="BA451">
        <f ca="1"/>
      </c>
      <c r="BB451">
        <f ca="1"/>
      </c>
      <c r="BC451">
        <f ca="1"/>
      </c>
      <c r="BD451">
        <f ca="1"/>
      </c>
      <c r="BE451">
        <f ca="1"/>
      </c>
      <c r="BF451">
        <f ca="1"/>
      </c>
      <c r="BG451">
        <f ca="1"/>
      </c>
      <c r="BH451">
        <f ca="1"/>
      </c>
      <c r="BI451">
        <f ca="1"/>
      </c>
      <c r="BJ451">
        <f ca="1"/>
      </c>
      <c r="BK451">
        <f ca="1"/>
      </c>
      <c r="BL451">
        <f ca="1"/>
      </c>
      <c r="BM451">
        <f ca="1"/>
      </c>
      <c r="BN451">
        <f ca="1"/>
      </c>
      <c r="BO451">
        <f ca="1"/>
      </c>
      <c r="BP451">
        <f ca="1"/>
      </c>
      <c r="BQ451">
        <f ca="1"/>
      </c>
      <c r="BR451">
        <f ca="1"/>
      </c>
      <c r="BS451">
        <f ca="1"/>
      </c>
      <c r="BT451">
        <f ca="1"/>
      </c>
      <c r="BU451">
        <f ca="1"/>
      </c>
      <c r="BV451">
        <f ca="1"/>
      </c>
      <c r="BW451">
        <f ca="1"/>
      </c>
      <c r="BX451">
        <f ca="1"/>
      </c>
      <c r="BY451">
        <f ca="1"/>
      </c>
      <c r="BZ451">
        <f ca="1"/>
      </c>
      <c r="CA451">
        <f ca="1"/>
      </c>
      <c r="CB451">
        <f ca="1"/>
      </c>
      <c r="CC451">
        <f ca="1"/>
      </c>
      <c r="CD451">
        <f ca="1"/>
      </c>
      <c r="CE451">
        <f ca="1"/>
      </c>
      <c r="CF451">
        <f ca="1"/>
      </c>
      <c r="CG451">
        <f ca="1"/>
      </c>
      <c r="CH451">
        <f ca="1"/>
      </c>
      <c r="CI451">
        <f ca="1"/>
      </c>
      <c r="CK451">
        <f ca="1"/>
      </c>
      <c r="CL451">
        <f ca="1"/>
      </c>
      <c r="CM451">
        <f ca="1"/>
      </c>
      <c r="CN451">
        <f ca="1"/>
      </c>
      <c r="CO451">
        <f ca="1"/>
      </c>
      <c r="CP451">
        <f ca="1"/>
      </c>
      <c r="CQ451">
        <f ca="1"/>
      </c>
      <c r="CR451">
        <f ca="1"/>
      </c>
      <c r="CS451">
        <f ca="1"/>
      </c>
      <c r="CT451">
        <f ca="1"/>
      </c>
      <c r="CU451">
        <f ca="1"/>
      </c>
      <c r="CV451">
        <f ca="1"/>
      </c>
      <c r="CW451">
        <f ca="1"/>
      </c>
      <c r="CX451">
        <f ca="1"/>
      </c>
      <c r="CY451">
        <f ca="1"/>
      </c>
      <c r="CZ451">
        <f ca="1"/>
      </c>
      <c r="DA451">
        <f ca="1"/>
      </c>
      <c r="DB451">
        <f ca="1"/>
      </c>
      <c r="DC451">
        <f ca="1"/>
      </c>
      <c r="DD451">
        <f ca="1"/>
      </c>
      <c r="DE451">
        <f ca="1"/>
      </c>
      <c r="DF451">
        <f ca="1"/>
      </c>
      <c r="DG451">
        <f ca="1"/>
      </c>
      <c r="DH451">
        <f ca="1"/>
      </c>
      <c r="DI451">
        <f ca="1"/>
      </c>
      <c r="DJ451">
        <f ca="1"/>
      </c>
      <c r="DK451">
        <f ca="1"/>
      </c>
      <c r="DL451">
        <f ca="1"/>
      </c>
      <c r="DM451">
        <f ca="1"/>
      </c>
      <c r="DN451">
        <f ca="1"/>
      </c>
      <c r="DO451">
        <f ca="1"/>
      </c>
      <c r="DP451">
        <f ca="1"/>
      </c>
      <c r="DQ451">
        <f ca="1"/>
      </c>
      <c r="DR451">
        <f ca="1"/>
      </c>
      <c r="DS451">
        <f ca="1"/>
      </c>
      <c r="DT451">
        <f ca="1"/>
      </c>
      <c r="DU451">
        <f ca="1"/>
      </c>
      <c r="DV451">
        <f ca="1"/>
      </c>
      <c r="DW451">
        <f ca="1"/>
      </c>
      <c r="DX451">
        <f ca="1"/>
      </c>
      <c r="DY451">
        <f ca="1"/>
      </c>
      <c r="DZ451">
        <f ca="1"/>
      </c>
      <c r="EA451">
        <f ca="1"/>
      </c>
      <c r="EB451">
        <f ca="1"/>
      </c>
      <c r="EC451">
        <f ca="1"/>
      </c>
      <c r="ED451">
        <f ca="1"/>
      </c>
      <c r="EE451">
        <f ca="1"/>
      </c>
      <c r="EG451">
        <f ca="1"/>
      </c>
      <c r="EH451">
        <f ca="1"/>
      </c>
      <c r="EI451">
        <f ca="1"/>
      </c>
      <c r="EJ451">
        <f ca="1"/>
      </c>
      <c r="EK451">
        <f ca="1"/>
      </c>
      <c r="EL451">
        <f ca="1"/>
      </c>
      <c r="EM451">
        <f ca="1"/>
      </c>
      <c r="EN451">
        <f ca="1"/>
      </c>
      <c r="EO451">
        <f ca="1"/>
      </c>
      <c r="EP451">
        <f ca="1"/>
      </c>
      <c r="EQ451">
        <f ca="1"/>
      </c>
      <c r="ER451">
        <f ca="1"/>
      </c>
      <c r="ES451">
        <f ca="1"/>
      </c>
      <c r="ET451">
        <f ca="1"/>
      </c>
      <c r="EU451">
        <f ca="1"/>
      </c>
      <c r="EV451">
        <f ca="1"/>
      </c>
      <c r="EW451">
        <f ca="1"/>
      </c>
      <c r="EX451">
        <f ca="1"/>
      </c>
      <c r="EY451">
        <f ca="1"/>
      </c>
      <c r="EZ451">
        <f ca="1"/>
      </c>
      <c r="FA451">
        <f ca="1"/>
      </c>
      <c r="FB451">
        <f ca="1"/>
      </c>
      <c r="FC451">
        <f ca="1"/>
      </c>
      <c r="FD451">
        <f ca="1"/>
      </c>
      <c r="FE451">
        <f ca="1"/>
      </c>
      <c r="FF451">
        <f ca="1"/>
      </c>
      <c r="FG451">
        <f ca="1"/>
      </c>
      <c r="FH451">
        <f ca="1"/>
      </c>
      <c r="FI451">
        <f ca="1"/>
      </c>
      <c r="FJ451">
        <f ca="1"/>
      </c>
      <c r="FK451">
        <f ca="1"/>
      </c>
      <c r="FL451">
        <f ca="1"/>
      </c>
      <c r="FM451">
        <f ca="1"/>
      </c>
      <c r="FN451">
        <f ca="1"/>
      </c>
      <c r="FO451">
        <f ca="1"/>
      </c>
      <c r="FP451">
        <f ca="1"/>
      </c>
      <c r="FQ451">
        <f ca="1"/>
      </c>
      <c r="FR451">
        <f ca="1"/>
      </c>
      <c r="FS451">
        <f ca="1"/>
      </c>
      <c r="FT451">
        <f ca="1"/>
      </c>
      <c r="FU451">
        <f ca="1"/>
      </c>
      <c r="FV451">
        <f ca="1"/>
      </c>
      <c r="FW451">
        <f ca="1"/>
      </c>
      <c r="FX451">
        <f ca="1"/>
      </c>
      <c r="FY451">
        <f ca="1"/>
      </c>
      <c r="FZ451">
        <f ca="1"/>
      </c>
      <c r="GA451">
        <f ca="1"/>
      </c>
      <c r="GM451" s="7"/>
    </row>
    <row r="452" spans="41:195" x14ac:dyDescent="0.55000000000000004">
      <c r="AO452">
        <f ca="1"/>
      </c>
      <c r="AP452">
        <f ca="1"/>
      </c>
      <c r="AQ452">
        <f ca="1"/>
      </c>
      <c r="AR452">
        <f ca="1"/>
      </c>
      <c r="AS452">
        <f ca="1"/>
      </c>
      <c r="AT452">
        <f ca="1"/>
      </c>
      <c r="AU452">
        <f ca="1"/>
      </c>
      <c r="AV452">
        <f ca="1"/>
      </c>
      <c r="AW452">
        <f ca="1"/>
      </c>
      <c r="AX452">
        <f ca="1"/>
      </c>
      <c r="AY452">
        <f ca="1"/>
      </c>
      <c r="AZ452">
        <f ca="1"/>
      </c>
      <c r="BA452">
        <f ca="1"/>
      </c>
      <c r="BB452">
        <f ca="1"/>
      </c>
      <c r="BC452">
        <f ca="1"/>
      </c>
      <c r="BD452">
        <f ca="1"/>
      </c>
      <c r="BE452">
        <f ca="1"/>
      </c>
      <c r="BF452">
        <f ca="1"/>
      </c>
      <c r="BG452">
        <f ca="1"/>
      </c>
      <c r="BH452">
        <f ca="1"/>
      </c>
      <c r="BI452">
        <f ca="1"/>
      </c>
      <c r="BJ452">
        <f ca="1"/>
      </c>
      <c r="BK452">
        <f ca="1"/>
      </c>
      <c r="BL452">
        <f ca="1"/>
      </c>
      <c r="BM452">
        <f ca="1"/>
      </c>
      <c r="BN452">
        <f ca="1"/>
      </c>
      <c r="BO452">
        <f ca="1"/>
      </c>
      <c r="BP452">
        <f ca="1"/>
      </c>
      <c r="BQ452">
        <f ca="1"/>
      </c>
      <c r="BR452">
        <f ca="1"/>
      </c>
      <c r="BS452">
        <f ca="1"/>
      </c>
      <c r="BT452">
        <f ca="1"/>
      </c>
      <c r="BU452">
        <f ca="1"/>
      </c>
      <c r="BV452">
        <f ca="1"/>
      </c>
      <c r="BW452">
        <f ca="1"/>
      </c>
      <c r="BX452">
        <f ca="1"/>
      </c>
      <c r="BY452">
        <f ca="1"/>
      </c>
      <c r="BZ452">
        <f ca="1"/>
      </c>
      <c r="CA452">
        <f ca="1"/>
      </c>
      <c r="CB452">
        <f ca="1"/>
      </c>
      <c r="CC452">
        <f ca="1"/>
      </c>
      <c r="CD452">
        <f ca="1"/>
      </c>
      <c r="CE452">
        <f ca="1"/>
      </c>
      <c r="CF452">
        <f ca="1"/>
      </c>
      <c r="CG452">
        <f ca="1"/>
      </c>
      <c r="CH452">
        <f ca="1"/>
      </c>
      <c r="CI452">
        <f ca="1"/>
      </c>
      <c r="CK452">
        <f ca="1"/>
      </c>
      <c r="CL452">
        <f ca="1"/>
      </c>
      <c r="CM452">
        <f ca="1"/>
      </c>
      <c r="CN452">
        <f ca="1"/>
      </c>
      <c r="CO452">
        <f ca="1"/>
      </c>
      <c r="CP452">
        <f ca="1"/>
      </c>
      <c r="CQ452">
        <f ca="1"/>
      </c>
      <c r="CR452">
        <f ca="1"/>
      </c>
      <c r="CS452">
        <f ca="1"/>
      </c>
      <c r="CT452">
        <f ca="1"/>
      </c>
      <c r="CU452">
        <f ca="1"/>
      </c>
      <c r="CV452">
        <f ca="1"/>
      </c>
      <c r="CW452">
        <f ca="1"/>
      </c>
      <c r="CX452">
        <f ca="1"/>
      </c>
      <c r="CY452">
        <f ca="1"/>
      </c>
      <c r="CZ452">
        <f ca="1"/>
      </c>
      <c r="DA452">
        <f ca="1"/>
      </c>
      <c r="DB452">
        <f ca="1"/>
      </c>
      <c r="DC452">
        <f ca="1"/>
      </c>
      <c r="DD452">
        <f ca="1"/>
      </c>
      <c r="DE452">
        <f ca="1"/>
      </c>
      <c r="DF452">
        <f ca="1"/>
      </c>
      <c r="DG452">
        <f ca="1"/>
      </c>
      <c r="DH452">
        <f ca="1"/>
      </c>
      <c r="DI452">
        <f ca="1"/>
      </c>
      <c r="DJ452">
        <f ca="1"/>
      </c>
      <c r="DK452">
        <f ca="1"/>
      </c>
      <c r="DL452">
        <f ca="1"/>
      </c>
      <c r="DM452">
        <f ca="1"/>
      </c>
      <c r="DN452">
        <f ca="1"/>
      </c>
      <c r="DO452">
        <f ca="1"/>
      </c>
      <c r="DP452">
        <f ca="1"/>
      </c>
      <c r="DQ452">
        <f ca="1"/>
      </c>
      <c r="DR452">
        <f ca="1"/>
      </c>
      <c r="DS452">
        <f ca="1"/>
      </c>
      <c r="DT452">
        <f ca="1"/>
      </c>
      <c r="DU452">
        <f ca="1"/>
      </c>
      <c r="DV452">
        <f ca="1"/>
      </c>
      <c r="DW452">
        <f ca="1"/>
      </c>
      <c r="DX452">
        <f ca="1"/>
      </c>
      <c r="DY452">
        <f ca="1"/>
      </c>
      <c r="DZ452">
        <f ca="1"/>
      </c>
      <c r="EA452">
        <f ca="1"/>
      </c>
      <c r="EB452">
        <f ca="1"/>
      </c>
      <c r="EC452">
        <f ca="1"/>
      </c>
      <c r="ED452">
        <f ca="1"/>
      </c>
      <c r="EE452">
        <f ca="1"/>
      </c>
      <c r="EG452">
        <f ca="1"/>
      </c>
      <c r="EH452">
        <f ca="1"/>
      </c>
      <c r="EI452">
        <f ca="1"/>
      </c>
      <c r="EJ452">
        <f ca="1"/>
      </c>
      <c r="EK452">
        <f ca="1"/>
      </c>
      <c r="EL452">
        <f ca="1"/>
      </c>
      <c r="EM452">
        <f ca="1"/>
      </c>
      <c r="EN452">
        <f ca="1"/>
      </c>
      <c r="EO452">
        <f ca="1"/>
      </c>
      <c r="EP452">
        <f ca="1"/>
      </c>
      <c r="EQ452">
        <f ca="1"/>
      </c>
      <c r="ER452">
        <f ca="1"/>
      </c>
      <c r="ES452">
        <f ca="1"/>
      </c>
      <c r="ET452">
        <f ca="1"/>
      </c>
      <c r="EU452">
        <f ca="1"/>
      </c>
      <c r="EV452">
        <f ca="1"/>
      </c>
      <c r="EW452">
        <f ca="1"/>
      </c>
      <c r="EX452">
        <f ca="1"/>
      </c>
      <c r="EY452">
        <f ca="1"/>
      </c>
      <c r="EZ452">
        <f ca="1"/>
      </c>
      <c r="FA452">
        <f ca="1"/>
      </c>
      <c r="FB452">
        <f ca="1"/>
      </c>
      <c r="FC452">
        <f ca="1"/>
      </c>
      <c r="FD452">
        <f ca="1"/>
      </c>
      <c r="FE452">
        <f ca="1"/>
      </c>
      <c r="FF452">
        <f ca="1"/>
      </c>
      <c r="FG452">
        <f ca="1"/>
      </c>
      <c r="FH452">
        <f ca="1"/>
      </c>
      <c r="FI452">
        <f ca="1"/>
      </c>
      <c r="FJ452">
        <f ca="1"/>
      </c>
      <c r="FK452">
        <f ca="1"/>
      </c>
      <c r="FL452">
        <f ca="1"/>
      </c>
      <c r="FM452">
        <f ca="1"/>
      </c>
      <c r="FN452">
        <f ca="1"/>
      </c>
      <c r="FO452">
        <f ca="1"/>
      </c>
      <c r="FP452">
        <f ca="1"/>
      </c>
      <c r="FQ452">
        <f ca="1"/>
      </c>
      <c r="FR452">
        <f ca="1"/>
      </c>
      <c r="FS452">
        <f ca="1"/>
      </c>
      <c r="FT452">
        <f ca="1"/>
      </c>
      <c r="FU452">
        <f ca="1"/>
      </c>
      <c r="FV452">
        <f ca="1"/>
      </c>
      <c r="FW452">
        <f ca="1"/>
      </c>
      <c r="FX452">
        <f ca="1"/>
      </c>
      <c r="FY452">
        <f ca="1"/>
      </c>
      <c r="FZ452">
        <f ca="1"/>
      </c>
      <c r="GA452">
        <f ca="1"/>
      </c>
      <c r="GM452" s="7"/>
    </row>
    <row r="453" spans="41:195" x14ac:dyDescent="0.55000000000000004">
      <c r="AO453">
        <f ca="1"/>
      </c>
      <c r="AP453">
        <f ca="1"/>
      </c>
      <c r="AQ453">
        <f ca="1"/>
      </c>
      <c r="AR453">
        <f ca="1"/>
      </c>
      <c r="AS453">
        <f ca="1"/>
      </c>
      <c r="AT453">
        <f ca="1"/>
      </c>
      <c r="AU453">
        <f ca="1"/>
      </c>
      <c r="AV453">
        <f ca="1"/>
      </c>
      <c r="AW453">
        <f ca="1"/>
      </c>
      <c r="AX453">
        <f ca="1"/>
      </c>
      <c r="AY453">
        <f ca="1"/>
      </c>
      <c r="AZ453">
        <f ca="1"/>
      </c>
      <c r="BA453">
        <f ca="1"/>
      </c>
      <c r="BB453">
        <f ca="1"/>
      </c>
      <c r="BC453">
        <f ca="1"/>
      </c>
      <c r="BD453">
        <f ca="1"/>
      </c>
      <c r="BE453">
        <f ca="1"/>
      </c>
      <c r="BF453">
        <f ca="1"/>
      </c>
      <c r="BG453">
        <f ca="1"/>
      </c>
      <c r="BH453">
        <f ca="1"/>
      </c>
      <c r="BI453">
        <f ca="1"/>
      </c>
      <c r="BJ453">
        <f ca="1"/>
      </c>
      <c r="BK453">
        <f ca="1"/>
      </c>
      <c r="BL453">
        <f ca="1"/>
      </c>
      <c r="BM453">
        <f ca="1"/>
      </c>
      <c r="BN453">
        <f ca="1"/>
      </c>
      <c r="BO453">
        <f ca="1"/>
      </c>
      <c r="BP453">
        <f ca="1"/>
      </c>
      <c r="BQ453">
        <f ca="1"/>
      </c>
      <c r="BR453">
        <f ca="1"/>
      </c>
      <c r="BS453">
        <f ca="1"/>
      </c>
      <c r="BT453">
        <f ca="1"/>
      </c>
      <c r="BU453">
        <f ca="1"/>
      </c>
      <c r="BV453">
        <f ca="1"/>
      </c>
      <c r="BW453">
        <f ca="1"/>
      </c>
      <c r="BX453">
        <f ca="1"/>
      </c>
      <c r="BY453">
        <f ca="1"/>
      </c>
      <c r="BZ453">
        <f ca="1"/>
      </c>
      <c r="CA453">
        <f ca="1"/>
      </c>
      <c r="CB453">
        <f ca="1"/>
      </c>
      <c r="CC453">
        <f ca="1"/>
      </c>
      <c r="CD453">
        <f ca="1"/>
      </c>
      <c r="CE453">
        <f ca="1"/>
      </c>
      <c r="CF453">
        <f ca="1"/>
      </c>
      <c r="CG453">
        <f ca="1"/>
      </c>
      <c r="CH453">
        <f ca="1"/>
      </c>
      <c r="CI453">
        <f ca="1"/>
      </c>
      <c r="CK453">
        <f ca="1"/>
      </c>
      <c r="CL453">
        <f ca="1"/>
      </c>
      <c r="CM453">
        <f ca="1"/>
      </c>
      <c r="CN453">
        <f ca="1"/>
      </c>
      <c r="CO453">
        <f ca="1"/>
      </c>
      <c r="CP453">
        <f ca="1"/>
      </c>
      <c r="CQ453">
        <f ca="1"/>
      </c>
      <c r="CR453">
        <f ca="1"/>
      </c>
      <c r="CS453">
        <f ca="1"/>
      </c>
      <c r="CT453">
        <f ca="1"/>
      </c>
      <c r="CU453">
        <f ca="1"/>
      </c>
      <c r="CV453">
        <f ca="1"/>
      </c>
      <c r="CW453">
        <f ca="1"/>
      </c>
      <c r="CX453">
        <f ca="1"/>
      </c>
      <c r="CY453">
        <f ca="1"/>
      </c>
      <c r="CZ453">
        <f ca="1"/>
      </c>
      <c r="DA453">
        <f ca="1"/>
      </c>
      <c r="DB453">
        <f ca="1"/>
      </c>
      <c r="DC453">
        <f ca="1"/>
      </c>
      <c r="DD453">
        <f ca="1"/>
      </c>
      <c r="DE453">
        <f ca="1"/>
      </c>
      <c r="DF453">
        <f ca="1"/>
      </c>
      <c r="DG453">
        <f ca="1"/>
      </c>
      <c r="DH453">
        <f ca="1"/>
      </c>
      <c r="DI453">
        <f ca="1"/>
      </c>
      <c r="DJ453">
        <f ca="1"/>
      </c>
      <c r="DK453">
        <f ca="1"/>
      </c>
      <c r="DL453">
        <f ca="1"/>
      </c>
      <c r="DM453">
        <f ca="1"/>
      </c>
      <c r="DN453">
        <f ca="1"/>
      </c>
      <c r="DO453">
        <f ca="1"/>
      </c>
      <c r="DP453">
        <f ca="1"/>
      </c>
      <c r="DQ453">
        <f ca="1"/>
      </c>
      <c r="DR453">
        <f ca="1"/>
      </c>
      <c r="DS453">
        <f ca="1"/>
      </c>
      <c r="DT453">
        <f ca="1"/>
      </c>
      <c r="DU453">
        <f ca="1"/>
      </c>
      <c r="DV453">
        <f ca="1"/>
      </c>
      <c r="DW453">
        <f ca="1"/>
      </c>
      <c r="DX453">
        <f ca="1"/>
      </c>
      <c r="DY453">
        <f ca="1"/>
      </c>
      <c r="DZ453">
        <f ca="1"/>
      </c>
      <c r="EA453">
        <f ca="1"/>
      </c>
      <c r="EB453">
        <f ca="1"/>
      </c>
      <c r="EC453">
        <f ca="1"/>
      </c>
      <c r="ED453">
        <f ca="1"/>
      </c>
      <c r="EE453">
        <f ca="1"/>
      </c>
      <c r="EG453">
        <f ca="1"/>
      </c>
      <c r="EH453">
        <f ca="1"/>
      </c>
      <c r="EI453">
        <f ca="1"/>
      </c>
      <c r="EJ453">
        <f ca="1"/>
      </c>
      <c r="EK453">
        <f ca="1"/>
      </c>
      <c r="EL453">
        <f ca="1"/>
      </c>
      <c r="EM453">
        <f ca="1"/>
      </c>
      <c r="EN453">
        <f ca="1"/>
      </c>
      <c r="EO453">
        <f ca="1"/>
      </c>
      <c r="EP453">
        <f ca="1"/>
      </c>
      <c r="EQ453">
        <f ca="1"/>
      </c>
      <c r="ER453">
        <f ca="1"/>
      </c>
      <c r="ES453">
        <f ca="1"/>
      </c>
      <c r="ET453">
        <f ca="1"/>
      </c>
      <c r="EU453">
        <f ca="1"/>
      </c>
      <c r="EV453">
        <f ca="1"/>
      </c>
      <c r="EW453">
        <f ca="1"/>
      </c>
      <c r="EX453">
        <f ca="1"/>
      </c>
      <c r="EY453">
        <f ca="1"/>
      </c>
      <c r="EZ453">
        <f ca="1"/>
      </c>
      <c r="FA453">
        <f ca="1"/>
      </c>
      <c r="FB453">
        <f ca="1"/>
      </c>
      <c r="FC453">
        <f ca="1"/>
      </c>
      <c r="FD453">
        <f ca="1"/>
      </c>
      <c r="FE453">
        <f ca="1"/>
      </c>
      <c r="FF453">
        <f ca="1"/>
      </c>
      <c r="FG453">
        <f ca="1"/>
      </c>
      <c r="FH453">
        <f ca="1"/>
      </c>
      <c r="FI453">
        <f ca="1"/>
      </c>
      <c r="FJ453">
        <f ca="1"/>
      </c>
      <c r="FK453">
        <f ca="1"/>
      </c>
      <c r="FL453">
        <f ca="1"/>
      </c>
      <c r="FM453">
        <f ca="1"/>
      </c>
      <c r="FN453">
        <f ca="1"/>
      </c>
      <c r="FO453">
        <f ca="1"/>
      </c>
      <c r="FP453">
        <f ca="1"/>
      </c>
      <c r="FQ453">
        <f ca="1"/>
      </c>
      <c r="FR453">
        <f ca="1"/>
      </c>
      <c r="FS453">
        <f ca="1"/>
      </c>
      <c r="FT453">
        <f ca="1"/>
      </c>
      <c r="FU453">
        <f ca="1"/>
      </c>
      <c r="FV453">
        <f ca="1"/>
      </c>
      <c r="FW453">
        <f ca="1"/>
      </c>
      <c r="FX453">
        <f ca="1"/>
      </c>
      <c r="FY453">
        <f ca="1"/>
      </c>
      <c r="FZ453">
        <f ca="1"/>
      </c>
      <c r="GA453">
        <f ca="1"/>
      </c>
      <c r="GM453" s="7"/>
    </row>
    <row r="454" spans="41:195" x14ac:dyDescent="0.55000000000000004">
      <c r="AO454">
        <f ca="1"/>
      </c>
      <c r="AP454">
        <f ca="1"/>
      </c>
      <c r="AQ454">
        <f ca="1"/>
      </c>
      <c r="AR454">
        <f ca="1"/>
      </c>
      <c r="AS454">
        <f ca="1"/>
      </c>
      <c r="AT454">
        <f ca="1"/>
      </c>
      <c r="AU454">
        <f ca="1"/>
      </c>
      <c r="AV454">
        <f ca="1"/>
      </c>
      <c r="AW454">
        <f ca="1"/>
      </c>
      <c r="AX454">
        <f ca="1"/>
      </c>
      <c r="AY454">
        <f ca="1"/>
      </c>
      <c r="AZ454">
        <f ca="1"/>
      </c>
      <c r="BA454">
        <f ca="1"/>
      </c>
      <c r="BB454">
        <f ca="1"/>
      </c>
      <c r="BC454">
        <f ca="1"/>
      </c>
      <c r="BD454">
        <f ca="1"/>
      </c>
      <c r="BE454">
        <f ca="1"/>
      </c>
      <c r="BF454">
        <f ca="1"/>
      </c>
      <c r="BG454">
        <f ca="1"/>
      </c>
      <c r="BH454">
        <f ca="1"/>
      </c>
      <c r="BI454">
        <f ca="1"/>
      </c>
      <c r="BJ454">
        <f ca="1"/>
      </c>
      <c r="BK454">
        <f ca="1"/>
      </c>
      <c r="BL454">
        <f ca="1"/>
      </c>
      <c r="BM454">
        <f ca="1"/>
      </c>
      <c r="BN454">
        <f ca="1"/>
      </c>
      <c r="BO454">
        <f ca="1"/>
      </c>
      <c r="BP454">
        <f ca="1"/>
      </c>
      <c r="BQ454">
        <f ca="1"/>
      </c>
      <c r="BR454">
        <f ca="1"/>
      </c>
      <c r="BS454">
        <f ca="1"/>
      </c>
      <c r="BT454">
        <f ca="1"/>
      </c>
      <c r="BU454">
        <f ca="1"/>
      </c>
      <c r="BV454">
        <f ca="1"/>
      </c>
      <c r="BW454">
        <f ca="1"/>
      </c>
      <c r="BX454">
        <f ca="1"/>
      </c>
      <c r="BY454">
        <f ca="1"/>
      </c>
      <c r="BZ454">
        <f ca="1"/>
      </c>
      <c r="CA454">
        <f ca="1"/>
      </c>
      <c r="CB454">
        <f ca="1"/>
      </c>
      <c r="CC454">
        <f ca="1"/>
      </c>
      <c r="CD454">
        <f ca="1"/>
      </c>
      <c r="CE454">
        <f ca="1"/>
      </c>
      <c r="CF454">
        <f ca="1"/>
      </c>
      <c r="CG454">
        <f ca="1"/>
      </c>
      <c r="CH454">
        <f ca="1"/>
      </c>
      <c r="CI454">
        <f ca="1"/>
      </c>
      <c r="CK454">
        <f ca="1"/>
      </c>
      <c r="CL454">
        <f ca="1"/>
      </c>
      <c r="CM454">
        <f ca="1"/>
      </c>
      <c r="CN454">
        <f ca="1"/>
      </c>
      <c r="CO454">
        <f ca="1"/>
      </c>
      <c r="CP454">
        <f ca="1"/>
      </c>
      <c r="CQ454">
        <f ca="1"/>
      </c>
      <c r="CR454">
        <f ca="1"/>
      </c>
      <c r="CS454">
        <f ca="1"/>
      </c>
      <c r="CT454">
        <f ca="1"/>
      </c>
      <c r="CU454">
        <f ca="1"/>
      </c>
      <c r="CV454">
        <f ca="1"/>
      </c>
      <c r="CW454">
        <f ca="1"/>
      </c>
      <c r="CX454">
        <f ca="1"/>
      </c>
      <c r="CY454">
        <f ca="1"/>
      </c>
      <c r="CZ454">
        <f ca="1"/>
      </c>
      <c r="DA454">
        <f ca="1"/>
      </c>
      <c r="DB454">
        <f ca="1"/>
      </c>
      <c r="DC454">
        <f ca="1"/>
      </c>
      <c r="DD454">
        <f ca="1"/>
      </c>
      <c r="DE454">
        <f ca="1"/>
      </c>
      <c r="DF454">
        <f ca="1"/>
      </c>
      <c r="DG454">
        <f ca="1"/>
      </c>
      <c r="DH454">
        <f ca="1"/>
      </c>
      <c r="DI454">
        <f ca="1"/>
      </c>
      <c r="DJ454">
        <f ca="1"/>
      </c>
      <c r="DK454">
        <f ca="1"/>
      </c>
      <c r="DL454">
        <f ca="1"/>
      </c>
      <c r="DM454">
        <f ca="1"/>
      </c>
      <c r="DN454">
        <f ca="1"/>
      </c>
      <c r="DO454">
        <f ca="1"/>
      </c>
      <c r="DP454">
        <f ca="1"/>
      </c>
      <c r="DQ454">
        <f ca="1"/>
      </c>
      <c r="DR454">
        <f ca="1"/>
      </c>
      <c r="DS454">
        <f ca="1"/>
      </c>
      <c r="DT454">
        <f ca="1"/>
      </c>
      <c r="DU454">
        <f ca="1"/>
      </c>
      <c r="DV454">
        <f ca="1"/>
      </c>
      <c r="DW454">
        <f ca="1"/>
      </c>
      <c r="DX454">
        <f ca="1"/>
      </c>
      <c r="DY454">
        <f ca="1"/>
      </c>
      <c r="DZ454">
        <f ca="1"/>
      </c>
      <c r="EA454">
        <f ca="1"/>
      </c>
      <c r="EB454">
        <f ca="1"/>
      </c>
      <c r="EC454">
        <f ca="1"/>
      </c>
      <c r="ED454">
        <f ca="1"/>
      </c>
      <c r="EE454">
        <f ca="1"/>
      </c>
      <c r="EG454">
        <f ca="1"/>
      </c>
      <c r="EH454">
        <f ca="1"/>
      </c>
      <c r="EI454">
        <f ca="1"/>
      </c>
      <c r="EJ454">
        <f ca="1"/>
      </c>
      <c r="EK454">
        <f ca="1"/>
      </c>
      <c r="EL454">
        <f ca="1"/>
      </c>
      <c r="EM454">
        <f ca="1"/>
      </c>
      <c r="EN454">
        <f ca="1"/>
      </c>
      <c r="EO454">
        <f ca="1"/>
      </c>
      <c r="EP454">
        <f ca="1"/>
      </c>
      <c r="EQ454">
        <f ca="1"/>
      </c>
      <c r="ER454">
        <f ca="1"/>
      </c>
      <c r="ES454">
        <f ca="1"/>
      </c>
      <c r="ET454">
        <f ca="1"/>
      </c>
      <c r="EU454">
        <f ca="1"/>
      </c>
      <c r="EV454">
        <f ca="1"/>
      </c>
      <c r="EW454">
        <f ca="1"/>
      </c>
      <c r="EX454">
        <f ca="1"/>
      </c>
      <c r="EY454">
        <f ca="1"/>
      </c>
      <c r="EZ454">
        <f ca="1"/>
      </c>
      <c r="FA454">
        <f ca="1"/>
      </c>
      <c r="FB454">
        <f ca="1"/>
      </c>
      <c r="FC454">
        <f ca="1"/>
      </c>
      <c r="FD454">
        <f ca="1"/>
      </c>
      <c r="FE454">
        <f ca="1"/>
      </c>
      <c r="FF454">
        <f ca="1"/>
      </c>
      <c r="FG454">
        <f ca="1"/>
      </c>
      <c r="FH454">
        <f ca="1"/>
      </c>
      <c r="FI454">
        <f ca="1"/>
      </c>
      <c r="FJ454">
        <f ca="1"/>
      </c>
      <c r="FK454">
        <f ca="1"/>
      </c>
      <c r="FL454">
        <f ca="1"/>
      </c>
      <c r="FM454">
        <f ca="1"/>
      </c>
      <c r="FN454">
        <f ca="1"/>
      </c>
      <c r="FO454">
        <f ca="1"/>
      </c>
      <c r="FP454">
        <f ca="1"/>
      </c>
      <c r="FQ454">
        <f ca="1"/>
      </c>
      <c r="FR454">
        <f ca="1"/>
      </c>
      <c r="FS454">
        <f ca="1"/>
      </c>
      <c r="FT454">
        <f ca="1"/>
      </c>
      <c r="FU454">
        <f ca="1"/>
      </c>
      <c r="FV454">
        <f ca="1"/>
      </c>
      <c r="FW454">
        <f ca="1"/>
      </c>
      <c r="FX454">
        <f ca="1"/>
      </c>
      <c r="FY454">
        <f ca="1"/>
      </c>
      <c r="FZ454">
        <f ca="1"/>
      </c>
      <c r="GA454">
        <f ca="1"/>
      </c>
      <c r="GM454" s="7"/>
    </row>
    <row r="455" spans="41:195" x14ac:dyDescent="0.55000000000000004">
      <c r="AO455">
        <f ca="1"/>
      </c>
      <c r="AP455">
        <f ca="1"/>
      </c>
      <c r="AQ455">
        <f ca="1"/>
      </c>
      <c r="AR455">
        <f ca="1"/>
      </c>
      <c r="AS455">
        <f ca="1"/>
      </c>
      <c r="AT455">
        <f ca="1"/>
      </c>
      <c r="AU455">
        <f ca="1"/>
      </c>
      <c r="AV455">
        <f ca="1"/>
      </c>
      <c r="AW455">
        <f ca="1"/>
      </c>
      <c r="AX455">
        <f ca="1"/>
      </c>
      <c r="AY455">
        <f ca="1"/>
      </c>
      <c r="AZ455">
        <f ca="1"/>
      </c>
      <c r="BA455">
        <f ca="1"/>
      </c>
      <c r="BB455">
        <f ca="1"/>
      </c>
      <c r="BC455">
        <f ca="1"/>
      </c>
      <c r="BD455">
        <f ca="1"/>
      </c>
      <c r="BE455">
        <f ca="1"/>
      </c>
      <c r="BF455">
        <f ca="1"/>
      </c>
      <c r="BG455">
        <f ca="1"/>
      </c>
      <c r="BH455">
        <f ca="1"/>
      </c>
      <c r="BI455">
        <f ca="1"/>
      </c>
      <c r="BJ455">
        <f ca="1"/>
      </c>
      <c r="BK455">
        <f ca="1"/>
      </c>
      <c r="BL455">
        <f ca="1"/>
      </c>
      <c r="BM455">
        <f ca="1"/>
      </c>
      <c r="BN455">
        <f ca="1"/>
      </c>
      <c r="BO455">
        <f ca="1"/>
      </c>
      <c r="BP455">
        <f ca="1"/>
      </c>
      <c r="BQ455">
        <f ca="1"/>
      </c>
      <c r="BR455">
        <f ca="1"/>
      </c>
      <c r="BS455">
        <f ca="1"/>
      </c>
      <c r="BT455">
        <f ca="1"/>
      </c>
      <c r="BU455">
        <f ca="1"/>
      </c>
      <c r="BV455">
        <f ca="1"/>
      </c>
      <c r="BW455">
        <f ca="1"/>
      </c>
      <c r="BX455">
        <f ca="1"/>
      </c>
      <c r="BY455">
        <f ca="1"/>
      </c>
      <c r="BZ455">
        <f ca="1"/>
      </c>
      <c r="CA455">
        <f ca="1"/>
      </c>
      <c r="CB455">
        <f ca="1"/>
      </c>
      <c r="CC455">
        <f ca="1"/>
      </c>
      <c r="CD455">
        <f ca="1"/>
      </c>
      <c r="CE455">
        <f ca="1"/>
      </c>
      <c r="CF455">
        <f ca="1"/>
      </c>
      <c r="CG455">
        <f ca="1"/>
      </c>
      <c r="CH455">
        <f ca="1"/>
      </c>
      <c r="CI455">
        <f ca="1"/>
      </c>
      <c r="CK455">
        <f ca="1"/>
      </c>
      <c r="CL455">
        <f ca="1"/>
      </c>
      <c r="CM455">
        <f ca="1"/>
      </c>
      <c r="CN455">
        <f ca="1"/>
      </c>
      <c r="CO455">
        <f ca="1"/>
      </c>
      <c r="CP455">
        <f ca="1"/>
      </c>
      <c r="CQ455">
        <f ca="1"/>
      </c>
      <c r="CR455">
        <f ca="1"/>
      </c>
      <c r="CS455">
        <f ca="1"/>
      </c>
      <c r="CT455">
        <f ca="1"/>
      </c>
      <c r="CU455">
        <f ca="1"/>
      </c>
      <c r="CV455">
        <f ca="1"/>
      </c>
      <c r="CW455">
        <f ca="1"/>
      </c>
      <c r="CX455">
        <f ca="1"/>
      </c>
      <c r="CY455">
        <f ca="1"/>
      </c>
      <c r="CZ455">
        <f ca="1"/>
      </c>
      <c r="DA455">
        <f ca="1"/>
      </c>
      <c r="DB455">
        <f ca="1"/>
      </c>
      <c r="DC455">
        <f ca="1"/>
      </c>
      <c r="DD455">
        <f ca="1"/>
      </c>
      <c r="DE455">
        <f ca="1"/>
      </c>
      <c r="DF455">
        <f ca="1"/>
      </c>
      <c r="DG455">
        <f ca="1"/>
      </c>
      <c r="DH455">
        <f ca="1"/>
      </c>
      <c r="DI455">
        <f ca="1"/>
      </c>
      <c r="DJ455">
        <f ca="1"/>
      </c>
      <c r="DK455">
        <f ca="1"/>
      </c>
      <c r="DL455">
        <f ca="1"/>
      </c>
      <c r="DM455">
        <f ca="1"/>
      </c>
      <c r="DN455">
        <f ca="1"/>
      </c>
      <c r="DO455">
        <f ca="1"/>
      </c>
      <c r="DP455">
        <f ca="1"/>
      </c>
      <c r="DQ455">
        <f ca="1"/>
      </c>
      <c r="DR455">
        <f ca="1"/>
      </c>
      <c r="DS455">
        <f ca="1"/>
      </c>
      <c r="DT455">
        <f ca="1"/>
      </c>
      <c r="DU455">
        <f ca="1"/>
      </c>
      <c r="DV455">
        <f ca="1"/>
      </c>
      <c r="DW455">
        <f ca="1"/>
      </c>
      <c r="DX455">
        <f ca="1"/>
      </c>
      <c r="DY455">
        <f ca="1"/>
      </c>
      <c r="DZ455">
        <f ca="1"/>
      </c>
      <c r="EA455">
        <f ca="1"/>
      </c>
      <c r="EB455">
        <f ca="1"/>
      </c>
      <c r="EC455">
        <f ca="1"/>
      </c>
      <c r="ED455">
        <f ca="1"/>
      </c>
      <c r="EE455">
        <f ca="1"/>
      </c>
      <c r="EG455">
        <f ca="1"/>
      </c>
      <c r="EH455">
        <f ca="1"/>
      </c>
      <c r="EI455">
        <f ca="1"/>
      </c>
      <c r="EJ455">
        <f ca="1"/>
      </c>
      <c r="EK455">
        <f ca="1"/>
      </c>
      <c r="EL455">
        <f ca="1"/>
      </c>
      <c r="EM455">
        <f ca="1"/>
      </c>
      <c r="EN455">
        <f ca="1"/>
      </c>
      <c r="EO455">
        <f ca="1"/>
      </c>
      <c r="EP455">
        <f ca="1"/>
      </c>
      <c r="EQ455">
        <f ca="1"/>
      </c>
      <c r="ER455">
        <f ca="1"/>
      </c>
      <c r="ES455">
        <f ca="1"/>
      </c>
      <c r="ET455">
        <f ca="1"/>
      </c>
      <c r="EU455">
        <f ca="1"/>
      </c>
      <c r="EV455">
        <f ca="1"/>
      </c>
      <c r="EW455">
        <f ca="1"/>
      </c>
      <c r="EX455">
        <f ca="1"/>
      </c>
      <c r="EY455">
        <f ca="1"/>
      </c>
      <c r="EZ455">
        <f ca="1"/>
      </c>
      <c r="FA455">
        <f ca="1"/>
      </c>
      <c r="FB455">
        <f ca="1"/>
      </c>
      <c r="FC455">
        <f ca="1"/>
      </c>
      <c r="FD455">
        <f ca="1"/>
      </c>
      <c r="FE455">
        <f ca="1"/>
      </c>
      <c r="FF455">
        <f ca="1"/>
      </c>
      <c r="FG455">
        <f ca="1"/>
      </c>
      <c r="FH455">
        <f ca="1"/>
      </c>
      <c r="FI455">
        <f ca="1"/>
      </c>
      <c r="FJ455">
        <f ca="1"/>
      </c>
      <c r="FK455">
        <f ca="1"/>
      </c>
      <c r="FL455">
        <f ca="1"/>
      </c>
      <c r="FM455">
        <f ca="1"/>
      </c>
      <c r="FN455">
        <f ca="1"/>
      </c>
      <c r="FO455">
        <f ca="1"/>
      </c>
      <c r="FP455">
        <f ca="1"/>
      </c>
      <c r="FQ455">
        <f ca="1"/>
      </c>
      <c r="FR455">
        <f ca="1"/>
      </c>
      <c r="FS455">
        <f ca="1"/>
      </c>
      <c r="FT455">
        <f ca="1"/>
      </c>
      <c r="FU455">
        <f ca="1"/>
      </c>
      <c r="FV455">
        <f ca="1"/>
      </c>
      <c r="FW455">
        <f ca="1"/>
      </c>
      <c r="FX455">
        <f ca="1"/>
      </c>
      <c r="FY455">
        <f ca="1"/>
      </c>
      <c r="FZ455">
        <f ca="1"/>
      </c>
      <c r="GA455">
        <f ca="1"/>
      </c>
      <c r="GM455" s="7"/>
    </row>
    <row r="456" spans="41:195" x14ac:dyDescent="0.55000000000000004">
      <c r="AO456">
        <f ca="1"/>
      </c>
      <c r="AP456">
        <f ca="1"/>
      </c>
      <c r="AQ456">
        <f ca="1"/>
      </c>
      <c r="AR456">
        <f ca="1"/>
      </c>
      <c r="AS456">
        <f ca="1"/>
      </c>
      <c r="AT456">
        <f ca="1"/>
      </c>
      <c r="AU456">
        <f ca="1"/>
      </c>
      <c r="AV456">
        <f ca="1"/>
      </c>
      <c r="AW456">
        <f ca="1"/>
      </c>
      <c r="AX456">
        <f ca="1"/>
      </c>
      <c r="AY456">
        <f ca="1"/>
      </c>
      <c r="AZ456">
        <f ca="1"/>
      </c>
      <c r="BA456">
        <f ca="1"/>
      </c>
      <c r="BB456">
        <f ca="1"/>
      </c>
      <c r="BC456">
        <f ca="1"/>
      </c>
      <c r="BD456">
        <f ca="1"/>
      </c>
      <c r="BE456">
        <f ca="1"/>
      </c>
      <c r="BF456">
        <f ca="1"/>
      </c>
      <c r="BG456">
        <f ca="1"/>
      </c>
      <c r="BH456">
        <f ca="1"/>
      </c>
      <c r="BI456">
        <f ca="1"/>
      </c>
      <c r="BJ456">
        <f ca="1"/>
      </c>
      <c r="BK456">
        <f ca="1"/>
      </c>
      <c r="BL456">
        <f ca="1"/>
      </c>
      <c r="BM456">
        <f ca="1"/>
      </c>
      <c r="BN456">
        <f ca="1"/>
      </c>
      <c r="BO456">
        <f ca="1"/>
      </c>
      <c r="BP456">
        <f ca="1"/>
      </c>
      <c r="BQ456">
        <f ca="1"/>
      </c>
      <c r="BR456">
        <f ca="1"/>
      </c>
      <c r="BS456">
        <f ca="1"/>
      </c>
      <c r="BT456">
        <f ca="1"/>
      </c>
      <c r="BU456">
        <f ca="1"/>
      </c>
      <c r="BV456">
        <f ca="1"/>
      </c>
      <c r="BW456">
        <f ca="1"/>
      </c>
      <c r="BX456">
        <f ca="1"/>
      </c>
      <c r="BY456">
        <f ca="1"/>
      </c>
      <c r="BZ456">
        <f ca="1"/>
      </c>
      <c r="CA456">
        <f ca="1"/>
      </c>
      <c r="CB456">
        <f ca="1"/>
      </c>
      <c r="CC456">
        <f ca="1"/>
      </c>
      <c r="CD456">
        <f ca="1"/>
      </c>
      <c r="CE456">
        <f ca="1"/>
      </c>
      <c r="CF456">
        <f ca="1"/>
      </c>
      <c r="CG456">
        <f ca="1"/>
      </c>
      <c r="CH456">
        <f ca="1"/>
      </c>
      <c r="CI456">
        <f ca="1"/>
      </c>
      <c r="CK456">
        <f ca="1"/>
      </c>
      <c r="CL456">
        <f ca="1"/>
      </c>
      <c r="CM456">
        <f ca="1"/>
      </c>
      <c r="CN456">
        <f ca="1"/>
      </c>
      <c r="CO456">
        <f ca="1"/>
      </c>
      <c r="CP456">
        <f ca="1"/>
      </c>
      <c r="CQ456">
        <f ca="1"/>
      </c>
      <c r="CR456">
        <f ca="1"/>
      </c>
      <c r="CS456">
        <f ca="1"/>
      </c>
      <c r="CT456">
        <f ca="1"/>
      </c>
      <c r="CU456">
        <f ca="1"/>
      </c>
      <c r="CV456">
        <f ca="1"/>
      </c>
      <c r="CW456">
        <f ca="1"/>
      </c>
      <c r="CX456">
        <f ca="1"/>
      </c>
      <c r="CY456">
        <f ca="1"/>
      </c>
      <c r="CZ456">
        <f ca="1"/>
      </c>
      <c r="DA456">
        <f ca="1"/>
      </c>
      <c r="DB456">
        <f ca="1"/>
      </c>
      <c r="DC456">
        <f ca="1"/>
      </c>
      <c r="DD456">
        <f ca="1"/>
      </c>
      <c r="DE456">
        <f ca="1"/>
      </c>
      <c r="DF456">
        <f ca="1"/>
      </c>
      <c r="DG456">
        <f ca="1"/>
      </c>
      <c r="DH456">
        <f ca="1"/>
      </c>
      <c r="DI456">
        <f ca="1"/>
      </c>
      <c r="DJ456">
        <f ca="1"/>
      </c>
      <c r="DK456">
        <f ca="1"/>
      </c>
      <c r="DL456">
        <f ca="1"/>
      </c>
      <c r="DM456">
        <f ca="1"/>
      </c>
      <c r="DN456">
        <f ca="1"/>
      </c>
      <c r="DO456">
        <f ca="1"/>
      </c>
      <c r="DP456">
        <f ca="1"/>
      </c>
      <c r="DQ456">
        <f ca="1"/>
      </c>
      <c r="DR456">
        <f ca="1"/>
      </c>
      <c r="DS456">
        <f ca="1"/>
      </c>
      <c r="DT456">
        <f ca="1"/>
      </c>
      <c r="DU456">
        <f ca="1"/>
      </c>
      <c r="DV456">
        <f ca="1"/>
      </c>
      <c r="DW456">
        <f ca="1"/>
      </c>
      <c r="DX456">
        <f ca="1"/>
      </c>
      <c r="DY456">
        <f ca="1"/>
      </c>
      <c r="DZ456">
        <f ca="1"/>
      </c>
      <c r="EA456">
        <f ca="1"/>
      </c>
      <c r="EB456">
        <f ca="1"/>
      </c>
      <c r="EC456">
        <f ca="1"/>
      </c>
      <c r="ED456">
        <f ca="1"/>
      </c>
      <c r="EE456">
        <f ca="1"/>
      </c>
      <c r="EG456">
        <f ca="1"/>
      </c>
      <c r="EH456">
        <f ca="1"/>
      </c>
      <c r="EI456">
        <f ca="1"/>
      </c>
      <c r="EJ456">
        <f ca="1"/>
      </c>
      <c r="EK456">
        <f ca="1"/>
      </c>
      <c r="EL456">
        <f ca="1"/>
      </c>
      <c r="EM456">
        <f ca="1"/>
      </c>
      <c r="EN456">
        <f ca="1"/>
      </c>
      <c r="EO456">
        <f ca="1"/>
      </c>
      <c r="EP456">
        <f ca="1"/>
      </c>
      <c r="EQ456">
        <f ca="1"/>
      </c>
      <c r="ER456">
        <f ca="1"/>
      </c>
      <c r="ES456">
        <f ca="1"/>
      </c>
      <c r="ET456">
        <f ca="1"/>
      </c>
      <c r="EU456">
        <f ca="1"/>
      </c>
      <c r="EV456">
        <f ca="1"/>
      </c>
      <c r="EW456">
        <f ca="1"/>
      </c>
      <c r="EX456">
        <f ca="1"/>
      </c>
      <c r="EY456">
        <f ca="1"/>
      </c>
      <c r="EZ456">
        <f ca="1"/>
      </c>
      <c r="FA456">
        <f ca="1"/>
      </c>
      <c r="FB456">
        <f ca="1"/>
      </c>
      <c r="FC456">
        <f ca="1"/>
      </c>
      <c r="FD456">
        <f ca="1"/>
      </c>
      <c r="FE456">
        <f ca="1"/>
      </c>
      <c r="FF456">
        <f ca="1"/>
      </c>
      <c r="FG456">
        <f ca="1"/>
      </c>
      <c r="FH456">
        <f ca="1"/>
      </c>
      <c r="FI456">
        <f ca="1"/>
      </c>
      <c r="FJ456">
        <f ca="1"/>
      </c>
      <c r="FK456">
        <f ca="1"/>
      </c>
      <c r="FL456">
        <f ca="1"/>
      </c>
      <c r="FM456">
        <f ca="1"/>
      </c>
      <c r="FN456">
        <f ca="1"/>
      </c>
      <c r="FO456">
        <f ca="1"/>
      </c>
      <c r="FP456">
        <f ca="1"/>
      </c>
      <c r="FQ456">
        <f ca="1"/>
      </c>
      <c r="FR456">
        <f ca="1"/>
      </c>
      <c r="FS456">
        <f ca="1"/>
      </c>
      <c r="FT456">
        <f ca="1"/>
      </c>
      <c r="FU456">
        <f ca="1"/>
      </c>
      <c r="FV456">
        <f ca="1"/>
      </c>
      <c r="FW456">
        <f ca="1"/>
      </c>
      <c r="FX456">
        <f ca="1"/>
      </c>
      <c r="FY456">
        <f ca="1"/>
      </c>
      <c r="FZ456">
        <f ca="1"/>
      </c>
      <c r="GA456">
        <f ca="1"/>
      </c>
      <c r="GM456" s="7"/>
    </row>
    <row r="457" spans="41:195" x14ac:dyDescent="0.55000000000000004">
      <c r="AO457">
        <f ca="1"/>
      </c>
      <c r="AP457">
        <f ca="1"/>
      </c>
      <c r="AQ457">
        <f ca="1"/>
      </c>
      <c r="AR457">
        <f ca="1"/>
      </c>
      <c r="AS457">
        <f ca="1"/>
      </c>
      <c r="AT457">
        <f ca="1"/>
      </c>
      <c r="AU457">
        <f ca="1"/>
      </c>
      <c r="AV457">
        <f ca="1"/>
      </c>
      <c r="AW457">
        <f ca="1"/>
      </c>
      <c r="AX457">
        <f ca="1"/>
      </c>
      <c r="AY457">
        <f ca="1"/>
      </c>
      <c r="AZ457">
        <f ca="1"/>
      </c>
      <c r="BA457">
        <f ca="1"/>
      </c>
      <c r="BB457">
        <f ca="1"/>
      </c>
      <c r="BC457">
        <f ca="1"/>
      </c>
      <c r="BD457">
        <f ca="1"/>
      </c>
      <c r="BE457">
        <f ca="1"/>
      </c>
      <c r="BF457">
        <f ca="1"/>
      </c>
      <c r="BG457">
        <f ca="1"/>
      </c>
      <c r="BH457">
        <f ca="1"/>
      </c>
      <c r="BI457">
        <f ca="1"/>
      </c>
      <c r="BJ457">
        <f ca="1"/>
      </c>
      <c r="BK457">
        <f ca="1"/>
      </c>
      <c r="BL457">
        <f ca="1"/>
      </c>
      <c r="BM457">
        <f ca="1"/>
      </c>
      <c r="BN457">
        <f ca="1"/>
      </c>
      <c r="BO457">
        <f ca="1"/>
      </c>
      <c r="BP457">
        <f ca="1"/>
      </c>
      <c r="BQ457">
        <f ca="1"/>
      </c>
      <c r="BR457">
        <f ca="1"/>
      </c>
      <c r="BS457">
        <f ca="1"/>
      </c>
      <c r="BT457">
        <f ca="1"/>
      </c>
      <c r="BU457">
        <f ca="1"/>
      </c>
      <c r="BV457">
        <f ca="1"/>
      </c>
      <c r="BW457">
        <f ca="1"/>
      </c>
      <c r="BX457">
        <f ca="1"/>
      </c>
      <c r="BY457">
        <f ca="1"/>
      </c>
      <c r="BZ457">
        <f ca="1"/>
      </c>
      <c r="CA457">
        <f ca="1"/>
      </c>
      <c r="CB457">
        <f ca="1"/>
      </c>
      <c r="CC457">
        <f ca="1"/>
      </c>
      <c r="CD457">
        <f ca="1"/>
      </c>
      <c r="CE457">
        <f ca="1"/>
      </c>
      <c r="CF457">
        <f ca="1"/>
      </c>
      <c r="CG457">
        <f ca="1"/>
      </c>
      <c r="CH457">
        <f ca="1"/>
      </c>
      <c r="CI457">
        <f ca="1"/>
      </c>
      <c r="CK457">
        <f ca="1"/>
      </c>
      <c r="CL457">
        <f ca="1"/>
      </c>
      <c r="CM457">
        <f ca="1"/>
      </c>
      <c r="CN457">
        <f ca="1"/>
      </c>
      <c r="CO457">
        <f ca="1"/>
      </c>
      <c r="CP457">
        <f ca="1"/>
      </c>
      <c r="CQ457">
        <f ca="1"/>
      </c>
      <c r="CR457">
        <f ca="1"/>
      </c>
      <c r="CS457">
        <f ca="1"/>
      </c>
      <c r="CT457">
        <f ca="1"/>
      </c>
      <c r="CU457">
        <f ca="1"/>
      </c>
      <c r="CV457">
        <f ca="1"/>
      </c>
      <c r="CW457">
        <f ca="1"/>
      </c>
      <c r="CX457">
        <f ca="1"/>
      </c>
      <c r="CY457">
        <f ca="1"/>
      </c>
      <c r="CZ457">
        <f ca="1"/>
      </c>
      <c r="DA457">
        <f ca="1"/>
      </c>
      <c r="DB457">
        <f ca="1"/>
      </c>
      <c r="DC457">
        <f ca="1"/>
      </c>
      <c r="DD457">
        <f ca="1"/>
      </c>
      <c r="DE457">
        <f ca="1"/>
      </c>
      <c r="DF457">
        <f ca="1"/>
      </c>
      <c r="DG457">
        <f ca="1"/>
      </c>
      <c r="DH457">
        <f ca="1"/>
      </c>
      <c r="DI457">
        <f ca="1"/>
      </c>
      <c r="DJ457">
        <f ca="1"/>
      </c>
      <c r="DK457">
        <f ca="1"/>
      </c>
      <c r="DL457">
        <f ca="1"/>
      </c>
      <c r="DM457">
        <f ca="1"/>
      </c>
      <c r="DN457">
        <f ca="1"/>
      </c>
      <c r="DO457">
        <f ca="1"/>
      </c>
      <c r="DP457">
        <f ca="1"/>
      </c>
      <c r="DQ457">
        <f ca="1"/>
      </c>
      <c r="DR457">
        <f ca="1"/>
      </c>
      <c r="DS457">
        <f ca="1"/>
      </c>
      <c r="DT457">
        <f ca="1"/>
      </c>
      <c r="DU457">
        <f ca="1"/>
      </c>
      <c r="DV457">
        <f ca="1"/>
      </c>
      <c r="DW457">
        <f ca="1"/>
      </c>
      <c r="DX457">
        <f ca="1"/>
      </c>
      <c r="DY457">
        <f ca="1"/>
      </c>
      <c r="DZ457">
        <f ca="1"/>
      </c>
      <c r="EA457">
        <f ca="1"/>
      </c>
      <c r="EB457">
        <f ca="1"/>
      </c>
      <c r="EC457">
        <f ca="1"/>
      </c>
      <c r="ED457">
        <f ca="1"/>
      </c>
      <c r="EE457">
        <f ca="1"/>
      </c>
      <c r="EG457">
        <f ca="1"/>
      </c>
      <c r="EH457">
        <f ca="1"/>
      </c>
      <c r="EI457">
        <f ca="1"/>
      </c>
      <c r="EJ457">
        <f ca="1"/>
      </c>
      <c r="EK457">
        <f ca="1"/>
      </c>
      <c r="EL457">
        <f ca="1"/>
      </c>
      <c r="EM457">
        <f ca="1"/>
      </c>
      <c r="EN457">
        <f ca="1"/>
      </c>
      <c r="EO457">
        <f ca="1"/>
      </c>
      <c r="EP457">
        <f ca="1"/>
      </c>
      <c r="EQ457">
        <f ca="1"/>
      </c>
      <c r="ER457">
        <f ca="1"/>
      </c>
      <c r="ES457">
        <f ca="1"/>
      </c>
      <c r="ET457">
        <f ca="1"/>
      </c>
      <c r="EU457">
        <f ca="1"/>
      </c>
      <c r="EV457">
        <f ca="1"/>
      </c>
      <c r="EW457">
        <f ca="1"/>
      </c>
      <c r="EX457">
        <f ca="1"/>
      </c>
      <c r="EY457">
        <f ca="1"/>
      </c>
      <c r="EZ457">
        <f ca="1"/>
      </c>
      <c r="FA457">
        <f ca="1"/>
      </c>
      <c r="FB457">
        <f ca="1"/>
      </c>
      <c r="FC457">
        <f ca="1"/>
      </c>
      <c r="FD457">
        <f ca="1"/>
      </c>
      <c r="FE457">
        <f ca="1"/>
      </c>
      <c r="FF457">
        <f ca="1"/>
      </c>
      <c r="FG457">
        <f ca="1"/>
      </c>
      <c r="FH457">
        <f ca="1"/>
      </c>
      <c r="FI457">
        <f ca="1"/>
      </c>
      <c r="FJ457">
        <f ca="1"/>
      </c>
      <c r="FK457">
        <f ca="1"/>
      </c>
      <c r="FL457">
        <f ca="1"/>
      </c>
      <c r="FM457">
        <f ca="1"/>
      </c>
      <c r="FN457">
        <f ca="1"/>
      </c>
      <c r="FO457">
        <f ca="1"/>
      </c>
      <c r="FP457">
        <f ca="1"/>
      </c>
      <c r="FQ457">
        <f ca="1"/>
      </c>
      <c r="FR457">
        <f ca="1"/>
      </c>
      <c r="FS457">
        <f ca="1"/>
      </c>
      <c r="FT457">
        <f ca="1"/>
      </c>
      <c r="FU457">
        <f ca="1"/>
      </c>
      <c r="FV457">
        <f ca="1"/>
      </c>
      <c r="FW457">
        <f ca="1"/>
      </c>
      <c r="FX457">
        <f ca="1"/>
      </c>
      <c r="FY457">
        <f ca="1"/>
      </c>
      <c r="FZ457">
        <f ca="1"/>
      </c>
      <c r="GA457">
        <f ca="1"/>
      </c>
      <c r="GM457" s="7"/>
    </row>
    <row r="458" spans="41:195" x14ac:dyDescent="0.55000000000000004">
      <c r="AO458">
        <f ca="1"/>
      </c>
      <c r="AP458">
        <f ca="1"/>
      </c>
      <c r="AQ458">
        <f ca="1"/>
      </c>
      <c r="AR458">
        <f ca="1"/>
      </c>
      <c r="AS458">
        <f ca="1"/>
      </c>
      <c r="AT458">
        <f ca="1"/>
      </c>
      <c r="AU458">
        <f ca="1"/>
      </c>
      <c r="AV458">
        <f ca="1"/>
      </c>
      <c r="AW458">
        <f ca="1"/>
      </c>
      <c r="AX458">
        <f ca="1"/>
      </c>
      <c r="AY458">
        <f ca="1"/>
      </c>
      <c r="AZ458">
        <f ca="1"/>
      </c>
      <c r="BA458">
        <f ca="1"/>
      </c>
      <c r="BB458">
        <f ca="1"/>
      </c>
      <c r="BC458">
        <f ca="1"/>
      </c>
      <c r="BD458">
        <f ca="1"/>
      </c>
      <c r="BE458">
        <f ca="1"/>
      </c>
      <c r="BF458">
        <f ca="1"/>
      </c>
      <c r="BG458">
        <f ca="1"/>
      </c>
      <c r="BH458">
        <f ca="1"/>
      </c>
      <c r="BI458">
        <f ca="1"/>
      </c>
      <c r="BJ458">
        <f ca="1"/>
      </c>
      <c r="BK458">
        <f ca="1"/>
      </c>
      <c r="BL458">
        <f ca="1"/>
      </c>
      <c r="BM458">
        <f ca="1"/>
      </c>
      <c r="BN458">
        <f ca="1"/>
      </c>
      <c r="BO458">
        <f ca="1"/>
      </c>
      <c r="BP458">
        <f ca="1"/>
      </c>
      <c r="BQ458">
        <f ca="1"/>
      </c>
      <c r="BR458">
        <f ca="1"/>
      </c>
      <c r="BS458">
        <f ca="1"/>
      </c>
      <c r="BT458">
        <f ca="1"/>
      </c>
      <c r="BU458">
        <f ca="1"/>
      </c>
      <c r="BV458">
        <f ca="1"/>
      </c>
      <c r="BW458">
        <f ca="1"/>
      </c>
      <c r="BX458">
        <f ca="1"/>
      </c>
      <c r="BY458">
        <f ca="1"/>
      </c>
      <c r="BZ458">
        <f ca="1"/>
      </c>
      <c r="CA458">
        <f ca="1"/>
      </c>
      <c r="CB458">
        <f ca="1"/>
      </c>
      <c r="CC458">
        <f ca="1"/>
      </c>
      <c r="CD458">
        <f ca="1"/>
      </c>
      <c r="CE458">
        <f ca="1"/>
      </c>
      <c r="CF458">
        <f ca="1"/>
      </c>
      <c r="CG458">
        <f ca="1"/>
      </c>
      <c r="CH458">
        <f ca="1"/>
      </c>
      <c r="CI458">
        <f ca="1"/>
      </c>
      <c r="CK458">
        <f ca="1"/>
      </c>
      <c r="CL458">
        <f ca="1"/>
      </c>
      <c r="CM458">
        <f ca="1"/>
      </c>
      <c r="CN458">
        <f ca="1"/>
      </c>
      <c r="CO458">
        <f ca="1"/>
      </c>
      <c r="CP458">
        <f ca="1"/>
      </c>
      <c r="CQ458">
        <f ca="1"/>
      </c>
      <c r="CR458">
        <f ca="1"/>
      </c>
      <c r="CS458">
        <f ca="1"/>
      </c>
      <c r="CT458">
        <f ca="1"/>
      </c>
      <c r="CU458">
        <f ca="1"/>
      </c>
      <c r="CV458">
        <f ca="1"/>
      </c>
      <c r="CW458">
        <f ca="1"/>
      </c>
      <c r="CX458">
        <f ca="1"/>
      </c>
      <c r="CY458">
        <f ca="1"/>
      </c>
      <c r="CZ458">
        <f ca="1"/>
      </c>
      <c r="DA458">
        <f ca="1"/>
      </c>
      <c r="DB458">
        <f ca="1"/>
      </c>
      <c r="DC458">
        <f ca="1"/>
      </c>
      <c r="DD458">
        <f ca="1"/>
      </c>
      <c r="DE458">
        <f ca="1"/>
      </c>
      <c r="DF458">
        <f ca="1"/>
      </c>
      <c r="DG458">
        <f ca="1"/>
      </c>
      <c r="DH458">
        <f ca="1"/>
      </c>
      <c r="DI458">
        <f ca="1"/>
      </c>
      <c r="DJ458">
        <f ca="1"/>
      </c>
      <c r="DK458">
        <f ca="1"/>
      </c>
      <c r="DL458">
        <f ca="1"/>
      </c>
      <c r="DM458">
        <f ca="1"/>
      </c>
      <c r="DN458">
        <f ca="1"/>
      </c>
      <c r="DO458">
        <f ca="1"/>
      </c>
      <c r="DP458">
        <f ca="1"/>
      </c>
      <c r="DQ458">
        <f ca="1"/>
      </c>
      <c r="DR458">
        <f ca="1"/>
      </c>
      <c r="DS458">
        <f ca="1"/>
      </c>
      <c r="DT458">
        <f ca="1"/>
      </c>
      <c r="DU458">
        <f ca="1"/>
      </c>
      <c r="DV458">
        <f ca="1"/>
      </c>
      <c r="DW458">
        <f ca="1"/>
      </c>
      <c r="DX458">
        <f ca="1"/>
      </c>
      <c r="DY458">
        <f ca="1"/>
      </c>
      <c r="DZ458">
        <f ca="1"/>
      </c>
      <c r="EA458">
        <f ca="1"/>
      </c>
      <c r="EB458">
        <f ca="1"/>
      </c>
      <c r="EC458">
        <f ca="1"/>
      </c>
      <c r="ED458">
        <f ca="1"/>
      </c>
      <c r="EE458">
        <f ca="1"/>
      </c>
      <c r="EG458">
        <f ca="1"/>
      </c>
      <c r="EH458">
        <f ca="1"/>
      </c>
      <c r="EI458">
        <f ca="1"/>
      </c>
      <c r="EJ458">
        <f ca="1"/>
      </c>
      <c r="EK458">
        <f ca="1"/>
      </c>
      <c r="EL458">
        <f ca="1"/>
      </c>
      <c r="EM458">
        <f ca="1"/>
      </c>
      <c r="EN458">
        <f ca="1"/>
      </c>
      <c r="EO458">
        <f ca="1"/>
      </c>
      <c r="EP458">
        <f ca="1"/>
      </c>
      <c r="EQ458">
        <f ca="1"/>
      </c>
      <c r="ER458">
        <f ca="1"/>
      </c>
      <c r="ES458">
        <f ca="1"/>
      </c>
      <c r="ET458">
        <f ca="1"/>
      </c>
      <c r="EU458">
        <f ca="1"/>
      </c>
      <c r="EV458">
        <f ca="1"/>
      </c>
      <c r="EW458">
        <f ca="1"/>
      </c>
      <c r="EX458">
        <f ca="1"/>
      </c>
      <c r="EY458">
        <f ca="1"/>
      </c>
      <c r="EZ458">
        <f ca="1"/>
      </c>
      <c r="FA458">
        <f ca="1"/>
      </c>
      <c r="FB458">
        <f ca="1"/>
      </c>
      <c r="FC458">
        <f ca="1"/>
      </c>
      <c r="FD458">
        <f ca="1"/>
      </c>
      <c r="FE458">
        <f ca="1"/>
      </c>
      <c r="FF458">
        <f ca="1"/>
      </c>
      <c r="FG458">
        <f ca="1"/>
      </c>
      <c r="FH458">
        <f ca="1"/>
      </c>
      <c r="FI458">
        <f ca="1"/>
      </c>
      <c r="FJ458">
        <f ca="1"/>
      </c>
      <c r="FK458">
        <f ca="1"/>
      </c>
      <c r="FL458">
        <f ca="1"/>
      </c>
      <c r="FM458">
        <f ca="1"/>
      </c>
      <c r="FN458">
        <f ca="1"/>
      </c>
      <c r="FO458">
        <f ca="1"/>
      </c>
      <c r="FP458">
        <f ca="1"/>
      </c>
      <c r="FQ458">
        <f ca="1"/>
      </c>
      <c r="FR458">
        <f ca="1"/>
      </c>
      <c r="FS458">
        <f ca="1"/>
      </c>
      <c r="FT458">
        <f ca="1"/>
      </c>
      <c r="FU458">
        <f ca="1"/>
      </c>
      <c r="FV458">
        <f ca="1"/>
      </c>
      <c r="FW458">
        <f ca="1"/>
      </c>
      <c r="FX458">
        <f ca="1"/>
      </c>
      <c r="FY458">
        <f ca="1"/>
      </c>
      <c r="FZ458">
        <f ca="1"/>
      </c>
      <c r="GA458">
        <f ca="1"/>
      </c>
      <c r="GM458" s="7"/>
    </row>
    <row r="459" spans="41:195" x14ac:dyDescent="0.55000000000000004">
      <c r="AO459">
        <f ca="1"/>
      </c>
      <c r="AP459">
        <f ca="1"/>
      </c>
      <c r="AQ459">
        <f ca="1"/>
      </c>
      <c r="AR459">
        <f ca="1"/>
      </c>
      <c r="AS459">
        <f ca="1"/>
      </c>
      <c r="AT459">
        <f ca="1"/>
      </c>
      <c r="AU459">
        <f ca="1"/>
      </c>
      <c r="AV459">
        <f ca="1"/>
      </c>
      <c r="AW459">
        <f ca="1"/>
      </c>
      <c r="AX459">
        <f ca="1"/>
      </c>
      <c r="AY459">
        <f ca="1"/>
      </c>
      <c r="AZ459">
        <f ca="1"/>
      </c>
      <c r="BA459">
        <f ca="1"/>
      </c>
      <c r="BB459">
        <f ca="1"/>
      </c>
      <c r="BC459">
        <f ca="1"/>
      </c>
      <c r="BD459">
        <f ca="1"/>
      </c>
      <c r="BE459">
        <f ca="1"/>
      </c>
      <c r="BF459">
        <f ca="1"/>
      </c>
      <c r="BG459">
        <f ca="1"/>
      </c>
      <c r="BH459">
        <f ca="1"/>
      </c>
      <c r="BI459">
        <f ca="1"/>
      </c>
      <c r="BJ459">
        <f ca="1"/>
      </c>
      <c r="BK459">
        <f ca="1"/>
      </c>
      <c r="BL459">
        <f ca="1"/>
      </c>
      <c r="BM459">
        <f ca="1"/>
      </c>
      <c r="BN459">
        <f ca="1"/>
      </c>
      <c r="BO459">
        <f ca="1"/>
      </c>
      <c r="BP459">
        <f ca="1"/>
      </c>
      <c r="BQ459">
        <f ca="1"/>
      </c>
      <c r="BR459">
        <f ca="1"/>
      </c>
      <c r="BS459">
        <f ca="1"/>
      </c>
      <c r="BT459">
        <f ca="1"/>
      </c>
      <c r="BU459">
        <f ca="1"/>
      </c>
      <c r="BV459">
        <f ca="1"/>
      </c>
      <c r="BW459">
        <f ca="1"/>
      </c>
      <c r="BX459">
        <f ca="1"/>
      </c>
      <c r="BY459">
        <f ca="1"/>
      </c>
      <c r="BZ459">
        <f ca="1"/>
      </c>
      <c r="CA459">
        <f ca="1"/>
      </c>
      <c r="CB459">
        <f ca="1"/>
      </c>
      <c r="CC459">
        <f ca="1"/>
      </c>
      <c r="CD459">
        <f ca="1"/>
      </c>
      <c r="CE459">
        <f ca="1"/>
      </c>
      <c r="CF459">
        <f ca="1"/>
      </c>
      <c r="CG459">
        <f ca="1"/>
      </c>
      <c r="CH459">
        <f ca="1"/>
      </c>
      <c r="CI459">
        <f ca="1"/>
      </c>
      <c r="CK459">
        <f ca="1"/>
      </c>
      <c r="CL459">
        <f ca="1"/>
      </c>
      <c r="CM459">
        <f ca="1"/>
      </c>
      <c r="CN459">
        <f ca="1"/>
      </c>
      <c r="CO459">
        <f ca="1"/>
      </c>
      <c r="CP459">
        <f ca="1"/>
      </c>
      <c r="CQ459">
        <f ca="1"/>
      </c>
      <c r="CR459">
        <f ca="1"/>
      </c>
      <c r="CS459">
        <f ca="1"/>
      </c>
      <c r="CT459">
        <f ca="1"/>
      </c>
      <c r="CU459">
        <f ca="1"/>
      </c>
      <c r="CV459">
        <f ca="1"/>
      </c>
      <c r="CW459">
        <f ca="1"/>
      </c>
      <c r="CX459">
        <f ca="1"/>
      </c>
      <c r="CY459">
        <f ca="1"/>
      </c>
      <c r="CZ459">
        <f ca="1"/>
      </c>
      <c r="DA459">
        <f ca="1"/>
      </c>
      <c r="DB459">
        <f ca="1"/>
      </c>
      <c r="DC459">
        <f ca="1"/>
      </c>
      <c r="DD459">
        <f ca="1"/>
      </c>
      <c r="DE459">
        <f ca="1"/>
      </c>
      <c r="DF459">
        <f ca="1"/>
      </c>
      <c r="DG459">
        <f ca="1"/>
      </c>
      <c r="DH459">
        <f ca="1"/>
      </c>
      <c r="DI459">
        <f ca="1"/>
      </c>
      <c r="DJ459">
        <f ca="1"/>
      </c>
      <c r="DK459">
        <f ca="1"/>
      </c>
      <c r="DL459">
        <f ca="1"/>
      </c>
      <c r="DM459">
        <f ca="1"/>
      </c>
      <c r="DN459">
        <f ca="1"/>
      </c>
      <c r="DO459">
        <f ca="1"/>
      </c>
      <c r="DP459">
        <f ca="1"/>
      </c>
      <c r="DQ459">
        <f ca="1"/>
      </c>
      <c r="DR459">
        <f ca="1"/>
      </c>
      <c r="DS459">
        <f ca="1"/>
      </c>
      <c r="DT459">
        <f ca="1"/>
      </c>
      <c r="DU459">
        <f ca="1"/>
      </c>
      <c r="DV459">
        <f ca="1"/>
      </c>
      <c r="DW459">
        <f ca="1"/>
      </c>
      <c r="DX459">
        <f ca="1"/>
      </c>
      <c r="DY459">
        <f ca="1"/>
      </c>
      <c r="DZ459">
        <f ca="1"/>
      </c>
      <c r="EA459">
        <f ca="1"/>
      </c>
      <c r="EB459">
        <f ca="1"/>
      </c>
      <c r="EC459">
        <f ca="1"/>
      </c>
      <c r="ED459">
        <f ca="1"/>
      </c>
      <c r="EE459">
        <f ca="1"/>
      </c>
      <c r="EG459">
        <f ca="1"/>
      </c>
      <c r="EH459">
        <f ca="1"/>
      </c>
      <c r="EI459">
        <f ca="1"/>
      </c>
      <c r="EJ459">
        <f ca="1"/>
      </c>
      <c r="EK459">
        <f ca="1"/>
      </c>
      <c r="EL459">
        <f ca="1"/>
      </c>
      <c r="EM459">
        <f ca="1"/>
      </c>
      <c r="EN459">
        <f ca="1"/>
      </c>
      <c r="EO459">
        <f ca="1"/>
      </c>
      <c r="EP459">
        <f ca="1"/>
      </c>
      <c r="EQ459">
        <f ca="1"/>
      </c>
      <c r="ER459">
        <f ca="1"/>
      </c>
      <c r="ES459">
        <f ca="1"/>
      </c>
      <c r="ET459">
        <f ca="1"/>
      </c>
      <c r="EU459">
        <f ca="1"/>
      </c>
      <c r="EV459">
        <f ca="1"/>
      </c>
      <c r="EW459">
        <f ca="1"/>
      </c>
      <c r="EX459">
        <f ca="1"/>
      </c>
      <c r="EY459">
        <f ca="1"/>
      </c>
      <c r="EZ459">
        <f ca="1"/>
      </c>
      <c r="FA459">
        <f ca="1"/>
      </c>
      <c r="FB459">
        <f ca="1"/>
      </c>
      <c r="FC459">
        <f ca="1"/>
      </c>
      <c r="FD459">
        <f ca="1"/>
      </c>
      <c r="FE459">
        <f ca="1"/>
      </c>
      <c r="FF459">
        <f ca="1"/>
      </c>
      <c r="FG459">
        <f ca="1"/>
      </c>
      <c r="FH459">
        <f ca="1"/>
      </c>
      <c r="FI459">
        <f ca="1"/>
      </c>
      <c r="FJ459">
        <f ca="1"/>
      </c>
      <c r="FK459">
        <f ca="1"/>
      </c>
      <c r="FL459">
        <f ca="1"/>
      </c>
      <c r="FM459">
        <f ca="1"/>
      </c>
      <c r="FN459">
        <f ca="1"/>
      </c>
      <c r="FO459">
        <f ca="1"/>
      </c>
      <c r="FP459">
        <f ca="1"/>
      </c>
      <c r="FQ459">
        <f ca="1"/>
      </c>
      <c r="FR459">
        <f ca="1"/>
      </c>
      <c r="FS459">
        <f ca="1"/>
      </c>
      <c r="FT459">
        <f ca="1"/>
      </c>
      <c r="FU459">
        <f ca="1"/>
      </c>
      <c r="FV459">
        <f ca="1"/>
      </c>
      <c r="FW459">
        <f ca="1"/>
      </c>
      <c r="FX459">
        <f ca="1"/>
      </c>
      <c r="FY459">
        <f ca="1"/>
      </c>
      <c r="FZ459">
        <f ca="1"/>
      </c>
      <c r="GA459">
        <f ca="1"/>
      </c>
      <c r="GM459" s="7"/>
    </row>
    <row r="460" spans="41:195" x14ac:dyDescent="0.55000000000000004">
      <c r="AO460">
        <f ca="1"/>
      </c>
      <c r="AP460">
        <f ca="1"/>
      </c>
      <c r="AQ460">
        <f ca="1"/>
      </c>
      <c r="AR460">
        <f ca="1"/>
      </c>
      <c r="AS460">
        <f ca="1"/>
      </c>
      <c r="AT460">
        <f ca="1"/>
      </c>
      <c r="AU460">
        <f ca="1"/>
      </c>
      <c r="AV460">
        <f ca="1"/>
      </c>
      <c r="AW460">
        <f ca="1"/>
      </c>
      <c r="AX460">
        <f ca="1"/>
      </c>
      <c r="AY460">
        <f ca="1"/>
      </c>
      <c r="AZ460">
        <f ca="1"/>
      </c>
      <c r="BA460">
        <f ca="1"/>
      </c>
      <c r="BB460">
        <f ca="1"/>
      </c>
      <c r="BC460">
        <f ca="1"/>
      </c>
      <c r="BD460">
        <f ca="1"/>
      </c>
      <c r="BE460">
        <f ca="1"/>
      </c>
      <c r="BF460">
        <f ca="1"/>
      </c>
      <c r="BG460">
        <f ca="1"/>
      </c>
      <c r="BH460">
        <f ca="1"/>
      </c>
      <c r="BI460">
        <f ca="1"/>
      </c>
      <c r="BJ460">
        <f ca="1"/>
      </c>
      <c r="BK460">
        <f ca="1"/>
      </c>
      <c r="BL460">
        <f ca="1"/>
      </c>
      <c r="BM460">
        <f ca="1"/>
      </c>
      <c r="BN460">
        <f ca="1"/>
      </c>
      <c r="BO460">
        <f ca="1"/>
      </c>
      <c r="BP460">
        <f ca="1"/>
      </c>
      <c r="BQ460">
        <f ca="1"/>
      </c>
      <c r="BR460">
        <f ca="1"/>
      </c>
      <c r="BS460">
        <f ca="1"/>
      </c>
      <c r="BT460">
        <f ca="1"/>
      </c>
      <c r="BU460">
        <f ca="1"/>
      </c>
      <c r="BV460">
        <f ca="1"/>
      </c>
      <c r="BW460">
        <f ca="1"/>
      </c>
      <c r="BX460">
        <f ca="1"/>
      </c>
      <c r="BY460">
        <f ca="1"/>
      </c>
      <c r="BZ460">
        <f ca="1"/>
      </c>
      <c r="CA460">
        <f ca="1"/>
      </c>
      <c r="CB460">
        <f ca="1"/>
      </c>
      <c r="CC460">
        <f ca="1"/>
      </c>
      <c r="CD460">
        <f ca="1"/>
      </c>
      <c r="CE460">
        <f ca="1"/>
      </c>
      <c r="CF460">
        <f ca="1"/>
      </c>
      <c r="CG460">
        <f ca="1"/>
      </c>
      <c r="CH460">
        <f ca="1"/>
      </c>
      <c r="CI460">
        <f ca="1"/>
      </c>
      <c r="CK460">
        <f ca="1"/>
      </c>
      <c r="CL460">
        <f ca="1"/>
      </c>
      <c r="CM460">
        <f ca="1"/>
      </c>
      <c r="CN460">
        <f ca="1"/>
      </c>
      <c r="CO460">
        <f ca="1"/>
      </c>
      <c r="CP460">
        <f ca="1"/>
      </c>
      <c r="CQ460">
        <f ca="1"/>
      </c>
      <c r="CR460">
        <f ca="1"/>
      </c>
      <c r="CS460">
        <f ca="1"/>
      </c>
      <c r="CT460">
        <f ca="1"/>
      </c>
      <c r="CU460">
        <f ca="1"/>
      </c>
      <c r="CV460">
        <f ca="1"/>
      </c>
      <c r="CW460">
        <f ca="1"/>
      </c>
      <c r="CX460">
        <f ca="1"/>
      </c>
      <c r="CY460">
        <f ca="1"/>
      </c>
      <c r="CZ460">
        <f ca="1"/>
      </c>
      <c r="DA460">
        <f ca="1"/>
      </c>
      <c r="DB460">
        <f ca="1"/>
      </c>
      <c r="DC460">
        <f ca="1"/>
      </c>
      <c r="DD460">
        <f ca="1"/>
      </c>
      <c r="DE460">
        <f ca="1"/>
      </c>
      <c r="DF460">
        <f ca="1"/>
      </c>
      <c r="DG460">
        <f ca="1"/>
      </c>
      <c r="DH460">
        <f ca="1"/>
      </c>
      <c r="DI460">
        <f ca="1"/>
      </c>
      <c r="DJ460">
        <f ca="1"/>
      </c>
      <c r="DK460">
        <f ca="1"/>
      </c>
      <c r="DL460">
        <f ca="1"/>
      </c>
      <c r="DM460">
        <f ca="1"/>
      </c>
      <c r="DN460">
        <f ca="1"/>
      </c>
      <c r="DO460">
        <f ca="1"/>
      </c>
      <c r="DP460">
        <f ca="1"/>
      </c>
      <c r="DQ460">
        <f ca="1"/>
      </c>
      <c r="DR460">
        <f ca="1"/>
      </c>
      <c r="DS460">
        <f ca="1"/>
      </c>
      <c r="DT460">
        <f ca="1"/>
      </c>
      <c r="DU460">
        <f ca="1"/>
      </c>
      <c r="DV460">
        <f ca="1"/>
      </c>
      <c r="DW460">
        <f ca="1"/>
      </c>
      <c r="DX460">
        <f ca="1"/>
      </c>
      <c r="DY460">
        <f ca="1"/>
      </c>
      <c r="DZ460">
        <f ca="1"/>
      </c>
      <c r="EA460">
        <f ca="1"/>
      </c>
      <c r="EB460">
        <f ca="1"/>
      </c>
      <c r="EC460">
        <f ca="1"/>
      </c>
      <c r="ED460">
        <f ca="1"/>
      </c>
      <c r="EE460">
        <f ca="1"/>
      </c>
      <c r="EG460">
        <f ca="1"/>
      </c>
      <c r="EH460">
        <f ca="1"/>
      </c>
      <c r="EI460">
        <f ca="1"/>
      </c>
      <c r="EJ460">
        <f ca="1"/>
      </c>
      <c r="EK460">
        <f ca="1"/>
      </c>
      <c r="EL460">
        <f ca="1"/>
      </c>
      <c r="EM460">
        <f ca="1"/>
      </c>
      <c r="EN460">
        <f ca="1"/>
      </c>
      <c r="EO460">
        <f ca="1"/>
      </c>
      <c r="EP460">
        <f ca="1"/>
      </c>
      <c r="EQ460">
        <f ca="1"/>
      </c>
      <c r="ER460">
        <f ca="1"/>
      </c>
      <c r="ES460">
        <f ca="1"/>
      </c>
      <c r="ET460">
        <f ca="1"/>
      </c>
      <c r="EU460">
        <f ca="1"/>
      </c>
      <c r="EV460">
        <f ca="1"/>
      </c>
      <c r="EW460">
        <f ca="1"/>
      </c>
      <c r="EX460">
        <f ca="1"/>
      </c>
      <c r="EY460">
        <f ca="1"/>
      </c>
      <c r="EZ460">
        <f ca="1"/>
      </c>
      <c r="FA460">
        <f ca="1"/>
      </c>
      <c r="FB460">
        <f ca="1"/>
      </c>
      <c r="FC460">
        <f ca="1"/>
      </c>
      <c r="FD460">
        <f ca="1"/>
      </c>
      <c r="FE460">
        <f ca="1"/>
      </c>
      <c r="FF460">
        <f ca="1"/>
      </c>
      <c r="FG460">
        <f ca="1"/>
      </c>
      <c r="FH460">
        <f ca="1"/>
      </c>
      <c r="FI460">
        <f ca="1"/>
      </c>
      <c r="FJ460">
        <f ca="1"/>
      </c>
      <c r="FK460">
        <f ca="1"/>
      </c>
      <c r="FL460">
        <f ca="1"/>
      </c>
      <c r="FM460">
        <f ca="1"/>
      </c>
      <c r="FN460">
        <f ca="1"/>
      </c>
      <c r="FO460">
        <f ca="1"/>
      </c>
      <c r="FP460">
        <f ca="1"/>
      </c>
      <c r="FQ460">
        <f ca="1"/>
      </c>
      <c r="FR460">
        <f ca="1"/>
      </c>
      <c r="FS460">
        <f ca="1"/>
      </c>
      <c r="FT460">
        <f ca="1"/>
      </c>
      <c r="FU460">
        <f ca="1"/>
      </c>
      <c r="FV460">
        <f ca="1"/>
      </c>
      <c r="FW460">
        <f ca="1"/>
      </c>
      <c r="FX460">
        <f ca="1"/>
      </c>
      <c r="FY460">
        <f ca="1"/>
      </c>
      <c r="FZ460">
        <f ca="1"/>
      </c>
      <c r="GA460">
        <f ca="1"/>
      </c>
      <c r="GM460" s="7"/>
    </row>
    <row r="461" spans="41:195" x14ac:dyDescent="0.55000000000000004">
      <c r="AO461">
        <f ca="1"/>
      </c>
      <c r="AP461">
        <f ca="1"/>
      </c>
      <c r="AQ461">
        <f ca="1"/>
      </c>
      <c r="AR461">
        <f ca="1"/>
      </c>
      <c r="AS461">
        <f ca="1"/>
      </c>
      <c r="AT461">
        <f ca="1"/>
      </c>
      <c r="AU461">
        <f ca="1"/>
      </c>
      <c r="AV461">
        <f ca="1"/>
      </c>
      <c r="AW461">
        <f ca="1"/>
      </c>
      <c r="AX461">
        <f ca="1"/>
      </c>
      <c r="AY461">
        <f ca="1"/>
      </c>
      <c r="AZ461">
        <f ca="1"/>
      </c>
      <c r="BA461">
        <f ca="1"/>
      </c>
      <c r="BB461">
        <f ca="1"/>
      </c>
      <c r="BC461">
        <f ca="1"/>
      </c>
      <c r="BD461">
        <f ca="1"/>
      </c>
      <c r="BE461">
        <f ca="1"/>
      </c>
      <c r="BF461">
        <f ca="1"/>
      </c>
      <c r="BG461">
        <f ca="1"/>
      </c>
      <c r="BH461">
        <f ca="1"/>
      </c>
      <c r="BI461">
        <f ca="1"/>
      </c>
      <c r="BJ461">
        <f ca="1"/>
      </c>
      <c r="BK461">
        <f ca="1"/>
      </c>
      <c r="BL461">
        <f ca="1"/>
      </c>
      <c r="BM461">
        <f ca="1"/>
      </c>
      <c r="BN461">
        <f ca="1"/>
      </c>
      <c r="BO461">
        <f ca="1"/>
      </c>
      <c r="BP461">
        <f ca="1"/>
      </c>
      <c r="BQ461">
        <f ca="1"/>
      </c>
      <c r="BR461">
        <f ca="1"/>
      </c>
      <c r="BS461">
        <f ca="1"/>
      </c>
      <c r="BT461">
        <f ca="1"/>
      </c>
      <c r="BU461">
        <f ca="1"/>
      </c>
      <c r="BV461">
        <f ca="1"/>
      </c>
      <c r="BW461">
        <f ca="1"/>
      </c>
      <c r="BX461">
        <f ca="1"/>
      </c>
      <c r="BY461">
        <f ca="1"/>
      </c>
      <c r="BZ461">
        <f ca="1"/>
      </c>
      <c r="CA461">
        <f ca="1"/>
      </c>
      <c r="CB461">
        <f ca="1"/>
      </c>
      <c r="CC461">
        <f ca="1"/>
      </c>
      <c r="CD461">
        <f ca="1"/>
      </c>
      <c r="CE461">
        <f ca="1"/>
      </c>
      <c r="CF461">
        <f ca="1"/>
      </c>
      <c r="CG461">
        <f ca="1"/>
      </c>
      <c r="CH461">
        <f ca="1"/>
      </c>
      <c r="CI461">
        <f ca="1"/>
      </c>
      <c r="CK461">
        <f ca="1"/>
      </c>
      <c r="CL461">
        <f ca="1"/>
      </c>
      <c r="CM461">
        <f ca="1"/>
      </c>
      <c r="CN461">
        <f ca="1"/>
      </c>
      <c r="CO461">
        <f ca="1"/>
      </c>
      <c r="CP461">
        <f ca="1"/>
      </c>
      <c r="CQ461">
        <f ca="1"/>
      </c>
      <c r="CR461">
        <f ca="1"/>
      </c>
      <c r="CS461">
        <f ca="1"/>
      </c>
      <c r="CT461">
        <f ca="1"/>
      </c>
      <c r="CU461">
        <f ca="1"/>
      </c>
      <c r="CV461">
        <f ca="1"/>
      </c>
      <c r="CW461">
        <f ca="1"/>
      </c>
      <c r="CX461">
        <f ca="1"/>
      </c>
      <c r="CY461">
        <f ca="1"/>
      </c>
      <c r="CZ461">
        <f ca="1"/>
      </c>
      <c r="DA461">
        <f ca="1"/>
      </c>
      <c r="DB461">
        <f ca="1"/>
      </c>
      <c r="DC461">
        <f ca="1"/>
      </c>
      <c r="DD461">
        <f ca="1"/>
      </c>
      <c r="DE461">
        <f ca="1"/>
      </c>
      <c r="DF461">
        <f ca="1"/>
      </c>
      <c r="DG461">
        <f ca="1"/>
      </c>
      <c r="DH461">
        <f ca="1"/>
      </c>
      <c r="DI461">
        <f ca="1"/>
      </c>
      <c r="DJ461">
        <f ca="1"/>
      </c>
      <c r="DK461">
        <f ca="1"/>
      </c>
      <c r="DL461">
        <f ca="1"/>
      </c>
      <c r="DM461">
        <f ca="1"/>
      </c>
      <c r="DN461">
        <f ca="1"/>
      </c>
      <c r="DO461">
        <f ca="1"/>
      </c>
      <c r="DP461">
        <f ca="1"/>
      </c>
      <c r="DQ461">
        <f ca="1"/>
      </c>
      <c r="DR461">
        <f ca="1"/>
      </c>
      <c r="DS461">
        <f ca="1"/>
      </c>
      <c r="DT461">
        <f ca="1"/>
      </c>
      <c r="DU461">
        <f ca="1"/>
      </c>
      <c r="DV461">
        <f ca="1"/>
      </c>
      <c r="DW461">
        <f ca="1"/>
      </c>
      <c r="DX461">
        <f ca="1"/>
      </c>
      <c r="DY461">
        <f ca="1"/>
      </c>
      <c r="DZ461">
        <f ca="1"/>
      </c>
      <c r="EA461">
        <f ca="1"/>
      </c>
      <c r="EB461">
        <f ca="1"/>
      </c>
      <c r="EC461">
        <f ca="1"/>
      </c>
      <c r="ED461">
        <f ca="1"/>
      </c>
      <c r="EE461">
        <f ca="1"/>
      </c>
      <c r="EG461">
        <f ca="1"/>
      </c>
      <c r="EH461">
        <f ca="1"/>
      </c>
      <c r="EI461">
        <f ca="1"/>
      </c>
      <c r="EJ461">
        <f ca="1"/>
      </c>
      <c r="EK461">
        <f ca="1"/>
      </c>
      <c r="EL461">
        <f ca="1"/>
      </c>
      <c r="EM461">
        <f ca="1"/>
      </c>
      <c r="EN461">
        <f ca="1"/>
      </c>
      <c r="EO461">
        <f ca="1"/>
      </c>
      <c r="EP461">
        <f ca="1"/>
      </c>
      <c r="EQ461">
        <f ca="1"/>
      </c>
      <c r="ER461">
        <f ca="1"/>
      </c>
      <c r="ES461">
        <f ca="1"/>
      </c>
      <c r="ET461">
        <f ca="1"/>
      </c>
      <c r="EU461">
        <f ca="1"/>
      </c>
      <c r="EV461">
        <f ca="1"/>
      </c>
      <c r="EW461">
        <f ca="1"/>
      </c>
      <c r="EX461">
        <f ca="1"/>
      </c>
      <c r="EY461">
        <f ca="1"/>
      </c>
      <c r="EZ461">
        <f ca="1"/>
      </c>
      <c r="FA461">
        <f ca="1"/>
      </c>
      <c r="FB461">
        <f ca="1"/>
      </c>
      <c r="FC461">
        <f ca="1"/>
      </c>
      <c r="FD461">
        <f ca="1"/>
      </c>
      <c r="FE461">
        <f ca="1"/>
      </c>
      <c r="FF461">
        <f ca="1"/>
      </c>
      <c r="FG461">
        <f ca="1"/>
      </c>
      <c r="FH461">
        <f ca="1"/>
      </c>
      <c r="FI461">
        <f ca="1"/>
      </c>
      <c r="FJ461">
        <f ca="1"/>
      </c>
      <c r="FK461">
        <f ca="1"/>
      </c>
      <c r="FL461">
        <f ca="1"/>
      </c>
      <c r="FM461">
        <f ca="1"/>
      </c>
      <c r="FN461">
        <f ca="1"/>
      </c>
      <c r="FO461">
        <f ca="1"/>
      </c>
      <c r="FP461">
        <f ca="1"/>
      </c>
      <c r="FQ461">
        <f ca="1"/>
      </c>
      <c r="FR461">
        <f ca="1"/>
      </c>
      <c r="FS461">
        <f ca="1"/>
      </c>
      <c r="FT461">
        <f ca="1"/>
      </c>
      <c r="FU461">
        <f ca="1"/>
      </c>
      <c r="FV461">
        <f ca="1"/>
      </c>
      <c r="FW461">
        <f ca="1"/>
      </c>
      <c r="FX461">
        <f ca="1"/>
      </c>
      <c r="FY461">
        <f ca="1"/>
      </c>
      <c r="FZ461">
        <f ca="1"/>
      </c>
      <c r="GA461">
        <f ca="1"/>
      </c>
      <c r="GM461" s="7"/>
    </row>
    <row r="462" spans="41:195" x14ac:dyDescent="0.55000000000000004">
      <c r="AO462">
        <f ca="1"/>
      </c>
      <c r="AP462">
        <f ca="1"/>
      </c>
      <c r="AQ462">
        <f ca="1"/>
      </c>
      <c r="AR462">
        <f ca="1"/>
      </c>
      <c r="AS462">
        <f ca="1"/>
      </c>
      <c r="AT462">
        <f ca="1"/>
      </c>
      <c r="AU462">
        <f ca="1"/>
      </c>
      <c r="AV462">
        <f ca="1"/>
      </c>
      <c r="AW462">
        <f ca="1"/>
      </c>
      <c r="AX462">
        <f ca="1"/>
      </c>
      <c r="AY462">
        <f ca="1"/>
      </c>
      <c r="AZ462">
        <f ca="1"/>
      </c>
      <c r="BA462">
        <f ca="1"/>
      </c>
      <c r="BB462">
        <f ca="1"/>
      </c>
      <c r="BC462">
        <f ca="1"/>
      </c>
      <c r="BD462">
        <f ca="1"/>
      </c>
      <c r="BE462">
        <f ca="1"/>
      </c>
      <c r="BF462">
        <f ca="1"/>
      </c>
      <c r="BG462">
        <f ca="1"/>
      </c>
      <c r="BH462">
        <f ca="1"/>
      </c>
      <c r="BI462">
        <f ca="1"/>
      </c>
      <c r="BJ462">
        <f ca="1"/>
      </c>
      <c r="BK462">
        <f ca="1"/>
      </c>
      <c r="BL462">
        <f ca="1"/>
      </c>
      <c r="BM462">
        <f ca="1"/>
      </c>
      <c r="BN462">
        <f ca="1"/>
      </c>
      <c r="BO462">
        <f ca="1"/>
      </c>
      <c r="BP462">
        <f ca="1"/>
      </c>
      <c r="BQ462">
        <f ca="1"/>
      </c>
      <c r="BR462">
        <f ca="1"/>
      </c>
      <c r="BS462">
        <f ca="1"/>
      </c>
      <c r="BT462">
        <f ca="1"/>
      </c>
      <c r="BU462">
        <f ca="1"/>
      </c>
      <c r="BV462">
        <f ca="1"/>
      </c>
      <c r="BW462">
        <f ca="1"/>
      </c>
      <c r="BX462">
        <f ca="1"/>
      </c>
      <c r="BY462">
        <f ca="1"/>
      </c>
      <c r="BZ462">
        <f ca="1"/>
      </c>
      <c r="CA462">
        <f ca="1"/>
      </c>
      <c r="CB462">
        <f ca="1"/>
      </c>
      <c r="CC462">
        <f ca="1"/>
      </c>
      <c r="CD462">
        <f ca="1"/>
      </c>
      <c r="CE462">
        <f ca="1"/>
      </c>
      <c r="CF462">
        <f ca="1"/>
      </c>
      <c r="CG462">
        <f ca="1"/>
      </c>
      <c r="CH462">
        <f ca="1"/>
      </c>
      <c r="CI462">
        <f ca="1"/>
      </c>
      <c r="CK462">
        <f ca="1"/>
      </c>
      <c r="CL462">
        <f ca="1"/>
      </c>
      <c r="CM462">
        <f ca="1"/>
      </c>
      <c r="CN462">
        <f ca="1"/>
      </c>
      <c r="CO462">
        <f ca="1"/>
      </c>
      <c r="CP462">
        <f ca="1"/>
      </c>
      <c r="CQ462">
        <f ca="1"/>
      </c>
      <c r="CR462">
        <f ca="1"/>
      </c>
      <c r="CS462">
        <f ca="1"/>
      </c>
      <c r="CT462">
        <f ca="1"/>
      </c>
      <c r="CU462">
        <f ca="1"/>
      </c>
      <c r="CV462">
        <f ca="1"/>
      </c>
      <c r="CW462">
        <f ca="1"/>
      </c>
      <c r="CX462">
        <f ca="1"/>
      </c>
      <c r="CY462">
        <f ca="1"/>
      </c>
      <c r="CZ462">
        <f ca="1"/>
      </c>
      <c r="DA462">
        <f ca="1"/>
      </c>
      <c r="DB462">
        <f ca="1"/>
      </c>
      <c r="DC462">
        <f ca="1"/>
      </c>
      <c r="DD462">
        <f ca="1"/>
      </c>
      <c r="DE462">
        <f ca="1"/>
      </c>
      <c r="DF462">
        <f ca="1"/>
      </c>
      <c r="DG462">
        <f ca="1"/>
      </c>
      <c r="DH462">
        <f ca="1"/>
      </c>
      <c r="DI462">
        <f ca="1"/>
      </c>
      <c r="DJ462">
        <f ca="1"/>
      </c>
      <c r="DK462">
        <f ca="1"/>
      </c>
      <c r="DL462">
        <f ca="1"/>
      </c>
      <c r="DM462">
        <f ca="1"/>
      </c>
      <c r="DN462">
        <f ca="1"/>
      </c>
      <c r="DO462">
        <f ca="1"/>
      </c>
      <c r="DP462">
        <f ca="1"/>
      </c>
      <c r="DQ462">
        <f ca="1"/>
      </c>
      <c r="DR462">
        <f ca="1"/>
      </c>
      <c r="DS462">
        <f ca="1"/>
      </c>
      <c r="DT462">
        <f ca="1"/>
      </c>
      <c r="DU462">
        <f ca="1"/>
      </c>
      <c r="DV462">
        <f ca="1"/>
      </c>
      <c r="DW462">
        <f ca="1"/>
      </c>
      <c r="DX462">
        <f ca="1"/>
      </c>
      <c r="DY462">
        <f ca="1"/>
      </c>
      <c r="DZ462">
        <f ca="1"/>
      </c>
      <c r="EA462">
        <f ca="1"/>
      </c>
      <c r="EB462">
        <f ca="1"/>
      </c>
      <c r="EC462">
        <f ca="1"/>
      </c>
      <c r="ED462">
        <f ca="1"/>
      </c>
      <c r="EE462">
        <f ca="1"/>
      </c>
      <c r="EG462">
        <f ca="1"/>
      </c>
      <c r="EH462">
        <f ca="1"/>
      </c>
      <c r="EI462">
        <f ca="1"/>
      </c>
      <c r="EJ462">
        <f ca="1"/>
      </c>
      <c r="EK462">
        <f ca="1"/>
      </c>
      <c r="EL462">
        <f ca="1"/>
      </c>
      <c r="EM462">
        <f ca="1"/>
      </c>
      <c r="EN462">
        <f ca="1"/>
      </c>
      <c r="EO462">
        <f ca="1"/>
      </c>
      <c r="EP462">
        <f ca="1"/>
      </c>
      <c r="EQ462">
        <f ca="1"/>
      </c>
      <c r="ER462">
        <f ca="1"/>
      </c>
      <c r="ES462">
        <f ca="1"/>
      </c>
      <c r="ET462">
        <f ca="1"/>
      </c>
      <c r="EU462">
        <f ca="1"/>
      </c>
      <c r="EV462">
        <f ca="1"/>
      </c>
      <c r="EW462">
        <f ca="1"/>
      </c>
      <c r="EX462">
        <f ca="1"/>
      </c>
      <c r="EY462">
        <f ca="1"/>
      </c>
      <c r="EZ462">
        <f ca="1"/>
      </c>
      <c r="FA462">
        <f ca="1"/>
      </c>
      <c r="FB462">
        <f ca="1"/>
      </c>
      <c r="FC462">
        <f ca="1"/>
      </c>
      <c r="FD462">
        <f ca="1"/>
      </c>
      <c r="FE462">
        <f ca="1"/>
      </c>
      <c r="FF462">
        <f ca="1"/>
      </c>
      <c r="FG462">
        <f ca="1"/>
      </c>
      <c r="FH462">
        <f ca="1"/>
      </c>
      <c r="FI462">
        <f ca="1"/>
      </c>
      <c r="FJ462">
        <f ca="1"/>
      </c>
      <c r="FK462">
        <f ca="1"/>
      </c>
      <c r="FL462">
        <f ca="1"/>
      </c>
      <c r="FM462">
        <f ca="1"/>
      </c>
      <c r="FN462">
        <f ca="1"/>
      </c>
      <c r="FO462">
        <f ca="1"/>
      </c>
      <c r="FP462">
        <f ca="1"/>
      </c>
      <c r="FQ462">
        <f ca="1"/>
      </c>
      <c r="FR462">
        <f ca="1"/>
      </c>
      <c r="FS462">
        <f ca="1"/>
      </c>
      <c r="FT462">
        <f ca="1"/>
      </c>
      <c r="FU462">
        <f ca="1"/>
      </c>
      <c r="FV462">
        <f ca="1"/>
      </c>
      <c r="FW462">
        <f ca="1"/>
      </c>
      <c r="FX462">
        <f ca="1"/>
      </c>
      <c r="FY462">
        <f ca="1"/>
      </c>
      <c r="FZ462">
        <f ca="1"/>
      </c>
      <c r="GA462">
        <f ca="1"/>
      </c>
      <c r="GM462" s="7"/>
    </row>
    <row r="463" spans="41:195" x14ac:dyDescent="0.55000000000000004">
      <c r="AO463">
        <f ca="1"/>
      </c>
      <c r="AP463">
        <f ca="1"/>
      </c>
      <c r="AQ463">
        <f ca="1"/>
      </c>
      <c r="AR463">
        <f ca="1"/>
      </c>
      <c r="AS463">
        <f ca="1"/>
      </c>
      <c r="AT463">
        <f ca="1"/>
      </c>
      <c r="AU463">
        <f ca="1"/>
      </c>
      <c r="AV463">
        <f ca="1"/>
      </c>
      <c r="AW463">
        <f ca="1"/>
      </c>
      <c r="AX463">
        <f ca="1"/>
      </c>
      <c r="AY463">
        <f ca="1"/>
      </c>
      <c r="AZ463">
        <f ca="1"/>
      </c>
      <c r="BA463">
        <f ca="1"/>
      </c>
      <c r="BB463">
        <f ca="1"/>
      </c>
      <c r="BC463">
        <f ca="1"/>
      </c>
      <c r="BD463">
        <f ca="1"/>
      </c>
      <c r="BE463">
        <f ca="1"/>
      </c>
      <c r="BF463">
        <f ca="1"/>
      </c>
      <c r="BG463">
        <f ca="1"/>
      </c>
      <c r="BH463">
        <f ca="1"/>
      </c>
      <c r="BI463">
        <f ca="1"/>
      </c>
      <c r="BJ463">
        <f ca="1"/>
      </c>
      <c r="BK463">
        <f ca="1"/>
      </c>
      <c r="BL463">
        <f ca="1"/>
      </c>
      <c r="BM463">
        <f ca="1"/>
      </c>
      <c r="BN463">
        <f ca="1"/>
      </c>
      <c r="BO463">
        <f ca="1"/>
      </c>
      <c r="BP463">
        <f ca="1"/>
      </c>
      <c r="BQ463">
        <f ca="1"/>
      </c>
      <c r="BR463">
        <f ca="1"/>
      </c>
      <c r="BS463">
        <f ca="1"/>
      </c>
      <c r="BT463">
        <f ca="1"/>
      </c>
      <c r="BU463">
        <f ca="1"/>
      </c>
      <c r="BV463">
        <f ca="1"/>
      </c>
      <c r="BW463">
        <f ca="1"/>
      </c>
      <c r="BX463">
        <f ca="1"/>
      </c>
      <c r="BY463">
        <f ca="1"/>
      </c>
      <c r="BZ463">
        <f ca="1"/>
      </c>
      <c r="CA463">
        <f ca="1"/>
      </c>
      <c r="CB463">
        <f ca="1"/>
      </c>
      <c r="CC463">
        <f ca="1"/>
      </c>
      <c r="CD463">
        <f ca="1"/>
      </c>
      <c r="CE463">
        <f ca="1"/>
      </c>
      <c r="CF463">
        <f ca="1"/>
      </c>
      <c r="CG463">
        <f ca="1"/>
      </c>
      <c r="CH463">
        <f ca="1"/>
      </c>
      <c r="CI463">
        <f ca="1"/>
      </c>
      <c r="CK463">
        <f ca="1"/>
      </c>
      <c r="CL463">
        <f ca="1"/>
      </c>
      <c r="CM463">
        <f ca="1"/>
      </c>
      <c r="CN463">
        <f ca="1"/>
      </c>
      <c r="CO463">
        <f ca="1"/>
      </c>
      <c r="CP463">
        <f ca="1"/>
      </c>
      <c r="CQ463">
        <f ca="1"/>
      </c>
      <c r="CR463">
        <f ca="1"/>
      </c>
      <c r="CS463">
        <f ca="1"/>
      </c>
      <c r="CT463">
        <f ca="1"/>
      </c>
      <c r="CU463">
        <f ca="1"/>
      </c>
      <c r="CV463">
        <f ca="1"/>
      </c>
      <c r="CW463">
        <f ca="1"/>
      </c>
      <c r="CX463">
        <f ca="1"/>
      </c>
      <c r="CY463">
        <f ca="1"/>
      </c>
      <c r="CZ463">
        <f ca="1"/>
      </c>
      <c r="DA463">
        <f ca="1"/>
      </c>
      <c r="DB463">
        <f ca="1"/>
      </c>
      <c r="DC463">
        <f ca="1"/>
      </c>
      <c r="DD463">
        <f ca="1"/>
      </c>
      <c r="DE463">
        <f ca="1"/>
      </c>
      <c r="DF463">
        <f ca="1"/>
      </c>
      <c r="DG463">
        <f ca="1"/>
      </c>
      <c r="DH463">
        <f ca="1"/>
      </c>
      <c r="DI463">
        <f ca="1"/>
      </c>
      <c r="DJ463">
        <f ca="1"/>
      </c>
      <c r="DK463">
        <f ca="1"/>
      </c>
      <c r="DL463">
        <f ca="1"/>
      </c>
      <c r="DM463">
        <f ca="1"/>
      </c>
      <c r="DN463">
        <f ca="1"/>
      </c>
      <c r="DO463">
        <f ca="1"/>
      </c>
      <c r="DP463">
        <f ca="1"/>
      </c>
      <c r="DQ463">
        <f ca="1"/>
      </c>
      <c r="DR463">
        <f ca="1"/>
      </c>
      <c r="DS463">
        <f ca="1"/>
      </c>
      <c r="DT463">
        <f ca="1"/>
      </c>
      <c r="DU463">
        <f ca="1"/>
      </c>
      <c r="DV463">
        <f ca="1"/>
      </c>
      <c r="DW463">
        <f ca="1"/>
      </c>
      <c r="DX463">
        <f ca="1"/>
      </c>
      <c r="DY463">
        <f ca="1"/>
      </c>
      <c r="DZ463">
        <f ca="1"/>
      </c>
      <c r="EA463">
        <f ca="1"/>
      </c>
      <c r="EB463">
        <f ca="1"/>
      </c>
      <c r="EC463">
        <f ca="1"/>
      </c>
      <c r="ED463">
        <f ca="1"/>
      </c>
      <c r="EE463">
        <f ca="1"/>
      </c>
      <c r="EG463">
        <f ca="1"/>
      </c>
      <c r="EH463">
        <f ca="1"/>
      </c>
      <c r="EI463">
        <f ca="1"/>
      </c>
      <c r="EJ463">
        <f ca="1"/>
      </c>
      <c r="EK463">
        <f ca="1"/>
      </c>
      <c r="EL463">
        <f ca="1"/>
      </c>
      <c r="EM463">
        <f ca="1"/>
      </c>
      <c r="EN463">
        <f ca="1"/>
      </c>
      <c r="EO463">
        <f ca="1"/>
      </c>
      <c r="EP463">
        <f ca="1"/>
      </c>
      <c r="EQ463">
        <f ca="1"/>
      </c>
      <c r="ER463">
        <f ca="1"/>
      </c>
      <c r="ES463">
        <f ca="1"/>
      </c>
      <c r="ET463">
        <f ca="1"/>
      </c>
      <c r="EU463">
        <f ca="1"/>
      </c>
      <c r="EV463">
        <f ca="1"/>
      </c>
      <c r="EW463">
        <f ca="1"/>
      </c>
      <c r="EX463">
        <f ca="1"/>
      </c>
      <c r="EY463">
        <f ca="1"/>
      </c>
      <c r="EZ463">
        <f ca="1"/>
      </c>
      <c r="FA463">
        <f ca="1"/>
      </c>
      <c r="FB463">
        <f ca="1"/>
      </c>
      <c r="FC463">
        <f ca="1"/>
      </c>
      <c r="FD463">
        <f ca="1"/>
      </c>
      <c r="FE463">
        <f ca="1"/>
      </c>
      <c r="FF463">
        <f ca="1"/>
      </c>
      <c r="FG463">
        <f ca="1"/>
      </c>
      <c r="FH463">
        <f ca="1"/>
      </c>
      <c r="FI463">
        <f ca="1"/>
      </c>
      <c r="FJ463">
        <f ca="1"/>
      </c>
      <c r="FK463">
        <f ca="1"/>
      </c>
      <c r="FL463">
        <f ca="1"/>
      </c>
      <c r="FM463">
        <f ca="1"/>
      </c>
      <c r="FN463">
        <f ca="1"/>
      </c>
      <c r="FO463">
        <f ca="1"/>
      </c>
      <c r="FP463">
        <f ca="1"/>
      </c>
      <c r="FQ463">
        <f ca="1"/>
      </c>
      <c r="FR463">
        <f ca="1"/>
      </c>
      <c r="FS463">
        <f ca="1"/>
      </c>
      <c r="FT463">
        <f ca="1"/>
      </c>
      <c r="FU463">
        <f ca="1"/>
      </c>
      <c r="FV463">
        <f ca="1"/>
      </c>
      <c r="FW463">
        <f ca="1"/>
      </c>
      <c r="FX463">
        <f ca="1"/>
      </c>
      <c r="FY463">
        <f ca="1"/>
      </c>
      <c r="FZ463">
        <f ca="1"/>
      </c>
      <c r="GA463">
        <f ca="1"/>
      </c>
      <c r="GM463" s="7"/>
    </row>
    <row r="464" spans="41:195" x14ac:dyDescent="0.55000000000000004">
      <c r="AO464">
        <f ca="1"/>
      </c>
      <c r="AP464">
        <f ca="1"/>
      </c>
      <c r="AQ464">
        <f ca="1"/>
      </c>
      <c r="AR464">
        <f ca="1"/>
      </c>
      <c r="AS464">
        <f ca="1"/>
      </c>
      <c r="AT464">
        <f ca="1"/>
      </c>
      <c r="AU464">
        <f ca="1"/>
      </c>
      <c r="AV464">
        <f ca="1"/>
      </c>
      <c r="AW464">
        <f ca="1"/>
      </c>
      <c r="AX464">
        <f ca="1"/>
      </c>
      <c r="AY464">
        <f ca="1"/>
      </c>
      <c r="AZ464">
        <f ca="1"/>
      </c>
      <c r="BA464">
        <f ca="1"/>
      </c>
      <c r="BB464">
        <f ca="1"/>
      </c>
      <c r="BC464">
        <f ca="1"/>
      </c>
      <c r="BD464">
        <f ca="1"/>
      </c>
      <c r="BE464">
        <f ca="1"/>
      </c>
      <c r="BF464">
        <f ca="1"/>
      </c>
      <c r="BG464">
        <f ca="1"/>
      </c>
      <c r="BH464">
        <f ca="1"/>
      </c>
      <c r="BI464">
        <f ca="1"/>
      </c>
      <c r="BJ464">
        <f ca="1"/>
      </c>
      <c r="BK464">
        <f ca="1"/>
      </c>
      <c r="BL464">
        <f ca="1"/>
      </c>
      <c r="BM464">
        <f ca="1"/>
      </c>
      <c r="BN464">
        <f ca="1"/>
      </c>
      <c r="BO464">
        <f ca="1"/>
      </c>
      <c r="BP464">
        <f ca="1"/>
      </c>
      <c r="BQ464">
        <f ca="1"/>
      </c>
      <c r="BR464">
        <f ca="1"/>
      </c>
      <c r="BS464">
        <f ca="1"/>
      </c>
      <c r="BT464">
        <f ca="1"/>
      </c>
      <c r="BU464">
        <f ca="1"/>
      </c>
      <c r="BV464">
        <f ca="1"/>
      </c>
      <c r="BW464">
        <f ca="1"/>
      </c>
      <c r="BX464">
        <f ca="1"/>
      </c>
      <c r="BY464">
        <f ca="1"/>
      </c>
      <c r="BZ464">
        <f ca="1"/>
      </c>
      <c r="CA464">
        <f ca="1"/>
      </c>
      <c r="CB464">
        <f ca="1"/>
      </c>
      <c r="CC464">
        <f ca="1"/>
      </c>
      <c r="CD464">
        <f ca="1"/>
      </c>
      <c r="CE464">
        <f ca="1"/>
      </c>
      <c r="CF464">
        <f ca="1"/>
      </c>
      <c r="CG464">
        <f ca="1"/>
      </c>
      <c r="CH464">
        <f ca="1"/>
      </c>
      <c r="CI464">
        <f ca="1"/>
      </c>
      <c r="CK464">
        <f ca="1"/>
      </c>
      <c r="CL464">
        <f ca="1"/>
      </c>
      <c r="CM464">
        <f ca="1"/>
      </c>
      <c r="CN464">
        <f ca="1"/>
      </c>
      <c r="CO464">
        <f ca="1"/>
      </c>
      <c r="CP464">
        <f ca="1"/>
      </c>
      <c r="CQ464">
        <f ca="1"/>
      </c>
      <c r="CR464">
        <f ca="1"/>
      </c>
      <c r="CS464">
        <f ca="1"/>
      </c>
      <c r="CT464">
        <f ca="1"/>
      </c>
      <c r="CU464">
        <f ca="1"/>
      </c>
      <c r="CV464">
        <f ca="1"/>
      </c>
      <c r="CW464">
        <f ca="1"/>
      </c>
      <c r="CX464">
        <f ca="1"/>
      </c>
      <c r="CY464">
        <f ca="1"/>
      </c>
      <c r="CZ464">
        <f ca="1"/>
      </c>
      <c r="DA464">
        <f ca="1"/>
      </c>
      <c r="DB464">
        <f ca="1"/>
      </c>
      <c r="DC464">
        <f ca="1"/>
      </c>
      <c r="DD464">
        <f ca="1"/>
      </c>
      <c r="DE464">
        <f ca="1"/>
      </c>
      <c r="DF464">
        <f ca="1"/>
      </c>
      <c r="DG464">
        <f ca="1"/>
      </c>
      <c r="DH464">
        <f ca="1"/>
      </c>
      <c r="DI464">
        <f ca="1"/>
      </c>
      <c r="DJ464">
        <f ca="1"/>
      </c>
      <c r="DK464">
        <f ca="1"/>
      </c>
      <c r="DL464">
        <f ca="1"/>
      </c>
      <c r="DM464">
        <f ca="1"/>
      </c>
      <c r="DN464">
        <f ca="1"/>
      </c>
      <c r="DO464">
        <f ca="1"/>
      </c>
      <c r="DP464">
        <f ca="1"/>
      </c>
      <c r="DQ464">
        <f ca="1"/>
      </c>
      <c r="DR464">
        <f ca="1"/>
      </c>
      <c r="DS464">
        <f ca="1"/>
      </c>
      <c r="DT464">
        <f ca="1"/>
      </c>
      <c r="DU464">
        <f ca="1"/>
      </c>
      <c r="DV464">
        <f ca="1"/>
      </c>
      <c r="DW464">
        <f ca="1"/>
      </c>
      <c r="DX464">
        <f ca="1"/>
      </c>
      <c r="DY464">
        <f ca="1"/>
      </c>
      <c r="DZ464">
        <f ca="1"/>
      </c>
      <c r="EA464">
        <f ca="1"/>
      </c>
      <c r="EB464">
        <f ca="1"/>
      </c>
      <c r="EC464">
        <f ca="1"/>
      </c>
      <c r="ED464">
        <f ca="1"/>
      </c>
      <c r="EE464">
        <f ca="1"/>
      </c>
      <c r="EG464">
        <f ca="1"/>
      </c>
      <c r="EH464">
        <f ca="1"/>
      </c>
      <c r="EI464">
        <f ca="1"/>
      </c>
      <c r="EJ464">
        <f ca="1"/>
      </c>
      <c r="EK464">
        <f ca="1"/>
      </c>
      <c r="EL464">
        <f ca="1"/>
      </c>
      <c r="EM464">
        <f ca="1"/>
      </c>
      <c r="EN464">
        <f ca="1"/>
      </c>
      <c r="EO464">
        <f ca="1"/>
      </c>
      <c r="EP464">
        <f ca="1"/>
      </c>
      <c r="EQ464">
        <f ca="1"/>
      </c>
      <c r="ER464">
        <f ca="1"/>
      </c>
      <c r="ES464">
        <f ca="1"/>
      </c>
      <c r="ET464">
        <f ca="1"/>
      </c>
      <c r="EU464">
        <f ca="1"/>
      </c>
      <c r="EV464">
        <f ca="1"/>
      </c>
      <c r="EW464">
        <f ca="1"/>
      </c>
      <c r="EX464">
        <f ca="1"/>
      </c>
      <c r="EY464">
        <f ca="1"/>
      </c>
      <c r="EZ464">
        <f ca="1"/>
      </c>
      <c r="FA464">
        <f ca="1"/>
      </c>
      <c r="FB464">
        <f ca="1"/>
      </c>
      <c r="FC464">
        <f ca="1"/>
      </c>
      <c r="FD464">
        <f ca="1"/>
      </c>
      <c r="FE464">
        <f ca="1"/>
      </c>
      <c r="FF464">
        <f ca="1"/>
      </c>
      <c r="FG464">
        <f ca="1"/>
      </c>
      <c r="FH464">
        <f ca="1"/>
      </c>
      <c r="FI464">
        <f ca="1"/>
      </c>
      <c r="FJ464">
        <f ca="1"/>
      </c>
      <c r="FK464">
        <f ca="1"/>
      </c>
      <c r="FL464">
        <f ca="1"/>
      </c>
      <c r="FM464">
        <f ca="1"/>
      </c>
      <c r="FN464">
        <f ca="1"/>
      </c>
      <c r="FO464">
        <f ca="1"/>
      </c>
      <c r="FP464">
        <f ca="1"/>
      </c>
      <c r="FQ464">
        <f ca="1"/>
      </c>
      <c r="FR464">
        <f ca="1"/>
      </c>
      <c r="FS464">
        <f ca="1"/>
      </c>
      <c r="FT464">
        <f ca="1"/>
      </c>
      <c r="FU464">
        <f ca="1"/>
      </c>
      <c r="FV464">
        <f ca="1"/>
      </c>
      <c r="FW464">
        <f ca="1"/>
      </c>
      <c r="FX464">
        <f ca="1"/>
      </c>
      <c r="FY464">
        <f ca="1"/>
      </c>
      <c r="FZ464">
        <f ca="1"/>
      </c>
      <c r="GA464">
        <f ca="1"/>
      </c>
      <c r="GM464" s="7"/>
    </row>
    <row r="465" spans="41:195" x14ac:dyDescent="0.55000000000000004">
      <c r="AO465">
        <f ca="1"/>
      </c>
      <c r="AP465">
        <f ca="1"/>
      </c>
      <c r="AQ465">
        <f ca="1"/>
      </c>
      <c r="AR465">
        <f ca="1"/>
      </c>
      <c r="AS465">
        <f ca="1"/>
      </c>
      <c r="AT465">
        <f ca="1"/>
      </c>
      <c r="AU465">
        <f ca="1"/>
      </c>
      <c r="AV465">
        <f ca="1"/>
      </c>
      <c r="AW465">
        <f ca="1"/>
      </c>
      <c r="AX465">
        <f ca="1"/>
      </c>
      <c r="AY465">
        <f ca="1"/>
      </c>
      <c r="AZ465">
        <f ca="1"/>
      </c>
      <c r="BA465">
        <f ca="1"/>
      </c>
      <c r="BB465">
        <f ca="1"/>
      </c>
      <c r="BC465">
        <f ca="1"/>
      </c>
      <c r="BD465">
        <f ca="1"/>
      </c>
      <c r="BE465">
        <f ca="1"/>
      </c>
      <c r="BF465">
        <f ca="1"/>
      </c>
      <c r="BG465">
        <f ca="1"/>
      </c>
      <c r="BH465">
        <f ca="1"/>
      </c>
      <c r="BI465">
        <f ca="1"/>
      </c>
      <c r="BJ465">
        <f ca="1"/>
      </c>
      <c r="BK465">
        <f ca="1"/>
      </c>
      <c r="BL465">
        <f ca="1"/>
      </c>
      <c r="BM465">
        <f ca="1"/>
      </c>
      <c r="BN465">
        <f ca="1"/>
      </c>
      <c r="BO465">
        <f ca="1"/>
      </c>
      <c r="BP465">
        <f ca="1"/>
      </c>
      <c r="BQ465">
        <f ca="1"/>
      </c>
      <c r="BR465">
        <f ca="1"/>
      </c>
      <c r="BS465">
        <f ca="1"/>
      </c>
      <c r="BT465">
        <f ca="1"/>
      </c>
      <c r="BU465">
        <f ca="1"/>
      </c>
      <c r="BV465">
        <f ca="1"/>
      </c>
      <c r="BW465">
        <f ca="1"/>
      </c>
      <c r="BX465">
        <f ca="1"/>
      </c>
      <c r="BY465">
        <f ca="1"/>
      </c>
      <c r="BZ465">
        <f ca="1"/>
      </c>
      <c r="CA465">
        <f ca="1"/>
      </c>
      <c r="CB465">
        <f ca="1"/>
      </c>
      <c r="CC465">
        <f ca="1"/>
      </c>
      <c r="CD465">
        <f ca="1"/>
      </c>
      <c r="CE465">
        <f ca="1"/>
      </c>
      <c r="CF465">
        <f ca="1"/>
      </c>
      <c r="CG465">
        <f ca="1"/>
      </c>
      <c r="CH465">
        <f ca="1"/>
      </c>
      <c r="CI465">
        <f ca="1"/>
      </c>
      <c r="CK465">
        <f ca="1"/>
      </c>
      <c r="CL465">
        <f ca="1"/>
      </c>
      <c r="CM465">
        <f ca="1"/>
      </c>
      <c r="CN465">
        <f ca="1"/>
      </c>
      <c r="CO465">
        <f ca="1"/>
      </c>
      <c r="CP465">
        <f ca="1"/>
      </c>
      <c r="CQ465">
        <f ca="1"/>
      </c>
      <c r="CR465">
        <f ca="1"/>
      </c>
      <c r="CS465">
        <f ca="1"/>
      </c>
      <c r="CT465">
        <f ca="1"/>
      </c>
      <c r="CU465">
        <f ca="1"/>
      </c>
      <c r="CV465">
        <f ca="1"/>
      </c>
      <c r="CW465">
        <f ca="1"/>
      </c>
      <c r="CX465">
        <f ca="1"/>
      </c>
      <c r="CY465">
        <f ca="1"/>
      </c>
      <c r="CZ465">
        <f ca="1"/>
      </c>
      <c r="DA465">
        <f ca="1"/>
      </c>
      <c r="DB465">
        <f ca="1"/>
      </c>
      <c r="DC465">
        <f ca="1"/>
      </c>
      <c r="DD465">
        <f ca="1"/>
      </c>
      <c r="DE465">
        <f ca="1"/>
      </c>
      <c r="DF465">
        <f ca="1"/>
      </c>
      <c r="DG465">
        <f ca="1"/>
      </c>
      <c r="DH465">
        <f ca="1"/>
      </c>
      <c r="DI465">
        <f ca="1"/>
      </c>
      <c r="DJ465">
        <f ca="1"/>
      </c>
      <c r="DK465">
        <f ca="1"/>
      </c>
      <c r="DL465">
        <f ca="1"/>
      </c>
      <c r="DM465">
        <f ca="1"/>
      </c>
      <c r="DN465">
        <f ca="1"/>
      </c>
      <c r="DO465">
        <f ca="1"/>
      </c>
      <c r="DP465">
        <f ca="1"/>
      </c>
      <c r="DQ465">
        <f ca="1"/>
      </c>
      <c r="DR465">
        <f ca="1"/>
      </c>
      <c r="DS465">
        <f ca="1"/>
      </c>
      <c r="DT465">
        <f ca="1"/>
      </c>
      <c r="DU465">
        <f ca="1"/>
      </c>
      <c r="DV465">
        <f ca="1"/>
      </c>
      <c r="DW465">
        <f ca="1"/>
      </c>
      <c r="DX465">
        <f ca="1"/>
      </c>
      <c r="DY465">
        <f ca="1"/>
      </c>
      <c r="DZ465">
        <f ca="1"/>
      </c>
      <c r="EA465">
        <f ca="1"/>
      </c>
      <c r="EB465">
        <f ca="1"/>
      </c>
      <c r="EC465">
        <f ca="1"/>
      </c>
      <c r="ED465">
        <f ca="1"/>
      </c>
      <c r="EE465">
        <f ca="1"/>
      </c>
      <c r="EG465">
        <f ca="1"/>
      </c>
      <c r="EH465">
        <f ca="1"/>
      </c>
      <c r="EI465">
        <f ca="1"/>
      </c>
      <c r="EJ465">
        <f ca="1"/>
      </c>
      <c r="EK465">
        <f ca="1"/>
      </c>
      <c r="EL465">
        <f ca="1"/>
      </c>
      <c r="EM465">
        <f ca="1"/>
      </c>
      <c r="EN465">
        <f ca="1"/>
      </c>
      <c r="EO465">
        <f ca="1"/>
      </c>
      <c r="EP465">
        <f ca="1"/>
      </c>
      <c r="EQ465">
        <f ca="1"/>
      </c>
      <c r="ER465">
        <f ca="1"/>
      </c>
      <c r="ES465">
        <f ca="1"/>
      </c>
      <c r="ET465">
        <f ca="1"/>
      </c>
      <c r="EU465">
        <f ca="1"/>
      </c>
      <c r="EV465">
        <f ca="1"/>
      </c>
      <c r="EW465">
        <f ca="1"/>
      </c>
      <c r="EX465">
        <f ca="1"/>
      </c>
      <c r="EY465">
        <f ca="1"/>
      </c>
      <c r="EZ465">
        <f ca="1"/>
      </c>
      <c r="FA465">
        <f ca="1"/>
      </c>
      <c r="FB465">
        <f ca="1"/>
      </c>
      <c r="FC465">
        <f ca="1"/>
      </c>
      <c r="FD465">
        <f ca="1"/>
      </c>
      <c r="FE465">
        <f ca="1"/>
      </c>
      <c r="FF465">
        <f ca="1"/>
      </c>
      <c r="FG465">
        <f ca="1"/>
      </c>
      <c r="FH465">
        <f ca="1"/>
      </c>
      <c r="FI465">
        <f ca="1"/>
      </c>
      <c r="FJ465">
        <f ca="1"/>
      </c>
      <c r="FK465">
        <f ca="1"/>
      </c>
      <c r="FL465">
        <f ca="1"/>
      </c>
      <c r="FM465">
        <f ca="1"/>
      </c>
      <c r="FN465">
        <f ca="1"/>
      </c>
      <c r="FO465">
        <f ca="1"/>
      </c>
      <c r="FP465">
        <f ca="1"/>
      </c>
      <c r="FQ465">
        <f ca="1"/>
      </c>
      <c r="FR465">
        <f ca="1"/>
      </c>
      <c r="FS465">
        <f ca="1"/>
      </c>
      <c r="FT465">
        <f ca="1"/>
      </c>
      <c r="FU465">
        <f ca="1"/>
      </c>
      <c r="FV465">
        <f ca="1"/>
      </c>
      <c r="FW465">
        <f ca="1"/>
      </c>
      <c r="FX465">
        <f ca="1"/>
      </c>
      <c r="FY465">
        <f ca="1"/>
      </c>
      <c r="FZ465">
        <f ca="1"/>
      </c>
      <c r="GA465">
        <f ca="1"/>
      </c>
      <c r="GM465" s="7"/>
    </row>
    <row r="466" spans="41:195" x14ac:dyDescent="0.55000000000000004">
      <c r="AO466">
        <f ca="1"/>
      </c>
      <c r="AP466">
        <f ca="1"/>
      </c>
      <c r="AQ466">
        <f ca="1"/>
      </c>
      <c r="AR466">
        <f ca="1"/>
      </c>
      <c r="AS466">
        <f ca="1"/>
      </c>
      <c r="AT466">
        <f ca="1"/>
      </c>
      <c r="AU466">
        <f ca="1"/>
      </c>
      <c r="AV466">
        <f ca="1"/>
      </c>
      <c r="AW466">
        <f ca="1"/>
      </c>
      <c r="AX466">
        <f ca="1"/>
      </c>
      <c r="AY466">
        <f ca="1"/>
      </c>
      <c r="AZ466">
        <f ca="1"/>
      </c>
      <c r="BA466">
        <f ca="1"/>
      </c>
      <c r="BB466">
        <f ca="1"/>
      </c>
      <c r="BC466">
        <f ca="1"/>
      </c>
      <c r="BD466">
        <f ca="1"/>
      </c>
      <c r="BE466">
        <f ca="1"/>
      </c>
      <c r="BF466">
        <f ca="1"/>
      </c>
      <c r="BG466">
        <f ca="1"/>
      </c>
      <c r="BH466">
        <f ca="1"/>
      </c>
      <c r="BI466">
        <f ca="1"/>
      </c>
      <c r="BJ466">
        <f ca="1"/>
      </c>
      <c r="BK466">
        <f ca="1"/>
      </c>
      <c r="BL466">
        <f ca="1"/>
      </c>
      <c r="BM466">
        <f ca="1"/>
      </c>
      <c r="BN466">
        <f ca="1"/>
      </c>
      <c r="BO466">
        <f ca="1"/>
      </c>
      <c r="BP466">
        <f ca="1"/>
      </c>
      <c r="BQ466">
        <f ca="1"/>
      </c>
      <c r="BR466">
        <f ca="1"/>
      </c>
      <c r="BS466">
        <f ca="1"/>
      </c>
      <c r="BT466">
        <f ca="1"/>
      </c>
      <c r="BU466">
        <f ca="1"/>
      </c>
      <c r="BV466">
        <f ca="1"/>
      </c>
      <c r="BW466">
        <f ca="1"/>
      </c>
      <c r="BX466">
        <f ca="1"/>
      </c>
      <c r="BY466">
        <f ca="1"/>
      </c>
      <c r="BZ466">
        <f ca="1"/>
      </c>
      <c r="CA466">
        <f ca="1"/>
      </c>
      <c r="CB466">
        <f ca="1"/>
      </c>
      <c r="CC466">
        <f ca="1"/>
      </c>
      <c r="CD466">
        <f ca="1"/>
      </c>
      <c r="CE466">
        <f ca="1"/>
      </c>
      <c r="CF466">
        <f ca="1"/>
      </c>
      <c r="CG466">
        <f ca="1"/>
      </c>
      <c r="CH466">
        <f ca="1"/>
      </c>
      <c r="CI466">
        <f ca="1"/>
      </c>
      <c r="CK466">
        <f ca="1"/>
      </c>
      <c r="CL466">
        <f ca="1"/>
      </c>
      <c r="CM466">
        <f ca="1"/>
      </c>
      <c r="CN466">
        <f ca="1"/>
      </c>
      <c r="CO466">
        <f ca="1"/>
      </c>
      <c r="CP466">
        <f ca="1"/>
      </c>
      <c r="CQ466">
        <f ca="1"/>
      </c>
      <c r="CR466">
        <f ca="1"/>
      </c>
      <c r="CS466">
        <f ca="1"/>
      </c>
      <c r="CT466">
        <f ca="1"/>
      </c>
      <c r="CU466">
        <f ca="1"/>
      </c>
      <c r="CV466">
        <f ca="1"/>
      </c>
      <c r="CW466">
        <f ca="1"/>
      </c>
      <c r="CX466">
        <f ca="1"/>
      </c>
      <c r="CY466">
        <f ca="1"/>
      </c>
      <c r="CZ466">
        <f ca="1"/>
      </c>
      <c r="DA466">
        <f ca="1"/>
      </c>
      <c r="DB466">
        <f ca="1"/>
      </c>
      <c r="DC466">
        <f ca="1"/>
      </c>
      <c r="DD466">
        <f ca="1"/>
      </c>
      <c r="DE466">
        <f ca="1"/>
      </c>
      <c r="DF466">
        <f ca="1"/>
      </c>
      <c r="DG466">
        <f ca="1"/>
      </c>
      <c r="DH466">
        <f ca="1"/>
      </c>
      <c r="DI466">
        <f ca="1"/>
      </c>
      <c r="DJ466">
        <f ca="1"/>
      </c>
      <c r="DK466">
        <f ca="1"/>
      </c>
      <c r="DL466">
        <f ca="1"/>
      </c>
      <c r="DM466">
        <f ca="1"/>
      </c>
      <c r="DN466">
        <f ca="1"/>
      </c>
      <c r="DO466">
        <f ca="1"/>
      </c>
      <c r="DP466">
        <f ca="1"/>
      </c>
      <c r="DQ466">
        <f ca="1"/>
      </c>
      <c r="DR466">
        <f ca="1"/>
      </c>
      <c r="DS466">
        <f ca="1"/>
      </c>
      <c r="DT466">
        <f ca="1"/>
      </c>
      <c r="DU466">
        <f ca="1"/>
      </c>
      <c r="DV466">
        <f ca="1"/>
      </c>
      <c r="DW466">
        <f ca="1"/>
      </c>
      <c r="DX466">
        <f ca="1"/>
      </c>
      <c r="DY466">
        <f ca="1"/>
      </c>
      <c r="DZ466">
        <f ca="1"/>
      </c>
      <c r="EA466">
        <f ca="1"/>
      </c>
      <c r="EB466">
        <f ca="1"/>
      </c>
      <c r="EC466">
        <f ca="1"/>
      </c>
      <c r="ED466">
        <f ca="1"/>
      </c>
      <c r="EE466">
        <f ca="1"/>
      </c>
      <c r="EG466">
        <f ca="1"/>
      </c>
      <c r="EH466">
        <f ca="1"/>
      </c>
      <c r="EI466">
        <f ca="1"/>
      </c>
      <c r="EJ466">
        <f ca="1"/>
      </c>
      <c r="EK466">
        <f ca="1"/>
      </c>
      <c r="EL466">
        <f ca="1"/>
      </c>
      <c r="EM466">
        <f ca="1"/>
      </c>
      <c r="EN466">
        <f ca="1"/>
      </c>
      <c r="EO466">
        <f ca="1"/>
      </c>
      <c r="EP466">
        <f ca="1"/>
      </c>
      <c r="EQ466">
        <f ca="1"/>
      </c>
      <c r="ER466">
        <f ca="1"/>
      </c>
      <c r="ES466">
        <f ca="1"/>
      </c>
      <c r="ET466">
        <f ca="1"/>
      </c>
      <c r="EU466">
        <f ca="1"/>
      </c>
      <c r="EV466">
        <f ca="1"/>
      </c>
      <c r="EW466">
        <f ca="1"/>
      </c>
      <c r="EX466">
        <f ca="1"/>
      </c>
      <c r="EY466">
        <f ca="1"/>
      </c>
      <c r="EZ466">
        <f ca="1"/>
      </c>
      <c r="FA466">
        <f ca="1"/>
      </c>
      <c r="FB466">
        <f ca="1"/>
      </c>
      <c r="FC466">
        <f ca="1"/>
      </c>
      <c r="FD466">
        <f ca="1"/>
      </c>
      <c r="FE466">
        <f ca="1"/>
      </c>
      <c r="FF466">
        <f ca="1"/>
      </c>
      <c r="FG466">
        <f ca="1"/>
      </c>
      <c r="FH466">
        <f ca="1"/>
      </c>
      <c r="FI466">
        <f ca="1"/>
      </c>
      <c r="FJ466">
        <f ca="1"/>
      </c>
      <c r="FK466">
        <f ca="1"/>
      </c>
      <c r="FL466">
        <f ca="1"/>
      </c>
      <c r="FM466">
        <f ca="1"/>
      </c>
      <c r="FN466">
        <f ca="1"/>
      </c>
      <c r="FO466">
        <f ca="1"/>
      </c>
      <c r="FP466">
        <f ca="1"/>
      </c>
      <c r="FQ466">
        <f ca="1"/>
      </c>
      <c r="FR466">
        <f ca="1"/>
      </c>
      <c r="FS466">
        <f ca="1"/>
      </c>
      <c r="FT466">
        <f ca="1"/>
      </c>
      <c r="FU466">
        <f ca="1"/>
      </c>
      <c r="FV466">
        <f ca="1"/>
      </c>
      <c r="FW466">
        <f ca="1"/>
      </c>
      <c r="FX466">
        <f ca="1"/>
      </c>
      <c r="FY466">
        <f ca="1"/>
      </c>
      <c r="FZ466">
        <f ca="1"/>
      </c>
      <c r="GA466">
        <f ca="1"/>
      </c>
      <c r="GM466" s="7"/>
    </row>
    <row r="467" spans="41:195" x14ac:dyDescent="0.55000000000000004">
      <c r="AO467">
        <f ca="1"/>
      </c>
      <c r="AP467">
        <f ca="1"/>
      </c>
      <c r="AQ467">
        <f ca="1"/>
      </c>
      <c r="AR467">
        <f ca="1"/>
      </c>
      <c r="AS467">
        <f ca="1"/>
      </c>
      <c r="AT467">
        <f ca="1"/>
      </c>
      <c r="AU467">
        <f ca="1"/>
      </c>
      <c r="AV467">
        <f ca="1"/>
      </c>
      <c r="AW467">
        <f ca="1"/>
      </c>
      <c r="AX467">
        <f ca="1"/>
      </c>
      <c r="AY467">
        <f ca="1"/>
      </c>
      <c r="AZ467">
        <f ca="1"/>
      </c>
      <c r="BA467">
        <f ca="1"/>
      </c>
      <c r="BB467">
        <f ca="1"/>
      </c>
      <c r="BC467">
        <f ca="1"/>
      </c>
      <c r="BD467">
        <f ca="1"/>
      </c>
      <c r="BE467">
        <f ca="1"/>
      </c>
      <c r="BF467">
        <f ca="1"/>
      </c>
      <c r="BG467">
        <f ca="1"/>
      </c>
      <c r="BH467">
        <f ca="1"/>
      </c>
      <c r="BI467">
        <f ca="1"/>
      </c>
      <c r="BJ467">
        <f ca="1"/>
      </c>
      <c r="BK467">
        <f ca="1"/>
      </c>
      <c r="BL467">
        <f ca="1"/>
      </c>
      <c r="BM467">
        <f ca="1"/>
      </c>
      <c r="BN467">
        <f ca="1"/>
      </c>
      <c r="BO467">
        <f ca="1"/>
      </c>
      <c r="BP467">
        <f ca="1"/>
      </c>
      <c r="BQ467">
        <f ca="1"/>
      </c>
      <c r="BR467">
        <f ca="1"/>
      </c>
      <c r="BS467">
        <f ca="1"/>
      </c>
      <c r="BT467">
        <f ca="1"/>
      </c>
      <c r="BU467">
        <f ca="1"/>
      </c>
      <c r="BV467">
        <f ca="1"/>
      </c>
      <c r="BW467">
        <f ca="1"/>
      </c>
      <c r="BX467">
        <f ca="1"/>
      </c>
      <c r="BY467">
        <f ca="1"/>
      </c>
      <c r="BZ467">
        <f ca="1"/>
      </c>
      <c r="CA467">
        <f ca="1"/>
      </c>
      <c r="CB467">
        <f ca="1"/>
      </c>
      <c r="CC467">
        <f ca="1"/>
      </c>
      <c r="CD467">
        <f ca="1"/>
      </c>
      <c r="CE467">
        <f ca="1"/>
      </c>
      <c r="CF467">
        <f ca="1"/>
      </c>
      <c r="CG467">
        <f ca="1"/>
      </c>
      <c r="CH467">
        <f ca="1"/>
      </c>
      <c r="CI467">
        <f ca="1"/>
      </c>
      <c r="CK467">
        <f ca="1"/>
      </c>
      <c r="CL467">
        <f ca="1"/>
      </c>
      <c r="CM467">
        <f ca="1"/>
      </c>
      <c r="CN467">
        <f ca="1"/>
      </c>
      <c r="CO467">
        <f ca="1"/>
      </c>
      <c r="CP467">
        <f ca="1"/>
      </c>
      <c r="CQ467">
        <f ca="1"/>
      </c>
      <c r="CR467">
        <f ca="1"/>
      </c>
      <c r="CS467">
        <f ca="1"/>
      </c>
      <c r="CT467">
        <f ca="1"/>
      </c>
      <c r="CU467">
        <f ca="1"/>
      </c>
      <c r="CV467">
        <f ca="1"/>
      </c>
      <c r="CW467">
        <f ca="1"/>
      </c>
      <c r="CX467">
        <f ca="1"/>
      </c>
      <c r="CY467">
        <f ca="1"/>
      </c>
      <c r="CZ467">
        <f ca="1"/>
      </c>
      <c r="DA467">
        <f ca="1"/>
      </c>
      <c r="DB467">
        <f ca="1"/>
      </c>
      <c r="DC467">
        <f ca="1"/>
      </c>
      <c r="DD467">
        <f ca="1"/>
      </c>
      <c r="DE467">
        <f ca="1"/>
      </c>
      <c r="DF467">
        <f ca="1"/>
      </c>
      <c r="DG467">
        <f ca="1"/>
      </c>
      <c r="DH467">
        <f ca="1"/>
      </c>
      <c r="DI467">
        <f ca="1"/>
      </c>
      <c r="DJ467">
        <f ca="1"/>
      </c>
      <c r="DK467">
        <f ca="1"/>
      </c>
      <c r="DL467">
        <f ca="1"/>
      </c>
      <c r="DM467">
        <f ca="1"/>
      </c>
      <c r="DN467">
        <f ca="1"/>
      </c>
      <c r="DO467">
        <f ca="1"/>
      </c>
      <c r="DP467">
        <f ca="1"/>
      </c>
      <c r="DQ467">
        <f ca="1"/>
      </c>
      <c r="DR467">
        <f ca="1"/>
      </c>
      <c r="DS467">
        <f ca="1"/>
      </c>
      <c r="DT467">
        <f ca="1"/>
      </c>
      <c r="DU467">
        <f ca="1"/>
      </c>
      <c r="DV467">
        <f ca="1"/>
      </c>
      <c r="DW467">
        <f ca="1"/>
      </c>
      <c r="DX467">
        <f ca="1"/>
      </c>
      <c r="DY467">
        <f ca="1"/>
      </c>
      <c r="DZ467">
        <f ca="1"/>
      </c>
      <c r="EA467">
        <f ca="1"/>
      </c>
      <c r="EB467">
        <f ca="1"/>
      </c>
      <c r="EC467">
        <f ca="1"/>
      </c>
      <c r="ED467">
        <f ca="1"/>
      </c>
      <c r="EE467">
        <f ca="1"/>
      </c>
      <c r="EG467">
        <f ca="1"/>
      </c>
      <c r="EH467">
        <f ca="1"/>
      </c>
      <c r="EI467">
        <f ca="1"/>
      </c>
      <c r="EJ467">
        <f ca="1"/>
      </c>
      <c r="EK467">
        <f ca="1"/>
      </c>
      <c r="EL467">
        <f ca="1"/>
      </c>
      <c r="EM467">
        <f ca="1"/>
      </c>
      <c r="EN467">
        <f ca="1"/>
      </c>
      <c r="EO467">
        <f ca="1"/>
      </c>
      <c r="EP467">
        <f ca="1"/>
      </c>
      <c r="EQ467">
        <f ca="1"/>
      </c>
      <c r="ER467">
        <f ca="1"/>
      </c>
      <c r="ES467">
        <f ca="1"/>
      </c>
      <c r="ET467">
        <f ca="1"/>
      </c>
      <c r="EU467">
        <f ca="1"/>
      </c>
      <c r="EV467">
        <f ca="1"/>
      </c>
      <c r="EW467">
        <f ca="1"/>
      </c>
      <c r="EX467">
        <f ca="1"/>
      </c>
      <c r="EY467">
        <f ca="1"/>
      </c>
      <c r="EZ467">
        <f ca="1"/>
      </c>
      <c r="FA467">
        <f ca="1"/>
      </c>
      <c r="FB467">
        <f ca="1"/>
      </c>
      <c r="FC467">
        <f ca="1"/>
      </c>
      <c r="FD467">
        <f ca="1"/>
      </c>
      <c r="FE467">
        <f ca="1"/>
      </c>
      <c r="FF467">
        <f ca="1"/>
      </c>
      <c r="FG467">
        <f ca="1"/>
      </c>
      <c r="FH467">
        <f ca="1"/>
      </c>
      <c r="FI467">
        <f ca="1"/>
      </c>
      <c r="FJ467">
        <f ca="1"/>
      </c>
      <c r="FK467">
        <f ca="1"/>
      </c>
      <c r="FL467">
        <f ca="1"/>
      </c>
      <c r="FM467">
        <f ca="1"/>
      </c>
      <c r="FN467">
        <f ca="1"/>
      </c>
      <c r="FO467">
        <f ca="1"/>
      </c>
      <c r="FP467">
        <f ca="1"/>
      </c>
      <c r="FQ467">
        <f ca="1"/>
      </c>
      <c r="FR467">
        <f ca="1"/>
      </c>
      <c r="FS467">
        <f ca="1"/>
      </c>
      <c r="FT467">
        <f ca="1"/>
      </c>
      <c r="FU467">
        <f ca="1"/>
      </c>
      <c r="FV467">
        <f ca="1"/>
      </c>
      <c r="FW467">
        <f ca="1"/>
      </c>
      <c r="FX467">
        <f ca="1"/>
      </c>
      <c r="FY467">
        <f ca="1"/>
      </c>
      <c r="FZ467">
        <f ca="1"/>
      </c>
      <c r="GA467">
        <f ca="1"/>
      </c>
      <c r="GM467" s="7"/>
    </row>
    <row r="468" spans="41:195" x14ac:dyDescent="0.55000000000000004">
      <c r="AO468">
        <f ca="1"/>
      </c>
      <c r="AP468">
        <f ca="1"/>
      </c>
      <c r="AQ468">
        <f ca="1"/>
      </c>
      <c r="AR468">
        <f ca="1"/>
      </c>
      <c r="AS468">
        <f ca="1"/>
      </c>
      <c r="AT468">
        <f ca="1"/>
      </c>
      <c r="AU468">
        <f ca="1"/>
      </c>
      <c r="AV468">
        <f ca="1"/>
      </c>
      <c r="AW468">
        <f ca="1"/>
      </c>
      <c r="AX468">
        <f ca="1"/>
      </c>
      <c r="AY468">
        <f ca="1"/>
      </c>
      <c r="AZ468">
        <f ca="1"/>
      </c>
      <c r="BA468">
        <f ca="1"/>
      </c>
      <c r="BB468">
        <f ca="1"/>
      </c>
      <c r="BC468">
        <f ca="1"/>
      </c>
      <c r="BD468">
        <f ca="1"/>
      </c>
      <c r="BE468">
        <f ca="1"/>
      </c>
      <c r="BF468">
        <f ca="1"/>
      </c>
      <c r="BG468">
        <f ca="1"/>
      </c>
      <c r="BH468">
        <f ca="1"/>
      </c>
      <c r="BI468">
        <f ca="1"/>
      </c>
      <c r="BJ468">
        <f ca="1"/>
      </c>
      <c r="BK468">
        <f ca="1"/>
      </c>
      <c r="BL468">
        <f ca="1"/>
      </c>
      <c r="BM468">
        <f ca="1"/>
      </c>
      <c r="BN468">
        <f ca="1"/>
      </c>
      <c r="BO468">
        <f ca="1"/>
      </c>
      <c r="BP468">
        <f ca="1"/>
      </c>
      <c r="BQ468">
        <f ca="1"/>
      </c>
      <c r="BR468">
        <f ca="1"/>
      </c>
      <c r="BS468">
        <f ca="1"/>
      </c>
      <c r="BT468">
        <f ca="1"/>
      </c>
      <c r="BU468">
        <f ca="1"/>
      </c>
      <c r="BV468">
        <f ca="1"/>
      </c>
      <c r="BW468">
        <f ca="1"/>
      </c>
      <c r="BX468">
        <f ca="1"/>
      </c>
      <c r="BY468">
        <f ca="1"/>
      </c>
      <c r="BZ468">
        <f ca="1"/>
      </c>
      <c r="CA468">
        <f ca="1"/>
      </c>
      <c r="CB468">
        <f ca="1"/>
      </c>
      <c r="CC468">
        <f ca="1"/>
      </c>
      <c r="CD468">
        <f ca="1"/>
      </c>
      <c r="CE468">
        <f ca="1"/>
      </c>
      <c r="CF468">
        <f ca="1"/>
      </c>
      <c r="CG468">
        <f ca="1"/>
      </c>
      <c r="CH468">
        <f ca="1"/>
      </c>
      <c r="CI468">
        <f ca="1"/>
      </c>
      <c r="CK468">
        <f ca="1"/>
      </c>
      <c r="CL468">
        <f ca="1"/>
      </c>
      <c r="CM468">
        <f ca="1"/>
      </c>
      <c r="CN468">
        <f ca="1"/>
      </c>
      <c r="CO468">
        <f ca="1"/>
      </c>
      <c r="CP468">
        <f ca="1"/>
      </c>
      <c r="CQ468">
        <f ca="1"/>
      </c>
      <c r="CR468">
        <f ca="1"/>
      </c>
      <c r="CS468">
        <f ca="1"/>
      </c>
      <c r="CT468">
        <f ca="1"/>
      </c>
      <c r="CU468">
        <f ca="1"/>
      </c>
      <c r="CV468">
        <f ca="1"/>
      </c>
      <c r="CW468">
        <f ca="1"/>
      </c>
      <c r="CX468">
        <f ca="1"/>
      </c>
      <c r="CY468">
        <f ca="1"/>
      </c>
      <c r="CZ468">
        <f ca="1"/>
      </c>
      <c r="DA468">
        <f ca="1"/>
      </c>
      <c r="DB468">
        <f ca="1"/>
      </c>
      <c r="DC468">
        <f ca="1"/>
      </c>
      <c r="DD468">
        <f ca="1"/>
      </c>
      <c r="DE468">
        <f ca="1"/>
      </c>
      <c r="DF468">
        <f ca="1"/>
      </c>
      <c r="DG468">
        <f ca="1"/>
      </c>
      <c r="DH468">
        <f ca="1"/>
      </c>
      <c r="DI468">
        <f ca="1"/>
      </c>
      <c r="DJ468">
        <f ca="1"/>
      </c>
      <c r="DK468">
        <f ca="1"/>
      </c>
      <c r="DL468">
        <f ca="1"/>
      </c>
      <c r="DM468">
        <f ca="1"/>
      </c>
      <c r="DN468">
        <f ca="1"/>
      </c>
      <c r="DO468">
        <f ca="1"/>
      </c>
      <c r="DP468">
        <f ca="1"/>
      </c>
      <c r="DQ468">
        <f ca="1"/>
      </c>
      <c r="DR468">
        <f ca="1"/>
      </c>
      <c r="DS468">
        <f ca="1"/>
      </c>
      <c r="DT468">
        <f ca="1"/>
      </c>
      <c r="DU468">
        <f ca="1"/>
      </c>
      <c r="DV468">
        <f ca="1"/>
      </c>
      <c r="DW468">
        <f ca="1"/>
      </c>
      <c r="DX468">
        <f ca="1"/>
      </c>
      <c r="DY468">
        <f ca="1"/>
      </c>
      <c r="DZ468">
        <f ca="1"/>
      </c>
      <c r="EA468">
        <f ca="1"/>
      </c>
      <c r="EB468">
        <f ca="1"/>
      </c>
      <c r="EC468">
        <f ca="1"/>
      </c>
      <c r="ED468">
        <f ca="1"/>
      </c>
      <c r="EE468">
        <f ca="1"/>
      </c>
      <c r="EG468">
        <f ca="1"/>
      </c>
      <c r="EH468">
        <f ca="1"/>
      </c>
      <c r="EI468">
        <f ca="1"/>
      </c>
      <c r="EJ468">
        <f ca="1"/>
      </c>
      <c r="EK468">
        <f ca="1"/>
      </c>
      <c r="EL468">
        <f ca="1"/>
      </c>
      <c r="EM468">
        <f ca="1"/>
      </c>
      <c r="EN468">
        <f ca="1"/>
      </c>
      <c r="EO468">
        <f ca="1"/>
      </c>
      <c r="EP468">
        <f ca="1"/>
      </c>
      <c r="EQ468">
        <f ca="1"/>
      </c>
      <c r="ER468">
        <f ca="1"/>
      </c>
      <c r="ES468">
        <f ca="1"/>
      </c>
      <c r="ET468">
        <f ca="1"/>
      </c>
      <c r="EU468">
        <f ca="1"/>
      </c>
      <c r="EV468">
        <f ca="1"/>
      </c>
      <c r="EW468">
        <f ca="1"/>
      </c>
      <c r="EX468">
        <f ca="1"/>
      </c>
      <c r="EY468">
        <f ca="1"/>
      </c>
      <c r="EZ468">
        <f ca="1"/>
      </c>
      <c r="FA468">
        <f ca="1"/>
      </c>
      <c r="FB468">
        <f ca="1"/>
      </c>
      <c r="FC468">
        <f ca="1"/>
      </c>
      <c r="FD468">
        <f ca="1"/>
      </c>
      <c r="FE468">
        <f ca="1"/>
      </c>
      <c r="FF468">
        <f ca="1"/>
      </c>
      <c r="FG468">
        <f ca="1"/>
      </c>
      <c r="FH468">
        <f ca="1"/>
      </c>
      <c r="FI468">
        <f ca="1"/>
      </c>
      <c r="FJ468">
        <f ca="1"/>
      </c>
      <c r="FK468">
        <f ca="1"/>
      </c>
      <c r="FL468">
        <f ca="1"/>
      </c>
      <c r="FM468">
        <f ca="1"/>
      </c>
      <c r="FN468">
        <f ca="1"/>
      </c>
      <c r="FO468">
        <f ca="1"/>
      </c>
      <c r="FP468">
        <f ca="1"/>
      </c>
      <c r="FQ468">
        <f ca="1"/>
      </c>
      <c r="FR468">
        <f ca="1"/>
      </c>
      <c r="FS468">
        <f ca="1"/>
      </c>
      <c r="FT468">
        <f ca="1"/>
      </c>
      <c r="FU468">
        <f ca="1"/>
      </c>
      <c r="FV468">
        <f ca="1"/>
      </c>
      <c r="FW468">
        <f ca="1"/>
      </c>
      <c r="FX468">
        <f ca="1"/>
      </c>
      <c r="FY468">
        <f ca="1"/>
      </c>
      <c r="FZ468">
        <f ca="1"/>
      </c>
      <c r="GA468">
        <f ca="1"/>
      </c>
      <c r="GM468" s="7"/>
    </row>
    <row r="469" spans="41:195" x14ac:dyDescent="0.55000000000000004">
      <c r="AO469">
        <f ca="1"/>
      </c>
      <c r="AP469">
        <f ca="1"/>
      </c>
      <c r="AQ469">
        <f ca="1"/>
      </c>
      <c r="AR469">
        <f ca="1"/>
      </c>
      <c r="AS469">
        <f ca="1"/>
      </c>
      <c r="AT469">
        <f ca="1"/>
      </c>
      <c r="AU469">
        <f ca="1"/>
      </c>
      <c r="AV469">
        <f ca="1"/>
      </c>
      <c r="AW469">
        <f ca="1"/>
      </c>
      <c r="AX469">
        <f ca="1"/>
      </c>
      <c r="AY469">
        <f ca="1"/>
      </c>
      <c r="AZ469">
        <f ca="1"/>
      </c>
      <c r="BA469">
        <f ca="1"/>
      </c>
      <c r="BB469">
        <f ca="1"/>
      </c>
      <c r="BC469">
        <f ca="1"/>
      </c>
      <c r="BD469">
        <f ca="1"/>
      </c>
      <c r="BE469">
        <f ca="1"/>
      </c>
      <c r="BF469">
        <f ca="1"/>
      </c>
      <c r="BG469">
        <f ca="1"/>
      </c>
      <c r="BH469">
        <f ca="1"/>
      </c>
      <c r="BI469">
        <f ca="1"/>
      </c>
      <c r="BJ469">
        <f ca="1"/>
      </c>
      <c r="BK469">
        <f ca="1"/>
      </c>
      <c r="BL469">
        <f ca="1"/>
      </c>
      <c r="BM469">
        <f ca="1"/>
      </c>
      <c r="BN469">
        <f ca="1"/>
      </c>
      <c r="BO469">
        <f ca="1"/>
      </c>
      <c r="BP469">
        <f ca="1"/>
      </c>
      <c r="BQ469">
        <f ca="1"/>
      </c>
      <c r="BR469">
        <f ca="1"/>
      </c>
      <c r="BS469">
        <f ca="1"/>
      </c>
      <c r="BT469">
        <f ca="1"/>
      </c>
      <c r="BU469">
        <f ca="1"/>
      </c>
      <c r="BV469">
        <f ca="1"/>
      </c>
      <c r="BW469">
        <f ca="1"/>
      </c>
      <c r="BX469">
        <f ca="1"/>
      </c>
      <c r="BY469">
        <f ca="1"/>
      </c>
      <c r="BZ469">
        <f ca="1"/>
      </c>
      <c r="CA469">
        <f ca="1"/>
      </c>
      <c r="CB469">
        <f ca="1"/>
      </c>
      <c r="CC469">
        <f ca="1"/>
      </c>
      <c r="CD469">
        <f ca="1"/>
      </c>
      <c r="CE469">
        <f ca="1"/>
      </c>
      <c r="CF469">
        <f ca="1"/>
      </c>
      <c r="CG469">
        <f ca="1"/>
      </c>
      <c r="CH469">
        <f ca="1"/>
      </c>
      <c r="CI469">
        <f ca="1"/>
      </c>
      <c r="CK469">
        <f ca="1"/>
      </c>
      <c r="CL469">
        <f ca="1"/>
      </c>
      <c r="CM469">
        <f ca="1"/>
      </c>
      <c r="CN469">
        <f ca="1"/>
      </c>
      <c r="CO469">
        <f ca="1"/>
      </c>
      <c r="CP469">
        <f ca="1"/>
      </c>
      <c r="CQ469">
        <f ca="1"/>
      </c>
      <c r="CR469">
        <f ca="1"/>
      </c>
      <c r="CS469">
        <f ca="1"/>
      </c>
      <c r="CT469">
        <f ca="1"/>
      </c>
      <c r="CU469">
        <f ca="1"/>
      </c>
      <c r="CV469">
        <f ca="1"/>
      </c>
      <c r="CW469">
        <f ca="1"/>
      </c>
      <c r="CX469">
        <f ca="1"/>
      </c>
      <c r="CY469">
        <f ca="1"/>
      </c>
      <c r="CZ469">
        <f ca="1"/>
      </c>
      <c r="DA469">
        <f ca="1"/>
      </c>
      <c r="DB469">
        <f ca="1"/>
      </c>
      <c r="DC469">
        <f ca="1"/>
      </c>
      <c r="DD469">
        <f ca="1"/>
      </c>
      <c r="DE469">
        <f ca="1"/>
      </c>
      <c r="DF469">
        <f ca="1"/>
      </c>
      <c r="DG469">
        <f ca="1"/>
      </c>
      <c r="DH469">
        <f ca="1"/>
      </c>
      <c r="DI469">
        <f ca="1"/>
      </c>
      <c r="DJ469">
        <f ca="1"/>
      </c>
      <c r="DK469">
        <f ca="1"/>
      </c>
      <c r="DL469">
        <f ca="1"/>
      </c>
      <c r="DM469">
        <f ca="1"/>
      </c>
      <c r="DN469">
        <f ca="1"/>
      </c>
      <c r="DO469">
        <f ca="1"/>
      </c>
      <c r="DP469">
        <f ca="1"/>
      </c>
      <c r="DQ469">
        <f ca="1"/>
      </c>
      <c r="DR469">
        <f ca="1"/>
      </c>
      <c r="DS469">
        <f ca="1"/>
      </c>
      <c r="DT469">
        <f ca="1"/>
      </c>
      <c r="DU469">
        <f ca="1"/>
      </c>
      <c r="DV469">
        <f ca="1"/>
      </c>
      <c r="DW469">
        <f ca="1"/>
      </c>
      <c r="DX469">
        <f ca="1"/>
      </c>
      <c r="DY469">
        <f ca="1"/>
      </c>
      <c r="DZ469">
        <f ca="1"/>
      </c>
      <c r="EA469">
        <f ca="1"/>
      </c>
      <c r="EB469">
        <f ca="1"/>
      </c>
      <c r="EC469">
        <f ca="1"/>
      </c>
      <c r="ED469">
        <f ca="1"/>
      </c>
      <c r="EE469">
        <f ca="1"/>
      </c>
      <c r="EG469">
        <f ca="1"/>
      </c>
      <c r="EH469">
        <f ca="1"/>
      </c>
      <c r="EI469">
        <f ca="1"/>
      </c>
      <c r="EJ469">
        <f ca="1"/>
      </c>
      <c r="EK469">
        <f ca="1"/>
      </c>
      <c r="EL469">
        <f ca="1"/>
      </c>
      <c r="EM469">
        <f ca="1"/>
      </c>
      <c r="EN469">
        <f ca="1"/>
      </c>
      <c r="EO469">
        <f ca="1"/>
      </c>
      <c r="EP469">
        <f ca="1"/>
      </c>
      <c r="EQ469">
        <f ca="1"/>
      </c>
      <c r="ER469">
        <f ca="1"/>
      </c>
      <c r="ES469">
        <f ca="1"/>
      </c>
      <c r="ET469">
        <f ca="1"/>
      </c>
      <c r="EU469">
        <f ca="1"/>
      </c>
      <c r="EV469">
        <f ca="1"/>
      </c>
      <c r="EW469">
        <f ca="1"/>
      </c>
      <c r="EX469">
        <f ca="1"/>
      </c>
      <c r="EY469">
        <f ca="1"/>
      </c>
      <c r="EZ469">
        <f ca="1"/>
      </c>
      <c r="FA469">
        <f ca="1"/>
      </c>
      <c r="FB469">
        <f ca="1"/>
      </c>
      <c r="FC469">
        <f ca="1"/>
      </c>
      <c r="FD469">
        <f ca="1"/>
      </c>
      <c r="FE469">
        <f ca="1"/>
      </c>
      <c r="FF469">
        <f ca="1"/>
      </c>
      <c r="FG469">
        <f ca="1"/>
      </c>
      <c r="FH469">
        <f ca="1"/>
      </c>
      <c r="FI469">
        <f ca="1"/>
      </c>
      <c r="FJ469">
        <f ca="1"/>
      </c>
      <c r="FK469">
        <f ca="1"/>
      </c>
      <c r="FL469">
        <f ca="1"/>
      </c>
      <c r="FM469">
        <f ca="1"/>
      </c>
      <c r="FN469">
        <f ca="1"/>
      </c>
      <c r="FO469">
        <f ca="1"/>
      </c>
      <c r="FP469">
        <f ca="1"/>
      </c>
      <c r="FQ469">
        <f ca="1"/>
      </c>
      <c r="FR469">
        <f ca="1"/>
      </c>
      <c r="FS469">
        <f ca="1"/>
      </c>
      <c r="FT469">
        <f ca="1"/>
      </c>
      <c r="FU469">
        <f ca="1"/>
      </c>
      <c r="FV469">
        <f ca="1"/>
      </c>
      <c r="FW469">
        <f ca="1"/>
      </c>
      <c r="FX469">
        <f ca="1"/>
      </c>
      <c r="FY469">
        <f ca="1"/>
      </c>
      <c r="FZ469">
        <f ca="1"/>
      </c>
      <c r="GA469">
        <f ca="1"/>
      </c>
      <c r="GM469" s="7"/>
    </row>
    <row r="470" spans="41:195" x14ac:dyDescent="0.55000000000000004">
      <c r="AO470">
        <f ca="1"/>
      </c>
      <c r="AP470">
        <f ca="1"/>
      </c>
      <c r="AQ470">
        <f ca="1"/>
      </c>
      <c r="AR470">
        <f ca="1"/>
      </c>
      <c r="AS470">
        <f ca="1"/>
      </c>
      <c r="AT470">
        <f ca="1"/>
      </c>
      <c r="AU470">
        <f ca="1"/>
      </c>
      <c r="AV470">
        <f ca="1"/>
      </c>
      <c r="AW470">
        <f ca="1"/>
      </c>
      <c r="AX470">
        <f ca="1"/>
      </c>
      <c r="AY470">
        <f ca="1"/>
      </c>
      <c r="AZ470">
        <f ca="1"/>
      </c>
      <c r="BA470">
        <f ca="1"/>
      </c>
      <c r="BB470">
        <f ca="1"/>
      </c>
      <c r="BC470">
        <f ca="1"/>
      </c>
      <c r="BD470">
        <f ca="1"/>
      </c>
      <c r="BE470">
        <f ca="1"/>
      </c>
      <c r="BF470">
        <f ca="1"/>
      </c>
      <c r="BG470">
        <f ca="1"/>
      </c>
      <c r="BH470">
        <f ca="1"/>
      </c>
      <c r="BI470">
        <f ca="1"/>
      </c>
      <c r="BJ470">
        <f ca="1"/>
      </c>
      <c r="BK470">
        <f ca="1"/>
      </c>
      <c r="BL470">
        <f ca="1"/>
      </c>
      <c r="BM470">
        <f ca="1"/>
      </c>
      <c r="BN470">
        <f ca="1"/>
      </c>
      <c r="BO470">
        <f ca="1"/>
      </c>
      <c r="BP470">
        <f ca="1"/>
      </c>
      <c r="BQ470">
        <f ca="1"/>
      </c>
      <c r="BR470">
        <f ca="1"/>
      </c>
      <c r="BS470">
        <f ca="1"/>
      </c>
      <c r="BT470">
        <f ca="1"/>
      </c>
      <c r="BU470">
        <f ca="1"/>
      </c>
      <c r="BV470">
        <f ca="1"/>
      </c>
      <c r="BW470">
        <f ca="1"/>
      </c>
      <c r="BX470">
        <f ca="1"/>
      </c>
      <c r="BY470">
        <f ca="1"/>
      </c>
      <c r="BZ470">
        <f ca="1"/>
      </c>
      <c r="CA470">
        <f ca="1"/>
      </c>
      <c r="CB470">
        <f ca="1"/>
      </c>
      <c r="CC470">
        <f ca="1"/>
      </c>
      <c r="CD470">
        <f ca="1"/>
      </c>
      <c r="CE470">
        <f ca="1"/>
      </c>
      <c r="CF470">
        <f ca="1"/>
      </c>
      <c r="CG470">
        <f ca="1"/>
      </c>
      <c r="CH470">
        <f ca="1"/>
      </c>
      <c r="CI470">
        <f ca="1"/>
      </c>
      <c r="CK470">
        <f ca="1"/>
      </c>
      <c r="CL470">
        <f ca="1"/>
      </c>
      <c r="CM470">
        <f ca="1"/>
      </c>
      <c r="CN470">
        <f ca="1"/>
      </c>
      <c r="CO470">
        <f ca="1"/>
      </c>
      <c r="CP470">
        <f ca="1"/>
      </c>
      <c r="CQ470">
        <f ca="1"/>
      </c>
      <c r="CR470">
        <f ca="1"/>
      </c>
      <c r="CS470">
        <f ca="1"/>
      </c>
      <c r="CT470">
        <f ca="1"/>
      </c>
      <c r="CU470">
        <f ca="1"/>
      </c>
      <c r="CV470">
        <f ca="1"/>
      </c>
      <c r="CW470">
        <f ca="1"/>
      </c>
      <c r="CX470">
        <f ca="1"/>
      </c>
      <c r="CY470">
        <f ca="1"/>
      </c>
      <c r="CZ470">
        <f ca="1"/>
      </c>
      <c r="DA470">
        <f ca="1"/>
      </c>
      <c r="DB470">
        <f ca="1"/>
      </c>
      <c r="DC470">
        <f ca="1"/>
      </c>
      <c r="DD470">
        <f ca="1"/>
      </c>
      <c r="DE470">
        <f ca="1"/>
      </c>
      <c r="DF470">
        <f ca="1"/>
      </c>
      <c r="DG470">
        <f ca="1"/>
      </c>
      <c r="DH470">
        <f ca="1"/>
      </c>
      <c r="DI470">
        <f ca="1"/>
      </c>
      <c r="DJ470">
        <f ca="1"/>
      </c>
      <c r="DK470">
        <f ca="1"/>
      </c>
      <c r="DL470">
        <f ca="1"/>
      </c>
      <c r="DM470">
        <f ca="1"/>
      </c>
      <c r="DN470">
        <f ca="1"/>
      </c>
      <c r="DO470">
        <f ca="1"/>
      </c>
      <c r="DP470">
        <f ca="1"/>
      </c>
      <c r="DQ470">
        <f ca="1"/>
      </c>
      <c r="DR470">
        <f ca="1"/>
      </c>
      <c r="DS470">
        <f ca="1"/>
      </c>
      <c r="DT470">
        <f ca="1"/>
      </c>
      <c r="DU470">
        <f ca="1"/>
      </c>
      <c r="DV470">
        <f ca="1"/>
      </c>
      <c r="DW470">
        <f ca="1"/>
      </c>
      <c r="DX470">
        <f ca="1"/>
      </c>
      <c r="DY470">
        <f ca="1"/>
      </c>
      <c r="DZ470">
        <f ca="1"/>
      </c>
      <c r="EA470">
        <f ca="1"/>
      </c>
      <c r="EB470">
        <f ca="1"/>
      </c>
      <c r="EC470">
        <f ca="1"/>
      </c>
      <c r="ED470">
        <f ca="1"/>
      </c>
      <c r="EE470">
        <f ca="1"/>
      </c>
      <c r="EG470">
        <f ca="1"/>
      </c>
      <c r="EH470">
        <f ca="1"/>
      </c>
      <c r="EI470">
        <f ca="1"/>
      </c>
      <c r="EJ470">
        <f ca="1"/>
      </c>
      <c r="EK470">
        <f ca="1"/>
      </c>
      <c r="EL470">
        <f ca="1"/>
      </c>
      <c r="EM470">
        <f ca="1"/>
      </c>
      <c r="EN470">
        <f ca="1"/>
      </c>
      <c r="EO470">
        <f ca="1"/>
      </c>
      <c r="EP470">
        <f ca="1"/>
      </c>
      <c r="EQ470">
        <f ca="1"/>
      </c>
      <c r="ER470">
        <f ca="1"/>
      </c>
      <c r="ES470">
        <f ca="1"/>
      </c>
      <c r="ET470">
        <f ca="1"/>
      </c>
      <c r="EU470">
        <f ca="1"/>
      </c>
      <c r="EV470">
        <f ca="1"/>
      </c>
      <c r="EW470">
        <f ca="1"/>
      </c>
      <c r="EX470">
        <f ca="1"/>
      </c>
      <c r="EY470">
        <f ca="1"/>
      </c>
      <c r="EZ470">
        <f ca="1"/>
      </c>
      <c r="FA470">
        <f ca="1"/>
      </c>
      <c r="FB470">
        <f ca="1"/>
      </c>
      <c r="FC470">
        <f ca="1"/>
      </c>
      <c r="FD470">
        <f ca="1"/>
      </c>
      <c r="FE470">
        <f ca="1"/>
      </c>
      <c r="FF470">
        <f ca="1"/>
      </c>
      <c r="FG470">
        <f ca="1"/>
      </c>
      <c r="FH470">
        <f ca="1"/>
      </c>
      <c r="FI470">
        <f ca="1"/>
      </c>
      <c r="FJ470">
        <f ca="1"/>
      </c>
      <c r="FK470">
        <f ca="1"/>
      </c>
      <c r="FL470">
        <f ca="1"/>
      </c>
      <c r="FM470">
        <f ca="1"/>
      </c>
      <c r="FN470">
        <f ca="1"/>
      </c>
      <c r="FO470">
        <f ca="1"/>
      </c>
      <c r="FP470">
        <f ca="1"/>
      </c>
      <c r="FQ470">
        <f ca="1"/>
      </c>
      <c r="FR470">
        <f ca="1"/>
      </c>
      <c r="FS470">
        <f ca="1"/>
      </c>
      <c r="FT470">
        <f ca="1"/>
      </c>
      <c r="FU470">
        <f ca="1"/>
      </c>
      <c r="FV470">
        <f ca="1"/>
      </c>
      <c r="FW470">
        <f ca="1"/>
      </c>
      <c r="FX470">
        <f ca="1"/>
      </c>
      <c r="FY470">
        <f ca="1"/>
      </c>
      <c r="FZ470">
        <f ca="1"/>
      </c>
      <c r="GA470">
        <f ca="1"/>
      </c>
      <c r="GM470" s="7"/>
    </row>
    <row r="471" spans="41:195" x14ac:dyDescent="0.55000000000000004">
      <c r="AO471">
        <f ca="1"/>
      </c>
      <c r="AP471">
        <f ca="1"/>
      </c>
      <c r="AQ471">
        <f ca="1"/>
      </c>
      <c r="AR471">
        <f ca="1"/>
      </c>
      <c r="AS471">
        <f ca="1"/>
      </c>
      <c r="AT471">
        <f ca="1"/>
      </c>
      <c r="AU471">
        <f ca="1"/>
      </c>
      <c r="AV471">
        <f ca="1"/>
      </c>
      <c r="AW471">
        <f ca="1"/>
      </c>
      <c r="AX471">
        <f ca="1"/>
      </c>
      <c r="AY471">
        <f ca="1"/>
      </c>
      <c r="AZ471">
        <f ca="1"/>
      </c>
      <c r="BA471">
        <f ca="1"/>
      </c>
      <c r="BB471">
        <f ca="1"/>
      </c>
      <c r="BC471">
        <f ca="1"/>
      </c>
      <c r="BD471">
        <f ca="1"/>
      </c>
      <c r="BE471">
        <f ca="1"/>
      </c>
      <c r="BF471">
        <f ca="1"/>
      </c>
      <c r="BG471">
        <f ca="1"/>
      </c>
      <c r="BH471">
        <f ca="1"/>
      </c>
      <c r="BI471">
        <f ca="1"/>
      </c>
      <c r="BJ471">
        <f ca="1"/>
      </c>
      <c r="BK471">
        <f ca="1"/>
      </c>
      <c r="BL471">
        <f ca="1"/>
      </c>
      <c r="BM471">
        <f ca="1"/>
      </c>
      <c r="BN471">
        <f ca="1"/>
      </c>
      <c r="BO471">
        <f ca="1"/>
      </c>
      <c r="BP471">
        <f ca="1"/>
      </c>
      <c r="BQ471">
        <f ca="1"/>
      </c>
      <c r="BR471">
        <f ca="1"/>
      </c>
      <c r="BS471">
        <f ca="1"/>
      </c>
      <c r="BT471">
        <f ca="1"/>
      </c>
      <c r="BU471">
        <f ca="1"/>
      </c>
      <c r="BV471">
        <f ca="1"/>
      </c>
      <c r="BW471">
        <f ca="1"/>
      </c>
      <c r="BX471">
        <f ca="1"/>
      </c>
      <c r="BY471">
        <f ca="1"/>
      </c>
      <c r="BZ471">
        <f ca="1"/>
      </c>
      <c r="CA471">
        <f ca="1"/>
      </c>
      <c r="CB471">
        <f ca="1"/>
      </c>
      <c r="CC471">
        <f ca="1"/>
      </c>
      <c r="CD471">
        <f ca="1"/>
      </c>
      <c r="CE471">
        <f ca="1"/>
      </c>
      <c r="CF471">
        <f ca="1"/>
      </c>
      <c r="CG471">
        <f ca="1"/>
      </c>
      <c r="CH471">
        <f ca="1"/>
      </c>
      <c r="CI471">
        <f ca="1"/>
      </c>
      <c r="CK471">
        <f ca="1"/>
      </c>
      <c r="CL471">
        <f ca="1"/>
      </c>
      <c r="CM471">
        <f ca="1"/>
      </c>
      <c r="CN471">
        <f ca="1"/>
      </c>
      <c r="CO471">
        <f ca="1"/>
      </c>
      <c r="CP471">
        <f ca="1"/>
      </c>
      <c r="CQ471">
        <f ca="1"/>
      </c>
      <c r="CR471">
        <f ca="1"/>
      </c>
      <c r="CS471">
        <f ca="1"/>
      </c>
      <c r="CT471">
        <f ca="1"/>
      </c>
      <c r="CU471">
        <f ca="1"/>
      </c>
      <c r="CV471">
        <f ca="1"/>
      </c>
      <c r="CW471">
        <f ca="1"/>
      </c>
      <c r="CX471">
        <f ca="1"/>
      </c>
      <c r="CY471">
        <f ca="1"/>
      </c>
      <c r="CZ471">
        <f ca="1"/>
      </c>
      <c r="DA471">
        <f ca="1"/>
      </c>
      <c r="DB471">
        <f ca="1"/>
      </c>
      <c r="DC471">
        <f ca="1"/>
      </c>
      <c r="DD471">
        <f ca="1"/>
      </c>
      <c r="DE471">
        <f ca="1"/>
      </c>
      <c r="DF471">
        <f ca="1"/>
      </c>
      <c r="DG471">
        <f ca="1"/>
      </c>
      <c r="DH471">
        <f ca="1"/>
      </c>
      <c r="DI471">
        <f ca="1"/>
      </c>
      <c r="DJ471">
        <f ca="1"/>
      </c>
      <c r="DK471">
        <f ca="1"/>
      </c>
      <c r="DL471">
        <f ca="1"/>
      </c>
      <c r="DM471">
        <f ca="1"/>
      </c>
      <c r="DN471">
        <f ca="1"/>
      </c>
      <c r="DO471">
        <f ca="1"/>
      </c>
      <c r="DP471">
        <f ca="1"/>
      </c>
      <c r="DQ471">
        <f ca="1"/>
      </c>
      <c r="DR471">
        <f ca="1"/>
      </c>
      <c r="DS471">
        <f ca="1"/>
      </c>
      <c r="DT471">
        <f ca="1"/>
      </c>
      <c r="DU471">
        <f ca="1"/>
      </c>
      <c r="DV471">
        <f ca="1"/>
      </c>
      <c r="DW471">
        <f ca="1"/>
      </c>
      <c r="DX471">
        <f ca="1"/>
      </c>
      <c r="DY471">
        <f ca="1"/>
      </c>
      <c r="DZ471">
        <f ca="1"/>
      </c>
      <c r="EA471">
        <f ca="1"/>
      </c>
      <c r="EB471">
        <f ca="1"/>
      </c>
      <c r="EC471">
        <f ca="1"/>
      </c>
      <c r="ED471">
        <f ca="1"/>
      </c>
      <c r="EE471">
        <f ca="1"/>
      </c>
      <c r="EG471">
        <f ca="1"/>
      </c>
      <c r="EH471">
        <f ca="1"/>
      </c>
      <c r="EI471">
        <f ca="1"/>
      </c>
      <c r="EJ471">
        <f ca="1"/>
      </c>
      <c r="EK471">
        <f ca="1"/>
      </c>
      <c r="EL471">
        <f ca="1"/>
      </c>
      <c r="EM471">
        <f ca="1"/>
      </c>
      <c r="EN471">
        <f ca="1"/>
      </c>
      <c r="EO471">
        <f ca="1"/>
      </c>
      <c r="EP471">
        <f ca="1"/>
      </c>
      <c r="EQ471">
        <f ca="1"/>
      </c>
      <c r="ER471">
        <f ca="1"/>
      </c>
      <c r="ES471">
        <f ca="1"/>
      </c>
      <c r="ET471">
        <f ca="1"/>
      </c>
      <c r="EU471">
        <f ca="1"/>
      </c>
      <c r="EV471">
        <f ca="1"/>
      </c>
      <c r="EW471">
        <f ca="1"/>
      </c>
      <c r="EX471">
        <f ca="1"/>
      </c>
      <c r="EY471">
        <f ca="1"/>
      </c>
      <c r="EZ471">
        <f ca="1"/>
      </c>
      <c r="FA471">
        <f ca="1"/>
      </c>
      <c r="FB471">
        <f ca="1"/>
      </c>
      <c r="FC471">
        <f ca="1"/>
      </c>
      <c r="FD471">
        <f ca="1"/>
      </c>
      <c r="FE471">
        <f ca="1"/>
      </c>
      <c r="FF471">
        <f ca="1"/>
      </c>
      <c r="FG471">
        <f ca="1"/>
      </c>
      <c r="FH471">
        <f ca="1"/>
      </c>
      <c r="FI471">
        <f ca="1"/>
      </c>
      <c r="FJ471">
        <f ca="1"/>
      </c>
      <c r="FK471">
        <f ca="1"/>
      </c>
      <c r="FL471">
        <f ca="1"/>
      </c>
      <c r="FM471">
        <f ca="1"/>
      </c>
      <c r="FN471">
        <f ca="1"/>
      </c>
      <c r="FO471">
        <f ca="1"/>
      </c>
      <c r="FP471">
        <f ca="1"/>
      </c>
      <c r="FQ471">
        <f ca="1"/>
      </c>
      <c r="FR471">
        <f ca="1"/>
      </c>
      <c r="FS471">
        <f ca="1"/>
      </c>
      <c r="FT471">
        <f ca="1"/>
      </c>
      <c r="FU471">
        <f ca="1"/>
      </c>
      <c r="FV471">
        <f ca="1"/>
      </c>
      <c r="FW471">
        <f ca="1"/>
      </c>
      <c r="FX471">
        <f ca="1"/>
      </c>
      <c r="FY471">
        <f ca="1"/>
      </c>
      <c r="FZ471">
        <f ca="1"/>
      </c>
      <c r="GA471">
        <f ca="1"/>
      </c>
      <c r="GM471" s="7"/>
    </row>
    <row r="472" spans="41:195" x14ac:dyDescent="0.55000000000000004">
      <c r="AO472">
        <f ca="1"/>
      </c>
      <c r="AP472">
        <f ca="1"/>
      </c>
      <c r="AQ472">
        <f ca="1"/>
      </c>
      <c r="AR472">
        <f ca="1"/>
      </c>
      <c r="AS472">
        <f ca="1"/>
      </c>
      <c r="AT472">
        <f ca="1"/>
      </c>
      <c r="AU472">
        <f ca="1"/>
      </c>
      <c r="AV472">
        <f ca="1"/>
      </c>
      <c r="AW472">
        <f ca="1"/>
      </c>
      <c r="AX472">
        <f ca="1"/>
      </c>
      <c r="AY472">
        <f ca="1"/>
      </c>
      <c r="AZ472">
        <f ca="1"/>
      </c>
      <c r="BA472">
        <f ca="1"/>
      </c>
      <c r="BB472">
        <f ca="1"/>
      </c>
      <c r="BC472">
        <f ca="1"/>
      </c>
      <c r="BD472">
        <f ca="1"/>
      </c>
      <c r="BE472">
        <f ca="1"/>
      </c>
      <c r="BF472">
        <f ca="1"/>
      </c>
      <c r="BG472">
        <f ca="1"/>
      </c>
      <c r="BH472">
        <f ca="1"/>
      </c>
      <c r="BI472">
        <f ca="1"/>
      </c>
      <c r="BJ472">
        <f ca="1"/>
      </c>
      <c r="BK472">
        <f ca="1"/>
      </c>
      <c r="BL472">
        <f ca="1"/>
      </c>
      <c r="BM472">
        <f ca="1"/>
      </c>
      <c r="BN472">
        <f ca="1"/>
      </c>
      <c r="BO472">
        <f ca="1"/>
      </c>
      <c r="BP472">
        <f ca="1"/>
      </c>
      <c r="BQ472">
        <f ca="1"/>
      </c>
      <c r="BR472">
        <f ca="1"/>
      </c>
      <c r="BS472">
        <f ca="1"/>
      </c>
      <c r="BT472">
        <f ca="1"/>
      </c>
      <c r="BU472">
        <f ca="1"/>
      </c>
      <c r="BV472">
        <f ca="1"/>
      </c>
      <c r="BW472">
        <f ca="1"/>
      </c>
      <c r="BX472">
        <f ca="1"/>
      </c>
      <c r="BY472">
        <f ca="1"/>
      </c>
      <c r="BZ472">
        <f ca="1"/>
      </c>
      <c r="CA472">
        <f ca="1"/>
      </c>
      <c r="CB472">
        <f ca="1"/>
      </c>
      <c r="CC472">
        <f ca="1"/>
      </c>
      <c r="CD472">
        <f ca="1"/>
      </c>
      <c r="CE472">
        <f ca="1"/>
      </c>
      <c r="CF472">
        <f ca="1"/>
      </c>
      <c r="CG472">
        <f ca="1"/>
      </c>
      <c r="CH472">
        <f ca="1"/>
      </c>
      <c r="CI472">
        <f ca="1"/>
      </c>
      <c r="CK472">
        <f ca="1"/>
      </c>
      <c r="CL472">
        <f ca="1"/>
      </c>
      <c r="CM472">
        <f ca="1"/>
      </c>
      <c r="CN472">
        <f ca="1"/>
      </c>
      <c r="CO472">
        <f ca="1"/>
      </c>
      <c r="CP472">
        <f ca="1"/>
      </c>
      <c r="CQ472">
        <f ca="1"/>
      </c>
      <c r="CR472">
        <f ca="1"/>
      </c>
      <c r="CS472">
        <f ca="1"/>
      </c>
      <c r="CT472">
        <f ca="1"/>
      </c>
      <c r="CU472">
        <f ca="1"/>
      </c>
      <c r="CV472">
        <f ca="1"/>
      </c>
      <c r="CW472">
        <f ca="1"/>
      </c>
      <c r="CX472">
        <f ca="1"/>
      </c>
      <c r="CY472">
        <f ca="1"/>
      </c>
      <c r="CZ472">
        <f ca="1"/>
      </c>
      <c r="DA472">
        <f ca="1"/>
      </c>
      <c r="DB472">
        <f ca="1"/>
      </c>
      <c r="DC472">
        <f ca="1"/>
      </c>
      <c r="DD472">
        <f ca="1"/>
      </c>
      <c r="DE472">
        <f ca="1"/>
      </c>
      <c r="DF472">
        <f ca="1"/>
      </c>
      <c r="DG472">
        <f ca="1"/>
      </c>
      <c r="DH472">
        <f ca="1"/>
      </c>
      <c r="DI472">
        <f ca="1"/>
      </c>
      <c r="DJ472">
        <f ca="1"/>
      </c>
      <c r="DK472">
        <f ca="1"/>
      </c>
      <c r="DL472">
        <f ca="1"/>
      </c>
      <c r="DM472">
        <f ca="1"/>
      </c>
      <c r="DN472">
        <f ca="1"/>
      </c>
      <c r="DO472">
        <f ca="1"/>
      </c>
      <c r="DP472">
        <f ca="1"/>
      </c>
      <c r="DQ472">
        <f ca="1"/>
      </c>
      <c r="DR472">
        <f ca="1"/>
      </c>
      <c r="DS472">
        <f ca="1"/>
      </c>
      <c r="DT472">
        <f ca="1"/>
      </c>
      <c r="DU472">
        <f ca="1"/>
      </c>
      <c r="DV472">
        <f ca="1"/>
      </c>
      <c r="DW472">
        <f ca="1"/>
      </c>
      <c r="DX472">
        <f ca="1"/>
      </c>
      <c r="DY472">
        <f ca="1"/>
      </c>
      <c r="DZ472">
        <f ca="1"/>
      </c>
      <c r="EA472">
        <f ca="1"/>
      </c>
      <c r="EB472">
        <f ca="1"/>
      </c>
      <c r="EC472">
        <f ca="1"/>
      </c>
      <c r="ED472">
        <f ca="1"/>
      </c>
      <c r="EE472">
        <f ca="1"/>
      </c>
      <c r="EG472">
        <f ca="1"/>
      </c>
      <c r="EH472">
        <f ca="1"/>
      </c>
      <c r="EI472">
        <f ca="1"/>
      </c>
      <c r="EJ472">
        <f ca="1"/>
      </c>
      <c r="EK472">
        <f ca="1"/>
      </c>
      <c r="EL472">
        <f ca="1"/>
      </c>
      <c r="EM472">
        <f ca="1"/>
      </c>
      <c r="EN472">
        <f ca="1"/>
      </c>
      <c r="EO472">
        <f ca="1"/>
      </c>
      <c r="EP472">
        <f ca="1"/>
      </c>
      <c r="EQ472">
        <f ca="1"/>
      </c>
      <c r="ER472">
        <f ca="1"/>
      </c>
      <c r="ES472">
        <f ca="1"/>
      </c>
      <c r="ET472">
        <f ca="1"/>
      </c>
      <c r="EU472">
        <f ca="1"/>
      </c>
      <c r="EV472">
        <f ca="1"/>
      </c>
      <c r="EW472">
        <f ca="1"/>
      </c>
      <c r="EX472">
        <f ca="1"/>
      </c>
      <c r="EY472">
        <f ca="1"/>
      </c>
      <c r="EZ472">
        <f ca="1"/>
      </c>
      <c r="FA472">
        <f ca="1"/>
      </c>
      <c r="FB472">
        <f ca="1"/>
      </c>
      <c r="FC472">
        <f ca="1"/>
      </c>
      <c r="FD472">
        <f ca="1"/>
      </c>
      <c r="FE472">
        <f ca="1"/>
      </c>
      <c r="FF472">
        <f ca="1"/>
      </c>
      <c r="FG472">
        <f ca="1"/>
      </c>
      <c r="FH472">
        <f ca="1"/>
      </c>
      <c r="FI472">
        <f ca="1"/>
      </c>
      <c r="FJ472">
        <f ca="1"/>
      </c>
      <c r="FK472">
        <f ca="1"/>
      </c>
      <c r="FL472">
        <f ca="1"/>
      </c>
      <c r="FM472">
        <f ca="1"/>
      </c>
      <c r="FN472">
        <f ca="1"/>
      </c>
      <c r="FO472">
        <f ca="1"/>
      </c>
      <c r="FP472">
        <f ca="1"/>
      </c>
      <c r="FQ472">
        <f ca="1"/>
      </c>
      <c r="FR472">
        <f ca="1"/>
      </c>
      <c r="FS472">
        <f ca="1"/>
      </c>
      <c r="FT472">
        <f ca="1"/>
      </c>
      <c r="FU472">
        <f ca="1"/>
      </c>
      <c r="FV472">
        <f ca="1"/>
      </c>
      <c r="FW472">
        <f ca="1"/>
      </c>
      <c r="FX472">
        <f ca="1"/>
      </c>
      <c r="FY472">
        <f ca="1"/>
      </c>
      <c r="FZ472">
        <f ca="1"/>
      </c>
      <c r="GA472">
        <f ca="1"/>
      </c>
      <c r="GM472" s="7"/>
    </row>
    <row r="473" spans="41:195" x14ac:dyDescent="0.55000000000000004">
      <c r="AO473">
        <f ca="1"/>
      </c>
      <c r="AP473">
        <f ca="1"/>
      </c>
      <c r="AQ473">
        <f ca="1"/>
      </c>
      <c r="AR473">
        <f ca="1"/>
      </c>
      <c r="AS473">
        <f ca="1"/>
      </c>
      <c r="AT473">
        <f ca="1"/>
      </c>
      <c r="AU473">
        <f ca="1"/>
      </c>
      <c r="AV473">
        <f ca="1"/>
      </c>
      <c r="AW473">
        <f ca="1"/>
      </c>
      <c r="AX473">
        <f ca="1"/>
      </c>
      <c r="AY473">
        <f ca="1"/>
      </c>
      <c r="AZ473">
        <f ca="1"/>
      </c>
      <c r="BA473">
        <f ca="1"/>
      </c>
      <c r="BB473">
        <f ca="1"/>
      </c>
      <c r="BC473">
        <f ca="1"/>
      </c>
      <c r="BD473">
        <f ca="1"/>
      </c>
      <c r="BE473">
        <f ca="1"/>
      </c>
      <c r="BF473">
        <f ca="1"/>
      </c>
      <c r="BG473">
        <f ca="1"/>
      </c>
      <c r="BH473">
        <f ca="1"/>
      </c>
      <c r="BI473">
        <f ca="1"/>
      </c>
      <c r="BJ473">
        <f ca="1"/>
      </c>
      <c r="BK473">
        <f ca="1"/>
      </c>
      <c r="BL473">
        <f ca="1"/>
      </c>
      <c r="BM473">
        <f ca="1"/>
      </c>
      <c r="BN473">
        <f ca="1"/>
      </c>
      <c r="BO473">
        <f ca="1"/>
      </c>
      <c r="BP473">
        <f ca="1"/>
      </c>
      <c r="BQ473">
        <f ca="1"/>
      </c>
      <c r="BR473">
        <f ca="1"/>
      </c>
      <c r="BS473">
        <f ca="1"/>
      </c>
      <c r="BT473">
        <f ca="1"/>
      </c>
      <c r="BU473">
        <f ca="1"/>
      </c>
      <c r="BV473">
        <f ca="1"/>
      </c>
      <c r="BW473">
        <f ca="1"/>
      </c>
      <c r="BX473">
        <f ca="1"/>
      </c>
      <c r="BY473">
        <f ca="1"/>
      </c>
      <c r="BZ473">
        <f ca="1"/>
      </c>
      <c r="CA473">
        <f ca="1"/>
      </c>
      <c r="CB473">
        <f ca="1"/>
      </c>
      <c r="CC473">
        <f ca="1"/>
      </c>
      <c r="CD473">
        <f ca="1"/>
      </c>
      <c r="CE473">
        <f ca="1"/>
      </c>
      <c r="CF473">
        <f ca="1"/>
      </c>
      <c r="CG473">
        <f ca="1"/>
      </c>
      <c r="CH473">
        <f ca="1"/>
      </c>
      <c r="CI473">
        <f ca="1"/>
      </c>
      <c r="CK473">
        <f ca="1"/>
      </c>
      <c r="CL473">
        <f ca="1"/>
      </c>
      <c r="CM473">
        <f ca="1"/>
      </c>
      <c r="CN473">
        <f ca="1"/>
      </c>
      <c r="CO473">
        <f ca="1"/>
      </c>
      <c r="CP473">
        <f ca="1"/>
      </c>
      <c r="CQ473">
        <f ca="1"/>
      </c>
      <c r="CR473">
        <f ca="1"/>
      </c>
      <c r="CS473">
        <f ca="1"/>
      </c>
      <c r="CT473">
        <f ca="1"/>
      </c>
      <c r="CU473">
        <f ca="1"/>
      </c>
      <c r="CV473">
        <f ca="1"/>
      </c>
      <c r="CW473">
        <f ca="1"/>
      </c>
      <c r="CX473">
        <f ca="1"/>
      </c>
      <c r="CY473">
        <f ca="1"/>
      </c>
      <c r="CZ473">
        <f ca="1"/>
      </c>
      <c r="DA473">
        <f ca="1"/>
      </c>
      <c r="DB473">
        <f ca="1"/>
      </c>
      <c r="DC473">
        <f ca="1"/>
      </c>
      <c r="DD473">
        <f ca="1"/>
      </c>
      <c r="DE473">
        <f ca="1"/>
      </c>
      <c r="DF473">
        <f ca="1"/>
      </c>
      <c r="DG473">
        <f ca="1"/>
      </c>
      <c r="DH473">
        <f ca="1"/>
      </c>
      <c r="DI473">
        <f ca="1"/>
      </c>
      <c r="DJ473">
        <f ca="1"/>
      </c>
      <c r="DK473">
        <f ca="1"/>
      </c>
      <c r="DL473">
        <f ca="1"/>
      </c>
      <c r="DM473">
        <f ca="1"/>
      </c>
      <c r="DN473">
        <f ca="1"/>
      </c>
      <c r="DO473">
        <f ca="1"/>
      </c>
      <c r="DP473">
        <f ca="1"/>
      </c>
      <c r="DQ473">
        <f ca="1"/>
      </c>
      <c r="DR473">
        <f ca="1"/>
      </c>
      <c r="DS473">
        <f ca="1"/>
      </c>
      <c r="DT473">
        <f ca="1"/>
      </c>
      <c r="DU473">
        <f ca="1"/>
      </c>
      <c r="DV473">
        <f ca="1"/>
      </c>
      <c r="DW473">
        <f ca="1"/>
      </c>
      <c r="DX473">
        <f ca="1"/>
      </c>
      <c r="DY473">
        <f ca="1"/>
      </c>
      <c r="DZ473">
        <f ca="1"/>
      </c>
      <c r="EA473">
        <f ca="1"/>
      </c>
      <c r="EB473">
        <f ca="1"/>
      </c>
      <c r="EC473">
        <f ca="1"/>
      </c>
      <c r="ED473">
        <f ca="1"/>
      </c>
      <c r="EE473">
        <f ca="1"/>
      </c>
      <c r="EG473">
        <f ca="1"/>
      </c>
      <c r="EH473">
        <f ca="1"/>
      </c>
      <c r="EI473">
        <f ca="1"/>
      </c>
      <c r="EJ473">
        <f ca="1"/>
      </c>
      <c r="EK473">
        <f ca="1"/>
      </c>
      <c r="EL473">
        <f ca="1"/>
      </c>
      <c r="EM473">
        <f ca="1"/>
      </c>
      <c r="EN473">
        <f ca="1"/>
      </c>
      <c r="EO473">
        <f ca="1"/>
      </c>
      <c r="EP473">
        <f ca="1"/>
      </c>
      <c r="EQ473">
        <f ca="1"/>
      </c>
      <c r="ER473">
        <f ca="1"/>
      </c>
      <c r="ES473">
        <f ca="1"/>
      </c>
      <c r="ET473">
        <f ca="1"/>
      </c>
      <c r="EU473">
        <f ca="1"/>
      </c>
      <c r="EV473">
        <f ca="1"/>
      </c>
      <c r="EW473">
        <f ca="1"/>
      </c>
      <c r="EX473">
        <f ca="1"/>
      </c>
      <c r="EY473">
        <f ca="1"/>
      </c>
      <c r="EZ473">
        <f ca="1"/>
      </c>
      <c r="FA473">
        <f ca="1"/>
      </c>
      <c r="FB473">
        <f ca="1"/>
      </c>
      <c r="FC473">
        <f ca="1"/>
      </c>
      <c r="FD473">
        <f ca="1"/>
      </c>
      <c r="FE473">
        <f ca="1"/>
      </c>
      <c r="FF473">
        <f ca="1"/>
      </c>
      <c r="FG473">
        <f ca="1"/>
      </c>
      <c r="FH473">
        <f ca="1"/>
      </c>
      <c r="FI473">
        <f ca="1"/>
      </c>
      <c r="FJ473">
        <f ca="1"/>
      </c>
      <c r="FK473">
        <f ca="1"/>
      </c>
      <c r="FL473">
        <f ca="1"/>
      </c>
      <c r="FM473">
        <f ca="1"/>
      </c>
      <c r="FN473">
        <f ca="1"/>
      </c>
      <c r="FO473">
        <f ca="1"/>
      </c>
      <c r="FP473">
        <f ca="1"/>
      </c>
      <c r="FQ473">
        <f ca="1"/>
      </c>
      <c r="FR473">
        <f ca="1"/>
      </c>
      <c r="FS473">
        <f ca="1"/>
      </c>
      <c r="FT473">
        <f ca="1"/>
      </c>
      <c r="FU473">
        <f ca="1"/>
      </c>
      <c r="FV473">
        <f ca="1"/>
      </c>
      <c r="FW473">
        <f ca="1"/>
      </c>
      <c r="FX473">
        <f ca="1"/>
      </c>
      <c r="FY473">
        <f ca="1"/>
      </c>
      <c r="FZ473">
        <f ca="1"/>
      </c>
      <c r="GA473">
        <f ca="1"/>
      </c>
      <c r="GM473" s="7"/>
    </row>
    <row r="474" spans="41:195" x14ac:dyDescent="0.55000000000000004">
      <c r="AO474">
        <f ca="1"/>
      </c>
      <c r="AP474">
        <f ca="1"/>
      </c>
      <c r="AQ474">
        <f ca="1"/>
      </c>
      <c r="AR474">
        <f ca="1"/>
      </c>
      <c r="AS474">
        <f ca="1"/>
      </c>
      <c r="AT474">
        <f ca="1"/>
      </c>
      <c r="AU474">
        <f ca="1"/>
      </c>
      <c r="AV474">
        <f ca="1"/>
      </c>
      <c r="AW474">
        <f ca="1"/>
      </c>
      <c r="AX474">
        <f ca="1"/>
      </c>
      <c r="AY474">
        <f ca="1"/>
      </c>
      <c r="AZ474">
        <f ca="1"/>
      </c>
      <c r="BA474">
        <f ca="1"/>
      </c>
      <c r="BB474">
        <f ca="1"/>
      </c>
      <c r="BC474">
        <f ca="1"/>
      </c>
      <c r="BD474">
        <f ca="1"/>
      </c>
      <c r="BE474">
        <f ca="1"/>
      </c>
      <c r="BF474">
        <f ca="1"/>
      </c>
      <c r="BG474">
        <f ca="1"/>
      </c>
      <c r="BH474">
        <f ca="1"/>
      </c>
      <c r="BI474">
        <f ca="1"/>
      </c>
      <c r="BJ474">
        <f ca="1"/>
      </c>
      <c r="BK474">
        <f ca="1"/>
      </c>
      <c r="BL474">
        <f ca="1"/>
      </c>
      <c r="BM474">
        <f ca="1"/>
      </c>
      <c r="BN474">
        <f ca="1"/>
      </c>
      <c r="BO474">
        <f ca="1"/>
      </c>
      <c r="BP474">
        <f ca="1"/>
      </c>
      <c r="BQ474">
        <f ca="1"/>
      </c>
      <c r="BR474">
        <f ca="1"/>
      </c>
      <c r="BS474">
        <f ca="1"/>
      </c>
      <c r="BT474">
        <f ca="1"/>
      </c>
      <c r="BU474">
        <f ca="1"/>
      </c>
      <c r="BV474">
        <f ca="1"/>
      </c>
      <c r="BW474">
        <f ca="1"/>
      </c>
      <c r="BX474">
        <f ca="1"/>
      </c>
      <c r="BY474">
        <f ca="1"/>
      </c>
      <c r="BZ474">
        <f ca="1"/>
      </c>
      <c r="CA474">
        <f ca="1"/>
      </c>
      <c r="CB474">
        <f ca="1"/>
      </c>
      <c r="CC474">
        <f ca="1"/>
      </c>
      <c r="CD474">
        <f ca="1"/>
      </c>
      <c r="CE474">
        <f ca="1"/>
      </c>
      <c r="CF474">
        <f ca="1"/>
      </c>
      <c r="CG474">
        <f ca="1"/>
      </c>
      <c r="CH474">
        <f ca="1"/>
      </c>
      <c r="CI474">
        <f ca="1"/>
      </c>
      <c r="CK474">
        <f ca="1"/>
      </c>
      <c r="CL474">
        <f ca="1"/>
      </c>
      <c r="CM474">
        <f ca="1"/>
      </c>
      <c r="CN474">
        <f ca="1"/>
      </c>
      <c r="CO474">
        <f ca="1"/>
      </c>
      <c r="CP474">
        <f ca="1"/>
      </c>
      <c r="CQ474">
        <f ca="1"/>
      </c>
      <c r="CR474">
        <f ca="1"/>
      </c>
      <c r="CS474">
        <f ca="1"/>
      </c>
      <c r="CT474">
        <f ca="1"/>
      </c>
      <c r="CU474">
        <f ca="1"/>
      </c>
      <c r="CV474">
        <f ca="1"/>
      </c>
      <c r="CW474">
        <f ca="1"/>
      </c>
      <c r="CX474">
        <f ca="1"/>
      </c>
      <c r="CY474">
        <f ca="1"/>
      </c>
      <c r="CZ474">
        <f ca="1"/>
      </c>
      <c r="DA474">
        <f ca="1"/>
      </c>
      <c r="DB474">
        <f ca="1"/>
      </c>
      <c r="DC474">
        <f ca="1"/>
      </c>
      <c r="DD474">
        <f ca="1"/>
      </c>
      <c r="DE474">
        <f ca="1"/>
      </c>
      <c r="DF474">
        <f ca="1"/>
      </c>
      <c r="DG474">
        <f ca="1"/>
      </c>
      <c r="DH474">
        <f ca="1"/>
      </c>
      <c r="DI474">
        <f ca="1"/>
      </c>
      <c r="DJ474">
        <f ca="1"/>
      </c>
      <c r="DK474">
        <f ca="1"/>
      </c>
      <c r="DL474">
        <f ca="1"/>
      </c>
      <c r="DM474">
        <f ca="1"/>
      </c>
      <c r="DN474">
        <f ca="1"/>
      </c>
      <c r="DO474">
        <f ca="1"/>
      </c>
      <c r="DP474">
        <f ca="1"/>
      </c>
      <c r="DQ474">
        <f ca="1"/>
      </c>
      <c r="DR474">
        <f ca="1"/>
      </c>
      <c r="DS474">
        <f ca="1"/>
      </c>
      <c r="DT474">
        <f ca="1"/>
      </c>
      <c r="DU474">
        <f ca="1"/>
      </c>
      <c r="DV474">
        <f ca="1"/>
      </c>
      <c r="DW474">
        <f ca="1"/>
      </c>
      <c r="DX474">
        <f ca="1"/>
      </c>
      <c r="DY474">
        <f ca="1"/>
      </c>
      <c r="DZ474">
        <f ca="1"/>
      </c>
      <c r="EA474">
        <f ca="1"/>
      </c>
      <c r="EB474">
        <f ca="1"/>
      </c>
      <c r="EC474">
        <f ca="1"/>
      </c>
      <c r="ED474">
        <f ca="1"/>
      </c>
      <c r="EE474">
        <f ca="1"/>
      </c>
      <c r="EG474">
        <f ca="1"/>
      </c>
      <c r="EH474">
        <f ca="1"/>
      </c>
      <c r="EI474">
        <f ca="1"/>
      </c>
      <c r="EJ474">
        <f ca="1"/>
      </c>
      <c r="EK474">
        <f ca="1"/>
      </c>
      <c r="EL474">
        <f ca="1"/>
      </c>
      <c r="EM474">
        <f ca="1"/>
      </c>
      <c r="EN474">
        <f ca="1"/>
      </c>
      <c r="EO474">
        <f ca="1"/>
      </c>
      <c r="EP474">
        <f ca="1"/>
      </c>
      <c r="EQ474">
        <f ca="1"/>
      </c>
      <c r="ER474">
        <f ca="1"/>
      </c>
      <c r="ES474">
        <f ca="1"/>
      </c>
      <c r="ET474">
        <f ca="1"/>
      </c>
      <c r="EU474">
        <f ca="1"/>
      </c>
      <c r="EV474">
        <f ca="1"/>
      </c>
      <c r="EW474">
        <f ca="1"/>
      </c>
      <c r="EX474">
        <f ca="1"/>
      </c>
      <c r="EY474">
        <f ca="1"/>
      </c>
      <c r="EZ474">
        <f ca="1"/>
      </c>
      <c r="FA474">
        <f ca="1"/>
      </c>
      <c r="FB474">
        <f ca="1"/>
      </c>
      <c r="FC474">
        <f ca="1"/>
      </c>
      <c r="FD474">
        <f ca="1"/>
      </c>
      <c r="FE474">
        <f ca="1"/>
      </c>
      <c r="FF474">
        <f ca="1"/>
      </c>
      <c r="FG474">
        <f ca="1"/>
      </c>
      <c r="FH474">
        <f ca="1"/>
      </c>
      <c r="FI474">
        <f ca="1"/>
      </c>
      <c r="FJ474">
        <f ca="1"/>
      </c>
      <c r="FK474">
        <f ca="1"/>
      </c>
      <c r="FL474">
        <f ca="1"/>
      </c>
      <c r="FM474">
        <f ca="1"/>
      </c>
      <c r="FN474">
        <f ca="1"/>
      </c>
      <c r="FO474">
        <f ca="1"/>
      </c>
      <c r="FP474">
        <f ca="1"/>
      </c>
      <c r="FQ474">
        <f ca="1"/>
      </c>
      <c r="FR474">
        <f ca="1"/>
      </c>
      <c r="FS474">
        <f ca="1"/>
      </c>
      <c r="FT474">
        <f ca="1"/>
      </c>
      <c r="FU474">
        <f ca="1"/>
      </c>
      <c r="FV474">
        <f ca="1"/>
      </c>
      <c r="FW474">
        <f ca="1"/>
      </c>
      <c r="FX474">
        <f ca="1"/>
      </c>
      <c r="FY474">
        <f ca="1"/>
      </c>
      <c r="FZ474">
        <f ca="1"/>
      </c>
      <c r="GA474">
        <f ca="1"/>
      </c>
      <c r="GM474" s="7"/>
    </row>
    <row r="475" spans="41:195" x14ac:dyDescent="0.55000000000000004">
      <c r="AO475">
        <f ca="1"/>
      </c>
      <c r="AP475">
        <f ca="1"/>
      </c>
      <c r="AQ475">
        <f ca="1"/>
      </c>
      <c r="AR475">
        <f ca="1"/>
      </c>
      <c r="AS475">
        <f ca="1"/>
      </c>
      <c r="AT475">
        <f ca="1"/>
      </c>
      <c r="AU475">
        <f ca="1"/>
      </c>
      <c r="AV475">
        <f ca="1"/>
      </c>
      <c r="AW475">
        <f ca="1"/>
      </c>
      <c r="AX475">
        <f ca="1"/>
      </c>
      <c r="AY475">
        <f ca="1"/>
      </c>
      <c r="AZ475">
        <f ca="1"/>
      </c>
      <c r="BA475">
        <f ca="1"/>
      </c>
      <c r="BB475">
        <f ca="1"/>
      </c>
      <c r="BC475">
        <f ca="1"/>
      </c>
      <c r="BD475">
        <f ca="1"/>
      </c>
      <c r="BE475">
        <f ca="1"/>
      </c>
      <c r="BF475">
        <f ca="1"/>
      </c>
      <c r="BG475">
        <f ca="1"/>
      </c>
      <c r="BH475">
        <f ca="1"/>
      </c>
      <c r="BI475">
        <f ca="1"/>
      </c>
      <c r="BJ475">
        <f ca="1"/>
      </c>
      <c r="BK475">
        <f ca="1"/>
      </c>
      <c r="BL475">
        <f ca="1"/>
      </c>
      <c r="BM475">
        <f ca="1"/>
      </c>
      <c r="BN475">
        <f ca="1"/>
      </c>
      <c r="BO475">
        <f ca="1"/>
      </c>
      <c r="BP475">
        <f ca="1"/>
      </c>
      <c r="BQ475">
        <f ca="1"/>
      </c>
      <c r="BR475">
        <f ca="1"/>
      </c>
      <c r="BS475">
        <f ca="1"/>
      </c>
      <c r="BT475">
        <f ca="1"/>
      </c>
      <c r="BU475">
        <f ca="1"/>
      </c>
      <c r="BV475">
        <f ca="1"/>
      </c>
      <c r="BW475">
        <f ca="1"/>
      </c>
      <c r="BX475">
        <f ca="1"/>
      </c>
      <c r="BY475">
        <f ca="1"/>
      </c>
      <c r="BZ475">
        <f ca="1"/>
      </c>
      <c r="CA475">
        <f ca="1"/>
      </c>
      <c r="CB475">
        <f ca="1"/>
      </c>
      <c r="CC475">
        <f ca="1"/>
      </c>
      <c r="CD475">
        <f ca="1"/>
      </c>
      <c r="CE475">
        <f ca="1"/>
      </c>
      <c r="CF475">
        <f ca="1"/>
      </c>
      <c r="CG475">
        <f ca="1"/>
      </c>
      <c r="CH475">
        <f ca="1"/>
      </c>
      <c r="CI475">
        <f ca="1"/>
      </c>
      <c r="CK475">
        <f ca="1"/>
      </c>
      <c r="CL475">
        <f ca="1"/>
      </c>
      <c r="CM475">
        <f ca="1"/>
      </c>
      <c r="CN475">
        <f ca="1"/>
      </c>
      <c r="CO475">
        <f ca="1"/>
      </c>
      <c r="CP475">
        <f ca="1"/>
      </c>
      <c r="CQ475">
        <f ca="1"/>
      </c>
      <c r="CR475">
        <f ca="1"/>
      </c>
      <c r="CS475">
        <f ca="1"/>
      </c>
      <c r="CT475">
        <f ca="1"/>
      </c>
      <c r="CU475">
        <f ca="1"/>
      </c>
      <c r="CV475">
        <f ca="1"/>
      </c>
      <c r="CW475">
        <f ca="1"/>
      </c>
      <c r="CX475">
        <f ca="1"/>
      </c>
      <c r="CY475">
        <f ca="1"/>
      </c>
      <c r="CZ475">
        <f ca="1"/>
      </c>
      <c r="DA475">
        <f ca="1"/>
      </c>
      <c r="DB475">
        <f ca="1"/>
      </c>
      <c r="DC475">
        <f ca="1"/>
      </c>
      <c r="DD475">
        <f ca="1"/>
      </c>
      <c r="DE475">
        <f ca="1"/>
      </c>
      <c r="DF475">
        <f ca="1"/>
      </c>
      <c r="DG475">
        <f ca="1"/>
      </c>
      <c r="DH475">
        <f ca="1"/>
      </c>
      <c r="DI475">
        <f ca="1"/>
      </c>
      <c r="DJ475">
        <f ca="1"/>
      </c>
      <c r="DK475">
        <f ca="1"/>
      </c>
      <c r="DL475">
        <f ca="1"/>
      </c>
      <c r="DM475">
        <f ca="1"/>
      </c>
      <c r="DN475">
        <f ca="1"/>
      </c>
      <c r="DO475">
        <f ca="1"/>
      </c>
      <c r="DP475">
        <f ca="1"/>
      </c>
      <c r="DQ475">
        <f ca="1"/>
      </c>
      <c r="DR475">
        <f ca="1"/>
      </c>
      <c r="DS475">
        <f ca="1"/>
      </c>
      <c r="DT475">
        <f ca="1"/>
      </c>
      <c r="DU475">
        <f ca="1"/>
      </c>
      <c r="DV475">
        <f ca="1"/>
      </c>
      <c r="DW475">
        <f ca="1"/>
      </c>
      <c r="DX475">
        <f ca="1"/>
      </c>
      <c r="DY475">
        <f ca="1"/>
      </c>
      <c r="DZ475">
        <f ca="1"/>
      </c>
      <c r="EA475">
        <f ca="1"/>
      </c>
      <c r="EB475">
        <f ca="1"/>
      </c>
      <c r="EC475">
        <f ca="1"/>
      </c>
      <c r="ED475">
        <f ca="1"/>
      </c>
      <c r="EE475">
        <f ca="1"/>
      </c>
      <c r="EG475">
        <f ca="1"/>
      </c>
      <c r="EH475">
        <f ca="1"/>
      </c>
      <c r="EI475">
        <f ca="1"/>
      </c>
      <c r="EJ475">
        <f ca="1"/>
      </c>
      <c r="EK475">
        <f ca="1"/>
      </c>
      <c r="EL475">
        <f ca="1"/>
      </c>
      <c r="EM475">
        <f ca="1"/>
      </c>
      <c r="EN475">
        <f ca="1"/>
      </c>
      <c r="EO475">
        <f ca="1"/>
      </c>
      <c r="EP475">
        <f ca="1"/>
      </c>
      <c r="EQ475">
        <f ca="1"/>
      </c>
      <c r="ER475">
        <f ca="1"/>
      </c>
      <c r="ES475">
        <f ca="1"/>
      </c>
      <c r="ET475">
        <f ca="1"/>
      </c>
      <c r="EU475">
        <f ca="1"/>
      </c>
      <c r="EV475">
        <f ca="1"/>
      </c>
      <c r="EW475">
        <f ca="1"/>
      </c>
      <c r="EX475">
        <f ca="1"/>
      </c>
      <c r="EY475">
        <f ca="1"/>
      </c>
      <c r="EZ475">
        <f ca="1"/>
      </c>
      <c r="FA475">
        <f ca="1"/>
      </c>
      <c r="FB475">
        <f ca="1"/>
      </c>
      <c r="FC475">
        <f ca="1"/>
      </c>
      <c r="FD475">
        <f ca="1"/>
      </c>
      <c r="FE475">
        <f ca="1"/>
      </c>
      <c r="FF475">
        <f ca="1"/>
      </c>
      <c r="FG475">
        <f ca="1"/>
      </c>
      <c r="FH475">
        <f ca="1"/>
      </c>
      <c r="FI475">
        <f ca="1"/>
      </c>
      <c r="FJ475">
        <f ca="1"/>
      </c>
      <c r="FK475">
        <f ca="1"/>
      </c>
      <c r="FL475">
        <f ca="1"/>
      </c>
      <c r="FM475">
        <f ca="1"/>
      </c>
      <c r="FN475">
        <f ca="1"/>
      </c>
      <c r="FO475">
        <f ca="1"/>
      </c>
      <c r="FP475">
        <f ca="1"/>
      </c>
      <c r="FQ475">
        <f ca="1"/>
      </c>
      <c r="FR475">
        <f ca="1"/>
      </c>
      <c r="FS475">
        <f ca="1"/>
      </c>
      <c r="FT475">
        <f ca="1"/>
      </c>
      <c r="FU475">
        <f ca="1"/>
      </c>
      <c r="FV475">
        <f ca="1"/>
      </c>
      <c r="FW475">
        <f ca="1"/>
      </c>
      <c r="FX475">
        <f ca="1"/>
      </c>
      <c r="FY475">
        <f ca="1"/>
      </c>
      <c r="FZ475">
        <f ca="1"/>
      </c>
      <c r="GA475">
        <f ca="1"/>
      </c>
      <c r="GM475" s="7"/>
    </row>
    <row r="476" spans="41:195" x14ac:dyDescent="0.55000000000000004">
      <c r="AO476">
        <f ca="1"/>
      </c>
      <c r="AP476">
        <f ca="1"/>
      </c>
      <c r="AQ476">
        <f ca="1"/>
      </c>
      <c r="AR476">
        <f ca="1"/>
      </c>
      <c r="AS476">
        <f ca="1"/>
      </c>
      <c r="AT476">
        <f ca="1"/>
      </c>
      <c r="AU476">
        <f ca="1"/>
      </c>
      <c r="AV476">
        <f ca="1"/>
      </c>
      <c r="AW476">
        <f ca="1"/>
      </c>
      <c r="AX476">
        <f ca="1"/>
      </c>
      <c r="AY476">
        <f ca="1"/>
      </c>
      <c r="AZ476">
        <f ca="1"/>
      </c>
      <c r="BA476">
        <f ca="1"/>
      </c>
      <c r="BB476">
        <f ca="1"/>
      </c>
      <c r="BC476">
        <f ca="1"/>
      </c>
      <c r="BD476">
        <f ca="1"/>
      </c>
      <c r="BE476">
        <f ca="1"/>
      </c>
      <c r="BF476">
        <f ca="1"/>
      </c>
      <c r="BG476">
        <f ca="1"/>
      </c>
      <c r="BH476">
        <f ca="1"/>
      </c>
      <c r="BI476">
        <f ca="1"/>
      </c>
      <c r="BJ476">
        <f ca="1"/>
      </c>
      <c r="BK476">
        <f ca="1"/>
      </c>
      <c r="BL476">
        <f ca="1"/>
      </c>
      <c r="BM476">
        <f ca="1"/>
      </c>
      <c r="BN476">
        <f ca="1"/>
      </c>
      <c r="BO476">
        <f ca="1"/>
      </c>
      <c r="BP476">
        <f ca="1"/>
      </c>
      <c r="BQ476">
        <f ca="1"/>
      </c>
      <c r="BR476">
        <f ca="1"/>
      </c>
      <c r="BS476">
        <f ca="1"/>
      </c>
      <c r="BT476">
        <f ca="1"/>
      </c>
      <c r="BU476">
        <f ca="1"/>
      </c>
      <c r="BV476">
        <f ca="1"/>
      </c>
      <c r="BW476">
        <f ca="1"/>
      </c>
      <c r="BX476">
        <f ca="1"/>
      </c>
      <c r="BY476">
        <f ca="1"/>
      </c>
      <c r="BZ476">
        <f ca="1"/>
      </c>
      <c r="CA476">
        <f ca="1"/>
      </c>
      <c r="CB476">
        <f ca="1"/>
      </c>
      <c r="CC476">
        <f ca="1"/>
      </c>
      <c r="CD476">
        <f ca="1"/>
      </c>
      <c r="CE476">
        <f ca="1"/>
      </c>
      <c r="CF476">
        <f ca="1"/>
      </c>
      <c r="CG476">
        <f ca="1"/>
      </c>
      <c r="CH476">
        <f ca="1"/>
      </c>
      <c r="CI476">
        <f ca="1"/>
      </c>
      <c r="CK476">
        <f ca="1"/>
      </c>
      <c r="CL476">
        <f ca="1"/>
      </c>
      <c r="CM476">
        <f ca="1"/>
      </c>
      <c r="CN476">
        <f ca="1"/>
      </c>
      <c r="CO476">
        <f ca="1"/>
      </c>
      <c r="CP476">
        <f ca="1"/>
      </c>
      <c r="CQ476">
        <f ca="1"/>
      </c>
      <c r="CR476">
        <f ca="1"/>
      </c>
      <c r="CS476">
        <f ca="1"/>
      </c>
      <c r="CT476">
        <f ca="1"/>
      </c>
      <c r="CU476">
        <f ca="1"/>
      </c>
      <c r="CV476">
        <f ca="1"/>
      </c>
      <c r="CW476">
        <f ca="1"/>
      </c>
      <c r="CX476">
        <f ca="1"/>
      </c>
      <c r="CY476">
        <f ca="1"/>
      </c>
      <c r="CZ476">
        <f ca="1"/>
      </c>
      <c r="DA476">
        <f ca="1"/>
      </c>
      <c r="DB476">
        <f ca="1"/>
      </c>
      <c r="DC476">
        <f ca="1"/>
      </c>
      <c r="DD476">
        <f ca="1"/>
      </c>
      <c r="DE476">
        <f ca="1"/>
      </c>
      <c r="DF476">
        <f ca="1"/>
      </c>
      <c r="DG476">
        <f ca="1"/>
      </c>
      <c r="DH476">
        <f ca="1"/>
      </c>
      <c r="DI476">
        <f ca="1"/>
      </c>
      <c r="DJ476">
        <f ca="1"/>
      </c>
      <c r="DK476">
        <f ca="1"/>
      </c>
      <c r="DL476">
        <f ca="1"/>
      </c>
      <c r="DM476">
        <f ca="1"/>
      </c>
      <c r="DN476">
        <f ca="1"/>
      </c>
      <c r="DO476">
        <f ca="1"/>
      </c>
      <c r="DP476">
        <f ca="1"/>
      </c>
      <c r="DQ476">
        <f ca="1"/>
      </c>
      <c r="DR476">
        <f ca="1"/>
      </c>
      <c r="DS476">
        <f ca="1"/>
      </c>
      <c r="DT476">
        <f ca="1"/>
      </c>
      <c r="DU476">
        <f ca="1"/>
      </c>
      <c r="DV476">
        <f ca="1"/>
      </c>
      <c r="DW476">
        <f ca="1"/>
      </c>
      <c r="DX476">
        <f ca="1"/>
      </c>
      <c r="DY476">
        <f ca="1"/>
      </c>
      <c r="DZ476">
        <f ca="1"/>
      </c>
      <c r="EA476">
        <f ca="1"/>
      </c>
      <c r="EB476">
        <f ca="1"/>
      </c>
      <c r="EC476">
        <f ca="1"/>
      </c>
      <c r="ED476">
        <f ca="1"/>
      </c>
      <c r="EE476">
        <f ca="1"/>
      </c>
      <c r="EG476">
        <f ca="1"/>
      </c>
      <c r="EH476">
        <f ca="1"/>
      </c>
      <c r="EI476">
        <f ca="1"/>
      </c>
      <c r="EJ476">
        <f ca="1"/>
      </c>
      <c r="EK476">
        <f ca="1"/>
      </c>
      <c r="EL476">
        <f ca="1"/>
      </c>
      <c r="EM476">
        <f ca="1"/>
      </c>
      <c r="EN476">
        <f ca="1"/>
      </c>
      <c r="EO476">
        <f ca="1"/>
      </c>
      <c r="EP476">
        <f ca="1"/>
      </c>
      <c r="EQ476">
        <f ca="1"/>
      </c>
      <c r="ER476">
        <f ca="1"/>
      </c>
      <c r="ES476">
        <f ca="1"/>
      </c>
      <c r="ET476">
        <f ca="1"/>
      </c>
      <c r="EU476">
        <f ca="1"/>
      </c>
      <c r="EV476">
        <f ca="1"/>
      </c>
      <c r="EW476">
        <f ca="1"/>
      </c>
      <c r="EX476">
        <f ca="1"/>
      </c>
      <c r="EY476">
        <f ca="1"/>
      </c>
      <c r="EZ476">
        <f ca="1"/>
      </c>
      <c r="FA476">
        <f ca="1"/>
      </c>
      <c r="FB476">
        <f ca="1"/>
      </c>
      <c r="FC476">
        <f ca="1"/>
      </c>
      <c r="FD476">
        <f ca="1"/>
      </c>
      <c r="FE476">
        <f ca="1"/>
      </c>
      <c r="FF476">
        <f ca="1"/>
      </c>
      <c r="FG476">
        <f ca="1"/>
      </c>
      <c r="FH476">
        <f ca="1"/>
      </c>
      <c r="FI476">
        <f ca="1"/>
      </c>
      <c r="FJ476">
        <f ca="1"/>
      </c>
      <c r="FK476">
        <f ca="1"/>
      </c>
      <c r="FL476">
        <f ca="1"/>
      </c>
      <c r="FM476">
        <f ca="1"/>
      </c>
      <c r="FN476">
        <f ca="1"/>
      </c>
      <c r="FO476">
        <f ca="1"/>
      </c>
      <c r="FP476">
        <f ca="1"/>
      </c>
      <c r="FQ476">
        <f ca="1"/>
      </c>
      <c r="FR476">
        <f ca="1"/>
      </c>
      <c r="FS476">
        <f ca="1"/>
      </c>
      <c r="FT476">
        <f ca="1"/>
      </c>
      <c r="FU476">
        <f ca="1"/>
      </c>
      <c r="FV476">
        <f ca="1"/>
      </c>
      <c r="FW476">
        <f ca="1"/>
      </c>
      <c r="FX476">
        <f ca="1"/>
      </c>
      <c r="FY476">
        <f ca="1"/>
      </c>
      <c r="FZ476">
        <f ca="1"/>
      </c>
      <c r="GA476">
        <f ca="1"/>
      </c>
      <c r="GM476" s="7"/>
    </row>
    <row r="477" spans="41:195" x14ac:dyDescent="0.55000000000000004">
      <c r="AO477">
        <f ca="1"/>
      </c>
      <c r="AP477">
        <f ca="1"/>
      </c>
      <c r="AQ477">
        <f ca="1"/>
      </c>
      <c r="AR477">
        <f ca="1"/>
      </c>
      <c r="AS477">
        <f ca="1"/>
      </c>
      <c r="AT477">
        <f ca="1"/>
      </c>
      <c r="AU477">
        <f ca="1"/>
      </c>
      <c r="AV477">
        <f ca="1"/>
      </c>
      <c r="AW477">
        <f ca="1"/>
      </c>
      <c r="AX477">
        <f ca="1"/>
      </c>
      <c r="AY477">
        <f ca="1"/>
      </c>
      <c r="AZ477">
        <f ca="1"/>
      </c>
      <c r="BA477">
        <f ca="1"/>
      </c>
      <c r="BB477">
        <f ca="1"/>
      </c>
      <c r="BC477">
        <f ca="1"/>
      </c>
      <c r="BD477">
        <f ca="1"/>
      </c>
      <c r="BE477">
        <f ca="1"/>
      </c>
      <c r="BF477">
        <f ca="1"/>
      </c>
      <c r="BG477">
        <f ca="1"/>
      </c>
      <c r="BH477">
        <f ca="1"/>
      </c>
      <c r="BI477">
        <f ca="1"/>
      </c>
      <c r="BJ477">
        <f ca="1"/>
      </c>
      <c r="BK477">
        <f ca="1"/>
      </c>
      <c r="BL477">
        <f ca="1"/>
      </c>
      <c r="BM477">
        <f ca="1"/>
      </c>
      <c r="BN477">
        <f ca="1"/>
      </c>
      <c r="BO477">
        <f ca="1"/>
      </c>
      <c r="BP477">
        <f ca="1"/>
      </c>
      <c r="BQ477">
        <f ca="1"/>
      </c>
      <c r="BR477">
        <f ca="1"/>
      </c>
      <c r="BS477">
        <f ca="1"/>
      </c>
      <c r="BT477">
        <f ca="1"/>
      </c>
      <c r="BU477">
        <f ca="1"/>
      </c>
      <c r="BV477">
        <f ca="1"/>
      </c>
      <c r="BW477">
        <f ca="1"/>
      </c>
      <c r="BX477">
        <f ca="1"/>
      </c>
      <c r="BY477">
        <f ca="1"/>
      </c>
      <c r="BZ477">
        <f ca="1"/>
      </c>
      <c r="CA477">
        <f ca="1"/>
      </c>
      <c r="CB477">
        <f ca="1"/>
      </c>
      <c r="CC477">
        <f ca="1"/>
      </c>
      <c r="CD477">
        <f ca="1"/>
      </c>
      <c r="CE477">
        <f ca="1"/>
      </c>
      <c r="CF477">
        <f ca="1"/>
      </c>
      <c r="CG477">
        <f ca="1"/>
      </c>
      <c r="CH477">
        <f ca="1"/>
      </c>
      <c r="CI477">
        <f ca="1"/>
      </c>
      <c r="CK477">
        <f ca="1"/>
      </c>
      <c r="CL477">
        <f ca="1"/>
      </c>
      <c r="CM477">
        <f ca="1"/>
      </c>
      <c r="CN477">
        <f ca="1"/>
      </c>
      <c r="CO477">
        <f ca="1"/>
      </c>
      <c r="CP477">
        <f ca="1"/>
      </c>
      <c r="CQ477">
        <f ca="1"/>
      </c>
      <c r="CR477">
        <f ca="1"/>
      </c>
      <c r="CS477">
        <f ca="1"/>
      </c>
      <c r="CT477">
        <f ca="1"/>
      </c>
      <c r="CU477">
        <f ca="1"/>
      </c>
      <c r="CV477">
        <f ca="1"/>
      </c>
      <c r="CW477">
        <f ca="1"/>
      </c>
      <c r="CX477">
        <f ca="1"/>
      </c>
      <c r="CY477">
        <f ca="1"/>
      </c>
      <c r="CZ477">
        <f ca="1"/>
      </c>
      <c r="DA477">
        <f ca="1"/>
      </c>
      <c r="DB477">
        <f ca="1"/>
      </c>
      <c r="DC477">
        <f ca="1"/>
      </c>
      <c r="DD477">
        <f ca="1"/>
      </c>
      <c r="DE477">
        <f ca="1"/>
      </c>
      <c r="DF477">
        <f ca="1"/>
      </c>
      <c r="DG477">
        <f ca="1"/>
      </c>
      <c r="DH477">
        <f ca="1"/>
      </c>
      <c r="DI477">
        <f ca="1"/>
      </c>
      <c r="DJ477">
        <f ca="1"/>
      </c>
      <c r="DK477">
        <f ca="1"/>
      </c>
      <c r="DL477">
        <f ca="1"/>
      </c>
      <c r="DM477">
        <f ca="1"/>
      </c>
      <c r="DN477">
        <f ca="1"/>
      </c>
      <c r="DO477">
        <f ca="1"/>
      </c>
      <c r="DP477">
        <f ca="1"/>
      </c>
      <c r="DQ477">
        <f ca="1"/>
      </c>
      <c r="DR477">
        <f ca="1"/>
      </c>
      <c r="DS477">
        <f ca="1"/>
      </c>
      <c r="DT477">
        <f ca="1"/>
      </c>
      <c r="DU477">
        <f ca="1"/>
      </c>
      <c r="DV477">
        <f ca="1"/>
      </c>
      <c r="DW477">
        <f ca="1"/>
      </c>
      <c r="DX477">
        <f ca="1"/>
      </c>
      <c r="DY477">
        <f ca="1"/>
      </c>
      <c r="DZ477">
        <f ca="1"/>
      </c>
      <c r="EA477">
        <f ca="1"/>
      </c>
      <c r="EB477">
        <f ca="1"/>
      </c>
      <c r="EC477">
        <f ca="1"/>
      </c>
      <c r="ED477">
        <f ca="1"/>
      </c>
      <c r="EE477">
        <f ca="1"/>
      </c>
      <c r="EG477">
        <f ca="1"/>
      </c>
      <c r="EH477">
        <f ca="1"/>
      </c>
      <c r="EI477">
        <f ca="1"/>
      </c>
      <c r="EJ477">
        <f ca="1"/>
      </c>
      <c r="EK477">
        <f ca="1"/>
      </c>
      <c r="EL477">
        <f ca="1"/>
      </c>
      <c r="EM477">
        <f ca="1"/>
      </c>
      <c r="EN477">
        <f ca="1"/>
      </c>
      <c r="EO477">
        <f ca="1"/>
      </c>
      <c r="EP477">
        <f ca="1"/>
      </c>
      <c r="EQ477">
        <f ca="1"/>
      </c>
      <c r="ER477">
        <f ca="1"/>
      </c>
      <c r="ES477">
        <f ca="1"/>
      </c>
      <c r="ET477">
        <f ca="1"/>
      </c>
      <c r="EU477">
        <f ca="1"/>
      </c>
      <c r="EV477">
        <f ca="1"/>
      </c>
      <c r="EW477">
        <f ca="1"/>
      </c>
      <c r="EX477">
        <f ca="1"/>
      </c>
      <c r="EY477">
        <f ca="1"/>
      </c>
      <c r="EZ477">
        <f ca="1"/>
      </c>
      <c r="FA477">
        <f ca="1"/>
      </c>
      <c r="FB477">
        <f ca="1"/>
      </c>
      <c r="FC477">
        <f ca="1"/>
      </c>
      <c r="FD477">
        <f ca="1"/>
      </c>
      <c r="FE477">
        <f ca="1"/>
      </c>
      <c r="FF477">
        <f ca="1"/>
      </c>
      <c r="FG477">
        <f ca="1"/>
      </c>
      <c r="FH477">
        <f ca="1"/>
      </c>
      <c r="FI477">
        <f ca="1"/>
      </c>
      <c r="FJ477">
        <f ca="1"/>
      </c>
      <c r="FK477">
        <f ca="1"/>
      </c>
      <c r="FL477">
        <f ca="1"/>
      </c>
      <c r="FM477">
        <f ca="1"/>
      </c>
      <c r="FN477">
        <f ca="1"/>
      </c>
      <c r="FO477">
        <f ca="1"/>
      </c>
      <c r="FP477">
        <f ca="1"/>
      </c>
      <c r="FQ477">
        <f ca="1"/>
      </c>
      <c r="FR477">
        <f ca="1"/>
      </c>
      <c r="FS477">
        <f ca="1"/>
      </c>
      <c r="FT477">
        <f ca="1"/>
      </c>
      <c r="FU477">
        <f ca="1"/>
      </c>
      <c r="FV477">
        <f ca="1"/>
      </c>
      <c r="FW477">
        <f ca="1"/>
      </c>
      <c r="FX477">
        <f ca="1"/>
      </c>
      <c r="FY477">
        <f ca="1"/>
      </c>
      <c r="FZ477">
        <f ca="1"/>
      </c>
      <c r="GA477">
        <f ca="1"/>
      </c>
      <c r="GM477" s="7"/>
    </row>
    <row r="478" spans="41:195" x14ac:dyDescent="0.55000000000000004">
      <c r="AO478">
        <f ca="1"/>
      </c>
      <c r="AP478">
        <f ca="1"/>
      </c>
      <c r="AQ478">
        <f ca="1"/>
      </c>
      <c r="AR478">
        <f ca="1"/>
      </c>
      <c r="AS478">
        <f ca="1"/>
      </c>
      <c r="AT478">
        <f ca="1"/>
      </c>
      <c r="AU478">
        <f ca="1"/>
      </c>
      <c r="AV478">
        <f ca="1"/>
      </c>
      <c r="AW478">
        <f ca="1"/>
      </c>
      <c r="AX478">
        <f ca="1"/>
      </c>
      <c r="AY478">
        <f ca="1"/>
      </c>
      <c r="AZ478">
        <f ca="1"/>
      </c>
      <c r="BA478">
        <f ca="1"/>
      </c>
      <c r="BB478">
        <f ca="1"/>
      </c>
      <c r="BC478">
        <f ca="1"/>
      </c>
      <c r="BD478">
        <f ca="1"/>
      </c>
      <c r="BE478">
        <f ca="1"/>
      </c>
      <c r="BF478">
        <f ca="1"/>
      </c>
      <c r="BG478">
        <f ca="1"/>
      </c>
      <c r="BH478">
        <f ca="1"/>
      </c>
      <c r="BI478">
        <f ca="1"/>
      </c>
      <c r="BJ478">
        <f ca="1"/>
      </c>
      <c r="BK478">
        <f ca="1"/>
      </c>
      <c r="BL478">
        <f ca="1"/>
      </c>
      <c r="BM478">
        <f ca="1"/>
      </c>
      <c r="BN478">
        <f ca="1"/>
      </c>
      <c r="BO478">
        <f ca="1"/>
      </c>
      <c r="BP478">
        <f ca="1"/>
      </c>
      <c r="BQ478">
        <f ca="1"/>
      </c>
      <c r="BR478">
        <f ca="1"/>
      </c>
      <c r="BS478">
        <f ca="1"/>
      </c>
      <c r="BT478">
        <f ca="1"/>
      </c>
      <c r="BU478">
        <f ca="1"/>
      </c>
      <c r="BV478">
        <f ca="1"/>
      </c>
      <c r="BW478">
        <f ca="1"/>
      </c>
      <c r="BX478">
        <f ca="1"/>
      </c>
      <c r="BY478">
        <f ca="1"/>
      </c>
      <c r="BZ478">
        <f ca="1"/>
      </c>
      <c r="CA478">
        <f ca="1"/>
      </c>
      <c r="CB478">
        <f ca="1"/>
      </c>
      <c r="CC478">
        <f ca="1"/>
      </c>
      <c r="CD478">
        <f ca="1"/>
      </c>
      <c r="CE478">
        <f ca="1"/>
      </c>
      <c r="CF478">
        <f ca="1"/>
      </c>
      <c r="CG478">
        <f ca="1"/>
      </c>
      <c r="CH478">
        <f ca="1"/>
      </c>
      <c r="CI478">
        <f ca="1"/>
      </c>
      <c r="CK478">
        <f ca="1"/>
      </c>
      <c r="CL478">
        <f ca="1"/>
      </c>
      <c r="CM478">
        <f ca="1"/>
      </c>
      <c r="CN478">
        <f ca="1"/>
      </c>
      <c r="CO478">
        <f ca="1"/>
      </c>
      <c r="CP478">
        <f ca="1"/>
      </c>
      <c r="CQ478">
        <f ca="1"/>
      </c>
      <c r="CR478">
        <f ca="1"/>
      </c>
      <c r="CS478">
        <f ca="1"/>
      </c>
      <c r="CT478">
        <f ca="1"/>
      </c>
      <c r="CU478">
        <f ca="1"/>
      </c>
      <c r="CV478">
        <f ca="1"/>
      </c>
      <c r="CW478">
        <f ca="1"/>
      </c>
      <c r="CX478">
        <f ca="1"/>
      </c>
      <c r="CY478">
        <f ca="1"/>
      </c>
      <c r="CZ478">
        <f ca="1"/>
      </c>
      <c r="DA478">
        <f ca="1"/>
      </c>
      <c r="DB478">
        <f ca="1"/>
      </c>
      <c r="DC478">
        <f ca="1"/>
      </c>
      <c r="DD478">
        <f ca="1"/>
      </c>
      <c r="DE478">
        <f ca="1"/>
      </c>
      <c r="DF478">
        <f ca="1"/>
      </c>
      <c r="DG478">
        <f ca="1"/>
      </c>
      <c r="DH478">
        <f ca="1"/>
      </c>
      <c r="DI478">
        <f ca="1"/>
      </c>
      <c r="DJ478">
        <f ca="1"/>
      </c>
      <c r="DK478">
        <f ca="1"/>
      </c>
      <c r="DL478">
        <f ca="1"/>
      </c>
      <c r="DM478">
        <f ca="1"/>
      </c>
      <c r="DN478">
        <f ca="1"/>
      </c>
      <c r="DO478">
        <f ca="1"/>
      </c>
      <c r="DP478">
        <f ca="1"/>
      </c>
      <c r="DQ478">
        <f ca="1"/>
      </c>
      <c r="DR478">
        <f ca="1"/>
      </c>
      <c r="DS478">
        <f ca="1"/>
      </c>
      <c r="DT478">
        <f ca="1"/>
      </c>
      <c r="DU478">
        <f ca="1"/>
      </c>
      <c r="DV478">
        <f ca="1"/>
      </c>
      <c r="DW478">
        <f ca="1"/>
      </c>
      <c r="DX478">
        <f ca="1"/>
      </c>
      <c r="DY478">
        <f ca="1"/>
      </c>
      <c r="DZ478">
        <f ca="1"/>
      </c>
      <c r="EA478">
        <f ca="1"/>
      </c>
      <c r="EB478">
        <f ca="1"/>
      </c>
      <c r="EC478">
        <f ca="1"/>
      </c>
      <c r="ED478">
        <f ca="1"/>
      </c>
      <c r="EE478">
        <f ca="1"/>
      </c>
      <c r="EG478">
        <f ca="1"/>
      </c>
      <c r="EH478">
        <f ca="1"/>
      </c>
      <c r="EI478">
        <f ca="1"/>
      </c>
      <c r="EJ478">
        <f ca="1"/>
      </c>
      <c r="EK478">
        <f ca="1"/>
      </c>
      <c r="EL478">
        <f ca="1"/>
      </c>
      <c r="EM478">
        <f ca="1"/>
      </c>
      <c r="EN478">
        <f ca="1"/>
      </c>
      <c r="EO478">
        <f ca="1"/>
      </c>
      <c r="EP478">
        <f ca="1"/>
      </c>
      <c r="EQ478">
        <f ca="1"/>
      </c>
      <c r="ER478">
        <f ca="1"/>
      </c>
      <c r="ES478">
        <f ca="1"/>
      </c>
      <c r="ET478">
        <f ca="1"/>
      </c>
      <c r="EU478">
        <f ca="1"/>
      </c>
      <c r="EV478">
        <f ca="1"/>
      </c>
      <c r="EW478">
        <f ca="1"/>
      </c>
      <c r="EX478">
        <f ca="1"/>
      </c>
      <c r="EY478">
        <f ca="1"/>
      </c>
      <c r="EZ478">
        <f ca="1"/>
      </c>
      <c r="FA478">
        <f ca="1"/>
      </c>
      <c r="FB478">
        <f ca="1"/>
      </c>
      <c r="FC478">
        <f ca="1"/>
      </c>
      <c r="FD478">
        <f ca="1"/>
      </c>
      <c r="FE478">
        <f ca="1"/>
      </c>
      <c r="FF478">
        <f ca="1"/>
      </c>
      <c r="FG478">
        <f ca="1"/>
      </c>
      <c r="FH478">
        <f ca="1"/>
      </c>
      <c r="FI478">
        <f ca="1"/>
      </c>
      <c r="FJ478">
        <f ca="1"/>
      </c>
      <c r="FK478">
        <f ca="1"/>
      </c>
      <c r="FL478">
        <f ca="1"/>
      </c>
      <c r="FM478">
        <f ca="1"/>
      </c>
      <c r="FN478">
        <f ca="1"/>
      </c>
      <c r="FO478">
        <f ca="1"/>
      </c>
      <c r="FP478">
        <f ca="1"/>
      </c>
      <c r="FQ478">
        <f ca="1"/>
      </c>
      <c r="FR478">
        <f ca="1"/>
      </c>
      <c r="FS478">
        <f ca="1"/>
      </c>
      <c r="FT478">
        <f ca="1"/>
      </c>
      <c r="FU478">
        <f ca="1"/>
      </c>
      <c r="FV478">
        <f ca="1"/>
      </c>
      <c r="FW478">
        <f ca="1"/>
      </c>
      <c r="FX478">
        <f ca="1"/>
      </c>
      <c r="FY478">
        <f ca="1"/>
      </c>
      <c r="FZ478">
        <f ca="1"/>
      </c>
      <c r="GA478">
        <f ca="1"/>
      </c>
      <c r="GM478" s="7"/>
    </row>
    <row r="479" spans="41:195" x14ac:dyDescent="0.55000000000000004">
      <c r="AO479">
        <f ca="1"/>
      </c>
      <c r="AP479">
        <f ca="1"/>
      </c>
      <c r="AQ479">
        <f ca="1"/>
      </c>
      <c r="AR479">
        <f ca="1"/>
      </c>
      <c r="AS479">
        <f ca="1"/>
      </c>
      <c r="AT479">
        <f ca="1"/>
      </c>
      <c r="AU479">
        <f ca="1"/>
      </c>
      <c r="AV479">
        <f ca="1"/>
      </c>
      <c r="AW479">
        <f ca="1"/>
      </c>
      <c r="AX479">
        <f ca="1"/>
      </c>
      <c r="AY479">
        <f ca="1"/>
      </c>
      <c r="AZ479">
        <f ca="1"/>
      </c>
      <c r="BA479">
        <f ca="1"/>
      </c>
      <c r="BB479">
        <f ca="1"/>
      </c>
      <c r="BC479">
        <f ca="1"/>
      </c>
      <c r="BD479">
        <f ca="1"/>
      </c>
      <c r="BE479">
        <f ca="1"/>
      </c>
      <c r="BF479">
        <f ca="1"/>
      </c>
      <c r="BG479">
        <f ca="1"/>
      </c>
      <c r="BH479">
        <f ca="1"/>
      </c>
      <c r="BI479">
        <f ca="1"/>
      </c>
      <c r="BJ479">
        <f ca="1"/>
      </c>
      <c r="BK479">
        <f ca="1"/>
      </c>
      <c r="BL479">
        <f ca="1"/>
      </c>
      <c r="BM479">
        <f ca="1"/>
      </c>
      <c r="BN479">
        <f ca="1"/>
      </c>
      <c r="BO479">
        <f ca="1"/>
      </c>
      <c r="BP479">
        <f ca="1"/>
      </c>
      <c r="BQ479">
        <f ca="1"/>
      </c>
      <c r="BR479">
        <f ca="1"/>
      </c>
      <c r="BS479">
        <f ca="1"/>
      </c>
      <c r="BT479">
        <f ca="1"/>
      </c>
      <c r="BU479">
        <f ca="1"/>
      </c>
      <c r="BV479">
        <f ca="1"/>
      </c>
      <c r="BW479">
        <f ca="1"/>
      </c>
      <c r="BX479">
        <f ca="1"/>
      </c>
      <c r="BY479">
        <f ca="1"/>
      </c>
      <c r="BZ479">
        <f ca="1"/>
      </c>
      <c r="CA479">
        <f ca="1"/>
      </c>
      <c r="CB479">
        <f ca="1"/>
      </c>
      <c r="CC479">
        <f ca="1"/>
      </c>
      <c r="CD479">
        <f ca="1"/>
      </c>
      <c r="CE479">
        <f ca="1"/>
      </c>
      <c r="CF479">
        <f ca="1"/>
      </c>
      <c r="CG479">
        <f ca="1"/>
      </c>
      <c r="CH479">
        <f ca="1"/>
      </c>
      <c r="CI479">
        <f ca="1"/>
      </c>
      <c r="CK479">
        <f ca="1"/>
      </c>
      <c r="CL479">
        <f ca="1"/>
      </c>
      <c r="CM479">
        <f ca="1"/>
      </c>
      <c r="CN479">
        <f ca="1"/>
      </c>
      <c r="CO479">
        <f ca="1"/>
      </c>
      <c r="CP479">
        <f ca="1"/>
      </c>
      <c r="CQ479">
        <f ca="1"/>
      </c>
      <c r="CR479">
        <f ca="1"/>
      </c>
      <c r="CS479">
        <f ca="1"/>
      </c>
      <c r="CT479">
        <f ca="1"/>
      </c>
      <c r="CU479">
        <f ca="1"/>
      </c>
      <c r="CV479">
        <f ca="1"/>
      </c>
      <c r="CW479">
        <f ca="1"/>
      </c>
      <c r="CX479">
        <f ca="1"/>
      </c>
      <c r="CY479">
        <f ca="1"/>
      </c>
      <c r="CZ479">
        <f ca="1"/>
      </c>
      <c r="DA479">
        <f ca="1"/>
      </c>
      <c r="DB479">
        <f ca="1"/>
      </c>
      <c r="DC479">
        <f ca="1"/>
      </c>
      <c r="DD479">
        <f ca="1"/>
      </c>
      <c r="DE479">
        <f ca="1"/>
      </c>
      <c r="DF479">
        <f ca="1"/>
      </c>
      <c r="DG479">
        <f ca="1"/>
      </c>
      <c r="DH479">
        <f ca="1"/>
      </c>
      <c r="DI479">
        <f ca="1"/>
      </c>
      <c r="DJ479">
        <f ca="1"/>
      </c>
      <c r="DK479">
        <f ca="1"/>
      </c>
      <c r="DL479">
        <f ca="1"/>
      </c>
      <c r="DM479">
        <f ca="1"/>
      </c>
      <c r="DN479">
        <f ca="1"/>
      </c>
      <c r="DO479">
        <f ca="1"/>
      </c>
      <c r="DP479">
        <f ca="1"/>
      </c>
      <c r="DQ479">
        <f ca="1"/>
      </c>
      <c r="DR479">
        <f ca="1"/>
      </c>
      <c r="DS479">
        <f ca="1"/>
      </c>
      <c r="DT479">
        <f ca="1"/>
      </c>
      <c r="DU479">
        <f ca="1"/>
      </c>
      <c r="DV479">
        <f ca="1"/>
      </c>
      <c r="DW479">
        <f ca="1"/>
      </c>
      <c r="DX479">
        <f ca="1"/>
      </c>
      <c r="DY479">
        <f ca="1"/>
      </c>
      <c r="DZ479">
        <f ca="1"/>
      </c>
      <c r="EA479">
        <f ca="1"/>
      </c>
      <c r="EB479">
        <f ca="1"/>
      </c>
      <c r="EC479">
        <f ca="1"/>
      </c>
      <c r="ED479">
        <f ca="1"/>
      </c>
      <c r="EE479">
        <f ca="1"/>
      </c>
      <c r="EG479">
        <f ca="1"/>
      </c>
      <c r="EH479">
        <f ca="1"/>
      </c>
      <c r="EI479">
        <f ca="1"/>
      </c>
      <c r="EJ479">
        <f ca="1"/>
      </c>
      <c r="EK479">
        <f ca="1"/>
      </c>
      <c r="EL479">
        <f ca="1"/>
      </c>
      <c r="EM479">
        <f ca="1"/>
      </c>
      <c r="EN479">
        <f ca="1"/>
      </c>
      <c r="EO479">
        <f ca="1"/>
      </c>
      <c r="EP479">
        <f ca="1"/>
      </c>
      <c r="EQ479">
        <f ca="1"/>
      </c>
      <c r="ER479">
        <f ca="1"/>
      </c>
      <c r="ES479">
        <f ca="1"/>
      </c>
      <c r="ET479">
        <f ca="1"/>
      </c>
      <c r="EU479">
        <f ca="1"/>
      </c>
      <c r="EV479">
        <f ca="1"/>
      </c>
      <c r="EW479">
        <f ca="1"/>
      </c>
      <c r="EX479">
        <f ca="1"/>
      </c>
      <c r="EY479">
        <f ca="1"/>
      </c>
      <c r="EZ479">
        <f ca="1"/>
      </c>
      <c r="FA479">
        <f ca="1"/>
      </c>
      <c r="FB479">
        <f ca="1"/>
      </c>
      <c r="FC479">
        <f ca="1"/>
      </c>
      <c r="FD479">
        <f ca="1"/>
      </c>
      <c r="FE479">
        <f ca="1"/>
      </c>
      <c r="FF479">
        <f ca="1"/>
      </c>
      <c r="FG479">
        <f ca="1"/>
      </c>
      <c r="FH479">
        <f ca="1"/>
      </c>
      <c r="FI479">
        <f ca="1"/>
      </c>
      <c r="FJ479">
        <f ca="1"/>
      </c>
      <c r="FK479">
        <f ca="1"/>
      </c>
      <c r="FL479">
        <f ca="1"/>
      </c>
      <c r="FM479">
        <f ca="1"/>
      </c>
      <c r="FN479">
        <f ca="1"/>
      </c>
      <c r="FO479">
        <f ca="1"/>
      </c>
      <c r="FP479">
        <f ca="1"/>
      </c>
      <c r="FQ479">
        <f ca="1"/>
      </c>
      <c r="FR479">
        <f ca="1"/>
      </c>
      <c r="FS479">
        <f ca="1"/>
      </c>
      <c r="FT479">
        <f ca="1"/>
      </c>
      <c r="FU479">
        <f ca="1"/>
      </c>
      <c r="FV479">
        <f ca="1"/>
      </c>
      <c r="FW479">
        <f ca="1"/>
      </c>
      <c r="FX479">
        <f ca="1"/>
      </c>
      <c r="FY479">
        <f ca="1"/>
      </c>
      <c r="FZ479">
        <f ca="1"/>
      </c>
      <c r="GA479">
        <f ca="1"/>
      </c>
      <c r="GM479" s="7"/>
    </row>
    <row r="480" spans="41:195" x14ac:dyDescent="0.55000000000000004">
      <c r="AO480">
        <f ca="1"/>
      </c>
      <c r="AP480">
        <f ca="1"/>
      </c>
      <c r="AQ480">
        <f ca="1"/>
      </c>
      <c r="AR480">
        <f ca="1"/>
      </c>
      <c r="AS480">
        <f ca="1"/>
      </c>
      <c r="AT480">
        <f ca="1"/>
      </c>
      <c r="AU480">
        <f ca="1"/>
      </c>
      <c r="AV480">
        <f ca="1"/>
      </c>
      <c r="AW480">
        <f ca="1"/>
      </c>
      <c r="AX480">
        <f ca="1"/>
      </c>
      <c r="AY480">
        <f ca="1"/>
      </c>
      <c r="AZ480">
        <f ca="1"/>
      </c>
      <c r="BA480">
        <f ca="1"/>
      </c>
      <c r="BB480">
        <f ca="1"/>
      </c>
      <c r="BC480">
        <f ca="1"/>
      </c>
      <c r="BD480">
        <f ca="1"/>
      </c>
      <c r="BE480">
        <f ca="1"/>
      </c>
      <c r="BF480">
        <f ca="1"/>
      </c>
      <c r="BG480">
        <f ca="1"/>
      </c>
      <c r="BH480">
        <f ca="1"/>
      </c>
      <c r="BI480">
        <f ca="1"/>
      </c>
      <c r="BJ480">
        <f ca="1"/>
      </c>
      <c r="BK480">
        <f ca="1"/>
      </c>
      <c r="BL480">
        <f ca="1"/>
      </c>
      <c r="BM480">
        <f ca="1"/>
      </c>
      <c r="BN480">
        <f ca="1"/>
      </c>
      <c r="BO480">
        <f ca="1"/>
      </c>
      <c r="BP480">
        <f ca="1"/>
      </c>
      <c r="BQ480">
        <f ca="1"/>
      </c>
      <c r="BR480">
        <f ca="1"/>
      </c>
      <c r="BS480">
        <f ca="1"/>
      </c>
      <c r="BT480">
        <f ca="1"/>
      </c>
      <c r="BU480">
        <f ca="1"/>
      </c>
      <c r="BV480">
        <f ca="1"/>
      </c>
      <c r="BW480">
        <f ca="1"/>
      </c>
      <c r="BX480">
        <f ca="1"/>
      </c>
      <c r="BY480">
        <f ca="1"/>
      </c>
      <c r="BZ480">
        <f ca="1"/>
      </c>
      <c r="CA480">
        <f ca="1"/>
      </c>
      <c r="CB480">
        <f ca="1"/>
      </c>
      <c r="CC480">
        <f ca="1"/>
      </c>
      <c r="CD480">
        <f ca="1"/>
      </c>
      <c r="CE480">
        <f ca="1"/>
      </c>
      <c r="CF480">
        <f ca="1"/>
      </c>
      <c r="CG480">
        <f ca="1"/>
      </c>
      <c r="CH480">
        <f ca="1"/>
      </c>
      <c r="CI480">
        <f ca="1"/>
      </c>
      <c r="CK480">
        <f ca="1"/>
      </c>
      <c r="CL480">
        <f ca="1"/>
      </c>
      <c r="CM480">
        <f ca="1"/>
      </c>
      <c r="CN480">
        <f ca="1"/>
      </c>
      <c r="CO480">
        <f ca="1"/>
      </c>
      <c r="CP480">
        <f ca="1"/>
      </c>
      <c r="CQ480">
        <f ca="1"/>
      </c>
      <c r="CR480">
        <f ca="1"/>
      </c>
      <c r="CS480">
        <f ca="1"/>
      </c>
      <c r="CT480">
        <f ca="1"/>
      </c>
      <c r="CU480">
        <f ca="1"/>
      </c>
      <c r="CV480">
        <f ca="1"/>
      </c>
      <c r="CW480">
        <f ca="1"/>
      </c>
      <c r="CX480">
        <f ca="1"/>
      </c>
      <c r="CY480">
        <f ca="1"/>
      </c>
      <c r="CZ480">
        <f ca="1"/>
      </c>
      <c r="DA480">
        <f ca="1"/>
      </c>
      <c r="DB480">
        <f ca="1"/>
      </c>
      <c r="DC480">
        <f ca="1"/>
      </c>
      <c r="DD480">
        <f ca="1"/>
      </c>
      <c r="DE480">
        <f ca="1"/>
      </c>
      <c r="DF480">
        <f ca="1"/>
      </c>
      <c r="DG480">
        <f ca="1"/>
      </c>
      <c r="DH480">
        <f ca="1"/>
      </c>
      <c r="DI480">
        <f ca="1"/>
      </c>
      <c r="DJ480">
        <f ca="1"/>
      </c>
      <c r="DK480">
        <f ca="1"/>
      </c>
      <c r="DL480">
        <f ca="1"/>
      </c>
      <c r="DM480">
        <f ca="1"/>
      </c>
      <c r="DN480">
        <f ca="1"/>
      </c>
      <c r="DO480">
        <f ca="1"/>
      </c>
      <c r="DP480">
        <f ca="1"/>
      </c>
      <c r="DQ480">
        <f ca="1"/>
      </c>
      <c r="DR480">
        <f ca="1"/>
      </c>
      <c r="DS480">
        <f ca="1"/>
      </c>
      <c r="DT480">
        <f ca="1"/>
      </c>
      <c r="DU480">
        <f ca="1"/>
      </c>
      <c r="DV480">
        <f ca="1"/>
      </c>
      <c r="DW480">
        <f ca="1"/>
      </c>
      <c r="DX480">
        <f ca="1"/>
      </c>
      <c r="DY480">
        <f ca="1"/>
      </c>
      <c r="DZ480">
        <f ca="1"/>
      </c>
      <c r="EA480">
        <f ca="1"/>
      </c>
      <c r="EB480">
        <f ca="1"/>
      </c>
      <c r="EC480">
        <f ca="1"/>
      </c>
      <c r="ED480">
        <f ca="1"/>
      </c>
      <c r="EE480">
        <f ca="1"/>
      </c>
      <c r="EG480">
        <f ca="1"/>
      </c>
      <c r="EH480">
        <f ca="1"/>
      </c>
      <c r="EI480">
        <f ca="1"/>
      </c>
      <c r="EJ480">
        <f ca="1"/>
      </c>
      <c r="EK480">
        <f ca="1"/>
      </c>
      <c r="EL480">
        <f ca="1"/>
      </c>
      <c r="EM480">
        <f ca="1"/>
      </c>
      <c r="EN480">
        <f ca="1"/>
      </c>
      <c r="EO480">
        <f ca="1"/>
      </c>
      <c r="EP480">
        <f ca="1"/>
      </c>
      <c r="EQ480">
        <f ca="1"/>
      </c>
      <c r="ER480">
        <f ca="1"/>
      </c>
      <c r="ES480">
        <f ca="1"/>
      </c>
      <c r="ET480">
        <f ca="1"/>
      </c>
      <c r="EU480">
        <f ca="1"/>
      </c>
      <c r="EV480">
        <f ca="1"/>
      </c>
      <c r="EW480">
        <f ca="1"/>
      </c>
      <c r="EX480">
        <f ca="1"/>
      </c>
      <c r="EY480">
        <f ca="1"/>
      </c>
      <c r="EZ480">
        <f ca="1"/>
      </c>
      <c r="FA480">
        <f ca="1"/>
      </c>
      <c r="FB480">
        <f ca="1"/>
      </c>
      <c r="FC480">
        <f ca="1"/>
      </c>
      <c r="FD480">
        <f ca="1"/>
      </c>
      <c r="FE480">
        <f ca="1"/>
      </c>
      <c r="FF480">
        <f ca="1"/>
      </c>
      <c r="FG480">
        <f ca="1"/>
      </c>
      <c r="FH480">
        <f ca="1"/>
      </c>
      <c r="FI480">
        <f ca="1"/>
      </c>
      <c r="FJ480">
        <f ca="1"/>
      </c>
      <c r="FK480">
        <f ca="1"/>
      </c>
      <c r="FL480">
        <f ca="1"/>
      </c>
      <c r="FM480">
        <f ca="1"/>
      </c>
      <c r="FN480">
        <f ca="1"/>
      </c>
      <c r="FO480">
        <f ca="1"/>
      </c>
      <c r="FP480">
        <f ca="1"/>
      </c>
      <c r="FQ480">
        <f ca="1"/>
      </c>
      <c r="FR480">
        <f ca="1"/>
      </c>
      <c r="FS480">
        <f ca="1"/>
      </c>
      <c r="FT480">
        <f ca="1"/>
      </c>
      <c r="FU480">
        <f ca="1"/>
      </c>
      <c r="FV480">
        <f ca="1"/>
      </c>
      <c r="FW480">
        <f ca="1"/>
      </c>
      <c r="FX480">
        <f ca="1"/>
      </c>
      <c r="FY480">
        <f ca="1"/>
      </c>
      <c r="FZ480">
        <f ca="1"/>
      </c>
      <c r="GA480">
        <f ca="1"/>
      </c>
      <c r="GM480" s="7"/>
    </row>
    <row r="481" spans="41:195" x14ac:dyDescent="0.55000000000000004">
      <c r="AO481">
        <f ca="1"/>
      </c>
      <c r="AP481">
        <f ca="1"/>
      </c>
      <c r="AQ481">
        <f ca="1"/>
      </c>
      <c r="AR481">
        <f ca="1"/>
      </c>
      <c r="AS481">
        <f ca="1"/>
      </c>
      <c r="AT481">
        <f ca="1"/>
      </c>
      <c r="AU481">
        <f ca="1"/>
      </c>
      <c r="AV481">
        <f ca="1"/>
      </c>
      <c r="AW481">
        <f ca="1"/>
      </c>
      <c r="AX481">
        <f ca="1"/>
      </c>
      <c r="AY481">
        <f ca="1"/>
      </c>
      <c r="AZ481">
        <f ca="1"/>
      </c>
      <c r="BA481">
        <f ca="1"/>
      </c>
      <c r="BB481">
        <f ca="1"/>
      </c>
      <c r="BC481">
        <f ca="1"/>
      </c>
      <c r="BD481">
        <f ca="1"/>
      </c>
      <c r="BE481">
        <f ca="1"/>
      </c>
      <c r="BF481">
        <f ca="1"/>
      </c>
      <c r="BG481">
        <f ca="1"/>
      </c>
      <c r="BH481">
        <f ca="1"/>
      </c>
      <c r="BI481">
        <f ca="1"/>
      </c>
      <c r="BJ481">
        <f ca="1"/>
      </c>
      <c r="BK481">
        <f ca="1"/>
      </c>
      <c r="BL481">
        <f ca="1"/>
      </c>
      <c r="BM481">
        <f ca="1"/>
      </c>
      <c r="BN481">
        <f ca="1"/>
      </c>
      <c r="BO481">
        <f ca="1"/>
      </c>
      <c r="BP481">
        <f ca="1"/>
      </c>
      <c r="BQ481">
        <f ca="1"/>
      </c>
      <c r="BR481">
        <f ca="1"/>
      </c>
      <c r="BS481">
        <f ca="1"/>
      </c>
      <c r="BT481">
        <f ca="1"/>
      </c>
      <c r="BU481">
        <f ca="1"/>
      </c>
      <c r="BV481">
        <f ca="1"/>
      </c>
      <c r="BW481">
        <f ca="1"/>
      </c>
      <c r="BX481">
        <f ca="1"/>
      </c>
      <c r="BY481">
        <f ca="1"/>
      </c>
      <c r="BZ481">
        <f ca="1"/>
      </c>
      <c r="CA481">
        <f ca="1"/>
      </c>
      <c r="CB481">
        <f ca="1"/>
      </c>
      <c r="CC481">
        <f ca="1"/>
      </c>
      <c r="CD481">
        <f ca="1"/>
      </c>
      <c r="CE481">
        <f ca="1"/>
      </c>
      <c r="CF481">
        <f ca="1"/>
      </c>
      <c r="CG481">
        <f ca="1"/>
      </c>
      <c r="CH481">
        <f ca="1"/>
      </c>
      <c r="CI481">
        <f ca="1"/>
      </c>
      <c r="CK481">
        <f ca="1"/>
      </c>
      <c r="CL481">
        <f ca="1"/>
      </c>
      <c r="CM481">
        <f ca="1"/>
      </c>
      <c r="CN481">
        <f ca="1"/>
      </c>
      <c r="CO481">
        <f ca="1"/>
      </c>
      <c r="CP481">
        <f ca="1"/>
      </c>
      <c r="CQ481">
        <f ca="1"/>
      </c>
      <c r="CR481">
        <f ca="1"/>
      </c>
      <c r="CS481">
        <f ca="1"/>
      </c>
      <c r="CT481">
        <f ca="1"/>
      </c>
      <c r="CU481">
        <f ca="1"/>
      </c>
      <c r="CV481">
        <f ca="1"/>
      </c>
      <c r="CW481">
        <f ca="1"/>
      </c>
      <c r="CX481">
        <f ca="1"/>
      </c>
      <c r="CY481">
        <f ca="1"/>
      </c>
      <c r="CZ481">
        <f ca="1"/>
      </c>
      <c r="DA481">
        <f ca="1"/>
      </c>
      <c r="DB481">
        <f ca="1"/>
      </c>
      <c r="DC481">
        <f ca="1"/>
      </c>
      <c r="DD481">
        <f ca="1"/>
      </c>
      <c r="DE481">
        <f ca="1"/>
      </c>
      <c r="DF481">
        <f ca="1"/>
      </c>
      <c r="DG481">
        <f ca="1"/>
      </c>
      <c r="DH481">
        <f ca="1"/>
      </c>
      <c r="DI481">
        <f ca="1"/>
      </c>
      <c r="DJ481">
        <f ca="1"/>
      </c>
      <c r="DK481">
        <f ca="1"/>
      </c>
      <c r="DL481">
        <f ca="1"/>
      </c>
      <c r="DM481">
        <f ca="1"/>
      </c>
      <c r="DN481">
        <f ca="1"/>
      </c>
      <c r="DO481">
        <f ca="1"/>
      </c>
      <c r="DP481">
        <f ca="1"/>
      </c>
      <c r="DQ481">
        <f ca="1"/>
      </c>
      <c r="DR481">
        <f ca="1"/>
      </c>
      <c r="DS481">
        <f ca="1"/>
      </c>
      <c r="DT481">
        <f ca="1"/>
      </c>
      <c r="DU481">
        <f ca="1"/>
      </c>
      <c r="DV481">
        <f ca="1"/>
      </c>
      <c r="DW481">
        <f ca="1"/>
      </c>
      <c r="DX481">
        <f ca="1"/>
      </c>
      <c r="DY481">
        <f ca="1"/>
      </c>
      <c r="DZ481">
        <f ca="1"/>
      </c>
      <c r="EA481">
        <f ca="1"/>
      </c>
      <c r="EB481">
        <f ca="1"/>
      </c>
      <c r="EC481">
        <f ca="1"/>
      </c>
      <c r="ED481">
        <f ca="1"/>
      </c>
      <c r="EE481">
        <f ca="1"/>
      </c>
      <c r="EG481">
        <f ca="1"/>
      </c>
      <c r="EH481">
        <f ca="1"/>
      </c>
      <c r="EI481">
        <f ca="1"/>
      </c>
      <c r="EJ481">
        <f ca="1"/>
      </c>
      <c r="EK481">
        <f ca="1"/>
      </c>
      <c r="EL481">
        <f ca="1"/>
      </c>
      <c r="EM481">
        <f ca="1"/>
      </c>
      <c r="EN481">
        <f ca="1"/>
      </c>
      <c r="EO481">
        <f ca="1"/>
      </c>
      <c r="EP481">
        <f ca="1"/>
      </c>
      <c r="EQ481">
        <f ca="1"/>
      </c>
      <c r="ER481">
        <f ca="1"/>
      </c>
      <c r="ES481">
        <f ca="1"/>
      </c>
      <c r="ET481">
        <f ca="1"/>
      </c>
      <c r="EU481">
        <f ca="1"/>
      </c>
      <c r="EV481">
        <f ca="1"/>
      </c>
      <c r="EW481">
        <f ca="1"/>
      </c>
      <c r="EX481">
        <f ca="1"/>
      </c>
      <c r="EY481">
        <f ca="1"/>
      </c>
      <c r="EZ481">
        <f ca="1"/>
      </c>
      <c r="FA481">
        <f ca="1"/>
      </c>
      <c r="FB481">
        <f ca="1"/>
      </c>
      <c r="FC481">
        <f ca="1"/>
      </c>
      <c r="FD481">
        <f ca="1"/>
      </c>
      <c r="FE481">
        <f ca="1"/>
      </c>
      <c r="FF481">
        <f ca="1"/>
      </c>
      <c r="FG481">
        <f ca="1"/>
      </c>
      <c r="FH481">
        <f ca="1"/>
      </c>
      <c r="FI481">
        <f ca="1"/>
      </c>
      <c r="FJ481">
        <f ca="1"/>
      </c>
      <c r="FK481">
        <f ca="1"/>
      </c>
      <c r="FL481">
        <f ca="1"/>
      </c>
      <c r="FM481">
        <f ca="1"/>
      </c>
      <c r="FN481">
        <f ca="1"/>
      </c>
      <c r="FO481">
        <f ca="1"/>
      </c>
      <c r="FP481">
        <f ca="1"/>
      </c>
      <c r="FQ481">
        <f ca="1"/>
      </c>
      <c r="FR481">
        <f ca="1"/>
      </c>
      <c r="FS481">
        <f ca="1"/>
      </c>
      <c r="FT481">
        <f ca="1"/>
      </c>
      <c r="FU481">
        <f ca="1"/>
      </c>
      <c r="FV481">
        <f ca="1"/>
      </c>
      <c r="FW481">
        <f ca="1"/>
      </c>
      <c r="FX481">
        <f ca="1"/>
      </c>
      <c r="FY481">
        <f ca="1"/>
      </c>
      <c r="FZ481">
        <f ca="1"/>
      </c>
      <c r="GA481">
        <f ca="1"/>
      </c>
      <c r="GM481" s="7"/>
    </row>
    <row r="482" spans="41:195" x14ac:dyDescent="0.55000000000000004">
      <c r="AO482">
        <f ca="1"/>
      </c>
      <c r="AP482">
        <f ca="1"/>
      </c>
      <c r="AQ482">
        <f ca="1"/>
      </c>
      <c r="AR482">
        <f ca="1"/>
      </c>
      <c r="AS482">
        <f ca="1"/>
      </c>
      <c r="AT482">
        <f ca="1"/>
      </c>
      <c r="AU482">
        <f ca="1"/>
      </c>
      <c r="AV482">
        <f ca="1"/>
      </c>
      <c r="AW482">
        <f ca="1"/>
      </c>
      <c r="AX482">
        <f ca="1"/>
      </c>
      <c r="AY482">
        <f ca="1"/>
      </c>
      <c r="AZ482">
        <f ca="1"/>
      </c>
      <c r="BA482">
        <f ca="1"/>
      </c>
      <c r="BB482">
        <f ca="1"/>
      </c>
      <c r="BC482">
        <f ca="1"/>
      </c>
      <c r="BD482">
        <f ca="1"/>
      </c>
      <c r="BE482">
        <f ca="1"/>
      </c>
      <c r="BF482">
        <f ca="1"/>
      </c>
      <c r="BG482">
        <f ca="1"/>
      </c>
      <c r="BH482">
        <f ca="1"/>
      </c>
      <c r="BI482">
        <f ca="1"/>
      </c>
      <c r="BJ482">
        <f ca="1"/>
      </c>
      <c r="BK482">
        <f ca="1"/>
      </c>
      <c r="BL482">
        <f ca="1"/>
      </c>
      <c r="BM482">
        <f ca="1"/>
      </c>
      <c r="BN482">
        <f ca="1"/>
      </c>
      <c r="BO482">
        <f ca="1"/>
      </c>
      <c r="BP482">
        <f ca="1"/>
      </c>
      <c r="BQ482">
        <f ca="1"/>
      </c>
      <c r="BR482">
        <f ca="1"/>
      </c>
      <c r="BS482">
        <f ca="1"/>
      </c>
      <c r="BT482">
        <f ca="1"/>
      </c>
      <c r="BU482">
        <f ca="1"/>
      </c>
      <c r="BV482">
        <f ca="1"/>
      </c>
      <c r="BW482">
        <f ca="1"/>
      </c>
      <c r="BX482">
        <f ca="1"/>
      </c>
      <c r="BY482">
        <f ca="1"/>
      </c>
      <c r="BZ482">
        <f ca="1"/>
      </c>
      <c r="CA482">
        <f ca="1"/>
      </c>
      <c r="CB482">
        <f ca="1"/>
      </c>
      <c r="CC482">
        <f ca="1"/>
      </c>
      <c r="CD482">
        <f ca="1"/>
      </c>
      <c r="CE482">
        <f ca="1"/>
      </c>
      <c r="CF482">
        <f ca="1"/>
      </c>
      <c r="CG482">
        <f ca="1"/>
      </c>
      <c r="CH482">
        <f ca="1"/>
      </c>
      <c r="CI482">
        <f ca="1"/>
      </c>
      <c r="CK482">
        <f ca="1"/>
      </c>
      <c r="CL482">
        <f ca="1"/>
      </c>
      <c r="CM482">
        <f ca="1"/>
      </c>
      <c r="CN482">
        <f ca="1"/>
      </c>
      <c r="CO482">
        <f ca="1"/>
      </c>
      <c r="CP482">
        <f ca="1"/>
      </c>
      <c r="CQ482">
        <f ca="1"/>
      </c>
      <c r="CR482">
        <f ca="1"/>
      </c>
      <c r="CS482">
        <f ca="1"/>
      </c>
      <c r="CT482">
        <f ca="1"/>
      </c>
      <c r="CU482">
        <f ca="1"/>
      </c>
      <c r="CV482">
        <f ca="1"/>
      </c>
      <c r="CW482">
        <f ca="1"/>
      </c>
      <c r="CX482">
        <f ca="1"/>
      </c>
      <c r="CY482">
        <f ca="1"/>
      </c>
      <c r="CZ482">
        <f ca="1"/>
      </c>
      <c r="DA482">
        <f ca="1"/>
      </c>
      <c r="DB482">
        <f ca="1"/>
      </c>
      <c r="DC482">
        <f ca="1"/>
      </c>
      <c r="DD482">
        <f ca="1"/>
      </c>
      <c r="DE482">
        <f ca="1"/>
      </c>
      <c r="DF482">
        <f ca="1"/>
      </c>
      <c r="DG482">
        <f ca="1"/>
      </c>
      <c r="DH482">
        <f ca="1"/>
      </c>
      <c r="DI482">
        <f ca="1"/>
      </c>
      <c r="DJ482">
        <f ca="1"/>
      </c>
      <c r="DK482">
        <f ca="1"/>
      </c>
      <c r="DL482">
        <f ca="1"/>
      </c>
      <c r="DM482">
        <f ca="1"/>
      </c>
      <c r="DN482">
        <f ca="1"/>
      </c>
      <c r="DO482">
        <f ca="1"/>
      </c>
      <c r="DP482">
        <f ca="1"/>
      </c>
      <c r="DQ482">
        <f ca="1"/>
      </c>
      <c r="DR482">
        <f ca="1"/>
      </c>
      <c r="DS482">
        <f ca="1"/>
      </c>
      <c r="DT482">
        <f ca="1"/>
      </c>
      <c r="DU482">
        <f ca="1"/>
      </c>
      <c r="DV482">
        <f ca="1"/>
      </c>
      <c r="DW482">
        <f ca="1"/>
      </c>
      <c r="DX482">
        <f ca="1"/>
      </c>
      <c r="DY482">
        <f ca="1"/>
      </c>
      <c r="DZ482">
        <f ca="1"/>
      </c>
      <c r="EA482">
        <f ca="1"/>
      </c>
      <c r="EB482">
        <f ca="1"/>
      </c>
      <c r="EC482">
        <f ca="1"/>
      </c>
      <c r="ED482">
        <f ca="1"/>
      </c>
      <c r="EE482">
        <f ca="1"/>
      </c>
      <c r="EG482">
        <f ca="1"/>
      </c>
      <c r="EH482">
        <f ca="1"/>
      </c>
      <c r="EI482">
        <f ca="1"/>
      </c>
      <c r="EJ482">
        <f ca="1"/>
      </c>
      <c r="EK482">
        <f ca="1"/>
      </c>
      <c r="EL482">
        <f ca="1"/>
      </c>
      <c r="EM482">
        <f ca="1"/>
      </c>
      <c r="EN482">
        <f ca="1"/>
      </c>
      <c r="EO482">
        <f ca="1"/>
      </c>
      <c r="EP482">
        <f ca="1"/>
      </c>
      <c r="EQ482">
        <f ca="1"/>
      </c>
      <c r="ER482">
        <f ca="1"/>
      </c>
      <c r="ES482">
        <f ca="1"/>
      </c>
      <c r="ET482">
        <f ca="1"/>
      </c>
      <c r="EU482">
        <f ca="1"/>
      </c>
      <c r="EV482">
        <f ca="1"/>
      </c>
      <c r="EW482">
        <f ca="1"/>
      </c>
      <c r="EX482">
        <f ca="1"/>
      </c>
      <c r="EY482">
        <f ca="1"/>
      </c>
      <c r="EZ482">
        <f ca="1"/>
      </c>
      <c r="FA482">
        <f ca="1"/>
      </c>
      <c r="FB482">
        <f ca="1"/>
      </c>
      <c r="FC482">
        <f ca="1"/>
      </c>
      <c r="FD482">
        <f ca="1"/>
      </c>
      <c r="FE482">
        <f ca="1"/>
      </c>
      <c r="FF482">
        <f ca="1"/>
      </c>
      <c r="FG482">
        <f ca="1"/>
      </c>
      <c r="FH482">
        <f ca="1"/>
      </c>
      <c r="FI482">
        <f ca="1"/>
      </c>
      <c r="FJ482">
        <f ca="1"/>
      </c>
      <c r="FK482">
        <f ca="1"/>
      </c>
      <c r="FL482">
        <f ca="1"/>
      </c>
      <c r="FM482">
        <f ca="1"/>
      </c>
      <c r="FN482">
        <f ca="1"/>
      </c>
      <c r="FO482">
        <f ca="1"/>
      </c>
      <c r="FP482">
        <f ca="1"/>
      </c>
      <c r="FQ482">
        <f ca="1"/>
      </c>
      <c r="FR482">
        <f ca="1"/>
      </c>
      <c r="FS482">
        <f ca="1"/>
      </c>
      <c r="FT482">
        <f ca="1"/>
      </c>
      <c r="FU482">
        <f ca="1"/>
      </c>
      <c r="FV482">
        <f ca="1"/>
      </c>
      <c r="FW482">
        <f ca="1"/>
      </c>
      <c r="FX482">
        <f ca="1"/>
      </c>
      <c r="FY482">
        <f ca="1"/>
      </c>
      <c r="FZ482">
        <f ca="1"/>
      </c>
      <c r="GA482">
        <f ca="1"/>
      </c>
      <c r="GM482" s="7"/>
    </row>
    <row r="483" spans="41:195" x14ac:dyDescent="0.55000000000000004">
      <c r="AO483">
        <f ca="1"/>
      </c>
      <c r="AP483">
        <f ca="1"/>
      </c>
      <c r="AQ483">
        <f ca="1"/>
      </c>
      <c r="AR483">
        <f ca="1"/>
      </c>
      <c r="AS483">
        <f ca="1"/>
      </c>
      <c r="AT483">
        <f ca="1"/>
      </c>
      <c r="AU483">
        <f ca="1"/>
      </c>
      <c r="AV483">
        <f ca="1"/>
      </c>
      <c r="AW483">
        <f ca="1"/>
      </c>
      <c r="AX483">
        <f ca="1"/>
      </c>
      <c r="AY483">
        <f ca="1"/>
      </c>
      <c r="AZ483">
        <f ca="1"/>
      </c>
      <c r="BA483">
        <f ca="1"/>
      </c>
      <c r="BB483">
        <f ca="1"/>
      </c>
      <c r="BC483">
        <f ca="1"/>
      </c>
      <c r="BD483">
        <f ca="1"/>
      </c>
      <c r="BE483">
        <f ca="1"/>
      </c>
      <c r="BF483">
        <f ca="1"/>
      </c>
      <c r="BG483">
        <f ca="1"/>
      </c>
      <c r="BH483">
        <f ca="1"/>
      </c>
      <c r="BI483">
        <f ca="1"/>
      </c>
      <c r="BJ483">
        <f ca="1"/>
      </c>
      <c r="BK483">
        <f ca="1"/>
      </c>
      <c r="BL483">
        <f ca="1"/>
      </c>
      <c r="BM483">
        <f ca="1"/>
      </c>
      <c r="BN483">
        <f ca="1"/>
      </c>
      <c r="BO483">
        <f ca="1"/>
      </c>
      <c r="BP483">
        <f ca="1"/>
      </c>
      <c r="BQ483">
        <f ca="1"/>
      </c>
      <c r="BR483">
        <f ca="1"/>
      </c>
      <c r="BS483">
        <f ca="1"/>
      </c>
      <c r="BT483">
        <f ca="1"/>
      </c>
      <c r="BU483">
        <f ca="1"/>
      </c>
      <c r="BV483">
        <f ca="1"/>
      </c>
      <c r="BW483">
        <f ca="1"/>
      </c>
      <c r="BX483">
        <f ca="1"/>
      </c>
      <c r="BY483">
        <f ca="1"/>
      </c>
      <c r="BZ483">
        <f ca="1"/>
      </c>
      <c r="CA483">
        <f ca="1"/>
      </c>
      <c r="CB483">
        <f ca="1"/>
      </c>
      <c r="CC483">
        <f ca="1"/>
      </c>
      <c r="CD483">
        <f ca="1"/>
      </c>
      <c r="CE483">
        <f ca="1"/>
      </c>
      <c r="CF483">
        <f ca="1"/>
      </c>
      <c r="CG483">
        <f ca="1"/>
      </c>
      <c r="CH483">
        <f ca="1"/>
      </c>
      <c r="CI483">
        <f ca="1"/>
      </c>
      <c r="CK483">
        <f ca="1"/>
      </c>
      <c r="CL483">
        <f ca="1"/>
      </c>
      <c r="CM483">
        <f ca="1"/>
      </c>
      <c r="CN483">
        <f ca="1"/>
      </c>
      <c r="CO483">
        <f ca="1"/>
      </c>
      <c r="CP483">
        <f ca="1"/>
      </c>
      <c r="CQ483">
        <f ca="1"/>
      </c>
      <c r="CR483">
        <f ca="1"/>
      </c>
      <c r="CS483">
        <f ca="1"/>
      </c>
      <c r="CT483">
        <f ca="1"/>
      </c>
      <c r="CU483">
        <f ca="1"/>
      </c>
      <c r="CV483">
        <f ca="1"/>
      </c>
      <c r="CW483">
        <f ca="1"/>
      </c>
      <c r="CX483">
        <f ca="1"/>
      </c>
      <c r="CY483">
        <f ca="1"/>
      </c>
      <c r="CZ483">
        <f ca="1"/>
      </c>
      <c r="DA483">
        <f ca="1"/>
      </c>
      <c r="DB483">
        <f ca="1"/>
      </c>
      <c r="DC483">
        <f ca="1"/>
      </c>
      <c r="DD483">
        <f ca="1"/>
      </c>
      <c r="DE483">
        <f ca="1"/>
      </c>
      <c r="DF483">
        <f ca="1"/>
      </c>
      <c r="DG483">
        <f ca="1"/>
      </c>
      <c r="DH483">
        <f ca="1"/>
      </c>
      <c r="DI483">
        <f ca="1"/>
      </c>
      <c r="DJ483">
        <f ca="1"/>
      </c>
      <c r="DK483">
        <f ca="1"/>
      </c>
      <c r="DL483">
        <f ca="1"/>
      </c>
      <c r="DM483">
        <f ca="1"/>
      </c>
      <c r="DN483">
        <f ca="1"/>
      </c>
      <c r="DO483">
        <f ca="1"/>
      </c>
      <c r="DP483">
        <f ca="1"/>
      </c>
      <c r="DQ483">
        <f ca="1"/>
      </c>
      <c r="DR483">
        <f ca="1"/>
      </c>
      <c r="DS483">
        <f ca="1"/>
      </c>
      <c r="DT483">
        <f ca="1"/>
      </c>
      <c r="DU483">
        <f ca="1"/>
      </c>
      <c r="DV483">
        <f ca="1"/>
      </c>
      <c r="DW483">
        <f ca="1"/>
      </c>
      <c r="DX483">
        <f ca="1"/>
      </c>
      <c r="DY483">
        <f ca="1"/>
      </c>
      <c r="DZ483">
        <f ca="1"/>
      </c>
      <c r="EA483">
        <f ca="1"/>
      </c>
      <c r="EB483">
        <f ca="1"/>
      </c>
      <c r="EC483">
        <f ca="1"/>
      </c>
      <c r="ED483">
        <f ca="1"/>
      </c>
      <c r="EE483">
        <f ca="1"/>
      </c>
      <c r="EG483">
        <f ca="1"/>
      </c>
      <c r="EH483">
        <f ca="1"/>
      </c>
      <c r="EI483">
        <f ca="1"/>
      </c>
      <c r="EJ483">
        <f ca="1"/>
      </c>
      <c r="EK483">
        <f ca="1"/>
      </c>
      <c r="EL483">
        <f ca="1"/>
      </c>
      <c r="EM483">
        <f ca="1"/>
      </c>
      <c r="EN483">
        <f ca="1"/>
      </c>
      <c r="EO483">
        <f ca="1"/>
      </c>
      <c r="EP483">
        <f ca="1"/>
      </c>
      <c r="EQ483">
        <f ca="1"/>
      </c>
      <c r="ER483">
        <f ca="1"/>
      </c>
      <c r="ES483">
        <f ca="1"/>
      </c>
      <c r="ET483">
        <f ca="1"/>
      </c>
      <c r="EU483">
        <f ca="1"/>
      </c>
      <c r="EV483">
        <f ca="1"/>
      </c>
      <c r="EW483">
        <f ca="1"/>
      </c>
      <c r="EX483">
        <f ca="1"/>
      </c>
      <c r="EY483">
        <f ca="1"/>
      </c>
      <c r="EZ483">
        <f ca="1"/>
      </c>
      <c r="FA483">
        <f ca="1"/>
      </c>
      <c r="FB483">
        <f ca="1"/>
      </c>
      <c r="FC483">
        <f ca="1"/>
      </c>
      <c r="FD483">
        <f ca="1"/>
      </c>
      <c r="FE483">
        <f ca="1"/>
      </c>
      <c r="FF483">
        <f ca="1"/>
      </c>
      <c r="FG483">
        <f ca="1"/>
      </c>
      <c r="FH483">
        <f ca="1"/>
      </c>
      <c r="FI483">
        <f ca="1"/>
      </c>
      <c r="FJ483">
        <f ca="1"/>
      </c>
      <c r="FK483">
        <f ca="1"/>
      </c>
      <c r="FL483">
        <f ca="1"/>
      </c>
      <c r="FM483">
        <f ca="1"/>
      </c>
      <c r="FN483">
        <f ca="1"/>
      </c>
      <c r="FO483">
        <f ca="1"/>
      </c>
      <c r="FP483">
        <f ca="1"/>
      </c>
      <c r="FQ483">
        <f ca="1"/>
      </c>
      <c r="FR483">
        <f ca="1"/>
      </c>
      <c r="FS483">
        <f ca="1"/>
      </c>
      <c r="FT483">
        <f ca="1"/>
      </c>
      <c r="FU483">
        <f ca="1"/>
      </c>
      <c r="FV483">
        <f ca="1"/>
      </c>
      <c r="FW483">
        <f ca="1"/>
      </c>
      <c r="FX483">
        <f ca="1"/>
      </c>
      <c r="FY483">
        <f ca="1"/>
      </c>
      <c r="FZ483">
        <f ca="1"/>
      </c>
      <c r="GA483">
        <f ca="1"/>
      </c>
      <c r="GM483" s="7"/>
    </row>
    <row r="484" spans="41:195" x14ac:dyDescent="0.55000000000000004">
      <c r="AO484">
        <f ca="1"/>
      </c>
      <c r="AP484">
        <f ca="1"/>
      </c>
      <c r="AQ484">
        <f ca="1"/>
      </c>
      <c r="AR484">
        <f ca="1"/>
      </c>
      <c r="AS484">
        <f ca="1"/>
      </c>
      <c r="AT484">
        <f ca="1"/>
      </c>
      <c r="AU484">
        <f ca="1"/>
      </c>
      <c r="AV484">
        <f ca="1"/>
      </c>
      <c r="AW484">
        <f ca="1"/>
      </c>
      <c r="AX484">
        <f ca="1"/>
      </c>
      <c r="AY484">
        <f ca="1"/>
      </c>
      <c r="AZ484">
        <f ca="1"/>
      </c>
      <c r="BA484">
        <f ca="1"/>
      </c>
      <c r="BB484">
        <f ca="1"/>
      </c>
      <c r="BC484">
        <f ca="1"/>
      </c>
      <c r="BD484">
        <f ca="1"/>
      </c>
      <c r="BE484">
        <f ca="1"/>
      </c>
      <c r="BF484">
        <f ca="1"/>
      </c>
      <c r="BG484">
        <f ca="1"/>
      </c>
      <c r="BH484">
        <f ca="1"/>
      </c>
      <c r="BI484">
        <f ca="1"/>
      </c>
      <c r="BJ484">
        <f ca="1"/>
      </c>
      <c r="BK484">
        <f ca="1"/>
      </c>
      <c r="BL484">
        <f ca="1"/>
      </c>
      <c r="BM484">
        <f ca="1"/>
      </c>
      <c r="BN484">
        <f ca="1"/>
      </c>
      <c r="BO484">
        <f ca="1"/>
      </c>
      <c r="BP484">
        <f ca="1"/>
      </c>
      <c r="BQ484">
        <f ca="1"/>
      </c>
      <c r="BR484">
        <f ca="1"/>
      </c>
      <c r="BS484">
        <f ca="1"/>
      </c>
      <c r="BT484">
        <f ca="1"/>
      </c>
      <c r="BU484">
        <f ca="1"/>
      </c>
      <c r="BV484">
        <f ca="1"/>
      </c>
      <c r="BW484">
        <f ca="1"/>
      </c>
      <c r="BX484">
        <f ca="1"/>
      </c>
      <c r="BY484">
        <f ca="1"/>
      </c>
      <c r="BZ484">
        <f ca="1"/>
      </c>
      <c r="CA484">
        <f ca="1"/>
      </c>
      <c r="CB484">
        <f ca="1"/>
      </c>
      <c r="CC484">
        <f ca="1"/>
      </c>
      <c r="CD484">
        <f ca="1"/>
      </c>
      <c r="CE484">
        <f ca="1"/>
      </c>
      <c r="CF484">
        <f ca="1"/>
      </c>
      <c r="CG484">
        <f ca="1"/>
      </c>
      <c r="CH484">
        <f ca="1"/>
      </c>
      <c r="CI484">
        <f ca="1"/>
      </c>
      <c r="CK484">
        <f ca="1"/>
      </c>
      <c r="CL484">
        <f ca="1"/>
      </c>
      <c r="CM484">
        <f ca="1"/>
      </c>
      <c r="CN484">
        <f ca="1"/>
      </c>
      <c r="CO484">
        <f ca="1"/>
      </c>
      <c r="CP484">
        <f ca="1"/>
      </c>
      <c r="CQ484">
        <f ca="1"/>
      </c>
      <c r="CR484">
        <f ca="1"/>
      </c>
      <c r="CS484">
        <f ca="1"/>
      </c>
      <c r="CT484">
        <f ca="1"/>
      </c>
      <c r="CU484">
        <f ca="1"/>
      </c>
      <c r="CV484">
        <f ca="1"/>
      </c>
      <c r="CW484">
        <f ca="1"/>
      </c>
      <c r="CX484">
        <f ca="1"/>
      </c>
      <c r="CY484">
        <f ca="1"/>
      </c>
      <c r="CZ484">
        <f ca="1"/>
      </c>
      <c r="DA484">
        <f ca="1"/>
      </c>
      <c r="DB484">
        <f ca="1"/>
      </c>
      <c r="DC484">
        <f ca="1"/>
      </c>
      <c r="DD484">
        <f ca="1"/>
      </c>
      <c r="DE484">
        <f ca="1"/>
      </c>
      <c r="DF484">
        <f ca="1"/>
      </c>
      <c r="DG484">
        <f ca="1"/>
      </c>
      <c r="DH484">
        <f ca="1"/>
      </c>
      <c r="DI484">
        <f ca="1"/>
      </c>
      <c r="DJ484">
        <f ca="1"/>
      </c>
      <c r="DK484">
        <f ca="1"/>
      </c>
      <c r="DL484">
        <f ca="1"/>
      </c>
      <c r="DM484">
        <f ca="1"/>
      </c>
      <c r="DN484">
        <f ca="1"/>
      </c>
      <c r="DO484">
        <f ca="1"/>
      </c>
      <c r="DP484">
        <f ca="1"/>
      </c>
      <c r="DQ484">
        <f ca="1"/>
      </c>
      <c r="DR484">
        <f ca="1"/>
      </c>
      <c r="DS484">
        <f ca="1"/>
      </c>
      <c r="DT484">
        <f ca="1"/>
      </c>
      <c r="DU484">
        <f ca="1"/>
      </c>
      <c r="DV484">
        <f ca="1"/>
      </c>
      <c r="DW484">
        <f ca="1"/>
      </c>
      <c r="DX484">
        <f ca="1"/>
      </c>
      <c r="DY484">
        <f ca="1"/>
      </c>
      <c r="DZ484">
        <f ca="1"/>
      </c>
      <c r="EA484">
        <f ca="1"/>
      </c>
      <c r="EB484">
        <f ca="1"/>
      </c>
      <c r="EC484">
        <f ca="1"/>
      </c>
      <c r="ED484">
        <f ca="1"/>
      </c>
      <c r="EE484">
        <f ca="1"/>
      </c>
      <c r="EG484">
        <f ca="1"/>
      </c>
      <c r="EH484">
        <f ca="1"/>
      </c>
      <c r="EI484">
        <f ca="1"/>
      </c>
      <c r="EJ484">
        <f ca="1"/>
      </c>
      <c r="EK484">
        <f ca="1"/>
      </c>
      <c r="EL484">
        <f ca="1"/>
      </c>
      <c r="EM484">
        <f ca="1"/>
      </c>
      <c r="EN484">
        <f ca="1"/>
      </c>
      <c r="EO484">
        <f ca="1"/>
      </c>
      <c r="EP484">
        <f ca="1"/>
      </c>
      <c r="EQ484">
        <f ca="1"/>
      </c>
      <c r="ER484">
        <f ca="1"/>
      </c>
      <c r="ES484">
        <f ca="1"/>
      </c>
      <c r="ET484">
        <f ca="1"/>
      </c>
      <c r="EU484">
        <f ca="1"/>
      </c>
      <c r="EV484">
        <f ca="1"/>
      </c>
      <c r="EW484">
        <f ca="1"/>
      </c>
      <c r="EX484">
        <f ca="1"/>
      </c>
      <c r="EY484">
        <f ca="1"/>
      </c>
      <c r="EZ484">
        <f ca="1"/>
      </c>
      <c r="FA484">
        <f ca="1"/>
      </c>
      <c r="FB484">
        <f ca="1"/>
      </c>
      <c r="FC484">
        <f ca="1"/>
      </c>
      <c r="FD484">
        <f ca="1"/>
      </c>
      <c r="FE484">
        <f ca="1"/>
      </c>
      <c r="FF484">
        <f ca="1"/>
      </c>
      <c r="FG484">
        <f ca="1"/>
      </c>
      <c r="FH484">
        <f ca="1"/>
      </c>
      <c r="FI484">
        <f ca="1"/>
      </c>
      <c r="FJ484">
        <f ca="1"/>
      </c>
      <c r="FK484">
        <f ca="1"/>
      </c>
      <c r="FL484">
        <f ca="1"/>
      </c>
      <c r="FM484">
        <f ca="1"/>
      </c>
      <c r="FN484">
        <f ca="1"/>
      </c>
      <c r="FO484">
        <f ca="1"/>
      </c>
      <c r="FP484">
        <f ca="1"/>
      </c>
      <c r="FQ484">
        <f ca="1"/>
      </c>
      <c r="FR484">
        <f ca="1"/>
      </c>
      <c r="FS484">
        <f ca="1"/>
      </c>
      <c r="FT484">
        <f ca="1"/>
      </c>
      <c r="FU484">
        <f ca="1"/>
      </c>
      <c r="FV484">
        <f ca="1"/>
      </c>
      <c r="FW484">
        <f ca="1"/>
      </c>
      <c r="FX484">
        <f ca="1"/>
      </c>
      <c r="FY484">
        <f ca="1"/>
      </c>
      <c r="FZ484">
        <f ca="1"/>
      </c>
      <c r="GA484">
        <f ca="1"/>
      </c>
      <c r="GM484" s="7"/>
    </row>
    <row r="485" spans="41:195" x14ac:dyDescent="0.55000000000000004">
      <c r="AO485">
        <f ca="1"/>
      </c>
      <c r="AP485">
        <f ca="1"/>
      </c>
      <c r="AQ485">
        <f ca="1"/>
      </c>
      <c r="AR485">
        <f ca="1"/>
      </c>
      <c r="AS485">
        <f ca="1"/>
      </c>
      <c r="AT485">
        <f ca="1"/>
      </c>
      <c r="AU485">
        <f ca="1"/>
      </c>
      <c r="AV485">
        <f ca="1"/>
      </c>
      <c r="AW485">
        <f ca="1"/>
      </c>
      <c r="AX485">
        <f ca="1"/>
      </c>
      <c r="AY485">
        <f ca="1"/>
      </c>
      <c r="AZ485">
        <f ca="1"/>
      </c>
      <c r="BA485">
        <f ca="1"/>
      </c>
      <c r="BB485">
        <f ca="1"/>
      </c>
      <c r="BC485">
        <f ca="1"/>
      </c>
      <c r="BD485">
        <f ca="1"/>
      </c>
      <c r="BE485">
        <f ca="1"/>
      </c>
      <c r="BF485">
        <f ca="1"/>
      </c>
      <c r="BG485">
        <f ca="1"/>
      </c>
      <c r="BH485">
        <f ca="1"/>
      </c>
      <c r="BI485">
        <f ca="1"/>
      </c>
      <c r="BJ485">
        <f ca="1"/>
      </c>
      <c r="BK485">
        <f ca="1"/>
      </c>
      <c r="BL485">
        <f ca="1"/>
      </c>
      <c r="BM485">
        <f ca="1"/>
      </c>
      <c r="BN485">
        <f ca="1"/>
      </c>
      <c r="BO485">
        <f ca="1"/>
      </c>
      <c r="BP485">
        <f ca="1"/>
      </c>
      <c r="BQ485">
        <f ca="1"/>
      </c>
      <c r="BR485">
        <f ca="1"/>
      </c>
      <c r="BS485">
        <f ca="1"/>
      </c>
      <c r="BT485">
        <f ca="1"/>
      </c>
      <c r="BU485">
        <f ca="1"/>
      </c>
      <c r="BV485">
        <f ca="1"/>
      </c>
      <c r="BW485">
        <f ca="1"/>
      </c>
      <c r="BX485">
        <f ca="1"/>
      </c>
      <c r="BY485">
        <f ca="1"/>
      </c>
      <c r="BZ485">
        <f ca="1"/>
      </c>
      <c r="CA485">
        <f ca="1"/>
      </c>
      <c r="CB485">
        <f ca="1"/>
      </c>
      <c r="CC485">
        <f ca="1"/>
      </c>
      <c r="CD485">
        <f ca="1"/>
      </c>
      <c r="CE485">
        <f ca="1"/>
      </c>
      <c r="CF485">
        <f ca="1"/>
      </c>
      <c r="CG485">
        <f ca="1"/>
      </c>
      <c r="CH485">
        <f ca="1"/>
      </c>
      <c r="CI485">
        <f ca="1"/>
      </c>
      <c r="CK485">
        <f ca="1"/>
      </c>
      <c r="CL485">
        <f ca="1"/>
      </c>
      <c r="CM485">
        <f ca="1"/>
      </c>
      <c r="CN485">
        <f ca="1"/>
      </c>
      <c r="CO485">
        <f ca="1"/>
      </c>
      <c r="CP485">
        <f ca="1"/>
      </c>
      <c r="CQ485">
        <f ca="1"/>
      </c>
      <c r="CR485">
        <f ca="1"/>
      </c>
      <c r="CS485">
        <f ca="1"/>
      </c>
      <c r="CT485">
        <f ca="1"/>
      </c>
      <c r="CU485">
        <f ca="1"/>
      </c>
      <c r="CV485">
        <f ca="1"/>
      </c>
      <c r="CW485">
        <f ca="1"/>
      </c>
      <c r="CX485">
        <f ca="1"/>
      </c>
      <c r="CY485">
        <f ca="1"/>
      </c>
      <c r="CZ485">
        <f ca="1"/>
      </c>
      <c r="DA485">
        <f ca="1"/>
      </c>
      <c r="DB485">
        <f ca="1"/>
      </c>
      <c r="DC485">
        <f ca="1"/>
      </c>
      <c r="DD485">
        <f ca="1"/>
      </c>
      <c r="DE485">
        <f ca="1"/>
      </c>
      <c r="DF485">
        <f ca="1"/>
      </c>
      <c r="DG485">
        <f ca="1"/>
      </c>
      <c r="DH485">
        <f ca="1"/>
      </c>
      <c r="DI485">
        <f ca="1"/>
      </c>
      <c r="DJ485">
        <f ca="1"/>
      </c>
      <c r="DK485">
        <f ca="1"/>
      </c>
      <c r="DL485">
        <f ca="1"/>
      </c>
      <c r="DM485">
        <f ca="1"/>
      </c>
      <c r="DN485">
        <f ca="1"/>
      </c>
      <c r="DO485">
        <f ca="1"/>
      </c>
      <c r="DP485">
        <f ca="1"/>
      </c>
      <c r="DQ485">
        <f ca="1"/>
      </c>
      <c r="DR485">
        <f ca="1"/>
      </c>
      <c r="DS485">
        <f ca="1"/>
      </c>
      <c r="DT485">
        <f ca="1"/>
      </c>
      <c r="DU485">
        <f ca="1"/>
      </c>
      <c r="DV485">
        <f ca="1"/>
      </c>
      <c r="DW485">
        <f ca="1"/>
      </c>
      <c r="DX485">
        <f ca="1"/>
      </c>
      <c r="DY485">
        <f ca="1"/>
      </c>
      <c r="DZ485">
        <f ca="1"/>
      </c>
      <c r="EA485">
        <f ca="1"/>
      </c>
      <c r="EB485">
        <f ca="1"/>
      </c>
      <c r="EC485">
        <f ca="1"/>
      </c>
      <c r="ED485">
        <f ca="1"/>
      </c>
      <c r="EE485">
        <f ca="1"/>
      </c>
      <c r="EG485">
        <f ca="1"/>
      </c>
      <c r="EH485">
        <f ca="1"/>
      </c>
      <c r="EI485">
        <f ca="1"/>
      </c>
      <c r="EJ485">
        <f ca="1"/>
      </c>
      <c r="EK485">
        <f ca="1"/>
      </c>
      <c r="EL485">
        <f ca="1"/>
      </c>
      <c r="EM485">
        <f ca="1"/>
      </c>
      <c r="EN485">
        <f ca="1"/>
      </c>
      <c r="EO485">
        <f ca="1"/>
      </c>
      <c r="EP485">
        <f ca="1"/>
      </c>
      <c r="EQ485">
        <f ca="1"/>
      </c>
      <c r="ER485">
        <f ca="1"/>
      </c>
      <c r="ES485">
        <f ca="1"/>
      </c>
      <c r="ET485">
        <f ca="1"/>
      </c>
      <c r="EU485">
        <f ca="1"/>
      </c>
      <c r="EV485">
        <f ca="1"/>
      </c>
      <c r="EW485">
        <f ca="1"/>
      </c>
      <c r="EX485">
        <f ca="1"/>
      </c>
      <c r="EY485">
        <f ca="1"/>
      </c>
      <c r="EZ485">
        <f ca="1"/>
      </c>
      <c r="FA485">
        <f ca="1"/>
      </c>
      <c r="FB485">
        <f ca="1"/>
      </c>
      <c r="FC485">
        <f ca="1"/>
      </c>
      <c r="FD485">
        <f ca="1"/>
      </c>
      <c r="FE485">
        <f ca="1"/>
      </c>
      <c r="FF485">
        <f ca="1"/>
      </c>
      <c r="FG485">
        <f ca="1"/>
      </c>
      <c r="FH485">
        <f ca="1"/>
      </c>
      <c r="FI485">
        <f ca="1"/>
      </c>
      <c r="FJ485">
        <f ca="1"/>
      </c>
      <c r="FK485">
        <f ca="1"/>
      </c>
      <c r="FL485">
        <f ca="1"/>
      </c>
      <c r="FM485">
        <f ca="1"/>
      </c>
      <c r="FN485">
        <f ca="1"/>
      </c>
      <c r="FO485">
        <f ca="1"/>
      </c>
      <c r="FP485">
        <f ca="1"/>
      </c>
      <c r="FQ485">
        <f ca="1"/>
      </c>
      <c r="FR485">
        <f ca="1"/>
      </c>
      <c r="FS485">
        <f ca="1"/>
      </c>
      <c r="FT485">
        <f ca="1"/>
      </c>
      <c r="FU485">
        <f ca="1"/>
      </c>
      <c r="FV485">
        <f ca="1"/>
      </c>
      <c r="FW485">
        <f ca="1"/>
      </c>
      <c r="FX485">
        <f ca="1"/>
      </c>
      <c r="FY485">
        <f ca="1"/>
      </c>
      <c r="FZ485">
        <f ca="1"/>
      </c>
      <c r="GA485">
        <f ca="1"/>
      </c>
      <c r="GM485" s="7"/>
    </row>
    <row r="486" spans="41:195" x14ac:dyDescent="0.55000000000000004">
      <c r="AO486">
        <f ca="1"/>
      </c>
      <c r="AP486">
        <f ca="1"/>
      </c>
      <c r="AQ486">
        <f ca="1"/>
      </c>
      <c r="AR486">
        <f ca="1"/>
      </c>
      <c r="AS486">
        <f ca="1"/>
      </c>
      <c r="AT486">
        <f ca="1"/>
      </c>
      <c r="AU486">
        <f ca="1"/>
      </c>
      <c r="AV486">
        <f ca="1"/>
      </c>
      <c r="AW486">
        <f ca="1"/>
      </c>
      <c r="AX486">
        <f ca="1"/>
      </c>
      <c r="AY486">
        <f ca="1"/>
      </c>
      <c r="AZ486">
        <f ca="1"/>
      </c>
      <c r="BA486">
        <f ca="1"/>
      </c>
      <c r="BB486">
        <f ca="1"/>
      </c>
      <c r="BC486">
        <f ca="1"/>
      </c>
      <c r="BD486">
        <f ca="1"/>
      </c>
      <c r="BE486">
        <f ca="1"/>
      </c>
      <c r="BF486">
        <f ca="1"/>
      </c>
      <c r="BG486">
        <f ca="1"/>
      </c>
      <c r="BH486">
        <f ca="1"/>
      </c>
      <c r="BI486">
        <f ca="1"/>
      </c>
      <c r="BJ486">
        <f ca="1"/>
      </c>
      <c r="BK486">
        <f ca="1"/>
      </c>
      <c r="BL486">
        <f ca="1"/>
      </c>
      <c r="BM486">
        <f ca="1"/>
      </c>
      <c r="BN486">
        <f ca="1"/>
      </c>
      <c r="BO486">
        <f ca="1"/>
      </c>
      <c r="BP486">
        <f ca="1"/>
      </c>
      <c r="BQ486">
        <f ca="1"/>
      </c>
      <c r="BR486">
        <f ca="1"/>
      </c>
      <c r="BS486">
        <f ca="1"/>
      </c>
      <c r="BT486">
        <f ca="1"/>
      </c>
      <c r="BU486">
        <f ca="1"/>
      </c>
      <c r="BV486">
        <f ca="1"/>
      </c>
      <c r="BW486">
        <f ca="1"/>
      </c>
      <c r="BX486">
        <f ca="1"/>
      </c>
      <c r="BY486">
        <f ca="1"/>
      </c>
      <c r="BZ486">
        <f ca="1"/>
      </c>
      <c r="CA486">
        <f ca="1"/>
      </c>
      <c r="CB486">
        <f ca="1"/>
      </c>
      <c r="CC486">
        <f ca="1"/>
      </c>
      <c r="CD486">
        <f ca="1"/>
      </c>
      <c r="CE486">
        <f ca="1"/>
      </c>
      <c r="CF486">
        <f ca="1"/>
      </c>
      <c r="CG486">
        <f ca="1"/>
      </c>
      <c r="CH486">
        <f ca="1"/>
      </c>
      <c r="CI486">
        <f ca="1"/>
      </c>
      <c r="CK486">
        <f ca="1"/>
      </c>
      <c r="CL486">
        <f ca="1"/>
      </c>
      <c r="CM486">
        <f ca="1"/>
      </c>
      <c r="CN486">
        <f ca="1"/>
      </c>
      <c r="CO486">
        <f ca="1"/>
      </c>
      <c r="CP486">
        <f ca="1"/>
      </c>
      <c r="CQ486">
        <f ca="1"/>
      </c>
      <c r="CR486">
        <f ca="1"/>
      </c>
      <c r="CS486">
        <f ca="1"/>
      </c>
      <c r="CT486">
        <f ca="1"/>
      </c>
      <c r="CU486">
        <f ca="1"/>
      </c>
      <c r="CV486">
        <f ca="1"/>
      </c>
      <c r="CW486">
        <f ca="1"/>
      </c>
      <c r="CX486">
        <f ca="1"/>
      </c>
      <c r="CY486">
        <f ca="1"/>
      </c>
      <c r="CZ486">
        <f ca="1"/>
      </c>
      <c r="DA486">
        <f ca="1"/>
      </c>
      <c r="DB486">
        <f ca="1"/>
      </c>
      <c r="DC486">
        <f ca="1"/>
      </c>
      <c r="DD486">
        <f ca="1"/>
      </c>
      <c r="DE486">
        <f ca="1"/>
      </c>
      <c r="DF486">
        <f ca="1"/>
      </c>
      <c r="DG486">
        <f ca="1"/>
      </c>
      <c r="DH486">
        <f ca="1"/>
      </c>
      <c r="DI486">
        <f ca="1"/>
      </c>
      <c r="DJ486">
        <f ca="1"/>
      </c>
      <c r="DK486">
        <f ca="1"/>
      </c>
      <c r="DL486">
        <f ca="1"/>
      </c>
      <c r="DM486">
        <f ca="1"/>
      </c>
      <c r="DN486">
        <f ca="1"/>
      </c>
      <c r="DO486">
        <f ca="1"/>
      </c>
      <c r="DP486">
        <f ca="1"/>
      </c>
      <c r="DQ486">
        <f ca="1"/>
      </c>
      <c r="DR486">
        <f ca="1"/>
      </c>
      <c r="DS486">
        <f ca="1"/>
      </c>
      <c r="DT486">
        <f ca="1"/>
      </c>
      <c r="DU486">
        <f ca="1"/>
      </c>
      <c r="DV486">
        <f ca="1"/>
      </c>
      <c r="DW486">
        <f ca="1"/>
      </c>
      <c r="DX486">
        <f ca="1"/>
      </c>
      <c r="DY486">
        <f ca="1"/>
      </c>
      <c r="DZ486">
        <f ca="1"/>
      </c>
      <c r="EA486">
        <f ca="1"/>
      </c>
      <c r="EB486">
        <f ca="1"/>
      </c>
      <c r="EC486">
        <f ca="1"/>
      </c>
      <c r="ED486">
        <f ca="1"/>
      </c>
      <c r="EE486">
        <f ca="1"/>
      </c>
      <c r="EG486">
        <f ca="1"/>
      </c>
      <c r="EH486">
        <f ca="1"/>
      </c>
      <c r="EI486">
        <f ca="1"/>
      </c>
      <c r="EJ486">
        <f ca="1"/>
      </c>
      <c r="EK486">
        <f ca="1"/>
      </c>
      <c r="EL486">
        <f ca="1"/>
      </c>
      <c r="EM486">
        <f ca="1"/>
      </c>
      <c r="EN486">
        <f ca="1"/>
      </c>
      <c r="EO486">
        <f ca="1"/>
      </c>
      <c r="EP486">
        <f ca="1"/>
      </c>
      <c r="EQ486">
        <f ca="1"/>
      </c>
      <c r="ER486">
        <f ca="1"/>
      </c>
      <c r="ES486">
        <f ca="1"/>
      </c>
      <c r="ET486">
        <f ca="1"/>
      </c>
      <c r="EU486">
        <f ca="1"/>
      </c>
      <c r="EV486">
        <f ca="1"/>
      </c>
      <c r="EW486">
        <f ca="1"/>
      </c>
      <c r="EX486">
        <f ca="1"/>
      </c>
      <c r="EY486">
        <f ca="1"/>
      </c>
      <c r="EZ486">
        <f ca="1"/>
      </c>
      <c r="FA486">
        <f ca="1"/>
      </c>
      <c r="FB486">
        <f ca="1"/>
      </c>
      <c r="FC486">
        <f ca="1"/>
      </c>
      <c r="FD486">
        <f ca="1"/>
      </c>
      <c r="FE486">
        <f ca="1"/>
      </c>
      <c r="FF486">
        <f ca="1"/>
      </c>
      <c r="FG486">
        <f ca="1"/>
      </c>
      <c r="FH486">
        <f ca="1"/>
      </c>
      <c r="FI486">
        <f ca="1"/>
      </c>
      <c r="FJ486">
        <f ca="1"/>
      </c>
      <c r="FK486">
        <f ca="1"/>
      </c>
      <c r="FL486">
        <f ca="1"/>
      </c>
      <c r="FM486">
        <f ca="1"/>
      </c>
      <c r="FN486">
        <f ca="1"/>
      </c>
      <c r="FO486">
        <f ca="1"/>
      </c>
      <c r="FP486">
        <f ca="1"/>
      </c>
      <c r="FQ486">
        <f ca="1"/>
      </c>
      <c r="FR486">
        <f ca="1"/>
      </c>
      <c r="FS486">
        <f ca="1"/>
      </c>
      <c r="FT486">
        <f ca="1"/>
      </c>
      <c r="FU486">
        <f ca="1"/>
      </c>
      <c r="FV486">
        <f ca="1"/>
      </c>
      <c r="FW486">
        <f ca="1"/>
      </c>
      <c r="FX486">
        <f ca="1"/>
      </c>
      <c r="FY486">
        <f ca="1"/>
      </c>
      <c r="FZ486">
        <f ca="1"/>
      </c>
      <c r="GA486">
        <f ca="1"/>
      </c>
      <c r="GM486" s="7"/>
    </row>
    <row r="487" spans="41:195" x14ac:dyDescent="0.55000000000000004">
      <c r="GM487" s="7"/>
    </row>
    <row r="488" spans="41:195" x14ac:dyDescent="0.55000000000000004">
      <c r="GM488" s="7"/>
    </row>
    <row r="489" spans="41:195" x14ac:dyDescent="0.55000000000000004">
      <c r="GM489" s="7"/>
    </row>
    <row r="490" spans="41:195" x14ac:dyDescent="0.55000000000000004">
      <c r="GM490" s="7"/>
    </row>
    <row r="491" spans="41:195" x14ac:dyDescent="0.55000000000000004">
      <c r="GM491" s="7"/>
    </row>
    <row r="492" spans="41:195" x14ac:dyDescent="0.55000000000000004">
      <c r="GM492" s="7"/>
    </row>
    <row r="493" spans="41:195" x14ac:dyDescent="0.55000000000000004">
      <c r="GM493" s="7"/>
    </row>
    <row r="494" spans="41:195" x14ac:dyDescent="0.55000000000000004">
      <c r="GM494" s="7"/>
    </row>
    <row r="495" spans="41:195" x14ac:dyDescent="0.55000000000000004">
      <c r="GM495" s="7"/>
    </row>
    <row r="496" spans="41:195" x14ac:dyDescent="0.55000000000000004">
      <c r="GM496" s="7"/>
    </row>
    <row r="497" spans="195:195" x14ac:dyDescent="0.55000000000000004">
      <c r="GM497" s="7"/>
    </row>
    <row r="498" spans="195:195" x14ac:dyDescent="0.55000000000000004">
      <c r="GM498" s="7"/>
    </row>
    <row r="499" spans="195:195" x14ac:dyDescent="0.55000000000000004">
      <c r="GM499" s="7"/>
    </row>
    <row r="500" spans="195:195" x14ac:dyDescent="0.55000000000000004">
      <c r="GM500" s="7"/>
    </row>
    <row r="501" spans="195:195" x14ac:dyDescent="0.55000000000000004">
      <c r="GM501" s="7"/>
    </row>
    <row r="502" spans="195:195" x14ac:dyDescent="0.55000000000000004">
      <c r="GM502" s="7"/>
    </row>
    <row r="503" spans="195:195" x14ac:dyDescent="0.55000000000000004">
      <c r="GM503" s="7"/>
    </row>
    <row r="504" spans="195:195" x14ac:dyDescent="0.55000000000000004">
      <c r="GM504" s="7"/>
    </row>
    <row r="505" spans="195:195" x14ac:dyDescent="0.55000000000000004">
      <c r="GM505" s="7"/>
    </row>
    <row r="506" spans="195:195" x14ac:dyDescent="0.55000000000000004">
      <c r="GM506" s="7"/>
    </row>
    <row r="507" spans="195:195" x14ac:dyDescent="0.55000000000000004">
      <c r="GM507" s="7"/>
    </row>
    <row r="508" spans="195:195" x14ac:dyDescent="0.55000000000000004">
      <c r="GM508" s="7"/>
    </row>
    <row r="509" spans="195:195" x14ac:dyDescent="0.55000000000000004">
      <c r="GM509" s="7"/>
    </row>
    <row r="510" spans="195:195" x14ac:dyDescent="0.55000000000000004">
      <c r="GM510" s="7"/>
    </row>
    <row r="511" spans="195:195" x14ac:dyDescent="0.55000000000000004">
      <c r="GM511" s="7"/>
    </row>
    <row r="512" spans="195:195" x14ac:dyDescent="0.55000000000000004">
      <c r="GM512" s="7"/>
    </row>
    <row r="513" spans="195:195" x14ac:dyDescent="0.55000000000000004">
      <c r="GM513" s="7"/>
    </row>
    <row r="514" spans="195:195" x14ac:dyDescent="0.55000000000000004">
      <c r="GM514" s="7"/>
    </row>
    <row r="515" spans="195:195" x14ac:dyDescent="0.55000000000000004">
      <c r="GM515" s="7"/>
    </row>
    <row r="516" spans="195:195" x14ac:dyDescent="0.55000000000000004">
      <c r="GM516" s="7"/>
    </row>
    <row r="517" spans="195:195" x14ac:dyDescent="0.55000000000000004">
      <c r="GM517" s="7"/>
    </row>
    <row r="518" spans="195:195" x14ac:dyDescent="0.55000000000000004">
      <c r="GM518" s="7"/>
    </row>
    <row r="519" spans="195:195" x14ac:dyDescent="0.55000000000000004">
      <c r="GM519" s="7"/>
    </row>
    <row r="520" spans="195:195" x14ac:dyDescent="0.55000000000000004">
      <c r="GM520" s="7"/>
    </row>
    <row r="521" spans="195:195" x14ac:dyDescent="0.55000000000000004">
      <c r="GM521" s="7"/>
    </row>
    <row r="522" spans="195:195" x14ac:dyDescent="0.55000000000000004">
      <c r="GM522" s="7"/>
    </row>
    <row r="523" spans="195:195" x14ac:dyDescent="0.55000000000000004">
      <c r="GM523" s="7"/>
    </row>
    <row r="524" spans="195:195" x14ac:dyDescent="0.55000000000000004">
      <c r="GM524" s="7"/>
    </row>
    <row r="525" spans="195:195" x14ac:dyDescent="0.55000000000000004">
      <c r="GM525" s="7"/>
    </row>
    <row r="526" spans="195:195" x14ac:dyDescent="0.55000000000000004">
      <c r="GM526" s="7"/>
    </row>
    <row r="527" spans="195:195" x14ac:dyDescent="0.55000000000000004">
      <c r="GM527" s="7"/>
    </row>
    <row r="528" spans="195:195" x14ac:dyDescent="0.55000000000000004">
      <c r="GM528" s="7"/>
    </row>
    <row r="529" spans="195:195" x14ac:dyDescent="0.55000000000000004">
      <c r="GM529" s="7"/>
    </row>
    <row r="530" spans="195:195" x14ac:dyDescent="0.55000000000000004">
      <c r="GM530" s="7"/>
    </row>
    <row r="531" spans="195:195" x14ac:dyDescent="0.55000000000000004">
      <c r="GM531" s="7"/>
    </row>
    <row r="532" spans="195:195" x14ac:dyDescent="0.55000000000000004">
      <c r="GM532" s="7"/>
    </row>
    <row r="533" spans="195:195" x14ac:dyDescent="0.55000000000000004">
      <c r="GM533" s="7"/>
    </row>
    <row r="534" spans="195:195" x14ac:dyDescent="0.55000000000000004">
      <c r="GM534" s="7"/>
    </row>
    <row r="535" spans="195:195" x14ac:dyDescent="0.55000000000000004">
      <c r="GM535" s="7"/>
    </row>
    <row r="536" spans="195:195" x14ac:dyDescent="0.55000000000000004">
      <c r="GM536" s="7"/>
    </row>
    <row r="537" spans="195:195" x14ac:dyDescent="0.55000000000000004">
      <c r="GM537" s="7"/>
    </row>
    <row r="538" spans="195:195" x14ac:dyDescent="0.55000000000000004">
      <c r="GM538" s="7"/>
    </row>
    <row r="539" spans="195:195" x14ac:dyDescent="0.55000000000000004">
      <c r="GM539" s="7"/>
    </row>
    <row r="540" spans="195:195" x14ac:dyDescent="0.55000000000000004">
      <c r="GM540" s="7"/>
    </row>
    <row r="541" spans="195:195" x14ac:dyDescent="0.55000000000000004">
      <c r="GM541" s="7"/>
    </row>
    <row r="542" spans="195:195" x14ac:dyDescent="0.55000000000000004">
      <c r="GM542" s="7"/>
    </row>
    <row r="543" spans="195:195" x14ac:dyDescent="0.55000000000000004">
      <c r="GM543" s="7"/>
    </row>
    <row r="544" spans="195:195" x14ac:dyDescent="0.55000000000000004">
      <c r="GM544" s="7"/>
    </row>
    <row r="545" spans="195:195" x14ac:dyDescent="0.55000000000000004">
      <c r="GM545" s="7"/>
    </row>
    <row r="546" spans="195:195" x14ac:dyDescent="0.55000000000000004">
      <c r="GM546" s="7"/>
    </row>
    <row r="547" spans="195:195" x14ac:dyDescent="0.55000000000000004">
      <c r="GM547" s="7"/>
    </row>
    <row r="548" spans="195:195" x14ac:dyDescent="0.55000000000000004">
      <c r="GM548" s="7"/>
    </row>
    <row r="549" spans="195:195" x14ac:dyDescent="0.55000000000000004">
      <c r="GM549" s="7"/>
    </row>
    <row r="550" spans="195:195" x14ac:dyDescent="0.55000000000000004">
      <c r="GM550" s="7"/>
    </row>
    <row r="551" spans="195:195" x14ac:dyDescent="0.55000000000000004">
      <c r="GM551" s="7"/>
    </row>
    <row r="552" spans="195:195" x14ac:dyDescent="0.55000000000000004">
      <c r="GM552" s="7"/>
    </row>
    <row r="553" spans="195:195" x14ac:dyDescent="0.55000000000000004">
      <c r="GM553" s="7"/>
    </row>
    <row r="554" spans="195:195" x14ac:dyDescent="0.55000000000000004">
      <c r="GM554" s="7"/>
    </row>
    <row r="555" spans="195:195" x14ac:dyDescent="0.55000000000000004">
      <c r="GM555" s="7"/>
    </row>
    <row r="556" spans="195:195" x14ac:dyDescent="0.55000000000000004">
      <c r="GM556" s="7"/>
    </row>
    <row r="557" spans="195:195" x14ac:dyDescent="0.55000000000000004">
      <c r="GM557" s="7"/>
    </row>
    <row r="558" spans="195:195" x14ac:dyDescent="0.55000000000000004">
      <c r="GM558" s="7"/>
    </row>
    <row r="559" spans="195:195" x14ac:dyDescent="0.55000000000000004">
      <c r="GM559" s="7"/>
    </row>
    <row r="560" spans="195:195" x14ac:dyDescent="0.55000000000000004">
      <c r="GM560" s="7"/>
    </row>
    <row r="561" spans="195:195" x14ac:dyDescent="0.55000000000000004">
      <c r="GM561" s="7"/>
    </row>
    <row r="562" spans="195:195" x14ac:dyDescent="0.55000000000000004">
      <c r="GM562" s="7"/>
    </row>
    <row r="563" spans="195:195" x14ac:dyDescent="0.55000000000000004">
      <c r="GM563" s="7"/>
    </row>
    <row r="564" spans="195:195" x14ac:dyDescent="0.55000000000000004">
      <c r="GM564" s="7"/>
    </row>
    <row r="565" spans="195:195" x14ac:dyDescent="0.55000000000000004">
      <c r="GM565" s="7"/>
    </row>
    <row r="566" spans="195:195" x14ac:dyDescent="0.55000000000000004">
      <c r="GM566" s="7"/>
    </row>
    <row r="567" spans="195:195" x14ac:dyDescent="0.55000000000000004">
      <c r="GM567" s="7"/>
    </row>
    <row r="568" spans="195:195" x14ac:dyDescent="0.55000000000000004">
      <c r="GM568" s="7"/>
    </row>
    <row r="569" spans="195:195" x14ac:dyDescent="0.55000000000000004">
      <c r="GM569" s="7"/>
    </row>
    <row r="570" spans="195:195" x14ac:dyDescent="0.55000000000000004">
      <c r="GM570" s="7"/>
    </row>
    <row r="571" spans="195:195" x14ac:dyDescent="0.55000000000000004">
      <c r="GM571" s="7"/>
    </row>
    <row r="572" spans="195:195" x14ac:dyDescent="0.55000000000000004">
      <c r="GM572" s="7"/>
    </row>
    <row r="573" spans="195:195" x14ac:dyDescent="0.55000000000000004">
      <c r="GM573" s="7"/>
    </row>
    <row r="574" spans="195:195" x14ac:dyDescent="0.55000000000000004">
      <c r="GM574" s="7"/>
    </row>
    <row r="575" spans="195:195" x14ac:dyDescent="0.55000000000000004">
      <c r="GM575" s="7"/>
    </row>
    <row r="576" spans="195:195" x14ac:dyDescent="0.55000000000000004">
      <c r="GM576" s="7"/>
    </row>
    <row r="577" spans="195:195" x14ac:dyDescent="0.55000000000000004">
      <c r="GM577" s="7"/>
    </row>
    <row r="578" spans="195:195" x14ac:dyDescent="0.55000000000000004">
      <c r="GM578" s="7"/>
    </row>
    <row r="579" spans="195:195" x14ac:dyDescent="0.55000000000000004">
      <c r="GM579" s="7"/>
    </row>
    <row r="580" spans="195:195" x14ac:dyDescent="0.55000000000000004">
      <c r="GM580" s="7"/>
    </row>
    <row r="581" spans="195:195" x14ac:dyDescent="0.55000000000000004">
      <c r="GM581" s="7"/>
    </row>
    <row r="582" spans="195:195" x14ac:dyDescent="0.55000000000000004">
      <c r="GM582" s="7"/>
    </row>
    <row r="583" spans="195:195" x14ac:dyDescent="0.55000000000000004">
      <c r="GM583" s="7"/>
    </row>
    <row r="584" spans="195:195" x14ac:dyDescent="0.55000000000000004">
      <c r="GM584" s="7"/>
    </row>
    <row r="585" spans="195:195" x14ac:dyDescent="0.55000000000000004">
      <c r="GM585" s="7"/>
    </row>
    <row r="586" spans="195:195" x14ac:dyDescent="0.55000000000000004">
      <c r="GM586" s="7"/>
    </row>
    <row r="587" spans="195:195" x14ac:dyDescent="0.55000000000000004">
      <c r="GM587" s="7"/>
    </row>
    <row r="588" spans="195:195" x14ac:dyDescent="0.55000000000000004">
      <c r="GM588" s="7"/>
    </row>
    <row r="589" spans="195:195" x14ac:dyDescent="0.55000000000000004">
      <c r="GM589" s="7"/>
    </row>
    <row r="590" spans="195:195" x14ac:dyDescent="0.55000000000000004">
      <c r="GM590" s="7"/>
    </row>
    <row r="591" spans="195:195" x14ac:dyDescent="0.55000000000000004">
      <c r="GM591" s="7"/>
    </row>
    <row r="592" spans="195:195" x14ac:dyDescent="0.55000000000000004">
      <c r="GM592" s="7"/>
    </row>
    <row r="593" spans="195:195" x14ac:dyDescent="0.55000000000000004">
      <c r="GM593" s="7"/>
    </row>
    <row r="594" spans="195:195" x14ac:dyDescent="0.55000000000000004">
      <c r="GM594" s="7"/>
    </row>
    <row r="595" spans="195:195" x14ac:dyDescent="0.55000000000000004">
      <c r="GM595" s="7"/>
    </row>
    <row r="596" spans="195:195" x14ac:dyDescent="0.55000000000000004">
      <c r="GM596" s="7"/>
    </row>
    <row r="597" spans="195:195" x14ac:dyDescent="0.55000000000000004">
      <c r="GM597" s="7"/>
    </row>
    <row r="598" spans="195:195" x14ac:dyDescent="0.55000000000000004">
      <c r="GM598" s="7"/>
    </row>
    <row r="599" spans="195:195" x14ac:dyDescent="0.55000000000000004">
      <c r="GM599" s="7"/>
    </row>
    <row r="600" spans="195:195" x14ac:dyDescent="0.55000000000000004">
      <c r="GM600" s="7"/>
    </row>
    <row r="601" spans="195:195" x14ac:dyDescent="0.55000000000000004">
      <c r="GM601" s="7"/>
    </row>
    <row r="602" spans="195:195" x14ac:dyDescent="0.55000000000000004">
      <c r="GM602" s="7"/>
    </row>
    <row r="603" spans="195:195" x14ac:dyDescent="0.55000000000000004">
      <c r="GM603" s="7"/>
    </row>
    <row r="604" spans="195:195" x14ac:dyDescent="0.55000000000000004">
      <c r="GM604" s="7"/>
    </row>
    <row r="605" spans="195:195" x14ac:dyDescent="0.55000000000000004">
      <c r="GM605" s="7"/>
    </row>
    <row r="606" spans="195:195" x14ac:dyDescent="0.55000000000000004">
      <c r="GM606" s="7"/>
    </row>
    <row r="607" spans="195:195" x14ac:dyDescent="0.55000000000000004">
      <c r="GM607" s="7"/>
    </row>
    <row r="608" spans="195:195" x14ac:dyDescent="0.55000000000000004">
      <c r="GM608" s="7"/>
    </row>
    <row r="609" spans="195:195" x14ac:dyDescent="0.55000000000000004">
      <c r="GM609" s="7"/>
    </row>
    <row r="610" spans="195:195" x14ac:dyDescent="0.55000000000000004">
      <c r="GM610" s="7"/>
    </row>
    <row r="611" spans="195:195" x14ac:dyDescent="0.55000000000000004">
      <c r="GM611" s="7"/>
    </row>
    <row r="612" spans="195:195" x14ac:dyDescent="0.55000000000000004">
      <c r="GM612" s="7"/>
    </row>
    <row r="613" spans="195:195" x14ac:dyDescent="0.55000000000000004">
      <c r="GM613" s="7"/>
    </row>
    <row r="614" spans="195:195" x14ac:dyDescent="0.55000000000000004">
      <c r="GM614" s="7"/>
    </row>
    <row r="615" spans="195:195" x14ac:dyDescent="0.55000000000000004">
      <c r="GM615" s="7"/>
    </row>
    <row r="616" spans="195:195" x14ac:dyDescent="0.55000000000000004">
      <c r="GM616" s="7"/>
    </row>
    <row r="617" spans="195:195" x14ac:dyDescent="0.55000000000000004">
      <c r="GM617" s="7"/>
    </row>
    <row r="618" spans="195:195" x14ac:dyDescent="0.55000000000000004">
      <c r="GM618" s="7"/>
    </row>
    <row r="619" spans="195:195" x14ac:dyDescent="0.55000000000000004">
      <c r="GM619" s="7"/>
    </row>
    <row r="620" spans="195:195" x14ac:dyDescent="0.55000000000000004">
      <c r="GM620" s="7"/>
    </row>
    <row r="621" spans="195:195" x14ac:dyDescent="0.55000000000000004">
      <c r="GM621" s="7"/>
    </row>
    <row r="622" spans="195:195" x14ac:dyDescent="0.55000000000000004">
      <c r="GM622" s="7"/>
    </row>
    <row r="623" spans="195:195" x14ac:dyDescent="0.55000000000000004">
      <c r="GM623" s="7"/>
    </row>
    <row r="624" spans="195:195" x14ac:dyDescent="0.55000000000000004">
      <c r="GM624" s="7"/>
    </row>
    <row r="625" spans="195:195" x14ac:dyDescent="0.55000000000000004">
      <c r="GM625" s="7"/>
    </row>
    <row r="626" spans="195:195" x14ac:dyDescent="0.55000000000000004">
      <c r="GM626" s="7"/>
    </row>
    <row r="627" spans="195:195" x14ac:dyDescent="0.55000000000000004">
      <c r="GM627" s="7"/>
    </row>
    <row r="628" spans="195:195" x14ac:dyDescent="0.55000000000000004">
      <c r="GM628" s="7"/>
    </row>
    <row r="629" spans="195:195" x14ac:dyDescent="0.55000000000000004">
      <c r="GM629" s="7"/>
    </row>
    <row r="630" spans="195:195" x14ac:dyDescent="0.55000000000000004">
      <c r="GM630" s="7"/>
    </row>
    <row r="631" spans="195:195" x14ac:dyDescent="0.55000000000000004">
      <c r="GM631" s="7"/>
    </row>
    <row r="632" spans="195:195" x14ac:dyDescent="0.55000000000000004">
      <c r="GM632" s="7"/>
    </row>
    <row r="633" spans="195:195" x14ac:dyDescent="0.55000000000000004">
      <c r="GM633" s="7"/>
    </row>
    <row r="634" spans="195:195" x14ac:dyDescent="0.55000000000000004">
      <c r="GM634" s="7"/>
    </row>
    <row r="635" spans="195:195" x14ac:dyDescent="0.55000000000000004">
      <c r="GM635" s="7"/>
    </row>
    <row r="636" spans="195:195" x14ac:dyDescent="0.55000000000000004">
      <c r="GM636" s="7"/>
    </row>
    <row r="637" spans="195:195" x14ac:dyDescent="0.55000000000000004">
      <c r="GM637" s="7"/>
    </row>
    <row r="638" spans="195:195" x14ac:dyDescent="0.55000000000000004">
      <c r="GM638" s="7"/>
    </row>
    <row r="639" spans="195:195" x14ac:dyDescent="0.55000000000000004">
      <c r="GM639" s="7"/>
    </row>
    <row r="640" spans="195:195" x14ac:dyDescent="0.55000000000000004">
      <c r="GM640" s="7"/>
    </row>
    <row r="641" spans="195:195" x14ac:dyDescent="0.55000000000000004">
      <c r="GM641" s="7"/>
    </row>
    <row r="642" spans="195:195" x14ac:dyDescent="0.55000000000000004">
      <c r="GM642" s="7"/>
    </row>
    <row r="643" spans="195:195" x14ac:dyDescent="0.55000000000000004">
      <c r="GM643" s="7"/>
    </row>
    <row r="644" spans="195:195" x14ac:dyDescent="0.55000000000000004">
      <c r="GM644" s="7"/>
    </row>
    <row r="645" spans="195:195" x14ac:dyDescent="0.55000000000000004">
      <c r="GM645" s="7"/>
    </row>
    <row r="646" spans="195:195" x14ac:dyDescent="0.55000000000000004">
      <c r="GM646" s="7"/>
    </row>
    <row r="647" spans="195:195" x14ac:dyDescent="0.55000000000000004">
      <c r="GM647" s="7"/>
    </row>
    <row r="648" spans="195:195" x14ac:dyDescent="0.55000000000000004">
      <c r="GM648" s="7"/>
    </row>
    <row r="649" spans="195:195" x14ac:dyDescent="0.55000000000000004">
      <c r="GM649" s="7"/>
    </row>
    <row r="650" spans="195:195" x14ac:dyDescent="0.55000000000000004">
      <c r="GM650" s="7"/>
    </row>
    <row r="651" spans="195:195" x14ac:dyDescent="0.55000000000000004">
      <c r="GM651" s="7"/>
    </row>
    <row r="652" spans="195:195" x14ac:dyDescent="0.55000000000000004">
      <c r="GM652" s="7"/>
    </row>
    <row r="653" spans="195:195" x14ac:dyDescent="0.55000000000000004">
      <c r="GM653" s="7"/>
    </row>
    <row r="654" spans="195:195" x14ac:dyDescent="0.55000000000000004">
      <c r="GM654" s="7"/>
    </row>
    <row r="655" spans="195:195" x14ac:dyDescent="0.55000000000000004">
      <c r="GM655" s="7"/>
    </row>
    <row r="656" spans="195:195" x14ac:dyDescent="0.55000000000000004">
      <c r="GM656" s="7"/>
    </row>
    <row r="657" spans="195:195" x14ac:dyDescent="0.55000000000000004">
      <c r="GM657" s="7"/>
    </row>
    <row r="658" spans="195:195" x14ac:dyDescent="0.55000000000000004">
      <c r="GM658" s="7"/>
    </row>
    <row r="659" spans="195:195" x14ac:dyDescent="0.55000000000000004">
      <c r="GM659" s="7"/>
    </row>
    <row r="660" spans="195:195" x14ac:dyDescent="0.55000000000000004">
      <c r="GM660" s="7"/>
    </row>
    <row r="661" spans="195:195" x14ac:dyDescent="0.55000000000000004">
      <c r="GM661" s="7"/>
    </row>
    <row r="662" spans="195:195" x14ac:dyDescent="0.55000000000000004">
      <c r="GM662" s="7"/>
    </row>
    <row r="663" spans="195:195" x14ac:dyDescent="0.55000000000000004">
      <c r="GM663" s="7"/>
    </row>
    <row r="664" spans="195:195" x14ac:dyDescent="0.55000000000000004">
      <c r="GM664" s="7"/>
    </row>
    <row r="665" spans="195:195" x14ac:dyDescent="0.55000000000000004">
      <c r="GM665" s="7"/>
    </row>
    <row r="666" spans="195:195" x14ac:dyDescent="0.55000000000000004">
      <c r="GM666" s="7"/>
    </row>
    <row r="667" spans="195:195" x14ac:dyDescent="0.55000000000000004">
      <c r="GM667" s="7"/>
    </row>
    <row r="668" spans="195:195" x14ac:dyDescent="0.55000000000000004">
      <c r="GM668" s="7"/>
    </row>
    <row r="669" spans="195:195" x14ac:dyDescent="0.55000000000000004">
      <c r="GM669" s="7"/>
    </row>
    <row r="670" spans="195:195" x14ac:dyDescent="0.55000000000000004">
      <c r="GM670" s="7"/>
    </row>
    <row r="671" spans="195:195" x14ac:dyDescent="0.55000000000000004">
      <c r="GM671" s="7"/>
    </row>
    <row r="672" spans="195:195" x14ac:dyDescent="0.55000000000000004">
      <c r="GM672" s="7"/>
    </row>
    <row r="673" spans="195:195" x14ac:dyDescent="0.55000000000000004">
      <c r="GM673" s="7"/>
    </row>
    <row r="674" spans="195:195" x14ac:dyDescent="0.55000000000000004">
      <c r="GM674" s="7"/>
    </row>
    <row r="675" spans="195:195" x14ac:dyDescent="0.55000000000000004">
      <c r="GM675" s="7"/>
    </row>
    <row r="676" spans="195:195" x14ac:dyDescent="0.55000000000000004">
      <c r="GM676" s="7"/>
    </row>
    <row r="677" spans="195:195" x14ac:dyDescent="0.55000000000000004">
      <c r="GM677" s="7"/>
    </row>
    <row r="678" spans="195:195" x14ac:dyDescent="0.55000000000000004">
      <c r="GM678" s="7"/>
    </row>
    <row r="679" spans="195:195" x14ac:dyDescent="0.55000000000000004">
      <c r="GM679" s="7"/>
    </row>
    <row r="680" spans="195:195" x14ac:dyDescent="0.55000000000000004">
      <c r="GM680" s="7"/>
    </row>
    <row r="681" spans="195:195" x14ac:dyDescent="0.55000000000000004">
      <c r="GM681" s="7"/>
    </row>
    <row r="682" spans="195:195" x14ac:dyDescent="0.55000000000000004">
      <c r="GM682" s="7"/>
    </row>
    <row r="683" spans="195:195" x14ac:dyDescent="0.55000000000000004">
      <c r="GM683" s="7"/>
    </row>
    <row r="684" spans="195:195" x14ac:dyDescent="0.55000000000000004">
      <c r="GM684" s="7"/>
    </row>
    <row r="685" spans="195:195" x14ac:dyDescent="0.55000000000000004">
      <c r="GM685" s="7"/>
    </row>
    <row r="686" spans="195:195" x14ac:dyDescent="0.55000000000000004">
      <c r="GM686" s="7"/>
    </row>
    <row r="687" spans="195:195" x14ac:dyDescent="0.55000000000000004">
      <c r="GM687" s="7"/>
    </row>
    <row r="688" spans="195:195" x14ac:dyDescent="0.55000000000000004">
      <c r="GM688" s="7"/>
    </row>
    <row r="689" spans="195:195" x14ac:dyDescent="0.55000000000000004">
      <c r="GM689" s="7"/>
    </row>
    <row r="690" spans="195:195" x14ac:dyDescent="0.55000000000000004">
      <c r="GM690" s="7"/>
    </row>
    <row r="691" spans="195:195" x14ac:dyDescent="0.55000000000000004">
      <c r="GM691" s="7"/>
    </row>
    <row r="692" spans="195:195" x14ac:dyDescent="0.55000000000000004">
      <c r="GM692" s="7"/>
    </row>
    <row r="693" spans="195:195" x14ac:dyDescent="0.55000000000000004">
      <c r="GM693" s="7"/>
    </row>
    <row r="694" spans="195:195" x14ac:dyDescent="0.55000000000000004">
      <c r="GM694" s="7"/>
    </row>
    <row r="695" spans="195:195" x14ac:dyDescent="0.55000000000000004">
      <c r="GM695" s="7"/>
    </row>
    <row r="696" spans="195:195" x14ac:dyDescent="0.55000000000000004">
      <c r="GM696" s="7"/>
    </row>
    <row r="697" spans="195:195" x14ac:dyDescent="0.55000000000000004">
      <c r="GM697" s="7"/>
    </row>
    <row r="698" spans="195:195" x14ac:dyDescent="0.55000000000000004">
      <c r="GM698" s="7"/>
    </row>
    <row r="699" spans="195:195" x14ac:dyDescent="0.55000000000000004">
      <c r="GM699" s="7"/>
    </row>
    <row r="700" spans="195:195" x14ac:dyDescent="0.55000000000000004">
      <c r="GM700" s="7"/>
    </row>
    <row r="701" spans="195:195" x14ac:dyDescent="0.55000000000000004">
      <c r="GM701" s="7"/>
    </row>
    <row r="702" spans="195:195" x14ac:dyDescent="0.55000000000000004">
      <c r="GM702" s="7"/>
    </row>
    <row r="703" spans="195:195" x14ac:dyDescent="0.55000000000000004">
      <c r="GM703" s="7"/>
    </row>
    <row r="704" spans="195:195" x14ac:dyDescent="0.55000000000000004">
      <c r="GM704" s="7"/>
    </row>
    <row r="705" spans="195:195" x14ac:dyDescent="0.55000000000000004">
      <c r="GM705" s="7"/>
    </row>
    <row r="706" spans="195:195" x14ac:dyDescent="0.55000000000000004">
      <c r="GM706" s="7"/>
    </row>
    <row r="707" spans="195:195" x14ac:dyDescent="0.55000000000000004">
      <c r="GM707" s="7"/>
    </row>
    <row r="708" spans="195:195" x14ac:dyDescent="0.55000000000000004">
      <c r="GM708" s="7"/>
    </row>
    <row r="709" spans="195:195" x14ac:dyDescent="0.55000000000000004">
      <c r="GM709" s="7"/>
    </row>
    <row r="710" spans="195:195" x14ac:dyDescent="0.55000000000000004">
      <c r="GM710" s="7"/>
    </row>
    <row r="711" spans="195:195" x14ac:dyDescent="0.55000000000000004">
      <c r="GM711" s="7"/>
    </row>
    <row r="712" spans="195:195" x14ac:dyDescent="0.55000000000000004">
      <c r="GM712" s="7"/>
    </row>
    <row r="713" spans="195:195" x14ac:dyDescent="0.55000000000000004">
      <c r="GM713" s="7"/>
    </row>
    <row r="714" spans="195:195" x14ac:dyDescent="0.55000000000000004">
      <c r="GM714" s="7"/>
    </row>
    <row r="715" spans="195:195" x14ac:dyDescent="0.55000000000000004">
      <c r="GM715" s="7"/>
    </row>
    <row r="716" spans="195:195" x14ac:dyDescent="0.55000000000000004">
      <c r="GM716" s="7"/>
    </row>
    <row r="717" spans="195:195" x14ac:dyDescent="0.55000000000000004">
      <c r="GM717" s="7"/>
    </row>
    <row r="718" spans="195:195" x14ac:dyDescent="0.55000000000000004">
      <c r="GM718" s="7"/>
    </row>
    <row r="719" spans="195:195" x14ac:dyDescent="0.55000000000000004">
      <c r="GM719" s="7"/>
    </row>
    <row r="720" spans="195:195" x14ac:dyDescent="0.55000000000000004">
      <c r="GM720" s="7"/>
    </row>
    <row r="721" spans="195:195" x14ac:dyDescent="0.55000000000000004">
      <c r="GM721" s="7"/>
    </row>
    <row r="722" spans="195:195" x14ac:dyDescent="0.55000000000000004">
      <c r="GM722" s="7"/>
    </row>
    <row r="723" spans="195:195" x14ac:dyDescent="0.55000000000000004">
      <c r="GM723" s="7"/>
    </row>
    <row r="724" spans="195:195" x14ac:dyDescent="0.55000000000000004">
      <c r="GM724" s="7"/>
    </row>
    <row r="725" spans="195:195" x14ac:dyDescent="0.55000000000000004">
      <c r="GM725" s="7"/>
    </row>
    <row r="726" spans="195:195" x14ac:dyDescent="0.55000000000000004">
      <c r="GM726" s="7"/>
    </row>
    <row r="727" spans="195:195" x14ac:dyDescent="0.55000000000000004">
      <c r="GM727" s="7"/>
    </row>
    <row r="728" spans="195:195" x14ac:dyDescent="0.55000000000000004">
      <c r="GM728" s="7"/>
    </row>
    <row r="729" spans="195:195" x14ac:dyDescent="0.55000000000000004">
      <c r="GM729" s="7"/>
    </row>
    <row r="730" spans="195:195" x14ac:dyDescent="0.55000000000000004">
      <c r="GM730" s="7"/>
    </row>
    <row r="731" spans="195:195" x14ac:dyDescent="0.55000000000000004">
      <c r="GM731" s="7"/>
    </row>
    <row r="732" spans="195:195" x14ac:dyDescent="0.55000000000000004">
      <c r="GM732" s="7"/>
    </row>
    <row r="733" spans="195:195" x14ac:dyDescent="0.55000000000000004">
      <c r="GM733" s="7"/>
    </row>
    <row r="734" spans="195:195" x14ac:dyDescent="0.55000000000000004">
      <c r="GM734" s="7"/>
    </row>
    <row r="735" spans="195:195" x14ac:dyDescent="0.55000000000000004">
      <c r="GM735" s="7"/>
    </row>
    <row r="736" spans="195:195" x14ac:dyDescent="0.55000000000000004">
      <c r="GM736" s="7"/>
    </row>
    <row r="737" spans="195:195" x14ac:dyDescent="0.55000000000000004">
      <c r="GM737" s="7"/>
    </row>
    <row r="738" spans="195:195" x14ac:dyDescent="0.55000000000000004">
      <c r="GM738" s="7"/>
    </row>
    <row r="739" spans="195:195" x14ac:dyDescent="0.55000000000000004">
      <c r="GM739" s="7"/>
    </row>
    <row r="740" spans="195:195" x14ac:dyDescent="0.55000000000000004">
      <c r="GM740" s="7"/>
    </row>
    <row r="741" spans="195:195" x14ac:dyDescent="0.55000000000000004">
      <c r="GM741" s="7"/>
    </row>
    <row r="742" spans="195:195" x14ac:dyDescent="0.55000000000000004">
      <c r="GM742" s="7"/>
    </row>
    <row r="743" spans="195:195" x14ac:dyDescent="0.55000000000000004">
      <c r="GM743" s="7"/>
    </row>
    <row r="744" spans="195:195" x14ac:dyDescent="0.55000000000000004">
      <c r="GM744" s="7"/>
    </row>
    <row r="745" spans="195:195" x14ac:dyDescent="0.55000000000000004">
      <c r="GM745" s="7"/>
    </row>
    <row r="746" spans="195:195" x14ac:dyDescent="0.55000000000000004">
      <c r="GM746" s="7"/>
    </row>
    <row r="747" spans="195:195" x14ac:dyDescent="0.55000000000000004">
      <c r="GM747" s="7"/>
    </row>
    <row r="748" spans="195:195" x14ac:dyDescent="0.55000000000000004">
      <c r="GM748" s="7"/>
    </row>
    <row r="749" spans="195:195" x14ac:dyDescent="0.55000000000000004">
      <c r="GM749" s="7"/>
    </row>
    <row r="750" spans="195:195" x14ac:dyDescent="0.55000000000000004">
      <c r="GM750" s="7"/>
    </row>
    <row r="751" spans="195:195" x14ac:dyDescent="0.55000000000000004">
      <c r="GM751" s="7"/>
    </row>
    <row r="752" spans="195:195" x14ac:dyDescent="0.55000000000000004">
      <c r="GM752" s="7"/>
    </row>
    <row r="753" spans="195:195" x14ac:dyDescent="0.55000000000000004">
      <c r="GM753" s="7"/>
    </row>
    <row r="754" spans="195:195" x14ac:dyDescent="0.55000000000000004">
      <c r="GM754" s="7"/>
    </row>
    <row r="755" spans="195:195" x14ac:dyDescent="0.55000000000000004">
      <c r="GM755" s="7"/>
    </row>
    <row r="756" spans="195:195" x14ac:dyDescent="0.55000000000000004">
      <c r="GM756" s="7"/>
    </row>
    <row r="757" spans="195:195" x14ac:dyDescent="0.55000000000000004">
      <c r="GM757" s="7"/>
    </row>
    <row r="758" spans="195:195" x14ac:dyDescent="0.55000000000000004">
      <c r="GM758" s="7"/>
    </row>
    <row r="759" spans="195:195" x14ac:dyDescent="0.55000000000000004">
      <c r="GM759" s="7"/>
    </row>
    <row r="760" spans="195:195" x14ac:dyDescent="0.55000000000000004">
      <c r="GM760" s="7"/>
    </row>
    <row r="761" spans="195:195" x14ac:dyDescent="0.55000000000000004">
      <c r="GM761" s="7"/>
    </row>
    <row r="762" spans="195:195" x14ac:dyDescent="0.55000000000000004">
      <c r="GM762" s="7"/>
    </row>
    <row r="763" spans="195:195" x14ac:dyDescent="0.55000000000000004">
      <c r="GM763" s="7"/>
    </row>
    <row r="764" spans="195:195" x14ac:dyDescent="0.55000000000000004">
      <c r="GM764" s="7"/>
    </row>
    <row r="765" spans="195:195" x14ac:dyDescent="0.55000000000000004">
      <c r="GM765" s="7"/>
    </row>
    <row r="766" spans="195:195" x14ac:dyDescent="0.55000000000000004">
      <c r="GM766" s="7"/>
    </row>
    <row r="767" spans="195:195" x14ac:dyDescent="0.55000000000000004">
      <c r="GM767" s="7"/>
    </row>
    <row r="768" spans="195:195" x14ac:dyDescent="0.55000000000000004">
      <c r="GM768" s="7"/>
    </row>
    <row r="769" spans="195:195" x14ac:dyDescent="0.55000000000000004">
      <c r="GM769" s="7"/>
    </row>
    <row r="770" spans="195:195" x14ac:dyDescent="0.55000000000000004">
      <c r="GM770" s="7"/>
    </row>
    <row r="771" spans="195:195" x14ac:dyDescent="0.55000000000000004">
      <c r="GM771" s="7"/>
    </row>
    <row r="772" spans="195:195" x14ac:dyDescent="0.55000000000000004">
      <c r="GM772" s="7"/>
    </row>
    <row r="773" spans="195:195" x14ac:dyDescent="0.55000000000000004">
      <c r="GM773" s="7"/>
    </row>
    <row r="774" spans="195:195" x14ac:dyDescent="0.55000000000000004">
      <c r="GM774" s="7"/>
    </row>
    <row r="775" spans="195:195" x14ac:dyDescent="0.55000000000000004">
      <c r="GM775" s="7"/>
    </row>
    <row r="776" spans="195:195" x14ac:dyDescent="0.55000000000000004">
      <c r="GM776" s="7"/>
    </row>
    <row r="777" spans="195:195" x14ac:dyDescent="0.55000000000000004">
      <c r="GM777" s="7"/>
    </row>
    <row r="778" spans="195:195" x14ac:dyDescent="0.55000000000000004">
      <c r="GM778" s="7"/>
    </row>
    <row r="779" spans="195:195" x14ac:dyDescent="0.55000000000000004">
      <c r="GM779" s="7"/>
    </row>
    <row r="780" spans="195:195" x14ac:dyDescent="0.55000000000000004">
      <c r="GM780" s="7"/>
    </row>
    <row r="781" spans="195:195" x14ac:dyDescent="0.55000000000000004">
      <c r="GM781" s="7"/>
    </row>
    <row r="782" spans="195:195" x14ac:dyDescent="0.55000000000000004">
      <c r="GM782" s="7"/>
    </row>
    <row r="783" spans="195:195" x14ac:dyDescent="0.55000000000000004">
      <c r="GM783" s="7"/>
    </row>
    <row r="784" spans="195:195" x14ac:dyDescent="0.55000000000000004">
      <c r="GM784" s="7"/>
    </row>
    <row r="785" spans="195:195" x14ac:dyDescent="0.55000000000000004">
      <c r="GM785" s="7"/>
    </row>
    <row r="786" spans="195:195" x14ac:dyDescent="0.55000000000000004">
      <c r="GM786" s="7"/>
    </row>
    <row r="787" spans="195:195" x14ac:dyDescent="0.55000000000000004">
      <c r="GM787" s="7"/>
    </row>
    <row r="788" spans="195:195" x14ac:dyDescent="0.55000000000000004">
      <c r="GM788" s="7"/>
    </row>
    <row r="789" spans="195:195" x14ac:dyDescent="0.55000000000000004">
      <c r="GM789" s="7"/>
    </row>
    <row r="790" spans="195:195" x14ac:dyDescent="0.55000000000000004">
      <c r="GM790" s="7"/>
    </row>
    <row r="791" spans="195:195" x14ac:dyDescent="0.55000000000000004">
      <c r="GM791" s="7"/>
    </row>
    <row r="792" spans="195:195" x14ac:dyDescent="0.55000000000000004">
      <c r="GM792" s="7"/>
    </row>
    <row r="793" spans="195:195" x14ac:dyDescent="0.55000000000000004">
      <c r="GM793" s="7"/>
    </row>
    <row r="794" spans="195:195" x14ac:dyDescent="0.55000000000000004">
      <c r="GM794" s="7"/>
    </row>
    <row r="795" spans="195:195" x14ac:dyDescent="0.55000000000000004">
      <c r="GM795" s="7"/>
    </row>
    <row r="796" spans="195:195" x14ac:dyDescent="0.55000000000000004">
      <c r="GM796" s="7"/>
    </row>
    <row r="797" spans="195:195" x14ac:dyDescent="0.55000000000000004">
      <c r="GM797" s="7"/>
    </row>
    <row r="798" spans="195:195" x14ac:dyDescent="0.55000000000000004">
      <c r="GM798" s="7"/>
    </row>
    <row r="799" spans="195:195" x14ac:dyDescent="0.55000000000000004">
      <c r="GM799" s="7"/>
    </row>
    <row r="800" spans="195:195" x14ac:dyDescent="0.55000000000000004">
      <c r="GM800" s="7"/>
    </row>
  </sheetData>
  <phoneticPr fontId="12"/>
  <conditionalFormatting sqref="I12:J35">
    <cfRule type="colorScale" priority="1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N39:O48">
    <cfRule type="colorScale" priority="2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K39:K48">
    <cfRule type="colorScale" priority="7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L39:L48">
    <cfRule type="colorScale" priority="8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D12:D35">
    <cfRule type="colorScale" priority="11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E12:E35">
    <cfRule type="colorScale" priority="13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F12:F35">
    <cfRule type="colorScale" priority="15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G12:G35">
    <cfRule type="colorScale" priority="17">
      <colorScale>
        <cfvo type="min"/>
        <cfvo type="num" val="0"/>
        <cfvo type="max"/>
        <color rgb="FF2A78D6"/>
        <color rgb="FFFFFFFF"/>
        <color rgb="FFE34948"/>
      </colorScale>
    </cfRule>
  </conditionalFormatting>
  <dataValidations count="5">
    <dataValidation type="list" allowBlank="1" showInputMessage="1" showErrorMessage="1" sqref="B1" xr:uid="{72C4BD43-CD80-42C3-839B-44EE8100ED82}">
      <formula1>"Live,Fixed"</formula1>
    </dataValidation>
    <dataValidation type="list" allowBlank="1" showInputMessage="1" showErrorMessage="1" sqref="B8" xr:uid="{530460CB-1A51-4D7B-BAC7-0892FDF5EC3C}">
      <formula1>"Level,Change"</formula1>
    </dataValidation>
    <dataValidation type="list" allowBlank="1" showInputMessage="1" showErrorMessage="1" sqref="A39:A48" xr:uid="{1D932CE5-1B6C-4F28-AB0D-CA3B101366B3}">
      <formula1>"Yes,No"</formula1>
    </dataValidation>
    <dataValidation type="list" allowBlank="1" showInputMessage="1" showErrorMessage="1" sqref="C39:C48" xr:uid="{C72E0E20-FB10-4F7A-87D4-C7FB758FE28A}">
      <formula1>"CMT,FIXED,ROLLING"</formula1>
    </dataValidation>
    <dataValidation type="list" allowBlank="1" showInputMessage="1" showErrorMessage="1" sqref="D39:D48 H39:H48 F39:F48" xr:uid="{86477BC3-B109-4372-AADD-3780F7070C93}">
      <formula1>$A$12:$A$35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AFB05-4B82-4703-B906-9945985B65B2}">
  <sheetPr codeName="Sheet7"/>
  <dimension ref="A1:BV2000"/>
  <sheetViews>
    <sheetView tabSelected="1" zoomScale="76" workbookViewId="0">
      <selection activeCell="K9" sqref="K9"/>
    </sheetView>
  </sheetViews>
  <sheetFormatPr defaultRowHeight="18.5" outlineLevelCol="1" x14ac:dyDescent="0.55000000000000004"/>
  <cols>
    <col min="1" max="1" width="16.58203125" customWidth="1"/>
    <col min="2" max="15" width="11.08203125" customWidth="1"/>
    <col min="31" max="73" width="0" hidden="1" customWidth="1" outlineLevel="1"/>
    <col min="74" max="74" width="8.6640625" collapsed="1"/>
  </cols>
  <sheetData>
    <row r="1" spans="1:73" ht="20" x14ac:dyDescent="0.55000000000000004">
      <c r="A1" s="20" t="s">
        <v>326</v>
      </c>
    </row>
    <row r="2" spans="1:73" x14ac:dyDescent="0.55000000000000004">
      <c r="A2" t="s">
        <v>327</v>
      </c>
      <c r="AE2" s="4" t="s">
        <v>346</v>
      </c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 t="s">
        <v>347</v>
      </c>
      <c r="AU2" s="4"/>
      <c r="AV2" s="4"/>
      <c r="AW2" s="4"/>
      <c r="AX2" s="4"/>
      <c r="AY2" s="4"/>
      <c r="AZ2" s="4"/>
      <c r="BA2" s="4" t="s">
        <v>353</v>
      </c>
      <c r="BB2" s="4"/>
      <c r="BC2" s="4"/>
      <c r="BD2" s="4"/>
      <c r="BE2" s="4"/>
      <c r="BF2" s="4"/>
      <c r="BG2" s="4" t="s">
        <v>355</v>
      </c>
      <c r="BH2" s="4"/>
      <c r="BI2" s="4"/>
      <c r="BJ2" s="4"/>
      <c r="BK2" s="4"/>
      <c r="BL2" s="4"/>
      <c r="BM2" s="4"/>
      <c r="BN2" s="4"/>
      <c r="BO2" s="4" t="s">
        <v>356</v>
      </c>
      <c r="BP2" s="4"/>
      <c r="BQ2" s="4"/>
      <c r="BR2" s="4"/>
      <c r="BS2" s="4"/>
      <c r="BT2" s="4"/>
      <c r="BU2" s="4"/>
    </row>
    <row r="3" spans="1:73" x14ac:dyDescent="0.55000000000000004">
      <c r="A3" s="4" t="s">
        <v>257</v>
      </c>
      <c r="AE3" s="4" cm="1">
        <f t="array" ref="AE3:AR1665">FutHistory(FUT_Steps)</f>
      </c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 t="s">
        <v>75</v>
      </c>
      <c r="AU3" s="4" t="s">
        <v>348</v>
      </c>
      <c r="AV3" s="4" t="s">
        <v>349</v>
      </c>
      <c r="AW3" s="4" t="s">
        <v>350</v>
      </c>
      <c r="AX3" s="4" t="s">
        <v>351</v>
      </c>
      <c r="AY3" s="4" t="s">
        <v>352</v>
      </c>
      <c r="AZ3" s="4"/>
      <c r="BA3" s="4" t="s">
        <v>75</v>
      </c>
      <c r="BB3" s="4" t="s">
        <v>354</v>
      </c>
      <c r="BC3" s="4" t="s">
        <v>349</v>
      </c>
      <c r="BD3" s="4" t="s">
        <v>350</v>
      </c>
      <c r="BE3" s="4" t="s">
        <v>352</v>
      </c>
      <c r="BF3" s="4"/>
      <c r="BG3" s="4" cm="1">
        <f t="array" ref="BG3:BM189">FutOverlay(FUT_Overlay,FUT_Field,FUT_Steps)</f>
      </c>
      <c r="BH3" s="4"/>
      <c r="BI3" s="4"/>
      <c r="BJ3" s="4"/>
      <c r="BK3" s="4"/>
      <c r="BL3" s="4"/>
      <c r="BM3" s="4"/>
      <c r="BN3" s="4"/>
      <c r="BO3" s="4" t="s">
        <v>357</v>
      </c>
      <c r="BP3" s="4">
        <f>INDEX(_xlfn.ANCHORARRAY($BG$3),1,2)</f>
      </c>
      <c r="BQ3" s="4">
        <f>INDEX(_xlfn.ANCHORARRAY($BG$3),1,3)</f>
      </c>
      <c r="BR3" s="4">
        <f>INDEX(_xlfn.ANCHORARRAY($BG$3),1,4)</f>
      </c>
      <c r="BS3" s="4">
        <f>INDEX(_xlfn.ANCHORARRAY($BG$3),1,5)</f>
      </c>
      <c r="BT3" s="4">
        <f>INDEX(_xlfn.ANCHORARRAY($BG$3),1,6)</f>
      </c>
      <c r="BU3" s="4">
        <f>INDEX(_xlfn.ANCHORARRAY($BG$3),1,7)</f>
      </c>
    </row>
    <row r="4" spans="1:73" x14ac:dyDescent="0.55000000000000004">
      <c r="A4" s="4" t="s">
        <v>328</v>
      </c>
      <c r="B4" s="2" t="s">
        <v>329</v>
      </c>
      <c r="D4" t="s">
        <v>330</v>
      </c>
      <c r="AE4" s="7"/>
      <c r="AT4" s="7" cm="1">
        <f t="array" ref="AT4:AT1665">FUT_HD</f>
      </c>
      <c r="AU4" cm="1">
        <f t="array" aca="1" ref="AU4:AU1665" ca="1">_xlfn.LET(_xlpm.d,_xlfn.DROP(INDEX(FUT_H,,4),1),_xlpm.m,_xlfn.XLOOKUP(FUT_HD,FUT_AdjDate,IF(FUT_AdjSettle="","",FUT_AdjSettle),""),IF(_xlpm.m&lt;&gt;"",_xlpm.m,IF(ISNUMBER(_xlpm.d),_xlpm.d,0)))</f>
      </c>
      <c r="AV4" cm="1">
        <f t="array" aca="1" ref="AV4:AV1665" ca="1">_xlfn.LET(_xlpm.s,_xlfn.DROP(INDEX(FUT_H,,3),1),_xlpm.u,_xlfn.ANCHORARRAY($AU$4),INDEX(_xlpm.s,ROWS(_xlpm.s))-(SUM(_xlpm.u)-_xlfn.SCAN(0,_xlpm.u,_xlfn.LAMBDA(_xlpm.acc,_xlpm.x,_xlpm.acc+_xlpm.x))))</f>
      </c>
      <c r="AW4" cm="1">
        <f t="array" ref="AW4:AW1665">_xlfn.LET(_xlpm.n,_xlfn.DROP(INDEX(FUT_H,,13),1),IF(ISNUMBER(_xlpm.n),_xlpm.n*100,NA()))</f>
      </c>
      <c r="AX4" cm="1">
        <f t="array" aca="1" ref="AX4:AX1665" ca="1">_xlfn.LET(_xlpm.n,_xlfn.ANCHORARRAY($AW$4),_xlpm.c,_xlfn.DROP(INDEX(FUT_H,,2),1),_xlpm.r,_xlfn.DROP(INDEX(FUT_H,,6),1),_xlpm.pn,_xlfn.VSTACK("",_xlfn.DROP(_xlpm.n,-1)),_xlpm.pc,_xlfn.VSTACK("",_xlfn.DROP(_xlpm.c,-1)),_xlpm.pr,_xlfn.VSTACK("",_xlfn.DROP(_xlpm.r,-1)),_xlpm.auto,IF(ISNUMBER(_xlpm.n)*ISNUMBER(_xlpm.pn)*(_xlpm.c=_xlpm.pc)*(_xlpm.r=_xlpm.pr),_xlpm.n-_xlpm.pn,0),_xlpm.m,_xlfn.XLOOKUP(FUT_HD,FUT_AdjDate,IF(FUT_AdjNet="","",FUT_AdjNet),""),IF(_xlpm.m&lt;&gt;"",_xlpm.m,_xlpm.auto))</f>
      </c>
      <c r="AY4" cm="1">
        <f t="array" aca="1" ref="AY4:AY1665" ca="1">_xlfn.LET(_xlpm.n,_xlfn.ANCHORARRAY($AW$4),_xlpm.u,_xlfn.ANCHORARRAY($AX$4),_xlpm.last,INDEX(_xlpm.n,ROWS(_xlpm.n)),IF(ISNUMBER(_xlpm.n),_xlpm.last-(SUM(_xlpm.u)-_xlfn.SCAN(0,_xlpm.u,_xlfn.LAMBDA(_xlpm.acc,_xlpm.x,_xlpm.acc+_xlpm.x))),NA()))</f>
      </c>
      <c r="BA4" s="7" cm="1">
        <f t="array" ref="BA4:BA488">_xlfn._xlws.FILTER(FUT_HD,FUT_HD&gt;=N(FUT_From))</f>
      </c>
      <c r="BB4" cm="1">
        <f t="array" ref="BB4:BB488">_xlfn._xlws.FILTER(_xlfn.DROP(INDEX(FUT_H,,3),1),FUT_HD&gt;=N(FUT_From))</f>
      </c>
      <c r="BC4" cm="1">
        <f t="array" aca="1" ref="BC4:BC488" ca="1">_xlfn._xlws.FILTER(_xlfn.ANCHORARRAY($AV$4),FUT_HD&gt;=N(FUT_From))</f>
      </c>
      <c r="BD4" cm="1">
        <f t="array" ref="BD4:BD488">_xlfn._xlws.FILTER(_xlfn.ANCHORARRAY($AW$4),FUT_HD&gt;=N(FUT_From))</f>
      </c>
      <c r="BE4" cm="1">
        <f t="array" aca="1" ref="BE4:BE488" ca="1">_xlfn._xlws.FILTER(_xlfn.ANCHORARRAY($AY$4),FUT_HD&gt;=N(FUT_From))</f>
      </c>
      <c r="BO4" cm="1">
        <f t="array" ref="BO4:BO189">_xlfn.DROP(INDEX(_xlfn.ANCHORARRAY($BG$3),,1),1)</f>
      </c>
      <c r="BP4" cm="1">
        <f t="array" ref="BP4:BP189">_xlfn.LET(_xlpm.x,_xlfn.DROP(INDEX(_xlfn.ANCHORARRAY($BG$3),,2),1),IF(_xlpm.x="",NA(),_xlpm.x*IF(FUT_Field="IRR",1,100)))</f>
      </c>
      <c r="BQ4" cm="1">
        <f t="array" ref="BQ4:BQ189">_xlfn.LET(_xlpm.x,_xlfn.DROP(INDEX(_xlfn.ANCHORARRAY($BG$3),,3),1),IF(_xlpm.x="",NA(),_xlpm.x*IF(FUT_Field="IRR",1,100)))</f>
      </c>
      <c r="BR4" cm="1">
        <f t="array" ref="BR4:BR189">_xlfn.LET(_xlpm.x,_xlfn.DROP(INDEX(_xlfn.ANCHORARRAY($BG$3),,4),1),IF(_xlpm.x="",NA(),_xlpm.x*IF(FUT_Field="IRR",1,100)))</f>
      </c>
      <c r="BS4" cm="1">
        <f t="array" ref="BS4:BS189">_xlfn.LET(_xlpm.x,_xlfn.DROP(INDEX(_xlfn.ANCHORARRAY($BG$3),,5),1),IF(_xlpm.x="",NA(),_xlpm.x*IF(FUT_Field="IRR",1,100)))</f>
      </c>
      <c r="BT4" cm="1">
        <f t="array" ref="BT4:BT189">_xlfn.LET(_xlpm.x,_xlfn.DROP(INDEX(_xlfn.ANCHORARRAY($BG$3),,6),1),IF(_xlpm.x="",NA(),_xlpm.x*IF(FUT_Field="IRR",1,100)))</f>
      </c>
      <c r="BU4" cm="1">
        <f t="array" ref="BU4:BU189">_xlfn.LET(_xlpm.x,_xlfn.DROP(INDEX(_xlfn.ANCHORARRAY($BG$3),,7),1),IF(_xlpm.x="",NA(),_xlpm.x*IF(FUT_Field="IRR",1,100)))</f>
      </c>
    </row>
    <row r="5" spans="1:73" x14ac:dyDescent="0.55000000000000004">
      <c r="A5" s="4" t="s">
        <v>75</v>
      </c>
      <c r="B5" s="3"/>
      <c r="C5" cm="1">
        <f t="array" ref="C5">"Using "&amp;TEXT(FUT_Date,"yyyy-mm-dd")</f>
      </c>
      <c r="D5" t="s">
        <v>331</v>
      </c>
      <c r="AE5" s="7"/>
      <c r="AT5" s="7"/>
      <c r="AU5">
        <f ca="1"/>
      </c>
      <c r="AV5">
        <f ca="1"/>
      </c>
      <c r="AX5">
        <f ca="1"/>
      </c>
      <c r="AY5">
        <f ca="1"/>
      </c>
      <c r="BA5" s="7"/>
      <c r="BC5">
        <f ca="1"/>
      </c>
      <c r="BE5">
        <f ca="1"/>
      </c>
    </row>
    <row r="6" spans="1:73" x14ac:dyDescent="0.55000000000000004">
      <c r="A6" s="4" t="s">
        <v>332</v>
      </c>
      <c r="B6" s="2"/>
      <c r="D6" t="s">
        <v>333</v>
      </c>
      <c r="AE6" s="7"/>
      <c r="AT6" s="7"/>
      <c r="AU6">
        <f ca="1"/>
      </c>
      <c r="AV6">
        <f ca="1"/>
      </c>
      <c r="AX6">
        <f ca="1"/>
      </c>
      <c r="AY6">
        <f ca="1"/>
      </c>
      <c r="BA6" s="7"/>
      <c r="BC6">
        <f ca="1"/>
      </c>
      <c r="BE6">
        <f ca="1"/>
      </c>
    </row>
    <row r="7" spans="1:73" x14ac:dyDescent="0.55000000000000004">
      <c r="A7" s="4" t="s">
        <v>334</v>
      </c>
      <c r="B7" s="2"/>
      <c r="D7" t="s">
        <v>335</v>
      </c>
      <c r="AE7" s="7"/>
      <c r="AT7" s="7"/>
      <c r="AU7">
        <f ca="1"/>
      </c>
      <c r="AV7">
        <f ca="1"/>
      </c>
      <c r="AX7">
        <f ca="1"/>
      </c>
      <c r="AY7">
        <f ca="1"/>
      </c>
      <c r="BA7" s="7"/>
      <c r="BC7">
        <f ca="1"/>
      </c>
      <c r="BE7">
        <f ca="1"/>
      </c>
    </row>
    <row r="8" spans="1:73" x14ac:dyDescent="0.55000000000000004">
      <c r="A8" s="4" t="s">
        <v>264</v>
      </c>
      <c r="B8" s="3">
        <v>45590</v>
      </c>
      <c r="D8" t="s">
        <v>336</v>
      </c>
      <c r="AE8" s="7"/>
      <c r="AT8" s="7"/>
      <c r="AU8">
        <f ca="1"/>
      </c>
      <c r="AV8">
        <f ca="1"/>
      </c>
      <c r="AX8">
        <f ca="1"/>
      </c>
      <c r="AY8">
        <f ca="1"/>
      </c>
      <c r="BA8" s="7"/>
      <c r="BC8">
        <f ca="1"/>
      </c>
      <c r="BE8">
        <f ca="1"/>
      </c>
    </row>
    <row r="9" spans="1:73" x14ac:dyDescent="0.55000000000000004">
      <c r="A9" s="4" t="s">
        <v>337</v>
      </c>
      <c r="B9" s="2" t="s">
        <v>338</v>
      </c>
      <c r="D9" t="s">
        <v>339</v>
      </c>
      <c r="AE9" s="7"/>
      <c r="AT9" s="7"/>
      <c r="AU9">
        <f ca="1"/>
      </c>
      <c r="AV9">
        <f ca="1"/>
      </c>
      <c r="AX9">
        <f ca="1"/>
      </c>
      <c r="AY9">
        <f ca="1"/>
      </c>
      <c r="BA9" s="7"/>
      <c r="BC9">
        <f ca="1"/>
      </c>
      <c r="BE9">
        <f ca="1"/>
      </c>
    </row>
    <row r="10" spans="1:73" x14ac:dyDescent="0.55000000000000004">
      <c r="A10" s="4" t="s">
        <v>340</v>
      </c>
      <c r="B10" s="2" t="s">
        <v>341</v>
      </c>
      <c r="C10" s="2" t="s">
        <v>342</v>
      </c>
      <c r="D10" s="2" t="s">
        <v>343</v>
      </c>
      <c r="E10" s="2" t="s">
        <v>344</v>
      </c>
      <c r="F10" s="2" t="s">
        <v>345</v>
      </c>
      <c r="G10" s="2" t="s">
        <v>329</v>
      </c>
      <c r="AE10" s="7"/>
      <c r="AT10" s="7"/>
      <c r="AU10">
        <f ca="1"/>
      </c>
      <c r="AV10">
        <f ca="1"/>
      </c>
      <c r="AX10">
        <f ca="1"/>
      </c>
      <c r="AY10">
        <f ca="1"/>
      </c>
      <c r="BA10" s="7"/>
      <c r="BC10">
        <f ca="1"/>
      </c>
      <c r="BE10">
        <f ca="1"/>
      </c>
    </row>
    <row r="11" spans="1:73" x14ac:dyDescent="0.55000000000000004">
      <c r="AE11" s="7"/>
      <c r="AT11" s="7"/>
      <c r="AU11">
        <f ca="1"/>
      </c>
      <c r="AV11">
        <f ca="1"/>
      </c>
      <c r="AX11">
        <f ca="1"/>
      </c>
      <c r="AY11">
        <f ca="1"/>
      </c>
      <c r="BA11" s="7"/>
      <c r="BC11">
        <f ca="1"/>
      </c>
      <c r="BE11">
        <f ca="1"/>
      </c>
    </row>
    <row r="12" spans="1:73" x14ac:dyDescent="0.55000000000000004">
      <c r="A12" s="4" t="s">
        <v>358</v>
      </c>
      <c r="Q12" s="4" t="s">
        <v>361</v>
      </c>
      <c r="T12" s="4" t="s">
        <v>362</v>
      </c>
      <c r="W12" s="4" t="s">
        <v>365</v>
      </c>
      <c r="Z12" s="4" t="s">
        <v>369</v>
      </c>
      <c r="AE12" s="7"/>
      <c r="AT12" s="7"/>
      <c r="AU12">
        <f ca="1"/>
      </c>
      <c r="AV12">
        <f ca="1"/>
      </c>
      <c r="AX12">
        <f ca="1"/>
      </c>
      <c r="AY12">
        <f ca="1"/>
      </c>
      <c r="BA12" s="7"/>
      <c r="BC12">
        <f ca="1"/>
      </c>
      <c r="BE12">
        <f ca="1"/>
      </c>
    </row>
    <row r="13" spans="1:73" x14ac:dyDescent="0.55000000000000004">
      <c r="A13" cm="1">
        <f t="array" ref="A13">FUT_Contract&amp;" contract, "&amp;TEXT(FUT_Date,"yyyy-mm-dd")</f>
      </c>
      <c r="T13" t="s">
        <v>363</v>
      </c>
      <c r="W13" t="s">
        <v>366</v>
      </c>
      <c r="Z13" t="s">
        <v>370</v>
      </c>
      <c r="AE13" s="7"/>
      <c r="AT13" s="7"/>
      <c r="AU13">
        <f ca="1"/>
      </c>
      <c r="AV13">
        <f ca="1"/>
      </c>
      <c r="AX13">
        <f ca="1"/>
      </c>
      <c r="AY13">
        <f ca="1"/>
      </c>
      <c r="BA13" s="7"/>
      <c r="BC13">
        <f ca="1"/>
      </c>
      <c r="BE13">
        <f ca="1"/>
      </c>
    </row>
    <row r="14" spans="1:73" x14ac:dyDescent="0.55000000000000004">
      <c r="A14" s="4" cm="1">
        <f t="array" ref="A14:L27">FutBasis(FUT_Contract,FUT_Date,FUT_Price,FUT_Repo,FUT_Yields)</f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 t="s">
        <v>359</v>
      </c>
      <c r="N14" s="4" t="s">
        <v>360</v>
      </c>
      <c r="O14" s="4" t="s">
        <v>350</v>
      </c>
      <c r="Q14" s="4" cm="1">
        <f t="array" ref="Q14:R19">FutRepoSteps()</f>
      </c>
      <c r="R14" s="4"/>
      <c r="S14" s="4"/>
      <c r="T14" s="4" t="s">
        <v>128</v>
      </c>
      <c r="U14" s="4" t="s">
        <v>364</v>
      </c>
      <c r="V14" s="4"/>
      <c r="W14" s="4" t="s">
        <v>367</v>
      </c>
      <c r="X14" s="4" t="s">
        <v>368</v>
      </c>
      <c r="Y14" s="4"/>
      <c r="Z14" s="4" t="s">
        <v>75</v>
      </c>
      <c r="AA14" s="4" t="s">
        <v>371</v>
      </c>
      <c r="AB14" s="4" t="s">
        <v>372</v>
      </c>
      <c r="AE14" s="7"/>
      <c r="AT14" s="7"/>
      <c r="AU14">
        <f ca="1"/>
      </c>
      <c r="AV14">
        <f ca="1"/>
      </c>
      <c r="AX14">
        <f ca="1"/>
      </c>
      <c r="AY14">
        <f ca="1"/>
      </c>
      <c r="BA14" s="7"/>
      <c r="BC14">
        <f ca="1"/>
      </c>
      <c r="BE14">
        <f ca="1"/>
      </c>
    </row>
    <row r="15" spans="1:73" x14ac:dyDescent="0.55000000000000004">
      <c r="C15" s="7"/>
      <c r="D15" s="46"/>
      <c r="E15" s="13"/>
      <c r="F15" s="7"/>
      <c r="G15" s="13"/>
      <c r="H15" s="10"/>
      <c r="I15" s="10"/>
      <c r="J15" s="10"/>
      <c r="K15" s="13"/>
      <c r="M15" s="14" cm="1">
        <f t="array" ref="M15:O26">_xlfn.DROP(_xlfn.DROP(_xlfn.CHOOSECOLS(_xlfn.ANCHORARRAY($A$14),8,9,10),1),-1)*100</f>
      </c>
      <c r="N15" s="14"/>
      <c r="O15" s="14"/>
      <c r="Q15" s="7"/>
      <c r="R15" s="13"/>
      <c r="T15" s="3"/>
      <c r="U15" s="2"/>
      <c r="W15" s="2"/>
      <c r="X15" s="2"/>
      <c r="Z15" s="3"/>
      <c r="AA15" s="2"/>
      <c r="AB15" s="2"/>
      <c r="AE15" s="7"/>
      <c r="AT15" s="7"/>
      <c r="AU15">
        <f ca="1"/>
      </c>
      <c r="AV15">
        <f ca="1"/>
      </c>
      <c r="AX15">
        <f ca="1"/>
      </c>
      <c r="AY15">
        <f ca="1"/>
      </c>
      <c r="BA15" s="7"/>
      <c r="BC15">
        <f ca="1"/>
      </c>
      <c r="BE15">
        <f ca="1"/>
      </c>
    </row>
    <row r="16" spans="1:73" x14ac:dyDescent="0.55000000000000004">
      <c r="C16" s="7"/>
      <c r="D16" s="46"/>
      <c r="E16" s="13"/>
      <c r="F16" s="7"/>
      <c r="G16" s="13"/>
      <c r="H16" s="10"/>
      <c r="I16" s="10"/>
      <c r="J16" s="10"/>
      <c r="K16" s="13"/>
      <c r="M16" s="14"/>
      <c r="N16" s="14"/>
      <c r="O16" s="14"/>
      <c r="Q16" s="7"/>
      <c r="R16" s="13"/>
      <c r="T16" s="3"/>
      <c r="U16" s="2"/>
      <c r="W16" s="2"/>
      <c r="X16" s="2"/>
      <c r="Z16" s="3"/>
      <c r="AA16" s="2"/>
      <c r="AB16" s="2"/>
      <c r="AE16" s="7"/>
      <c r="AT16" s="7"/>
      <c r="AU16">
        <f ca="1"/>
      </c>
      <c r="AV16">
        <f ca="1"/>
      </c>
      <c r="AX16">
        <f ca="1"/>
      </c>
      <c r="AY16">
        <f ca="1"/>
      </c>
      <c r="BA16" s="7"/>
      <c r="BC16">
        <f ca="1"/>
      </c>
      <c r="BE16">
        <f ca="1"/>
      </c>
    </row>
    <row r="17" spans="1:73" x14ac:dyDescent="0.55000000000000004">
      <c r="C17" s="7"/>
      <c r="D17" s="46"/>
      <c r="E17" s="13"/>
      <c r="F17" s="7"/>
      <c r="G17" s="13"/>
      <c r="H17" s="10"/>
      <c r="I17" s="10"/>
      <c r="J17" s="10"/>
      <c r="K17" s="13"/>
      <c r="M17" s="14"/>
      <c r="N17" s="14"/>
      <c r="O17" s="14"/>
      <c r="Q17" s="7"/>
      <c r="R17" s="13"/>
      <c r="T17" s="3"/>
      <c r="U17" s="2"/>
      <c r="W17" s="2"/>
      <c r="X17" s="2"/>
      <c r="Z17" s="3"/>
      <c r="AA17" s="2"/>
      <c r="AB17" s="2"/>
      <c r="AE17" s="7"/>
      <c r="AT17" s="7"/>
      <c r="AU17">
        <f ca="1"/>
      </c>
      <c r="AV17">
        <f ca="1"/>
      </c>
      <c r="AX17">
        <f ca="1"/>
      </c>
      <c r="AY17">
        <f ca="1"/>
      </c>
      <c r="BA17" s="7"/>
      <c r="BC17">
        <f ca="1"/>
      </c>
      <c r="BE17">
        <f ca="1"/>
      </c>
    </row>
    <row r="18" spans="1:73" x14ac:dyDescent="0.55000000000000004">
      <c r="C18" s="7"/>
      <c r="D18" s="46"/>
      <c r="E18" s="13"/>
      <c r="F18" s="7"/>
      <c r="G18" s="13"/>
      <c r="H18" s="10"/>
      <c r="I18" s="10"/>
      <c r="J18" s="10"/>
      <c r="K18" s="13"/>
      <c r="M18" s="14"/>
      <c r="N18" s="14"/>
      <c r="O18" s="14"/>
      <c r="Q18" s="7"/>
      <c r="R18" s="13"/>
      <c r="T18" s="3"/>
      <c r="U18" s="2"/>
      <c r="W18" s="2"/>
      <c r="X18" s="2"/>
      <c r="Z18" s="3"/>
      <c r="AA18" s="2"/>
      <c r="AB18" s="2"/>
      <c r="AE18" s="7"/>
      <c r="AT18" s="7"/>
      <c r="AU18">
        <f ca="1"/>
      </c>
      <c r="AV18">
        <f ca="1"/>
      </c>
      <c r="AX18">
        <f ca="1"/>
      </c>
      <c r="AY18">
        <f ca="1"/>
      </c>
      <c r="BA18" s="7"/>
      <c r="BC18">
        <f ca="1"/>
      </c>
      <c r="BE18">
        <f ca="1"/>
      </c>
    </row>
    <row r="19" spans="1:73" x14ac:dyDescent="0.55000000000000004">
      <c r="C19" s="7"/>
      <c r="D19" s="46"/>
      <c r="E19" s="13"/>
      <c r="F19" s="7"/>
      <c r="G19" s="13"/>
      <c r="H19" s="10"/>
      <c r="I19" s="10"/>
      <c r="J19" s="10"/>
      <c r="K19" s="13"/>
      <c r="M19" s="14"/>
      <c r="N19" s="14"/>
      <c r="O19" s="14"/>
      <c r="Q19" s="7"/>
      <c r="R19" s="13"/>
      <c r="T19" s="3"/>
      <c r="U19" s="2"/>
      <c r="W19" s="2"/>
      <c r="X19" s="2"/>
      <c r="Z19" s="3"/>
      <c r="AA19" s="2"/>
      <c r="AB19" s="2"/>
      <c r="AE19" s="7"/>
      <c r="AT19" s="7"/>
      <c r="AU19">
        <f ca="1"/>
      </c>
      <c r="AV19">
        <f ca="1"/>
      </c>
      <c r="AX19">
        <f ca="1"/>
      </c>
      <c r="AY19">
        <f ca="1"/>
      </c>
      <c r="BA19" s="7"/>
      <c r="BC19">
        <f ca="1"/>
      </c>
      <c r="BE19">
        <f ca="1"/>
      </c>
    </row>
    <row r="20" spans="1:73" x14ac:dyDescent="0.55000000000000004">
      <c r="C20" s="7"/>
      <c r="D20" s="46"/>
      <c r="E20" s="13"/>
      <c r="F20" s="7"/>
      <c r="G20" s="13"/>
      <c r="H20" s="10"/>
      <c r="I20" s="10"/>
      <c r="J20" s="10"/>
      <c r="K20" s="13"/>
      <c r="M20" s="14"/>
      <c r="N20" s="14"/>
      <c r="O20" s="14"/>
      <c r="Q20" s="7"/>
      <c r="R20" s="13"/>
      <c r="T20" s="3"/>
      <c r="U20" s="2"/>
      <c r="W20" s="2"/>
      <c r="X20" s="2"/>
      <c r="Z20" s="3"/>
      <c r="AA20" s="2"/>
      <c r="AB20" s="2"/>
      <c r="AE20" s="7"/>
      <c r="AT20" s="7"/>
      <c r="AU20">
        <f ca="1"/>
      </c>
      <c r="AV20">
        <f ca="1"/>
      </c>
      <c r="AX20">
        <f ca="1"/>
      </c>
      <c r="AY20">
        <f ca="1"/>
      </c>
      <c r="BA20" s="7"/>
      <c r="BC20">
        <f ca="1"/>
      </c>
      <c r="BE20">
        <f ca="1"/>
      </c>
    </row>
    <row r="21" spans="1:73" x14ac:dyDescent="0.55000000000000004">
      <c r="C21" s="7"/>
      <c r="D21" s="46"/>
      <c r="E21" s="13"/>
      <c r="F21" s="7"/>
      <c r="G21" s="13"/>
      <c r="H21" s="10"/>
      <c r="I21" s="10"/>
      <c r="J21" s="10"/>
      <c r="K21" s="13"/>
      <c r="M21" s="14"/>
      <c r="N21" s="14"/>
      <c r="O21" s="14"/>
      <c r="Q21" s="7"/>
      <c r="R21" s="13"/>
      <c r="T21" s="3"/>
      <c r="U21" s="2"/>
      <c r="W21" s="2"/>
      <c r="X21" s="2"/>
      <c r="Z21" s="3"/>
      <c r="AA21" s="2"/>
      <c r="AB21" s="2"/>
      <c r="AE21" s="7"/>
      <c r="AT21" s="7"/>
      <c r="AU21">
        <f ca="1"/>
      </c>
      <c r="AV21">
        <f ca="1"/>
      </c>
      <c r="AX21">
        <f ca="1"/>
      </c>
      <c r="AY21">
        <f ca="1"/>
      </c>
      <c r="BA21" s="7"/>
      <c r="BC21">
        <f ca="1"/>
      </c>
      <c r="BE21">
        <f ca="1"/>
      </c>
    </row>
    <row r="22" spans="1:73" x14ac:dyDescent="0.55000000000000004">
      <c r="C22" s="7"/>
      <c r="D22" s="46"/>
      <c r="E22" s="13"/>
      <c r="F22" s="7"/>
      <c r="G22" s="13"/>
      <c r="H22" s="10"/>
      <c r="I22" s="10"/>
      <c r="J22" s="10"/>
      <c r="K22" s="13"/>
      <c r="M22" s="14"/>
      <c r="N22" s="14"/>
      <c r="O22" s="14"/>
      <c r="Q22" s="7"/>
      <c r="R22" s="13"/>
      <c r="T22" s="3"/>
      <c r="U22" s="2"/>
      <c r="W22" s="2"/>
      <c r="X22" s="2"/>
      <c r="Z22" s="3"/>
      <c r="AA22" s="2"/>
      <c r="AB22" s="2"/>
      <c r="AE22" s="7"/>
      <c r="AT22" s="7"/>
      <c r="AU22">
        <f ca="1"/>
      </c>
      <c r="AV22">
        <f ca="1"/>
      </c>
      <c r="AX22">
        <f ca="1"/>
      </c>
      <c r="AY22">
        <f ca="1"/>
      </c>
      <c r="BA22" s="7"/>
      <c r="BC22">
        <f ca="1"/>
      </c>
      <c r="BE22">
        <f ca="1"/>
      </c>
    </row>
    <row r="23" spans="1:73" x14ac:dyDescent="0.55000000000000004">
      <c r="C23" s="7"/>
      <c r="D23" s="46"/>
      <c r="E23" s="13"/>
      <c r="F23" s="7"/>
      <c r="G23" s="13"/>
      <c r="H23" s="10"/>
      <c r="I23" s="10"/>
      <c r="J23" s="10"/>
      <c r="K23" s="13"/>
      <c r="M23" s="14"/>
      <c r="N23" s="14"/>
      <c r="O23" s="14"/>
      <c r="Q23" s="7"/>
      <c r="R23" s="13"/>
      <c r="T23" s="3"/>
      <c r="U23" s="2"/>
      <c r="W23" s="2"/>
      <c r="X23" s="2"/>
      <c r="Z23" s="3"/>
      <c r="AA23" s="2"/>
      <c r="AB23" s="2"/>
      <c r="AE23" s="7"/>
      <c r="AT23" s="7"/>
      <c r="AU23">
        <f ca="1"/>
      </c>
      <c r="AV23">
        <f ca="1"/>
      </c>
      <c r="AX23">
        <f ca="1"/>
      </c>
      <c r="AY23">
        <f ca="1"/>
      </c>
      <c r="BA23" s="7"/>
      <c r="BC23">
        <f ca="1"/>
      </c>
      <c r="BE23">
        <f ca="1"/>
      </c>
    </row>
    <row r="24" spans="1:73" x14ac:dyDescent="0.55000000000000004">
      <c r="C24" s="7"/>
      <c r="D24" s="46"/>
      <c r="E24" s="13"/>
      <c r="F24" s="7"/>
      <c r="G24" s="13"/>
      <c r="H24" s="10"/>
      <c r="I24" s="10"/>
      <c r="J24" s="10"/>
      <c r="K24" s="13"/>
      <c r="M24" s="14"/>
      <c r="N24" s="14"/>
      <c r="O24" s="14"/>
      <c r="Q24" s="7"/>
      <c r="R24" s="13"/>
      <c r="T24" s="3"/>
      <c r="U24" s="2"/>
      <c r="W24" s="2"/>
      <c r="X24" s="2"/>
      <c r="Z24" s="3"/>
      <c r="AA24" s="2"/>
      <c r="AB24" s="2"/>
      <c r="AE24" s="7"/>
      <c r="AT24" s="7"/>
      <c r="AU24">
        <f ca="1"/>
      </c>
      <c r="AV24">
        <f ca="1"/>
      </c>
      <c r="AX24">
        <f ca="1"/>
      </c>
      <c r="AY24">
        <f ca="1"/>
      </c>
      <c r="BA24" s="7"/>
      <c r="BC24">
        <f ca="1"/>
      </c>
      <c r="BE24">
        <f ca="1"/>
      </c>
    </row>
    <row r="25" spans="1:73" x14ac:dyDescent="0.55000000000000004">
      <c r="C25" s="7"/>
      <c r="D25" s="46"/>
      <c r="E25" s="13"/>
      <c r="F25" s="7"/>
      <c r="G25" s="13"/>
      <c r="H25" s="10"/>
      <c r="I25" s="10"/>
      <c r="J25" s="10"/>
      <c r="K25" s="13"/>
      <c r="M25" s="14"/>
      <c r="N25" s="14"/>
      <c r="O25" s="14"/>
      <c r="Q25" s="7"/>
      <c r="R25" s="13"/>
      <c r="T25" s="3"/>
      <c r="U25" s="2"/>
      <c r="W25" s="2"/>
      <c r="X25" s="2"/>
      <c r="Z25" s="3"/>
      <c r="AA25" s="2"/>
      <c r="AB25" s="2"/>
      <c r="AE25" s="7"/>
      <c r="AT25" s="7"/>
      <c r="AU25">
        <f ca="1"/>
      </c>
      <c r="AV25">
        <f ca="1"/>
      </c>
      <c r="AX25">
        <f ca="1"/>
      </c>
      <c r="AY25">
        <f ca="1"/>
      </c>
      <c r="BA25" s="7"/>
      <c r="BC25">
        <f ca="1"/>
      </c>
      <c r="BE25">
        <f ca="1"/>
      </c>
    </row>
    <row r="26" spans="1:73" x14ac:dyDescent="0.55000000000000004">
      <c r="C26" s="7"/>
      <c r="D26" s="46"/>
      <c r="E26" s="13"/>
      <c r="F26" s="7"/>
      <c r="G26" s="13"/>
      <c r="H26" s="10"/>
      <c r="I26" s="10"/>
      <c r="J26" s="10"/>
      <c r="K26" s="13"/>
      <c r="M26" s="14"/>
      <c r="N26" s="14"/>
      <c r="O26" s="14"/>
      <c r="Q26" s="7"/>
      <c r="R26" s="13"/>
      <c r="T26" s="3"/>
      <c r="U26" s="2"/>
      <c r="W26" s="2"/>
      <c r="X26" s="2"/>
      <c r="Z26" s="3"/>
      <c r="AA26" s="2"/>
      <c r="AB26" s="2"/>
      <c r="AE26" s="7"/>
      <c r="AT26" s="7"/>
      <c r="AU26">
        <f ca="1"/>
      </c>
      <c r="AV26">
        <f ca="1"/>
      </c>
      <c r="AX26">
        <f ca="1"/>
      </c>
      <c r="AY26">
        <f ca="1"/>
      </c>
      <c r="BA26" s="7"/>
      <c r="BC26">
        <f ca="1"/>
      </c>
      <c r="BE26">
        <f ca="1"/>
      </c>
    </row>
    <row r="27" spans="1:73" x14ac:dyDescent="0.55000000000000004">
      <c r="C27" s="7"/>
      <c r="D27" s="46"/>
      <c r="E27" s="13"/>
      <c r="F27" s="7"/>
      <c r="G27" s="13"/>
      <c r="H27" s="10"/>
      <c r="I27" s="10"/>
      <c r="J27" s="10"/>
      <c r="K27" s="13"/>
      <c r="M27" s="14"/>
      <c r="N27" s="14"/>
      <c r="O27" s="14"/>
      <c r="Q27" s="7"/>
      <c r="R27" s="13"/>
      <c r="T27" s="3"/>
      <c r="U27" s="2"/>
      <c r="W27" s="2"/>
      <c r="X27" s="2"/>
      <c r="Z27" s="3"/>
      <c r="AA27" s="2"/>
      <c r="AB27" s="2"/>
      <c r="AE27" s="7"/>
      <c r="AT27" s="7"/>
      <c r="AU27">
        <f ca="1"/>
      </c>
      <c r="AV27">
        <f ca="1"/>
      </c>
      <c r="AX27">
        <f ca="1"/>
      </c>
      <c r="AY27">
        <f ca="1"/>
      </c>
      <c r="BA27" s="7"/>
      <c r="BC27">
        <f ca="1"/>
      </c>
      <c r="BE27">
        <f ca="1"/>
      </c>
    </row>
    <row r="28" spans="1:73" x14ac:dyDescent="0.55000000000000004">
      <c r="C28" s="7"/>
      <c r="D28" s="46"/>
      <c r="E28" s="13"/>
      <c r="F28" s="7"/>
      <c r="G28" s="13"/>
      <c r="H28" s="10"/>
      <c r="I28" s="10"/>
      <c r="J28" s="10"/>
      <c r="K28" s="13"/>
      <c r="M28" s="14"/>
      <c r="N28" s="14"/>
      <c r="O28" s="14"/>
      <c r="Q28" s="7"/>
      <c r="R28" s="13"/>
      <c r="T28" s="3"/>
      <c r="U28" s="2"/>
      <c r="W28" s="2"/>
      <c r="X28" s="2"/>
      <c r="Z28" s="3"/>
      <c r="AA28" s="2"/>
      <c r="AB28" s="2"/>
      <c r="AE28" s="7"/>
      <c r="AT28" s="7"/>
      <c r="AU28">
        <f ca="1"/>
      </c>
      <c r="AV28">
        <f ca="1"/>
      </c>
      <c r="AX28">
        <f ca="1"/>
      </c>
      <c r="AY28">
        <f ca="1"/>
      </c>
      <c r="BA28" s="7"/>
      <c r="BC28">
        <f ca="1"/>
      </c>
      <c r="BE28">
        <f ca="1"/>
      </c>
    </row>
    <row r="29" spans="1:73" x14ac:dyDescent="0.55000000000000004">
      <c r="C29" s="7"/>
      <c r="D29" s="46"/>
      <c r="E29" s="13"/>
      <c r="F29" s="7"/>
      <c r="G29" s="13"/>
      <c r="H29" s="10"/>
      <c r="I29" s="10"/>
      <c r="J29" s="10"/>
      <c r="K29" s="13"/>
      <c r="M29" s="14"/>
      <c r="N29" s="14"/>
      <c r="O29" s="14"/>
      <c r="Q29" s="7"/>
      <c r="R29" s="13"/>
      <c r="T29" s="3"/>
      <c r="U29" s="2"/>
      <c r="W29" s="2"/>
      <c r="X29" s="2"/>
      <c r="Z29" s="3"/>
      <c r="AA29" s="2"/>
      <c r="AB29" s="2"/>
      <c r="AE29" s="7"/>
      <c r="AT29" s="7"/>
      <c r="AU29">
        <f ca="1"/>
      </c>
      <c r="AV29">
        <f ca="1"/>
      </c>
      <c r="AX29">
        <f ca="1"/>
      </c>
      <c r="AY29">
        <f ca="1"/>
      </c>
      <c r="BA29" s="7"/>
      <c r="BC29">
        <f ca="1"/>
      </c>
      <c r="BE29">
        <f ca="1"/>
      </c>
    </row>
    <row r="30" spans="1:73" x14ac:dyDescent="0.55000000000000004">
      <c r="C30" s="7"/>
      <c r="D30" s="46"/>
      <c r="E30" s="13"/>
      <c r="F30" s="7"/>
      <c r="G30" s="13"/>
      <c r="H30" s="10"/>
      <c r="I30" s="10"/>
      <c r="J30" s="10"/>
      <c r="K30" s="13"/>
      <c r="M30" s="14"/>
      <c r="N30" s="14"/>
      <c r="O30" s="14"/>
      <c r="Q30" s="7"/>
      <c r="R30" s="13"/>
      <c r="T30" s="3"/>
      <c r="U30" s="2"/>
      <c r="W30" s="2"/>
      <c r="X30" s="2"/>
      <c r="Z30" s="3"/>
      <c r="AA30" s="2"/>
      <c r="AB30" s="2"/>
      <c r="AE30" s="7"/>
      <c r="AT30" s="7"/>
      <c r="AU30">
        <f ca="1"/>
      </c>
      <c r="AV30">
        <f ca="1"/>
      </c>
      <c r="AX30">
        <f ca="1"/>
      </c>
      <c r="AY30">
        <f ca="1"/>
      </c>
      <c r="BA30" s="7"/>
      <c r="BC30">
        <f ca="1"/>
      </c>
      <c r="BE30">
        <f ca="1"/>
      </c>
    </row>
    <row r="31" spans="1:73" x14ac:dyDescent="0.55000000000000004">
      <c r="C31" s="7"/>
      <c r="D31" s="46"/>
      <c r="E31" s="13"/>
      <c r="F31" s="7"/>
      <c r="G31" s="13"/>
      <c r="H31" s="10"/>
      <c r="I31" s="10"/>
      <c r="J31" s="10"/>
      <c r="K31" s="13"/>
      <c r="M31" s="14"/>
      <c r="N31" s="14"/>
      <c r="O31" s="14"/>
      <c r="Q31" s="7"/>
      <c r="R31" s="13"/>
      <c r="T31" s="3"/>
      <c r="U31" s="2"/>
      <c r="W31" s="2"/>
      <c r="X31" s="2"/>
      <c r="Z31" s="3"/>
      <c r="AA31" s="2"/>
      <c r="AB31" s="2"/>
      <c r="AE31" s="7"/>
      <c r="AT31" s="7"/>
      <c r="AU31">
        <f ca="1"/>
      </c>
      <c r="AV31">
        <f ca="1"/>
      </c>
      <c r="AX31">
        <f ca="1"/>
      </c>
      <c r="AY31">
        <f ca="1"/>
      </c>
      <c r="BA31" s="7"/>
      <c r="BC31">
        <f ca="1"/>
      </c>
      <c r="BE31">
        <f ca="1"/>
      </c>
    </row>
    <row r="32" spans="1:73" x14ac:dyDescent="0.55000000000000004">
      <c r="C32" s="7"/>
      <c r="D32" s="46"/>
      <c r="E32" s="13"/>
      <c r="F32" s="7"/>
      <c r="G32" s="13"/>
      <c r="H32" s="10"/>
      <c r="I32" s="10"/>
      <c r="J32" s="10"/>
      <c r="K32" s="13"/>
      <c r="M32" s="14"/>
      <c r="N32" s="14"/>
      <c r="O32" s="14"/>
      <c r="Q32" s="7"/>
      <c r="R32" s="13"/>
      <c r="T32" s="3"/>
      <c r="U32" s="2"/>
      <c r="W32" s="2"/>
      <c r="X32" s="2"/>
      <c r="Z32" s="3"/>
      <c r="AA32" s="2"/>
      <c r="AB32" s="2"/>
      <c r="AE32" s="7"/>
      <c r="AT32" s="7"/>
      <c r="AU32">
        <f ca="1"/>
      </c>
      <c r="AV32">
        <f ca="1"/>
      </c>
      <c r="AX32">
        <f ca="1"/>
      </c>
      <c r="AY32">
        <f ca="1"/>
      </c>
      <c r="BA32" s="7"/>
      <c r="BC32">
        <f ca="1"/>
      </c>
      <c r="BE32">
        <f ca="1"/>
      </c>
    </row>
    <row r="33" spans="3:73" x14ac:dyDescent="0.55000000000000004">
      <c r="C33" s="7"/>
      <c r="D33" s="46"/>
      <c r="E33" s="13"/>
      <c r="F33" s="7"/>
      <c r="G33" s="13"/>
      <c r="H33" s="10"/>
      <c r="I33" s="10"/>
      <c r="J33" s="10"/>
      <c r="K33" s="13"/>
      <c r="M33" s="14"/>
      <c r="N33" s="14"/>
      <c r="O33" s="14"/>
      <c r="Q33" s="7"/>
      <c r="R33" s="13"/>
      <c r="T33" s="3"/>
      <c r="U33" s="2"/>
      <c r="W33" s="2"/>
      <c r="X33" s="2"/>
      <c r="Z33" s="3"/>
      <c r="AA33" s="2"/>
      <c r="AB33" s="2"/>
      <c r="AE33" s="7"/>
      <c r="AT33" s="7"/>
      <c r="AU33">
        <f ca="1"/>
      </c>
      <c r="AV33">
        <f ca="1"/>
      </c>
      <c r="AX33">
        <f ca="1"/>
      </c>
      <c r="AY33">
        <f ca="1"/>
      </c>
      <c r="BA33" s="7"/>
      <c r="BC33">
        <f ca="1"/>
      </c>
      <c r="BE33">
        <f ca="1"/>
      </c>
    </row>
    <row r="34" spans="3:73" x14ac:dyDescent="0.55000000000000004">
      <c r="C34" s="7"/>
      <c r="D34" s="46"/>
      <c r="E34" s="13"/>
      <c r="F34" s="7"/>
      <c r="G34" s="13"/>
      <c r="H34" s="10"/>
      <c r="I34" s="10"/>
      <c r="J34" s="10"/>
      <c r="K34" s="13"/>
      <c r="M34" s="14"/>
      <c r="N34" s="14"/>
      <c r="O34" s="14"/>
      <c r="Q34" s="7"/>
      <c r="R34" s="13"/>
      <c r="T34" s="3"/>
      <c r="U34" s="2"/>
      <c r="W34" s="2"/>
      <c r="X34" s="2"/>
      <c r="Z34" s="3"/>
      <c r="AA34" s="2"/>
      <c r="AB34" s="2"/>
      <c r="AE34" s="7"/>
      <c r="AT34" s="7"/>
      <c r="AU34">
        <f ca="1"/>
      </c>
      <c r="AV34">
        <f ca="1"/>
      </c>
      <c r="AX34">
        <f ca="1"/>
      </c>
      <c r="AY34">
        <f ca="1"/>
      </c>
      <c r="BA34" s="7"/>
      <c r="BC34">
        <f ca="1"/>
      </c>
      <c r="BE34">
        <f ca="1"/>
      </c>
    </row>
    <row r="35" spans="3:73" x14ac:dyDescent="0.55000000000000004">
      <c r="C35" s="7"/>
      <c r="D35" s="46"/>
      <c r="E35" s="13"/>
      <c r="F35" s="7"/>
      <c r="G35" s="13"/>
      <c r="H35" s="10"/>
      <c r="I35" s="10"/>
      <c r="J35" s="10"/>
      <c r="K35" s="13"/>
      <c r="M35" s="14"/>
      <c r="N35" s="14"/>
      <c r="O35" s="14"/>
      <c r="Z35" s="3"/>
      <c r="AA35" s="2"/>
      <c r="AB35" s="2"/>
      <c r="AE35" s="7"/>
      <c r="AT35" s="7"/>
      <c r="AU35">
        <f ca="1"/>
      </c>
      <c r="AV35">
        <f ca="1"/>
      </c>
      <c r="AX35">
        <f ca="1"/>
      </c>
      <c r="AY35">
        <f ca="1"/>
      </c>
      <c r="BA35" s="7"/>
      <c r="BC35">
        <f ca="1"/>
      </c>
      <c r="BE35">
        <f ca="1"/>
      </c>
    </row>
    <row r="36" spans="3:73" x14ac:dyDescent="0.55000000000000004">
      <c r="C36" s="7"/>
      <c r="D36" s="46"/>
      <c r="E36" s="13"/>
      <c r="F36" s="7"/>
      <c r="G36" s="13"/>
      <c r="H36" s="10"/>
      <c r="I36" s="10"/>
      <c r="J36" s="10"/>
      <c r="K36" s="13"/>
      <c r="M36" s="14"/>
      <c r="N36" s="14"/>
      <c r="O36" s="14"/>
      <c r="Z36" s="3"/>
      <c r="AA36" s="2"/>
      <c r="AB36" s="2"/>
      <c r="AE36" s="7"/>
      <c r="AT36" s="7"/>
      <c r="AU36">
        <f ca="1"/>
      </c>
      <c r="AV36">
        <f ca="1"/>
      </c>
      <c r="AX36">
        <f ca="1"/>
      </c>
      <c r="AY36">
        <f ca="1"/>
      </c>
      <c r="BA36" s="7"/>
      <c r="BC36">
        <f ca="1"/>
      </c>
      <c r="BE36">
        <f ca="1"/>
      </c>
    </row>
    <row r="37" spans="3:73" x14ac:dyDescent="0.55000000000000004">
      <c r="C37" s="7"/>
      <c r="D37" s="46"/>
      <c r="E37" s="13"/>
      <c r="F37" s="7"/>
      <c r="G37" s="13"/>
      <c r="H37" s="10"/>
      <c r="I37" s="10"/>
      <c r="J37" s="10"/>
      <c r="K37" s="13"/>
      <c r="M37" s="14"/>
      <c r="N37" s="14"/>
      <c r="O37" s="14"/>
      <c r="Z37" s="3"/>
      <c r="AA37" s="2"/>
      <c r="AB37" s="2"/>
      <c r="AE37" s="7"/>
      <c r="AT37" s="7"/>
      <c r="AU37">
        <f ca="1"/>
      </c>
      <c r="AV37">
        <f ca="1"/>
      </c>
      <c r="AX37">
        <f ca="1"/>
      </c>
      <c r="AY37">
        <f ca="1"/>
      </c>
      <c r="BA37" s="7"/>
      <c r="BC37">
        <f ca="1"/>
      </c>
      <c r="BE37">
        <f ca="1"/>
      </c>
    </row>
    <row r="38" spans="3:73" x14ac:dyDescent="0.55000000000000004">
      <c r="C38" s="7"/>
      <c r="D38" s="46"/>
      <c r="E38" s="13"/>
      <c r="F38" s="7"/>
      <c r="G38" s="13"/>
      <c r="H38" s="10"/>
      <c r="I38" s="10"/>
      <c r="J38" s="10"/>
      <c r="K38" s="13"/>
      <c r="M38" s="14"/>
      <c r="N38" s="14"/>
      <c r="O38" s="14"/>
      <c r="Z38" s="3"/>
      <c r="AA38" s="2"/>
      <c r="AB38" s="2"/>
      <c r="AE38" s="7"/>
      <c r="AT38" s="7"/>
      <c r="AU38">
        <f ca="1"/>
      </c>
      <c r="AV38">
        <f ca="1"/>
      </c>
      <c r="AX38">
        <f ca="1"/>
      </c>
      <c r="AY38">
        <f ca="1"/>
      </c>
      <c r="BA38" s="7"/>
      <c r="BC38">
        <f ca="1"/>
      </c>
      <c r="BE38">
        <f ca="1"/>
      </c>
    </row>
    <row r="39" spans="3:73" x14ac:dyDescent="0.55000000000000004">
      <c r="C39" s="7"/>
      <c r="D39" s="46"/>
      <c r="E39" s="13"/>
      <c r="F39" s="7"/>
      <c r="G39" s="13"/>
      <c r="H39" s="10"/>
      <c r="I39" s="10"/>
      <c r="J39" s="10"/>
      <c r="K39" s="13"/>
      <c r="M39" s="14"/>
      <c r="N39" s="14"/>
      <c r="O39" s="14"/>
      <c r="Z39" s="3"/>
      <c r="AA39" s="2"/>
      <c r="AB39" s="2"/>
      <c r="AE39" s="7"/>
      <c r="AT39" s="7"/>
      <c r="AU39">
        <f ca="1"/>
      </c>
      <c r="AV39">
        <f ca="1"/>
      </c>
      <c r="AX39">
        <f ca="1"/>
      </c>
      <c r="AY39">
        <f ca="1"/>
      </c>
      <c r="BA39" s="7"/>
      <c r="BC39">
        <f ca="1"/>
      </c>
      <c r="BE39">
        <f ca="1"/>
      </c>
    </row>
    <row r="40" spans="3:73" x14ac:dyDescent="0.55000000000000004">
      <c r="C40" s="7"/>
      <c r="D40" s="46"/>
      <c r="E40" s="13"/>
      <c r="F40" s="7"/>
      <c r="G40" s="13"/>
      <c r="H40" s="10"/>
      <c r="I40" s="10"/>
      <c r="J40" s="10"/>
      <c r="K40" s="13"/>
      <c r="M40" s="14"/>
      <c r="N40" s="14"/>
      <c r="O40" s="14"/>
      <c r="Z40" s="3"/>
      <c r="AA40" s="2"/>
      <c r="AB40" s="2"/>
      <c r="AE40" s="7"/>
      <c r="AT40" s="7"/>
      <c r="AU40">
        <f ca="1"/>
      </c>
      <c r="AV40">
        <f ca="1"/>
      </c>
      <c r="AX40">
        <f ca="1"/>
      </c>
      <c r="AY40">
        <f ca="1"/>
      </c>
      <c r="BA40" s="7"/>
      <c r="BC40">
        <f ca="1"/>
      </c>
      <c r="BE40">
        <f ca="1"/>
      </c>
    </row>
    <row r="41" spans="3:73" x14ac:dyDescent="0.55000000000000004">
      <c r="Z41" s="3"/>
      <c r="AA41" s="2"/>
      <c r="AB41" s="2"/>
      <c r="AE41" s="7"/>
      <c r="AT41" s="7"/>
      <c r="AU41">
        <f ca="1"/>
      </c>
      <c r="AV41">
        <f ca="1"/>
      </c>
      <c r="AX41">
        <f ca="1"/>
      </c>
      <c r="AY41">
        <f ca="1"/>
      </c>
      <c r="BA41" s="7"/>
      <c r="BC41">
        <f ca="1"/>
      </c>
      <c r="BE41">
        <f ca="1"/>
      </c>
    </row>
    <row r="42" spans="3:73" x14ac:dyDescent="0.55000000000000004">
      <c r="Z42" s="3"/>
      <c r="AA42" s="2"/>
      <c r="AB42" s="2"/>
      <c r="AE42" s="7"/>
      <c r="AT42" s="7"/>
      <c r="AU42">
        <f ca="1"/>
      </c>
      <c r="AV42">
        <f ca="1"/>
      </c>
      <c r="AX42">
        <f ca="1"/>
      </c>
      <c r="AY42">
        <f ca="1"/>
      </c>
      <c r="BA42" s="7"/>
      <c r="BC42">
        <f ca="1"/>
      </c>
      <c r="BE42">
        <f ca="1"/>
      </c>
    </row>
    <row r="43" spans="3:73" x14ac:dyDescent="0.55000000000000004">
      <c r="Z43" s="3"/>
      <c r="AA43" s="2"/>
      <c r="AB43" s="2"/>
      <c r="AE43" s="7"/>
      <c r="AT43" s="7"/>
      <c r="AU43">
        <f ca="1"/>
      </c>
      <c r="AV43">
        <f ca="1"/>
      </c>
      <c r="AX43">
        <f ca="1"/>
      </c>
      <c r="AY43">
        <f ca="1"/>
      </c>
      <c r="BA43" s="7"/>
      <c r="BC43">
        <f ca="1"/>
      </c>
      <c r="BE43">
        <f ca="1"/>
      </c>
    </row>
    <row r="44" spans="3:73" x14ac:dyDescent="0.55000000000000004">
      <c r="Z44" s="3"/>
      <c r="AA44" s="2"/>
      <c r="AB44" s="2"/>
      <c r="AE44" s="7"/>
      <c r="AT44" s="7"/>
      <c r="AU44">
        <f ca="1"/>
      </c>
      <c r="AV44">
        <f ca="1"/>
      </c>
      <c r="AX44">
        <f ca="1"/>
      </c>
      <c r="AY44">
        <f ca="1"/>
      </c>
      <c r="BA44" s="7"/>
      <c r="BC44">
        <f ca="1"/>
      </c>
      <c r="BE44">
        <f ca="1"/>
      </c>
    </row>
    <row r="45" spans="3:73" x14ac:dyDescent="0.55000000000000004">
      <c r="Z45" s="3"/>
      <c r="AA45" s="2"/>
      <c r="AB45" s="2"/>
      <c r="AE45" s="7"/>
      <c r="AT45" s="7"/>
      <c r="AU45">
        <f ca="1"/>
      </c>
      <c r="AV45">
        <f ca="1"/>
      </c>
      <c r="AX45">
        <f ca="1"/>
      </c>
      <c r="AY45">
        <f ca="1"/>
      </c>
      <c r="BA45" s="7"/>
      <c r="BC45">
        <f ca="1"/>
      </c>
      <c r="BE45">
        <f ca="1"/>
      </c>
    </row>
    <row r="46" spans="3:73" x14ac:dyDescent="0.55000000000000004">
      <c r="Z46" s="3"/>
      <c r="AA46" s="2"/>
      <c r="AB46" s="2"/>
      <c r="AE46" s="7"/>
      <c r="AT46" s="7"/>
      <c r="AU46">
        <f ca="1"/>
      </c>
      <c r="AV46">
        <f ca="1"/>
      </c>
      <c r="AX46">
        <f ca="1"/>
      </c>
      <c r="AY46">
        <f ca="1"/>
      </c>
      <c r="BA46" s="7"/>
      <c r="BC46">
        <f ca="1"/>
      </c>
      <c r="BE46">
        <f ca="1"/>
      </c>
    </row>
    <row r="47" spans="3:73" x14ac:dyDescent="0.55000000000000004">
      <c r="Z47" s="3"/>
      <c r="AA47" s="2"/>
      <c r="AB47" s="2"/>
      <c r="AE47" s="7"/>
      <c r="AT47" s="7"/>
      <c r="AU47">
        <f ca="1"/>
      </c>
      <c r="AV47">
        <f ca="1"/>
      </c>
      <c r="AX47">
        <f ca="1"/>
      </c>
      <c r="AY47">
        <f ca="1"/>
      </c>
      <c r="BA47" s="7"/>
      <c r="BC47">
        <f ca="1"/>
      </c>
      <c r="BE47">
        <f ca="1"/>
      </c>
    </row>
    <row r="48" spans="3:73" x14ac:dyDescent="0.55000000000000004">
      <c r="Z48" s="3"/>
      <c r="AA48" s="2"/>
      <c r="AB48" s="2"/>
      <c r="AE48" s="7"/>
      <c r="AT48" s="7"/>
      <c r="AU48">
        <f ca="1"/>
      </c>
      <c r="AV48">
        <f ca="1"/>
      </c>
      <c r="AX48">
        <f ca="1"/>
      </c>
      <c r="AY48">
        <f ca="1"/>
      </c>
      <c r="BA48" s="7"/>
      <c r="BC48">
        <f ca="1"/>
      </c>
      <c r="BE48">
        <f ca="1"/>
      </c>
    </row>
    <row r="49" spans="26:73" x14ac:dyDescent="0.55000000000000004">
      <c r="Z49" s="3"/>
      <c r="AA49" s="2"/>
      <c r="AB49" s="2"/>
      <c r="AE49" s="7"/>
      <c r="AT49" s="7"/>
      <c r="AU49">
        <f ca="1"/>
      </c>
      <c r="AV49">
        <f ca="1"/>
      </c>
      <c r="AX49">
        <f ca="1"/>
      </c>
      <c r="AY49">
        <f ca="1"/>
      </c>
      <c r="BA49" s="7"/>
      <c r="BC49">
        <f ca="1"/>
      </c>
      <c r="BE49">
        <f ca="1"/>
      </c>
    </row>
    <row r="50" spans="26:73" x14ac:dyDescent="0.55000000000000004">
      <c r="Z50" s="3"/>
      <c r="AA50" s="2"/>
      <c r="AB50" s="2"/>
      <c r="AE50" s="7"/>
      <c r="AT50" s="7"/>
      <c r="AU50">
        <f ca="1"/>
      </c>
      <c r="AV50">
        <f ca="1"/>
      </c>
      <c r="AX50">
        <f ca="1"/>
      </c>
      <c r="AY50">
        <f ca="1"/>
      </c>
      <c r="BA50" s="7"/>
      <c r="BC50">
        <f ca="1"/>
      </c>
      <c r="BE50">
        <f ca="1"/>
      </c>
    </row>
    <row r="51" spans="26:73" x14ac:dyDescent="0.55000000000000004">
      <c r="Z51" s="3"/>
      <c r="AA51" s="2"/>
      <c r="AB51" s="2"/>
      <c r="AE51" s="7"/>
      <c r="AT51" s="7"/>
      <c r="AU51">
        <f ca="1"/>
      </c>
      <c r="AV51">
        <f ca="1"/>
      </c>
      <c r="AX51">
        <f ca="1"/>
      </c>
      <c r="AY51">
        <f ca="1"/>
      </c>
      <c r="BA51" s="7"/>
      <c r="BC51">
        <f ca="1"/>
      </c>
      <c r="BE51">
        <f ca="1"/>
      </c>
    </row>
    <row r="52" spans="26:73" x14ac:dyDescent="0.55000000000000004">
      <c r="Z52" s="3"/>
      <c r="AA52" s="2"/>
      <c r="AB52" s="2"/>
      <c r="AE52" s="7"/>
      <c r="AT52" s="7"/>
      <c r="AU52">
        <f ca="1"/>
      </c>
      <c r="AV52">
        <f ca="1"/>
      </c>
      <c r="AX52">
        <f ca="1"/>
      </c>
      <c r="AY52">
        <f ca="1"/>
      </c>
      <c r="BA52" s="7"/>
      <c r="BC52">
        <f ca="1"/>
      </c>
      <c r="BE52">
        <f ca="1"/>
      </c>
    </row>
    <row r="53" spans="26:73" x14ac:dyDescent="0.55000000000000004">
      <c r="Z53" s="3"/>
      <c r="AA53" s="2"/>
      <c r="AB53" s="2"/>
      <c r="AE53" s="7"/>
      <c r="AT53" s="7"/>
      <c r="AU53">
        <f ca="1"/>
      </c>
      <c r="AV53">
        <f ca="1"/>
      </c>
      <c r="AX53">
        <f ca="1"/>
      </c>
      <c r="AY53">
        <f ca="1"/>
      </c>
      <c r="BA53" s="7"/>
      <c r="BC53">
        <f ca="1"/>
      </c>
      <c r="BE53">
        <f ca="1"/>
      </c>
    </row>
    <row r="54" spans="26:73" x14ac:dyDescent="0.55000000000000004">
      <c r="Z54" s="3"/>
      <c r="AA54" s="2"/>
      <c r="AB54" s="2"/>
      <c r="AE54" s="7"/>
      <c r="AT54" s="7"/>
      <c r="AU54">
        <f ca="1"/>
      </c>
      <c r="AV54">
        <f ca="1"/>
      </c>
      <c r="AX54">
        <f ca="1"/>
      </c>
      <c r="AY54">
        <f ca="1"/>
      </c>
      <c r="BA54" s="7"/>
      <c r="BC54">
        <f ca="1"/>
      </c>
      <c r="BE54">
        <f ca="1"/>
      </c>
    </row>
    <row r="55" spans="26:73" x14ac:dyDescent="0.55000000000000004">
      <c r="AE55" s="7"/>
      <c r="AT55" s="7"/>
      <c r="AU55">
        <f ca="1"/>
      </c>
      <c r="AV55">
        <f ca="1"/>
      </c>
      <c r="AX55">
        <f ca="1"/>
      </c>
      <c r="AY55">
        <f ca="1"/>
      </c>
      <c r="BA55" s="7"/>
      <c r="BC55">
        <f ca="1"/>
      </c>
      <c r="BE55">
        <f ca="1"/>
      </c>
    </row>
    <row r="56" spans="26:73" x14ac:dyDescent="0.55000000000000004">
      <c r="AE56" s="7"/>
      <c r="AT56" s="7"/>
      <c r="AU56">
        <f ca="1"/>
      </c>
      <c r="AV56">
        <f ca="1"/>
      </c>
      <c r="AX56">
        <f ca="1"/>
      </c>
      <c r="AY56">
        <f ca="1"/>
      </c>
      <c r="BA56" s="7"/>
      <c r="BC56">
        <f ca="1"/>
      </c>
      <c r="BE56">
        <f ca="1"/>
      </c>
    </row>
    <row r="57" spans="26:73" x14ac:dyDescent="0.55000000000000004">
      <c r="AE57" s="7"/>
      <c r="AT57" s="7"/>
      <c r="AU57">
        <f ca="1"/>
      </c>
      <c r="AV57">
        <f ca="1"/>
      </c>
      <c r="AX57">
        <f ca="1"/>
      </c>
      <c r="AY57">
        <f ca="1"/>
      </c>
      <c r="BA57" s="7"/>
      <c r="BC57">
        <f ca="1"/>
      </c>
      <c r="BE57">
        <f ca="1"/>
      </c>
    </row>
    <row r="58" spans="26:73" x14ac:dyDescent="0.55000000000000004">
      <c r="AE58" s="7"/>
      <c r="AT58" s="7"/>
      <c r="AU58">
        <f ca="1"/>
      </c>
      <c r="AV58">
        <f ca="1"/>
      </c>
      <c r="AX58">
        <f ca="1"/>
      </c>
      <c r="AY58">
        <f ca="1"/>
      </c>
      <c r="BA58" s="7"/>
      <c r="BC58">
        <f ca="1"/>
      </c>
      <c r="BE58">
        <f ca="1"/>
      </c>
    </row>
    <row r="59" spans="26:73" x14ac:dyDescent="0.55000000000000004">
      <c r="AE59" s="7"/>
      <c r="AT59" s="7"/>
      <c r="AU59">
        <f ca="1"/>
      </c>
      <c r="AV59">
        <f ca="1"/>
      </c>
      <c r="AX59">
        <f ca="1"/>
      </c>
      <c r="AY59">
        <f ca="1"/>
      </c>
      <c r="BA59" s="7"/>
      <c r="BC59">
        <f ca="1"/>
      </c>
      <c r="BE59">
        <f ca="1"/>
      </c>
    </row>
    <row r="60" spans="26:73" x14ac:dyDescent="0.55000000000000004">
      <c r="AE60" s="7"/>
      <c r="AT60" s="7"/>
      <c r="AU60">
        <f ca="1"/>
      </c>
      <c r="AV60">
        <f ca="1"/>
      </c>
      <c r="AX60">
        <f ca="1"/>
      </c>
      <c r="AY60">
        <f ca="1"/>
      </c>
      <c r="BA60" s="7"/>
      <c r="BC60">
        <f ca="1"/>
      </c>
      <c r="BE60">
        <f ca="1"/>
      </c>
    </row>
    <row r="61" spans="26:73" x14ac:dyDescent="0.55000000000000004">
      <c r="AE61" s="7"/>
      <c r="AT61" s="7"/>
      <c r="AU61">
        <f ca="1"/>
      </c>
      <c r="AV61">
        <f ca="1"/>
      </c>
      <c r="AX61">
        <f ca="1"/>
      </c>
      <c r="AY61">
        <f ca="1"/>
      </c>
      <c r="BA61" s="7"/>
      <c r="BC61">
        <f ca="1"/>
      </c>
      <c r="BE61">
        <f ca="1"/>
      </c>
    </row>
    <row r="62" spans="26:73" x14ac:dyDescent="0.55000000000000004">
      <c r="AE62" s="7"/>
      <c r="AT62" s="7"/>
      <c r="AU62">
        <f ca="1"/>
      </c>
      <c r="AV62">
        <f ca="1"/>
      </c>
      <c r="AX62">
        <f ca="1"/>
      </c>
      <c r="AY62">
        <f ca="1"/>
      </c>
      <c r="BA62" s="7"/>
      <c r="BC62">
        <f ca="1"/>
      </c>
      <c r="BE62">
        <f ca="1"/>
      </c>
    </row>
    <row r="63" spans="26:73" x14ac:dyDescent="0.55000000000000004">
      <c r="AE63" s="7"/>
      <c r="AT63" s="7"/>
      <c r="AU63">
        <f ca="1"/>
      </c>
      <c r="AV63">
        <f ca="1"/>
      </c>
      <c r="AX63">
        <f ca="1"/>
      </c>
      <c r="AY63">
        <f ca="1"/>
      </c>
      <c r="BA63" s="7"/>
      <c r="BC63">
        <f ca="1"/>
      </c>
      <c r="BE63">
        <f ca="1"/>
      </c>
    </row>
    <row r="64" spans="26:73" x14ac:dyDescent="0.55000000000000004">
      <c r="AE64" s="7"/>
      <c r="AT64" s="7"/>
      <c r="AU64">
        <f ca="1"/>
      </c>
      <c r="AV64">
        <f ca="1"/>
      </c>
      <c r="AX64">
        <f ca="1"/>
      </c>
      <c r="AY64">
        <f ca="1"/>
      </c>
      <c r="BA64" s="7"/>
      <c r="BC64">
        <f ca="1"/>
      </c>
      <c r="BE64">
        <f ca="1"/>
      </c>
    </row>
    <row r="65" spans="31:73" x14ac:dyDescent="0.55000000000000004">
      <c r="AE65" s="7"/>
      <c r="AT65" s="7"/>
      <c r="AU65">
        <f ca="1"/>
      </c>
      <c r="AV65">
        <f ca="1"/>
      </c>
      <c r="AX65">
        <f ca="1"/>
      </c>
      <c r="AY65">
        <f ca="1"/>
      </c>
      <c r="BA65" s="7"/>
      <c r="BC65">
        <f ca="1"/>
      </c>
      <c r="BE65">
        <f ca="1"/>
      </c>
    </row>
    <row r="66" spans="31:73" x14ac:dyDescent="0.55000000000000004">
      <c r="AE66" s="7"/>
      <c r="AT66" s="7"/>
      <c r="AU66">
        <f ca="1"/>
      </c>
      <c r="AV66">
        <f ca="1"/>
      </c>
      <c r="AX66">
        <f ca="1"/>
      </c>
      <c r="AY66">
        <f ca="1"/>
      </c>
      <c r="BA66" s="7"/>
      <c r="BC66">
        <f ca="1"/>
      </c>
      <c r="BE66">
        <f ca="1"/>
      </c>
    </row>
    <row r="67" spans="31:73" x14ac:dyDescent="0.55000000000000004">
      <c r="AE67" s="7"/>
      <c r="AT67" s="7"/>
      <c r="AU67">
        <f ca="1"/>
      </c>
      <c r="AV67">
        <f ca="1"/>
      </c>
      <c r="AX67">
        <f ca="1"/>
      </c>
      <c r="AY67">
        <f ca="1"/>
      </c>
      <c r="BA67" s="7"/>
      <c r="BC67">
        <f ca="1"/>
      </c>
      <c r="BE67">
        <f ca="1"/>
      </c>
    </row>
    <row r="68" spans="31:73" x14ac:dyDescent="0.55000000000000004">
      <c r="AE68" s="7"/>
      <c r="AT68" s="7"/>
      <c r="AU68">
        <f ca="1"/>
      </c>
      <c r="AV68">
        <f ca="1"/>
      </c>
      <c r="AX68">
        <f ca="1"/>
      </c>
      <c r="AY68">
        <f ca="1"/>
      </c>
      <c r="BA68" s="7"/>
      <c r="BC68">
        <f ca="1"/>
      </c>
      <c r="BE68">
        <f ca="1"/>
      </c>
    </row>
    <row r="69" spans="31:73" x14ac:dyDescent="0.55000000000000004">
      <c r="AE69" s="7"/>
      <c r="AT69" s="7"/>
      <c r="AU69">
        <f ca="1"/>
      </c>
      <c r="AV69">
        <f ca="1"/>
      </c>
      <c r="AX69">
        <f ca="1"/>
      </c>
      <c r="AY69">
        <f ca="1"/>
      </c>
      <c r="BA69" s="7"/>
      <c r="BC69">
        <f ca="1"/>
      </c>
      <c r="BE69">
        <f ca="1"/>
      </c>
    </row>
    <row r="70" spans="31:73" x14ac:dyDescent="0.55000000000000004">
      <c r="AE70" s="7"/>
      <c r="AT70" s="7"/>
      <c r="AU70">
        <f ca="1"/>
      </c>
      <c r="AV70">
        <f ca="1"/>
      </c>
      <c r="AX70">
        <f ca="1"/>
      </c>
      <c r="AY70">
        <f ca="1"/>
      </c>
      <c r="BA70" s="7"/>
      <c r="BC70">
        <f ca="1"/>
      </c>
      <c r="BE70">
        <f ca="1"/>
      </c>
    </row>
    <row r="71" spans="31:73" x14ac:dyDescent="0.55000000000000004">
      <c r="AE71" s="7"/>
      <c r="AT71" s="7"/>
      <c r="AU71">
        <f ca="1"/>
      </c>
      <c r="AV71">
        <f ca="1"/>
      </c>
      <c r="AX71">
        <f ca="1"/>
      </c>
      <c r="AY71">
        <f ca="1"/>
      </c>
      <c r="BA71" s="7"/>
      <c r="BC71">
        <f ca="1"/>
      </c>
      <c r="BE71">
        <f ca="1"/>
      </c>
    </row>
    <row r="72" spans="31:73" x14ac:dyDescent="0.55000000000000004">
      <c r="AE72" s="7"/>
      <c r="AT72" s="7"/>
      <c r="AU72">
        <f ca="1"/>
      </c>
      <c r="AV72">
        <f ca="1"/>
      </c>
      <c r="AX72">
        <f ca="1"/>
      </c>
      <c r="AY72">
        <f ca="1"/>
      </c>
      <c r="BA72" s="7"/>
      <c r="BC72">
        <f ca="1"/>
      </c>
      <c r="BE72">
        <f ca="1"/>
      </c>
    </row>
    <row r="73" spans="31:73" x14ac:dyDescent="0.55000000000000004">
      <c r="AE73" s="7"/>
      <c r="AT73" s="7"/>
      <c r="AU73">
        <f ca="1"/>
      </c>
      <c r="AV73">
        <f ca="1"/>
      </c>
      <c r="AX73">
        <f ca="1"/>
      </c>
      <c r="AY73">
        <f ca="1"/>
      </c>
      <c r="BA73" s="7"/>
      <c r="BC73">
        <f ca="1"/>
      </c>
      <c r="BE73">
        <f ca="1"/>
      </c>
    </row>
    <row r="74" spans="31:73" x14ac:dyDescent="0.55000000000000004">
      <c r="AE74" s="7"/>
      <c r="AT74" s="7"/>
      <c r="AU74">
        <f ca="1"/>
      </c>
      <c r="AV74">
        <f ca="1"/>
      </c>
      <c r="AX74">
        <f ca="1"/>
      </c>
      <c r="AY74">
        <f ca="1"/>
      </c>
      <c r="BA74" s="7"/>
      <c r="BC74">
        <f ca="1"/>
      </c>
      <c r="BE74">
        <f ca="1"/>
      </c>
    </row>
    <row r="75" spans="31:73" x14ac:dyDescent="0.55000000000000004">
      <c r="AE75" s="7"/>
      <c r="AT75" s="7"/>
      <c r="AU75">
        <f ca="1"/>
      </c>
      <c r="AV75">
        <f ca="1"/>
      </c>
      <c r="AX75">
        <f ca="1"/>
      </c>
      <c r="AY75">
        <f ca="1"/>
      </c>
      <c r="BA75" s="7"/>
      <c r="BC75">
        <f ca="1"/>
      </c>
      <c r="BE75">
        <f ca="1"/>
      </c>
    </row>
    <row r="76" spans="31:73" x14ac:dyDescent="0.55000000000000004">
      <c r="AE76" s="7"/>
      <c r="AT76" s="7"/>
      <c r="AU76">
        <f ca="1"/>
      </c>
      <c r="AV76">
        <f ca="1"/>
      </c>
      <c r="AX76">
        <f ca="1"/>
      </c>
      <c r="AY76">
        <f ca="1"/>
      </c>
      <c r="BA76" s="7"/>
      <c r="BC76">
        <f ca="1"/>
      </c>
      <c r="BE76">
        <f ca="1"/>
      </c>
    </row>
    <row r="77" spans="31:73" x14ac:dyDescent="0.55000000000000004">
      <c r="AE77" s="7"/>
      <c r="AT77" s="7"/>
      <c r="AU77">
        <f ca="1"/>
      </c>
      <c r="AV77">
        <f ca="1"/>
      </c>
      <c r="AX77">
        <f ca="1"/>
      </c>
      <c r="AY77">
        <f ca="1"/>
      </c>
      <c r="BA77" s="7"/>
      <c r="BC77">
        <f ca="1"/>
      </c>
      <c r="BE77">
        <f ca="1"/>
      </c>
    </row>
    <row r="78" spans="31:73" x14ac:dyDescent="0.55000000000000004">
      <c r="AE78" s="7"/>
      <c r="AT78" s="7"/>
      <c r="AU78">
        <f ca="1"/>
      </c>
      <c r="AV78">
        <f ca="1"/>
      </c>
      <c r="AX78">
        <f ca="1"/>
      </c>
      <c r="AY78">
        <f ca="1"/>
      </c>
      <c r="BA78" s="7"/>
      <c r="BC78">
        <f ca="1"/>
      </c>
      <c r="BE78">
        <f ca="1"/>
      </c>
    </row>
    <row r="79" spans="31:73" x14ac:dyDescent="0.55000000000000004">
      <c r="AE79" s="7"/>
      <c r="AT79" s="7"/>
      <c r="AU79">
        <f ca="1"/>
      </c>
      <c r="AV79">
        <f ca="1"/>
      </c>
      <c r="AX79">
        <f ca="1"/>
      </c>
      <c r="AY79">
        <f ca="1"/>
      </c>
      <c r="BA79" s="7"/>
      <c r="BC79">
        <f ca="1"/>
      </c>
      <c r="BE79">
        <f ca="1"/>
      </c>
    </row>
    <row r="80" spans="31:73" x14ac:dyDescent="0.55000000000000004">
      <c r="AE80" s="7"/>
      <c r="AT80" s="7"/>
      <c r="AU80">
        <f ca="1"/>
      </c>
      <c r="AV80">
        <f ca="1"/>
      </c>
      <c r="AX80">
        <f ca="1"/>
      </c>
      <c r="AY80">
        <f ca="1"/>
      </c>
      <c r="BA80" s="7"/>
      <c r="BC80">
        <f ca="1"/>
      </c>
      <c r="BE80">
        <f ca="1"/>
      </c>
    </row>
    <row r="81" spans="31:73" x14ac:dyDescent="0.55000000000000004">
      <c r="AE81" s="7"/>
      <c r="AT81" s="7"/>
      <c r="AU81">
        <f ca="1"/>
      </c>
      <c r="AV81">
        <f ca="1"/>
      </c>
      <c r="AX81">
        <f ca="1"/>
      </c>
      <c r="AY81">
        <f ca="1"/>
      </c>
      <c r="BA81" s="7"/>
      <c r="BC81">
        <f ca="1"/>
      </c>
      <c r="BE81">
        <f ca="1"/>
      </c>
    </row>
    <row r="82" spans="31:73" x14ac:dyDescent="0.55000000000000004">
      <c r="AE82" s="7"/>
      <c r="AT82" s="7"/>
      <c r="AU82">
        <f ca="1"/>
      </c>
      <c r="AV82">
        <f ca="1"/>
      </c>
      <c r="AX82">
        <f ca="1"/>
      </c>
      <c r="AY82">
        <f ca="1"/>
      </c>
      <c r="BA82" s="7"/>
      <c r="BC82">
        <f ca="1"/>
      </c>
      <c r="BE82">
        <f ca="1"/>
      </c>
    </row>
    <row r="83" spans="31:73" x14ac:dyDescent="0.55000000000000004">
      <c r="AE83" s="7"/>
      <c r="AT83" s="7"/>
      <c r="AU83">
        <f ca="1"/>
      </c>
      <c r="AV83">
        <f ca="1"/>
      </c>
      <c r="AX83">
        <f ca="1"/>
      </c>
      <c r="AY83">
        <f ca="1"/>
      </c>
      <c r="BA83" s="7"/>
      <c r="BC83">
        <f ca="1"/>
      </c>
      <c r="BE83">
        <f ca="1"/>
      </c>
    </row>
    <row r="84" spans="31:73" x14ac:dyDescent="0.55000000000000004">
      <c r="AE84" s="7"/>
      <c r="AT84" s="7"/>
      <c r="AU84">
        <f ca="1"/>
      </c>
      <c r="AV84">
        <f ca="1"/>
      </c>
      <c r="AX84">
        <f ca="1"/>
      </c>
      <c r="AY84">
        <f ca="1"/>
      </c>
      <c r="BA84" s="7"/>
      <c r="BC84">
        <f ca="1"/>
      </c>
      <c r="BE84">
        <f ca="1"/>
      </c>
    </row>
    <row r="85" spans="31:73" x14ac:dyDescent="0.55000000000000004">
      <c r="AE85" s="7"/>
      <c r="AT85" s="7"/>
      <c r="AU85">
        <f ca="1"/>
      </c>
      <c r="AV85">
        <f ca="1"/>
      </c>
      <c r="AX85">
        <f ca="1"/>
      </c>
      <c r="AY85">
        <f ca="1"/>
      </c>
      <c r="BA85" s="7"/>
      <c r="BC85">
        <f ca="1"/>
      </c>
      <c r="BE85">
        <f ca="1"/>
      </c>
    </row>
    <row r="86" spans="31:73" x14ac:dyDescent="0.55000000000000004">
      <c r="AE86" s="7"/>
      <c r="AT86" s="7"/>
      <c r="AU86">
        <f ca="1"/>
      </c>
      <c r="AV86">
        <f ca="1"/>
      </c>
      <c r="AX86">
        <f ca="1"/>
      </c>
      <c r="AY86">
        <f ca="1"/>
      </c>
      <c r="BA86" s="7"/>
      <c r="BC86">
        <f ca="1"/>
      </c>
      <c r="BE86">
        <f ca="1"/>
      </c>
    </row>
    <row r="87" spans="31:73" x14ac:dyDescent="0.55000000000000004">
      <c r="AE87" s="7"/>
      <c r="AT87" s="7"/>
      <c r="AU87">
        <f ca="1"/>
      </c>
      <c r="AV87">
        <f ca="1"/>
      </c>
      <c r="AX87">
        <f ca="1"/>
      </c>
      <c r="AY87">
        <f ca="1"/>
      </c>
      <c r="BA87" s="7"/>
      <c r="BC87">
        <f ca="1"/>
      </c>
      <c r="BE87">
        <f ca="1"/>
      </c>
    </row>
    <row r="88" spans="31:73" x14ac:dyDescent="0.55000000000000004">
      <c r="AE88" s="7"/>
      <c r="AT88" s="7"/>
      <c r="AU88">
        <f ca="1"/>
      </c>
      <c r="AV88">
        <f ca="1"/>
      </c>
      <c r="AX88">
        <f ca="1"/>
      </c>
      <c r="AY88">
        <f ca="1"/>
      </c>
      <c r="BA88" s="7"/>
      <c r="BC88">
        <f ca="1"/>
      </c>
      <c r="BE88">
        <f ca="1"/>
      </c>
    </row>
    <row r="89" spans="31:73" x14ac:dyDescent="0.55000000000000004">
      <c r="AE89" s="7"/>
      <c r="AT89" s="7"/>
      <c r="AU89">
        <f ca="1"/>
      </c>
      <c r="AV89">
        <f ca="1"/>
      </c>
      <c r="AX89">
        <f ca="1"/>
      </c>
      <c r="AY89">
        <f ca="1"/>
      </c>
      <c r="BA89" s="7"/>
      <c r="BC89">
        <f ca="1"/>
      </c>
      <c r="BE89">
        <f ca="1"/>
      </c>
    </row>
    <row r="90" spans="31:73" x14ac:dyDescent="0.55000000000000004">
      <c r="AE90" s="7"/>
      <c r="AT90" s="7"/>
      <c r="AU90">
        <f ca="1"/>
      </c>
      <c r="AV90">
        <f ca="1"/>
      </c>
      <c r="AX90">
        <f ca="1"/>
      </c>
      <c r="AY90">
        <f ca="1"/>
      </c>
      <c r="BA90" s="7"/>
      <c r="BC90">
        <f ca="1"/>
      </c>
      <c r="BE90">
        <f ca="1"/>
      </c>
    </row>
    <row r="91" spans="31:73" x14ac:dyDescent="0.55000000000000004">
      <c r="AE91" s="7"/>
      <c r="AT91" s="7"/>
      <c r="AU91">
        <f ca="1"/>
      </c>
      <c r="AV91">
        <f ca="1"/>
      </c>
      <c r="AX91">
        <f ca="1"/>
      </c>
      <c r="AY91">
        <f ca="1"/>
      </c>
      <c r="BA91" s="7"/>
      <c r="BC91">
        <f ca="1"/>
      </c>
      <c r="BE91">
        <f ca="1"/>
      </c>
    </row>
    <row r="92" spans="31:73" x14ac:dyDescent="0.55000000000000004">
      <c r="AE92" s="7"/>
      <c r="AT92" s="7"/>
      <c r="AU92">
        <f ca="1"/>
      </c>
      <c r="AV92">
        <f ca="1"/>
      </c>
      <c r="AX92">
        <f ca="1"/>
      </c>
      <c r="AY92">
        <f ca="1"/>
      </c>
      <c r="BA92" s="7"/>
      <c r="BC92">
        <f ca="1"/>
      </c>
      <c r="BE92">
        <f ca="1"/>
      </c>
    </row>
    <row r="93" spans="31:73" x14ac:dyDescent="0.55000000000000004">
      <c r="AE93" s="7"/>
      <c r="AT93" s="7"/>
      <c r="AU93">
        <f ca="1"/>
      </c>
      <c r="AV93">
        <f ca="1"/>
      </c>
      <c r="AX93">
        <f ca="1"/>
      </c>
      <c r="AY93">
        <f ca="1"/>
      </c>
      <c r="BA93" s="7"/>
      <c r="BC93">
        <f ca="1"/>
      </c>
      <c r="BE93">
        <f ca="1"/>
      </c>
    </row>
    <row r="94" spans="31:73" x14ac:dyDescent="0.55000000000000004">
      <c r="AE94" s="7"/>
      <c r="AT94" s="7"/>
      <c r="AU94">
        <f ca="1"/>
      </c>
      <c r="AV94">
        <f ca="1"/>
      </c>
      <c r="AX94">
        <f ca="1"/>
      </c>
      <c r="AY94">
        <f ca="1"/>
      </c>
      <c r="BA94" s="7"/>
      <c r="BC94">
        <f ca="1"/>
      </c>
      <c r="BE94">
        <f ca="1"/>
      </c>
    </row>
    <row r="95" spans="31:73" x14ac:dyDescent="0.55000000000000004">
      <c r="AE95" s="7"/>
      <c r="AT95" s="7"/>
      <c r="AU95">
        <f ca="1"/>
      </c>
      <c r="AV95">
        <f ca="1"/>
      </c>
      <c r="AX95">
        <f ca="1"/>
      </c>
      <c r="AY95">
        <f ca="1"/>
      </c>
      <c r="BA95" s="7"/>
      <c r="BC95">
        <f ca="1"/>
      </c>
      <c r="BE95">
        <f ca="1"/>
      </c>
    </row>
    <row r="96" spans="31:73" x14ac:dyDescent="0.55000000000000004">
      <c r="AE96" s="7"/>
      <c r="AT96" s="7"/>
      <c r="AU96">
        <f ca="1"/>
      </c>
      <c r="AV96">
        <f ca="1"/>
      </c>
      <c r="AX96">
        <f ca="1"/>
      </c>
      <c r="AY96">
        <f ca="1"/>
      </c>
      <c r="BA96" s="7"/>
      <c r="BC96">
        <f ca="1"/>
      </c>
      <c r="BE96">
        <f ca="1"/>
      </c>
    </row>
    <row r="97" spans="31:73" x14ac:dyDescent="0.55000000000000004">
      <c r="AE97" s="7"/>
      <c r="AT97" s="7"/>
      <c r="AU97">
        <f ca="1"/>
      </c>
      <c r="AV97">
        <f ca="1"/>
      </c>
      <c r="AX97">
        <f ca="1"/>
      </c>
      <c r="AY97">
        <f ca="1"/>
      </c>
      <c r="BA97" s="7"/>
      <c r="BC97">
        <f ca="1"/>
      </c>
      <c r="BE97">
        <f ca="1"/>
      </c>
    </row>
    <row r="98" spans="31:73" x14ac:dyDescent="0.55000000000000004">
      <c r="AE98" s="7"/>
      <c r="AT98" s="7"/>
      <c r="AU98">
        <f ca="1"/>
      </c>
      <c r="AV98">
        <f ca="1"/>
      </c>
      <c r="AX98">
        <f ca="1"/>
      </c>
      <c r="AY98">
        <f ca="1"/>
      </c>
      <c r="BA98" s="7"/>
      <c r="BC98">
        <f ca="1"/>
      </c>
      <c r="BE98">
        <f ca="1"/>
      </c>
    </row>
    <row r="99" spans="31:73" x14ac:dyDescent="0.55000000000000004">
      <c r="AE99" s="7"/>
      <c r="AT99" s="7"/>
      <c r="AU99">
        <f ca="1"/>
      </c>
      <c r="AV99">
        <f ca="1"/>
      </c>
      <c r="AX99">
        <f ca="1"/>
      </c>
      <c r="AY99">
        <f ca="1"/>
      </c>
      <c r="BA99" s="7"/>
      <c r="BC99">
        <f ca="1"/>
      </c>
      <c r="BE99">
        <f ca="1"/>
      </c>
    </row>
    <row r="100" spans="31:73" x14ac:dyDescent="0.55000000000000004">
      <c r="AE100" s="7"/>
      <c r="AT100" s="7"/>
      <c r="AU100">
        <f ca="1"/>
      </c>
      <c r="AV100">
        <f ca="1"/>
      </c>
      <c r="AX100">
        <f ca="1"/>
      </c>
      <c r="AY100">
        <f ca="1"/>
      </c>
      <c r="BA100" s="7"/>
      <c r="BC100">
        <f ca="1"/>
      </c>
      <c r="BE100">
        <f ca="1"/>
      </c>
    </row>
    <row r="101" spans="31:73" x14ac:dyDescent="0.55000000000000004">
      <c r="AE101" s="7"/>
      <c r="AT101" s="7"/>
      <c r="AU101">
        <f ca="1"/>
      </c>
      <c r="AV101">
        <f ca="1"/>
      </c>
      <c r="AX101">
        <f ca="1"/>
      </c>
      <c r="AY101">
        <f ca="1"/>
      </c>
      <c r="BA101" s="7"/>
      <c r="BC101">
        <f ca="1"/>
      </c>
      <c r="BE101">
        <f ca="1"/>
      </c>
    </row>
    <row r="102" spans="31:73" x14ac:dyDescent="0.55000000000000004">
      <c r="AE102" s="7"/>
      <c r="AT102" s="7"/>
      <c r="AU102">
        <f ca="1"/>
      </c>
      <c r="AV102">
        <f ca="1"/>
      </c>
      <c r="AX102">
        <f ca="1"/>
      </c>
      <c r="AY102">
        <f ca="1"/>
      </c>
      <c r="BA102" s="7"/>
      <c r="BC102">
        <f ca="1"/>
      </c>
      <c r="BE102">
        <f ca="1"/>
      </c>
    </row>
    <row r="103" spans="31:73" x14ac:dyDescent="0.55000000000000004">
      <c r="AE103" s="7"/>
      <c r="AT103" s="7"/>
      <c r="AU103">
        <f ca="1"/>
      </c>
      <c r="AV103">
        <f ca="1"/>
      </c>
      <c r="AX103">
        <f ca="1"/>
      </c>
      <c r="AY103">
        <f ca="1"/>
      </c>
      <c r="BA103" s="7"/>
      <c r="BC103">
        <f ca="1"/>
      </c>
      <c r="BE103">
        <f ca="1"/>
      </c>
    </row>
    <row r="104" spans="31:73" x14ac:dyDescent="0.55000000000000004">
      <c r="AE104" s="7"/>
      <c r="AT104" s="7"/>
      <c r="AU104">
        <f ca="1"/>
      </c>
      <c r="AV104">
        <f ca="1"/>
      </c>
      <c r="AX104">
        <f ca="1"/>
      </c>
      <c r="AY104">
        <f ca="1"/>
      </c>
      <c r="BA104" s="7"/>
      <c r="BC104">
        <f ca="1"/>
      </c>
      <c r="BE104">
        <f ca="1"/>
      </c>
    </row>
    <row r="105" spans="31:73" x14ac:dyDescent="0.55000000000000004">
      <c r="AE105" s="7"/>
      <c r="AT105" s="7"/>
      <c r="AU105">
        <f ca="1"/>
      </c>
      <c r="AV105">
        <f ca="1"/>
      </c>
      <c r="AX105">
        <f ca="1"/>
      </c>
      <c r="AY105">
        <f ca="1"/>
      </c>
      <c r="BA105" s="7"/>
      <c r="BC105">
        <f ca="1"/>
      </c>
      <c r="BE105">
        <f ca="1"/>
      </c>
    </row>
    <row r="106" spans="31:73" x14ac:dyDescent="0.55000000000000004">
      <c r="AE106" s="7"/>
      <c r="AT106" s="7"/>
      <c r="AU106">
        <f ca="1"/>
      </c>
      <c r="AV106">
        <f ca="1"/>
      </c>
      <c r="AX106">
        <f ca="1"/>
      </c>
      <c r="AY106">
        <f ca="1"/>
      </c>
      <c r="BA106" s="7"/>
      <c r="BC106">
        <f ca="1"/>
      </c>
      <c r="BE106">
        <f ca="1"/>
      </c>
    </row>
    <row r="107" spans="31:73" x14ac:dyDescent="0.55000000000000004">
      <c r="AE107" s="7"/>
      <c r="AT107" s="7"/>
      <c r="AU107">
        <f ca="1"/>
      </c>
      <c r="AV107">
        <f ca="1"/>
      </c>
      <c r="AX107">
        <f ca="1"/>
      </c>
      <c r="AY107">
        <f ca="1"/>
      </c>
      <c r="BA107" s="7"/>
      <c r="BC107">
        <f ca="1"/>
      </c>
      <c r="BE107">
        <f ca="1"/>
      </c>
    </row>
    <row r="108" spans="31:73" x14ac:dyDescent="0.55000000000000004">
      <c r="AE108" s="7"/>
      <c r="AT108" s="7"/>
      <c r="AU108">
        <f ca="1"/>
      </c>
      <c r="AV108">
        <f ca="1"/>
      </c>
      <c r="AX108">
        <f ca="1"/>
      </c>
      <c r="AY108">
        <f ca="1"/>
      </c>
      <c r="BA108" s="7"/>
      <c r="BC108">
        <f ca="1"/>
      </c>
      <c r="BE108">
        <f ca="1"/>
      </c>
    </row>
    <row r="109" spans="31:73" x14ac:dyDescent="0.55000000000000004">
      <c r="AE109" s="7"/>
      <c r="AT109" s="7"/>
      <c r="AU109">
        <f ca="1"/>
      </c>
      <c r="AV109">
        <f ca="1"/>
      </c>
      <c r="AX109">
        <f ca="1"/>
      </c>
      <c r="AY109">
        <f ca="1"/>
      </c>
      <c r="BA109" s="7"/>
      <c r="BC109">
        <f ca="1"/>
      </c>
      <c r="BE109">
        <f ca="1"/>
      </c>
    </row>
    <row r="110" spans="31:73" x14ac:dyDescent="0.55000000000000004">
      <c r="AE110" s="7"/>
      <c r="AT110" s="7"/>
      <c r="AU110">
        <f ca="1"/>
      </c>
      <c r="AV110">
        <f ca="1"/>
      </c>
      <c r="AX110">
        <f ca="1"/>
      </c>
      <c r="AY110">
        <f ca="1"/>
      </c>
      <c r="BA110" s="7"/>
      <c r="BC110">
        <f ca="1"/>
      </c>
      <c r="BE110">
        <f ca="1"/>
      </c>
    </row>
    <row r="111" spans="31:73" x14ac:dyDescent="0.55000000000000004">
      <c r="AE111" s="7"/>
      <c r="AT111" s="7"/>
      <c r="AU111">
        <f ca="1"/>
      </c>
      <c r="AV111">
        <f ca="1"/>
      </c>
      <c r="AX111">
        <f ca="1"/>
      </c>
      <c r="AY111">
        <f ca="1"/>
      </c>
      <c r="BA111" s="7"/>
      <c r="BC111">
        <f ca="1"/>
      </c>
      <c r="BE111">
        <f ca="1"/>
      </c>
    </row>
    <row r="112" spans="31:73" x14ac:dyDescent="0.55000000000000004">
      <c r="AE112" s="7"/>
      <c r="AT112" s="7"/>
      <c r="AU112">
        <f ca="1"/>
      </c>
      <c r="AV112">
        <f ca="1"/>
      </c>
      <c r="AX112">
        <f ca="1"/>
      </c>
      <c r="AY112">
        <f ca="1"/>
      </c>
      <c r="BA112" s="7"/>
      <c r="BC112">
        <f ca="1"/>
      </c>
      <c r="BE112">
        <f ca="1"/>
      </c>
    </row>
    <row r="113" spans="31:73" x14ac:dyDescent="0.55000000000000004">
      <c r="AE113" s="7"/>
      <c r="AT113" s="7"/>
      <c r="AU113">
        <f ca="1"/>
      </c>
      <c r="AV113">
        <f ca="1"/>
      </c>
      <c r="AX113">
        <f ca="1"/>
      </c>
      <c r="AY113">
        <f ca="1"/>
      </c>
      <c r="BA113" s="7"/>
      <c r="BC113">
        <f ca="1"/>
      </c>
      <c r="BE113">
        <f ca="1"/>
      </c>
    </row>
    <row r="114" spans="31:73" x14ac:dyDescent="0.55000000000000004">
      <c r="AE114" s="7"/>
      <c r="AT114" s="7"/>
      <c r="AU114">
        <f ca="1"/>
      </c>
      <c r="AV114">
        <f ca="1"/>
      </c>
      <c r="AX114">
        <f ca="1"/>
      </c>
      <c r="AY114">
        <f ca="1"/>
      </c>
      <c r="BA114" s="7"/>
      <c r="BC114">
        <f ca="1"/>
      </c>
      <c r="BE114">
        <f ca="1"/>
      </c>
    </row>
    <row r="115" spans="31:73" x14ac:dyDescent="0.55000000000000004">
      <c r="AE115" s="7"/>
      <c r="AT115" s="7"/>
      <c r="AU115">
        <f ca="1"/>
      </c>
      <c r="AV115">
        <f ca="1"/>
      </c>
      <c r="AX115">
        <f ca="1"/>
      </c>
      <c r="AY115">
        <f ca="1"/>
      </c>
      <c r="BA115" s="7"/>
      <c r="BC115">
        <f ca="1"/>
      </c>
      <c r="BE115">
        <f ca="1"/>
      </c>
    </row>
    <row r="116" spans="31:73" x14ac:dyDescent="0.55000000000000004">
      <c r="AE116" s="7"/>
      <c r="AT116" s="7"/>
      <c r="AU116">
        <f ca="1"/>
      </c>
      <c r="AV116">
        <f ca="1"/>
      </c>
      <c r="AX116">
        <f ca="1"/>
      </c>
      <c r="AY116">
        <f ca="1"/>
      </c>
      <c r="BA116" s="7"/>
      <c r="BC116">
        <f ca="1"/>
      </c>
      <c r="BE116">
        <f ca="1"/>
      </c>
    </row>
    <row r="117" spans="31:73" x14ac:dyDescent="0.55000000000000004">
      <c r="AE117" s="7"/>
      <c r="AT117" s="7"/>
      <c r="AU117">
        <f ca="1"/>
      </c>
      <c r="AV117">
        <f ca="1"/>
      </c>
      <c r="AX117">
        <f ca="1"/>
      </c>
      <c r="AY117">
        <f ca="1"/>
      </c>
      <c r="BA117" s="7"/>
      <c r="BC117">
        <f ca="1"/>
      </c>
      <c r="BE117">
        <f ca="1"/>
      </c>
    </row>
    <row r="118" spans="31:73" x14ac:dyDescent="0.55000000000000004">
      <c r="AE118" s="7"/>
      <c r="AT118" s="7"/>
      <c r="AU118">
        <f ca="1"/>
      </c>
      <c r="AV118">
        <f ca="1"/>
      </c>
      <c r="AX118">
        <f ca="1"/>
      </c>
      <c r="AY118">
        <f ca="1"/>
      </c>
      <c r="BA118" s="7"/>
      <c r="BC118">
        <f ca="1"/>
      </c>
      <c r="BE118">
        <f ca="1"/>
      </c>
    </row>
    <row r="119" spans="31:73" x14ac:dyDescent="0.55000000000000004">
      <c r="AE119" s="7"/>
      <c r="AT119" s="7"/>
      <c r="AU119">
        <f ca="1"/>
      </c>
      <c r="AV119">
        <f ca="1"/>
      </c>
      <c r="AX119">
        <f ca="1"/>
      </c>
      <c r="AY119">
        <f ca="1"/>
      </c>
      <c r="BA119" s="7"/>
      <c r="BC119">
        <f ca="1"/>
      </c>
      <c r="BE119">
        <f ca="1"/>
      </c>
    </row>
    <row r="120" spans="31:73" x14ac:dyDescent="0.55000000000000004">
      <c r="AE120" s="7"/>
      <c r="AT120" s="7"/>
      <c r="AU120">
        <f ca="1"/>
      </c>
      <c r="AV120">
        <f ca="1"/>
      </c>
      <c r="AX120">
        <f ca="1"/>
      </c>
      <c r="AY120">
        <f ca="1"/>
      </c>
      <c r="BA120" s="7"/>
      <c r="BC120">
        <f ca="1"/>
      </c>
      <c r="BE120">
        <f ca="1"/>
      </c>
    </row>
    <row r="121" spans="31:73" x14ac:dyDescent="0.55000000000000004">
      <c r="AE121" s="7"/>
      <c r="AT121" s="7"/>
      <c r="AU121">
        <f ca="1"/>
      </c>
      <c r="AV121">
        <f ca="1"/>
      </c>
      <c r="AX121">
        <f ca="1"/>
      </c>
      <c r="AY121">
        <f ca="1"/>
      </c>
      <c r="BA121" s="7"/>
      <c r="BC121">
        <f ca="1"/>
      </c>
      <c r="BE121">
        <f ca="1"/>
      </c>
    </row>
    <row r="122" spans="31:73" x14ac:dyDescent="0.55000000000000004">
      <c r="AE122" s="7"/>
      <c r="AT122" s="7"/>
      <c r="AU122">
        <f ca="1"/>
      </c>
      <c r="AV122">
        <f ca="1"/>
      </c>
      <c r="AX122">
        <f ca="1"/>
      </c>
      <c r="AY122">
        <f ca="1"/>
      </c>
      <c r="BA122" s="7"/>
      <c r="BC122">
        <f ca="1"/>
      </c>
      <c r="BE122">
        <f ca="1"/>
      </c>
    </row>
    <row r="123" spans="31:73" x14ac:dyDescent="0.55000000000000004">
      <c r="AE123" s="7"/>
      <c r="AT123" s="7"/>
      <c r="AU123">
        <f ca="1"/>
      </c>
      <c r="AV123">
        <f ca="1"/>
      </c>
      <c r="AX123">
        <f ca="1"/>
      </c>
      <c r="AY123">
        <f ca="1"/>
      </c>
      <c r="BA123" s="7"/>
      <c r="BC123">
        <f ca="1"/>
      </c>
      <c r="BE123">
        <f ca="1"/>
      </c>
    </row>
    <row r="124" spans="31:73" x14ac:dyDescent="0.55000000000000004">
      <c r="AE124" s="7"/>
      <c r="AT124" s="7"/>
      <c r="AU124">
        <f ca="1"/>
      </c>
      <c r="AV124">
        <f ca="1"/>
      </c>
      <c r="AX124">
        <f ca="1"/>
      </c>
      <c r="AY124">
        <f ca="1"/>
      </c>
      <c r="BA124" s="7"/>
      <c r="BC124">
        <f ca="1"/>
      </c>
      <c r="BE124">
        <f ca="1"/>
      </c>
    </row>
    <row r="125" spans="31:73" x14ac:dyDescent="0.55000000000000004">
      <c r="AE125" s="7"/>
      <c r="AT125" s="7"/>
      <c r="AU125">
        <f ca="1"/>
      </c>
      <c r="AV125">
        <f ca="1"/>
      </c>
      <c r="AX125">
        <f ca="1"/>
      </c>
      <c r="AY125">
        <f ca="1"/>
      </c>
      <c r="BA125" s="7"/>
      <c r="BC125">
        <f ca="1"/>
      </c>
      <c r="BE125">
        <f ca="1"/>
      </c>
    </row>
    <row r="126" spans="31:73" x14ac:dyDescent="0.55000000000000004">
      <c r="AE126" s="7"/>
      <c r="AT126" s="7"/>
      <c r="AU126">
        <f ca="1"/>
      </c>
      <c r="AV126">
        <f ca="1"/>
      </c>
      <c r="AX126">
        <f ca="1"/>
      </c>
      <c r="AY126">
        <f ca="1"/>
      </c>
      <c r="BA126" s="7"/>
      <c r="BC126">
        <f ca="1"/>
      </c>
      <c r="BE126">
        <f ca="1"/>
      </c>
    </row>
    <row r="127" spans="31:73" x14ac:dyDescent="0.55000000000000004">
      <c r="AE127" s="7"/>
      <c r="AT127" s="7"/>
      <c r="AU127">
        <f ca="1"/>
      </c>
      <c r="AV127">
        <f ca="1"/>
      </c>
      <c r="AX127">
        <f ca="1"/>
      </c>
      <c r="AY127">
        <f ca="1"/>
      </c>
      <c r="BA127" s="7"/>
      <c r="BC127">
        <f ca="1"/>
      </c>
      <c r="BE127">
        <f ca="1"/>
      </c>
    </row>
    <row r="128" spans="31:73" x14ac:dyDescent="0.55000000000000004">
      <c r="AE128" s="7"/>
      <c r="AT128" s="7"/>
      <c r="AU128">
        <f ca="1"/>
      </c>
      <c r="AV128">
        <f ca="1"/>
      </c>
      <c r="AX128">
        <f ca="1"/>
      </c>
      <c r="AY128">
        <f ca="1"/>
      </c>
      <c r="BA128" s="7"/>
      <c r="BC128">
        <f ca="1"/>
      </c>
      <c r="BE128">
        <f ca="1"/>
      </c>
    </row>
    <row r="129" spans="31:73" x14ac:dyDescent="0.55000000000000004">
      <c r="AE129" s="7"/>
      <c r="AT129" s="7"/>
      <c r="AU129">
        <f ca="1"/>
      </c>
      <c r="AV129">
        <f ca="1"/>
      </c>
      <c r="AX129">
        <f ca="1"/>
      </c>
      <c r="AY129">
        <f ca="1"/>
      </c>
      <c r="BA129" s="7"/>
      <c r="BC129">
        <f ca="1"/>
      </c>
      <c r="BE129">
        <f ca="1"/>
      </c>
    </row>
    <row r="130" spans="31:73" x14ac:dyDescent="0.55000000000000004">
      <c r="AE130" s="7"/>
      <c r="AT130" s="7"/>
      <c r="AU130">
        <f ca="1"/>
      </c>
      <c r="AV130">
        <f ca="1"/>
      </c>
      <c r="AX130">
        <f ca="1"/>
      </c>
      <c r="AY130">
        <f ca="1"/>
      </c>
      <c r="BA130" s="7"/>
      <c r="BC130">
        <f ca="1"/>
      </c>
      <c r="BE130">
        <f ca="1"/>
      </c>
    </row>
    <row r="131" spans="31:73" x14ac:dyDescent="0.55000000000000004">
      <c r="AE131" s="7"/>
      <c r="AT131" s="7"/>
      <c r="AU131">
        <f ca="1"/>
      </c>
      <c r="AV131">
        <f ca="1"/>
      </c>
      <c r="AX131">
        <f ca="1"/>
      </c>
      <c r="AY131">
        <f ca="1"/>
      </c>
      <c r="BA131" s="7"/>
      <c r="BC131">
        <f ca="1"/>
      </c>
      <c r="BE131">
        <f ca="1"/>
      </c>
    </row>
    <row r="132" spans="31:73" x14ac:dyDescent="0.55000000000000004">
      <c r="AE132" s="7"/>
      <c r="AT132" s="7"/>
      <c r="AU132">
        <f ca="1"/>
      </c>
      <c r="AV132">
        <f ca="1"/>
      </c>
      <c r="AX132">
        <f ca="1"/>
      </c>
      <c r="AY132">
        <f ca="1"/>
      </c>
      <c r="BA132" s="7"/>
      <c r="BC132">
        <f ca="1"/>
      </c>
      <c r="BE132">
        <f ca="1"/>
      </c>
    </row>
    <row r="133" spans="31:73" x14ac:dyDescent="0.55000000000000004">
      <c r="AE133" s="7"/>
      <c r="AT133" s="7"/>
      <c r="AU133">
        <f ca="1"/>
      </c>
      <c r="AV133">
        <f ca="1"/>
      </c>
      <c r="AX133">
        <f ca="1"/>
      </c>
      <c r="AY133">
        <f ca="1"/>
      </c>
      <c r="BA133" s="7"/>
      <c r="BC133">
        <f ca="1"/>
      </c>
      <c r="BE133">
        <f ca="1"/>
      </c>
    </row>
    <row r="134" spans="31:73" x14ac:dyDescent="0.55000000000000004">
      <c r="AE134" s="7"/>
      <c r="AT134" s="7"/>
      <c r="AU134">
        <f ca="1"/>
      </c>
      <c r="AV134">
        <f ca="1"/>
      </c>
      <c r="AX134">
        <f ca="1"/>
      </c>
      <c r="AY134">
        <f ca="1"/>
      </c>
      <c r="BA134" s="7"/>
      <c r="BC134">
        <f ca="1"/>
      </c>
      <c r="BE134">
        <f ca="1"/>
      </c>
    </row>
    <row r="135" spans="31:73" x14ac:dyDescent="0.55000000000000004">
      <c r="AE135" s="7"/>
      <c r="AT135" s="7"/>
      <c r="AU135">
        <f ca="1"/>
      </c>
      <c r="AV135">
        <f ca="1"/>
      </c>
      <c r="AX135">
        <f ca="1"/>
      </c>
      <c r="AY135">
        <f ca="1"/>
      </c>
      <c r="BA135" s="7"/>
      <c r="BC135">
        <f ca="1"/>
      </c>
      <c r="BE135">
        <f ca="1"/>
      </c>
    </row>
    <row r="136" spans="31:73" x14ac:dyDescent="0.55000000000000004">
      <c r="AE136" s="7"/>
      <c r="AT136" s="7"/>
      <c r="AU136">
        <f ca="1"/>
      </c>
      <c r="AV136">
        <f ca="1"/>
      </c>
      <c r="AX136">
        <f ca="1"/>
      </c>
      <c r="AY136">
        <f ca="1"/>
      </c>
      <c r="BA136" s="7"/>
      <c r="BC136">
        <f ca="1"/>
      </c>
      <c r="BE136">
        <f ca="1"/>
      </c>
    </row>
    <row r="137" spans="31:73" x14ac:dyDescent="0.55000000000000004">
      <c r="AE137" s="7"/>
      <c r="AT137" s="7"/>
      <c r="AU137">
        <f ca="1"/>
      </c>
      <c r="AV137">
        <f ca="1"/>
      </c>
      <c r="AX137">
        <f ca="1"/>
      </c>
      <c r="AY137">
        <f ca="1"/>
      </c>
      <c r="BA137" s="7"/>
      <c r="BC137">
        <f ca="1"/>
      </c>
      <c r="BE137">
        <f ca="1"/>
      </c>
    </row>
    <row r="138" spans="31:73" x14ac:dyDescent="0.55000000000000004">
      <c r="AE138" s="7"/>
      <c r="AT138" s="7"/>
      <c r="AU138">
        <f ca="1"/>
      </c>
      <c r="AV138">
        <f ca="1"/>
      </c>
      <c r="AX138">
        <f ca="1"/>
      </c>
      <c r="AY138">
        <f ca="1"/>
      </c>
      <c r="BA138" s="7"/>
      <c r="BC138">
        <f ca="1"/>
      </c>
      <c r="BE138">
        <f ca="1"/>
      </c>
    </row>
    <row r="139" spans="31:73" x14ac:dyDescent="0.55000000000000004">
      <c r="AE139" s="7"/>
      <c r="AT139" s="7"/>
      <c r="AU139">
        <f ca="1"/>
      </c>
      <c r="AV139">
        <f ca="1"/>
      </c>
      <c r="AX139">
        <f ca="1"/>
      </c>
      <c r="AY139">
        <f ca="1"/>
      </c>
      <c r="BA139" s="7"/>
      <c r="BC139">
        <f ca="1"/>
      </c>
      <c r="BE139">
        <f ca="1"/>
      </c>
    </row>
    <row r="140" spans="31:73" x14ac:dyDescent="0.55000000000000004">
      <c r="AE140" s="7"/>
      <c r="AT140" s="7"/>
      <c r="AU140">
        <f ca="1"/>
      </c>
      <c r="AV140">
        <f ca="1"/>
      </c>
      <c r="AX140">
        <f ca="1"/>
      </c>
      <c r="AY140">
        <f ca="1"/>
      </c>
      <c r="BA140" s="7"/>
      <c r="BC140">
        <f ca="1"/>
      </c>
      <c r="BE140">
        <f ca="1"/>
      </c>
    </row>
    <row r="141" spans="31:73" x14ac:dyDescent="0.55000000000000004">
      <c r="AE141" s="7"/>
      <c r="AT141" s="7"/>
      <c r="AU141">
        <f ca="1"/>
      </c>
      <c r="AV141">
        <f ca="1"/>
      </c>
      <c r="AX141">
        <f ca="1"/>
      </c>
      <c r="AY141">
        <f ca="1"/>
      </c>
      <c r="BA141" s="7"/>
      <c r="BC141">
        <f ca="1"/>
      </c>
      <c r="BE141">
        <f ca="1"/>
      </c>
    </row>
    <row r="142" spans="31:73" x14ac:dyDescent="0.55000000000000004">
      <c r="AE142" s="7"/>
      <c r="AT142" s="7"/>
      <c r="AU142">
        <f ca="1"/>
      </c>
      <c r="AV142">
        <f ca="1"/>
      </c>
      <c r="AX142">
        <f ca="1"/>
      </c>
      <c r="AY142">
        <f ca="1"/>
      </c>
      <c r="BA142" s="7"/>
      <c r="BC142">
        <f ca="1"/>
      </c>
      <c r="BE142">
        <f ca="1"/>
      </c>
    </row>
    <row r="143" spans="31:73" x14ac:dyDescent="0.55000000000000004">
      <c r="AE143" s="7"/>
      <c r="AT143" s="7"/>
      <c r="AU143">
        <f ca="1"/>
      </c>
      <c r="AV143">
        <f ca="1"/>
      </c>
      <c r="AX143">
        <f ca="1"/>
      </c>
      <c r="AY143">
        <f ca="1"/>
      </c>
      <c r="BA143" s="7"/>
      <c r="BC143">
        <f ca="1"/>
      </c>
      <c r="BE143">
        <f ca="1"/>
      </c>
    </row>
    <row r="144" spans="31:73" x14ac:dyDescent="0.55000000000000004">
      <c r="AE144" s="7"/>
      <c r="AT144" s="7"/>
      <c r="AU144">
        <f ca="1"/>
      </c>
      <c r="AV144">
        <f ca="1"/>
      </c>
      <c r="AX144">
        <f ca="1"/>
      </c>
      <c r="AY144">
        <f ca="1"/>
      </c>
      <c r="BA144" s="7"/>
      <c r="BC144">
        <f ca="1"/>
      </c>
      <c r="BE144">
        <f ca="1"/>
      </c>
    </row>
    <row r="145" spans="31:73" x14ac:dyDescent="0.55000000000000004">
      <c r="AE145" s="7"/>
      <c r="AT145" s="7"/>
      <c r="AU145">
        <f ca="1"/>
      </c>
      <c r="AV145">
        <f ca="1"/>
      </c>
      <c r="AX145">
        <f ca="1"/>
      </c>
      <c r="AY145">
        <f ca="1"/>
      </c>
      <c r="BA145" s="7"/>
      <c r="BC145">
        <f ca="1"/>
      </c>
      <c r="BE145">
        <f ca="1"/>
      </c>
    </row>
    <row r="146" spans="31:73" x14ac:dyDescent="0.55000000000000004">
      <c r="AE146" s="7"/>
      <c r="AT146" s="7"/>
      <c r="AU146">
        <f ca="1"/>
      </c>
      <c r="AV146">
        <f ca="1"/>
      </c>
      <c r="AX146">
        <f ca="1"/>
      </c>
      <c r="AY146">
        <f ca="1"/>
      </c>
      <c r="BA146" s="7"/>
      <c r="BC146">
        <f ca="1"/>
      </c>
      <c r="BE146">
        <f ca="1"/>
      </c>
    </row>
    <row r="147" spans="31:73" x14ac:dyDescent="0.55000000000000004">
      <c r="AE147" s="7"/>
      <c r="AT147" s="7"/>
      <c r="AU147">
        <f ca="1"/>
      </c>
      <c r="AV147">
        <f ca="1"/>
      </c>
      <c r="AX147">
        <f ca="1"/>
      </c>
      <c r="AY147">
        <f ca="1"/>
      </c>
      <c r="BA147" s="7"/>
      <c r="BC147">
        <f ca="1"/>
      </c>
      <c r="BE147">
        <f ca="1"/>
      </c>
    </row>
    <row r="148" spans="31:73" x14ac:dyDescent="0.55000000000000004">
      <c r="AE148" s="7"/>
      <c r="AT148" s="7"/>
      <c r="AU148">
        <f ca="1"/>
      </c>
      <c r="AV148">
        <f ca="1"/>
      </c>
      <c r="AX148">
        <f ca="1"/>
      </c>
      <c r="AY148">
        <f ca="1"/>
      </c>
      <c r="BA148" s="7"/>
      <c r="BC148">
        <f ca="1"/>
      </c>
      <c r="BE148">
        <f ca="1"/>
      </c>
    </row>
    <row r="149" spans="31:73" x14ac:dyDescent="0.55000000000000004">
      <c r="AE149" s="7"/>
      <c r="AT149" s="7"/>
      <c r="AU149">
        <f ca="1"/>
      </c>
      <c r="AV149">
        <f ca="1"/>
      </c>
      <c r="AX149">
        <f ca="1"/>
      </c>
      <c r="AY149">
        <f ca="1"/>
      </c>
      <c r="BA149" s="7"/>
      <c r="BC149">
        <f ca="1"/>
      </c>
      <c r="BE149">
        <f ca="1"/>
      </c>
    </row>
    <row r="150" spans="31:73" x14ac:dyDescent="0.55000000000000004">
      <c r="AE150" s="7"/>
      <c r="AT150" s="7"/>
      <c r="AU150">
        <f ca="1"/>
      </c>
      <c r="AV150">
        <f ca="1"/>
      </c>
      <c r="AX150">
        <f ca="1"/>
      </c>
      <c r="AY150">
        <f ca="1"/>
      </c>
      <c r="BA150" s="7"/>
      <c r="BC150">
        <f ca="1"/>
      </c>
      <c r="BE150">
        <f ca="1"/>
      </c>
    </row>
    <row r="151" spans="31:73" x14ac:dyDescent="0.55000000000000004">
      <c r="AE151" s="7"/>
      <c r="AT151" s="7"/>
      <c r="AU151">
        <f ca="1"/>
      </c>
      <c r="AV151">
        <f ca="1"/>
      </c>
      <c r="AX151">
        <f ca="1"/>
      </c>
      <c r="AY151">
        <f ca="1"/>
      </c>
      <c r="BA151" s="7"/>
      <c r="BC151">
        <f ca="1"/>
      </c>
      <c r="BE151">
        <f ca="1"/>
      </c>
    </row>
    <row r="152" spans="31:73" x14ac:dyDescent="0.55000000000000004">
      <c r="AE152" s="7"/>
      <c r="AT152" s="7"/>
      <c r="AU152">
        <f ca="1"/>
      </c>
      <c r="AV152">
        <f ca="1"/>
      </c>
      <c r="AX152">
        <f ca="1"/>
      </c>
      <c r="AY152">
        <f ca="1"/>
      </c>
      <c r="BA152" s="7"/>
      <c r="BC152">
        <f ca="1"/>
      </c>
      <c r="BE152">
        <f ca="1"/>
      </c>
    </row>
    <row r="153" spans="31:73" x14ac:dyDescent="0.55000000000000004">
      <c r="AE153" s="7"/>
      <c r="AT153" s="7"/>
      <c r="AU153">
        <f ca="1"/>
      </c>
      <c r="AV153">
        <f ca="1"/>
      </c>
      <c r="AX153">
        <f ca="1"/>
      </c>
      <c r="AY153">
        <f ca="1"/>
      </c>
      <c r="BA153" s="7"/>
      <c r="BC153">
        <f ca="1"/>
      </c>
      <c r="BE153">
        <f ca="1"/>
      </c>
    </row>
    <row r="154" spans="31:73" x14ac:dyDescent="0.55000000000000004">
      <c r="AE154" s="7"/>
      <c r="AT154" s="7"/>
      <c r="AU154">
        <f ca="1"/>
      </c>
      <c r="AV154">
        <f ca="1"/>
      </c>
      <c r="AX154">
        <f ca="1"/>
      </c>
      <c r="AY154">
        <f ca="1"/>
      </c>
      <c r="BA154" s="7"/>
      <c r="BC154">
        <f ca="1"/>
      </c>
      <c r="BE154">
        <f ca="1"/>
      </c>
    </row>
    <row r="155" spans="31:73" x14ac:dyDescent="0.55000000000000004">
      <c r="AE155" s="7"/>
      <c r="AT155" s="7"/>
      <c r="AU155">
        <f ca="1"/>
      </c>
      <c r="AV155">
        <f ca="1"/>
      </c>
      <c r="AX155">
        <f ca="1"/>
      </c>
      <c r="AY155">
        <f ca="1"/>
      </c>
      <c r="BA155" s="7"/>
      <c r="BC155">
        <f ca="1"/>
      </c>
      <c r="BE155">
        <f ca="1"/>
      </c>
    </row>
    <row r="156" spans="31:73" x14ac:dyDescent="0.55000000000000004">
      <c r="AE156" s="7"/>
      <c r="AT156" s="7"/>
      <c r="AU156">
        <f ca="1"/>
      </c>
      <c r="AV156">
        <f ca="1"/>
      </c>
      <c r="AX156">
        <f ca="1"/>
      </c>
      <c r="AY156">
        <f ca="1"/>
      </c>
      <c r="BA156" s="7"/>
      <c r="BC156">
        <f ca="1"/>
      </c>
      <c r="BE156">
        <f ca="1"/>
      </c>
    </row>
    <row r="157" spans="31:73" x14ac:dyDescent="0.55000000000000004">
      <c r="AE157" s="7"/>
      <c r="AT157" s="7"/>
      <c r="AU157">
        <f ca="1"/>
      </c>
      <c r="AV157">
        <f ca="1"/>
      </c>
      <c r="AX157">
        <f ca="1"/>
      </c>
      <c r="AY157">
        <f ca="1"/>
      </c>
      <c r="BA157" s="7"/>
      <c r="BC157">
        <f ca="1"/>
      </c>
      <c r="BE157">
        <f ca="1"/>
      </c>
    </row>
    <row r="158" spans="31:73" x14ac:dyDescent="0.55000000000000004">
      <c r="AE158" s="7"/>
      <c r="AT158" s="7"/>
      <c r="AU158">
        <f ca="1"/>
      </c>
      <c r="AV158">
        <f ca="1"/>
      </c>
      <c r="AX158">
        <f ca="1"/>
      </c>
      <c r="AY158">
        <f ca="1"/>
      </c>
      <c r="BA158" s="7"/>
      <c r="BC158">
        <f ca="1"/>
      </c>
      <c r="BE158">
        <f ca="1"/>
      </c>
    </row>
    <row r="159" spans="31:73" x14ac:dyDescent="0.55000000000000004">
      <c r="AE159" s="7"/>
      <c r="AT159" s="7"/>
      <c r="AU159">
        <f ca="1"/>
      </c>
      <c r="AV159">
        <f ca="1"/>
      </c>
      <c r="AX159">
        <f ca="1"/>
      </c>
      <c r="AY159">
        <f ca="1"/>
      </c>
      <c r="BA159" s="7"/>
      <c r="BC159">
        <f ca="1"/>
      </c>
      <c r="BE159">
        <f ca="1"/>
      </c>
    </row>
    <row r="160" spans="31:73" x14ac:dyDescent="0.55000000000000004">
      <c r="AE160" s="7"/>
      <c r="AT160" s="7"/>
      <c r="AU160">
        <f ca="1"/>
      </c>
      <c r="AV160">
        <f ca="1"/>
      </c>
      <c r="AX160">
        <f ca="1"/>
      </c>
      <c r="AY160">
        <f ca="1"/>
      </c>
      <c r="BA160" s="7"/>
      <c r="BC160">
        <f ca="1"/>
      </c>
      <c r="BE160">
        <f ca="1"/>
      </c>
    </row>
    <row r="161" spans="31:73" x14ac:dyDescent="0.55000000000000004">
      <c r="AE161" s="7"/>
      <c r="AT161" s="7"/>
      <c r="AU161">
        <f ca="1"/>
      </c>
      <c r="AV161">
        <f ca="1"/>
      </c>
      <c r="AX161">
        <f ca="1"/>
      </c>
      <c r="AY161">
        <f ca="1"/>
      </c>
      <c r="BA161" s="7"/>
      <c r="BC161">
        <f ca="1"/>
      </c>
      <c r="BE161">
        <f ca="1"/>
      </c>
    </row>
    <row r="162" spans="31:73" x14ac:dyDescent="0.55000000000000004">
      <c r="AE162" s="7"/>
      <c r="AT162" s="7"/>
      <c r="AU162">
        <f ca="1"/>
      </c>
      <c r="AV162">
        <f ca="1"/>
      </c>
      <c r="AX162">
        <f ca="1"/>
      </c>
      <c r="AY162">
        <f ca="1"/>
      </c>
      <c r="BA162" s="7"/>
      <c r="BC162">
        <f ca="1"/>
      </c>
      <c r="BE162">
        <f ca="1"/>
      </c>
    </row>
    <row r="163" spans="31:73" x14ac:dyDescent="0.55000000000000004">
      <c r="AE163" s="7"/>
      <c r="AT163" s="7"/>
      <c r="AU163">
        <f ca="1"/>
      </c>
      <c r="AV163">
        <f ca="1"/>
      </c>
      <c r="AX163">
        <f ca="1"/>
      </c>
      <c r="AY163">
        <f ca="1"/>
      </c>
      <c r="BA163" s="7"/>
      <c r="BC163">
        <f ca="1"/>
      </c>
      <c r="BE163">
        <f ca="1"/>
      </c>
    </row>
    <row r="164" spans="31:73" x14ac:dyDescent="0.55000000000000004">
      <c r="AE164" s="7"/>
      <c r="AT164" s="7"/>
      <c r="AU164">
        <f ca="1"/>
      </c>
      <c r="AV164">
        <f ca="1"/>
      </c>
      <c r="AX164">
        <f ca="1"/>
      </c>
      <c r="AY164">
        <f ca="1"/>
      </c>
      <c r="BA164" s="7"/>
      <c r="BC164">
        <f ca="1"/>
      </c>
      <c r="BE164">
        <f ca="1"/>
      </c>
    </row>
    <row r="165" spans="31:73" x14ac:dyDescent="0.55000000000000004">
      <c r="AE165" s="7"/>
      <c r="AT165" s="7"/>
      <c r="AU165">
        <f ca="1"/>
      </c>
      <c r="AV165">
        <f ca="1"/>
      </c>
      <c r="AX165">
        <f ca="1"/>
      </c>
      <c r="AY165">
        <f ca="1"/>
      </c>
      <c r="BA165" s="7"/>
      <c r="BC165">
        <f ca="1"/>
      </c>
      <c r="BE165">
        <f ca="1"/>
      </c>
    </row>
    <row r="166" spans="31:73" x14ac:dyDescent="0.55000000000000004">
      <c r="AE166" s="7"/>
      <c r="AT166" s="7"/>
      <c r="AU166">
        <f ca="1"/>
      </c>
      <c r="AV166">
        <f ca="1"/>
      </c>
      <c r="AX166">
        <f ca="1"/>
      </c>
      <c r="AY166">
        <f ca="1"/>
      </c>
      <c r="BA166" s="7"/>
      <c r="BC166">
        <f ca="1"/>
      </c>
      <c r="BE166">
        <f ca="1"/>
      </c>
    </row>
    <row r="167" spans="31:73" x14ac:dyDescent="0.55000000000000004">
      <c r="AE167" s="7"/>
      <c r="AT167" s="7"/>
      <c r="AU167">
        <f ca="1"/>
      </c>
      <c r="AV167">
        <f ca="1"/>
      </c>
      <c r="AX167">
        <f ca="1"/>
      </c>
      <c r="AY167">
        <f ca="1"/>
      </c>
      <c r="BA167" s="7"/>
      <c r="BC167">
        <f ca="1"/>
      </c>
      <c r="BE167">
        <f ca="1"/>
      </c>
    </row>
    <row r="168" spans="31:73" x14ac:dyDescent="0.55000000000000004">
      <c r="AE168" s="7"/>
      <c r="AT168" s="7"/>
      <c r="AU168">
        <f ca="1"/>
      </c>
      <c r="AV168">
        <f ca="1"/>
      </c>
      <c r="AX168">
        <f ca="1"/>
      </c>
      <c r="AY168">
        <f ca="1"/>
      </c>
      <c r="BA168" s="7"/>
      <c r="BC168">
        <f ca="1"/>
      </c>
      <c r="BE168">
        <f ca="1"/>
      </c>
    </row>
    <row r="169" spans="31:73" x14ac:dyDescent="0.55000000000000004">
      <c r="AE169" s="7"/>
      <c r="AT169" s="7"/>
      <c r="AU169">
        <f ca="1"/>
      </c>
      <c r="AV169">
        <f ca="1"/>
      </c>
      <c r="AX169">
        <f ca="1"/>
      </c>
      <c r="AY169">
        <f ca="1"/>
      </c>
      <c r="BA169" s="7"/>
      <c r="BC169">
        <f ca="1"/>
      </c>
      <c r="BE169">
        <f ca="1"/>
      </c>
    </row>
    <row r="170" spans="31:73" x14ac:dyDescent="0.55000000000000004">
      <c r="AE170" s="7"/>
      <c r="AT170" s="7"/>
      <c r="AU170">
        <f ca="1"/>
      </c>
      <c r="AV170">
        <f ca="1"/>
      </c>
      <c r="AX170">
        <f ca="1"/>
      </c>
      <c r="AY170">
        <f ca="1"/>
      </c>
      <c r="BA170" s="7"/>
      <c r="BC170">
        <f ca="1"/>
      </c>
      <c r="BE170">
        <f ca="1"/>
      </c>
    </row>
    <row r="171" spans="31:73" x14ac:dyDescent="0.55000000000000004">
      <c r="AE171" s="7"/>
      <c r="AT171" s="7"/>
      <c r="AU171">
        <f ca="1"/>
      </c>
      <c r="AV171">
        <f ca="1"/>
      </c>
      <c r="AX171">
        <f ca="1"/>
      </c>
      <c r="AY171">
        <f ca="1"/>
      </c>
      <c r="BA171" s="7"/>
      <c r="BC171">
        <f ca="1"/>
      </c>
      <c r="BE171">
        <f ca="1"/>
      </c>
    </row>
    <row r="172" spans="31:73" x14ac:dyDescent="0.55000000000000004">
      <c r="AE172" s="7"/>
      <c r="AT172" s="7"/>
      <c r="AU172">
        <f ca="1"/>
      </c>
      <c r="AV172">
        <f ca="1"/>
      </c>
      <c r="AX172">
        <f ca="1"/>
      </c>
      <c r="AY172">
        <f ca="1"/>
      </c>
      <c r="BA172" s="7"/>
      <c r="BC172">
        <f ca="1"/>
      </c>
      <c r="BE172">
        <f ca="1"/>
      </c>
    </row>
    <row r="173" spans="31:73" x14ac:dyDescent="0.55000000000000004">
      <c r="AE173" s="7"/>
      <c r="AT173" s="7"/>
      <c r="AU173">
        <f ca="1"/>
      </c>
      <c r="AV173">
        <f ca="1"/>
      </c>
      <c r="AX173">
        <f ca="1"/>
      </c>
      <c r="AY173">
        <f ca="1"/>
      </c>
      <c r="BA173" s="7"/>
      <c r="BC173">
        <f ca="1"/>
      </c>
      <c r="BE173">
        <f ca="1"/>
      </c>
    </row>
    <row r="174" spans="31:73" x14ac:dyDescent="0.55000000000000004">
      <c r="AE174" s="7"/>
      <c r="AT174" s="7"/>
      <c r="AU174">
        <f ca="1"/>
      </c>
      <c r="AV174">
        <f ca="1"/>
      </c>
      <c r="AX174">
        <f ca="1"/>
      </c>
      <c r="AY174">
        <f ca="1"/>
      </c>
      <c r="BA174" s="7"/>
      <c r="BC174">
        <f ca="1"/>
      </c>
      <c r="BE174">
        <f ca="1"/>
      </c>
    </row>
    <row r="175" spans="31:73" x14ac:dyDescent="0.55000000000000004">
      <c r="AE175" s="7"/>
      <c r="AT175" s="7"/>
      <c r="AU175">
        <f ca="1"/>
      </c>
      <c r="AV175">
        <f ca="1"/>
      </c>
      <c r="AX175">
        <f ca="1"/>
      </c>
      <c r="AY175">
        <f ca="1"/>
      </c>
      <c r="BA175" s="7"/>
      <c r="BC175">
        <f ca="1"/>
      </c>
      <c r="BE175">
        <f ca="1"/>
      </c>
    </row>
    <row r="176" spans="31:73" x14ac:dyDescent="0.55000000000000004">
      <c r="AE176" s="7"/>
      <c r="AT176" s="7"/>
      <c r="AU176">
        <f ca="1"/>
      </c>
      <c r="AV176">
        <f ca="1"/>
      </c>
      <c r="AX176">
        <f ca="1"/>
      </c>
      <c r="AY176">
        <f ca="1"/>
      </c>
      <c r="BA176" s="7"/>
      <c r="BC176">
        <f ca="1"/>
      </c>
      <c r="BE176">
        <f ca="1"/>
      </c>
    </row>
    <row r="177" spans="31:73" x14ac:dyDescent="0.55000000000000004">
      <c r="AE177" s="7"/>
      <c r="AT177" s="7"/>
      <c r="AU177">
        <f ca="1"/>
      </c>
      <c r="AV177">
        <f ca="1"/>
      </c>
      <c r="AX177">
        <f ca="1"/>
      </c>
      <c r="AY177">
        <f ca="1"/>
      </c>
      <c r="BA177" s="7"/>
      <c r="BC177">
        <f ca="1"/>
      </c>
      <c r="BE177">
        <f ca="1"/>
      </c>
    </row>
    <row r="178" spans="31:73" x14ac:dyDescent="0.55000000000000004">
      <c r="AE178" s="7"/>
      <c r="AT178" s="7"/>
      <c r="AU178">
        <f ca="1"/>
      </c>
      <c r="AV178">
        <f ca="1"/>
      </c>
      <c r="AX178">
        <f ca="1"/>
      </c>
      <c r="AY178">
        <f ca="1"/>
      </c>
      <c r="BA178" s="7"/>
      <c r="BC178">
        <f ca="1"/>
      </c>
      <c r="BE178">
        <f ca="1"/>
      </c>
    </row>
    <row r="179" spans="31:73" x14ac:dyDescent="0.55000000000000004">
      <c r="AE179" s="7"/>
      <c r="AT179" s="7"/>
      <c r="AU179">
        <f ca="1"/>
      </c>
      <c r="AV179">
        <f ca="1"/>
      </c>
      <c r="AX179">
        <f ca="1"/>
      </c>
      <c r="AY179">
        <f ca="1"/>
      </c>
      <c r="BA179" s="7"/>
      <c r="BC179">
        <f ca="1"/>
      </c>
      <c r="BE179">
        <f ca="1"/>
      </c>
    </row>
    <row r="180" spans="31:73" x14ac:dyDescent="0.55000000000000004">
      <c r="AE180" s="7"/>
      <c r="AT180" s="7"/>
      <c r="AU180">
        <f ca="1"/>
      </c>
      <c r="AV180">
        <f ca="1"/>
      </c>
      <c r="AX180">
        <f ca="1"/>
      </c>
      <c r="AY180">
        <f ca="1"/>
      </c>
      <c r="BA180" s="7"/>
      <c r="BC180">
        <f ca="1"/>
      </c>
      <c r="BE180">
        <f ca="1"/>
      </c>
    </row>
    <row r="181" spans="31:73" x14ac:dyDescent="0.55000000000000004">
      <c r="AE181" s="7"/>
      <c r="AT181" s="7"/>
      <c r="AU181">
        <f ca="1"/>
      </c>
      <c r="AV181">
        <f ca="1"/>
      </c>
      <c r="AX181">
        <f ca="1"/>
      </c>
      <c r="AY181">
        <f ca="1"/>
      </c>
      <c r="BA181" s="7"/>
      <c r="BC181">
        <f ca="1"/>
      </c>
      <c r="BE181">
        <f ca="1"/>
      </c>
    </row>
    <row r="182" spans="31:73" x14ac:dyDescent="0.55000000000000004">
      <c r="AE182" s="7"/>
      <c r="AT182" s="7"/>
      <c r="AU182">
        <f ca="1"/>
      </c>
      <c r="AV182">
        <f ca="1"/>
      </c>
      <c r="AX182">
        <f ca="1"/>
      </c>
      <c r="AY182">
        <f ca="1"/>
      </c>
      <c r="BA182" s="7"/>
      <c r="BC182">
        <f ca="1"/>
      </c>
      <c r="BE182">
        <f ca="1"/>
      </c>
    </row>
    <row r="183" spans="31:73" x14ac:dyDescent="0.55000000000000004">
      <c r="AE183" s="7"/>
      <c r="AT183" s="7"/>
      <c r="AU183">
        <f ca="1"/>
      </c>
      <c r="AV183">
        <f ca="1"/>
      </c>
      <c r="AX183">
        <f ca="1"/>
      </c>
      <c r="AY183">
        <f ca="1"/>
      </c>
      <c r="BA183" s="7"/>
      <c r="BC183">
        <f ca="1"/>
      </c>
      <c r="BE183">
        <f ca="1"/>
      </c>
    </row>
    <row r="184" spans="31:73" x14ac:dyDescent="0.55000000000000004">
      <c r="AE184" s="7"/>
      <c r="AT184" s="7"/>
      <c r="AU184">
        <f ca="1"/>
      </c>
      <c r="AV184">
        <f ca="1"/>
      </c>
      <c r="AX184">
        <f ca="1"/>
      </c>
      <c r="AY184">
        <f ca="1"/>
      </c>
      <c r="BA184" s="7"/>
      <c r="BC184">
        <f ca="1"/>
      </c>
      <c r="BE184">
        <f ca="1"/>
      </c>
    </row>
    <row r="185" spans="31:73" x14ac:dyDescent="0.55000000000000004">
      <c r="AE185" s="7"/>
      <c r="AT185" s="7"/>
      <c r="AU185">
        <f ca="1"/>
      </c>
      <c r="AV185">
        <f ca="1"/>
      </c>
      <c r="AX185">
        <f ca="1"/>
      </c>
      <c r="AY185">
        <f ca="1"/>
      </c>
      <c r="BA185" s="7"/>
      <c r="BC185">
        <f ca="1"/>
      </c>
      <c r="BE185">
        <f ca="1"/>
      </c>
    </row>
    <row r="186" spans="31:73" x14ac:dyDescent="0.55000000000000004">
      <c r="AE186" s="7"/>
      <c r="AT186" s="7"/>
      <c r="AU186">
        <f ca="1"/>
      </c>
      <c r="AV186">
        <f ca="1"/>
      </c>
      <c r="AX186">
        <f ca="1"/>
      </c>
      <c r="AY186">
        <f ca="1"/>
      </c>
      <c r="BA186" s="7"/>
      <c r="BC186">
        <f ca="1"/>
      </c>
      <c r="BE186">
        <f ca="1"/>
      </c>
    </row>
    <row r="187" spans="31:73" x14ac:dyDescent="0.55000000000000004">
      <c r="AE187" s="7"/>
      <c r="AT187" s="7"/>
      <c r="AU187">
        <f ca="1"/>
      </c>
      <c r="AV187">
        <f ca="1"/>
      </c>
      <c r="AX187">
        <f ca="1"/>
      </c>
      <c r="AY187">
        <f ca="1"/>
      </c>
      <c r="BA187" s="7"/>
      <c r="BC187">
        <f ca="1"/>
      </c>
      <c r="BE187">
        <f ca="1"/>
      </c>
    </row>
    <row r="188" spans="31:73" x14ac:dyDescent="0.55000000000000004">
      <c r="AE188" s="7"/>
      <c r="AT188" s="7"/>
      <c r="AU188">
        <f ca="1"/>
      </c>
      <c r="AV188">
        <f ca="1"/>
      </c>
      <c r="AX188">
        <f ca="1"/>
      </c>
      <c r="AY188">
        <f ca="1"/>
      </c>
      <c r="BA188" s="7"/>
      <c r="BC188">
        <f ca="1"/>
      </c>
      <c r="BE188">
        <f ca="1"/>
      </c>
    </row>
    <row r="189" spans="31:73" x14ac:dyDescent="0.55000000000000004">
      <c r="AE189" s="7"/>
      <c r="AT189" s="7"/>
      <c r="AU189">
        <f ca="1"/>
      </c>
      <c r="AV189">
        <f ca="1"/>
      </c>
      <c r="AX189">
        <f ca="1"/>
      </c>
      <c r="AY189">
        <f ca="1"/>
      </c>
      <c r="BA189" s="7"/>
      <c r="BC189">
        <f ca="1"/>
      </c>
      <c r="BE189">
        <f ca="1"/>
      </c>
    </row>
    <row r="190" spans="31:73" x14ac:dyDescent="0.55000000000000004">
      <c r="AE190" s="7"/>
      <c r="AT190" s="7"/>
      <c r="AU190">
        <f ca="1"/>
      </c>
      <c r="AV190">
        <f ca="1"/>
      </c>
      <c r="AX190">
        <f ca="1"/>
      </c>
      <c r="AY190">
        <f ca="1"/>
      </c>
      <c r="BA190" s="7"/>
      <c r="BC190">
        <f ca="1"/>
      </c>
      <c r="BE190">
        <f ca="1"/>
      </c>
    </row>
    <row r="191" spans="31:73" x14ac:dyDescent="0.55000000000000004">
      <c r="AE191" s="7"/>
      <c r="AT191" s="7"/>
      <c r="AU191">
        <f ca="1"/>
      </c>
      <c r="AV191">
        <f ca="1"/>
      </c>
      <c r="AX191">
        <f ca="1"/>
      </c>
      <c r="AY191">
        <f ca="1"/>
      </c>
      <c r="BA191" s="7"/>
      <c r="BC191">
        <f ca="1"/>
      </c>
      <c r="BE191">
        <f ca="1"/>
      </c>
    </row>
    <row r="192" spans="31:73" x14ac:dyDescent="0.55000000000000004">
      <c r="AE192" s="7"/>
      <c r="AT192" s="7"/>
      <c r="AU192">
        <f ca="1"/>
      </c>
      <c r="AV192">
        <f ca="1"/>
      </c>
      <c r="AX192">
        <f ca="1"/>
      </c>
      <c r="AY192">
        <f ca="1"/>
      </c>
      <c r="BA192" s="7"/>
      <c r="BC192">
        <f ca="1"/>
      </c>
      <c r="BE192">
        <f ca="1"/>
      </c>
    </row>
    <row r="193" spans="31:57" x14ac:dyDescent="0.55000000000000004">
      <c r="AE193" s="7"/>
      <c r="AT193" s="7"/>
      <c r="AU193">
        <f ca="1"/>
      </c>
      <c r="AV193">
        <f ca="1"/>
      </c>
      <c r="AX193">
        <f ca="1"/>
      </c>
      <c r="AY193">
        <f ca="1"/>
      </c>
      <c r="BA193" s="7"/>
      <c r="BC193">
        <f ca="1"/>
      </c>
      <c r="BE193">
        <f ca="1"/>
      </c>
    </row>
    <row r="194" spans="31:57" x14ac:dyDescent="0.55000000000000004">
      <c r="AE194" s="7"/>
      <c r="AT194" s="7"/>
      <c r="AU194">
        <f ca="1"/>
      </c>
      <c r="AV194">
        <f ca="1"/>
      </c>
      <c r="AX194">
        <f ca="1"/>
      </c>
      <c r="AY194">
        <f ca="1"/>
      </c>
      <c r="BA194" s="7"/>
      <c r="BC194">
        <f ca="1"/>
      </c>
      <c r="BE194">
        <f ca="1"/>
      </c>
    </row>
    <row r="195" spans="31:57" x14ac:dyDescent="0.55000000000000004">
      <c r="AE195" s="7"/>
      <c r="AT195" s="7"/>
      <c r="AU195">
        <f ca="1"/>
      </c>
      <c r="AV195">
        <f ca="1"/>
      </c>
      <c r="AX195">
        <f ca="1"/>
      </c>
      <c r="AY195">
        <f ca="1"/>
      </c>
      <c r="BA195" s="7"/>
      <c r="BC195">
        <f ca="1"/>
      </c>
      <c r="BE195">
        <f ca="1"/>
      </c>
    </row>
    <row r="196" spans="31:57" x14ac:dyDescent="0.55000000000000004">
      <c r="AE196" s="7"/>
      <c r="AT196" s="7"/>
      <c r="AU196">
        <f ca="1"/>
      </c>
      <c r="AV196">
        <f ca="1"/>
      </c>
      <c r="AX196">
        <f ca="1"/>
      </c>
      <c r="AY196">
        <f ca="1"/>
      </c>
      <c r="BA196" s="7"/>
      <c r="BC196">
        <f ca="1"/>
      </c>
      <c r="BE196">
        <f ca="1"/>
      </c>
    </row>
    <row r="197" spans="31:57" x14ac:dyDescent="0.55000000000000004">
      <c r="AE197" s="7"/>
      <c r="AT197" s="7"/>
      <c r="AU197">
        <f ca="1"/>
      </c>
      <c r="AV197">
        <f ca="1"/>
      </c>
      <c r="AX197">
        <f ca="1"/>
      </c>
      <c r="AY197">
        <f ca="1"/>
      </c>
      <c r="BA197" s="7"/>
      <c r="BC197">
        <f ca="1"/>
      </c>
      <c r="BE197">
        <f ca="1"/>
      </c>
    </row>
    <row r="198" spans="31:57" x14ac:dyDescent="0.55000000000000004">
      <c r="AE198" s="7"/>
      <c r="AT198" s="7"/>
      <c r="AU198">
        <f ca="1"/>
      </c>
      <c r="AV198">
        <f ca="1"/>
      </c>
      <c r="AX198">
        <f ca="1"/>
      </c>
      <c r="AY198">
        <f ca="1"/>
      </c>
      <c r="BA198" s="7"/>
      <c r="BC198">
        <f ca="1"/>
      </c>
      <c r="BE198">
        <f ca="1"/>
      </c>
    </row>
    <row r="199" spans="31:57" x14ac:dyDescent="0.55000000000000004">
      <c r="AE199" s="7"/>
      <c r="AT199" s="7"/>
      <c r="AU199">
        <f ca="1"/>
      </c>
      <c r="AV199">
        <f ca="1"/>
      </c>
      <c r="AX199">
        <f ca="1"/>
      </c>
      <c r="AY199">
        <f ca="1"/>
      </c>
      <c r="BA199" s="7"/>
      <c r="BC199">
        <f ca="1"/>
      </c>
      <c r="BE199">
        <f ca="1"/>
      </c>
    </row>
    <row r="200" spans="31:57" x14ac:dyDescent="0.55000000000000004">
      <c r="AE200" s="7"/>
      <c r="AT200" s="7"/>
      <c r="AU200">
        <f ca="1"/>
      </c>
      <c r="AV200">
        <f ca="1"/>
      </c>
      <c r="AX200">
        <f ca="1"/>
      </c>
      <c r="AY200">
        <f ca="1"/>
      </c>
      <c r="BA200" s="7"/>
      <c r="BC200">
        <f ca="1"/>
      </c>
      <c r="BE200">
        <f ca="1"/>
      </c>
    </row>
    <row r="201" spans="31:57" x14ac:dyDescent="0.55000000000000004">
      <c r="AE201" s="7"/>
      <c r="AT201" s="7"/>
      <c r="AU201">
        <f ca="1"/>
      </c>
      <c r="AV201">
        <f ca="1"/>
      </c>
      <c r="AX201">
        <f ca="1"/>
      </c>
      <c r="AY201">
        <f ca="1"/>
      </c>
      <c r="BA201" s="7"/>
      <c r="BC201">
        <f ca="1"/>
      </c>
      <c r="BE201">
        <f ca="1"/>
      </c>
    </row>
    <row r="202" spans="31:57" x14ac:dyDescent="0.55000000000000004">
      <c r="AE202" s="7"/>
      <c r="AT202" s="7"/>
      <c r="AU202">
        <f ca="1"/>
      </c>
      <c r="AV202">
        <f ca="1"/>
      </c>
      <c r="AX202">
        <f ca="1"/>
      </c>
      <c r="AY202">
        <f ca="1"/>
      </c>
      <c r="BA202" s="7"/>
      <c r="BC202">
        <f ca="1"/>
      </c>
      <c r="BE202">
        <f ca="1"/>
      </c>
    </row>
    <row r="203" spans="31:57" x14ac:dyDescent="0.55000000000000004">
      <c r="AE203" s="7"/>
      <c r="AT203" s="7"/>
      <c r="AU203">
        <f ca="1"/>
      </c>
      <c r="AV203">
        <f ca="1"/>
      </c>
      <c r="AX203">
        <f ca="1"/>
      </c>
      <c r="AY203">
        <f ca="1"/>
      </c>
      <c r="BA203" s="7"/>
      <c r="BC203">
        <f ca="1"/>
      </c>
      <c r="BE203">
        <f ca="1"/>
      </c>
    </row>
    <row r="204" spans="31:57" x14ac:dyDescent="0.55000000000000004">
      <c r="AE204" s="7"/>
      <c r="AT204" s="7"/>
      <c r="AU204">
        <f ca="1"/>
      </c>
      <c r="AV204">
        <f ca="1"/>
      </c>
      <c r="AX204">
        <f ca="1"/>
      </c>
      <c r="AY204">
        <f ca="1"/>
      </c>
      <c r="BA204" s="7"/>
      <c r="BC204">
        <f ca="1"/>
      </c>
      <c r="BE204">
        <f ca="1"/>
      </c>
    </row>
    <row r="205" spans="31:57" x14ac:dyDescent="0.55000000000000004">
      <c r="AE205" s="7"/>
      <c r="AT205" s="7"/>
      <c r="AU205">
        <f ca="1"/>
      </c>
      <c r="AV205">
        <f ca="1"/>
      </c>
      <c r="AX205">
        <f ca="1"/>
      </c>
      <c r="AY205">
        <f ca="1"/>
      </c>
      <c r="BA205" s="7"/>
      <c r="BC205">
        <f ca="1"/>
      </c>
      <c r="BE205">
        <f ca="1"/>
      </c>
    </row>
    <row r="206" spans="31:57" x14ac:dyDescent="0.55000000000000004">
      <c r="AE206" s="7"/>
      <c r="AT206" s="7"/>
      <c r="AU206">
        <f ca="1"/>
      </c>
      <c r="AV206">
        <f ca="1"/>
      </c>
      <c r="AX206">
        <f ca="1"/>
      </c>
      <c r="AY206">
        <f ca="1"/>
      </c>
      <c r="BA206" s="7"/>
      <c r="BC206">
        <f ca="1"/>
      </c>
      <c r="BE206">
        <f ca="1"/>
      </c>
    </row>
    <row r="207" spans="31:57" x14ac:dyDescent="0.55000000000000004">
      <c r="AE207" s="7"/>
      <c r="AT207" s="7"/>
      <c r="AU207">
        <f ca="1"/>
      </c>
      <c r="AV207">
        <f ca="1"/>
      </c>
      <c r="AX207">
        <f ca="1"/>
      </c>
      <c r="AY207">
        <f ca="1"/>
      </c>
      <c r="BA207" s="7"/>
      <c r="BC207">
        <f ca="1"/>
      </c>
      <c r="BE207">
        <f ca="1"/>
      </c>
    </row>
    <row r="208" spans="31:57" x14ac:dyDescent="0.55000000000000004">
      <c r="AE208" s="7"/>
      <c r="AT208" s="7"/>
      <c r="AU208">
        <f ca="1"/>
      </c>
      <c r="AV208">
        <f ca="1"/>
      </c>
      <c r="AX208">
        <f ca="1"/>
      </c>
      <c r="AY208">
        <f ca="1"/>
      </c>
      <c r="BA208" s="7"/>
      <c r="BC208">
        <f ca="1"/>
      </c>
      <c r="BE208">
        <f ca="1"/>
      </c>
    </row>
    <row r="209" spans="31:57" x14ac:dyDescent="0.55000000000000004">
      <c r="AE209" s="7"/>
      <c r="AT209" s="7"/>
      <c r="AU209">
        <f ca="1"/>
      </c>
      <c r="AV209">
        <f ca="1"/>
      </c>
      <c r="AX209">
        <f ca="1"/>
      </c>
      <c r="AY209">
        <f ca="1"/>
      </c>
      <c r="BA209" s="7"/>
      <c r="BC209">
        <f ca="1"/>
      </c>
      <c r="BE209">
        <f ca="1"/>
      </c>
    </row>
    <row r="210" spans="31:57" x14ac:dyDescent="0.55000000000000004">
      <c r="AE210" s="7"/>
      <c r="AT210" s="7"/>
      <c r="AU210">
        <f ca="1"/>
      </c>
      <c r="AV210">
        <f ca="1"/>
      </c>
      <c r="AX210">
        <f ca="1"/>
      </c>
      <c r="AY210">
        <f ca="1"/>
      </c>
      <c r="BA210" s="7"/>
      <c r="BC210">
        <f ca="1"/>
      </c>
      <c r="BE210">
        <f ca="1"/>
      </c>
    </row>
    <row r="211" spans="31:57" x14ac:dyDescent="0.55000000000000004">
      <c r="AE211" s="7"/>
      <c r="AT211" s="7"/>
      <c r="AU211">
        <f ca="1"/>
      </c>
      <c r="AV211">
        <f ca="1"/>
      </c>
      <c r="AX211">
        <f ca="1"/>
      </c>
      <c r="AY211">
        <f ca="1"/>
      </c>
      <c r="BA211" s="7"/>
      <c r="BC211">
        <f ca="1"/>
      </c>
      <c r="BE211">
        <f ca="1"/>
      </c>
    </row>
    <row r="212" spans="31:57" x14ac:dyDescent="0.55000000000000004">
      <c r="AE212" s="7"/>
      <c r="AT212" s="7"/>
      <c r="AU212">
        <f ca="1"/>
      </c>
      <c r="AV212">
        <f ca="1"/>
      </c>
      <c r="AX212">
        <f ca="1"/>
      </c>
      <c r="AY212">
        <f ca="1"/>
      </c>
      <c r="BA212" s="7"/>
      <c r="BC212">
        <f ca="1"/>
      </c>
      <c r="BE212">
        <f ca="1"/>
      </c>
    </row>
    <row r="213" spans="31:57" x14ac:dyDescent="0.55000000000000004">
      <c r="AE213" s="7"/>
      <c r="AT213" s="7"/>
      <c r="AU213">
        <f ca="1"/>
      </c>
      <c r="AV213">
        <f ca="1"/>
      </c>
      <c r="AX213">
        <f ca="1"/>
      </c>
      <c r="AY213">
        <f ca="1"/>
      </c>
      <c r="BA213" s="7"/>
      <c r="BC213">
        <f ca="1"/>
      </c>
      <c r="BE213">
        <f ca="1"/>
      </c>
    </row>
    <row r="214" spans="31:57" x14ac:dyDescent="0.55000000000000004">
      <c r="AE214" s="7"/>
      <c r="AT214" s="7"/>
      <c r="AU214">
        <f ca="1"/>
      </c>
      <c r="AV214">
        <f ca="1"/>
      </c>
      <c r="AX214">
        <f ca="1"/>
      </c>
      <c r="AY214">
        <f ca="1"/>
      </c>
      <c r="BA214" s="7"/>
      <c r="BC214">
        <f ca="1"/>
      </c>
      <c r="BE214">
        <f ca="1"/>
      </c>
    </row>
    <row r="215" spans="31:57" x14ac:dyDescent="0.55000000000000004">
      <c r="AE215" s="7"/>
      <c r="AT215" s="7"/>
      <c r="AU215">
        <f ca="1"/>
      </c>
      <c r="AV215">
        <f ca="1"/>
      </c>
      <c r="AX215">
        <f ca="1"/>
      </c>
      <c r="AY215">
        <f ca="1"/>
      </c>
      <c r="BA215" s="7"/>
      <c r="BC215">
        <f ca="1"/>
      </c>
      <c r="BE215">
        <f ca="1"/>
      </c>
    </row>
    <row r="216" spans="31:57" x14ac:dyDescent="0.55000000000000004">
      <c r="AE216" s="7"/>
      <c r="AT216" s="7"/>
      <c r="AU216">
        <f ca="1"/>
      </c>
      <c r="AV216">
        <f ca="1"/>
      </c>
      <c r="AX216">
        <f ca="1"/>
      </c>
      <c r="AY216">
        <f ca="1"/>
      </c>
      <c r="BA216" s="7"/>
      <c r="BC216">
        <f ca="1"/>
      </c>
      <c r="BE216">
        <f ca="1"/>
      </c>
    </row>
    <row r="217" spans="31:57" x14ac:dyDescent="0.55000000000000004">
      <c r="AE217" s="7"/>
      <c r="AT217" s="7"/>
      <c r="AU217">
        <f ca="1"/>
      </c>
      <c r="AV217">
        <f ca="1"/>
      </c>
      <c r="AX217">
        <f ca="1"/>
      </c>
      <c r="AY217">
        <f ca="1"/>
      </c>
      <c r="BA217" s="7"/>
      <c r="BC217">
        <f ca="1"/>
      </c>
      <c r="BE217">
        <f ca="1"/>
      </c>
    </row>
    <row r="218" spans="31:57" x14ac:dyDescent="0.55000000000000004">
      <c r="AE218" s="7"/>
      <c r="AT218" s="7"/>
      <c r="AU218">
        <f ca="1"/>
      </c>
      <c r="AV218">
        <f ca="1"/>
      </c>
      <c r="AX218">
        <f ca="1"/>
      </c>
      <c r="AY218">
        <f ca="1"/>
      </c>
      <c r="BA218" s="7"/>
      <c r="BC218">
        <f ca="1"/>
      </c>
      <c r="BE218">
        <f ca="1"/>
      </c>
    </row>
    <row r="219" spans="31:57" x14ac:dyDescent="0.55000000000000004">
      <c r="AE219" s="7"/>
      <c r="AT219" s="7"/>
      <c r="AU219">
        <f ca="1"/>
      </c>
      <c r="AV219">
        <f ca="1"/>
      </c>
      <c r="AX219">
        <f ca="1"/>
      </c>
      <c r="AY219">
        <f ca="1"/>
      </c>
      <c r="BA219" s="7"/>
      <c r="BC219">
        <f ca="1"/>
      </c>
      <c r="BE219">
        <f ca="1"/>
      </c>
    </row>
    <row r="220" spans="31:57" x14ac:dyDescent="0.55000000000000004">
      <c r="AE220" s="7"/>
      <c r="AT220" s="7"/>
      <c r="AU220">
        <f ca="1"/>
      </c>
      <c r="AV220">
        <f ca="1"/>
      </c>
      <c r="AX220">
        <f ca="1"/>
      </c>
      <c r="AY220">
        <f ca="1"/>
      </c>
      <c r="BA220" s="7"/>
      <c r="BC220">
        <f ca="1"/>
      </c>
      <c r="BE220">
        <f ca="1"/>
      </c>
    </row>
    <row r="221" spans="31:57" x14ac:dyDescent="0.55000000000000004">
      <c r="AE221" s="7"/>
      <c r="AT221" s="7"/>
      <c r="AU221">
        <f ca="1"/>
      </c>
      <c r="AV221">
        <f ca="1"/>
      </c>
      <c r="AX221">
        <f ca="1"/>
      </c>
      <c r="AY221">
        <f ca="1"/>
      </c>
      <c r="BA221" s="7"/>
      <c r="BC221">
        <f ca="1"/>
      </c>
      <c r="BE221">
        <f ca="1"/>
      </c>
    </row>
    <row r="222" spans="31:57" x14ac:dyDescent="0.55000000000000004">
      <c r="AE222" s="7"/>
      <c r="AT222" s="7"/>
      <c r="AU222">
        <f ca="1"/>
      </c>
      <c r="AV222">
        <f ca="1"/>
      </c>
      <c r="AX222">
        <f ca="1"/>
      </c>
      <c r="AY222">
        <f ca="1"/>
      </c>
      <c r="BA222" s="7"/>
      <c r="BC222">
        <f ca="1"/>
      </c>
      <c r="BE222">
        <f ca="1"/>
      </c>
    </row>
    <row r="223" spans="31:57" x14ac:dyDescent="0.55000000000000004">
      <c r="AE223" s="7"/>
      <c r="AT223" s="7"/>
      <c r="AU223">
        <f ca="1"/>
      </c>
      <c r="AV223">
        <f ca="1"/>
      </c>
      <c r="AX223">
        <f ca="1"/>
      </c>
      <c r="AY223">
        <f ca="1"/>
      </c>
      <c r="BA223" s="7"/>
      <c r="BC223">
        <f ca="1"/>
      </c>
      <c r="BE223">
        <f ca="1"/>
      </c>
    </row>
    <row r="224" spans="31:57" x14ac:dyDescent="0.55000000000000004">
      <c r="AE224" s="7"/>
      <c r="AT224" s="7"/>
      <c r="AU224">
        <f ca="1"/>
      </c>
      <c r="AV224">
        <f ca="1"/>
      </c>
      <c r="AX224">
        <f ca="1"/>
      </c>
      <c r="AY224">
        <f ca="1"/>
      </c>
      <c r="BA224" s="7"/>
      <c r="BC224">
        <f ca="1"/>
      </c>
      <c r="BE224">
        <f ca="1"/>
      </c>
    </row>
    <row r="225" spans="31:57" x14ac:dyDescent="0.55000000000000004">
      <c r="AE225" s="7"/>
      <c r="AT225" s="7"/>
      <c r="AU225">
        <f ca="1"/>
      </c>
      <c r="AV225">
        <f ca="1"/>
      </c>
      <c r="AX225">
        <f ca="1"/>
      </c>
      <c r="AY225">
        <f ca="1"/>
      </c>
      <c r="BA225" s="7"/>
      <c r="BC225">
        <f ca="1"/>
      </c>
      <c r="BE225">
        <f ca="1"/>
      </c>
    </row>
    <row r="226" spans="31:57" x14ac:dyDescent="0.55000000000000004">
      <c r="AE226" s="7"/>
      <c r="AT226" s="7"/>
      <c r="AU226">
        <f ca="1"/>
      </c>
      <c r="AV226">
        <f ca="1"/>
      </c>
      <c r="AX226">
        <f ca="1"/>
      </c>
      <c r="AY226">
        <f ca="1"/>
      </c>
      <c r="BA226" s="7"/>
      <c r="BC226">
        <f ca="1"/>
      </c>
      <c r="BE226">
        <f ca="1"/>
      </c>
    </row>
    <row r="227" spans="31:57" x14ac:dyDescent="0.55000000000000004">
      <c r="AE227" s="7"/>
      <c r="AT227" s="7"/>
      <c r="AU227">
        <f ca="1"/>
      </c>
      <c r="AV227">
        <f ca="1"/>
      </c>
      <c r="AX227">
        <f ca="1"/>
      </c>
      <c r="AY227">
        <f ca="1"/>
      </c>
      <c r="BA227" s="7"/>
      <c r="BC227">
        <f ca="1"/>
      </c>
      <c r="BE227">
        <f ca="1"/>
      </c>
    </row>
    <row r="228" spans="31:57" x14ac:dyDescent="0.55000000000000004">
      <c r="AE228" s="7"/>
      <c r="AT228" s="7"/>
      <c r="AU228">
        <f ca="1"/>
      </c>
      <c r="AV228">
        <f ca="1"/>
      </c>
      <c r="AX228">
        <f ca="1"/>
      </c>
      <c r="AY228">
        <f ca="1"/>
      </c>
      <c r="BA228" s="7"/>
      <c r="BC228">
        <f ca="1"/>
      </c>
      <c r="BE228">
        <f ca="1"/>
      </c>
    </row>
    <row r="229" spans="31:57" x14ac:dyDescent="0.55000000000000004">
      <c r="AE229" s="7"/>
      <c r="AT229" s="7"/>
      <c r="AU229">
        <f ca="1"/>
      </c>
      <c r="AV229">
        <f ca="1"/>
      </c>
      <c r="AX229">
        <f ca="1"/>
      </c>
      <c r="AY229">
        <f ca="1"/>
      </c>
      <c r="BA229" s="7"/>
      <c r="BC229">
        <f ca="1"/>
      </c>
      <c r="BE229">
        <f ca="1"/>
      </c>
    </row>
    <row r="230" spans="31:57" x14ac:dyDescent="0.55000000000000004">
      <c r="AE230" s="7"/>
      <c r="AT230" s="7"/>
      <c r="AU230">
        <f ca="1"/>
      </c>
      <c r="AV230">
        <f ca="1"/>
      </c>
      <c r="AX230">
        <f ca="1"/>
      </c>
      <c r="AY230">
        <f ca="1"/>
      </c>
      <c r="BA230" s="7"/>
      <c r="BC230">
        <f ca="1"/>
      </c>
      <c r="BE230">
        <f ca="1"/>
      </c>
    </row>
    <row r="231" spans="31:57" x14ac:dyDescent="0.55000000000000004">
      <c r="AE231" s="7"/>
      <c r="AT231" s="7"/>
      <c r="AU231">
        <f ca="1"/>
      </c>
      <c r="AV231">
        <f ca="1"/>
      </c>
      <c r="AX231">
        <f ca="1"/>
      </c>
      <c r="AY231">
        <f ca="1"/>
      </c>
      <c r="BA231" s="7"/>
      <c r="BC231">
        <f ca="1"/>
      </c>
      <c r="BE231">
        <f ca="1"/>
      </c>
    </row>
    <row r="232" spans="31:57" x14ac:dyDescent="0.55000000000000004">
      <c r="AE232" s="7"/>
      <c r="AT232" s="7"/>
      <c r="AU232">
        <f ca="1"/>
      </c>
      <c r="AV232">
        <f ca="1"/>
      </c>
      <c r="AX232">
        <f ca="1"/>
      </c>
      <c r="AY232">
        <f ca="1"/>
      </c>
      <c r="BA232" s="7"/>
      <c r="BC232">
        <f ca="1"/>
      </c>
      <c r="BE232">
        <f ca="1"/>
      </c>
    </row>
    <row r="233" spans="31:57" x14ac:dyDescent="0.55000000000000004">
      <c r="AE233" s="7"/>
      <c r="AT233" s="7"/>
      <c r="AU233">
        <f ca="1"/>
      </c>
      <c r="AV233">
        <f ca="1"/>
      </c>
      <c r="AX233">
        <f ca="1"/>
      </c>
      <c r="AY233">
        <f ca="1"/>
      </c>
      <c r="BA233" s="7"/>
      <c r="BC233">
        <f ca="1"/>
      </c>
      <c r="BE233">
        <f ca="1"/>
      </c>
    </row>
    <row r="234" spans="31:57" x14ac:dyDescent="0.55000000000000004">
      <c r="AE234" s="7"/>
      <c r="AT234" s="7"/>
      <c r="AU234">
        <f ca="1"/>
      </c>
      <c r="AV234">
        <f ca="1"/>
      </c>
      <c r="AX234">
        <f ca="1"/>
      </c>
      <c r="AY234">
        <f ca="1"/>
      </c>
      <c r="BA234" s="7"/>
      <c r="BC234">
        <f ca="1"/>
      </c>
      <c r="BE234">
        <f ca="1"/>
      </c>
    </row>
    <row r="235" spans="31:57" x14ac:dyDescent="0.55000000000000004">
      <c r="AE235" s="7"/>
      <c r="AT235" s="7"/>
      <c r="AU235">
        <f ca="1"/>
      </c>
      <c r="AV235">
        <f ca="1"/>
      </c>
      <c r="AX235">
        <f ca="1"/>
      </c>
      <c r="AY235">
        <f ca="1"/>
      </c>
      <c r="BA235" s="7"/>
      <c r="BC235">
        <f ca="1"/>
      </c>
      <c r="BE235">
        <f ca="1"/>
      </c>
    </row>
    <row r="236" spans="31:57" x14ac:dyDescent="0.55000000000000004">
      <c r="AE236" s="7"/>
      <c r="AT236" s="7"/>
      <c r="AU236">
        <f ca="1"/>
      </c>
      <c r="AV236">
        <f ca="1"/>
      </c>
      <c r="AX236">
        <f ca="1"/>
      </c>
      <c r="AY236">
        <f ca="1"/>
      </c>
      <c r="BA236" s="7"/>
      <c r="BC236">
        <f ca="1"/>
      </c>
      <c r="BE236">
        <f ca="1"/>
      </c>
    </row>
    <row r="237" spans="31:57" x14ac:dyDescent="0.55000000000000004">
      <c r="AE237" s="7"/>
      <c r="AT237" s="7"/>
      <c r="AU237">
        <f ca="1"/>
      </c>
      <c r="AV237">
        <f ca="1"/>
      </c>
      <c r="AX237">
        <f ca="1"/>
      </c>
      <c r="AY237">
        <f ca="1"/>
      </c>
      <c r="BA237" s="7"/>
      <c r="BC237">
        <f ca="1"/>
      </c>
      <c r="BE237">
        <f ca="1"/>
      </c>
    </row>
    <row r="238" spans="31:57" x14ac:dyDescent="0.55000000000000004">
      <c r="AE238" s="7"/>
      <c r="AT238" s="7"/>
      <c r="AU238">
        <f ca="1"/>
      </c>
      <c r="AV238">
        <f ca="1"/>
      </c>
      <c r="AX238">
        <f ca="1"/>
      </c>
      <c r="AY238">
        <f ca="1"/>
      </c>
      <c r="BA238" s="7"/>
      <c r="BC238">
        <f ca="1"/>
      </c>
      <c r="BE238">
        <f ca="1"/>
      </c>
    </row>
    <row r="239" spans="31:57" x14ac:dyDescent="0.55000000000000004">
      <c r="AE239" s="7"/>
      <c r="AT239" s="7"/>
      <c r="AU239">
        <f ca="1"/>
      </c>
      <c r="AV239">
        <f ca="1"/>
      </c>
      <c r="AX239">
        <f ca="1"/>
      </c>
      <c r="AY239">
        <f ca="1"/>
      </c>
      <c r="BA239" s="7"/>
      <c r="BC239">
        <f ca="1"/>
      </c>
      <c r="BE239">
        <f ca="1"/>
      </c>
    </row>
    <row r="240" spans="31:57" x14ac:dyDescent="0.55000000000000004">
      <c r="AE240" s="7"/>
      <c r="AT240" s="7"/>
      <c r="AU240">
        <f ca="1"/>
      </c>
      <c r="AV240">
        <f ca="1"/>
      </c>
      <c r="AX240">
        <f ca="1"/>
      </c>
      <c r="AY240">
        <f ca="1"/>
      </c>
      <c r="BA240" s="7"/>
      <c r="BC240">
        <f ca="1"/>
      </c>
      <c r="BE240">
        <f ca="1"/>
      </c>
    </row>
    <row r="241" spans="31:57" x14ac:dyDescent="0.55000000000000004">
      <c r="AE241" s="7"/>
      <c r="AT241" s="7"/>
      <c r="AU241">
        <f ca="1"/>
      </c>
      <c r="AV241">
        <f ca="1"/>
      </c>
      <c r="AX241">
        <f ca="1"/>
      </c>
      <c r="AY241">
        <f ca="1"/>
      </c>
      <c r="BA241" s="7"/>
      <c r="BC241">
        <f ca="1"/>
      </c>
      <c r="BE241">
        <f ca="1"/>
      </c>
    </row>
    <row r="242" spans="31:57" x14ac:dyDescent="0.55000000000000004">
      <c r="AE242" s="7"/>
      <c r="AT242" s="7"/>
      <c r="AU242">
        <f ca="1"/>
      </c>
      <c r="AV242">
        <f ca="1"/>
      </c>
      <c r="AX242">
        <f ca="1"/>
      </c>
      <c r="AY242">
        <f ca="1"/>
      </c>
      <c r="BA242" s="7"/>
      <c r="BC242">
        <f ca="1"/>
      </c>
      <c r="BE242">
        <f ca="1"/>
      </c>
    </row>
    <row r="243" spans="31:57" x14ac:dyDescent="0.55000000000000004">
      <c r="AE243" s="7"/>
      <c r="AT243" s="7"/>
      <c r="AU243">
        <f ca="1"/>
      </c>
      <c r="AV243">
        <f ca="1"/>
      </c>
      <c r="AX243">
        <f ca="1"/>
      </c>
      <c r="AY243">
        <f ca="1"/>
      </c>
      <c r="BA243" s="7"/>
      <c r="BC243">
        <f ca="1"/>
      </c>
      <c r="BE243">
        <f ca="1"/>
      </c>
    </row>
    <row r="244" spans="31:57" x14ac:dyDescent="0.55000000000000004">
      <c r="AE244" s="7"/>
      <c r="AT244" s="7"/>
      <c r="AU244">
        <f ca="1"/>
      </c>
      <c r="AV244">
        <f ca="1"/>
      </c>
      <c r="AX244">
        <f ca="1"/>
      </c>
      <c r="AY244">
        <f ca="1"/>
      </c>
      <c r="BA244" s="7"/>
      <c r="BC244">
        <f ca="1"/>
      </c>
      <c r="BE244">
        <f ca="1"/>
      </c>
    </row>
    <row r="245" spans="31:57" x14ac:dyDescent="0.55000000000000004">
      <c r="AE245" s="7"/>
      <c r="AT245" s="7"/>
      <c r="AU245">
        <f ca="1"/>
      </c>
      <c r="AV245">
        <f ca="1"/>
      </c>
      <c r="AX245">
        <f ca="1"/>
      </c>
      <c r="AY245">
        <f ca="1"/>
      </c>
      <c r="BA245" s="7"/>
      <c r="BC245">
        <f ca="1"/>
      </c>
      <c r="BE245">
        <f ca="1"/>
      </c>
    </row>
    <row r="246" spans="31:57" x14ac:dyDescent="0.55000000000000004">
      <c r="AE246" s="7"/>
      <c r="AT246" s="7"/>
      <c r="AU246">
        <f ca="1"/>
      </c>
      <c r="AV246">
        <f ca="1"/>
      </c>
      <c r="AX246">
        <f ca="1"/>
      </c>
      <c r="AY246">
        <f ca="1"/>
      </c>
      <c r="BA246" s="7"/>
      <c r="BC246">
        <f ca="1"/>
      </c>
      <c r="BE246">
        <f ca="1"/>
      </c>
    </row>
    <row r="247" spans="31:57" x14ac:dyDescent="0.55000000000000004">
      <c r="AE247" s="7"/>
      <c r="AT247" s="7"/>
      <c r="AU247">
        <f ca="1"/>
      </c>
      <c r="AV247">
        <f ca="1"/>
      </c>
      <c r="AX247">
        <f ca="1"/>
      </c>
      <c r="AY247">
        <f ca="1"/>
      </c>
      <c r="BA247" s="7"/>
      <c r="BC247">
        <f ca="1"/>
      </c>
      <c r="BE247">
        <f ca="1"/>
      </c>
    </row>
    <row r="248" spans="31:57" x14ac:dyDescent="0.55000000000000004">
      <c r="AE248" s="7"/>
      <c r="AT248" s="7"/>
      <c r="AU248">
        <f ca="1"/>
      </c>
      <c r="AV248">
        <f ca="1"/>
      </c>
      <c r="AX248">
        <f ca="1"/>
      </c>
      <c r="AY248">
        <f ca="1"/>
      </c>
      <c r="BA248" s="7"/>
      <c r="BC248">
        <f ca="1"/>
      </c>
      <c r="BE248">
        <f ca="1"/>
      </c>
    </row>
    <row r="249" spans="31:57" x14ac:dyDescent="0.55000000000000004">
      <c r="AE249" s="7"/>
      <c r="AT249" s="7"/>
      <c r="AU249">
        <f ca="1"/>
      </c>
      <c r="AV249">
        <f ca="1"/>
      </c>
      <c r="AX249">
        <f ca="1"/>
      </c>
      <c r="AY249">
        <f ca="1"/>
      </c>
      <c r="BA249" s="7"/>
      <c r="BC249">
        <f ca="1"/>
      </c>
      <c r="BE249">
        <f ca="1"/>
      </c>
    </row>
    <row r="250" spans="31:57" x14ac:dyDescent="0.55000000000000004">
      <c r="AE250" s="7"/>
      <c r="AT250" s="7"/>
      <c r="AU250">
        <f ca="1"/>
      </c>
      <c r="AV250">
        <f ca="1"/>
      </c>
      <c r="AX250">
        <f ca="1"/>
      </c>
      <c r="AY250">
        <f ca="1"/>
      </c>
      <c r="BA250" s="7"/>
      <c r="BC250">
        <f ca="1"/>
      </c>
      <c r="BE250">
        <f ca="1"/>
      </c>
    </row>
    <row r="251" spans="31:57" x14ac:dyDescent="0.55000000000000004">
      <c r="AE251" s="7"/>
      <c r="AT251" s="7"/>
      <c r="AU251">
        <f ca="1"/>
      </c>
      <c r="AV251">
        <f ca="1"/>
      </c>
      <c r="AX251">
        <f ca="1"/>
      </c>
      <c r="AY251">
        <f ca="1"/>
      </c>
      <c r="BA251" s="7"/>
      <c r="BC251">
        <f ca="1"/>
      </c>
      <c r="BE251">
        <f ca="1"/>
      </c>
    </row>
    <row r="252" spans="31:57" x14ac:dyDescent="0.55000000000000004">
      <c r="AE252" s="7"/>
      <c r="AT252" s="7"/>
      <c r="AU252">
        <f ca="1"/>
      </c>
      <c r="AV252">
        <f ca="1"/>
      </c>
      <c r="AX252">
        <f ca="1"/>
      </c>
      <c r="AY252">
        <f ca="1"/>
      </c>
      <c r="BA252" s="7"/>
      <c r="BC252">
        <f ca="1"/>
      </c>
      <c r="BE252">
        <f ca="1"/>
      </c>
    </row>
    <row r="253" spans="31:57" x14ac:dyDescent="0.55000000000000004">
      <c r="AE253" s="7"/>
      <c r="AT253" s="7"/>
      <c r="AU253">
        <f ca="1"/>
      </c>
      <c r="AV253">
        <f ca="1"/>
      </c>
      <c r="AX253">
        <f ca="1"/>
      </c>
      <c r="AY253">
        <f ca="1"/>
      </c>
      <c r="BA253" s="7"/>
      <c r="BC253">
        <f ca="1"/>
      </c>
      <c r="BE253">
        <f ca="1"/>
      </c>
    </row>
    <row r="254" spans="31:57" x14ac:dyDescent="0.55000000000000004">
      <c r="AE254" s="7"/>
      <c r="AT254" s="7"/>
      <c r="AU254">
        <f ca="1"/>
      </c>
      <c r="AV254">
        <f ca="1"/>
      </c>
      <c r="AX254">
        <f ca="1"/>
      </c>
      <c r="AY254">
        <f ca="1"/>
      </c>
      <c r="BA254" s="7"/>
      <c r="BC254">
        <f ca="1"/>
      </c>
      <c r="BE254">
        <f ca="1"/>
      </c>
    </row>
    <row r="255" spans="31:57" x14ac:dyDescent="0.55000000000000004">
      <c r="AE255" s="7"/>
      <c r="AT255" s="7"/>
      <c r="AU255">
        <f ca="1"/>
      </c>
      <c r="AV255">
        <f ca="1"/>
      </c>
      <c r="AX255">
        <f ca="1"/>
      </c>
      <c r="AY255">
        <f ca="1"/>
      </c>
      <c r="BA255" s="7"/>
      <c r="BC255">
        <f ca="1"/>
      </c>
      <c r="BE255">
        <f ca="1"/>
      </c>
    </row>
    <row r="256" spans="31:57" x14ac:dyDescent="0.55000000000000004">
      <c r="AE256" s="7"/>
      <c r="AT256" s="7"/>
      <c r="AU256">
        <f ca="1"/>
      </c>
      <c r="AV256">
        <f ca="1"/>
      </c>
      <c r="AX256">
        <f ca="1"/>
      </c>
      <c r="AY256">
        <f ca="1"/>
      </c>
      <c r="BA256" s="7"/>
      <c r="BC256">
        <f ca="1"/>
      </c>
      <c r="BE256">
        <f ca="1"/>
      </c>
    </row>
    <row r="257" spans="31:57" x14ac:dyDescent="0.55000000000000004">
      <c r="AE257" s="7"/>
      <c r="AT257" s="7"/>
      <c r="AU257">
        <f ca="1"/>
      </c>
      <c r="AV257">
        <f ca="1"/>
      </c>
      <c r="AX257">
        <f ca="1"/>
      </c>
      <c r="AY257">
        <f ca="1"/>
      </c>
      <c r="BA257" s="7"/>
      <c r="BC257">
        <f ca="1"/>
      </c>
      <c r="BE257">
        <f ca="1"/>
      </c>
    </row>
    <row r="258" spans="31:57" x14ac:dyDescent="0.55000000000000004">
      <c r="AE258" s="7"/>
      <c r="AT258" s="7"/>
      <c r="AU258">
        <f ca="1"/>
      </c>
      <c r="AV258">
        <f ca="1"/>
      </c>
      <c r="AX258">
        <f ca="1"/>
      </c>
      <c r="AY258">
        <f ca="1"/>
      </c>
      <c r="BA258" s="7"/>
      <c r="BC258">
        <f ca="1"/>
      </c>
      <c r="BE258">
        <f ca="1"/>
      </c>
    </row>
    <row r="259" spans="31:57" x14ac:dyDescent="0.55000000000000004">
      <c r="AE259" s="7"/>
      <c r="AT259" s="7"/>
      <c r="AU259">
        <f ca="1"/>
      </c>
      <c r="AV259">
        <f ca="1"/>
      </c>
      <c r="AX259">
        <f ca="1"/>
      </c>
      <c r="AY259">
        <f ca="1"/>
      </c>
      <c r="BA259" s="7"/>
      <c r="BC259">
        <f ca="1"/>
      </c>
      <c r="BE259">
        <f ca="1"/>
      </c>
    </row>
    <row r="260" spans="31:57" x14ac:dyDescent="0.55000000000000004">
      <c r="AE260" s="7"/>
      <c r="AT260" s="7"/>
      <c r="AU260">
        <f ca="1"/>
      </c>
      <c r="AV260">
        <f ca="1"/>
      </c>
      <c r="AX260">
        <f ca="1"/>
      </c>
      <c r="AY260">
        <f ca="1"/>
      </c>
      <c r="BA260" s="7"/>
      <c r="BC260">
        <f ca="1"/>
      </c>
      <c r="BE260">
        <f ca="1"/>
      </c>
    </row>
    <row r="261" spans="31:57" x14ac:dyDescent="0.55000000000000004">
      <c r="AE261" s="7"/>
      <c r="AT261" s="7"/>
      <c r="AU261">
        <f ca="1"/>
      </c>
      <c r="AV261">
        <f ca="1"/>
      </c>
      <c r="AX261">
        <f ca="1"/>
      </c>
      <c r="AY261">
        <f ca="1"/>
      </c>
      <c r="BA261" s="7"/>
      <c r="BC261">
        <f ca="1"/>
      </c>
      <c r="BE261">
        <f ca="1"/>
      </c>
    </row>
    <row r="262" spans="31:57" x14ac:dyDescent="0.55000000000000004">
      <c r="AE262" s="7"/>
      <c r="AT262" s="7"/>
      <c r="AU262">
        <f ca="1"/>
      </c>
      <c r="AV262">
        <f ca="1"/>
      </c>
      <c r="AX262">
        <f ca="1"/>
      </c>
      <c r="AY262">
        <f ca="1"/>
      </c>
      <c r="BA262" s="7"/>
      <c r="BC262">
        <f ca="1"/>
      </c>
      <c r="BE262">
        <f ca="1"/>
      </c>
    </row>
    <row r="263" spans="31:57" x14ac:dyDescent="0.55000000000000004">
      <c r="AE263" s="7"/>
      <c r="AT263" s="7"/>
      <c r="AU263">
        <f ca="1"/>
      </c>
      <c r="AV263">
        <f ca="1"/>
      </c>
      <c r="AX263">
        <f ca="1"/>
      </c>
      <c r="AY263">
        <f ca="1"/>
      </c>
      <c r="BA263" s="7"/>
      <c r="BC263">
        <f ca="1"/>
      </c>
      <c r="BE263">
        <f ca="1"/>
      </c>
    </row>
    <row r="264" spans="31:57" x14ac:dyDescent="0.55000000000000004">
      <c r="AE264" s="7"/>
      <c r="AT264" s="7"/>
      <c r="AU264">
        <f ca="1"/>
      </c>
      <c r="AV264">
        <f ca="1"/>
      </c>
      <c r="AX264">
        <f ca="1"/>
      </c>
      <c r="AY264">
        <f ca="1"/>
      </c>
      <c r="BA264" s="7"/>
      <c r="BC264">
        <f ca="1"/>
      </c>
      <c r="BE264">
        <f ca="1"/>
      </c>
    </row>
    <row r="265" spans="31:57" x14ac:dyDescent="0.55000000000000004">
      <c r="AE265" s="7"/>
      <c r="AT265" s="7"/>
      <c r="AU265">
        <f ca="1"/>
      </c>
      <c r="AV265">
        <f ca="1"/>
      </c>
      <c r="AX265">
        <f ca="1"/>
      </c>
      <c r="AY265">
        <f ca="1"/>
      </c>
      <c r="BA265" s="7"/>
      <c r="BC265">
        <f ca="1"/>
      </c>
      <c r="BE265">
        <f ca="1"/>
      </c>
    </row>
    <row r="266" spans="31:57" x14ac:dyDescent="0.55000000000000004">
      <c r="AE266" s="7"/>
      <c r="AT266" s="7"/>
      <c r="AU266">
        <f ca="1"/>
      </c>
      <c r="AV266">
        <f ca="1"/>
      </c>
      <c r="AX266">
        <f ca="1"/>
      </c>
      <c r="AY266">
        <f ca="1"/>
      </c>
      <c r="BA266" s="7"/>
      <c r="BC266">
        <f ca="1"/>
      </c>
      <c r="BE266">
        <f ca="1"/>
      </c>
    </row>
    <row r="267" spans="31:57" x14ac:dyDescent="0.55000000000000004">
      <c r="AE267" s="7"/>
      <c r="AT267" s="7"/>
      <c r="AU267">
        <f ca="1"/>
      </c>
      <c r="AV267">
        <f ca="1"/>
      </c>
      <c r="AX267">
        <f ca="1"/>
      </c>
      <c r="AY267">
        <f ca="1"/>
      </c>
      <c r="BA267" s="7"/>
      <c r="BC267">
        <f ca="1"/>
      </c>
      <c r="BE267">
        <f ca="1"/>
      </c>
    </row>
    <row r="268" spans="31:57" x14ac:dyDescent="0.55000000000000004">
      <c r="AE268" s="7"/>
      <c r="AT268" s="7"/>
      <c r="AU268">
        <f ca="1"/>
      </c>
      <c r="AV268">
        <f ca="1"/>
      </c>
      <c r="AX268">
        <f ca="1"/>
      </c>
      <c r="AY268">
        <f ca="1"/>
      </c>
      <c r="BA268" s="7"/>
      <c r="BC268">
        <f ca="1"/>
      </c>
      <c r="BE268">
        <f ca="1"/>
      </c>
    </row>
    <row r="269" spans="31:57" x14ac:dyDescent="0.55000000000000004">
      <c r="AE269" s="7"/>
      <c r="AT269" s="7"/>
      <c r="AU269">
        <f ca="1"/>
      </c>
      <c r="AV269">
        <f ca="1"/>
      </c>
      <c r="AX269">
        <f ca="1"/>
      </c>
      <c r="AY269">
        <f ca="1"/>
      </c>
      <c r="BA269" s="7"/>
      <c r="BC269">
        <f ca="1"/>
      </c>
      <c r="BE269">
        <f ca="1"/>
      </c>
    </row>
    <row r="270" spans="31:57" x14ac:dyDescent="0.55000000000000004">
      <c r="AE270" s="7"/>
      <c r="AT270" s="7"/>
      <c r="AU270">
        <f ca="1"/>
      </c>
      <c r="AV270">
        <f ca="1"/>
      </c>
      <c r="AX270">
        <f ca="1"/>
      </c>
      <c r="AY270">
        <f ca="1"/>
      </c>
      <c r="BA270" s="7"/>
      <c r="BC270">
        <f ca="1"/>
      </c>
      <c r="BE270">
        <f ca="1"/>
      </c>
    </row>
    <row r="271" spans="31:57" x14ac:dyDescent="0.55000000000000004">
      <c r="AE271" s="7"/>
      <c r="AT271" s="7"/>
      <c r="AU271">
        <f ca="1"/>
      </c>
      <c r="AV271">
        <f ca="1"/>
      </c>
      <c r="AX271">
        <f ca="1"/>
      </c>
      <c r="AY271">
        <f ca="1"/>
      </c>
      <c r="BA271" s="7"/>
      <c r="BC271">
        <f ca="1"/>
      </c>
      <c r="BE271">
        <f ca="1"/>
      </c>
    </row>
    <row r="272" spans="31:57" x14ac:dyDescent="0.55000000000000004">
      <c r="AE272" s="7"/>
      <c r="AT272" s="7"/>
      <c r="AU272">
        <f ca="1"/>
      </c>
      <c r="AV272">
        <f ca="1"/>
      </c>
      <c r="AX272">
        <f ca="1"/>
      </c>
      <c r="AY272">
        <f ca="1"/>
      </c>
      <c r="BA272" s="7"/>
      <c r="BC272">
        <f ca="1"/>
      </c>
      <c r="BE272">
        <f ca="1"/>
      </c>
    </row>
    <row r="273" spans="31:57" x14ac:dyDescent="0.55000000000000004">
      <c r="AE273" s="7"/>
      <c r="AT273" s="7"/>
      <c r="AU273">
        <f ca="1"/>
      </c>
      <c r="AV273">
        <f ca="1"/>
      </c>
      <c r="AX273">
        <f ca="1"/>
      </c>
      <c r="AY273">
        <f ca="1"/>
      </c>
      <c r="BA273" s="7"/>
      <c r="BC273">
        <f ca="1"/>
      </c>
      <c r="BE273">
        <f ca="1"/>
      </c>
    </row>
    <row r="274" spans="31:57" x14ac:dyDescent="0.55000000000000004">
      <c r="AE274" s="7"/>
      <c r="AT274" s="7"/>
      <c r="AU274">
        <f ca="1"/>
      </c>
      <c r="AV274">
        <f ca="1"/>
      </c>
      <c r="AX274">
        <f ca="1"/>
      </c>
      <c r="AY274">
        <f ca="1"/>
      </c>
      <c r="BA274" s="7"/>
      <c r="BC274">
        <f ca="1"/>
      </c>
      <c r="BE274">
        <f ca="1"/>
      </c>
    </row>
    <row r="275" spans="31:57" x14ac:dyDescent="0.55000000000000004">
      <c r="AE275" s="7"/>
      <c r="AT275" s="7"/>
      <c r="AU275">
        <f ca="1"/>
      </c>
      <c r="AV275">
        <f ca="1"/>
      </c>
      <c r="AX275">
        <f ca="1"/>
      </c>
      <c r="AY275">
        <f ca="1"/>
      </c>
      <c r="BA275" s="7"/>
      <c r="BC275">
        <f ca="1"/>
      </c>
      <c r="BE275">
        <f ca="1"/>
      </c>
    </row>
    <row r="276" spans="31:57" x14ac:dyDescent="0.55000000000000004">
      <c r="AE276" s="7"/>
      <c r="AT276" s="7"/>
      <c r="AU276">
        <f ca="1"/>
      </c>
      <c r="AV276">
        <f ca="1"/>
      </c>
      <c r="AX276">
        <f ca="1"/>
      </c>
      <c r="AY276">
        <f ca="1"/>
      </c>
      <c r="BA276" s="7"/>
      <c r="BC276">
        <f ca="1"/>
      </c>
      <c r="BE276">
        <f ca="1"/>
      </c>
    </row>
    <row r="277" spans="31:57" x14ac:dyDescent="0.55000000000000004">
      <c r="AE277" s="7"/>
      <c r="AT277" s="7"/>
      <c r="AU277">
        <f ca="1"/>
      </c>
      <c r="AV277">
        <f ca="1"/>
      </c>
      <c r="AX277">
        <f ca="1"/>
      </c>
      <c r="AY277">
        <f ca="1"/>
      </c>
      <c r="BA277" s="7"/>
      <c r="BC277">
        <f ca="1"/>
      </c>
      <c r="BE277">
        <f ca="1"/>
      </c>
    </row>
    <row r="278" spans="31:57" x14ac:dyDescent="0.55000000000000004">
      <c r="AE278" s="7"/>
      <c r="AT278" s="7"/>
      <c r="AU278">
        <f ca="1"/>
      </c>
      <c r="AV278">
        <f ca="1"/>
      </c>
      <c r="AX278">
        <f ca="1"/>
      </c>
      <c r="AY278">
        <f ca="1"/>
      </c>
      <c r="BA278" s="7"/>
      <c r="BC278">
        <f ca="1"/>
      </c>
      <c r="BE278">
        <f ca="1"/>
      </c>
    </row>
    <row r="279" spans="31:57" x14ac:dyDescent="0.55000000000000004">
      <c r="AE279" s="7"/>
      <c r="AT279" s="7"/>
      <c r="AU279">
        <f ca="1"/>
      </c>
      <c r="AV279">
        <f ca="1"/>
      </c>
      <c r="AX279">
        <f ca="1"/>
      </c>
      <c r="AY279">
        <f ca="1"/>
      </c>
      <c r="BA279" s="7"/>
      <c r="BC279">
        <f ca="1"/>
      </c>
      <c r="BE279">
        <f ca="1"/>
      </c>
    </row>
    <row r="280" spans="31:57" x14ac:dyDescent="0.55000000000000004">
      <c r="AE280" s="7"/>
      <c r="AT280" s="7"/>
      <c r="AU280">
        <f ca="1"/>
      </c>
      <c r="AV280">
        <f ca="1"/>
      </c>
      <c r="AX280">
        <f ca="1"/>
      </c>
      <c r="AY280">
        <f ca="1"/>
      </c>
      <c r="BA280" s="7"/>
      <c r="BC280">
        <f ca="1"/>
      </c>
      <c r="BE280">
        <f ca="1"/>
      </c>
    </row>
    <row r="281" spans="31:57" x14ac:dyDescent="0.55000000000000004">
      <c r="AE281" s="7"/>
      <c r="AT281" s="7"/>
      <c r="AU281">
        <f ca="1"/>
      </c>
      <c r="AV281">
        <f ca="1"/>
      </c>
      <c r="AX281">
        <f ca="1"/>
      </c>
      <c r="AY281">
        <f ca="1"/>
      </c>
      <c r="BA281" s="7"/>
      <c r="BC281">
        <f ca="1"/>
      </c>
      <c r="BE281">
        <f ca="1"/>
      </c>
    </row>
    <row r="282" spans="31:57" x14ac:dyDescent="0.55000000000000004">
      <c r="AE282" s="7"/>
      <c r="AT282" s="7"/>
      <c r="AU282">
        <f ca="1"/>
      </c>
      <c r="AV282">
        <f ca="1"/>
      </c>
      <c r="AX282">
        <f ca="1"/>
      </c>
      <c r="AY282">
        <f ca="1"/>
      </c>
      <c r="BA282" s="7"/>
      <c r="BC282">
        <f ca="1"/>
      </c>
      <c r="BE282">
        <f ca="1"/>
      </c>
    </row>
    <row r="283" spans="31:57" x14ac:dyDescent="0.55000000000000004">
      <c r="AE283" s="7"/>
      <c r="AT283" s="7"/>
      <c r="AU283">
        <f ca="1"/>
      </c>
      <c r="AV283">
        <f ca="1"/>
      </c>
      <c r="AX283">
        <f ca="1"/>
      </c>
      <c r="AY283">
        <f ca="1"/>
      </c>
      <c r="BA283" s="7"/>
      <c r="BC283">
        <f ca="1"/>
      </c>
      <c r="BE283">
        <f ca="1"/>
      </c>
    </row>
    <row r="284" spans="31:57" x14ac:dyDescent="0.55000000000000004">
      <c r="AE284" s="7"/>
      <c r="AT284" s="7"/>
      <c r="AU284">
        <f ca="1"/>
      </c>
      <c r="AV284">
        <f ca="1"/>
      </c>
      <c r="AX284">
        <f ca="1"/>
      </c>
      <c r="AY284">
        <f ca="1"/>
      </c>
      <c r="BA284" s="7"/>
      <c r="BC284">
        <f ca="1"/>
      </c>
      <c r="BE284">
        <f ca="1"/>
      </c>
    </row>
    <row r="285" spans="31:57" x14ac:dyDescent="0.55000000000000004">
      <c r="AE285" s="7"/>
      <c r="AT285" s="7"/>
      <c r="AU285">
        <f ca="1"/>
      </c>
      <c r="AV285">
        <f ca="1"/>
      </c>
      <c r="AX285">
        <f ca="1"/>
      </c>
      <c r="AY285">
        <f ca="1"/>
      </c>
      <c r="BA285" s="7"/>
      <c r="BC285">
        <f ca="1"/>
      </c>
      <c r="BE285">
        <f ca="1"/>
      </c>
    </row>
    <row r="286" spans="31:57" x14ac:dyDescent="0.55000000000000004">
      <c r="AE286" s="7"/>
      <c r="AT286" s="7"/>
      <c r="AU286">
        <f ca="1"/>
      </c>
      <c r="AV286">
        <f ca="1"/>
      </c>
      <c r="AX286">
        <f ca="1"/>
      </c>
      <c r="AY286">
        <f ca="1"/>
      </c>
      <c r="BA286" s="7"/>
      <c r="BC286">
        <f ca="1"/>
      </c>
      <c r="BE286">
        <f ca="1"/>
      </c>
    </row>
    <row r="287" spans="31:57" x14ac:dyDescent="0.55000000000000004">
      <c r="AE287" s="7"/>
      <c r="AT287" s="7"/>
      <c r="AU287">
        <f ca="1"/>
      </c>
      <c r="AV287">
        <f ca="1"/>
      </c>
      <c r="AX287">
        <f ca="1"/>
      </c>
      <c r="AY287">
        <f ca="1"/>
      </c>
      <c r="BA287" s="7"/>
      <c r="BC287">
        <f ca="1"/>
      </c>
      <c r="BE287">
        <f ca="1"/>
      </c>
    </row>
    <row r="288" spans="31:57" x14ac:dyDescent="0.55000000000000004">
      <c r="AE288" s="7"/>
      <c r="AT288" s="7"/>
      <c r="AU288">
        <f ca="1"/>
      </c>
      <c r="AV288">
        <f ca="1"/>
      </c>
      <c r="AX288">
        <f ca="1"/>
      </c>
      <c r="AY288">
        <f ca="1"/>
      </c>
      <c r="BA288" s="7"/>
      <c r="BC288">
        <f ca="1"/>
      </c>
      <c r="BE288">
        <f ca="1"/>
      </c>
    </row>
    <row r="289" spans="31:57" x14ac:dyDescent="0.55000000000000004">
      <c r="AE289" s="7"/>
      <c r="AT289" s="7"/>
      <c r="AU289">
        <f ca="1"/>
      </c>
      <c r="AV289">
        <f ca="1"/>
      </c>
      <c r="AX289">
        <f ca="1"/>
      </c>
      <c r="AY289">
        <f ca="1"/>
      </c>
      <c r="BA289" s="7"/>
      <c r="BC289">
        <f ca="1"/>
      </c>
      <c r="BE289">
        <f ca="1"/>
      </c>
    </row>
    <row r="290" spans="31:57" x14ac:dyDescent="0.55000000000000004">
      <c r="AE290" s="7"/>
      <c r="AT290" s="7"/>
      <c r="AU290">
        <f ca="1"/>
      </c>
      <c r="AV290">
        <f ca="1"/>
      </c>
      <c r="AX290">
        <f ca="1"/>
      </c>
      <c r="AY290">
        <f ca="1"/>
      </c>
      <c r="BA290" s="7"/>
      <c r="BC290">
        <f ca="1"/>
      </c>
      <c r="BE290">
        <f ca="1"/>
      </c>
    </row>
    <row r="291" spans="31:57" x14ac:dyDescent="0.55000000000000004">
      <c r="AE291" s="7"/>
      <c r="AT291" s="7"/>
      <c r="AU291">
        <f ca="1"/>
      </c>
      <c r="AV291">
        <f ca="1"/>
      </c>
      <c r="AX291">
        <f ca="1"/>
      </c>
      <c r="AY291">
        <f ca="1"/>
      </c>
      <c r="BA291" s="7"/>
      <c r="BC291">
        <f ca="1"/>
      </c>
      <c r="BE291">
        <f ca="1"/>
      </c>
    </row>
    <row r="292" spans="31:57" x14ac:dyDescent="0.55000000000000004">
      <c r="AE292" s="7"/>
      <c r="AT292" s="7"/>
      <c r="AU292">
        <f ca="1"/>
      </c>
      <c r="AV292">
        <f ca="1"/>
      </c>
      <c r="AX292">
        <f ca="1"/>
      </c>
      <c r="AY292">
        <f ca="1"/>
      </c>
      <c r="BA292" s="7"/>
      <c r="BC292">
        <f ca="1"/>
      </c>
      <c r="BE292">
        <f ca="1"/>
      </c>
    </row>
    <row r="293" spans="31:57" x14ac:dyDescent="0.55000000000000004">
      <c r="AE293" s="7"/>
      <c r="AT293" s="7"/>
      <c r="AU293">
        <f ca="1"/>
      </c>
      <c r="AV293">
        <f ca="1"/>
      </c>
      <c r="AX293">
        <f ca="1"/>
      </c>
      <c r="AY293">
        <f ca="1"/>
      </c>
      <c r="BA293" s="7"/>
      <c r="BC293">
        <f ca="1"/>
      </c>
      <c r="BE293">
        <f ca="1"/>
      </c>
    </row>
    <row r="294" spans="31:57" x14ac:dyDescent="0.55000000000000004">
      <c r="AE294" s="7"/>
      <c r="AT294" s="7"/>
      <c r="AU294">
        <f ca="1"/>
      </c>
      <c r="AV294">
        <f ca="1"/>
      </c>
      <c r="AX294">
        <f ca="1"/>
      </c>
      <c r="AY294">
        <f ca="1"/>
      </c>
      <c r="BA294" s="7"/>
      <c r="BC294">
        <f ca="1"/>
      </c>
      <c r="BE294">
        <f ca="1"/>
      </c>
    </row>
    <row r="295" spans="31:57" x14ac:dyDescent="0.55000000000000004">
      <c r="AE295" s="7"/>
      <c r="AT295" s="7"/>
      <c r="AU295">
        <f ca="1"/>
      </c>
      <c r="AV295">
        <f ca="1"/>
      </c>
      <c r="AX295">
        <f ca="1"/>
      </c>
      <c r="AY295">
        <f ca="1"/>
      </c>
      <c r="BA295" s="7"/>
      <c r="BC295">
        <f ca="1"/>
      </c>
      <c r="BE295">
        <f ca="1"/>
      </c>
    </row>
    <row r="296" spans="31:57" x14ac:dyDescent="0.55000000000000004">
      <c r="AE296" s="7"/>
      <c r="AT296" s="7"/>
      <c r="AU296">
        <f ca="1"/>
      </c>
      <c r="AV296">
        <f ca="1"/>
      </c>
      <c r="AX296">
        <f ca="1"/>
      </c>
      <c r="AY296">
        <f ca="1"/>
      </c>
      <c r="BA296" s="7"/>
      <c r="BC296">
        <f ca="1"/>
      </c>
      <c r="BE296">
        <f ca="1"/>
      </c>
    </row>
    <row r="297" spans="31:57" x14ac:dyDescent="0.55000000000000004">
      <c r="AE297" s="7"/>
      <c r="AT297" s="7"/>
      <c r="AU297">
        <f ca="1"/>
      </c>
      <c r="AV297">
        <f ca="1"/>
      </c>
      <c r="AX297">
        <f ca="1"/>
      </c>
      <c r="AY297">
        <f ca="1"/>
      </c>
      <c r="BA297" s="7"/>
      <c r="BC297">
        <f ca="1"/>
      </c>
      <c r="BE297">
        <f ca="1"/>
      </c>
    </row>
    <row r="298" spans="31:57" x14ac:dyDescent="0.55000000000000004">
      <c r="AE298" s="7"/>
      <c r="AT298" s="7"/>
      <c r="AU298">
        <f ca="1"/>
      </c>
      <c r="AV298">
        <f ca="1"/>
      </c>
      <c r="AX298">
        <f ca="1"/>
      </c>
      <c r="AY298">
        <f ca="1"/>
      </c>
      <c r="BA298" s="7"/>
      <c r="BC298">
        <f ca="1"/>
      </c>
      <c r="BE298">
        <f ca="1"/>
      </c>
    </row>
    <row r="299" spans="31:57" x14ac:dyDescent="0.55000000000000004">
      <c r="AE299" s="7"/>
      <c r="AT299" s="7"/>
      <c r="AU299">
        <f ca="1"/>
      </c>
      <c r="AV299">
        <f ca="1"/>
      </c>
      <c r="AX299">
        <f ca="1"/>
      </c>
      <c r="AY299">
        <f ca="1"/>
      </c>
      <c r="BA299" s="7"/>
      <c r="BC299">
        <f ca="1"/>
      </c>
      <c r="BE299">
        <f ca="1"/>
      </c>
    </row>
    <row r="300" spans="31:57" x14ac:dyDescent="0.55000000000000004">
      <c r="AE300" s="7"/>
      <c r="AT300" s="7"/>
      <c r="AU300">
        <f ca="1"/>
      </c>
      <c r="AV300">
        <f ca="1"/>
      </c>
      <c r="AX300">
        <f ca="1"/>
      </c>
      <c r="AY300">
        <f ca="1"/>
      </c>
      <c r="BA300" s="7"/>
      <c r="BC300">
        <f ca="1"/>
      </c>
      <c r="BE300">
        <f ca="1"/>
      </c>
    </row>
    <row r="301" spans="31:57" x14ac:dyDescent="0.55000000000000004">
      <c r="AE301" s="7"/>
      <c r="AT301" s="7"/>
      <c r="AU301">
        <f ca="1"/>
      </c>
      <c r="AV301">
        <f ca="1"/>
      </c>
      <c r="AX301">
        <f ca="1"/>
      </c>
      <c r="AY301">
        <f ca="1"/>
      </c>
      <c r="BA301" s="7"/>
      <c r="BC301">
        <f ca="1"/>
      </c>
      <c r="BE301">
        <f ca="1"/>
      </c>
    </row>
    <row r="302" spans="31:57" x14ac:dyDescent="0.55000000000000004">
      <c r="AE302" s="7"/>
      <c r="AT302" s="7"/>
      <c r="AU302">
        <f ca="1"/>
      </c>
      <c r="AV302">
        <f ca="1"/>
      </c>
      <c r="AX302">
        <f ca="1"/>
      </c>
      <c r="AY302">
        <f ca="1"/>
      </c>
      <c r="BA302" s="7"/>
      <c r="BC302">
        <f ca="1"/>
      </c>
      <c r="BE302">
        <f ca="1"/>
      </c>
    </row>
    <row r="303" spans="31:57" x14ac:dyDescent="0.55000000000000004">
      <c r="AE303" s="7"/>
      <c r="AT303" s="7"/>
      <c r="AU303">
        <f ca="1"/>
      </c>
      <c r="AV303">
        <f ca="1"/>
      </c>
      <c r="AX303">
        <f ca="1"/>
      </c>
      <c r="AY303">
        <f ca="1"/>
      </c>
      <c r="BA303" s="7"/>
      <c r="BC303">
        <f ca="1"/>
      </c>
      <c r="BE303">
        <f ca="1"/>
      </c>
    </row>
    <row r="304" spans="31:57" x14ac:dyDescent="0.55000000000000004">
      <c r="AE304" s="7"/>
      <c r="AT304" s="7"/>
      <c r="AU304">
        <f ca="1"/>
      </c>
      <c r="AV304">
        <f ca="1"/>
      </c>
      <c r="AX304">
        <f ca="1"/>
      </c>
      <c r="AY304">
        <f ca="1"/>
      </c>
      <c r="BA304" s="7"/>
      <c r="BC304">
        <f ca="1"/>
      </c>
      <c r="BE304">
        <f ca="1"/>
      </c>
    </row>
    <row r="305" spans="31:57" x14ac:dyDescent="0.55000000000000004">
      <c r="AE305" s="7"/>
      <c r="AT305" s="7"/>
      <c r="AU305">
        <f ca="1"/>
      </c>
      <c r="AV305">
        <f ca="1"/>
      </c>
      <c r="AX305">
        <f ca="1"/>
      </c>
      <c r="AY305">
        <f ca="1"/>
      </c>
      <c r="BA305" s="7"/>
      <c r="BC305">
        <f ca="1"/>
      </c>
      <c r="BE305">
        <f ca="1"/>
      </c>
    </row>
    <row r="306" spans="31:57" x14ac:dyDescent="0.55000000000000004">
      <c r="AE306" s="7"/>
      <c r="AT306" s="7"/>
      <c r="AU306">
        <f ca="1"/>
      </c>
      <c r="AV306">
        <f ca="1"/>
      </c>
      <c r="AX306">
        <f ca="1"/>
      </c>
      <c r="AY306">
        <f ca="1"/>
      </c>
      <c r="BA306" s="7"/>
      <c r="BC306">
        <f ca="1"/>
      </c>
      <c r="BE306">
        <f ca="1"/>
      </c>
    </row>
    <row r="307" spans="31:57" x14ac:dyDescent="0.55000000000000004">
      <c r="AE307" s="7"/>
      <c r="AT307" s="7"/>
      <c r="AU307">
        <f ca="1"/>
      </c>
      <c r="AV307">
        <f ca="1"/>
      </c>
      <c r="AX307">
        <f ca="1"/>
      </c>
      <c r="AY307">
        <f ca="1"/>
      </c>
      <c r="BA307" s="7"/>
      <c r="BC307">
        <f ca="1"/>
      </c>
      <c r="BE307">
        <f ca="1"/>
      </c>
    </row>
    <row r="308" spans="31:57" x14ac:dyDescent="0.55000000000000004">
      <c r="AE308" s="7"/>
      <c r="AT308" s="7"/>
      <c r="AU308">
        <f ca="1"/>
      </c>
      <c r="AV308">
        <f ca="1"/>
      </c>
      <c r="AX308">
        <f ca="1"/>
      </c>
      <c r="AY308">
        <f ca="1"/>
      </c>
      <c r="BA308" s="7"/>
      <c r="BC308">
        <f ca="1"/>
      </c>
      <c r="BE308">
        <f ca="1"/>
      </c>
    </row>
    <row r="309" spans="31:57" x14ac:dyDescent="0.55000000000000004">
      <c r="AE309" s="7"/>
      <c r="AT309" s="7"/>
      <c r="AU309">
        <f ca="1"/>
      </c>
      <c r="AV309">
        <f ca="1"/>
      </c>
      <c r="AX309">
        <f ca="1"/>
      </c>
      <c r="AY309">
        <f ca="1"/>
      </c>
      <c r="BA309" s="7"/>
      <c r="BC309">
        <f ca="1"/>
      </c>
      <c r="BE309">
        <f ca="1"/>
      </c>
    </row>
    <row r="310" spans="31:57" x14ac:dyDescent="0.55000000000000004">
      <c r="AE310" s="7"/>
      <c r="AT310" s="7"/>
      <c r="AU310">
        <f ca="1"/>
      </c>
      <c r="AV310">
        <f ca="1"/>
      </c>
      <c r="AX310">
        <f ca="1"/>
      </c>
      <c r="AY310">
        <f ca="1"/>
      </c>
      <c r="BA310" s="7"/>
      <c r="BC310">
        <f ca="1"/>
      </c>
      <c r="BE310">
        <f ca="1"/>
      </c>
    </row>
    <row r="311" spans="31:57" x14ac:dyDescent="0.55000000000000004">
      <c r="AE311" s="7"/>
      <c r="AT311" s="7"/>
      <c r="AU311">
        <f ca="1"/>
      </c>
      <c r="AV311">
        <f ca="1"/>
      </c>
      <c r="AX311">
        <f ca="1"/>
      </c>
      <c r="AY311">
        <f ca="1"/>
      </c>
      <c r="BA311" s="7"/>
      <c r="BC311">
        <f ca="1"/>
      </c>
      <c r="BE311">
        <f ca="1"/>
      </c>
    </row>
    <row r="312" spans="31:57" x14ac:dyDescent="0.55000000000000004">
      <c r="AE312" s="7"/>
      <c r="AT312" s="7"/>
      <c r="AU312">
        <f ca="1"/>
      </c>
      <c r="AV312">
        <f ca="1"/>
      </c>
      <c r="AX312">
        <f ca="1"/>
      </c>
      <c r="AY312">
        <f ca="1"/>
      </c>
      <c r="BA312" s="7"/>
      <c r="BC312">
        <f ca="1"/>
      </c>
      <c r="BE312">
        <f ca="1"/>
      </c>
    </row>
    <row r="313" spans="31:57" x14ac:dyDescent="0.55000000000000004">
      <c r="AE313" s="7"/>
      <c r="AT313" s="7"/>
      <c r="AU313">
        <f ca="1"/>
      </c>
      <c r="AV313">
        <f ca="1"/>
      </c>
      <c r="AX313">
        <f ca="1"/>
      </c>
      <c r="AY313">
        <f ca="1"/>
      </c>
      <c r="BA313" s="7"/>
      <c r="BC313">
        <f ca="1"/>
      </c>
      <c r="BE313">
        <f ca="1"/>
      </c>
    </row>
    <row r="314" spans="31:57" x14ac:dyDescent="0.55000000000000004">
      <c r="AE314" s="7"/>
      <c r="AT314" s="7"/>
      <c r="AU314">
        <f ca="1"/>
      </c>
      <c r="AV314">
        <f ca="1"/>
      </c>
      <c r="AX314">
        <f ca="1"/>
      </c>
      <c r="AY314">
        <f ca="1"/>
      </c>
      <c r="BA314" s="7"/>
      <c r="BC314">
        <f ca="1"/>
      </c>
      <c r="BE314">
        <f ca="1"/>
      </c>
    </row>
    <row r="315" spans="31:57" x14ac:dyDescent="0.55000000000000004">
      <c r="AE315" s="7"/>
      <c r="AT315" s="7"/>
      <c r="AU315">
        <f ca="1"/>
      </c>
      <c r="AV315">
        <f ca="1"/>
      </c>
      <c r="AX315">
        <f ca="1"/>
      </c>
      <c r="AY315">
        <f ca="1"/>
      </c>
      <c r="BA315" s="7"/>
      <c r="BC315">
        <f ca="1"/>
      </c>
      <c r="BE315">
        <f ca="1"/>
      </c>
    </row>
    <row r="316" spans="31:57" x14ac:dyDescent="0.55000000000000004">
      <c r="AE316" s="7"/>
      <c r="AT316" s="7"/>
      <c r="AU316">
        <f ca="1"/>
      </c>
      <c r="AV316">
        <f ca="1"/>
      </c>
      <c r="AX316">
        <f ca="1"/>
      </c>
      <c r="AY316">
        <f ca="1"/>
      </c>
      <c r="BA316" s="7"/>
      <c r="BC316">
        <f ca="1"/>
      </c>
      <c r="BE316">
        <f ca="1"/>
      </c>
    </row>
    <row r="317" spans="31:57" x14ac:dyDescent="0.55000000000000004">
      <c r="AE317" s="7"/>
      <c r="AT317" s="7"/>
      <c r="AU317">
        <f ca="1"/>
      </c>
      <c r="AV317">
        <f ca="1"/>
      </c>
      <c r="AX317">
        <f ca="1"/>
      </c>
      <c r="AY317">
        <f ca="1"/>
      </c>
      <c r="BA317" s="7"/>
      <c r="BC317">
        <f ca="1"/>
      </c>
      <c r="BE317">
        <f ca="1"/>
      </c>
    </row>
    <row r="318" spans="31:57" x14ac:dyDescent="0.55000000000000004">
      <c r="AE318" s="7"/>
      <c r="AT318" s="7"/>
      <c r="AU318">
        <f ca="1"/>
      </c>
      <c r="AV318">
        <f ca="1"/>
      </c>
      <c r="AX318">
        <f ca="1"/>
      </c>
      <c r="AY318">
        <f ca="1"/>
      </c>
      <c r="BA318" s="7"/>
      <c r="BC318">
        <f ca="1"/>
      </c>
      <c r="BE318">
        <f ca="1"/>
      </c>
    </row>
    <row r="319" spans="31:57" x14ac:dyDescent="0.55000000000000004">
      <c r="AE319" s="7"/>
      <c r="AT319" s="7"/>
      <c r="AU319">
        <f ca="1"/>
      </c>
      <c r="AV319">
        <f ca="1"/>
      </c>
      <c r="AX319">
        <f ca="1"/>
      </c>
      <c r="AY319">
        <f ca="1"/>
      </c>
      <c r="BA319" s="7"/>
      <c r="BC319">
        <f ca="1"/>
      </c>
      <c r="BE319">
        <f ca="1"/>
      </c>
    </row>
    <row r="320" spans="31:57" x14ac:dyDescent="0.55000000000000004">
      <c r="AE320" s="7"/>
      <c r="AT320" s="7"/>
      <c r="AU320">
        <f ca="1"/>
      </c>
      <c r="AV320">
        <f ca="1"/>
      </c>
      <c r="AX320">
        <f ca="1"/>
      </c>
      <c r="AY320">
        <f ca="1"/>
      </c>
      <c r="BA320" s="7"/>
      <c r="BC320">
        <f ca="1"/>
      </c>
      <c r="BE320">
        <f ca="1"/>
      </c>
    </row>
    <row r="321" spans="31:57" x14ac:dyDescent="0.55000000000000004">
      <c r="AE321" s="7"/>
      <c r="AT321" s="7"/>
      <c r="AU321">
        <f ca="1"/>
      </c>
      <c r="AV321">
        <f ca="1"/>
      </c>
      <c r="AX321">
        <f ca="1"/>
      </c>
      <c r="AY321">
        <f ca="1"/>
      </c>
      <c r="BA321" s="7"/>
      <c r="BC321">
        <f ca="1"/>
      </c>
      <c r="BE321">
        <f ca="1"/>
      </c>
    </row>
    <row r="322" spans="31:57" x14ac:dyDescent="0.55000000000000004">
      <c r="AE322" s="7"/>
      <c r="AT322" s="7"/>
      <c r="AU322">
        <f ca="1"/>
      </c>
      <c r="AV322">
        <f ca="1"/>
      </c>
      <c r="AX322">
        <f ca="1"/>
      </c>
      <c r="AY322">
        <f ca="1"/>
      </c>
      <c r="BA322" s="7"/>
      <c r="BC322">
        <f ca="1"/>
      </c>
      <c r="BE322">
        <f ca="1"/>
      </c>
    </row>
    <row r="323" spans="31:57" x14ac:dyDescent="0.55000000000000004">
      <c r="AE323" s="7"/>
      <c r="AT323" s="7"/>
      <c r="AU323">
        <f ca="1"/>
      </c>
      <c r="AV323">
        <f ca="1"/>
      </c>
      <c r="AX323">
        <f ca="1"/>
      </c>
      <c r="AY323">
        <f ca="1"/>
      </c>
      <c r="BA323" s="7"/>
      <c r="BC323">
        <f ca="1"/>
      </c>
      <c r="BE323">
        <f ca="1"/>
      </c>
    </row>
    <row r="324" spans="31:57" x14ac:dyDescent="0.55000000000000004">
      <c r="AE324" s="7"/>
      <c r="AT324" s="7"/>
      <c r="AU324">
        <f ca="1"/>
      </c>
      <c r="AV324">
        <f ca="1"/>
      </c>
      <c r="AX324">
        <f ca="1"/>
      </c>
      <c r="AY324">
        <f ca="1"/>
      </c>
      <c r="BA324" s="7"/>
      <c r="BC324">
        <f ca="1"/>
      </c>
      <c r="BE324">
        <f ca="1"/>
      </c>
    </row>
    <row r="325" spans="31:57" x14ac:dyDescent="0.55000000000000004">
      <c r="AE325" s="7"/>
      <c r="AT325" s="7"/>
      <c r="AU325">
        <f ca="1"/>
      </c>
      <c r="AV325">
        <f ca="1"/>
      </c>
      <c r="AX325">
        <f ca="1"/>
      </c>
      <c r="AY325">
        <f ca="1"/>
      </c>
      <c r="BA325" s="7"/>
      <c r="BC325">
        <f ca="1"/>
      </c>
      <c r="BE325">
        <f ca="1"/>
      </c>
    </row>
    <row r="326" spans="31:57" x14ac:dyDescent="0.55000000000000004">
      <c r="AE326" s="7"/>
      <c r="AT326" s="7"/>
      <c r="AU326">
        <f ca="1"/>
      </c>
      <c r="AV326">
        <f ca="1"/>
      </c>
      <c r="AX326">
        <f ca="1"/>
      </c>
      <c r="AY326">
        <f ca="1"/>
      </c>
      <c r="BA326" s="7"/>
      <c r="BC326">
        <f ca="1"/>
      </c>
      <c r="BE326">
        <f ca="1"/>
      </c>
    </row>
    <row r="327" spans="31:57" x14ac:dyDescent="0.55000000000000004">
      <c r="AE327" s="7"/>
      <c r="AT327" s="7"/>
      <c r="AU327">
        <f ca="1"/>
      </c>
      <c r="AV327">
        <f ca="1"/>
      </c>
      <c r="AX327">
        <f ca="1"/>
      </c>
      <c r="AY327">
        <f ca="1"/>
      </c>
      <c r="BA327" s="7"/>
      <c r="BC327">
        <f ca="1"/>
      </c>
      <c r="BE327">
        <f ca="1"/>
      </c>
    </row>
    <row r="328" spans="31:57" x14ac:dyDescent="0.55000000000000004">
      <c r="AE328" s="7"/>
      <c r="AT328" s="7"/>
      <c r="AU328">
        <f ca="1"/>
      </c>
      <c r="AV328">
        <f ca="1"/>
      </c>
      <c r="AX328">
        <f ca="1"/>
      </c>
      <c r="AY328">
        <f ca="1"/>
      </c>
      <c r="BA328" s="7"/>
      <c r="BC328">
        <f ca="1"/>
      </c>
      <c r="BE328">
        <f ca="1"/>
      </c>
    </row>
    <row r="329" spans="31:57" x14ac:dyDescent="0.55000000000000004">
      <c r="AE329" s="7"/>
      <c r="AT329" s="7"/>
      <c r="AU329">
        <f ca="1"/>
      </c>
      <c r="AV329">
        <f ca="1"/>
      </c>
      <c r="AX329">
        <f ca="1"/>
      </c>
      <c r="AY329">
        <f ca="1"/>
      </c>
      <c r="BA329" s="7"/>
      <c r="BC329">
        <f ca="1"/>
      </c>
      <c r="BE329">
        <f ca="1"/>
      </c>
    </row>
    <row r="330" spans="31:57" x14ac:dyDescent="0.55000000000000004">
      <c r="AE330" s="7"/>
      <c r="AT330" s="7"/>
      <c r="AU330">
        <f ca="1"/>
      </c>
      <c r="AV330">
        <f ca="1"/>
      </c>
      <c r="AX330">
        <f ca="1"/>
      </c>
      <c r="AY330">
        <f ca="1"/>
      </c>
      <c r="BA330" s="7"/>
      <c r="BC330">
        <f ca="1"/>
      </c>
      <c r="BE330">
        <f ca="1"/>
      </c>
    </row>
    <row r="331" spans="31:57" x14ac:dyDescent="0.55000000000000004">
      <c r="AE331" s="7"/>
      <c r="AT331" s="7"/>
      <c r="AU331">
        <f ca="1"/>
      </c>
      <c r="AV331">
        <f ca="1"/>
      </c>
      <c r="AX331">
        <f ca="1"/>
      </c>
      <c r="AY331">
        <f ca="1"/>
      </c>
      <c r="BA331" s="7"/>
      <c r="BC331">
        <f ca="1"/>
      </c>
      <c r="BE331">
        <f ca="1"/>
      </c>
    </row>
    <row r="332" spans="31:57" x14ac:dyDescent="0.55000000000000004">
      <c r="AE332" s="7"/>
      <c r="AT332" s="7"/>
      <c r="AU332">
        <f ca="1"/>
      </c>
      <c r="AV332">
        <f ca="1"/>
      </c>
      <c r="AX332">
        <f ca="1"/>
      </c>
      <c r="AY332">
        <f ca="1"/>
      </c>
      <c r="BA332" s="7"/>
      <c r="BC332">
        <f ca="1"/>
      </c>
      <c r="BE332">
        <f ca="1"/>
      </c>
    </row>
    <row r="333" spans="31:57" x14ac:dyDescent="0.55000000000000004">
      <c r="AE333" s="7"/>
      <c r="AT333" s="7"/>
      <c r="AU333">
        <f ca="1"/>
      </c>
      <c r="AV333">
        <f ca="1"/>
      </c>
      <c r="AX333">
        <f ca="1"/>
      </c>
      <c r="AY333">
        <f ca="1"/>
      </c>
      <c r="BA333" s="7"/>
      <c r="BC333">
        <f ca="1"/>
      </c>
      <c r="BE333">
        <f ca="1"/>
      </c>
    </row>
    <row r="334" spans="31:57" x14ac:dyDescent="0.55000000000000004">
      <c r="AE334" s="7"/>
      <c r="AT334" s="7"/>
      <c r="AU334">
        <f ca="1"/>
      </c>
      <c r="AV334">
        <f ca="1"/>
      </c>
      <c r="AX334">
        <f ca="1"/>
      </c>
      <c r="AY334">
        <f ca="1"/>
      </c>
      <c r="BA334" s="7"/>
      <c r="BC334">
        <f ca="1"/>
      </c>
      <c r="BE334">
        <f ca="1"/>
      </c>
    </row>
    <row r="335" spans="31:57" x14ac:dyDescent="0.55000000000000004">
      <c r="AE335" s="7"/>
      <c r="AT335" s="7"/>
      <c r="AU335">
        <f ca="1"/>
      </c>
      <c r="AV335">
        <f ca="1"/>
      </c>
      <c r="AX335">
        <f ca="1"/>
      </c>
      <c r="AY335">
        <f ca="1"/>
      </c>
      <c r="BA335" s="7"/>
      <c r="BC335">
        <f ca="1"/>
      </c>
      <c r="BE335">
        <f ca="1"/>
      </c>
    </row>
    <row r="336" spans="31:57" x14ac:dyDescent="0.55000000000000004">
      <c r="AE336" s="7"/>
      <c r="AT336" s="7"/>
      <c r="AU336">
        <f ca="1"/>
      </c>
      <c r="AV336">
        <f ca="1"/>
      </c>
      <c r="AX336">
        <f ca="1"/>
      </c>
      <c r="AY336">
        <f ca="1"/>
      </c>
      <c r="BA336" s="7"/>
      <c r="BC336">
        <f ca="1"/>
      </c>
      <c r="BE336">
        <f ca="1"/>
      </c>
    </row>
    <row r="337" spans="31:57" x14ac:dyDescent="0.55000000000000004">
      <c r="AE337" s="7"/>
      <c r="AT337" s="7"/>
      <c r="AU337">
        <f ca="1"/>
      </c>
      <c r="AV337">
        <f ca="1"/>
      </c>
      <c r="AX337">
        <f ca="1"/>
      </c>
      <c r="AY337">
        <f ca="1"/>
      </c>
      <c r="BA337" s="7"/>
      <c r="BC337">
        <f ca="1"/>
      </c>
      <c r="BE337">
        <f ca="1"/>
      </c>
    </row>
    <row r="338" spans="31:57" x14ac:dyDescent="0.55000000000000004">
      <c r="AE338" s="7"/>
      <c r="AT338" s="7"/>
      <c r="AU338">
        <f ca="1"/>
      </c>
      <c r="AV338">
        <f ca="1"/>
      </c>
      <c r="AX338">
        <f ca="1"/>
      </c>
      <c r="AY338">
        <f ca="1"/>
      </c>
      <c r="BA338" s="7"/>
      <c r="BC338">
        <f ca="1"/>
      </c>
      <c r="BE338">
        <f ca="1"/>
      </c>
    </row>
    <row r="339" spans="31:57" x14ac:dyDescent="0.55000000000000004">
      <c r="AE339" s="7"/>
      <c r="AT339" s="7"/>
      <c r="AU339">
        <f ca="1"/>
      </c>
      <c r="AV339">
        <f ca="1"/>
      </c>
      <c r="AX339">
        <f ca="1"/>
      </c>
      <c r="AY339">
        <f ca="1"/>
      </c>
      <c r="BA339" s="7"/>
      <c r="BC339">
        <f ca="1"/>
      </c>
      <c r="BE339">
        <f ca="1"/>
      </c>
    </row>
    <row r="340" spans="31:57" x14ac:dyDescent="0.55000000000000004">
      <c r="AE340" s="7"/>
      <c r="AT340" s="7"/>
      <c r="AU340">
        <f ca="1"/>
      </c>
      <c r="AV340">
        <f ca="1"/>
      </c>
      <c r="AX340">
        <f ca="1"/>
      </c>
      <c r="AY340">
        <f ca="1"/>
      </c>
      <c r="BA340" s="7"/>
      <c r="BC340">
        <f ca="1"/>
      </c>
      <c r="BE340">
        <f ca="1"/>
      </c>
    </row>
    <row r="341" spans="31:57" x14ac:dyDescent="0.55000000000000004">
      <c r="AE341" s="7"/>
      <c r="AT341" s="7"/>
      <c r="AU341">
        <f ca="1"/>
      </c>
      <c r="AV341">
        <f ca="1"/>
      </c>
      <c r="AX341">
        <f ca="1"/>
      </c>
      <c r="AY341">
        <f ca="1"/>
      </c>
      <c r="BA341" s="7"/>
      <c r="BC341">
        <f ca="1"/>
      </c>
      <c r="BE341">
        <f ca="1"/>
      </c>
    </row>
    <row r="342" spans="31:57" x14ac:dyDescent="0.55000000000000004">
      <c r="AE342" s="7"/>
      <c r="AT342" s="7"/>
      <c r="AU342">
        <f ca="1"/>
      </c>
      <c r="AV342">
        <f ca="1"/>
      </c>
      <c r="AX342">
        <f ca="1"/>
      </c>
      <c r="AY342">
        <f ca="1"/>
      </c>
      <c r="BA342" s="7"/>
      <c r="BC342">
        <f ca="1"/>
      </c>
      <c r="BE342">
        <f ca="1"/>
      </c>
    </row>
    <row r="343" spans="31:57" x14ac:dyDescent="0.55000000000000004">
      <c r="AE343" s="7"/>
      <c r="AT343" s="7"/>
      <c r="AU343">
        <f ca="1"/>
      </c>
      <c r="AV343">
        <f ca="1"/>
      </c>
      <c r="AX343">
        <f ca="1"/>
      </c>
      <c r="AY343">
        <f ca="1"/>
      </c>
      <c r="BA343" s="7"/>
      <c r="BC343">
        <f ca="1"/>
      </c>
      <c r="BE343">
        <f ca="1"/>
      </c>
    </row>
    <row r="344" spans="31:57" x14ac:dyDescent="0.55000000000000004">
      <c r="AE344" s="7"/>
      <c r="AT344" s="7"/>
      <c r="AU344">
        <f ca="1"/>
      </c>
      <c r="AV344">
        <f ca="1"/>
      </c>
      <c r="AX344">
        <f ca="1"/>
      </c>
      <c r="AY344">
        <f ca="1"/>
      </c>
      <c r="BA344" s="7"/>
      <c r="BC344">
        <f ca="1"/>
      </c>
      <c r="BE344">
        <f ca="1"/>
      </c>
    </row>
    <row r="345" spans="31:57" x14ac:dyDescent="0.55000000000000004">
      <c r="AE345" s="7"/>
      <c r="AT345" s="7"/>
      <c r="AU345">
        <f ca="1"/>
      </c>
      <c r="AV345">
        <f ca="1"/>
      </c>
      <c r="AX345">
        <f ca="1"/>
      </c>
      <c r="AY345">
        <f ca="1"/>
      </c>
      <c r="BA345" s="7"/>
      <c r="BC345">
        <f ca="1"/>
      </c>
      <c r="BE345">
        <f ca="1"/>
      </c>
    </row>
    <row r="346" spans="31:57" x14ac:dyDescent="0.55000000000000004">
      <c r="AE346" s="7"/>
      <c r="AT346" s="7"/>
      <c r="AU346">
        <f ca="1"/>
      </c>
      <c r="AV346">
        <f ca="1"/>
      </c>
      <c r="AX346">
        <f ca="1"/>
      </c>
      <c r="AY346">
        <f ca="1"/>
      </c>
      <c r="BA346" s="7"/>
      <c r="BC346">
        <f ca="1"/>
      </c>
      <c r="BE346">
        <f ca="1"/>
      </c>
    </row>
    <row r="347" spans="31:57" x14ac:dyDescent="0.55000000000000004">
      <c r="AE347" s="7"/>
      <c r="AT347" s="7"/>
      <c r="AU347">
        <f ca="1"/>
      </c>
      <c r="AV347">
        <f ca="1"/>
      </c>
      <c r="AX347">
        <f ca="1"/>
      </c>
      <c r="AY347">
        <f ca="1"/>
      </c>
      <c r="BA347" s="7"/>
      <c r="BC347">
        <f ca="1"/>
      </c>
      <c r="BE347">
        <f ca="1"/>
      </c>
    </row>
    <row r="348" spans="31:57" x14ac:dyDescent="0.55000000000000004">
      <c r="AE348" s="7"/>
      <c r="AT348" s="7"/>
      <c r="AU348">
        <f ca="1"/>
      </c>
      <c r="AV348">
        <f ca="1"/>
      </c>
      <c r="AX348">
        <f ca="1"/>
      </c>
      <c r="AY348">
        <f ca="1"/>
      </c>
      <c r="BA348" s="7"/>
      <c r="BC348">
        <f ca="1"/>
      </c>
      <c r="BE348">
        <f ca="1"/>
      </c>
    </row>
    <row r="349" spans="31:57" x14ac:dyDescent="0.55000000000000004">
      <c r="AE349" s="7"/>
      <c r="AT349" s="7"/>
      <c r="AU349">
        <f ca="1"/>
      </c>
      <c r="AV349">
        <f ca="1"/>
      </c>
      <c r="AX349">
        <f ca="1"/>
      </c>
      <c r="AY349">
        <f ca="1"/>
      </c>
      <c r="BA349" s="7"/>
      <c r="BC349">
        <f ca="1"/>
      </c>
      <c r="BE349">
        <f ca="1"/>
      </c>
    </row>
    <row r="350" spans="31:57" x14ac:dyDescent="0.55000000000000004">
      <c r="AE350" s="7"/>
      <c r="AT350" s="7"/>
      <c r="AU350">
        <f ca="1"/>
      </c>
      <c r="AV350">
        <f ca="1"/>
      </c>
      <c r="AX350">
        <f ca="1"/>
      </c>
      <c r="AY350">
        <f ca="1"/>
      </c>
      <c r="BA350" s="7"/>
      <c r="BC350">
        <f ca="1"/>
      </c>
      <c r="BE350">
        <f ca="1"/>
      </c>
    </row>
    <row r="351" spans="31:57" x14ac:dyDescent="0.55000000000000004">
      <c r="AE351" s="7"/>
      <c r="AT351" s="7"/>
      <c r="AU351">
        <f ca="1"/>
      </c>
      <c r="AV351">
        <f ca="1"/>
      </c>
      <c r="AX351">
        <f ca="1"/>
      </c>
      <c r="AY351">
        <f ca="1"/>
      </c>
      <c r="BA351" s="7"/>
      <c r="BC351">
        <f ca="1"/>
      </c>
      <c r="BE351">
        <f ca="1"/>
      </c>
    </row>
    <row r="352" spans="31:57" x14ac:dyDescent="0.55000000000000004">
      <c r="AE352" s="7"/>
      <c r="AT352" s="7"/>
      <c r="AU352">
        <f ca="1"/>
      </c>
      <c r="AV352">
        <f ca="1"/>
      </c>
      <c r="AX352">
        <f ca="1"/>
      </c>
      <c r="AY352">
        <f ca="1"/>
      </c>
      <c r="BA352" s="7"/>
      <c r="BC352">
        <f ca="1"/>
      </c>
      <c r="BE352">
        <f ca="1"/>
      </c>
    </row>
    <row r="353" spans="31:57" x14ac:dyDescent="0.55000000000000004">
      <c r="AE353" s="7"/>
      <c r="AT353" s="7"/>
      <c r="AU353">
        <f ca="1"/>
      </c>
      <c r="AV353">
        <f ca="1"/>
      </c>
      <c r="AX353">
        <f ca="1"/>
      </c>
      <c r="AY353">
        <f ca="1"/>
      </c>
      <c r="BA353" s="7"/>
      <c r="BC353">
        <f ca="1"/>
      </c>
      <c r="BE353">
        <f ca="1"/>
      </c>
    </row>
    <row r="354" spans="31:57" x14ac:dyDescent="0.55000000000000004">
      <c r="AE354" s="7"/>
      <c r="AT354" s="7"/>
      <c r="AU354">
        <f ca="1"/>
      </c>
      <c r="AV354">
        <f ca="1"/>
      </c>
      <c r="AX354">
        <f ca="1"/>
      </c>
      <c r="AY354">
        <f ca="1"/>
      </c>
      <c r="BA354" s="7"/>
      <c r="BC354">
        <f ca="1"/>
      </c>
      <c r="BE354">
        <f ca="1"/>
      </c>
    </row>
    <row r="355" spans="31:57" x14ac:dyDescent="0.55000000000000004">
      <c r="AE355" s="7"/>
      <c r="AT355" s="7"/>
      <c r="AU355">
        <f ca="1"/>
      </c>
      <c r="AV355">
        <f ca="1"/>
      </c>
      <c r="AX355">
        <f ca="1"/>
      </c>
      <c r="AY355">
        <f ca="1"/>
      </c>
      <c r="BA355" s="7"/>
      <c r="BC355">
        <f ca="1"/>
      </c>
      <c r="BE355">
        <f ca="1"/>
      </c>
    </row>
    <row r="356" spans="31:57" x14ac:dyDescent="0.55000000000000004">
      <c r="AE356" s="7"/>
      <c r="AT356" s="7"/>
      <c r="AU356">
        <f ca="1"/>
      </c>
      <c r="AV356">
        <f ca="1"/>
      </c>
      <c r="AX356">
        <f ca="1"/>
      </c>
      <c r="AY356">
        <f ca="1"/>
      </c>
      <c r="BA356" s="7"/>
      <c r="BC356">
        <f ca="1"/>
      </c>
      <c r="BE356">
        <f ca="1"/>
      </c>
    </row>
    <row r="357" spans="31:57" x14ac:dyDescent="0.55000000000000004">
      <c r="AE357" s="7"/>
      <c r="AT357" s="7"/>
      <c r="AU357">
        <f ca="1"/>
      </c>
      <c r="AV357">
        <f ca="1"/>
      </c>
      <c r="AX357">
        <f ca="1"/>
      </c>
      <c r="AY357">
        <f ca="1"/>
      </c>
      <c r="BA357" s="7"/>
      <c r="BC357">
        <f ca="1"/>
      </c>
      <c r="BE357">
        <f ca="1"/>
      </c>
    </row>
    <row r="358" spans="31:57" x14ac:dyDescent="0.55000000000000004">
      <c r="AE358" s="7"/>
      <c r="AT358" s="7"/>
      <c r="AU358">
        <f ca="1"/>
      </c>
      <c r="AV358">
        <f ca="1"/>
      </c>
      <c r="AX358">
        <f ca="1"/>
      </c>
      <c r="AY358">
        <f ca="1"/>
      </c>
      <c r="BA358" s="7"/>
      <c r="BC358">
        <f ca="1"/>
      </c>
      <c r="BE358">
        <f ca="1"/>
      </c>
    </row>
    <row r="359" spans="31:57" x14ac:dyDescent="0.55000000000000004">
      <c r="AE359" s="7"/>
      <c r="AT359" s="7"/>
      <c r="AU359">
        <f ca="1"/>
      </c>
      <c r="AV359">
        <f ca="1"/>
      </c>
      <c r="AX359">
        <f ca="1"/>
      </c>
      <c r="AY359">
        <f ca="1"/>
      </c>
      <c r="BA359" s="7"/>
      <c r="BC359">
        <f ca="1"/>
      </c>
      <c r="BE359">
        <f ca="1"/>
      </c>
    </row>
    <row r="360" spans="31:57" x14ac:dyDescent="0.55000000000000004">
      <c r="AE360" s="7"/>
      <c r="AT360" s="7"/>
      <c r="AU360">
        <f ca="1"/>
      </c>
      <c r="AV360">
        <f ca="1"/>
      </c>
      <c r="AX360">
        <f ca="1"/>
      </c>
      <c r="AY360">
        <f ca="1"/>
      </c>
      <c r="BA360" s="7"/>
      <c r="BC360">
        <f ca="1"/>
      </c>
      <c r="BE360">
        <f ca="1"/>
      </c>
    </row>
    <row r="361" spans="31:57" x14ac:dyDescent="0.55000000000000004">
      <c r="AE361" s="7"/>
      <c r="AT361" s="7"/>
      <c r="AU361">
        <f ca="1"/>
      </c>
      <c r="AV361">
        <f ca="1"/>
      </c>
      <c r="AX361">
        <f ca="1"/>
      </c>
      <c r="AY361">
        <f ca="1"/>
      </c>
      <c r="BA361" s="7"/>
      <c r="BC361">
        <f ca="1"/>
      </c>
      <c r="BE361">
        <f ca="1"/>
      </c>
    </row>
    <row r="362" spans="31:57" x14ac:dyDescent="0.55000000000000004">
      <c r="AE362" s="7"/>
      <c r="AT362" s="7"/>
      <c r="AU362">
        <f ca="1"/>
      </c>
      <c r="AV362">
        <f ca="1"/>
      </c>
      <c r="AX362">
        <f ca="1"/>
      </c>
      <c r="AY362">
        <f ca="1"/>
      </c>
      <c r="BA362" s="7"/>
      <c r="BC362">
        <f ca="1"/>
      </c>
      <c r="BE362">
        <f ca="1"/>
      </c>
    </row>
    <row r="363" spans="31:57" x14ac:dyDescent="0.55000000000000004">
      <c r="AE363" s="7"/>
      <c r="AT363" s="7"/>
      <c r="AU363">
        <f ca="1"/>
      </c>
      <c r="AV363">
        <f ca="1"/>
      </c>
      <c r="AX363">
        <f ca="1"/>
      </c>
      <c r="AY363">
        <f ca="1"/>
      </c>
      <c r="BA363" s="7"/>
      <c r="BC363">
        <f ca="1"/>
      </c>
      <c r="BE363">
        <f ca="1"/>
      </c>
    </row>
    <row r="364" spans="31:57" x14ac:dyDescent="0.55000000000000004">
      <c r="AE364" s="7"/>
      <c r="AT364" s="7"/>
      <c r="AU364">
        <f ca="1"/>
      </c>
      <c r="AV364">
        <f ca="1"/>
      </c>
      <c r="AX364">
        <f ca="1"/>
      </c>
      <c r="AY364">
        <f ca="1"/>
      </c>
      <c r="BA364" s="7"/>
      <c r="BC364">
        <f ca="1"/>
      </c>
      <c r="BE364">
        <f ca="1"/>
      </c>
    </row>
    <row r="365" spans="31:57" x14ac:dyDescent="0.55000000000000004">
      <c r="AE365" s="7"/>
      <c r="AT365" s="7"/>
      <c r="AU365">
        <f ca="1"/>
      </c>
      <c r="AV365">
        <f ca="1"/>
      </c>
      <c r="AX365">
        <f ca="1"/>
      </c>
      <c r="AY365">
        <f ca="1"/>
      </c>
      <c r="BA365" s="7"/>
      <c r="BC365">
        <f ca="1"/>
      </c>
      <c r="BE365">
        <f ca="1"/>
      </c>
    </row>
    <row r="366" spans="31:57" x14ac:dyDescent="0.55000000000000004">
      <c r="AE366" s="7"/>
      <c r="AT366" s="7"/>
      <c r="AU366">
        <f ca="1"/>
      </c>
      <c r="AV366">
        <f ca="1"/>
      </c>
      <c r="AX366">
        <f ca="1"/>
      </c>
      <c r="AY366">
        <f ca="1"/>
      </c>
      <c r="BA366" s="7"/>
      <c r="BC366">
        <f ca="1"/>
      </c>
      <c r="BE366">
        <f ca="1"/>
      </c>
    </row>
    <row r="367" spans="31:57" x14ac:dyDescent="0.55000000000000004">
      <c r="AE367" s="7"/>
      <c r="AT367" s="7"/>
      <c r="AU367">
        <f ca="1"/>
      </c>
      <c r="AV367">
        <f ca="1"/>
      </c>
      <c r="AX367">
        <f ca="1"/>
      </c>
      <c r="AY367">
        <f ca="1"/>
      </c>
      <c r="BA367" s="7"/>
      <c r="BC367">
        <f ca="1"/>
      </c>
      <c r="BE367">
        <f ca="1"/>
      </c>
    </row>
    <row r="368" spans="31:57" x14ac:dyDescent="0.55000000000000004">
      <c r="AE368" s="7"/>
      <c r="AT368" s="7"/>
      <c r="AU368">
        <f ca="1"/>
      </c>
      <c r="AV368">
        <f ca="1"/>
      </c>
      <c r="AX368">
        <f ca="1"/>
      </c>
      <c r="AY368">
        <f ca="1"/>
      </c>
      <c r="BA368" s="7"/>
      <c r="BC368">
        <f ca="1"/>
      </c>
      <c r="BE368">
        <f ca="1"/>
      </c>
    </row>
    <row r="369" spans="31:57" x14ac:dyDescent="0.55000000000000004">
      <c r="AE369" s="7"/>
      <c r="AT369" s="7"/>
      <c r="AU369">
        <f ca="1"/>
      </c>
      <c r="AV369">
        <f ca="1"/>
      </c>
      <c r="AX369">
        <f ca="1"/>
      </c>
      <c r="AY369">
        <f ca="1"/>
      </c>
      <c r="BA369" s="7"/>
      <c r="BC369">
        <f ca="1"/>
      </c>
      <c r="BE369">
        <f ca="1"/>
      </c>
    </row>
    <row r="370" spans="31:57" x14ac:dyDescent="0.55000000000000004">
      <c r="AE370" s="7"/>
      <c r="AT370" s="7"/>
      <c r="AU370">
        <f ca="1"/>
      </c>
      <c r="AV370">
        <f ca="1"/>
      </c>
      <c r="AX370">
        <f ca="1"/>
      </c>
      <c r="AY370">
        <f ca="1"/>
      </c>
      <c r="BA370" s="7"/>
      <c r="BC370">
        <f ca="1"/>
      </c>
      <c r="BE370">
        <f ca="1"/>
      </c>
    </row>
    <row r="371" spans="31:57" x14ac:dyDescent="0.55000000000000004">
      <c r="AE371" s="7"/>
      <c r="AT371" s="7"/>
      <c r="AU371">
        <f ca="1"/>
      </c>
      <c r="AV371">
        <f ca="1"/>
      </c>
      <c r="AX371">
        <f ca="1"/>
      </c>
      <c r="AY371">
        <f ca="1"/>
      </c>
      <c r="BA371" s="7"/>
      <c r="BC371">
        <f ca="1"/>
      </c>
      <c r="BE371">
        <f ca="1"/>
      </c>
    </row>
    <row r="372" spans="31:57" x14ac:dyDescent="0.55000000000000004">
      <c r="AE372" s="7"/>
      <c r="AT372" s="7"/>
      <c r="AU372">
        <f ca="1"/>
      </c>
      <c r="AV372">
        <f ca="1"/>
      </c>
      <c r="AX372">
        <f ca="1"/>
      </c>
      <c r="AY372">
        <f ca="1"/>
      </c>
      <c r="BA372" s="7"/>
      <c r="BC372">
        <f ca="1"/>
      </c>
      <c r="BE372">
        <f ca="1"/>
      </c>
    </row>
    <row r="373" spans="31:57" x14ac:dyDescent="0.55000000000000004">
      <c r="AE373" s="7"/>
      <c r="AT373" s="7"/>
      <c r="AU373">
        <f ca="1"/>
      </c>
      <c r="AV373">
        <f ca="1"/>
      </c>
      <c r="AX373">
        <f ca="1"/>
      </c>
      <c r="AY373">
        <f ca="1"/>
      </c>
      <c r="BA373" s="7"/>
      <c r="BC373">
        <f ca="1"/>
      </c>
      <c r="BE373">
        <f ca="1"/>
      </c>
    </row>
    <row r="374" spans="31:57" x14ac:dyDescent="0.55000000000000004">
      <c r="AE374" s="7"/>
      <c r="AT374" s="7"/>
      <c r="AU374">
        <f ca="1"/>
      </c>
      <c r="AV374">
        <f ca="1"/>
      </c>
      <c r="AX374">
        <f ca="1"/>
      </c>
      <c r="AY374">
        <f ca="1"/>
      </c>
      <c r="BA374" s="7"/>
      <c r="BC374">
        <f ca="1"/>
      </c>
      <c r="BE374">
        <f ca="1"/>
      </c>
    </row>
    <row r="375" spans="31:57" x14ac:dyDescent="0.55000000000000004">
      <c r="AE375" s="7"/>
      <c r="AT375" s="7"/>
      <c r="AU375">
        <f ca="1"/>
      </c>
      <c r="AV375">
        <f ca="1"/>
      </c>
      <c r="AX375">
        <f ca="1"/>
      </c>
      <c r="AY375">
        <f ca="1"/>
      </c>
      <c r="BA375" s="7"/>
      <c r="BC375">
        <f ca="1"/>
      </c>
      <c r="BE375">
        <f ca="1"/>
      </c>
    </row>
    <row r="376" spans="31:57" x14ac:dyDescent="0.55000000000000004">
      <c r="AE376" s="7"/>
      <c r="AT376" s="7"/>
      <c r="AU376">
        <f ca="1"/>
      </c>
      <c r="AV376">
        <f ca="1"/>
      </c>
      <c r="AX376">
        <f ca="1"/>
      </c>
      <c r="AY376">
        <f ca="1"/>
      </c>
      <c r="BA376" s="7"/>
      <c r="BC376">
        <f ca="1"/>
      </c>
      <c r="BE376">
        <f ca="1"/>
      </c>
    </row>
    <row r="377" spans="31:57" x14ac:dyDescent="0.55000000000000004">
      <c r="AE377" s="7"/>
      <c r="AT377" s="7"/>
      <c r="AU377">
        <f ca="1"/>
      </c>
      <c r="AV377">
        <f ca="1"/>
      </c>
      <c r="AX377">
        <f ca="1"/>
      </c>
      <c r="AY377">
        <f ca="1"/>
      </c>
      <c r="BA377" s="7"/>
      <c r="BC377">
        <f ca="1"/>
      </c>
      <c r="BE377">
        <f ca="1"/>
      </c>
    </row>
    <row r="378" spans="31:57" x14ac:dyDescent="0.55000000000000004">
      <c r="AE378" s="7"/>
      <c r="AT378" s="7"/>
      <c r="AU378">
        <f ca="1"/>
      </c>
      <c r="AV378">
        <f ca="1"/>
      </c>
      <c r="AX378">
        <f ca="1"/>
      </c>
      <c r="AY378">
        <f ca="1"/>
      </c>
      <c r="BA378" s="7"/>
      <c r="BC378">
        <f ca="1"/>
      </c>
      <c r="BE378">
        <f ca="1"/>
      </c>
    </row>
    <row r="379" spans="31:57" x14ac:dyDescent="0.55000000000000004">
      <c r="AE379" s="7"/>
      <c r="AT379" s="7"/>
      <c r="AU379">
        <f ca="1"/>
      </c>
      <c r="AV379">
        <f ca="1"/>
      </c>
      <c r="AX379">
        <f ca="1"/>
      </c>
      <c r="AY379">
        <f ca="1"/>
      </c>
      <c r="BA379" s="7"/>
      <c r="BC379">
        <f ca="1"/>
      </c>
      <c r="BE379">
        <f ca="1"/>
      </c>
    </row>
    <row r="380" spans="31:57" x14ac:dyDescent="0.55000000000000004">
      <c r="AE380" s="7"/>
      <c r="AT380" s="7"/>
      <c r="AU380">
        <f ca="1"/>
      </c>
      <c r="AV380">
        <f ca="1"/>
      </c>
      <c r="AX380">
        <f ca="1"/>
      </c>
      <c r="AY380">
        <f ca="1"/>
      </c>
      <c r="BA380" s="7"/>
      <c r="BC380">
        <f ca="1"/>
      </c>
      <c r="BE380">
        <f ca="1"/>
      </c>
    </row>
    <row r="381" spans="31:57" x14ac:dyDescent="0.55000000000000004">
      <c r="AE381" s="7"/>
      <c r="AT381" s="7"/>
      <c r="AU381">
        <f ca="1"/>
      </c>
      <c r="AV381">
        <f ca="1"/>
      </c>
      <c r="AX381">
        <f ca="1"/>
      </c>
      <c r="AY381">
        <f ca="1"/>
      </c>
      <c r="BA381" s="7"/>
      <c r="BC381">
        <f ca="1"/>
      </c>
      <c r="BE381">
        <f ca="1"/>
      </c>
    </row>
    <row r="382" spans="31:57" x14ac:dyDescent="0.55000000000000004">
      <c r="AE382" s="7"/>
      <c r="AT382" s="7"/>
      <c r="AU382">
        <f ca="1"/>
      </c>
      <c r="AV382">
        <f ca="1"/>
      </c>
      <c r="AX382">
        <f ca="1"/>
      </c>
      <c r="AY382">
        <f ca="1"/>
      </c>
      <c r="BA382" s="7"/>
      <c r="BC382">
        <f ca="1"/>
      </c>
      <c r="BE382">
        <f ca="1"/>
      </c>
    </row>
    <row r="383" spans="31:57" x14ac:dyDescent="0.55000000000000004">
      <c r="AE383" s="7"/>
      <c r="AT383" s="7"/>
      <c r="AU383">
        <f ca="1"/>
      </c>
      <c r="AV383">
        <f ca="1"/>
      </c>
      <c r="AX383">
        <f ca="1"/>
      </c>
      <c r="AY383">
        <f ca="1"/>
      </c>
      <c r="BA383" s="7"/>
      <c r="BC383">
        <f ca="1"/>
      </c>
      <c r="BE383">
        <f ca="1"/>
      </c>
    </row>
    <row r="384" spans="31:57" x14ac:dyDescent="0.55000000000000004">
      <c r="AE384" s="7"/>
      <c r="AT384" s="7"/>
      <c r="AU384">
        <f ca="1"/>
      </c>
      <c r="AV384">
        <f ca="1"/>
      </c>
      <c r="AX384">
        <f ca="1"/>
      </c>
      <c r="AY384">
        <f ca="1"/>
      </c>
      <c r="BA384" s="7"/>
      <c r="BC384">
        <f ca="1"/>
      </c>
      <c r="BE384">
        <f ca="1"/>
      </c>
    </row>
    <row r="385" spans="31:57" x14ac:dyDescent="0.55000000000000004">
      <c r="AE385" s="7"/>
      <c r="AT385" s="7"/>
      <c r="AU385">
        <f ca="1"/>
      </c>
      <c r="AV385">
        <f ca="1"/>
      </c>
      <c r="AX385">
        <f ca="1"/>
      </c>
      <c r="AY385">
        <f ca="1"/>
      </c>
      <c r="BA385" s="7"/>
      <c r="BC385">
        <f ca="1"/>
      </c>
      <c r="BE385">
        <f ca="1"/>
      </c>
    </row>
    <row r="386" spans="31:57" x14ac:dyDescent="0.55000000000000004">
      <c r="AE386" s="7"/>
      <c r="AT386" s="7"/>
      <c r="AU386">
        <f ca="1"/>
      </c>
      <c r="AV386">
        <f ca="1"/>
      </c>
      <c r="AX386">
        <f ca="1"/>
      </c>
      <c r="AY386">
        <f ca="1"/>
      </c>
      <c r="BA386" s="7"/>
      <c r="BC386">
        <f ca="1"/>
      </c>
      <c r="BE386">
        <f ca="1"/>
      </c>
    </row>
    <row r="387" spans="31:57" x14ac:dyDescent="0.55000000000000004">
      <c r="AE387" s="7"/>
      <c r="AT387" s="7"/>
      <c r="AU387">
        <f ca="1"/>
      </c>
      <c r="AV387">
        <f ca="1"/>
      </c>
      <c r="AX387">
        <f ca="1"/>
      </c>
      <c r="AY387">
        <f ca="1"/>
      </c>
      <c r="BA387" s="7"/>
      <c r="BC387">
        <f ca="1"/>
      </c>
      <c r="BE387">
        <f ca="1"/>
      </c>
    </row>
    <row r="388" spans="31:57" x14ac:dyDescent="0.55000000000000004">
      <c r="AE388" s="7"/>
      <c r="AT388" s="7"/>
      <c r="AU388">
        <f ca="1"/>
      </c>
      <c r="AV388">
        <f ca="1"/>
      </c>
      <c r="AX388">
        <f ca="1"/>
      </c>
      <c r="AY388">
        <f ca="1"/>
      </c>
      <c r="BA388" s="7"/>
      <c r="BC388">
        <f ca="1"/>
      </c>
      <c r="BE388">
        <f ca="1"/>
      </c>
    </row>
    <row r="389" spans="31:57" x14ac:dyDescent="0.55000000000000004">
      <c r="AE389" s="7"/>
      <c r="AT389" s="7"/>
      <c r="AU389">
        <f ca="1"/>
      </c>
      <c r="AV389">
        <f ca="1"/>
      </c>
      <c r="AX389">
        <f ca="1"/>
      </c>
      <c r="AY389">
        <f ca="1"/>
      </c>
      <c r="BA389" s="7"/>
      <c r="BC389">
        <f ca="1"/>
      </c>
      <c r="BE389">
        <f ca="1"/>
      </c>
    </row>
    <row r="390" spans="31:57" x14ac:dyDescent="0.55000000000000004">
      <c r="AE390" s="7"/>
      <c r="AT390" s="7"/>
      <c r="AU390">
        <f ca="1"/>
      </c>
      <c r="AV390">
        <f ca="1"/>
      </c>
      <c r="AX390">
        <f ca="1"/>
      </c>
      <c r="AY390">
        <f ca="1"/>
      </c>
      <c r="BA390" s="7"/>
      <c r="BC390">
        <f ca="1"/>
      </c>
      <c r="BE390">
        <f ca="1"/>
      </c>
    </row>
    <row r="391" spans="31:57" x14ac:dyDescent="0.55000000000000004">
      <c r="AE391" s="7"/>
      <c r="AT391" s="7"/>
      <c r="AU391">
        <f ca="1"/>
      </c>
      <c r="AV391">
        <f ca="1"/>
      </c>
      <c r="AX391">
        <f ca="1"/>
      </c>
      <c r="AY391">
        <f ca="1"/>
      </c>
      <c r="BA391" s="7"/>
      <c r="BC391">
        <f ca="1"/>
      </c>
      <c r="BE391">
        <f ca="1"/>
      </c>
    </row>
    <row r="392" spans="31:57" x14ac:dyDescent="0.55000000000000004">
      <c r="AE392" s="7"/>
      <c r="AT392" s="7"/>
      <c r="AU392">
        <f ca="1"/>
      </c>
      <c r="AV392">
        <f ca="1"/>
      </c>
      <c r="AX392">
        <f ca="1"/>
      </c>
      <c r="AY392">
        <f ca="1"/>
      </c>
      <c r="BA392" s="7"/>
      <c r="BC392">
        <f ca="1"/>
      </c>
      <c r="BE392">
        <f ca="1"/>
      </c>
    </row>
    <row r="393" spans="31:57" x14ac:dyDescent="0.55000000000000004">
      <c r="AE393" s="7"/>
      <c r="AT393" s="7"/>
      <c r="AU393">
        <f ca="1"/>
      </c>
      <c r="AV393">
        <f ca="1"/>
      </c>
      <c r="AX393">
        <f ca="1"/>
      </c>
      <c r="AY393">
        <f ca="1"/>
      </c>
      <c r="BA393" s="7"/>
      <c r="BC393">
        <f ca="1"/>
      </c>
      <c r="BE393">
        <f ca="1"/>
      </c>
    </row>
    <row r="394" spans="31:57" x14ac:dyDescent="0.55000000000000004">
      <c r="AE394" s="7"/>
      <c r="AT394" s="7"/>
      <c r="AU394">
        <f ca="1"/>
      </c>
      <c r="AV394">
        <f ca="1"/>
      </c>
      <c r="AX394">
        <f ca="1"/>
      </c>
      <c r="AY394">
        <f ca="1"/>
      </c>
      <c r="BA394" s="7"/>
      <c r="BC394">
        <f ca="1"/>
      </c>
      <c r="BE394">
        <f ca="1"/>
      </c>
    </row>
    <row r="395" spans="31:57" x14ac:dyDescent="0.55000000000000004">
      <c r="AE395" s="7"/>
      <c r="AT395" s="7"/>
      <c r="AU395">
        <f ca="1"/>
      </c>
      <c r="AV395">
        <f ca="1"/>
      </c>
      <c r="AX395">
        <f ca="1"/>
      </c>
      <c r="AY395">
        <f ca="1"/>
      </c>
      <c r="BA395" s="7"/>
      <c r="BC395">
        <f ca="1"/>
      </c>
      <c r="BE395">
        <f ca="1"/>
      </c>
    </row>
    <row r="396" spans="31:57" x14ac:dyDescent="0.55000000000000004">
      <c r="AE396" s="7"/>
      <c r="AT396" s="7"/>
      <c r="AU396">
        <f ca="1"/>
      </c>
      <c r="AV396">
        <f ca="1"/>
      </c>
      <c r="AX396">
        <f ca="1"/>
      </c>
      <c r="AY396">
        <f ca="1"/>
      </c>
      <c r="BA396" s="7"/>
      <c r="BC396">
        <f ca="1"/>
      </c>
      <c r="BE396">
        <f ca="1"/>
      </c>
    </row>
    <row r="397" spans="31:57" x14ac:dyDescent="0.55000000000000004">
      <c r="AE397" s="7"/>
      <c r="AT397" s="7"/>
      <c r="AU397">
        <f ca="1"/>
      </c>
      <c r="AV397">
        <f ca="1"/>
      </c>
      <c r="AX397">
        <f ca="1"/>
      </c>
      <c r="AY397">
        <f ca="1"/>
      </c>
      <c r="BA397" s="7"/>
      <c r="BC397">
        <f ca="1"/>
      </c>
      <c r="BE397">
        <f ca="1"/>
      </c>
    </row>
    <row r="398" spans="31:57" x14ac:dyDescent="0.55000000000000004">
      <c r="AE398" s="7"/>
      <c r="AT398" s="7"/>
      <c r="AU398">
        <f ca="1"/>
      </c>
      <c r="AV398">
        <f ca="1"/>
      </c>
      <c r="AX398">
        <f ca="1"/>
      </c>
      <c r="AY398">
        <f ca="1"/>
      </c>
      <c r="BA398" s="7"/>
      <c r="BC398">
        <f ca="1"/>
      </c>
      <c r="BE398">
        <f ca="1"/>
      </c>
    </row>
    <row r="399" spans="31:57" x14ac:dyDescent="0.55000000000000004">
      <c r="AE399" s="7"/>
      <c r="AT399" s="7"/>
      <c r="AU399">
        <f ca="1"/>
      </c>
      <c r="AV399">
        <f ca="1"/>
      </c>
      <c r="AX399">
        <f ca="1"/>
      </c>
      <c r="AY399">
        <f ca="1"/>
      </c>
      <c r="BA399" s="7"/>
      <c r="BC399">
        <f ca="1"/>
      </c>
      <c r="BE399">
        <f ca="1"/>
      </c>
    </row>
    <row r="400" spans="31:57" x14ac:dyDescent="0.55000000000000004">
      <c r="AE400" s="7"/>
      <c r="AT400" s="7"/>
      <c r="AU400">
        <f ca="1"/>
      </c>
      <c r="AV400">
        <f ca="1"/>
      </c>
      <c r="AX400">
        <f ca="1"/>
      </c>
      <c r="AY400">
        <f ca="1"/>
      </c>
      <c r="BA400" s="7"/>
      <c r="BC400">
        <f ca="1"/>
      </c>
      <c r="BE400">
        <f ca="1"/>
      </c>
    </row>
    <row r="401" spans="31:57" x14ac:dyDescent="0.55000000000000004">
      <c r="AE401" s="7"/>
      <c r="AT401" s="7"/>
      <c r="AU401">
        <f ca="1"/>
      </c>
      <c r="AV401">
        <f ca="1"/>
      </c>
      <c r="AX401">
        <f ca="1"/>
      </c>
      <c r="AY401">
        <f ca="1"/>
      </c>
      <c r="BA401" s="7"/>
      <c r="BC401">
        <f ca="1"/>
      </c>
      <c r="BE401">
        <f ca="1"/>
      </c>
    </row>
    <row r="402" spans="31:57" x14ac:dyDescent="0.55000000000000004">
      <c r="AE402" s="7"/>
      <c r="AT402" s="7"/>
      <c r="AU402">
        <f ca="1"/>
      </c>
      <c r="AV402">
        <f ca="1"/>
      </c>
      <c r="AX402">
        <f ca="1"/>
      </c>
      <c r="AY402">
        <f ca="1"/>
      </c>
      <c r="BA402" s="7"/>
      <c r="BC402">
        <f ca="1"/>
      </c>
      <c r="BE402">
        <f ca="1"/>
      </c>
    </row>
    <row r="403" spans="31:57" x14ac:dyDescent="0.55000000000000004">
      <c r="AE403" s="7"/>
      <c r="AT403" s="7"/>
      <c r="AU403">
        <f ca="1"/>
      </c>
      <c r="AV403">
        <f ca="1"/>
      </c>
      <c r="AX403">
        <f ca="1"/>
      </c>
      <c r="AY403">
        <f ca="1"/>
      </c>
      <c r="BA403" s="7"/>
      <c r="BC403">
        <f ca="1"/>
      </c>
      <c r="BE403">
        <f ca="1"/>
      </c>
    </row>
    <row r="404" spans="31:57" x14ac:dyDescent="0.55000000000000004">
      <c r="AE404" s="7"/>
      <c r="AT404" s="7"/>
      <c r="AU404">
        <f ca="1"/>
      </c>
      <c r="AV404">
        <f ca="1"/>
      </c>
      <c r="AX404">
        <f ca="1"/>
      </c>
      <c r="AY404">
        <f ca="1"/>
      </c>
      <c r="BA404" s="7"/>
      <c r="BC404">
        <f ca="1"/>
      </c>
      <c r="BE404">
        <f ca="1"/>
      </c>
    </row>
    <row r="405" spans="31:57" x14ac:dyDescent="0.55000000000000004">
      <c r="AE405" s="7"/>
      <c r="AT405" s="7"/>
      <c r="AU405">
        <f ca="1"/>
      </c>
      <c r="AV405">
        <f ca="1"/>
      </c>
      <c r="AX405">
        <f ca="1"/>
      </c>
      <c r="AY405">
        <f ca="1"/>
      </c>
      <c r="BA405" s="7"/>
      <c r="BC405">
        <f ca="1"/>
      </c>
      <c r="BE405">
        <f ca="1"/>
      </c>
    </row>
    <row r="406" spans="31:57" x14ac:dyDescent="0.55000000000000004">
      <c r="AE406" s="7"/>
      <c r="AT406" s="7"/>
      <c r="AU406">
        <f ca="1"/>
      </c>
      <c r="AV406">
        <f ca="1"/>
      </c>
      <c r="AX406">
        <f ca="1"/>
      </c>
      <c r="AY406">
        <f ca="1"/>
      </c>
      <c r="BA406" s="7"/>
      <c r="BC406">
        <f ca="1"/>
      </c>
      <c r="BE406">
        <f ca="1"/>
      </c>
    </row>
    <row r="407" spans="31:57" x14ac:dyDescent="0.55000000000000004">
      <c r="AE407" s="7"/>
      <c r="AT407" s="7"/>
      <c r="AU407">
        <f ca="1"/>
      </c>
      <c r="AV407">
        <f ca="1"/>
      </c>
      <c r="AX407">
        <f ca="1"/>
      </c>
      <c r="AY407">
        <f ca="1"/>
      </c>
      <c r="BA407" s="7"/>
      <c r="BC407">
        <f ca="1"/>
      </c>
      <c r="BE407">
        <f ca="1"/>
      </c>
    </row>
    <row r="408" spans="31:57" x14ac:dyDescent="0.55000000000000004">
      <c r="AE408" s="7"/>
      <c r="AT408" s="7"/>
      <c r="AU408">
        <f ca="1"/>
      </c>
      <c r="AV408">
        <f ca="1"/>
      </c>
      <c r="AX408">
        <f ca="1"/>
      </c>
      <c r="AY408">
        <f ca="1"/>
      </c>
      <c r="BA408" s="7"/>
      <c r="BC408">
        <f ca="1"/>
      </c>
      <c r="BE408">
        <f ca="1"/>
      </c>
    </row>
    <row r="409" spans="31:57" x14ac:dyDescent="0.55000000000000004">
      <c r="AE409" s="7"/>
      <c r="AT409" s="7"/>
      <c r="AU409">
        <f ca="1"/>
      </c>
      <c r="AV409">
        <f ca="1"/>
      </c>
      <c r="AX409">
        <f ca="1"/>
      </c>
      <c r="AY409">
        <f ca="1"/>
      </c>
      <c r="BA409" s="7"/>
      <c r="BC409">
        <f ca="1"/>
      </c>
      <c r="BE409">
        <f ca="1"/>
      </c>
    </row>
    <row r="410" spans="31:57" x14ac:dyDescent="0.55000000000000004">
      <c r="AE410" s="7"/>
      <c r="AT410" s="7"/>
      <c r="AU410">
        <f ca="1"/>
      </c>
      <c r="AV410">
        <f ca="1"/>
      </c>
      <c r="AX410">
        <f ca="1"/>
      </c>
      <c r="AY410">
        <f ca="1"/>
      </c>
      <c r="BA410" s="7"/>
      <c r="BC410">
        <f ca="1"/>
      </c>
      <c r="BE410">
        <f ca="1"/>
      </c>
    </row>
    <row r="411" spans="31:57" x14ac:dyDescent="0.55000000000000004">
      <c r="AE411" s="7"/>
      <c r="AT411" s="7"/>
      <c r="AU411">
        <f ca="1"/>
      </c>
      <c r="AV411">
        <f ca="1"/>
      </c>
      <c r="AX411">
        <f ca="1"/>
      </c>
      <c r="AY411">
        <f ca="1"/>
      </c>
      <c r="BA411" s="7"/>
      <c r="BC411">
        <f ca="1"/>
      </c>
      <c r="BE411">
        <f ca="1"/>
      </c>
    </row>
    <row r="412" spans="31:57" x14ac:dyDescent="0.55000000000000004">
      <c r="AE412" s="7"/>
      <c r="AT412" s="7"/>
      <c r="AU412">
        <f ca="1"/>
      </c>
      <c r="AV412">
        <f ca="1"/>
      </c>
      <c r="AX412">
        <f ca="1"/>
      </c>
      <c r="AY412">
        <f ca="1"/>
      </c>
      <c r="BA412" s="7"/>
      <c r="BC412">
        <f ca="1"/>
      </c>
      <c r="BE412">
        <f ca="1"/>
      </c>
    </row>
    <row r="413" spans="31:57" x14ac:dyDescent="0.55000000000000004">
      <c r="AE413" s="7"/>
      <c r="AT413" s="7"/>
      <c r="AU413">
        <f ca="1"/>
      </c>
      <c r="AV413">
        <f ca="1"/>
      </c>
      <c r="AX413">
        <f ca="1"/>
      </c>
      <c r="AY413">
        <f ca="1"/>
      </c>
      <c r="BA413" s="7"/>
      <c r="BC413">
        <f ca="1"/>
      </c>
      <c r="BE413">
        <f ca="1"/>
      </c>
    </row>
    <row r="414" spans="31:57" x14ac:dyDescent="0.55000000000000004">
      <c r="AE414" s="7"/>
      <c r="AT414" s="7"/>
      <c r="AU414">
        <f ca="1"/>
      </c>
      <c r="AV414">
        <f ca="1"/>
      </c>
      <c r="AX414">
        <f ca="1"/>
      </c>
      <c r="AY414">
        <f ca="1"/>
      </c>
      <c r="BA414" s="7"/>
      <c r="BC414">
        <f ca="1"/>
      </c>
      <c r="BE414">
        <f ca="1"/>
      </c>
    </row>
    <row r="415" spans="31:57" x14ac:dyDescent="0.55000000000000004">
      <c r="AE415" s="7"/>
      <c r="AT415" s="7"/>
      <c r="AU415">
        <f ca="1"/>
      </c>
      <c r="AV415">
        <f ca="1"/>
      </c>
      <c r="AX415">
        <f ca="1"/>
      </c>
      <c r="AY415">
        <f ca="1"/>
      </c>
      <c r="BA415" s="7"/>
      <c r="BC415">
        <f ca="1"/>
      </c>
      <c r="BE415">
        <f ca="1"/>
      </c>
    </row>
    <row r="416" spans="31:57" x14ac:dyDescent="0.55000000000000004">
      <c r="AE416" s="7"/>
      <c r="AT416" s="7"/>
      <c r="AU416">
        <f ca="1"/>
      </c>
      <c r="AV416">
        <f ca="1"/>
      </c>
      <c r="AX416">
        <f ca="1"/>
      </c>
      <c r="AY416">
        <f ca="1"/>
      </c>
      <c r="BA416" s="7"/>
      <c r="BC416">
        <f ca="1"/>
      </c>
      <c r="BE416">
        <f ca="1"/>
      </c>
    </row>
    <row r="417" spans="31:57" x14ac:dyDescent="0.55000000000000004">
      <c r="AE417" s="7"/>
      <c r="AT417" s="7"/>
      <c r="AU417">
        <f ca="1"/>
      </c>
      <c r="AV417">
        <f ca="1"/>
      </c>
      <c r="AX417">
        <f ca="1"/>
      </c>
      <c r="AY417">
        <f ca="1"/>
      </c>
      <c r="BA417" s="7"/>
      <c r="BC417">
        <f ca="1"/>
      </c>
      <c r="BE417">
        <f ca="1"/>
      </c>
    </row>
    <row r="418" spans="31:57" x14ac:dyDescent="0.55000000000000004">
      <c r="AE418" s="7"/>
      <c r="AT418" s="7"/>
      <c r="AU418">
        <f ca="1"/>
      </c>
      <c r="AV418">
        <f ca="1"/>
      </c>
      <c r="AX418">
        <f ca="1"/>
      </c>
      <c r="AY418">
        <f ca="1"/>
      </c>
      <c r="BA418" s="7"/>
      <c r="BC418">
        <f ca="1"/>
      </c>
      <c r="BE418">
        <f ca="1"/>
      </c>
    </row>
    <row r="419" spans="31:57" x14ac:dyDescent="0.55000000000000004">
      <c r="AE419" s="7"/>
      <c r="AT419" s="7"/>
      <c r="AU419">
        <f ca="1"/>
      </c>
      <c r="AV419">
        <f ca="1"/>
      </c>
      <c r="AX419">
        <f ca="1"/>
      </c>
      <c r="AY419">
        <f ca="1"/>
      </c>
      <c r="BA419" s="7"/>
      <c r="BC419">
        <f ca="1"/>
      </c>
      <c r="BE419">
        <f ca="1"/>
      </c>
    </row>
    <row r="420" spans="31:57" x14ac:dyDescent="0.55000000000000004">
      <c r="AE420" s="7"/>
      <c r="AT420" s="7"/>
      <c r="AU420">
        <f ca="1"/>
      </c>
      <c r="AV420">
        <f ca="1"/>
      </c>
      <c r="AX420">
        <f ca="1"/>
      </c>
      <c r="AY420">
        <f ca="1"/>
      </c>
      <c r="BA420" s="7"/>
      <c r="BC420">
        <f ca="1"/>
      </c>
      <c r="BE420">
        <f ca="1"/>
      </c>
    </row>
    <row r="421" spans="31:57" x14ac:dyDescent="0.55000000000000004">
      <c r="AE421" s="7"/>
      <c r="AT421" s="7"/>
      <c r="AU421">
        <f ca="1"/>
      </c>
      <c r="AV421">
        <f ca="1"/>
      </c>
      <c r="AX421">
        <f ca="1"/>
      </c>
      <c r="AY421">
        <f ca="1"/>
      </c>
      <c r="BA421" s="7"/>
      <c r="BC421">
        <f ca="1"/>
      </c>
      <c r="BE421">
        <f ca="1"/>
      </c>
    </row>
    <row r="422" spans="31:57" x14ac:dyDescent="0.55000000000000004">
      <c r="AE422" s="7"/>
      <c r="AT422" s="7"/>
      <c r="AU422">
        <f ca="1"/>
      </c>
      <c r="AV422">
        <f ca="1"/>
      </c>
      <c r="AX422">
        <f ca="1"/>
      </c>
      <c r="AY422">
        <f ca="1"/>
      </c>
      <c r="BA422" s="7"/>
      <c r="BC422">
        <f ca="1"/>
      </c>
      <c r="BE422">
        <f ca="1"/>
      </c>
    </row>
    <row r="423" spans="31:57" x14ac:dyDescent="0.55000000000000004">
      <c r="AE423" s="7"/>
      <c r="AT423" s="7"/>
      <c r="AU423">
        <f ca="1"/>
      </c>
      <c r="AV423">
        <f ca="1"/>
      </c>
      <c r="AX423">
        <f ca="1"/>
      </c>
      <c r="AY423">
        <f ca="1"/>
      </c>
      <c r="BA423" s="7"/>
      <c r="BC423">
        <f ca="1"/>
      </c>
      <c r="BE423">
        <f ca="1"/>
      </c>
    </row>
    <row r="424" spans="31:57" x14ac:dyDescent="0.55000000000000004">
      <c r="AE424" s="7"/>
      <c r="AT424" s="7"/>
      <c r="AU424">
        <f ca="1"/>
      </c>
      <c r="AV424">
        <f ca="1"/>
      </c>
      <c r="AX424">
        <f ca="1"/>
      </c>
      <c r="AY424">
        <f ca="1"/>
      </c>
      <c r="BA424" s="7"/>
      <c r="BC424">
        <f ca="1"/>
      </c>
      <c r="BE424">
        <f ca="1"/>
      </c>
    </row>
    <row r="425" spans="31:57" x14ac:dyDescent="0.55000000000000004">
      <c r="AE425" s="7"/>
      <c r="AT425" s="7"/>
      <c r="AU425">
        <f ca="1"/>
      </c>
      <c r="AV425">
        <f ca="1"/>
      </c>
      <c r="AX425">
        <f ca="1"/>
      </c>
      <c r="AY425">
        <f ca="1"/>
      </c>
      <c r="BA425" s="7"/>
      <c r="BC425">
        <f ca="1"/>
      </c>
      <c r="BE425">
        <f ca="1"/>
      </c>
    </row>
    <row r="426" spans="31:57" x14ac:dyDescent="0.55000000000000004">
      <c r="AE426" s="7"/>
      <c r="AT426" s="7"/>
      <c r="AU426">
        <f ca="1"/>
      </c>
      <c r="AV426">
        <f ca="1"/>
      </c>
      <c r="AX426">
        <f ca="1"/>
      </c>
      <c r="AY426">
        <f ca="1"/>
      </c>
      <c r="BA426" s="7"/>
      <c r="BC426">
        <f ca="1"/>
      </c>
      <c r="BE426">
        <f ca="1"/>
      </c>
    </row>
    <row r="427" spans="31:57" x14ac:dyDescent="0.55000000000000004">
      <c r="AE427" s="7"/>
      <c r="AT427" s="7"/>
      <c r="AU427">
        <f ca="1"/>
      </c>
      <c r="AV427">
        <f ca="1"/>
      </c>
      <c r="AX427">
        <f ca="1"/>
      </c>
      <c r="AY427">
        <f ca="1"/>
      </c>
      <c r="BA427" s="7"/>
      <c r="BC427">
        <f ca="1"/>
      </c>
      <c r="BE427">
        <f ca="1"/>
      </c>
    </row>
    <row r="428" spans="31:57" x14ac:dyDescent="0.55000000000000004">
      <c r="AE428" s="7"/>
      <c r="AT428" s="7"/>
      <c r="AU428">
        <f ca="1"/>
      </c>
      <c r="AV428">
        <f ca="1"/>
      </c>
      <c r="AX428">
        <f ca="1"/>
      </c>
      <c r="AY428">
        <f ca="1"/>
      </c>
      <c r="BA428" s="7"/>
      <c r="BC428">
        <f ca="1"/>
      </c>
      <c r="BE428">
        <f ca="1"/>
      </c>
    </row>
    <row r="429" spans="31:57" x14ac:dyDescent="0.55000000000000004">
      <c r="AE429" s="7"/>
      <c r="AT429" s="7"/>
      <c r="AU429">
        <f ca="1"/>
      </c>
      <c r="AV429">
        <f ca="1"/>
      </c>
      <c r="AX429">
        <f ca="1"/>
      </c>
      <c r="AY429">
        <f ca="1"/>
      </c>
      <c r="BA429" s="7"/>
      <c r="BC429">
        <f ca="1"/>
      </c>
      <c r="BE429">
        <f ca="1"/>
      </c>
    </row>
    <row r="430" spans="31:57" x14ac:dyDescent="0.55000000000000004">
      <c r="AE430" s="7"/>
      <c r="AT430" s="7"/>
      <c r="AU430">
        <f ca="1"/>
      </c>
      <c r="AV430">
        <f ca="1"/>
      </c>
      <c r="AX430">
        <f ca="1"/>
      </c>
      <c r="AY430">
        <f ca="1"/>
      </c>
      <c r="BA430" s="7"/>
      <c r="BC430">
        <f ca="1"/>
      </c>
      <c r="BE430">
        <f ca="1"/>
      </c>
    </row>
    <row r="431" spans="31:57" x14ac:dyDescent="0.55000000000000004">
      <c r="AE431" s="7"/>
      <c r="AT431" s="7"/>
      <c r="AU431">
        <f ca="1"/>
      </c>
      <c r="AV431">
        <f ca="1"/>
      </c>
      <c r="AX431">
        <f ca="1"/>
      </c>
      <c r="AY431">
        <f ca="1"/>
      </c>
      <c r="BA431" s="7"/>
      <c r="BC431">
        <f ca="1"/>
      </c>
      <c r="BE431">
        <f ca="1"/>
      </c>
    </row>
    <row r="432" spans="31:57" x14ac:dyDescent="0.55000000000000004">
      <c r="AE432" s="7"/>
      <c r="AT432" s="7"/>
      <c r="AU432">
        <f ca="1"/>
      </c>
      <c r="AV432">
        <f ca="1"/>
      </c>
      <c r="AX432">
        <f ca="1"/>
      </c>
      <c r="AY432">
        <f ca="1"/>
      </c>
      <c r="BA432" s="7"/>
      <c r="BC432">
        <f ca="1"/>
      </c>
      <c r="BE432">
        <f ca="1"/>
      </c>
    </row>
    <row r="433" spans="31:57" x14ac:dyDescent="0.55000000000000004">
      <c r="AE433" s="7"/>
      <c r="AT433" s="7"/>
      <c r="AU433">
        <f ca="1"/>
      </c>
      <c r="AV433">
        <f ca="1"/>
      </c>
      <c r="AX433">
        <f ca="1"/>
      </c>
      <c r="AY433">
        <f ca="1"/>
      </c>
      <c r="BA433" s="7"/>
      <c r="BC433">
        <f ca="1"/>
      </c>
      <c r="BE433">
        <f ca="1"/>
      </c>
    </row>
    <row r="434" spans="31:57" x14ac:dyDescent="0.55000000000000004">
      <c r="AE434" s="7"/>
      <c r="AT434" s="7"/>
      <c r="AU434">
        <f ca="1"/>
      </c>
      <c r="AV434">
        <f ca="1"/>
      </c>
      <c r="AX434">
        <f ca="1"/>
      </c>
      <c r="AY434">
        <f ca="1"/>
      </c>
      <c r="BA434" s="7"/>
      <c r="BC434">
        <f ca="1"/>
      </c>
      <c r="BE434">
        <f ca="1"/>
      </c>
    </row>
    <row r="435" spans="31:57" x14ac:dyDescent="0.55000000000000004">
      <c r="AE435" s="7"/>
      <c r="AT435" s="7"/>
      <c r="AU435">
        <f ca="1"/>
      </c>
      <c r="AV435">
        <f ca="1"/>
      </c>
      <c r="AX435">
        <f ca="1"/>
      </c>
      <c r="AY435">
        <f ca="1"/>
      </c>
      <c r="BA435" s="7"/>
      <c r="BC435">
        <f ca="1"/>
      </c>
      <c r="BE435">
        <f ca="1"/>
      </c>
    </row>
    <row r="436" spans="31:57" x14ac:dyDescent="0.55000000000000004">
      <c r="AE436" s="7"/>
      <c r="AT436" s="7"/>
      <c r="AU436">
        <f ca="1"/>
      </c>
      <c r="AV436">
        <f ca="1"/>
      </c>
      <c r="AX436">
        <f ca="1"/>
      </c>
      <c r="AY436">
        <f ca="1"/>
      </c>
      <c r="BA436" s="7"/>
      <c r="BC436">
        <f ca="1"/>
      </c>
      <c r="BE436">
        <f ca="1"/>
      </c>
    </row>
    <row r="437" spans="31:57" x14ac:dyDescent="0.55000000000000004">
      <c r="AE437" s="7"/>
      <c r="AT437" s="7"/>
      <c r="AU437">
        <f ca="1"/>
      </c>
      <c r="AV437">
        <f ca="1"/>
      </c>
      <c r="AX437">
        <f ca="1"/>
      </c>
      <c r="AY437">
        <f ca="1"/>
      </c>
      <c r="BA437" s="7"/>
      <c r="BC437">
        <f ca="1"/>
      </c>
      <c r="BE437">
        <f ca="1"/>
      </c>
    </row>
    <row r="438" spans="31:57" x14ac:dyDescent="0.55000000000000004">
      <c r="AE438" s="7"/>
      <c r="AT438" s="7"/>
      <c r="AU438">
        <f ca="1"/>
      </c>
      <c r="AV438">
        <f ca="1"/>
      </c>
      <c r="AX438">
        <f ca="1"/>
      </c>
      <c r="AY438">
        <f ca="1"/>
      </c>
      <c r="BA438" s="7"/>
      <c r="BC438">
        <f ca="1"/>
      </c>
      <c r="BE438">
        <f ca="1"/>
      </c>
    </row>
    <row r="439" spans="31:57" x14ac:dyDescent="0.55000000000000004">
      <c r="AE439" s="7"/>
      <c r="AT439" s="7"/>
      <c r="AU439">
        <f ca="1"/>
      </c>
      <c r="AV439">
        <f ca="1"/>
      </c>
      <c r="AX439">
        <f ca="1"/>
      </c>
      <c r="AY439">
        <f ca="1"/>
      </c>
      <c r="BA439" s="7"/>
      <c r="BC439">
        <f ca="1"/>
      </c>
      <c r="BE439">
        <f ca="1"/>
      </c>
    </row>
    <row r="440" spans="31:57" x14ac:dyDescent="0.55000000000000004">
      <c r="AE440" s="7"/>
      <c r="AT440" s="7"/>
      <c r="AU440">
        <f ca="1"/>
      </c>
      <c r="AV440">
        <f ca="1"/>
      </c>
      <c r="AX440">
        <f ca="1"/>
      </c>
      <c r="AY440">
        <f ca="1"/>
      </c>
      <c r="BA440" s="7"/>
      <c r="BC440">
        <f ca="1"/>
      </c>
      <c r="BE440">
        <f ca="1"/>
      </c>
    </row>
    <row r="441" spans="31:57" x14ac:dyDescent="0.55000000000000004">
      <c r="AE441" s="7"/>
      <c r="AT441" s="7"/>
      <c r="AU441">
        <f ca="1"/>
      </c>
      <c r="AV441">
        <f ca="1"/>
      </c>
      <c r="AX441">
        <f ca="1"/>
      </c>
      <c r="AY441">
        <f ca="1"/>
      </c>
      <c r="BA441" s="7"/>
      <c r="BC441">
        <f ca="1"/>
      </c>
      <c r="BE441">
        <f ca="1"/>
      </c>
    </row>
    <row r="442" spans="31:57" x14ac:dyDescent="0.55000000000000004">
      <c r="AE442" s="7"/>
      <c r="AT442" s="7"/>
      <c r="AU442">
        <f ca="1"/>
      </c>
      <c r="AV442">
        <f ca="1"/>
      </c>
      <c r="AX442">
        <f ca="1"/>
      </c>
      <c r="AY442">
        <f ca="1"/>
      </c>
      <c r="BA442" s="7"/>
      <c r="BC442">
        <f ca="1"/>
      </c>
      <c r="BE442">
        <f ca="1"/>
      </c>
    </row>
    <row r="443" spans="31:57" x14ac:dyDescent="0.55000000000000004">
      <c r="AE443" s="7"/>
      <c r="AT443" s="7"/>
      <c r="AU443">
        <f ca="1"/>
      </c>
      <c r="AV443">
        <f ca="1"/>
      </c>
      <c r="AX443">
        <f ca="1"/>
      </c>
      <c r="AY443">
        <f ca="1"/>
      </c>
      <c r="BA443" s="7"/>
      <c r="BC443">
        <f ca="1"/>
      </c>
      <c r="BE443">
        <f ca="1"/>
      </c>
    </row>
    <row r="444" spans="31:57" x14ac:dyDescent="0.55000000000000004">
      <c r="AE444" s="7"/>
      <c r="AT444" s="7"/>
      <c r="AU444">
        <f ca="1"/>
      </c>
      <c r="AV444">
        <f ca="1"/>
      </c>
      <c r="AX444">
        <f ca="1"/>
      </c>
      <c r="AY444">
        <f ca="1"/>
      </c>
      <c r="BA444" s="7"/>
      <c r="BC444">
        <f ca="1"/>
      </c>
      <c r="BE444">
        <f ca="1"/>
      </c>
    </row>
    <row r="445" spans="31:57" x14ac:dyDescent="0.55000000000000004">
      <c r="AE445" s="7"/>
      <c r="AT445" s="7"/>
      <c r="AU445">
        <f ca="1"/>
      </c>
      <c r="AV445">
        <f ca="1"/>
      </c>
      <c r="AX445">
        <f ca="1"/>
      </c>
      <c r="AY445">
        <f ca="1"/>
      </c>
      <c r="BA445" s="7"/>
      <c r="BC445">
        <f ca="1"/>
      </c>
      <c r="BE445">
        <f ca="1"/>
      </c>
    </row>
    <row r="446" spans="31:57" x14ac:dyDescent="0.55000000000000004">
      <c r="AE446" s="7"/>
      <c r="AT446" s="7"/>
      <c r="AU446">
        <f ca="1"/>
      </c>
      <c r="AV446">
        <f ca="1"/>
      </c>
      <c r="AX446">
        <f ca="1"/>
      </c>
      <c r="AY446">
        <f ca="1"/>
      </c>
      <c r="BA446" s="7"/>
      <c r="BC446">
        <f ca="1"/>
      </c>
      <c r="BE446">
        <f ca="1"/>
      </c>
    </row>
    <row r="447" spans="31:57" x14ac:dyDescent="0.55000000000000004">
      <c r="AE447" s="7"/>
      <c r="AT447" s="7"/>
      <c r="AU447">
        <f ca="1"/>
      </c>
      <c r="AV447">
        <f ca="1"/>
      </c>
      <c r="AX447">
        <f ca="1"/>
      </c>
      <c r="AY447">
        <f ca="1"/>
      </c>
      <c r="BA447" s="7"/>
      <c r="BC447">
        <f ca="1"/>
      </c>
      <c r="BE447">
        <f ca="1"/>
      </c>
    </row>
    <row r="448" spans="31:57" x14ac:dyDescent="0.55000000000000004">
      <c r="AE448" s="7"/>
      <c r="AT448" s="7"/>
      <c r="AU448">
        <f ca="1"/>
      </c>
      <c r="AV448">
        <f ca="1"/>
      </c>
      <c r="AX448">
        <f ca="1"/>
      </c>
      <c r="AY448">
        <f ca="1"/>
      </c>
      <c r="BA448" s="7"/>
      <c r="BC448">
        <f ca="1"/>
      </c>
      <c r="BE448">
        <f ca="1"/>
      </c>
    </row>
    <row r="449" spans="31:57" x14ac:dyDescent="0.55000000000000004">
      <c r="AE449" s="7"/>
      <c r="AT449" s="7"/>
      <c r="AU449">
        <f ca="1"/>
      </c>
      <c r="AV449">
        <f ca="1"/>
      </c>
      <c r="AX449">
        <f ca="1"/>
      </c>
      <c r="AY449">
        <f ca="1"/>
      </c>
      <c r="BA449" s="7"/>
      <c r="BC449">
        <f ca="1"/>
      </c>
      <c r="BE449">
        <f ca="1"/>
      </c>
    </row>
    <row r="450" spans="31:57" x14ac:dyDescent="0.55000000000000004">
      <c r="AE450" s="7"/>
      <c r="AT450" s="7"/>
      <c r="AU450">
        <f ca="1"/>
      </c>
      <c r="AV450">
        <f ca="1"/>
      </c>
      <c r="AX450">
        <f ca="1"/>
      </c>
      <c r="AY450">
        <f ca="1"/>
      </c>
      <c r="BA450" s="7"/>
      <c r="BC450">
        <f ca="1"/>
      </c>
      <c r="BE450">
        <f ca="1"/>
      </c>
    </row>
    <row r="451" spans="31:57" x14ac:dyDescent="0.55000000000000004">
      <c r="AE451" s="7"/>
      <c r="AT451" s="7"/>
      <c r="AU451">
        <f ca="1"/>
      </c>
      <c r="AV451">
        <f ca="1"/>
      </c>
      <c r="AX451">
        <f ca="1"/>
      </c>
      <c r="AY451">
        <f ca="1"/>
      </c>
      <c r="BA451" s="7"/>
      <c r="BC451">
        <f ca="1"/>
      </c>
      <c r="BE451">
        <f ca="1"/>
      </c>
    </row>
    <row r="452" spans="31:57" x14ac:dyDescent="0.55000000000000004">
      <c r="AE452" s="7"/>
      <c r="AT452" s="7"/>
      <c r="AU452">
        <f ca="1"/>
      </c>
      <c r="AV452">
        <f ca="1"/>
      </c>
      <c r="AX452">
        <f ca="1"/>
      </c>
      <c r="AY452">
        <f ca="1"/>
      </c>
      <c r="BA452" s="7"/>
      <c r="BC452">
        <f ca="1"/>
      </c>
      <c r="BE452">
        <f ca="1"/>
      </c>
    </row>
    <row r="453" spans="31:57" x14ac:dyDescent="0.55000000000000004">
      <c r="AE453" s="7"/>
      <c r="AT453" s="7"/>
      <c r="AU453">
        <f ca="1"/>
      </c>
      <c r="AV453">
        <f ca="1"/>
      </c>
      <c r="AX453">
        <f ca="1"/>
      </c>
      <c r="AY453">
        <f ca="1"/>
      </c>
      <c r="BA453" s="7"/>
      <c r="BC453">
        <f ca="1"/>
      </c>
      <c r="BE453">
        <f ca="1"/>
      </c>
    </row>
    <row r="454" spans="31:57" x14ac:dyDescent="0.55000000000000004">
      <c r="AE454" s="7"/>
      <c r="AT454" s="7"/>
      <c r="AU454">
        <f ca="1"/>
      </c>
      <c r="AV454">
        <f ca="1"/>
      </c>
      <c r="AX454">
        <f ca="1"/>
      </c>
      <c r="AY454">
        <f ca="1"/>
      </c>
      <c r="BA454" s="7"/>
      <c r="BC454">
        <f ca="1"/>
      </c>
      <c r="BE454">
        <f ca="1"/>
      </c>
    </row>
    <row r="455" spans="31:57" x14ac:dyDescent="0.55000000000000004">
      <c r="AE455" s="7"/>
      <c r="AT455" s="7"/>
      <c r="AU455">
        <f ca="1"/>
      </c>
      <c r="AV455">
        <f ca="1"/>
      </c>
      <c r="AX455">
        <f ca="1"/>
      </c>
      <c r="AY455">
        <f ca="1"/>
      </c>
      <c r="BA455" s="7"/>
      <c r="BC455">
        <f ca="1"/>
      </c>
      <c r="BE455">
        <f ca="1"/>
      </c>
    </row>
    <row r="456" spans="31:57" x14ac:dyDescent="0.55000000000000004">
      <c r="AE456" s="7"/>
      <c r="AT456" s="7"/>
      <c r="AU456">
        <f ca="1"/>
      </c>
      <c r="AV456">
        <f ca="1"/>
      </c>
      <c r="AX456">
        <f ca="1"/>
      </c>
      <c r="AY456">
        <f ca="1"/>
      </c>
      <c r="BA456" s="7"/>
      <c r="BC456">
        <f ca="1"/>
      </c>
      <c r="BE456">
        <f ca="1"/>
      </c>
    </row>
    <row r="457" spans="31:57" x14ac:dyDescent="0.55000000000000004">
      <c r="AE457" s="7"/>
      <c r="AT457" s="7"/>
      <c r="AU457">
        <f ca="1"/>
      </c>
      <c r="AV457">
        <f ca="1"/>
      </c>
      <c r="AX457">
        <f ca="1"/>
      </c>
      <c r="AY457">
        <f ca="1"/>
      </c>
      <c r="BA457" s="7"/>
      <c r="BC457">
        <f ca="1"/>
      </c>
      <c r="BE457">
        <f ca="1"/>
      </c>
    </row>
    <row r="458" spans="31:57" x14ac:dyDescent="0.55000000000000004">
      <c r="AE458" s="7"/>
      <c r="AT458" s="7"/>
      <c r="AU458">
        <f ca="1"/>
      </c>
      <c r="AV458">
        <f ca="1"/>
      </c>
      <c r="AX458">
        <f ca="1"/>
      </c>
      <c r="AY458">
        <f ca="1"/>
      </c>
      <c r="BA458" s="7"/>
      <c r="BC458">
        <f ca="1"/>
      </c>
      <c r="BE458">
        <f ca="1"/>
      </c>
    </row>
    <row r="459" spans="31:57" x14ac:dyDescent="0.55000000000000004">
      <c r="AE459" s="7"/>
      <c r="AT459" s="7"/>
      <c r="AU459">
        <f ca="1"/>
      </c>
      <c r="AV459">
        <f ca="1"/>
      </c>
      <c r="AX459">
        <f ca="1"/>
      </c>
      <c r="AY459">
        <f ca="1"/>
      </c>
      <c r="BA459" s="7"/>
      <c r="BC459">
        <f ca="1"/>
      </c>
      <c r="BE459">
        <f ca="1"/>
      </c>
    </row>
    <row r="460" spans="31:57" x14ac:dyDescent="0.55000000000000004">
      <c r="AE460" s="7"/>
      <c r="AT460" s="7"/>
      <c r="AU460">
        <f ca="1"/>
      </c>
      <c r="AV460">
        <f ca="1"/>
      </c>
      <c r="AX460">
        <f ca="1"/>
      </c>
      <c r="AY460">
        <f ca="1"/>
      </c>
      <c r="BA460" s="7"/>
      <c r="BC460">
        <f ca="1"/>
      </c>
      <c r="BE460">
        <f ca="1"/>
      </c>
    </row>
    <row r="461" spans="31:57" x14ac:dyDescent="0.55000000000000004">
      <c r="AE461" s="7"/>
      <c r="AT461" s="7"/>
      <c r="AU461">
        <f ca="1"/>
      </c>
      <c r="AV461">
        <f ca="1"/>
      </c>
      <c r="AX461">
        <f ca="1"/>
      </c>
      <c r="AY461">
        <f ca="1"/>
      </c>
      <c r="BA461" s="7"/>
      <c r="BC461">
        <f ca="1"/>
      </c>
      <c r="BE461">
        <f ca="1"/>
      </c>
    </row>
    <row r="462" spans="31:57" x14ac:dyDescent="0.55000000000000004">
      <c r="AE462" s="7"/>
      <c r="AT462" s="7"/>
      <c r="AU462">
        <f ca="1"/>
      </c>
      <c r="AV462">
        <f ca="1"/>
      </c>
      <c r="AX462">
        <f ca="1"/>
      </c>
      <c r="AY462">
        <f ca="1"/>
      </c>
      <c r="BA462" s="7"/>
      <c r="BC462">
        <f ca="1"/>
      </c>
      <c r="BE462">
        <f ca="1"/>
      </c>
    </row>
    <row r="463" spans="31:57" x14ac:dyDescent="0.55000000000000004">
      <c r="AE463" s="7"/>
      <c r="AT463" s="7"/>
      <c r="AU463">
        <f ca="1"/>
      </c>
      <c r="AV463">
        <f ca="1"/>
      </c>
      <c r="AX463">
        <f ca="1"/>
      </c>
      <c r="AY463">
        <f ca="1"/>
      </c>
      <c r="BA463" s="7"/>
      <c r="BC463">
        <f ca="1"/>
      </c>
      <c r="BE463">
        <f ca="1"/>
      </c>
    </row>
    <row r="464" spans="31:57" x14ac:dyDescent="0.55000000000000004">
      <c r="AE464" s="7"/>
      <c r="AT464" s="7"/>
      <c r="AU464">
        <f ca="1"/>
      </c>
      <c r="AV464">
        <f ca="1"/>
      </c>
      <c r="AX464">
        <f ca="1"/>
      </c>
      <c r="AY464">
        <f ca="1"/>
      </c>
      <c r="BA464" s="7"/>
      <c r="BC464">
        <f ca="1"/>
      </c>
      <c r="BE464">
        <f ca="1"/>
      </c>
    </row>
    <row r="465" spans="31:57" x14ac:dyDescent="0.55000000000000004">
      <c r="AE465" s="7"/>
      <c r="AT465" s="7"/>
      <c r="AU465">
        <f ca="1"/>
      </c>
      <c r="AV465">
        <f ca="1"/>
      </c>
      <c r="AX465">
        <f ca="1"/>
      </c>
      <c r="AY465">
        <f ca="1"/>
      </c>
      <c r="BA465" s="7"/>
      <c r="BC465">
        <f ca="1"/>
      </c>
      <c r="BE465">
        <f ca="1"/>
      </c>
    </row>
    <row r="466" spans="31:57" x14ac:dyDescent="0.55000000000000004">
      <c r="AE466" s="7"/>
      <c r="AT466" s="7"/>
      <c r="AU466">
        <f ca="1"/>
      </c>
      <c r="AV466">
        <f ca="1"/>
      </c>
      <c r="AX466">
        <f ca="1"/>
      </c>
      <c r="AY466">
        <f ca="1"/>
      </c>
      <c r="BA466" s="7"/>
      <c r="BC466">
        <f ca="1"/>
      </c>
      <c r="BE466">
        <f ca="1"/>
      </c>
    </row>
    <row r="467" spans="31:57" x14ac:dyDescent="0.55000000000000004">
      <c r="AE467" s="7"/>
      <c r="AT467" s="7"/>
      <c r="AU467">
        <f ca="1"/>
      </c>
      <c r="AV467">
        <f ca="1"/>
      </c>
      <c r="AX467">
        <f ca="1"/>
      </c>
      <c r="AY467">
        <f ca="1"/>
      </c>
      <c r="BA467" s="7"/>
      <c r="BC467">
        <f ca="1"/>
      </c>
      <c r="BE467">
        <f ca="1"/>
      </c>
    </row>
    <row r="468" spans="31:57" x14ac:dyDescent="0.55000000000000004">
      <c r="AE468" s="7"/>
      <c r="AT468" s="7"/>
      <c r="AU468">
        <f ca="1"/>
      </c>
      <c r="AV468">
        <f ca="1"/>
      </c>
      <c r="AX468">
        <f ca="1"/>
      </c>
      <c r="AY468">
        <f ca="1"/>
      </c>
      <c r="BA468" s="7"/>
      <c r="BC468">
        <f ca="1"/>
      </c>
      <c r="BE468">
        <f ca="1"/>
      </c>
    </row>
    <row r="469" spans="31:57" x14ac:dyDescent="0.55000000000000004">
      <c r="AE469" s="7"/>
      <c r="AT469" s="7"/>
      <c r="AU469">
        <f ca="1"/>
      </c>
      <c r="AV469">
        <f ca="1"/>
      </c>
      <c r="AX469">
        <f ca="1"/>
      </c>
      <c r="AY469">
        <f ca="1"/>
      </c>
      <c r="BA469" s="7"/>
      <c r="BC469">
        <f ca="1"/>
      </c>
      <c r="BE469">
        <f ca="1"/>
      </c>
    </row>
    <row r="470" spans="31:57" x14ac:dyDescent="0.55000000000000004">
      <c r="AE470" s="7"/>
      <c r="AT470" s="7"/>
      <c r="AU470">
        <f ca="1"/>
      </c>
      <c r="AV470">
        <f ca="1"/>
      </c>
      <c r="AX470">
        <f ca="1"/>
      </c>
      <c r="AY470">
        <f ca="1"/>
      </c>
      <c r="BA470" s="7"/>
      <c r="BC470">
        <f ca="1"/>
      </c>
      <c r="BE470">
        <f ca="1"/>
      </c>
    </row>
    <row r="471" spans="31:57" x14ac:dyDescent="0.55000000000000004">
      <c r="AE471" s="7"/>
      <c r="AT471" s="7"/>
      <c r="AU471">
        <f ca="1"/>
      </c>
      <c r="AV471">
        <f ca="1"/>
      </c>
      <c r="AX471">
        <f ca="1"/>
      </c>
      <c r="AY471">
        <f ca="1"/>
      </c>
      <c r="BA471" s="7"/>
      <c r="BC471">
        <f ca="1"/>
      </c>
      <c r="BE471">
        <f ca="1"/>
      </c>
    </row>
    <row r="472" spans="31:57" x14ac:dyDescent="0.55000000000000004">
      <c r="AE472" s="7"/>
      <c r="AT472" s="7"/>
      <c r="AU472">
        <f ca="1"/>
      </c>
      <c r="AV472">
        <f ca="1"/>
      </c>
      <c r="AX472">
        <f ca="1"/>
      </c>
      <c r="AY472">
        <f ca="1"/>
      </c>
      <c r="BA472" s="7"/>
      <c r="BC472">
        <f ca="1"/>
      </c>
      <c r="BE472">
        <f ca="1"/>
      </c>
    </row>
    <row r="473" spans="31:57" x14ac:dyDescent="0.55000000000000004">
      <c r="AE473" s="7"/>
      <c r="AT473" s="7"/>
      <c r="AU473">
        <f ca="1"/>
      </c>
      <c r="AV473">
        <f ca="1"/>
      </c>
      <c r="AX473">
        <f ca="1"/>
      </c>
      <c r="AY473">
        <f ca="1"/>
      </c>
      <c r="BA473" s="7"/>
      <c r="BC473">
        <f ca="1"/>
      </c>
      <c r="BE473">
        <f ca="1"/>
      </c>
    </row>
    <row r="474" spans="31:57" x14ac:dyDescent="0.55000000000000004">
      <c r="AE474" s="7"/>
      <c r="AT474" s="7"/>
      <c r="AU474">
        <f ca="1"/>
      </c>
      <c r="AV474">
        <f ca="1"/>
      </c>
      <c r="AX474">
        <f ca="1"/>
      </c>
      <c r="AY474">
        <f ca="1"/>
      </c>
      <c r="BA474" s="7"/>
      <c r="BC474">
        <f ca="1"/>
      </c>
      <c r="BE474">
        <f ca="1"/>
      </c>
    </row>
    <row r="475" spans="31:57" x14ac:dyDescent="0.55000000000000004">
      <c r="AE475" s="7"/>
      <c r="AT475" s="7"/>
      <c r="AU475">
        <f ca="1"/>
      </c>
      <c r="AV475">
        <f ca="1"/>
      </c>
      <c r="AX475">
        <f ca="1"/>
      </c>
      <c r="AY475">
        <f ca="1"/>
      </c>
      <c r="BA475" s="7"/>
      <c r="BC475">
        <f ca="1"/>
      </c>
      <c r="BE475">
        <f ca="1"/>
      </c>
    </row>
    <row r="476" spans="31:57" x14ac:dyDescent="0.55000000000000004">
      <c r="AE476" s="7"/>
      <c r="AT476" s="7"/>
      <c r="AU476">
        <f ca="1"/>
      </c>
      <c r="AV476">
        <f ca="1"/>
      </c>
      <c r="AX476">
        <f ca="1"/>
      </c>
      <c r="AY476">
        <f ca="1"/>
      </c>
      <c r="BA476" s="7"/>
      <c r="BC476">
        <f ca="1"/>
      </c>
      <c r="BE476">
        <f ca="1"/>
      </c>
    </row>
    <row r="477" spans="31:57" x14ac:dyDescent="0.55000000000000004">
      <c r="AE477" s="7"/>
      <c r="AT477" s="7"/>
      <c r="AU477">
        <f ca="1"/>
      </c>
      <c r="AV477">
        <f ca="1"/>
      </c>
      <c r="AX477">
        <f ca="1"/>
      </c>
      <c r="AY477">
        <f ca="1"/>
      </c>
      <c r="BA477" s="7"/>
      <c r="BC477">
        <f ca="1"/>
      </c>
      <c r="BE477">
        <f ca="1"/>
      </c>
    </row>
    <row r="478" spans="31:57" x14ac:dyDescent="0.55000000000000004">
      <c r="AE478" s="7"/>
      <c r="AT478" s="7"/>
      <c r="AU478">
        <f ca="1"/>
      </c>
      <c r="AV478">
        <f ca="1"/>
      </c>
      <c r="AX478">
        <f ca="1"/>
      </c>
      <c r="AY478">
        <f ca="1"/>
      </c>
      <c r="BA478" s="7"/>
      <c r="BC478">
        <f ca="1"/>
      </c>
      <c r="BE478">
        <f ca="1"/>
      </c>
    </row>
    <row r="479" spans="31:57" x14ac:dyDescent="0.55000000000000004">
      <c r="AE479" s="7"/>
      <c r="AT479" s="7"/>
      <c r="AU479">
        <f ca="1"/>
      </c>
      <c r="AV479">
        <f ca="1"/>
      </c>
      <c r="AX479">
        <f ca="1"/>
      </c>
      <c r="AY479">
        <f ca="1"/>
      </c>
      <c r="BA479" s="7"/>
      <c r="BC479">
        <f ca="1"/>
      </c>
      <c r="BE479">
        <f ca="1"/>
      </c>
    </row>
    <row r="480" spans="31:57" x14ac:dyDescent="0.55000000000000004">
      <c r="AE480" s="7"/>
      <c r="AT480" s="7"/>
      <c r="AU480">
        <f ca="1"/>
      </c>
      <c r="AV480">
        <f ca="1"/>
      </c>
      <c r="AX480">
        <f ca="1"/>
      </c>
      <c r="AY480">
        <f ca="1"/>
      </c>
      <c r="BA480" s="7"/>
      <c r="BC480">
        <f ca="1"/>
      </c>
      <c r="BE480">
        <f ca="1"/>
      </c>
    </row>
    <row r="481" spans="31:57" x14ac:dyDescent="0.55000000000000004">
      <c r="AE481" s="7"/>
      <c r="AT481" s="7"/>
      <c r="AU481">
        <f ca="1"/>
      </c>
      <c r="AV481">
        <f ca="1"/>
      </c>
      <c r="AX481">
        <f ca="1"/>
      </c>
      <c r="AY481">
        <f ca="1"/>
      </c>
      <c r="BA481" s="7"/>
      <c r="BC481">
        <f ca="1"/>
      </c>
      <c r="BE481">
        <f ca="1"/>
      </c>
    </row>
    <row r="482" spans="31:57" x14ac:dyDescent="0.55000000000000004">
      <c r="AE482" s="7"/>
      <c r="AT482" s="7"/>
      <c r="AU482">
        <f ca="1"/>
      </c>
      <c r="AV482">
        <f ca="1"/>
      </c>
      <c r="AX482">
        <f ca="1"/>
      </c>
      <c r="AY482">
        <f ca="1"/>
      </c>
      <c r="BA482" s="7"/>
      <c r="BC482">
        <f ca="1"/>
      </c>
      <c r="BE482">
        <f ca="1"/>
      </c>
    </row>
    <row r="483" spans="31:57" x14ac:dyDescent="0.55000000000000004">
      <c r="AE483" s="7"/>
      <c r="AT483" s="7"/>
      <c r="AU483">
        <f ca="1"/>
      </c>
      <c r="AV483">
        <f ca="1"/>
      </c>
      <c r="AX483">
        <f ca="1"/>
      </c>
      <c r="AY483">
        <f ca="1"/>
      </c>
      <c r="BA483" s="7"/>
      <c r="BC483">
        <f ca="1"/>
      </c>
      <c r="BE483">
        <f ca="1"/>
      </c>
    </row>
    <row r="484" spans="31:57" x14ac:dyDescent="0.55000000000000004">
      <c r="AE484" s="7"/>
      <c r="AT484" s="7"/>
      <c r="AU484">
        <f ca="1"/>
      </c>
      <c r="AV484">
        <f ca="1"/>
      </c>
      <c r="AX484">
        <f ca="1"/>
      </c>
      <c r="AY484">
        <f ca="1"/>
      </c>
      <c r="BA484" s="7"/>
      <c r="BC484">
        <f ca="1"/>
      </c>
      <c r="BE484">
        <f ca="1"/>
      </c>
    </row>
    <row r="485" spans="31:57" x14ac:dyDescent="0.55000000000000004">
      <c r="AE485" s="7"/>
      <c r="AT485" s="7"/>
      <c r="AU485">
        <f ca="1"/>
      </c>
      <c r="AV485">
        <f ca="1"/>
      </c>
      <c r="AX485">
        <f ca="1"/>
      </c>
      <c r="AY485">
        <f ca="1"/>
      </c>
      <c r="BA485" s="7"/>
      <c r="BC485">
        <f ca="1"/>
      </c>
      <c r="BE485">
        <f ca="1"/>
      </c>
    </row>
    <row r="486" spans="31:57" x14ac:dyDescent="0.55000000000000004">
      <c r="AE486" s="7"/>
      <c r="AT486" s="7"/>
      <c r="AU486">
        <f ca="1"/>
      </c>
      <c r="AV486">
        <f ca="1"/>
      </c>
      <c r="AX486">
        <f ca="1"/>
      </c>
      <c r="AY486">
        <f ca="1"/>
      </c>
      <c r="BA486" s="7"/>
      <c r="BC486">
        <f ca="1"/>
      </c>
      <c r="BE486">
        <f ca="1"/>
      </c>
    </row>
    <row r="487" spans="31:57" x14ac:dyDescent="0.55000000000000004">
      <c r="AE487" s="7"/>
      <c r="AT487" s="7"/>
      <c r="AU487">
        <f ca="1"/>
      </c>
      <c r="AV487">
        <f ca="1"/>
      </c>
      <c r="AX487">
        <f ca="1"/>
      </c>
      <c r="AY487">
        <f ca="1"/>
      </c>
      <c r="BA487" s="7"/>
      <c r="BC487">
        <f ca="1"/>
      </c>
      <c r="BE487">
        <f ca="1"/>
      </c>
    </row>
    <row r="488" spans="31:57" x14ac:dyDescent="0.55000000000000004">
      <c r="AE488" s="7"/>
      <c r="AT488" s="7"/>
      <c r="AU488">
        <f ca="1"/>
      </c>
      <c r="AV488">
        <f ca="1"/>
      </c>
      <c r="AX488">
        <f ca="1"/>
      </c>
      <c r="AY488">
        <f ca="1"/>
      </c>
      <c r="BA488" s="7"/>
      <c r="BC488">
        <f ca="1"/>
      </c>
      <c r="BE488">
        <f ca="1"/>
      </c>
    </row>
    <row r="489" spans="31:57" x14ac:dyDescent="0.55000000000000004">
      <c r="AE489" s="7"/>
      <c r="AT489" s="7"/>
      <c r="AU489">
        <f ca="1"/>
      </c>
      <c r="AV489">
        <f ca="1"/>
      </c>
      <c r="AX489">
        <f ca="1"/>
      </c>
      <c r="AY489">
        <f ca="1"/>
      </c>
      <c r="BA489" s="7"/>
    </row>
    <row r="490" spans="31:57" x14ac:dyDescent="0.55000000000000004">
      <c r="AE490" s="7"/>
      <c r="AT490" s="7"/>
      <c r="AU490">
        <f ca="1"/>
      </c>
      <c r="AV490">
        <f ca="1"/>
      </c>
      <c r="AX490">
        <f ca="1"/>
      </c>
      <c r="AY490">
        <f ca="1"/>
      </c>
      <c r="BA490" s="7"/>
    </row>
    <row r="491" spans="31:57" x14ac:dyDescent="0.55000000000000004">
      <c r="AE491" s="7"/>
      <c r="AT491" s="7"/>
      <c r="AU491">
        <f ca="1"/>
      </c>
      <c r="AV491">
        <f ca="1"/>
      </c>
      <c r="AX491">
        <f ca="1"/>
      </c>
      <c r="AY491">
        <f ca="1"/>
      </c>
      <c r="BA491" s="7"/>
    </row>
    <row r="492" spans="31:57" x14ac:dyDescent="0.55000000000000004">
      <c r="AE492" s="7"/>
      <c r="AT492" s="7"/>
      <c r="AU492">
        <f ca="1"/>
      </c>
      <c r="AV492">
        <f ca="1"/>
      </c>
      <c r="AX492">
        <f ca="1"/>
      </c>
      <c r="AY492">
        <f ca="1"/>
      </c>
      <c r="BA492" s="7"/>
    </row>
    <row r="493" spans="31:57" x14ac:dyDescent="0.55000000000000004">
      <c r="AE493" s="7"/>
      <c r="AT493" s="7"/>
      <c r="AU493">
        <f ca="1"/>
      </c>
      <c r="AV493">
        <f ca="1"/>
      </c>
      <c r="AX493">
        <f ca="1"/>
      </c>
      <c r="AY493">
        <f ca="1"/>
      </c>
      <c r="BA493" s="7"/>
    </row>
    <row r="494" spans="31:57" x14ac:dyDescent="0.55000000000000004">
      <c r="AE494" s="7"/>
      <c r="AT494" s="7"/>
      <c r="AU494">
        <f ca="1"/>
      </c>
      <c r="AV494">
        <f ca="1"/>
      </c>
      <c r="AX494">
        <f ca="1"/>
      </c>
      <c r="AY494">
        <f ca="1"/>
      </c>
      <c r="BA494" s="7"/>
    </row>
    <row r="495" spans="31:57" x14ac:dyDescent="0.55000000000000004">
      <c r="AE495" s="7"/>
      <c r="AT495" s="7"/>
      <c r="AU495">
        <f ca="1"/>
      </c>
      <c r="AV495">
        <f ca="1"/>
      </c>
      <c r="AX495">
        <f ca="1"/>
      </c>
      <c r="AY495">
        <f ca="1"/>
      </c>
      <c r="BA495" s="7"/>
    </row>
    <row r="496" spans="31:57" x14ac:dyDescent="0.55000000000000004">
      <c r="AE496" s="7"/>
      <c r="AT496" s="7"/>
      <c r="AU496">
        <f ca="1"/>
      </c>
      <c r="AV496">
        <f ca="1"/>
      </c>
      <c r="AX496">
        <f ca="1"/>
      </c>
      <c r="AY496">
        <f ca="1"/>
      </c>
      <c r="BA496" s="7"/>
    </row>
    <row r="497" spans="31:53" x14ac:dyDescent="0.55000000000000004">
      <c r="AE497" s="7"/>
      <c r="AT497" s="7"/>
      <c r="AU497">
        <f ca="1"/>
      </c>
      <c r="AV497">
        <f ca="1"/>
      </c>
      <c r="AX497">
        <f ca="1"/>
      </c>
      <c r="AY497">
        <f ca="1"/>
      </c>
      <c r="BA497" s="7"/>
    </row>
    <row r="498" spans="31:53" x14ac:dyDescent="0.55000000000000004">
      <c r="AE498" s="7"/>
      <c r="AT498" s="7"/>
      <c r="AU498">
        <f ca="1"/>
      </c>
      <c r="AV498">
        <f ca="1"/>
      </c>
      <c r="AX498">
        <f ca="1"/>
      </c>
      <c r="AY498">
        <f ca="1"/>
      </c>
      <c r="BA498" s="7"/>
    </row>
    <row r="499" spans="31:53" x14ac:dyDescent="0.55000000000000004">
      <c r="AE499" s="7"/>
      <c r="AT499" s="7"/>
      <c r="AU499">
        <f ca="1"/>
      </c>
      <c r="AV499">
        <f ca="1"/>
      </c>
      <c r="AX499">
        <f ca="1"/>
      </c>
      <c r="AY499">
        <f ca="1"/>
      </c>
      <c r="BA499" s="7"/>
    </row>
    <row r="500" spans="31:53" x14ac:dyDescent="0.55000000000000004">
      <c r="AE500" s="7"/>
      <c r="AT500" s="7"/>
      <c r="AU500">
        <f ca="1"/>
      </c>
      <c r="AV500">
        <f ca="1"/>
      </c>
      <c r="AX500">
        <f ca="1"/>
      </c>
      <c r="AY500">
        <f ca="1"/>
      </c>
      <c r="BA500" s="7"/>
    </row>
    <row r="501" spans="31:53" x14ac:dyDescent="0.55000000000000004">
      <c r="AE501" s="7"/>
      <c r="AT501" s="7"/>
      <c r="AU501">
        <f ca="1"/>
      </c>
      <c r="AV501">
        <f ca="1"/>
      </c>
      <c r="AX501">
        <f ca="1"/>
      </c>
      <c r="AY501">
        <f ca="1"/>
      </c>
      <c r="BA501" s="7"/>
    </row>
    <row r="502" spans="31:53" x14ac:dyDescent="0.55000000000000004">
      <c r="AE502" s="7"/>
      <c r="AT502" s="7"/>
      <c r="AU502">
        <f ca="1"/>
      </c>
      <c r="AV502">
        <f ca="1"/>
      </c>
      <c r="AX502">
        <f ca="1"/>
      </c>
      <c r="AY502">
        <f ca="1"/>
      </c>
      <c r="BA502" s="7"/>
    </row>
    <row r="503" spans="31:53" x14ac:dyDescent="0.55000000000000004">
      <c r="AE503" s="7"/>
      <c r="AT503" s="7"/>
      <c r="AU503">
        <f ca="1"/>
      </c>
      <c r="AV503">
        <f ca="1"/>
      </c>
      <c r="AX503">
        <f ca="1"/>
      </c>
      <c r="AY503">
        <f ca="1"/>
      </c>
      <c r="BA503" s="7"/>
    </row>
    <row r="504" spans="31:53" x14ac:dyDescent="0.55000000000000004">
      <c r="AE504" s="7"/>
      <c r="AT504" s="7"/>
      <c r="AU504">
        <f ca="1"/>
      </c>
      <c r="AV504">
        <f ca="1"/>
      </c>
      <c r="AX504">
        <f ca="1"/>
      </c>
      <c r="AY504">
        <f ca="1"/>
      </c>
      <c r="BA504" s="7"/>
    </row>
    <row r="505" spans="31:53" x14ac:dyDescent="0.55000000000000004">
      <c r="AE505" s="7"/>
      <c r="AT505" s="7"/>
      <c r="AU505">
        <f ca="1"/>
      </c>
      <c r="AV505">
        <f ca="1"/>
      </c>
      <c r="AX505">
        <f ca="1"/>
      </c>
      <c r="AY505">
        <f ca="1"/>
      </c>
      <c r="BA505" s="7"/>
    </row>
    <row r="506" spans="31:53" x14ac:dyDescent="0.55000000000000004">
      <c r="AE506" s="7"/>
      <c r="AT506" s="7"/>
      <c r="AU506">
        <f ca="1"/>
      </c>
      <c r="AV506">
        <f ca="1"/>
      </c>
      <c r="AX506">
        <f ca="1"/>
      </c>
      <c r="AY506">
        <f ca="1"/>
      </c>
      <c r="BA506" s="7"/>
    </row>
    <row r="507" spans="31:53" x14ac:dyDescent="0.55000000000000004">
      <c r="AE507" s="7"/>
      <c r="AT507" s="7"/>
      <c r="AU507">
        <f ca="1"/>
      </c>
      <c r="AV507">
        <f ca="1"/>
      </c>
      <c r="AX507">
        <f ca="1"/>
      </c>
      <c r="AY507">
        <f ca="1"/>
      </c>
      <c r="BA507" s="7"/>
    </row>
    <row r="508" spans="31:53" x14ac:dyDescent="0.55000000000000004">
      <c r="AE508" s="7"/>
      <c r="AT508" s="7"/>
      <c r="AU508">
        <f ca="1"/>
      </c>
      <c r="AV508">
        <f ca="1"/>
      </c>
      <c r="AX508">
        <f ca="1"/>
      </c>
      <c r="AY508">
        <f ca="1"/>
      </c>
      <c r="BA508" s="7"/>
    </row>
    <row r="509" spans="31:53" x14ac:dyDescent="0.55000000000000004">
      <c r="AE509" s="7"/>
      <c r="AT509" s="7"/>
      <c r="AU509">
        <f ca="1"/>
      </c>
      <c r="AV509">
        <f ca="1"/>
      </c>
      <c r="AX509">
        <f ca="1"/>
      </c>
      <c r="AY509">
        <f ca="1"/>
      </c>
      <c r="BA509" s="7"/>
    </row>
    <row r="510" spans="31:53" x14ac:dyDescent="0.55000000000000004">
      <c r="AE510" s="7"/>
      <c r="AT510" s="7"/>
      <c r="AU510">
        <f ca="1"/>
      </c>
      <c r="AV510">
        <f ca="1"/>
      </c>
      <c r="AX510">
        <f ca="1"/>
      </c>
      <c r="AY510">
        <f ca="1"/>
      </c>
      <c r="BA510" s="7"/>
    </row>
    <row r="511" spans="31:53" x14ac:dyDescent="0.55000000000000004">
      <c r="AE511" s="7"/>
      <c r="AT511" s="7"/>
      <c r="AU511">
        <f ca="1"/>
      </c>
      <c r="AV511">
        <f ca="1"/>
      </c>
      <c r="AX511">
        <f ca="1"/>
      </c>
      <c r="AY511">
        <f ca="1"/>
      </c>
      <c r="BA511" s="7"/>
    </row>
    <row r="512" spans="31:53" x14ac:dyDescent="0.55000000000000004">
      <c r="AE512" s="7"/>
      <c r="AT512" s="7"/>
      <c r="AU512">
        <f ca="1"/>
      </c>
      <c r="AV512">
        <f ca="1"/>
      </c>
      <c r="AX512">
        <f ca="1"/>
      </c>
      <c r="AY512">
        <f ca="1"/>
      </c>
      <c r="BA512" s="7"/>
    </row>
    <row r="513" spans="31:53" x14ac:dyDescent="0.55000000000000004">
      <c r="AE513" s="7"/>
      <c r="AT513" s="7"/>
      <c r="AU513">
        <f ca="1"/>
      </c>
      <c r="AV513">
        <f ca="1"/>
      </c>
      <c r="AX513">
        <f ca="1"/>
      </c>
      <c r="AY513">
        <f ca="1"/>
      </c>
      <c r="BA513" s="7"/>
    </row>
    <row r="514" spans="31:53" x14ac:dyDescent="0.55000000000000004">
      <c r="AE514" s="7"/>
      <c r="AT514" s="7"/>
      <c r="AU514">
        <f ca="1"/>
      </c>
      <c r="AV514">
        <f ca="1"/>
      </c>
      <c r="AX514">
        <f ca="1"/>
      </c>
      <c r="AY514">
        <f ca="1"/>
      </c>
      <c r="BA514" s="7"/>
    </row>
    <row r="515" spans="31:53" x14ac:dyDescent="0.55000000000000004">
      <c r="AE515" s="7"/>
      <c r="AT515" s="7"/>
      <c r="AU515">
        <f ca="1"/>
      </c>
      <c r="AV515">
        <f ca="1"/>
      </c>
      <c r="AX515">
        <f ca="1"/>
      </c>
      <c r="AY515">
        <f ca="1"/>
      </c>
      <c r="BA515" s="7"/>
    </row>
    <row r="516" spans="31:53" x14ac:dyDescent="0.55000000000000004">
      <c r="AE516" s="7"/>
      <c r="AT516" s="7"/>
      <c r="AU516">
        <f ca="1"/>
      </c>
      <c r="AV516">
        <f ca="1"/>
      </c>
      <c r="AX516">
        <f ca="1"/>
      </c>
      <c r="AY516">
        <f ca="1"/>
      </c>
      <c r="BA516" s="7"/>
    </row>
    <row r="517" spans="31:53" x14ac:dyDescent="0.55000000000000004">
      <c r="AE517" s="7"/>
      <c r="AT517" s="7"/>
      <c r="AU517">
        <f ca="1"/>
      </c>
      <c r="AV517">
        <f ca="1"/>
      </c>
      <c r="AX517">
        <f ca="1"/>
      </c>
      <c r="AY517">
        <f ca="1"/>
      </c>
      <c r="BA517" s="7"/>
    </row>
    <row r="518" spans="31:53" x14ac:dyDescent="0.55000000000000004">
      <c r="AE518" s="7"/>
      <c r="AT518" s="7"/>
      <c r="AU518">
        <f ca="1"/>
      </c>
      <c r="AV518">
        <f ca="1"/>
      </c>
      <c r="AX518">
        <f ca="1"/>
      </c>
      <c r="AY518">
        <f ca="1"/>
      </c>
      <c r="BA518" s="7"/>
    </row>
    <row r="519" spans="31:53" x14ac:dyDescent="0.55000000000000004">
      <c r="AE519" s="7"/>
      <c r="AT519" s="7"/>
      <c r="AU519">
        <f ca="1"/>
      </c>
      <c r="AV519">
        <f ca="1"/>
      </c>
      <c r="AX519">
        <f ca="1"/>
      </c>
      <c r="AY519">
        <f ca="1"/>
      </c>
      <c r="BA519" s="7"/>
    </row>
    <row r="520" spans="31:53" x14ac:dyDescent="0.55000000000000004">
      <c r="AE520" s="7"/>
      <c r="AT520" s="7"/>
      <c r="AU520">
        <f ca="1"/>
      </c>
      <c r="AV520">
        <f ca="1"/>
      </c>
      <c r="AX520">
        <f ca="1"/>
      </c>
      <c r="AY520">
        <f ca="1"/>
      </c>
      <c r="BA520" s="7"/>
    </row>
    <row r="521" spans="31:53" x14ac:dyDescent="0.55000000000000004">
      <c r="AE521" s="7"/>
      <c r="AT521" s="7"/>
      <c r="AU521">
        <f ca="1"/>
      </c>
      <c r="AV521">
        <f ca="1"/>
      </c>
      <c r="AX521">
        <f ca="1"/>
      </c>
      <c r="AY521">
        <f ca="1"/>
      </c>
      <c r="BA521" s="7"/>
    </row>
    <row r="522" spans="31:53" x14ac:dyDescent="0.55000000000000004">
      <c r="AE522" s="7"/>
      <c r="AT522" s="7"/>
      <c r="AU522">
        <f ca="1"/>
      </c>
      <c r="AV522">
        <f ca="1"/>
      </c>
      <c r="AX522">
        <f ca="1"/>
      </c>
      <c r="AY522">
        <f ca="1"/>
      </c>
      <c r="BA522" s="7"/>
    </row>
    <row r="523" spans="31:53" x14ac:dyDescent="0.55000000000000004">
      <c r="AE523" s="7"/>
      <c r="AT523" s="7"/>
      <c r="AU523">
        <f ca="1"/>
      </c>
      <c r="AV523">
        <f ca="1"/>
      </c>
      <c r="AX523">
        <f ca="1"/>
      </c>
      <c r="AY523">
        <f ca="1"/>
      </c>
      <c r="BA523" s="7"/>
    </row>
    <row r="524" spans="31:53" x14ac:dyDescent="0.55000000000000004">
      <c r="AE524" s="7"/>
      <c r="AT524" s="7"/>
      <c r="AU524">
        <f ca="1"/>
      </c>
      <c r="AV524">
        <f ca="1"/>
      </c>
      <c r="AX524">
        <f ca="1"/>
      </c>
      <c r="AY524">
        <f ca="1"/>
      </c>
      <c r="BA524" s="7"/>
    </row>
    <row r="525" spans="31:53" x14ac:dyDescent="0.55000000000000004">
      <c r="AE525" s="7"/>
      <c r="AT525" s="7"/>
      <c r="AU525">
        <f ca="1"/>
      </c>
      <c r="AV525">
        <f ca="1"/>
      </c>
      <c r="AX525">
        <f ca="1"/>
      </c>
      <c r="AY525">
        <f ca="1"/>
      </c>
      <c r="BA525" s="7"/>
    </row>
    <row r="526" spans="31:53" x14ac:dyDescent="0.55000000000000004">
      <c r="AE526" s="7"/>
      <c r="AT526" s="7"/>
      <c r="AU526">
        <f ca="1"/>
      </c>
      <c r="AV526">
        <f ca="1"/>
      </c>
      <c r="AX526">
        <f ca="1"/>
      </c>
      <c r="AY526">
        <f ca="1"/>
      </c>
      <c r="BA526" s="7"/>
    </row>
    <row r="527" spans="31:53" x14ac:dyDescent="0.55000000000000004">
      <c r="AE527" s="7"/>
      <c r="AT527" s="7"/>
      <c r="AU527">
        <f ca="1"/>
      </c>
      <c r="AV527">
        <f ca="1"/>
      </c>
      <c r="AX527">
        <f ca="1"/>
      </c>
      <c r="AY527">
        <f ca="1"/>
      </c>
      <c r="BA527" s="7"/>
    </row>
    <row r="528" spans="31:53" x14ac:dyDescent="0.55000000000000004">
      <c r="AE528" s="7"/>
      <c r="AT528" s="7"/>
      <c r="AU528">
        <f ca="1"/>
      </c>
      <c r="AV528">
        <f ca="1"/>
      </c>
      <c r="AX528">
        <f ca="1"/>
      </c>
      <c r="AY528">
        <f ca="1"/>
      </c>
      <c r="BA528" s="7"/>
    </row>
    <row r="529" spans="31:53" x14ac:dyDescent="0.55000000000000004">
      <c r="AE529" s="7"/>
      <c r="AT529" s="7"/>
      <c r="AU529">
        <f ca="1"/>
      </c>
      <c r="AV529">
        <f ca="1"/>
      </c>
      <c r="AX529">
        <f ca="1"/>
      </c>
      <c r="AY529">
        <f ca="1"/>
      </c>
      <c r="BA529" s="7"/>
    </row>
    <row r="530" spans="31:53" x14ac:dyDescent="0.55000000000000004">
      <c r="AE530" s="7"/>
      <c r="AT530" s="7"/>
      <c r="AU530">
        <f ca="1"/>
      </c>
      <c r="AV530">
        <f ca="1"/>
      </c>
      <c r="AX530">
        <f ca="1"/>
      </c>
      <c r="AY530">
        <f ca="1"/>
      </c>
      <c r="BA530" s="7"/>
    </row>
    <row r="531" spans="31:53" x14ac:dyDescent="0.55000000000000004">
      <c r="AE531" s="7"/>
      <c r="AT531" s="7"/>
      <c r="AU531">
        <f ca="1"/>
      </c>
      <c r="AV531">
        <f ca="1"/>
      </c>
      <c r="AX531">
        <f ca="1"/>
      </c>
      <c r="AY531">
        <f ca="1"/>
      </c>
      <c r="BA531" s="7"/>
    </row>
    <row r="532" spans="31:53" x14ac:dyDescent="0.55000000000000004">
      <c r="AE532" s="7"/>
      <c r="AT532" s="7"/>
      <c r="AU532">
        <f ca="1"/>
      </c>
      <c r="AV532">
        <f ca="1"/>
      </c>
      <c r="AX532">
        <f ca="1"/>
      </c>
      <c r="AY532">
        <f ca="1"/>
      </c>
      <c r="BA532" s="7"/>
    </row>
    <row r="533" spans="31:53" x14ac:dyDescent="0.55000000000000004">
      <c r="AE533" s="7"/>
      <c r="AT533" s="7"/>
      <c r="AU533">
        <f ca="1"/>
      </c>
      <c r="AV533">
        <f ca="1"/>
      </c>
      <c r="AX533">
        <f ca="1"/>
      </c>
      <c r="AY533">
        <f ca="1"/>
      </c>
      <c r="BA533" s="7"/>
    </row>
    <row r="534" spans="31:53" x14ac:dyDescent="0.55000000000000004">
      <c r="AE534" s="7"/>
      <c r="AT534" s="7"/>
      <c r="AU534">
        <f ca="1"/>
      </c>
      <c r="AV534">
        <f ca="1"/>
      </c>
      <c r="AX534">
        <f ca="1"/>
      </c>
      <c r="AY534">
        <f ca="1"/>
      </c>
      <c r="BA534" s="7"/>
    </row>
    <row r="535" spans="31:53" x14ac:dyDescent="0.55000000000000004">
      <c r="AE535" s="7"/>
      <c r="AT535" s="7"/>
      <c r="AU535">
        <f ca="1"/>
      </c>
      <c r="AV535">
        <f ca="1"/>
      </c>
      <c r="AX535">
        <f ca="1"/>
      </c>
      <c r="AY535">
        <f ca="1"/>
      </c>
      <c r="BA535" s="7"/>
    </row>
    <row r="536" spans="31:53" x14ac:dyDescent="0.55000000000000004">
      <c r="AE536" s="7"/>
      <c r="AT536" s="7"/>
      <c r="AU536">
        <f ca="1"/>
      </c>
      <c r="AV536">
        <f ca="1"/>
      </c>
      <c r="AX536">
        <f ca="1"/>
      </c>
      <c r="AY536">
        <f ca="1"/>
      </c>
      <c r="BA536" s="7"/>
    </row>
    <row r="537" spans="31:53" x14ac:dyDescent="0.55000000000000004">
      <c r="AE537" s="7"/>
      <c r="AT537" s="7"/>
      <c r="AU537">
        <f ca="1"/>
      </c>
      <c r="AV537">
        <f ca="1"/>
      </c>
      <c r="AX537">
        <f ca="1"/>
      </c>
      <c r="AY537">
        <f ca="1"/>
      </c>
      <c r="BA537" s="7"/>
    </row>
    <row r="538" spans="31:53" x14ac:dyDescent="0.55000000000000004">
      <c r="AE538" s="7"/>
      <c r="AT538" s="7"/>
      <c r="AU538">
        <f ca="1"/>
      </c>
      <c r="AV538">
        <f ca="1"/>
      </c>
      <c r="AX538">
        <f ca="1"/>
      </c>
      <c r="AY538">
        <f ca="1"/>
      </c>
      <c r="BA538" s="7"/>
    </row>
    <row r="539" spans="31:53" x14ac:dyDescent="0.55000000000000004">
      <c r="AE539" s="7"/>
      <c r="AT539" s="7"/>
      <c r="AU539">
        <f ca="1"/>
      </c>
      <c r="AV539">
        <f ca="1"/>
      </c>
      <c r="AX539">
        <f ca="1"/>
      </c>
      <c r="AY539">
        <f ca="1"/>
      </c>
      <c r="BA539" s="7"/>
    </row>
    <row r="540" spans="31:53" x14ac:dyDescent="0.55000000000000004">
      <c r="AE540" s="7"/>
      <c r="AT540" s="7"/>
      <c r="AU540">
        <f ca="1"/>
      </c>
      <c r="AV540">
        <f ca="1"/>
      </c>
      <c r="AX540">
        <f ca="1"/>
      </c>
      <c r="AY540">
        <f ca="1"/>
      </c>
      <c r="BA540" s="7"/>
    </row>
    <row r="541" spans="31:53" x14ac:dyDescent="0.55000000000000004">
      <c r="AE541" s="7"/>
      <c r="AT541" s="7"/>
      <c r="AU541">
        <f ca="1"/>
      </c>
      <c r="AV541">
        <f ca="1"/>
      </c>
      <c r="AX541">
        <f ca="1"/>
      </c>
      <c r="AY541">
        <f ca="1"/>
      </c>
      <c r="BA541" s="7"/>
    </row>
    <row r="542" spans="31:53" x14ac:dyDescent="0.55000000000000004">
      <c r="AE542" s="7"/>
      <c r="AT542" s="7"/>
      <c r="AU542">
        <f ca="1"/>
      </c>
      <c r="AV542">
        <f ca="1"/>
      </c>
      <c r="AX542">
        <f ca="1"/>
      </c>
      <c r="AY542">
        <f ca="1"/>
      </c>
      <c r="BA542" s="7"/>
    </row>
    <row r="543" spans="31:53" x14ac:dyDescent="0.55000000000000004">
      <c r="AE543" s="7"/>
      <c r="AT543" s="7"/>
      <c r="AU543">
        <f ca="1"/>
      </c>
      <c r="AV543">
        <f ca="1"/>
      </c>
      <c r="AX543">
        <f ca="1"/>
      </c>
      <c r="AY543">
        <f ca="1"/>
      </c>
      <c r="BA543" s="7"/>
    </row>
    <row r="544" spans="31:53" x14ac:dyDescent="0.55000000000000004">
      <c r="AE544" s="7"/>
      <c r="AT544" s="7"/>
      <c r="AU544">
        <f ca="1"/>
      </c>
      <c r="AV544">
        <f ca="1"/>
      </c>
      <c r="AX544">
        <f ca="1"/>
      </c>
      <c r="AY544">
        <f ca="1"/>
      </c>
      <c r="BA544" s="7"/>
    </row>
    <row r="545" spans="31:53" x14ac:dyDescent="0.55000000000000004">
      <c r="AE545" s="7"/>
      <c r="AT545" s="7"/>
      <c r="AU545">
        <f ca="1"/>
      </c>
      <c r="AV545">
        <f ca="1"/>
      </c>
      <c r="AX545">
        <f ca="1"/>
      </c>
      <c r="AY545">
        <f ca="1"/>
      </c>
      <c r="BA545" s="7"/>
    </row>
    <row r="546" spans="31:53" x14ac:dyDescent="0.55000000000000004">
      <c r="AE546" s="7"/>
      <c r="AT546" s="7"/>
      <c r="AU546">
        <f ca="1"/>
      </c>
      <c r="AV546">
        <f ca="1"/>
      </c>
      <c r="AX546">
        <f ca="1"/>
      </c>
      <c r="AY546">
        <f ca="1"/>
      </c>
      <c r="BA546" s="7"/>
    </row>
    <row r="547" spans="31:53" x14ac:dyDescent="0.55000000000000004">
      <c r="AE547" s="7"/>
      <c r="AT547" s="7"/>
      <c r="AU547">
        <f ca="1"/>
      </c>
      <c r="AV547">
        <f ca="1"/>
      </c>
      <c r="AX547">
        <f ca="1"/>
      </c>
      <c r="AY547">
        <f ca="1"/>
      </c>
      <c r="BA547" s="7"/>
    </row>
    <row r="548" spans="31:53" x14ac:dyDescent="0.55000000000000004">
      <c r="AE548" s="7"/>
      <c r="AT548" s="7"/>
      <c r="AU548">
        <f ca="1"/>
      </c>
      <c r="AV548">
        <f ca="1"/>
      </c>
      <c r="AX548">
        <f ca="1"/>
      </c>
      <c r="AY548">
        <f ca="1"/>
      </c>
      <c r="BA548" s="7"/>
    </row>
    <row r="549" spans="31:53" x14ac:dyDescent="0.55000000000000004">
      <c r="AE549" s="7"/>
      <c r="AT549" s="7"/>
      <c r="AU549">
        <f ca="1"/>
      </c>
      <c r="AV549">
        <f ca="1"/>
      </c>
      <c r="AX549">
        <f ca="1"/>
      </c>
      <c r="AY549">
        <f ca="1"/>
      </c>
      <c r="BA549" s="7"/>
    </row>
    <row r="550" spans="31:53" x14ac:dyDescent="0.55000000000000004">
      <c r="AE550" s="7"/>
      <c r="AT550" s="7"/>
      <c r="AU550">
        <f ca="1"/>
      </c>
      <c r="AV550">
        <f ca="1"/>
      </c>
      <c r="AX550">
        <f ca="1"/>
      </c>
      <c r="AY550">
        <f ca="1"/>
      </c>
      <c r="BA550" s="7"/>
    </row>
    <row r="551" spans="31:53" x14ac:dyDescent="0.55000000000000004">
      <c r="AE551" s="7"/>
      <c r="AT551" s="7"/>
      <c r="AU551">
        <f ca="1"/>
      </c>
      <c r="AV551">
        <f ca="1"/>
      </c>
      <c r="AX551">
        <f ca="1"/>
      </c>
      <c r="AY551">
        <f ca="1"/>
      </c>
      <c r="BA551" s="7"/>
    </row>
    <row r="552" spans="31:53" x14ac:dyDescent="0.55000000000000004">
      <c r="AE552" s="7"/>
      <c r="AT552" s="7"/>
      <c r="AU552">
        <f ca="1"/>
      </c>
      <c r="AV552">
        <f ca="1"/>
      </c>
      <c r="AX552">
        <f ca="1"/>
      </c>
      <c r="AY552">
        <f ca="1"/>
      </c>
      <c r="BA552" s="7"/>
    </row>
    <row r="553" spans="31:53" x14ac:dyDescent="0.55000000000000004">
      <c r="AE553" s="7"/>
      <c r="AT553" s="7"/>
      <c r="AU553">
        <f ca="1"/>
      </c>
      <c r="AV553">
        <f ca="1"/>
      </c>
      <c r="AX553">
        <f ca="1"/>
      </c>
      <c r="AY553">
        <f ca="1"/>
      </c>
      <c r="BA553" s="7"/>
    </row>
    <row r="554" spans="31:53" x14ac:dyDescent="0.55000000000000004">
      <c r="AE554" s="7"/>
      <c r="AT554" s="7"/>
      <c r="AU554">
        <f ca="1"/>
      </c>
      <c r="AV554">
        <f ca="1"/>
      </c>
      <c r="AX554">
        <f ca="1"/>
      </c>
      <c r="AY554">
        <f ca="1"/>
      </c>
      <c r="BA554" s="7"/>
    </row>
    <row r="555" spans="31:53" x14ac:dyDescent="0.55000000000000004">
      <c r="AE555" s="7"/>
      <c r="AT555" s="7"/>
      <c r="AU555">
        <f ca="1"/>
      </c>
      <c r="AV555">
        <f ca="1"/>
      </c>
      <c r="AX555">
        <f ca="1"/>
      </c>
      <c r="AY555">
        <f ca="1"/>
      </c>
      <c r="BA555" s="7"/>
    </row>
    <row r="556" spans="31:53" x14ac:dyDescent="0.55000000000000004">
      <c r="AE556" s="7"/>
      <c r="AT556" s="7"/>
      <c r="AU556">
        <f ca="1"/>
      </c>
      <c r="AV556">
        <f ca="1"/>
      </c>
      <c r="AX556">
        <f ca="1"/>
      </c>
      <c r="AY556">
        <f ca="1"/>
      </c>
      <c r="BA556" s="7"/>
    </row>
    <row r="557" spans="31:53" x14ac:dyDescent="0.55000000000000004">
      <c r="AE557" s="7"/>
      <c r="AT557" s="7"/>
      <c r="AU557">
        <f ca="1"/>
      </c>
      <c r="AV557">
        <f ca="1"/>
      </c>
      <c r="AX557">
        <f ca="1"/>
      </c>
      <c r="AY557">
        <f ca="1"/>
      </c>
      <c r="BA557" s="7"/>
    </row>
    <row r="558" spans="31:53" x14ac:dyDescent="0.55000000000000004">
      <c r="AE558" s="7"/>
      <c r="AT558" s="7"/>
      <c r="AU558">
        <f ca="1"/>
      </c>
      <c r="AV558">
        <f ca="1"/>
      </c>
      <c r="AX558">
        <f ca="1"/>
      </c>
      <c r="AY558">
        <f ca="1"/>
      </c>
      <c r="BA558" s="7"/>
    </row>
    <row r="559" spans="31:53" x14ac:dyDescent="0.55000000000000004">
      <c r="AE559" s="7"/>
      <c r="AT559" s="7"/>
      <c r="AU559">
        <f ca="1"/>
      </c>
      <c r="AV559">
        <f ca="1"/>
      </c>
      <c r="AX559">
        <f ca="1"/>
      </c>
      <c r="AY559">
        <f ca="1"/>
      </c>
      <c r="BA559" s="7"/>
    </row>
    <row r="560" spans="31:53" x14ac:dyDescent="0.55000000000000004">
      <c r="AE560" s="7"/>
      <c r="AT560" s="7"/>
      <c r="AU560">
        <f ca="1"/>
      </c>
      <c r="AV560">
        <f ca="1"/>
      </c>
      <c r="AX560">
        <f ca="1"/>
      </c>
      <c r="AY560">
        <f ca="1"/>
      </c>
      <c r="BA560" s="7"/>
    </row>
    <row r="561" spans="31:53" x14ac:dyDescent="0.55000000000000004">
      <c r="AE561" s="7"/>
      <c r="AT561" s="7"/>
      <c r="AU561">
        <f ca="1"/>
      </c>
      <c r="AV561">
        <f ca="1"/>
      </c>
      <c r="AX561">
        <f ca="1"/>
      </c>
      <c r="AY561">
        <f ca="1"/>
      </c>
      <c r="BA561" s="7"/>
    </row>
    <row r="562" spans="31:53" x14ac:dyDescent="0.55000000000000004">
      <c r="AE562" s="7"/>
      <c r="AT562" s="7"/>
      <c r="AU562">
        <f ca="1"/>
      </c>
      <c r="AV562">
        <f ca="1"/>
      </c>
      <c r="AX562">
        <f ca="1"/>
      </c>
      <c r="AY562">
        <f ca="1"/>
      </c>
      <c r="BA562" s="7"/>
    </row>
    <row r="563" spans="31:53" x14ac:dyDescent="0.55000000000000004">
      <c r="AE563" s="7"/>
      <c r="AT563" s="7"/>
      <c r="AU563">
        <f ca="1"/>
      </c>
      <c r="AV563">
        <f ca="1"/>
      </c>
      <c r="AX563">
        <f ca="1"/>
      </c>
      <c r="AY563">
        <f ca="1"/>
      </c>
      <c r="BA563" s="7"/>
    </row>
    <row r="564" spans="31:53" x14ac:dyDescent="0.55000000000000004">
      <c r="AE564" s="7"/>
      <c r="AT564" s="7"/>
      <c r="AU564">
        <f ca="1"/>
      </c>
      <c r="AV564">
        <f ca="1"/>
      </c>
      <c r="AX564">
        <f ca="1"/>
      </c>
      <c r="AY564">
        <f ca="1"/>
      </c>
      <c r="BA564" s="7"/>
    </row>
    <row r="565" spans="31:53" x14ac:dyDescent="0.55000000000000004">
      <c r="AE565" s="7"/>
      <c r="AT565" s="7"/>
      <c r="AU565">
        <f ca="1"/>
      </c>
      <c r="AV565">
        <f ca="1"/>
      </c>
      <c r="AX565">
        <f ca="1"/>
      </c>
      <c r="AY565">
        <f ca="1"/>
      </c>
      <c r="BA565" s="7"/>
    </row>
    <row r="566" spans="31:53" x14ac:dyDescent="0.55000000000000004">
      <c r="AE566" s="7"/>
      <c r="AT566" s="7"/>
      <c r="AU566">
        <f ca="1"/>
      </c>
      <c r="AV566">
        <f ca="1"/>
      </c>
      <c r="AX566">
        <f ca="1"/>
      </c>
      <c r="AY566">
        <f ca="1"/>
      </c>
      <c r="BA566" s="7"/>
    </row>
    <row r="567" spans="31:53" x14ac:dyDescent="0.55000000000000004">
      <c r="AE567" s="7"/>
      <c r="AT567" s="7"/>
      <c r="AU567">
        <f ca="1"/>
      </c>
      <c r="AV567">
        <f ca="1"/>
      </c>
      <c r="AX567">
        <f ca="1"/>
      </c>
      <c r="AY567">
        <f ca="1"/>
      </c>
      <c r="BA567" s="7"/>
    </row>
    <row r="568" spans="31:53" x14ac:dyDescent="0.55000000000000004">
      <c r="AE568" s="7"/>
      <c r="AT568" s="7"/>
      <c r="AU568">
        <f ca="1"/>
      </c>
      <c r="AV568">
        <f ca="1"/>
      </c>
      <c r="AX568">
        <f ca="1"/>
      </c>
      <c r="AY568">
        <f ca="1"/>
      </c>
      <c r="BA568" s="7"/>
    </row>
    <row r="569" spans="31:53" x14ac:dyDescent="0.55000000000000004">
      <c r="AE569" s="7"/>
      <c r="AT569" s="7"/>
      <c r="AU569">
        <f ca="1"/>
      </c>
      <c r="AV569">
        <f ca="1"/>
      </c>
      <c r="AX569">
        <f ca="1"/>
      </c>
      <c r="AY569">
        <f ca="1"/>
      </c>
      <c r="BA569" s="7"/>
    </row>
    <row r="570" spans="31:53" x14ac:dyDescent="0.55000000000000004">
      <c r="AE570" s="7"/>
      <c r="AT570" s="7"/>
      <c r="AU570">
        <f ca="1"/>
      </c>
      <c r="AV570">
        <f ca="1"/>
      </c>
      <c r="AX570">
        <f ca="1"/>
      </c>
      <c r="AY570">
        <f ca="1"/>
      </c>
      <c r="BA570" s="7"/>
    </row>
    <row r="571" spans="31:53" x14ac:dyDescent="0.55000000000000004">
      <c r="AE571" s="7"/>
      <c r="AT571" s="7"/>
      <c r="AU571">
        <f ca="1"/>
      </c>
      <c r="AV571">
        <f ca="1"/>
      </c>
      <c r="AX571">
        <f ca="1"/>
      </c>
      <c r="AY571">
        <f ca="1"/>
      </c>
      <c r="BA571" s="7"/>
    </row>
    <row r="572" spans="31:53" x14ac:dyDescent="0.55000000000000004">
      <c r="AE572" s="7"/>
      <c r="AT572" s="7"/>
      <c r="AU572">
        <f ca="1"/>
      </c>
      <c r="AV572">
        <f ca="1"/>
      </c>
      <c r="AX572">
        <f ca="1"/>
      </c>
      <c r="AY572">
        <f ca="1"/>
      </c>
      <c r="BA572" s="7"/>
    </row>
    <row r="573" spans="31:53" x14ac:dyDescent="0.55000000000000004">
      <c r="AE573" s="7"/>
      <c r="AT573" s="7"/>
      <c r="AU573">
        <f ca="1"/>
      </c>
      <c r="AV573">
        <f ca="1"/>
      </c>
      <c r="AX573">
        <f ca="1"/>
      </c>
      <c r="AY573">
        <f ca="1"/>
      </c>
      <c r="BA573" s="7"/>
    </row>
    <row r="574" spans="31:53" x14ac:dyDescent="0.55000000000000004">
      <c r="AE574" s="7"/>
      <c r="AT574" s="7"/>
      <c r="AU574">
        <f ca="1"/>
      </c>
      <c r="AV574">
        <f ca="1"/>
      </c>
      <c r="AX574">
        <f ca="1"/>
      </c>
      <c r="AY574">
        <f ca="1"/>
      </c>
      <c r="BA574" s="7"/>
    </row>
    <row r="575" spans="31:53" x14ac:dyDescent="0.55000000000000004">
      <c r="AE575" s="7"/>
      <c r="AT575" s="7"/>
      <c r="AU575">
        <f ca="1"/>
      </c>
      <c r="AV575">
        <f ca="1"/>
      </c>
      <c r="AX575">
        <f ca="1"/>
      </c>
      <c r="AY575">
        <f ca="1"/>
      </c>
      <c r="BA575" s="7"/>
    </row>
    <row r="576" spans="31:53" x14ac:dyDescent="0.55000000000000004">
      <c r="AE576" s="7"/>
      <c r="AT576" s="7"/>
      <c r="AU576">
        <f ca="1"/>
      </c>
      <c r="AV576">
        <f ca="1"/>
      </c>
      <c r="AX576">
        <f ca="1"/>
      </c>
      <c r="AY576">
        <f ca="1"/>
      </c>
      <c r="BA576" s="7"/>
    </row>
    <row r="577" spans="31:53" x14ac:dyDescent="0.55000000000000004">
      <c r="AE577" s="7"/>
      <c r="AT577" s="7"/>
      <c r="AU577">
        <f ca="1"/>
      </c>
      <c r="AV577">
        <f ca="1"/>
      </c>
      <c r="AX577">
        <f ca="1"/>
      </c>
      <c r="AY577">
        <f ca="1"/>
      </c>
      <c r="BA577" s="7"/>
    </row>
    <row r="578" spans="31:53" x14ac:dyDescent="0.55000000000000004">
      <c r="AE578" s="7"/>
      <c r="AT578" s="7"/>
      <c r="AU578">
        <f ca="1"/>
      </c>
      <c r="AV578">
        <f ca="1"/>
      </c>
      <c r="AX578">
        <f ca="1"/>
      </c>
      <c r="AY578">
        <f ca="1"/>
      </c>
      <c r="BA578" s="7"/>
    </row>
    <row r="579" spans="31:53" x14ac:dyDescent="0.55000000000000004">
      <c r="AE579" s="7"/>
      <c r="AT579" s="7"/>
      <c r="AU579">
        <f ca="1"/>
      </c>
      <c r="AV579">
        <f ca="1"/>
      </c>
      <c r="AX579">
        <f ca="1"/>
      </c>
      <c r="AY579">
        <f ca="1"/>
      </c>
      <c r="BA579" s="7"/>
    </row>
    <row r="580" spans="31:53" x14ac:dyDescent="0.55000000000000004">
      <c r="AE580" s="7"/>
      <c r="AT580" s="7"/>
      <c r="AU580">
        <f ca="1"/>
      </c>
      <c r="AV580">
        <f ca="1"/>
      </c>
      <c r="AX580">
        <f ca="1"/>
      </c>
      <c r="AY580">
        <f ca="1"/>
      </c>
      <c r="BA580" s="7"/>
    </row>
    <row r="581" spans="31:53" x14ac:dyDescent="0.55000000000000004">
      <c r="AE581" s="7"/>
      <c r="AT581" s="7"/>
      <c r="AU581">
        <f ca="1"/>
      </c>
      <c r="AV581">
        <f ca="1"/>
      </c>
      <c r="AX581">
        <f ca="1"/>
      </c>
      <c r="AY581">
        <f ca="1"/>
      </c>
      <c r="BA581" s="7"/>
    </row>
    <row r="582" spans="31:53" x14ac:dyDescent="0.55000000000000004">
      <c r="AE582" s="7"/>
      <c r="AT582" s="7"/>
      <c r="AU582">
        <f ca="1"/>
      </c>
      <c r="AV582">
        <f ca="1"/>
      </c>
      <c r="AX582">
        <f ca="1"/>
      </c>
      <c r="AY582">
        <f ca="1"/>
      </c>
      <c r="BA582" s="7"/>
    </row>
    <row r="583" spans="31:53" x14ac:dyDescent="0.55000000000000004">
      <c r="AE583" s="7"/>
      <c r="AT583" s="7"/>
      <c r="AU583">
        <f ca="1"/>
      </c>
      <c r="AV583">
        <f ca="1"/>
      </c>
      <c r="AX583">
        <f ca="1"/>
      </c>
      <c r="AY583">
        <f ca="1"/>
      </c>
      <c r="BA583" s="7"/>
    </row>
    <row r="584" spans="31:53" x14ac:dyDescent="0.55000000000000004">
      <c r="AE584" s="7"/>
      <c r="AT584" s="7"/>
      <c r="AU584">
        <f ca="1"/>
      </c>
      <c r="AV584">
        <f ca="1"/>
      </c>
      <c r="AX584">
        <f ca="1"/>
      </c>
      <c r="AY584">
        <f ca="1"/>
      </c>
      <c r="BA584" s="7"/>
    </row>
    <row r="585" spans="31:53" x14ac:dyDescent="0.55000000000000004">
      <c r="AE585" s="7"/>
      <c r="AT585" s="7"/>
      <c r="AU585">
        <f ca="1"/>
      </c>
      <c r="AV585">
        <f ca="1"/>
      </c>
      <c r="AX585">
        <f ca="1"/>
      </c>
      <c r="AY585">
        <f ca="1"/>
      </c>
      <c r="BA585" s="7"/>
    </row>
    <row r="586" spans="31:53" x14ac:dyDescent="0.55000000000000004">
      <c r="AE586" s="7"/>
      <c r="AT586" s="7"/>
      <c r="AU586">
        <f ca="1"/>
      </c>
      <c r="AV586">
        <f ca="1"/>
      </c>
      <c r="AX586">
        <f ca="1"/>
      </c>
      <c r="AY586">
        <f ca="1"/>
      </c>
      <c r="BA586" s="7"/>
    </row>
    <row r="587" spans="31:53" x14ac:dyDescent="0.55000000000000004">
      <c r="AE587" s="7"/>
      <c r="AT587" s="7"/>
      <c r="AU587">
        <f ca="1"/>
      </c>
      <c r="AV587">
        <f ca="1"/>
      </c>
      <c r="AX587">
        <f ca="1"/>
      </c>
      <c r="AY587">
        <f ca="1"/>
      </c>
      <c r="BA587" s="7"/>
    </row>
    <row r="588" spans="31:53" x14ac:dyDescent="0.55000000000000004">
      <c r="AE588" s="7"/>
      <c r="AT588" s="7"/>
      <c r="AU588">
        <f ca="1"/>
      </c>
      <c r="AV588">
        <f ca="1"/>
      </c>
      <c r="AX588">
        <f ca="1"/>
      </c>
      <c r="AY588">
        <f ca="1"/>
      </c>
      <c r="BA588" s="7"/>
    </row>
    <row r="589" spans="31:53" x14ac:dyDescent="0.55000000000000004">
      <c r="AE589" s="7"/>
      <c r="AT589" s="7"/>
      <c r="AU589">
        <f ca="1"/>
      </c>
      <c r="AV589">
        <f ca="1"/>
      </c>
      <c r="AX589">
        <f ca="1"/>
      </c>
      <c r="AY589">
        <f ca="1"/>
      </c>
      <c r="BA589" s="7"/>
    </row>
    <row r="590" spans="31:53" x14ac:dyDescent="0.55000000000000004">
      <c r="AE590" s="7"/>
      <c r="AT590" s="7"/>
      <c r="AU590">
        <f ca="1"/>
      </c>
      <c r="AV590">
        <f ca="1"/>
      </c>
      <c r="AX590">
        <f ca="1"/>
      </c>
      <c r="AY590">
        <f ca="1"/>
      </c>
      <c r="BA590" s="7"/>
    </row>
    <row r="591" spans="31:53" x14ac:dyDescent="0.55000000000000004">
      <c r="AE591" s="7"/>
      <c r="AT591" s="7"/>
      <c r="AU591">
        <f ca="1"/>
      </c>
      <c r="AV591">
        <f ca="1"/>
      </c>
      <c r="AX591">
        <f ca="1"/>
      </c>
      <c r="AY591">
        <f ca="1"/>
      </c>
      <c r="BA591" s="7"/>
    </row>
    <row r="592" spans="31:53" x14ac:dyDescent="0.55000000000000004">
      <c r="AE592" s="7"/>
      <c r="AT592" s="7"/>
      <c r="AU592">
        <f ca="1"/>
      </c>
      <c r="AV592">
        <f ca="1"/>
      </c>
      <c r="AX592">
        <f ca="1"/>
      </c>
      <c r="AY592">
        <f ca="1"/>
      </c>
      <c r="BA592" s="7"/>
    </row>
    <row r="593" spans="31:53" x14ac:dyDescent="0.55000000000000004">
      <c r="AE593" s="7"/>
      <c r="AT593" s="7"/>
      <c r="AU593">
        <f ca="1"/>
      </c>
      <c r="AV593">
        <f ca="1"/>
      </c>
      <c r="AX593">
        <f ca="1"/>
      </c>
      <c r="AY593">
        <f ca="1"/>
      </c>
      <c r="BA593" s="7"/>
    </row>
    <row r="594" spans="31:53" x14ac:dyDescent="0.55000000000000004">
      <c r="AE594" s="7"/>
      <c r="AT594" s="7"/>
      <c r="AU594">
        <f ca="1"/>
      </c>
      <c r="AV594">
        <f ca="1"/>
      </c>
      <c r="AX594">
        <f ca="1"/>
      </c>
      <c r="AY594">
        <f ca="1"/>
      </c>
      <c r="BA594" s="7"/>
    </row>
    <row r="595" spans="31:53" x14ac:dyDescent="0.55000000000000004">
      <c r="AE595" s="7"/>
      <c r="AT595" s="7"/>
      <c r="AU595">
        <f ca="1"/>
      </c>
      <c r="AV595">
        <f ca="1"/>
      </c>
      <c r="AX595">
        <f ca="1"/>
      </c>
      <c r="AY595">
        <f ca="1"/>
      </c>
      <c r="BA595" s="7"/>
    </row>
    <row r="596" spans="31:53" x14ac:dyDescent="0.55000000000000004">
      <c r="AE596" s="7"/>
      <c r="AT596" s="7"/>
      <c r="AU596">
        <f ca="1"/>
      </c>
      <c r="AV596">
        <f ca="1"/>
      </c>
      <c r="AX596">
        <f ca="1"/>
      </c>
      <c r="AY596">
        <f ca="1"/>
      </c>
      <c r="BA596" s="7"/>
    </row>
    <row r="597" spans="31:53" x14ac:dyDescent="0.55000000000000004">
      <c r="AE597" s="7"/>
      <c r="AT597" s="7"/>
      <c r="AU597">
        <f ca="1"/>
      </c>
      <c r="AV597">
        <f ca="1"/>
      </c>
      <c r="AX597">
        <f ca="1"/>
      </c>
      <c r="AY597">
        <f ca="1"/>
      </c>
      <c r="BA597" s="7"/>
    </row>
    <row r="598" spans="31:53" x14ac:dyDescent="0.55000000000000004">
      <c r="AE598" s="7"/>
      <c r="AT598" s="7"/>
      <c r="AU598">
        <f ca="1"/>
      </c>
      <c r="AV598">
        <f ca="1"/>
      </c>
      <c r="AX598">
        <f ca="1"/>
      </c>
      <c r="AY598">
        <f ca="1"/>
      </c>
      <c r="BA598" s="7"/>
    </row>
    <row r="599" spans="31:53" x14ac:dyDescent="0.55000000000000004">
      <c r="AE599" s="7"/>
      <c r="AT599" s="7"/>
      <c r="AU599">
        <f ca="1"/>
      </c>
      <c r="AV599">
        <f ca="1"/>
      </c>
      <c r="AX599">
        <f ca="1"/>
      </c>
      <c r="AY599">
        <f ca="1"/>
      </c>
      <c r="BA599" s="7"/>
    </row>
    <row r="600" spans="31:53" x14ac:dyDescent="0.55000000000000004">
      <c r="AE600" s="7"/>
      <c r="AT600" s="7"/>
      <c r="AU600">
        <f ca="1"/>
      </c>
      <c r="AV600">
        <f ca="1"/>
      </c>
      <c r="AX600">
        <f ca="1"/>
      </c>
      <c r="AY600">
        <f ca="1"/>
      </c>
      <c r="BA600" s="7"/>
    </row>
    <row r="601" spans="31:53" x14ac:dyDescent="0.55000000000000004">
      <c r="AE601" s="7"/>
      <c r="AT601" s="7"/>
      <c r="AU601">
        <f ca="1"/>
      </c>
      <c r="AV601">
        <f ca="1"/>
      </c>
      <c r="AX601">
        <f ca="1"/>
      </c>
      <c r="AY601">
        <f ca="1"/>
      </c>
      <c r="BA601" s="7"/>
    </row>
    <row r="602" spans="31:53" x14ac:dyDescent="0.55000000000000004">
      <c r="AE602" s="7"/>
      <c r="AT602" s="7"/>
      <c r="AU602">
        <f ca="1"/>
      </c>
      <c r="AV602">
        <f ca="1"/>
      </c>
      <c r="AX602">
        <f ca="1"/>
      </c>
      <c r="AY602">
        <f ca="1"/>
      </c>
      <c r="BA602" s="7"/>
    </row>
    <row r="603" spans="31:53" x14ac:dyDescent="0.55000000000000004">
      <c r="AE603" s="7"/>
      <c r="AT603" s="7"/>
      <c r="AU603">
        <f ca="1"/>
      </c>
      <c r="AV603">
        <f ca="1"/>
      </c>
      <c r="AX603">
        <f ca="1"/>
      </c>
      <c r="AY603">
        <f ca="1"/>
      </c>
      <c r="BA603" s="7"/>
    </row>
    <row r="604" spans="31:53" x14ac:dyDescent="0.55000000000000004">
      <c r="AE604" s="7"/>
      <c r="AT604" s="7"/>
      <c r="AU604">
        <f ca="1"/>
      </c>
      <c r="AV604">
        <f ca="1"/>
      </c>
      <c r="AX604">
        <f ca="1"/>
      </c>
      <c r="AY604">
        <f ca="1"/>
      </c>
      <c r="BA604" s="7"/>
    </row>
    <row r="605" spans="31:53" x14ac:dyDescent="0.55000000000000004">
      <c r="AE605" s="7"/>
      <c r="AT605" s="7"/>
      <c r="AU605">
        <f ca="1"/>
      </c>
      <c r="AV605">
        <f ca="1"/>
      </c>
      <c r="AX605">
        <f ca="1"/>
      </c>
      <c r="AY605">
        <f ca="1"/>
      </c>
      <c r="BA605" s="7"/>
    </row>
    <row r="606" spans="31:53" x14ac:dyDescent="0.55000000000000004">
      <c r="AE606" s="7"/>
      <c r="AT606" s="7"/>
      <c r="AU606">
        <f ca="1"/>
      </c>
      <c r="AV606">
        <f ca="1"/>
      </c>
      <c r="AX606">
        <f ca="1"/>
      </c>
      <c r="AY606">
        <f ca="1"/>
      </c>
      <c r="BA606" s="7"/>
    </row>
    <row r="607" spans="31:53" x14ac:dyDescent="0.55000000000000004">
      <c r="AE607" s="7"/>
      <c r="AT607" s="7"/>
      <c r="AU607">
        <f ca="1"/>
      </c>
      <c r="AV607">
        <f ca="1"/>
      </c>
      <c r="AX607">
        <f ca="1"/>
      </c>
      <c r="AY607">
        <f ca="1"/>
      </c>
      <c r="BA607" s="7"/>
    </row>
    <row r="608" spans="31:53" x14ac:dyDescent="0.55000000000000004">
      <c r="AE608" s="7"/>
      <c r="AT608" s="7"/>
      <c r="AU608">
        <f ca="1"/>
      </c>
      <c r="AV608">
        <f ca="1"/>
      </c>
      <c r="AX608">
        <f ca="1"/>
      </c>
      <c r="AY608">
        <f ca="1"/>
      </c>
      <c r="BA608" s="7"/>
    </row>
    <row r="609" spans="31:53" x14ac:dyDescent="0.55000000000000004">
      <c r="AE609" s="7"/>
      <c r="AT609" s="7"/>
      <c r="AU609">
        <f ca="1"/>
      </c>
      <c r="AV609">
        <f ca="1"/>
      </c>
      <c r="AX609">
        <f ca="1"/>
      </c>
      <c r="AY609">
        <f ca="1"/>
      </c>
      <c r="BA609" s="7"/>
    </row>
    <row r="610" spans="31:53" x14ac:dyDescent="0.55000000000000004">
      <c r="AE610" s="7"/>
      <c r="AT610" s="7"/>
      <c r="AU610">
        <f ca="1"/>
      </c>
      <c r="AV610">
        <f ca="1"/>
      </c>
      <c r="AX610">
        <f ca="1"/>
      </c>
      <c r="AY610">
        <f ca="1"/>
      </c>
      <c r="BA610" s="7"/>
    </row>
    <row r="611" spans="31:53" x14ac:dyDescent="0.55000000000000004">
      <c r="AE611" s="7"/>
      <c r="AT611" s="7"/>
      <c r="AU611">
        <f ca="1"/>
      </c>
      <c r="AV611">
        <f ca="1"/>
      </c>
      <c r="AX611">
        <f ca="1"/>
      </c>
      <c r="AY611">
        <f ca="1"/>
      </c>
      <c r="BA611" s="7"/>
    </row>
    <row r="612" spans="31:53" x14ac:dyDescent="0.55000000000000004">
      <c r="AE612" s="7"/>
      <c r="AT612" s="7"/>
      <c r="AU612">
        <f ca="1"/>
      </c>
      <c r="AV612">
        <f ca="1"/>
      </c>
      <c r="AX612">
        <f ca="1"/>
      </c>
      <c r="AY612">
        <f ca="1"/>
      </c>
      <c r="BA612" s="7"/>
    </row>
    <row r="613" spans="31:53" x14ac:dyDescent="0.55000000000000004">
      <c r="AE613" s="7"/>
      <c r="AT613" s="7"/>
      <c r="AU613">
        <f ca="1"/>
      </c>
      <c r="AV613">
        <f ca="1"/>
      </c>
      <c r="AX613">
        <f ca="1"/>
      </c>
      <c r="AY613">
        <f ca="1"/>
      </c>
      <c r="BA613" s="7"/>
    </row>
    <row r="614" spans="31:53" x14ac:dyDescent="0.55000000000000004">
      <c r="AE614" s="7"/>
      <c r="AT614" s="7"/>
      <c r="AU614">
        <f ca="1"/>
      </c>
      <c r="AV614">
        <f ca="1"/>
      </c>
      <c r="AX614">
        <f ca="1"/>
      </c>
      <c r="AY614">
        <f ca="1"/>
      </c>
      <c r="BA614" s="7"/>
    </row>
    <row r="615" spans="31:53" x14ac:dyDescent="0.55000000000000004">
      <c r="AE615" s="7"/>
      <c r="AT615" s="7"/>
      <c r="AU615">
        <f ca="1"/>
      </c>
      <c r="AV615">
        <f ca="1"/>
      </c>
      <c r="AX615">
        <f ca="1"/>
      </c>
      <c r="AY615">
        <f ca="1"/>
      </c>
      <c r="BA615" s="7"/>
    </row>
    <row r="616" spans="31:53" x14ac:dyDescent="0.55000000000000004">
      <c r="AE616" s="7"/>
      <c r="AT616" s="7"/>
      <c r="AU616">
        <f ca="1"/>
      </c>
      <c r="AV616">
        <f ca="1"/>
      </c>
      <c r="AX616">
        <f ca="1"/>
      </c>
      <c r="AY616">
        <f ca="1"/>
      </c>
      <c r="BA616" s="7"/>
    </row>
    <row r="617" spans="31:53" x14ac:dyDescent="0.55000000000000004">
      <c r="AE617" s="7"/>
      <c r="AT617" s="7"/>
      <c r="AU617">
        <f ca="1"/>
      </c>
      <c r="AV617">
        <f ca="1"/>
      </c>
      <c r="AX617">
        <f ca="1"/>
      </c>
      <c r="AY617">
        <f ca="1"/>
      </c>
      <c r="BA617" s="7"/>
    </row>
    <row r="618" spans="31:53" x14ac:dyDescent="0.55000000000000004">
      <c r="AE618" s="7"/>
      <c r="AT618" s="7"/>
      <c r="AU618">
        <f ca="1"/>
      </c>
      <c r="AV618">
        <f ca="1"/>
      </c>
      <c r="AX618">
        <f ca="1"/>
      </c>
      <c r="AY618">
        <f ca="1"/>
      </c>
      <c r="BA618" s="7"/>
    </row>
    <row r="619" spans="31:53" x14ac:dyDescent="0.55000000000000004">
      <c r="AE619" s="7"/>
      <c r="AT619" s="7"/>
      <c r="AU619">
        <f ca="1"/>
      </c>
      <c r="AV619">
        <f ca="1"/>
      </c>
      <c r="AX619">
        <f ca="1"/>
      </c>
      <c r="AY619">
        <f ca="1"/>
      </c>
      <c r="BA619" s="7"/>
    </row>
    <row r="620" spans="31:53" x14ac:dyDescent="0.55000000000000004">
      <c r="AE620" s="7"/>
      <c r="AT620" s="7"/>
      <c r="AU620">
        <f ca="1"/>
      </c>
      <c r="AV620">
        <f ca="1"/>
      </c>
      <c r="AX620">
        <f ca="1"/>
      </c>
      <c r="AY620">
        <f ca="1"/>
      </c>
      <c r="BA620" s="7"/>
    </row>
    <row r="621" spans="31:53" x14ac:dyDescent="0.55000000000000004">
      <c r="AE621" s="7"/>
      <c r="AT621" s="7"/>
      <c r="AU621">
        <f ca="1"/>
      </c>
      <c r="AV621">
        <f ca="1"/>
      </c>
      <c r="AX621">
        <f ca="1"/>
      </c>
      <c r="AY621">
        <f ca="1"/>
      </c>
      <c r="BA621" s="7"/>
    </row>
    <row r="622" spans="31:53" x14ac:dyDescent="0.55000000000000004">
      <c r="AE622" s="7"/>
      <c r="AT622" s="7"/>
      <c r="AU622">
        <f ca="1"/>
      </c>
      <c r="AV622">
        <f ca="1"/>
      </c>
      <c r="AX622">
        <f ca="1"/>
      </c>
      <c r="AY622">
        <f ca="1"/>
      </c>
      <c r="BA622" s="7"/>
    </row>
    <row r="623" spans="31:53" x14ac:dyDescent="0.55000000000000004">
      <c r="AE623" s="7"/>
      <c r="AT623" s="7"/>
      <c r="AU623">
        <f ca="1"/>
      </c>
      <c r="AV623">
        <f ca="1"/>
      </c>
      <c r="AX623">
        <f ca="1"/>
      </c>
      <c r="AY623">
        <f ca="1"/>
      </c>
      <c r="BA623" s="7"/>
    </row>
    <row r="624" spans="31:53" x14ac:dyDescent="0.55000000000000004">
      <c r="AE624" s="7"/>
      <c r="AT624" s="7"/>
      <c r="AU624">
        <f ca="1"/>
      </c>
      <c r="AV624">
        <f ca="1"/>
      </c>
      <c r="AX624">
        <f ca="1"/>
      </c>
      <c r="AY624">
        <f ca="1"/>
      </c>
      <c r="BA624" s="7"/>
    </row>
    <row r="625" spans="31:53" x14ac:dyDescent="0.55000000000000004">
      <c r="AE625" s="7"/>
      <c r="AT625" s="7"/>
      <c r="AU625">
        <f ca="1"/>
      </c>
      <c r="AV625">
        <f ca="1"/>
      </c>
      <c r="AX625">
        <f ca="1"/>
      </c>
      <c r="AY625">
        <f ca="1"/>
      </c>
      <c r="BA625" s="7"/>
    </row>
    <row r="626" spans="31:53" x14ac:dyDescent="0.55000000000000004">
      <c r="AE626" s="7"/>
      <c r="AT626" s="7"/>
      <c r="AU626">
        <f ca="1"/>
      </c>
      <c r="AV626">
        <f ca="1"/>
      </c>
      <c r="AX626">
        <f ca="1"/>
      </c>
      <c r="AY626">
        <f ca="1"/>
      </c>
      <c r="BA626" s="7"/>
    </row>
    <row r="627" spans="31:53" x14ac:dyDescent="0.55000000000000004">
      <c r="AE627" s="7"/>
      <c r="AT627" s="7"/>
      <c r="AU627">
        <f ca="1"/>
      </c>
      <c r="AV627">
        <f ca="1"/>
      </c>
      <c r="AX627">
        <f ca="1"/>
      </c>
      <c r="AY627">
        <f ca="1"/>
      </c>
      <c r="BA627" s="7"/>
    </row>
    <row r="628" spans="31:53" x14ac:dyDescent="0.55000000000000004">
      <c r="AE628" s="7"/>
      <c r="AT628" s="7"/>
      <c r="AU628">
        <f ca="1"/>
      </c>
      <c r="AV628">
        <f ca="1"/>
      </c>
      <c r="AX628">
        <f ca="1"/>
      </c>
      <c r="AY628">
        <f ca="1"/>
      </c>
      <c r="BA628" s="7"/>
    </row>
    <row r="629" spans="31:53" x14ac:dyDescent="0.55000000000000004">
      <c r="AE629" s="7"/>
      <c r="AT629" s="7"/>
      <c r="AU629">
        <f ca="1"/>
      </c>
      <c r="AV629">
        <f ca="1"/>
      </c>
      <c r="AX629">
        <f ca="1"/>
      </c>
      <c r="AY629">
        <f ca="1"/>
      </c>
      <c r="BA629" s="7"/>
    </row>
    <row r="630" spans="31:53" x14ac:dyDescent="0.55000000000000004">
      <c r="AE630" s="7"/>
      <c r="AT630" s="7"/>
      <c r="AU630">
        <f ca="1"/>
      </c>
      <c r="AV630">
        <f ca="1"/>
      </c>
      <c r="AX630">
        <f ca="1"/>
      </c>
      <c r="AY630">
        <f ca="1"/>
      </c>
      <c r="BA630" s="7"/>
    </row>
    <row r="631" spans="31:53" x14ac:dyDescent="0.55000000000000004">
      <c r="AE631" s="7"/>
      <c r="AT631" s="7"/>
      <c r="AU631">
        <f ca="1"/>
      </c>
      <c r="AV631">
        <f ca="1"/>
      </c>
      <c r="AX631">
        <f ca="1"/>
      </c>
      <c r="AY631">
        <f ca="1"/>
      </c>
      <c r="BA631" s="7"/>
    </row>
    <row r="632" spans="31:53" x14ac:dyDescent="0.55000000000000004">
      <c r="AE632" s="7"/>
      <c r="AT632" s="7"/>
      <c r="AU632">
        <f ca="1"/>
      </c>
      <c r="AV632">
        <f ca="1"/>
      </c>
      <c r="AX632">
        <f ca="1"/>
      </c>
      <c r="AY632">
        <f ca="1"/>
      </c>
      <c r="BA632" s="7"/>
    </row>
    <row r="633" spans="31:53" x14ac:dyDescent="0.55000000000000004">
      <c r="AE633" s="7"/>
      <c r="AT633" s="7"/>
      <c r="AU633">
        <f ca="1"/>
      </c>
      <c r="AV633">
        <f ca="1"/>
      </c>
      <c r="AX633">
        <f ca="1"/>
      </c>
      <c r="AY633">
        <f ca="1"/>
      </c>
      <c r="BA633" s="7"/>
    </row>
    <row r="634" spans="31:53" x14ac:dyDescent="0.55000000000000004">
      <c r="AE634" s="7"/>
      <c r="AT634" s="7"/>
      <c r="AU634">
        <f ca="1"/>
      </c>
      <c r="AV634">
        <f ca="1"/>
      </c>
      <c r="AX634">
        <f ca="1"/>
      </c>
      <c r="AY634">
        <f ca="1"/>
      </c>
      <c r="BA634" s="7"/>
    </row>
    <row r="635" spans="31:53" x14ac:dyDescent="0.55000000000000004">
      <c r="AE635" s="7"/>
      <c r="AT635" s="7"/>
      <c r="AU635">
        <f ca="1"/>
      </c>
      <c r="AV635">
        <f ca="1"/>
      </c>
      <c r="AX635">
        <f ca="1"/>
      </c>
      <c r="AY635">
        <f ca="1"/>
      </c>
      <c r="BA635" s="7"/>
    </row>
    <row r="636" spans="31:53" x14ac:dyDescent="0.55000000000000004">
      <c r="AE636" s="7"/>
      <c r="AT636" s="7"/>
      <c r="AU636">
        <f ca="1"/>
      </c>
      <c r="AV636">
        <f ca="1"/>
      </c>
      <c r="AX636">
        <f ca="1"/>
      </c>
      <c r="AY636">
        <f ca="1"/>
      </c>
      <c r="BA636" s="7"/>
    </row>
    <row r="637" spans="31:53" x14ac:dyDescent="0.55000000000000004">
      <c r="AE637" s="7"/>
      <c r="AT637" s="7"/>
      <c r="AU637">
        <f ca="1"/>
      </c>
      <c r="AV637">
        <f ca="1"/>
      </c>
      <c r="AX637">
        <f ca="1"/>
      </c>
      <c r="AY637">
        <f ca="1"/>
      </c>
      <c r="BA637" s="7"/>
    </row>
    <row r="638" spans="31:53" x14ac:dyDescent="0.55000000000000004">
      <c r="AE638" s="7"/>
      <c r="AT638" s="7"/>
      <c r="AU638">
        <f ca="1"/>
      </c>
      <c r="AV638">
        <f ca="1"/>
      </c>
      <c r="AX638">
        <f ca="1"/>
      </c>
      <c r="AY638">
        <f ca="1"/>
      </c>
      <c r="BA638" s="7"/>
    </row>
    <row r="639" spans="31:53" x14ac:dyDescent="0.55000000000000004">
      <c r="AE639" s="7"/>
      <c r="AT639" s="7"/>
      <c r="AU639">
        <f ca="1"/>
      </c>
      <c r="AV639">
        <f ca="1"/>
      </c>
      <c r="AX639">
        <f ca="1"/>
      </c>
      <c r="AY639">
        <f ca="1"/>
      </c>
      <c r="BA639" s="7"/>
    </row>
    <row r="640" spans="31:53" x14ac:dyDescent="0.55000000000000004">
      <c r="AE640" s="7"/>
      <c r="AT640" s="7"/>
      <c r="AU640">
        <f ca="1"/>
      </c>
      <c r="AV640">
        <f ca="1"/>
      </c>
      <c r="AX640">
        <f ca="1"/>
      </c>
      <c r="AY640">
        <f ca="1"/>
      </c>
      <c r="BA640" s="7"/>
    </row>
    <row r="641" spans="31:53" x14ac:dyDescent="0.55000000000000004">
      <c r="AE641" s="7"/>
      <c r="AT641" s="7"/>
      <c r="AU641">
        <f ca="1"/>
      </c>
      <c r="AV641">
        <f ca="1"/>
      </c>
      <c r="AX641">
        <f ca="1"/>
      </c>
      <c r="AY641">
        <f ca="1"/>
      </c>
      <c r="BA641" s="7"/>
    </row>
    <row r="642" spans="31:53" x14ac:dyDescent="0.55000000000000004">
      <c r="AE642" s="7"/>
      <c r="AT642" s="7"/>
      <c r="AU642">
        <f ca="1"/>
      </c>
      <c r="AV642">
        <f ca="1"/>
      </c>
      <c r="AX642">
        <f ca="1"/>
      </c>
      <c r="AY642">
        <f ca="1"/>
      </c>
      <c r="BA642" s="7"/>
    </row>
    <row r="643" spans="31:53" x14ac:dyDescent="0.55000000000000004">
      <c r="AE643" s="7"/>
      <c r="AT643" s="7"/>
      <c r="AU643">
        <f ca="1"/>
      </c>
      <c r="AV643">
        <f ca="1"/>
      </c>
      <c r="AX643">
        <f ca="1"/>
      </c>
      <c r="AY643">
        <f ca="1"/>
      </c>
      <c r="BA643" s="7"/>
    </row>
    <row r="644" spans="31:53" x14ac:dyDescent="0.55000000000000004">
      <c r="AE644" s="7"/>
      <c r="AT644" s="7"/>
      <c r="AU644">
        <f ca="1"/>
      </c>
      <c r="AV644">
        <f ca="1"/>
      </c>
      <c r="AX644">
        <f ca="1"/>
      </c>
      <c r="AY644">
        <f ca="1"/>
      </c>
      <c r="BA644" s="7"/>
    </row>
    <row r="645" spans="31:53" x14ac:dyDescent="0.55000000000000004">
      <c r="AE645" s="7"/>
      <c r="AT645" s="7"/>
      <c r="AU645">
        <f ca="1"/>
      </c>
      <c r="AV645">
        <f ca="1"/>
      </c>
      <c r="AX645">
        <f ca="1"/>
      </c>
      <c r="AY645">
        <f ca="1"/>
      </c>
      <c r="BA645" s="7"/>
    </row>
    <row r="646" spans="31:53" x14ac:dyDescent="0.55000000000000004">
      <c r="AE646" s="7"/>
      <c r="AT646" s="7"/>
      <c r="AU646">
        <f ca="1"/>
      </c>
      <c r="AV646">
        <f ca="1"/>
      </c>
      <c r="AX646">
        <f ca="1"/>
      </c>
      <c r="AY646">
        <f ca="1"/>
      </c>
      <c r="BA646" s="7"/>
    </row>
    <row r="647" spans="31:53" x14ac:dyDescent="0.55000000000000004">
      <c r="AE647" s="7"/>
      <c r="AT647" s="7"/>
      <c r="AU647">
        <f ca="1"/>
      </c>
      <c r="AV647">
        <f ca="1"/>
      </c>
      <c r="AX647">
        <f ca="1"/>
      </c>
      <c r="AY647">
        <f ca="1"/>
      </c>
      <c r="BA647" s="7"/>
    </row>
    <row r="648" spans="31:53" x14ac:dyDescent="0.55000000000000004">
      <c r="AE648" s="7"/>
      <c r="AT648" s="7"/>
      <c r="AU648">
        <f ca="1"/>
      </c>
      <c r="AV648">
        <f ca="1"/>
      </c>
      <c r="AX648">
        <f ca="1"/>
      </c>
      <c r="AY648">
        <f ca="1"/>
      </c>
      <c r="BA648" s="7"/>
    </row>
    <row r="649" spans="31:53" x14ac:dyDescent="0.55000000000000004">
      <c r="AE649" s="7"/>
      <c r="AT649" s="7"/>
      <c r="AU649">
        <f ca="1"/>
      </c>
      <c r="AV649">
        <f ca="1"/>
      </c>
      <c r="AX649">
        <f ca="1"/>
      </c>
      <c r="AY649">
        <f ca="1"/>
      </c>
      <c r="BA649" s="7"/>
    </row>
    <row r="650" spans="31:53" x14ac:dyDescent="0.55000000000000004">
      <c r="AE650" s="7"/>
      <c r="AT650" s="7"/>
      <c r="AU650">
        <f ca="1"/>
      </c>
      <c r="AV650">
        <f ca="1"/>
      </c>
      <c r="AX650">
        <f ca="1"/>
      </c>
      <c r="AY650">
        <f ca="1"/>
      </c>
      <c r="BA650" s="7"/>
    </row>
    <row r="651" spans="31:53" x14ac:dyDescent="0.55000000000000004">
      <c r="AE651" s="7"/>
      <c r="AT651" s="7"/>
      <c r="AU651">
        <f ca="1"/>
      </c>
      <c r="AV651">
        <f ca="1"/>
      </c>
      <c r="AX651">
        <f ca="1"/>
      </c>
      <c r="AY651">
        <f ca="1"/>
      </c>
      <c r="BA651" s="7"/>
    </row>
    <row r="652" spans="31:53" x14ac:dyDescent="0.55000000000000004">
      <c r="AE652" s="7"/>
      <c r="AT652" s="7"/>
      <c r="AU652">
        <f ca="1"/>
      </c>
      <c r="AV652">
        <f ca="1"/>
      </c>
      <c r="AX652">
        <f ca="1"/>
      </c>
      <c r="AY652">
        <f ca="1"/>
      </c>
      <c r="BA652" s="7"/>
    </row>
    <row r="653" spans="31:53" x14ac:dyDescent="0.55000000000000004">
      <c r="AE653" s="7"/>
      <c r="AT653" s="7"/>
      <c r="AU653">
        <f ca="1"/>
      </c>
      <c r="AV653">
        <f ca="1"/>
      </c>
      <c r="AX653">
        <f ca="1"/>
      </c>
      <c r="AY653">
        <f ca="1"/>
      </c>
      <c r="BA653" s="7"/>
    </row>
    <row r="654" spans="31:53" x14ac:dyDescent="0.55000000000000004">
      <c r="AE654" s="7"/>
      <c r="AT654" s="7"/>
      <c r="AU654">
        <f ca="1"/>
      </c>
      <c r="AV654">
        <f ca="1"/>
      </c>
      <c r="AX654">
        <f ca="1"/>
      </c>
      <c r="AY654">
        <f ca="1"/>
      </c>
      <c r="BA654" s="7"/>
    </row>
    <row r="655" spans="31:53" x14ac:dyDescent="0.55000000000000004">
      <c r="AE655" s="7"/>
      <c r="AT655" s="7"/>
      <c r="AU655">
        <f ca="1"/>
      </c>
      <c r="AV655">
        <f ca="1"/>
      </c>
      <c r="AX655">
        <f ca="1"/>
      </c>
      <c r="AY655">
        <f ca="1"/>
      </c>
      <c r="BA655" s="7"/>
    </row>
    <row r="656" spans="31:53" x14ac:dyDescent="0.55000000000000004">
      <c r="AE656" s="7"/>
      <c r="AT656" s="7"/>
      <c r="AU656">
        <f ca="1"/>
      </c>
      <c r="AV656">
        <f ca="1"/>
      </c>
      <c r="AX656">
        <f ca="1"/>
      </c>
      <c r="AY656">
        <f ca="1"/>
      </c>
      <c r="BA656" s="7"/>
    </row>
    <row r="657" spans="31:53" x14ac:dyDescent="0.55000000000000004">
      <c r="AE657" s="7"/>
      <c r="AT657" s="7"/>
      <c r="AU657">
        <f ca="1"/>
      </c>
      <c r="AV657">
        <f ca="1"/>
      </c>
      <c r="AX657">
        <f ca="1"/>
      </c>
      <c r="AY657">
        <f ca="1"/>
      </c>
      <c r="BA657" s="7"/>
    </row>
    <row r="658" spans="31:53" x14ac:dyDescent="0.55000000000000004">
      <c r="AE658" s="7"/>
      <c r="AT658" s="7"/>
      <c r="AU658">
        <f ca="1"/>
      </c>
      <c r="AV658">
        <f ca="1"/>
      </c>
      <c r="AX658">
        <f ca="1"/>
      </c>
      <c r="AY658">
        <f ca="1"/>
      </c>
      <c r="BA658" s="7"/>
    </row>
    <row r="659" spans="31:53" x14ac:dyDescent="0.55000000000000004">
      <c r="AE659" s="7"/>
      <c r="AT659" s="7"/>
      <c r="AU659">
        <f ca="1"/>
      </c>
      <c r="AV659">
        <f ca="1"/>
      </c>
      <c r="AX659">
        <f ca="1"/>
      </c>
      <c r="AY659">
        <f ca="1"/>
      </c>
      <c r="BA659" s="7"/>
    </row>
    <row r="660" spans="31:53" x14ac:dyDescent="0.55000000000000004">
      <c r="AE660" s="7"/>
      <c r="AT660" s="7"/>
      <c r="AU660">
        <f ca="1"/>
      </c>
      <c r="AV660">
        <f ca="1"/>
      </c>
      <c r="AX660">
        <f ca="1"/>
      </c>
      <c r="AY660">
        <f ca="1"/>
      </c>
      <c r="BA660" s="7"/>
    </row>
    <row r="661" spans="31:53" x14ac:dyDescent="0.55000000000000004">
      <c r="AE661" s="7"/>
      <c r="AT661" s="7"/>
      <c r="AU661">
        <f ca="1"/>
      </c>
      <c r="AV661">
        <f ca="1"/>
      </c>
      <c r="AX661">
        <f ca="1"/>
      </c>
      <c r="AY661">
        <f ca="1"/>
      </c>
      <c r="BA661" s="7"/>
    </row>
    <row r="662" spans="31:53" x14ac:dyDescent="0.55000000000000004">
      <c r="AE662" s="7"/>
      <c r="AT662" s="7"/>
      <c r="AU662">
        <f ca="1"/>
      </c>
      <c r="AV662">
        <f ca="1"/>
      </c>
      <c r="AX662">
        <f ca="1"/>
      </c>
      <c r="AY662">
        <f ca="1"/>
      </c>
      <c r="BA662" s="7"/>
    </row>
    <row r="663" spans="31:53" x14ac:dyDescent="0.55000000000000004">
      <c r="AE663" s="7"/>
      <c r="AT663" s="7"/>
      <c r="AU663">
        <f ca="1"/>
      </c>
      <c r="AV663">
        <f ca="1"/>
      </c>
      <c r="AX663">
        <f ca="1"/>
      </c>
      <c r="AY663">
        <f ca="1"/>
      </c>
      <c r="BA663" s="7"/>
    </row>
    <row r="664" spans="31:53" x14ac:dyDescent="0.55000000000000004">
      <c r="AE664" s="7"/>
      <c r="AT664" s="7"/>
      <c r="AU664">
        <f ca="1"/>
      </c>
      <c r="AV664">
        <f ca="1"/>
      </c>
      <c r="AX664">
        <f ca="1"/>
      </c>
      <c r="AY664">
        <f ca="1"/>
      </c>
      <c r="BA664" s="7"/>
    </row>
    <row r="665" spans="31:53" x14ac:dyDescent="0.55000000000000004">
      <c r="AE665" s="7"/>
      <c r="AT665" s="7"/>
      <c r="AU665">
        <f ca="1"/>
      </c>
      <c r="AV665">
        <f ca="1"/>
      </c>
      <c r="AX665">
        <f ca="1"/>
      </c>
      <c r="AY665">
        <f ca="1"/>
      </c>
      <c r="BA665" s="7"/>
    </row>
    <row r="666" spans="31:53" x14ac:dyDescent="0.55000000000000004">
      <c r="AE666" s="7"/>
      <c r="AT666" s="7"/>
      <c r="AU666">
        <f ca="1"/>
      </c>
      <c r="AV666">
        <f ca="1"/>
      </c>
      <c r="AX666">
        <f ca="1"/>
      </c>
      <c r="AY666">
        <f ca="1"/>
      </c>
      <c r="BA666" s="7"/>
    </row>
    <row r="667" spans="31:53" x14ac:dyDescent="0.55000000000000004">
      <c r="AE667" s="7"/>
      <c r="AT667" s="7"/>
      <c r="AU667">
        <f ca="1"/>
      </c>
      <c r="AV667">
        <f ca="1"/>
      </c>
      <c r="AX667">
        <f ca="1"/>
      </c>
      <c r="AY667">
        <f ca="1"/>
      </c>
      <c r="BA667" s="7"/>
    </row>
    <row r="668" spans="31:53" x14ac:dyDescent="0.55000000000000004">
      <c r="AE668" s="7"/>
      <c r="AT668" s="7"/>
      <c r="AU668">
        <f ca="1"/>
      </c>
      <c r="AV668">
        <f ca="1"/>
      </c>
      <c r="AX668">
        <f ca="1"/>
      </c>
      <c r="AY668">
        <f ca="1"/>
      </c>
      <c r="BA668" s="7"/>
    </row>
    <row r="669" spans="31:53" x14ac:dyDescent="0.55000000000000004">
      <c r="AE669" s="7"/>
      <c r="AT669" s="7"/>
      <c r="AU669">
        <f ca="1"/>
      </c>
      <c r="AV669">
        <f ca="1"/>
      </c>
      <c r="AX669">
        <f ca="1"/>
      </c>
      <c r="AY669">
        <f ca="1"/>
      </c>
      <c r="BA669" s="7"/>
    </row>
    <row r="670" spans="31:53" x14ac:dyDescent="0.55000000000000004">
      <c r="AE670" s="7"/>
      <c r="AT670" s="7"/>
      <c r="AU670">
        <f ca="1"/>
      </c>
      <c r="AV670">
        <f ca="1"/>
      </c>
      <c r="AX670">
        <f ca="1"/>
      </c>
      <c r="AY670">
        <f ca="1"/>
      </c>
      <c r="BA670" s="7"/>
    </row>
    <row r="671" spans="31:53" x14ac:dyDescent="0.55000000000000004">
      <c r="AE671" s="7"/>
      <c r="AT671" s="7"/>
      <c r="AU671">
        <f ca="1"/>
      </c>
      <c r="AV671">
        <f ca="1"/>
      </c>
      <c r="AX671">
        <f ca="1"/>
      </c>
      <c r="AY671">
        <f ca="1"/>
      </c>
      <c r="BA671" s="7"/>
    </row>
    <row r="672" spans="31:53" x14ac:dyDescent="0.55000000000000004">
      <c r="AE672" s="7"/>
      <c r="AT672" s="7"/>
      <c r="AU672">
        <f ca="1"/>
      </c>
      <c r="AV672">
        <f ca="1"/>
      </c>
      <c r="AX672">
        <f ca="1"/>
      </c>
      <c r="AY672">
        <f ca="1"/>
      </c>
      <c r="BA672" s="7"/>
    </row>
    <row r="673" spans="31:53" x14ac:dyDescent="0.55000000000000004">
      <c r="AE673" s="7"/>
      <c r="AT673" s="7"/>
      <c r="AU673">
        <f ca="1"/>
      </c>
      <c r="AV673">
        <f ca="1"/>
      </c>
      <c r="AX673">
        <f ca="1"/>
      </c>
      <c r="AY673">
        <f ca="1"/>
      </c>
      <c r="BA673" s="7"/>
    </row>
    <row r="674" spans="31:53" x14ac:dyDescent="0.55000000000000004">
      <c r="AE674" s="7"/>
      <c r="AT674" s="7"/>
      <c r="AU674">
        <f ca="1"/>
      </c>
      <c r="AV674">
        <f ca="1"/>
      </c>
      <c r="AX674">
        <f ca="1"/>
      </c>
      <c r="AY674">
        <f ca="1"/>
      </c>
      <c r="BA674" s="7"/>
    </row>
    <row r="675" spans="31:53" x14ac:dyDescent="0.55000000000000004">
      <c r="AE675" s="7"/>
      <c r="AT675" s="7"/>
      <c r="AU675">
        <f ca="1"/>
      </c>
      <c r="AV675">
        <f ca="1"/>
      </c>
      <c r="AX675">
        <f ca="1"/>
      </c>
      <c r="AY675">
        <f ca="1"/>
      </c>
      <c r="BA675" s="7"/>
    </row>
    <row r="676" spans="31:53" x14ac:dyDescent="0.55000000000000004">
      <c r="AE676" s="7"/>
      <c r="AT676" s="7"/>
      <c r="AU676">
        <f ca="1"/>
      </c>
      <c r="AV676">
        <f ca="1"/>
      </c>
      <c r="AX676">
        <f ca="1"/>
      </c>
      <c r="AY676">
        <f ca="1"/>
      </c>
      <c r="BA676" s="7"/>
    </row>
    <row r="677" spans="31:53" x14ac:dyDescent="0.55000000000000004">
      <c r="AE677" s="7"/>
      <c r="AT677" s="7"/>
      <c r="AU677">
        <f ca="1"/>
      </c>
      <c r="AV677">
        <f ca="1"/>
      </c>
      <c r="AX677">
        <f ca="1"/>
      </c>
      <c r="AY677">
        <f ca="1"/>
      </c>
      <c r="BA677" s="7"/>
    </row>
    <row r="678" spans="31:53" x14ac:dyDescent="0.55000000000000004">
      <c r="AE678" s="7"/>
      <c r="AT678" s="7"/>
      <c r="AU678">
        <f ca="1"/>
      </c>
      <c r="AV678">
        <f ca="1"/>
      </c>
      <c r="AX678">
        <f ca="1"/>
      </c>
      <c r="AY678">
        <f ca="1"/>
      </c>
      <c r="BA678" s="7"/>
    </row>
    <row r="679" spans="31:53" x14ac:dyDescent="0.55000000000000004">
      <c r="AE679" s="7"/>
      <c r="AT679" s="7"/>
      <c r="AU679">
        <f ca="1"/>
      </c>
      <c r="AV679">
        <f ca="1"/>
      </c>
      <c r="AX679">
        <f ca="1"/>
      </c>
      <c r="AY679">
        <f ca="1"/>
      </c>
      <c r="BA679" s="7"/>
    </row>
    <row r="680" spans="31:53" x14ac:dyDescent="0.55000000000000004">
      <c r="AE680" s="7"/>
      <c r="AT680" s="7"/>
      <c r="AU680">
        <f ca="1"/>
      </c>
      <c r="AV680">
        <f ca="1"/>
      </c>
      <c r="AX680">
        <f ca="1"/>
      </c>
      <c r="AY680">
        <f ca="1"/>
      </c>
      <c r="BA680" s="7"/>
    </row>
    <row r="681" spans="31:53" x14ac:dyDescent="0.55000000000000004">
      <c r="AE681" s="7"/>
      <c r="AT681" s="7"/>
      <c r="AU681">
        <f ca="1"/>
      </c>
      <c r="AV681">
        <f ca="1"/>
      </c>
      <c r="AX681">
        <f ca="1"/>
      </c>
      <c r="AY681">
        <f ca="1"/>
      </c>
      <c r="BA681" s="7"/>
    </row>
    <row r="682" spans="31:53" x14ac:dyDescent="0.55000000000000004">
      <c r="AE682" s="7"/>
      <c r="AT682" s="7"/>
      <c r="AU682">
        <f ca="1"/>
      </c>
      <c r="AV682">
        <f ca="1"/>
      </c>
      <c r="AX682">
        <f ca="1"/>
      </c>
      <c r="AY682">
        <f ca="1"/>
      </c>
      <c r="BA682" s="7"/>
    </row>
    <row r="683" spans="31:53" x14ac:dyDescent="0.55000000000000004">
      <c r="AE683" s="7"/>
      <c r="AT683" s="7"/>
      <c r="AU683">
        <f ca="1"/>
      </c>
      <c r="AV683">
        <f ca="1"/>
      </c>
      <c r="AX683">
        <f ca="1"/>
      </c>
      <c r="AY683">
        <f ca="1"/>
      </c>
      <c r="BA683" s="7"/>
    </row>
    <row r="684" spans="31:53" x14ac:dyDescent="0.55000000000000004">
      <c r="AE684" s="7"/>
      <c r="AT684" s="7"/>
      <c r="AU684">
        <f ca="1"/>
      </c>
      <c r="AV684">
        <f ca="1"/>
      </c>
      <c r="AX684">
        <f ca="1"/>
      </c>
      <c r="AY684">
        <f ca="1"/>
      </c>
      <c r="BA684" s="7"/>
    </row>
    <row r="685" spans="31:53" x14ac:dyDescent="0.55000000000000004">
      <c r="AE685" s="7"/>
      <c r="AT685" s="7"/>
      <c r="AU685">
        <f ca="1"/>
      </c>
      <c r="AV685">
        <f ca="1"/>
      </c>
      <c r="AX685">
        <f ca="1"/>
      </c>
      <c r="AY685">
        <f ca="1"/>
      </c>
      <c r="BA685" s="7"/>
    </row>
    <row r="686" spans="31:53" x14ac:dyDescent="0.55000000000000004">
      <c r="AE686" s="7"/>
      <c r="AT686" s="7"/>
      <c r="AU686">
        <f ca="1"/>
      </c>
      <c r="AV686">
        <f ca="1"/>
      </c>
      <c r="AX686">
        <f ca="1"/>
      </c>
      <c r="AY686">
        <f ca="1"/>
      </c>
      <c r="BA686" s="7"/>
    </row>
    <row r="687" spans="31:53" x14ac:dyDescent="0.55000000000000004">
      <c r="AE687" s="7"/>
      <c r="AT687" s="7"/>
      <c r="AU687">
        <f ca="1"/>
      </c>
      <c r="AV687">
        <f ca="1"/>
      </c>
      <c r="AX687">
        <f ca="1"/>
      </c>
      <c r="AY687">
        <f ca="1"/>
      </c>
      <c r="BA687" s="7"/>
    </row>
    <row r="688" spans="31:53" x14ac:dyDescent="0.55000000000000004">
      <c r="AE688" s="7"/>
      <c r="AT688" s="7"/>
      <c r="AU688">
        <f ca="1"/>
      </c>
      <c r="AV688">
        <f ca="1"/>
      </c>
      <c r="AX688">
        <f ca="1"/>
      </c>
      <c r="AY688">
        <f ca="1"/>
      </c>
      <c r="BA688" s="7"/>
    </row>
    <row r="689" spans="31:53" x14ac:dyDescent="0.55000000000000004">
      <c r="AE689" s="7"/>
      <c r="AT689" s="7"/>
      <c r="AU689">
        <f ca="1"/>
      </c>
      <c r="AV689">
        <f ca="1"/>
      </c>
      <c r="AX689">
        <f ca="1"/>
      </c>
      <c r="AY689">
        <f ca="1"/>
      </c>
      <c r="BA689" s="7"/>
    </row>
    <row r="690" spans="31:53" x14ac:dyDescent="0.55000000000000004">
      <c r="AE690" s="7"/>
      <c r="AT690" s="7"/>
      <c r="AU690">
        <f ca="1"/>
      </c>
      <c r="AV690">
        <f ca="1"/>
      </c>
      <c r="AX690">
        <f ca="1"/>
      </c>
      <c r="AY690">
        <f ca="1"/>
      </c>
      <c r="BA690" s="7"/>
    </row>
    <row r="691" spans="31:53" x14ac:dyDescent="0.55000000000000004">
      <c r="AE691" s="7"/>
      <c r="AT691" s="7"/>
      <c r="AU691">
        <f ca="1"/>
      </c>
      <c r="AV691">
        <f ca="1"/>
      </c>
      <c r="AX691">
        <f ca="1"/>
      </c>
      <c r="AY691">
        <f ca="1"/>
      </c>
      <c r="BA691" s="7"/>
    </row>
    <row r="692" spans="31:53" x14ac:dyDescent="0.55000000000000004">
      <c r="AE692" s="7"/>
      <c r="AT692" s="7"/>
      <c r="AU692">
        <f ca="1"/>
      </c>
      <c r="AV692">
        <f ca="1"/>
      </c>
      <c r="AX692">
        <f ca="1"/>
      </c>
      <c r="AY692">
        <f ca="1"/>
      </c>
      <c r="BA692" s="7"/>
    </row>
    <row r="693" spans="31:53" x14ac:dyDescent="0.55000000000000004">
      <c r="AE693" s="7"/>
      <c r="AT693" s="7"/>
      <c r="AU693">
        <f ca="1"/>
      </c>
      <c r="AV693">
        <f ca="1"/>
      </c>
      <c r="AX693">
        <f ca="1"/>
      </c>
      <c r="AY693">
        <f ca="1"/>
      </c>
      <c r="BA693" s="7"/>
    </row>
    <row r="694" spans="31:53" x14ac:dyDescent="0.55000000000000004">
      <c r="AE694" s="7"/>
      <c r="AT694" s="7"/>
      <c r="AU694">
        <f ca="1"/>
      </c>
      <c r="AV694">
        <f ca="1"/>
      </c>
      <c r="AX694">
        <f ca="1"/>
      </c>
      <c r="AY694">
        <f ca="1"/>
      </c>
      <c r="BA694" s="7"/>
    </row>
    <row r="695" spans="31:53" x14ac:dyDescent="0.55000000000000004">
      <c r="AE695" s="7"/>
      <c r="AT695" s="7"/>
      <c r="AU695">
        <f ca="1"/>
      </c>
      <c r="AV695">
        <f ca="1"/>
      </c>
      <c r="AX695">
        <f ca="1"/>
      </c>
      <c r="AY695">
        <f ca="1"/>
      </c>
      <c r="BA695" s="7"/>
    </row>
    <row r="696" spans="31:53" x14ac:dyDescent="0.55000000000000004">
      <c r="AE696" s="7"/>
      <c r="AT696" s="7"/>
      <c r="AU696">
        <f ca="1"/>
      </c>
      <c r="AV696">
        <f ca="1"/>
      </c>
      <c r="AX696">
        <f ca="1"/>
      </c>
      <c r="AY696">
        <f ca="1"/>
      </c>
      <c r="BA696" s="7"/>
    </row>
    <row r="697" spans="31:53" x14ac:dyDescent="0.55000000000000004">
      <c r="AE697" s="7"/>
      <c r="AT697" s="7"/>
      <c r="AU697">
        <f ca="1"/>
      </c>
      <c r="AV697">
        <f ca="1"/>
      </c>
      <c r="AX697">
        <f ca="1"/>
      </c>
      <c r="AY697">
        <f ca="1"/>
      </c>
      <c r="BA697" s="7"/>
    </row>
    <row r="698" spans="31:53" x14ac:dyDescent="0.55000000000000004">
      <c r="AE698" s="7"/>
      <c r="AT698" s="7"/>
      <c r="AU698">
        <f ca="1"/>
      </c>
      <c r="AV698">
        <f ca="1"/>
      </c>
      <c r="AX698">
        <f ca="1"/>
      </c>
      <c r="AY698">
        <f ca="1"/>
      </c>
      <c r="BA698" s="7"/>
    </row>
    <row r="699" spans="31:53" x14ac:dyDescent="0.55000000000000004">
      <c r="AE699" s="7"/>
      <c r="AT699" s="7"/>
      <c r="AU699">
        <f ca="1"/>
      </c>
      <c r="AV699">
        <f ca="1"/>
      </c>
      <c r="AX699">
        <f ca="1"/>
      </c>
      <c r="AY699">
        <f ca="1"/>
      </c>
      <c r="BA699" s="7"/>
    </row>
    <row r="700" spans="31:53" x14ac:dyDescent="0.55000000000000004">
      <c r="AE700" s="7"/>
      <c r="AT700" s="7"/>
      <c r="AU700">
        <f ca="1"/>
      </c>
      <c r="AV700">
        <f ca="1"/>
      </c>
      <c r="AX700">
        <f ca="1"/>
      </c>
      <c r="AY700">
        <f ca="1"/>
      </c>
      <c r="BA700" s="7"/>
    </row>
    <row r="701" spans="31:53" x14ac:dyDescent="0.55000000000000004">
      <c r="AE701" s="7"/>
      <c r="AT701" s="7"/>
      <c r="AU701">
        <f ca="1"/>
      </c>
      <c r="AV701">
        <f ca="1"/>
      </c>
      <c r="AX701">
        <f ca="1"/>
      </c>
      <c r="AY701">
        <f ca="1"/>
      </c>
      <c r="BA701" s="7"/>
    </row>
    <row r="702" spans="31:53" x14ac:dyDescent="0.55000000000000004">
      <c r="AE702" s="7"/>
      <c r="AT702" s="7"/>
      <c r="AU702">
        <f ca="1"/>
      </c>
      <c r="AV702">
        <f ca="1"/>
      </c>
      <c r="AX702">
        <f ca="1"/>
      </c>
      <c r="AY702">
        <f ca="1"/>
      </c>
      <c r="BA702" s="7"/>
    </row>
    <row r="703" spans="31:53" x14ac:dyDescent="0.55000000000000004">
      <c r="AE703" s="7"/>
      <c r="AT703" s="7"/>
      <c r="AU703">
        <f ca="1"/>
      </c>
      <c r="AV703">
        <f ca="1"/>
      </c>
      <c r="AX703">
        <f ca="1"/>
      </c>
      <c r="AY703">
        <f ca="1"/>
      </c>
      <c r="BA703" s="7"/>
    </row>
    <row r="704" spans="31:53" x14ac:dyDescent="0.55000000000000004">
      <c r="AE704" s="7"/>
      <c r="AT704" s="7"/>
      <c r="AU704">
        <f ca="1"/>
      </c>
      <c r="AV704">
        <f ca="1"/>
      </c>
      <c r="AX704">
        <f ca="1"/>
      </c>
      <c r="AY704">
        <f ca="1"/>
      </c>
      <c r="BA704" s="7"/>
    </row>
    <row r="705" spans="31:53" x14ac:dyDescent="0.55000000000000004">
      <c r="AE705" s="7"/>
      <c r="AT705" s="7"/>
      <c r="AU705">
        <f ca="1"/>
      </c>
      <c r="AV705">
        <f ca="1"/>
      </c>
      <c r="AX705">
        <f ca="1"/>
      </c>
      <c r="AY705">
        <f ca="1"/>
      </c>
      <c r="BA705" s="7"/>
    </row>
    <row r="706" spans="31:53" x14ac:dyDescent="0.55000000000000004">
      <c r="AE706" s="7"/>
      <c r="AT706" s="7"/>
      <c r="AU706">
        <f ca="1"/>
      </c>
      <c r="AV706">
        <f ca="1"/>
      </c>
      <c r="AX706">
        <f ca="1"/>
      </c>
      <c r="AY706">
        <f ca="1"/>
      </c>
      <c r="BA706" s="7"/>
    </row>
    <row r="707" spans="31:53" x14ac:dyDescent="0.55000000000000004">
      <c r="AE707" s="7"/>
      <c r="AT707" s="7"/>
      <c r="AU707">
        <f ca="1"/>
      </c>
      <c r="AV707">
        <f ca="1"/>
      </c>
      <c r="AX707">
        <f ca="1"/>
      </c>
      <c r="AY707">
        <f ca="1"/>
      </c>
      <c r="BA707" s="7"/>
    </row>
    <row r="708" spans="31:53" x14ac:dyDescent="0.55000000000000004">
      <c r="AE708" s="7"/>
      <c r="AT708" s="7"/>
      <c r="AU708">
        <f ca="1"/>
      </c>
      <c r="AV708">
        <f ca="1"/>
      </c>
      <c r="AX708">
        <f ca="1"/>
      </c>
      <c r="AY708">
        <f ca="1"/>
      </c>
      <c r="BA708" s="7"/>
    </row>
    <row r="709" spans="31:53" x14ac:dyDescent="0.55000000000000004">
      <c r="AE709" s="7"/>
      <c r="AT709" s="7"/>
      <c r="AU709">
        <f ca="1"/>
      </c>
      <c r="AV709">
        <f ca="1"/>
      </c>
      <c r="AX709">
        <f ca="1"/>
      </c>
      <c r="AY709">
        <f ca="1"/>
      </c>
      <c r="BA709" s="7"/>
    </row>
    <row r="710" spans="31:53" x14ac:dyDescent="0.55000000000000004">
      <c r="AE710" s="7"/>
      <c r="AT710" s="7"/>
      <c r="AU710">
        <f ca="1"/>
      </c>
      <c r="AV710">
        <f ca="1"/>
      </c>
      <c r="AX710">
        <f ca="1"/>
      </c>
      <c r="AY710">
        <f ca="1"/>
      </c>
      <c r="BA710" s="7"/>
    </row>
    <row r="711" spans="31:53" x14ac:dyDescent="0.55000000000000004">
      <c r="AE711" s="7"/>
      <c r="AT711" s="7"/>
      <c r="AU711">
        <f ca="1"/>
      </c>
      <c r="AV711">
        <f ca="1"/>
      </c>
      <c r="AX711">
        <f ca="1"/>
      </c>
      <c r="AY711">
        <f ca="1"/>
      </c>
      <c r="BA711" s="7"/>
    </row>
    <row r="712" spans="31:53" x14ac:dyDescent="0.55000000000000004">
      <c r="AE712" s="7"/>
      <c r="AT712" s="7"/>
      <c r="AU712">
        <f ca="1"/>
      </c>
      <c r="AV712">
        <f ca="1"/>
      </c>
      <c r="AX712">
        <f ca="1"/>
      </c>
      <c r="AY712">
        <f ca="1"/>
      </c>
      <c r="BA712" s="7"/>
    </row>
    <row r="713" spans="31:53" x14ac:dyDescent="0.55000000000000004">
      <c r="AE713" s="7"/>
      <c r="AT713" s="7"/>
      <c r="AU713">
        <f ca="1"/>
      </c>
      <c r="AV713">
        <f ca="1"/>
      </c>
      <c r="AX713">
        <f ca="1"/>
      </c>
      <c r="AY713">
        <f ca="1"/>
      </c>
      <c r="BA713" s="7"/>
    </row>
    <row r="714" spans="31:53" x14ac:dyDescent="0.55000000000000004">
      <c r="AE714" s="7"/>
      <c r="AT714" s="7"/>
      <c r="AU714">
        <f ca="1"/>
      </c>
      <c r="AV714">
        <f ca="1"/>
      </c>
      <c r="AX714">
        <f ca="1"/>
      </c>
      <c r="AY714">
        <f ca="1"/>
      </c>
      <c r="BA714" s="7"/>
    </row>
    <row r="715" spans="31:53" x14ac:dyDescent="0.55000000000000004">
      <c r="AE715" s="7"/>
      <c r="AT715" s="7"/>
      <c r="AU715">
        <f ca="1"/>
      </c>
      <c r="AV715">
        <f ca="1"/>
      </c>
      <c r="AX715">
        <f ca="1"/>
      </c>
      <c r="AY715">
        <f ca="1"/>
      </c>
      <c r="BA715" s="7"/>
    </row>
    <row r="716" spans="31:53" x14ac:dyDescent="0.55000000000000004">
      <c r="AE716" s="7"/>
      <c r="AT716" s="7"/>
      <c r="AU716">
        <f ca="1"/>
      </c>
      <c r="AV716">
        <f ca="1"/>
      </c>
      <c r="AX716">
        <f ca="1"/>
      </c>
      <c r="AY716">
        <f ca="1"/>
      </c>
      <c r="BA716" s="7"/>
    </row>
    <row r="717" spans="31:53" x14ac:dyDescent="0.55000000000000004">
      <c r="AE717" s="7"/>
      <c r="AT717" s="7"/>
      <c r="AU717">
        <f ca="1"/>
      </c>
      <c r="AV717">
        <f ca="1"/>
      </c>
      <c r="AX717">
        <f ca="1"/>
      </c>
      <c r="AY717">
        <f ca="1"/>
      </c>
      <c r="BA717" s="7"/>
    </row>
    <row r="718" spans="31:53" x14ac:dyDescent="0.55000000000000004">
      <c r="AE718" s="7"/>
      <c r="AT718" s="7"/>
      <c r="AU718">
        <f ca="1"/>
      </c>
      <c r="AV718">
        <f ca="1"/>
      </c>
      <c r="AX718">
        <f ca="1"/>
      </c>
      <c r="AY718">
        <f ca="1"/>
      </c>
      <c r="BA718" s="7"/>
    </row>
    <row r="719" spans="31:53" x14ac:dyDescent="0.55000000000000004">
      <c r="AE719" s="7"/>
      <c r="AT719" s="7"/>
      <c r="AU719">
        <f ca="1"/>
      </c>
      <c r="AV719">
        <f ca="1"/>
      </c>
      <c r="AX719">
        <f ca="1"/>
      </c>
      <c r="AY719">
        <f ca="1"/>
      </c>
      <c r="BA719" s="7"/>
    </row>
    <row r="720" spans="31:53" x14ac:dyDescent="0.55000000000000004">
      <c r="AE720" s="7"/>
      <c r="AT720" s="7"/>
      <c r="AU720">
        <f ca="1"/>
      </c>
      <c r="AV720">
        <f ca="1"/>
      </c>
      <c r="AX720">
        <f ca="1"/>
      </c>
      <c r="AY720">
        <f ca="1"/>
      </c>
      <c r="BA720" s="7"/>
    </row>
    <row r="721" spans="31:53" x14ac:dyDescent="0.55000000000000004">
      <c r="AE721" s="7"/>
      <c r="AT721" s="7"/>
      <c r="AU721">
        <f ca="1"/>
      </c>
      <c r="AV721">
        <f ca="1"/>
      </c>
      <c r="AX721">
        <f ca="1"/>
      </c>
      <c r="AY721">
        <f ca="1"/>
      </c>
      <c r="BA721" s="7"/>
    </row>
    <row r="722" spans="31:53" x14ac:dyDescent="0.55000000000000004">
      <c r="AE722" s="7"/>
      <c r="AT722" s="7"/>
      <c r="AU722">
        <f ca="1"/>
      </c>
      <c r="AV722">
        <f ca="1"/>
      </c>
      <c r="AX722">
        <f ca="1"/>
      </c>
      <c r="AY722">
        <f ca="1"/>
      </c>
      <c r="BA722" s="7"/>
    </row>
    <row r="723" spans="31:53" x14ac:dyDescent="0.55000000000000004">
      <c r="AE723" s="7"/>
      <c r="AT723" s="7"/>
      <c r="AU723">
        <f ca="1"/>
      </c>
      <c r="AV723">
        <f ca="1"/>
      </c>
      <c r="AX723">
        <f ca="1"/>
      </c>
      <c r="AY723">
        <f ca="1"/>
      </c>
      <c r="BA723" s="7"/>
    </row>
    <row r="724" spans="31:53" x14ac:dyDescent="0.55000000000000004">
      <c r="AE724" s="7"/>
      <c r="AT724" s="7"/>
      <c r="AU724">
        <f ca="1"/>
      </c>
      <c r="AV724">
        <f ca="1"/>
      </c>
      <c r="AX724">
        <f ca="1"/>
      </c>
      <c r="AY724">
        <f ca="1"/>
      </c>
      <c r="BA724" s="7"/>
    </row>
    <row r="725" spans="31:53" x14ac:dyDescent="0.55000000000000004">
      <c r="AE725" s="7"/>
      <c r="AT725" s="7"/>
      <c r="AU725">
        <f ca="1"/>
      </c>
      <c r="AV725">
        <f ca="1"/>
      </c>
      <c r="AX725">
        <f ca="1"/>
      </c>
      <c r="AY725">
        <f ca="1"/>
      </c>
      <c r="BA725" s="7"/>
    </row>
    <row r="726" spans="31:53" x14ac:dyDescent="0.55000000000000004">
      <c r="AE726" s="7"/>
      <c r="AT726" s="7"/>
      <c r="AU726">
        <f ca="1"/>
      </c>
      <c r="AV726">
        <f ca="1"/>
      </c>
      <c r="AX726">
        <f ca="1"/>
      </c>
      <c r="AY726">
        <f ca="1"/>
      </c>
      <c r="BA726" s="7"/>
    </row>
    <row r="727" spans="31:53" x14ac:dyDescent="0.55000000000000004">
      <c r="AE727" s="7"/>
      <c r="AT727" s="7"/>
      <c r="AU727">
        <f ca="1"/>
      </c>
      <c r="AV727">
        <f ca="1"/>
      </c>
      <c r="AX727">
        <f ca="1"/>
      </c>
      <c r="AY727">
        <f ca="1"/>
      </c>
      <c r="BA727" s="7"/>
    </row>
    <row r="728" spans="31:53" x14ac:dyDescent="0.55000000000000004">
      <c r="AE728" s="7"/>
      <c r="AT728" s="7"/>
      <c r="AU728">
        <f ca="1"/>
      </c>
      <c r="AV728">
        <f ca="1"/>
      </c>
      <c r="AX728">
        <f ca="1"/>
      </c>
      <c r="AY728">
        <f ca="1"/>
      </c>
      <c r="BA728" s="7"/>
    </row>
    <row r="729" spans="31:53" x14ac:dyDescent="0.55000000000000004">
      <c r="AE729" s="7"/>
      <c r="AT729" s="7"/>
      <c r="AU729">
        <f ca="1"/>
      </c>
      <c r="AV729">
        <f ca="1"/>
      </c>
      <c r="AX729">
        <f ca="1"/>
      </c>
      <c r="AY729">
        <f ca="1"/>
      </c>
      <c r="BA729" s="7"/>
    </row>
    <row r="730" spans="31:53" x14ac:dyDescent="0.55000000000000004">
      <c r="AE730" s="7"/>
      <c r="AT730" s="7"/>
      <c r="AU730">
        <f ca="1"/>
      </c>
      <c r="AV730">
        <f ca="1"/>
      </c>
      <c r="AX730">
        <f ca="1"/>
      </c>
      <c r="AY730">
        <f ca="1"/>
      </c>
      <c r="BA730" s="7"/>
    </row>
    <row r="731" spans="31:53" x14ac:dyDescent="0.55000000000000004">
      <c r="AE731" s="7"/>
      <c r="AT731" s="7"/>
      <c r="AU731">
        <f ca="1"/>
      </c>
      <c r="AV731">
        <f ca="1"/>
      </c>
      <c r="AX731">
        <f ca="1"/>
      </c>
      <c r="AY731">
        <f ca="1"/>
      </c>
      <c r="BA731" s="7"/>
    </row>
    <row r="732" spans="31:53" x14ac:dyDescent="0.55000000000000004">
      <c r="AE732" s="7"/>
      <c r="AT732" s="7"/>
      <c r="AU732">
        <f ca="1"/>
      </c>
      <c r="AV732">
        <f ca="1"/>
      </c>
      <c r="AX732">
        <f ca="1"/>
      </c>
      <c r="AY732">
        <f ca="1"/>
      </c>
      <c r="BA732" s="7"/>
    </row>
    <row r="733" spans="31:53" x14ac:dyDescent="0.55000000000000004">
      <c r="AE733" s="7"/>
      <c r="AT733" s="7"/>
      <c r="AU733">
        <f ca="1"/>
      </c>
      <c r="AV733">
        <f ca="1"/>
      </c>
      <c r="AX733">
        <f ca="1"/>
      </c>
      <c r="AY733">
        <f ca="1"/>
      </c>
      <c r="BA733" s="7"/>
    </row>
    <row r="734" spans="31:53" x14ac:dyDescent="0.55000000000000004">
      <c r="AE734" s="7"/>
      <c r="AT734" s="7"/>
      <c r="AU734">
        <f ca="1"/>
      </c>
      <c r="AV734">
        <f ca="1"/>
      </c>
      <c r="AX734">
        <f ca="1"/>
      </c>
      <c r="AY734">
        <f ca="1"/>
      </c>
      <c r="BA734" s="7"/>
    </row>
    <row r="735" spans="31:53" x14ac:dyDescent="0.55000000000000004">
      <c r="AE735" s="7"/>
      <c r="AT735" s="7"/>
      <c r="AU735">
        <f ca="1"/>
      </c>
      <c r="AV735">
        <f ca="1"/>
      </c>
      <c r="AX735">
        <f ca="1"/>
      </c>
      <c r="AY735">
        <f ca="1"/>
      </c>
      <c r="BA735" s="7"/>
    </row>
    <row r="736" spans="31:53" x14ac:dyDescent="0.55000000000000004">
      <c r="AE736" s="7"/>
      <c r="AT736" s="7"/>
      <c r="AU736">
        <f ca="1"/>
      </c>
      <c r="AV736">
        <f ca="1"/>
      </c>
      <c r="AX736">
        <f ca="1"/>
      </c>
      <c r="AY736">
        <f ca="1"/>
      </c>
      <c r="BA736" s="7"/>
    </row>
    <row r="737" spans="31:53" x14ac:dyDescent="0.55000000000000004">
      <c r="AE737" s="7"/>
      <c r="AT737" s="7"/>
      <c r="AU737">
        <f ca="1"/>
      </c>
      <c r="AV737">
        <f ca="1"/>
      </c>
      <c r="AX737">
        <f ca="1"/>
      </c>
      <c r="AY737">
        <f ca="1"/>
      </c>
      <c r="BA737" s="7"/>
    </row>
    <row r="738" spans="31:53" x14ac:dyDescent="0.55000000000000004">
      <c r="AE738" s="7"/>
      <c r="AT738" s="7"/>
      <c r="AU738">
        <f ca="1"/>
      </c>
      <c r="AV738">
        <f ca="1"/>
      </c>
      <c r="AX738">
        <f ca="1"/>
      </c>
      <c r="AY738">
        <f ca="1"/>
      </c>
      <c r="BA738" s="7"/>
    </row>
    <row r="739" spans="31:53" x14ac:dyDescent="0.55000000000000004">
      <c r="AE739" s="7"/>
      <c r="AT739" s="7"/>
      <c r="AU739">
        <f ca="1"/>
      </c>
      <c r="AV739">
        <f ca="1"/>
      </c>
      <c r="AX739">
        <f ca="1"/>
      </c>
      <c r="AY739">
        <f ca="1"/>
      </c>
      <c r="BA739" s="7"/>
    </row>
    <row r="740" spans="31:53" x14ac:dyDescent="0.55000000000000004">
      <c r="AE740" s="7"/>
      <c r="AT740" s="7"/>
      <c r="AU740">
        <f ca="1"/>
      </c>
      <c r="AV740">
        <f ca="1"/>
      </c>
      <c r="AX740">
        <f ca="1"/>
      </c>
      <c r="AY740">
        <f ca="1"/>
      </c>
      <c r="BA740" s="7"/>
    </row>
    <row r="741" spans="31:53" x14ac:dyDescent="0.55000000000000004">
      <c r="AE741" s="7"/>
      <c r="AT741" s="7"/>
      <c r="AU741">
        <f ca="1"/>
      </c>
      <c r="AV741">
        <f ca="1"/>
      </c>
      <c r="AX741">
        <f ca="1"/>
      </c>
      <c r="AY741">
        <f ca="1"/>
      </c>
      <c r="BA741" s="7"/>
    </row>
    <row r="742" spans="31:53" x14ac:dyDescent="0.55000000000000004">
      <c r="AE742" s="7"/>
      <c r="AT742" s="7"/>
      <c r="AU742">
        <f ca="1"/>
      </c>
      <c r="AV742">
        <f ca="1"/>
      </c>
      <c r="AX742">
        <f ca="1"/>
      </c>
      <c r="AY742">
        <f ca="1"/>
      </c>
      <c r="BA742" s="7"/>
    </row>
    <row r="743" spans="31:53" x14ac:dyDescent="0.55000000000000004">
      <c r="AE743" s="7"/>
      <c r="AT743" s="7"/>
      <c r="AU743">
        <f ca="1"/>
      </c>
      <c r="AV743">
        <f ca="1"/>
      </c>
      <c r="AX743">
        <f ca="1"/>
      </c>
      <c r="AY743">
        <f ca="1"/>
      </c>
      <c r="BA743" s="7"/>
    </row>
    <row r="744" spans="31:53" x14ac:dyDescent="0.55000000000000004">
      <c r="AE744" s="7"/>
      <c r="AT744" s="7"/>
      <c r="AU744">
        <f ca="1"/>
      </c>
      <c r="AV744">
        <f ca="1"/>
      </c>
      <c r="AX744">
        <f ca="1"/>
      </c>
      <c r="AY744">
        <f ca="1"/>
      </c>
      <c r="BA744" s="7"/>
    </row>
    <row r="745" spans="31:53" x14ac:dyDescent="0.55000000000000004">
      <c r="AE745" s="7"/>
      <c r="AT745" s="7"/>
      <c r="AU745">
        <f ca="1"/>
      </c>
      <c r="AV745">
        <f ca="1"/>
      </c>
      <c r="AX745">
        <f ca="1"/>
      </c>
      <c r="AY745">
        <f ca="1"/>
      </c>
      <c r="BA745" s="7"/>
    </row>
    <row r="746" spans="31:53" x14ac:dyDescent="0.55000000000000004">
      <c r="AE746" s="7"/>
      <c r="AT746" s="7"/>
      <c r="AU746">
        <f ca="1"/>
      </c>
      <c r="AV746">
        <f ca="1"/>
      </c>
      <c r="AX746">
        <f ca="1"/>
      </c>
      <c r="AY746">
        <f ca="1"/>
      </c>
      <c r="BA746" s="7"/>
    </row>
    <row r="747" spans="31:53" x14ac:dyDescent="0.55000000000000004">
      <c r="AE747" s="7"/>
      <c r="AT747" s="7"/>
      <c r="AU747">
        <f ca="1"/>
      </c>
      <c r="AV747">
        <f ca="1"/>
      </c>
      <c r="AX747">
        <f ca="1"/>
      </c>
      <c r="AY747">
        <f ca="1"/>
      </c>
      <c r="BA747" s="7"/>
    </row>
    <row r="748" spans="31:53" x14ac:dyDescent="0.55000000000000004">
      <c r="AE748" s="7"/>
      <c r="AT748" s="7"/>
      <c r="AU748">
        <f ca="1"/>
      </c>
      <c r="AV748">
        <f ca="1"/>
      </c>
      <c r="AX748">
        <f ca="1"/>
      </c>
      <c r="AY748">
        <f ca="1"/>
      </c>
      <c r="BA748" s="7"/>
    </row>
    <row r="749" spans="31:53" x14ac:dyDescent="0.55000000000000004">
      <c r="AE749" s="7"/>
      <c r="AT749" s="7"/>
      <c r="AU749">
        <f ca="1"/>
      </c>
      <c r="AV749">
        <f ca="1"/>
      </c>
      <c r="AX749">
        <f ca="1"/>
      </c>
      <c r="AY749">
        <f ca="1"/>
      </c>
      <c r="BA749" s="7"/>
    </row>
    <row r="750" spans="31:53" x14ac:dyDescent="0.55000000000000004">
      <c r="AE750" s="7"/>
      <c r="AT750" s="7"/>
      <c r="AU750">
        <f ca="1"/>
      </c>
      <c r="AV750">
        <f ca="1"/>
      </c>
      <c r="AX750">
        <f ca="1"/>
      </c>
      <c r="AY750">
        <f ca="1"/>
      </c>
      <c r="BA750" s="7"/>
    </row>
    <row r="751" spans="31:53" x14ac:dyDescent="0.55000000000000004">
      <c r="AE751" s="7"/>
      <c r="AT751" s="7"/>
      <c r="AU751">
        <f ca="1"/>
      </c>
      <c r="AV751">
        <f ca="1"/>
      </c>
      <c r="AX751">
        <f ca="1"/>
      </c>
      <c r="AY751">
        <f ca="1"/>
      </c>
      <c r="BA751" s="7"/>
    </row>
    <row r="752" spans="31:53" x14ac:dyDescent="0.55000000000000004">
      <c r="AE752" s="7"/>
      <c r="AT752" s="7"/>
      <c r="AU752">
        <f ca="1"/>
      </c>
      <c r="AV752">
        <f ca="1"/>
      </c>
      <c r="AX752">
        <f ca="1"/>
      </c>
      <c r="AY752">
        <f ca="1"/>
      </c>
      <c r="BA752" s="7"/>
    </row>
    <row r="753" spans="31:53" x14ac:dyDescent="0.55000000000000004">
      <c r="AE753" s="7"/>
      <c r="AT753" s="7"/>
      <c r="AU753">
        <f ca="1"/>
      </c>
      <c r="AV753">
        <f ca="1"/>
      </c>
      <c r="AX753">
        <f ca="1"/>
      </c>
      <c r="AY753">
        <f ca="1"/>
      </c>
      <c r="BA753" s="7"/>
    </row>
    <row r="754" spans="31:53" x14ac:dyDescent="0.55000000000000004">
      <c r="AE754" s="7"/>
      <c r="AT754" s="7"/>
      <c r="AU754">
        <f ca="1"/>
      </c>
      <c r="AV754">
        <f ca="1"/>
      </c>
      <c r="AX754">
        <f ca="1"/>
      </c>
      <c r="AY754">
        <f ca="1"/>
      </c>
      <c r="BA754" s="7"/>
    </row>
    <row r="755" spans="31:53" x14ac:dyDescent="0.55000000000000004">
      <c r="AE755" s="7"/>
      <c r="AT755" s="7"/>
      <c r="AU755">
        <f ca="1"/>
      </c>
      <c r="AV755">
        <f ca="1"/>
      </c>
      <c r="AX755">
        <f ca="1"/>
      </c>
      <c r="AY755">
        <f ca="1"/>
      </c>
      <c r="BA755" s="7"/>
    </row>
    <row r="756" spans="31:53" x14ac:dyDescent="0.55000000000000004">
      <c r="AE756" s="7"/>
      <c r="AT756" s="7"/>
      <c r="AU756">
        <f ca="1"/>
      </c>
      <c r="AV756">
        <f ca="1"/>
      </c>
      <c r="AX756">
        <f ca="1"/>
      </c>
      <c r="AY756">
        <f ca="1"/>
      </c>
      <c r="BA756" s="7"/>
    </row>
    <row r="757" spans="31:53" x14ac:dyDescent="0.55000000000000004">
      <c r="AE757" s="7"/>
      <c r="AT757" s="7"/>
      <c r="AU757">
        <f ca="1"/>
      </c>
      <c r="AV757">
        <f ca="1"/>
      </c>
      <c r="AX757">
        <f ca="1"/>
      </c>
      <c r="AY757">
        <f ca="1"/>
      </c>
      <c r="BA757" s="7"/>
    </row>
    <row r="758" spans="31:53" x14ac:dyDescent="0.55000000000000004">
      <c r="AE758" s="7"/>
      <c r="AT758" s="7"/>
      <c r="AU758">
        <f ca="1"/>
      </c>
      <c r="AV758">
        <f ca="1"/>
      </c>
      <c r="AX758">
        <f ca="1"/>
      </c>
      <c r="AY758">
        <f ca="1"/>
      </c>
      <c r="BA758" s="7"/>
    </row>
    <row r="759" spans="31:53" x14ac:dyDescent="0.55000000000000004">
      <c r="AE759" s="7"/>
      <c r="AT759" s="7"/>
      <c r="AU759">
        <f ca="1"/>
      </c>
      <c r="AV759">
        <f ca="1"/>
      </c>
      <c r="AX759">
        <f ca="1"/>
      </c>
      <c r="AY759">
        <f ca="1"/>
      </c>
      <c r="BA759" s="7"/>
    </row>
    <row r="760" spans="31:53" x14ac:dyDescent="0.55000000000000004">
      <c r="AE760" s="7"/>
      <c r="AT760" s="7"/>
      <c r="AU760">
        <f ca="1"/>
      </c>
      <c r="AV760">
        <f ca="1"/>
      </c>
      <c r="AX760">
        <f ca="1"/>
      </c>
      <c r="AY760">
        <f ca="1"/>
      </c>
      <c r="BA760" s="7"/>
    </row>
    <row r="761" spans="31:53" x14ac:dyDescent="0.55000000000000004">
      <c r="AE761" s="7"/>
      <c r="AT761" s="7"/>
      <c r="AU761">
        <f ca="1"/>
      </c>
      <c r="AV761">
        <f ca="1"/>
      </c>
      <c r="AX761">
        <f ca="1"/>
      </c>
      <c r="AY761">
        <f ca="1"/>
      </c>
      <c r="BA761" s="7"/>
    </row>
    <row r="762" spans="31:53" x14ac:dyDescent="0.55000000000000004">
      <c r="AE762" s="7"/>
      <c r="AT762" s="7"/>
      <c r="AU762">
        <f ca="1"/>
      </c>
      <c r="AV762">
        <f ca="1"/>
      </c>
      <c r="AX762">
        <f ca="1"/>
      </c>
      <c r="AY762">
        <f ca="1"/>
      </c>
      <c r="BA762" s="7"/>
    </row>
    <row r="763" spans="31:53" x14ac:dyDescent="0.55000000000000004">
      <c r="AE763" s="7"/>
      <c r="AT763" s="7"/>
      <c r="AU763">
        <f ca="1"/>
      </c>
      <c r="AV763">
        <f ca="1"/>
      </c>
      <c r="AX763">
        <f ca="1"/>
      </c>
      <c r="AY763">
        <f ca="1"/>
      </c>
      <c r="BA763" s="7"/>
    </row>
    <row r="764" spans="31:53" x14ac:dyDescent="0.55000000000000004">
      <c r="AE764" s="7"/>
      <c r="AT764" s="7"/>
      <c r="AU764">
        <f ca="1"/>
      </c>
      <c r="AV764">
        <f ca="1"/>
      </c>
      <c r="AX764">
        <f ca="1"/>
      </c>
      <c r="AY764">
        <f ca="1"/>
      </c>
      <c r="BA764" s="7"/>
    </row>
    <row r="765" spans="31:53" x14ac:dyDescent="0.55000000000000004">
      <c r="AE765" s="7"/>
      <c r="AT765" s="7"/>
      <c r="AU765">
        <f ca="1"/>
      </c>
      <c r="AV765">
        <f ca="1"/>
      </c>
      <c r="AX765">
        <f ca="1"/>
      </c>
      <c r="AY765">
        <f ca="1"/>
      </c>
      <c r="BA765" s="7"/>
    </row>
    <row r="766" spans="31:53" x14ac:dyDescent="0.55000000000000004">
      <c r="AE766" s="7"/>
      <c r="AT766" s="7"/>
      <c r="AU766">
        <f ca="1"/>
      </c>
      <c r="AV766">
        <f ca="1"/>
      </c>
      <c r="AX766">
        <f ca="1"/>
      </c>
      <c r="AY766">
        <f ca="1"/>
      </c>
      <c r="BA766" s="7"/>
    </row>
    <row r="767" spans="31:53" x14ac:dyDescent="0.55000000000000004">
      <c r="AE767" s="7"/>
      <c r="AT767" s="7"/>
      <c r="AU767">
        <f ca="1"/>
      </c>
      <c r="AV767">
        <f ca="1"/>
      </c>
      <c r="AX767">
        <f ca="1"/>
      </c>
      <c r="AY767">
        <f ca="1"/>
      </c>
      <c r="BA767" s="7"/>
    </row>
    <row r="768" spans="31:53" x14ac:dyDescent="0.55000000000000004">
      <c r="AE768" s="7"/>
      <c r="AT768" s="7"/>
      <c r="AU768">
        <f ca="1"/>
      </c>
      <c r="AV768">
        <f ca="1"/>
      </c>
      <c r="AX768">
        <f ca="1"/>
      </c>
      <c r="AY768">
        <f ca="1"/>
      </c>
      <c r="BA768" s="7"/>
    </row>
    <row r="769" spans="31:53" x14ac:dyDescent="0.55000000000000004">
      <c r="AE769" s="7"/>
      <c r="AT769" s="7"/>
      <c r="AU769">
        <f ca="1"/>
      </c>
      <c r="AV769">
        <f ca="1"/>
      </c>
      <c r="AX769">
        <f ca="1"/>
      </c>
      <c r="AY769">
        <f ca="1"/>
      </c>
      <c r="BA769" s="7"/>
    </row>
    <row r="770" spans="31:53" x14ac:dyDescent="0.55000000000000004">
      <c r="AE770" s="7"/>
      <c r="AT770" s="7"/>
      <c r="AU770">
        <f ca="1"/>
      </c>
      <c r="AV770">
        <f ca="1"/>
      </c>
      <c r="AX770">
        <f ca="1"/>
      </c>
      <c r="AY770">
        <f ca="1"/>
      </c>
      <c r="BA770" s="7"/>
    </row>
    <row r="771" spans="31:53" x14ac:dyDescent="0.55000000000000004">
      <c r="AE771" s="7"/>
      <c r="AT771" s="7"/>
      <c r="AU771">
        <f ca="1"/>
      </c>
      <c r="AV771">
        <f ca="1"/>
      </c>
      <c r="AX771">
        <f ca="1"/>
      </c>
      <c r="AY771">
        <f ca="1"/>
      </c>
      <c r="BA771" s="7"/>
    </row>
    <row r="772" spans="31:53" x14ac:dyDescent="0.55000000000000004">
      <c r="AE772" s="7"/>
      <c r="AT772" s="7"/>
      <c r="AU772">
        <f ca="1"/>
      </c>
      <c r="AV772">
        <f ca="1"/>
      </c>
      <c r="AX772">
        <f ca="1"/>
      </c>
      <c r="AY772">
        <f ca="1"/>
      </c>
      <c r="BA772" s="7"/>
    </row>
    <row r="773" spans="31:53" x14ac:dyDescent="0.55000000000000004">
      <c r="AE773" s="7"/>
      <c r="AT773" s="7"/>
      <c r="AU773">
        <f ca="1"/>
      </c>
      <c r="AV773">
        <f ca="1"/>
      </c>
      <c r="AX773">
        <f ca="1"/>
      </c>
      <c r="AY773">
        <f ca="1"/>
      </c>
      <c r="BA773" s="7"/>
    </row>
    <row r="774" spans="31:53" x14ac:dyDescent="0.55000000000000004">
      <c r="AE774" s="7"/>
      <c r="AT774" s="7"/>
      <c r="AU774">
        <f ca="1"/>
      </c>
      <c r="AV774">
        <f ca="1"/>
      </c>
      <c r="AX774">
        <f ca="1"/>
      </c>
      <c r="AY774">
        <f ca="1"/>
      </c>
      <c r="BA774" s="7"/>
    </row>
    <row r="775" spans="31:53" x14ac:dyDescent="0.55000000000000004">
      <c r="AE775" s="7"/>
      <c r="AT775" s="7"/>
      <c r="AU775">
        <f ca="1"/>
      </c>
      <c r="AV775">
        <f ca="1"/>
      </c>
      <c r="AX775">
        <f ca="1"/>
      </c>
      <c r="AY775">
        <f ca="1"/>
      </c>
      <c r="BA775" s="7"/>
    </row>
    <row r="776" spans="31:53" x14ac:dyDescent="0.55000000000000004">
      <c r="AE776" s="7"/>
      <c r="AT776" s="7"/>
      <c r="AU776">
        <f ca="1"/>
      </c>
      <c r="AV776">
        <f ca="1"/>
      </c>
      <c r="AX776">
        <f ca="1"/>
      </c>
      <c r="AY776">
        <f ca="1"/>
      </c>
      <c r="BA776" s="7"/>
    </row>
    <row r="777" spans="31:53" x14ac:dyDescent="0.55000000000000004">
      <c r="AE777" s="7"/>
      <c r="AT777" s="7"/>
      <c r="AU777">
        <f ca="1"/>
      </c>
      <c r="AV777">
        <f ca="1"/>
      </c>
      <c r="AX777">
        <f ca="1"/>
      </c>
      <c r="AY777">
        <f ca="1"/>
      </c>
      <c r="BA777" s="7"/>
    </row>
    <row r="778" spans="31:53" x14ac:dyDescent="0.55000000000000004">
      <c r="AE778" s="7"/>
      <c r="AT778" s="7"/>
      <c r="AU778">
        <f ca="1"/>
      </c>
      <c r="AV778">
        <f ca="1"/>
      </c>
      <c r="AX778">
        <f ca="1"/>
      </c>
      <c r="AY778">
        <f ca="1"/>
      </c>
      <c r="BA778" s="7"/>
    </row>
    <row r="779" spans="31:53" x14ac:dyDescent="0.55000000000000004">
      <c r="AE779" s="7"/>
      <c r="AT779" s="7"/>
      <c r="AU779">
        <f ca="1"/>
      </c>
      <c r="AV779">
        <f ca="1"/>
      </c>
      <c r="AX779">
        <f ca="1"/>
      </c>
      <c r="AY779">
        <f ca="1"/>
      </c>
      <c r="BA779" s="7"/>
    </row>
    <row r="780" spans="31:53" x14ac:dyDescent="0.55000000000000004">
      <c r="AE780" s="7"/>
      <c r="AT780" s="7"/>
      <c r="AU780">
        <f ca="1"/>
      </c>
      <c r="AV780">
        <f ca="1"/>
      </c>
      <c r="AX780">
        <f ca="1"/>
      </c>
      <c r="AY780">
        <f ca="1"/>
      </c>
      <c r="BA780" s="7"/>
    </row>
    <row r="781" spans="31:53" x14ac:dyDescent="0.55000000000000004">
      <c r="AE781" s="7"/>
      <c r="AT781" s="7"/>
      <c r="AU781">
        <f ca="1"/>
      </c>
      <c r="AV781">
        <f ca="1"/>
      </c>
      <c r="AX781">
        <f ca="1"/>
      </c>
      <c r="AY781">
        <f ca="1"/>
      </c>
      <c r="BA781" s="7"/>
    </row>
    <row r="782" spans="31:53" x14ac:dyDescent="0.55000000000000004">
      <c r="AE782" s="7"/>
      <c r="AT782" s="7"/>
      <c r="AU782">
        <f ca="1"/>
      </c>
      <c r="AV782">
        <f ca="1"/>
      </c>
      <c r="AX782">
        <f ca="1"/>
      </c>
      <c r="AY782">
        <f ca="1"/>
      </c>
      <c r="BA782" s="7"/>
    </row>
    <row r="783" spans="31:53" x14ac:dyDescent="0.55000000000000004">
      <c r="AE783" s="7"/>
      <c r="AT783" s="7"/>
      <c r="AU783">
        <f ca="1"/>
      </c>
      <c r="AV783">
        <f ca="1"/>
      </c>
      <c r="AX783">
        <f ca="1"/>
      </c>
      <c r="AY783">
        <f ca="1"/>
      </c>
      <c r="BA783" s="7"/>
    </row>
    <row r="784" spans="31:53" x14ac:dyDescent="0.55000000000000004">
      <c r="AE784" s="7"/>
      <c r="AT784" s="7"/>
      <c r="AU784">
        <f ca="1"/>
      </c>
      <c r="AV784">
        <f ca="1"/>
      </c>
      <c r="AX784">
        <f ca="1"/>
      </c>
      <c r="AY784">
        <f ca="1"/>
      </c>
      <c r="BA784" s="7"/>
    </row>
    <row r="785" spans="31:53" x14ac:dyDescent="0.55000000000000004">
      <c r="AE785" s="7"/>
      <c r="AT785" s="7"/>
      <c r="AU785">
        <f ca="1"/>
      </c>
      <c r="AV785">
        <f ca="1"/>
      </c>
      <c r="AX785">
        <f ca="1"/>
      </c>
      <c r="AY785">
        <f ca="1"/>
      </c>
      <c r="BA785" s="7"/>
    </row>
    <row r="786" spans="31:53" x14ac:dyDescent="0.55000000000000004">
      <c r="AE786" s="7"/>
      <c r="AT786" s="7"/>
      <c r="AU786">
        <f ca="1"/>
      </c>
      <c r="AV786">
        <f ca="1"/>
      </c>
      <c r="AX786">
        <f ca="1"/>
      </c>
      <c r="AY786">
        <f ca="1"/>
      </c>
      <c r="BA786" s="7"/>
    </row>
    <row r="787" spans="31:53" x14ac:dyDescent="0.55000000000000004">
      <c r="AE787" s="7"/>
      <c r="AT787" s="7"/>
      <c r="AU787">
        <f ca="1"/>
      </c>
      <c r="AV787">
        <f ca="1"/>
      </c>
      <c r="AX787">
        <f ca="1"/>
      </c>
      <c r="AY787">
        <f ca="1"/>
      </c>
      <c r="BA787" s="7"/>
    </row>
    <row r="788" spans="31:53" x14ac:dyDescent="0.55000000000000004">
      <c r="AE788" s="7"/>
      <c r="AT788" s="7"/>
      <c r="AU788">
        <f ca="1"/>
      </c>
      <c r="AV788">
        <f ca="1"/>
      </c>
      <c r="AX788">
        <f ca="1"/>
      </c>
      <c r="AY788">
        <f ca="1"/>
      </c>
      <c r="BA788" s="7"/>
    </row>
    <row r="789" spans="31:53" x14ac:dyDescent="0.55000000000000004">
      <c r="AE789" s="7"/>
      <c r="AT789" s="7"/>
      <c r="AU789">
        <f ca="1"/>
      </c>
      <c r="AV789">
        <f ca="1"/>
      </c>
      <c r="AX789">
        <f ca="1"/>
      </c>
      <c r="AY789">
        <f ca="1"/>
      </c>
      <c r="BA789" s="7"/>
    </row>
    <row r="790" spans="31:53" x14ac:dyDescent="0.55000000000000004">
      <c r="AE790" s="7"/>
      <c r="AT790" s="7"/>
      <c r="AU790">
        <f ca="1"/>
      </c>
      <c r="AV790">
        <f ca="1"/>
      </c>
      <c r="AX790">
        <f ca="1"/>
      </c>
      <c r="AY790">
        <f ca="1"/>
      </c>
      <c r="BA790" s="7"/>
    </row>
    <row r="791" spans="31:53" x14ac:dyDescent="0.55000000000000004">
      <c r="AE791" s="7"/>
      <c r="AT791" s="7"/>
      <c r="AU791">
        <f ca="1"/>
      </c>
      <c r="AV791">
        <f ca="1"/>
      </c>
      <c r="AX791">
        <f ca="1"/>
      </c>
      <c r="AY791">
        <f ca="1"/>
      </c>
      <c r="BA791" s="7"/>
    </row>
    <row r="792" spans="31:53" x14ac:dyDescent="0.55000000000000004">
      <c r="AE792" s="7"/>
      <c r="AT792" s="7"/>
      <c r="AU792">
        <f ca="1"/>
      </c>
      <c r="AV792">
        <f ca="1"/>
      </c>
      <c r="AX792">
        <f ca="1"/>
      </c>
      <c r="AY792">
        <f ca="1"/>
      </c>
      <c r="BA792" s="7"/>
    </row>
    <row r="793" spans="31:53" x14ac:dyDescent="0.55000000000000004">
      <c r="AE793" s="7"/>
      <c r="AT793" s="7"/>
      <c r="AU793">
        <f ca="1"/>
      </c>
      <c r="AV793">
        <f ca="1"/>
      </c>
      <c r="AX793">
        <f ca="1"/>
      </c>
      <c r="AY793">
        <f ca="1"/>
      </c>
      <c r="BA793" s="7"/>
    </row>
    <row r="794" spans="31:53" x14ac:dyDescent="0.55000000000000004">
      <c r="AE794" s="7"/>
      <c r="AT794" s="7"/>
      <c r="AU794">
        <f ca="1"/>
      </c>
      <c r="AV794">
        <f ca="1"/>
      </c>
      <c r="AX794">
        <f ca="1"/>
      </c>
      <c r="AY794">
        <f ca="1"/>
      </c>
      <c r="BA794" s="7"/>
    </row>
    <row r="795" spans="31:53" x14ac:dyDescent="0.55000000000000004">
      <c r="AE795" s="7"/>
      <c r="AT795" s="7"/>
      <c r="AU795">
        <f ca="1"/>
      </c>
      <c r="AV795">
        <f ca="1"/>
      </c>
      <c r="AX795">
        <f ca="1"/>
      </c>
      <c r="AY795">
        <f ca="1"/>
      </c>
      <c r="BA795" s="7"/>
    </row>
    <row r="796" spans="31:53" x14ac:dyDescent="0.55000000000000004">
      <c r="AE796" s="7"/>
      <c r="AT796" s="7"/>
      <c r="AU796">
        <f ca="1"/>
      </c>
      <c r="AV796">
        <f ca="1"/>
      </c>
      <c r="AX796">
        <f ca="1"/>
      </c>
      <c r="AY796">
        <f ca="1"/>
      </c>
      <c r="BA796" s="7"/>
    </row>
    <row r="797" spans="31:53" x14ac:dyDescent="0.55000000000000004">
      <c r="AE797" s="7"/>
      <c r="AT797" s="7"/>
      <c r="AU797">
        <f ca="1"/>
      </c>
      <c r="AV797">
        <f ca="1"/>
      </c>
      <c r="AX797">
        <f ca="1"/>
      </c>
      <c r="AY797">
        <f ca="1"/>
      </c>
      <c r="BA797" s="7"/>
    </row>
    <row r="798" spans="31:53" x14ac:dyDescent="0.55000000000000004">
      <c r="AE798" s="7"/>
      <c r="AT798" s="7"/>
      <c r="AU798">
        <f ca="1"/>
      </c>
      <c r="AV798">
        <f ca="1"/>
      </c>
      <c r="AX798">
        <f ca="1"/>
      </c>
      <c r="AY798">
        <f ca="1"/>
      </c>
      <c r="BA798" s="7"/>
    </row>
    <row r="799" spans="31:53" x14ac:dyDescent="0.55000000000000004">
      <c r="AE799" s="7"/>
      <c r="AT799" s="7"/>
      <c r="AU799">
        <f ca="1"/>
      </c>
      <c r="AV799">
        <f ca="1"/>
      </c>
      <c r="AX799">
        <f ca="1"/>
      </c>
      <c r="AY799">
        <f ca="1"/>
      </c>
      <c r="BA799" s="7"/>
    </row>
    <row r="800" spans="31:53" x14ac:dyDescent="0.55000000000000004">
      <c r="AE800" s="7"/>
      <c r="AT800" s="7"/>
      <c r="AU800">
        <f ca="1"/>
      </c>
      <c r="AV800">
        <f ca="1"/>
      </c>
      <c r="AX800">
        <f ca="1"/>
      </c>
      <c r="AY800">
        <f ca="1"/>
      </c>
      <c r="BA800" s="7"/>
    </row>
    <row r="801" spans="31:53" x14ac:dyDescent="0.55000000000000004">
      <c r="AE801" s="7"/>
      <c r="AT801" s="7"/>
      <c r="AU801">
        <f ca="1"/>
      </c>
      <c r="AV801">
        <f ca="1"/>
      </c>
      <c r="AX801">
        <f ca="1"/>
      </c>
      <c r="AY801">
        <f ca="1"/>
      </c>
      <c r="BA801" s="7"/>
    </row>
    <row r="802" spans="31:53" x14ac:dyDescent="0.55000000000000004">
      <c r="AE802" s="7"/>
      <c r="AT802" s="7"/>
      <c r="AU802">
        <f ca="1"/>
      </c>
      <c r="AV802">
        <f ca="1"/>
      </c>
      <c r="AX802">
        <f ca="1"/>
      </c>
      <c r="AY802">
        <f ca="1"/>
      </c>
      <c r="BA802" s="7"/>
    </row>
    <row r="803" spans="31:53" x14ac:dyDescent="0.55000000000000004">
      <c r="AE803" s="7"/>
      <c r="AT803" s="7"/>
      <c r="AU803">
        <f ca="1"/>
      </c>
      <c r="AV803">
        <f ca="1"/>
      </c>
      <c r="AX803">
        <f ca="1"/>
      </c>
      <c r="AY803">
        <f ca="1"/>
      </c>
      <c r="BA803" s="7"/>
    </row>
    <row r="804" spans="31:53" x14ac:dyDescent="0.55000000000000004">
      <c r="AE804" s="7"/>
      <c r="AT804" s="7"/>
      <c r="AU804">
        <f ca="1"/>
      </c>
      <c r="AV804">
        <f ca="1"/>
      </c>
      <c r="AX804">
        <f ca="1"/>
      </c>
      <c r="AY804">
        <f ca="1"/>
      </c>
      <c r="BA804" s="7"/>
    </row>
    <row r="805" spans="31:53" x14ac:dyDescent="0.55000000000000004">
      <c r="AE805" s="7"/>
      <c r="AT805" s="7"/>
      <c r="AU805">
        <f ca="1"/>
      </c>
      <c r="AV805">
        <f ca="1"/>
      </c>
      <c r="AX805">
        <f ca="1"/>
      </c>
      <c r="AY805">
        <f ca="1"/>
      </c>
      <c r="BA805" s="7"/>
    </row>
    <row r="806" spans="31:53" x14ac:dyDescent="0.55000000000000004">
      <c r="AE806" s="7"/>
      <c r="AT806" s="7"/>
      <c r="AU806">
        <f ca="1"/>
      </c>
      <c r="AV806">
        <f ca="1"/>
      </c>
      <c r="AX806">
        <f ca="1"/>
      </c>
      <c r="AY806">
        <f ca="1"/>
      </c>
      <c r="BA806" s="7"/>
    </row>
    <row r="807" spans="31:53" x14ac:dyDescent="0.55000000000000004">
      <c r="AE807" s="7"/>
      <c r="AT807" s="7"/>
      <c r="AU807">
        <f ca="1"/>
      </c>
      <c r="AV807">
        <f ca="1"/>
      </c>
      <c r="AX807">
        <f ca="1"/>
      </c>
      <c r="AY807">
        <f ca="1"/>
      </c>
      <c r="BA807" s="7"/>
    </row>
    <row r="808" spans="31:53" x14ac:dyDescent="0.55000000000000004">
      <c r="AE808" s="7"/>
      <c r="AT808" s="7"/>
      <c r="AU808">
        <f ca="1"/>
      </c>
      <c r="AV808">
        <f ca="1"/>
      </c>
      <c r="AX808">
        <f ca="1"/>
      </c>
      <c r="AY808">
        <f ca="1"/>
      </c>
      <c r="BA808" s="7"/>
    </row>
    <row r="809" spans="31:53" x14ac:dyDescent="0.55000000000000004">
      <c r="AE809" s="7"/>
      <c r="AT809" s="7"/>
      <c r="AU809">
        <f ca="1"/>
      </c>
      <c r="AV809">
        <f ca="1"/>
      </c>
      <c r="AX809">
        <f ca="1"/>
      </c>
      <c r="AY809">
        <f ca="1"/>
      </c>
      <c r="BA809" s="7"/>
    </row>
    <row r="810" spans="31:53" x14ac:dyDescent="0.55000000000000004">
      <c r="AE810" s="7"/>
      <c r="AT810" s="7"/>
      <c r="AU810">
        <f ca="1"/>
      </c>
      <c r="AV810">
        <f ca="1"/>
      </c>
      <c r="AX810">
        <f ca="1"/>
      </c>
      <c r="AY810">
        <f ca="1"/>
      </c>
      <c r="BA810" s="7"/>
    </row>
    <row r="811" spans="31:53" x14ac:dyDescent="0.55000000000000004">
      <c r="AE811" s="7"/>
      <c r="AT811" s="7"/>
      <c r="AU811">
        <f ca="1"/>
      </c>
      <c r="AV811">
        <f ca="1"/>
      </c>
      <c r="AX811">
        <f ca="1"/>
      </c>
      <c r="AY811">
        <f ca="1"/>
      </c>
      <c r="BA811" s="7"/>
    </row>
    <row r="812" spans="31:53" x14ac:dyDescent="0.55000000000000004">
      <c r="AE812" s="7"/>
      <c r="AT812" s="7"/>
      <c r="AU812">
        <f ca="1"/>
      </c>
      <c r="AV812">
        <f ca="1"/>
      </c>
      <c r="AX812">
        <f ca="1"/>
      </c>
      <c r="AY812">
        <f ca="1"/>
      </c>
      <c r="BA812" s="7"/>
    </row>
    <row r="813" spans="31:53" x14ac:dyDescent="0.55000000000000004">
      <c r="AE813" s="7"/>
      <c r="AT813" s="7"/>
      <c r="AU813">
        <f ca="1"/>
      </c>
      <c r="AV813">
        <f ca="1"/>
      </c>
      <c r="AX813">
        <f ca="1"/>
      </c>
      <c r="AY813">
        <f ca="1"/>
      </c>
      <c r="BA813" s="7"/>
    </row>
    <row r="814" spans="31:53" x14ac:dyDescent="0.55000000000000004">
      <c r="AE814" s="7"/>
      <c r="AT814" s="7"/>
      <c r="AU814">
        <f ca="1"/>
      </c>
      <c r="AV814">
        <f ca="1"/>
      </c>
      <c r="AX814">
        <f ca="1"/>
      </c>
      <c r="AY814">
        <f ca="1"/>
      </c>
      <c r="BA814" s="7"/>
    </row>
    <row r="815" spans="31:53" x14ac:dyDescent="0.55000000000000004">
      <c r="AE815" s="7"/>
      <c r="AT815" s="7"/>
      <c r="AU815">
        <f ca="1"/>
      </c>
      <c r="AV815">
        <f ca="1"/>
      </c>
      <c r="AX815">
        <f ca="1"/>
      </c>
      <c r="AY815">
        <f ca="1"/>
      </c>
      <c r="BA815" s="7"/>
    </row>
    <row r="816" spans="31:53" x14ac:dyDescent="0.55000000000000004">
      <c r="AE816" s="7"/>
      <c r="AT816" s="7"/>
      <c r="AU816">
        <f ca="1"/>
      </c>
      <c r="AV816">
        <f ca="1"/>
      </c>
      <c r="AX816">
        <f ca="1"/>
      </c>
      <c r="AY816">
        <f ca="1"/>
      </c>
      <c r="BA816" s="7"/>
    </row>
    <row r="817" spans="31:53" x14ac:dyDescent="0.55000000000000004">
      <c r="AE817" s="7"/>
      <c r="AT817" s="7"/>
      <c r="AU817">
        <f ca="1"/>
      </c>
      <c r="AV817">
        <f ca="1"/>
      </c>
      <c r="AX817">
        <f ca="1"/>
      </c>
      <c r="AY817">
        <f ca="1"/>
      </c>
      <c r="BA817" s="7"/>
    </row>
    <row r="818" spans="31:53" x14ac:dyDescent="0.55000000000000004">
      <c r="AE818" s="7"/>
      <c r="AT818" s="7"/>
      <c r="AU818">
        <f ca="1"/>
      </c>
      <c r="AV818">
        <f ca="1"/>
      </c>
      <c r="AX818">
        <f ca="1"/>
      </c>
      <c r="AY818">
        <f ca="1"/>
      </c>
      <c r="BA818" s="7"/>
    </row>
    <row r="819" spans="31:53" x14ac:dyDescent="0.55000000000000004">
      <c r="AE819" s="7"/>
      <c r="AT819" s="7"/>
      <c r="AU819">
        <f ca="1"/>
      </c>
      <c r="AV819">
        <f ca="1"/>
      </c>
      <c r="AX819">
        <f ca="1"/>
      </c>
      <c r="AY819">
        <f ca="1"/>
      </c>
      <c r="BA819" s="7"/>
    </row>
    <row r="820" spans="31:53" x14ac:dyDescent="0.55000000000000004">
      <c r="AE820" s="7"/>
      <c r="AT820" s="7"/>
      <c r="AU820">
        <f ca="1"/>
      </c>
      <c r="AV820">
        <f ca="1"/>
      </c>
      <c r="AX820">
        <f ca="1"/>
      </c>
      <c r="AY820">
        <f ca="1"/>
      </c>
      <c r="BA820" s="7"/>
    </row>
    <row r="821" spans="31:53" x14ac:dyDescent="0.55000000000000004">
      <c r="AE821" s="7"/>
      <c r="AT821" s="7"/>
      <c r="AU821">
        <f ca="1"/>
      </c>
      <c r="AV821">
        <f ca="1"/>
      </c>
      <c r="AX821">
        <f ca="1"/>
      </c>
      <c r="AY821">
        <f ca="1"/>
      </c>
      <c r="BA821" s="7"/>
    </row>
    <row r="822" spans="31:53" x14ac:dyDescent="0.55000000000000004">
      <c r="AE822" s="7"/>
      <c r="AT822" s="7"/>
      <c r="AU822">
        <f ca="1"/>
      </c>
      <c r="AV822">
        <f ca="1"/>
      </c>
      <c r="AX822">
        <f ca="1"/>
      </c>
      <c r="AY822">
        <f ca="1"/>
      </c>
      <c r="BA822" s="7"/>
    </row>
    <row r="823" spans="31:53" x14ac:dyDescent="0.55000000000000004">
      <c r="AE823" s="7"/>
      <c r="AT823" s="7"/>
      <c r="AU823">
        <f ca="1"/>
      </c>
      <c r="AV823">
        <f ca="1"/>
      </c>
      <c r="AX823">
        <f ca="1"/>
      </c>
      <c r="AY823">
        <f ca="1"/>
      </c>
      <c r="BA823" s="7"/>
    </row>
    <row r="824" spans="31:53" x14ac:dyDescent="0.55000000000000004">
      <c r="AE824" s="7"/>
      <c r="AT824" s="7"/>
      <c r="AU824">
        <f ca="1"/>
      </c>
      <c r="AV824">
        <f ca="1"/>
      </c>
      <c r="AX824">
        <f ca="1"/>
      </c>
      <c r="AY824">
        <f ca="1"/>
      </c>
      <c r="BA824" s="7"/>
    </row>
    <row r="825" spans="31:53" x14ac:dyDescent="0.55000000000000004">
      <c r="AE825" s="7"/>
      <c r="AT825" s="7"/>
      <c r="AU825">
        <f ca="1"/>
      </c>
      <c r="AV825">
        <f ca="1"/>
      </c>
      <c r="AX825">
        <f ca="1"/>
      </c>
      <c r="AY825">
        <f ca="1"/>
      </c>
      <c r="BA825" s="7"/>
    </row>
    <row r="826" spans="31:53" x14ac:dyDescent="0.55000000000000004">
      <c r="AE826" s="7"/>
      <c r="AT826" s="7"/>
      <c r="AU826">
        <f ca="1"/>
      </c>
      <c r="AV826">
        <f ca="1"/>
      </c>
      <c r="AX826">
        <f ca="1"/>
      </c>
      <c r="AY826">
        <f ca="1"/>
      </c>
      <c r="BA826" s="7"/>
    </row>
    <row r="827" spans="31:53" x14ac:dyDescent="0.55000000000000004">
      <c r="AE827" s="7"/>
      <c r="AT827" s="7"/>
      <c r="AU827">
        <f ca="1"/>
      </c>
      <c r="AV827">
        <f ca="1"/>
      </c>
      <c r="AX827">
        <f ca="1"/>
      </c>
      <c r="AY827">
        <f ca="1"/>
      </c>
      <c r="BA827" s="7"/>
    </row>
    <row r="828" spans="31:53" x14ac:dyDescent="0.55000000000000004">
      <c r="AE828" s="7"/>
      <c r="AT828" s="7"/>
      <c r="AU828">
        <f ca="1"/>
      </c>
      <c r="AV828">
        <f ca="1"/>
      </c>
      <c r="AX828">
        <f ca="1"/>
      </c>
      <c r="AY828">
        <f ca="1"/>
      </c>
      <c r="BA828" s="7"/>
    </row>
    <row r="829" spans="31:53" x14ac:dyDescent="0.55000000000000004">
      <c r="AE829" s="7"/>
      <c r="AT829" s="7"/>
      <c r="AU829">
        <f ca="1"/>
      </c>
      <c r="AV829">
        <f ca="1"/>
      </c>
      <c r="AX829">
        <f ca="1"/>
      </c>
      <c r="AY829">
        <f ca="1"/>
      </c>
      <c r="BA829" s="7"/>
    </row>
    <row r="830" spans="31:53" x14ac:dyDescent="0.55000000000000004">
      <c r="AE830" s="7"/>
      <c r="AT830" s="7"/>
      <c r="AU830">
        <f ca="1"/>
      </c>
      <c r="AV830">
        <f ca="1"/>
      </c>
      <c r="AX830">
        <f ca="1"/>
      </c>
      <c r="AY830">
        <f ca="1"/>
      </c>
      <c r="BA830" s="7"/>
    </row>
    <row r="831" spans="31:53" x14ac:dyDescent="0.55000000000000004">
      <c r="AE831" s="7"/>
      <c r="AT831" s="7"/>
      <c r="AU831">
        <f ca="1"/>
      </c>
      <c r="AV831">
        <f ca="1"/>
      </c>
      <c r="AX831">
        <f ca="1"/>
      </c>
      <c r="AY831">
        <f ca="1"/>
      </c>
      <c r="BA831" s="7"/>
    </row>
    <row r="832" spans="31:53" x14ac:dyDescent="0.55000000000000004">
      <c r="AE832" s="7"/>
      <c r="AT832" s="7"/>
      <c r="AU832">
        <f ca="1"/>
      </c>
      <c r="AV832">
        <f ca="1"/>
      </c>
      <c r="AX832">
        <f ca="1"/>
      </c>
      <c r="AY832">
        <f ca="1"/>
      </c>
      <c r="BA832" s="7"/>
    </row>
    <row r="833" spans="31:53" x14ac:dyDescent="0.55000000000000004">
      <c r="AE833" s="7"/>
      <c r="AT833" s="7"/>
      <c r="AU833">
        <f ca="1"/>
      </c>
      <c r="AV833">
        <f ca="1"/>
      </c>
      <c r="AX833">
        <f ca="1"/>
      </c>
      <c r="AY833">
        <f ca="1"/>
      </c>
      <c r="BA833" s="7"/>
    </row>
    <row r="834" spans="31:53" x14ac:dyDescent="0.55000000000000004">
      <c r="AE834" s="7"/>
      <c r="AT834" s="7"/>
      <c r="AU834">
        <f ca="1"/>
      </c>
      <c r="AV834">
        <f ca="1"/>
      </c>
      <c r="AX834">
        <f ca="1"/>
      </c>
      <c r="AY834">
        <f ca="1"/>
      </c>
      <c r="BA834" s="7"/>
    </row>
    <row r="835" spans="31:53" x14ac:dyDescent="0.55000000000000004">
      <c r="AE835" s="7"/>
      <c r="AT835" s="7"/>
      <c r="AU835">
        <f ca="1"/>
      </c>
      <c r="AV835">
        <f ca="1"/>
      </c>
      <c r="AX835">
        <f ca="1"/>
      </c>
      <c r="AY835">
        <f ca="1"/>
      </c>
      <c r="BA835" s="7"/>
    </row>
    <row r="836" spans="31:53" x14ac:dyDescent="0.55000000000000004">
      <c r="AE836" s="7"/>
      <c r="AT836" s="7"/>
      <c r="AU836">
        <f ca="1"/>
      </c>
      <c r="AV836">
        <f ca="1"/>
      </c>
      <c r="AX836">
        <f ca="1"/>
      </c>
      <c r="AY836">
        <f ca="1"/>
      </c>
      <c r="BA836" s="7"/>
    </row>
    <row r="837" spans="31:53" x14ac:dyDescent="0.55000000000000004">
      <c r="AE837" s="7"/>
      <c r="AT837" s="7"/>
      <c r="AU837">
        <f ca="1"/>
      </c>
      <c r="AV837">
        <f ca="1"/>
      </c>
      <c r="AX837">
        <f ca="1"/>
      </c>
      <c r="AY837">
        <f ca="1"/>
      </c>
      <c r="BA837" s="7"/>
    </row>
    <row r="838" spans="31:53" x14ac:dyDescent="0.55000000000000004">
      <c r="AE838" s="7"/>
      <c r="AT838" s="7"/>
      <c r="AU838">
        <f ca="1"/>
      </c>
      <c r="AV838">
        <f ca="1"/>
      </c>
      <c r="AX838">
        <f ca="1"/>
      </c>
      <c r="AY838">
        <f ca="1"/>
      </c>
      <c r="BA838" s="7"/>
    </row>
    <row r="839" spans="31:53" x14ac:dyDescent="0.55000000000000004">
      <c r="AE839" s="7"/>
      <c r="AT839" s="7"/>
      <c r="AU839">
        <f ca="1"/>
      </c>
      <c r="AV839">
        <f ca="1"/>
      </c>
      <c r="AX839">
        <f ca="1"/>
      </c>
      <c r="AY839">
        <f ca="1"/>
      </c>
      <c r="BA839" s="7"/>
    </row>
    <row r="840" spans="31:53" x14ac:dyDescent="0.55000000000000004">
      <c r="AE840" s="7"/>
      <c r="AT840" s="7"/>
      <c r="AU840">
        <f ca="1"/>
      </c>
      <c r="AV840">
        <f ca="1"/>
      </c>
      <c r="AX840">
        <f ca="1"/>
      </c>
      <c r="AY840">
        <f ca="1"/>
      </c>
      <c r="BA840" s="7"/>
    </row>
    <row r="841" spans="31:53" x14ac:dyDescent="0.55000000000000004">
      <c r="AE841" s="7"/>
      <c r="AT841" s="7"/>
      <c r="AU841">
        <f ca="1"/>
      </c>
      <c r="AV841">
        <f ca="1"/>
      </c>
      <c r="AX841">
        <f ca="1"/>
      </c>
      <c r="AY841">
        <f ca="1"/>
      </c>
      <c r="BA841" s="7"/>
    </row>
    <row r="842" spans="31:53" x14ac:dyDescent="0.55000000000000004">
      <c r="AE842" s="7"/>
      <c r="AT842" s="7"/>
      <c r="AU842">
        <f ca="1"/>
      </c>
      <c r="AV842">
        <f ca="1"/>
      </c>
      <c r="AX842">
        <f ca="1"/>
      </c>
      <c r="AY842">
        <f ca="1"/>
      </c>
      <c r="BA842" s="7"/>
    </row>
    <row r="843" spans="31:53" x14ac:dyDescent="0.55000000000000004">
      <c r="AE843" s="7"/>
      <c r="AT843" s="7"/>
      <c r="AU843">
        <f ca="1"/>
      </c>
      <c r="AV843">
        <f ca="1"/>
      </c>
      <c r="AX843">
        <f ca="1"/>
      </c>
      <c r="AY843">
        <f ca="1"/>
      </c>
      <c r="BA843" s="7"/>
    </row>
    <row r="844" spans="31:53" x14ac:dyDescent="0.55000000000000004">
      <c r="AE844" s="7"/>
      <c r="AT844" s="7"/>
      <c r="AU844">
        <f ca="1"/>
      </c>
      <c r="AV844">
        <f ca="1"/>
      </c>
      <c r="AX844">
        <f ca="1"/>
      </c>
      <c r="AY844">
        <f ca="1"/>
      </c>
      <c r="BA844" s="7"/>
    </row>
    <row r="845" spans="31:53" x14ac:dyDescent="0.55000000000000004">
      <c r="AE845" s="7"/>
      <c r="AT845" s="7"/>
      <c r="AU845">
        <f ca="1"/>
      </c>
      <c r="AV845">
        <f ca="1"/>
      </c>
      <c r="AX845">
        <f ca="1"/>
      </c>
      <c r="AY845">
        <f ca="1"/>
      </c>
      <c r="BA845" s="7"/>
    </row>
    <row r="846" spans="31:53" x14ac:dyDescent="0.55000000000000004">
      <c r="AE846" s="7"/>
      <c r="AT846" s="7"/>
      <c r="AU846">
        <f ca="1"/>
      </c>
      <c r="AV846">
        <f ca="1"/>
      </c>
      <c r="AX846">
        <f ca="1"/>
      </c>
      <c r="AY846">
        <f ca="1"/>
      </c>
      <c r="BA846" s="7"/>
    </row>
    <row r="847" spans="31:53" x14ac:dyDescent="0.55000000000000004">
      <c r="AE847" s="7"/>
      <c r="AT847" s="7"/>
      <c r="AU847">
        <f ca="1"/>
      </c>
      <c r="AV847">
        <f ca="1"/>
      </c>
      <c r="AX847">
        <f ca="1"/>
      </c>
      <c r="AY847">
        <f ca="1"/>
      </c>
      <c r="BA847" s="7"/>
    </row>
    <row r="848" spans="31:53" x14ac:dyDescent="0.55000000000000004">
      <c r="AE848" s="7"/>
      <c r="AT848" s="7"/>
      <c r="AU848">
        <f ca="1"/>
      </c>
      <c r="AV848">
        <f ca="1"/>
      </c>
      <c r="AX848">
        <f ca="1"/>
      </c>
      <c r="AY848">
        <f ca="1"/>
      </c>
      <c r="BA848" s="7"/>
    </row>
    <row r="849" spans="31:53" x14ac:dyDescent="0.55000000000000004">
      <c r="AE849" s="7"/>
      <c r="AT849" s="7"/>
      <c r="AU849">
        <f ca="1"/>
      </c>
      <c r="AV849">
        <f ca="1"/>
      </c>
      <c r="AX849">
        <f ca="1"/>
      </c>
      <c r="AY849">
        <f ca="1"/>
      </c>
      <c r="BA849" s="7"/>
    </row>
    <row r="850" spans="31:53" x14ac:dyDescent="0.55000000000000004">
      <c r="AE850" s="7"/>
      <c r="AT850" s="7"/>
      <c r="AU850">
        <f ca="1"/>
      </c>
      <c r="AV850">
        <f ca="1"/>
      </c>
      <c r="AX850">
        <f ca="1"/>
      </c>
      <c r="AY850">
        <f ca="1"/>
      </c>
      <c r="BA850" s="7"/>
    </row>
    <row r="851" spans="31:53" x14ac:dyDescent="0.55000000000000004">
      <c r="AE851" s="7"/>
      <c r="AT851" s="7"/>
      <c r="AU851">
        <f ca="1"/>
      </c>
      <c r="AV851">
        <f ca="1"/>
      </c>
      <c r="AX851">
        <f ca="1"/>
      </c>
      <c r="AY851">
        <f ca="1"/>
      </c>
      <c r="BA851" s="7"/>
    </row>
    <row r="852" spans="31:53" x14ac:dyDescent="0.55000000000000004">
      <c r="AE852" s="7"/>
      <c r="AT852" s="7"/>
      <c r="AU852">
        <f ca="1"/>
      </c>
      <c r="AV852">
        <f ca="1"/>
      </c>
      <c r="AX852">
        <f ca="1"/>
      </c>
      <c r="AY852">
        <f ca="1"/>
      </c>
      <c r="BA852" s="7"/>
    </row>
    <row r="853" spans="31:53" x14ac:dyDescent="0.55000000000000004">
      <c r="AE853" s="7"/>
      <c r="AT853" s="7"/>
      <c r="AU853">
        <f ca="1"/>
      </c>
      <c r="AV853">
        <f ca="1"/>
      </c>
      <c r="AX853">
        <f ca="1"/>
      </c>
      <c r="AY853">
        <f ca="1"/>
      </c>
      <c r="BA853" s="7"/>
    </row>
    <row r="854" spans="31:53" x14ac:dyDescent="0.55000000000000004">
      <c r="AE854" s="7"/>
      <c r="AT854" s="7"/>
      <c r="AU854">
        <f ca="1"/>
      </c>
      <c r="AV854">
        <f ca="1"/>
      </c>
      <c r="AX854">
        <f ca="1"/>
      </c>
      <c r="AY854">
        <f ca="1"/>
      </c>
      <c r="BA854" s="7"/>
    </row>
    <row r="855" spans="31:53" x14ac:dyDescent="0.55000000000000004">
      <c r="AE855" s="7"/>
      <c r="AT855" s="7"/>
      <c r="AU855">
        <f ca="1"/>
      </c>
      <c r="AV855">
        <f ca="1"/>
      </c>
      <c r="AX855">
        <f ca="1"/>
      </c>
      <c r="AY855">
        <f ca="1"/>
      </c>
      <c r="BA855" s="7"/>
    </row>
    <row r="856" spans="31:53" x14ac:dyDescent="0.55000000000000004">
      <c r="AE856" s="7"/>
      <c r="AT856" s="7"/>
      <c r="AU856">
        <f ca="1"/>
      </c>
      <c r="AV856">
        <f ca="1"/>
      </c>
      <c r="AX856">
        <f ca="1"/>
      </c>
      <c r="AY856">
        <f ca="1"/>
      </c>
      <c r="BA856" s="7"/>
    </row>
    <row r="857" spans="31:53" x14ac:dyDescent="0.55000000000000004">
      <c r="AE857" s="7"/>
      <c r="AT857" s="7"/>
      <c r="AU857">
        <f ca="1"/>
      </c>
      <c r="AV857">
        <f ca="1"/>
      </c>
      <c r="AX857">
        <f ca="1"/>
      </c>
      <c r="AY857">
        <f ca="1"/>
      </c>
      <c r="BA857" s="7"/>
    </row>
    <row r="858" spans="31:53" x14ac:dyDescent="0.55000000000000004">
      <c r="AE858" s="7"/>
      <c r="AT858" s="7"/>
      <c r="AU858">
        <f ca="1"/>
      </c>
      <c r="AV858">
        <f ca="1"/>
      </c>
      <c r="AX858">
        <f ca="1"/>
      </c>
      <c r="AY858">
        <f ca="1"/>
      </c>
      <c r="BA858" s="7"/>
    </row>
    <row r="859" spans="31:53" x14ac:dyDescent="0.55000000000000004">
      <c r="AE859" s="7"/>
      <c r="AT859" s="7"/>
      <c r="AU859">
        <f ca="1"/>
      </c>
      <c r="AV859">
        <f ca="1"/>
      </c>
      <c r="AX859">
        <f ca="1"/>
      </c>
      <c r="AY859">
        <f ca="1"/>
      </c>
      <c r="BA859" s="7"/>
    </row>
    <row r="860" spans="31:53" x14ac:dyDescent="0.55000000000000004">
      <c r="AE860" s="7"/>
      <c r="AT860" s="7"/>
      <c r="AU860">
        <f ca="1"/>
      </c>
      <c r="AV860">
        <f ca="1"/>
      </c>
      <c r="AX860">
        <f ca="1"/>
      </c>
      <c r="AY860">
        <f ca="1"/>
      </c>
      <c r="BA860" s="7"/>
    </row>
    <row r="861" spans="31:53" x14ac:dyDescent="0.55000000000000004">
      <c r="AE861" s="7"/>
      <c r="AT861" s="7"/>
      <c r="AU861">
        <f ca="1"/>
      </c>
      <c r="AV861">
        <f ca="1"/>
      </c>
      <c r="AX861">
        <f ca="1"/>
      </c>
      <c r="AY861">
        <f ca="1"/>
      </c>
      <c r="BA861" s="7"/>
    </row>
    <row r="862" spans="31:53" x14ac:dyDescent="0.55000000000000004">
      <c r="AE862" s="7"/>
      <c r="AT862" s="7"/>
      <c r="AU862">
        <f ca="1"/>
      </c>
      <c r="AV862">
        <f ca="1"/>
      </c>
      <c r="AX862">
        <f ca="1"/>
      </c>
      <c r="AY862">
        <f ca="1"/>
      </c>
      <c r="BA862" s="7"/>
    </row>
    <row r="863" spans="31:53" x14ac:dyDescent="0.55000000000000004">
      <c r="AE863" s="7"/>
      <c r="AT863" s="7"/>
      <c r="AU863">
        <f ca="1"/>
      </c>
      <c r="AV863">
        <f ca="1"/>
      </c>
      <c r="AX863">
        <f ca="1"/>
      </c>
      <c r="AY863">
        <f ca="1"/>
      </c>
      <c r="BA863" s="7"/>
    </row>
    <row r="864" spans="31:53" x14ac:dyDescent="0.55000000000000004">
      <c r="AE864" s="7"/>
      <c r="AT864" s="7"/>
      <c r="AU864">
        <f ca="1"/>
      </c>
      <c r="AV864">
        <f ca="1"/>
      </c>
      <c r="AX864">
        <f ca="1"/>
      </c>
      <c r="AY864">
        <f ca="1"/>
      </c>
      <c r="BA864" s="7"/>
    </row>
    <row r="865" spans="31:53" x14ac:dyDescent="0.55000000000000004">
      <c r="AE865" s="7"/>
      <c r="AT865" s="7"/>
      <c r="AU865">
        <f ca="1"/>
      </c>
      <c r="AV865">
        <f ca="1"/>
      </c>
      <c r="AX865">
        <f ca="1"/>
      </c>
      <c r="AY865">
        <f ca="1"/>
      </c>
      <c r="BA865" s="7"/>
    </row>
    <row r="866" spans="31:53" x14ac:dyDescent="0.55000000000000004">
      <c r="AE866" s="7"/>
      <c r="AT866" s="7"/>
      <c r="AU866">
        <f ca="1"/>
      </c>
      <c r="AV866">
        <f ca="1"/>
      </c>
      <c r="AX866">
        <f ca="1"/>
      </c>
      <c r="AY866">
        <f ca="1"/>
      </c>
      <c r="BA866" s="7"/>
    </row>
    <row r="867" spans="31:53" x14ac:dyDescent="0.55000000000000004">
      <c r="AE867" s="7"/>
      <c r="AT867" s="7"/>
      <c r="AU867">
        <f ca="1"/>
      </c>
      <c r="AV867">
        <f ca="1"/>
      </c>
      <c r="AX867">
        <f ca="1"/>
      </c>
      <c r="AY867">
        <f ca="1"/>
      </c>
      <c r="BA867" s="7"/>
    </row>
    <row r="868" spans="31:53" x14ac:dyDescent="0.55000000000000004">
      <c r="AE868" s="7"/>
      <c r="AT868" s="7"/>
      <c r="AU868">
        <f ca="1"/>
      </c>
      <c r="AV868">
        <f ca="1"/>
      </c>
      <c r="AX868">
        <f ca="1"/>
      </c>
      <c r="AY868">
        <f ca="1"/>
      </c>
      <c r="BA868" s="7"/>
    </row>
    <row r="869" spans="31:53" x14ac:dyDescent="0.55000000000000004">
      <c r="AE869" s="7"/>
      <c r="AT869" s="7"/>
      <c r="AU869">
        <f ca="1"/>
      </c>
      <c r="AV869">
        <f ca="1"/>
      </c>
      <c r="AX869">
        <f ca="1"/>
      </c>
      <c r="AY869">
        <f ca="1"/>
      </c>
      <c r="BA869" s="7"/>
    </row>
    <row r="870" spans="31:53" x14ac:dyDescent="0.55000000000000004">
      <c r="AE870" s="7"/>
      <c r="AT870" s="7"/>
      <c r="AU870">
        <f ca="1"/>
      </c>
      <c r="AV870">
        <f ca="1"/>
      </c>
      <c r="AX870">
        <f ca="1"/>
      </c>
      <c r="AY870">
        <f ca="1"/>
      </c>
      <c r="BA870" s="7"/>
    </row>
    <row r="871" spans="31:53" x14ac:dyDescent="0.55000000000000004">
      <c r="AE871" s="7"/>
      <c r="AT871" s="7"/>
      <c r="AU871">
        <f ca="1"/>
      </c>
      <c r="AV871">
        <f ca="1"/>
      </c>
      <c r="AX871">
        <f ca="1"/>
      </c>
      <c r="AY871">
        <f ca="1"/>
      </c>
      <c r="BA871" s="7"/>
    </row>
    <row r="872" spans="31:53" x14ac:dyDescent="0.55000000000000004">
      <c r="AE872" s="7"/>
      <c r="AT872" s="7"/>
      <c r="AU872">
        <f ca="1"/>
      </c>
      <c r="AV872">
        <f ca="1"/>
      </c>
      <c r="AX872">
        <f ca="1"/>
      </c>
      <c r="AY872">
        <f ca="1"/>
      </c>
      <c r="BA872" s="7"/>
    </row>
    <row r="873" spans="31:53" x14ac:dyDescent="0.55000000000000004">
      <c r="AE873" s="7"/>
      <c r="AT873" s="7"/>
      <c r="AU873">
        <f ca="1"/>
      </c>
      <c r="AV873">
        <f ca="1"/>
      </c>
      <c r="AX873">
        <f ca="1"/>
      </c>
      <c r="AY873">
        <f ca="1"/>
      </c>
      <c r="BA873" s="7"/>
    </row>
    <row r="874" spans="31:53" x14ac:dyDescent="0.55000000000000004">
      <c r="AE874" s="7"/>
      <c r="AT874" s="7"/>
      <c r="AU874">
        <f ca="1"/>
      </c>
      <c r="AV874">
        <f ca="1"/>
      </c>
      <c r="AX874">
        <f ca="1"/>
      </c>
      <c r="AY874">
        <f ca="1"/>
      </c>
      <c r="BA874" s="7"/>
    </row>
    <row r="875" spans="31:53" x14ac:dyDescent="0.55000000000000004">
      <c r="AE875" s="7"/>
      <c r="AT875" s="7"/>
      <c r="AU875">
        <f ca="1"/>
      </c>
      <c r="AV875">
        <f ca="1"/>
      </c>
      <c r="AX875">
        <f ca="1"/>
      </c>
      <c r="AY875">
        <f ca="1"/>
      </c>
      <c r="BA875" s="7"/>
    </row>
    <row r="876" spans="31:53" x14ac:dyDescent="0.55000000000000004">
      <c r="AE876" s="7"/>
      <c r="AT876" s="7"/>
      <c r="AU876">
        <f ca="1"/>
      </c>
      <c r="AV876">
        <f ca="1"/>
      </c>
      <c r="AX876">
        <f ca="1"/>
      </c>
      <c r="AY876">
        <f ca="1"/>
      </c>
      <c r="BA876" s="7"/>
    </row>
    <row r="877" spans="31:53" x14ac:dyDescent="0.55000000000000004">
      <c r="AE877" s="7"/>
      <c r="AT877" s="7"/>
      <c r="AU877">
        <f ca="1"/>
      </c>
      <c r="AV877">
        <f ca="1"/>
      </c>
      <c r="AX877">
        <f ca="1"/>
      </c>
      <c r="AY877">
        <f ca="1"/>
      </c>
      <c r="BA877" s="7"/>
    </row>
    <row r="878" spans="31:53" x14ac:dyDescent="0.55000000000000004">
      <c r="AE878" s="7"/>
      <c r="AT878" s="7"/>
      <c r="AU878">
        <f ca="1"/>
      </c>
      <c r="AV878">
        <f ca="1"/>
      </c>
      <c r="AX878">
        <f ca="1"/>
      </c>
      <c r="AY878">
        <f ca="1"/>
      </c>
      <c r="BA878" s="7"/>
    </row>
    <row r="879" spans="31:53" x14ac:dyDescent="0.55000000000000004">
      <c r="AE879" s="7"/>
      <c r="AT879" s="7"/>
      <c r="AU879">
        <f ca="1"/>
      </c>
      <c r="AV879">
        <f ca="1"/>
      </c>
      <c r="AX879">
        <f ca="1"/>
      </c>
      <c r="AY879">
        <f ca="1"/>
      </c>
      <c r="BA879" s="7"/>
    </row>
    <row r="880" spans="31:53" x14ac:dyDescent="0.55000000000000004">
      <c r="AE880" s="7"/>
      <c r="AT880" s="7"/>
      <c r="AU880">
        <f ca="1"/>
      </c>
      <c r="AV880">
        <f ca="1"/>
      </c>
      <c r="AX880">
        <f ca="1"/>
      </c>
      <c r="AY880">
        <f ca="1"/>
      </c>
      <c r="BA880" s="7"/>
    </row>
    <row r="881" spans="31:53" x14ac:dyDescent="0.55000000000000004">
      <c r="AE881" s="7"/>
      <c r="AT881" s="7"/>
      <c r="AU881">
        <f ca="1"/>
      </c>
      <c r="AV881">
        <f ca="1"/>
      </c>
      <c r="AX881">
        <f ca="1"/>
      </c>
      <c r="AY881">
        <f ca="1"/>
      </c>
      <c r="BA881" s="7"/>
    </row>
    <row r="882" spans="31:53" x14ac:dyDescent="0.55000000000000004">
      <c r="AE882" s="7"/>
      <c r="AT882" s="7"/>
      <c r="AU882">
        <f ca="1"/>
      </c>
      <c r="AV882">
        <f ca="1"/>
      </c>
      <c r="AX882">
        <f ca="1"/>
      </c>
      <c r="AY882">
        <f ca="1"/>
      </c>
      <c r="BA882" s="7"/>
    </row>
    <row r="883" spans="31:53" x14ac:dyDescent="0.55000000000000004">
      <c r="AE883" s="7"/>
      <c r="AT883" s="7"/>
      <c r="AU883">
        <f ca="1"/>
      </c>
      <c r="AV883">
        <f ca="1"/>
      </c>
      <c r="AX883">
        <f ca="1"/>
      </c>
      <c r="AY883">
        <f ca="1"/>
      </c>
      <c r="BA883" s="7"/>
    </row>
    <row r="884" spans="31:53" x14ac:dyDescent="0.55000000000000004">
      <c r="AE884" s="7"/>
      <c r="AT884" s="7"/>
      <c r="AU884">
        <f ca="1"/>
      </c>
      <c r="AV884">
        <f ca="1"/>
      </c>
      <c r="AX884">
        <f ca="1"/>
      </c>
      <c r="AY884">
        <f ca="1"/>
      </c>
      <c r="BA884" s="7"/>
    </row>
    <row r="885" spans="31:53" x14ac:dyDescent="0.55000000000000004">
      <c r="AE885" s="7"/>
      <c r="AT885" s="7"/>
      <c r="AU885">
        <f ca="1"/>
      </c>
      <c r="AV885">
        <f ca="1"/>
      </c>
      <c r="AX885">
        <f ca="1"/>
      </c>
      <c r="AY885">
        <f ca="1"/>
      </c>
      <c r="BA885" s="7"/>
    </row>
    <row r="886" spans="31:53" x14ac:dyDescent="0.55000000000000004">
      <c r="AE886" s="7"/>
      <c r="AT886" s="7"/>
      <c r="AU886">
        <f ca="1"/>
      </c>
      <c r="AV886">
        <f ca="1"/>
      </c>
      <c r="AX886">
        <f ca="1"/>
      </c>
      <c r="AY886">
        <f ca="1"/>
      </c>
      <c r="BA886" s="7"/>
    </row>
    <row r="887" spans="31:53" x14ac:dyDescent="0.55000000000000004">
      <c r="AE887" s="7"/>
      <c r="AT887" s="7"/>
      <c r="AU887">
        <f ca="1"/>
      </c>
      <c r="AV887">
        <f ca="1"/>
      </c>
      <c r="AX887">
        <f ca="1"/>
      </c>
      <c r="AY887">
        <f ca="1"/>
      </c>
      <c r="BA887" s="7"/>
    </row>
    <row r="888" spans="31:53" x14ac:dyDescent="0.55000000000000004">
      <c r="AE888" s="7"/>
      <c r="AT888" s="7"/>
      <c r="AU888">
        <f ca="1"/>
      </c>
      <c r="AV888">
        <f ca="1"/>
      </c>
      <c r="AX888">
        <f ca="1"/>
      </c>
      <c r="AY888">
        <f ca="1"/>
      </c>
      <c r="BA888" s="7"/>
    </row>
    <row r="889" spans="31:53" x14ac:dyDescent="0.55000000000000004">
      <c r="AE889" s="7"/>
      <c r="AT889" s="7"/>
      <c r="AU889">
        <f ca="1"/>
      </c>
      <c r="AV889">
        <f ca="1"/>
      </c>
      <c r="AX889">
        <f ca="1"/>
      </c>
      <c r="AY889">
        <f ca="1"/>
      </c>
      <c r="BA889" s="7"/>
    </row>
    <row r="890" spans="31:53" x14ac:dyDescent="0.55000000000000004">
      <c r="AE890" s="7"/>
      <c r="AT890" s="7"/>
      <c r="AU890">
        <f ca="1"/>
      </c>
      <c r="AV890">
        <f ca="1"/>
      </c>
      <c r="AX890">
        <f ca="1"/>
      </c>
      <c r="AY890">
        <f ca="1"/>
      </c>
      <c r="BA890" s="7"/>
    </row>
    <row r="891" spans="31:53" x14ac:dyDescent="0.55000000000000004">
      <c r="AE891" s="7"/>
      <c r="AT891" s="7"/>
      <c r="AU891">
        <f ca="1"/>
      </c>
      <c r="AV891">
        <f ca="1"/>
      </c>
      <c r="AX891">
        <f ca="1"/>
      </c>
      <c r="AY891">
        <f ca="1"/>
      </c>
      <c r="BA891" s="7"/>
    </row>
    <row r="892" spans="31:53" x14ac:dyDescent="0.55000000000000004">
      <c r="AE892" s="7"/>
      <c r="AT892" s="7"/>
      <c r="AU892">
        <f ca="1"/>
      </c>
      <c r="AV892">
        <f ca="1"/>
      </c>
      <c r="AX892">
        <f ca="1"/>
      </c>
      <c r="AY892">
        <f ca="1"/>
      </c>
      <c r="BA892" s="7"/>
    </row>
    <row r="893" spans="31:53" x14ac:dyDescent="0.55000000000000004">
      <c r="AE893" s="7"/>
      <c r="AT893" s="7"/>
      <c r="AU893">
        <f ca="1"/>
      </c>
      <c r="AV893">
        <f ca="1"/>
      </c>
      <c r="AX893">
        <f ca="1"/>
      </c>
      <c r="AY893">
        <f ca="1"/>
      </c>
      <c r="BA893" s="7"/>
    </row>
    <row r="894" spans="31:53" x14ac:dyDescent="0.55000000000000004">
      <c r="AE894" s="7"/>
      <c r="AT894" s="7"/>
      <c r="AU894">
        <f ca="1"/>
      </c>
      <c r="AV894">
        <f ca="1"/>
      </c>
      <c r="AX894">
        <f ca="1"/>
      </c>
      <c r="AY894">
        <f ca="1"/>
      </c>
      <c r="BA894" s="7"/>
    </row>
    <row r="895" spans="31:53" x14ac:dyDescent="0.55000000000000004">
      <c r="AE895" s="7"/>
      <c r="AT895" s="7"/>
      <c r="AU895">
        <f ca="1"/>
      </c>
      <c r="AV895">
        <f ca="1"/>
      </c>
      <c r="AX895">
        <f ca="1"/>
      </c>
      <c r="AY895">
        <f ca="1"/>
      </c>
      <c r="BA895" s="7"/>
    </row>
    <row r="896" spans="31:53" x14ac:dyDescent="0.55000000000000004">
      <c r="AE896" s="7"/>
      <c r="AT896" s="7"/>
      <c r="AU896">
        <f ca="1"/>
      </c>
      <c r="AV896">
        <f ca="1"/>
      </c>
      <c r="AX896">
        <f ca="1"/>
      </c>
      <c r="AY896">
        <f ca="1"/>
      </c>
      <c r="BA896" s="7"/>
    </row>
    <row r="897" spans="31:53" x14ac:dyDescent="0.55000000000000004">
      <c r="AE897" s="7"/>
      <c r="AT897" s="7"/>
      <c r="AU897">
        <f ca="1"/>
      </c>
      <c r="AV897">
        <f ca="1"/>
      </c>
      <c r="AX897">
        <f ca="1"/>
      </c>
      <c r="AY897">
        <f ca="1"/>
      </c>
      <c r="BA897" s="7"/>
    </row>
    <row r="898" spans="31:53" x14ac:dyDescent="0.55000000000000004">
      <c r="AE898" s="7"/>
      <c r="AT898" s="7"/>
      <c r="AU898">
        <f ca="1"/>
      </c>
      <c r="AV898">
        <f ca="1"/>
      </c>
      <c r="AX898">
        <f ca="1"/>
      </c>
      <c r="AY898">
        <f ca="1"/>
      </c>
      <c r="BA898" s="7"/>
    </row>
    <row r="899" spans="31:53" x14ac:dyDescent="0.55000000000000004">
      <c r="AE899" s="7"/>
      <c r="AT899" s="7"/>
      <c r="AU899">
        <f ca="1"/>
      </c>
      <c r="AV899">
        <f ca="1"/>
      </c>
      <c r="AX899">
        <f ca="1"/>
      </c>
      <c r="AY899">
        <f ca="1"/>
      </c>
      <c r="BA899" s="7"/>
    </row>
    <row r="900" spans="31:53" x14ac:dyDescent="0.55000000000000004">
      <c r="AE900" s="7"/>
      <c r="AT900" s="7"/>
      <c r="AU900">
        <f ca="1"/>
      </c>
      <c r="AV900">
        <f ca="1"/>
      </c>
      <c r="AX900">
        <f ca="1"/>
      </c>
      <c r="AY900">
        <f ca="1"/>
      </c>
      <c r="BA900" s="7"/>
    </row>
    <row r="901" spans="31:53" x14ac:dyDescent="0.55000000000000004">
      <c r="AE901" s="7"/>
      <c r="AT901" s="7"/>
      <c r="AU901">
        <f ca="1"/>
      </c>
      <c r="AV901">
        <f ca="1"/>
      </c>
      <c r="AX901">
        <f ca="1"/>
      </c>
      <c r="AY901">
        <f ca="1"/>
      </c>
      <c r="BA901" s="7"/>
    </row>
    <row r="902" spans="31:53" x14ac:dyDescent="0.55000000000000004">
      <c r="AE902" s="7"/>
      <c r="AT902" s="7"/>
      <c r="AU902">
        <f ca="1"/>
      </c>
      <c r="AV902">
        <f ca="1"/>
      </c>
      <c r="AX902">
        <f ca="1"/>
      </c>
      <c r="AY902">
        <f ca="1"/>
      </c>
      <c r="BA902" s="7"/>
    </row>
    <row r="903" spans="31:53" x14ac:dyDescent="0.55000000000000004">
      <c r="AE903" s="7"/>
      <c r="AT903" s="7"/>
      <c r="AU903">
        <f ca="1"/>
      </c>
      <c r="AV903">
        <f ca="1"/>
      </c>
      <c r="AX903">
        <f ca="1"/>
      </c>
      <c r="AY903">
        <f ca="1"/>
      </c>
      <c r="BA903" s="7"/>
    </row>
    <row r="904" spans="31:53" x14ac:dyDescent="0.55000000000000004">
      <c r="AE904" s="7"/>
      <c r="AT904" s="7"/>
      <c r="AU904">
        <f ca="1"/>
      </c>
      <c r="AV904">
        <f ca="1"/>
      </c>
      <c r="AX904">
        <f ca="1"/>
      </c>
      <c r="AY904">
        <f ca="1"/>
      </c>
      <c r="BA904" s="7"/>
    </row>
    <row r="905" spans="31:53" x14ac:dyDescent="0.55000000000000004">
      <c r="AE905" s="7"/>
      <c r="AT905" s="7"/>
      <c r="AU905">
        <f ca="1"/>
      </c>
      <c r="AV905">
        <f ca="1"/>
      </c>
      <c r="AX905">
        <f ca="1"/>
      </c>
      <c r="AY905">
        <f ca="1"/>
      </c>
      <c r="BA905" s="7"/>
    </row>
    <row r="906" spans="31:53" x14ac:dyDescent="0.55000000000000004">
      <c r="AE906" s="7"/>
      <c r="AT906" s="7"/>
      <c r="AU906">
        <f ca="1"/>
      </c>
      <c r="AV906">
        <f ca="1"/>
      </c>
      <c r="AX906">
        <f ca="1"/>
      </c>
      <c r="AY906">
        <f ca="1"/>
      </c>
      <c r="BA906" s="7"/>
    </row>
    <row r="907" spans="31:53" x14ac:dyDescent="0.55000000000000004">
      <c r="AE907" s="7"/>
      <c r="AT907" s="7"/>
      <c r="AU907">
        <f ca="1"/>
      </c>
      <c r="AV907">
        <f ca="1"/>
      </c>
      <c r="AX907">
        <f ca="1"/>
      </c>
      <c r="AY907">
        <f ca="1"/>
      </c>
      <c r="BA907" s="7"/>
    </row>
    <row r="908" spans="31:53" x14ac:dyDescent="0.55000000000000004">
      <c r="AE908" s="7"/>
      <c r="AT908" s="7"/>
      <c r="AU908">
        <f ca="1"/>
      </c>
      <c r="AV908">
        <f ca="1"/>
      </c>
      <c r="AX908">
        <f ca="1"/>
      </c>
      <c r="AY908">
        <f ca="1"/>
      </c>
      <c r="BA908" s="7"/>
    </row>
    <row r="909" spans="31:53" x14ac:dyDescent="0.55000000000000004">
      <c r="AE909" s="7"/>
      <c r="AT909" s="7"/>
      <c r="AU909">
        <f ca="1"/>
      </c>
      <c r="AV909">
        <f ca="1"/>
      </c>
      <c r="AX909">
        <f ca="1"/>
      </c>
      <c r="AY909">
        <f ca="1"/>
      </c>
      <c r="BA909" s="7"/>
    </row>
    <row r="910" spans="31:53" x14ac:dyDescent="0.55000000000000004">
      <c r="AE910" s="7"/>
      <c r="AT910" s="7"/>
      <c r="AU910">
        <f ca="1"/>
      </c>
      <c r="AV910">
        <f ca="1"/>
      </c>
      <c r="AX910">
        <f ca="1"/>
      </c>
      <c r="AY910">
        <f ca="1"/>
      </c>
      <c r="BA910" s="7"/>
    </row>
    <row r="911" spans="31:53" x14ac:dyDescent="0.55000000000000004">
      <c r="AE911" s="7"/>
      <c r="AT911" s="7"/>
      <c r="AU911">
        <f ca="1"/>
      </c>
      <c r="AV911">
        <f ca="1"/>
      </c>
      <c r="AX911">
        <f ca="1"/>
      </c>
      <c r="AY911">
        <f ca="1"/>
      </c>
      <c r="BA911" s="7"/>
    </row>
    <row r="912" spans="31:53" x14ac:dyDescent="0.55000000000000004">
      <c r="AE912" s="7"/>
      <c r="AT912" s="7"/>
      <c r="AU912">
        <f ca="1"/>
      </c>
      <c r="AV912">
        <f ca="1"/>
      </c>
      <c r="AX912">
        <f ca="1"/>
      </c>
      <c r="AY912">
        <f ca="1"/>
      </c>
      <c r="BA912" s="7"/>
    </row>
    <row r="913" spans="31:53" x14ac:dyDescent="0.55000000000000004">
      <c r="AE913" s="7"/>
      <c r="AT913" s="7"/>
      <c r="AU913">
        <f ca="1"/>
      </c>
      <c r="AV913">
        <f ca="1"/>
      </c>
      <c r="AX913">
        <f ca="1"/>
      </c>
      <c r="AY913">
        <f ca="1"/>
      </c>
      <c r="BA913" s="7"/>
    </row>
    <row r="914" spans="31:53" x14ac:dyDescent="0.55000000000000004">
      <c r="AE914" s="7"/>
      <c r="AT914" s="7"/>
      <c r="AU914">
        <f ca="1"/>
      </c>
      <c r="AV914">
        <f ca="1"/>
      </c>
      <c r="AX914">
        <f ca="1"/>
      </c>
      <c r="AY914">
        <f ca="1"/>
      </c>
      <c r="BA914" s="7"/>
    </row>
    <row r="915" spans="31:53" x14ac:dyDescent="0.55000000000000004">
      <c r="AE915" s="7"/>
      <c r="AT915" s="7"/>
      <c r="AU915">
        <f ca="1"/>
      </c>
      <c r="AV915">
        <f ca="1"/>
      </c>
      <c r="AX915">
        <f ca="1"/>
      </c>
      <c r="AY915">
        <f ca="1"/>
      </c>
      <c r="BA915" s="7"/>
    </row>
    <row r="916" spans="31:53" x14ac:dyDescent="0.55000000000000004">
      <c r="AE916" s="7"/>
      <c r="AT916" s="7"/>
      <c r="AU916">
        <f ca="1"/>
      </c>
      <c r="AV916">
        <f ca="1"/>
      </c>
      <c r="AX916">
        <f ca="1"/>
      </c>
      <c r="AY916">
        <f ca="1"/>
      </c>
      <c r="BA916" s="7"/>
    </row>
    <row r="917" spans="31:53" x14ac:dyDescent="0.55000000000000004">
      <c r="AE917" s="7"/>
      <c r="AT917" s="7"/>
      <c r="AU917">
        <f ca="1"/>
      </c>
      <c r="AV917">
        <f ca="1"/>
      </c>
      <c r="AX917">
        <f ca="1"/>
      </c>
      <c r="AY917">
        <f ca="1"/>
      </c>
      <c r="BA917" s="7"/>
    </row>
    <row r="918" spans="31:53" x14ac:dyDescent="0.55000000000000004">
      <c r="AE918" s="7"/>
      <c r="AT918" s="7"/>
      <c r="AU918">
        <f ca="1"/>
      </c>
      <c r="AV918">
        <f ca="1"/>
      </c>
      <c r="AX918">
        <f ca="1"/>
      </c>
      <c r="AY918">
        <f ca="1"/>
      </c>
      <c r="BA918" s="7"/>
    </row>
    <row r="919" spans="31:53" x14ac:dyDescent="0.55000000000000004">
      <c r="AE919" s="7"/>
      <c r="AT919" s="7"/>
      <c r="AU919">
        <f ca="1"/>
      </c>
      <c r="AV919">
        <f ca="1"/>
      </c>
      <c r="AX919">
        <f ca="1"/>
      </c>
      <c r="AY919">
        <f ca="1"/>
      </c>
      <c r="BA919" s="7"/>
    </row>
    <row r="920" spans="31:53" x14ac:dyDescent="0.55000000000000004">
      <c r="AE920" s="7"/>
      <c r="AT920" s="7"/>
      <c r="AU920">
        <f ca="1"/>
      </c>
      <c r="AV920">
        <f ca="1"/>
      </c>
      <c r="AX920">
        <f ca="1"/>
      </c>
      <c r="AY920">
        <f ca="1"/>
      </c>
      <c r="BA920" s="7"/>
    </row>
    <row r="921" spans="31:53" x14ac:dyDescent="0.55000000000000004">
      <c r="AE921" s="7"/>
      <c r="AT921" s="7"/>
      <c r="AU921">
        <f ca="1"/>
      </c>
      <c r="AV921">
        <f ca="1"/>
      </c>
      <c r="AX921">
        <f ca="1"/>
      </c>
      <c r="AY921">
        <f ca="1"/>
      </c>
      <c r="BA921" s="7"/>
    </row>
    <row r="922" spans="31:53" x14ac:dyDescent="0.55000000000000004">
      <c r="AE922" s="7"/>
      <c r="AT922" s="7"/>
      <c r="AU922">
        <f ca="1"/>
      </c>
      <c r="AV922">
        <f ca="1"/>
      </c>
      <c r="AX922">
        <f ca="1"/>
      </c>
      <c r="AY922">
        <f ca="1"/>
      </c>
      <c r="BA922" s="7"/>
    </row>
    <row r="923" spans="31:53" x14ac:dyDescent="0.55000000000000004">
      <c r="AE923" s="7"/>
      <c r="AT923" s="7"/>
      <c r="AU923">
        <f ca="1"/>
      </c>
      <c r="AV923">
        <f ca="1"/>
      </c>
      <c r="AX923">
        <f ca="1"/>
      </c>
      <c r="AY923">
        <f ca="1"/>
      </c>
      <c r="BA923" s="7"/>
    </row>
    <row r="924" spans="31:53" x14ac:dyDescent="0.55000000000000004">
      <c r="AE924" s="7"/>
      <c r="AT924" s="7"/>
      <c r="AU924">
        <f ca="1"/>
      </c>
      <c r="AV924">
        <f ca="1"/>
      </c>
      <c r="AX924">
        <f ca="1"/>
      </c>
      <c r="AY924">
        <f ca="1"/>
      </c>
      <c r="BA924" s="7"/>
    </row>
    <row r="925" spans="31:53" x14ac:dyDescent="0.55000000000000004">
      <c r="AE925" s="7"/>
      <c r="AT925" s="7"/>
      <c r="AU925">
        <f ca="1"/>
      </c>
      <c r="AV925">
        <f ca="1"/>
      </c>
      <c r="AX925">
        <f ca="1"/>
      </c>
      <c r="AY925">
        <f ca="1"/>
      </c>
      <c r="BA925" s="7"/>
    </row>
    <row r="926" spans="31:53" x14ac:dyDescent="0.55000000000000004">
      <c r="AE926" s="7"/>
      <c r="AT926" s="7"/>
      <c r="AU926">
        <f ca="1"/>
      </c>
      <c r="AV926">
        <f ca="1"/>
      </c>
      <c r="AX926">
        <f ca="1"/>
      </c>
      <c r="AY926">
        <f ca="1"/>
      </c>
      <c r="BA926" s="7"/>
    </row>
    <row r="927" spans="31:53" x14ac:dyDescent="0.55000000000000004">
      <c r="AE927" s="7"/>
      <c r="AT927" s="7"/>
      <c r="AU927">
        <f ca="1"/>
      </c>
      <c r="AV927">
        <f ca="1"/>
      </c>
      <c r="AX927">
        <f ca="1"/>
      </c>
      <c r="AY927">
        <f ca="1"/>
      </c>
      <c r="BA927" s="7"/>
    </row>
    <row r="928" spans="31:53" x14ac:dyDescent="0.55000000000000004">
      <c r="AE928" s="7"/>
      <c r="AT928" s="7"/>
      <c r="AU928">
        <f ca="1"/>
      </c>
      <c r="AV928">
        <f ca="1"/>
      </c>
      <c r="AX928">
        <f ca="1"/>
      </c>
      <c r="AY928">
        <f ca="1"/>
      </c>
      <c r="BA928" s="7"/>
    </row>
    <row r="929" spans="31:53" x14ac:dyDescent="0.55000000000000004">
      <c r="AE929" s="7"/>
      <c r="AT929" s="7"/>
      <c r="AU929">
        <f ca="1"/>
      </c>
      <c r="AV929">
        <f ca="1"/>
      </c>
      <c r="AX929">
        <f ca="1"/>
      </c>
      <c r="AY929">
        <f ca="1"/>
      </c>
      <c r="BA929" s="7"/>
    </row>
    <row r="930" spans="31:53" x14ac:dyDescent="0.55000000000000004">
      <c r="AE930" s="7"/>
      <c r="AT930" s="7"/>
      <c r="AU930">
        <f ca="1"/>
      </c>
      <c r="AV930">
        <f ca="1"/>
      </c>
      <c r="AX930">
        <f ca="1"/>
      </c>
      <c r="AY930">
        <f ca="1"/>
      </c>
      <c r="BA930" s="7"/>
    </row>
    <row r="931" spans="31:53" x14ac:dyDescent="0.55000000000000004">
      <c r="AE931" s="7"/>
      <c r="AT931" s="7"/>
      <c r="AU931">
        <f ca="1"/>
      </c>
      <c r="AV931">
        <f ca="1"/>
      </c>
      <c r="AX931">
        <f ca="1"/>
      </c>
      <c r="AY931">
        <f ca="1"/>
      </c>
      <c r="BA931" s="7"/>
    </row>
    <row r="932" spans="31:53" x14ac:dyDescent="0.55000000000000004">
      <c r="AE932" s="7"/>
      <c r="AT932" s="7"/>
      <c r="AU932">
        <f ca="1"/>
      </c>
      <c r="AV932">
        <f ca="1"/>
      </c>
      <c r="AX932">
        <f ca="1"/>
      </c>
      <c r="AY932">
        <f ca="1"/>
      </c>
      <c r="BA932" s="7"/>
    </row>
    <row r="933" spans="31:53" x14ac:dyDescent="0.55000000000000004">
      <c r="AE933" s="7"/>
      <c r="AT933" s="7"/>
      <c r="AU933">
        <f ca="1"/>
      </c>
      <c r="AV933">
        <f ca="1"/>
      </c>
      <c r="AX933">
        <f ca="1"/>
      </c>
      <c r="AY933">
        <f ca="1"/>
      </c>
      <c r="BA933" s="7"/>
    </row>
    <row r="934" spans="31:53" x14ac:dyDescent="0.55000000000000004">
      <c r="AE934" s="7"/>
      <c r="AT934" s="7"/>
      <c r="AU934">
        <f ca="1"/>
      </c>
      <c r="AV934">
        <f ca="1"/>
      </c>
      <c r="AX934">
        <f ca="1"/>
      </c>
      <c r="AY934">
        <f ca="1"/>
      </c>
      <c r="BA934" s="7"/>
    </row>
    <row r="935" spans="31:53" x14ac:dyDescent="0.55000000000000004">
      <c r="AE935" s="7"/>
      <c r="AT935" s="7"/>
      <c r="AU935">
        <f ca="1"/>
      </c>
      <c r="AV935">
        <f ca="1"/>
      </c>
      <c r="AX935">
        <f ca="1"/>
      </c>
      <c r="AY935">
        <f ca="1"/>
      </c>
      <c r="BA935" s="7"/>
    </row>
    <row r="936" spans="31:53" x14ac:dyDescent="0.55000000000000004">
      <c r="AE936" s="7"/>
      <c r="AT936" s="7"/>
      <c r="AU936">
        <f ca="1"/>
      </c>
      <c r="AV936">
        <f ca="1"/>
      </c>
      <c r="AX936">
        <f ca="1"/>
      </c>
      <c r="AY936">
        <f ca="1"/>
      </c>
      <c r="BA936" s="7"/>
    </row>
    <row r="937" spans="31:53" x14ac:dyDescent="0.55000000000000004">
      <c r="AE937" s="7"/>
      <c r="AT937" s="7"/>
      <c r="AU937">
        <f ca="1"/>
      </c>
      <c r="AV937">
        <f ca="1"/>
      </c>
      <c r="AX937">
        <f ca="1"/>
      </c>
      <c r="AY937">
        <f ca="1"/>
      </c>
      <c r="BA937" s="7"/>
    </row>
    <row r="938" spans="31:53" x14ac:dyDescent="0.55000000000000004">
      <c r="AE938" s="7"/>
      <c r="AT938" s="7"/>
      <c r="AU938">
        <f ca="1"/>
      </c>
      <c r="AV938">
        <f ca="1"/>
      </c>
      <c r="AX938">
        <f ca="1"/>
      </c>
      <c r="AY938">
        <f ca="1"/>
      </c>
      <c r="BA938" s="7"/>
    </row>
    <row r="939" spans="31:53" x14ac:dyDescent="0.55000000000000004">
      <c r="AE939" s="7"/>
      <c r="AT939" s="7"/>
      <c r="AU939">
        <f ca="1"/>
      </c>
      <c r="AV939">
        <f ca="1"/>
      </c>
      <c r="AX939">
        <f ca="1"/>
      </c>
      <c r="AY939">
        <f ca="1"/>
      </c>
      <c r="BA939" s="7"/>
    </row>
    <row r="940" spans="31:53" x14ac:dyDescent="0.55000000000000004">
      <c r="AE940" s="7"/>
      <c r="AT940" s="7"/>
      <c r="AU940">
        <f ca="1"/>
      </c>
      <c r="AV940">
        <f ca="1"/>
      </c>
      <c r="AX940">
        <f ca="1"/>
      </c>
      <c r="AY940">
        <f ca="1"/>
      </c>
      <c r="BA940" s="7"/>
    </row>
    <row r="941" spans="31:53" x14ac:dyDescent="0.55000000000000004">
      <c r="AE941" s="7"/>
      <c r="AT941" s="7"/>
      <c r="AU941">
        <f ca="1"/>
      </c>
      <c r="AV941">
        <f ca="1"/>
      </c>
      <c r="AX941">
        <f ca="1"/>
      </c>
      <c r="AY941">
        <f ca="1"/>
      </c>
      <c r="BA941" s="7"/>
    </row>
    <row r="942" spans="31:53" x14ac:dyDescent="0.55000000000000004">
      <c r="AE942" s="7"/>
      <c r="AT942" s="7"/>
      <c r="AU942">
        <f ca="1"/>
      </c>
      <c r="AV942">
        <f ca="1"/>
      </c>
      <c r="AX942">
        <f ca="1"/>
      </c>
      <c r="AY942">
        <f ca="1"/>
      </c>
      <c r="BA942" s="7"/>
    </row>
    <row r="943" spans="31:53" x14ac:dyDescent="0.55000000000000004">
      <c r="AE943" s="7"/>
      <c r="AT943" s="7"/>
      <c r="AU943">
        <f ca="1"/>
      </c>
      <c r="AV943">
        <f ca="1"/>
      </c>
      <c r="AX943">
        <f ca="1"/>
      </c>
      <c r="AY943">
        <f ca="1"/>
      </c>
      <c r="BA943" s="7"/>
    </row>
    <row r="944" spans="31:53" x14ac:dyDescent="0.55000000000000004">
      <c r="AE944" s="7"/>
      <c r="AT944" s="7"/>
      <c r="AU944">
        <f ca="1"/>
      </c>
      <c r="AV944">
        <f ca="1"/>
      </c>
      <c r="AX944">
        <f ca="1"/>
      </c>
      <c r="AY944">
        <f ca="1"/>
      </c>
      <c r="BA944" s="7"/>
    </row>
    <row r="945" spans="31:53" x14ac:dyDescent="0.55000000000000004">
      <c r="AE945" s="7"/>
      <c r="AT945" s="7"/>
      <c r="AU945">
        <f ca="1"/>
      </c>
      <c r="AV945">
        <f ca="1"/>
      </c>
      <c r="AX945">
        <f ca="1"/>
      </c>
      <c r="AY945">
        <f ca="1"/>
      </c>
      <c r="BA945" s="7"/>
    </row>
    <row r="946" spans="31:53" x14ac:dyDescent="0.55000000000000004">
      <c r="AE946" s="7"/>
      <c r="AT946" s="7"/>
      <c r="AU946">
        <f ca="1"/>
      </c>
      <c r="AV946">
        <f ca="1"/>
      </c>
      <c r="AX946">
        <f ca="1"/>
      </c>
      <c r="AY946">
        <f ca="1"/>
      </c>
      <c r="BA946" s="7"/>
    </row>
    <row r="947" spans="31:53" x14ac:dyDescent="0.55000000000000004">
      <c r="AE947" s="7"/>
      <c r="AT947" s="7"/>
      <c r="AU947">
        <f ca="1"/>
      </c>
      <c r="AV947">
        <f ca="1"/>
      </c>
      <c r="AX947">
        <f ca="1"/>
      </c>
      <c r="AY947">
        <f ca="1"/>
      </c>
      <c r="BA947" s="7"/>
    </row>
    <row r="948" spans="31:53" x14ac:dyDescent="0.55000000000000004">
      <c r="AE948" s="7"/>
      <c r="AT948" s="7"/>
      <c r="AU948">
        <f ca="1"/>
      </c>
      <c r="AV948">
        <f ca="1"/>
      </c>
      <c r="AX948">
        <f ca="1"/>
      </c>
      <c r="AY948">
        <f ca="1"/>
      </c>
      <c r="BA948" s="7"/>
    </row>
    <row r="949" spans="31:53" x14ac:dyDescent="0.55000000000000004">
      <c r="AE949" s="7"/>
      <c r="AT949" s="7"/>
      <c r="AU949">
        <f ca="1"/>
      </c>
      <c r="AV949">
        <f ca="1"/>
      </c>
      <c r="AX949">
        <f ca="1"/>
      </c>
      <c r="AY949">
        <f ca="1"/>
      </c>
      <c r="BA949" s="7"/>
    </row>
    <row r="950" spans="31:53" x14ac:dyDescent="0.55000000000000004">
      <c r="AE950" s="7"/>
      <c r="AT950" s="7"/>
      <c r="AU950">
        <f ca="1"/>
      </c>
      <c r="AV950">
        <f ca="1"/>
      </c>
      <c r="AX950">
        <f ca="1"/>
      </c>
      <c r="AY950">
        <f ca="1"/>
      </c>
      <c r="BA950" s="7"/>
    </row>
    <row r="951" spans="31:53" x14ac:dyDescent="0.55000000000000004">
      <c r="AE951" s="7"/>
      <c r="AT951" s="7"/>
      <c r="AU951">
        <f ca="1"/>
      </c>
      <c r="AV951">
        <f ca="1"/>
      </c>
      <c r="AX951">
        <f ca="1"/>
      </c>
      <c r="AY951">
        <f ca="1"/>
      </c>
      <c r="BA951" s="7"/>
    </row>
    <row r="952" spans="31:53" x14ac:dyDescent="0.55000000000000004">
      <c r="AE952" s="7"/>
      <c r="AT952" s="7"/>
      <c r="AU952">
        <f ca="1"/>
      </c>
      <c r="AV952">
        <f ca="1"/>
      </c>
      <c r="AX952">
        <f ca="1"/>
      </c>
      <c r="AY952">
        <f ca="1"/>
      </c>
      <c r="BA952" s="7"/>
    </row>
    <row r="953" spans="31:53" x14ac:dyDescent="0.55000000000000004">
      <c r="AE953" s="7"/>
      <c r="AT953" s="7"/>
      <c r="AU953">
        <f ca="1"/>
      </c>
      <c r="AV953">
        <f ca="1"/>
      </c>
      <c r="AX953">
        <f ca="1"/>
      </c>
      <c r="AY953">
        <f ca="1"/>
      </c>
      <c r="BA953" s="7"/>
    </row>
    <row r="954" spans="31:53" x14ac:dyDescent="0.55000000000000004">
      <c r="AE954" s="7"/>
      <c r="AT954" s="7"/>
      <c r="AU954">
        <f ca="1"/>
      </c>
      <c r="AV954">
        <f ca="1"/>
      </c>
      <c r="AX954">
        <f ca="1"/>
      </c>
      <c r="AY954">
        <f ca="1"/>
      </c>
      <c r="BA954" s="7"/>
    </row>
    <row r="955" spans="31:53" x14ac:dyDescent="0.55000000000000004">
      <c r="AE955" s="7"/>
      <c r="AT955" s="7"/>
      <c r="AU955">
        <f ca="1"/>
      </c>
      <c r="AV955">
        <f ca="1"/>
      </c>
      <c r="AX955">
        <f ca="1"/>
      </c>
      <c r="AY955">
        <f ca="1"/>
      </c>
      <c r="BA955" s="7"/>
    </row>
    <row r="956" spans="31:53" x14ac:dyDescent="0.55000000000000004">
      <c r="AE956" s="7"/>
      <c r="AT956" s="7"/>
      <c r="AU956">
        <f ca="1"/>
      </c>
      <c r="AV956">
        <f ca="1"/>
      </c>
      <c r="AX956">
        <f ca="1"/>
      </c>
      <c r="AY956">
        <f ca="1"/>
      </c>
      <c r="BA956" s="7"/>
    </row>
    <row r="957" spans="31:53" x14ac:dyDescent="0.55000000000000004">
      <c r="AE957" s="7"/>
      <c r="AT957" s="7"/>
      <c r="AU957">
        <f ca="1"/>
      </c>
      <c r="AV957">
        <f ca="1"/>
      </c>
      <c r="AX957">
        <f ca="1"/>
      </c>
      <c r="AY957">
        <f ca="1"/>
      </c>
      <c r="BA957" s="7"/>
    </row>
    <row r="958" spans="31:53" x14ac:dyDescent="0.55000000000000004">
      <c r="AE958" s="7"/>
      <c r="AT958" s="7"/>
      <c r="AU958">
        <f ca="1"/>
      </c>
      <c r="AV958">
        <f ca="1"/>
      </c>
      <c r="AX958">
        <f ca="1"/>
      </c>
      <c r="AY958">
        <f ca="1"/>
      </c>
      <c r="BA958" s="7"/>
    </row>
    <row r="959" spans="31:53" x14ac:dyDescent="0.55000000000000004">
      <c r="AE959" s="7"/>
      <c r="AT959" s="7"/>
      <c r="AU959">
        <f ca="1"/>
      </c>
      <c r="AV959">
        <f ca="1"/>
      </c>
      <c r="AX959">
        <f ca="1"/>
      </c>
      <c r="AY959">
        <f ca="1"/>
      </c>
      <c r="BA959" s="7"/>
    </row>
    <row r="960" spans="31:53" x14ac:dyDescent="0.55000000000000004">
      <c r="AE960" s="7"/>
      <c r="AT960" s="7"/>
      <c r="AU960">
        <f ca="1"/>
      </c>
      <c r="AV960">
        <f ca="1"/>
      </c>
      <c r="AX960">
        <f ca="1"/>
      </c>
      <c r="AY960">
        <f ca="1"/>
      </c>
      <c r="BA960" s="7"/>
    </row>
    <row r="961" spans="31:53" x14ac:dyDescent="0.55000000000000004">
      <c r="AE961" s="7"/>
      <c r="AT961" s="7"/>
      <c r="AU961">
        <f ca="1"/>
      </c>
      <c r="AV961">
        <f ca="1"/>
      </c>
      <c r="AX961">
        <f ca="1"/>
      </c>
      <c r="AY961">
        <f ca="1"/>
      </c>
      <c r="BA961" s="7"/>
    </row>
    <row r="962" spans="31:53" x14ac:dyDescent="0.55000000000000004">
      <c r="AE962" s="7"/>
      <c r="AT962" s="7"/>
      <c r="AU962">
        <f ca="1"/>
      </c>
      <c r="AV962">
        <f ca="1"/>
      </c>
      <c r="AX962">
        <f ca="1"/>
      </c>
      <c r="AY962">
        <f ca="1"/>
      </c>
      <c r="BA962" s="7"/>
    </row>
    <row r="963" spans="31:53" x14ac:dyDescent="0.55000000000000004">
      <c r="AE963" s="7"/>
      <c r="AT963" s="7"/>
      <c r="AU963">
        <f ca="1"/>
      </c>
      <c r="AV963">
        <f ca="1"/>
      </c>
      <c r="AX963">
        <f ca="1"/>
      </c>
      <c r="AY963">
        <f ca="1"/>
      </c>
      <c r="BA963" s="7"/>
    </row>
    <row r="964" spans="31:53" x14ac:dyDescent="0.55000000000000004">
      <c r="AE964" s="7"/>
      <c r="AT964" s="7"/>
      <c r="AU964">
        <f ca="1"/>
      </c>
      <c r="AV964">
        <f ca="1"/>
      </c>
      <c r="AX964">
        <f ca="1"/>
      </c>
      <c r="AY964">
        <f ca="1"/>
      </c>
      <c r="BA964" s="7"/>
    </row>
    <row r="965" spans="31:53" x14ac:dyDescent="0.55000000000000004">
      <c r="AE965" s="7"/>
      <c r="AT965" s="7"/>
      <c r="AU965">
        <f ca="1"/>
      </c>
      <c r="AV965">
        <f ca="1"/>
      </c>
      <c r="AX965">
        <f ca="1"/>
      </c>
      <c r="AY965">
        <f ca="1"/>
      </c>
      <c r="BA965" s="7"/>
    </row>
    <row r="966" spans="31:53" x14ac:dyDescent="0.55000000000000004">
      <c r="AE966" s="7"/>
      <c r="AT966" s="7"/>
      <c r="AU966">
        <f ca="1"/>
      </c>
      <c r="AV966">
        <f ca="1"/>
      </c>
      <c r="AX966">
        <f ca="1"/>
      </c>
      <c r="AY966">
        <f ca="1"/>
      </c>
      <c r="BA966" s="7"/>
    </row>
    <row r="967" spans="31:53" x14ac:dyDescent="0.55000000000000004">
      <c r="AE967" s="7"/>
      <c r="AT967" s="7"/>
      <c r="AU967">
        <f ca="1"/>
      </c>
      <c r="AV967">
        <f ca="1"/>
      </c>
      <c r="AX967">
        <f ca="1"/>
      </c>
      <c r="AY967">
        <f ca="1"/>
      </c>
      <c r="BA967" s="7"/>
    </row>
    <row r="968" spans="31:53" x14ac:dyDescent="0.55000000000000004">
      <c r="AE968" s="7"/>
      <c r="AT968" s="7"/>
      <c r="AU968">
        <f ca="1"/>
      </c>
      <c r="AV968">
        <f ca="1"/>
      </c>
      <c r="AX968">
        <f ca="1"/>
      </c>
      <c r="AY968">
        <f ca="1"/>
      </c>
      <c r="BA968" s="7"/>
    </row>
    <row r="969" spans="31:53" x14ac:dyDescent="0.55000000000000004">
      <c r="AE969" s="7"/>
      <c r="AT969" s="7"/>
      <c r="AU969">
        <f ca="1"/>
      </c>
      <c r="AV969">
        <f ca="1"/>
      </c>
      <c r="AX969">
        <f ca="1"/>
      </c>
      <c r="AY969">
        <f ca="1"/>
      </c>
      <c r="BA969" s="7"/>
    </row>
    <row r="970" spans="31:53" x14ac:dyDescent="0.55000000000000004">
      <c r="AE970" s="7"/>
      <c r="AT970" s="7"/>
      <c r="AU970">
        <f ca="1"/>
      </c>
      <c r="AV970">
        <f ca="1"/>
      </c>
      <c r="AX970">
        <f ca="1"/>
      </c>
      <c r="AY970">
        <f ca="1"/>
      </c>
      <c r="BA970" s="7"/>
    </row>
    <row r="971" spans="31:53" x14ac:dyDescent="0.55000000000000004">
      <c r="AE971" s="7"/>
      <c r="AT971" s="7"/>
      <c r="AU971">
        <f ca="1"/>
      </c>
      <c r="AV971">
        <f ca="1"/>
      </c>
      <c r="AX971">
        <f ca="1"/>
      </c>
      <c r="AY971">
        <f ca="1"/>
      </c>
      <c r="BA971" s="7"/>
    </row>
    <row r="972" spans="31:53" x14ac:dyDescent="0.55000000000000004">
      <c r="AE972" s="7"/>
      <c r="AT972" s="7"/>
      <c r="AU972">
        <f ca="1"/>
      </c>
      <c r="AV972">
        <f ca="1"/>
      </c>
      <c r="AX972">
        <f ca="1"/>
      </c>
      <c r="AY972">
        <f ca="1"/>
      </c>
      <c r="BA972" s="7"/>
    </row>
    <row r="973" spans="31:53" x14ac:dyDescent="0.55000000000000004">
      <c r="AE973" s="7"/>
      <c r="AT973" s="7"/>
      <c r="AU973">
        <f ca="1"/>
      </c>
      <c r="AV973">
        <f ca="1"/>
      </c>
      <c r="AX973">
        <f ca="1"/>
      </c>
      <c r="AY973">
        <f ca="1"/>
      </c>
      <c r="BA973" s="7"/>
    </row>
    <row r="974" spans="31:53" x14ac:dyDescent="0.55000000000000004">
      <c r="AE974" s="7"/>
      <c r="AT974" s="7"/>
      <c r="AU974">
        <f ca="1"/>
      </c>
      <c r="AV974">
        <f ca="1"/>
      </c>
      <c r="AX974">
        <f ca="1"/>
      </c>
      <c r="AY974">
        <f ca="1"/>
      </c>
      <c r="BA974" s="7"/>
    </row>
    <row r="975" spans="31:53" x14ac:dyDescent="0.55000000000000004">
      <c r="AE975" s="7"/>
      <c r="AT975" s="7"/>
      <c r="AU975">
        <f ca="1"/>
      </c>
      <c r="AV975">
        <f ca="1"/>
      </c>
      <c r="AX975">
        <f ca="1"/>
      </c>
      <c r="AY975">
        <f ca="1"/>
      </c>
      <c r="BA975" s="7"/>
    </row>
    <row r="976" spans="31:53" x14ac:dyDescent="0.55000000000000004">
      <c r="AE976" s="7"/>
      <c r="AT976" s="7"/>
      <c r="AU976">
        <f ca="1"/>
      </c>
      <c r="AV976">
        <f ca="1"/>
      </c>
      <c r="AX976">
        <f ca="1"/>
      </c>
      <c r="AY976">
        <f ca="1"/>
      </c>
      <c r="BA976" s="7"/>
    </row>
    <row r="977" spans="31:53" x14ac:dyDescent="0.55000000000000004">
      <c r="AE977" s="7"/>
      <c r="AT977" s="7"/>
      <c r="AU977">
        <f ca="1"/>
      </c>
      <c r="AV977">
        <f ca="1"/>
      </c>
      <c r="AX977">
        <f ca="1"/>
      </c>
      <c r="AY977">
        <f ca="1"/>
      </c>
      <c r="BA977" s="7"/>
    </row>
    <row r="978" spans="31:53" x14ac:dyDescent="0.55000000000000004">
      <c r="AE978" s="7"/>
      <c r="AT978" s="7"/>
      <c r="AU978">
        <f ca="1"/>
      </c>
      <c r="AV978">
        <f ca="1"/>
      </c>
      <c r="AX978">
        <f ca="1"/>
      </c>
      <c r="AY978">
        <f ca="1"/>
      </c>
      <c r="BA978" s="7"/>
    </row>
    <row r="979" spans="31:53" x14ac:dyDescent="0.55000000000000004">
      <c r="AE979" s="7"/>
      <c r="AT979" s="7"/>
      <c r="AU979">
        <f ca="1"/>
      </c>
      <c r="AV979">
        <f ca="1"/>
      </c>
      <c r="AX979">
        <f ca="1"/>
      </c>
      <c r="AY979">
        <f ca="1"/>
      </c>
      <c r="BA979" s="7"/>
    </row>
    <row r="980" spans="31:53" x14ac:dyDescent="0.55000000000000004">
      <c r="AE980" s="7"/>
      <c r="AT980" s="7"/>
      <c r="AU980">
        <f ca="1"/>
      </c>
      <c r="AV980">
        <f ca="1"/>
      </c>
      <c r="AX980">
        <f ca="1"/>
      </c>
      <c r="AY980">
        <f ca="1"/>
      </c>
      <c r="BA980" s="7"/>
    </row>
    <row r="981" spans="31:53" x14ac:dyDescent="0.55000000000000004">
      <c r="AE981" s="7"/>
      <c r="AT981" s="7"/>
      <c r="AU981">
        <f ca="1"/>
      </c>
      <c r="AV981">
        <f ca="1"/>
      </c>
      <c r="AX981">
        <f ca="1"/>
      </c>
      <c r="AY981">
        <f ca="1"/>
      </c>
      <c r="BA981" s="7"/>
    </row>
    <row r="982" spans="31:53" x14ac:dyDescent="0.55000000000000004">
      <c r="AE982" s="7"/>
      <c r="AT982" s="7"/>
      <c r="AU982">
        <f ca="1"/>
      </c>
      <c r="AV982">
        <f ca="1"/>
      </c>
      <c r="AX982">
        <f ca="1"/>
      </c>
      <c r="AY982">
        <f ca="1"/>
      </c>
      <c r="BA982" s="7"/>
    </row>
    <row r="983" spans="31:53" x14ac:dyDescent="0.55000000000000004">
      <c r="AE983" s="7"/>
      <c r="AT983" s="7"/>
      <c r="AU983">
        <f ca="1"/>
      </c>
      <c r="AV983">
        <f ca="1"/>
      </c>
      <c r="AX983">
        <f ca="1"/>
      </c>
      <c r="AY983">
        <f ca="1"/>
      </c>
      <c r="BA983" s="7"/>
    </row>
    <row r="984" spans="31:53" x14ac:dyDescent="0.55000000000000004">
      <c r="AE984" s="7"/>
      <c r="AT984" s="7"/>
      <c r="AU984">
        <f ca="1"/>
      </c>
      <c r="AV984">
        <f ca="1"/>
      </c>
      <c r="AX984">
        <f ca="1"/>
      </c>
      <c r="AY984">
        <f ca="1"/>
      </c>
      <c r="BA984" s="7"/>
    </row>
    <row r="985" spans="31:53" x14ac:dyDescent="0.55000000000000004">
      <c r="AE985" s="7"/>
      <c r="AT985" s="7"/>
      <c r="AU985">
        <f ca="1"/>
      </c>
      <c r="AV985">
        <f ca="1"/>
      </c>
      <c r="AX985">
        <f ca="1"/>
      </c>
      <c r="AY985">
        <f ca="1"/>
      </c>
      <c r="BA985" s="7"/>
    </row>
    <row r="986" spans="31:53" x14ac:dyDescent="0.55000000000000004">
      <c r="AE986" s="7"/>
      <c r="AT986" s="7"/>
      <c r="AU986">
        <f ca="1"/>
      </c>
      <c r="AV986">
        <f ca="1"/>
      </c>
      <c r="AX986">
        <f ca="1"/>
      </c>
      <c r="AY986">
        <f ca="1"/>
      </c>
      <c r="BA986" s="7"/>
    </row>
    <row r="987" spans="31:53" x14ac:dyDescent="0.55000000000000004">
      <c r="AE987" s="7"/>
      <c r="AT987" s="7"/>
      <c r="AU987">
        <f ca="1"/>
      </c>
      <c r="AV987">
        <f ca="1"/>
      </c>
      <c r="AX987">
        <f ca="1"/>
      </c>
      <c r="AY987">
        <f ca="1"/>
      </c>
      <c r="BA987" s="7"/>
    </row>
    <row r="988" spans="31:53" x14ac:dyDescent="0.55000000000000004">
      <c r="AE988" s="7"/>
      <c r="AT988" s="7"/>
      <c r="AU988">
        <f ca="1"/>
      </c>
      <c r="AV988">
        <f ca="1"/>
      </c>
      <c r="AX988">
        <f ca="1"/>
      </c>
      <c r="AY988">
        <f ca="1"/>
      </c>
      <c r="BA988" s="7"/>
    </row>
    <row r="989" spans="31:53" x14ac:dyDescent="0.55000000000000004">
      <c r="AE989" s="7"/>
      <c r="AT989" s="7"/>
      <c r="AU989">
        <f ca="1"/>
      </c>
      <c r="AV989">
        <f ca="1"/>
      </c>
      <c r="AX989">
        <f ca="1"/>
      </c>
      <c r="AY989">
        <f ca="1"/>
      </c>
      <c r="BA989" s="7"/>
    </row>
    <row r="990" spans="31:53" x14ac:dyDescent="0.55000000000000004">
      <c r="AE990" s="7"/>
      <c r="AT990" s="7"/>
      <c r="AU990">
        <f ca="1"/>
      </c>
      <c r="AV990">
        <f ca="1"/>
      </c>
      <c r="AX990">
        <f ca="1"/>
      </c>
      <c r="AY990">
        <f ca="1"/>
      </c>
      <c r="BA990" s="7"/>
    </row>
    <row r="991" spans="31:53" x14ac:dyDescent="0.55000000000000004">
      <c r="AE991" s="7"/>
      <c r="AT991" s="7"/>
      <c r="AU991">
        <f ca="1"/>
      </c>
      <c r="AV991">
        <f ca="1"/>
      </c>
      <c r="AX991">
        <f ca="1"/>
      </c>
      <c r="AY991">
        <f ca="1"/>
      </c>
      <c r="BA991" s="7"/>
    </row>
    <row r="992" spans="31:53" x14ac:dyDescent="0.55000000000000004">
      <c r="AE992" s="7"/>
      <c r="AT992" s="7"/>
      <c r="AU992">
        <f ca="1"/>
      </c>
      <c r="AV992">
        <f ca="1"/>
      </c>
      <c r="AX992">
        <f ca="1"/>
      </c>
      <c r="AY992">
        <f ca="1"/>
      </c>
      <c r="BA992" s="7"/>
    </row>
    <row r="993" spans="31:53" x14ac:dyDescent="0.55000000000000004">
      <c r="AE993" s="7"/>
      <c r="AT993" s="7"/>
      <c r="AU993">
        <f ca="1"/>
      </c>
      <c r="AV993">
        <f ca="1"/>
      </c>
      <c r="AX993">
        <f ca="1"/>
      </c>
      <c r="AY993">
        <f ca="1"/>
      </c>
      <c r="BA993" s="7"/>
    </row>
    <row r="994" spans="31:53" x14ac:dyDescent="0.55000000000000004">
      <c r="AE994" s="7"/>
      <c r="AT994" s="7"/>
      <c r="AU994">
        <f ca="1"/>
      </c>
      <c r="AV994">
        <f ca="1"/>
      </c>
      <c r="AX994">
        <f ca="1"/>
      </c>
      <c r="AY994">
        <f ca="1"/>
      </c>
      <c r="BA994" s="7"/>
    </row>
    <row r="995" spans="31:53" x14ac:dyDescent="0.55000000000000004">
      <c r="AE995" s="7"/>
      <c r="AT995" s="7"/>
      <c r="AU995">
        <f ca="1"/>
      </c>
      <c r="AV995">
        <f ca="1"/>
      </c>
      <c r="AX995">
        <f ca="1"/>
      </c>
      <c r="AY995">
        <f ca="1"/>
      </c>
      <c r="BA995" s="7"/>
    </row>
    <row r="996" spans="31:53" x14ac:dyDescent="0.55000000000000004">
      <c r="AE996" s="7"/>
      <c r="AT996" s="7"/>
      <c r="AU996">
        <f ca="1"/>
      </c>
      <c r="AV996">
        <f ca="1"/>
      </c>
      <c r="AX996">
        <f ca="1"/>
      </c>
      <c r="AY996">
        <f ca="1"/>
      </c>
      <c r="BA996" s="7"/>
    </row>
    <row r="997" spans="31:53" x14ac:dyDescent="0.55000000000000004">
      <c r="AE997" s="7"/>
      <c r="AT997" s="7"/>
      <c r="AU997">
        <f ca="1"/>
      </c>
      <c r="AV997">
        <f ca="1"/>
      </c>
      <c r="AX997">
        <f ca="1"/>
      </c>
      <c r="AY997">
        <f ca="1"/>
      </c>
      <c r="BA997" s="7"/>
    </row>
    <row r="998" spans="31:53" x14ac:dyDescent="0.55000000000000004">
      <c r="AE998" s="7"/>
      <c r="AT998" s="7"/>
      <c r="AU998">
        <f ca="1"/>
      </c>
      <c r="AV998">
        <f ca="1"/>
      </c>
      <c r="AX998">
        <f ca="1"/>
      </c>
      <c r="AY998">
        <f ca="1"/>
      </c>
      <c r="BA998" s="7"/>
    </row>
    <row r="999" spans="31:53" x14ac:dyDescent="0.55000000000000004">
      <c r="AE999" s="7"/>
      <c r="AT999" s="7"/>
      <c r="AU999">
        <f ca="1"/>
      </c>
      <c r="AV999">
        <f ca="1"/>
      </c>
      <c r="AX999">
        <f ca="1"/>
      </c>
      <c r="AY999">
        <f ca="1"/>
      </c>
      <c r="BA999" s="7"/>
    </row>
    <row r="1000" spans="31:53" x14ac:dyDescent="0.55000000000000004">
      <c r="AE1000" s="7"/>
      <c r="AT1000" s="7"/>
      <c r="AU1000">
        <f ca="1"/>
      </c>
      <c r="AV1000">
        <f ca="1"/>
      </c>
      <c r="AX1000">
        <f ca="1"/>
      </c>
      <c r="AY1000">
        <f ca="1"/>
      </c>
      <c r="BA1000" s="7"/>
    </row>
    <row r="1001" spans="31:53" x14ac:dyDescent="0.55000000000000004">
      <c r="AE1001" s="7"/>
      <c r="AT1001" s="7"/>
      <c r="AU1001">
        <f ca="1"/>
      </c>
      <c r="AV1001">
        <f ca="1"/>
      </c>
      <c r="AX1001">
        <f ca="1"/>
      </c>
      <c r="AY1001">
        <f ca="1"/>
      </c>
      <c r="BA1001" s="7"/>
    </row>
    <row r="1002" spans="31:53" x14ac:dyDescent="0.55000000000000004">
      <c r="AE1002" s="7"/>
      <c r="AT1002" s="7"/>
      <c r="AU1002">
        <f ca="1"/>
      </c>
      <c r="AV1002">
        <f ca="1"/>
      </c>
      <c r="AX1002">
        <f ca="1"/>
      </c>
      <c r="AY1002">
        <f ca="1"/>
      </c>
      <c r="BA1002" s="7"/>
    </row>
    <row r="1003" spans="31:53" x14ac:dyDescent="0.55000000000000004">
      <c r="AE1003" s="7"/>
      <c r="AT1003" s="7"/>
      <c r="AU1003">
        <f ca="1"/>
      </c>
      <c r="AV1003">
        <f ca="1"/>
      </c>
      <c r="AX1003">
        <f ca="1"/>
      </c>
      <c r="AY1003">
        <f ca="1"/>
      </c>
      <c r="BA1003" s="7"/>
    </row>
    <row r="1004" spans="31:53" x14ac:dyDescent="0.55000000000000004">
      <c r="AE1004" s="7"/>
      <c r="AT1004" s="7"/>
      <c r="AU1004">
        <f ca="1"/>
      </c>
      <c r="AV1004">
        <f ca="1"/>
      </c>
      <c r="AX1004">
        <f ca="1"/>
      </c>
      <c r="AY1004">
        <f ca="1"/>
      </c>
      <c r="BA1004" s="7"/>
    </row>
    <row r="1005" spans="31:53" x14ac:dyDescent="0.55000000000000004">
      <c r="AE1005" s="7"/>
      <c r="AT1005" s="7"/>
      <c r="AU1005">
        <f ca="1"/>
      </c>
      <c r="AV1005">
        <f ca="1"/>
      </c>
      <c r="AX1005">
        <f ca="1"/>
      </c>
      <c r="AY1005">
        <f ca="1"/>
      </c>
      <c r="BA1005" s="7"/>
    </row>
    <row r="1006" spans="31:53" x14ac:dyDescent="0.55000000000000004">
      <c r="AE1006" s="7"/>
      <c r="AT1006" s="7"/>
      <c r="AU1006">
        <f ca="1"/>
      </c>
      <c r="AV1006">
        <f ca="1"/>
      </c>
      <c r="AX1006">
        <f ca="1"/>
      </c>
      <c r="AY1006">
        <f ca="1"/>
      </c>
      <c r="BA1006" s="7"/>
    </row>
    <row r="1007" spans="31:53" x14ac:dyDescent="0.55000000000000004">
      <c r="AE1007" s="7"/>
      <c r="AT1007" s="7"/>
      <c r="AU1007">
        <f ca="1"/>
      </c>
      <c r="AV1007">
        <f ca="1"/>
      </c>
      <c r="AX1007">
        <f ca="1"/>
      </c>
      <c r="AY1007">
        <f ca="1"/>
      </c>
      <c r="BA1007" s="7"/>
    </row>
    <row r="1008" spans="31:53" x14ac:dyDescent="0.55000000000000004">
      <c r="AE1008" s="7"/>
      <c r="AT1008" s="7"/>
      <c r="AU1008">
        <f ca="1"/>
      </c>
      <c r="AV1008">
        <f ca="1"/>
      </c>
      <c r="AX1008">
        <f ca="1"/>
      </c>
      <c r="AY1008">
        <f ca="1"/>
      </c>
      <c r="BA1008" s="7"/>
    </row>
    <row r="1009" spans="31:53" x14ac:dyDescent="0.55000000000000004">
      <c r="AE1009" s="7"/>
      <c r="AT1009" s="7"/>
      <c r="AU1009">
        <f ca="1"/>
      </c>
      <c r="AV1009">
        <f ca="1"/>
      </c>
      <c r="AX1009">
        <f ca="1"/>
      </c>
      <c r="AY1009">
        <f ca="1"/>
      </c>
      <c r="BA1009" s="7"/>
    </row>
    <row r="1010" spans="31:53" x14ac:dyDescent="0.55000000000000004">
      <c r="AE1010" s="7"/>
      <c r="AT1010" s="7"/>
      <c r="AU1010">
        <f ca="1"/>
      </c>
      <c r="AV1010">
        <f ca="1"/>
      </c>
      <c r="AX1010">
        <f ca="1"/>
      </c>
      <c r="AY1010">
        <f ca="1"/>
      </c>
      <c r="BA1010" s="7"/>
    </row>
    <row r="1011" spans="31:53" x14ac:dyDescent="0.55000000000000004">
      <c r="AE1011" s="7"/>
      <c r="AT1011" s="7"/>
      <c r="AU1011">
        <f ca="1"/>
      </c>
      <c r="AV1011">
        <f ca="1"/>
      </c>
      <c r="AX1011">
        <f ca="1"/>
      </c>
      <c r="AY1011">
        <f ca="1"/>
      </c>
      <c r="BA1011" s="7"/>
    </row>
    <row r="1012" spans="31:53" x14ac:dyDescent="0.55000000000000004">
      <c r="AE1012" s="7"/>
      <c r="AT1012" s="7"/>
      <c r="AU1012">
        <f ca="1"/>
      </c>
      <c r="AV1012">
        <f ca="1"/>
      </c>
      <c r="AX1012">
        <f ca="1"/>
      </c>
      <c r="AY1012">
        <f ca="1"/>
      </c>
      <c r="BA1012" s="7"/>
    </row>
    <row r="1013" spans="31:53" x14ac:dyDescent="0.55000000000000004">
      <c r="AE1013" s="7"/>
      <c r="AT1013" s="7"/>
      <c r="AU1013">
        <f ca="1"/>
      </c>
      <c r="AV1013">
        <f ca="1"/>
      </c>
      <c r="AX1013">
        <f ca="1"/>
      </c>
      <c r="AY1013">
        <f ca="1"/>
      </c>
      <c r="BA1013" s="7"/>
    </row>
    <row r="1014" spans="31:53" x14ac:dyDescent="0.55000000000000004">
      <c r="AE1014" s="7"/>
      <c r="AT1014" s="7"/>
      <c r="AU1014">
        <f ca="1"/>
      </c>
      <c r="AV1014">
        <f ca="1"/>
      </c>
      <c r="AX1014">
        <f ca="1"/>
      </c>
      <c r="AY1014">
        <f ca="1"/>
      </c>
      <c r="BA1014" s="7"/>
    </row>
    <row r="1015" spans="31:53" x14ac:dyDescent="0.55000000000000004">
      <c r="AE1015" s="7"/>
      <c r="AT1015" s="7"/>
      <c r="AU1015">
        <f ca="1"/>
      </c>
      <c r="AV1015">
        <f ca="1"/>
      </c>
      <c r="AX1015">
        <f ca="1"/>
      </c>
      <c r="AY1015">
        <f ca="1"/>
      </c>
      <c r="BA1015" s="7"/>
    </row>
    <row r="1016" spans="31:53" x14ac:dyDescent="0.55000000000000004">
      <c r="AE1016" s="7"/>
      <c r="AT1016" s="7"/>
      <c r="AU1016">
        <f ca="1"/>
      </c>
      <c r="AV1016">
        <f ca="1"/>
      </c>
      <c r="AX1016">
        <f ca="1"/>
      </c>
      <c r="AY1016">
        <f ca="1"/>
      </c>
      <c r="BA1016" s="7"/>
    </row>
    <row r="1017" spans="31:53" x14ac:dyDescent="0.55000000000000004">
      <c r="AE1017" s="7"/>
      <c r="AT1017" s="7"/>
      <c r="AU1017">
        <f ca="1"/>
      </c>
      <c r="AV1017">
        <f ca="1"/>
      </c>
      <c r="AX1017">
        <f ca="1"/>
      </c>
      <c r="AY1017">
        <f ca="1"/>
      </c>
      <c r="BA1017" s="7"/>
    </row>
    <row r="1018" spans="31:53" x14ac:dyDescent="0.55000000000000004">
      <c r="AE1018" s="7"/>
      <c r="AT1018" s="7"/>
      <c r="AU1018">
        <f ca="1"/>
      </c>
      <c r="AV1018">
        <f ca="1"/>
      </c>
      <c r="AX1018">
        <f ca="1"/>
      </c>
      <c r="AY1018">
        <f ca="1"/>
      </c>
      <c r="BA1018" s="7"/>
    </row>
    <row r="1019" spans="31:53" x14ac:dyDescent="0.55000000000000004">
      <c r="AE1019" s="7"/>
      <c r="AT1019" s="7"/>
      <c r="AU1019">
        <f ca="1"/>
      </c>
      <c r="AV1019">
        <f ca="1"/>
      </c>
      <c r="AX1019">
        <f ca="1"/>
      </c>
      <c r="AY1019">
        <f ca="1"/>
      </c>
      <c r="BA1019" s="7"/>
    </row>
    <row r="1020" spans="31:53" x14ac:dyDescent="0.55000000000000004">
      <c r="AE1020" s="7"/>
      <c r="AT1020" s="7"/>
      <c r="AU1020">
        <f ca="1"/>
      </c>
      <c r="AV1020">
        <f ca="1"/>
      </c>
      <c r="AX1020">
        <f ca="1"/>
      </c>
      <c r="AY1020">
        <f ca="1"/>
      </c>
      <c r="BA1020" s="7"/>
    </row>
    <row r="1021" spans="31:53" x14ac:dyDescent="0.55000000000000004">
      <c r="AE1021" s="7"/>
      <c r="AT1021" s="7"/>
      <c r="AU1021">
        <f ca="1"/>
      </c>
      <c r="AV1021">
        <f ca="1"/>
      </c>
      <c r="AX1021">
        <f ca="1"/>
      </c>
      <c r="AY1021">
        <f ca="1"/>
      </c>
      <c r="BA1021" s="7"/>
    </row>
    <row r="1022" spans="31:53" x14ac:dyDescent="0.55000000000000004">
      <c r="AE1022" s="7"/>
      <c r="AT1022" s="7"/>
      <c r="AU1022">
        <f ca="1"/>
      </c>
      <c r="AV1022">
        <f ca="1"/>
      </c>
      <c r="AX1022">
        <f ca="1"/>
      </c>
      <c r="AY1022">
        <f ca="1"/>
      </c>
      <c r="BA1022" s="7"/>
    </row>
    <row r="1023" spans="31:53" x14ac:dyDescent="0.55000000000000004">
      <c r="AE1023" s="7"/>
      <c r="AT1023" s="7"/>
      <c r="AU1023">
        <f ca="1"/>
      </c>
      <c r="AV1023">
        <f ca="1"/>
      </c>
      <c r="AX1023">
        <f ca="1"/>
      </c>
      <c r="AY1023">
        <f ca="1"/>
      </c>
      <c r="BA1023" s="7"/>
    </row>
    <row r="1024" spans="31:53" x14ac:dyDescent="0.55000000000000004">
      <c r="AE1024" s="7"/>
      <c r="AT1024" s="7"/>
      <c r="AU1024">
        <f ca="1"/>
      </c>
      <c r="AV1024">
        <f ca="1"/>
      </c>
      <c r="AX1024">
        <f ca="1"/>
      </c>
      <c r="AY1024">
        <f ca="1"/>
      </c>
      <c r="BA1024" s="7"/>
    </row>
    <row r="1025" spans="31:53" x14ac:dyDescent="0.55000000000000004">
      <c r="AE1025" s="7"/>
      <c r="AT1025" s="7"/>
      <c r="AU1025">
        <f ca="1"/>
      </c>
      <c r="AV1025">
        <f ca="1"/>
      </c>
      <c r="AX1025">
        <f ca="1"/>
      </c>
      <c r="AY1025">
        <f ca="1"/>
      </c>
      <c r="BA1025" s="7"/>
    </row>
    <row r="1026" spans="31:53" x14ac:dyDescent="0.55000000000000004">
      <c r="AE1026" s="7"/>
      <c r="AT1026" s="7"/>
      <c r="AU1026">
        <f ca="1"/>
      </c>
      <c r="AV1026">
        <f ca="1"/>
      </c>
      <c r="AX1026">
        <f ca="1"/>
      </c>
      <c r="AY1026">
        <f ca="1"/>
      </c>
      <c r="BA1026" s="7"/>
    </row>
    <row r="1027" spans="31:53" x14ac:dyDescent="0.55000000000000004">
      <c r="AE1027" s="7"/>
      <c r="AT1027" s="7"/>
      <c r="AU1027">
        <f ca="1"/>
      </c>
      <c r="AV1027">
        <f ca="1"/>
      </c>
      <c r="AX1027">
        <f ca="1"/>
      </c>
      <c r="AY1027">
        <f ca="1"/>
      </c>
      <c r="BA1027" s="7"/>
    </row>
    <row r="1028" spans="31:53" x14ac:dyDescent="0.55000000000000004">
      <c r="AE1028" s="7"/>
      <c r="AT1028" s="7"/>
      <c r="AU1028">
        <f ca="1"/>
      </c>
      <c r="AV1028">
        <f ca="1"/>
      </c>
      <c r="AX1028">
        <f ca="1"/>
      </c>
      <c r="AY1028">
        <f ca="1"/>
      </c>
      <c r="BA1028" s="7"/>
    </row>
    <row r="1029" spans="31:53" x14ac:dyDescent="0.55000000000000004">
      <c r="AE1029" s="7"/>
      <c r="AT1029" s="7"/>
      <c r="AU1029">
        <f ca="1"/>
      </c>
      <c r="AV1029">
        <f ca="1"/>
      </c>
      <c r="AX1029">
        <f ca="1"/>
      </c>
      <c r="AY1029">
        <f ca="1"/>
      </c>
      <c r="BA1029" s="7"/>
    </row>
    <row r="1030" spans="31:53" x14ac:dyDescent="0.55000000000000004">
      <c r="AE1030" s="7"/>
      <c r="AT1030" s="7"/>
      <c r="AU1030">
        <f ca="1"/>
      </c>
      <c r="AV1030">
        <f ca="1"/>
      </c>
      <c r="AX1030">
        <f ca="1"/>
      </c>
      <c r="AY1030">
        <f ca="1"/>
      </c>
      <c r="BA1030" s="7"/>
    </row>
    <row r="1031" spans="31:53" x14ac:dyDescent="0.55000000000000004">
      <c r="AE1031" s="7"/>
      <c r="AT1031" s="7"/>
      <c r="AU1031">
        <f ca="1"/>
      </c>
      <c r="AV1031">
        <f ca="1"/>
      </c>
      <c r="AX1031">
        <f ca="1"/>
      </c>
      <c r="AY1031">
        <f ca="1"/>
      </c>
      <c r="BA1031" s="7"/>
    </row>
    <row r="1032" spans="31:53" x14ac:dyDescent="0.55000000000000004">
      <c r="AE1032" s="7"/>
      <c r="AT1032" s="7"/>
      <c r="AU1032">
        <f ca="1"/>
      </c>
      <c r="AV1032">
        <f ca="1"/>
      </c>
      <c r="AX1032">
        <f ca="1"/>
      </c>
      <c r="AY1032">
        <f ca="1"/>
      </c>
      <c r="BA1032" s="7"/>
    </row>
    <row r="1033" spans="31:53" x14ac:dyDescent="0.55000000000000004">
      <c r="AE1033" s="7"/>
      <c r="AT1033" s="7"/>
      <c r="AU1033">
        <f ca="1"/>
      </c>
      <c r="AV1033">
        <f ca="1"/>
      </c>
      <c r="AX1033">
        <f ca="1"/>
      </c>
      <c r="AY1033">
        <f ca="1"/>
      </c>
      <c r="BA1033" s="7"/>
    </row>
    <row r="1034" spans="31:53" x14ac:dyDescent="0.55000000000000004">
      <c r="AE1034" s="7"/>
      <c r="AT1034" s="7"/>
      <c r="AU1034">
        <f ca="1"/>
      </c>
      <c r="AV1034">
        <f ca="1"/>
      </c>
      <c r="AX1034">
        <f ca="1"/>
      </c>
      <c r="AY1034">
        <f ca="1"/>
      </c>
      <c r="BA1034" s="7"/>
    </row>
    <row r="1035" spans="31:53" x14ac:dyDescent="0.55000000000000004">
      <c r="AE1035" s="7"/>
      <c r="AT1035" s="7"/>
      <c r="AU1035">
        <f ca="1"/>
      </c>
      <c r="AV1035">
        <f ca="1"/>
      </c>
      <c r="AX1035">
        <f ca="1"/>
      </c>
      <c r="AY1035">
        <f ca="1"/>
      </c>
      <c r="BA1035" s="7"/>
    </row>
    <row r="1036" spans="31:53" x14ac:dyDescent="0.55000000000000004">
      <c r="AE1036" s="7"/>
      <c r="AT1036" s="7"/>
      <c r="AU1036">
        <f ca="1"/>
      </c>
      <c r="AV1036">
        <f ca="1"/>
      </c>
      <c r="AX1036">
        <f ca="1"/>
      </c>
      <c r="AY1036">
        <f ca="1"/>
      </c>
      <c r="BA1036" s="7"/>
    </row>
    <row r="1037" spans="31:53" x14ac:dyDescent="0.55000000000000004">
      <c r="AE1037" s="7"/>
      <c r="AT1037" s="7"/>
      <c r="AU1037">
        <f ca="1"/>
      </c>
      <c r="AV1037">
        <f ca="1"/>
      </c>
      <c r="AX1037">
        <f ca="1"/>
      </c>
      <c r="AY1037">
        <f ca="1"/>
      </c>
      <c r="BA1037" s="7"/>
    </row>
    <row r="1038" spans="31:53" x14ac:dyDescent="0.55000000000000004">
      <c r="AE1038" s="7"/>
      <c r="AT1038" s="7"/>
      <c r="AU1038">
        <f ca="1"/>
      </c>
      <c r="AV1038">
        <f ca="1"/>
      </c>
      <c r="AX1038">
        <f ca="1"/>
      </c>
      <c r="AY1038">
        <f ca="1"/>
      </c>
      <c r="BA1038" s="7"/>
    </row>
    <row r="1039" spans="31:53" x14ac:dyDescent="0.55000000000000004">
      <c r="AE1039" s="7"/>
      <c r="AT1039" s="7"/>
      <c r="AU1039">
        <f ca="1"/>
      </c>
      <c r="AV1039">
        <f ca="1"/>
      </c>
      <c r="AX1039">
        <f ca="1"/>
      </c>
      <c r="AY1039">
        <f ca="1"/>
      </c>
      <c r="BA1039" s="7"/>
    </row>
    <row r="1040" spans="31:53" x14ac:dyDescent="0.55000000000000004">
      <c r="AE1040" s="7"/>
      <c r="AT1040" s="7"/>
      <c r="AU1040">
        <f ca="1"/>
      </c>
      <c r="AV1040">
        <f ca="1"/>
      </c>
      <c r="AX1040">
        <f ca="1"/>
      </c>
      <c r="AY1040">
        <f ca="1"/>
      </c>
      <c r="BA1040" s="7"/>
    </row>
    <row r="1041" spans="31:53" x14ac:dyDescent="0.55000000000000004">
      <c r="AE1041" s="7"/>
      <c r="AT1041" s="7"/>
      <c r="AU1041">
        <f ca="1"/>
      </c>
      <c r="AV1041">
        <f ca="1"/>
      </c>
      <c r="AX1041">
        <f ca="1"/>
      </c>
      <c r="AY1041">
        <f ca="1"/>
      </c>
      <c r="BA1041" s="7"/>
    </row>
    <row r="1042" spans="31:53" x14ac:dyDescent="0.55000000000000004">
      <c r="AE1042" s="7"/>
      <c r="AT1042" s="7"/>
      <c r="AU1042">
        <f ca="1"/>
      </c>
      <c r="AV1042">
        <f ca="1"/>
      </c>
      <c r="AX1042">
        <f ca="1"/>
      </c>
      <c r="AY1042">
        <f ca="1"/>
      </c>
      <c r="BA1042" s="7"/>
    </row>
    <row r="1043" spans="31:53" x14ac:dyDescent="0.55000000000000004">
      <c r="AE1043" s="7"/>
      <c r="AT1043" s="7"/>
      <c r="AU1043">
        <f ca="1"/>
      </c>
      <c r="AV1043">
        <f ca="1"/>
      </c>
      <c r="AX1043">
        <f ca="1"/>
      </c>
      <c r="AY1043">
        <f ca="1"/>
      </c>
      <c r="BA1043" s="7"/>
    </row>
    <row r="1044" spans="31:53" x14ac:dyDescent="0.55000000000000004">
      <c r="AE1044" s="7"/>
      <c r="AT1044" s="7"/>
      <c r="AU1044">
        <f ca="1"/>
      </c>
      <c r="AV1044">
        <f ca="1"/>
      </c>
      <c r="AX1044">
        <f ca="1"/>
      </c>
      <c r="AY1044">
        <f ca="1"/>
      </c>
      <c r="BA1044" s="7"/>
    </row>
    <row r="1045" spans="31:53" x14ac:dyDescent="0.55000000000000004">
      <c r="AE1045" s="7"/>
      <c r="AT1045" s="7"/>
      <c r="AU1045">
        <f ca="1"/>
      </c>
      <c r="AV1045">
        <f ca="1"/>
      </c>
      <c r="AX1045">
        <f ca="1"/>
      </c>
      <c r="AY1045">
        <f ca="1"/>
      </c>
      <c r="BA1045" s="7"/>
    </row>
    <row r="1046" spans="31:53" x14ac:dyDescent="0.55000000000000004">
      <c r="AE1046" s="7"/>
      <c r="AT1046" s="7"/>
      <c r="AU1046">
        <f ca="1"/>
      </c>
      <c r="AV1046">
        <f ca="1"/>
      </c>
      <c r="AX1046">
        <f ca="1"/>
      </c>
      <c r="AY1046">
        <f ca="1"/>
      </c>
      <c r="BA1046" s="7"/>
    </row>
    <row r="1047" spans="31:53" x14ac:dyDescent="0.55000000000000004">
      <c r="AE1047" s="7"/>
      <c r="AT1047" s="7"/>
      <c r="AU1047">
        <f ca="1"/>
      </c>
      <c r="AV1047">
        <f ca="1"/>
      </c>
      <c r="AX1047">
        <f ca="1"/>
      </c>
      <c r="AY1047">
        <f ca="1"/>
      </c>
      <c r="BA1047" s="7"/>
    </row>
    <row r="1048" spans="31:53" x14ac:dyDescent="0.55000000000000004">
      <c r="AE1048" s="7"/>
      <c r="AT1048" s="7"/>
      <c r="AU1048">
        <f ca="1"/>
      </c>
      <c r="AV1048">
        <f ca="1"/>
      </c>
      <c r="AX1048">
        <f ca="1"/>
      </c>
      <c r="AY1048">
        <f ca="1"/>
      </c>
      <c r="BA1048" s="7"/>
    </row>
    <row r="1049" spans="31:53" x14ac:dyDescent="0.55000000000000004">
      <c r="AE1049" s="7"/>
      <c r="AT1049" s="7"/>
      <c r="AU1049">
        <f ca="1"/>
      </c>
      <c r="AV1049">
        <f ca="1"/>
      </c>
      <c r="AX1049">
        <f ca="1"/>
      </c>
      <c r="AY1049">
        <f ca="1"/>
      </c>
      <c r="BA1049" s="7"/>
    </row>
    <row r="1050" spans="31:53" x14ac:dyDescent="0.55000000000000004">
      <c r="AE1050" s="7"/>
      <c r="AT1050" s="7"/>
      <c r="AU1050">
        <f ca="1"/>
      </c>
      <c r="AV1050">
        <f ca="1"/>
      </c>
      <c r="AX1050">
        <f ca="1"/>
      </c>
      <c r="AY1050">
        <f ca="1"/>
      </c>
      <c r="BA1050" s="7"/>
    </row>
    <row r="1051" spans="31:53" x14ac:dyDescent="0.55000000000000004">
      <c r="AE1051" s="7"/>
      <c r="AT1051" s="7"/>
      <c r="AU1051">
        <f ca="1"/>
      </c>
      <c r="AV1051">
        <f ca="1"/>
      </c>
      <c r="AX1051">
        <f ca="1"/>
      </c>
      <c r="AY1051">
        <f ca="1"/>
      </c>
      <c r="BA1051" s="7"/>
    </row>
    <row r="1052" spans="31:53" x14ac:dyDescent="0.55000000000000004">
      <c r="AE1052" s="7"/>
      <c r="AT1052" s="7"/>
      <c r="AU1052">
        <f ca="1"/>
      </c>
      <c r="AV1052">
        <f ca="1"/>
      </c>
      <c r="AX1052">
        <f ca="1"/>
      </c>
      <c r="AY1052">
        <f ca="1"/>
      </c>
      <c r="BA1052" s="7"/>
    </row>
    <row r="1053" spans="31:53" x14ac:dyDescent="0.55000000000000004">
      <c r="AE1053" s="7"/>
      <c r="AT1053" s="7"/>
      <c r="AU1053">
        <f ca="1"/>
      </c>
      <c r="AV1053">
        <f ca="1"/>
      </c>
      <c r="AX1053">
        <f ca="1"/>
      </c>
      <c r="AY1053">
        <f ca="1"/>
      </c>
      <c r="BA1053" s="7"/>
    </row>
    <row r="1054" spans="31:53" x14ac:dyDescent="0.55000000000000004">
      <c r="AE1054" s="7"/>
      <c r="AT1054" s="7"/>
      <c r="AU1054">
        <f ca="1"/>
      </c>
      <c r="AV1054">
        <f ca="1"/>
      </c>
      <c r="AX1054">
        <f ca="1"/>
      </c>
      <c r="AY1054">
        <f ca="1"/>
      </c>
      <c r="BA1054" s="7"/>
    </row>
    <row r="1055" spans="31:53" x14ac:dyDescent="0.55000000000000004">
      <c r="AE1055" s="7"/>
      <c r="AT1055" s="7"/>
      <c r="AU1055">
        <f ca="1"/>
      </c>
      <c r="AV1055">
        <f ca="1"/>
      </c>
      <c r="AX1055">
        <f ca="1"/>
      </c>
      <c r="AY1055">
        <f ca="1"/>
      </c>
      <c r="BA1055" s="7"/>
    </row>
    <row r="1056" spans="31:53" x14ac:dyDescent="0.55000000000000004">
      <c r="AE1056" s="7"/>
      <c r="AT1056" s="7"/>
      <c r="AU1056">
        <f ca="1"/>
      </c>
      <c r="AV1056">
        <f ca="1"/>
      </c>
      <c r="AX1056">
        <f ca="1"/>
      </c>
      <c r="AY1056">
        <f ca="1"/>
      </c>
      <c r="BA1056" s="7"/>
    </row>
    <row r="1057" spans="31:53" x14ac:dyDescent="0.55000000000000004">
      <c r="AE1057" s="7"/>
      <c r="AT1057" s="7"/>
      <c r="AU1057">
        <f ca="1"/>
      </c>
      <c r="AV1057">
        <f ca="1"/>
      </c>
      <c r="AX1057">
        <f ca="1"/>
      </c>
      <c r="AY1057">
        <f ca="1"/>
      </c>
      <c r="BA1057" s="7"/>
    </row>
    <row r="1058" spans="31:53" x14ac:dyDescent="0.55000000000000004">
      <c r="AE1058" s="7"/>
      <c r="AT1058" s="7"/>
      <c r="AU1058">
        <f ca="1"/>
      </c>
      <c r="AV1058">
        <f ca="1"/>
      </c>
      <c r="AX1058">
        <f ca="1"/>
      </c>
      <c r="AY1058">
        <f ca="1"/>
      </c>
      <c r="BA1058" s="7"/>
    </row>
    <row r="1059" spans="31:53" x14ac:dyDescent="0.55000000000000004">
      <c r="AE1059" s="7"/>
      <c r="AT1059" s="7"/>
      <c r="AU1059">
        <f ca="1"/>
      </c>
      <c r="AV1059">
        <f ca="1"/>
      </c>
      <c r="AX1059">
        <f ca="1"/>
      </c>
      <c r="AY1059">
        <f ca="1"/>
      </c>
      <c r="BA1059" s="7"/>
    </row>
    <row r="1060" spans="31:53" x14ac:dyDescent="0.55000000000000004">
      <c r="AE1060" s="7"/>
      <c r="AT1060" s="7"/>
      <c r="AU1060">
        <f ca="1"/>
      </c>
      <c r="AV1060">
        <f ca="1"/>
      </c>
      <c r="AX1060">
        <f ca="1"/>
      </c>
      <c r="AY1060">
        <f ca="1"/>
      </c>
      <c r="BA1060" s="7"/>
    </row>
    <row r="1061" spans="31:53" x14ac:dyDescent="0.55000000000000004">
      <c r="AE1061" s="7"/>
      <c r="AT1061" s="7"/>
      <c r="AU1061">
        <f ca="1"/>
      </c>
      <c r="AV1061">
        <f ca="1"/>
      </c>
      <c r="AX1061">
        <f ca="1"/>
      </c>
      <c r="AY1061">
        <f ca="1"/>
      </c>
      <c r="BA1061" s="7"/>
    </row>
    <row r="1062" spans="31:53" x14ac:dyDescent="0.55000000000000004">
      <c r="AE1062" s="7"/>
      <c r="AT1062" s="7"/>
      <c r="AU1062">
        <f ca="1"/>
      </c>
      <c r="AV1062">
        <f ca="1"/>
      </c>
      <c r="AX1062">
        <f ca="1"/>
      </c>
      <c r="AY1062">
        <f ca="1"/>
      </c>
      <c r="BA1062" s="7"/>
    </row>
    <row r="1063" spans="31:53" x14ac:dyDescent="0.55000000000000004">
      <c r="AE1063" s="7"/>
      <c r="AT1063" s="7"/>
      <c r="AU1063">
        <f ca="1"/>
      </c>
      <c r="AV1063">
        <f ca="1"/>
      </c>
      <c r="AX1063">
        <f ca="1"/>
      </c>
      <c r="AY1063">
        <f ca="1"/>
      </c>
      <c r="BA1063" s="7"/>
    </row>
    <row r="1064" spans="31:53" x14ac:dyDescent="0.55000000000000004">
      <c r="AE1064" s="7"/>
      <c r="AT1064" s="7"/>
      <c r="AU1064">
        <f ca="1"/>
      </c>
      <c r="AV1064">
        <f ca="1"/>
      </c>
      <c r="AX1064">
        <f ca="1"/>
      </c>
      <c r="AY1064">
        <f ca="1"/>
      </c>
      <c r="BA1064" s="7"/>
    </row>
    <row r="1065" spans="31:53" x14ac:dyDescent="0.55000000000000004">
      <c r="AE1065" s="7"/>
      <c r="AT1065" s="7"/>
      <c r="AU1065">
        <f ca="1"/>
      </c>
      <c r="AV1065">
        <f ca="1"/>
      </c>
      <c r="AX1065">
        <f ca="1"/>
      </c>
      <c r="AY1065">
        <f ca="1"/>
      </c>
      <c r="BA1065" s="7"/>
    </row>
    <row r="1066" spans="31:53" x14ac:dyDescent="0.55000000000000004">
      <c r="AE1066" s="7"/>
      <c r="AT1066" s="7"/>
      <c r="AU1066">
        <f ca="1"/>
      </c>
      <c r="AV1066">
        <f ca="1"/>
      </c>
      <c r="AX1066">
        <f ca="1"/>
      </c>
      <c r="AY1066">
        <f ca="1"/>
      </c>
      <c r="BA1066" s="7"/>
    </row>
    <row r="1067" spans="31:53" x14ac:dyDescent="0.55000000000000004">
      <c r="AE1067" s="7"/>
      <c r="AT1067" s="7"/>
      <c r="AU1067">
        <f ca="1"/>
      </c>
      <c r="AV1067">
        <f ca="1"/>
      </c>
      <c r="AX1067">
        <f ca="1"/>
      </c>
      <c r="AY1067">
        <f ca="1"/>
      </c>
      <c r="BA1067" s="7"/>
    </row>
    <row r="1068" spans="31:53" x14ac:dyDescent="0.55000000000000004">
      <c r="AE1068" s="7"/>
      <c r="AT1068" s="7"/>
      <c r="AU1068">
        <f ca="1"/>
      </c>
      <c r="AV1068">
        <f ca="1"/>
      </c>
      <c r="AX1068">
        <f ca="1"/>
      </c>
      <c r="AY1068">
        <f ca="1"/>
      </c>
      <c r="BA1068" s="7"/>
    </row>
    <row r="1069" spans="31:53" x14ac:dyDescent="0.55000000000000004">
      <c r="AE1069" s="7"/>
      <c r="AT1069" s="7"/>
      <c r="AU1069">
        <f ca="1"/>
      </c>
      <c r="AV1069">
        <f ca="1"/>
      </c>
      <c r="AX1069">
        <f ca="1"/>
      </c>
      <c r="AY1069">
        <f ca="1"/>
      </c>
      <c r="BA1069" s="7"/>
    </row>
    <row r="1070" spans="31:53" x14ac:dyDescent="0.55000000000000004">
      <c r="AE1070" s="7"/>
      <c r="AT1070" s="7"/>
      <c r="AU1070">
        <f ca="1"/>
      </c>
      <c r="AV1070">
        <f ca="1"/>
      </c>
      <c r="AX1070">
        <f ca="1"/>
      </c>
      <c r="AY1070">
        <f ca="1"/>
      </c>
      <c r="BA1070" s="7"/>
    </row>
    <row r="1071" spans="31:53" x14ac:dyDescent="0.55000000000000004">
      <c r="AE1071" s="7"/>
      <c r="AT1071" s="7"/>
      <c r="AU1071">
        <f ca="1"/>
      </c>
      <c r="AV1071">
        <f ca="1"/>
      </c>
      <c r="AX1071">
        <f ca="1"/>
      </c>
      <c r="AY1071">
        <f ca="1"/>
      </c>
      <c r="BA1071" s="7"/>
    </row>
    <row r="1072" spans="31:53" x14ac:dyDescent="0.55000000000000004">
      <c r="AE1072" s="7"/>
      <c r="AT1072" s="7"/>
      <c r="AU1072">
        <f ca="1"/>
      </c>
      <c r="AV1072">
        <f ca="1"/>
      </c>
      <c r="AX1072">
        <f ca="1"/>
      </c>
      <c r="AY1072">
        <f ca="1"/>
      </c>
      <c r="BA1072" s="7"/>
    </row>
    <row r="1073" spans="31:53" x14ac:dyDescent="0.55000000000000004">
      <c r="AE1073" s="7"/>
      <c r="AT1073" s="7"/>
      <c r="AU1073">
        <f ca="1"/>
      </c>
      <c r="AV1073">
        <f ca="1"/>
      </c>
      <c r="AX1073">
        <f ca="1"/>
      </c>
      <c r="AY1073">
        <f ca="1"/>
      </c>
      <c r="BA1073" s="7"/>
    </row>
    <row r="1074" spans="31:53" x14ac:dyDescent="0.55000000000000004">
      <c r="AE1074" s="7"/>
      <c r="AT1074" s="7"/>
      <c r="AU1074">
        <f ca="1"/>
      </c>
      <c r="AV1074">
        <f ca="1"/>
      </c>
      <c r="AX1074">
        <f ca="1"/>
      </c>
      <c r="AY1074">
        <f ca="1"/>
      </c>
      <c r="BA1074" s="7"/>
    </row>
    <row r="1075" spans="31:53" x14ac:dyDescent="0.55000000000000004">
      <c r="AE1075" s="7"/>
      <c r="AT1075" s="7"/>
      <c r="AU1075">
        <f ca="1"/>
      </c>
      <c r="AV1075">
        <f ca="1"/>
      </c>
      <c r="AX1075">
        <f ca="1"/>
      </c>
      <c r="AY1075">
        <f ca="1"/>
      </c>
      <c r="BA1075" s="7"/>
    </row>
    <row r="1076" spans="31:53" x14ac:dyDescent="0.55000000000000004">
      <c r="AE1076" s="7"/>
      <c r="AT1076" s="7"/>
      <c r="AU1076">
        <f ca="1"/>
      </c>
      <c r="AV1076">
        <f ca="1"/>
      </c>
      <c r="AX1076">
        <f ca="1"/>
      </c>
      <c r="AY1076">
        <f ca="1"/>
      </c>
      <c r="BA1076" s="7"/>
    </row>
    <row r="1077" spans="31:53" x14ac:dyDescent="0.55000000000000004">
      <c r="AE1077" s="7"/>
      <c r="AT1077" s="7"/>
      <c r="AU1077">
        <f ca="1"/>
      </c>
      <c r="AV1077">
        <f ca="1"/>
      </c>
      <c r="AX1077">
        <f ca="1"/>
      </c>
      <c r="AY1077">
        <f ca="1"/>
      </c>
      <c r="BA1077" s="7"/>
    </row>
    <row r="1078" spans="31:53" x14ac:dyDescent="0.55000000000000004">
      <c r="AE1078" s="7"/>
      <c r="AT1078" s="7"/>
      <c r="AU1078">
        <f ca="1"/>
      </c>
      <c r="AV1078">
        <f ca="1"/>
      </c>
      <c r="AX1078">
        <f ca="1"/>
      </c>
      <c r="AY1078">
        <f ca="1"/>
      </c>
      <c r="BA1078" s="7"/>
    </row>
    <row r="1079" spans="31:53" x14ac:dyDescent="0.55000000000000004">
      <c r="AE1079" s="7"/>
      <c r="AT1079" s="7"/>
      <c r="AU1079">
        <f ca="1"/>
      </c>
      <c r="AV1079">
        <f ca="1"/>
      </c>
      <c r="AX1079">
        <f ca="1"/>
      </c>
      <c r="AY1079">
        <f ca="1"/>
      </c>
      <c r="BA1079" s="7"/>
    </row>
    <row r="1080" spans="31:53" x14ac:dyDescent="0.55000000000000004">
      <c r="AE1080" s="7"/>
      <c r="AT1080" s="7"/>
      <c r="AU1080">
        <f ca="1"/>
      </c>
      <c r="AV1080">
        <f ca="1"/>
      </c>
      <c r="AX1080">
        <f ca="1"/>
      </c>
      <c r="AY1080">
        <f ca="1"/>
      </c>
      <c r="BA1080" s="7"/>
    </row>
    <row r="1081" spans="31:53" x14ac:dyDescent="0.55000000000000004">
      <c r="AE1081" s="7"/>
      <c r="AT1081" s="7"/>
      <c r="AU1081">
        <f ca="1"/>
      </c>
      <c r="AV1081">
        <f ca="1"/>
      </c>
      <c r="AX1081">
        <f ca="1"/>
      </c>
      <c r="AY1081">
        <f ca="1"/>
      </c>
      <c r="BA1081" s="7"/>
    </row>
    <row r="1082" spans="31:53" x14ac:dyDescent="0.55000000000000004">
      <c r="AE1082" s="7"/>
      <c r="AT1082" s="7"/>
      <c r="AU1082">
        <f ca="1"/>
      </c>
      <c r="AV1082">
        <f ca="1"/>
      </c>
      <c r="AX1082">
        <f ca="1"/>
      </c>
      <c r="AY1082">
        <f ca="1"/>
      </c>
      <c r="BA1082" s="7"/>
    </row>
    <row r="1083" spans="31:53" x14ac:dyDescent="0.55000000000000004">
      <c r="AE1083" s="7"/>
      <c r="AT1083" s="7"/>
      <c r="AU1083">
        <f ca="1"/>
      </c>
      <c r="AV1083">
        <f ca="1"/>
      </c>
      <c r="AX1083">
        <f ca="1"/>
      </c>
      <c r="AY1083">
        <f ca="1"/>
      </c>
      <c r="BA1083" s="7"/>
    </row>
    <row r="1084" spans="31:53" x14ac:dyDescent="0.55000000000000004">
      <c r="AE1084" s="7"/>
      <c r="AT1084" s="7"/>
      <c r="AU1084">
        <f ca="1"/>
      </c>
      <c r="AV1084">
        <f ca="1"/>
      </c>
      <c r="AX1084">
        <f ca="1"/>
      </c>
      <c r="AY1084">
        <f ca="1"/>
      </c>
      <c r="BA1084" s="7"/>
    </row>
    <row r="1085" spans="31:53" x14ac:dyDescent="0.55000000000000004">
      <c r="AE1085" s="7"/>
      <c r="AT1085" s="7"/>
      <c r="AU1085">
        <f ca="1"/>
      </c>
      <c r="AV1085">
        <f ca="1"/>
      </c>
      <c r="AX1085">
        <f ca="1"/>
      </c>
      <c r="AY1085">
        <f ca="1"/>
      </c>
      <c r="BA1085" s="7"/>
    </row>
    <row r="1086" spans="31:53" x14ac:dyDescent="0.55000000000000004">
      <c r="AE1086" s="7"/>
      <c r="AT1086" s="7"/>
      <c r="AU1086">
        <f ca="1"/>
      </c>
      <c r="AV1086">
        <f ca="1"/>
      </c>
      <c r="AX1086">
        <f ca="1"/>
      </c>
      <c r="AY1086">
        <f ca="1"/>
      </c>
      <c r="BA1086" s="7"/>
    </row>
    <row r="1087" spans="31:53" x14ac:dyDescent="0.55000000000000004">
      <c r="AE1087" s="7"/>
      <c r="AT1087" s="7"/>
      <c r="AU1087">
        <f ca="1"/>
      </c>
      <c r="AV1087">
        <f ca="1"/>
      </c>
      <c r="AX1087">
        <f ca="1"/>
      </c>
      <c r="AY1087">
        <f ca="1"/>
      </c>
      <c r="BA1087" s="7"/>
    </row>
    <row r="1088" spans="31:53" x14ac:dyDescent="0.55000000000000004">
      <c r="AE1088" s="7"/>
      <c r="AT1088" s="7"/>
      <c r="AU1088">
        <f ca="1"/>
      </c>
      <c r="AV1088">
        <f ca="1"/>
      </c>
      <c r="AX1088">
        <f ca="1"/>
      </c>
      <c r="AY1088">
        <f ca="1"/>
      </c>
      <c r="BA1088" s="7"/>
    </row>
    <row r="1089" spans="31:53" x14ac:dyDescent="0.55000000000000004">
      <c r="AE1089" s="7"/>
      <c r="AT1089" s="7"/>
      <c r="AU1089">
        <f ca="1"/>
      </c>
      <c r="AV1089">
        <f ca="1"/>
      </c>
      <c r="AX1089">
        <f ca="1"/>
      </c>
      <c r="AY1089">
        <f ca="1"/>
      </c>
      <c r="BA1089" s="7"/>
    </row>
    <row r="1090" spans="31:53" x14ac:dyDescent="0.55000000000000004">
      <c r="AE1090" s="7"/>
      <c r="AT1090" s="7"/>
      <c r="AU1090">
        <f ca="1"/>
      </c>
      <c r="AV1090">
        <f ca="1"/>
      </c>
      <c r="AX1090">
        <f ca="1"/>
      </c>
      <c r="AY1090">
        <f ca="1"/>
      </c>
      <c r="BA1090" s="7"/>
    </row>
    <row r="1091" spans="31:53" x14ac:dyDescent="0.55000000000000004">
      <c r="AE1091" s="7"/>
      <c r="AT1091" s="7"/>
      <c r="AU1091">
        <f ca="1"/>
      </c>
      <c r="AV1091">
        <f ca="1"/>
      </c>
      <c r="AX1091">
        <f ca="1"/>
      </c>
      <c r="AY1091">
        <f ca="1"/>
      </c>
      <c r="BA1091" s="7"/>
    </row>
    <row r="1092" spans="31:53" x14ac:dyDescent="0.55000000000000004">
      <c r="AE1092" s="7"/>
      <c r="AT1092" s="7"/>
      <c r="AU1092">
        <f ca="1"/>
      </c>
      <c r="AV1092">
        <f ca="1"/>
      </c>
      <c r="AX1092">
        <f ca="1"/>
      </c>
      <c r="AY1092">
        <f ca="1"/>
      </c>
      <c r="BA1092" s="7"/>
    </row>
    <row r="1093" spans="31:53" x14ac:dyDescent="0.55000000000000004">
      <c r="AE1093" s="7"/>
      <c r="AT1093" s="7"/>
      <c r="AU1093">
        <f ca="1"/>
      </c>
      <c r="AV1093">
        <f ca="1"/>
      </c>
      <c r="AX1093">
        <f ca="1"/>
      </c>
      <c r="AY1093">
        <f ca="1"/>
      </c>
      <c r="BA1093" s="7"/>
    </row>
    <row r="1094" spans="31:53" x14ac:dyDescent="0.55000000000000004">
      <c r="AE1094" s="7"/>
      <c r="AT1094" s="7"/>
      <c r="AU1094">
        <f ca="1"/>
      </c>
      <c r="AV1094">
        <f ca="1"/>
      </c>
      <c r="AX1094">
        <f ca="1"/>
      </c>
      <c r="AY1094">
        <f ca="1"/>
      </c>
      <c r="BA1094" s="7"/>
    </row>
    <row r="1095" spans="31:53" x14ac:dyDescent="0.55000000000000004">
      <c r="AE1095" s="7"/>
      <c r="AT1095" s="7"/>
      <c r="AU1095">
        <f ca="1"/>
      </c>
      <c r="AV1095">
        <f ca="1"/>
      </c>
      <c r="AX1095">
        <f ca="1"/>
      </c>
      <c r="AY1095">
        <f ca="1"/>
      </c>
      <c r="BA1095" s="7"/>
    </row>
    <row r="1096" spans="31:53" x14ac:dyDescent="0.55000000000000004">
      <c r="AE1096" s="7"/>
      <c r="AT1096" s="7"/>
      <c r="AU1096">
        <f ca="1"/>
      </c>
      <c r="AV1096">
        <f ca="1"/>
      </c>
      <c r="AX1096">
        <f ca="1"/>
      </c>
      <c r="AY1096">
        <f ca="1"/>
      </c>
      <c r="BA1096" s="7"/>
    </row>
    <row r="1097" spans="31:53" x14ac:dyDescent="0.55000000000000004">
      <c r="AE1097" s="7"/>
      <c r="AT1097" s="7"/>
      <c r="AU1097">
        <f ca="1"/>
      </c>
      <c r="AV1097">
        <f ca="1"/>
      </c>
      <c r="AX1097">
        <f ca="1"/>
      </c>
      <c r="AY1097">
        <f ca="1"/>
      </c>
      <c r="BA1097" s="7"/>
    </row>
    <row r="1098" spans="31:53" x14ac:dyDescent="0.55000000000000004">
      <c r="AE1098" s="7"/>
      <c r="AT1098" s="7"/>
      <c r="AU1098">
        <f ca="1"/>
      </c>
      <c r="AV1098">
        <f ca="1"/>
      </c>
      <c r="AX1098">
        <f ca="1"/>
      </c>
      <c r="AY1098">
        <f ca="1"/>
      </c>
      <c r="BA1098" s="7"/>
    </row>
    <row r="1099" spans="31:53" x14ac:dyDescent="0.55000000000000004">
      <c r="AE1099" s="7"/>
      <c r="AT1099" s="7"/>
      <c r="AU1099">
        <f ca="1"/>
      </c>
      <c r="AV1099">
        <f ca="1"/>
      </c>
      <c r="AX1099">
        <f ca="1"/>
      </c>
      <c r="AY1099">
        <f ca="1"/>
      </c>
      <c r="BA1099" s="7"/>
    </row>
    <row r="1100" spans="31:53" x14ac:dyDescent="0.55000000000000004">
      <c r="AE1100" s="7"/>
      <c r="AT1100" s="7"/>
      <c r="AU1100">
        <f ca="1"/>
      </c>
      <c r="AV1100">
        <f ca="1"/>
      </c>
      <c r="AX1100">
        <f ca="1"/>
      </c>
      <c r="AY1100">
        <f ca="1"/>
      </c>
      <c r="BA1100" s="7"/>
    </row>
    <row r="1101" spans="31:53" x14ac:dyDescent="0.55000000000000004">
      <c r="AE1101" s="7"/>
      <c r="AT1101" s="7"/>
      <c r="AU1101">
        <f ca="1"/>
      </c>
      <c r="AV1101">
        <f ca="1"/>
      </c>
      <c r="AX1101">
        <f ca="1"/>
      </c>
      <c r="AY1101">
        <f ca="1"/>
      </c>
      <c r="BA1101" s="7"/>
    </row>
    <row r="1102" spans="31:53" x14ac:dyDescent="0.55000000000000004">
      <c r="AE1102" s="7"/>
      <c r="AT1102" s="7"/>
      <c r="AU1102">
        <f ca="1"/>
      </c>
      <c r="AV1102">
        <f ca="1"/>
      </c>
      <c r="AX1102">
        <f ca="1"/>
      </c>
      <c r="AY1102">
        <f ca="1"/>
      </c>
      <c r="BA1102" s="7"/>
    </row>
    <row r="1103" spans="31:53" x14ac:dyDescent="0.55000000000000004">
      <c r="AE1103" s="7"/>
      <c r="AT1103" s="7"/>
      <c r="AU1103">
        <f ca="1"/>
      </c>
      <c r="AV1103">
        <f ca="1"/>
      </c>
      <c r="AX1103">
        <f ca="1"/>
      </c>
      <c r="AY1103">
        <f ca="1"/>
      </c>
      <c r="BA1103" s="7"/>
    </row>
    <row r="1104" spans="31:53" x14ac:dyDescent="0.55000000000000004">
      <c r="AE1104" s="7"/>
      <c r="AT1104" s="7"/>
      <c r="AU1104">
        <f ca="1"/>
      </c>
      <c r="AV1104">
        <f ca="1"/>
      </c>
      <c r="AX1104">
        <f ca="1"/>
      </c>
      <c r="AY1104">
        <f ca="1"/>
      </c>
      <c r="BA1104" s="7"/>
    </row>
    <row r="1105" spans="31:53" x14ac:dyDescent="0.55000000000000004">
      <c r="AE1105" s="7"/>
      <c r="AT1105" s="7"/>
      <c r="AU1105">
        <f ca="1"/>
      </c>
      <c r="AV1105">
        <f ca="1"/>
      </c>
      <c r="AX1105">
        <f ca="1"/>
      </c>
      <c r="AY1105">
        <f ca="1"/>
      </c>
      <c r="BA1105" s="7"/>
    </row>
    <row r="1106" spans="31:53" x14ac:dyDescent="0.55000000000000004">
      <c r="AE1106" s="7"/>
      <c r="AT1106" s="7"/>
      <c r="AU1106">
        <f ca="1"/>
      </c>
      <c r="AV1106">
        <f ca="1"/>
      </c>
      <c r="AX1106">
        <f ca="1"/>
      </c>
      <c r="AY1106">
        <f ca="1"/>
      </c>
      <c r="BA1106" s="7"/>
    </row>
    <row r="1107" spans="31:53" x14ac:dyDescent="0.55000000000000004">
      <c r="AE1107" s="7"/>
      <c r="AT1107" s="7"/>
      <c r="AU1107">
        <f ca="1"/>
      </c>
      <c r="AV1107">
        <f ca="1"/>
      </c>
      <c r="AX1107">
        <f ca="1"/>
      </c>
      <c r="AY1107">
        <f ca="1"/>
      </c>
      <c r="BA1107" s="7"/>
    </row>
    <row r="1108" spans="31:53" x14ac:dyDescent="0.55000000000000004">
      <c r="AE1108" s="7"/>
      <c r="AT1108" s="7"/>
      <c r="AU1108">
        <f ca="1"/>
      </c>
      <c r="AV1108">
        <f ca="1"/>
      </c>
      <c r="AX1108">
        <f ca="1"/>
      </c>
      <c r="AY1108">
        <f ca="1"/>
      </c>
      <c r="BA1108" s="7"/>
    </row>
    <row r="1109" spans="31:53" x14ac:dyDescent="0.55000000000000004">
      <c r="AE1109" s="7"/>
      <c r="AT1109" s="7"/>
      <c r="AU1109">
        <f ca="1"/>
      </c>
      <c r="AV1109">
        <f ca="1"/>
      </c>
      <c r="AX1109">
        <f ca="1"/>
      </c>
      <c r="AY1109">
        <f ca="1"/>
      </c>
      <c r="BA1109" s="7"/>
    </row>
    <row r="1110" spans="31:53" x14ac:dyDescent="0.55000000000000004">
      <c r="AE1110" s="7"/>
      <c r="AT1110" s="7"/>
      <c r="AU1110">
        <f ca="1"/>
      </c>
      <c r="AV1110">
        <f ca="1"/>
      </c>
      <c r="AX1110">
        <f ca="1"/>
      </c>
      <c r="AY1110">
        <f ca="1"/>
      </c>
      <c r="BA1110" s="7"/>
    </row>
    <row r="1111" spans="31:53" x14ac:dyDescent="0.55000000000000004">
      <c r="AE1111" s="7"/>
      <c r="AT1111" s="7"/>
      <c r="AU1111">
        <f ca="1"/>
      </c>
      <c r="AV1111">
        <f ca="1"/>
      </c>
      <c r="AX1111">
        <f ca="1"/>
      </c>
      <c r="AY1111">
        <f ca="1"/>
      </c>
      <c r="BA1111" s="7"/>
    </row>
    <row r="1112" spans="31:53" x14ac:dyDescent="0.55000000000000004">
      <c r="AE1112" s="7"/>
      <c r="AT1112" s="7"/>
      <c r="AU1112">
        <f ca="1"/>
      </c>
      <c r="AV1112">
        <f ca="1"/>
      </c>
      <c r="AX1112">
        <f ca="1"/>
      </c>
      <c r="AY1112">
        <f ca="1"/>
      </c>
      <c r="BA1112" s="7"/>
    </row>
    <row r="1113" spans="31:53" x14ac:dyDescent="0.55000000000000004">
      <c r="AE1113" s="7"/>
      <c r="AT1113" s="7"/>
      <c r="AU1113">
        <f ca="1"/>
      </c>
      <c r="AV1113">
        <f ca="1"/>
      </c>
      <c r="AX1113">
        <f ca="1"/>
      </c>
      <c r="AY1113">
        <f ca="1"/>
      </c>
      <c r="BA1113" s="7"/>
    </row>
    <row r="1114" spans="31:53" x14ac:dyDescent="0.55000000000000004">
      <c r="AE1114" s="7"/>
      <c r="AT1114" s="7"/>
      <c r="AU1114">
        <f ca="1"/>
      </c>
      <c r="AV1114">
        <f ca="1"/>
      </c>
      <c r="AX1114">
        <f ca="1"/>
      </c>
      <c r="AY1114">
        <f ca="1"/>
      </c>
      <c r="BA1114" s="7"/>
    </row>
    <row r="1115" spans="31:53" x14ac:dyDescent="0.55000000000000004">
      <c r="AE1115" s="7"/>
      <c r="AT1115" s="7"/>
      <c r="AU1115">
        <f ca="1"/>
      </c>
      <c r="AV1115">
        <f ca="1"/>
      </c>
      <c r="AX1115">
        <f ca="1"/>
      </c>
      <c r="AY1115">
        <f ca="1"/>
      </c>
      <c r="BA1115" s="7"/>
    </row>
    <row r="1116" spans="31:53" x14ac:dyDescent="0.55000000000000004">
      <c r="AE1116" s="7"/>
      <c r="AT1116" s="7"/>
      <c r="AU1116">
        <f ca="1"/>
      </c>
      <c r="AV1116">
        <f ca="1"/>
      </c>
      <c r="AX1116">
        <f ca="1"/>
      </c>
      <c r="AY1116">
        <f ca="1"/>
      </c>
      <c r="BA1116" s="7"/>
    </row>
    <row r="1117" spans="31:53" x14ac:dyDescent="0.55000000000000004">
      <c r="AE1117" s="7"/>
      <c r="AT1117" s="7"/>
      <c r="AU1117">
        <f ca="1"/>
      </c>
      <c r="AV1117">
        <f ca="1"/>
      </c>
      <c r="AX1117">
        <f ca="1"/>
      </c>
      <c r="AY1117">
        <f ca="1"/>
      </c>
      <c r="BA1117" s="7"/>
    </row>
    <row r="1118" spans="31:53" x14ac:dyDescent="0.55000000000000004">
      <c r="AE1118" s="7"/>
      <c r="AT1118" s="7"/>
      <c r="AU1118">
        <f ca="1"/>
      </c>
      <c r="AV1118">
        <f ca="1"/>
      </c>
      <c r="AX1118">
        <f ca="1"/>
      </c>
      <c r="AY1118">
        <f ca="1"/>
      </c>
      <c r="BA1118" s="7"/>
    </row>
    <row r="1119" spans="31:53" x14ac:dyDescent="0.55000000000000004">
      <c r="AE1119" s="7"/>
      <c r="AT1119" s="7"/>
      <c r="AU1119">
        <f ca="1"/>
      </c>
      <c r="AV1119">
        <f ca="1"/>
      </c>
      <c r="AX1119">
        <f ca="1"/>
      </c>
      <c r="AY1119">
        <f ca="1"/>
      </c>
      <c r="BA1119" s="7"/>
    </row>
    <row r="1120" spans="31:53" x14ac:dyDescent="0.55000000000000004">
      <c r="AE1120" s="7"/>
      <c r="AT1120" s="7"/>
      <c r="AU1120">
        <f ca="1"/>
      </c>
      <c r="AV1120">
        <f ca="1"/>
      </c>
      <c r="AX1120">
        <f ca="1"/>
      </c>
      <c r="AY1120">
        <f ca="1"/>
      </c>
      <c r="BA1120" s="7"/>
    </row>
    <row r="1121" spans="31:53" x14ac:dyDescent="0.55000000000000004">
      <c r="AE1121" s="7"/>
      <c r="AT1121" s="7"/>
      <c r="AU1121">
        <f ca="1"/>
      </c>
      <c r="AV1121">
        <f ca="1"/>
      </c>
      <c r="AX1121">
        <f ca="1"/>
      </c>
      <c r="AY1121">
        <f ca="1"/>
      </c>
      <c r="BA1121" s="7"/>
    </row>
    <row r="1122" spans="31:53" x14ac:dyDescent="0.55000000000000004">
      <c r="AE1122" s="7"/>
      <c r="AT1122" s="7"/>
      <c r="AU1122">
        <f ca="1"/>
      </c>
      <c r="AV1122">
        <f ca="1"/>
      </c>
      <c r="AX1122">
        <f ca="1"/>
      </c>
      <c r="AY1122">
        <f ca="1"/>
      </c>
      <c r="BA1122" s="7"/>
    </row>
    <row r="1123" spans="31:53" x14ac:dyDescent="0.55000000000000004">
      <c r="AE1123" s="7"/>
      <c r="AT1123" s="7"/>
      <c r="AU1123">
        <f ca="1"/>
      </c>
      <c r="AV1123">
        <f ca="1"/>
      </c>
      <c r="AX1123">
        <f ca="1"/>
      </c>
      <c r="AY1123">
        <f ca="1"/>
      </c>
      <c r="BA1123" s="7"/>
    </row>
    <row r="1124" spans="31:53" x14ac:dyDescent="0.55000000000000004">
      <c r="AE1124" s="7"/>
      <c r="AT1124" s="7"/>
      <c r="AU1124">
        <f ca="1"/>
      </c>
      <c r="AV1124">
        <f ca="1"/>
      </c>
      <c r="AX1124">
        <f ca="1"/>
      </c>
      <c r="AY1124">
        <f ca="1"/>
      </c>
      <c r="BA1124" s="7"/>
    </row>
    <row r="1125" spans="31:53" x14ac:dyDescent="0.55000000000000004">
      <c r="AE1125" s="7"/>
      <c r="AT1125" s="7"/>
      <c r="AU1125">
        <f ca="1"/>
      </c>
      <c r="AV1125">
        <f ca="1"/>
      </c>
      <c r="AX1125">
        <f ca="1"/>
      </c>
      <c r="AY1125">
        <f ca="1"/>
      </c>
      <c r="BA1125" s="7"/>
    </row>
    <row r="1126" spans="31:53" x14ac:dyDescent="0.55000000000000004">
      <c r="AE1126" s="7"/>
      <c r="AT1126" s="7"/>
      <c r="AU1126">
        <f ca="1"/>
      </c>
      <c r="AV1126">
        <f ca="1"/>
      </c>
      <c r="AX1126">
        <f ca="1"/>
      </c>
      <c r="AY1126">
        <f ca="1"/>
      </c>
      <c r="BA1126" s="7"/>
    </row>
    <row r="1127" spans="31:53" x14ac:dyDescent="0.55000000000000004">
      <c r="AE1127" s="7"/>
      <c r="AT1127" s="7"/>
      <c r="AU1127">
        <f ca="1"/>
      </c>
      <c r="AV1127">
        <f ca="1"/>
      </c>
      <c r="AX1127">
        <f ca="1"/>
      </c>
      <c r="AY1127">
        <f ca="1"/>
      </c>
      <c r="BA1127" s="7"/>
    </row>
    <row r="1128" spans="31:53" x14ac:dyDescent="0.55000000000000004">
      <c r="AE1128" s="7"/>
      <c r="AT1128" s="7"/>
      <c r="AU1128">
        <f ca="1"/>
      </c>
      <c r="AV1128">
        <f ca="1"/>
      </c>
      <c r="AX1128">
        <f ca="1"/>
      </c>
      <c r="AY1128">
        <f ca="1"/>
      </c>
      <c r="BA1128" s="7"/>
    </row>
    <row r="1129" spans="31:53" x14ac:dyDescent="0.55000000000000004">
      <c r="AE1129" s="7"/>
      <c r="AT1129" s="7"/>
      <c r="AU1129">
        <f ca="1"/>
      </c>
      <c r="AV1129">
        <f ca="1"/>
      </c>
      <c r="AX1129">
        <f ca="1"/>
      </c>
      <c r="AY1129">
        <f ca="1"/>
      </c>
      <c r="BA1129" s="7"/>
    </row>
    <row r="1130" spans="31:53" x14ac:dyDescent="0.55000000000000004">
      <c r="AE1130" s="7"/>
      <c r="AT1130" s="7"/>
      <c r="AU1130">
        <f ca="1"/>
      </c>
      <c r="AV1130">
        <f ca="1"/>
      </c>
      <c r="AX1130">
        <f ca="1"/>
      </c>
      <c r="AY1130">
        <f ca="1"/>
      </c>
      <c r="BA1130" s="7"/>
    </row>
    <row r="1131" spans="31:53" x14ac:dyDescent="0.55000000000000004">
      <c r="AE1131" s="7"/>
      <c r="AT1131" s="7"/>
      <c r="AU1131">
        <f ca="1"/>
      </c>
      <c r="AV1131">
        <f ca="1"/>
      </c>
      <c r="AX1131">
        <f ca="1"/>
      </c>
      <c r="AY1131">
        <f ca="1"/>
      </c>
      <c r="BA1131" s="7"/>
    </row>
    <row r="1132" spans="31:53" x14ac:dyDescent="0.55000000000000004">
      <c r="AE1132" s="7"/>
      <c r="AT1132" s="7"/>
      <c r="AU1132">
        <f ca="1"/>
      </c>
      <c r="AV1132">
        <f ca="1"/>
      </c>
      <c r="AX1132">
        <f ca="1"/>
      </c>
      <c r="AY1132">
        <f ca="1"/>
      </c>
      <c r="BA1132" s="7"/>
    </row>
    <row r="1133" spans="31:53" x14ac:dyDescent="0.55000000000000004">
      <c r="AE1133" s="7"/>
      <c r="AT1133" s="7"/>
      <c r="AU1133">
        <f ca="1"/>
      </c>
      <c r="AV1133">
        <f ca="1"/>
      </c>
      <c r="AX1133">
        <f ca="1"/>
      </c>
      <c r="AY1133">
        <f ca="1"/>
      </c>
      <c r="BA1133" s="7"/>
    </row>
    <row r="1134" spans="31:53" x14ac:dyDescent="0.55000000000000004">
      <c r="AE1134" s="7"/>
      <c r="AT1134" s="7"/>
      <c r="AU1134">
        <f ca="1"/>
      </c>
      <c r="AV1134">
        <f ca="1"/>
      </c>
      <c r="AX1134">
        <f ca="1"/>
      </c>
      <c r="AY1134">
        <f ca="1"/>
      </c>
      <c r="BA1134" s="7"/>
    </row>
    <row r="1135" spans="31:53" x14ac:dyDescent="0.55000000000000004">
      <c r="AE1135" s="7"/>
      <c r="AT1135" s="7"/>
      <c r="AU1135">
        <f ca="1"/>
      </c>
      <c r="AV1135">
        <f ca="1"/>
      </c>
      <c r="AX1135">
        <f ca="1"/>
      </c>
      <c r="AY1135">
        <f ca="1"/>
      </c>
      <c r="BA1135" s="7"/>
    </row>
    <row r="1136" spans="31:53" x14ac:dyDescent="0.55000000000000004">
      <c r="AE1136" s="7"/>
      <c r="AT1136" s="7"/>
      <c r="AU1136">
        <f ca="1"/>
      </c>
      <c r="AV1136">
        <f ca="1"/>
      </c>
      <c r="AX1136">
        <f ca="1"/>
      </c>
      <c r="AY1136">
        <f ca="1"/>
      </c>
      <c r="BA1136" s="7"/>
    </row>
    <row r="1137" spans="31:53" x14ac:dyDescent="0.55000000000000004">
      <c r="AE1137" s="7"/>
      <c r="AT1137" s="7"/>
      <c r="AU1137">
        <f ca="1"/>
      </c>
      <c r="AV1137">
        <f ca="1"/>
      </c>
      <c r="AX1137">
        <f ca="1"/>
      </c>
      <c r="AY1137">
        <f ca="1"/>
      </c>
      <c r="BA1137" s="7"/>
    </row>
    <row r="1138" spans="31:53" x14ac:dyDescent="0.55000000000000004">
      <c r="AE1138" s="7"/>
      <c r="AT1138" s="7"/>
      <c r="AU1138">
        <f ca="1"/>
      </c>
      <c r="AV1138">
        <f ca="1"/>
      </c>
      <c r="AX1138">
        <f ca="1"/>
      </c>
      <c r="AY1138">
        <f ca="1"/>
      </c>
      <c r="BA1138" s="7"/>
    </row>
    <row r="1139" spans="31:53" x14ac:dyDescent="0.55000000000000004">
      <c r="AE1139" s="7"/>
      <c r="AT1139" s="7"/>
      <c r="AU1139">
        <f ca="1"/>
      </c>
      <c r="AV1139">
        <f ca="1"/>
      </c>
      <c r="AX1139">
        <f ca="1"/>
      </c>
      <c r="AY1139">
        <f ca="1"/>
      </c>
      <c r="BA1139" s="7"/>
    </row>
    <row r="1140" spans="31:53" x14ac:dyDescent="0.55000000000000004">
      <c r="AE1140" s="7"/>
      <c r="AT1140" s="7"/>
      <c r="AU1140">
        <f ca="1"/>
      </c>
      <c r="AV1140">
        <f ca="1"/>
      </c>
      <c r="AX1140">
        <f ca="1"/>
      </c>
      <c r="AY1140">
        <f ca="1"/>
      </c>
      <c r="BA1140" s="7"/>
    </row>
    <row r="1141" spans="31:53" x14ac:dyDescent="0.55000000000000004">
      <c r="AE1141" s="7"/>
      <c r="AT1141" s="7"/>
      <c r="AU1141">
        <f ca="1"/>
      </c>
      <c r="AV1141">
        <f ca="1"/>
      </c>
      <c r="AX1141">
        <f ca="1"/>
      </c>
      <c r="AY1141">
        <f ca="1"/>
      </c>
      <c r="BA1141" s="7"/>
    </row>
    <row r="1142" spans="31:53" x14ac:dyDescent="0.55000000000000004">
      <c r="AE1142" s="7"/>
      <c r="AT1142" s="7"/>
      <c r="AU1142">
        <f ca="1"/>
      </c>
      <c r="AV1142">
        <f ca="1"/>
      </c>
      <c r="AX1142">
        <f ca="1"/>
      </c>
      <c r="AY1142">
        <f ca="1"/>
      </c>
      <c r="BA1142" s="7"/>
    </row>
    <row r="1143" spans="31:53" x14ac:dyDescent="0.55000000000000004">
      <c r="AE1143" s="7"/>
      <c r="AT1143" s="7"/>
      <c r="AU1143">
        <f ca="1"/>
      </c>
      <c r="AV1143">
        <f ca="1"/>
      </c>
      <c r="AX1143">
        <f ca="1"/>
      </c>
      <c r="AY1143">
        <f ca="1"/>
      </c>
      <c r="BA1143" s="7"/>
    </row>
    <row r="1144" spans="31:53" x14ac:dyDescent="0.55000000000000004">
      <c r="AE1144" s="7"/>
      <c r="AT1144" s="7"/>
      <c r="AU1144">
        <f ca="1"/>
      </c>
      <c r="AV1144">
        <f ca="1"/>
      </c>
      <c r="AX1144">
        <f ca="1"/>
      </c>
      <c r="AY1144">
        <f ca="1"/>
      </c>
      <c r="BA1144" s="7"/>
    </row>
    <row r="1145" spans="31:53" x14ac:dyDescent="0.55000000000000004">
      <c r="AE1145" s="7"/>
      <c r="AT1145" s="7"/>
      <c r="AU1145">
        <f ca="1"/>
      </c>
      <c r="AV1145">
        <f ca="1"/>
      </c>
      <c r="AX1145">
        <f ca="1"/>
      </c>
      <c r="AY1145">
        <f ca="1"/>
      </c>
      <c r="BA1145" s="7"/>
    </row>
    <row r="1146" spans="31:53" x14ac:dyDescent="0.55000000000000004">
      <c r="AE1146" s="7"/>
      <c r="AT1146" s="7"/>
      <c r="AU1146">
        <f ca="1"/>
      </c>
      <c r="AV1146">
        <f ca="1"/>
      </c>
      <c r="AX1146">
        <f ca="1"/>
      </c>
      <c r="AY1146">
        <f ca="1"/>
      </c>
      <c r="BA1146" s="7"/>
    </row>
    <row r="1147" spans="31:53" x14ac:dyDescent="0.55000000000000004">
      <c r="AE1147" s="7"/>
      <c r="AT1147" s="7"/>
      <c r="AU1147">
        <f ca="1"/>
      </c>
      <c r="AV1147">
        <f ca="1"/>
      </c>
      <c r="AX1147">
        <f ca="1"/>
      </c>
      <c r="AY1147">
        <f ca="1"/>
      </c>
      <c r="BA1147" s="7"/>
    </row>
    <row r="1148" spans="31:53" x14ac:dyDescent="0.55000000000000004">
      <c r="AE1148" s="7"/>
      <c r="AT1148" s="7"/>
      <c r="AU1148">
        <f ca="1"/>
      </c>
      <c r="AV1148">
        <f ca="1"/>
      </c>
      <c r="AX1148">
        <f ca="1"/>
      </c>
      <c r="AY1148">
        <f ca="1"/>
      </c>
      <c r="BA1148" s="7"/>
    </row>
    <row r="1149" spans="31:53" x14ac:dyDescent="0.55000000000000004">
      <c r="AE1149" s="7"/>
      <c r="AT1149" s="7"/>
      <c r="AU1149">
        <f ca="1"/>
      </c>
      <c r="AV1149">
        <f ca="1"/>
      </c>
      <c r="AX1149">
        <f ca="1"/>
      </c>
      <c r="AY1149">
        <f ca="1"/>
      </c>
      <c r="BA1149" s="7"/>
    </row>
    <row r="1150" spans="31:53" x14ac:dyDescent="0.55000000000000004">
      <c r="AE1150" s="7"/>
      <c r="AT1150" s="7"/>
      <c r="AU1150">
        <f ca="1"/>
      </c>
      <c r="AV1150">
        <f ca="1"/>
      </c>
      <c r="AX1150">
        <f ca="1"/>
      </c>
      <c r="AY1150">
        <f ca="1"/>
      </c>
      <c r="BA1150" s="7"/>
    </row>
    <row r="1151" spans="31:53" x14ac:dyDescent="0.55000000000000004">
      <c r="AE1151" s="7"/>
      <c r="AT1151" s="7"/>
      <c r="AU1151">
        <f ca="1"/>
      </c>
      <c r="AV1151">
        <f ca="1"/>
      </c>
      <c r="AX1151">
        <f ca="1"/>
      </c>
      <c r="AY1151">
        <f ca="1"/>
      </c>
      <c r="BA1151" s="7"/>
    </row>
    <row r="1152" spans="31:53" x14ac:dyDescent="0.55000000000000004">
      <c r="AE1152" s="7"/>
      <c r="AT1152" s="7"/>
      <c r="AU1152">
        <f ca="1"/>
      </c>
      <c r="AV1152">
        <f ca="1"/>
      </c>
      <c r="AX1152">
        <f ca="1"/>
      </c>
      <c r="AY1152">
        <f ca="1"/>
      </c>
      <c r="BA1152" s="7"/>
    </row>
    <row r="1153" spans="31:53" x14ac:dyDescent="0.55000000000000004">
      <c r="AE1153" s="7"/>
      <c r="AT1153" s="7"/>
      <c r="AU1153">
        <f ca="1"/>
      </c>
      <c r="AV1153">
        <f ca="1"/>
      </c>
      <c r="AX1153">
        <f ca="1"/>
      </c>
      <c r="AY1153">
        <f ca="1"/>
      </c>
      <c r="BA1153" s="7"/>
    </row>
    <row r="1154" spans="31:53" x14ac:dyDescent="0.55000000000000004">
      <c r="AE1154" s="7"/>
      <c r="AT1154" s="7"/>
      <c r="AU1154">
        <f ca="1"/>
      </c>
      <c r="AV1154">
        <f ca="1"/>
      </c>
      <c r="AX1154">
        <f ca="1"/>
      </c>
      <c r="AY1154">
        <f ca="1"/>
      </c>
      <c r="BA1154" s="7"/>
    </row>
    <row r="1155" spans="31:53" x14ac:dyDescent="0.55000000000000004">
      <c r="AE1155" s="7"/>
      <c r="AT1155" s="7"/>
      <c r="AU1155">
        <f ca="1"/>
      </c>
      <c r="AV1155">
        <f ca="1"/>
      </c>
      <c r="AX1155">
        <f ca="1"/>
      </c>
      <c r="AY1155">
        <f ca="1"/>
      </c>
      <c r="BA1155" s="7"/>
    </row>
    <row r="1156" spans="31:53" x14ac:dyDescent="0.55000000000000004">
      <c r="AE1156" s="7"/>
      <c r="AT1156" s="7"/>
      <c r="AU1156">
        <f ca="1"/>
      </c>
      <c r="AV1156">
        <f ca="1"/>
      </c>
      <c r="AX1156">
        <f ca="1"/>
      </c>
      <c r="AY1156">
        <f ca="1"/>
      </c>
      <c r="BA1156" s="7"/>
    </row>
    <row r="1157" spans="31:53" x14ac:dyDescent="0.55000000000000004">
      <c r="AE1157" s="7"/>
      <c r="AT1157" s="7"/>
      <c r="AU1157">
        <f ca="1"/>
      </c>
      <c r="AV1157">
        <f ca="1"/>
      </c>
      <c r="AX1157">
        <f ca="1"/>
      </c>
      <c r="AY1157">
        <f ca="1"/>
      </c>
      <c r="BA1157" s="7"/>
    </row>
    <row r="1158" spans="31:53" x14ac:dyDescent="0.55000000000000004">
      <c r="AE1158" s="7"/>
      <c r="AT1158" s="7"/>
      <c r="AU1158">
        <f ca="1"/>
      </c>
      <c r="AV1158">
        <f ca="1"/>
      </c>
      <c r="AX1158">
        <f ca="1"/>
      </c>
      <c r="AY1158">
        <f ca="1"/>
      </c>
      <c r="BA1158" s="7"/>
    </row>
    <row r="1159" spans="31:53" x14ac:dyDescent="0.55000000000000004">
      <c r="AE1159" s="7"/>
      <c r="AT1159" s="7"/>
      <c r="AU1159">
        <f ca="1"/>
      </c>
      <c r="AV1159">
        <f ca="1"/>
      </c>
      <c r="AX1159">
        <f ca="1"/>
      </c>
      <c r="AY1159">
        <f ca="1"/>
      </c>
      <c r="BA1159" s="7"/>
    </row>
    <row r="1160" spans="31:53" x14ac:dyDescent="0.55000000000000004">
      <c r="AE1160" s="7"/>
      <c r="AT1160" s="7"/>
      <c r="AU1160">
        <f ca="1"/>
      </c>
      <c r="AV1160">
        <f ca="1"/>
      </c>
      <c r="AX1160">
        <f ca="1"/>
      </c>
      <c r="AY1160">
        <f ca="1"/>
      </c>
      <c r="BA1160" s="7"/>
    </row>
    <row r="1161" spans="31:53" x14ac:dyDescent="0.55000000000000004">
      <c r="AE1161" s="7"/>
      <c r="AT1161" s="7"/>
      <c r="AU1161">
        <f ca="1"/>
      </c>
      <c r="AV1161">
        <f ca="1"/>
      </c>
      <c r="AX1161">
        <f ca="1"/>
      </c>
      <c r="AY1161">
        <f ca="1"/>
      </c>
      <c r="BA1161" s="7"/>
    </row>
    <row r="1162" spans="31:53" x14ac:dyDescent="0.55000000000000004">
      <c r="AE1162" s="7"/>
      <c r="AT1162" s="7"/>
      <c r="AU1162">
        <f ca="1"/>
      </c>
      <c r="AV1162">
        <f ca="1"/>
      </c>
      <c r="AX1162">
        <f ca="1"/>
      </c>
      <c r="AY1162">
        <f ca="1"/>
      </c>
      <c r="BA1162" s="7"/>
    </row>
    <row r="1163" spans="31:53" x14ac:dyDescent="0.55000000000000004">
      <c r="AE1163" s="7"/>
      <c r="AT1163" s="7"/>
      <c r="AU1163">
        <f ca="1"/>
      </c>
      <c r="AV1163">
        <f ca="1"/>
      </c>
      <c r="AX1163">
        <f ca="1"/>
      </c>
      <c r="AY1163">
        <f ca="1"/>
      </c>
      <c r="BA1163" s="7"/>
    </row>
    <row r="1164" spans="31:53" x14ac:dyDescent="0.55000000000000004">
      <c r="AE1164" s="7"/>
      <c r="AT1164" s="7"/>
      <c r="AU1164">
        <f ca="1"/>
      </c>
      <c r="AV1164">
        <f ca="1"/>
      </c>
      <c r="AX1164">
        <f ca="1"/>
      </c>
      <c r="AY1164">
        <f ca="1"/>
      </c>
      <c r="BA1164" s="7"/>
    </row>
    <row r="1165" spans="31:53" x14ac:dyDescent="0.55000000000000004">
      <c r="AE1165" s="7"/>
      <c r="AT1165" s="7"/>
      <c r="AU1165">
        <f ca="1"/>
      </c>
      <c r="AV1165">
        <f ca="1"/>
      </c>
      <c r="AX1165">
        <f ca="1"/>
      </c>
      <c r="AY1165">
        <f ca="1"/>
      </c>
      <c r="BA1165" s="7"/>
    </row>
    <row r="1166" spans="31:53" x14ac:dyDescent="0.55000000000000004">
      <c r="AE1166" s="7"/>
      <c r="AT1166" s="7"/>
      <c r="AU1166">
        <f ca="1"/>
      </c>
      <c r="AV1166">
        <f ca="1"/>
      </c>
      <c r="AX1166">
        <f ca="1"/>
      </c>
      <c r="AY1166">
        <f ca="1"/>
      </c>
      <c r="BA1166" s="7"/>
    </row>
    <row r="1167" spans="31:53" x14ac:dyDescent="0.55000000000000004">
      <c r="AE1167" s="7"/>
      <c r="AT1167" s="7"/>
      <c r="AU1167">
        <f ca="1"/>
      </c>
      <c r="AV1167">
        <f ca="1"/>
      </c>
      <c r="AX1167">
        <f ca="1"/>
      </c>
      <c r="AY1167">
        <f ca="1"/>
      </c>
      <c r="BA1167" s="7"/>
    </row>
    <row r="1168" spans="31:53" x14ac:dyDescent="0.55000000000000004">
      <c r="AE1168" s="7"/>
      <c r="AT1168" s="7"/>
      <c r="AU1168">
        <f ca="1"/>
      </c>
      <c r="AV1168">
        <f ca="1"/>
      </c>
      <c r="AX1168">
        <f ca="1"/>
      </c>
      <c r="AY1168">
        <f ca="1"/>
      </c>
      <c r="BA1168" s="7"/>
    </row>
    <row r="1169" spans="31:53" x14ac:dyDescent="0.55000000000000004">
      <c r="AE1169" s="7"/>
      <c r="AT1169" s="7"/>
      <c r="AU1169">
        <f ca="1"/>
      </c>
      <c r="AV1169">
        <f ca="1"/>
      </c>
      <c r="AX1169">
        <f ca="1"/>
      </c>
      <c r="AY1169">
        <f ca="1"/>
      </c>
      <c r="BA1169" s="7"/>
    </row>
    <row r="1170" spans="31:53" x14ac:dyDescent="0.55000000000000004">
      <c r="AE1170" s="7"/>
      <c r="AT1170" s="7"/>
      <c r="AU1170">
        <f ca="1"/>
      </c>
      <c r="AV1170">
        <f ca="1"/>
      </c>
      <c r="AX1170">
        <f ca="1"/>
      </c>
      <c r="AY1170">
        <f ca="1"/>
      </c>
      <c r="BA1170" s="7"/>
    </row>
    <row r="1171" spans="31:53" x14ac:dyDescent="0.55000000000000004">
      <c r="AE1171" s="7"/>
      <c r="AT1171" s="7"/>
      <c r="AU1171">
        <f ca="1"/>
      </c>
      <c r="AV1171">
        <f ca="1"/>
      </c>
      <c r="AX1171">
        <f ca="1"/>
      </c>
      <c r="AY1171">
        <f ca="1"/>
      </c>
      <c r="BA1171" s="7"/>
    </row>
    <row r="1172" spans="31:53" x14ac:dyDescent="0.55000000000000004">
      <c r="AE1172" s="7"/>
      <c r="AT1172" s="7"/>
      <c r="AU1172">
        <f ca="1"/>
      </c>
      <c r="AV1172">
        <f ca="1"/>
      </c>
      <c r="AX1172">
        <f ca="1"/>
      </c>
      <c r="AY1172">
        <f ca="1"/>
      </c>
      <c r="BA1172" s="7"/>
    </row>
    <row r="1173" spans="31:53" x14ac:dyDescent="0.55000000000000004">
      <c r="AE1173" s="7"/>
      <c r="AT1173" s="7"/>
      <c r="AU1173">
        <f ca="1"/>
      </c>
      <c r="AV1173">
        <f ca="1"/>
      </c>
      <c r="AX1173">
        <f ca="1"/>
      </c>
      <c r="AY1173">
        <f ca="1"/>
      </c>
      <c r="BA1173" s="7"/>
    </row>
    <row r="1174" spans="31:53" x14ac:dyDescent="0.55000000000000004">
      <c r="AE1174" s="7"/>
      <c r="AT1174" s="7"/>
      <c r="AU1174">
        <f ca="1"/>
      </c>
      <c r="AV1174">
        <f ca="1"/>
      </c>
      <c r="AX1174">
        <f ca="1"/>
      </c>
      <c r="AY1174">
        <f ca="1"/>
      </c>
      <c r="BA1174" s="7"/>
    </row>
    <row r="1175" spans="31:53" x14ac:dyDescent="0.55000000000000004">
      <c r="AE1175" s="7"/>
      <c r="AT1175" s="7"/>
      <c r="AU1175">
        <f ca="1"/>
      </c>
      <c r="AV1175">
        <f ca="1"/>
      </c>
      <c r="AX1175">
        <f ca="1"/>
      </c>
      <c r="AY1175">
        <f ca="1"/>
      </c>
      <c r="BA1175" s="7"/>
    </row>
    <row r="1176" spans="31:53" x14ac:dyDescent="0.55000000000000004">
      <c r="AE1176" s="7"/>
      <c r="AT1176" s="7"/>
      <c r="AU1176">
        <f ca="1"/>
      </c>
      <c r="AV1176">
        <f ca="1"/>
      </c>
      <c r="AX1176">
        <f ca="1"/>
      </c>
      <c r="AY1176">
        <f ca="1"/>
      </c>
      <c r="BA1176" s="7"/>
    </row>
    <row r="1177" spans="31:53" x14ac:dyDescent="0.55000000000000004">
      <c r="AE1177" s="7"/>
      <c r="AT1177" s="7"/>
      <c r="AU1177">
        <f ca="1"/>
      </c>
      <c r="AV1177">
        <f ca="1"/>
      </c>
      <c r="AX1177">
        <f ca="1"/>
      </c>
      <c r="AY1177">
        <f ca="1"/>
      </c>
      <c r="BA1177" s="7"/>
    </row>
    <row r="1178" spans="31:53" x14ac:dyDescent="0.55000000000000004">
      <c r="AE1178" s="7"/>
      <c r="AT1178" s="7"/>
      <c r="AU1178">
        <f ca="1"/>
      </c>
      <c r="AV1178">
        <f ca="1"/>
      </c>
      <c r="AX1178">
        <f ca="1"/>
      </c>
      <c r="AY1178">
        <f ca="1"/>
      </c>
      <c r="BA1178" s="7"/>
    </row>
    <row r="1179" spans="31:53" x14ac:dyDescent="0.55000000000000004">
      <c r="AE1179" s="7"/>
      <c r="AT1179" s="7"/>
      <c r="AU1179">
        <f ca="1"/>
      </c>
      <c r="AV1179">
        <f ca="1"/>
      </c>
      <c r="AX1179">
        <f ca="1"/>
      </c>
      <c r="AY1179">
        <f ca="1"/>
      </c>
      <c r="BA1179" s="7"/>
    </row>
    <row r="1180" spans="31:53" x14ac:dyDescent="0.55000000000000004">
      <c r="AE1180" s="7"/>
      <c r="AT1180" s="7"/>
      <c r="AU1180">
        <f ca="1"/>
      </c>
      <c r="AV1180">
        <f ca="1"/>
      </c>
      <c r="AX1180">
        <f ca="1"/>
      </c>
      <c r="AY1180">
        <f ca="1"/>
      </c>
      <c r="BA1180" s="7"/>
    </row>
    <row r="1181" spans="31:53" x14ac:dyDescent="0.55000000000000004">
      <c r="AE1181" s="7"/>
      <c r="AT1181" s="7"/>
      <c r="AU1181">
        <f ca="1"/>
      </c>
      <c r="AV1181">
        <f ca="1"/>
      </c>
      <c r="AX1181">
        <f ca="1"/>
      </c>
      <c r="AY1181">
        <f ca="1"/>
      </c>
      <c r="BA1181" s="7"/>
    </row>
    <row r="1182" spans="31:53" x14ac:dyDescent="0.55000000000000004">
      <c r="AE1182" s="7"/>
      <c r="AT1182" s="7"/>
      <c r="AU1182">
        <f ca="1"/>
      </c>
      <c r="AV1182">
        <f ca="1"/>
      </c>
      <c r="AX1182">
        <f ca="1"/>
      </c>
      <c r="AY1182">
        <f ca="1"/>
      </c>
      <c r="BA1182" s="7"/>
    </row>
    <row r="1183" spans="31:53" x14ac:dyDescent="0.55000000000000004">
      <c r="AE1183" s="7"/>
      <c r="AT1183" s="7"/>
      <c r="AU1183">
        <f ca="1"/>
      </c>
      <c r="AV1183">
        <f ca="1"/>
      </c>
      <c r="AX1183">
        <f ca="1"/>
      </c>
      <c r="AY1183">
        <f ca="1"/>
      </c>
      <c r="BA1183" s="7"/>
    </row>
    <row r="1184" spans="31:53" x14ac:dyDescent="0.55000000000000004">
      <c r="AE1184" s="7"/>
      <c r="AT1184" s="7"/>
      <c r="AU1184">
        <f ca="1"/>
      </c>
      <c r="AV1184">
        <f ca="1"/>
      </c>
      <c r="AX1184">
        <f ca="1"/>
      </c>
      <c r="AY1184">
        <f ca="1"/>
      </c>
      <c r="BA1184" s="7"/>
    </row>
    <row r="1185" spans="31:53" x14ac:dyDescent="0.55000000000000004">
      <c r="AE1185" s="7"/>
      <c r="AT1185" s="7"/>
      <c r="AU1185">
        <f ca="1"/>
      </c>
      <c r="AV1185">
        <f ca="1"/>
      </c>
      <c r="AX1185">
        <f ca="1"/>
      </c>
      <c r="AY1185">
        <f ca="1"/>
      </c>
      <c r="BA1185" s="7"/>
    </row>
    <row r="1186" spans="31:53" x14ac:dyDescent="0.55000000000000004">
      <c r="AE1186" s="7"/>
      <c r="AT1186" s="7"/>
      <c r="AU1186">
        <f ca="1"/>
      </c>
      <c r="AV1186">
        <f ca="1"/>
      </c>
      <c r="AX1186">
        <f ca="1"/>
      </c>
      <c r="AY1186">
        <f ca="1"/>
      </c>
      <c r="BA1186" s="7"/>
    </row>
    <row r="1187" spans="31:53" x14ac:dyDescent="0.55000000000000004">
      <c r="AE1187" s="7"/>
      <c r="AT1187" s="7"/>
      <c r="AU1187">
        <f ca="1"/>
      </c>
      <c r="AV1187">
        <f ca="1"/>
      </c>
      <c r="AX1187">
        <f ca="1"/>
      </c>
      <c r="AY1187">
        <f ca="1"/>
      </c>
      <c r="BA1187" s="7"/>
    </row>
    <row r="1188" spans="31:53" x14ac:dyDescent="0.55000000000000004">
      <c r="AE1188" s="7"/>
      <c r="AT1188" s="7"/>
      <c r="AU1188">
        <f ca="1"/>
      </c>
      <c r="AV1188">
        <f ca="1"/>
      </c>
      <c r="AX1188">
        <f ca="1"/>
      </c>
      <c r="AY1188">
        <f ca="1"/>
      </c>
      <c r="BA1188" s="7"/>
    </row>
    <row r="1189" spans="31:53" x14ac:dyDescent="0.55000000000000004">
      <c r="AE1189" s="7"/>
      <c r="AT1189" s="7"/>
      <c r="AU1189">
        <f ca="1"/>
      </c>
      <c r="AV1189">
        <f ca="1"/>
      </c>
      <c r="AX1189">
        <f ca="1"/>
      </c>
      <c r="AY1189">
        <f ca="1"/>
      </c>
      <c r="BA1189" s="7"/>
    </row>
    <row r="1190" spans="31:53" x14ac:dyDescent="0.55000000000000004">
      <c r="AE1190" s="7"/>
      <c r="AT1190" s="7"/>
      <c r="AU1190">
        <f ca="1"/>
      </c>
      <c r="AV1190">
        <f ca="1"/>
      </c>
      <c r="AX1190">
        <f ca="1"/>
      </c>
      <c r="AY1190">
        <f ca="1"/>
      </c>
      <c r="BA1190" s="7"/>
    </row>
    <row r="1191" spans="31:53" x14ac:dyDescent="0.55000000000000004">
      <c r="AE1191" s="7"/>
      <c r="AT1191" s="7"/>
      <c r="AU1191">
        <f ca="1"/>
      </c>
      <c r="AV1191">
        <f ca="1"/>
      </c>
      <c r="AX1191">
        <f ca="1"/>
      </c>
      <c r="AY1191">
        <f ca="1"/>
      </c>
      <c r="BA1191" s="7"/>
    </row>
    <row r="1192" spans="31:53" x14ac:dyDescent="0.55000000000000004">
      <c r="AE1192" s="7"/>
      <c r="AT1192" s="7"/>
      <c r="AU1192">
        <f ca="1"/>
      </c>
      <c r="AV1192">
        <f ca="1"/>
      </c>
      <c r="AX1192">
        <f ca="1"/>
      </c>
      <c r="AY1192">
        <f ca="1"/>
      </c>
      <c r="BA1192" s="7"/>
    </row>
    <row r="1193" spans="31:53" x14ac:dyDescent="0.55000000000000004">
      <c r="AE1193" s="7"/>
      <c r="AT1193" s="7"/>
      <c r="AU1193">
        <f ca="1"/>
      </c>
      <c r="AV1193">
        <f ca="1"/>
      </c>
      <c r="AX1193">
        <f ca="1"/>
      </c>
      <c r="AY1193">
        <f ca="1"/>
      </c>
      <c r="BA1193" s="7"/>
    </row>
    <row r="1194" spans="31:53" x14ac:dyDescent="0.55000000000000004">
      <c r="AE1194" s="7"/>
      <c r="AT1194" s="7"/>
      <c r="AU1194">
        <f ca="1"/>
      </c>
      <c r="AV1194">
        <f ca="1"/>
      </c>
      <c r="AX1194">
        <f ca="1"/>
      </c>
      <c r="AY1194">
        <f ca="1"/>
      </c>
      <c r="BA1194" s="7"/>
    </row>
    <row r="1195" spans="31:53" x14ac:dyDescent="0.55000000000000004">
      <c r="AE1195" s="7"/>
      <c r="AT1195" s="7"/>
      <c r="AU1195">
        <f ca="1"/>
      </c>
      <c r="AV1195">
        <f ca="1"/>
      </c>
      <c r="AX1195">
        <f ca="1"/>
      </c>
      <c r="AY1195">
        <f ca="1"/>
      </c>
      <c r="BA1195" s="7"/>
    </row>
    <row r="1196" spans="31:53" x14ac:dyDescent="0.55000000000000004">
      <c r="AE1196" s="7"/>
      <c r="AT1196" s="7"/>
      <c r="AU1196">
        <f ca="1"/>
      </c>
      <c r="AV1196">
        <f ca="1"/>
      </c>
      <c r="AX1196">
        <f ca="1"/>
      </c>
      <c r="AY1196">
        <f ca="1"/>
      </c>
      <c r="BA1196" s="7"/>
    </row>
    <row r="1197" spans="31:53" x14ac:dyDescent="0.55000000000000004">
      <c r="AE1197" s="7"/>
      <c r="AT1197" s="7"/>
      <c r="AU1197">
        <f ca="1"/>
      </c>
      <c r="AV1197">
        <f ca="1"/>
      </c>
      <c r="AX1197">
        <f ca="1"/>
      </c>
      <c r="AY1197">
        <f ca="1"/>
      </c>
      <c r="BA1197" s="7"/>
    </row>
    <row r="1198" spans="31:53" x14ac:dyDescent="0.55000000000000004">
      <c r="AE1198" s="7"/>
      <c r="AT1198" s="7"/>
      <c r="AU1198">
        <f ca="1"/>
      </c>
      <c r="AV1198">
        <f ca="1"/>
      </c>
      <c r="AX1198">
        <f ca="1"/>
      </c>
      <c r="AY1198">
        <f ca="1"/>
      </c>
      <c r="BA1198" s="7"/>
    </row>
    <row r="1199" spans="31:53" x14ac:dyDescent="0.55000000000000004">
      <c r="AE1199" s="7"/>
      <c r="AT1199" s="7"/>
      <c r="AU1199">
        <f ca="1"/>
      </c>
      <c r="AV1199">
        <f ca="1"/>
      </c>
      <c r="AX1199">
        <f ca="1"/>
      </c>
      <c r="AY1199">
        <f ca="1"/>
      </c>
      <c r="BA1199" s="7"/>
    </row>
    <row r="1200" spans="31:53" x14ac:dyDescent="0.55000000000000004">
      <c r="AE1200" s="7"/>
      <c r="AT1200" s="7"/>
      <c r="AU1200">
        <f ca="1"/>
      </c>
      <c r="AV1200">
        <f ca="1"/>
      </c>
      <c r="AX1200">
        <f ca="1"/>
      </c>
      <c r="AY1200">
        <f ca="1"/>
      </c>
      <c r="BA1200" s="7"/>
    </row>
    <row r="1201" spans="31:53" x14ac:dyDescent="0.55000000000000004">
      <c r="AE1201" s="7"/>
      <c r="AT1201" s="7"/>
      <c r="AU1201">
        <f ca="1"/>
      </c>
      <c r="AV1201">
        <f ca="1"/>
      </c>
      <c r="AX1201">
        <f ca="1"/>
      </c>
      <c r="AY1201">
        <f ca="1"/>
      </c>
      <c r="BA1201" s="7"/>
    </row>
    <row r="1202" spans="31:53" x14ac:dyDescent="0.55000000000000004">
      <c r="AE1202" s="7"/>
      <c r="AT1202" s="7"/>
      <c r="AU1202">
        <f ca="1"/>
      </c>
      <c r="AV1202">
        <f ca="1"/>
      </c>
      <c r="AX1202">
        <f ca="1"/>
      </c>
      <c r="AY1202">
        <f ca="1"/>
      </c>
      <c r="BA1202" s="7"/>
    </row>
    <row r="1203" spans="31:53" x14ac:dyDescent="0.55000000000000004">
      <c r="AE1203" s="7"/>
      <c r="AT1203" s="7"/>
      <c r="AU1203">
        <f ca="1"/>
      </c>
      <c r="AV1203">
        <f ca="1"/>
      </c>
      <c r="AX1203">
        <f ca="1"/>
      </c>
      <c r="AY1203">
        <f ca="1"/>
      </c>
      <c r="BA1203" s="7"/>
    </row>
    <row r="1204" spans="31:53" x14ac:dyDescent="0.55000000000000004">
      <c r="AE1204" s="7"/>
      <c r="AT1204" s="7"/>
      <c r="AU1204">
        <f ca="1"/>
      </c>
      <c r="AV1204">
        <f ca="1"/>
      </c>
      <c r="AX1204">
        <f ca="1"/>
      </c>
      <c r="AY1204">
        <f ca="1"/>
      </c>
      <c r="BA1204" s="7"/>
    </row>
    <row r="1205" spans="31:53" x14ac:dyDescent="0.55000000000000004">
      <c r="AE1205" s="7"/>
      <c r="AT1205" s="7"/>
      <c r="AU1205">
        <f ca="1"/>
      </c>
      <c r="AV1205">
        <f ca="1"/>
      </c>
      <c r="AX1205">
        <f ca="1"/>
      </c>
      <c r="AY1205">
        <f ca="1"/>
      </c>
      <c r="BA1205" s="7"/>
    </row>
    <row r="1206" spans="31:53" x14ac:dyDescent="0.55000000000000004">
      <c r="AE1206" s="7"/>
      <c r="AT1206" s="7"/>
      <c r="AU1206">
        <f ca="1"/>
      </c>
      <c r="AV1206">
        <f ca="1"/>
      </c>
      <c r="AX1206">
        <f ca="1"/>
      </c>
      <c r="AY1206">
        <f ca="1"/>
      </c>
      <c r="BA1206" s="7"/>
    </row>
    <row r="1207" spans="31:53" x14ac:dyDescent="0.55000000000000004">
      <c r="AE1207" s="7"/>
      <c r="AT1207" s="7"/>
      <c r="AU1207">
        <f ca="1"/>
      </c>
      <c r="AV1207">
        <f ca="1"/>
      </c>
      <c r="AX1207">
        <f ca="1"/>
      </c>
      <c r="AY1207">
        <f ca="1"/>
      </c>
      <c r="BA1207" s="7"/>
    </row>
    <row r="1208" spans="31:53" x14ac:dyDescent="0.55000000000000004">
      <c r="AE1208" s="7"/>
      <c r="AT1208" s="7"/>
      <c r="AU1208">
        <f ca="1"/>
      </c>
      <c r="AV1208">
        <f ca="1"/>
      </c>
      <c r="AX1208">
        <f ca="1"/>
      </c>
      <c r="AY1208">
        <f ca="1"/>
      </c>
      <c r="BA1208" s="7"/>
    </row>
    <row r="1209" spans="31:53" x14ac:dyDescent="0.55000000000000004">
      <c r="AE1209" s="7"/>
      <c r="AT1209" s="7"/>
      <c r="AU1209">
        <f ca="1"/>
      </c>
      <c r="AV1209">
        <f ca="1"/>
      </c>
      <c r="AX1209">
        <f ca="1"/>
      </c>
      <c r="AY1209">
        <f ca="1"/>
      </c>
      <c r="BA1209" s="7"/>
    </row>
    <row r="1210" spans="31:53" x14ac:dyDescent="0.55000000000000004">
      <c r="AE1210" s="7"/>
      <c r="AT1210" s="7"/>
      <c r="AU1210">
        <f ca="1"/>
      </c>
      <c r="AV1210">
        <f ca="1"/>
      </c>
      <c r="AX1210">
        <f ca="1"/>
      </c>
      <c r="AY1210">
        <f ca="1"/>
      </c>
      <c r="BA1210" s="7"/>
    </row>
    <row r="1211" spans="31:53" x14ac:dyDescent="0.55000000000000004">
      <c r="AE1211" s="7"/>
      <c r="AT1211" s="7"/>
      <c r="AU1211">
        <f ca="1"/>
      </c>
      <c r="AV1211">
        <f ca="1"/>
      </c>
      <c r="AX1211">
        <f ca="1"/>
      </c>
      <c r="AY1211">
        <f ca="1"/>
      </c>
      <c r="BA1211" s="7"/>
    </row>
    <row r="1212" spans="31:53" x14ac:dyDescent="0.55000000000000004">
      <c r="AE1212" s="7"/>
      <c r="AT1212" s="7"/>
      <c r="AU1212">
        <f ca="1"/>
      </c>
      <c r="AV1212">
        <f ca="1"/>
      </c>
      <c r="AX1212">
        <f ca="1"/>
      </c>
      <c r="AY1212">
        <f ca="1"/>
      </c>
      <c r="BA1212" s="7"/>
    </row>
    <row r="1213" spans="31:53" x14ac:dyDescent="0.55000000000000004">
      <c r="AE1213" s="7"/>
      <c r="AT1213" s="7"/>
      <c r="AU1213">
        <f ca="1"/>
      </c>
      <c r="AV1213">
        <f ca="1"/>
      </c>
      <c r="AX1213">
        <f ca="1"/>
      </c>
      <c r="AY1213">
        <f ca="1"/>
      </c>
      <c r="BA1213" s="7"/>
    </row>
    <row r="1214" spans="31:53" x14ac:dyDescent="0.55000000000000004">
      <c r="AE1214" s="7"/>
      <c r="AT1214" s="7"/>
      <c r="AU1214">
        <f ca="1"/>
      </c>
      <c r="AV1214">
        <f ca="1"/>
      </c>
      <c r="AX1214">
        <f ca="1"/>
      </c>
      <c r="AY1214">
        <f ca="1"/>
      </c>
      <c r="BA1214" s="7"/>
    </row>
    <row r="1215" spans="31:53" x14ac:dyDescent="0.55000000000000004">
      <c r="AE1215" s="7"/>
      <c r="AT1215" s="7"/>
      <c r="AU1215">
        <f ca="1"/>
      </c>
      <c r="AV1215">
        <f ca="1"/>
      </c>
      <c r="AX1215">
        <f ca="1"/>
      </c>
      <c r="AY1215">
        <f ca="1"/>
      </c>
      <c r="BA1215" s="7"/>
    </row>
    <row r="1216" spans="31:53" x14ac:dyDescent="0.55000000000000004">
      <c r="AE1216" s="7"/>
      <c r="AT1216" s="7"/>
      <c r="AU1216">
        <f ca="1"/>
      </c>
      <c r="AV1216">
        <f ca="1"/>
      </c>
      <c r="AX1216">
        <f ca="1"/>
      </c>
      <c r="AY1216">
        <f ca="1"/>
      </c>
      <c r="BA1216" s="7"/>
    </row>
    <row r="1217" spans="31:53" x14ac:dyDescent="0.55000000000000004">
      <c r="AE1217" s="7"/>
      <c r="AT1217" s="7"/>
      <c r="AU1217">
        <f ca="1"/>
      </c>
      <c r="AV1217">
        <f ca="1"/>
      </c>
      <c r="AX1217">
        <f ca="1"/>
      </c>
      <c r="AY1217">
        <f ca="1"/>
      </c>
      <c r="BA1217" s="7"/>
    </row>
    <row r="1218" spans="31:53" x14ac:dyDescent="0.55000000000000004">
      <c r="AE1218" s="7"/>
      <c r="AT1218" s="7"/>
      <c r="AU1218">
        <f ca="1"/>
      </c>
      <c r="AV1218">
        <f ca="1"/>
      </c>
      <c r="AX1218">
        <f ca="1"/>
      </c>
      <c r="AY1218">
        <f ca="1"/>
      </c>
      <c r="BA1218" s="7"/>
    </row>
    <row r="1219" spans="31:53" x14ac:dyDescent="0.55000000000000004">
      <c r="AE1219" s="7"/>
      <c r="AT1219" s="7"/>
      <c r="AU1219">
        <f ca="1"/>
      </c>
      <c r="AV1219">
        <f ca="1"/>
      </c>
      <c r="AX1219">
        <f ca="1"/>
      </c>
      <c r="AY1219">
        <f ca="1"/>
      </c>
      <c r="BA1219" s="7"/>
    </row>
    <row r="1220" spans="31:53" x14ac:dyDescent="0.55000000000000004">
      <c r="AE1220" s="7"/>
      <c r="AT1220" s="7"/>
      <c r="AU1220">
        <f ca="1"/>
      </c>
      <c r="AV1220">
        <f ca="1"/>
      </c>
      <c r="AX1220">
        <f ca="1"/>
      </c>
      <c r="AY1220">
        <f ca="1"/>
      </c>
      <c r="BA1220" s="7"/>
    </row>
    <row r="1221" spans="31:53" x14ac:dyDescent="0.55000000000000004">
      <c r="AE1221" s="7"/>
      <c r="AT1221" s="7"/>
      <c r="AU1221">
        <f ca="1"/>
      </c>
      <c r="AV1221">
        <f ca="1"/>
      </c>
      <c r="AX1221">
        <f ca="1"/>
      </c>
      <c r="AY1221">
        <f ca="1"/>
      </c>
      <c r="BA1221" s="7"/>
    </row>
    <row r="1222" spans="31:53" x14ac:dyDescent="0.55000000000000004">
      <c r="AE1222" s="7"/>
      <c r="AT1222" s="7"/>
      <c r="AU1222">
        <f ca="1"/>
      </c>
      <c r="AV1222">
        <f ca="1"/>
      </c>
      <c r="AX1222">
        <f ca="1"/>
      </c>
      <c r="AY1222">
        <f ca="1"/>
      </c>
      <c r="BA1222" s="7"/>
    </row>
    <row r="1223" spans="31:53" x14ac:dyDescent="0.55000000000000004">
      <c r="AE1223" s="7"/>
      <c r="AT1223" s="7"/>
      <c r="AU1223">
        <f ca="1"/>
      </c>
      <c r="AV1223">
        <f ca="1"/>
      </c>
      <c r="AX1223">
        <f ca="1"/>
      </c>
      <c r="AY1223">
        <f ca="1"/>
      </c>
      <c r="BA1223" s="7"/>
    </row>
    <row r="1224" spans="31:53" x14ac:dyDescent="0.55000000000000004">
      <c r="AE1224" s="7"/>
      <c r="AT1224" s="7"/>
      <c r="AU1224">
        <f ca="1"/>
      </c>
      <c r="AV1224">
        <f ca="1"/>
      </c>
      <c r="AX1224">
        <f ca="1"/>
      </c>
      <c r="AY1224">
        <f ca="1"/>
      </c>
      <c r="BA1224" s="7"/>
    </row>
    <row r="1225" spans="31:53" x14ac:dyDescent="0.55000000000000004">
      <c r="AE1225" s="7"/>
      <c r="AT1225" s="7"/>
      <c r="AU1225">
        <f ca="1"/>
      </c>
      <c r="AV1225">
        <f ca="1"/>
      </c>
      <c r="AX1225">
        <f ca="1"/>
      </c>
      <c r="AY1225">
        <f ca="1"/>
      </c>
      <c r="BA1225" s="7"/>
    </row>
    <row r="1226" spans="31:53" x14ac:dyDescent="0.55000000000000004">
      <c r="AE1226" s="7"/>
      <c r="AT1226" s="7"/>
      <c r="AU1226">
        <f ca="1"/>
      </c>
      <c r="AV1226">
        <f ca="1"/>
      </c>
      <c r="AX1226">
        <f ca="1"/>
      </c>
      <c r="AY1226">
        <f ca="1"/>
      </c>
      <c r="BA1226" s="7"/>
    </row>
    <row r="1227" spans="31:53" x14ac:dyDescent="0.55000000000000004">
      <c r="AE1227" s="7"/>
      <c r="AT1227" s="7"/>
      <c r="AU1227">
        <f ca="1"/>
      </c>
      <c r="AV1227">
        <f ca="1"/>
      </c>
      <c r="AX1227">
        <f ca="1"/>
      </c>
      <c r="AY1227">
        <f ca="1"/>
      </c>
      <c r="BA1227" s="7"/>
    </row>
    <row r="1228" spans="31:53" x14ac:dyDescent="0.55000000000000004">
      <c r="AE1228" s="7"/>
      <c r="AT1228" s="7"/>
      <c r="AU1228">
        <f ca="1"/>
      </c>
      <c r="AV1228">
        <f ca="1"/>
      </c>
      <c r="AX1228">
        <f ca="1"/>
      </c>
      <c r="AY1228">
        <f ca="1"/>
      </c>
      <c r="BA1228" s="7"/>
    </row>
    <row r="1229" spans="31:53" x14ac:dyDescent="0.55000000000000004">
      <c r="AE1229" s="7"/>
      <c r="AT1229" s="7"/>
      <c r="AU1229">
        <f ca="1"/>
      </c>
      <c r="AV1229">
        <f ca="1"/>
      </c>
      <c r="AX1229">
        <f ca="1"/>
      </c>
      <c r="AY1229">
        <f ca="1"/>
      </c>
      <c r="BA1229" s="7"/>
    </row>
    <row r="1230" spans="31:53" x14ac:dyDescent="0.55000000000000004">
      <c r="AE1230" s="7"/>
      <c r="AT1230" s="7"/>
      <c r="AU1230">
        <f ca="1"/>
      </c>
      <c r="AV1230">
        <f ca="1"/>
      </c>
      <c r="AX1230">
        <f ca="1"/>
      </c>
      <c r="AY1230">
        <f ca="1"/>
      </c>
      <c r="BA1230" s="7"/>
    </row>
    <row r="1231" spans="31:53" x14ac:dyDescent="0.55000000000000004">
      <c r="AE1231" s="7"/>
      <c r="AT1231" s="7"/>
      <c r="AU1231">
        <f ca="1"/>
      </c>
      <c r="AV1231">
        <f ca="1"/>
      </c>
      <c r="AX1231">
        <f ca="1"/>
      </c>
      <c r="AY1231">
        <f ca="1"/>
      </c>
      <c r="BA1231" s="7"/>
    </row>
    <row r="1232" spans="31:53" x14ac:dyDescent="0.55000000000000004">
      <c r="AE1232" s="7"/>
      <c r="AT1232" s="7"/>
      <c r="AU1232">
        <f ca="1"/>
      </c>
      <c r="AV1232">
        <f ca="1"/>
      </c>
      <c r="AX1232">
        <f ca="1"/>
      </c>
      <c r="AY1232">
        <f ca="1"/>
      </c>
      <c r="BA1232" s="7"/>
    </row>
    <row r="1233" spans="31:53" x14ac:dyDescent="0.55000000000000004">
      <c r="AE1233" s="7"/>
      <c r="AT1233" s="7"/>
      <c r="AU1233">
        <f ca="1"/>
      </c>
      <c r="AV1233">
        <f ca="1"/>
      </c>
      <c r="AX1233">
        <f ca="1"/>
      </c>
      <c r="AY1233">
        <f ca="1"/>
      </c>
      <c r="BA1233" s="7"/>
    </row>
    <row r="1234" spans="31:53" x14ac:dyDescent="0.55000000000000004">
      <c r="AE1234" s="7"/>
      <c r="AT1234" s="7"/>
      <c r="AU1234">
        <f ca="1"/>
      </c>
      <c r="AV1234">
        <f ca="1"/>
      </c>
      <c r="AX1234">
        <f ca="1"/>
      </c>
      <c r="AY1234">
        <f ca="1"/>
      </c>
      <c r="BA1234" s="7"/>
    </row>
    <row r="1235" spans="31:53" x14ac:dyDescent="0.55000000000000004">
      <c r="AE1235" s="7"/>
      <c r="AT1235" s="7"/>
      <c r="AU1235">
        <f ca="1"/>
      </c>
      <c r="AV1235">
        <f ca="1"/>
      </c>
      <c r="AX1235">
        <f ca="1"/>
      </c>
      <c r="AY1235">
        <f ca="1"/>
      </c>
      <c r="BA1235" s="7"/>
    </row>
    <row r="1236" spans="31:53" x14ac:dyDescent="0.55000000000000004">
      <c r="AE1236" s="7"/>
      <c r="AT1236" s="7"/>
      <c r="AU1236">
        <f ca="1"/>
      </c>
      <c r="AV1236">
        <f ca="1"/>
      </c>
      <c r="AX1236">
        <f ca="1"/>
      </c>
      <c r="AY1236">
        <f ca="1"/>
      </c>
      <c r="BA1236" s="7"/>
    </row>
    <row r="1237" spans="31:53" x14ac:dyDescent="0.55000000000000004">
      <c r="AE1237" s="7"/>
      <c r="AT1237" s="7"/>
      <c r="AU1237">
        <f ca="1"/>
      </c>
      <c r="AV1237">
        <f ca="1"/>
      </c>
      <c r="AX1237">
        <f ca="1"/>
      </c>
      <c r="AY1237">
        <f ca="1"/>
      </c>
      <c r="BA1237" s="7"/>
    </row>
    <row r="1238" spans="31:53" x14ac:dyDescent="0.55000000000000004">
      <c r="AE1238" s="7"/>
      <c r="AT1238" s="7"/>
      <c r="AU1238">
        <f ca="1"/>
      </c>
      <c r="AV1238">
        <f ca="1"/>
      </c>
      <c r="AX1238">
        <f ca="1"/>
      </c>
      <c r="AY1238">
        <f ca="1"/>
      </c>
      <c r="BA1238" s="7"/>
    </row>
    <row r="1239" spans="31:53" x14ac:dyDescent="0.55000000000000004">
      <c r="AE1239" s="7"/>
      <c r="AT1239" s="7"/>
      <c r="AU1239">
        <f ca="1"/>
      </c>
      <c r="AV1239">
        <f ca="1"/>
      </c>
      <c r="AX1239">
        <f ca="1"/>
      </c>
      <c r="AY1239">
        <f ca="1"/>
      </c>
      <c r="BA1239" s="7"/>
    </row>
    <row r="1240" spans="31:53" x14ac:dyDescent="0.55000000000000004">
      <c r="AE1240" s="7"/>
      <c r="AT1240" s="7"/>
      <c r="AU1240">
        <f ca="1"/>
      </c>
      <c r="AV1240">
        <f ca="1"/>
      </c>
      <c r="AX1240">
        <f ca="1"/>
      </c>
      <c r="AY1240">
        <f ca="1"/>
      </c>
      <c r="BA1240" s="7"/>
    </row>
    <row r="1241" spans="31:53" x14ac:dyDescent="0.55000000000000004">
      <c r="AE1241" s="7"/>
      <c r="AT1241" s="7"/>
      <c r="AU1241">
        <f ca="1"/>
      </c>
      <c r="AV1241">
        <f ca="1"/>
      </c>
      <c r="AX1241">
        <f ca="1"/>
      </c>
      <c r="AY1241">
        <f ca="1"/>
      </c>
      <c r="BA1241" s="7"/>
    </row>
    <row r="1242" spans="31:53" x14ac:dyDescent="0.55000000000000004">
      <c r="AE1242" s="7"/>
      <c r="AT1242" s="7"/>
      <c r="AU1242">
        <f ca="1"/>
      </c>
      <c r="AV1242">
        <f ca="1"/>
      </c>
      <c r="AX1242">
        <f ca="1"/>
      </c>
      <c r="AY1242">
        <f ca="1"/>
      </c>
      <c r="BA1242" s="7"/>
    </row>
    <row r="1243" spans="31:53" x14ac:dyDescent="0.55000000000000004">
      <c r="AE1243" s="7"/>
      <c r="AT1243" s="7"/>
      <c r="AU1243">
        <f ca="1"/>
      </c>
      <c r="AV1243">
        <f ca="1"/>
      </c>
      <c r="AX1243">
        <f ca="1"/>
      </c>
      <c r="AY1243">
        <f ca="1"/>
      </c>
      <c r="BA1243" s="7"/>
    </row>
    <row r="1244" spans="31:53" x14ac:dyDescent="0.55000000000000004">
      <c r="AE1244" s="7"/>
      <c r="AT1244" s="7"/>
      <c r="AU1244">
        <f ca="1"/>
      </c>
      <c r="AV1244">
        <f ca="1"/>
      </c>
      <c r="AX1244">
        <f ca="1"/>
      </c>
      <c r="AY1244">
        <f ca="1"/>
      </c>
      <c r="BA1244" s="7"/>
    </row>
    <row r="1245" spans="31:53" x14ac:dyDescent="0.55000000000000004">
      <c r="AE1245" s="7"/>
      <c r="AT1245" s="7"/>
      <c r="AU1245">
        <f ca="1"/>
      </c>
      <c r="AV1245">
        <f ca="1"/>
      </c>
      <c r="AX1245">
        <f ca="1"/>
      </c>
      <c r="AY1245">
        <f ca="1"/>
      </c>
      <c r="BA1245" s="7"/>
    </row>
    <row r="1246" spans="31:53" x14ac:dyDescent="0.55000000000000004">
      <c r="AE1246" s="7"/>
      <c r="AT1246" s="7"/>
      <c r="AU1246">
        <f ca="1"/>
      </c>
      <c r="AV1246">
        <f ca="1"/>
      </c>
      <c r="AX1246">
        <f ca="1"/>
      </c>
      <c r="AY1246">
        <f ca="1"/>
      </c>
      <c r="BA1246" s="7"/>
    </row>
    <row r="1247" spans="31:53" x14ac:dyDescent="0.55000000000000004">
      <c r="AE1247" s="7"/>
      <c r="AT1247" s="7"/>
      <c r="AU1247">
        <f ca="1"/>
      </c>
      <c r="AV1247">
        <f ca="1"/>
      </c>
      <c r="AX1247">
        <f ca="1"/>
      </c>
      <c r="AY1247">
        <f ca="1"/>
      </c>
      <c r="BA1247" s="7"/>
    </row>
    <row r="1248" spans="31:53" x14ac:dyDescent="0.55000000000000004">
      <c r="AE1248" s="7"/>
      <c r="AT1248" s="7"/>
      <c r="AU1248">
        <f ca="1"/>
      </c>
      <c r="AV1248">
        <f ca="1"/>
      </c>
      <c r="AX1248">
        <f ca="1"/>
      </c>
      <c r="AY1248">
        <f ca="1"/>
      </c>
      <c r="BA1248" s="7"/>
    </row>
    <row r="1249" spans="31:53" x14ac:dyDescent="0.55000000000000004">
      <c r="AE1249" s="7"/>
      <c r="AT1249" s="7"/>
      <c r="AU1249">
        <f ca="1"/>
      </c>
      <c r="AV1249">
        <f ca="1"/>
      </c>
      <c r="AX1249">
        <f ca="1"/>
      </c>
      <c r="AY1249">
        <f ca="1"/>
      </c>
      <c r="BA1249" s="7"/>
    </row>
    <row r="1250" spans="31:53" x14ac:dyDescent="0.55000000000000004">
      <c r="AE1250" s="7"/>
      <c r="AT1250" s="7"/>
      <c r="AU1250">
        <f ca="1"/>
      </c>
      <c r="AV1250">
        <f ca="1"/>
      </c>
      <c r="AX1250">
        <f ca="1"/>
      </c>
      <c r="AY1250">
        <f ca="1"/>
      </c>
      <c r="BA1250" s="7"/>
    </row>
    <row r="1251" spans="31:53" x14ac:dyDescent="0.55000000000000004">
      <c r="AE1251" s="7"/>
      <c r="AT1251" s="7"/>
      <c r="AU1251">
        <f ca="1"/>
      </c>
      <c r="AV1251">
        <f ca="1"/>
      </c>
      <c r="AX1251">
        <f ca="1"/>
      </c>
      <c r="AY1251">
        <f ca="1"/>
      </c>
      <c r="BA1251" s="7"/>
    </row>
    <row r="1252" spans="31:53" x14ac:dyDescent="0.55000000000000004">
      <c r="AE1252" s="7"/>
      <c r="AT1252" s="7"/>
      <c r="AU1252">
        <f ca="1"/>
      </c>
      <c r="AV1252">
        <f ca="1"/>
      </c>
      <c r="AX1252">
        <f ca="1"/>
      </c>
      <c r="AY1252">
        <f ca="1"/>
      </c>
      <c r="BA1252" s="7"/>
    </row>
    <row r="1253" spans="31:53" x14ac:dyDescent="0.55000000000000004">
      <c r="AE1253" s="7"/>
      <c r="AT1253" s="7"/>
      <c r="AU1253">
        <f ca="1"/>
      </c>
      <c r="AV1253">
        <f ca="1"/>
      </c>
      <c r="AX1253">
        <f ca="1"/>
      </c>
      <c r="AY1253">
        <f ca="1"/>
      </c>
      <c r="BA1253" s="7"/>
    </row>
    <row r="1254" spans="31:53" x14ac:dyDescent="0.55000000000000004">
      <c r="AE1254" s="7"/>
      <c r="AT1254" s="7"/>
      <c r="AU1254">
        <f ca="1"/>
      </c>
      <c r="AV1254">
        <f ca="1"/>
      </c>
      <c r="AX1254">
        <f ca="1"/>
      </c>
      <c r="AY1254">
        <f ca="1"/>
      </c>
      <c r="BA1254" s="7"/>
    </row>
    <row r="1255" spans="31:53" x14ac:dyDescent="0.55000000000000004">
      <c r="AE1255" s="7"/>
      <c r="AT1255" s="7"/>
      <c r="AU1255">
        <f ca="1"/>
      </c>
      <c r="AV1255">
        <f ca="1"/>
      </c>
      <c r="AX1255">
        <f ca="1"/>
      </c>
      <c r="AY1255">
        <f ca="1"/>
      </c>
      <c r="BA1255" s="7"/>
    </row>
    <row r="1256" spans="31:53" x14ac:dyDescent="0.55000000000000004">
      <c r="AE1256" s="7"/>
      <c r="AT1256" s="7"/>
      <c r="AU1256">
        <f ca="1"/>
      </c>
      <c r="AV1256">
        <f ca="1"/>
      </c>
      <c r="AX1256">
        <f ca="1"/>
      </c>
      <c r="AY1256">
        <f ca="1"/>
      </c>
      <c r="BA1256" s="7"/>
    </row>
    <row r="1257" spans="31:53" x14ac:dyDescent="0.55000000000000004">
      <c r="AE1257" s="7"/>
      <c r="AT1257" s="7"/>
      <c r="AU1257">
        <f ca="1"/>
      </c>
      <c r="AV1257">
        <f ca="1"/>
      </c>
      <c r="AX1257">
        <f ca="1"/>
      </c>
      <c r="AY1257">
        <f ca="1"/>
      </c>
      <c r="BA1257" s="7"/>
    </row>
    <row r="1258" spans="31:53" x14ac:dyDescent="0.55000000000000004">
      <c r="AE1258" s="7"/>
      <c r="AT1258" s="7"/>
      <c r="AU1258">
        <f ca="1"/>
      </c>
      <c r="AV1258">
        <f ca="1"/>
      </c>
      <c r="AX1258">
        <f ca="1"/>
      </c>
      <c r="AY1258">
        <f ca="1"/>
      </c>
      <c r="BA1258" s="7"/>
    </row>
    <row r="1259" spans="31:53" x14ac:dyDescent="0.55000000000000004">
      <c r="AE1259" s="7"/>
      <c r="AT1259" s="7"/>
      <c r="AU1259">
        <f ca="1"/>
      </c>
      <c r="AV1259">
        <f ca="1"/>
      </c>
      <c r="AX1259">
        <f ca="1"/>
      </c>
      <c r="AY1259">
        <f ca="1"/>
      </c>
      <c r="BA1259" s="7"/>
    </row>
    <row r="1260" spans="31:53" x14ac:dyDescent="0.55000000000000004">
      <c r="AE1260" s="7"/>
      <c r="AT1260" s="7"/>
      <c r="AU1260">
        <f ca="1"/>
      </c>
      <c r="AV1260">
        <f ca="1"/>
      </c>
      <c r="AX1260">
        <f ca="1"/>
      </c>
      <c r="AY1260">
        <f ca="1"/>
      </c>
      <c r="BA1260" s="7"/>
    </row>
    <row r="1261" spans="31:53" x14ac:dyDescent="0.55000000000000004">
      <c r="AE1261" s="7"/>
      <c r="AT1261" s="7"/>
      <c r="AU1261">
        <f ca="1"/>
      </c>
      <c r="AV1261">
        <f ca="1"/>
      </c>
      <c r="AX1261">
        <f ca="1"/>
      </c>
      <c r="AY1261">
        <f ca="1"/>
      </c>
      <c r="BA1261" s="7"/>
    </row>
    <row r="1262" spans="31:53" x14ac:dyDescent="0.55000000000000004">
      <c r="AE1262" s="7"/>
      <c r="AT1262" s="7"/>
      <c r="AU1262">
        <f ca="1"/>
      </c>
      <c r="AV1262">
        <f ca="1"/>
      </c>
      <c r="AX1262">
        <f ca="1"/>
      </c>
      <c r="AY1262">
        <f ca="1"/>
      </c>
      <c r="BA1262" s="7"/>
    </row>
    <row r="1263" spans="31:53" x14ac:dyDescent="0.55000000000000004">
      <c r="AE1263" s="7"/>
      <c r="AT1263" s="7"/>
      <c r="AU1263">
        <f ca="1"/>
      </c>
      <c r="AV1263">
        <f ca="1"/>
      </c>
      <c r="AX1263">
        <f ca="1"/>
      </c>
      <c r="AY1263">
        <f ca="1"/>
      </c>
      <c r="BA1263" s="7"/>
    </row>
    <row r="1264" spans="31:53" x14ac:dyDescent="0.55000000000000004">
      <c r="AE1264" s="7"/>
      <c r="AT1264" s="7"/>
      <c r="AU1264">
        <f ca="1"/>
      </c>
      <c r="AV1264">
        <f ca="1"/>
      </c>
      <c r="AX1264">
        <f ca="1"/>
      </c>
      <c r="AY1264">
        <f ca="1"/>
      </c>
      <c r="BA1264" s="7"/>
    </row>
    <row r="1265" spans="31:53" x14ac:dyDescent="0.55000000000000004">
      <c r="AE1265" s="7"/>
      <c r="AT1265" s="7"/>
      <c r="AU1265">
        <f ca="1"/>
      </c>
      <c r="AV1265">
        <f ca="1"/>
      </c>
      <c r="AX1265">
        <f ca="1"/>
      </c>
      <c r="AY1265">
        <f ca="1"/>
      </c>
      <c r="BA1265" s="7"/>
    </row>
    <row r="1266" spans="31:53" x14ac:dyDescent="0.55000000000000004">
      <c r="AE1266" s="7"/>
      <c r="AT1266" s="7"/>
      <c r="AU1266">
        <f ca="1"/>
      </c>
      <c r="AV1266">
        <f ca="1"/>
      </c>
      <c r="AX1266">
        <f ca="1"/>
      </c>
      <c r="AY1266">
        <f ca="1"/>
      </c>
      <c r="BA1266" s="7"/>
    </row>
    <row r="1267" spans="31:53" x14ac:dyDescent="0.55000000000000004">
      <c r="AE1267" s="7"/>
      <c r="AT1267" s="7"/>
      <c r="AU1267">
        <f ca="1"/>
      </c>
      <c r="AV1267">
        <f ca="1"/>
      </c>
      <c r="AX1267">
        <f ca="1"/>
      </c>
      <c r="AY1267">
        <f ca="1"/>
      </c>
      <c r="BA1267" s="7"/>
    </row>
    <row r="1268" spans="31:53" x14ac:dyDescent="0.55000000000000004">
      <c r="AE1268" s="7"/>
      <c r="AT1268" s="7"/>
      <c r="AU1268">
        <f ca="1"/>
      </c>
      <c r="AV1268">
        <f ca="1"/>
      </c>
      <c r="AX1268">
        <f ca="1"/>
      </c>
      <c r="AY1268">
        <f ca="1"/>
      </c>
      <c r="BA1268" s="7"/>
    </row>
    <row r="1269" spans="31:53" x14ac:dyDescent="0.55000000000000004">
      <c r="AE1269" s="7"/>
      <c r="AT1269" s="7"/>
      <c r="AU1269">
        <f ca="1"/>
      </c>
      <c r="AV1269">
        <f ca="1"/>
      </c>
      <c r="AX1269">
        <f ca="1"/>
      </c>
      <c r="AY1269">
        <f ca="1"/>
      </c>
      <c r="BA1269" s="7"/>
    </row>
    <row r="1270" spans="31:53" x14ac:dyDescent="0.55000000000000004">
      <c r="AE1270" s="7"/>
      <c r="AT1270" s="7"/>
      <c r="AU1270">
        <f ca="1"/>
      </c>
      <c r="AV1270">
        <f ca="1"/>
      </c>
      <c r="AX1270">
        <f ca="1"/>
      </c>
      <c r="AY1270">
        <f ca="1"/>
      </c>
      <c r="BA1270" s="7"/>
    </row>
    <row r="1271" spans="31:53" x14ac:dyDescent="0.55000000000000004">
      <c r="AE1271" s="7"/>
      <c r="AT1271" s="7"/>
      <c r="AU1271">
        <f ca="1"/>
      </c>
      <c r="AV1271">
        <f ca="1"/>
      </c>
      <c r="AX1271">
        <f ca="1"/>
      </c>
      <c r="AY1271">
        <f ca="1"/>
      </c>
      <c r="BA1271" s="7"/>
    </row>
    <row r="1272" spans="31:53" x14ac:dyDescent="0.55000000000000004">
      <c r="AE1272" s="7"/>
      <c r="AT1272" s="7"/>
      <c r="AU1272">
        <f ca="1"/>
      </c>
      <c r="AV1272">
        <f ca="1"/>
      </c>
      <c r="AX1272">
        <f ca="1"/>
      </c>
      <c r="AY1272">
        <f ca="1"/>
      </c>
      <c r="BA1272" s="7"/>
    </row>
    <row r="1273" spans="31:53" x14ac:dyDescent="0.55000000000000004">
      <c r="AE1273" s="7"/>
      <c r="AT1273" s="7"/>
      <c r="AU1273">
        <f ca="1"/>
      </c>
      <c r="AV1273">
        <f ca="1"/>
      </c>
      <c r="AX1273">
        <f ca="1"/>
      </c>
      <c r="AY1273">
        <f ca="1"/>
      </c>
      <c r="BA1273" s="7"/>
    </row>
    <row r="1274" spans="31:53" x14ac:dyDescent="0.55000000000000004">
      <c r="AE1274" s="7"/>
      <c r="AT1274" s="7"/>
      <c r="AU1274">
        <f ca="1"/>
      </c>
      <c r="AV1274">
        <f ca="1"/>
      </c>
      <c r="AX1274">
        <f ca="1"/>
      </c>
      <c r="AY1274">
        <f ca="1"/>
      </c>
      <c r="BA1274" s="7"/>
    </row>
    <row r="1275" spans="31:53" x14ac:dyDescent="0.55000000000000004">
      <c r="AE1275" s="7"/>
      <c r="AT1275" s="7"/>
      <c r="AU1275">
        <f ca="1"/>
      </c>
      <c r="AV1275">
        <f ca="1"/>
      </c>
      <c r="AX1275">
        <f ca="1"/>
      </c>
      <c r="AY1275">
        <f ca="1"/>
      </c>
      <c r="BA1275" s="7"/>
    </row>
    <row r="1276" spans="31:53" x14ac:dyDescent="0.55000000000000004">
      <c r="AE1276" s="7"/>
      <c r="AT1276" s="7"/>
      <c r="AU1276">
        <f ca="1"/>
      </c>
      <c r="AV1276">
        <f ca="1"/>
      </c>
      <c r="AX1276">
        <f ca="1"/>
      </c>
      <c r="AY1276">
        <f ca="1"/>
      </c>
      <c r="BA1276" s="7"/>
    </row>
    <row r="1277" spans="31:53" x14ac:dyDescent="0.55000000000000004">
      <c r="AE1277" s="7"/>
      <c r="AT1277" s="7"/>
      <c r="AU1277">
        <f ca="1"/>
      </c>
      <c r="AV1277">
        <f ca="1"/>
      </c>
      <c r="AX1277">
        <f ca="1"/>
      </c>
      <c r="AY1277">
        <f ca="1"/>
      </c>
      <c r="BA1277" s="7"/>
    </row>
    <row r="1278" spans="31:53" x14ac:dyDescent="0.55000000000000004">
      <c r="AE1278" s="7"/>
      <c r="AT1278" s="7"/>
      <c r="AU1278">
        <f ca="1"/>
      </c>
      <c r="AV1278">
        <f ca="1"/>
      </c>
      <c r="AX1278">
        <f ca="1"/>
      </c>
      <c r="AY1278">
        <f ca="1"/>
      </c>
      <c r="BA1278" s="7"/>
    </row>
    <row r="1279" spans="31:53" x14ac:dyDescent="0.55000000000000004">
      <c r="AE1279" s="7"/>
      <c r="AT1279" s="7"/>
      <c r="AU1279">
        <f ca="1"/>
      </c>
      <c r="AV1279">
        <f ca="1"/>
      </c>
      <c r="AX1279">
        <f ca="1"/>
      </c>
      <c r="AY1279">
        <f ca="1"/>
      </c>
      <c r="BA1279" s="7"/>
    </row>
    <row r="1280" spans="31:53" x14ac:dyDescent="0.55000000000000004">
      <c r="AE1280" s="7"/>
      <c r="AT1280" s="7"/>
      <c r="AU1280">
        <f ca="1"/>
      </c>
      <c r="AV1280">
        <f ca="1"/>
      </c>
      <c r="AX1280">
        <f ca="1"/>
      </c>
      <c r="AY1280">
        <f ca="1"/>
      </c>
      <c r="BA1280" s="7"/>
    </row>
    <row r="1281" spans="31:53" x14ac:dyDescent="0.55000000000000004">
      <c r="AE1281" s="7"/>
      <c r="AT1281" s="7"/>
      <c r="AU1281">
        <f ca="1"/>
      </c>
      <c r="AV1281">
        <f ca="1"/>
      </c>
      <c r="AX1281">
        <f ca="1"/>
      </c>
      <c r="AY1281">
        <f ca="1"/>
      </c>
      <c r="BA1281" s="7"/>
    </row>
    <row r="1282" spans="31:53" x14ac:dyDescent="0.55000000000000004">
      <c r="AE1282" s="7"/>
      <c r="AT1282" s="7"/>
      <c r="AU1282">
        <f ca="1"/>
      </c>
      <c r="AV1282">
        <f ca="1"/>
      </c>
      <c r="AX1282">
        <f ca="1"/>
      </c>
      <c r="AY1282">
        <f ca="1"/>
      </c>
      <c r="BA1282" s="7"/>
    </row>
    <row r="1283" spans="31:53" x14ac:dyDescent="0.55000000000000004">
      <c r="AE1283" s="7"/>
      <c r="AT1283" s="7"/>
      <c r="AU1283">
        <f ca="1"/>
      </c>
      <c r="AV1283">
        <f ca="1"/>
      </c>
      <c r="AX1283">
        <f ca="1"/>
      </c>
      <c r="AY1283">
        <f ca="1"/>
      </c>
      <c r="BA1283" s="7"/>
    </row>
    <row r="1284" spans="31:53" x14ac:dyDescent="0.55000000000000004">
      <c r="AE1284" s="7"/>
      <c r="AT1284" s="7"/>
      <c r="AU1284">
        <f ca="1"/>
      </c>
      <c r="AV1284">
        <f ca="1"/>
      </c>
      <c r="AX1284">
        <f ca="1"/>
      </c>
      <c r="AY1284">
        <f ca="1"/>
      </c>
      <c r="BA1284" s="7"/>
    </row>
    <row r="1285" spans="31:53" x14ac:dyDescent="0.55000000000000004">
      <c r="AE1285" s="7"/>
      <c r="AT1285" s="7"/>
      <c r="AU1285">
        <f ca="1"/>
      </c>
      <c r="AV1285">
        <f ca="1"/>
      </c>
      <c r="AX1285">
        <f ca="1"/>
      </c>
      <c r="AY1285">
        <f ca="1"/>
      </c>
      <c r="BA1285" s="7"/>
    </row>
    <row r="1286" spans="31:53" x14ac:dyDescent="0.55000000000000004">
      <c r="AE1286" s="7"/>
      <c r="AT1286" s="7"/>
      <c r="AU1286">
        <f ca="1"/>
      </c>
      <c r="AV1286">
        <f ca="1"/>
      </c>
      <c r="AX1286">
        <f ca="1"/>
      </c>
      <c r="AY1286">
        <f ca="1"/>
      </c>
      <c r="BA1286" s="7"/>
    </row>
    <row r="1287" spans="31:53" x14ac:dyDescent="0.55000000000000004">
      <c r="AE1287" s="7"/>
      <c r="AT1287" s="7"/>
      <c r="AU1287">
        <f ca="1"/>
      </c>
      <c r="AV1287">
        <f ca="1"/>
      </c>
      <c r="AX1287">
        <f ca="1"/>
      </c>
      <c r="AY1287">
        <f ca="1"/>
      </c>
      <c r="BA1287" s="7"/>
    </row>
    <row r="1288" spans="31:53" x14ac:dyDescent="0.55000000000000004">
      <c r="AE1288" s="7"/>
      <c r="AT1288" s="7"/>
      <c r="AU1288">
        <f ca="1"/>
      </c>
      <c r="AV1288">
        <f ca="1"/>
      </c>
      <c r="AX1288">
        <f ca="1"/>
      </c>
      <c r="AY1288">
        <f ca="1"/>
      </c>
      <c r="BA1288" s="7"/>
    </row>
    <row r="1289" spans="31:53" x14ac:dyDescent="0.55000000000000004">
      <c r="AE1289" s="7"/>
      <c r="AT1289" s="7"/>
      <c r="AU1289">
        <f ca="1"/>
      </c>
      <c r="AV1289">
        <f ca="1"/>
      </c>
      <c r="AX1289">
        <f ca="1"/>
      </c>
      <c r="AY1289">
        <f ca="1"/>
      </c>
      <c r="BA1289" s="7"/>
    </row>
    <row r="1290" spans="31:53" x14ac:dyDescent="0.55000000000000004">
      <c r="AE1290" s="7"/>
      <c r="AT1290" s="7"/>
      <c r="AU1290">
        <f ca="1"/>
      </c>
      <c r="AV1290">
        <f ca="1"/>
      </c>
      <c r="AX1290">
        <f ca="1"/>
      </c>
      <c r="AY1290">
        <f ca="1"/>
      </c>
      <c r="BA1290" s="7"/>
    </row>
    <row r="1291" spans="31:53" x14ac:dyDescent="0.55000000000000004">
      <c r="AE1291" s="7"/>
      <c r="AT1291" s="7"/>
      <c r="AU1291">
        <f ca="1"/>
      </c>
      <c r="AV1291">
        <f ca="1"/>
      </c>
      <c r="AX1291">
        <f ca="1"/>
      </c>
      <c r="AY1291">
        <f ca="1"/>
      </c>
      <c r="BA1291" s="7"/>
    </row>
    <row r="1292" spans="31:53" x14ac:dyDescent="0.55000000000000004">
      <c r="AE1292" s="7"/>
      <c r="AT1292" s="7"/>
      <c r="AU1292">
        <f ca="1"/>
      </c>
      <c r="AV1292">
        <f ca="1"/>
      </c>
      <c r="AX1292">
        <f ca="1"/>
      </c>
      <c r="AY1292">
        <f ca="1"/>
      </c>
      <c r="BA1292" s="7"/>
    </row>
    <row r="1293" spans="31:53" x14ac:dyDescent="0.55000000000000004">
      <c r="AE1293" s="7"/>
      <c r="AT1293" s="7"/>
      <c r="AU1293">
        <f ca="1"/>
      </c>
      <c r="AV1293">
        <f ca="1"/>
      </c>
      <c r="AX1293">
        <f ca="1"/>
      </c>
      <c r="AY1293">
        <f ca="1"/>
      </c>
      <c r="BA1293" s="7"/>
    </row>
    <row r="1294" spans="31:53" x14ac:dyDescent="0.55000000000000004">
      <c r="AE1294" s="7"/>
      <c r="AT1294" s="7"/>
      <c r="AU1294">
        <f ca="1"/>
      </c>
      <c r="AV1294">
        <f ca="1"/>
      </c>
      <c r="AX1294">
        <f ca="1"/>
      </c>
      <c r="AY1294">
        <f ca="1"/>
      </c>
      <c r="BA1294" s="7"/>
    </row>
    <row r="1295" spans="31:53" x14ac:dyDescent="0.55000000000000004">
      <c r="AE1295" s="7"/>
      <c r="AT1295" s="7"/>
      <c r="AU1295">
        <f ca="1"/>
      </c>
      <c r="AV1295">
        <f ca="1"/>
      </c>
      <c r="AX1295">
        <f ca="1"/>
      </c>
      <c r="AY1295">
        <f ca="1"/>
      </c>
      <c r="BA1295" s="7"/>
    </row>
    <row r="1296" spans="31:53" x14ac:dyDescent="0.55000000000000004">
      <c r="AE1296" s="7"/>
      <c r="AT1296" s="7"/>
      <c r="AU1296">
        <f ca="1"/>
      </c>
      <c r="AV1296">
        <f ca="1"/>
      </c>
      <c r="AX1296">
        <f ca="1"/>
      </c>
      <c r="AY1296">
        <f ca="1"/>
      </c>
      <c r="BA1296" s="7"/>
    </row>
    <row r="1297" spans="31:53" x14ac:dyDescent="0.55000000000000004">
      <c r="AE1297" s="7"/>
      <c r="AT1297" s="7"/>
      <c r="AU1297">
        <f ca="1"/>
      </c>
      <c r="AV1297">
        <f ca="1"/>
      </c>
      <c r="AX1297">
        <f ca="1"/>
      </c>
      <c r="AY1297">
        <f ca="1"/>
      </c>
      <c r="BA1297" s="7"/>
    </row>
    <row r="1298" spans="31:53" x14ac:dyDescent="0.55000000000000004">
      <c r="AE1298" s="7"/>
      <c r="AT1298" s="7"/>
      <c r="AU1298">
        <f ca="1"/>
      </c>
      <c r="AV1298">
        <f ca="1"/>
      </c>
      <c r="AX1298">
        <f ca="1"/>
      </c>
      <c r="AY1298">
        <f ca="1"/>
      </c>
      <c r="BA1298" s="7"/>
    </row>
    <row r="1299" spans="31:53" x14ac:dyDescent="0.55000000000000004">
      <c r="AE1299" s="7"/>
      <c r="AT1299" s="7"/>
      <c r="AU1299">
        <f ca="1"/>
      </c>
      <c r="AV1299">
        <f ca="1"/>
      </c>
      <c r="AX1299">
        <f ca="1"/>
      </c>
      <c r="AY1299">
        <f ca="1"/>
      </c>
      <c r="BA1299" s="7"/>
    </row>
    <row r="1300" spans="31:53" x14ac:dyDescent="0.55000000000000004">
      <c r="AE1300" s="7"/>
      <c r="AT1300" s="7"/>
      <c r="AU1300">
        <f ca="1"/>
      </c>
      <c r="AV1300">
        <f ca="1"/>
      </c>
      <c r="AX1300">
        <f ca="1"/>
      </c>
      <c r="AY1300">
        <f ca="1"/>
      </c>
      <c r="BA1300" s="7"/>
    </row>
    <row r="1301" spans="31:53" x14ac:dyDescent="0.55000000000000004">
      <c r="AE1301" s="7"/>
      <c r="AT1301" s="7"/>
      <c r="AU1301">
        <f ca="1"/>
      </c>
      <c r="AV1301">
        <f ca="1"/>
      </c>
      <c r="AX1301">
        <f ca="1"/>
      </c>
      <c r="AY1301">
        <f ca="1"/>
      </c>
      <c r="BA1301" s="7"/>
    </row>
    <row r="1302" spans="31:53" x14ac:dyDescent="0.55000000000000004">
      <c r="AE1302" s="7"/>
      <c r="AT1302" s="7"/>
      <c r="AU1302">
        <f ca="1"/>
      </c>
      <c r="AV1302">
        <f ca="1"/>
      </c>
      <c r="AX1302">
        <f ca="1"/>
      </c>
      <c r="AY1302">
        <f ca="1"/>
      </c>
      <c r="BA1302" s="7"/>
    </row>
    <row r="1303" spans="31:53" x14ac:dyDescent="0.55000000000000004">
      <c r="AE1303" s="7"/>
      <c r="AT1303" s="7"/>
      <c r="AU1303">
        <f ca="1"/>
      </c>
      <c r="AV1303">
        <f ca="1"/>
      </c>
      <c r="AX1303">
        <f ca="1"/>
      </c>
      <c r="AY1303">
        <f ca="1"/>
      </c>
      <c r="BA1303" s="7"/>
    </row>
    <row r="1304" spans="31:53" x14ac:dyDescent="0.55000000000000004">
      <c r="AE1304" s="7"/>
      <c r="AT1304" s="7"/>
      <c r="AU1304">
        <f ca="1"/>
      </c>
      <c r="AV1304">
        <f ca="1"/>
      </c>
      <c r="AX1304">
        <f ca="1"/>
      </c>
      <c r="AY1304">
        <f ca="1"/>
      </c>
      <c r="BA1304" s="7"/>
    </row>
    <row r="1305" spans="31:53" x14ac:dyDescent="0.55000000000000004">
      <c r="AE1305" s="7"/>
      <c r="AT1305" s="7"/>
      <c r="AU1305">
        <f ca="1"/>
      </c>
      <c r="AV1305">
        <f ca="1"/>
      </c>
      <c r="AX1305">
        <f ca="1"/>
      </c>
      <c r="AY1305">
        <f ca="1"/>
      </c>
      <c r="BA1305" s="7"/>
    </row>
    <row r="1306" spans="31:53" x14ac:dyDescent="0.55000000000000004">
      <c r="AE1306" s="7"/>
      <c r="AT1306" s="7"/>
      <c r="AU1306">
        <f ca="1"/>
      </c>
      <c r="AV1306">
        <f ca="1"/>
      </c>
      <c r="AX1306">
        <f ca="1"/>
      </c>
      <c r="AY1306">
        <f ca="1"/>
      </c>
      <c r="BA1306" s="7"/>
    </row>
    <row r="1307" spans="31:53" x14ac:dyDescent="0.55000000000000004">
      <c r="AE1307" s="7"/>
      <c r="AT1307" s="7"/>
      <c r="AU1307">
        <f ca="1"/>
      </c>
      <c r="AV1307">
        <f ca="1"/>
      </c>
      <c r="AX1307">
        <f ca="1"/>
      </c>
      <c r="AY1307">
        <f ca="1"/>
      </c>
      <c r="BA1307" s="7"/>
    </row>
    <row r="1308" spans="31:53" x14ac:dyDescent="0.55000000000000004">
      <c r="AE1308" s="7"/>
      <c r="AT1308" s="7"/>
      <c r="AU1308">
        <f ca="1"/>
      </c>
      <c r="AV1308">
        <f ca="1"/>
      </c>
      <c r="AX1308">
        <f ca="1"/>
      </c>
      <c r="AY1308">
        <f ca="1"/>
      </c>
      <c r="BA1308" s="7"/>
    </row>
    <row r="1309" spans="31:53" x14ac:dyDescent="0.55000000000000004">
      <c r="AE1309" s="7"/>
      <c r="AT1309" s="7"/>
      <c r="AU1309">
        <f ca="1"/>
      </c>
      <c r="AV1309">
        <f ca="1"/>
      </c>
      <c r="AX1309">
        <f ca="1"/>
      </c>
      <c r="AY1309">
        <f ca="1"/>
      </c>
      <c r="BA1309" s="7"/>
    </row>
    <row r="1310" spans="31:53" x14ac:dyDescent="0.55000000000000004">
      <c r="AE1310" s="7"/>
      <c r="AT1310" s="7"/>
      <c r="AU1310">
        <f ca="1"/>
      </c>
      <c r="AV1310">
        <f ca="1"/>
      </c>
      <c r="AX1310">
        <f ca="1"/>
      </c>
      <c r="AY1310">
        <f ca="1"/>
      </c>
      <c r="BA1310" s="7"/>
    </row>
    <row r="1311" spans="31:53" x14ac:dyDescent="0.55000000000000004">
      <c r="AE1311" s="7"/>
      <c r="AT1311" s="7"/>
      <c r="AU1311">
        <f ca="1"/>
      </c>
      <c r="AV1311">
        <f ca="1"/>
      </c>
      <c r="AX1311">
        <f ca="1"/>
      </c>
      <c r="AY1311">
        <f ca="1"/>
      </c>
      <c r="BA1311" s="7"/>
    </row>
    <row r="1312" spans="31:53" x14ac:dyDescent="0.55000000000000004">
      <c r="AE1312" s="7"/>
      <c r="AT1312" s="7"/>
      <c r="AU1312">
        <f ca="1"/>
      </c>
      <c r="AV1312">
        <f ca="1"/>
      </c>
      <c r="AX1312">
        <f ca="1"/>
      </c>
      <c r="AY1312">
        <f ca="1"/>
      </c>
      <c r="BA1312" s="7"/>
    </row>
    <row r="1313" spans="31:53" x14ac:dyDescent="0.55000000000000004">
      <c r="AE1313" s="7"/>
      <c r="AT1313" s="7"/>
      <c r="AU1313">
        <f ca="1"/>
      </c>
      <c r="AV1313">
        <f ca="1"/>
      </c>
      <c r="AX1313">
        <f ca="1"/>
      </c>
      <c r="AY1313">
        <f ca="1"/>
      </c>
      <c r="BA1313" s="7"/>
    </row>
    <row r="1314" spans="31:53" x14ac:dyDescent="0.55000000000000004">
      <c r="AE1314" s="7"/>
      <c r="AT1314" s="7"/>
      <c r="AU1314">
        <f ca="1"/>
      </c>
      <c r="AV1314">
        <f ca="1"/>
      </c>
      <c r="AX1314">
        <f ca="1"/>
      </c>
      <c r="AY1314">
        <f ca="1"/>
      </c>
      <c r="BA1314" s="7"/>
    </row>
    <row r="1315" spans="31:53" x14ac:dyDescent="0.55000000000000004">
      <c r="AE1315" s="7"/>
      <c r="AT1315" s="7"/>
      <c r="AU1315">
        <f ca="1"/>
      </c>
      <c r="AV1315">
        <f ca="1"/>
      </c>
      <c r="AX1315">
        <f ca="1"/>
      </c>
      <c r="AY1315">
        <f ca="1"/>
      </c>
      <c r="BA1315" s="7"/>
    </row>
    <row r="1316" spans="31:53" x14ac:dyDescent="0.55000000000000004">
      <c r="AE1316" s="7"/>
      <c r="AT1316" s="7"/>
      <c r="AU1316">
        <f ca="1"/>
      </c>
      <c r="AV1316">
        <f ca="1"/>
      </c>
      <c r="AX1316">
        <f ca="1"/>
      </c>
      <c r="AY1316">
        <f ca="1"/>
      </c>
      <c r="BA1316" s="7"/>
    </row>
    <row r="1317" spans="31:53" x14ac:dyDescent="0.55000000000000004">
      <c r="AE1317" s="7"/>
      <c r="AT1317" s="7"/>
      <c r="AU1317">
        <f ca="1"/>
      </c>
      <c r="AV1317">
        <f ca="1"/>
      </c>
      <c r="AX1317">
        <f ca="1"/>
      </c>
      <c r="AY1317">
        <f ca="1"/>
      </c>
      <c r="BA1317" s="7"/>
    </row>
    <row r="1318" spans="31:53" x14ac:dyDescent="0.55000000000000004">
      <c r="AE1318" s="7"/>
      <c r="AT1318" s="7"/>
      <c r="AU1318">
        <f ca="1"/>
      </c>
      <c r="AV1318">
        <f ca="1"/>
      </c>
      <c r="AX1318">
        <f ca="1"/>
      </c>
      <c r="AY1318">
        <f ca="1"/>
      </c>
      <c r="BA1318" s="7"/>
    </row>
    <row r="1319" spans="31:53" x14ac:dyDescent="0.55000000000000004">
      <c r="AE1319" s="7"/>
      <c r="AT1319" s="7"/>
      <c r="AU1319">
        <f ca="1"/>
      </c>
      <c r="AV1319">
        <f ca="1"/>
      </c>
      <c r="AX1319">
        <f ca="1"/>
      </c>
      <c r="AY1319">
        <f ca="1"/>
      </c>
      <c r="BA1319" s="7"/>
    </row>
    <row r="1320" spans="31:53" x14ac:dyDescent="0.55000000000000004">
      <c r="AE1320" s="7"/>
      <c r="AT1320" s="7"/>
      <c r="AU1320">
        <f ca="1"/>
      </c>
      <c r="AV1320">
        <f ca="1"/>
      </c>
      <c r="AX1320">
        <f ca="1"/>
      </c>
      <c r="AY1320">
        <f ca="1"/>
      </c>
      <c r="BA1320" s="7"/>
    </row>
    <row r="1321" spans="31:53" x14ac:dyDescent="0.55000000000000004">
      <c r="AE1321" s="7"/>
      <c r="AT1321" s="7"/>
      <c r="AU1321">
        <f ca="1"/>
      </c>
      <c r="AV1321">
        <f ca="1"/>
      </c>
      <c r="AX1321">
        <f ca="1"/>
      </c>
      <c r="AY1321">
        <f ca="1"/>
      </c>
      <c r="BA1321" s="7"/>
    </row>
    <row r="1322" spans="31:53" x14ac:dyDescent="0.55000000000000004">
      <c r="AE1322" s="7"/>
      <c r="AT1322" s="7"/>
      <c r="AU1322">
        <f ca="1"/>
      </c>
      <c r="AV1322">
        <f ca="1"/>
      </c>
      <c r="AX1322">
        <f ca="1"/>
      </c>
      <c r="AY1322">
        <f ca="1"/>
      </c>
      <c r="BA1322" s="7"/>
    </row>
    <row r="1323" spans="31:53" x14ac:dyDescent="0.55000000000000004">
      <c r="AE1323" s="7"/>
      <c r="AT1323" s="7"/>
      <c r="AU1323">
        <f ca="1"/>
      </c>
      <c r="AV1323">
        <f ca="1"/>
      </c>
      <c r="AX1323">
        <f ca="1"/>
      </c>
      <c r="AY1323">
        <f ca="1"/>
      </c>
      <c r="BA1323" s="7"/>
    </row>
    <row r="1324" spans="31:53" x14ac:dyDescent="0.55000000000000004">
      <c r="AE1324" s="7"/>
      <c r="AT1324" s="7"/>
      <c r="AU1324">
        <f ca="1"/>
      </c>
      <c r="AV1324">
        <f ca="1"/>
      </c>
      <c r="AX1324">
        <f ca="1"/>
      </c>
      <c r="AY1324">
        <f ca="1"/>
      </c>
      <c r="BA1324" s="7"/>
    </row>
    <row r="1325" spans="31:53" x14ac:dyDescent="0.55000000000000004">
      <c r="AE1325" s="7"/>
      <c r="AT1325" s="7"/>
      <c r="AU1325">
        <f ca="1"/>
      </c>
      <c r="AV1325">
        <f ca="1"/>
      </c>
      <c r="AX1325">
        <f ca="1"/>
      </c>
      <c r="AY1325">
        <f ca="1"/>
      </c>
      <c r="BA1325" s="7"/>
    </row>
    <row r="1326" spans="31:53" x14ac:dyDescent="0.55000000000000004">
      <c r="AE1326" s="7"/>
      <c r="AT1326" s="7"/>
      <c r="AU1326">
        <f ca="1"/>
      </c>
      <c r="AV1326">
        <f ca="1"/>
      </c>
      <c r="AX1326">
        <f ca="1"/>
      </c>
      <c r="AY1326">
        <f ca="1"/>
      </c>
      <c r="BA1326" s="7"/>
    </row>
    <row r="1327" spans="31:53" x14ac:dyDescent="0.55000000000000004">
      <c r="AE1327" s="7"/>
      <c r="AT1327" s="7"/>
      <c r="AU1327">
        <f ca="1"/>
      </c>
      <c r="AV1327">
        <f ca="1"/>
      </c>
      <c r="AX1327">
        <f ca="1"/>
      </c>
      <c r="AY1327">
        <f ca="1"/>
      </c>
      <c r="BA1327" s="7"/>
    </row>
    <row r="1328" spans="31:53" x14ac:dyDescent="0.55000000000000004">
      <c r="AE1328" s="7"/>
      <c r="AT1328" s="7"/>
      <c r="AU1328">
        <f ca="1"/>
      </c>
      <c r="AV1328">
        <f ca="1"/>
      </c>
      <c r="AX1328">
        <f ca="1"/>
      </c>
      <c r="AY1328">
        <f ca="1"/>
      </c>
      <c r="BA1328" s="7"/>
    </row>
    <row r="1329" spans="31:53" x14ac:dyDescent="0.55000000000000004">
      <c r="AE1329" s="7"/>
      <c r="AT1329" s="7"/>
      <c r="AU1329">
        <f ca="1"/>
      </c>
      <c r="AV1329">
        <f ca="1"/>
      </c>
      <c r="AX1329">
        <f ca="1"/>
      </c>
      <c r="AY1329">
        <f ca="1"/>
      </c>
      <c r="BA1329" s="7"/>
    </row>
    <row r="1330" spans="31:53" x14ac:dyDescent="0.55000000000000004">
      <c r="AE1330" s="7"/>
      <c r="AT1330" s="7"/>
      <c r="AU1330">
        <f ca="1"/>
      </c>
      <c r="AV1330">
        <f ca="1"/>
      </c>
      <c r="AX1330">
        <f ca="1"/>
      </c>
      <c r="AY1330">
        <f ca="1"/>
      </c>
      <c r="BA1330" s="7"/>
    </row>
    <row r="1331" spans="31:53" x14ac:dyDescent="0.55000000000000004">
      <c r="AE1331" s="7"/>
      <c r="AT1331" s="7"/>
      <c r="AU1331">
        <f ca="1"/>
      </c>
      <c r="AV1331">
        <f ca="1"/>
      </c>
      <c r="AX1331">
        <f ca="1"/>
      </c>
      <c r="AY1331">
        <f ca="1"/>
      </c>
      <c r="BA1331" s="7"/>
    </row>
    <row r="1332" spans="31:53" x14ac:dyDescent="0.55000000000000004">
      <c r="AE1332" s="7"/>
      <c r="AT1332" s="7"/>
      <c r="AU1332">
        <f ca="1"/>
      </c>
      <c r="AV1332">
        <f ca="1"/>
      </c>
      <c r="AX1332">
        <f ca="1"/>
      </c>
      <c r="AY1332">
        <f ca="1"/>
      </c>
      <c r="BA1332" s="7"/>
    </row>
    <row r="1333" spans="31:53" x14ac:dyDescent="0.55000000000000004">
      <c r="AE1333" s="7"/>
      <c r="AT1333" s="7"/>
      <c r="AU1333">
        <f ca="1"/>
      </c>
      <c r="AV1333">
        <f ca="1"/>
      </c>
      <c r="AX1333">
        <f ca="1"/>
      </c>
      <c r="AY1333">
        <f ca="1"/>
      </c>
      <c r="BA1333" s="7"/>
    </row>
    <row r="1334" spans="31:53" x14ac:dyDescent="0.55000000000000004">
      <c r="AE1334" s="7"/>
      <c r="AT1334" s="7"/>
      <c r="AU1334">
        <f ca="1"/>
      </c>
      <c r="AV1334">
        <f ca="1"/>
      </c>
      <c r="AX1334">
        <f ca="1"/>
      </c>
      <c r="AY1334">
        <f ca="1"/>
      </c>
      <c r="BA1334" s="7"/>
    </row>
    <row r="1335" spans="31:53" x14ac:dyDescent="0.55000000000000004">
      <c r="AE1335" s="7"/>
      <c r="AT1335" s="7"/>
      <c r="AU1335">
        <f ca="1"/>
      </c>
      <c r="AV1335">
        <f ca="1"/>
      </c>
      <c r="AX1335">
        <f ca="1"/>
      </c>
      <c r="AY1335">
        <f ca="1"/>
      </c>
      <c r="BA1335" s="7"/>
    </row>
    <row r="1336" spans="31:53" x14ac:dyDescent="0.55000000000000004">
      <c r="AE1336" s="7"/>
      <c r="AT1336" s="7"/>
      <c r="AU1336">
        <f ca="1"/>
      </c>
      <c r="AV1336">
        <f ca="1"/>
      </c>
      <c r="AX1336">
        <f ca="1"/>
      </c>
      <c r="AY1336">
        <f ca="1"/>
      </c>
      <c r="BA1336" s="7"/>
    </row>
    <row r="1337" spans="31:53" x14ac:dyDescent="0.55000000000000004">
      <c r="AE1337" s="7"/>
      <c r="AT1337" s="7"/>
      <c r="AU1337">
        <f ca="1"/>
      </c>
      <c r="AV1337">
        <f ca="1"/>
      </c>
      <c r="AX1337">
        <f ca="1"/>
      </c>
      <c r="AY1337">
        <f ca="1"/>
      </c>
      <c r="BA1337" s="7"/>
    </row>
    <row r="1338" spans="31:53" x14ac:dyDescent="0.55000000000000004">
      <c r="AE1338" s="7"/>
      <c r="AT1338" s="7"/>
      <c r="AU1338">
        <f ca="1"/>
      </c>
      <c r="AV1338">
        <f ca="1"/>
      </c>
      <c r="AX1338">
        <f ca="1"/>
      </c>
      <c r="AY1338">
        <f ca="1"/>
      </c>
      <c r="BA1338" s="7"/>
    </row>
    <row r="1339" spans="31:53" x14ac:dyDescent="0.55000000000000004">
      <c r="AE1339" s="7"/>
      <c r="AT1339" s="7"/>
      <c r="AU1339">
        <f ca="1"/>
      </c>
      <c r="AV1339">
        <f ca="1"/>
      </c>
      <c r="AX1339">
        <f ca="1"/>
      </c>
      <c r="AY1339">
        <f ca="1"/>
      </c>
      <c r="BA1339" s="7"/>
    </row>
    <row r="1340" spans="31:53" x14ac:dyDescent="0.55000000000000004">
      <c r="AE1340" s="7"/>
      <c r="AT1340" s="7"/>
      <c r="AU1340">
        <f ca="1"/>
      </c>
      <c r="AV1340">
        <f ca="1"/>
      </c>
      <c r="AX1340">
        <f ca="1"/>
      </c>
      <c r="AY1340">
        <f ca="1"/>
      </c>
      <c r="BA1340" s="7"/>
    </row>
    <row r="1341" spans="31:53" x14ac:dyDescent="0.55000000000000004">
      <c r="AE1341" s="7"/>
      <c r="AT1341" s="7"/>
      <c r="AU1341">
        <f ca="1"/>
      </c>
      <c r="AV1341">
        <f ca="1"/>
      </c>
      <c r="AX1341">
        <f ca="1"/>
      </c>
      <c r="AY1341">
        <f ca="1"/>
      </c>
      <c r="BA1341" s="7"/>
    </row>
    <row r="1342" spans="31:53" x14ac:dyDescent="0.55000000000000004">
      <c r="AE1342" s="7"/>
      <c r="AT1342" s="7"/>
      <c r="AU1342">
        <f ca="1"/>
      </c>
      <c r="AV1342">
        <f ca="1"/>
      </c>
      <c r="AX1342">
        <f ca="1"/>
      </c>
      <c r="AY1342">
        <f ca="1"/>
      </c>
      <c r="BA1342" s="7"/>
    </row>
    <row r="1343" spans="31:53" x14ac:dyDescent="0.55000000000000004">
      <c r="AE1343" s="7"/>
      <c r="AT1343" s="7"/>
      <c r="AU1343">
        <f ca="1"/>
      </c>
      <c r="AV1343">
        <f ca="1"/>
      </c>
      <c r="AX1343">
        <f ca="1"/>
      </c>
      <c r="AY1343">
        <f ca="1"/>
      </c>
      <c r="BA1343" s="7"/>
    </row>
    <row r="1344" spans="31:53" x14ac:dyDescent="0.55000000000000004">
      <c r="AE1344" s="7"/>
      <c r="AT1344" s="7"/>
      <c r="AU1344">
        <f ca="1"/>
      </c>
      <c r="AV1344">
        <f ca="1"/>
      </c>
      <c r="AX1344">
        <f ca="1"/>
      </c>
      <c r="AY1344">
        <f ca="1"/>
      </c>
      <c r="BA1344" s="7"/>
    </row>
    <row r="1345" spans="31:53" x14ac:dyDescent="0.55000000000000004">
      <c r="AE1345" s="7"/>
      <c r="AT1345" s="7"/>
      <c r="AU1345">
        <f ca="1"/>
      </c>
      <c r="AV1345">
        <f ca="1"/>
      </c>
      <c r="AX1345">
        <f ca="1"/>
      </c>
      <c r="AY1345">
        <f ca="1"/>
      </c>
      <c r="BA1345" s="7"/>
    </row>
    <row r="1346" spans="31:53" x14ac:dyDescent="0.55000000000000004">
      <c r="AE1346" s="7"/>
      <c r="AT1346" s="7"/>
      <c r="AU1346">
        <f ca="1"/>
      </c>
      <c r="AV1346">
        <f ca="1"/>
      </c>
      <c r="AX1346">
        <f ca="1"/>
      </c>
      <c r="AY1346">
        <f ca="1"/>
      </c>
      <c r="BA1346" s="7"/>
    </row>
    <row r="1347" spans="31:53" x14ac:dyDescent="0.55000000000000004">
      <c r="AE1347" s="7"/>
      <c r="AT1347" s="7"/>
      <c r="AU1347">
        <f ca="1"/>
      </c>
      <c r="AV1347">
        <f ca="1"/>
      </c>
      <c r="AX1347">
        <f ca="1"/>
      </c>
      <c r="AY1347">
        <f ca="1"/>
      </c>
      <c r="BA1347" s="7"/>
    </row>
    <row r="1348" spans="31:53" x14ac:dyDescent="0.55000000000000004">
      <c r="AE1348" s="7"/>
      <c r="AT1348" s="7"/>
      <c r="AU1348">
        <f ca="1"/>
      </c>
      <c r="AV1348">
        <f ca="1"/>
      </c>
      <c r="AX1348">
        <f ca="1"/>
      </c>
      <c r="AY1348">
        <f ca="1"/>
      </c>
      <c r="BA1348" s="7"/>
    </row>
    <row r="1349" spans="31:53" x14ac:dyDescent="0.55000000000000004">
      <c r="AE1349" s="7"/>
      <c r="AT1349" s="7"/>
      <c r="AU1349">
        <f ca="1"/>
      </c>
      <c r="AV1349">
        <f ca="1"/>
      </c>
      <c r="AX1349">
        <f ca="1"/>
      </c>
      <c r="AY1349">
        <f ca="1"/>
      </c>
      <c r="BA1349" s="7"/>
    </row>
    <row r="1350" spans="31:53" x14ac:dyDescent="0.55000000000000004">
      <c r="AE1350" s="7"/>
      <c r="AT1350" s="7"/>
      <c r="AU1350">
        <f ca="1"/>
      </c>
      <c r="AV1350">
        <f ca="1"/>
      </c>
      <c r="AX1350">
        <f ca="1"/>
      </c>
      <c r="AY1350">
        <f ca="1"/>
      </c>
      <c r="BA1350" s="7"/>
    </row>
    <row r="1351" spans="31:53" x14ac:dyDescent="0.55000000000000004">
      <c r="AE1351" s="7"/>
      <c r="AT1351" s="7"/>
      <c r="AU1351">
        <f ca="1"/>
      </c>
      <c r="AV1351">
        <f ca="1"/>
      </c>
      <c r="AX1351">
        <f ca="1"/>
      </c>
      <c r="AY1351">
        <f ca="1"/>
      </c>
      <c r="BA1351" s="7"/>
    </row>
    <row r="1352" spans="31:53" x14ac:dyDescent="0.55000000000000004">
      <c r="AE1352" s="7"/>
      <c r="AT1352" s="7"/>
      <c r="AU1352">
        <f ca="1"/>
      </c>
      <c r="AV1352">
        <f ca="1"/>
      </c>
      <c r="AX1352">
        <f ca="1"/>
      </c>
      <c r="AY1352">
        <f ca="1"/>
      </c>
      <c r="BA1352" s="7"/>
    </row>
    <row r="1353" spans="31:53" x14ac:dyDescent="0.55000000000000004">
      <c r="AE1353" s="7"/>
      <c r="AT1353" s="7"/>
      <c r="AU1353">
        <f ca="1"/>
      </c>
      <c r="AV1353">
        <f ca="1"/>
      </c>
      <c r="AX1353">
        <f ca="1"/>
      </c>
      <c r="AY1353">
        <f ca="1"/>
      </c>
      <c r="BA1353" s="7"/>
    </row>
    <row r="1354" spans="31:53" x14ac:dyDescent="0.55000000000000004">
      <c r="AE1354" s="7"/>
      <c r="AT1354" s="7"/>
      <c r="AU1354">
        <f ca="1"/>
      </c>
      <c r="AV1354">
        <f ca="1"/>
      </c>
      <c r="AX1354">
        <f ca="1"/>
      </c>
      <c r="AY1354">
        <f ca="1"/>
      </c>
      <c r="BA1354" s="7"/>
    </row>
    <row r="1355" spans="31:53" x14ac:dyDescent="0.55000000000000004">
      <c r="AE1355" s="7"/>
      <c r="AT1355" s="7"/>
      <c r="AU1355">
        <f ca="1"/>
      </c>
      <c r="AV1355">
        <f ca="1"/>
      </c>
      <c r="AX1355">
        <f ca="1"/>
      </c>
      <c r="AY1355">
        <f ca="1"/>
      </c>
      <c r="BA1355" s="7"/>
    </row>
    <row r="1356" spans="31:53" x14ac:dyDescent="0.55000000000000004">
      <c r="AE1356" s="7"/>
      <c r="AT1356" s="7"/>
      <c r="AU1356">
        <f ca="1"/>
      </c>
      <c r="AV1356">
        <f ca="1"/>
      </c>
      <c r="AX1356">
        <f ca="1"/>
      </c>
      <c r="AY1356">
        <f ca="1"/>
      </c>
      <c r="BA1356" s="7"/>
    </row>
    <row r="1357" spans="31:53" x14ac:dyDescent="0.55000000000000004">
      <c r="AE1357" s="7"/>
      <c r="AT1357" s="7"/>
      <c r="AU1357">
        <f ca="1"/>
      </c>
      <c r="AV1357">
        <f ca="1"/>
      </c>
      <c r="AX1357">
        <f ca="1"/>
      </c>
      <c r="AY1357">
        <f ca="1"/>
      </c>
      <c r="BA1357" s="7"/>
    </row>
    <row r="1358" spans="31:53" x14ac:dyDescent="0.55000000000000004">
      <c r="AE1358" s="7"/>
      <c r="AT1358" s="7"/>
      <c r="AU1358">
        <f ca="1"/>
      </c>
      <c r="AV1358">
        <f ca="1"/>
      </c>
      <c r="AX1358">
        <f ca="1"/>
      </c>
      <c r="AY1358">
        <f ca="1"/>
      </c>
      <c r="BA1358" s="7"/>
    </row>
    <row r="1359" spans="31:53" x14ac:dyDescent="0.55000000000000004">
      <c r="AE1359" s="7"/>
      <c r="AT1359" s="7"/>
      <c r="AU1359">
        <f ca="1"/>
      </c>
      <c r="AV1359">
        <f ca="1"/>
      </c>
      <c r="AX1359">
        <f ca="1"/>
      </c>
      <c r="AY1359">
        <f ca="1"/>
      </c>
      <c r="BA1359" s="7"/>
    </row>
    <row r="1360" spans="31:53" x14ac:dyDescent="0.55000000000000004">
      <c r="AE1360" s="7"/>
      <c r="AT1360" s="7"/>
      <c r="AU1360">
        <f ca="1"/>
      </c>
      <c r="AV1360">
        <f ca="1"/>
      </c>
      <c r="AX1360">
        <f ca="1"/>
      </c>
      <c r="AY1360">
        <f ca="1"/>
      </c>
      <c r="BA1360" s="7"/>
    </row>
    <row r="1361" spans="31:53" x14ac:dyDescent="0.55000000000000004">
      <c r="AE1361" s="7"/>
      <c r="AT1361" s="7"/>
      <c r="AU1361">
        <f ca="1"/>
      </c>
      <c r="AV1361">
        <f ca="1"/>
      </c>
      <c r="AX1361">
        <f ca="1"/>
      </c>
      <c r="AY1361">
        <f ca="1"/>
      </c>
      <c r="BA1361" s="7"/>
    </row>
    <row r="1362" spans="31:53" x14ac:dyDescent="0.55000000000000004">
      <c r="AE1362" s="7"/>
      <c r="AT1362" s="7"/>
      <c r="AU1362">
        <f ca="1"/>
      </c>
      <c r="AV1362">
        <f ca="1"/>
      </c>
      <c r="AX1362">
        <f ca="1"/>
      </c>
      <c r="AY1362">
        <f ca="1"/>
      </c>
      <c r="BA1362" s="7"/>
    </row>
    <row r="1363" spans="31:53" x14ac:dyDescent="0.55000000000000004">
      <c r="AE1363" s="7"/>
      <c r="AT1363" s="7"/>
      <c r="AU1363">
        <f ca="1"/>
      </c>
      <c r="AV1363">
        <f ca="1"/>
      </c>
      <c r="AX1363">
        <f ca="1"/>
      </c>
      <c r="AY1363">
        <f ca="1"/>
      </c>
      <c r="BA1363" s="7"/>
    </row>
    <row r="1364" spans="31:53" x14ac:dyDescent="0.55000000000000004">
      <c r="AE1364" s="7"/>
      <c r="AT1364" s="7"/>
      <c r="AU1364">
        <f ca="1"/>
      </c>
      <c r="AV1364">
        <f ca="1"/>
      </c>
      <c r="AX1364">
        <f ca="1"/>
      </c>
      <c r="AY1364">
        <f ca="1"/>
      </c>
      <c r="BA1364" s="7"/>
    </row>
    <row r="1365" spans="31:53" x14ac:dyDescent="0.55000000000000004">
      <c r="AE1365" s="7"/>
      <c r="AT1365" s="7"/>
      <c r="AU1365">
        <f ca="1"/>
      </c>
      <c r="AV1365">
        <f ca="1"/>
      </c>
      <c r="AX1365">
        <f ca="1"/>
      </c>
      <c r="AY1365">
        <f ca="1"/>
      </c>
      <c r="BA1365" s="7"/>
    </row>
    <row r="1366" spans="31:53" x14ac:dyDescent="0.55000000000000004">
      <c r="AE1366" s="7"/>
      <c r="AT1366" s="7"/>
      <c r="AU1366">
        <f ca="1"/>
      </c>
      <c r="AV1366">
        <f ca="1"/>
      </c>
      <c r="AX1366">
        <f ca="1"/>
      </c>
      <c r="AY1366">
        <f ca="1"/>
      </c>
      <c r="BA1366" s="7"/>
    </row>
    <row r="1367" spans="31:53" x14ac:dyDescent="0.55000000000000004">
      <c r="AE1367" s="7"/>
      <c r="AT1367" s="7"/>
      <c r="AU1367">
        <f ca="1"/>
      </c>
      <c r="AV1367">
        <f ca="1"/>
      </c>
      <c r="AX1367">
        <f ca="1"/>
      </c>
      <c r="AY1367">
        <f ca="1"/>
      </c>
      <c r="BA1367" s="7"/>
    </row>
    <row r="1368" spans="31:53" x14ac:dyDescent="0.55000000000000004">
      <c r="AE1368" s="7"/>
      <c r="AT1368" s="7"/>
      <c r="AU1368">
        <f ca="1"/>
      </c>
      <c r="AV1368">
        <f ca="1"/>
      </c>
      <c r="AX1368">
        <f ca="1"/>
      </c>
      <c r="AY1368">
        <f ca="1"/>
      </c>
      <c r="BA1368" s="7"/>
    </row>
    <row r="1369" spans="31:53" x14ac:dyDescent="0.55000000000000004">
      <c r="AE1369" s="7"/>
      <c r="AT1369" s="7"/>
      <c r="AU1369">
        <f ca="1"/>
      </c>
      <c r="AV1369">
        <f ca="1"/>
      </c>
      <c r="AX1369">
        <f ca="1"/>
      </c>
      <c r="AY1369">
        <f ca="1"/>
      </c>
      <c r="BA1369" s="7"/>
    </row>
    <row r="1370" spans="31:53" x14ac:dyDescent="0.55000000000000004">
      <c r="AE1370" s="7"/>
      <c r="AT1370" s="7"/>
      <c r="AU1370">
        <f ca="1"/>
      </c>
      <c r="AV1370">
        <f ca="1"/>
      </c>
      <c r="AX1370">
        <f ca="1"/>
      </c>
      <c r="AY1370">
        <f ca="1"/>
      </c>
      <c r="BA1370" s="7"/>
    </row>
    <row r="1371" spans="31:53" x14ac:dyDescent="0.55000000000000004">
      <c r="AE1371" s="7"/>
      <c r="AT1371" s="7"/>
      <c r="AU1371">
        <f ca="1"/>
      </c>
      <c r="AV1371">
        <f ca="1"/>
      </c>
      <c r="AX1371">
        <f ca="1"/>
      </c>
      <c r="AY1371">
        <f ca="1"/>
      </c>
      <c r="BA1371" s="7"/>
    </row>
    <row r="1372" spans="31:53" x14ac:dyDescent="0.55000000000000004">
      <c r="AE1372" s="7"/>
      <c r="AT1372" s="7"/>
      <c r="AU1372">
        <f ca="1"/>
      </c>
      <c r="AV1372">
        <f ca="1"/>
      </c>
      <c r="AX1372">
        <f ca="1"/>
      </c>
      <c r="AY1372">
        <f ca="1"/>
      </c>
      <c r="BA1372" s="7"/>
    </row>
    <row r="1373" spans="31:53" x14ac:dyDescent="0.55000000000000004">
      <c r="AE1373" s="7"/>
      <c r="AT1373" s="7"/>
      <c r="AU1373">
        <f ca="1"/>
      </c>
      <c r="AV1373">
        <f ca="1"/>
      </c>
      <c r="AX1373">
        <f ca="1"/>
      </c>
      <c r="AY1373">
        <f ca="1"/>
      </c>
      <c r="BA1373" s="7"/>
    </row>
    <row r="1374" spans="31:53" x14ac:dyDescent="0.55000000000000004">
      <c r="AE1374" s="7"/>
      <c r="AT1374" s="7"/>
      <c r="AU1374">
        <f ca="1"/>
      </c>
      <c r="AV1374">
        <f ca="1"/>
      </c>
      <c r="AX1374">
        <f ca="1"/>
      </c>
      <c r="AY1374">
        <f ca="1"/>
      </c>
      <c r="BA1374" s="7"/>
    </row>
    <row r="1375" spans="31:53" x14ac:dyDescent="0.55000000000000004">
      <c r="AE1375" s="7"/>
      <c r="AT1375" s="7"/>
      <c r="AU1375">
        <f ca="1"/>
      </c>
      <c r="AV1375">
        <f ca="1"/>
      </c>
      <c r="AX1375">
        <f ca="1"/>
      </c>
      <c r="AY1375">
        <f ca="1"/>
      </c>
      <c r="BA1375" s="7"/>
    </row>
    <row r="1376" spans="31:53" x14ac:dyDescent="0.55000000000000004">
      <c r="AE1376" s="7"/>
      <c r="AT1376" s="7"/>
      <c r="AU1376">
        <f ca="1"/>
      </c>
      <c r="AV1376">
        <f ca="1"/>
      </c>
      <c r="AX1376">
        <f ca="1"/>
      </c>
      <c r="AY1376">
        <f ca="1"/>
      </c>
      <c r="BA1376" s="7"/>
    </row>
    <row r="1377" spans="31:53" x14ac:dyDescent="0.55000000000000004">
      <c r="AE1377" s="7"/>
      <c r="AT1377" s="7"/>
      <c r="AU1377">
        <f ca="1"/>
      </c>
      <c r="AV1377">
        <f ca="1"/>
      </c>
      <c r="AX1377">
        <f ca="1"/>
      </c>
      <c r="AY1377">
        <f ca="1"/>
      </c>
      <c r="BA1377" s="7"/>
    </row>
    <row r="1378" spans="31:53" x14ac:dyDescent="0.55000000000000004">
      <c r="AE1378" s="7"/>
      <c r="AT1378" s="7"/>
      <c r="AU1378">
        <f ca="1"/>
      </c>
      <c r="AV1378">
        <f ca="1"/>
      </c>
      <c r="AX1378">
        <f ca="1"/>
      </c>
      <c r="AY1378">
        <f ca="1"/>
      </c>
      <c r="BA1378" s="7"/>
    </row>
    <row r="1379" spans="31:53" x14ac:dyDescent="0.55000000000000004">
      <c r="AE1379" s="7"/>
      <c r="AT1379" s="7"/>
      <c r="AU1379">
        <f ca="1"/>
      </c>
      <c r="AV1379">
        <f ca="1"/>
      </c>
      <c r="AX1379">
        <f ca="1"/>
      </c>
      <c r="AY1379">
        <f ca="1"/>
      </c>
      <c r="BA1379" s="7"/>
    </row>
    <row r="1380" spans="31:53" x14ac:dyDescent="0.55000000000000004">
      <c r="AE1380" s="7"/>
      <c r="AT1380" s="7"/>
      <c r="AU1380">
        <f ca="1"/>
      </c>
      <c r="AV1380">
        <f ca="1"/>
      </c>
      <c r="AX1380">
        <f ca="1"/>
      </c>
      <c r="AY1380">
        <f ca="1"/>
      </c>
      <c r="BA1380" s="7"/>
    </row>
    <row r="1381" spans="31:53" x14ac:dyDescent="0.55000000000000004">
      <c r="AE1381" s="7"/>
      <c r="AT1381" s="7"/>
      <c r="AU1381">
        <f ca="1"/>
      </c>
      <c r="AV1381">
        <f ca="1"/>
      </c>
      <c r="AX1381">
        <f ca="1"/>
      </c>
      <c r="AY1381">
        <f ca="1"/>
      </c>
      <c r="BA1381" s="7"/>
    </row>
    <row r="1382" spans="31:53" x14ac:dyDescent="0.55000000000000004">
      <c r="AE1382" s="7"/>
      <c r="AT1382" s="7"/>
      <c r="AU1382">
        <f ca="1"/>
      </c>
      <c r="AV1382">
        <f ca="1"/>
      </c>
      <c r="AX1382">
        <f ca="1"/>
      </c>
      <c r="AY1382">
        <f ca="1"/>
      </c>
      <c r="BA1382" s="7"/>
    </row>
    <row r="1383" spans="31:53" x14ac:dyDescent="0.55000000000000004">
      <c r="AE1383" s="7"/>
      <c r="AT1383" s="7"/>
      <c r="AU1383">
        <f ca="1"/>
      </c>
      <c r="AV1383">
        <f ca="1"/>
      </c>
      <c r="AX1383">
        <f ca="1"/>
      </c>
      <c r="AY1383">
        <f ca="1"/>
      </c>
      <c r="BA1383" s="7"/>
    </row>
    <row r="1384" spans="31:53" x14ac:dyDescent="0.55000000000000004">
      <c r="AE1384" s="7"/>
      <c r="AT1384" s="7"/>
      <c r="AU1384">
        <f ca="1"/>
      </c>
      <c r="AV1384">
        <f ca="1"/>
      </c>
      <c r="AX1384">
        <f ca="1"/>
      </c>
      <c r="AY1384">
        <f ca="1"/>
      </c>
      <c r="BA1384" s="7"/>
    </row>
    <row r="1385" spans="31:53" x14ac:dyDescent="0.55000000000000004">
      <c r="AE1385" s="7"/>
      <c r="AT1385" s="7"/>
      <c r="AU1385">
        <f ca="1"/>
      </c>
      <c r="AV1385">
        <f ca="1"/>
      </c>
      <c r="AX1385">
        <f ca="1"/>
      </c>
      <c r="AY1385">
        <f ca="1"/>
      </c>
      <c r="BA1385" s="7"/>
    </row>
    <row r="1386" spans="31:53" x14ac:dyDescent="0.55000000000000004">
      <c r="AE1386" s="7"/>
      <c r="AT1386" s="7"/>
      <c r="AU1386">
        <f ca="1"/>
      </c>
      <c r="AV1386">
        <f ca="1"/>
      </c>
      <c r="AX1386">
        <f ca="1"/>
      </c>
      <c r="AY1386">
        <f ca="1"/>
      </c>
      <c r="BA1386" s="7"/>
    </row>
    <row r="1387" spans="31:53" x14ac:dyDescent="0.55000000000000004">
      <c r="AE1387" s="7"/>
      <c r="AT1387" s="7"/>
      <c r="AU1387">
        <f ca="1"/>
      </c>
      <c r="AV1387">
        <f ca="1"/>
      </c>
      <c r="AX1387">
        <f ca="1"/>
      </c>
      <c r="AY1387">
        <f ca="1"/>
      </c>
      <c r="BA1387" s="7"/>
    </row>
    <row r="1388" spans="31:53" x14ac:dyDescent="0.55000000000000004">
      <c r="AE1388" s="7"/>
      <c r="AT1388" s="7"/>
      <c r="AU1388">
        <f ca="1"/>
      </c>
      <c r="AV1388">
        <f ca="1"/>
      </c>
      <c r="AX1388">
        <f ca="1"/>
      </c>
      <c r="AY1388">
        <f ca="1"/>
      </c>
      <c r="BA1388" s="7"/>
    </row>
    <row r="1389" spans="31:53" x14ac:dyDescent="0.55000000000000004">
      <c r="AE1389" s="7"/>
      <c r="AT1389" s="7"/>
      <c r="AU1389">
        <f ca="1"/>
      </c>
      <c r="AV1389">
        <f ca="1"/>
      </c>
      <c r="AX1389">
        <f ca="1"/>
      </c>
      <c r="AY1389">
        <f ca="1"/>
      </c>
      <c r="BA1389" s="7"/>
    </row>
    <row r="1390" spans="31:53" x14ac:dyDescent="0.55000000000000004">
      <c r="AE1390" s="7"/>
      <c r="AT1390" s="7"/>
      <c r="AU1390">
        <f ca="1"/>
      </c>
      <c r="AV1390">
        <f ca="1"/>
      </c>
      <c r="AX1390">
        <f ca="1"/>
      </c>
      <c r="AY1390">
        <f ca="1"/>
      </c>
      <c r="BA1390" s="7"/>
    </row>
    <row r="1391" spans="31:53" x14ac:dyDescent="0.55000000000000004">
      <c r="AE1391" s="7"/>
      <c r="AT1391" s="7"/>
      <c r="AU1391">
        <f ca="1"/>
      </c>
      <c r="AV1391">
        <f ca="1"/>
      </c>
      <c r="AX1391">
        <f ca="1"/>
      </c>
      <c r="AY1391">
        <f ca="1"/>
      </c>
      <c r="BA1391" s="7"/>
    </row>
    <row r="1392" spans="31:53" x14ac:dyDescent="0.55000000000000004">
      <c r="AE1392" s="7"/>
      <c r="AT1392" s="7"/>
      <c r="AU1392">
        <f ca="1"/>
      </c>
      <c r="AV1392">
        <f ca="1"/>
      </c>
      <c r="AX1392">
        <f ca="1"/>
      </c>
      <c r="AY1392">
        <f ca="1"/>
      </c>
      <c r="BA1392" s="7"/>
    </row>
    <row r="1393" spans="31:53" x14ac:dyDescent="0.55000000000000004">
      <c r="AE1393" s="7"/>
      <c r="AT1393" s="7"/>
      <c r="AU1393">
        <f ca="1"/>
      </c>
      <c r="AV1393">
        <f ca="1"/>
      </c>
      <c r="AX1393">
        <f ca="1"/>
      </c>
      <c r="AY1393">
        <f ca="1"/>
      </c>
      <c r="BA1393" s="7"/>
    </row>
    <row r="1394" spans="31:53" x14ac:dyDescent="0.55000000000000004">
      <c r="AE1394" s="7"/>
      <c r="AT1394" s="7"/>
      <c r="AU1394">
        <f ca="1"/>
      </c>
      <c r="AV1394">
        <f ca="1"/>
      </c>
      <c r="AX1394">
        <f ca="1"/>
      </c>
      <c r="AY1394">
        <f ca="1"/>
      </c>
      <c r="BA1394" s="7"/>
    </row>
    <row r="1395" spans="31:53" x14ac:dyDescent="0.55000000000000004">
      <c r="AE1395" s="7"/>
      <c r="AT1395" s="7"/>
      <c r="AU1395">
        <f ca="1"/>
      </c>
      <c r="AV1395">
        <f ca="1"/>
      </c>
      <c r="AX1395">
        <f ca="1"/>
      </c>
      <c r="AY1395">
        <f ca="1"/>
      </c>
      <c r="BA1395" s="7"/>
    </row>
    <row r="1396" spans="31:53" x14ac:dyDescent="0.55000000000000004">
      <c r="AE1396" s="7"/>
      <c r="AT1396" s="7"/>
      <c r="AU1396">
        <f ca="1"/>
      </c>
      <c r="AV1396">
        <f ca="1"/>
      </c>
      <c r="AX1396">
        <f ca="1"/>
      </c>
      <c r="AY1396">
        <f ca="1"/>
      </c>
      <c r="BA1396" s="7"/>
    </row>
    <row r="1397" spans="31:53" x14ac:dyDescent="0.55000000000000004">
      <c r="AE1397" s="7"/>
      <c r="AT1397" s="7"/>
      <c r="AU1397">
        <f ca="1"/>
      </c>
      <c r="AV1397">
        <f ca="1"/>
      </c>
      <c r="AX1397">
        <f ca="1"/>
      </c>
      <c r="AY1397">
        <f ca="1"/>
      </c>
      <c r="BA1397" s="7"/>
    </row>
    <row r="1398" spans="31:53" x14ac:dyDescent="0.55000000000000004">
      <c r="AE1398" s="7"/>
      <c r="AT1398" s="7"/>
      <c r="AU1398">
        <f ca="1"/>
      </c>
      <c r="AV1398">
        <f ca="1"/>
      </c>
      <c r="AX1398">
        <f ca="1"/>
      </c>
      <c r="AY1398">
        <f ca="1"/>
      </c>
      <c r="BA1398" s="7"/>
    </row>
    <row r="1399" spans="31:53" x14ac:dyDescent="0.55000000000000004">
      <c r="AE1399" s="7"/>
      <c r="AT1399" s="7"/>
      <c r="AU1399">
        <f ca="1"/>
      </c>
      <c r="AV1399">
        <f ca="1"/>
      </c>
      <c r="AX1399">
        <f ca="1"/>
      </c>
      <c r="AY1399">
        <f ca="1"/>
      </c>
      <c r="BA1399" s="7"/>
    </row>
    <row r="1400" spans="31:53" x14ac:dyDescent="0.55000000000000004">
      <c r="AE1400" s="7"/>
      <c r="AT1400" s="7"/>
      <c r="AU1400">
        <f ca="1"/>
      </c>
      <c r="AV1400">
        <f ca="1"/>
      </c>
      <c r="AX1400">
        <f ca="1"/>
      </c>
      <c r="AY1400">
        <f ca="1"/>
      </c>
      <c r="BA1400" s="7"/>
    </row>
    <row r="1401" spans="31:53" x14ac:dyDescent="0.55000000000000004">
      <c r="AE1401" s="7"/>
      <c r="AT1401" s="7"/>
      <c r="AU1401">
        <f ca="1"/>
      </c>
      <c r="AV1401">
        <f ca="1"/>
      </c>
      <c r="AX1401">
        <f ca="1"/>
      </c>
      <c r="AY1401">
        <f ca="1"/>
      </c>
      <c r="BA1401" s="7"/>
    </row>
    <row r="1402" spans="31:53" x14ac:dyDescent="0.55000000000000004">
      <c r="AE1402" s="7"/>
      <c r="AT1402" s="7"/>
      <c r="AU1402">
        <f ca="1"/>
      </c>
      <c r="AV1402">
        <f ca="1"/>
      </c>
      <c r="AX1402">
        <f ca="1"/>
      </c>
      <c r="AY1402">
        <f ca="1"/>
      </c>
      <c r="BA1402" s="7"/>
    </row>
    <row r="1403" spans="31:53" x14ac:dyDescent="0.55000000000000004">
      <c r="AE1403" s="7"/>
      <c r="AT1403" s="7"/>
      <c r="AU1403">
        <f ca="1"/>
      </c>
      <c r="AV1403">
        <f ca="1"/>
      </c>
      <c r="AX1403">
        <f ca="1"/>
      </c>
      <c r="AY1403">
        <f ca="1"/>
      </c>
      <c r="BA1403" s="7"/>
    </row>
    <row r="1404" spans="31:53" x14ac:dyDescent="0.55000000000000004">
      <c r="AE1404" s="7"/>
      <c r="AT1404" s="7"/>
      <c r="AU1404">
        <f ca="1"/>
      </c>
      <c r="AV1404">
        <f ca="1"/>
      </c>
      <c r="AX1404">
        <f ca="1"/>
      </c>
      <c r="AY1404">
        <f ca="1"/>
      </c>
      <c r="BA1404" s="7"/>
    </row>
    <row r="1405" spans="31:53" x14ac:dyDescent="0.55000000000000004">
      <c r="AE1405" s="7"/>
      <c r="AT1405" s="7"/>
      <c r="AU1405">
        <f ca="1"/>
      </c>
      <c r="AV1405">
        <f ca="1"/>
      </c>
      <c r="AX1405">
        <f ca="1"/>
      </c>
      <c r="AY1405">
        <f ca="1"/>
      </c>
      <c r="BA1405" s="7"/>
    </row>
    <row r="1406" spans="31:53" x14ac:dyDescent="0.55000000000000004">
      <c r="AE1406" s="7"/>
      <c r="AT1406" s="7"/>
      <c r="AU1406">
        <f ca="1"/>
      </c>
      <c r="AV1406">
        <f ca="1"/>
      </c>
      <c r="AX1406">
        <f ca="1"/>
      </c>
      <c r="AY1406">
        <f ca="1"/>
      </c>
      <c r="BA1406" s="7"/>
    </row>
    <row r="1407" spans="31:53" x14ac:dyDescent="0.55000000000000004">
      <c r="AE1407" s="7"/>
      <c r="AT1407" s="7"/>
      <c r="AU1407">
        <f ca="1"/>
      </c>
      <c r="AV1407">
        <f ca="1"/>
      </c>
      <c r="AX1407">
        <f ca="1"/>
      </c>
      <c r="AY1407">
        <f ca="1"/>
      </c>
      <c r="BA1407" s="7"/>
    </row>
    <row r="1408" spans="31:53" x14ac:dyDescent="0.55000000000000004">
      <c r="AE1408" s="7"/>
      <c r="AT1408" s="7"/>
      <c r="AU1408">
        <f ca="1"/>
      </c>
      <c r="AV1408">
        <f ca="1"/>
      </c>
      <c r="AX1408">
        <f ca="1"/>
      </c>
      <c r="AY1408">
        <f ca="1"/>
      </c>
      <c r="BA1408" s="7"/>
    </row>
    <row r="1409" spans="31:53" x14ac:dyDescent="0.55000000000000004">
      <c r="AE1409" s="7"/>
      <c r="AT1409" s="7"/>
      <c r="AU1409">
        <f ca="1"/>
      </c>
      <c r="AV1409">
        <f ca="1"/>
      </c>
      <c r="AX1409">
        <f ca="1"/>
      </c>
      <c r="AY1409">
        <f ca="1"/>
      </c>
      <c r="BA1409" s="7"/>
    </row>
    <row r="1410" spans="31:53" x14ac:dyDescent="0.55000000000000004">
      <c r="AE1410" s="7"/>
      <c r="AT1410" s="7"/>
      <c r="AU1410">
        <f ca="1"/>
      </c>
      <c r="AV1410">
        <f ca="1"/>
      </c>
      <c r="AX1410">
        <f ca="1"/>
      </c>
      <c r="AY1410">
        <f ca="1"/>
      </c>
      <c r="BA1410" s="7"/>
    </row>
    <row r="1411" spans="31:53" x14ac:dyDescent="0.55000000000000004">
      <c r="AE1411" s="7"/>
      <c r="AT1411" s="7"/>
      <c r="AU1411">
        <f ca="1"/>
      </c>
      <c r="AV1411">
        <f ca="1"/>
      </c>
      <c r="AX1411">
        <f ca="1"/>
      </c>
      <c r="AY1411">
        <f ca="1"/>
      </c>
      <c r="BA1411" s="7"/>
    </row>
    <row r="1412" spans="31:53" x14ac:dyDescent="0.55000000000000004">
      <c r="AE1412" s="7"/>
      <c r="AT1412" s="7"/>
      <c r="AU1412">
        <f ca="1"/>
      </c>
      <c r="AV1412">
        <f ca="1"/>
      </c>
      <c r="AX1412">
        <f ca="1"/>
      </c>
      <c r="AY1412">
        <f ca="1"/>
      </c>
      <c r="BA1412" s="7"/>
    </row>
    <row r="1413" spans="31:53" x14ac:dyDescent="0.55000000000000004">
      <c r="AE1413" s="7"/>
      <c r="AT1413" s="7"/>
      <c r="AU1413">
        <f ca="1"/>
      </c>
      <c r="AV1413">
        <f ca="1"/>
      </c>
      <c r="AX1413">
        <f ca="1"/>
      </c>
      <c r="AY1413">
        <f ca="1"/>
      </c>
      <c r="BA1413" s="7"/>
    </row>
    <row r="1414" spans="31:53" x14ac:dyDescent="0.55000000000000004">
      <c r="AE1414" s="7"/>
      <c r="AT1414" s="7"/>
      <c r="AU1414">
        <f ca="1"/>
      </c>
      <c r="AV1414">
        <f ca="1"/>
      </c>
      <c r="AX1414">
        <f ca="1"/>
      </c>
      <c r="AY1414">
        <f ca="1"/>
      </c>
      <c r="BA1414" s="7"/>
    </row>
    <row r="1415" spans="31:53" x14ac:dyDescent="0.55000000000000004">
      <c r="AE1415" s="7"/>
      <c r="AT1415" s="7"/>
      <c r="AU1415">
        <f ca="1"/>
      </c>
      <c r="AV1415">
        <f ca="1"/>
      </c>
      <c r="AX1415">
        <f ca="1"/>
      </c>
      <c r="AY1415">
        <f ca="1"/>
      </c>
      <c r="BA1415" s="7"/>
    </row>
    <row r="1416" spans="31:53" x14ac:dyDescent="0.55000000000000004">
      <c r="AE1416" s="7"/>
      <c r="AT1416" s="7"/>
      <c r="AU1416">
        <f ca="1"/>
      </c>
      <c r="AV1416">
        <f ca="1"/>
      </c>
      <c r="AX1416">
        <f ca="1"/>
      </c>
      <c r="AY1416">
        <f ca="1"/>
      </c>
      <c r="BA1416" s="7"/>
    </row>
    <row r="1417" spans="31:53" x14ac:dyDescent="0.55000000000000004">
      <c r="AE1417" s="7"/>
      <c r="AT1417" s="7"/>
      <c r="AU1417">
        <f ca="1"/>
      </c>
      <c r="AV1417">
        <f ca="1"/>
      </c>
      <c r="AX1417">
        <f ca="1"/>
      </c>
      <c r="AY1417">
        <f ca="1"/>
      </c>
      <c r="BA1417" s="7"/>
    </row>
    <row r="1418" spans="31:53" x14ac:dyDescent="0.55000000000000004">
      <c r="AE1418" s="7"/>
      <c r="AT1418" s="7"/>
      <c r="AU1418">
        <f ca="1"/>
      </c>
      <c r="AV1418">
        <f ca="1"/>
      </c>
      <c r="AX1418">
        <f ca="1"/>
      </c>
      <c r="AY1418">
        <f ca="1"/>
      </c>
      <c r="BA1418" s="7"/>
    </row>
    <row r="1419" spans="31:53" x14ac:dyDescent="0.55000000000000004">
      <c r="AE1419" s="7"/>
      <c r="AT1419" s="7"/>
      <c r="AU1419">
        <f ca="1"/>
      </c>
      <c r="AV1419">
        <f ca="1"/>
      </c>
      <c r="AX1419">
        <f ca="1"/>
      </c>
      <c r="AY1419">
        <f ca="1"/>
      </c>
      <c r="BA1419" s="7"/>
    </row>
    <row r="1420" spans="31:53" x14ac:dyDescent="0.55000000000000004">
      <c r="AE1420" s="7"/>
      <c r="AT1420" s="7"/>
      <c r="AU1420">
        <f ca="1"/>
      </c>
      <c r="AV1420">
        <f ca="1"/>
      </c>
      <c r="AX1420">
        <f ca="1"/>
      </c>
      <c r="AY1420">
        <f ca="1"/>
      </c>
      <c r="BA1420" s="7"/>
    </row>
    <row r="1421" spans="31:53" x14ac:dyDescent="0.55000000000000004">
      <c r="AE1421" s="7"/>
      <c r="AT1421" s="7"/>
      <c r="AU1421">
        <f ca="1"/>
      </c>
      <c r="AV1421">
        <f ca="1"/>
      </c>
      <c r="AX1421">
        <f ca="1"/>
      </c>
      <c r="AY1421">
        <f ca="1"/>
      </c>
      <c r="BA1421" s="7"/>
    </row>
    <row r="1422" spans="31:53" x14ac:dyDescent="0.55000000000000004">
      <c r="AE1422" s="7"/>
      <c r="AT1422" s="7"/>
      <c r="AU1422">
        <f ca="1"/>
      </c>
      <c r="AV1422">
        <f ca="1"/>
      </c>
      <c r="AX1422">
        <f ca="1"/>
      </c>
      <c r="AY1422">
        <f ca="1"/>
      </c>
      <c r="BA1422" s="7"/>
    </row>
    <row r="1423" spans="31:53" x14ac:dyDescent="0.55000000000000004">
      <c r="AE1423" s="7"/>
      <c r="AT1423" s="7"/>
      <c r="AU1423">
        <f ca="1"/>
      </c>
      <c r="AV1423">
        <f ca="1"/>
      </c>
      <c r="AX1423">
        <f ca="1"/>
      </c>
      <c r="AY1423">
        <f ca="1"/>
      </c>
      <c r="BA1423" s="7"/>
    </row>
    <row r="1424" spans="31:53" x14ac:dyDescent="0.55000000000000004">
      <c r="AE1424" s="7"/>
      <c r="AT1424" s="7"/>
      <c r="AU1424">
        <f ca="1"/>
      </c>
      <c r="AV1424">
        <f ca="1"/>
      </c>
      <c r="AX1424">
        <f ca="1"/>
      </c>
      <c r="AY1424">
        <f ca="1"/>
      </c>
      <c r="BA1424" s="7"/>
    </row>
    <row r="1425" spans="31:53" x14ac:dyDescent="0.55000000000000004">
      <c r="AE1425" s="7"/>
      <c r="AT1425" s="7"/>
      <c r="AU1425">
        <f ca="1"/>
      </c>
      <c r="AV1425">
        <f ca="1"/>
      </c>
      <c r="AX1425">
        <f ca="1"/>
      </c>
      <c r="AY1425">
        <f ca="1"/>
      </c>
      <c r="BA1425" s="7"/>
    </row>
    <row r="1426" spans="31:53" x14ac:dyDescent="0.55000000000000004">
      <c r="AE1426" s="7"/>
      <c r="AT1426" s="7"/>
      <c r="AU1426">
        <f ca="1"/>
      </c>
      <c r="AV1426">
        <f ca="1"/>
      </c>
      <c r="AX1426">
        <f ca="1"/>
      </c>
      <c r="AY1426">
        <f ca="1"/>
      </c>
      <c r="BA1426" s="7"/>
    </row>
    <row r="1427" spans="31:53" x14ac:dyDescent="0.55000000000000004">
      <c r="AE1427" s="7"/>
      <c r="AT1427" s="7"/>
      <c r="AU1427">
        <f ca="1"/>
      </c>
      <c r="AV1427">
        <f ca="1"/>
      </c>
      <c r="AX1427">
        <f ca="1"/>
      </c>
      <c r="AY1427">
        <f ca="1"/>
      </c>
      <c r="BA1427" s="7"/>
    </row>
    <row r="1428" spans="31:53" x14ac:dyDescent="0.55000000000000004">
      <c r="AE1428" s="7"/>
      <c r="AT1428" s="7"/>
      <c r="AU1428">
        <f ca="1"/>
      </c>
      <c r="AV1428">
        <f ca="1"/>
      </c>
      <c r="AX1428">
        <f ca="1"/>
      </c>
      <c r="AY1428">
        <f ca="1"/>
      </c>
      <c r="BA1428" s="7"/>
    </row>
    <row r="1429" spans="31:53" x14ac:dyDescent="0.55000000000000004">
      <c r="AE1429" s="7"/>
      <c r="AT1429" s="7"/>
      <c r="AU1429">
        <f ca="1"/>
      </c>
      <c r="AV1429">
        <f ca="1"/>
      </c>
      <c r="AX1429">
        <f ca="1"/>
      </c>
      <c r="AY1429">
        <f ca="1"/>
      </c>
      <c r="BA1429" s="7"/>
    </row>
    <row r="1430" spans="31:53" x14ac:dyDescent="0.55000000000000004">
      <c r="AE1430" s="7"/>
      <c r="AT1430" s="7"/>
      <c r="AU1430">
        <f ca="1"/>
      </c>
      <c r="AV1430">
        <f ca="1"/>
      </c>
      <c r="AX1430">
        <f ca="1"/>
      </c>
      <c r="AY1430">
        <f ca="1"/>
      </c>
      <c r="BA1430" s="7"/>
    </row>
    <row r="1431" spans="31:53" x14ac:dyDescent="0.55000000000000004">
      <c r="AE1431" s="7"/>
      <c r="AT1431" s="7"/>
      <c r="AU1431">
        <f ca="1"/>
      </c>
      <c r="AV1431">
        <f ca="1"/>
      </c>
      <c r="AX1431">
        <f ca="1"/>
      </c>
      <c r="AY1431">
        <f ca="1"/>
      </c>
      <c r="BA1431" s="7"/>
    </row>
    <row r="1432" spans="31:53" x14ac:dyDescent="0.55000000000000004">
      <c r="AE1432" s="7"/>
      <c r="AT1432" s="7"/>
      <c r="AU1432">
        <f ca="1"/>
      </c>
      <c r="AV1432">
        <f ca="1"/>
      </c>
      <c r="AX1432">
        <f ca="1"/>
      </c>
      <c r="AY1432">
        <f ca="1"/>
      </c>
      <c r="BA1432" s="7"/>
    </row>
    <row r="1433" spans="31:53" x14ac:dyDescent="0.55000000000000004">
      <c r="AE1433" s="7"/>
      <c r="AT1433" s="7"/>
      <c r="AU1433">
        <f ca="1"/>
      </c>
      <c r="AV1433">
        <f ca="1"/>
      </c>
      <c r="AX1433">
        <f ca="1"/>
      </c>
      <c r="AY1433">
        <f ca="1"/>
      </c>
      <c r="BA1433" s="7"/>
    </row>
    <row r="1434" spans="31:53" x14ac:dyDescent="0.55000000000000004">
      <c r="AE1434" s="7"/>
      <c r="AT1434" s="7"/>
      <c r="AU1434">
        <f ca="1"/>
      </c>
      <c r="AV1434">
        <f ca="1"/>
      </c>
      <c r="AX1434">
        <f ca="1"/>
      </c>
      <c r="AY1434">
        <f ca="1"/>
      </c>
      <c r="BA1434" s="7"/>
    </row>
    <row r="1435" spans="31:53" x14ac:dyDescent="0.55000000000000004">
      <c r="AE1435" s="7"/>
      <c r="AT1435" s="7"/>
      <c r="AU1435">
        <f ca="1"/>
      </c>
      <c r="AV1435">
        <f ca="1"/>
      </c>
      <c r="AX1435">
        <f ca="1"/>
      </c>
      <c r="AY1435">
        <f ca="1"/>
      </c>
      <c r="BA1435" s="7"/>
    </row>
    <row r="1436" spans="31:53" x14ac:dyDescent="0.55000000000000004">
      <c r="AE1436" s="7"/>
      <c r="AT1436" s="7"/>
      <c r="AU1436">
        <f ca="1"/>
      </c>
      <c r="AV1436">
        <f ca="1"/>
      </c>
      <c r="AX1436">
        <f ca="1"/>
      </c>
      <c r="AY1436">
        <f ca="1"/>
      </c>
      <c r="BA1436" s="7"/>
    </row>
    <row r="1437" spans="31:53" x14ac:dyDescent="0.55000000000000004">
      <c r="AE1437" s="7"/>
      <c r="AT1437" s="7"/>
      <c r="AU1437">
        <f ca="1"/>
      </c>
      <c r="AV1437">
        <f ca="1"/>
      </c>
      <c r="AX1437">
        <f ca="1"/>
      </c>
      <c r="AY1437">
        <f ca="1"/>
      </c>
      <c r="BA1437" s="7"/>
    </row>
    <row r="1438" spans="31:53" x14ac:dyDescent="0.55000000000000004">
      <c r="AE1438" s="7"/>
      <c r="AT1438" s="7"/>
      <c r="AU1438">
        <f ca="1"/>
      </c>
      <c r="AV1438">
        <f ca="1"/>
      </c>
      <c r="AX1438">
        <f ca="1"/>
      </c>
      <c r="AY1438">
        <f ca="1"/>
      </c>
      <c r="BA1438" s="7"/>
    </row>
    <row r="1439" spans="31:53" x14ac:dyDescent="0.55000000000000004">
      <c r="AE1439" s="7"/>
      <c r="AT1439" s="7"/>
      <c r="AU1439">
        <f ca="1"/>
      </c>
      <c r="AV1439">
        <f ca="1"/>
      </c>
      <c r="AX1439">
        <f ca="1"/>
      </c>
      <c r="AY1439">
        <f ca="1"/>
      </c>
      <c r="BA1439" s="7"/>
    </row>
    <row r="1440" spans="31:53" x14ac:dyDescent="0.55000000000000004">
      <c r="AE1440" s="7"/>
      <c r="AT1440" s="7"/>
      <c r="AU1440">
        <f ca="1"/>
      </c>
      <c r="AV1440">
        <f ca="1"/>
      </c>
      <c r="AX1440">
        <f ca="1"/>
      </c>
      <c r="AY1440">
        <f ca="1"/>
      </c>
      <c r="BA1440" s="7"/>
    </row>
    <row r="1441" spans="31:53" x14ac:dyDescent="0.55000000000000004">
      <c r="AE1441" s="7"/>
      <c r="AT1441" s="7"/>
      <c r="AU1441">
        <f ca="1"/>
      </c>
      <c r="AV1441">
        <f ca="1"/>
      </c>
      <c r="AX1441">
        <f ca="1"/>
      </c>
      <c r="AY1441">
        <f ca="1"/>
      </c>
      <c r="BA1441" s="7"/>
    </row>
    <row r="1442" spans="31:53" x14ac:dyDescent="0.55000000000000004">
      <c r="AE1442" s="7"/>
      <c r="AT1442" s="7"/>
      <c r="AU1442">
        <f ca="1"/>
      </c>
      <c r="AV1442">
        <f ca="1"/>
      </c>
      <c r="AX1442">
        <f ca="1"/>
      </c>
      <c r="AY1442">
        <f ca="1"/>
      </c>
      <c r="BA1442" s="7"/>
    </row>
    <row r="1443" spans="31:53" x14ac:dyDescent="0.55000000000000004">
      <c r="AE1443" s="7"/>
      <c r="AT1443" s="7"/>
      <c r="AU1443">
        <f ca="1"/>
      </c>
      <c r="AV1443">
        <f ca="1"/>
      </c>
      <c r="AX1443">
        <f ca="1"/>
      </c>
      <c r="AY1443">
        <f ca="1"/>
      </c>
      <c r="BA1443" s="7"/>
    </row>
    <row r="1444" spans="31:53" x14ac:dyDescent="0.55000000000000004">
      <c r="AE1444" s="7"/>
      <c r="AT1444" s="7"/>
      <c r="AU1444">
        <f ca="1"/>
      </c>
      <c r="AV1444">
        <f ca="1"/>
      </c>
      <c r="AX1444">
        <f ca="1"/>
      </c>
      <c r="AY1444">
        <f ca="1"/>
      </c>
      <c r="BA1444" s="7"/>
    </row>
    <row r="1445" spans="31:53" x14ac:dyDescent="0.55000000000000004">
      <c r="AE1445" s="7"/>
      <c r="AT1445" s="7"/>
      <c r="AU1445">
        <f ca="1"/>
      </c>
      <c r="AV1445">
        <f ca="1"/>
      </c>
      <c r="AX1445">
        <f ca="1"/>
      </c>
      <c r="AY1445">
        <f ca="1"/>
      </c>
      <c r="BA1445" s="7"/>
    </row>
    <row r="1446" spans="31:53" x14ac:dyDescent="0.55000000000000004">
      <c r="AE1446" s="7"/>
      <c r="AT1446" s="7"/>
      <c r="AU1446">
        <f ca="1"/>
      </c>
      <c r="AV1446">
        <f ca="1"/>
      </c>
      <c r="AX1446">
        <f ca="1"/>
      </c>
      <c r="AY1446">
        <f ca="1"/>
      </c>
      <c r="BA1446" s="7"/>
    </row>
    <row r="1447" spans="31:53" x14ac:dyDescent="0.55000000000000004">
      <c r="AE1447" s="7"/>
      <c r="AT1447" s="7"/>
      <c r="AU1447">
        <f ca="1"/>
      </c>
      <c r="AV1447">
        <f ca="1"/>
      </c>
      <c r="AX1447">
        <f ca="1"/>
      </c>
      <c r="AY1447">
        <f ca="1"/>
      </c>
      <c r="BA1447" s="7"/>
    </row>
    <row r="1448" spans="31:53" x14ac:dyDescent="0.55000000000000004">
      <c r="AE1448" s="7"/>
      <c r="AT1448" s="7"/>
      <c r="AU1448">
        <f ca="1"/>
      </c>
      <c r="AV1448">
        <f ca="1"/>
      </c>
      <c r="AX1448">
        <f ca="1"/>
      </c>
      <c r="AY1448">
        <f ca="1"/>
      </c>
      <c r="BA1448" s="7"/>
    </row>
    <row r="1449" spans="31:53" x14ac:dyDescent="0.55000000000000004">
      <c r="AE1449" s="7"/>
      <c r="AT1449" s="7"/>
      <c r="AU1449">
        <f ca="1"/>
      </c>
      <c r="AV1449">
        <f ca="1"/>
      </c>
      <c r="AX1449">
        <f ca="1"/>
      </c>
      <c r="AY1449">
        <f ca="1"/>
      </c>
      <c r="BA1449" s="7"/>
    </row>
    <row r="1450" spans="31:53" x14ac:dyDescent="0.55000000000000004">
      <c r="AE1450" s="7"/>
      <c r="AT1450" s="7"/>
      <c r="AU1450">
        <f ca="1"/>
      </c>
      <c r="AV1450">
        <f ca="1"/>
      </c>
      <c r="AX1450">
        <f ca="1"/>
      </c>
      <c r="AY1450">
        <f ca="1"/>
      </c>
      <c r="BA1450" s="7"/>
    </row>
    <row r="1451" spans="31:53" x14ac:dyDescent="0.55000000000000004">
      <c r="AE1451" s="7"/>
      <c r="AT1451" s="7"/>
      <c r="AU1451">
        <f ca="1"/>
      </c>
      <c r="AV1451">
        <f ca="1"/>
      </c>
      <c r="AX1451">
        <f ca="1"/>
      </c>
      <c r="AY1451">
        <f ca="1"/>
      </c>
      <c r="BA1451" s="7"/>
    </row>
    <row r="1452" spans="31:53" x14ac:dyDescent="0.55000000000000004">
      <c r="AE1452" s="7"/>
      <c r="AT1452" s="7"/>
      <c r="AU1452">
        <f ca="1"/>
      </c>
      <c r="AV1452">
        <f ca="1"/>
      </c>
      <c r="AX1452">
        <f ca="1"/>
      </c>
      <c r="AY1452">
        <f ca="1"/>
      </c>
      <c r="BA1452" s="7"/>
    </row>
    <row r="1453" spans="31:53" x14ac:dyDescent="0.55000000000000004">
      <c r="AE1453" s="7"/>
      <c r="AT1453" s="7"/>
      <c r="AU1453">
        <f ca="1"/>
      </c>
      <c r="AV1453">
        <f ca="1"/>
      </c>
      <c r="AX1453">
        <f ca="1"/>
      </c>
      <c r="AY1453">
        <f ca="1"/>
      </c>
      <c r="BA1453" s="7"/>
    </row>
    <row r="1454" spans="31:53" x14ac:dyDescent="0.55000000000000004">
      <c r="AE1454" s="7"/>
      <c r="AT1454" s="7"/>
      <c r="AU1454">
        <f ca="1"/>
      </c>
      <c r="AV1454">
        <f ca="1"/>
      </c>
      <c r="AX1454">
        <f ca="1"/>
      </c>
      <c r="AY1454">
        <f ca="1"/>
      </c>
      <c r="BA1454" s="7"/>
    </row>
    <row r="1455" spans="31:53" x14ac:dyDescent="0.55000000000000004">
      <c r="AE1455" s="7"/>
      <c r="AT1455" s="7"/>
      <c r="AU1455">
        <f ca="1"/>
      </c>
      <c r="AV1455">
        <f ca="1"/>
      </c>
      <c r="AX1455">
        <f ca="1"/>
      </c>
      <c r="AY1455">
        <f ca="1"/>
      </c>
      <c r="BA1455" s="7"/>
    </row>
    <row r="1456" spans="31:53" x14ac:dyDescent="0.55000000000000004">
      <c r="AE1456" s="7"/>
      <c r="AT1456" s="7"/>
      <c r="AU1456">
        <f ca="1"/>
      </c>
      <c r="AV1456">
        <f ca="1"/>
      </c>
      <c r="AX1456">
        <f ca="1"/>
      </c>
      <c r="AY1456">
        <f ca="1"/>
      </c>
      <c r="BA1456" s="7"/>
    </row>
    <row r="1457" spans="31:53" x14ac:dyDescent="0.55000000000000004">
      <c r="AE1457" s="7"/>
      <c r="AT1457" s="7"/>
      <c r="AU1457">
        <f ca="1"/>
      </c>
      <c r="AV1457">
        <f ca="1"/>
      </c>
      <c r="AX1457">
        <f ca="1"/>
      </c>
      <c r="AY1457">
        <f ca="1"/>
      </c>
      <c r="BA1457" s="7"/>
    </row>
    <row r="1458" spans="31:53" x14ac:dyDescent="0.55000000000000004">
      <c r="AE1458" s="7"/>
      <c r="AT1458" s="7"/>
      <c r="AU1458">
        <f ca="1"/>
      </c>
      <c r="AV1458">
        <f ca="1"/>
      </c>
      <c r="AX1458">
        <f ca="1"/>
      </c>
      <c r="AY1458">
        <f ca="1"/>
      </c>
      <c r="BA1458" s="7"/>
    </row>
    <row r="1459" spans="31:53" x14ac:dyDescent="0.55000000000000004">
      <c r="AE1459" s="7"/>
      <c r="AT1459" s="7"/>
      <c r="AU1459">
        <f ca="1"/>
      </c>
      <c r="AV1459">
        <f ca="1"/>
      </c>
      <c r="AX1459">
        <f ca="1"/>
      </c>
      <c r="AY1459">
        <f ca="1"/>
      </c>
      <c r="BA1459" s="7"/>
    </row>
    <row r="1460" spans="31:53" x14ac:dyDescent="0.55000000000000004">
      <c r="AE1460" s="7"/>
      <c r="AT1460" s="7"/>
      <c r="AU1460">
        <f ca="1"/>
      </c>
      <c r="AV1460">
        <f ca="1"/>
      </c>
      <c r="AX1460">
        <f ca="1"/>
      </c>
      <c r="AY1460">
        <f ca="1"/>
      </c>
      <c r="BA1460" s="7"/>
    </row>
    <row r="1461" spans="31:53" x14ac:dyDescent="0.55000000000000004">
      <c r="AE1461" s="7"/>
      <c r="AT1461" s="7"/>
      <c r="AU1461">
        <f ca="1"/>
      </c>
      <c r="AV1461">
        <f ca="1"/>
      </c>
      <c r="AX1461">
        <f ca="1"/>
      </c>
      <c r="AY1461">
        <f ca="1"/>
      </c>
      <c r="BA1461" s="7"/>
    </row>
    <row r="1462" spans="31:53" x14ac:dyDescent="0.55000000000000004">
      <c r="AE1462" s="7"/>
      <c r="AT1462" s="7"/>
      <c r="AU1462">
        <f ca="1"/>
      </c>
      <c r="AV1462">
        <f ca="1"/>
      </c>
      <c r="AX1462">
        <f ca="1"/>
      </c>
      <c r="AY1462">
        <f ca="1"/>
      </c>
      <c r="BA1462" s="7"/>
    </row>
    <row r="1463" spans="31:53" x14ac:dyDescent="0.55000000000000004">
      <c r="AE1463" s="7"/>
      <c r="AT1463" s="7"/>
      <c r="AU1463">
        <f ca="1"/>
      </c>
      <c r="AV1463">
        <f ca="1"/>
      </c>
      <c r="AX1463">
        <f ca="1"/>
      </c>
      <c r="AY1463">
        <f ca="1"/>
      </c>
      <c r="BA1463" s="7"/>
    </row>
    <row r="1464" spans="31:53" x14ac:dyDescent="0.55000000000000004">
      <c r="AE1464" s="7"/>
      <c r="AT1464" s="7"/>
      <c r="AU1464">
        <f ca="1"/>
      </c>
      <c r="AV1464">
        <f ca="1"/>
      </c>
      <c r="AX1464">
        <f ca="1"/>
      </c>
      <c r="AY1464">
        <f ca="1"/>
      </c>
      <c r="BA1464" s="7"/>
    </row>
    <row r="1465" spans="31:53" x14ac:dyDescent="0.55000000000000004">
      <c r="AE1465" s="7"/>
      <c r="AT1465" s="7"/>
      <c r="AU1465">
        <f ca="1"/>
      </c>
      <c r="AV1465">
        <f ca="1"/>
      </c>
      <c r="AX1465">
        <f ca="1"/>
      </c>
      <c r="AY1465">
        <f ca="1"/>
      </c>
      <c r="BA1465" s="7"/>
    </row>
    <row r="1466" spans="31:53" x14ac:dyDescent="0.55000000000000004">
      <c r="AE1466" s="7"/>
      <c r="AT1466" s="7"/>
      <c r="AU1466">
        <f ca="1"/>
      </c>
      <c r="AV1466">
        <f ca="1"/>
      </c>
      <c r="AX1466">
        <f ca="1"/>
      </c>
      <c r="AY1466">
        <f ca="1"/>
      </c>
      <c r="BA1466" s="7"/>
    </row>
    <row r="1467" spans="31:53" x14ac:dyDescent="0.55000000000000004">
      <c r="AE1467" s="7"/>
      <c r="AT1467" s="7"/>
      <c r="AU1467">
        <f ca="1"/>
      </c>
      <c r="AV1467">
        <f ca="1"/>
      </c>
      <c r="AX1467">
        <f ca="1"/>
      </c>
      <c r="AY1467">
        <f ca="1"/>
      </c>
      <c r="BA1467" s="7"/>
    </row>
    <row r="1468" spans="31:53" x14ac:dyDescent="0.55000000000000004">
      <c r="AE1468" s="7"/>
      <c r="AT1468" s="7"/>
      <c r="AU1468">
        <f ca="1"/>
      </c>
      <c r="AV1468">
        <f ca="1"/>
      </c>
      <c r="AX1468">
        <f ca="1"/>
      </c>
      <c r="AY1468">
        <f ca="1"/>
      </c>
      <c r="BA1468" s="7"/>
    </row>
    <row r="1469" spans="31:53" x14ac:dyDescent="0.55000000000000004">
      <c r="AE1469" s="7"/>
      <c r="AT1469" s="7"/>
      <c r="AU1469">
        <f ca="1"/>
      </c>
      <c r="AV1469">
        <f ca="1"/>
      </c>
      <c r="AX1469">
        <f ca="1"/>
      </c>
      <c r="AY1469">
        <f ca="1"/>
      </c>
      <c r="BA1469" s="7"/>
    </row>
    <row r="1470" spans="31:53" x14ac:dyDescent="0.55000000000000004">
      <c r="AE1470" s="7"/>
      <c r="AT1470" s="7"/>
      <c r="AU1470">
        <f ca="1"/>
      </c>
      <c r="AV1470">
        <f ca="1"/>
      </c>
      <c r="AX1470">
        <f ca="1"/>
      </c>
      <c r="AY1470">
        <f ca="1"/>
      </c>
      <c r="BA1470" s="7"/>
    </row>
    <row r="1471" spans="31:53" x14ac:dyDescent="0.55000000000000004">
      <c r="AE1471" s="7"/>
      <c r="AT1471" s="7"/>
      <c r="AU1471">
        <f ca="1"/>
      </c>
      <c r="AV1471">
        <f ca="1"/>
      </c>
      <c r="AX1471">
        <f ca="1"/>
      </c>
      <c r="AY1471">
        <f ca="1"/>
      </c>
      <c r="BA1471" s="7"/>
    </row>
    <row r="1472" spans="31:53" x14ac:dyDescent="0.55000000000000004">
      <c r="AE1472" s="7"/>
      <c r="AT1472" s="7"/>
      <c r="AU1472">
        <f ca="1"/>
      </c>
      <c r="AV1472">
        <f ca="1"/>
      </c>
      <c r="AX1472">
        <f ca="1"/>
      </c>
      <c r="AY1472">
        <f ca="1"/>
      </c>
      <c r="BA1472" s="7"/>
    </row>
    <row r="1473" spans="31:53" x14ac:dyDescent="0.55000000000000004">
      <c r="AE1473" s="7"/>
      <c r="AT1473" s="7"/>
      <c r="AU1473">
        <f ca="1"/>
      </c>
      <c r="AV1473">
        <f ca="1"/>
      </c>
      <c r="AX1473">
        <f ca="1"/>
      </c>
      <c r="AY1473">
        <f ca="1"/>
      </c>
      <c r="BA1473" s="7"/>
    </row>
    <row r="1474" spans="31:53" x14ac:dyDescent="0.55000000000000004">
      <c r="AE1474" s="7"/>
      <c r="AT1474" s="7"/>
      <c r="AU1474">
        <f ca="1"/>
      </c>
      <c r="AV1474">
        <f ca="1"/>
      </c>
      <c r="AX1474">
        <f ca="1"/>
      </c>
      <c r="AY1474">
        <f ca="1"/>
      </c>
      <c r="BA1474" s="7"/>
    </row>
    <row r="1475" spans="31:53" x14ac:dyDescent="0.55000000000000004">
      <c r="AE1475" s="7"/>
      <c r="AT1475" s="7"/>
      <c r="AU1475">
        <f ca="1"/>
      </c>
      <c r="AV1475">
        <f ca="1"/>
      </c>
      <c r="AX1475">
        <f ca="1"/>
      </c>
      <c r="AY1475">
        <f ca="1"/>
      </c>
      <c r="BA1475" s="7"/>
    </row>
    <row r="1476" spans="31:53" x14ac:dyDescent="0.55000000000000004">
      <c r="AE1476" s="7"/>
      <c r="AT1476" s="7"/>
      <c r="AU1476">
        <f ca="1"/>
      </c>
      <c r="AV1476">
        <f ca="1"/>
      </c>
      <c r="AX1476">
        <f ca="1"/>
      </c>
      <c r="AY1476">
        <f ca="1"/>
      </c>
      <c r="BA1476" s="7"/>
    </row>
    <row r="1477" spans="31:53" x14ac:dyDescent="0.55000000000000004">
      <c r="AE1477" s="7"/>
      <c r="AT1477" s="7"/>
      <c r="AU1477">
        <f ca="1"/>
      </c>
      <c r="AV1477">
        <f ca="1"/>
      </c>
      <c r="AX1477">
        <f ca="1"/>
      </c>
      <c r="AY1477">
        <f ca="1"/>
      </c>
      <c r="BA1477" s="7"/>
    </row>
    <row r="1478" spans="31:53" x14ac:dyDescent="0.55000000000000004">
      <c r="AE1478" s="7"/>
      <c r="AT1478" s="7"/>
      <c r="AU1478">
        <f ca="1"/>
      </c>
      <c r="AV1478">
        <f ca="1"/>
      </c>
      <c r="AX1478">
        <f ca="1"/>
      </c>
      <c r="AY1478">
        <f ca="1"/>
      </c>
      <c r="BA1478" s="7"/>
    </row>
    <row r="1479" spans="31:53" x14ac:dyDescent="0.55000000000000004">
      <c r="AE1479" s="7"/>
      <c r="AT1479" s="7"/>
      <c r="AU1479">
        <f ca="1"/>
      </c>
      <c r="AV1479">
        <f ca="1"/>
      </c>
      <c r="AX1479">
        <f ca="1"/>
      </c>
      <c r="AY1479">
        <f ca="1"/>
      </c>
      <c r="BA1479" s="7"/>
    </row>
    <row r="1480" spans="31:53" x14ac:dyDescent="0.55000000000000004">
      <c r="AE1480" s="7"/>
      <c r="AT1480" s="7"/>
      <c r="AU1480">
        <f ca="1"/>
      </c>
      <c r="AV1480">
        <f ca="1"/>
      </c>
      <c r="AX1480">
        <f ca="1"/>
      </c>
      <c r="AY1480">
        <f ca="1"/>
      </c>
      <c r="BA1480" s="7"/>
    </row>
    <row r="1481" spans="31:53" x14ac:dyDescent="0.55000000000000004">
      <c r="AE1481" s="7"/>
      <c r="AT1481" s="7"/>
      <c r="AU1481">
        <f ca="1"/>
      </c>
      <c r="AV1481">
        <f ca="1"/>
      </c>
      <c r="AX1481">
        <f ca="1"/>
      </c>
      <c r="AY1481">
        <f ca="1"/>
      </c>
      <c r="BA1481" s="7"/>
    </row>
    <row r="1482" spans="31:53" x14ac:dyDescent="0.55000000000000004">
      <c r="AE1482" s="7"/>
      <c r="AT1482" s="7"/>
      <c r="AU1482">
        <f ca="1"/>
      </c>
      <c r="AV1482">
        <f ca="1"/>
      </c>
      <c r="AX1482">
        <f ca="1"/>
      </c>
      <c r="AY1482">
        <f ca="1"/>
      </c>
      <c r="BA1482" s="7"/>
    </row>
    <row r="1483" spans="31:53" x14ac:dyDescent="0.55000000000000004">
      <c r="AE1483" s="7"/>
      <c r="AT1483" s="7"/>
      <c r="AU1483">
        <f ca="1"/>
      </c>
      <c r="AV1483">
        <f ca="1"/>
      </c>
      <c r="AX1483">
        <f ca="1"/>
      </c>
      <c r="AY1483">
        <f ca="1"/>
      </c>
      <c r="BA1483" s="7"/>
    </row>
    <row r="1484" spans="31:53" x14ac:dyDescent="0.55000000000000004">
      <c r="AE1484" s="7"/>
      <c r="AT1484" s="7"/>
      <c r="AU1484">
        <f ca="1"/>
      </c>
      <c r="AV1484">
        <f ca="1"/>
      </c>
      <c r="AX1484">
        <f ca="1"/>
      </c>
      <c r="AY1484">
        <f ca="1"/>
      </c>
      <c r="BA1484" s="7"/>
    </row>
    <row r="1485" spans="31:53" x14ac:dyDescent="0.55000000000000004">
      <c r="AE1485" s="7"/>
      <c r="AT1485" s="7"/>
      <c r="AU1485">
        <f ca="1"/>
      </c>
      <c r="AV1485">
        <f ca="1"/>
      </c>
      <c r="AX1485">
        <f ca="1"/>
      </c>
      <c r="AY1485">
        <f ca="1"/>
      </c>
      <c r="BA1485" s="7"/>
    </row>
    <row r="1486" spans="31:53" x14ac:dyDescent="0.55000000000000004">
      <c r="AE1486" s="7"/>
      <c r="AT1486" s="7"/>
      <c r="AU1486">
        <f ca="1"/>
      </c>
      <c r="AV1486">
        <f ca="1"/>
      </c>
      <c r="AX1486">
        <f ca="1"/>
      </c>
      <c r="AY1486">
        <f ca="1"/>
      </c>
      <c r="BA1486" s="7"/>
    </row>
    <row r="1487" spans="31:53" x14ac:dyDescent="0.55000000000000004">
      <c r="AE1487" s="7"/>
      <c r="AT1487" s="7"/>
      <c r="AU1487">
        <f ca="1"/>
      </c>
      <c r="AV1487">
        <f ca="1"/>
      </c>
      <c r="AX1487">
        <f ca="1"/>
      </c>
      <c r="AY1487">
        <f ca="1"/>
      </c>
      <c r="BA1487" s="7"/>
    </row>
    <row r="1488" spans="31:53" x14ac:dyDescent="0.55000000000000004">
      <c r="AE1488" s="7"/>
      <c r="AT1488" s="7"/>
      <c r="AU1488">
        <f ca="1"/>
      </c>
      <c r="AV1488">
        <f ca="1"/>
      </c>
      <c r="AX1488">
        <f ca="1"/>
      </c>
      <c r="AY1488">
        <f ca="1"/>
      </c>
      <c r="BA1488" s="7"/>
    </row>
    <row r="1489" spans="31:53" x14ac:dyDescent="0.55000000000000004">
      <c r="AE1489" s="7"/>
      <c r="AT1489" s="7"/>
      <c r="AU1489">
        <f ca="1"/>
      </c>
      <c r="AV1489">
        <f ca="1"/>
      </c>
      <c r="AX1489">
        <f ca="1"/>
      </c>
      <c r="AY1489">
        <f ca="1"/>
      </c>
      <c r="BA1489" s="7"/>
    </row>
    <row r="1490" spans="31:53" x14ac:dyDescent="0.55000000000000004">
      <c r="AE1490" s="7"/>
      <c r="AT1490" s="7"/>
      <c r="AU1490">
        <f ca="1"/>
      </c>
      <c r="AV1490">
        <f ca="1"/>
      </c>
      <c r="AX1490">
        <f ca="1"/>
      </c>
      <c r="AY1490">
        <f ca="1"/>
      </c>
      <c r="BA1490" s="7"/>
    </row>
    <row r="1491" spans="31:53" x14ac:dyDescent="0.55000000000000004">
      <c r="AE1491" s="7"/>
      <c r="AT1491" s="7"/>
      <c r="AU1491">
        <f ca="1"/>
      </c>
      <c r="AV1491">
        <f ca="1"/>
      </c>
      <c r="AX1491">
        <f ca="1"/>
      </c>
      <c r="AY1491">
        <f ca="1"/>
      </c>
      <c r="BA1491" s="7"/>
    </row>
    <row r="1492" spans="31:53" x14ac:dyDescent="0.55000000000000004">
      <c r="AE1492" s="7"/>
      <c r="AT1492" s="7"/>
      <c r="AU1492">
        <f ca="1"/>
      </c>
      <c r="AV1492">
        <f ca="1"/>
      </c>
      <c r="AX1492">
        <f ca="1"/>
      </c>
      <c r="AY1492">
        <f ca="1"/>
      </c>
      <c r="BA1492" s="7"/>
    </row>
    <row r="1493" spans="31:53" x14ac:dyDescent="0.55000000000000004">
      <c r="AE1493" s="7"/>
      <c r="AT1493" s="7"/>
      <c r="AU1493">
        <f ca="1"/>
      </c>
      <c r="AV1493">
        <f ca="1"/>
      </c>
      <c r="AX1493">
        <f ca="1"/>
      </c>
      <c r="AY1493">
        <f ca="1"/>
      </c>
      <c r="BA1493" s="7"/>
    </row>
    <row r="1494" spans="31:53" x14ac:dyDescent="0.55000000000000004">
      <c r="AE1494" s="7"/>
      <c r="AT1494" s="7"/>
      <c r="AU1494">
        <f ca="1"/>
      </c>
      <c r="AV1494">
        <f ca="1"/>
      </c>
      <c r="AX1494">
        <f ca="1"/>
      </c>
      <c r="AY1494">
        <f ca="1"/>
      </c>
      <c r="BA1494" s="7"/>
    </row>
    <row r="1495" spans="31:53" x14ac:dyDescent="0.55000000000000004">
      <c r="AE1495" s="7"/>
      <c r="AT1495" s="7"/>
      <c r="AU1495">
        <f ca="1"/>
      </c>
      <c r="AV1495">
        <f ca="1"/>
      </c>
      <c r="AX1495">
        <f ca="1"/>
      </c>
      <c r="AY1495">
        <f ca="1"/>
      </c>
      <c r="BA1495" s="7"/>
    </row>
    <row r="1496" spans="31:53" x14ac:dyDescent="0.55000000000000004">
      <c r="AE1496" s="7"/>
      <c r="AT1496" s="7"/>
      <c r="AU1496">
        <f ca="1"/>
      </c>
      <c r="AV1496">
        <f ca="1"/>
      </c>
      <c r="AX1496">
        <f ca="1"/>
      </c>
      <c r="AY1496">
        <f ca="1"/>
      </c>
      <c r="BA1496" s="7"/>
    </row>
    <row r="1497" spans="31:53" x14ac:dyDescent="0.55000000000000004">
      <c r="AE1497" s="7"/>
      <c r="AT1497" s="7"/>
      <c r="AU1497">
        <f ca="1"/>
      </c>
      <c r="AV1497">
        <f ca="1"/>
      </c>
      <c r="AX1497">
        <f ca="1"/>
      </c>
      <c r="AY1497">
        <f ca="1"/>
      </c>
      <c r="BA1497" s="7"/>
    </row>
    <row r="1498" spans="31:53" x14ac:dyDescent="0.55000000000000004">
      <c r="AE1498" s="7"/>
      <c r="AT1498" s="7"/>
      <c r="AU1498">
        <f ca="1"/>
      </c>
      <c r="AV1498">
        <f ca="1"/>
      </c>
      <c r="AX1498">
        <f ca="1"/>
      </c>
      <c r="AY1498">
        <f ca="1"/>
      </c>
      <c r="BA1498" s="7"/>
    </row>
    <row r="1499" spans="31:53" x14ac:dyDescent="0.55000000000000004">
      <c r="AE1499" s="7"/>
      <c r="AT1499" s="7"/>
      <c r="AU1499">
        <f ca="1"/>
      </c>
      <c r="AV1499">
        <f ca="1"/>
      </c>
      <c r="AX1499">
        <f ca="1"/>
      </c>
      <c r="AY1499">
        <f ca="1"/>
      </c>
      <c r="BA1499" s="7"/>
    </row>
    <row r="1500" spans="31:53" x14ac:dyDescent="0.55000000000000004">
      <c r="AE1500" s="7"/>
      <c r="AT1500" s="7"/>
      <c r="AU1500">
        <f ca="1"/>
      </c>
      <c r="AV1500">
        <f ca="1"/>
      </c>
      <c r="AX1500">
        <f ca="1"/>
      </c>
      <c r="AY1500">
        <f ca="1"/>
      </c>
      <c r="BA1500" s="7"/>
    </row>
    <row r="1501" spans="31:53" x14ac:dyDescent="0.55000000000000004">
      <c r="AE1501" s="7"/>
      <c r="AT1501" s="7"/>
      <c r="AU1501">
        <f ca="1"/>
      </c>
      <c r="AV1501">
        <f ca="1"/>
      </c>
      <c r="AX1501">
        <f ca="1"/>
      </c>
      <c r="AY1501">
        <f ca="1"/>
      </c>
      <c r="BA1501" s="7"/>
    </row>
    <row r="1502" spans="31:53" x14ac:dyDescent="0.55000000000000004">
      <c r="AE1502" s="7"/>
      <c r="AT1502" s="7"/>
      <c r="AU1502">
        <f ca="1"/>
      </c>
      <c r="AV1502">
        <f ca="1"/>
      </c>
      <c r="AX1502">
        <f ca="1"/>
      </c>
      <c r="AY1502">
        <f ca="1"/>
      </c>
      <c r="BA1502" s="7"/>
    </row>
    <row r="1503" spans="31:53" x14ac:dyDescent="0.55000000000000004">
      <c r="AE1503" s="7"/>
      <c r="AT1503" s="7"/>
      <c r="AU1503">
        <f ca="1"/>
      </c>
      <c r="AV1503">
        <f ca="1"/>
      </c>
      <c r="AX1503">
        <f ca="1"/>
      </c>
      <c r="AY1503">
        <f ca="1"/>
      </c>
      <c r="BA1503" s="7"/>
    </row>
    <row r="1504" spans="31:53" x14ac:dyDescent="0.55000000000000004">
      <c r="AE1504" s="7"/>
      <c r="AT1504" s="7"/>
      <c r="AU1504">
        <f ca="1"/>
      </c>
      <c r="AV1504">
        <f ca="1"/>
      </c>
      <c r="AX1504">
        <f ca="1"/>
      </c>
      <c r="AY1504">
        <f ca="1"/>
      </c>
      <c r="BA1504" s="7"/>
    </row>
    <row r="1505" spans="31:53" x14ac:dyDescent="0.55000000000000004">
      <c r="AE1505" s="7"/>
      <c r="AT1505" s="7"/>
      <c r="AU1505">
        <f ca="1"/>
      </c>
      <c r="AV1505">
        <f ca="1"/>
      </c>
      <c r="AX1505">
        <f ca="1"/>
      </c>
      <c r="AY1505">
        <f ca="1"/>
      </c>
      <c r="BA1505" s="7"/>
    </row>
    <row r="1506" spans="31:53" x14ac:dyDescent="0.55000000000000004">
      <c r="AE1506" s="7"/>
      <c r="AT1506" s="7"/>
      <c r="AU1506">
        <f ca="1"/>
      </c>
      <c r="AV1506">
        <f ca="1"/>
      </c>
      <c r="AX1506">
        <f ca="1"/>
      </c>
      <c r="AY1506">
        <f ca="1"/>
      </c>
      <c r="BA1506" s="7"/>
    </row>
    <row r="1507" spans="31:53" x14ac:dyDescent="0.55000000000000004">
      <c r="AE1507" s="7"/>
      <c r="AT1507" s="7"/>
      <c r="AU1507">
        <f ca="1"/>
      </c>
      <c r="AV1507">
        <f ca="1"/>
      </c>
      <c r="AX1507">
        <f ca="1"/>
      </c>
      <c r="AY1507">
        <f ca="1"/>
      </c>
      <c r="BA1507" s="7"/>
    </row>
    <row r="1508" spans="31:53" x14ac:dyDescent="0.55000000000000004">
      <c r="AE1508" s="7"/>
      <c r="AT1508" s="7"/>
      <c r="AU1508">
        <f ca="1"/>
      </c>
      <c r="AV1508">
        <f ca="1"/>
      </c>
      <c r="AX1508">
        <f ca="1"/>
      </c>
      <c r="AY1508">
        <f ca="1"/>
      </c>
      <c r="BA1508" s="7"/>
    </row>
    <row r="1509" spans="31:53" x14ac:dyDescent="0.55000000000000004">
      <c r="AE1509" s="7"/>
      <c r="AT1509" s="7"/>
      <c r="AU1509">
        <f ca="1"/>
      </c>
      <c r="AV1509">
        <f ca="1"/>
      </c>
      <c r="AX1509">
        <f ca="1"/>
      </c>
      <c r="AY1509">
        <f ca="1"/>
      </c>
      <c r="BA1509" s="7"/>
    </row>
    <row r="1510" spans="31:53" x14ac:dyDescent="0.55000000000000004">
      <c r="AE1510" s="7"/>
      <c r="AT1510" s="7"/>
      <c r="AU1510">
        <f ca="1"/>
      </c>
      <c r="AV1510">
        <f ca="1"/>
      </c>
      <c r="AX1510">
        <f ca="1"/>
      </c>
      <c r="AY1510">
        <f ca="1"/>
      </c>
      <c r="BA1510" s="7"/>
    </row>
    <row r="1511" spans="31:53" x14ac:dyDescent="0.55000000000000004">
      <c r="AE1511" s="7"/>
      <c r="AT1511" s="7"/>
      <c r="AU1511">
        <f ca="1"/>
      </c>
      <c r="AV1511">
        <f ca="1"/>
      </c>
      <c r="AX1511">
        <f ca="1"/>
      </c>
      <c r="AY1511">
        <f ca="1"/>
      </c>
      <c r="BA1511" s="7"/>
    </row>
    <row r="1512" spans="31:53" x14ac:dyDescent="0.55000000000000004">
      <c r="AE1512" s="7"/>
      <c r="AT1512" s="7"/>
      <c r="AU1512">
        <f ca="1"/>
      </c>
      <c r="AV1512">
        <f ca="1"/>
      </c>
      <c r="AX1512">
        <f ca="1"/>
      </c>
      <c r="AY1512">
        <f ca="1"/>
      </c>
      <c r="BA1512" s="7"/>
    </row>
    <row r="1513" spans="31:53" x14ac:dyDescent="0.55000000000000004">
      <c r="AE1513" s="7"/>
      <c r="AT1513" s="7"/>
      <c r="AU1513">
        <f ca="1"/>
      </c>
      <c r="AV1513">
        <f ca="1"/>
      </c>
      <c r="AX1513">
        <f ca="1"/>
      </c>
      <c r="AY1513">
        <f ca="1"/>
      </c>
      <c r="BA1513" s="7"/>
    </row>
    <row r="1514" spans="31:53" x14ac:dyDescent="0.55000000000000004">
      <c r="AE1514" s="7"/>
      <c r="AT1514" s="7"/>
      <c r="AU1514">
        <f ca="1"/>
      </c>
      <c r="AV1514">
        <f ca="1"/>
      </c>
      <c r="AX1514">
        <f ca="1"/>
      </c>
      <c r="AY1514">
        <f ca="1"/>
      </c>
      <c r="BA1514" s="7"/>
    </row>
    <row r="1515" spans="31:53" x14ac:dyDescent="0.55000000000000004">
      <c r="AE1515" s="7"/>
      <c r="AT1515" s="7"/>
      <c r="AU1515">
        <f ca="1"/>
      </c>
      <c r="AV1515">
        <f ca="1"/>
      </c>
      <c r="AX1515">
        <f ca="1"/>
      </c>
      <c r="AY1515">
        <f ca="1"/>
      </c>
      <c r="BA1515" s="7"/>
    </row>
    <row r="1516" spans="31:53" x14ac:dyDescent="0.55000000000000004">
      <c r="AE1516" s="7"/>
      <c r="AT1516" s="7"/>
      <c r="AU1516">
        <f ca="1"/>
      </c>
      <c r="AV1516">
        <f ca="1"/>
      </c>
      <c r="AX1516">
        <f ca="1"/>
      </c>
      <c r="AY1516">
        <f ca="1"/>
      </c>
      <c r="BA1516" s="7"/>
    </row>
    <row r="1517" spans="31:53" x14ac:dyDescent="0.55000000000000004">
      <c r="AE1517" s="7"/>
      <c r="AT1517" s="7"/>
      <c r="AU1517">
        <f ca="1"/>
      </c>
      <c r="AV1517">
        <f ca="1"/>
      </c>
      <c r="AX1517">
        <f ca="1"/>
      </c>
      <c r="AY1517">
        <f ca="1"/>
      </c>
      <c r="BA1517" s="7"/>
    </row>
    <row r="1518" spans="31:53" x14ac:dyDescent="0.55000000000000004">
      <c r="AE1518" s="7"/>
      <c r="AT1518" s="7"/>
      <c r="AU1518">
        <f ca="1"/>
      </c>
      <c r="AV1518">
        <f ca="1"/>
      </c>
      <c r="AX1518">
        <f ca="1"/>
      </c>
      <c r="AY1518">
        <f ca="1"/>
      </c>
      <c r="BA1518" s="7"/>
    </row>
    <row r="1519" spans="31:53" x14ac:dyDescent="0.55000000000000004">
      <c r="AE1519" s="7"/>
      <c r="AT1519" s="7"/>
      <c r="AU1519">
        <f ca="1"/>
      </c>
      <c r="AV1519">
        <f ca="1"/>
      </c>
      <c r="AX1519">
        <f ca="1"/>
      </c>
      <c r="AY1519">
        <f ca="1"/>
      </c>
      <c r="BA1519" s="7"/>
    </row>
    <row r="1520" spans="31:53" x14ac:dyDescent="0.55000000000000004">
      <c r="AE1520" s="7"/>
      <c r="AT1520" s="7"/>
      <c r="AU1520">
        <f ca="1"/>
      </c>
      <c r="AV1520">
        <f ca="1"/>
      </c>
      <c r="AX1520">
        <f ca="1"/>
      </c>
      <c r="AY1520">
        <f ca="1"/>
      </c>
      <c r="BA1520" s="7"/>
    </row>
    <row r="1521" spans="31:53" x14ac:dyDescent="0.55000000000000004">
      <c r="AE1521" s="7"/>
      <c r="AT1521" s="7"/>
      <c r="AU1521">
        <f ca="1"/>
      </c>
      <c r="AV1521">
        <f ca="1"/>
      </c>
      <c r="AX1521">
        <f ca="1"/>
      </c>
      <c r="AY1521">
        <f ca="1"/>
      </c>
      <c r="BA1521" s="7"/>
    </row>
    <row r="1522" spans="31:53" x14ac:dyDescent="0.55000000000000004">
      <c r="AE1522" s="7"/>
      <c r="AT1522" s="7"/>
      <c r="AU1522">
        <f ca="1"/>
      </c>
      <c r="AV1522">
        <f ca="1"/>
      </c>
      <c r="AX1522">
        <f ca="1"/>
      </c>
      <c r="AY1522">
        <f ca="1"/>
      </c>
      <c r="BA1522" s="7"/>
    </row>
    <row r="1523" spans="31:53" x14ac:dyDescent="0.55000000000000004">
      <c r="AE1523" s="7"/>
      <c r="AT1523" s="7"/>
      <c r="AU1523">
        <f ca="1"/>
      </c>
      <c r="AV1523">
        <f ca="1"/>
      </c>
      <c r="AX1523">
        <f ca="1"/>
      </c>
      <c r="AY1523">
        <f ca="1"/>
      </c>
      <c r="BA1523" s="7"/>
    </row>
    <row r="1524" spans="31:53" x14ac:dyDescent="0.55000000000000004">
      <c r="AE1524" s="7"/>
      <c r="AT1524" s="7"/>
      <c r="AU1524">
        <f ca="1"/>
      </c>
      <c r="AV1524">
        <f ca="1"/>
      </c>
      <c r="AX1524">
        <f ca="1"/>
      </c>
      <c r="AY1524">
        <f ca="1"/>
      </c>
      <c r="BA1524" s="7"/>
    </row>
    <row r="1525" spans="31:53" x14ac:dyDescent="0.55000000000000004">
      <c r="AE1525" s="7"/>
      <c r="AT1525" s="7"/>
      <c r="AU1525">
        <f ca="1"/>
      </c>
      <c r="AV1525">
        <f ca="1"/>
      </c>
      <c r="AX1525">
        <f ca="1"/>
      </c>
      <c r="AY1525">
        <f ca="1"/>
      </c>
      <c r="BA1525" s="7"/>
    </row>
    <row r="1526" spans="31:53" x14ac:dyDescent="0.55000000000000004">
      <c r="AE1526" s="7"/>
      <c r="AT1526" s="7"/>
      <c r="AU1526">
        <f ca="1"/>
      </c>
      <c r="AV1526">
        <f ca="1"/>
      </c>
      <c r="AX1526">
        <f ca="1"/>
      </c>
      <c r="AY1526">
        <f ca="1"/>
      </c>
      <c r="BA1526" s="7"/>
    </row>
    <row r="1527" spans="31:53" x14ac:dyDescent="0.55000000000000004">
      <c r="AE1527" s="7"/>
      <c r="AT1527" s="7"/>
      <c r="AU1527">
        <f ca="1"/>
      </c>
      <c r="AV1527">
        <f ca="1"/>
      </c>
      <c r="AX1527">
        <f ca="1"/>
      </c>
      <c r="AY1527">
        <f ca="1"/>
      </c>
      <c r="BA1527" s="7"/>
    </row>
    <row r="1528" spans="31:53" x14ac:dyDescent="0.55000000000000004">
      <c r="AE1528" s="7"/>
      <c r="AT1528" s="7"/>
      <c r="AU1528">
        <f ca="1"/>
      </c>
      <c r="AV1528">
        <f ca="1"/>
      </c>
      <c r="AX1528">
        <f ca="1"/>
      </c>
      <c r="AY1528">
        <f ca="1"/>
      </c>
      <c r="BA1528" s="7"/>
    </row>
    <row r="1529" spans="31:53" x14ac:dyDescent="0.55000000000000004">
      <c r="AE1529" s="7"/>
      <c r="AT1529" s="7"/>
      <c r="AU1529">
        <f ca="1"/>
      </c>
      <c r="AV1529">
        <f ca="1"/>
      </c>
      <c r="AX1529">
        <f ca="1"/>
      </c>
      <c r="AY1529">
        <f ca="1"/>
      </c>
      <c r="BA1529" s="7"/>
    </row>
    <row r="1530" spans="31:53" x14ac:dyDescent="0.55000000000000004">
      <c r="AE1530" s="7"/>
      <c r="AT1530" s="7"/>
      <c r="AU1530">
        <f ca="1"/>
      </c>
      <c r="AV1530">
        <f ca="1"/>
      </c>
      <c r="AX1530">
        <f ca="1"/>
      </c>
      <c r="AY1530">
        <f ca="1"/>
      </c>
      <c r="BA1530" s="7"/>
    </row>
    <row r="1531" spans="31:53" x14ac:dyDescent="0.55000000000000004">
      <c r="AE1531" s="7"/>
      <c r="AT1531" s="7"/>
      <c r="AU1531">
        <f ca="1"/>
      </c>
      <c r="AV1531">
        <f ca="1"/>
      </c>
      <c r="AX1531">
        <f ca="1"/>
      </c>
      <c r="AY1531">
        <f ca="1"/>
      </c>
      <c r="BA1531" s="7"/>
    </row>
    <row r="1532" spans="31:53" x14ac:dyDescent="0.55000000000000004">
      <c r="AE1532" s="7"/>
      <c r="AT1532" s="7"/>
      <c r="AU1532">
        <f ca="1"/>
      </c>
      <c r="AV1532">
        <f ca="1"/>
      </c>
      <c r="AX1532">
        <f ca="1"/>
      </c>
      <c r="AY1532">
        <f ca="1"/>
      </c>
      <c r="BA1532" s="7"/>
    </row>
    <row r="1533" spans="31:53" x14ac:dyDescent="0.55000000000000004">
      <c r="AE1533" s="7"/>
      <c r="AT1533" s="7"/>
      <c r="AU1533">
        <f ca="1"/>
      </c>
      <c r="AV1533">
        <f ca="1"/>
      </c>
      <c r="AX1533">
        <f ca="1"/>
      </c>
      <c r="AY1533">
        <f ca="1"/>
      </c>
      <c r="BA1533" s="7"/>
    </row>
    <row r="1534" spans="31:53" x14ac:dyDescent="0.55000000000000004">
      <c r="AE1534" s="7"/>
      <c r="AT1534" s="7"/>
      <c r="AU1534">
        <f ca="1"/>
      </c>
      <c r="AV1534">
        <f ca="1"/>
      </c>
      <c r="AX1534">
        <f ca="1"/>
      </c>
      <c r="AY1534">
        <f ca="1"/>
      </c>
      <c r="BA1534" s="7"/>
    </row>
    <row r="1535" spans="31:53" x14ac:dyDescent="0.55000000000000004">
      <c r="AE1535" s="7"/>
      <c r="AT1535" s="7"/>
      <c r="AU1535">
        <f ca="1"/>
      </c>
      <c r="AV1535">
        <f ca="1"/>
      </c>
      <c r="AX1535">
        <f ca="1"/>
      </c>
      <c r="AY1535">
        <f ca="1"/>
      </c>
      <c r="BA1535" s="7"/>
    </row>
    <row r="1536" spans="31:53" x14ac:dyDescent="0.55000000000000004">
      <c r="AE1536" s="7"/>
      <c r="AT1536" s="7"/>
      <c r="AU1536">
        <f ca="1"/>
      </c>
      <c r="AV1536">
        <f ca="1"/>
      </c>
      <c r="AX1536">
        <f ca="1"/>
      </c>
      <c r="AY1536">
        <f ca="1"/>
      </c>
      <c r="BA1536" s="7"/>
    </row>
    <row r="1537" spans="31:53" x14ac:dyDescent="0.55000000000000004">
      <c r="AE1537" s="7"/>
      <c r="AT1537" s="7"/>
      <c r="AU1537">
        <f ca="1"/>
      </c>
      <c r="AV1537">
        <f ca="1"/>
      </c>
      <c r="AX1537">
        <f ca="1"/>
      </c>
      <c r="AY1537">
        <f ca="1"/>
      </c>
      <c r="BA1537" s="7"/>
    </row>
    <row r="1538" spans="31:53" x14ac:dyDescent="0.55000000000000004">
      <c r="AE1538" s="7"/>
      <c r="AT1538" s="7"/>
      <c r="AU1538">
        <f ca="1"/>
      </c>
      <c r="AV1538">
        <f ca="1"/>
      </c>
      <c r="AX1538">
        <f ca="1"/>
      </c>
      <c r="AY1538">
        <f ca="1"/>
      </c>
      <c r="BA1538" s="7"/>
    </row>
    <row r="1539" spans="31:53" x14ac:dyDescent="0.55000000000000004">
      <c r="AE1539" s="7"/>
      <c r="AT1539" s="7"/>
      <c r="AU1539">
        <f ca="1"/>
      </c>
      <c r="AV1539">
        <f ca="1"/>
      </c>
      <c r="AX1539">
        <f ca="1"/>
      </c>
      <c r="AY1539">
        <f ca="1"/>
      </c>
      <c r="BA1539" s="7"/>
    </row>
    <row r="1540" spans="31:53" x14ac:dyDescent="0.55000000000000004">
      <c r="AE1540" s="7"/>
      <c r="AT1540" s="7"/>
      <c r="AU1540">
        <f ca="1"/>
      </c>
      <c r="AV1540">
        <f ca="1"/>
      </c>
      <c r="AX1540">
        <f ca="1"/>
      </c>
      <c r="AY1540">
        <f ca="1"/>
      </c>
      <c r="BA1540" s="7"/>
    </row>
    <row r="1541" spans="31:53" x14ac:dyDescent="0.55000000000000004">
      <c r="AE1541" s="7"/>
      <c r="AT1541" s="7"/>
      <c r="AU1541">
        <f ca="1"/>
      </c>
      <c r="AV1541">
        <f ca="1"/>
      </c>
      <c r="AX1541">
        <f ca="1"/>
      </c>
      <c r="AY1541">
        <f ca="1"/>
      </c>
      <c r="BA1541" s="7"/>
    </row>
    <row r="1542" spans="31:53" x14ac:dyDescent="0.55000000000000004">
      <c r="AE1542" s="7"/>
      <c r="AT1542" s="7"/>
      <c r="AU1542">
        <f ca="1"/>
      </c>
      <c r="AV1542">
        <f ca="1"/>
      </c>
      <c r="AX1542">
        <f ca="1"/>
      </c>
      <c r="AY1542">
        <f ca="1"/>
      </c>
      <c r="BA1542" s="7"/>
    </row>
    <row r="1543" spans="31:53" x14ac:dyDescent="0.55000000000000004">
      <c r="AE1543" s="7"/>
      <c r="AT1543" s="7"/>
      <c r="AU1543">
        <f ca="1"/>
      </c>
      <c r="AV1543">
        <f ca="1"/>
      </c>
      <c r="AX1543">
        <f ca="1"/>
      </c>
      <c r="AY1543">
        <f ca="1"/>
      </c>
      <c r="BA1543" s="7"/>
    </row>
    <row r="1544" spans="31:53" x14ac:dyDescent="0.55000000000000004">
      <c r="AE1544" s="7"/>
      <c r="AT1544" s="7"/>
      <c r="AU1544">
        <f ca="1"/>
      </c>
      <c r="AV1544">
        <f ca="1"/>
      </c>
      <c r="AX1544">
        <f ca="1"/>
      </c>
      <c r="AY1544">
        <f ca="1"/>
      </c>
      <c r="BA1544" s="7"/>
    </row>
    <row r="1545" spans="31:53" x14ac:dyDescent="0.55000000000000004">
      <c r="AE1545" s="7"/>
      <c r="AT1545" s="7"/>
      <c r="AU1545">
        <f ca="1"/>
      </c>
      <c r="AV1545">
        <f ca="1"/>
      </c>
      <c r="AX1545">
        <f ca="1"/>
      </c>
      <c r="AY1545">
        <f ca="1"/>
      </c>
      <c r="BA1545" s="7"/>
    </row>
    <row r="1546" spans="31:53" x14ac:dyDescent="0.55000000000000004">
      <c r="AE1546" s="7"/>
      <c r="AT1546" s="7"/>
      <c r="AU1546">
        <f ca="1"/>
      </c>
      <c r="AV1546">
        <f ca="1"/>
      </c>
      <c r="AX1546">
        <f ca="1"/>
      </c>
      <c r="AY1546">
        <f ca="1"/>
      </c>
      <c r="BA1546" s="7"/>
    </row>
    <row r="1547" spans="31:53" x14ac:dyDescent="0.55000000000000004">
      <c r="AE1547" s="7"/>
      <c r="AT1547" s="7"/>
      <c r="AU1547">
        <f ca="1"/>
      </c>
      <c r="AV1547">
        <f ca="1"/>
      </c>
      <c r="AX1547">
        <f ca="1"/>
      </c>
      <c r="AY1547">
        <f ca="1"/>
      </c>
      <c r="BA1547" s="7"/>
    </row>
    <row r="1548" spans="31:53" x14ac:dyDescent="0.55000000000000004">
      <c r="AE1548" s="7"/>
      <c r="AT1548" s="7"/>
      <c r="AU1548">
        <f ca="1"/>
      </c>
      <c r="AV1548">
        <f ca="1"/>
      </c>
      <c r="AX1548">
        <f ca="1"/>
      </c>
      <c r="AY1548">
        <f ca="1"/>
      </c>
      <c r="BA1548" s="7"/>
    </row>
    <row r="1549" spans="31:53" x14ac:dyDescent="0.55000000000000004">
      <c r="AE1549" s="7"/>
      <c r="AT1549" s="7"/>
      <c r="AU1549">
        <f ca="1"/>
      </c>
      <c r="AV1549">
        <f ca="1"/>
      </c>
      <c r="AX1549">
        <f ca="1"/>
      </c>
      <c r="AY1549">
        <f ca="1"/>
      </c>
      <c r="BA1549" s="7"/>
    </row>
    <row r="1550" spans="31:53" x14ac:dyDescent="0.55000000000000004">
      <c r="AE1550" s="7"/>
      <c r="AT1550" s="7"/>
      <c r="AU1550">
        <f ca="1"/>
      </c>
      <c r="AV1550">
        <f ca="1"/>
      </c>
      <c r="AX1550">
        <f ca="1"/>
      </c>
      <c r="AY1550">
        <f ca="1"/>
      </c>
      <c r="BA1550" s="7"/>
    </row>
    <row r="1551" spans="31:53" x14ac:dyDescent="0.55000000000000004">
      <c r="AE1551" s="7"/>
      <c r="AT1551" s="7"/>
      <c r="AU1551">
        <f ca="1"/>
      </c>
      <c r="AV1551">
        <f ca="1"/>
      </c>
      <c r="AX1551">
        <f ca="1"/>
      </c>
      <c r="AY1551">
        <f ca="1"/>
      </c>
      <c r="BA1551" s="7"/>
    </row>
    <row r="1552" spans="31:53" x14ac:dyDescent="0.55000000000000004">
      <c r="AE1552" s="7"/>
      <c r="AT1552" s="7"/>
      <c r="AU1552">
        <f ca="1"/>
      </c>
      <c r="AV1552">
        <f ca="1"/>
      </c>
      <c r="AX1552">
        <f ca="1"/>
      </c>
      <c r="AY1552">
        <f ca="1"/>
      </c>
      <c r="BA1552" s="7"/>
    </row>
    <row r="1553" spans="31:53" x14ac:dyDescent="0.55000000000000004">
      <c r="AE1553" s="7"/>
      <c r="AT1553" s="7"/>
      <c r="AU1553">
        <f ca="1"/>
      </c>
      <c r="AV1553">
        <f ca="1"/>
      </c>
      <c r="AX1553">
        <f ca="1"/>
      </c>
      <c r="AY1553">
        <f ca="1"/>
      </c>
      <c r="BA1553" s="7"/>
    </row>
    <row r="1554" spans="31:53" x14ac:dyDescent="0.55000000000000004">
      <c r="AE1554" s="7"/>
      <c r="AT1554" s="7"/>
      <c r="AU1554">
        <f ca="1"/>
      </c>
      <c r="AV1554">
        <f ca="1"/>
      </c>
      <c r="AX1554">
        <f ca="1"/>
      </c>
      <c r="AY1554">
        <f ca="1"/>
      </c>
      <c r="BA1554" s="7"/>
    </row>
    <row r="1555" spans="31:53" x14ac:dyDescent="0.55000000000000004">
      <c r="AE1555" s="7"/>
      <c r="AT1555" s="7"/>
      <c r="AU1555">
        <f ca="1"/>
      </c>
      <c r="AV1555">
        <f ca="1"/>
      </c>
      <c r="AX1555">
        <f ca="1"/>
      </c>
      <c r="AY1555">
        <f ca="1"/>
      </c>
      <c r="BA1555" s="7"/>
    </row>
    <row r="1556" spans="31:53" x14ac:dyDescent="0.55000000000000004">
      <c r="AE1556" s="7"/>
      <c r="AT1556" s="7"/>
      <c r="AU1556">
        <f ca="1"/>
      </c>
      <c r="AV1556">
        <f ca="1"/>
      </c>
      <c r="AX1556">
        <f ca="1"/>
      </c>
      <c r="AY1556">
        <f ca="1"/>
      </c>
      <c r="BA1556" s="7"/>
    </row>
    <row r="1557" spans="31:53" x14ac:dyDescent="0.55000000000000004">
      <c r="AE1557" s="7"/>
      <c r="AT1557" s="7"/>
      <c r="AU1557">
        <f ca="1"/>
      </c>
      <c r="AV1557">
        <f ca="1"/>
      </c>
      <c r="AX1557">
        <f ca="1"/>
      </c>
      <c r="AY1557">
        <f ca="1"/>
      </c>
      <c r="BA1557" s="7"/>
    </row>
    <row r="1558" spans="31:53" x14ac:dyDescent="0.55000000000000004">
      <c r="AE1558" s="7"/>
      <c r="AT1558" s="7"/>
      <c r="AU1558">
        <f ca="1"/>
      </c>
      <c r="AV1558">
        <f ca="1"/>
      </c>
      <c r="AX1558">
        <f ca="1"/>
      </c>
      <c r="AY1558">
        <f ca="1"/>
      </c>
      <c r="BA1558" s="7"/>
    </row>
    <row r="1559" spans="31:53" x14ac:dyDescent="0.55000000000000004">
      <c r="AE1559" s="7"/>
      <c r="AT1559" s="7"/>
      <c r="AU1559">
        <f ca="1"/>
      </c>
      <c r="AV1559">
        <f ca="1"/>
      </c>
      <c r="AX1559">
        <f ca="1"/>
      </c>
      <c r="AY1559">
        <f ca="1"/>
      </c>
      <c r="BA1559" s="7"/>
    </row>
    <row r="1560" spans="31:53" x14ac:dyDescent="0.55000000000000004">
      <c r="AE1560" s="7"/>
      <c r="AT1560" s="7"/>
      <c r="AU1560">
        <f ca="1"/>
      </c>
      <c r="AV1560">
        <f ca="1"/>
      </c>
      <c r="AX1560">
        <f ca="1"/>
      </c>
      <c r="AY1560">
        <f ca="1"/>
      </c>
      <c r="BA1560" s="7"/>
    </row>
    <row r="1561" spans="31:53" x14ac:dyDescent="0.55000000000000004">
      <c r="AE1561" s="7"/>
      <c r="AT1561" s="7"/>
      <c r="AU1561">
        <f ca="1"/>
      </c>
      <c r="AV1561">
        <f ca="1"/>
      </c>
      <c r="AX1561">
        <f ca="1"/>
      </c>
      <c r="AY1561">
        <f ca="1"/>
      </c>
      <c r="BA1561" s="7"/>
    </row>
    <row r="1562" spans="31:53" x14ac:dyDescent="0.55000000000000004">
      <c r="AE1562" s="7"/>
      <c r="AT1562" s="7"/>
      <c r="AU1562">
        <f ca="1"/>
      </c>
      <c r="AV1562">
        <f ca="1"/>
      </c>
      <c r="AX1562">
        <f ca="1"/>
      </c>
      <c r="AY1562">
        <f ca="1"/>
      </c>
      <c r="BA1562" s="7"/>
    </row>
    <row r="1563" spans="31:53" x14ac:dyDescent="0.55000000000000004">
      <c r="AE1563" s="7"/>
      <c r="AT1563" s="7"/>
      <c r="AU1563">
        <f ca="1"/>
      </c>
      <c r="AV1563">
        <f ca="1"/>
      </c>
      <c r="AX1563">
        <f ca="1"/>
      </c>
      <c r="AY1563">
        <f ca="1"/>
      </c>
      <c r="BA1563" s="7"/>
    </row>
    <row r="1564" spans="31:53" x14ac:dyDescent="0.55000000000000004">
      <c r="AE1564" s="7"/>
      <c r="AT1564" s="7"/>
      <c r="AU1564">
        <f ca="1"/>
      </c>
      <c r="AV1564">
        <f ca="1"/>
      </c>
      <c r="AX1564">
        <f ca="1"/>
      </c>
      <c r="AY1564">
        <f ca="1"/>
      </c>
      <c r="BA1564" s="7"/>
    </row>
    <row r="1565" spans="31:53" x14ac:dyDescent="0.55000000000000004">
      <c r="AE1565" s="7"/>
      <c r="AT1565" s="7"/>
      <c r="AU1565">
        <f ca="1"/>
      </c>
      <c r="AV1565">
        <f ca="1"/>
      </c>
      <c r="AX1565">
        <f ca="1"/>
      </c>
      <c r="AY1565">
        <f ca="1"/>
      </c>
      <c r="BA1565" s="7"/>
    </row>
    <row r="1566" spans="31:53" x14ac:dyDescent="0.55000000000000004">
      <c r="AE1566" s="7"/>
      <c r="AT1566" s="7"/>
      <c r="AU1566">
        <f ca="1"/>
      </c>
      <c r="AV1566">
        <f ca="1"/>
      </c>
      <c r="AX1566">
        <f ca="1"/>
      </c>
      <c r="AY1566">
        <f ca="1"/>
      </c>
      <c r="BA1566" s="7"/>
    </row>
    <row r="1567" spans="31:53" x14ac:dyDescent="0.55000000000000004">
      <c r="AE1567" s="7"/>
      <c r="AT1567" s="7"/>
      <c r="AU1567">
        <f ca="1"/>
      </c>
      <c r="AV1567">
        <f ca="1"/>
      </c>
      <c r="AX1567">
        <f ca="1"/>
      </c>
      <c r="AY1567">
        <f ca="1"/>
      </c>
      <c r="BA1567" s="7"/>
    </row>
    <row r="1568" spans="31:53" x14ac:dyDescent="0.55000000000000004">
      <c r="AE1568" s="7"/>
      <c r="AT1568" s="7"/>
      <c r="AU1568">
        <f ca="1"/>
      </c>
      <c r="AV1568">
        <f ca="1"/>
      </c>
      <c r="AX1568">
        <f ca="1"/>
      </c>
      <c r="AY1568">
        <f ca="1"/>
      </c>
      <c r="BA1568" s="7"/>
    </row>
    <row r="1569" spans="31:53" x14ac:dyDescent="0.55000000000000004">
      <c r="AE1569" s="7"/>
      <c r="AT1569" s="7"/>
      <c r="AU1569">
        <f ca="1"/>
      </c>
      <c r="AV1569">
        <f ca="1"/>
      </c>
      <c r="AX1569">
        <f ca="1"/>
      </c>
      <c r="AY1569">
        <f ca="1"/>
      </c>
      <c r="BA1569" s="7"/>
    </row>
    <row r="1570" spans="31:53" x14ac:dyDescent="0.55000000000000004">
      <c r="AE1570" s="7"/>
      <c r="AT1570" s="7"/>
      <c r="AU1570">
        <f ca="1"/>
      </c>
      <c r="AV1570">
        <f ca="1"/>
      </c>
      <c r="AX1570">
        <f ca="1"/>
      </c>
      <c r="AY1570">
        <f ca="1"/>
      </c>
      <c r="BA1570" s="7"/>
    </row>
    <row r="1571" spans="31:53" x14ac:dyDescent="0.55000000000000004">
      <c r="AE1571" s="7"/>
      <c r="AT1571" s="7"/>
      <c r="AU1571">
        <f ca="1"/>
      </c>
      <c r="AV1571">
        <f ca="1"/>
      </c>
      <c r="AX1571">
        <f ca="1"/>
      </c>
      <c r="AY1571">
        <f ca="1"/>
      </c>
      <c r="BA1571" s="7"/>
    </row>
    <row r="1572" spans="31:53" x14ac:dyDescent="0.55000000000000004">
      <c r="AE1572" s="7"/>
      <c r="AT1572" s="7"/>
      <c r="AU1572">
        <f ca="1"/>
      </c>
      <c r="AV1572">
        <f ca="1"/>
      </c>
      <c r="AX1572">
        <f ca="1"/>
      </c>
      <c r="AY1572">
        <f ca="1"/>
      </c>
      <c r="BA1572" s="7"/>
    </row>
    <row r="1573" spans="31:53" x14ac:dyDescent="0.55000000000000004">
      <c r="AE1573" s="7"/>
      <c r="AT1573" s="7"/>
      <c r="AU1573">
        <f ca="1"/>
      </c>
      <c r="AV1573">
        <f ca="1"/>
      </c>
      <c r="AX1573">
        <f ca="1"/>
      </c>
      <c r="AY1573">
        <f ca="1"/>
      </c>
      <c r="BA1573" s="7"/>
    </row>
    <row r="1574" spans="31:53" x14ac:dyDescent="0.55000000000000004">
      <c r="AE1574" s="7"/>
      <c r="AT1574" s="7"/>
      <c r="AU1574">
        <f ca="1"/>
      </c>
      <c r="AV1574">
        <f ca="1"/>
      </c>
      <c r="AX1574">
        <f ca="1"/>
      </c>
      <c r="AY1574">
        <f ca="1"/>
      </c>
      <c r="BA1574" s="7"/>
    </row>
    <row r="1575" spans="31:53" x14ac:dyDescent="0.55000000000000004">
      <c r="AE1575" s="7"/>
      <c r="AT1575" s="7"/>
      <c r="AU1575">
        <f ca="1"/>
      </c>
      <c r="AV1575">
        <f ca="1"/>
      </c>
      <c r="AX1575">
        <f ca="1"/>
      </c>
      <c r="AY1575">
        <f ca="1"/>
      </c>
      <c r="BA1575" s="7"/>
    </row>
    <row r="1576" spans="31:53" x14ac:dyDescent="0.55000000000000004">
      <c r="AE1576" s="7"/>
      <c r="AT1576" s="7"/>
      <c r="AU1576">
        <f ca="1"/>
      </c>
      <c r="AV1576">
        <f ca="1"/>
      </c>
      <c r="AX1576">
        <f ca="1"/>
      </c>
      <c r="AY1576">
        <f ca="1"/>
      </c>
      <c r="BA1576" s="7"/>
    </row>
    <row r="1577" spans="31:53" x14ac:dyDescent="0.55000000000000004">
      <c r="AE1577" s="7"/>
      <c r="AT1577" s="7"/>
      <c r="AU1577">
        <f ca="1"/>
      </c>
      <c r="AV1577">
        <f ca="1"/>
      </c>
      <c r="AX1577">
        <f ca="1"/>
      </c>
      <c r="AY1577">
        <f ca="1"/>
      </c>
      <c r="BA1577" s="7"/>
    </row>
    <row r="1578" spans="31:53" x14ac:dyDescent="0.55000000000000004">
      <c r="AE1578" s="7"/>
      <c r="AT1578" s="7"/>
      <c r="AU1578">
        <f ca="1"/>
      </c>
      <c r="AV1578">
        <f ca="1"/>
      </c>
      <c r="AX1578">
        <f ca="1"/>
      </c>
      <c r="AY1578">
        <f ca="1"/>
      </c>
      <c r="BA1578" s="7"/>
    </row>
    <row r="1579" spans="31:53" x14ac:dyDescent="0.55000000000000004">
      <c r="AE1579" s="7"/>
      <c r="AT1579" s="7"/>
      <c r="AU1579">
        <f ca="1"/>
      </c>
      <c r="AV1579">
        <f ca="1"/>
      </c>
      <c r="AX1579">
        <f ca="1"/>
      </c>
      <c r="AY1579">
        <f ca="1"/>
      </c>
      <c r="BA1579" s="7"/>
    </row>
    <row r="1580" spans="31:53" x14ac:dyDescent="0.55000000000000004">
      <c r="AE1580" s="7"/>
      <c r="AT1580" s="7"/>
      <c r="AU1580">
        <f ca="1"/>
      </c>
      <c r="AV1580">
        <f ca="1"/>
      </c>
      <c r="AX1580">
        <f ca="1"/>
      </c>
      <c r="AY1580">
        <f ca="1"/>
      </c>
      <c r="BA1580" s="7"/>
    </row>
    <row r="1581" spans="31:53" x14ac:dyDescent="0.55000000000000004">
      <c r="AE1581" s="7"/>
      <c r="AT1581" s="7"/>
      <c r="AU1581">
        <f ca="1"/>
      </c>
      <c r="AV1581">
        <f ca="1"/>
      </c>
      <c r="AX1581">
        <f ca="1"/>
      </c>
      <c r="AY1581">
        <f ca="1"/>
      </c>
      <c r="BA1581" s="7"/>
    </row>
    <row r="1582" spans="31:53" x14ac:dyDescent="0.55000000000000004">
      <c r="AE1582" s="7"/>
      <c r="AT1582" s="7"/>
      <c r="AU1582">
        <f ca="1"/>
      </c>
      <c r="AV1582">
        <f ca="1"/>
      </c>
      <c r="AX1582">
        <f ca="1"/>
      </c>
      <c r="AY1582">
        <f ca="1"/>
      </c>
      <c r="BA1582" s="7"/>
    </row>
    <row r="1583" spans="31:53" x14ac:dyDescent="0.55000000000000004">
      <c r="AE1583" s="7"/>
      <c r="AT1583" s="7"/>
      <c r="AU1583">
        <f ca="1"/>
      </c>
      <c r="AV1583">
        <f ca="1"/>
      </c>
      <c r="AX1583">
        <f ca="1"/>
      </c>
      <c r="AY1583">
        <f ca="1"/>
      </c>
      <c r="BA1583" s="7"/>
    </row>
    <row r="1584" spans="31:53" x14ac:dyDescent="0.55000000000000004">
      <c r="AE1584" s="7"/>
      <c r="AT1584" s="7"/>
      <c r="AU1584">
        <f ca="1"/>
      </c>
      <c r="AV1584">
        <f ca="1"/>
      </c>
      <c r="AX1584">
        <f ca="1"/>
      </c>
      <c r="AY1584">
        <f ca="1"/>
      </c>
      <c r="BA1584" s="7"/>
    </row>
    <row r="1585" spans="31:53" x14ac:dyDescent="0.55000000000000004">
      <c r="AE1585" s="7"/>
      <c r="AT1585" s="7"/>
      <c r="AU1585">
        <f ca="1"/>
      </c>
      <c r="AV1585">
        <f ca="1"/>
      </c>
      <c r="AX1585">
        <f ca="1"/>
      </c>
      <c r="AY1585">
        <f ca="1"/>
      </c>
      <c r="BA1585" s="7"/>
    </row>
    <row r="1586" spans="31:53" x14ac:dyDescent="0.55000000000000004">
      <c r="AE1586" s="7"/>
      <c r="AT1586" s="7"/>
      <c r="AU1586">
        <f ca="1"/>
      </c>
      <c r="AV1586">
        <f ca="1"/>
      </c>
      <c r="AX1586">
        <f ca="1"/>
      </c>
      <c r="AY1586">
        <f ca="1"/>
      </c>
      <c r="BA1586" s="7"/>
    </row>
    <row r="1587" spans="31:53" x14ac:dyDescent="0.55000000000000004">
      <c r="AE1587" s="7"/>
      <c r="AT1587" s="7"/>
      <c r="AU1587">
        <f ca="1"/>
      </c>
      <c r="AV1587">
        <f ca="1"/>
      </c>
      <c r="AX1587">
        <f ca="1"/>
      </c>
      <c r="AY1587">
        <f ca="1"/>
      </c>
      <c r="BA1587" s="7"/>
    </row>
    <row r="1588" spans="31:53" x14ac:dyDescent="0.55000000000000004">
      <c r="AE1588" s="7"/>
      <c r="AT1588" s="7"/>
      <c r="AU1588">
        <f ca="1"/>
      </c>
      <c r="AV1588">
        <f ca="1"/>
      </c>
      <c r="AX1588">
        <f ca="1"/>
      </c>
      <c r="AY1588">
        <f ca="1"/>
      </c>
      <c r="BA1588" s="7"/>
    </row>
    <row r="1589" spans="31:53" x14ac:dyDescent="0.55000000000000004">
      <c r="AE1589" s="7"/>
      <c r="AT1589" s="7"/>
      <c r="AU1589">
        <f ca="1"/>
      </c>
      <c r="AV1589">
        <f ca="1"/>
      </c>
      <c r="AX1589">
        <f ca="1"/>
      </c>
      <c r="AY1589">
        <f ca="1"/>
      </c>
      <c r="BA1589" s="7"/>
    </row>
    <row r="1590" spans="31:53" x14ac:dyDescent="0.55000000000000004">
      <c r="AE1590" s="7"/>
      <c r="AT1590" s="7"/>
      <c r="AU1590">
        <f ca="1"/>
      </c>
      <c r="AV1590">
        <f ca="1"/>
      </c>
      <c r="AX1590">
        <f ca="1"/>
      </c>
      <c r="AY1590">
        <f ca="1"/>
      </c>
      <c r="BA1590" s="7"/>
    </row>
    <row r="1591" spans="31:53" x14ac:dyDescent="0.55000000000000004">
      <c r="AE1591" s="7"/>
      <c r="AT1591" s="7"/>
      <c r="AU1591">
        <f ca="1"/>
      </c>
      <c r="AV1591">
        <f ca="1"/>
      </c>
      <c r="AX1591">
        <f ca="1"/>
      </c>
      <c r="AY1591">
        <f ca="1"/>
      </c>
      <c r="BA1591" s="7"/>
    </row>
    <row r="1592" spans="31:53" x14ac:dyDescent="0.55000000000000004">
      <c r="AE1592" s="7"/>
      <c r="AT1592" s="7"/>
      <c r="AU1592">
        <f ca="1"/>
      </c>
      <c r="AV1592">
        <f ca="1"/>
      </c>
      <c r="AX1592">
        <f ca="1"/>
      </c>
      <c r="AY1592">
        <f ca="1"/>
      </c>
      <c r="BA1592" s="7"/>
    </row>
    <row r="1593" spans="31:53" x14ac:dyDescent="0.55000000000000004">
      <c r="AE1593" s="7"/>
      <c r="AT1593" s="7"/>
      <c r="AU1593">
        <f ca="1"/>
      </c>
      <c r="AV1593">
        <f ca="1"/>
      </c>
      <c r="AX1593">
        <f ca="1"/>
      </c>
      <c r="AY1593">
        <f ca="1"/>
      </c>
      <c r="BA1593" s="7"/>
    </row>
    <row r="1594" spans="31:53" x14ac:dyDescent="0.55000000000000004">
      <c r="AE1594" s="7"/>
      <c r="AT1594" s="7"/>
      <c r="AU1594">
        <f ca="1"/>
      </c>
      <c r="AV1594">
        <f ca="1"/>
      </c>
      <c r="AX1594">
        <f ca="1"/>
      </c>
      <c r="AY1594">
        <f ca="1"/>
      </c>
      <c r="BA1594" s="7"/>
    </row>
    <row r="1595" spans="31:53" x14ac:dyDescent="0.55000000000000004">
      <c r="AE1595" s="7"/>
      <c r="AT1595" s="7"/>
      <c r="AU1595">
        <f ca="1"/>
      </c>
      <c r="AV1595">
        <f ca="1"/>
      </c>
      <c r="AX1595">
        <f ca="1"/>
      </c>
      <c r="AY1595">
        <f ca="1"/>
      </c>
      <c r="BA1595" s="7"/>
    </row>
    <row r="1596" spans="31:53" x14ac:dyDescent="0.55000000000000004">
      <c r="AE1596" s="7"/>
      <c r="AT1596" s="7"/>
      <c r="AU1596">
        <f ca="1"/>
      </c>
      <c r="AV1596">
        <f ca="1"/>
      </c>
      <c r="AX1596">
        <f ca="1"/>
      </c>
      <c r="AY1596">
        <f ca="1"/>
      </c>
      <c r="BA1596" s="7"/>
    </row>
    <row r="1597" spans="31:53" x14ac:dyDescent="0.55000000000000004">
      <c r="AE1597" s="7"/>
      <c r="AT1597" s="7"/>
      <c r="AU1597">
        <f ca="1"/>
      </c>
      <c r="AV1597">
        <f ca="1"/>
      </c>
      <c r="AX1597">
        <f ca="1"/>
      </c>
      <c r="AY1597">
        <f ca="1"/>
      </c>
      <c r="BA1597" s="7"/>
    </row>
    <row r="1598" spans="31:53" x14ac:dyDescent="0.55000000000000004">
      <c r="AE1598" s="7"/>
      <c r="AT1598" s="7"/>
      <c r="AU1598">
        <f ca="1"/>
      </c>
      <c r="AV1598">
        <f ca="1"/>
      </c>
      <c r="AX1598">
        <f ca="1"/>
      </c>
      <c r="AY1598">
        <f ca="1"/>
      </c>
      <c r="BA1598" s="7"/>
    </row>
    <row r="1599" spans="31:53" x14ac:dyDescent="0.55000000000000004">
      <c r="AE1599" s="7"/>
      <c r="AT1599" s="7"/>
      <c r="AU1599">
        <f ca="1"/>
      </c>
      <c r="AV1599">
        <f ca="1"/>
      </c>
      <c r="AX1599">
        <f ca="1"/>
      </c>
      <c r="AY1599">
        <f ca="1"/>
      </c>
      <c r="BA1599" s="7"/>
    </row>
    <row r="1600" spans="31:53" x14ac:dyDescent="0.55000000000000004">
      <c r="AE1600" s="7"/>
      <c r="AT1600" s="7"/>
      <c r="AU1600">
        <f ca="1"/>
      </c>
      <c r="AV1600">
        <f ca="1"/>
      </c>
      <c r="AX1600">
        <f ca="1"/>
      </c>
      <c r="AY1600">
        <f ca="1"/>
      </c>
      <c r="BA1600" s="7"/>
    </row>
    <row r="1601" spans="31:53" x14ac:dyDescent="0.55000000000000004">
      <c r="AE1601" s="7"/>
      <c r="AT1601" s="7"/>
      <c r="AU1601">
        <f ca="1"/>
      </c>
      <c r="AV1601">
        <f ca="1"/>
      </c>
      <c r="AX1601">
        <f ca="1"/>
      </c>
      <c r="AY1601">
        <f ca="1"/>
      </c>
      <c r="BA1601" s="7"/>
    </row>
    <row r="1602" spans="31:53" x14ac:dyDescent="0.55000000000000004">
      <c r="AE1602" s="7"/>
      <c r="AT1602" s="7"/>
      <c r="AU1602">
        <f ca="1"/>
      </c>
      <c r="AV1602">
        <f ca="1"/>
      </c>
      <c r="AX1602">
        <f ca="1"/>
      </c>
      <c r="AY1602">
        <f ca="1"/>
      </c>
      <c r="BA1602" s="7"/>
    </row>
    <row r="1603" spans="31:53" x14ac:dyDescent="0.55000000000000004">
      <c r="AE1603" s="7"/>
      <c r="AT1603" s="7"/>
      <c r="AU1603">
        <f ca="1"/>
      </c>
      <c r="AV1603">
        <f ca="1"/>
      </c>
      <c r="AX1603">
        <f ca="1"/>
      </c>
      <c r="AY1603">
        <f ca="1"/>
      </c>
      <c r="BA1603" s="7"/>
    </row>
    <row r="1604" spans="31:53" x14ac:dyDescent="0.55000000000000004">
      <c r="AE1604" s="7"/>
      <c r="AT1604" s="7"/>
      <c r="AU1604">
        <f ca="1"/>
      </c>
      <c r="AV1604">
        <f ca="1"/>
      </c>
      <c r="AX1604">
        <f ca="1"/>
      </c>
      <c r="AY1604">
        <f ca="1"/>
      </c>
      <c r="BA1604" s="7"/>
    </row>
    <row r="1605" spans="31:53" x14ac:dyDescent="0.55000000000000004">
      <c r="AE1605" s="7"/>
      <c r="AT1605" s="7"/>
      <c r="AU1605">
        <f ca="1"/>
      </c>
      <c r="AV1605">
        <f ca="1"/>
      </c>
      <c r="AX1605">
        <f ca="1"/>
      </c>
      <c r="AY1605">
        <f ca="1"/>
      </c>
      <c r="BA1605" s="7"/>
    </row>
    <row r="1606" spans="31:53" x14ac:dyDescent="0.55000000000000004">
      <c r="AE1606" s="7"/>
      <c r="AT1606" s="7"/>
      <c r="AU1606">
        <f ca="1"/>
      </c>
      <c r="AV1606">
        <f ca="1"/>
      </c>
      <c r="AX1606">
        <f ca="1"/>
      </c>
      <c r="AY1606">
        <f ca="1"/>
      </c>
      <c r="BA1606" s="7"/>
    </row>
    <row r="1607" spans="31:53" x14ac:dyDescent="0.55000000000000004">
      <c r="AE1607" s="7"/>
      <c r="AT1607" s="7"/>
      <c r="AU1607">
        <f ca="1"/>
      </c>
      <c r="AV1607">
        <f ca="1"/>
      </c>
      <c r="AX1607">
        <f ca="1"/>
      </c>
      <c r="AY1607">
        <f ca="1"/>
      </c>
      <c r="BA1607" s="7"/>
    </row>
    <row r="1608" spans="31:53" x14ac:dyDescent="0.55000000000000004">
      <c r="AE1608" s="7"/>
      <c r="AT1608" s="7"/>
      <c r="AU1608">
        <f ca="1"/>
      </c>
      <c r="AV1608">
        <f ca="1"/>
      </c>
      <c r="AX1608">
        <f ca="1"/>
      </c>
      <c r="AY1608">
        <f ca="1"/>
      </c>
      <c r="BA1608" s="7"/>
    </row>
    <row r="1609" spans="31:53" x14ac:dyDescent="0.55000000000000004">
      <c r="AE1609" s="7"/>
      <c r="AT1609" s="7"/>
      <c r="AU1609">
        <f ca="1"/>
      </c>
      <c r="AV1609">
        <f ca="1"/>
      </c>
      <c r="AX1609">
        <f ca="1"/>
      </c>
      <c r="AY1609">
        <f ca="1"/>
      </c>
      <c r="BA1609" s="7"/>
    </row>
    <row r="1610" spans="31:53" x14ac:dyDescent="0.55000000000000004">
      <c r="AE1610" s="7"/>
      <c r="AT1610" s="7"/>
      <c r="AU1610">
        <f ca="1"/>
      </c>
      <c r="AV1610">
        <f ca="1"/>
      </c>
      <c r="AX1610">
        <f ca="1"/>
      </c>
      <c r="AY1610">
        <f ca="1"/>
      </c>
      <c r="BA1610" s="7"/>
    </row>
    <row r="1611" spans="31:53" x14ac:dyDescent="0.55000000000000004">
      <c r="AE1611" s="7"/>
      <c r="AT1611" s="7"/>
      <c r="AU1611">
        <f ca="1"/>
      </c>
      <c r="AV1611">
        <f ca="1"/>
      </c>
      <c r="AX1611">
        <f ca="1"/>
      </c>
      <c r="AY1611">
        <f ca="1"/>
      </c>
      <c r="BA1611" s="7"/>
    </row>
    <row r="1612" spans="31:53" x14ac:dyDescent="0.55000000000000004">
      <c r="AE1612" s="7"/>
      <c r="AT1612" s="7"/>
      <c r="AU1612">
        <f ca="1"/>
      </c>
      <c r="AV1612">
        <f ca="1"/>
      </c>
      <c r="AX1612">
        <f ca="1"/>
      </c>
      <c r="AY1612">
        <f ca="1"/>
      </c>
      <c r="BA1612" s="7"/>
    </row>
    <row r="1613" spans="31:53" x14ac:dyDescent="0.55000000000000004">
      <c r="AE1613" s="7"/>
      <c r="AT1613" s="7"/>
      <c r="AU1613">
        <f ca="1"/>
      </c>
      <c r="AV1613">
        <f ca="1"/>
      </c>
      <c r="AX1613">
        <f ca="1"/>
      </c>
      <c r="AY1613">
        <f ca="1"/>
      </c>
      <c r="BA1613" s="7"/>
    </row>
    <row r="1614" spans="31:53" x14ac:dyDescent="0.55000000000000004">
      <c r="AE1614" s="7"/>
      <c r="AT1614" s="7"/>
      <c r="AU1614">
        <f ca="1"/>
      </c>
      <c r="AV1614">
        <f ca="1"/>
      </c>
      <c r="AX1614">
        <f ca="1"/>
      </c>
      <c r="AY1614">
        <f ca="1"/>
      </c>
      <c r="BA1614" s="7"/>
    </row>
    <row r="1615" spans="31:53" x14ac:dyDescent="0.55000000000000004">
      <c r="AE1615" s="7"/>
      <c r="AT1615" s="7"/>
      <c r="AU1615">
        <f ca="1"/>
      </c>
      <c r="AV1615">
        <f ca="1"/>
      </c>
      <c r="AX1615">
        <f ca="1"/>
      </c>
      <c r="AY1615">
        <f ca="1"/>
      </c>
      <c r="BA1615" s="7"/>
    </row>
    <row r="1616" spans="31:53" x14ac:dyDescent="0.55000000000000004">
      <c r="AE1616" s="7"/>
      <c r="AT1616" s="7"/>
      <c r="AU1616">
        <f ca="1"/>
      </c>
      <c r="AV1616">
        <f ca="1"/>
      </c>
      <c r="AX1616">
        <f ca="1"/>
      </c>
      <c r="AY1616">
        <f ca="1"/>
      </c>
      <c r="BA1616" s="7"/>
    </row>
    <row r="1617" spans="31:53" x14ac:dyDescent="0.55000000000000004">
      <c r="AE1617" s="7"/>
      <c r="AT1617" s="7"/>
      <c r="AU1617">
        <f ca="1"/>
      </c>
      <c r="AV1617">
        <f ca="1"/>
      </c>
      <c r="AX1617">
        <f ca="1"/>
      </c>
      <c r="AY1617">
        <f ca="1"/>
      </c>
      <c r="BA1617" s="7"/>
    </row>
    <row r="1618" spans="31:53" x14ac:dyDescent="0.55000000000000004">
      <c r="AE1618" s="7"/>
      <c r="AT1618" s="7"/>
      <c r="AU1618">
        <f ca="1"/>
      </c>
      <c r="AV1618">
        <f ca="1"/>
      </c>
      <c r="AX1618">
        <f ca="1"/>
      </c>
      <c r="AY1618">
        <f ca="1"/>
      </c>
      <c r="BA1618" s="7"/>
    </row>
    <row r="1619" spans="31:53" x14ac:dyDescent="0.55000000000000004">
      <c r="AE1619" s="7"/>
      <c r="AT1619" s="7"/>
      <c r="AU1619">
        <f ca="1"/>
      </c>
      <c r="AV1619">
        <f ca="1"/>
      </c>
      <c r="AX1619">
        <f ca="1"/>
      </c>
      <c r="AY1619">
        <f ca="1"/>
      </c>
      <c r="BA1619" s="7"/>
    </row>
    <row r="1620" spans="31:53" x14ac:dyDescent="0.55000000000000004">
      <c r="AE1620" s="7"/>
      <c r="AT1620" s="7"/>
      <c r="AU1620">
        <f ca="1"/>
      </c>
      <c r="AV1620">
        <f ca="1"/>
      </c>
      <c r="AX1620">
        <f ca="1"/>
      </c>
      <c r="AY1620">
        <f ca="1"/>
      </c>
      <c r="BA1620" s="7"/>
    </row>
    <row r="1621" spans="31:53" x14ac:dyDescent="0.55000000000000004">
      <c r="AE1621" s="7"/>
      <c r="AT1621" s="7"/>
      <c r="AU1621">
        <f ca="1"/>
      </c>
      <c r="AV1621">
        <f ca="1"/>
      </c>
      <c r="AX1621">
        <f ca="1"/>
      </c>
      <c r="AY1621">
        <f ca="1"/>
      </c>
      <c r="BA1621" s="7"/>
    </row>
    <row r="1622" spans="31:53" x14ac:dyDescent="0.55000000000000004">
      <c r="AE1622" s="7"/>
      <c r="AT1622" s="7"/>
      <c r="AU1622">
        <f ca="1"/>
      </c>
      <c r="AV1622">
        <f ca="1"/>
      </c>
      <c r="AX1622">
        <f ca="1"/>
      </c>
      <c r="AY1622">
        <f ca="1"/>
      </c>
      <c r="BA1622" s="7"/>
    </row>
    <row r="1623" spans="31:53" x14ac:dyDescent="0.55000000000000004">
      <c r="AE1623" s="7"/>
      <c r="AT1623" s="7"/>
      <c r="AU1623">
        <f ca="1"/>
      </c>
      <c r="AV1623">
        <f ca="1"/>
      </c>
      <c r="AX1623">
        <f ca="1"/>
      </c>
      <c r="AY1623">
        <f ca="1"/>
      </c>
      <c r="BA1623" s="7"/>
    </row>
    <row r="1624" spans="31:53" x14ac:dyDescent="0.55000000000000004">
      <c r="AE1624" s="7"/>
      <c r="AT1624" s="7"/>
      <c r="AU1624">
        <f ca="1"/>
      </c>
      <c r="AV1624">
        <f ca="1"/>
      </c>
      <c r="AX1624">
        <f ca="1"/>
      </c>
      <c r="AY1624">
        <f ca="1"/>
      </c>
      <c r="BA1624" s="7"/>
    </row>
    <row r="1625" spans="31:53" x14ac:dyDescent="0.55000000000000004">
      <c r="AE1625" s="7"/>
      <c r="AT1625" s="7"/>
      <c r="AU1625">
        <f ca="1"/>
      </c>
      <c r="AV1625">
        <f ca="1"/>
      </c>
      <c r="AX1625">
        <f ca="1"/>
      </c>
      <c r="AY1625">
        <f ca="1"/>
      </c>
      <c r="BA1625" s="7"/>
    </row>
    <row r="1626" spans="31:53" x14ac:dyDescent="0.55000000000000004">
      <c r="AE1626" s="7"/>
      <c r="AT1626" s="7"/>
      <c r="AU1626">
        <f ca="1"/>
      </c>
      <c r="AV1626">
        <f ca="1"/>
      </c>
      <c r="AX1626">
        <f ca="1"/>
      </c>
      <c r="AY1626">
        <f ca="1"/>
      </c>
      <c r="BA1626" s="7"/>
    </row>
    <row r="1627" spans="31:53" x14ac:dyDescent="0.55000000000000004">
      <c r="AE1627" s="7"/>
      <c r="AT1627" s="7"/>
      <c r="AU1627">
        <f ca="1"/>
      </c>
      <c r="AV1627">
        <f ca="1"/>
      </c>
      <c r="AX1627">
        <f ca="1"/>
      </c>
      <c r="AY1627">
        <f ca="1"/>
      </c>
      <c r="BA1627" s="7"/>
    </row>
    <row r="1628" spans="31:53" x14ac:dyDescent="0.55000000000000004">
      <c r="AE1628" s="7"/>
      <c r="AT1628" s="7"/>
      <c r="AU1628">
        <f ca="1"/>
      </c>
      <c r="AV1628">
        <f ca="1"/>
      </c>
      <c r="AX1628">
        <f ca="1"/>
      </c>
      <c r="AY1628">
        <f ca="1"/>
      </c>
      <c r="BA1628" s="7"/>
    </row>
    <row r="1629" spans="31:53" x14ac:dyDescent="0.55000000000000004">
      <c r="AE1629" s="7"/>
      <c r="AT1629" s="7"/>
      <c r="AU1629">
        <f ca="1"/>
      </c>
      <c r="AV1629">
        <f ca="1"/>
      </c>
      <c r="AX1629">
        <f ca="1"/>
      </c>
      <c r="AY1629">
        <f ca="1"/>
      </c>
      <c r="BA1629" s="7"/>
    </row>
    <row r="1630" spans="31:53" x14ac:dyDescent="0.55000000000000004">
      <c r="AE1630" s="7"/>
      <c r="AT1630" s="7"/>
      <c r="AU1630">
        <f ca="1"/>
      </c>
      <c r="AV1630">
        <f ca="1"/>
      </c>
      <c r="AX1630">
        <f ca="1"/>
      </c>
      <c r="AY1630">
        <f ca="1"/>
      </c>
      <c r="BA1630" s="7"/>
    </row>
    <row r="1631" spans="31:53" x14ac:dyDescent="0.55000000000000004">
      <c r="AE1631" s="7"/>
      <c r="AT1631" s="7"/>
      <c r="AU1631">
        <f ca="1"/>
      </c>
      <c r="AV1631">
        <f ca="1"/>
      </c>
      <c r="AX1631">
        <f ca="1"/>
      </c>
      <c r="AY1631">
        <f ca="1"/>
      </c>
      <c r="BA1631" s="7"/>
    </row>
    <row r="1632" spans="31:53" x14ac:dyDescent="0.55000000000000004">
      <c r="AE1632" s="7"/>
      <c r="AT1632" s="7"/>
      <c r="AU1632">
        <f ca="1"/>
      </c>
      <c r="AV1632">
        <f ca="1"/>
      </c>
      <c r="AX1632">
        <f ca="1"/>
      </c>
      <c r="AY1632">
        <f ca="1"/>
      </c>
      <c r="BA1632" s="7"/>
    </row>
    <row r="1633" spans="31:53" x14ac:dyDescent="0.55000000000000004">
      <c r="AE1633" s="7"/>
      <c r="AT1633" s="7"/>
      <c r="AU1633">
        <f ca="1"/>
      </c>
      <c r="AV1633">
        <f ca="1"/>
      </c>
      <c r="AX1633">
        <f ca="1"/>
      </c>
      <c r="AY1633">
        <f ca="1"/>
      </c>
      <c r="BA1633" s="7"/>
    </row>
    <row r="1634" spans="31:53" x14ac:dyDescent="0.55000000000000004">
      <c r="AE1634" s="7"/>
      <c r="AT1634" s="7"/>
      <c r="AU1634">
        <f ca="1"/>
      </c>
      <c r="AV1634">
        <f ca="1"/>
      </c>
      <c r="AX1634">
        <f ca="1"/>
      </c>
      <c r="AY1634">
        <f ca="1"/>
      </c>
      <c r="BA1634" s="7"/>
    </row>
    <row r="1635" spans="31:53" x14ac:dyDescent="0.55000000000000004">
      <c r="AE1635" s="7"/>
      <c r="AT1635" s="7"/>
      <c r="AU1635">
        <f ca="1"/>
      </c>
      <c r="AV1635">
        <f ca="1"/>
      </c>
      <c r="AX1635">
        <f ca="1"/>
      </c>
      <c r="AY1635">
        <f ca="1"/>
      </c>
      <c r="BA1635" s="7"/>
    </row>
    <row r="1636" spans="31:53" x14ac:dyDescent="0.55000000000000004">
      <c r="AE1636" s="7"/>
      <c r="AT1636" s="7"/>
      <c r="AU1636">
        <f ca="1"/>
      </c>
      <c r="AV1636">
        <f ca="1"/>
      </c>
      <c r="AX1636">
        <f ca="1"/>
      </c>
      <c r="AY1636">
        <f ca="1"/>
      </c>
      <c r="BA1636" s="7"/>
    </row>
    <row r="1637" spans="31:53" x14ac:dyDescent="0.55000000000000004">
      <c r="AE1637" s="7"/>
      <c r="AT1637" s="7"/>
      <c r="AU1637">
        <f ca="1"/>
      </c>
      <c r="AV1637">
        <f ca="1"/>
      </c>
      <c r="AX1637">
        <f ca="1"/>
      </c>
      <c r="AY1637">
        <f ca="1"/>
      </c>
      <c r="BA1637" s="7"/>
    </row>
    <row r="1638" spans="31:53" x14ac:dyDescent="0.55000000000000004">
      <c r="AE1638" s="7"/>
      <c r="AT1638" s="7"/>
      <c r="AU1638">
        <f ca="1"/>
      </c>
      <c r="AV1638">
        <f ca="1"/>
      </c>
      <c r="AX1638">
        <f ca="1"/>
      </c>
      <c r="AY1638">
        <f ca="1"/>
      </c>
      <c r="BA1638" s="7"/>
    </row>
    <row r="1639" spans="31:53" x14ac:dyDescent="0.55000000000000004">
      <c r="AE1639" s="7"/>
      <c r="AT1639" s="7"/>
      <c r="AU1639">
        <f ca="1"/>
      </c>
      <c r="AV1639">
        <f ca="1"/>
      </c>
      <c r="AX1639">
        <f ca="1"/>
      </c>
      <c r="AY1639">
        <f ca="1"/>
      </c>
      <c r="BA1639" s="7"/>
    </row>
    <row r="1640" spans="31:53" x14ac:dyDescent="0.55000000000000004">
      <c r="AE1640" s="7"/>
      <c r="AT1640" s="7"/>
      <c r="AU1640">
        <f ca="1"/>
      </c>
      <c r="AV1640">
        <f ca="1"/>
      </c>
      <c r="AX1640">
        <f ca="1"/>
      </c>
      <c r="AY1640">
        <f ca="1"/>
      </c>
      <c r="BA1640" s="7"/>
    </row>
    <row r="1641" spans="31:53" x14ac:dyDescent="0.55000000000000004">
      <c r="AE1641" s="7"/>
      <c r="AT1641" s="7"/>
      <c r="AU1641">
        <f ca="1"/>
      </c>
      <c r="AV1641">
        <f ca="1"/>
      </c>
      <c r="AX1641">
        <f ca="1"/>
      </c>
      <c r="AY1641">
        <f ca="1"/>
      </c>
      <c r="BA1641" s="7"/>
    </row>
    <row r="1642" spans="31:53" x14ac:dyDescent="0.55000000000000004">
      <c r="AE1642" s="7"/>
      <c r="AT1642" s="7"/>
      <c r="AU1642">
        <f ca="1"/>
      </c>
      <c r="AV1642">
        <f ca="1"/>
      </c>
      <c r="AX1642">
        <f ca="1"/>
      </c>
      <c r="AY1642">
        <f ca="1"/>
      </c>
      <c r="BA1642" s="7"/>
    </row>
    <row r="1643" spans="31:53" x14ac:dyDescent="0.55000000000000004">
      <c r="AE1643" s="7"/>
      <c r="AT1643" s="7"/>
      <c r="AU1643">
        <f ca="1"/>
      </c>
      <c r="AV1643">
        <f ca="1"/>
      </c>
      <c r="AX1643">
        <f ca="1"/>
      </c>
      <c r="AY1643">
        <f ca="1"/>
      </c>
      <c r="BA1643" s="7"/>
    </row>
    <row r="1644" spans="31:53" x14ac:dyDescent="0.55000000000000004">
      <c r="AE1644" s="7"/>
      <c r="AT1644" s="7"/>
      <c r="AU1644">
        <f ca="1"/>
      </c>
      <c r="AV1644">
        <f ca="1"/>
      </c>
      <c r="AX1644">
        <f ca="1"/>
      </c>
      <c r="AY1644">
        <f ca="1"/>
      </c>
      <c r="BA1644" s="7"/>
    </row>
    <row r="1645" spans="31:53" x14ac:dyDescent="0.55000000000000004">
      <c r="AE1645" s="7"/>
      <c r="AT1645" s="7"/>
      <c r="AU1645">
        <f ca="1"/>
      </c>
      <c r="AV1645">
        <f ca="1"/>
      </c>
      <c r="AX1645">
        <f ca="1"/>
      </c>
      <c r="AY1645">
        <f ca="1"/>
      </c>
      <c r="BA1645" s="7"/>
    </row>
    <row r="1646" spans="31:53" x14ac:dyDescent="0.55000000000000004">
      <c r="AE1646" s="7"/>
      <c r="AT1646" s="7"/>
      <c r="AU1646">
        <f ca="1"/>
      </c>
      <c r="AV1646">
        <f ca="1"/>
      </c>
      <c r="AX1646">
        <f ca="1"/>
      </c>
      <c r="AY1646">
        <f ca="1"/>
      </c>
      <c r="BA1646" s="7"/>
    </row>
    <row r="1647" spans="31:53" x14ac:dyDescent="0.55000000000000004">
      <c r="AE1647" s="7"/>
      <c r="AT1647" s="7"/>
      <c r="AU1647">
        <f ca="1"/>
      </c>
      <c r="AV1647">
        <f ca="1"/>
      </c>
      <c r="AX1647">
        <f ca="1"/>
      </c>
      <c r="AY1647">
        <f ca="1"/>
      </c>
      <c r="BA1647" s="7"/>
    </row>
    <row r="1648" spans="31:53" x14ac:dyDescent="0.55000000000000004">
      <c r="AE1648" s="7"/>
      <c r="AT1648" s="7"/>
      <c r="AU1648">
        <f ca="1"/>
      </c>
      <c r="AV1648">
        <f ca="1"/>
      </c>
      <c r="AX1648">
        <f ca="1"/>
      </c>
      <c r="AY1648">
        <f ca="1"/>
      </c>
      <c r="BA1648" s="7"/>
    </row>
    <row r="1649" spans="31:53" x14ac:dyDescent="0.55000000000000004">
      <c r="AE1649" s="7"/>
      <c r="AT1649" s="7"/>
      <c r="AU1649">
        <f ca="1"/>
      </c>
      <c r="AV1649">
        <f ca="1"/>
      </c>
      <c r="AX1649">
        <f ca="1"/>
      </c>
      <c r="AY1649">
        <f ca="1"/>
      </c>
      <c r="BA1649" s="7"/>
    </row>
    <row r="1650" spans="31:53" x14ac:dyDescent="0.55000000000000004">
      <c r="AE1650" s="7"/>
      <c r="AT1650" s="7"/>
      <c r="AU1650">
        <f ca="1"/>
      </c>
      <c r="AV1650">
        <f ca="1"/>
      </c>
      <c r="AX1650">
        <f ca="1"/>
      </c>
      <c r="AY1650">
        <f ca="1"/>
      </c>
      <c r="BA1650" s="7"/>
    </row>
    <row r="1651" spans="31:53" x14ac:dyDescent="0.55000000000000004">
      <c r="AE1651" s="7"/>
      <c r="AT1651" s="7"/>
      <c r="AU1651">
        <f ca="1"/>
      </c>
      <c r="AV1651">
        <f ca="1"/>
      </c>
      <c r="AX1651">
        <f ca="1"/>
      </c>
      <c r="AY1651">
        <f ca="1"/>
      </c>
      <c r="BA1651" s="7"/>
    </row>
    <row r="1652" spans="31:53" x14ac:dyDescent="0.55000000000000004">
      <c r="AE1652" s="7"/>
      <c r="AT1652" s="7"/>
      <c r="AU1652">
        <f ca="1"/>
      </c>
      <c r="AV1652">
        <f ca="1"/>
      </c>
      <c r="AX1652">
        <f ca="1"/>
      </c>
      <c r="AY1652">
        <f ca="1"/>
      </c>
      <c r="BA1652" s="7"/>
    </row>
    <row r="1653" spans="31:53" x14ac:dyDescent="0.55000000000000004">
      <c r="AE1653" s="7"/>
      <c r="AT1653" s="7"/>
      <c r="AU1653">
        <f ca="1"/>
      </c>
      <c r="AV1653">
        <f ca="1"/>
      </c>
      <c r="AX1653">
        <f ca="1"/>
      </c>
      <c r="AY1653">
        <f ca="1"/>
      </c>
      <c r="BA1653" s="7"/>
    </row>
    <row r="1654" spans="31:53" x14ac:dyDescent="0.55000000000000004">
      <c r="AE1654" s="7"/>
      <c r="AT1654" s="7"/>
      <c r="AU1654">
        <f ca="1"/>
      </c>
      <c r="AV1654">
        <f ca="1"/>
      </c>
      <c r="AX1654">
        <f ca="1"/>
      </c>
      <c r="AY1654">
        <f ca="1"/>
      </c>
      <c r="BA1654" s="7"/>
    </row>
    <row r="1655" spans="31:53" x14ac:dyDescent="0.55000000000000004">
      <c r="AE1655" s="7"/>
      <c r="AT1655" s="7"/>
      <c r="AU1655">
        <f ca="1"/>
      </c>
      <c r="AV1655">
        <f ca="1"/>
      </c>
      <c r="AX1655">
        <f ca="1"/>
      </c>
      <c r="AY1655">
        <f ca="1"/>
      </c>
      <c r="BA1655" s="7"/>
    </row>
    <row r="1656" spans="31:53" x14ac:dyDescent="0.55000000000000004">
      <c r="AE1656" s="7"/>
      <c r="AT1656" s="7"/>
      <c r="AU1656">
        <f ca="1"/>
      </c>
      <c r="AV1656">
        <f ca="1"/>
      </c>
      <c r="AX1656">
        <f ca="1"/>
      </c>
      <c r="AY1656">
        <f ca="1"/>
      </c>
      <c r="BA1656" s="7"/>
    </row>
    <row r="1657" spans="31:53" x14ac:dyDescent="0.55000000000000004">
      <c r="AE1657" s="7"/>
      <c r="AT1657" s="7"/>
      <c r="AU1657">
        <f ca="1"/>
      </c>
      <c r="AV1657">
        <f ca="1"/>
      </c>
      <c r="AX1657">
        <f ca="1"/>
      </c>
      <c r="AY1657">
        <f ca="1"/>
      </c>
      <c r="BA1657" s="7"/>
    </row>
    <row r="1658" spans="31:53" x14ac:dyDescent="0.55000000000000004">
      <c r="AE1658" s="7"/>
      <c r="AT1658" s="7"/>
      <c r="AU1658">
        <f ca="1"/>
      </c>
      <c r="AV1658">
        <f ca="1"/>
      </c>
      <c r="AX1658">
        <f ca="1"/>
      </c>
      <c r="AY1658">
        <f ca="1"/>
      </c>
      <c r="BA1658" s="7"/>
    </row>
    <row r="1659" spans="31:53" x14ac:dyDescent="0.55000000000000004">
      <c r="AE1659" s="7"/>
      <c r="AT1659" s="7"/>
      <c r="AU1659">
        <f ca="1"/>
      </c>
      <c r="AV1659">
        <f ca="1"/>
      </c>
      <c r="AX1659">
        <f ca="1"/>
      </c>
      <c r="AY1659">
        <f ca="1"/>
      </c>
      <c r="BA1659" s="7"/>
    </row>
    <row r="1660" spans="31:53" x14ac:dyDescent="0.55000000000000004">
      <c r="AE1660" s="7"/>
      <c r="AT1660" s="7"/>
      <c r="AU1660">
        <f ca="1"/>
      </c>
      <c r="AV1660">
        <f ca="1"/>
      </c>
      <c r="AX1660">
        <f ca="1"/>
      </c>
      <c r="AY1660">
        <f ca="1"/>
      </c>
      <c r="BA1660" s="7"/>
    </row>
    <row r="1661" spans="31:53" x14ac:dyDescent="0.55000000000000004">
      <c r="AE1661" s="7"/>
      <c r="AT1661" s="7"/>
      <c r="AU1661">
        <f ca="1"/>
      </c>
      <c r="AV1661">
        <f ca="1"/>
      </c>
      <c r="AX1661">
        <f ca="1"/>
      </c>
      <c r="AY1661">
        <f ca="1"/>
      </c>
      <c r="BA1661" s="7"/>
    </row>
    <row r="1662" spans="31:53" x14ac:dyDescent="0.55000000000000004">
      <c r="AE1662" s="7"/>
      <c r="AT1662" s="7"/>
      <c r="AU1662">
        <f ca="1"/>
      </c>
      <c r="AV1662">
        <f ca="1"/>
      </c>
      <c r="AX1662">
        <f ca="1"/>
      </c>
      <c r="AY1662">
        <f ca="1"/>
      </c>
      <c r="BA1662" s="7"/>
    </row>
    <row r="1663" spans="31:53" x14ac:dyDescent="0.55000000000000004">
      <c r="AE1663" s="7"/>
      <c r="AT1663" s="7"/>
      <c r="AU1663">
        <f ca="1"/>
      </c>
      <c r="AV1663">
        <f ca="1"/>
      </c>
      <c r="AX1663">
        <f ca="1"/>
      </c>
      <c r="AY1663">
        <f ca="1"/>
      </c>
      <c r="BA1663" s="7"/>
    </row>
    <row r="1664" spans="31:53" x14ac:dyDescent="0.55000000000000004">
      <c r="AE1664" s="7"/>
      <c r="AT1664" s="7"/>
      <c r="AU1664">
        <f ca="1"/>
      </c>
      <c r="AV1664">
        <f ca="1"/>
      </c>
      <c r="AX1664">
        <f ca="1"/>
      </c>
      <c r="AY1664">
        <f ca="1"/>
      </c>
      <c r="BA1664" s="7"/>
    </row>
    <row r="1665" spans="31:53" x14ac:dyDescent="0.55000000000000004">
      <c r="AE1665" s="7"/>
      <c r="AT1665" s="7"/>
      <c r="AU1665">
        <f ca="1"/>
      </c>
      <c r="AV1665">
        <f ca="1"/>
      </c>
      <c r="AX1665">
        <f ca="1"/>
      </c>
      <c r="AY1665">
        <f ca="1"/>
      </c>
      <c r="BA1665" s="7"/>
    </row>
    <row r="1666" spans="31:53" x14ac:dyDescent="0.55000000000000004">
      <c r="AE1666" s="7"/>
      <c r="AT1666" s="7"/>
      <c r="BA1666" s="7"/>
    </row>
    <row r="1667" spans="31:53" x14ac:dyDescent="0.55000000000000004">
      <c r="AE1667" s="7"/>
      <c r="AT1667" s="7"/>
      <c r="BA1667" s="7"/>
    </row>
    <row r="1668" spans="31:53" x14ac:dyDescent="0.55000000000000004">
      <c r="AE1668" s="7"/>
      <c r="AT1668" s="7"/>
      <c r="BA1668" s="7"/>
    </row>
    <row r="1669" spans="31:53" x14ac:dyDescent="0.55000000000000004">
      <c r="AE1669" s="7"/>
      <c r="AT1669" s="7"/>
      <c r="BA1669" s="7"/>
    </row>
    <row r="1670" spans="31:53" x14ac:dyDescent="0.55000000000000004">
      <c r="AE1670" s="7"/>
      <c r="AT1670" s="7"/>
      <c r="BA1670" s="7"/>
    </row>
    <row r="1671" spans="31:53" x14ac:dyDescent="0.55000000000000004">
      <c r="AE1671" s="7"/>
      <c r="AT1671" s="7"/>
      <c r="BA1671" s="7"/>
    </row>
    <row r="1672" spans="31:53" x14ac:dyDescent="0.55000000000000004">
      <c r="AE1672" s="7"/>
      <c r="AT1672" s="7"/>
      <c r="BA1672" s="7"/>
    </row>
    <row r="1673" spans="31:53" x14ac:dyDescent="0.55000000000000004">
      <c r="AE1673" s="7"/>
      <c r="AT1673" s="7"/>
      <c r="BA1673" s="7"/>
    </row>
    <row r="1674" spans="31:53" x14ac:dyDescent="0.55000000000000004">
      <c r="AE1674" s="7"/>
      <c r="AT1674" s="7"/>
      <c r="BA1674" s="7"/>
    </row>
    <row r="1675" spans="31:53" x14ac:dyDescent="0.55000000000000004">
      <c r="AE1675" s="7"/>
      <c r="AT1675" s="7"/>
      <c r="BA1675" s="7"/>
    </row>
    <row r="1676" spans="31:53" x14ac:dyDescent="0.55000000000000004">
      <c r="AE1676" s="7"/>
      <c r="AT1676" s="7"/>
      <c r="BA1676" s="7"/>
    </row>
    <row r="1677" spans="31:53" x14ac:dyDescent="0.55000000000000004">
      <c r="AE1677" s="7"/>
      <c r="AT1677" s="7"/>
      <c r="BA1677" s="7"/>
    </row>
    <row r="1678" spans="31:53" x14ac:dyDescent="0.55000000000000004">
      <c r="AE1678" s="7"/>
      <c r="AT1678" s="7"/>
      <c r="BA1678" s="7"/>
    </row>
    <row r="1679" spans="31:53" x14ac:dyDescent="0.55000000000000004">
      <c r="AE1679" s="7"/>
      <c r="AT1679" s="7"/>
      <c r="BA1679" s="7"/>
    </row>
    <row r="1680" spans="31:53" x14ac:dyDescent="0.55000000000000004">
      <c r="AE1680" s="7"/>
      <c r="AT1680" s="7"/>
      <c r="BA1680" s="7"/>
    </row>
    <row r="1681" spans="31:53" x14ac:dyDescent="0.55000000000000004">
      <c r="AE1681" s="7"/>
      <c r="AT1681" s="7"/>
      <c r="BA1681" s="7"/>
    </row>
    <row r="1682" spans="31:53" x14ac:dyDescent="0.55000000000000004">
      <c r="AE1682" s="7"/>
      <c r="AT1682" s="7"/>
      <c r="BA1682" s="7"/>
    </row>
    <row r="1683" spans="31:53" x14ac:dyDescent="0.55000000000000004">
      <c r="AE1683" s="7"/>
      <c r="AT1683" s="7"/>
      <c r="BA1683" s="7"/>
    </row>
    <row r="1684" spans="31:53" x14ac:dyDescent="0.55000000000000004">
      <c r="AE1684" s="7"/>
      <c r="AT1684" s="7"/>
      <c r="BA1684" s="7"/>
    </row>
    <row r="1685" spans="31:53" x14ac:dyDescent="0.55000000000000004">
      <c r="AE1685" s="7"/>
      <c r="AT1685" s="7"/>
      <c r="BA1685" s="7"/>
    </row>
    <row r="1686" spans="31:53" x14ac:dyDescent="0.55000000000000004">
      <c r="AE1686" s="7"/>
      <c r="AT1686" s="7"/>
      <c r="BA1686" s="7"/>
    </row>
    <row r="1687" spans="31:53" x14ac:dyDescent="0.55000000000000004">
      <c r="AE1687" s="7"/>
      <c r="AT1687" s="7"/>
      <c r="BA1687" s="7"/>
    </row>
    <row r="1688" spans="31:53" x14ac:dyDescent="0.55000000000000004">
      <c r="AE1688" s="7"/>
      <c r="AT1688" s="7"/>
      <c r="BA1688" s="7"/>
    </row>
    <row r="1689" spans="31:53" x14ac:dyDescent="0.55000000000000004">
      <c r="AE1689" s="7"/>
      <c r="AT1689" s="7"/>
      <c r="BA1689" s="7"/>
    </row>
    <row r="1690" spans="31:53" x14ac:dyDescent="0.55000000000000004">
      <c r="AE1690" s="7"/>
      <c r="AT1690" s="7"/>
      <c r="BA1690" s="7"/>
    </row>
    <row r="1691" spans="31:53" x14ac:dyDescent="0.55000000000000004">
      <c r="AE1691" s="7"/>
      <c r="AT1691" s="7"/>
      <c r="BA1691" s="7"/>
    </row>
    <row r="1692" spans="31:53" x14ac:dyDescent="0.55000000000000004">
      <c r="AE1692" s="7"/>
      <c r="AT1692" s="7"/>
      <c r="BA1692" s="7"/>
    </row>
    <row r="1693" spans="31:53" x14ac:dyDescent="0.55000000000000004">
      <c r="AE1693" s="7"/>
      <c r="AT1693" s="7"/>
      <c r="BA1693" s="7"/>
    </row>
    <row r="1694" spans="31:53" x14ac:dyDescent="0.55000000000000004">
      <c r="AE1694" s="7"/>
      <c r="AT1694" s="7"/>
      <c r="BA1694" s="7"/>
    </row>
    <row r="1695" spans="31:53" x14ac:dyDescent="0.55000000000000004">
      <c r="AE1695" s="7"/>
      <c r="AT1695" s="7"/>
      <c r="BA1695" s="7"/>
    </row>
    <row r="1696" spans="31:53" x14ac:dyDescent="0.55000000000000004">
      <c r="AE1696" s="7"/>
      <c r="AT1696" s="7"/>
      <c r="BA1696" s="7"/>
    </row>
    <row r="1697" spans="31:53" x14ac:dyDescent="0.55000000000000004">
      <c r="AE1697" s="7"/>
      <c r="AT1697" s="7"/>
      <c r="BA1697" s="7"/>
    </row>
    <row r="1698" spans="31:53" x14ac:dyDescent="0.55000000000000004">
      <c r="AE1698" s="7"/>
      <c r="AT1698" s="7"/>
      <c r="BA1698" s="7"/>
    </row>
    <row r="1699" spans="31:53" x14ac:dyDescent="0.55000000000000004">
      <c r="AE1699" s="7"/>
      <c r="AT1699" s="7"/>
      <c r="BA1699" s="7"/>
    </row>
    <row r="1700" spans="31:53" x14ac:dyDescent="0.55000000000000004">
      <c r="AE1700" s="7"/>
      <c r="AT1700" s="7"/>
      <c r="BA1700" s="7"/>
    </row>
    <row r="1701" spans="31:53" x14ac:dyDescent="0.55000000000000004">
      <c r="AE1701" s="7"/>
      <c r="AT1701" s="7"/>
      <c r="BA1701" s="7"/>
    </row>
    <row r="1702" spans="31:53" x14ac:dyDescent="0.55000000000000004">
      <c r="AE1702" s="7"/>
      <c r="AT1702" s="7"/>
      <c r="BA1702" s="7"/>
    </row>
    <row r="1703" spans="31:53" x14ac:dyDescent="0.55000000000000004">
      <c r="AE1703" s="7"/>
      <c r="AT1703" s="7"/>
      <c r="BA1703" s="7"/>
    </row>
    <row r="1704" spans="31:53" x14ac:dyDescent="0.55000000000000004">
      <c r="AE1704" s="7"/>
      <c r="AT1704" s="7"/>
      <c r="BA1704" s="7"/>
    </row>
    <row r="1705" spans="31:53" x14ac:dyDescent="0.55000000000000004">
      <c r="AE1705" s="7"/>
      <c r="AT1705" s="7"/>
      <c r="BA1705" s="7"/>
    </row>
    <row r="1706" spans="31:53" x14ac:dyDescent="0.55000000000000004">
      <c r="AE1706" s="7"/>
      <c r="AT1706" s="7"/>
      <c r="BA1706" s="7"/>
    </row>
    <row r="1707" spans="31:53" x14ac:dyDescent="0.55000000000000004">
      <c r="AE1707" s="7"/>
      <c r="AT1707" s="7"/>
      <c r="BA1707" s="7"/>
    </row>
    <row r="1708" spans="31:53" x14ac:dyDescent="0.55000000000000004">
      <c r="AE1708" s="7"/>
      <c r="AT1708" s="7"/>
      <c r="BA1708" s="7"/>
    </row>
    <row r="1709" spans="31:53" x14ac:dyDescent="0.55000000000000004">
      <c r="AE1709" s="7"/>
      <c r="AT1709" s="7"/>
      <c r="BA1709" s="7"/>
    </row>
    <row r="1710" spans="31:53" x14ac:dyDescent="0.55000000000000004">
      <c r="AE1710" s="7"/>
      <c r="AT1710" s="7"/>
      <c r="BA1710" s="7"/>
    </row>
    <row r="1711" spans="31:53" x14ac:dyDescent="0.55000000000000004">
      <c r="AE1711" s="7"/>
      <c r="AT1711" s="7"/>
      <c r="BA1711" s="7"/>
    </row>
    <row r="1712" spans="31:53" x14ac:dyDescent="0.55000000000000004">
      <c r="AE1712" s="7"/>
      <c r="AT1712" s="7"/>
      <c r="BA1712" s="7"/>
    </row>
    <row r="1713" spans="31:53" x14ac:dyDescent="0.55000000000000004">
      <c r="AE1713" s="7"/>
      <c r="AT1713" s="7"/>
      <c r="BA1713" s="7"/>
    </row>
    <row r="1714" spans="31:53" x14ac:dyDescent="0.55000000000000004">
      <c r="AE1714" s="7"/>
      <c r="AT1714" s="7"/>
      <c r="BA1714" s="7"/>
    </row>
    <row r="1715" spans="31:53" x14ac:dyDescent="0.55000000000000004">
      <c r="AE1715" s="7"/>
      <c r="AT1715" s="7"/>
      <c r="BA1715" s="7"/>
    </row>
    <row r="1716" spans="31:53" x14ac:dyDescent="0.55000000000000004">
      <c r="AE1716" s="7"/>
      <c r="AT1716" s="7"/>
      <c r="BA1716" s="7"/>
    </row>
    <row r="1717" spans="31:53" x14ac:dyDescent="0.55000000000000004">
      <c r="AE1717" s="7"/>
      <c r="AT1717" s="7"/>
      <c r="BA1717" s="7"/>
    </row>
    <row r="1718" spans="31:53" x14ac:dyDescent="0.55000000000000004">
      <c r="AE1718" s="7"/>
      <c r="AT1718" s="7"/>
      <c r="BA1718" s="7"/>
    </row>
    <row r="1719" spans="31:53" x14ac:dyDescent="0.55000000000000004">
      <c r="AE1719" s="7"/>
      <c r="AT1719" s="7"/>
      <c r="BA1719" s="7"/>
    </row>
    <row r="1720" spans="31:53" x14ac:dyDescent="0.55000000000000004">
      <c r="AE1720" s="7"/>
      <c r="AT1720" s="7"/>
      <c r="BA1720" s="7"/>
    </row>
    <row r="1721" spans="31:53" x14ac:dyDescent="0.55000000000000004">
      <c r="AE1721" s="7"/>
      <c r="AT1721" s="7"/>
      <c r="BA1721" s="7"/>
    </row>
    <row r="1722" spans="31:53" x14ac:dyDescent="0.55000000000000004">
      <c r="AE1722" s="7"/>
      <c r="AT1722" s="7"/>
      <c r="BA1722" s="7"/>
    </row>
    <row r="1723" spans="31:53" x14ac:dyDescent="0.55000000000000004">
      <c r="AE1723" s="7"/>
      <c r="AT1723" s="7"/>
      <c r="BA1723" s="7"/>
    </row>
    <row r="1724" spans="31:53" x14ac:dyDescent="0.55000000000000004">
      <c r="AE1724" s="7"/>
      <c r="AT1724" s="7"/>
      <c r="BA1724" s="7"/>
    </row>
    <row r="1725" spans="31:53" x14ac:dyDescent="0.55000000000000004">
      <c r="AE1725" s="7"/>
      <c r="AT1725" s="7"/>
      <c r="BA1725" s="7"/>
    </row>
    <row r="1726" spans="31:53" x14ac:dyDescent="0.55000000000000004">
      <c r="AE1726" s="7"/>
      <c r="AT1726" s="7"/>
      <c r="BA1726" s="7"/>
    </row>
    <row r="1727" spans="31:53" x14ac:dyDescent="0.55000000000000004">
      <c r="AE1727" s="7"/>
      <c r="AT1727" s="7"/>
      <c r="BA1727" s="7"/>
    </row>
    <row r="1728" spans="31:53" x14ac:dyDescent="0.55000000000000004">
      <c r="AE1728" s="7"/>
      <c r="AT1728" s="7"/>
      <c r="BA1728" s="7"/>
    </row>
    <row r="1729" spans="31:53" x14ac:dyDescent="0.55000000000000004">
      <c r="AE1729" s="7"/>
      <c r="AT1729" s="7"/>
      <c r="BA1729" s="7"/>
    </row>
    <row r="1730" spans="31:53" x14ac:dyDescent="0.55000000000000004">
      <c r="AE1730" s="7"/>
      <c r="AT1730" s="7"/>
      <c r="BA1730" s="7"/>
    </row>
    <row r="1731" spans="31:53" x14ac:dyDescent="0.55000000000000004">
      <c r="AE1731" s="7"/>
      <c r="AT1731" s="7"/>
      <c r="BA1731" s="7"/>
    </row>
    <row r="1732" spans="31:53" x14ac:dyDescent="0.55000000000000004">
      <c r="AE1732" s="7"/>
      <c r="AT1732" s="7"/>
      <c r="BA1732" s="7"/>
    </row>
    <row r="1733" spans="31:53" x14ac:dyDescent="0.55000000000000004">
      <c r="AE1733" s="7"/>
      <c r="AT1733" s="7"/>
      <c r="BA1733" s="7"/>
    </row>
    <row r="1734" spans="31:53" x14ac:dyDescent="0.55000000000000004">
      <c r="AE1734" s="7"/>
      <c r="AT1734" s="7"/>
      <c r="BA1734" s="7"/>
    </row>
    <row r="1735" spans="31:53" x14ac:dyDescent="0.55000000000000004">
      <c r="AE1735" s="7"/>
      <c r="AT1735" s="7"/>
      <c r="BA1735" s="7"/>
    </row>
    <row r="1736" spans="31:53" x14ac:dyDescent="0.55000000000000004">
      <c r="AE1736" s="7"/>
      <c r="AT1736" s="7"/>
      <c r="BA1736" s="7"/>
    </row>
    <row r="1737" spans="31:53" x14ac:dyDescent="0.55000000000000004">
      <c r="AE1737" s="7"/>
      <c r="AT1737" s="7"/>
      <c r="BA1737" s="7"/>
    </row>
    <row r="1738" spans="31:53" x14ac:dyDescent="0.55000000000000004">
      <c r="AE1738" s="7"/>
      <c r="AT1738" s="7"/>
      <c r="BA1738" s="7"/>
    </row>
    <row r="1739" spans="31:53" x14ac:dyDescent="0.55000000000000004">
      <c r="AE1739" s="7"/>
      <c r="AT1739" s="7"/>
      <c r="BA1739" s="7"/>
    </row>
    <row r="1740" spans="31:53" x14ac:dyDescent="0.55000000000000004">
      <c r="AE1740" s="7"/>
      <c r="AT1740" s="7"/>
      <c r="BA1740" s="7"/>
    </row>
    <row r="1741" spans="31:53" x14ac:dyDescent="0.55000000000000004">
      <c r="AE1741" s="7"/>
      <c r="AT1741" s="7"/>
      <c r="BA1741" s="7"/>
    </row>
    <row r="1742" spans="31:53" x14ac:dyDescent="0.55000000000000004">
      <c r="AE1742" s="7"/>
      <c r="AT1742" s="7"/>
      <c r="BA1742" s="7"/>
    </row>
    <row r="1743" spans="31:53" x14ac:dyDescent="0.55000000000000004">
      <c r="AE1743" s="7"/>
      <c r="AT1743" s="7"/>
      <c r="BA1743" s="7"/>
    </row>
    <row r="1744" spans="31:53" x14ac:dyDescent="0.55000000000000004">
      <c r="AE1744" s="7"/>
      <c r="AT1744" s="7"/>
      <c r="BA1744" s="7"/>
    </row>
    <row r="1745" spans="31:53" x14ac:dyDescent="0.55000000000000004">
      <c r="AE1745" s="7"/>
      <c r="AT1745" s="7"/>
      <c r="BA1745" s="7"/>
    </row>
    <row r="1746" spans="31:53" x14ac:dyDescent="0.55000000000000004">
      <c r="AE1746" s="7"/>
      <c r="AT1746" s="7"/>
      <c r="BA1746" s="7"/>
    </row>
    <row r="1747" spans="31:53" x14ac:dyDescent="0.55000000000000004">
      <c r="AE1747" s="7"/>
      <c r="AT1747" s="7"/>
      <c r="BA1747" s="7"/>
    </row>
    <row r="1748" spans="31:53" x14ac:dyDescent="0.55000000000000004">
      <c r="AE1748" s="7"/>
      <c r="AT1748" s="7"/>
      <c r="BA1748" s="7"/>
    </row>
    <row r="1749" spans="31:53" x14ac:dyDescent="0.55000000000000004">
      <c r="AE1749" s="7"/>
      <c r="AT1749" s="7"/>
      <c r="BA1749" s="7"/>
    </row>
    <row r="1750" spans="31:53" x14ac:dyDescent="0.55000000000000004">
      <c r="AE1750" s="7"/>
      <c r="AT1750" s="7"/>
      <c r="BA1750" s="7"/>
    </row>
    <row r="1751" spans="31:53" x14ac:dyDescent="0.55000000000000004">
      <c r="AE1751" s="7"/>
      <c r="AT1751" s="7"/>
      <c r="BA1751" s="7"/>
    </row>
    <row r="1752" spans="31:53" x14ac:dyDescent="0.55000000000000004">
      <c r="AE1752" s="7"/>
      <c r="AT1752" s="7"/>
      <c r="BA1752" s="7"/>
    </row>
    <row r="1753" spans="31:53" x14ac:dyDescent="0.55000000000000004">
      <c r="AE1753" s="7"/>
      <c r="AT1753" s="7"/>
      <c r="BA1753" s="7"/>
    </row>
    <row r="1754" spans="31:53" x14ac:dyDescent="0.55000000000000004">
      <c r="AE1754" s="7"/>
      <c r="AT1754" s="7"/>
      <c r="BA1754" s="7"/>
    </row>
    <row r="1755" spans="31:53" x14ac:dyDescent="0.55000000000000004">
      <c r="AE1755" s="7"/>
      <c r="AT1755" s="7"/>
      <c r="BA1755" s="7"/>
    </row>
    <row r="1756" spans="31:53" x14ac:dyDescent="0.55000000000000004">
      <c r="AE1756" s="7"/>
      <c r="AT1756" s="7"/>
      <c r="BA1756" s="7"/>
    </row>
    <row r="1757" spans="31:53" x14ac:dyDescent="0.55000000000000004">
      <c r="AE1757" s="7"/>
      <c r="AT1757" s="7"/>
      <c r="BA1757" s="7"/>
    </row>
    <row r="1758" spans="31:53" x14ac:dyDescent="0.55000000000000004">
      <c r="AE1758" s="7"/>
      <c r="AT1758" s="7"/>
      <c r="BA1758" s="7"/>
    </row>
    <row r="1759" spans="31:53" x14ac:dyDescent="0.55000000000000004">
      <c r="AE1759" s="7"/>
      <c r="AT1759" s="7"/>
      <c r="BA1759" s="7"/>
    </row>
    <row r="1760" spans="31:53" x14ac:dyDescent="0.55000000000000004">
      <c r="AE1760" s="7"/>
      <c r="AT1760" s="7"/>
      <c r="BA1760" s="7"/>
    </row>
    <row r="1761" spans="31:53" x14ac:dyDescent="0.55000000000000004">
      <c r="AE1761" s="7"/>
      <c r="AT1761" s="7"/>
      <c r="BA1761" s="7"/>
    </row>
    <row r="1762" spans="31:53" x14ac:dyDescent="0.55000000000000004">
      <c r="AE1762" s="7"/>
      <c r="AT1762" s="7"/>
      <c r="BA1762" s="7"/>
    </row>
    <row r="1763" spans="31:53" x14ac:dyDescent="0.55000000000000004">
      <c r="AE1763" s="7"/>
      <c r="AT1763" s="7"/>
      <c r="BA1763" s="7"/>
    </row>
    <row r="1764" spans="31:53" x14ac:dyDescent="0.55000000000000004">
      <c r="AE1764" s="7"/>
      <c r="AT1764" s="7"/>
      <c r="BA1764" s="7"/>
    </row>
    <row r="1765" spans="31:53" x14ac:dyDescent="0.55000000000000004">
      <c r="AE1765" s="7"/>
      <c r="AT1765" s="7"/>
      <c r="BA1765" s="7"/>
    </row>
    <row r="1766" spans="31:53" x14ac:dyDescent="0.55000000000000004">
      <c r="AE1766" s="7"/>
      <c r="AT1766" s="7"/>
      <c r="BA1766" s="7"/>
    </row>
    <row r="1767" spans="31:53" x14ac:dyDescent="0.55000000000000004">
      <c r="AE1767" s="7"/>
      <c r="AT1767" s="7"/>
      <c r="BA1767" s="7"/>
    </row>
    <row r="1768" spans="31:53" x14ac:dyDescent="0.55000000000000004">
      <c r="AE1768" s="7"/>
      <c r="AT1768" s="7"/>
      <c r="BA1768" s="7"/>
    </row>
    <row r="1769" spans="31:53" x14ac:dyDescent="0.55000000000000004">
      <c r="AE1769" s="7"/>
      <c r="AT1769" s="7"/>
      <c r="BA1769" s="7"/>
    </row>
    <row r="1770" spans="31:53" x14ac:dyDescent="0.55000000000000004">
      <c r="AE1770" s="7"/>
      <c r="AT1770" s="7"/>
      <c r="BA1770" s="7"/>
    </row>
    <row r="1771" spans="31:53" x14ac:dyDescent="0.55000000000000004">
      <c r="AE1771" s="7"/>
      <c r="AT1771" s="7"/>
      <c r="BA1771" s="7"/>
    </row>
    <row r="1772" spans="31:53" x14ac:dyDescent="0.55000000000000004">
      <c r="AE1772" s="7"/>
      <c r="AT1772" s="7"/>
      <c r="BA1772" s="7"/>
    </row>
    <row r="1773" spans="31:53" x14ac:dyDescent="0.55000000000000004">
      <c r="AE1773" s="7"/>
      <c r="AT1773" s="7"/>
      <c r="BA1773" s="7"/>
    </row>
    <row r="1774" spans="31:53" x14ac:dyDescent="0.55000000000000004">
      <c r="AE1774" s="7"/>
      <c r="AT1774" s="7"/>
      <c r="BA1774" s="7"/>
    </row>
    <row r="1775" spans="31:53" x14ac:dyDescent="0.55000000000000004">
      <c r="AE1775" s="7"/>
      <c r="AT1775" s="7"/>
      <c r="BA1775" s="7"/>
    </row>
    <row r="1776" spans="31:53" x14ac:dyDescent="0.55000000000000004">
      <c r="AE1776" s="7"/>
      <c r="AT1776" s="7"/>
      <c r="BA1776" s="7"/>
    </row>
    <row r="1777" spans="31:53" x14ac:dyDescent="0.55000000000000004">
      <c r="AE1777" s="7"/>
      <c r="AT1777" s="7"/>
      <c r="BA1777" s="7"/>
    </row>
    <row r="1778" spans="31:53" x14ac:dyDescent="0.55000000000000004">
      <c r="AE1778" s="7"/>
      <c r="AT1778" s="7"/>
      <c r="BA1778" s="7"/>
    </row>
    <row r="1779" spans="31:53" x14ac:dyDescent="0.55000000000000004">
      <c r="AE1779" s="7"/>
      <c r="AT1779" s="7"/>
      <c r="BA1779" s="7"/>
    </row>
    <row r="1780" spans="31:53" x14ac:dyDescent="0.55000000000000004">
      <c r="AE1780" s="7"/>
      <c r="AT1780" s="7"/>
      <c r="BA1780" s="7"/>
    </row>
    <row r="1781" spans="31:53" x14ac:dyDescent="0.55000000000000004">
      <c r="AE1781" s="7"/>
      <c r="AT1781" s="7"/>
      <c r="BA1781" s="7"/>
    </row>
    <row r="1782" spans="31:53" x14ac:dyDescent="0.55000000000000004">
      <c r="AE1782" s="7"/>
      <c r="AT1782" s="7"/>
      <c r="BA1782" s="7"/>
    </row>
    <row r="1783" spans="31:53" x14ac:dyDescent="0.55000000000000004">
      <c r="AE1783" s="7"/>
      <c r="AT1783" s="7"/>
      <c r="BA1783" s="7"/>
    </row>
    <row r="1784" spans="31:53" x14ac:dyDescent="0.55000000000000004">
      <c r="AE1784" s="7"/>
      <c r="AT1784" s="7"/>
      <c r="BA1784" s="7"/>
    </row>
    <row r="1785" spans="31:53" x14ac:dyDescent="0.55000000000000004">
      <c r="AE1785" s="7"/>
      <c r="AT1785" s="7"/>
      <c r="BA1785" s="7"/>
    </row>
    <row r="1786" spans="31:53" x14ac:dyDescent="0.55000000000000004">
      <c r="AE1786" s="7"/>
      <c r="AT1786" s="7"/>
      <c r="BA1786" s="7"/>
    </row>
    <row r="1787" spans="31:53" x14ac:dyDescent="0.55000000000000004">
      <c r="AE1787" s="7"/>
      <c r="AT1787" s="7"/>
      <c r="BA1787" s="7"/>
    </row>
    <row r="1788" spans="31:53" x14ac:dyDescent="0.55000000000000004">
      <c r="AE1788" s="7"/>
      <c r="AT1788" s="7"/>
      <c r="BA1788" s="7"/>
    </row>
    <row r="1789" spans="31:53" x14ac:dyDescent="0.55000000000000004">
      <c r="AE1789" s="7"/>
      <c r="AT1789" s="7"/>
      <c r="BA1789" s="7"/>
    </row>
    <row r="1790" spans="31:53" x14ac:dyDescent="0.55000000000000004">
      <c r="AE1790" s="7"/>
      <c r="AT1790" s="7"/>
      <c r="BA1790" s="7"/>
    </row>
    <row r="1791" spans="31:53" x14ac:dyDescent="0.55000000000000004">
      <c r="AE1791" s="7"/>
      <c r="AT1791" s="7"/>
      <c r="BA1791" s="7"/>
    </row>
    <row r="1792" spans="31:53" x14ac:dyDescent="0.55000000000000004">
      <c r="AE1792" s="7"/>
      <c r="AT1792" s="7"/>
      <c r="BA1792" s="7"/>
    </row>
    <row r="1793" spans="31:53" x14ac:dyDescent="0.55000000000000004">
      <c r="AE1793" s="7"/>
      <c r="AT1793" s="7"/>
      <c r="BA1793" s="7"/>
    </row>
    <row r="1794" spans="31:53" x14ac:dyDescent="0.55000000000000004">
      <c r="AE1794" s="7"/>
      <c r="AT1794" s="7"/>
      <c r="BA1794" s="7"/>
    </row>
    <row r="1795" spans="31:53" x14ac:dyDescent="0.55000000000000004">
      <c r="AE1795" s="7"/>
      <c r="AT1795" s="7"/>
      <c r="BA1795" s="7"/>
    </row>
    <row r="1796" spans="31:53" x14ac:dyDescent="0.55000000000000004">
      <c r="AE1796" s="7"/>
      <c r="AT1796" s="7"/>
      <c r="BA1796" s="7"/>
    </row>
    <row r="1797" spans="31:53" x14ac:dyDescent="0.55000000000000004">
      <c r="AE1797" s="7"/>
      <c r="AT1797" s="7"/>
      <c r="BA1797" s="7"/>
    </row>
    <row r="1798" spans="31:53" x14ac:dyDescent="0.55000000000000004">
      <c r="AE1798" s="7"/>
      <c r="AT1798" s="7"/>
      <c r="BA1798" s="7"/>
    </row>
    <row r="1799" spans="31:53" x14ac:dyDescent="0.55000000000000004">
      <c r="AE1799" s="7"/>
      <c r="AT1799" s="7"/>
      <c r="BA1799" s="7"/>
    </row>
    <row r="1800" spans="31:53" x14ac:dyDescent="0.55000000000000004">
      <c r="AE1800" s="7"/>
      <c r="AT1800" s="7"/>
      <c r="BA1800" s="7"/>
    </row>
    <row r="1801" spans="31:53" x14ac:dyDescent="0.55000000000000004">
      <c r="AE1801" s="7"/>
      <c r="AT1801" s="7"/>
      <c r="BA1801" s="7"/>
    </row>
    <row r="1802" spans="31:53" x14ac:dyDescent="0.55000000000000004">
      <c r="AE1802" s="7"/>
      <c r="AT1802" s="7"/>
      <c r="BA1802" s="7"/>
    </row>
    <row r="1803" spans="31:53" x14ac:dyDescent="0.55000000000000004">
      <c r="AE1803" s="7"/>
      <c r="AT1803" s="7"/>
      <c r="BA1803" s="7"/>
    </row>
    <row r="1804" spans="31:53" x14ac:dyDescent="0.55000000000000004">
      <c r="AE1804" s="7"/>
      <c r="AT1804" s="7"/>
      <c r="BA1804" s="7"/>
    </row>
    <row r="1805" spans="31:53" x14ac:dyDescent="0.55000000000000004">
      <c r="AE1805" s="7"/>
      <c r="AT1805" s="7"/>
      <c r="BA1805" s="7"/>
    </row>
    <row r="1806" spans="31:53" x14ac:dyDescent="0.55000000000000004">
      <c r="AE1806" s="7"/>
      <c r="AT1806" s="7"/>
      <c r="BA1806" s="7"/>
    </row>
    <row r="1807" spans="31:53" x14ac:dyDescent="0.55000000000000004">
      <c r="AE1807" s="7"/>
      <c r="AT1807" s="7"/>
      <c r="BA1807" s="7"/>
    </row>
    <row r="1808" spans="31:53" x14ac:dyDescent="0.55000000000000004">
      <c r="AE1808" s="7"/>
      <c r="AT1808" s="7"/>
      <c r="BA1808" s="7"/>
    </row>
    <row r="1809" spans="31:53" x14ac:dyDescent="0.55000000000000004">
      <c r="AE1809" s="7"/>
      <c r="AT1809" s="7"/>
      <c r="BA1809" s="7"/>
    </row>
    <row r="1810" spans="31:53" x14ac:dyDescent="0.55000000000000004">
      <c r="AE1810" s="7"/>
      <c r="AT1810" s="7"/>
      <c r="BA1810" s="7"/>
    </row>
    <row r="1811" spans="31:53" x14ac:dyDescent="0.55000000000000004">
      <c r="AE1811" s="7"/>
      <c r="AT1811" s="7"/>
      <c r="BA1811" s="7"/>
    </row>
    <row r="1812" spans="31:53" x14ac:dyDescent="0.55000000000000004">
      <c r="AE1812" s="7"/>
      <c r="AT1812" s="7"/>
      <c r="BA1812" s="7"/>
    </row>
    <row r="1813" spans="31:53" x14ac:dyDescent="0.55000000000000004">
      <c r="AE1813" s="7"/>
      <c r="AT1813" s="7"/>
      <c r="BA1813" s="7"/>
    </row>
    <row r="1814" spans="31:53" x14ac:dyDescent="0.55000000000000004">
      <c r="AE1814" s="7"/>
      <c r="AT1814" s="7"/>
      <c r="BA1814" s="7"/>
    </row>
    <row r="1815" spans="31:53" x14ac:dyDescent="0.55000000000000004">
      <c r="AE1815" s="7"/>
      <c r="AT1815" s="7"/>
      <c r="BA1815" s="7"/>
    </row>
    <row r="1816" spans="31:53" x14ac:dyDescent="0.55000000000000004">
      <c r="AE1816" s="7"/>
      <c r="AT1816" s="7"/>
      <c r="BA1816" s="7"/>
    </row>
    <row r="1817" spans="31:53" x14ac:dyDescent="0.55000000000000004">
      <c r="AE1817" s="7"/>
      <c r="AT1817" s="7"/>
      <c r="BA1817" s="7"/>
    </row>
    <row r="1818" spans="31:53" x14ac:dyDescent="0.55000000000000004">
      <c r="AE1818" s="7"/>
      <c r="AT1818" s="7"/>
      <c r="BA1818" s="7"/>
    </row>
    <row r="1819" spans="31:53" x14ac:dyDescent="0.55000000000000004">
      <c r="AE1819" s="7"/>
      <c r="AT1819" s="7"/>
      <c r="BA1819" s="7"/>
    </row>
    <row r="1820" spans="31:53" x14ac:dyDescent="0.55000000000000004">
      <c r="AE1820" s="7"/>
      <c r="AT1820" s="7"/>
      <c r="BA1820" s="7"/>
    </row>
    <row r="1821" spans="31:53" x14ac:dyDescent="0.55000000000000004">
      <c r="AE1821" s="7"/>
      <c r="AT1821" s="7"/>
      <c r="BA1821" s="7"/>
    </row>
    <row r="1822" spans="31:53" x14ac:dyDescent="0.55000000000000004">
      <c r="AE1822" s="7"/>
      <c r="AT1822" s="7"/>
      <c r="BA1822" s="7"/>
    </row>
    <row r="1823" spans="31:53" x14ac:dyDescent="0.55000000000000004">
      <c r="AE1823" s="7"/>
      <c r="AT1823" s="7"/>
      <c r="BA1823" s="7"/>
    </row>
    <row r="1824" spans="31:53" x14ac:dyDescent="0.55000000000000004">
      <c r="AE1824" s="7"/>
      <c r="AT1824" s="7"/>
      <c r="BA1824" s="7"/>
    </row>
    <row r="1825" spans="31:53" x14ac:dyDescent="0.55000000000000004">
      <c r="AE1825" s="7"/>
      <c r="AT1825" s="7"/>
      <c r="BA1825" s="7"/>
    </row>
    <row r="1826" spans="31:53" x14ac:dyDescent="0.55000000000000004">
      <c r="AE1826" s="7"/>
      <c r="AT1826" s="7"/>
      <c r="BA1826" s="7"/>
    </row>
    <row r="1827" spans="31:53" x14ac:dyDescent="0.55000000000000004">
      <c r="AE1827" s="7"/>
      <c r="AT1827" s="7"/>
      <c r="BA1827" s="7"/>
    </row>
    <row r="1828" spans="31:53" x14ac:dyDescent="0.55000000000000004">
      <c r="AE1828" s="7"/>
      <c r="AT1828" s="7"/>
      <c r="BA1828" s="7"/>
    </row>
    <row r="1829" spans="31:53" x14ac:dyDescent="0.55000000000000004">
      <c r="AE1829" s="7"/>
      <c r="AT1829" s="7"/>
      <c r="BA1829" s="7"/>
    </row>
    <row r="1830" spans="31:53" x14ac:dyDescent="0.55000000000000004">
      <c r="AE1830" s="7"/>
      <c r="AT1830" s="7"/>
      <c r="BA1830" s="7"/>
    </row>
    <row r="1831" spans="31:53" x14ac:dyDescent="0.55000000000000004">
      <c r="AE1831" s="7"/>
      <c r="AT1831" s="7"/>
      <c r="BA1831" s="7"/>
    </row>
    <row r="1832" spans="31:53" x14ac:dyDescent="0.55000000000000004">
      <c r="AE1832" s="7"/>
      <c r="AT1832" s="7"/>
      <c r="BA1832" s="7"/>
    </row>
    <row r="1833" spans="31:53" x14ac:dyDescent="0.55000000000000004">
      <c r="AE1833" s="7"/>
      <c r="AT1833" s="7"/>
      <c r="BA1833" s="7"/>
    </row>
    <row r="1834" spans="31:53" x14ac:dyDescent="0.55000000000000004">
      <c r="AE1834" s="7"/>
      <c r="AT1834" s="7"/>
      <c r="BA1834" s="7"/>
    </row>
    <row r="1835" spans="31:53" x14ac:dyDescent="0.55000000000000004">
      <c r="AE1835" s="7"/>
      <c r="AT1835" s="7"/>
      <c r="BA1835" s="7"/>
    </row>
    <row r="1836" spans="31:53" x14ac:dyDescent="0.55000000000000004">
      <c r="AE1836" s="7"/>
      <c r="AT1836" s="7"/>
      <c r="BA1836" s="7"/>
    </row>
    <row r="1837" spans="31:53" x14ac:dyDescent="0.55000000000000004">
      <c r="AE1837" s="7"/>
      <c r="AT1837" s="7"/>
      <c r="BA1837" s="7"/>
    </row>
    <row r="1838" spans="31:53" x14ac:dyDescent="0.55000000000000004">
      <c r="AE1838" s="7"/>
      <c r="AT1838" s="7"/>
      <c r="BA1838" s="7"/>
    </row>
    <row r="1839" spans="31:53" x14ac:dyDescent="0.55000000000000004">
      <c r="AE1839" s="7"/>
      <c r="AT1839" s="7"/>
      <c r="BA1839" s="7"/>
    </row>
    <row r="1840" spans="31:53" x14ac:dyDescent="0.55000000000000004">
      <c r="AE1840" s="7"/>
      <c r="AT1840" s="7"/>
      <c r="BA1840" s="7"/>
    </row>
    <row r="1841" spans="31:53" x14ac:dyDescent="0.55000000000000004">
      <c r="AE1841" s="7"/>
      <c r="AT1841" s="7"/>
      <c r="BA1841" s="7"/>
    </row>
    <row r="1842" spans="31:53" x14ac:dyDescent="0.55000000000000004">
      <c r="AE1842" s="7"/>
      <c r="AT1842" s="7"/>
      <c r="BA1842" s="7"/>
    </row>
    <row r="1843" spans="31:53" x14ac:dyDescent="0.55000000000000004">
      <c r="AE1843" s="7"/>
      <c r="AT1843" s="7"/>
      <c r="BA1843" s="7"/>
    </row>
    <row r="1844" spans="31:53" x14ac:dyDescent="0.55000000000000004">
      <c r="AE1844" s="7"/>
      <c r="AT1844" s="7"/>
      <c r="BA1844" s="7"/>
    </row>
    <row r="1845" spans="31:53" x14ac:dyDescent="0.55000000000000004">
      <c r="AE1845" s="7"/>
      <c r="AT1845" s="7"/>
      <c r="BA1845" s="7"/>
    </row>
    <row r="1846" spans="31:53" x14ac:dyDescent="0.55000000000000004">
      <c r="AE1846" s="7"/>
      <c r="AT1846" s="7"/>
      <c r="BA1846" s="7"/>
    </row>
    <row r="1847" spans="31:53" x14ac:dyDescent="0.55000000000000004">
      <c r="AE1847" s="7"/>
      <c r="AT1847" s="7"/>
      <c r="BA1847" s="7"/>
    </row>
    <row r="1848" spans="31:53" x14ac:dyDescent="0.55000000000000004">
      <c r="AE1848" s="7"/>
      <c r="AT1848" s="7"/>
      <c r="BA1848" s="7"/>
    </row>
    <row r="1849" spans="31:53" x14ac:dyDescent="0.55000000000000004">
      <c r="AE1849" s="7"/>
      <c r="AT1849" s="7"/>
      <c r="BA1849" s="7"/>
    </row>
    <row r="1850" spans="31:53" x14ac:dyDescent="0.55000000000000004">
      <c r="AE1850" s="7"/>
      <c r="AT1850" s="7"/>
      <c r="BA1850" s="7"/>
    </row>
    <row r="1851" spans="31:53" x14ac:dyDescent="0.55000000000000004">
      <c r="AE1851" s="7"/>
      <c r="AT1851" s="7"/>
      <c r="BA1851" s="7"/>
    </row>
    <row r="1852" spans="31:53" x14ac:dyDescent="0.55000000000000004">
      <c r="AE1852" s="7"/>
      <c r="AT1852" s="7"/>
      <c r="BA1852" s="7"/>
    </row>
    <row r="1853" spans="31:53" x14ac:dyDescent="0.55000000000000004">
      <c r="AE1853" s="7"/>
      <c r="AT1853" s="7"/>
      <c r="BA1853" s="7"/>
    </row>
    <row r="1854" spans="31:53" x14ac:dyDescent="0.55000000000000004">
      <c r="AE1854" s="7"/>
      <c r="AT1854" s="7"/>
      <c r="BA1854" s="7"/>
    </row>
    <row r="1855" spans="31:53" x14ac:dyDescent="0.55000000000000004">
      <c r="AE1855" s="7"/>
      <c r="AT1855" s="7"/>
      <c r="BA1855" s="7"/>
    </row>
    <row r="1856" spans="31:53" x14ac:dyDescent="0.55000000000000004">
      <c r="AE1856" s="7"/>
      <c r="AT1856" s="7"/>
      <c r="BA1856" s="7"/>
    </row>
    <row r="1857" spans="31:53" x14ac:dyDescent="0.55000000000000004">
      <c r="AE1857" s="7"/>
      <c r="AT1857" s="7"/>
      <c r="BA1857" s="7"/>
    </row>
    <row r="1858" spans="31:53" x14ac:dyDescent="0.55000000000000004">
      <c r="AE1858" s="7"/>
      <c r="AT1858" s="7"/>
      <c r="BA1858" s="7"/>
    </row>
    <row r="1859" spans="31:53" x14ac:dyDescent="0.55000000000000004">
      <c r="AE1859" s="7"/>
      <c r="AT1859" s="7"/>
      <c r="BA1859" s="7"/>
    </row>
    <row r="1860" spans="31:53" x14ac:dyDescent="0.55000000000000004">
      <c r="AE1860" s="7"/>
      <c r="AT1860" s="7"/>
      <c r="BA1860" s="7"/>
    </row>
    <row r="1861" spans="31:53" x14ac:dyDescent="0.55000000000000004">
      <c r="AE1861" s="7"/>
      <c r="AT1861" s="7"/>
      <c r="BA1861" s="7"/>
    </row>
    <row r="1862" spans="31:53" x14ac:dyDescent="0.55000000000000004">
      <c r="AE1862" s="7"/>
      <c r="AT1862" s="7"/>
      <c r="BA1862" s="7"/>
    </row>
    <row r="1863" spans="31:53" x14ac:dyDescent="0.55000000000000004">
      <c r="AE1863" s="7"/>
      <c r="AT1863" s="7"/>
      <c r="BA1863" s="7"/>
    </row>
    <row r="1864" spans="31:53" x14ac:dyDescent="0.55000000000000004">
      <c r="AE1864" s="7"/>
      <c r="AT1864" s="7"/>
      <c r="BA1864" s="7"/>
    </row>
    <row r="1865" spans="31:53" x14ac:dyDescent="0.55000000000000004">
      <c r="AE1865" s="7"/>
      <c r="AT1865" s="7"/>
      <c r="BA1865" s="7"/>
    </row>
    <row r="1866" spans="31:53" x14ac:dyDescent="0.55000000000000004">
      <c r="AE1866" s="7"/>
      <c r="AT1866" s="7"/>
      <c r="BA1866" s="7"/>
    </row>
    <row r="1867" spans="31:53" x14ac:dyDescent="0.55000000000000004">
      <c r="AE1867" s="7"/>
      <c r="AT1867" s="7"/>
      <c r="BA1867" s="7"/>
    </row>
    <row r="1868" spans="31:53" x14ac:dyDescent="0.55000000000000004">
      <c r="AE1868" s="7"/>
      <c r="AT1868" s="7"/>
      <c r="BA1868" s="7"/>
    </row>
    <row r="1869" spans="31:53" x14ac:dyDescent="0.55000000000000004">
      <c r="AE1869" s="7"/>
      <c r="AT1869" s="7"/>
      <c r="BA1869" s="7"/>
    </row>
    <row r="1870" spans="31:53" x14ac:dyDescent="0.55000000000000004">
      <c r="AE1870" s="7"/>
      <c r="AT1870" s="7"/>
      <c r="BA1870" s="7"/>
    </row>
    <row r="1871" spans="31:53" x14ac:dyDescent="0.55000000000000004">
      <c r="AE1871" s="7"/>
      <c r="AT1871" s="7"/>
      <c r="BA1871" s="7"/>
    </row>
    <row r="1872" spans="31:53" x14ac:dyDescent="0.55000000000000004">
      <c r="AE1872" s="7"/>
      <c r="AT1872" s="7"/>
      <c r="BA1872" s="7"/>
    </row>
    <row r="1873" spans="31:53" x14ac:dyDescent="0.55000000000000004">
      <c r="AE1873" s="7"/>
      <c r="AT1873" s="7"/>
      <c r="BA1873" s="7"/>
    </row>
    <row r="1874" spans="31:53" x14ac:dyDescent="0.55000000000000004">
      <c r="AE1874" s="7"/>
      <c r="AT1874" s="7"/>
      <c r="BA1874" s="7"/>
    </row>
    <row r="1875" spans="31:53" x14ac:dyDescent="0.55000000000000004">
      <c r="AE1875" s="7"/>
      <c r="AT1875" s="7"/>
      <c r="BA1875" s="7"/>
    </row>
    <row r="1876" spans="31:53" x14ac:dyDescent="0.55000000000000004">
      <c r="AE1876" s="7"/>
      <c r="AT1876" s="7"/>
      <c r="BA1876" s="7"/>
    </row>
    <row r="1877" spans="31:53" x14ac:dyDescent="0.55000000000000004">
      <c r="AE1877" s="7"/>
      <c r="AT1877" s="7"/>
      <c r="BA1877" s="7"/>
    </row>
    <row r="1878" spans="31:53" x14ac:dyDescent="0.55000000000000004">
      <c r="AE1878" s="7"/>
      <c r="AT1878" s="7"/>
      <c r="BA1878" s="7"/>
    </row>
    <row r="1879" spans="31:53" x14ac:dyDescent="0.55000000000000004">
      <c r="AE1879" s="7"/>
      <c r="AT1879" s="7"/>
      <c r="BA1879" s="7"/>
    </row>
    <row r="1880" spans="31:53" x14ac:dyDescent="0.55000000000000004">
      <c r="AE1880" s="7"/>
      <c r="AT1880" s="7"/>
      <c r="BA1880" s="7"/>
    </row>
    <row r="1881" spans="31:53" x14ac:dyDescent="0.55000000000000004">
      <c r="AE1881" s="7"/>
      <c r="AT1881" s="7"/>
      <c r="BA1881" s="7"/>
    </row>
    <row r="1882" spans="31:53" x14ac:dyDescent="0.55000000000000004">
      <c r="AE1882" s="7"/>
      <c r="AT1882" s="7"/>
      <c r="BA1882" s="7"/>
    </row>
    <row r="1883" spans="31:53" x14ac:dyDescent="0.55000000000000004">
      <c r="AE1883" s="7"/>
      <c r="AT1883" s="7"/>
      <c r="BA1883" s="7"/>
    </row>
    <row r="1884" spans="31:53" x14ac:dyDescent="0.55000000000000004">
      <c r="AE1884" s="7"/>
      <c r="AT1884" s="7"/>
      <c r="BA1884" s="7"/>
    </row>
    <row r="1885" spans="31:53" x14ac:dyDescent="0.55000000000000004">
      <c r="AE1885" s="7"/>
      <c r="AT1885" s="7"/>
      <c r="BA1885" s="7"/>
    </row>
    <row r="1886" spans="31:53" x14ac:dyDescent="0.55000000000000004">
      <c r="AE1886" s="7"/>
      <c r="AT1886" s="7"/>
      <c r="BA1886" s="7"/>
    </row>
    <row r="1887" spans="31:53" x14ac:dyDescent="0.55000000000000004">
      <c r="AE1887" s="7"/>
      <c r="AT1887" s="7"/>
      <c r="BA1887" s="7"/>
    </row>
    <row r="1888" spans="31:53" x14ac:dyDescent="0.55000000000000004">
      <c r="AE1888" s="7"/>
      <c r="AT1888" s="7"/>
      <c r="BA1888" s="7"/>
    </row>
    <row r="1889" spans="31:53" x14ac:dyDescent="0.55000000000000004">
      <c r="AE1889" s="7"/>
      <c r="AT1889" s="7"/>
      <c r="BA1889" s="7"/>
    </row>
    <row r="1890" spans="31:53" x14ac:dyDescent="0.55000000000000004">
      <c r="AE1890" s="7"/>
      <c r="AT1890" s="7"/>
      <c r="BA1890" s="7"/>
    </row>
    <row r="1891" spans="31:53" x14ac:dyDescent="0.55000000000000004">
      <c r="AE1891" s="7"/>
      <c r="AT1891" s="7"/>
      <c r="BA1891" s="7"/>
    </row>
    <row r="1892" spans="31:53" x14ac:dyDescent="0.55000000000000004">
      <c r="AE1892" s="7"/>
      <c r="AT1892" s="7"/>
      <c r="BA1892" s="7"/>
    </row>
    <row r="1893" spans="31:53" x14ac:dyDescent="0.55000000000000004">
      <c r="AE1893" s="7"/>
      <c r="AT1893" s="7"/>
      <c r="BA1893" s="7"/>
    </row>
    <row r="1894" spans="31:53" x14ac:dyDescent="0.55000000000000004">
      <c r="AE1894" s="7"/>
      <c r="AT1894" s="7"/>
      <c r="BA1894" s="7"/>
    </row>
    <row r="1895" spans="31:53" x14ac:dyDescent="0.55000000000000004">
      <c r="AE1895" s="7"/>
      <c r="AT1895" s="7"/>
      <c r="BA1895" s="7"/>
    </row>
    <row r="1896" spans="31:53" x14ac:dyDescent="0.55000000000000004">
      <c r="AE1896" s="7"/>
      <c r="AT1896" s="7"/>
      <c r="BA1896" s="7"/>
    </row>
    <row r="1897" spans="31:53" x14ac:dyDescent="0.55000000000000004">
      <c r="AE1897" s="7"/>
      <c r="AT1897" s="7"/>
      <c r="BA1897" s="7"/>
    </row>
    <row r="1898" spans="31:53" x14ac:dyDescent="0.55000000000000004">
      <c r="AE1898" s="7"/>
      <c r="AT1898" s="7"/>
      <c r="BA1898" s="7"/>
    </row>
    <row r="1899" spans="31:53" x14ac:dyDescent="0.55000000000000004">
      <c r="AE1899" s="7"/>
      <c r="AT1899" s="7"/>
      <c r="BA1899" s="7"/>
    </row>
    <row r="1900" spans="31:53" x14ac:dyDescent="0.55000000000000004">
      <c r="AE1900" s="7"/>
      <c r="AT1900" s="7"/>
      <c r="BA1900" s="7"/>
    </row>
    <row r="1901" spans="31:53" x14ac:dyDescent="0.55000000000000004">
      <c r="AE1901" s="7"/>
      <c r="AT1901" s="7"/>
      <c r="BA1901" s="7"/>
    </row>
    <row r="1902" spans="31:53" x14ac:dyDescent="0.55000000000000004">
      <c r="AE1902" s="7"/>
      <c r="AT1902" s="7"/>
      <c r="BA1902" s="7"/>
    </row>
    <row r="1903" spans="31:53" x14ac:dyDescent="0.55000000000000004">
      <c r="AE1903" s="7"/>
      <c r="AT1903" s="7"/>
      <c r="BA1903" s="7"/>
    </row>
    <row r="1904" spans="31:53" x14ac:dyDescent="0.55000000000000004">
      <c r="AE1904" s="7"/>
      <c r="AT1904" s="7"/>
      <c r="BA1904" s="7"/>
    </row>
    <row r="1905" spans="31:53" x14ac:dyDescent="0.55000000000000004">
      <c r="AE1905" s="7"/>
      <c r="AT1905" s="7"/>
      <c r="BA1905" s="7"/>
    </row>
    <row r="1906" spans="31:53" x14ac:dyDescent="0.55000000000000004">
      <c r="AE1906" s="7"/>
      <c r="AT1906" s="7"/>
      <c r="BA1906" s="7"/>
    </row>
    <row r="1907" spans="31:53" x14ac:dyDescent="0.55000000000000004">
      <c r="AE1907" s="7"/>
      <c r="AT1907" s="7"/>
      <c r="BA1907" s="7"/>
    </row>
    <row r="1908" spans="31:53" x14ac:dyDescent="0.55000000000000004">
      <c r="AE1908" s="7"/>
      <c r="AT1908" s="7"/>
      <c r="BA1908" s="7"/>
    </row>
    <row r="1909" spans="31:53" x14ac:dyDescent="0.55000000000000004">
      <c r="AE1909" s="7"/>
      <c r="AT1909" s="7"/>
      <c r="BA1909" s="7"/>
    </row>
    <row r="1910" spans="31:53" x14ac:dyDescent="0.55000000000000004">
      <c r="AE1910" s="7"/>
      <c r="AT1910" s="7"/>
      <c r="BA1910" s="7"/>
    </row>
    <row r="1911" spans="31:53" x14ac:dyDescent="0.55000000000000004">
      <c r="AE1911" s="7"/>
      <c r="AT1911" s="7"/>
      <c r="BA1911" s="7"/>
    </row>
    <row r="1912" spans="31:53" x14ac:dyDescent="0.55000000000000004">
      <c r="AE1912" s="7"/>
      <c r="AT1912" s="7"/>
      <c r="BA1912" s="7"/>
    </row>
    <row r="1913" spans="31:53" x14ac:dyDescent="0.55000000000000004">
      <c r="AE1913" s="7"/>
      <c r="AT1913" s="7"/>
      <c r="BA1913" s="7"/>
    </row>
    <row r="1914" spans="31:53" x14ac:dyDescent="0.55000000000000004">
      <c r="AE1914" s="7"/>
      <c r="AT1914" s="7"/>
      <c r="BA1914" s="7"/>
    </row>
    <row r="1915" spans="31:53" x14ac:dyDescent="0.55000000000000004">
      <c r="AE1915" s="7"/>
      <c r="AT1915" s="7"/>
      <c r="BA1915" s="7"/>
    </row>
    <row r="1916" spans="31:53" x14ac:dyDescent="0.55000000000000004">
      <c r="AE1916" s="7"/>
      <c r="AT1916" s="7"/>
      <c r="BA1916" s="7"/>
    </row>
    <row r="1917" spans="31:53" x14ac:dyDescent="0.55000000000000004">
      <c r="AE1917" s="7"/>
      <c r="AT1917" s="7"/>
      <c r="BA1917" s="7"/>
    </row>
    <row r="1918" spans="31:53" x14ac:dyDescent="0.55000000000000004">
      <c r="AE1918" s="7"/>
      <c r="AT1918" s="7"/>
      <c r="BA1918" s="7"/>
    </row>
    <row r="1919" spans="31:53" x14ac:dyDescent="0.55000000000000004">
      <c r="AE1919" s="7"/>
      <c r="AT1919" s="7"/>
      <c r="BA1919" s="7"/>
    </row>
    <row r="1920" spans="31:53" x14ac:dyDescent="0.55000000000000004">
      <c r="AE1920" s="7"/>
      <c r="AT1920" s="7"/>
      <c r="BA1920" s="7"/>
    </row>
    <row r="1921" spans="31:53" x14ac:dyDescent="0.55000000000000004">
      <c r="AE1921" s="7"/>
      <c r="AT1921" s="7"/>
      <c r="BA1921" s="7"/>
    </row>
    <row r="1922" spans="31:53" x14ac:dyDescent="0.55000000000000004">
      <c r="AE1922" s="7"/>
      <c r="AT1922" s="7"/>
      <c r="BA1922" s="7"/>
    </row>
    <row r="1923" spans="31:53" x14ac:dyDescent="0.55000000000000004">
      <c r="AE1923" s="7"/>
      <c r="AT1923" s="7"/>
      <c r="BA1923" s="7"/>
    </row>
    <row r="1924" spans="31:53" x14ac:dyDescent="0.55000000000000004">
      <c r="AE1924" s="7"/>
      <c r="AT1924" s="7"/>
      <c r="BA1924" s="7"/>
    </row>
    <row r="1925" spans="31:53" x14ac:dyDescent="0.55000000000000004">
      <c r="AE1925" s="7"/>
      <c r="AT1925" s="7"/>
      <c r="BA1925" s="7"/>
    </row>
    <row r="1926" spans="31:53" x14ac:dyDescent="0.55000000000000004">
      <c r="AE1926" s="7"/>
      <c r="AT1926" s="7"/>
      <c r="BA1926" s="7"/>
    </row>
    <row r="1927" spans="31:53" x14ac:dyDescent="0.55000000000000004">
      <c r="AE1927" s="7"/>
      <c r="AT1927" s="7"/>
      <c r="BA1927" s="7"/>
    </row>
    <row r="1928" spans="31:53" x14ac:dyDescent="0.55000000000000004">
      <c r="AE1928" s="7"/>
      <c r="AT1928" s="7"/>
      <c r="BA1928" s="7"/>
    </row>
    <row r="1929" spans="31:53" x14ac:dyDescent="0.55000000000000004">
      <c r="AE1929" s="7"/>
      <c r="AT1929" s="7"/>
      <c r="BA1929" s="7"/>
    </row>
    <row r="1930" spans="31:53" x14ac:dyDescent="0.55000000000000004">
      <c r="AE1930" s="7"/>
      <c r="AT1930" s="7"/>
      <c r="BA1930" s="7"/>
    </row>
    <row r="1931" spans="31:53" x14ac:dyDescent="0.55000000000000004">
      <c r="AE1931" s="7"/>
      <c r="AT1931" s="7"/>
      <c r="BA1931" s="7"/>
    </row>
    <row r="1932" spans="31:53" x14ac:dyDescent="0.55000000000000004">
      <c r="AE1932" s="7"/>
      <c r="AT1932" s="7"/>
      <c r="BA1932" s="7"/>
    </row>
    <row r="1933" spans="31:53" x14ac:dyDescent="0.55000000000000004">
      <c r="AE1933" s="7"/>
      <c r="AT1933" s="7"/>
      <c r="BA1933" s="7"/>
    </row>
    <row r="1934" spans="31:53" x14ac:dyDescent="0.55000000000000004">
      <c r="AE1934" s="7"/>
      <c r="AT1934" s="7"/>
      <c r="BA1934" s="7"/>
    </row>
    <row r="1935" spans="31:53" x14ac:dyDescent="0.55000000000000004">
      <c r="AE1935" s="7"/>
      <c r="AT1935" s="7"/>
      <c r="BA1935" s="7"/>
    </row>
    <row r="1936" spans="31:53" x14ac:dyDescent="0.55000000000000004">
      <c r="AE1936" s="7"/>
      <c r="AT1936" s="7"/>
      <c r="BA1936" s="7"/>
    </row>
    <row r="1937" spans="31:53" x14ac:dyDescent="0.55000000000000004">
      <c r="AE1937" s="7"/>
      <c r="AT1937" s="7"/>
      <c r="BA1937" s="7"/>
    </row>
    <row r="1938" spans="31:53" x14ac:dyDescent="0.55000000000000004">
      <c r="AE1938" s="7"/>
      <c r="AT1938" s="7"/>
      <c r="BA1938" s="7"/>
    </row>
    <row r="1939" spans="31:53" x14ac:dyDescent="0.55000000000000004">
      <c r="AE1939" s="7"/>
      <c r="AT1939" s="7"/>
      <c r="BA1939" s="7"/>
    </row>
    <row r="1940" spans="31:53" x14ac:dyDescent="0.55000000000000004">
      <c r="AE1940" s="7"/>
      <c r="AT1940" s="7"/>
      <c r="BA1940" s="7"/>
    </row>
    <row r="1941" spans="31:53" x14ac:dyDescent="0.55000000000000004">
      <c r="AE1941" s="7"/>
      <c r="AT1941" s="7"/>
      <c r="BA1941" s="7"/>
    </row>
    <row r="1942" spans="31:53" x14ac:dyDescent="0.55000000000000004">
      <c r="AE1942" s="7"/>
      <c r="AT1942" s="7"/>
      <c r="BA1942" s="7"/>
    </row>
    <row r="1943" spans="31:53" x14ac:dyDescent="0.55000000000000004">
      <c r="AE1943" s="7"/>
      <c r="AT1943" s="7"/>
      <c r="BA1943" s="7"/>
    </row>
    <row r="1944" spans="31:53" x14ac:dyDescent="0.55000000000000004">
      <c r="AE1944" s="7"/>
      <c r="AT1944" s="7"/>
      <c r="BA1944" s="7"/>
    </row>
    <row r="1945" spans="31:53" x14ac:dyDescent="0.55000000000000004">
      <c r="AE1945" s="7"/>
      <c r="AT1945" s="7"/>
      <c r="BA1945" s="7"/>
    </row>
    <row r="1946" spans="31:53" x14ac:dyDescent="0.55000000000000004">
      <c r="AE1946" s="7"/>
      <c r="AT1946" s="7"/>
      <c r="BA1946" s="7"/>
    </row>
    <row r="1947" spans="31:53" x14ac:dyDescent="0.55000000000000004">
      <c r="AE1947" s="7"/>
      <c r="AT1947" s="7"/>
      <c r="BA1947" s="7"/>
    </row>
    <row r="1948" spans="31:53" x14ac:dyDescent="0.55000000000000004">
      <c r="AE1948" s="7"/>
      <c r="AT1948" s="7"/>
      <c r="BA1948" s="7"/>
    </row>
    <row r="1949" spans="31:53" x14ac:dyDescent="0.55000000000000004">
      <c r="AE1949" s="7"/>
      <c r="AT1949" s="7"/>
      <c r="BA1949" s="7"/>
    </row>
    <row r="1950" spans="31:53" x14ac:dyDescent="0.55000000000000004">
      <c r="AE1950" s="7"/>
      <c r="AT1950" s="7"/>
      <c r="BA1950" s="7"/>
    </row>
    <row r="1951" spans="31:53" x14ac:dyDescent="0.55000000000000004">
      <c r="AE1951" s="7"/>
      <c r="AT1951" s="7"/>
      <c r="BA1951" s="7"/>
    </row>
    <row r="1952" spans="31:53" x14ac:dyDescent="0.55000000000000004">
      <c r="AE1952" s="7"/>
      <c r="AT1952" s="7"/>
      <c r="BA1952" s="7"/>
    </row>
    <row r="1953" spans="31:53" x14ac:dyDescent="0.55000000000000004">
      <c r="AE1953" s="7"/>
      <c r="AT1953" s="7"/>
      <c r="BA1953" s="7"/>
    </row>
    <row r="1954" spans="31:53" x14ac:dyDescent="0.55000000000000004">
      <c r="AE1954" s="7"/>
      <c r="AT1954" s="7"/>
      <c r="BA1954" s="7"/>
    </row>
    <row r="1955" spans="31:53" x14ac:dyDescent="0.55000000000000004">
      <c r="AE1955" s="7"/>
      <c r="AT1955" s="7"/>
      <c r="BA1955" s="7"/>
    </row>
    <row r="1956" spans="31:53" x14ac:dyDescent="0.55000000000000004">
      <c r="AE1956" s="7"/>
      <c r="AT1956" s="7"/>
      <c r="BA1956" s="7"/>
    </row>
    <row r="1957" spans="31:53" x14ac:dyDescent="0.55000000000000004">
      <c r="AE1957" s="7"/>
      <c r="AT1957" s="7"/>
      <c r="BA1957" s="7"/>
    </row>
    <row r="1958" spans="31:53" x14ac:dyDescent="0.55000000000000004">
      <c r="AE1958" s="7"/>
      <c r="AT1958" s="7"/>
      <c r="BA1958" s="7"/>
    </row>
    <row r="1959" spans="31:53" x14ac:dyDescent="0.55000000000000004">
      <c r="AE1959" s="7"/>
      <c r="AT1959" s="7"/>
      <c r="BA1959" s="7"/>
    </row>
    <row r="1960" spans="31:53" x14ac:dyDescent="0.55000000000000004">
      <c r="AE1960" s="7"/>
      <c r="AT1960" s="7"/>
      <c r="BA1960" s="7"/>
    </row>
    <row r="1961" spans="31:53" x14ac:dyDescent="0.55000000000000004">
      <c r="AE1961" s="7"/>
      <c r="AT1961" s="7"/>
      <c r="BA1961" s="7"/>
    </row>
    <row r="1962" spans="31:53" x14ac:dyDescent="0.55000000000000004">
      <c r="AE1962" s="7"/>
      <c r="AT1962" s="7"/>
      <c r="BA1962" s="7"/>
    </row>
    <row r="1963" spans="31:53" x14ac:dyDescent="0.55000000000000004">
      <c r="AE1963" s="7"/>
      <c r="AT1963" s="7"/>
      <c r="BA1963" s="7"/>
    </row>
    <row r="1964" spans="31:53" x14ac:dyDescent="0.55000000000000004">
      <c r="AE1964" s="7"/>
      <c r="AT1964" s="7"/>
      <c r="BA1964" s="7"/>
    </row>
    <row r="1965" spans="31:53" x14ac:dyDescent="0.55000000000000004">
      <c r="AE1965" s="7"/>
      <c r="AT1965" s="7"/>
      <c r="BA1965" s="7"/>
    </row>
    <row r="1966" spans="31:53" x14ac:dyDescent="0.55000000000000004">
      <c r="AE1966" s="7"/>
      <c r="AT1966" s="7"/>
      <c r="BA1966" s="7"/>
    </row>
    <row r="1967" spans="31:53" x14ac:dyDescent="0.55000000000000004">
      <c r="AE1967" s="7"/>
      <c r="AT1967" s="7"/>
      <c r="BA1967" s="7"/>
    </row>
    <row r="1968" spans="31:53" x14ac:dyDescent="0.55000000000000004">
      <c r="AE1968" s="7"/>
      <c r="AT1968" s="7"/>
      <c r="BA1968" s="7"/>
    </row>
    <row r="1969" spans="31:53" x14ac:dyDescent="0.55000000000000004">
      <c r="AE1969" s="7"/>
      <c r="AT1969" s="7"/>
      <c r="BA1969" s="7"/>
    </row>
    <row r="1970" spans="31:53" x14ac:dyDescent="0.55000000000000004">
      <c r="AE1970" s="7"/>
      <c r="AT1970" s="7"/>
      <c r="BA1970" s="7"/>
    </row>
    <row r="1971" spans="31:53" x14ac:dyDescent="0.55000000000000004">
      <c r="AE1971" s="7"/>
      <c r="AT1971" s="7"/>
      <c r="BA1971" s="7"/>
    </row>
    <row r="1972" spans="31:53" x14ac:dyDescent="0.55000000000000004">
      <c r="AE1972" s="7"/>
      <c r="AT1972" s="7"/>
      <c r="BA1972" s="7"/>
    </row>
    <row r="1973" spans="31:53" x14ac:dyDescent="0.55000000000000004">
      <c r="AE1973" s="7"/>
      <c r="AT1973" s="7"/>
      <c r="BA1973" s="7"/>
    </row>
    <row r="1974" spans="31:53" x14ac:dyDescent="0.55000000000000004">
      <c r="AE1974" s="7"/>
      <c r="AT1974" s="7"/>
      <c r="BA1974" s="7"/>
    </row>
    <row r="1975" spans="31:53" x14ac:dyDescent="0.55000000000000004">
      <c r="AE1975" s="7"/>
      <c r="AT1975" s="7"/>
      <c r="BA1975" s="7"/>
    </row>
    <row r="1976" spans="31:53" x14ac:dyDescent="0.55000000000000004">
      <c r="AE1976" s="7"/>
      <c r="AT1976" s="7"/>
      <c r="BA1976" s="7"/>
    </row>
    <row r="1977" spans="31:53" x14ac:dyDescent="0.55000000000000004">
      <c r="AE1977" s="7"/>
      <c r="AT1977" s="7"/>
      <c r="BA1977" s="7"/>
    </row>
    <row r="1978" spans="31:53" x14ac:dyDescent="0.55000000000000004">
      <c r="AE1978" s="7"/>
      <c r="AT1978" s="7"/>
      <c r="BA1978" s="7"/>
    </row>
    <row r="1979" spans="31:53" x14ac:dyDescent="0.55000000000000004">
      <c r="AE1979" s="7"/>
      <c r="AT1979" s="7"/>
      <c r="BA1979" s="7"/>
    </row>
    <row r="1980" spans="31:53" x14ac:dyDescent="0.55000000000000004">
      <c r="AE1980" s="7"/>
      <c r="AT1980" s="7"/>
      <c r="BA1980" s="7"/>
    </row>
    <row r="1981" spans="31:53" x14ac:dyDescent="0.55000000000000004">
      <c r="AE1981" s="7"/>
      <c r="AT1981" s="7"/>
      <c r="BA1981" s="7"/>
    </row>
    <row r="1982" spans="31:53" x14ac:dyDescent="0.55000000000000004">
      <c r="AE1982" s="7"/>
      <c r="AT1982" s="7"/>
      <c r="BA1982" s="7"/>
    </row>
    <row r="1983" spans="31:53" x14ac:dyDescent="0.55000000000000004">
      <c r="AE1983" s="7"/>
      <c r="AT1983" s="7"/>
      <c r="BA1983" s="7"/>
    </row>
    <row r="1984" spans="31:53" x14ac:dyDescent="0.55000000000000004">
      <c r="AE1984" s="7"/>
      <c r="AT1984" s="7"/>
      <c r="BA1984" s="7"/>
    </row>
    <row r="1985" spans="31:53" x14ac:dyDescent="0.55000000000000004">
      <c r="AE1985" s="7"/>
      <c r="AT1985" s="7"/>
      <c r="BA1985" s="7"/>
    </row>
    <row r="1986" spans="31:53" x14ac:dyDescent="0.55000000000000004">
      <c r="AE1986" s="7"/>
      <c r="AT1986" s="7"/>
      <c r="BA1986" s="7"/>
    </row>
    <row r="1987" spans="31:53" x14ac:dyDescent="0.55000000000000004">
      <c r="AE1987" s="7"/>
      <c r="AT1987" s="7"/>
      <c r="BA1987" s="7"/>
    </row>
    <row r="1988" spans="31:53" x14ac:dyDescent="0.55000000000000004">
      <c r="AE1988" s="7"/>
      <c r="AT1988" s="7"/>
      <c r="BA1988" s="7"/>
    </row>
    <row r="1989" spans="31:53" x14ac:dyDescent="0.55000000000000004">
      <c r="AE1989" s="7"/>
      <c r="AT1989" s="7"/>
      <c r="BA1989" s="7"/>
    </row>
    <row r="1990" spans="31:53" x14ac:dyDescent="0.55000000000000004">
      <c r="AE1990" s="7"/>
      <c r="AT1990" s="7"/>
      <c r="BA1990" s="7"/>
    </row>
    <row r="1991" spans="31:53" x14ac:dyDescent="0.55000000000000004">
      <c r="AE1991" s="7"/>
      <c r="AT1991" s="7"/>
      <c r="BA1991" s="7"/>
    </row>
    <row r="1992" spans="31:53" x14ac:dyDescent="0.55000000000000004">
      <c r="AE1992" s="7"/>
      <c r="AT1992" s="7"/>
      <c r="BA1992" s="7"/>
    </row>
    <row r="1993" spans="31:53" x14ac:dyDescent="0.55000000000000004">
      <c r="AE1993" s="7"/>
      <c r="AT1993" s="7"/>
      <c r="BA1993" s="7"/>
    </row>
    <row r="1994" spans="31:53" x14ac:dyDescent="0.55000000000000004">
      <c r="AE1994" s="7"/>
      <c r="AT1994" s="7"/>
      <c r="BA1994" s="7"/>
    </row>
    <row r="1995" spans="31:53" x14ac:dyDescent="0.55000000000000004">
      <c r="AE1995" s="7"/>
      <c r="AT1995" s="7"/>
      <c r="BA1995" s="7"/>
    </row>
    <row r="1996" spans="31:53" x14ac:dyDescent="0.55000000000000004">
      <c r="AE1996" s="7"/>
      <c r="AT1996" s="7"/>
      <c r="BA1996" s="7"/>
    </row>
    <row r="1997" spans="31:53" x14ac:dyDescent="0.55000000000000004">
      <c r="AE1997" s="7"/>
      <c r="AT1997" s="7"/>
      <c r="BA1997" s="7"/>
    </row>
    <row r="1998" spans="31:53" x14ac:dyDescent="0.55000000000000004">
      <c r="AE1998" s="7"/>
      <c r="AT1998" s="7"/>
      <c r="BA1998" s="7"/>
    </row>
    <row r="1999" spans="31:53" x14ac:dyDescent="0.55000000000000004">
      <c r="AE1999" s="7"/>
      <c r="AT1999" s="7"/>
      <c r="BA1999" s="7"/>
    </row>
    <row r="2000" spans="31:53" x14ac:dyDescent="0.55000000000000004">
      <c r="AE2000" s="7"/>
      <c r="AT2000" s="7"/>
      <c r="BA2000" s="7"/>
    </row>
  </sheetData>
  <phoneticPr fontId="12"/>
  <conditionalFormatting sqref="A15:O40">
    <cfRule type="expression" dxfId="0" priority="1" stopIfTrue="1">
      <formula>$L15=1</formula>
    </cfRule>
  </conditionalFormatting>
  <dataValidations count="1">
    <dataValidation type="list" allowBlank="1" showInputMessage="1" showErrorMessage="1" sqref="B9" xr:uid="{A8A66444-67D8-49DE-B0DF-3C1EB3BDAE98}">
      <formula1>"NET,GROSS,CARRY,IRR"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45</vt:i4>
      </vt:variant>
    </vt:vector>
  </HeadingPairs>
  <TitlesOfParts>
    <vt:vector size="52" baseType="lpstr">
      <vt:lpstr>PCA</vt:lpstr>
      <vt:lpstr>PCAGrid</vt:lpstr>
      <vt:lpstr>VolPCA</vt:lpstr>
      <vt:lpstr>VolHV</vt:lpstr>
      <vt:lpstr>BOJ</vt:lpstr>
      <vt:lpstr>FwdMonitor</vt:lpstr>
      <vt:lpstr>FutBasis</vt:lpstr>
      <vt:lpstr>FUT_AdjDate</vt:lpstr>
      <vt:lpstr>FUT_AdjNet</vt:lpstr>
      <vt:lpstr>FUT_AdjSettle</vt:lpstr>
      <vt:lpstr>FUT_Contract</vt:lpstr>
      <vt:lpstr>FUT_DateIn</vt:lpstr>
      <vt:lpstr>FUT_Field</vt:lpstr>
      <vt:lpstr>FUT_From</vt:lpstr>
      <vt:lpstr>FUT_Overlay</vt:lpstr>
      <vt:lpstr>FUT_Price</vt:lpstr>
      <vt:lpstr>FUT_Repo</vt:lpstr>
      <vt:lpstr>FUT_Steps</vt:lpstr>
      <vt:lpstr>FUT_Yields</vt:lpstr>
      <vt:lpstr>FWM_Base</vt:lpstr>
      <vt:lpstr>FWM_Cmp</vt:lpstr>
      <vt:lpstr>FWM_From</vt:lpstr>
      <vt:lpstr>FWM_Labels</vt:lpstr>
      <vt:lpstr>FWM_Live</vt:lpstr>
      <vt:lpstr>FWM_TL1</vt:lpstr>
      <vt:lpstr>FWM_TL2</vt:lpstr>
      <vt:lpstr>FWM_TL3</vt:lpstr>
      <vt:lpstr>FWM_TMode</vt:lpstr>
      <vt:lpstr>FWM_TName</vt:lpstr>
      <vt:lpstr>FWM_TShow</vt:lpstr>
      <vt:lpstr>FWM_TW1</vt:lpstr>
      <vt:lpstr>FWM_TW2</vt:lpstr>
      <vt:lpstr>FWM_TW3</vt:lpstr>
      <vt:lpstr>FWM_View</vt:lpstr>
      <vt:lpstr>FWM_Win</vt:lpstr>
      <vt:lpstr>PCA_k</vt:lpstr>
      <vt:lpstr>PCA_Mode</vt:lpstr>
      <vt:lpstr>PCA_ReconDate</vt:lpstr>
      <vt:lpstr>PCA_SigmaDays</vt:lpstr>
      <vt:lpstr>PCA_Standardize</vt:lpstr>
      <vt:lpstr>PCA_window</vt:lpstr>
      <vt:lpstr>PCA_WindowEnd</vt:lpstr>
      <vt:lpstr>PCG_ReconDate</vt:lpstr>
      <vt:lpstr>PCG_SigmaDays</vt:lpstr>
      <vt:lpstr>VHV_Days</vt:lpstr>
      <vt:lpstr>VHV_From</vt:lpstr>
      <vt:lpstr>VOL_k</vt:lpstr>
      <vt:lpstr>VOL_Mode</vt:lpstr>
      <vt:lpstr>VOL_ReconDate</vt:lpstr>
      <vt:lpstr>VOL_Standardize</vt:lpstr>
      <vt:lpstr>VOL_window</vt:lpstr>
      <vt:lpstr>VOL_WindowEnd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2026-10-25T14:47:29Z</dcterms:modified>
</cp:coreProperties>
</file>